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Default Extension="vml" ContentType="application/vnd.openxmlformats-officedocument.vmlDrawing"/>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persons/person.xml" ContentType="application/vnd.ms-excel.person+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 yWindow="-98" windowWidth="21795" windowHeight="12975" firstSheet="0" activeTab="0"/>
  </bookViews>
  <sheets>
    <sheet name="Coefs" sheetId="1" state="visible" r:id="rId1"/>
    <sheet name="Sources" sheetId="3" state="visible" r:id="rId2"/>
    <sheet name="Conversores_Dieta" sheetId="5" state="visible" r:id="rId3"/>
    <sheet name="Nutrients_energy" sheetId="6" state="visible" r:id="rId4"/>
    <sheet name="IPCC_residue_coefs" sheetId="7" state="visible" r:id="rId5"/>
    <sheet name="IPCC_root_coefs" sheetId="8" state="visible" r:id="rId6"/>
    <sheet name="N_input_RS_adj" sheetId="11" state="visible" r:id="rId7"/>
    <sheet name="Irrigation_adj" sheetId="12" state="visible" r:id="rId8"/>
    <sheet name="NPP_model_coefs" sheetId="13" state="visible" r:id="rId9"/>
    <sheet name="IPCC_crop_mapping" sheetId="14" state="visible" r:id="rId10"/>
    <sheet name="HI_crop_ranges" sheetId="15" state="visible" r:id="rId11"/>
    <sheet name="Modern_variety_adoption" sheetId="16" state="visible" r:id="rId12"/>
    <sheet name="Crop_RS_N_response" sheetId="17" state="visible" r:id="rId13"/>
  </sheets>
  <externalReferences>
    <externalReference r:id="rId14"/>
    <externalReference r:id="rId15"/>
    <externalReference r:id="rId16"/>
    <externalReference r:id="rId17"/>
    <externalReference r:id="rId18"/>
  </externalReferenc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tc={5197B7C8-09C7-429D-817B-6FA908443229}</author>
    <author>Eduardo Aguilera</author>
    <author>tc={2E802808-6408-4F8A-B7D3-F44D988DEEFC}</author>
    <author>tc={13E7D38C-D8EA-4FBA-B5C1-953BF63062CF}</author>
    <author>tc={5F047A6B-08BD-4B60-8209-FBCB740F0979}</author>
    <author>tc={48144582-B2E9-4780-906C-5B079A6616F7}</author>
    <author>tc={04150040-C166-4205-AAB1-68BDC4E5C8AA}</author>
    <author>tc={CC3DF68B-6DA2-4185-9246-42A131BD290C}</author>
    <author>tc={F9020EFF-A3D0-49E9-B04B-6FC317B33825}</author>
    <author>tc={CABC6FFA-0B36-4549-A833-5031532AEEBE}</author>
    <author>tc={88973BD7-8468-4A6A-8407-AC26C9402EBD}</author>
    <author>tc={4CA0F473-6953-4955-89AC-99C1B7030C60}</author>
    <author>tc={36633DB5-FC79-4B37-9285-3D5F532D23B2}</author>
    <author>tc={ACBE09FF-0A3C-46F1-9D63-144644798EDC}</author>
    <author>tc={1EC39FA6-9A0C-4DF6-9679-DC2C2659E58B}</author>
    <author>tc={B05523EC-D1A6-41DB-AD9F-B097D61727E9}</author>
    <author>tc={9E37ACD0-BFE6-46DE-8621-9597552D6DB3}</author>
    <author>tc={B44353AF-DF51-4657-9091-5BE7FED9EE4C}</author>
    <author>tc={CB064A07-F21E-4596-9AB9-924CAA52015B}</author>
    <author>tc={45A33F36-9FC9-4A27-8466-0B1A8E550845}</author>
    <author>tc={DB4056B8-9781-4DC6-A30D-F8C9EECD0CD3}</author>
    <author>tc={95D7FA8B-0261-4AEB-9598-47BBE31EAC2B}</author>
    <author>tc={C1EA6AAB-4467-4581-A766-3C29DAAD3C71}</author>
    <author>tc={0E2BA5A6-BD36-4F5E-8E20-3933E3EF2500}</author>
    <author>tc={9E386D5D-6AD6-4D6D-A4EA-2C3716584750}</author>
    <author>tc={21E638FD-4531-4F91-B07B-F676DFA9001A}</author>
    <author>tc={55E7FE53-071E-4698-A198-FE8BD78EC146}</author>
    <author>tc={D394319B-A662-4687-9A66-E9A3B3586362}</author>
    <author>Edu Aguilera</author>
    <author>tc={1907F651-4F6A-4D4D-B625-88679254D5B7}</author>
  </authors>
  <commentList>
    <comment ref="AX3" authorId="0" shapeId="0">
      <text>
        <t>[Threaded comment]
Your version of Excel allows you to read this threaded comment; however, any edits to it will get removed if the file is opened in a newer version of Excel. Learn more: https://go.microsoft.com/fwlink/?linkid=870924
Comment:
    Equated to aboveground biomass</t>
      </text>
    </comment>
    <comment ref="F36" authorId="1" shapeId="0">
      <text>
        <r>
          <rPr>
            <b/>
            <sz val="9"/>
            <color indexed="81"/>
            <rFont val="Tahoma"/>
            <family val="2"/>
          </rPr>
          <t xml:space="preserve">Eduardo Aguilera:</t>
        </r>
        <r>
          <rPr>
            <sz val="9"/>
            <color indexed="81"/>
            <rFont val="Tahoma"/>
            <family val="2"/>
          </rPr>
          <t xml:space="preserve">
Corregido para estar referido al conjunto de la parte aérea más la parte cosechada</t>
        </r>
      </text>
    </comment>
    <comment ref="Q42" authorId="2" shapeId="0">
      <text>
        <t>[Threaded comment]
Your version of Excel allows you to read this threaded comment; however, any edits to it will get removed if the file is opened in a newer version of Excel. Learn more: https://go.microsoft.com/fwlink/?linkid=870924
Comment:
    Added later to replace 0</t>
      </text>
    </comment>
    <comment ref="BP53" authorId="3" shapeId="0">
      <text>
        <t>[Threaded comment]
Your version of Excel allows you to read this threaded comment; however, any edits to it will get removed if the file is opened in a newer version of Excel. Learn more: https://go.microsoft.com/fwlink/?linkid=870924
Comment:
    https://onlinelibrary.wiley.com/doi/10.1155/2018/4637861</t>
      </text>
    </comment>
    <comment ref="BP73" authorId="4" shapeId="0">
      <text>
        <t>[Threaded comment]
Your version of Excel allows you to read this threaded comment; however, any edits to it will get removed if the file is opened in a newer version of Excel. Learn more: https://go.microsoft.com/fwlink/?linkid=870924
Comment:
    https://onlinelibrary.wiley.com/doi/10.1155/2018/4637861</t>
      </text>
    </comment>
    <comment ref="B127" authorId="1" shapeId="0">
      <text>
        <r>
          <rPr>
            <b/>
            <sz val="9"/>
            <color indexed="81"/>
            <rFont val="Tahoma"/>
            <family val="2"/>
          </rPr>
          <t xml:space="preserve">Eduardo Aguilera:</t>
        </r>
        <r>
          <rPr>
            <sz val="9"/>
            <color indexed="81"/>
            <rFont val="Tahoma"/>
            <family val="2"/>
          </rPr>
          <t xml:space="preserve">
"Hazelnuts growing"</t>
        </r>
      </text>
    </comment>
    <comment ref="AR137" authorId="1" shapeId="0">
      <text>
        <r>
          <rPr>
            <b/>
            <sz val="9"/>
            <color indexed="81"/>
            <rFont val="Tahoma"/>
            <family val="2"/>
          </rPr>
          <t xml:space="preserve">Eduardo Aguilera:</t>
        </r>
        <r>
          <rPr>
            <sz val="9"/>
            <color indexed="81"/>
            <rFont val="Tahoma"/>
            <family val="2"/>
          </rPr>
          <t xml:space="preserve">
IPCC, 2006, Cuadro  4.14 (Prunus sp.)</t>
        </r>
      </text>
    </comment>
    <comment ref="AR138" authorId="1" shapeId="0">
      <text>
        <r>
          <rPr>
            <b/>
            <sz val="9"/>
            <color indexed="81"/>
            <rFont val="Tahoma"/>
            <family val="2"/>
          </rPr>
          <t xml:space="preserve">Eduardo Aguilera:</t>
        </r>
        <r>
          <rPr>
            <sz val="9"/>
            <color indexed="81"/>
            <rFont val="Tahoma"/>
            <family val="2"/>
          </rPr>
          <t xml:space="preserve">
IPCC, 2006, Cuadro  4.14 (Prunus sp.)</t>
        </r>
      </text>
    </comment>
    <comment ref="AR139" authorId="1" shapeId="0">
      <text>
        <r>
          <rPr>
            <b/>
            <sz val="9"/>
            <color indexed="81"/>
            <rFont val="Tahoma"/>
            <family val="2"/>
          </rPr>
          <t xml:space="preserve">Eduardo Aguilera:</t>
        </r>
        <r>
          <rPr>
            <sz val="9"/>
            <color indexed="81"/>
            <rFont val="Tahoma"/>
            <family val="2"/>
          </rPr>
          <t xml:space="preserve">
IPCC, 2006, Cuadro  4.14 (Prunus sp.)</t>
        </r>
      </text>
    </comment>
    <comment ref="AR140" authorId="1" shapeId="0">
      <text>
        <r>
          <rPr>
            <b/>
            <sz val="9"/>
            <color indexed="81"/>
            <rFont val="Tahoma"/>
            <family val="2"/>
          </rPr>
          <t xml:space="preserve">Eduardo Aguilera:</t>
        </r>
        <r>
          <rPr>
            <sz val="9"/>
            <color indexed="81"/>
            <rFont val="Tahoma"/>
            <family val="2"/>
          </rPr>
          <t xml:space="preserve">
IPCC, 2006, Cuadro  4.14 (Prunus sp.)</t>
        </r>
      </text>
    </comment>
    <comment ref="AR143" authorId="1" shapeId="0">
      <text>
        <r>
          <rPr>
            <b/>
            <sz val="9"/>
            <color indexed="81"/>
            <rFont val="Tahoma"/>
            <family val="2"/>
          </rPr>
          <t xml:space="preserve">Eduardo Aguilera:</t>
        </r>
        <r>
          <rPr>
            <sz val="9"/>
            <color indexed="81"/>
            <rFont val="Tahoma"/>
            <family val="2"/>
          </rPr>
          <t xml:space="preserve">
IPCC, 2006, Cuadro  4.14 (Prunus sp.)</t>
        </r>
      </text>
    </comment>
    <comment ref="AR144" authorId="1" shapeId="0">
      <text>
        <r>
          <rPr>
            <b/>
            <sz val="9"/>
            <color indexed="81"/>
            <rFont val="Tahoma"/>
            <family val="2"/>
          </rPr>
          <t xml:space="preserve">Eduardo Aguilera:</t>
        </r>
        <r>
          <rPr>
            <sz val="9"/>
            <color indexed="81"/>
            <rFont val="Tahoma"/>
            <family val="2"/>
          </rPr>
          <t xml:space="preserve">
IPCC, 2006, Cuadro  4.14 (Quercus sp.)</t>
        </r>
      </text>
    </comment>
    <comment ref="AL178" authorId="1" shapeId="0">
      <text>
        <r>
          <rPr>
            <b/>
            <sz val="9"/>
            <color indexed="81"/>
            <rFont val="Tahoma"/>
            <family val="2"/>
          </rPr>
          <t xml:space="preserve">Eduardo Aguilera:</t>
        </r>
        <r>
          <rPr>
            <sz val="9"/>
            <color indexed="81"/>
            <rFont val="Tahoma"/>
            <family val="2"/>
          </rPr>
          <t xml:space="preserve">
De IPCC. Pero la mayoría de artículos web dan valores inferiores</t>
        </r>
      </text>
    </comment>
    <comment ref="G179" authorId="5"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0" authorId="6"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2" authorId="7"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3" authorId="8"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4" authorId="9"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6" authorId="10"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87" authorId="11"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92" authorId="12"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93" authorId="13"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94" authorId="14"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96" authorId="15"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197" authorId="16"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B199" authorId="1" shapeId="0">
      <text>
        <r>
          <rPr>
            <b/>
            <sz val="9"/>
            <color indexed="81"/>
            <rFont val="Tahoma"/>
            <family val="2"/>
          </rPr>
          <t xml:space="preserve">Eduardo Aguilera:</t>
        </r>
        <r>
          <rPr>
            <sz val="9"/>
            <color indexed="81"/>
            <rFont val="Tahoma"/>
            <family val="2"/>
          </rPr>
          <t xml:space="preserve">
Other clovers (white, hybrid, subterranean, etc.)</t>
        </r>
      </text>
    </comment>
    <comment ref="G199" authorId="17"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02" authorId="18"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06" authorId="19"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07" authorId="20"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12" authorId="21"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15" authorId="22"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16" authorId="23"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17" authorId="24"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19" authorId="25"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20" authorId="26"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G221" authorId="27" shapeId="0">
      <text>
        <t>[Threaded comment]
Your version of Excel allows you to read this threaded comment; however, any edits to it will get removed if the file is opened in a newer version of Excel. Learn more: https://go.microsoft.com/fwlink/?linkid=870924
Comment:
    MAPA 1990-2015 series</t>
      </text>
    </comment>
    <comment ref="AI223" authorId="28" shapeId="0">
      <text>
        <r>
          <rPr>
            <b/>
            <sz val="9"/>
            <color indexed="81"/>
            <rFont val="Tahoma"/>
            <family val="2"/>
          </rPr>
          <t xml:space="preserve">Edu Aguilera:</t>
        </r>
        <r>
          <rPr>
            <sz val="9"/>
            <color indexed="81"/>
            <rFont val="Tahoma"/>
            <family val="2"/>
          </rPr>
          <t xml:space="preserve">
Roberto ponía 1.67%. </t>
        </r>
      </text>
    </comment>
    <comment ref="BB246" authorId="29" shapeId="0">
      <text>
        <t>[Threaded comment]
Your version of Excel allows you to read this threaded comment; however, any edits to it will get removed if the file is opened in a newer version of Excel. Learn more: https://go.microsoft.com/fwlink/?linkid=870924
Comment:
    https://pmc.ncbi.nlm.nih.gov/articles/PMC6331788/</t>
      </text>
    </comment>
    <comment ref="AI294" authorId="1" shapeId="0">
      <text>
        <r>
          <rPr>
            <b/>
            <sz val="9"/>
            <color indexed="81"/>
            <rFont val="Tahoma"/>
            <family val="2"/>
          </rPr>
          <t xml:space="preserve">Eduardo Aguilera:</t>
        </r>
        <r>
          <rPr>
            <sz val="9"/>
            <color indexed="81"/>
            <rFont val="Tahoma"/>
            <family val="2"/>
          </rPr>
          <t xml:space="preserve">
Skimmed</t>
        </r>
      </text>
    </comment>
    <comment ref="AJ294" authorId="1" shapeId="0">
      <text>
        <r>
          <rPr>
            <b/>
            <sz val="9"/>
            <color indexed="81"/>
            <rFont val="Tahoma"/>
            <family val="2"/>
          </rPr>
          <t xml:space="preserve">Eduardo Aguilera:</t>
        </r>
        <r>
          <rPr>
            <sz val="9"/>
            <color indexed="81"/>
            <rFont val="Tahoma"/>
            <family val="2"/>
          </rPr>
          <t xml:space="preserve">
Skimmed</t>
        </r>
      </text>
    </comment>
    <comment ref="AK294" authorId="1" shapeId="0">
      <text>
        <r>
          <rPr>
            <b/>
            <sz val="9"/>
            <color indexed="81"/>
            <rFont val="Tahoma"/>
            <family val="2"/>
          </rPr>
          <t xml:space="preserve">Eduardo Aguilera:</t>
        </r>
        <r>
          <rPr>
            <sz val="9"/>
            <color indexed="81"/>
            <rFont val="Tahoma"/>
            <family val="2"/>
          </rPr>
          <t xml:space="preserve">
Skimmed</t>
        </r>
      </text>
    </comment>
    <comment ref="AI295" authorId="1" shapeId="0">
      <text>
        <r>
          <rPr>
            <b/>
            <sz val="9"/>
            <color indexed="81"/>
            <rFont val="Tahoma"/>
            <family val="2"/>
          </rPr>
          <t xml:space="preserve">Eduardo Aguilera:</t>
        </r>
        <r>
          <rPr>
            <sz val="9"/>
            <color indexed="81"/>
            <rFont val="Tahoma"/>
            <family val="2"/>
          </rPr>
          <t xml:space="preserve">
Skimmed</t>
        </r>
      </text>
    </comment>
    <comment ref="AJ295" authorId="1" shapeId="0">
      <text>
        <r>
          <rPr>
            <b/>
            <sz val="9"/>
            <color indexed="81"/>
            <rFont val="Tahoma"/>
            <family val="2"/>
          </rPr>
          <t xml:space="preserve">Eduardo Aguilera:</t>
        </r>
        <r>
          <rPr>
            <sz val="9"/>
            <color indexed="81"/>
            <rFont val="Tahoma"/>
            <family val="2"/>
          </rPr>
          <t xml:space="preserve">
Skimmed</t>
        </r>
      </text>
    </comment>
    <comment ref="AK295" authorId="1" shapeId="0">
      <text>
        <r>
          <rPr>
            <b/>
            <sz val="9"/>
            <color indexed="81"/>
            <rFont val="Tahoma"/>
            <family val="2"/>
          </rPr>
          <t xml:space="preserve">Eduardo Aguilera:</t>
        </r>
        <r>
          <rPr>
            <sz val="9"/>
            <color indexed="81"/>
            <rFont val="Tahoma"/>
            <family val="2"/>
          </rPr>
          <t xml:space="preserve">
Skimmed</t>
        </r>
      </text>
    </comment>
    <comment ref="AI322" authorId="1" shapeId="0">
      <text>
        <r>
          <rPr>
            <b/>
            <sz val="9"/>
            <color indexed="81"/>
            <rFont val="Tahoma"/>
            <family val="2"/>
          </rPr>
          <t xml:space="preserve">Eduardo Aguilera:</t>
        </r>
        <r>
          <rPr>
            <sz val="9"/>
            <color indexed="81"/>
            <rFont val="Tahoma"/>
            <family val="2"/>
          </rPr>
          <t xml:space="preserve">
Carne de aves</t>
        </r>
      </text>
    </comment>
    <comment ref="AI340" authorId="1" shapeId="0">
      <text>
        <r>
          <rPr>
            <b/>
            <sz val="9"/>
            <color indexed="81"/>
            <rFont val="Tahoma"/>
            <family val="2"/>
          </rPr>
          <t xml:space="preserve">Eduardo Aguilera:</t>
        </r>
        <r>
          <rPr>
            <sz val="9"/>
            <color indexed="81"/>
            <rFont val="Tahoma"/>
            <family val="2"/>
          </rPr>
          <t xml:space="preserve">
Meat average</t>
        </r>
      </text>
    </comment>
    <comment ref="AI355" authorId="1" shapeId="0">
      <text>
        <r>
          <rPr>
            <b/>
            <sz val="9"/>
            <color indexed="81"/>
            <rFont val="Tahoma"/>
            <family val="2"/>
          </rPr>
          <t xml:space="preserve">Eduardo Aguilera:</t>
        </r>
        <r>
          <rPr>
            <sz val="9"/>
            <color indexed="81"/>
            <rFont val="Tahoma"/>
            <family val="2"/>
          </rPr>
          <t xml:space="preserve">
Promedio pescados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Aguilera</author>
  </authors>
  <commentList>
    <comment ref="C19" authorId="0" shapeId="0">
      <text>
        <r>
          <rPr>
            <b/>
            <sz val="9"/>
            <color indexed="81"/>
            <rFont val="Tahoma"/>
            <family val="2"/>
          </rPr>
          <t xml:space="preserve">Eduardo Aguilera:</t>
        </r>
        <r>
          <rPr>
            <sz val="9"/>
            <color indexed="81"/>
            <rFont val="Tahoma"/>
            <family val="2"/>
          </rPr>
          <t xml:space="preserve">
El valor de Guzmán es en Anthesis. Los datos de Siddique 1990 (fuente original) sugieren que en esta fase el root:shoot es mucho mayor. Así que en lugar de tomar el dato tal cual lo que he tomado es la proporción en que se incrementa el root:shoot respecto a las variedades modernas</t>
        </r>
      </text>
    </comment>
    <comment ref="C78" authorId="0" shapeId="0">
      <text>
        <r>
          <rPr>
            <b/>
            <sz val="9"/>
            <color indexed="81"/>
            <rFont val="Tahoma"/>
            <family val="2"/>
          </rPr>
          <t xml:space="preserve">Eduardo Aguilera:</t>
        </r>
        <r>
          <rPr>
            <sz val="9"/>
            <color indexed="81"/>
            <rFont val="Tahoma"/>
            <family val="2"/>
          </rPr>
          <t xml:space="preserve">
El de Guzmán es muy alto, incluye el producto)</t>
        </r>
      </text>
    </comment>
    <comment ref="C118" authorId="0" shapeId="0">
      <text>
        <r>
          <rPr>
            <b/>
            <sz val="9"/>
            <color indexed="81"/>
            <rFont val="Tahoma"/>
            <family val="2"/>
          </rPr>
          <t xml:space="preserve">Eduardo Aguilera:</t>
        </r>
        <r>
          <rPr>
            <sz val="9"/>
            <color indexed="81"/>
            <rFont val="Tahoma"/>
            <family val="2"/>
          </rPr>
          <t xml:space="preserve">
Citrus</t>
        </r>
      </text>
    </comment>
    <comment ref="C119" authorId="0" shapeId="0">
      <text>
        <r>
          <rPr>
            <b/>
            <sz val="9"/>
            <color indexed="81"/>
            <rFont val="Tahoma"/>
            <family val="2"/>
          </rPr>
          <t xml:space="preserve">Eduardo Aguilera:</t>
        </r>
        <r>
          <rPr>
            <sz val="9"/>
            <color indexed="81"/>
            <rFont val="Tahoma"/>
            <family val="2"/>
          </rPr>
          <t xml:space="preserve">
Citrus</t>
        </r>
      </text>
    </comment>
    <comment ref="C120" authorId="0" shapeId="0">
      <text>
        <r>
          <rPr>
            <b/>
            <sz val="9"/>
            <color indexed="81"/>
            <rFont val="Tahoma"/>
            <family val="2"/>
          </rPr>
          <t xml:space="preserve">Eduardo Aguilera:</t>
        </r>
        <r>
          <rPr>
            <sz val="9"/>
            <color indexed="81"/>
            <rFont val="Tahoma"/>
            <family val="2"/>
          </rPr>
          <t xml:space="preserve">
Citrus</t>
        </r>
      </text>
    </comment>
    <comment ref="A121" authorId="0" shapeId="0">
      <text>
        <r>
          <rPr>
            <b/>
            <sz val="9"/>
            <color indexed="81"/>
            <rFont val="Tahoma"/>
            <family val="2"/>
          </rPr>
          <t xml:space="preserve">Eduardo Aguilera:</t>
        </r>
        <r>
          <rPr>
            <sz val="9"/>
            <color indexed="81"/>
            <rFont val="Tahoma"/>
            <family val="2"/>
          </rPr>
          <t xml:space="preserve">
"Hazelnuts growing"</t>
        </r>
      </text>
    </comment>
    <comment ref="A193" authorId="0" shapeId="0">
      <text>
        <r>
          <rPr>
            <b/>
            <sz val="9"/>
            <color indexed="81"/>
            <rFont val="Tahoma"/>
            <family val="2"/>
          </rPr>
          <t xml:space="preserve">Eduardo Aguilera:</t>
        </r>
        <r>
          <rPr>
            <sz val="9"/>
            <color indexed="81"/>
            <rFont val="Tahoma"/>
            <family val="2"/>
          </rPr>
          <t xml:space="preserve">
Other clovers (white, hybrid, subterranean, etc.)</t>
        </r>
      </text>
    </comment>
    <comment ref="O286" authorId="0" shapeId="0">
      <text>
        <r>
          <rPr>
            <b/>
            <sz val="9"/>
            <color indexed="81"/>
            <rFont val="Tahoma"/>
            <family val="2"/>
          </rPr>
          <t xml:space="preserve">Eduardo Aguilera:</t>
        </r>
        <r>
          <rPr>
            <sz val="9"/>
            <color indexed="81"/>
            <rFont val="Tahoma"/>
            <family val="2"/>
          </rPr>
          <t xml:space="preserve">
Skimmed</t>
        </r>
      </text>
    </comment>
    <comment ref="P286" authorId="0" shapeId="0">
      <text>
        <r>
          <rPr>
            <b/>
            <sz val="9"/>
            <color indexed="81"/>
            <rFont val="Tahoma"/>
            <family val="2"/>
          </rPr>
          <t xml:space="preserve">Eduardo Aguilera:</t>
        </r>
        <r>
          <rPr>
            <sz val="9"/>
            <color indexed="81"/>
            <rFont val="Tahoma"/>
            <family val="2"/>
          </rPr>
          <t xml:space="preserve">
Skimmed</t>
        </r>
      </text>
    </comment>
    <comment ref="Q286" authorId="0" shapeId="0">
      <text>
        <r>
          <rPr>
            <b/>
            <sz val="9"/>
            <color indexed="81"/>
            <rFont val="Tahoma"/>
            <family val="2"/>
          </rPr>
          <t xml:space="preserve">Eduardo Aguilera:</t>
        </r>
        <r>
          <rPr>
            <sz val="9"/>
            <color indexed="81"/>
            <rFont val="Tahoma"/>
            <family val="2"/>
          </rPr>
          <t xml:space="preserve">
Skimmed</t>
        </r>
      </text>
    </comment>
    <comment ref="O329" authorId="0" shapeId="0">
      <text>
        <r>
          <rPr>
            <b/>
            <sz val="9"/>
            <color indexed="81"/>
            <rFont val="Tahoma"/>
            <family val="2"/>
          </rPr>
          <t xml:space="preserve">Eduardo Aguilera:</t>
        </r>
        <r>
          <rPr>
            <sz val="9"/>
            <color indexed="81"/>
            <rFont val="Tahoma"/>
            <family val="2"/>
          </rPr>
          <t xml:space="preserve">
Meat average</t>
        </r>
      </text>
    </comment>
    <comment ref="O343" authorId="0" shapeId="0">
      <text>
        <r>
          <rPr>
            <b/>
            <sz val="9"/>
            <color indexed="81"/>
            <rFont val="Tahoma"/>
            <family val="2"/>
          </rPr>
          <t xml:space="preserve">Eduardo Aguilera:</t>
        </r>
        <r>
          <rPr>
            <sz val="9"/>
            <color indexed="81"/>
            <rFont val="Tahoma"/>
            <family val="2"/>
          </rPr>
          <t xml:space="preserve">
Promedio pescados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tc={02CEE0A6-25AD-47E2-9893-24239E6460A7}</author>
  </authors>
  <commentList>
    <comment ref="J40" authorId="0" shapeId="0">
      <text>
        <r>
          <rPr>
            <b/>
            <sz val="9"/>
            <color indexed="81"/>
            <rFont val="Tahoma"/>
            <family val="2"/>
          </rPr>
          <t xml:space="preserve">Autor:</t>
        </r>
        <r>
          <rPr>
            <sz val="9"/>
            <color indexed="81"/>
            <rFont val="Tahoma"/>
            <family val="2"/>
          </rPr>
          <t xml:space="preserve">
Mataix</t>
        </r>
      </text>
    </comment>
    <comment ref="J45" authorId="0" shapeId="0">
      <text>
        <r>
          <rPr>
            <b/>
            <sz val="9"/>
            <color indexed="81"/>
            <rFont val="Tahoma"/>
            <family val="2"/>
          </rPr>
          <t xml:space="preserve">Autor:</t>
        </r>
        <r>
          <rPr>
            <sz val="9"/>
            <color indexed="81"/>
            <rFont val="Tahoma"/>
            <family val="2"/>
          </rPr>
          <t xml:space="preserve">
Mataix</t>
        </r>
      </text>
    </comment>
    <comment ref="J46" authorId="0" shapeId="0">
      <text>
        <r>
          <rPr>
            <b/>
            <sz val="9"/>
            <color indexed="81"/>
            <rFont val="Tahoma"/>
            <family val="2"/>
          </rPr>
          <t xml:space="preserve">Autor:</t>
        </r>
        <r>
          <rPr>
            <sz val="9"/>
            <color indexed="81"/>
            <rFont val="Tahoma"/>
            <family val="2"/>
          </rPr>
          <t xml:space="preserve">
Mataix</t>
        </r>
      </text>
    </comment>
    <comment ref="J54" authorId="0" shapeId="0">
      <text>
        <r>
          <rPr>
            <b/>
            <sz val="9"/>
            <color indexed="81"/>
            <rFont val="Tahoma"/>
            <family val="2"/>
          </rPr>
          <t xml:space="preserve">Autor:</t>
        </r>
        <r>
          <rPr>
            <sz val="9"/>
            <color indexed="81"/>
            <rFont val="Tahoma"/>
            <family val="2"/>
          </rPr>
          <t xml:space="preserve">
Mataix</t>
        </r>
      </text>
    </comment>
    <comment ref="J76" authorId="0" shapeId="0">
      <text>
        <r>
          <rPr>
            <b/>
            <sz val="9"/>
            <color indexed="81"/>
            <rFont val="Tahoma"/>
            <family val="2"/>
          </rPr>
          <t xml:space="preserve">Autor:</t>
        </r>
        <r>
          <rPr>
            <sz val="9"/>
            <color indexed="81"/>
            <rFont val="Tahoma"/>
            <family val="2"/>
          </rPr>
          <t xml:space="preserve">
http://www.nal.usda.gov/fnic/foodcomp/search/</t>
        </r>
      </text>
    </comment>
    <comment ref="J80" authorId="0" shapeId="0">
      <text>
        <r>
          <rPr>
            <b/>
            <sz val="9"/>
            <color indexed="81"/>
            <rFont val="Tahoma"/>
            <family val="2"/>
          </rPr>
          <t xml:space="preserve">Autor:</t>
        </r>
        <r>
          <rPr>
            <sz val="9"/>
            <color indexed="81"/>
            <rFont val="Tahoma"/>
            <family val="2"/>
          </rPr>
          <t xml:space="preserve">
http://www.seh-lelha.org/alimento.htm</t>
        </r>
      </text>
    </comment>
    <comment ref="J94" authorId="0" shapeId="0">
      <text>
        <r>
          <rPr>
            <b/>
            <sz val="9"/>
            <color indexed="81"/>
            <rFont val="Tahoma"/>
            <family val="2"/>
          </rPr>
          <t xml:space="preserve">Autor:</t>
        </r>
        <r>
          <rPr>
            <sz val="9"/>
            <color indexed="81"/>
            <rFont val="Tahoma"/>
            <family val="2"/>
          </rPr>
          <t xml:space="preserve">
http://www.seh-lelha.org/alimento.htm</t>
        </r>
      </text>
    </comment>
    <comment ref="B95" authorId="1" shapeId="0">
      <text>
        <t>[Threaded comment]
Your version of Excel allows you to read this threaded comment; however, any edits to it will get removed if the file is opened in a newer version of Excel. Learn more: https://go.microsoft.com/fwlink/?linkid=870924
Comment:
    Equiparado a haba verde (revisar) (estaba equiparado a guisante seco)</t>
      </text>
    </comment>
    <comment ref="J96" authorId="0" shapeId="0">
      <text>
        <r>
          <rPr>
            <b/>
            <sz val="9"/>
            <color indexed="81"/>
            <rFont val="Tahoma"/>
            <family val="2"/>
          </rPr>
          <t xml:space="preserve">Autor:</t>
        </r>
        <r>
          <rPr>
            <sz val="9"/>
            <color indexed="81"/>
            <rFont val="Tahoma"/>
            <family val="2"/>
          </rPr>
          <t xml:space="preserve">
http://www.seh-lelha.org/alimento.htm</t>
        </r>
      </text>
    </comment>
    <comment ref="J145" authorId="0" shapeId="0">
      <text>
        <r>
          <rPr>
            <b/>
            <sz val="8"/>
            <color indexed="81"/>
            <rFont val="Tahoma"/>
            <family val="2"/>
          </rPr>
          <t xml:space="preserve">Autor:</t>
        </r>
        <r>
          <rPr>
            <sz val="8"/>
            <color indexed="81"/>
            <rFont val="Tahoma"/>
            <family val="2"/>
          </rPr>
          <t xml:space="preserve">
http://www.seh-lelha.org/busalimento.aspx</t>
        </r>
      </text>
    </comment>
    <comment ref="J153" authorId="0" shapeId="0">
      <text>
        <r>
          <rPr>
            <b/>
            <sz val="8"/>
            <color indexed="81"/>
            <rFont val="Tahoma"/>
            <family val="2"/>
          </rPr>
          <t xml:space="preserve">Autor:</t>
        </r>
        <r>
          <rPr>
            <sz val="8"/>
            <color indexed="81"/>
            <rFont val="Tahoma"/>
            <family val="2"/>
          </rPr>
          <t xml:space="preserve">
http://www.seh-lelha.org/busalimento.aspx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tc={D054167B-8E76-4319-90B0-67A5FD880257}</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https://opkp.si/en_GB/cms/help/assistance-in-working-with-open/macronutrients</t>
      </text>
    </comment>
  </commentList>
</comments>
</file>

<file path=xl/sharedStrings.xml><?xml version="1.0" encoding="utf-8"?>
<sst xmlns="http://schemas.openxmlformats.org/spreadsheetml/2006/main" count="1142" uniqueCount="1141">
  <si>
    <t>SOM</t>
  </si>
  <si>
    <t>Biochar</t>
  </si>
  <si>
    <t>Digestate</t>
  </si>
  <si>
    <t>Bovine slurry digestate</t>
  </si>
  <si>
    <t>NA</t>
  </si>
  <si>
    <t>Pig slurry digestate</t>
  </si>
  <si>
    <t>Compost</t>
  </si>
  <si>
    <t>Peat</t>
  </si>
  <si>
    <t>Urban</t>
  </si>
  <si>
    <t>Municipal solid waste, composted</t>
  </si>
  <si>
    <t>Sewage sludge</t>
  </si>
  <si>
    <t>Excreta</t>
  </si>
  <si>
    <t>Manure and residues</t>
  </si>
  <si>
    <t>Seafood</t>
  </si>
  <si>
    <t>Fish, body oil</t>
  </si>
  <si>
    <t>Pelagic Fish</t>
  </si>
  <si>
    <t>Molluscs, Other</t>
  </si>
  <si>
    <t>Marine Fish, Other</t>
  </si>
  <si>
    <t>Freshwater Fish</t>
  </si>
  <si>
    <t>Fish Meal</t>
  </si>
  <si>
    <t>Demersal Fish</t>
  </si>
  <si>
    <t>Crustaceans</t>
  </si>
  <si>
    <t>Cephalopods</t>
  </si>
  <si>
    <t>Aquatic Animals, Others</t>
  </si>
  <si>
    <t>Aquatic Animals</t>
  </si>
  <si>
    <t>Animal, other</t>
  </si>
  <si>
    <t>Fats, animals, raw</t>
  </si>
  <si>
    <t>Meat meal</t>
  </si>
  <si>
    <t>Hides and skins</t>
  </si>
  <si>
    <t>Offals, edible</t>
  </si>
  <si>
    <t>Blood meal</t>
  </si>
  <si>
    <t>Other animal products</t>
  </si>
  <si>
    <t>Meat, other</t>
  </si>
  <si>
    <t>Meat</t>
  </si>
  <si>
    <t>Pork fat</t>
  </si>
  <si>
    <t>Pork sirloin</t>
  </si>
  <si>
    <t>Pork bacon</t>
  </si>
  <si>
    <t>Pork chuck</t>
  </si>
  <si>
    <t>Pork lard</t>
  </si>
  <si>
    <t>Pork loin (9% fat)</t>
  </si>
  <si>
    <t>Pork loin (3% fat)</t>
  </si>
  <si>
    <t>Pork chop</t>
  </si>
  <si>
    <t>Pork meat</t>
  </si>
  <si>
    <t>Lean pork meat</t>
  </si>
  <si>
    <t>Wild boar meat</t>
  </si>
  <si>
    <t>Rabbit and Hare</t>
  </si>
  <si>
    <t>Turkey, skinless</t>
  </si>
  <si>
    <t>Turkey breast, skinless</t>
  </si>
  <si>
    <t>Turkey drumstick</t>
  </si>
  <si>
    <t>Turkey, boneless, skinless</t>
  </si>
  <si>
    <t>Chicken breast</t>
  </si>
  <si>
    <t>Chicken</t>
  </si>
  <si>
    <t>Hen</t>
  </si>
  <si>
    <t>Horse meat</t>
  </si>
  <si>
    <t>Quay</t>
  </si>
  <si>
    <t>Lamb</t>
  </si>
  <si>
    <t>Lamb, leg and chuck</t>
  </si>
  <si>
    <t>Lamb, other cuts</t>
  </si>
  <si>
    <t>Lamb chop</t>
  </si>
  <si>
    <t>Materia seca muy baja, no?</t>
  </si>
  <si>
    <t>Goat meat</t>
  </si>
  <si>
    <t>Beef chop</t>
  </si>
  <si>
    <t>Beef meat</t>
  </si>
  <si>
    <t>Lean beef meat</t>
  </si>
  <si>
    <t>Steer sirloin</t>
  </si>
  <si>
    <t>Duck</t>
  </si>
  <si>
    <t>Red-legged partridge</t>
  </si>
  <si>
    <t>Honey</t>
  </si>
  <si>
    <t>Chicken eggs</t>
  </si>
  <si>
    <t>Eggs</t>
  </si>
  <si>
    <t>Quail eggs</t>
  </si>
  <si>
    <t>Duck eggs</t>
  </si>
  <si>
    <t>Other products</t>
  </si>
  <si>
    <t>Milk</t>
  </si>
  <si>
    <t>Whey</t>
  </si>
  <si>
    <t>USDA y dietas</t>
  </si>
  <si>
    <t>Butter, Ghee</t>
  </si>
  <si>
    <t>Goat milk</t>
  </si>
  <si>
    <t>Cow milk</t>
  </si>
  <si>
    <t>Milk products</t>
  </si>
  <si>
    <t>ANIMAL PRODUCTS</t>
  </si>
  <si>
    <t>Cake</t>
  </si>
  <si>
    <t>Cakes</t>
  </si>
  <si>
    <t>Olive leaves</t>
  </si>
  <si>
    <t>Wine industry waste</t>
  </si>
  <si>
    <t>Olive mill waste</t>
  </si>
  <si>
    <t>Grape pulp</t>
  </si>
  <si>
    <t>Citrus pulp</t>
  </si>
  <si>
    <t>DDGS Wheat</t>
  </si>
  <si>
    <t>DDGS Sorghum</t>
  </si>
  <si>
    <t>DDGS Maize</t>
  </si>
  <si>
    <t>DDGS Barley</t>
  </si>
  <si>
    <t>Brewers grains</t>
  </si>
  <si>
    <t>Corn cob</t>
  </si>
  <si>
    <t>Maize gluten meal</t>
  </si>
  <si>
    <t>Sugarcane bagasse</t>
  </si>
  <si>
    <t>Sugar beet molasses</t>
  </si>
  <si>
    <t>Molasses</t>
  </si>
  <si>
    <t>Sugarcane molasses</t>
  </si>
  <si>
    <t>Cereal brans</t>
  </si>
  <si>
    <t>Alfalfa meal and pellets</t>
  </si>
  <si>
    <t>Lin seed cake</t>
  </si>
  <si>
    <t>Sunflowerseed cake</t>
  </si>
  <si>
    <t>Sunflower seed hulls</t>
  </si>
  <si>
    <t>Cottonseed cake</t>
  </si>
  <si>
    <t>Cottonseed hulls</t>
  </si>
  <si>
    <t>Soyabean Cake</t>
  </si>
  <si>
    <t>Soy hulls</t>
  </si>
  <si>
    <t>Legume brans</t>
  </si>
  <si>
    <t>Palmkernel cake</t>
  </si>
  <si>
    <t>Copra cake</t>
  </si>
  <si>
    <t>Rapeseed cake</t>
  </si>
  <si>
    <t>Rapeseed hulls</t>
  </si>
  <si>
    <t>Peanut cake</t>
  </si>
  <si>
    <t>AGRO-INDUSTRY BYPRODUCTS</t>
  </si>
  <si>
    <t>Raisins</t>
  </si>
  <si>
    <t>Plum, dry, stoneless</t>
  </si>
  <si>
    <t>Apricot, dry</t>
  </si>
  <si>
    <t>Date, dry, stoneless</t>
  </si>
  <si>
    <t>Fig, dry</t>
  </si>
  <si>
    <t>Dried fruits</t>
  </si>
  <si>
    <t>Grape juice</t>
  </si>
  <si>
    <t>Oil</t>
  </si>
  <si>
    <t>Oilcrops oil, other</t>
  </si>
  <si>
    <t>Maize germ oil</t>
  </si>
  <si>
    <t>Olive oil</t>
  </si>
  <si>
    <t>Sunflowerseed oil</t>
  </si>
  <si>
    <t>Soyabean oil</t>
  </si>
  <si>
    <t>Palm oil</t>
  </si>
  <si>
    <t>Coconut oil</t>
  </si>
  <si>
    <t>Peanut oil</t>
  </si>
  <si>
    <t>Oils</t>
  </si>
  <si>
    <t>Vinegar</t>
  </si>
  <si>
    <t>Fine wine</t>
  </si>
  <si>
    <t>Sweet fortified wine</t>
  </si>
  <si>
    <t>Alcohol</t>
  </si>
  <si>
    <t>Wine</t>
  </si>
  <si>
    <t>Average of wine and beer</t>
  </si>
  <si>
    <t>Beer</t>
  </si>
  <si>
    <t>Brown sugar</t>
  </si>
  <si>
    <t>White sugar</t>
  </si>
  <si>
    <t>Sugars</t>
  </si>
  <si>
    <t>TRANSFORMED PRODUCTS</t>
  </si>
  <si>
    <t>Herbaceous crops</t>
  </si>
  <si>
    <t>Tropical/subtropical grassland</t>
  </si>
  <si>
    <t>Temperate grassland</t>
  </si>
  <si>
    <t>Grass</t>
  </si>
  <si>
    <t>P01</t>
  </si>
  <si>
    <t>Cereal-legume mixture</t>
  </si>
  <si>
    <t>Forage, other</t>
  </si>
  <si>
    <t>Cereals, green</t>
  </si>
  <si>
    <t>H35</t>
  </si>
  <si>
    <t>Mixed swards</t>
  </si>
  <si>
    <t>H45</t>
  </si>
  <si>
    <t>Fodder, other</t>
  </si>
  <si>
    <t>H51</t>
  </si>
  <si>
    <t>Other roots and tubers for fodder</t>
  </si>
  <si>
    <t>Other monospecific swards</t>
  </si>
  <si>
    <t>Other legumes for green fodder</t>
  </si>
  <si>
    <t>H44</t>
  </si>
  <si>
    <t>Other true grasses for fodder</t>
  </si>
  <si>
    <t>H38</t>
  </si>
  <si>
    <t>Cat's-tail</t>
  </si>
  <si>
    <t>Switchgrass</t>
  </si>
  <si>
    <t>Alfalfa (mixed cropping)</t>
  </si>
  <si>
    <t>Fescue grass</t>
  </si>
  <si>
    <t>Cocksfoot</t>
  </si>
  <si>
    <t>Brome grasses</t>
  </si>
  <si>
    <t>Brome</t>
  </si>
  <si>
    <t>Maize, green</t>
  </si>
  <si>
    <t>H36</t>
  </si>
  <si>
    <t>Vetch, green</t>
  </si>
  <si>
    <t>H43</t>
  </si>
  <si>
    <t>Faba bean/Broad bean, green, for fodder</t>
  </si>
  <si>
    <t>Bitter vetch, green</t>
  </si>
  <si>
    <t>Bard vetch/Oneflower vetch, green</t>
  </si>
  <si>
    <t>Wheat, green</t>
  </si>
  <si>
    <t>Fenugreek, green</t>
  </si>
  <si>
    <t>Subterranean clover</t>
  </si>
  <si>
    <t>Clover</t>
  </si>
  <si>
    <t>H40</t>
  </si>
  <si>
    <t>Crimson clover, in bloom</t>
  </si>
  <si>
    <t>Sorghum, green</t>
  </si>
  <si>
    <t>H37</t>
  </si>
  <si>
    <t>Rye, green</t>
  </si>
  <si>
    <t>Pea, green, for fodder</t>
  </si>
  <si>
    <t>Common sainfoin</t>
  </si>
  <si>
    <t>H41</t>
  </si>
  <si>
    <t>Alfalfa</t>
  </si>
  <si>
    <t>H39</t>
  </si>
  <si>
    <t>Tree medick</t>
  </si>
  <si>
    <t>Ryegrasss</t>
  </si>
  <si>
    <t>Perennial ryegrass</t>
  </si>
  <si>
    <t>Barley, green</t>
  </si>
  <si>
    <t>Jerusalem artichoke</t>
  </si>
  <si>
    <t>French honeysuckle</t>
  </si>
  <si>
    <t>H42</t>
  </si>
  <si>
    <t>Carrot, for fodder</t>
  </si>
  <si>
    <t>H49</t>
  </si>
  <si>
    <t>Artichoke thistle, for fodder</t>
  </si>
  <si>
    <t>Squash, for fodder</t>
  </si>
  <si>
    <t>H47</t>
  </si>
  <si>
    <t>Fodder cabbage</t>
  </si>
  <si>
    <t>H46</t>
  </si>
  <si>
    <t>Turnip, for fodder</t>
  </si>
  <si>
    <t>H50</t>
  </si>
  <si>
    <t>Sugar beet, neck</t>
  </si>
  <si>
    <t>Fodder beet</t>
  </si>
  <si>
    <t>H48</t>
  </si>
  <si>
    <t>Oats, green</t>
  </si>
  <si>
    <t>Charcoal</t>
  </si>
  <si>
    <t>Paper</t>
  </si>
  <si>
    <t>Savanna</t>
  </si>
  <si>
    <t>Shrubland</t>
  </si>
  <si>
    <t>Mediterranean shrubland</t>
  </si>
  <si>
    <t>Average wood</t>
  </si>
  <si>
    <t>Tropical wood</t>
  </si>
  <si>
    <t>Temperate wood</t>
  </si>
  <si>
    <t>Broad-leaved tree</t>
  </si>
  <si>
    <t>Bark (broad-leaved tree)</t>
  </si>
  <si>
    <t>Bark (conifers)</t>
  </si>
  <si>
    <t>Conifers</t>
  </si>
  <si>
    <t>Eucalyptus</t>
  </si>
  <si>
    <t>Willow, Sallow</t>
  </si>
  <si>
    <t>Poplar</t>
  </si>
  <si>
    <t>Spruce</t>
  </si>
  <si>
    <t>European beech</t>
  </si>
  <si>
    <t>Fruits</t>
  </si>
  <si>
    <t>Raspberries</t>
  </si>
  <si>
    <t>Persimmon</t>
  </si>
  <si>
    <t>Gooseberries</t>
  </si>
  <si>
    <t>Currants</t>
  </si>
  <si>
    <t>Berries nes</t>
  </si>
  <si>
    <t>Cranberries</t>
  </si>
  <si>
    <t>Blueberries</t>
  </si>
  <si>
    <t>Fruit, tropical fresh nes</t>
  </si>
  <si>
    <t>Cherries, sour</t>
  </si>
  <si>
    <t>Quince</t>
  </si>
  <si>
    <t>Grapefruit</t>
  </si>
  <si>
    <t>Treenuts</t>
  </si>
  <si>
    <t>Nuts nes</t>
  </si>
  <si>
    <t>Citrus</t>
  </si>
  <si>
    <t>Grapevine</t>
  </si>
  <si>
    <t>Holm oak</t>
  </si>
  <si>
    <t>Plum</t>
  </si>
  <si>
    <t>Pear</t>
  </si>
  <si>
    <t>Pomegranate</t>
  </si>
  <si>
    <t>Peach</t>
  </si>
  <si>
    <t>Almonds</t>
  </si>
  <si>
    <t>Cherries</t>
  </si>
  <si>
    <t>Apricot</t>
  </si>
  <si>
    <t>Pistachios</t>
  </si>
  <si>
    <t>Avocado</t>
  </si>
  <si>
    <t>Olive</t>
  </si>
  <si>
    <t>Bananas, platains</t>
  </si>
  <si>
    <t>Apple</t>
  </si>
  <si>
    <t>Chestnut</t>
  </si>
  <si>
    <t>Walnut</t>
  </si>
  <si>
    <t>Figs</t>
  </si>
  <si>
    <t>Oil palm</t>
  </si>
  <si>
    <t>Hazelnut</t>
  </si>
  <si>
    <t>Orange</t>
  </si>
  <si>
    <t>Lemon</t>
  </si>
  <si>
    <t>Mandarin</t>
  </si>
  <si>
    <t>Papaya</t>
  </si>
  <si>
    <t>Kiwifruit</t>
  </si>
  <si>
    <t>Carob</t>
  </si>
  <si>
    <t>Dates</t>
  </si>
  <si>
    <t>Pineapple</t>
  </si>
  <si>
    <t>Coconut</t>
  </si>
  <si>
    <t>Coffee</t>
  </si>
  <si>
    <t>Cocoa beans</t>
  </si>
  <si>
    <t>Other</t>
  </si>
  <si>
    <t>Pyrethrum, dried</t>
  </si>
  <si>
    <t>Oilseeds</t>
  </si>
  <si>
    <t>Hemp seed</t>
  </si>
  <si>
    <t>Oilcrops, other</t>
  </si>
  <si>
    <t>Spices, Other</t>
  </si>
  <si>
    <t>Fiber</t>
  </si>
  <si>
    <t>Fibres, other</t>
  </si>
  <si>
    <t>Flax fibre and tow</t>
  </si>
  <si>
    <t>Bastfibres, other</t>
  </si>
  <si>
    <t>Poppy seeds</t>
  </si>
  <si>
    <t>Tea</t>
  </si>
  <si>
    <t>Rubber</t>
  </si>
  <si>
    <t>Sugarcane</t>
  </si>
  <si>
    <t>Sumac</t>
  </si>
  <si>
    <t>Castor oil plant</t>
  </si>
  <si>
    <t>Anise</t>
  </si>
  <si>
    <t>Tobacco</t>
  </si>
  <si>
    <t xml:space="preserve">Linseed </t>
  </si>
  <si>
    <t>Hop</t>
  </si>
  <si>
    <t>Sunflower seed</t>
  </si>
  <si>
    <t>Seed cotton</t>
  </si>
  <si>
    <t>Cottonseed</t>
  </si>
  <si>
    <t>Cotton fiber</t>
  </si>
  <si>
    <t>Cumin</t>
  </si>
  <si>
    <t>Saffron</t>
  </si>
  <si>
    <t>Safflower</t>
  </si>
  <si>
    <t>Caper</t>
  </si>
  <si>
    <t>Hemp</t>
  </si>
  <si>
    <t>Mustard</t>
  </si>
  <si>
    <t>Rape</t>
  </si>
  <si>
    <t>Sugarbeet</t>
  </si>
  <si>
    <t>Sugar beet</t>
  </si>
  <si>
    <t>Industrial crops</t>
  </si>
  <si>
    <t>Vegetables</t>
  </si>
  <si>
    <t>Vegetables, other</t>
  </si>
  <si>
    <t>Vegetables, leguminous nes</t>
  </si>
  <si>
    <t>Fava bean, green, without pod</t>
  </si>
  <si>
    <t>Spinach</t>
  </si>
  <si>
    <t>Aubergine</t>
  </si>
  <si>
    <t>Tomato</t>
  </si>
  <si>
    <t>Radish</t>
  </si>
  <si>
    <t>Pea, green, with pod</t>
  </si>
  <si>
    <t>Beans, green</t>
  </si>
  <si>
    <t>Parsley</t>
  </si>
  <si>
    <t>Peppermint</t>
  </si>
  <si>
    <t>Lettuce</t>
  </si>
  <si>
    <t>Strawberry</t>
  </si>
  <si>
    <t>Carrot</t>
  </si>
  <si>
    <t>Artichoke</t>
  </si>
  <si>
    <t>Artichoke thistle</t>
  </si>
  <si>
    <t>Zucchini</t>
  </si>
  <si>
    <t>Squash/pumpkin</t>
  </si>
  <si>
    <t>Cucumber</t>
  </si>
  <si>
    <t>cultivar for pickled cucumber, gherkins</t>
  </si>
  <si>
    <t>Melon</t>
  </si>
  <si>
    <t>Watermelon</t>
  </si>
  <si>
    <t>Belgian endive</t>
  </si>
  <si>
    <t>Roots and tubers</t>
  </si>
  <si>
    <t>Chicory roots</t>
  </si>
  <si>
    <t>Endive</t>
  </si>
  <si>
    <t>Pepper</t>
  </si>
  <si>
    <t>Chili pepper and peppers, dry</t>
  </si>
  <si>
    <t>Chili pepper</t>
  </si>
  <si>
    <t>Turnip</t>
  </si>
  <si>
    <t>Cauliflower</t>
  </si>
  <si>
    <t>Cabbage, Broccoli</t>
  </si>
  <si>
    <t>Borage</t>
  </si>
  <si>
    <t>Chard</t>
  </si>
  <si>
    <t>Beet</t>
  </si>
  <si>
    <t>Asparagus</t>
  </si>
  <si>
    <t>Celery</t>
  </si>
  <si>
    <t>Garlic</t>
  </si>
  <si>
    <t>Onion</t>
  </si>
  <si>
    <t>Leek</t>
  </si>
  <si>
    <t>Roots, dry equivalent</t>
  </si>
  <si>
    <t>Roots, other</t>
  </si>
  <si>
    <t>Cassava</t>
  </si>
  <si>
    <t>Potato</t>
  </si>
  <si>
    <t>Sweet potato</t>
  </si>
  <si>
    <t>Tigernuts</t>
  </si>
  <si>
    <t>Legumes</t>
  </si>
  <si>
    <t>Pulses nes</t>
  </si>
  <si>
    <t>Beans</t>
  </si>
  <si>
    <t>Vetch</t>
  </si>
  <si>
    <t>Fava bean</t>
  </si>
  <si>
    <t>Pea</t>
  </si>
  <si>
    <t>Lupin</t>
  </si>
  <si>
    <t>Lentils</t>
  </si>
  <si>
    <t>Soyabeans</t>
  </si>
  <si>
    <t>Chickpea</t>
  </si>
  <si>
    <t>Groundnuts, with shell</t>
  </si>
  <si>
    <t>Cereals, old</t>
  </si>
  <si>
    <t>Maize old</t>
  </si>
  <si>
    <t>Wheat old</t>
  </si>
  <si>
    <t>Rice old</t>
  </si>
  <si>
    <t>Barley old</t>
  </si>
  <si>
    <t>Cereals, other</t>
  </si>
  <si>
    <t>Grain, mixed</t>
  </si>
  <si>
    <t>Cereals nes</t>
  </si>
  <si>
    <t>Canary grass</t>
  </si>
  <si>
    <t>Triticale</t>
  </si>
  <si>
    <t>Summer cereals, other</t>
  </si>
  <si>
    <t>Winter cereals, other</t>
  </si>
  <si>
    <t>Maize</t>
  </si>
  <si>
    <t>Wheat</t>
  </si>
  <si>
    <t>Sorghum</t>
  </si>
  <si>
    <t>Rye</t>
  </si>
  <si>
    <t>Millet</t>
  </si>
  <si>
    <t>Rice</t>
  </si>
  <si>
    <t>Barley</t>
  </si>
  <si>
    <t>Oats</t>
  </si>
  <si>
    <t>Code</t>
  </si>
  <si>
    <t>Root C</t>
  </si>
  <si>
    <t>Density</t>
  </si>
  <si>
    <t>RESIDUE</t>
  </si>
  <si>
    <t>RESIDUES INDICES</t>
  </si>
  <si>
    <t>HARVEST INDEX</t>
  </si>
  <si>
    <t>RESIDUE ENERGY</t>
  </si>
  <si>
    <t>PRODUCT ENERGY</t>
  </si>
  <si>
    <t>WEEDS</t>
  </si>
  <si>
    <t>DRY MATTER</t>
  </si>
  <si>
    <t>ROOTS</t>
  </si>
  <si>
    <t>Esparto grass</t>
  </si>
  <si>
    <t>Giant reed</t>
  </si>
  <si>
    <t>Crack willow</t>
  </si>
  <si>
    <t>Prickly pears</t>
  </si>
  <si>
    <t>Name_biomass</t>
  </si>
  <si>
    <t>Category</t>
  </si>
  <si>
    <t>GE_residue_MJ_kg</t>
  </si>
  <si>
    <t>kg_residue_kg_aerial_biomass_FM</t>
  </si>
  <si>
    <t>kg_residue_kg_product_FM</t>
  </si>
  <si>
    <t>GE_product_edible_portion_MJ_kgFM</t>
  </si>
  <si>
    <t>Organic_kgDM_ha</t>
  </si>
  <si>
    <t>Conventional_kgDM_ha</t>
  </si>
  <si>
    <t>BG_Biomass_kgDM_ha</t>
  </si>
  <si>
    <t>GE_product_residue_MJ_kgFM</t>
  </si>
  <si>
    <t>GE_product_MJ_kgFM</t>
  </si>
  <si>
    <t>kg_product_kg_aerial_biomass</t>
  </si>
  <si>
    <t>Product_kgN_kgDM</t>
  </si>
  <si>
    <t>Product_kgP_kgDM</t>
  </si>
  <si>
    <t>Product_kgK_kgDM</t>
  </si>
  <si>
    <t>Product_kgC_kgDM</t>
  </si>
  <si>
    <t>Residue_kgN_kgDM</t>
  </si>
  <si>
    <t>Residue_kgP_kgDM</t>
  </si>
  <si>
    <t>Residue_kgK_kgDM</t>
  </si>
  <si>
    <t>Residue_kgC_kgDM</t>
  </si>
  <si>
    <t>Residue_humified_kgC_kgC</t>
  </si>
  <si>
    <t>MgDM_m3</t>
  </si>
  <si>
    <t>Root_kgC_kgDM</t>
  </si>
  <si>
    <t>Root_humified_kgC_kgC</t>
  </si>
  <si>
    <t>Root_mass_kgC_kgDM</t>
  </si>
  <si>
    <t>Rhizodeposits_mass_kgC_kgDM</t>
  </si>
  <si>
    <t>Root_kgN_kgDM</t>
  </si>
  <si>
    <t>Residue_C_N</t>
  </si>
  <si>
    <t>GE_Roots_MJ_kgDM</t>
  </si>
  <si>
    <t>Residue_kgDM_kgFM</t>
  </si>
  <si>
    <t>Product_kgDM_kgFM</t>
  </si>
  <si>
    <t>Root_Shoot_ratio</t>
  </si>
  <si>
    <t>Oats old</t>
  </si>
  <si>
    <t>OLD</t>
  </si>
  <si>
    <t>Cattle</t>
  </si>
  <si>
    <t>Sheep</t>
  </si>
  <si>
    <t>Donkeys_mules</t>
  </si>
  <si>
    <t>Horses</t>
  </si>
  <si>
    <t>Goats</t>
  </si>
  <si>
    <t>Rabbits</t>
  </si>
  <si>
    <t>All_species</t>
  </si>
  <si>
    <t>Poultry</t>
  </si>
  <si>
    <t>Pigs</t>
  </si>
  <si>
    <t>Liquid</t>
  </si>
  <si>
    <t>Solid</t>
  </si>
  <si>
    <t>Flowers</t>
  </si>
  <si>
    <t>Mushrooms</t>
  </si>
  <si>
    <t>Other crops</t>
  </si>
  <si>
    <t>Fallow</t>
  </si>
  <si>
    <t>Meadows</t>
  </si>
  <si>
    <t>Wool</t>
  </si>
  <si>
    <t>Guzmán et al. 2014</t>
  </si>
  <si>
    <t>Guzmán et al. (2014)</t>
  </si>
  <si>
    <t>FEDNA, 2016</t>
  </si>
  <si>
    <t>Wolf et al. (2015)</t>
  </si>
  <si>
    <t>IPCC (2006) Chapter 11. N2O from managed soils</t>
  </si>
  <si>
    <t>FEDNA, 2016 ("Cereals")</t>
  </si>
  <si>
    <t>Based on root mass</t>
  </si>
  <si>
    <t>Summer cereals</t>
  </si>
  <si>
    <t>Oats, barley, wheat, rye</t>
  </si>
  <si>
    <t>Oats, barley, wheat</t>
  </si>
  <si>
    <t>Sorghum, maize, millet, rice</t>
  </si>
  <si>
    <t>Sorghum, maize</t>
  </si>
  <si>
    <t>Mismo % de incremento que en wheat (ver wheat)</t>
  </si>
  <si>
    <t>Modern varieties</t>
  </si>
  <si>
    <t>Calculated from modern wheat and Carranza et al. (in prep.)</t>
  </si>
  <si>
    <t>Kyle et al. (2011)</t>
  </si>
  <si>
    <t>Legumes average</t>
  </si>
  <si>
    <t>Waller (2011)</t>
  </si>
  <si>
    <t>Soyabeans, pea, fava bean</t>
  </si>
  <si>
    <t>Average of grain legumes with available data</t>
  </si>
  <si>
    <t>Roots average</t>
  </si>
  <si>
    <t>Tubers average. IPCC (2006) Chapter 11. N2O from managed soils</t>
  </si>
  <si>
    <t>Guzmán et al. 2015</t>
  </si>
  <si>
    <t>Sweet potato, potato, cassava</t>
  </si>
  <si>
    <t>Potato, cassava</t>
  </si>
  <si>
    <t>Tigernuts, sweet potato, potato</t>
  </si>
  <si>
    <t>"Roots, average" transformed to dry equivalents</t>
  </si>
  <si>
    <t>General value from Kyle et al. (2011)</t>
  </si>
  <si>
    <t>Vegetables average</t>
  </si>
  <si>
    <t>Rahn and Lillywhite (2002)</t>
  </si>
  <si>
    <t>Average of vegetables with available data</t>
  </si>
  <si>
    <t>Leek, onion, beet, cabbage, turnip, carrot, lettuce, fava bean</t>
  </si>
  <si>
    <t>Based on sugar cane and DM content</t>
  </si>
  <si>
    <t>"Grains", IPCC (2006) N2O managed soils</t>
  </si>
  <si>
    <t>Fiber, other</t>
  </si>
  <si>
    <t>Kyle et al. (2011), Otto et al. (2014)</t>
  </si>
  <si>
    <t>Own estimation</t>
  </si>
  <si>
    <t>Peanuts</t>
  </si>
  <si>
    <t>Oilseeds average</t>
  </si>
  <si>
    <t>Fruit trees average</t>
  </si>
  <si>
    <t>Treenuts average</t>
  </si>
  <si>
    <t>Scaled by DM based on average treenuts</t>
  </si>
  <si>
    <t>Fruits average</t>
  </si>
  <si>
    <t>Scaled by GE based on fruits average</t>
  </si>
  <si>
    <t>Hanafi and Salimah (2004)</t>
  </si>
  <si>
    <t>Castle (1978)</t>
  </si>
  <si>
    <t>Oranges</t>
  </si>
  <si>
    <t>Bilandzija et al. (2012)</t>
  </si>
  <si>
    <t>Equated to product</t>
  </si>
  <si>
    <t>Average of Bilandzija et al. (2012), Gómez-Muñoz et al. (2016)</t>
  </si>
  <si>
    <t>Ozdemir and Topuz (2004)</t>
  </si>
  <si>
    <t>IPCC, 2006, Table 4.14</t>
  </si>
  <si>
    <t>Castle, 1978</t>
  </si>
  <si>
    <t>Average of citrus with available data</t>
  </si>
  <si>
    <t>Citrus average</t>
  </si>
  <si>
    <t>Average of treenuts with available data</t>
  </si>
  <si>
    <t>Average of fruit trees with available data</t>
  </si>
  <si>
    <t>Broad-leave tree</t>
  </si>
  <si>
    <t>IPCC (2006) Table 14.14</t>
  </si>
  <si>
    <t>Mokany et al. (2006)</t>
  </si>
  <si>
    <t>Thomas and Martin (2012)</t>
  </si>
  <si>
    <t>IPCC (2006) Table 14.13</t>
  </si>
  <si>
    <t>Average of conifers and broad-leave trees</t>
  </si>
  <si>
    <t>Mokany et al. (2006). Moist forest</t>
  </si>
  <si>
    <t>Scaled by density</t>
  </si>
  <si>
    <t>IPCC (2006) Table 12.4</t>
  </si>
  <si>
    <t>Average of tropical and temperate wood</t>
  </si>
  <si>
    <t>Average of Temperate and tropical wood</t>
  </si>
  <si>
    <t>Scaled by % C and % DM</t>
  </si>
  <si>
    <t>Gómez-Muñoz et al. (2016)</t>
  </si>
  <si>
    <t>IPCC (2006) Table 12.4. (Gómez-Muñoz et al. 2016 dan 63.2%)</t>
  </si>
  <si>
    <t>Own criteria</t>
  </si>
  <si>
    <t>"Non N-fixing forages" IPCC (2006) N2O</t>
  </si>
  <si>
    <t>Ryegrass</t>
  </si>
  <si>
    <t>"N-fixing forages" IPCC (2006) N2O</t>
  </si>
  <si>
    <t>IPCC (2006) N2O</t>
  </si>
  <si>
    <t>Grass average</t>
  </si>
  <si>
    <t>Legume average</t>
  </si>
  <si>
    <t>Average of artificial swards and cereal-legume mixture</t>
  </si>
  <si>
    <t>Includes "artificial swards". Average of true grasses and legumes</t>
  </si>
  <si>
    <t>"Grass-clover mixtures" IPCC (2006) N2O</t>
  </si>
  <si>
    <t>Cereals average</t>
  </si>
  <si>
    <t>Rye+Hairy vetch</t>
  </si>
  <si>
    <t>Average of cereals and legumes</t>
  </si>
  <si>
    <t>"Perennial grasses" IPCC (2006) N2O</t>
  </si>
  <si>
    <t>Average of Boiffin et al. (1986), Marschner and Rengel (2007)</t>
  </si>
  <si>
    <t>Butter</t>
  </si>
  <si>
    <t>Pettygrove et al. 2010 (average of crral scrappings and mechanical screen solids)</t>
  </si>
  <si>
    <t>Chastain and Moore (2014)</t>
  </si>
  <si>
    <t>Griffiths (2011)</t>
  </si>
  <si>
    <t>Antezana et al. (2016)</t>
  </si>
  <si>
    <t>Pettygrove et al. 2010</t>
  </si>
  <si>
    <t>Chen et al. (2003)</t>
  </si>
  <si>
    <t>Mafongoya et al. (2000) goats)</t>
  </si>
  <si>
    <t>Tejada and Gonzáez (2007)</t>
  </si>
  <si>
    <t>Tejada and González (2007)</t>
  </si>
  <si>
    <t>Onions, shallots, green</t>
  </si>
  <si>
    <t>Onions</t>
  </si>
  <si>
    <t>Average of beans, green; pea, green, with pod; fava bean, green, with pod</t>
  </si>
  <si>
    <t>industrial crops average</t>
  </si>
  <si>
    <t>Average of hemp and cotton</t>
  </si>
  <si>
    <t>Fibre crops average (hemp and cotton)</t>
  </si>
  <si>
    <t>Herbaceous crops average</t>
  </si>
  <si>
    <t>"Generic", IPCC (2019)</t>
  </si>
  <si>
    <t>Alfalfa, IPCC (2019)</t>
  </si>
  <si>
    <t>Non-N-fixing forages, IPCC (2019)</t>
  </si>
  <si>
    <t>N-fixing forages, IPCC (2019)</t>
  </si>
  <si>
    <t>Perennial grasses, IPCC (2019)</t>
  </si>
  <si>
    <t>Grass-clover mixtures, IPCC (2019)</t>
  </si>
  <si>
    <t>Own calculation, assuming 20% legumes in biomass</t>
  </si>
  <si>
    <t>Own calculation, assuming 50% legumes iand 50% non-legume grasses</t>
  </si>
  <si>
    <t>de Blas et al. (2019)</t>
  </si>
  <si>
    <t>Own calculation, assuming 1/3 legumes, 1/3 perennial grasses, 1/3 other</t>
  </si>
  <si>
    <t>IPCC (2019)</t>
  </si>
  <si>
    <t>"Cereals" (de Blas et al. 2019)</t>
  </si>
  <si>
    <t>"Beans and pulses" (IPCC, 2019)</t>
  </si>
  <si>
    <t>"Potatoes and tubers" (IPCC, 2019)</t>
  </si>
  <si>
    <t>Sugar beet pulp</t>
  </si>
  <si>
    <t>FEDNA</t>
  </si>
  <si>
    <t>Straw</t>
  </si>
  <si>
    <t>Cereal residues</t>
  </si>
  <si>
    <t>Aguilera, 2009</t>
  </si>
  <si>
    <t>Beverages, Alcoholic</t>
  </si>
  <si>
    <t>Beverages, Fermented</t>
  </si>
  <si>
    <t>Alcohol, Non-Food</t>
  </si>
  <si>
    <t>Other crop residues</t>
  </si>
  <si>
    <t>Lassaletta et al., 2014 (from FAO, 2011)</t>
  </si>
  <si>
    <t>Beeswax</t>
  </si>
  <si>
    <t>Silk</t>
  </si>
  <si>
    <t>Edible_portion</t>
  </si>
  <si>
    <t>Lipids_g_kgFM</t>
  </si>
  <si>
    <t>Carbohydrates_g_kgFM</t>
  </si>
  <si>
    <t>VitaminA_microg_kgFM</t>
  </si>
  <si>
    <t>Calcium_mg_kgFM</t>
  </si>
  <si>
    <t>Pulpo</t>
  </si>
  <si>
    <t>N_kgN_kgFM</t>
  </si>
  <si>
    <t>Lacteos</t>
  </si>
  <si>
    <t>Fish, seafood</t>
  </si>
  <si>
    <t>Equivalentes en FAO</t>
  </si>
  <si>
    <t>Contrastado con los valores de FAO de energía, proteínas y lípidos en 1961 y 2009</t>
  </si>
  <si>
    <t>Sardina</t>
  </si>
  <si>
    <t>Salmonete</t>
  </si>
  <si>
    <t>Pescadilla</t>
  </si>
  <si>
    <t>Merluza</t>
  </si>
  <si>
    <t>Mejillón</t>
  </si>
  <si>
    <t>Lenguado</t>
  </si>
  <si>
    <t>Langostino</t>
  </si>
  <si>
    <t>Langosta</t>
  </si>
  <si>
    <t>Jurel</t>
  </si>
  <si>
    <t>Jibia</t>
  </si>
  <si>
    <t>Gamba</t>
  </si>
  <si>
    <t>Gallo</t>
  </si>
  <si>
    <t>Congrio</t>
  </si>
  <si>
    <t>Cigala</t>
  </si>
  <si>
    <t>Calamar</t>
  </si>
  <si>
    <t>Caballa</t>
  </si>
  <si>
    <t>Bonito y albácora</t>
  </si>
  <si>
    <t>Boga</t>
  </si>
  <si>
    <t>Besugo</t>
  </si>
  <si>
    <t>Bacalao</t>
  </si>
  <si>
    <t>Atún</t>
  </si>
  <si>
    <t>Anchoa o Boquerón</t>
  </si>
  <si>
    <t>Almeja</t>
  </si>
  <si>
    <t>Pescado</t>
  </si>
  <si>
    <t>Huevos</t>
  </si>
  <si>
    <t>Leche Cabra</t>
  </si>
  <si>
    <t>Leche Oveja</t>
  </si>
  <si>
    <t>Leche Vaca</t>
  </si>
  <si>
    <t>Queso Cabra</t>
  </si>
  <si>
    <t>Queso Oveja</t>
  </si>
  <si>
    <t>Queso Vaca</t>
  </si>
  <si>
    <t>Mantequilla</t>
  </si>
  <si>
    <t>Lácteos</t>
  </si>
  <si>
    <t>Vísceras (Offals + Total)</t>
  </si>
  <si>
    <t>Grasas (Fats, animal, Raw)</t>
  </si>
  <si>
    <t>porcino</t>
  </si>
  <si>
    <t>Producción por kg de carne de cerdo (grasa) y total (vísceras)</t>
  </si>
  <si>
    <t>caprino</t>
  </si>
  <si>
    <t>ovino</t>
  </si>
  <si>
    <t>bovino</t>
  </si>
  <si>
    <t>Caza y aves</t>
  </si>
  <si>
    <t xml:space="preserve">Carnes </t>
  </si>
  <si>
    <t>Alcoholes destilados</t>
  </si>
  <si>
    <t>Frutos secos</t>
  </si>
  <si>
    <t>Frutas (excluyendo cítricos, manzanas, plátanos, dátiles)</t>
  </si>
  <si>
    <t>Hortalizas (excluyendo cebollas y tomates)</t>
  </si>
  <si>
    <t>Categorías agregadas</t>
  </si>
  <si>
    <t>Zanahoria</t>
  </si>
  <si>
    <t>Tomate</t>
  </si>
  <si>
    <t>Sandía</t>
  </si>
  <si>
    <t>Remolacha</t>
  </si>
  <si>
    <t>Puerro</t>
  </si>
  <si>
    <t>Pimiento</t>
  </si>
  <si>
    <t>Pimentón</t>
  </si>
  <si>
    <t>Perejil</t>
  </si>
  <si>
    <t>Pepino</t>
  </si>
  <si>
    <t>Nabos y Rábanos</t>
  </si>
  <si>
    <t>Melón</t>
  </si>
  <si>
    <t>Lechuga</t>
  </si>
  <si>
    <t>Judías verdes</t>
  </si>
  <si>
    <t>Judías grano</t>
  </si>
  <si>
    <t>Habas verdes</t>
  </si>
  <si>
    <t>Guindilla</t>
  </si>
  <si>
    <t>Fresa y fresón</t>
  </si>
  <si>
    <t>Espinaca</t>
  </si>
  <si>
    <t>Espárrago</t>
  </si>
  <si>
    <t>Escarola</t>
  </si>
  <si>
    <t>Comino</t>
  </si>
  <si>
    <t>Coliflor</t>
  </si>
  <si>
    <t>Coles y repollos</t>
  </si>
  <si>
    <t>Cebolleta</t>
  </si>
  <si>
    <t>Cebolla</t>
  </si>
  <si>
    <t>Cardo</t>
  </si>
  <si>
    <t>Calabaza</t>
  </si>
  <si>
    <t>Calabacín</t>
  </si>
  <si>
    <t>Borraja</t>
  </si>
  <si>
    <t>Berza</t>
  </si>
  <si>
    <t>Berenjena</t>
  </si>
  <si>
    <t>Azafrán</t>
  </si>
  <si>
    <t>Apio</t>
  </si>
  <si>
    <t>Anís</t>
  </si>
  <si>
    <t>Alcaparro</t>
  </si>
  <si>
    <t>Alcachofa</t>
  </si>
  <si>
    <t>Ajo</t>
  </si>
  <si>
    <t>Acelga</t>
  </si>
  <si>
    <t>Plantas hortícolas</t>
  </si>
  <si>
    <t>Uva de mesa</t>
  </si>
  <si>
    <t>Pomelo</t>
  </si>
  <si>
    <t>Plátano</t>
  </si>
  <si>
    <t>Pera</t>
  </si>
  <si>
    <t>Dátil</t>
  </si>
  <si>
    <t>Nuez</t>
  </si>
  <si>
    <t>Níspero</t>
  </si>
  <si>
    <t>Se ha equiparado la mandarina a la naranja</t>
  </si>
  <si>
    <t>Naranjas y mandarinas</t>
  </si>
  <si>
    <t>Membrillo</t>
  </si>
  <si>
    <t>Melocotón</t>
  </si>
  <si>
    <t>Manzana para sidra</t>
  </si>
  <si>
    <t>Manzana</t>
  </si>
  <si>
    <t>Mango</t>
  </si>
  <si>
    <t>Limón</t>
  </si>
  <si>
    <t>Lima</t>
  </si>
  <si>
    <t>Caqui</t>
  </si>
  <si>
    <t>Higo</t>
  </si>
  <si>
    <t>Cereza y guinda</t>
  </si>
  <si>
    <t>Guayaba</t>
  </si>
  <si>
    <t>Granada</t>
  </si>
  <si>
    <t>Ciruela</t>
  </si>
  <si>
    <t>Higo chumbo</t>
  </si>
  <si>
    <t>Chirimoya</t>
  </si>
  <si>
    <t>Castaña</t>
  </si>
  <si>
    <t>Azufaifa</t>
  </si>
  <si>
    <t>Avellana</t>
  </si>
  <si>
    <t>Almendra</t>
  </si>
  <si>
    <t>Albaricoque</t>
  </si>
  <si>
    <t>Aguacate</t>
  </si>
  <si>
    <t>Acerola</t>
  </si>
  <si>
    <t>Aceituna de mesa</t>
  </si>
  <si>
    <t>Árboles y arbustos frutales</t>
  </si>
  <si>
    <t>Miel</t>
  </si>
  <si>
    <t>Total azucar</t>
  </si>
  <si>
    <t>Azucar</t>
  </si>
  <si>
    <t>Chirivía</t>
  </si>
  <si>
    <t>Chufa</t>
  </si>
  <si>
    <t>Batata y boniato</t>
  </si>
  <si>
    <t>Patatas</t>
  </si>
  <si>
    <t>Raices, tubérculos y bulbos</t>
  </si>
  <si>
    <t>Otros aceites</t>
  </si>
  <si>
    <t>Aceite de oliva</t>
  </si>
  <si>
    <t>Aceites</t>
  </si>
  <si>
    <t>Cerveza</t>
  </si>
  <si>
    <t>Vino</t>
  </si>
  <si>
    <t>algarroba</t>
  </si>
  <si>
    <t>Cacahuetes grano</t>
  </si>
  <si>
    <t>Lentejas grano</t>
  </si>
  <si>
    <t>Guisantes grano</t>
  </si>
  <si>
    <t>Habas grano</t>
  </si>
  <si>
    <t>Garbanzos grano</t>
  </si>
  <si>
    <t>Leguminosas</t>
  </si>
  <si>
    <t>Arroz grano</t>
  </si>
  <si>
    <t>Harina de Maíz</t>
  </si>
  <si>
    <t>Harina de Centeno</t>
  </si>
  <si>
    <t>Avena grano</t>
  </si>
  <si>
    <t>Harina de Trigo</t>
  </si>
  <si>
    <t>Cereales</t>
  </si>
  <si>
    <t>N/kg</t>
  </si>
  <si>
    <t>MJ/kg</t>
  </si>
  <si>
    <t>grs/kg</t>
  </si>
  <si>
    <t>Kcal/Kg</t>
  </si>
  <si>
    <t xml:space="preserve"> µg/kg</t>
  </si>
  <si>
    <t>mg/kg</t>
  </si>
  <si>
    <t>grs/ kg</t>
  </si>
  <si>
    <t>kg/kg</t>
  </si>
  <si>
    <t>Proteinas</t>
  </si>
  <si>
    <t>Energía</t>
  </si>
  <si>
    <t>Vitamina A</t>
  </si>
  <si>
    <t>Calcio</t>
  </si>
  <si>
    <t>Carbohidratos</t>
  </si>
  <si>
    <t>Lípidos</t>
  </si>
  <si>
    <t>Porción Comestible</t>
  </si>
  <si>
    <t>N</t>
  </si>
  <si>
    <t>Conversores dietas</t>
  </si>
  <si>
    <t>Equiv</t>
  </si>
  <si>
    <t>Beverages, alcoholic</t>
  </si>
  <si>
    <t>Beverages, fermented</t>
  </si>
  <si>
    <t>Sheep milk</t>
  </si>
  <si>
    <t>Linseed</t>
  </si>
  <si>
    <t>Ethanol</t>
  </si>
  <si>
    <t>Lassaletta et al., 2014 (from McDougal, 1993)</t>
  </si>
  <si>
    <t>Fibre Crop Nes in Lassaletta et al. (2014), from McDougal (1993)</t>
  </si>
  <si>
    <t>Lassaletta et al., 2014 (from Lassaletta et al., 2012)</t>
  </si>
  <si>
    <t>Lassaletta et al., 2014</t>
  </si>
  <si>
    <t>Rhizodeposits_N_kgN_kgRootN</t>
  </si>
  <si>
    <t>Wang et al., 2020, Wichern et al., 2008, Fustec et al, 2010</t>
  </si>
  <si>
    <t>Comments</t>
  </si>
  <si>
    <t>Defrenet et al., 2016 (NPP root:shoot ratio)</t>
  </si>
  <si>
    <t>Lassaletta et al. 2014</t>
  </si>
  <si>
    <t>Gloria (in kg DM/kg DM, converted to FM with own data)</t>
  </si>
  <si>
    <t>Squash, pumpkin</t>
  </si>
  <si>
    <t>Faba bean, Broad bean, green, for fodder</t>
  </si>
  <si>
    <t>Holm oak forest</t>
  </si>
  <si>
    <t>Average holm oak and Mediterrnean shrubland</t>
  </si>
  <si>
    <t>Milk, lactation</t>
  </si>
  <si>
    <t>Choline chloride</t>
  </si>
  <si>
    <t>Lysine</t>
  </si>
  <si>
    <t>MgO</t>
  </si>
  <si>
    <t>Minerals</t>
  </si>
  <si>
    <t>Pesticides</t>
  </si>
  <si>
    <t>SSP</t>
  </si>
  <si>
    <t>Potassium carbonate</t>
  </si>
  <si>
    <t>Tryptophan</t>
  </si>
  <si>
    <t>Urea</t>
  </si>
  <si>
    <t>Vitamins</t>
  </si>
  <si>
    <t>Acid</t>
  </si>
  <si>
    <t>Phytase</t>
  </si>
  <si>
    <t>Starch</t>
  </si>
  <si>
    <t>Calcium soap protected fat</t>
  </si>
  <si>
    <t>Methionine</t>
  </si>
  <si>
    <t>Threonine</t>
  </si>
  <si>
    <t>Pigment</t>
  </si>
  <si>
    <t>Ammonium chloride</t>
  </si>
  <si>
    <t>Valine</t>
  </si>
  <si>
    <t>Yeast</t>
  </si>
  <si>
    <t>Salt</t>
  </si>
  <si>
    <t>Anionic salts</t>
  </si>
  <si>
    <t>Sodium butyrate</t>
  </si>
  <si>
    <t>Calcium carbonate</t>
  </si>
  <si>
    <t>Enzimes</t>
  </si>
  <si>
    <t>Bicarbonate</t>
  </si>
  <si>
    <t>Flavours</t>
  </si>
  <si>
    <t>Olein</t>
  </si>
  <si>
    <t>Alcohol, non-food</t>
  </si>
  <si>
    <t>ChatGPT. Berg, B., &amp; McClaugherty, C. (2014). Plant Litter: Decomposition, Humus Formation, Carbon Sequestration (3rd ed.). Springer.
Meerts, P. (2002). "Mineral nutrient concentrations in sapwood and heartwood: A literature review." Annals of Forest Science, 59(7), 713–722.
Thomas, R.J., &amp; Mead, D.J. (1992). "Nitrogen content of wood and bark in conifers and its implications for nutrient recycling." Canadian Journal of Forest Research, 22(12), 1851–1858.
Göttlein, A., Baumgarten, M., &amp; Dieler, J. (2012). "Nitrogen and carbon content in beech (Fagus sylvatica) and Norway spruce (Picea abies) in southern Germany." European Journal of Forest Research, 131(6), 1669–1680.</t>
  </si>
  <si>
    <t>Carcass_to_LW</t>
  </si>
  <si>
    <t>NUTRIENTS IN EDIBLE PART</t>
  </si>
  <si>
    <t>Edible_K_kgFM</t>
  </si>
  <si>
    <t>Edible_kgP_kgFM</t>
  </si>
  <si>
    <t>NonEdible_kgN_kgFM</t>
  </si>
  <si>
    <t>NonEdible_kgDM_kgFM</t>
  </si>
  <si>
    <t>NonEdible_kgC_kgFM</t>
  </si>
  <si>
    <t>NonEdible_kgP_kgFM</t>
  </si>
  <si>
    <t>NonEdible_kgK_kgFM</t>
  </si>
  <si>
    <t>Edible_kgDM_kgFM</t>
  </si>
  <si>
    <t>Edible_kgC_kgFM</t>
  </si>
  <si>
    <t>Edible_N_kgFM</t>
  </si>
  <si>
    <t>HARVESTED PRODUCT</t>
  </si>
  <si>
    <t>Spices</t>
  </si>
  <si>
    <t>Other residues</t>
  </si>
  <si>
    <t>Montero, G., et al. (2005). Growth and ecological responses of Holm oak (Quercus ilex L.) to thinning in middle-aged stands. Annals of Forest Science, 62(7), 653–661.
Moreno, J. M., &amp; Oechel, W. C. (1994). The role of fire in Mediterranean type ecosystems. Ecological Studies, 107, 1–16.</t>
  </si>
  <si>
    <t>Mediterranean pines: Bravo-Oviedo, A., Sterba, H., &amp; del Río, M. (2006). Site index curves and growth model for Mediterranean maritime pine (Pinus pinaster Ait.) in Spain. Forest Ecology and Management, 235(1–3), 202–210.Montero, G., et al. (2008). Growth and yield models for Mediterranean pine forests: Current approaches and challenges. Forest Systems, 17(S1), 8–24.</t>
  </si>
  <si>
    <t>USDA</t>
  </si>
  <si>
    <t>Fiber_g_kgFM</t>
  </si>
  <si>
    <t>SFA_g_kgFM</t>
  </si>
  <si>
    <t>MUFA_g_kgFM</t>
  </si>
  <si>
    <t>PUFA_g_kgFM</t>
  </si>
  <si>
    <t>PUFA_n3_g_kgFM</t>
  </si>
  <si>
    <t>Iron_mg_kgFM</t>
  </si>
  <si>
    <t>Zinc_mg_kgFM</t>
  </si>
  <si>
    <t>Magnesium_mg_kgFM</t>
  </si>
  <si>
    <t>Cadmium_microg_kgFM</t>
  </si>
  <si>
    <t>VitaminB12_microg_kgFM</t>
  </si>
  <si>
    <t>VitaminD_microg_kgFM</t>
  </si>
  <si>
    <t>Folate_microg_kgFM</t>
  </si>
  <si>
    <t>VitaminC_mg_kgFM</t>
  </si>
  <si>
    <t>VitaminE_mg_kgFM</t>
  </si>
  <si>
    <t>Flavonoids_mg_kgFM</t>
  </si>
  <si>
    <t>Proteins</t>
  </si>
  <si>
    <t>Carbohydrates</t>
  </si>
  <si>
    <t>Lipids</t>
  </si>
  <si>
    <t>Nutrient</t>
  </si>
  <si>
    <t>Energy_kcal_g</t>
  </si>
  <si>
    <t>Carotenoids_mg_kgFM</t>
  </si>
  <si>
    <t xml:space="preserve">IPCC_crop</t>
  </si>
  <si>
    <t xml:space="preserve">Slope_AG</t>
  </si>
  <si>
    <t xml:space="preserve">Intercept_AG_MgDMha</t>
  </si>
  <si>
    <t xml:space="preserve">RS_ratio_IPCC</t>
  </si>
  <si>
    <t xml:space="preserve">N_AG_residue</t>
  </si>
  <si>
    <t xml:space="preserve">N_BG_residue</t>
  </si>
  <si>
    <t xml:space="preserve">Source</t>
  </si>
  <si>
    <t xml:space="preserve">Wheat</t>
  </si>
  <si>
    <t xml:space="preserve">IPCC 2019 Tab.11.1a</t>
  </si>
  <si>
    <t xml:space="preserve">Barley</t>
  </si>
  <si>
    <t xml:space="preserve">Maize</t>
  </si>
  <si>
    <t xml:space="preserve">Rice</t>
  </si>
  <si>
    <t xml:space="preserve">Oats</t>
  </si>
  <si>
    <t xml:space="preserve">Millet</t>
  </si>
  <si>
    <t xml:space="preserve">Sorghum</t>
  </si>
  <si>
    <t xml:space="preserve">Rye</t>
  </si>
  <si>
    <t xml:space="preserve">Other_cereals</t>
  </si>
  <si>
    <t xml:space="preserve">Soybeans</t>
  </si>
  <si>
    <t xml:space="preserve">Dry_beans</t>
  </si>
  <si>
    <t xml:space="preserve">Pulses_other</t>
  </si>
  <si>
    <t xml:space="preserve">Groundnuts</t>
  </si>
  <si>
    <t xml:space="preserve">Chickpeas</t>
  </si>
  <si>
    <t xml:space="preserve">Bolinder 2007</t>
  </si>
  <si>
    <t xml:space="preserve">Lentils</t>
  </si>
  <si>
    <t xml:space="preserve">Peas</t>
  </si>
  <si>
    <t xml:space="preserve">Rapeseed</t>
  </si>
  <si>
    <t xml:space="preserve">IPCC 2006 Tab.11.2</t>
  </si>
  <si>
    <t xml:space="preserve">Sunflower</t>
  </si>
  <si>
    <t xml:space="preserve">Sesame</t>
  </si>
  <si>
    <t xml:space="preserve">Gan 2009</t>
  </si>
  <si>
    <t xml:space="preserve">Other_oilseeds</t>
  </si>
  <si>
    <t xml:space="preserve">Potatoes</t>
  </si>
  <si>
    <t xml:space="preserve">Sugar_beet</t>
  </si>
  <si>
    <t xml:space="preserve">Cassava</t>
  </si>
  <si>
    <t xml:space="preserve">Sweet_potatoes</t>
  </si>
  <si>
    <t xml:space="preserve">Other_roots</t>
  </si>
  <si>
    <t xml:space="preserve">Sugarcane</t>
  </si>
  <si>
    <t xml:space="preserve">Cotton</t>
  </si>
  <si>
    <t xml:space="preserve">Other_fiber</t>
  </si>
  <si>
    <t xml:space="preserve">Permanent_crops</t>
  </si>
  <si>
    <t xml:space="preserve">IPCC 2019 Tab.11.1b</t>
  </si>
  <si>
    <t xml:space="preserve">Fodder_crops</t>
  </si>
  <si>
    <t xml:space="preserve">IPCC 2006 Ch.11</t>
  </si>
  <si>
    <t xml:space="preserve">Vegetables</t>
  </si>
  <si>
    <t xml:space="preserve">IPCC 2006 analogy</t>
  </si>
  <si>
    <t xml:space="preserve">RS_default</t>
  </si>
  <si>
    <t xml:space="preserve">RS_low_N</t>
  </si>
  <si>
    <t xml:space="preserve">RS_high_N</t>
  </si>
  <si>
    <t xml:space="preserve">RS_irrigated</t>
  </si>
  <si>
    <t xml:space="preserve">RS_rainfed</t>
  </si>
  <si>
    <t xml:space="preserve">BG_ref_MgDMha</t>
  </si>
  <si>
    <t xml:space="preserve">IPCC 2019; Bolinder 2007</t>
  </si>
  <si>
    <t xml:space="preserve">IPCC 2019</t>
  </si>
  <si>
    <t xml:space="preserve">IPCC 2006; Gan 2009</t>
  </si>
  <si>
    <t xml:space="preserve">IPCC 2006</t>
  </si>
  <si>
    <t xml:space="preserve">IPCC 2006; Bolinder 2007</t>
  </si>
  <si>
    <t xml:space="preserve">Name_biomass</t>
  </si>
  <si>
    <t xml:space="preserve">Wheat old</t>
  </si>
  <si>
    <t xml:space="preserve">Barley old</t>
  </si>
  <si>
    <t xml:space="preserve">Maize old</t>
  </si>
  <si>
    <t xml:space="preserve">Rice old</t>
  </si>
  <si>
    <t xml:space="preserve">Oats old</t>
  </si>
  <si>
    <t xml:space="preserve">Winter cereals, other</t>
  </si>
  <si>
    <t xml:space="preserve">Summer cereals, other</t>
  </si>
  <si>
    <t xml:space="preserve">Triticale</t>
  </si>
  <si>
    <t xml:space="preserve">Canary grass</t>
  </si>
  <si>
    <t xml:space="preserve">Cereals nes</t>
  </si>
  <si>
    <t xml:space="preserve">Grain, mixed</t>
  </si>
  <si>
    <t xml:space="preserve">Soyabeans</t>
  </si>
  <si>
    <t xml:space="preserve">Beans</t>
  </si>
  <si>
    <t xml:space="preserve">Fava bean</t>
  </si>
  <si>
    <t xml:space="preserve">Chickpea</t>
  </si>
  <si>
    <t xml:space="preserve">Pea</t>
  </si>
  <si>
    <t xml:space="preserve">Lupin</t>
  </si>
  <si>
    <t xml:space="preserve">Vetch</t>
  </si>
  <si>
    <t xml:space="preserve">Pulses nes</t>
  </si>
  <si>
    <t xml:space="preserve">Groundnuts, with shell</t>
  </si>
  <si>
    <t xml:space="preserve">Rape</t>
  </si>
  <si>
    <t xml:space="preserve">Sunflower seed</t>
  </si>
  <si>
    <t xml:space="preserve">Safflower</t>
  </si>
  <si>
    <t xml:space="preserve">Cottonseed</t>
  </si>
  <si>
    <t xml:space="preserve">Linseed</t>
  </si>
  <si>
    <t xml:space="preserve">Castor oil plant</t>
  </si>
  <si>
    <t xml:space="preserve">Oilcrops, other</t>
  </si>
  <si>
    <t xml:space="preserve">Hemp seed</t>
  </si>
  <si>
    <t xml:space="preserve">Sesame seed</t>
  </si>
  <si>
    <t xml:space="preserve">Oil palm</t>
  </si>
  <si>
    <t xml:space="preserve">Potato</t>
  </si>
  <si>
    <t xml:space="preserve">Sweet potato</t>
  </si>
  <si>
    <t xml:space="preserve">Tigernuts</t>
  </si>
  <si>
    <t xml:space="preserve">Roots, other</t>
  </si>
  <si>
    <t xml:space="preserve">Roots, dry equivalent</t>
  </si>
  <si>
    <t xml:space="preserve">Chicory roots</t>
  </si>
  <si>
    <t xml:space="preserve">Sugar beet</t>
  </si>
  <si>
    <t xml:space="preserve">Hemp fibre</t>
  </si>
  <si>
    <t xml:space="preserve">Flax fibre</t>
  </si>
  <si>
    <t xml:space="preserve">Jute</t>
  </si>
  <si>
    <t xml:space="preserve">Sisal</t>
  </si>
  <si>
    <t xml:space="preserve">Apple</t>
  </si>
  <si>
    <t xml:space="preserve">Pear</t>
  </si>
  <si>
    <t xml:space="preserve">Cherry</t>
  </si>
  <si>
    <t xml:space="preserve">Plum</t>
  </si>
  <si>
    <t xml:space="preserve">Peach</t>
  </si>
  <si>
    <t xml:space="preserve">Apricot</t>
  </si>
  <si>
    <t xml:space="preserve">Fig</t>
  </si>
  <si>
    <t xml:space="preserve">Olive</t>
  </si>
  <si>
    <t xml:space="preserve">Grapevine</t>
  </si>
  <si>
    <t xml:space="preserve">Almond</t>
  </si>
  <si>
    <t xml:space="preserve">Hazelnut</t>
  </si>
  <si>
    <t xml:space="preserve">Walnut</t>
  </si>
  <si>
    <t xml:space="preserve">Pistachio</t>
  </si>
  <si>
    <t xml:space="preserve">Chestnut</t>
  </si>
  <si>
    <t xml:space="preserve">Treenuts, other</t>
  </si>
  <si>
    <t xml:space="preserve">Bananas</t>
  </si>
  <si>
    <t xml:space="preserve">Plantains</t>
  </si>
  <si>
    <t xml:space="preserve">Citrus</t>
  </si>
  <si>
    <t xml:space="preserve">Orange</t>
  </si>
  <si>
    <t xml:space="preserve">Lemon</t>
  </si>
  <si>
    <t xml:space="preserve">Mandarin</t>
  </si>
  <si>
    <t xml:space="preserve">Grapefruit</t>
  </si>
  <si>
    <t xml:space="preserve">Dates</t>
  </si>
  <si>
    <t xml:space="preserve">Coconuts</t>
  </si>
  <si>
    <t xml:space="preserve">Pineapple</t>
  </si>
  <si>
    <t xml:space="preserve">Coffee green</t>
  </si>
  <si>
    <t xml:space="preserve">Cocoa</t>
  </si>
  <si>
    <t xml:space="preserve">Tea</t>
  </si>
  <si>
    <t xml:space="preserve">Avocado</t>
  </si>
  <si>
    <t xml:space="preserve">Mango</t>
  </si>
  <si>
    <t xml:space="preserve">Kiwi</t>
  </si>
  <si>
    <t xml:space="preserve">Papaya</t>
  </si>
  <si>
    <t xml:space="preserve">Persimmon</t>
  </si>
  <si>
    <t xml:space="preserve">Quince</t>
  </si>
  <si>
    <t xml:space="preserve">Carob</t>
  </si>
  <si>
    <t xml:space="preserve">Fruits, other</t>
  </si>
  <si>
    <t xml:space="preserve">Berries</t>
  </si>
  <si>
    <t xml:space="preserve">Alfalfa</t>
  </si>
  <si>
    <t xml:space="preserve">Clover</t>
  </si>
  <si>
    <t xml:space="preserve">Maize green</t>
  </si>
  <si>
    <t xml:space="preserve">Sorghum green</t>
  </si>
  <si>
    <t xml:space="preserve">Ryegrass</t>
  </si>
  <si>
    <t xml:space="preserve">Fodder beet</t>
  </si>
  <si>
    <t xml:space="preserve">Fodder, other</t>
  </si>
  <si>
    <t xml:space="preserve">Mixed swards</t>
  </si>
  <si>
    <t xml:space="preserve">Oats green</t>
  </si>
  <si>
    <t xml:space="preserve">Rye green</t>
  </si>
  <si>
    <t xml:space="preserve">Barley green</t>
  </si>
  <si>
    <t xml:space="preserve">Soyabeans green</t>
  </si>
  <si>
    <t xml:space="preserve">Pea green</t>
  </si>
  <si>
    <t xml:space="preserve">Vetch green</t>
  </si>
  <si>
    <t xml:space="preserve">Lupin green</t>
  </si>
  <si>
    <t xml:space="preserve">Turnip forage</t>
  </si>
  <si>
    <t xml:space="preserve">Tomato</t>
  </si>
  <si>
    <t xml:space="preserve">Lettuce</t>
  </si>
  <si>
    <t xml:space="preserve">Onion</t>
  </si>
  <si>
    <t xml:space="preserve">Garlic</t>
  </si>
  <si>
    <t xml:space="preserve">Pepper</t>
  </si>
  <si>
    <t xml:space="preserve">Carrot</t>
  </si>
  <si>
    <t xml:space="preserve">Artichoke</t>
  </si>
  <si>
    <t xml:space="preserve">Melon</t>
  </si>
  <si>
    <t xml:space="preserve">Watermelon</t>
  </si>
  <si>
    <t xml:space="preserve">Strawberry</t>
  </si>
  <si>
    <t xml:space="preserve">Cabbage</t>
  </si>
  <si>
    <t xml:space="preserve">Broccoli</t>
  </si>
  <si>
    <t xml:space="preserve">Cauliflower</t>
  </si>
  <si>
    <t xml:space="preserve">Cucumber</t>
  </si>
  <si>
    <t xml:space="preserve">Eggplant</t>
  </si>
  <si>
    <t xml:space="preserve">Asparagus</t>
  </si>
  <si>
    <t xml:space="preserve">Celery</t>
  </si>
  <si>
    <t xml:space="preserve">Leek</t>
  </si>
  <si>
    <t xml:space="preserve">Beet</t>
  </si>
  <si>
    <t xml:space="preserve">Chard</t>
  </si>
  <si>
    <t xml:space="preserve">Turnip</t>
  </si>
  <si>
    <t xml:space="preserve">Spinach</t>
  </si>
  <si>
    <t xml:space="preserve">Pumpkin</t>
  </si>
  <si>
    <t xml:space="preserve">Zucchini</t>
  </si>
  <si>
    <t xml:space="preserve">Vegetables, other</t>
  </si>
  <si>
    <t xml:space="preserve">Mushrooms</t>
  </si>
  <si>
    <t xml:space="preserve">Tobacco</t>
  </si>
  <si>
    <t xml:space="preserve">Rubber</t>
  </si>
  <si>
    <t xml:space="preserve">Pepper spice</t>
  </si>
  <si>
    <t xml:space="preserve">Hops</t>
  </si>
  <si>
    <t xml:space="preserve">region_HANPP</t>
  </si>
  <si>
    <t xml:space="preserve">Year</t>
  </si>
  <si>
    <t xml:space="preserve">Modern_share</t>
  </si>
  <si>
    <t xml:space="preserve">HI_correction_factor</t>
  </si>
  <si>
    <t xml:space="preserve">North America and Oceania</t>
  </si>
  <si>
    <t xml:space="preserve">West Europe</t>
  </si>
  <si>
    <t xml:space="preserve">East Europe</t>
  </si>
  <si>
    <t xml:space="preserve">South and Central Asia</t>
  </si>
  <si>
    <t xml:space="preserve">East Asia</t>
  </si>
  <si>
    <t xml:space="preserve">Latin America and Caribbean</t>
  </si>
  <si>
    <t xml:space="preserve">North Africa and West Asia</t>
  </si>
  <si>
    <t xml:space="preserve">Sub-saharan Africa</t>
  </si>
  <si>
    <t xml:space="preserve">N_input_class</t>
  </si>
  <si>
    <t xml:space="preserve">N_input_min</t>
  </si>
  <si>
    <t xml:space="preserve">N_input_max</t>
  </si>
  <si>
    <t xml:space="preserve">RS_adjustment</t>
  </si>
  <si>
    <t xml:space="preserve">Very low</t>
  </si>
  <si>
    <t xml:space="preserve">Poorter &amp; Nagel 2000</t>
  </si>
  <si>
    <t xml:space="preserve">Low</t>
  </si>
  <si>
    <t xml:space="preserve">Medium</t>
  </si>
  <si>
    <t xml:space="preserve">Reference (IPCC default)</t>
  </si>
  <si>
    <t xml:space="preserve">High</t>
  </si>
  <si>
    <t xml:space="preserve">Very high</t>
  </si>
  <si>
    <t xml:space="preserve">Water_regime</t>
  </si>
  <si>
    <t xml:space="preserve">Residue_ratio_factor</t>
  </si>
  <si>
    <t xml:space="preserve">RS_ratio_factor</t>
  </si>
  <si>
    <t xml:space="preserve">Irrigated</t>
  </si>
  <si>
    <t xml:space="preserve">Sadras 2007; Zhang et al. 2019</t>
  </si>
  <si>
    <t xml:space="preserve">Rainfed</t>
  </si>
  <si>
    <t xml:space="preserve">Reference</t>
  </si>
  <si>
    <t xml:space="preserve">Mixed</t>
  </si>
  <si>
    <t xml:space="preserve">Intermediate assumption</t>
  </si>
  <si>
    <t xml:space="preserve">IPCC 2006 Tab.11.2 (wheat proxy)</t>
  </si>
  <si>
    <t xml:space="preserve">IPCC 2006 Tab.11.2 (dry bean proxy)</t>
  </si>
  <si>
    <t xml:space="preserve">Bolinder 2007; dry bean proxy</t>
  </si>
  <si>
    <t xml:space="preserve">IPCC 2006 Tab.11.2 (rapeseed proxy)</t>
  </si>
  <si>
    <t xml:space="preserve">IPCC 2006 Tab.11.2 (tuber proxy)</t>
  </si>
  <si>
    <t xml:space="preserve">IPCC 2006 Tab.11.2 (cotton proxy)</t>
  </si>
  <si>
    <t xml:space="preserve">IPCC 2006 Ch.11 analogy</t>
  </si>
  <si>
    <t xml:space="preserve">IPCC 2006 analogy (tuber proxy)</t>
  </si>
  <si>
    <t xml:space="preserve">IPCC 2006 (wheat proxy)</t>
  </si>
  <si>
    <t xml:space="preserve">IPCC 2006 (dry bean proxy)</t>
  </si>
  <si>
    <t xml:space="preserve">IPCC 2006 (rapeseed proxy)</t>
  </si>
  <si>
    <t xml:space="preserve">IPCC 2006 (tuber proxy)</t>
  </si>
  <si>
    <t xml:space="preserve">IPCC 2006 (cotton proxy)</t>
  </si>
  <si>
    <t xml:space="preserve">Model</t>
  </si>
  <si>
    <t xml:space="preserve">Component</t>
  </si>
  <si>
    <t xml:space="preserve">Parameter</t>
  </si>
  <si>
    <t xml:space="preserve">Value</t>
  </si>
  <si>
    <t xml:space="preserve">Unit</t>
  </si>
  <si>
    <t xml:space="preserve">Formula_role</t>
  </si>
  <si>
    <t xml:space="preserve">Climate_var</t>
  </si>
  <si>
    <t xml:space="preserve">Miami</t>
  </si>
  <si>
    <t xml:space="preserve">F_MAT</t>
  </si>
  <si>
    <t xml:space="preserve">Max_gCm2yr</t>
  </si>
  <si>
    <t xml:space="preserve">g C/m2/yr</t>
  </si>
  <si>
    <t xml:space="preserve">Max/(1+exp(Midpoint-Rate*T))</t>
  </si>
  <si>
    <t xml:space="preserve">Temperature</t>
  </si>
  <si>
    <t xml:space="preserve">Lieth (1975) Modeling Primary Productivity of the World</t>
  </si>
  <si>
    <t xml:space="preserve">Midpoint</t>
  </si>
  <si>
    <t xml:space="preserve">dimensionless</t>
  </si>
  <si>
    <t xml:space="preserve">logistic midpoint</t>
  </si>
  <si>
    <t xml:space="preserve">F_MAP</t>
  </si>
  <si>
    <t xml:space="preserve">g DM/m2/yr</t>
  </si>
  <si>
    <t xml:space="preserve">Max*(1-exp(-Rate*P))</t>
  </si>
  <si>
    <t xml:space="preserve">Precipitation</t>
  </si>
  <si>
    <t xml:space="preserve">Rate</t>
  </si>
  <si>
    <t xml:space="preserve">1/mm</t>
  </si>
  <si>
    <t xml:space="preserve">exponential rate</t>
  </si>
  <si>
    <t xml:space="preserve">NCEAS_tree_TNPP</t>
  </si>
  <si>
    <t xml:space="preserve">Coefficient</t>
  </si>
  <si>
    <t xml:space="preserve">Coef*P^Exp/exp(Div*P)</t>
  </si>
  <si>
    <t xml:space="preserve">Del Grosso et al. (2008) Ecology 89:2117-2126, Table 1</t>
  </si>
  <si>
    <t xml:space="preserve">Exponent</t>
  </si>
  <si>
    <t xml:space="preserve">power law exponent</t>
  </si>
  <si>
    <t xml:space="preserve">Exp_divisor</t>
  </si>
  <si>
    <t xml:space="preserve">exponential divisor</t>
  </si>
  <si>
    <t xml:space="preserve">Max/(1+exp(Mid-Rate*T))</t>
  </si>
  <si>
    <t xml:space="preserve">1/degC</t>
  </si>
  <si>
    <t xml:space="preserve">temperature rate</t>
  </si>
  <si>
    <t xml:space="preserve">NCEAS_tree_ANPP</t>
  </si>
  <si>
    <t xml:space="preserve">NCEAS_nontree_TNPP</t>
  </si>
  <si>
    <t xml:space="preserve">Saturating</t>
  </si>
  <si>
    <t xml:space="preserve">Del Grosso et al. (2008) Ecology 89:2117-2126, Table 2</t>
  </si>
  <si>
    <t xml:space="preserve">NCEAS_nontree_ANPP</t>
  </si>
  <si>
    <t xml:space="preserve">Rosenzweig</t>
  </si>
  <si>
    <t xml:space="preserve">Log_linear</t>
  </si>
  <si>
    <t xml:space="preserve">Slope</t>
  </si>
  <si>
    <t xml:space="preserve">log10(NPP)=Slope*log10(AET)+Intercept</t>
  </si>
  <si>
    <t xml:space="preserve">AET</t>
  </si>
  <si>
    <t xml:space="preserve">Rosenzweig (1968) Am Nat 102:67-74</t>
  </si>
  <si>
    <t xml:space="preserve">Intercept</t>
  </si>
  <si>
    <t xml:space="preserve">temperature sensitivity</t>
  </si>
  <si>
    <t xml:space="preserve">crop_group</t>
  </si>
  <si>
    <t xml:space="preserve">Sorghum_millet</t>
  </si>
  <si>
    <t xml:space="preserve">Legumes</t>
  </si>
  <si>
    <t xml:space="preserve">Oilseeds</t>
  </si>
  <si>
    <t xml:space="preserve">Other</t>
  </si>
  <si>
    <t xml:space="preserve">Root_tuber</t>
  </si>
  <si>
    <t xml:space="preserve">HI_traditional</t>
  </si>
  <si>
    <t xml:space="preserve">HI_modern</t>
  </si>
  <si>
    <t xml:space="preserve">HI_gap_factor</t>
  </si>
  <si>
    <t xml:space="preserve">Austin et al. 1980; Hay 1995; Unkovich et al. 2010</t>
  </si>
  <si>
    <t xml:space="preserve">Khush 2001; Hay 1995</t>
  </si>
  <si>
    <t xml:space="preserve">Lorenz et al. 2010; Hay 1995</t>
  </si>
  <si>
    <t xml:space="preserve">Hay 1995; Unkovich et al. 2010</t>
  </si>
  <si>
    <t xml:space="preserve">Unkovich et al. 2010; Hay 1995</t>
  </si>
  <si>
    <t xml:space="preserve">Hay 1995; CIP estimates</t>
  </si>
  <si>
    <t xml:space="preserve">Sinclair 1998; Hay 1995</t>
  </si>
  <si>
    <t xml:space="preserve">General estimate, mixed crop types</t>
  </si>
  <si>
    <t xml:space="preserve">RS_N_sensitivity</t>
  </si>
  <si>
    <t xml:space="preserve">Reference; Poorter &amp; Nagel 2000</t>
  </si>
  <si>
    <t xml:space="preserve">Reduced; flooded soils limit root N-response; Peng &amp; Ismail 2004</t>
  </si>
  <si>
    <t xml:space="preserve">Slightly enhanced; Anderson 1988; deep rooting responsive to N</t>
  </si>
  <si>
    <t xml:space="preserve">Slightly reduced; drought-adapted roots less plastic; Blum 2005</t>
  </si>
  <si>
    <t xml:space="preserve">Low; BNF makes roots less N-responsive; Unkovich et al. 2010</t>
  </si>
  <si>
    <t xml:space="preserve">Moderate; storage roots less affected; Iwama 2008</t>
  </si>
  <si>
    <t xml:space="preserve">Moderate; similar to cereals; Gan et al. 2009</t>
  </si>
  <si>
    <t xml:space="preserve">General estimate for mixed crop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</si>
</sst>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7" formatCode="0.000"/>
  </numFmts>
  <fonts count="13">
    <font>
      <sz val="11"/>
      <color theme="1"/>
      <name val="Calibri"/>
      <family val="2"/>
      <scheme val="minor"/>
    </font>
    <font>
      <sz val="10"/>
      <color theme="1"/>
      <name val="Arial"/>
    </font>
    <font>
      <sz val="11"/>
      <color theme="1"/>
      <name val="Calibri"/>
    </font>
    <font>
      <sz val="10"/>
      <color rgb="FFFF0000"/>
      <name val="Arial"/>
    </font>
    <font>
      <sz val="10"/>
      <color rgb="FF000000"/>
      <name val="Arial"/>
    </font>
    <font>
      <sz val="10"/>
      <color theme="1"/>
      <name val="Arial"/>
      <b/>
    </font>
    <font>
      <sz val="10"/>
      <color rgb="FFFF0000"/>
      <name val="Arial"/>
      <b/>
    </font>
    <font>
      <sz val="11"/>
      <color rgb="FFFF0000"/>
      <name val="Calibri"/>
    </font>
    <font>
      <sz val="10"/>
      <color theme="1"/>
      <name val="Arial"/>
      <i/>
    </font>
    <font>
      <sz val="11"/>
      <color theme="1"/>
      <name val="Calibri"/>
      <b/>
    </font>
    <font>
      <sz val="11"/>
      <color theme="1"/>
      <name val="Arial"/>
      <b/>
    </font>
    <font>
      <sz val="10"/>
      <color rgb="FF000000"/>
      <name val="Arial"/>
      <b/>
    </font>
    <font>
      <sz val="11"/>
      <color indexed="8"/>
      <name val="Calibri"/>
    </font>
  </fonts>
  <fills count="22">
    <fill>
      <patternFill patternType="none"/>
    </fill>
    <fill>
      <patternFill patternType="gray125"/>
    </fill>
    <fill>
      <patternFill patternType="solid">
        <fgColor theme="0" tint="-4.9989318521683403E-2"/>
        <bgColor rgb="FF000000"/>
      </patternFill>
    </fill>
    <fill>
      <patternFill patternType="solid">
        <fgColor rgb="FFF2F2F2"/>
        <bgColor rgb="FF000000"/>
      </patternFill>
    </fill>
    <fill>
      <patternFill patternType="solid">
        <fgColor rgb="FFFFFF00"/>
        <bgColor rgb="FF000000"/>
      </patternFill>
    </fill>
    <fill>
      <patternFill patternType="solid">
        <fgColor rgb="FFFFFF00"/>
        <bgColor indexed="64"/>
      </patternFill>
    </fill>
    <fill>
      <patternFill patternType="solid">
        <fgColor rgb="FFD9D9D9"/>
        <bgColor rgb="FF000000"/>
      </patternFill>
    </fill>
    <fill>
      <patternFill patternType="solid">
        <fgColor rgb="FFBFBFBF"/>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F4B084"/>
        <bgColor rgb="FFF4B084"/>
      </patternFill>
    </fill>
    <fill>
      <patternFill patternType="solid">
        <fgColor rgb="FFEEECE1"/>
        <bgColor rgb="FF000000"/>
      </patternFill>
    </fill>
    <fill>
      <patternFill patternType="solid">
        <fgColor rgb="FFFFC000"/>
        <bgColor rgb="FF000000"/>
      </patternFill>
    </fill>
    <fill>
      <patternFill patternType="solid">
        <fgColor rgb="FFF2DCDB"/>
        <bgColor rgb="FF000000"/>
      </patternFill>
    </fill>
    <fill>
      <patternFill patternType="solid">
        <fgColor theme="7" tint="0.39997558519241921"/>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indexed="64"/>
      </patternFill>
    </fill>
    <fill>
      <patternFill patternType="solid">
        <fgColor theme="2"/>
        <bgColor indexed="64"/>
      </patternFill>
    </fill>
    <fill>
      <patternFill patternType="solid">
        <fgColor rgb="FFEE00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243">
    <xf numFmtId="0" fontId="0" fillId="0" borderId="0" xfId="0"/>
    <xf numFmtId="0" fontId="1" fillId="0" borderId="0" xfId="0" applyFont="1"/>
    <xf numFmtId="164" fontId="1" fillId="0" borderId="0" xfId="0" applyFont="1" applyNumberFormat="1"/>
    <xf numFmtId="9" fontId="2" fillId="0" borderId="0" xfId="0" applyFont="1" applyNumberFormat="1" applyAlignment="1">
      <alignment horizontal="left"/>
    </xf>
    <xf numFmtId="2" fontId="3" fillId="2" borderId="0" xfId="0" applyFont="1" applyNumberFormat="1" applyFill="1" applyAlignment="1">
      <alignment horizontal="left"/>
    </xf>
    <xf numFmtId="0" fontId="3" fillId="0" borderId="0" xfId="0" applyFont="1" applyAlignment="1">
      <alignment horizontal="left"/>
    </xf>
    <xf numFmtId="164" fontId="4" fillId="3" borderId="0" xfId="0" applyFont="1" applyNumberFormat="1" applyFill="1"/>
    <xf numFmtId="0" fontId="1" fillId="4" borderId="0" xfId="0" applyFont="1" applyFill="1" applyAlignment="1">
      <alignment horizontal="left"/>
    </xf>
    <xf numFmtId="0" fontId="1" fillId="2" borderId="0" xfId="0" applyFont="1" applyFill="1" applyAlignment="1">
      <alignment horizontal="left"/>
    </xf>
    <xf numFmtId="3" fontId="5" fillId="0" borderId="0" xfId="0" applyFont="1" applyNumberFormat="1" applyAlignment="1">
      <alignment vertical="center" wrapText="1"/>
    </xf>
    <xf numFmtId="165" fontId="6" fillId="5" borderId="0" xfId="0" applyFont="1" applyNumberFormat="1" applyFill="1" applyAlignment="1">
      <alignment horizontal="left"/>
    </xf>
    <xf numFmtId="164" fontId="5" fillId="6" borderId="0" xfId="0" applyFont="1" applyNumberFormat="1" applyFill="1" applyAlignment="1">
      <alignment horizontal="left"/>
    </xf>
    <xf numFmtId="164" fontId="5" fillId="7" borderId="0" xfId="0" applyFont="1" applyNumberFormat="1" applyFill="1" applyAlignment="1">
      <alignment horizontal="left"/>
    </xf>
    <xf numFmtId="2" fontId="5" fillId="0" borderId="0" xfId="0" applyFont="1" applyNumberFormat="1" applyAlignment="1">
      <alignment horizontal="left"/>
    </xf>
    <xf numFmtId="0" fontId="5" fillId="0" borderId="0" xfId="0" applyFont="1" applyAlignment="1">
      <alignment vertical="center" wrapText="1"/>
    </xf>
    <xf numFmtId="10" fontId="3" fillId="3" borderId="0" xfId="0" applyFont="1" applyNumberFormat="1" applyFill="1" applyAlignment="1">
      <alignment horizontal="left"/>
    </xf>
    <xf numFmtId="164" fontId="1" fillId="3" borderId="0" xfId="0" applyFont="1" applyNumberFormat="1" applyFill="1"/>
    <xf numFmtId="165" fontId="4" fillId="3" borderId="0" xfId="0" applyFont="1" applyNumberFormat="1" applyFill="1" applyAlignment="1">
      <alignment horizontal="left"/>
    </xf>
    <xf numFmtId="165" fontId="5" fillId="3" borderId="0" xfId="0" applyFont="1" applyNumberFormat="1" applyFill="1" applyAlignment="1">
      <alignment horizontal="left"/>
    </xf>
    <xf numFmtId="165" fontId="4" fillId="0" borderId="0" xfId="0" applyFont="1" applyNumberFormat="1"/>
    <xf numFmtId="1" fontId="5" fillId="0" borderId="0" xfId="0" applyFont="1" applyNumberFormat="1" applyAlignment="1">
      <alignment vertical="center" wrapText="1"/>
    </xf>
    <xf numFmtId="1" fontId="1" fillId="3" borderId="0" xfId="0" applyFont="1" applyNumberFormat="1" applyFill="1" applyAlignment="1">
      <alignment horizontal="left"/>
    </xf>
    <xf numFmtId="9" fontId="1" fillId="8" borderId="0" xfId="0" applyFont="1" applyNumberFormat="1" applyFill="1" applyAlignment="1">
      <alignment horizontal="left"/>
    </xf>
    <xf numFmtId="1" fontId="3" fillId="4" borderId="0" xfId="0" applyFont="1" applyNumberFormat="1" applyFill="1" applyAlignment="1">
      <alignment horizontal="left"/>
    </xf>
    <xf numFmtId="165" fontId="5" fillId="0" borderId="0" xfId="0" applyFont="1" applyNumberFormat="1" applyAlignment="1">
      <alignment horizontal="left"/>
    </xf>
    <xf numFmtId="1" fontId="5" fillId="6" borderId="0" xfId="0" applyFont="1" applyNumberFormat="1" applyFill="1" applyAlignment="1">
      <alignment horizontal="left"/>
    </xf>
    <xf numFmtId="1" fontId="5" fillId="3" borderId="0" xfId="0" applyFont="1" applyNumberFormat="1" applyFill="1" applyAlignment="1">
      <alignment horizontal="left"/>
    </xf>
    <xf numFmtId="1" fontId="5" fillId="0" borderId="0" xfId="0" applyFont="1" applyNumberFormat="1" applyAlignment="1">
      <alignment horizontal="left"/>
    </xf>
    <xf numFmtId="1" fontId="4" fillId="3" borderId="0" xfId="0" applyFont="1" applyNumberFormat="1" applyFill="1" applyAlignment="1">
      <alignment horizontal="left"/>
    </xf>
    <xf numFmtId="2" fontId="5" fillId="0" borderId="0" xfId="0" applyFont="1" applyNumberFormat="1" applyAlignment="1">
      <alignment vertical="center" wrapText="1"/>
    </xf>
    <xf numFmtId="1" fontId="4" fillId="0" borderId="0" xfId="0" applyFont="1" applyNumberFormat="1"/>
    <xf numFmtId="10" fontId="5" fillId="0" borderId="0" xfId="0" applyFont="1" applyNumberFormat="1" applyAlignment="1">
      <alignment horizontal="left"/>
    </xf>
    <xf numFmtId="10" fontId="5" fillId="0" borderId="0" xfId="0" applyFont="1" applyNumberFormat="1" applyAlignment="1">
      <alignment vertical="center" wrapText="1"/>
    </xf>
    <xf numFmtId="10" fontId="3" fillId="4" borderId="0" xfId="0" applyFont="1" applyNumberFormat="1" applyFill="1" applyAlignment="1">
      <alignment horizontal="left"/>
    </xf>
    <xf numFmtId="10" fontId="5" fillId="6" borderId="0" xfId="0" applyFont="1" applyNumberFormat="1" applyFill="1" applyAlignment="1">
      <alignment horizontal="left"/>
    </xf>
    <xf numFmtId="164" fontId="1" fillId="9" borderId="0" xfId="0" applyFont="1" applyNumberFormat="1" applyFill="1" applyAlignment="1">
      <alignment horizontal="left"/>
    </xf>
    <xf numFmtId="10" fontId="5" fillId="2" borderId="0" xfId="0" applyFont="1" applyNumberFormat="1" applyFill="1" applyAlignment="1">
      <alignment horizontal="left"/>
    </xf>
    <xf numFmtId="10" fontId="1" fillId="0" borderId="0" xfId="0" applyFont="1" applyNumberFormat="1" applyAlignment="1">
      <alignment horizontal="left"/>
    </xf>
    <xf numFmtId="10" fontId="5" fillId="3" borderId="0" xfId="0" applyFont="1" applyNumberFormat="1" applyFill="1" applyAlignment="1">
      <alignment horizontal="left"/>
    </xf>
    <xf numFmtId="164" fontId="4" fillId="3" borderId="0" xfId="0" applyFont="1" applyNumberFormat="1" applyFill="1" applyAlignment="1">
      <alignment horizontal="left"/>
    </xf>
    <xf numFmtId="10" fontId="2" fillId="0" borderId="0" xfId="0" applyFont="1" applyNumberFormat="1"/>
    <xf numFmtId="10" fontId="4" fillId="3" borderId="0" xfId="0" applyFont="1" applyNumberFormat="1" applyFill="1" applyAlignment="1">
      <alignment horizontal="left"/>
    </xf>
    <xf numFmtId="10" fontId="4" fillId="0" borderId="0" xfId="0" applyFont="1" applyNumberFormat="1"/>
    <xf numFmtId="164" fontId="5" fillId="0" borderId="0" xfId="0" applyFont="1" applyNumberFormat="1" applyAlignment="1">
      <alignment vertical="center" wrapText="1"/>
    </xf>
    <xf numFmtId="0" fontId="1" fillId="3" borderId="0" xfId="0" applyFont="1" applyFill="1" applyAlignment="1">
      <alignment horizontal="left"/>
    </xf>
    <xf numFmtId="10" fontId="1" fillId="2" borderId="0" xfId="0" applyFont="1" applyNumberFormat="1" applyFill="1" applyAlignment="1">
      <alignment horizontal="left"/>
    </xf>
    <xf numFmtId="9" fontId="5" fillId="0" borderId="0" xfId="0" applyFont="1" applyNumberFormat="1" applyAlignment="1">
      <alignment horizontal="left"/>
    </xf>
    <xf numFmtId="165" fontId="1" fillId="2" borderId="0" xfId="0" applyFont="1" applyNumberFormat="1" applyFill="1" applyAlignment="1">
      <alignment horizontal="left"/>
    </xf>
    <xf numFmtId="1" fontId="1" fillId="2" borderId="0" xfId="0" applyFont="1" applyNumberFormat="1" applyFill="1" applyAlignment="1">
      <alignment horizontal="left"/>
    </xf>
    <xf numFmtId="10" fontId="1" fillId="9" borderId="0" xfId="0" applyFont="1" applyNumberFormat="1" applyFill="1" applyAlignment="1">
      <alignment horizontal="left"/>
    </xf>
    <xf numFmtId="164" fontId="6" fillId="0" borderId="0" xfId="0" applyFont="1" applyNumberFormat="1" applyAlignment="1">
      <alignment horizontal="left"/>
    </xf>
    <xf numFmtId="2" fontId="1" fillId="9" borderId="0" xfId="0" applyFont="1" applyNumberFormat="1" applyFill="1" applyAlignment="1">
      <alignment horizontal="left"/>
    </xf>
    <xf numFmtId="9" fontId="7" fillId="0" borderId="0" xfId="0" applyFont="1" applyNumberFormat="1"/>
    <xf numFmtId="0" fontId="4" fillId="8" borderId="0" xfId="0" applyFont="1" applyFill="1" applyAlignment="1">
      <alignment horizontal="left"/>
    </xf>
    <xf numFmtId="0" fontId="5" fillId="3" borderId="0" xfId="0" applyFont="1" applyFill="1"/>
    <xf numFmtId="0" fontId="8" fillId="2" borderId="0" xfId="0" applyFont="1" applyFill="1" applyAlignment="1">
      <alignment horizontal="left"/>
    </xf>
    <xf numFmtId="3" fontId="1" fillId="2" borderId="0" xfId="0" applyFont="1" applyNumberFormat="1" applyFill="1" applyAlignment="1">
      <alignment horizontal="left"/>
    </xf>
    <xf numFmtId="3" fontId="3" fillId="8" borderId="0" xfId="0" applyFont="1" applyNumberFormat="1" applyFill="1" applyAlignment="1">
      <alignment horizontal="left"/>
    </xf>
    <xf numFmtId="165" fontId="5" fillId="0" borderId="0" xfId="0" applyFont="1" applyNumberFormat="1" applyAlignment="1">
      <alignment vertical="center" wrapText="1"/>
    </xf>
    <xf numFmtId="9" fontId="3" fillId="2" borderId="0" xfId="0" applyFont="1" applyNumberFormat="1" applyFill="1" applyAlignment="1">
      <alignment horizontal="left"/>
    </xf>
    <xf numFmtId="165" fontId="3" fillId="2" borderId="0" xfId="0" applyFont="1" applyNumberFormat="1" applyFill="1" applyAlignment="1">
      <alignment horizontal="left"/>
    </xf>
    <xf numFmtId="1" fontId="3" fillId="2" borderId="0" xfId="0" applyFont="1" applyNumberFormat="1" applyFill="1" applyAlignment="1">
      <alignment horizontal="left"/>
    </xf>
    <xf numFmtId="9" fontId="9" fillId="0" borderId="0" xfId="0" applyFont="1" applyNumberFormat="1"/>
    <xf numFmtId="2" fontId="3" fillId="9" borderId="0" xfId="0" applyFont="1" applyNumberFormat="1" applyFill="1" applyAlignment="1">
      <alignment horizontal="left"/>
    </xf>
    <xf numFmtId="9" fontId="4" fillId="0" borderId="0" xfId="0" applyFont="1" applyNumberFormat="1"/>
    <xf numFmtId="9" fontId="3" fillId="8" borderId="0" xfId="0" applyFont="1" applyNumberFormat="1" applyFill="1" applyAlignment="1">
      <alignment horizontal="left"/>
    </xf>
    <xf numFmtId="164" fontId="3" fillId="8" borderId="0" xfId="0" applyFont="1" applyNumberFormat="1" applyFill="1" applyAlignment="1">
      <alignment horizontal="left"/>
    </xf>
    <xf numFmtId="164" fontId="1" fillId="8" borderId="0" xfId="0" applyFont="1" applyNumberFormat="1" applyFill="1" applyAlignment="1">
      <alignment horizontal="left"/>
    </xf>
    <xf numFmtId="3" fontId="5" fillId="0" borderId="0" xfId="0" applyFont="1" applyNumberFormat="1" applyAlignment="1">
      <alignment horizontal="left"/>
    </xf>
    <xf numFmtId="10" fontId="5" fillId="7" borderId="0" xfId="0" applyFont="1" applyNumberFormat="1" applyFill="1" applyAlignment="1">
      <alignment horizontal="left"/>
    </xf>
    <xf numFmtId="0" fontId="5" fillId="0" borderId="0" xfId="0" applyFont="1" applyAlignment="1">
      <alignment horizontal="left"/>
    </xf>
    <xf numFmtId="10" fontId="1" fillId="8" borderId="0" xfId="0" applyFont="1" applyNumberFormat="1" applyFill="1" applyAlignment="1">
      <alignment horizontal="left"/>
    </xf>
    <xf numFmtId="9" fontId="4" fillId="10" borderId="0" xfId="0" applyFont="1" applyNumberFormat="1" applyFill="1" applyAlignment="1">
      <alignment horizontal="right"/>
    </xf>
    <xf numFmtId="0" fontId="5" fillId="3" borderId="0" xfId="0" applyFont="1" applyFill="1" applyAlignment="1">
      <alignment horizontal="left"/>
    </xf>
    <xf numFmtId="9" fontId="5" fillId="0" borderId="0" xfId="0" applyFont="1" applyNumberFormat="1" applyAlignment="1">
      <alignment vertical="center" wrapText="1"/>
    </xf>
    <xf numFmtId="1" fontId="1" fillId="0" borderId="0" xfId="0" applyFont="1" applyNumberFormat="1" applyAlignment="1">
      <alignment horizontal="left"/>
    </xf>
    <xf numFmtId="9" fontId="4" fillId="11" borderId="0" xfId="0" applyFont="1" applyNumberFormat="1" applyFill="1" applyAlignment="1">
      <alignment horizontal="left"/>
    </xf>
    <xf numFmtId="0" fontId="10" fillId="0" borderId="0" xfId="0" applyFont="1" applyAlignment="1">
      <alignment wrapText="1"/>
    </xf>
    <xf numFmtId="0" fontId="10" fillId="0" borderId="0" xfId="0" applyFont="1" applyAlignment="1">
      <alignment horizontal="center" vertical="center" wrapText="1"/>
    </xf>
    <xf numFmtId="3" fontId="11" fillId="0" borderId="0" xfId="0" applyFont="1" applyNumberFormat="1" applyAlignment="1">
      <alignment horizontal="left"/>
    </xf>
    <xf numFmtId="0" fontId="7" fillId="5" borderId="0" xfId="0" applyFont="1" applyFill="1"/>
    <xf numFmtId="0" fontId="5" fillId="0" borderId="0" xfId="0" applyFont="1"/>
    <xf numFmtId="165" fontId="7" fillId="5" borderId="0" xfId="0" applyFont="1" applyNumberFormat="1" applyFill="1"/>
    <xf numFmtId="0" fontId="2" fillId="5" borderId="0" xfId="0" applyFont="1" applyFill="1"/>
    <xf numFmtId="0" fontId="1" fillId="0" borderId="0" xfId="0" applyFont="1" applyAlignment="1">
      <alignment horizontal="left"/>
    </xf>
    <xf numFmtId="10" fontId="7" fillId="0" borderId="0" xfId="0" applyFont="1" applyNumberFormat="1"/>
    <xf numFmtId="0" fontId="4" fillId="3" borderId="0" xfId="0" applyFont="1" applyFill="1" applyAlignment="1">
      <alignment horizontal="left"/>
    </xf>
    <xf numFmtId="9" fontId="3" fillId="3" borderId="0" xfId="0" applyFont="1" applyNumberFormat="1" applyFill="1" applyAlignment="1">
      <alignment horizontal="left"/>
    </xf>
    <xf numFmtId="3" fontId="4" fillId="11" borderId="0" xfId="0" applyFont="1" applyNumberFormat="1" applyFill="1" applyAlignment="1">
      <alignment horizontal="left"/>
    </xf>
    <xf numFmtId="9" fontId="1" fillId="3" borderId="0" xfId="0" applyFont="1" applyNumberFormat="1" applyFill="1" applyAlignment="1">
      <alignment horizontal="left"/>
    </xf>
    <xf numFmtId="3" fontId="5" fillId="11" borderId="0" xfId="0" applyFont="1" applyNumberFormat="1" applyFill="1" applyAlignment="1">
      <alignment horizontal="left"/>
    </xf>
    <xf numFmtId="3" fontId="1" fillId="11" borderId="0" xfId="0" applyFont="1" applyNumberFormat="1" applyFill="1" applyAlignment="1">
      <alignment horizontal="left"/>
    </xf>
    <xf numFmtId="164" fontId="5" fillId="0" borderId="0" xfId="0" applyFont="1" applyNumberFormat="1"/>
    <xf numFmtId="9" fontId="6" fillId="0" borderId="0" xfId="0" applyFont="1" applyNumberFormat="1" applyAlignment="1">
      <alignment horizontal="left"/>
    </xf>
    <xf numFmtId="2" fontId="1" fillId="3" borderId="0" xfId="0" applyFont="1" applyNumberFormat="1" applyFill="1" applyAlignment="1">
      <alignment horizontal="left"/>
    </xf>
    <xf numFmtId="0" fontId="3" fillId="3" borderId="0" xfId="0" applyFont="1" applyFill="1" applyAlignment="1">
      <alignment horizontal="left"/>
    </xf>
    <xf numFmtId="165" fontId="1" fillId="12" borderId="0" xfId="0" applyFont="1" applyNumberFormat="1" applyFill="1" applyAlignment="1">
      <alignment horizontal="left"/>
    </xf>
    <xf numFmtId="2" fontId="3" fillId="8" borderId="0" xfId="0" applyFont="1" applyNumberFormat="1" applyFill="1" applyAlignment="1">
      <alignment horizontal="left"/>
    </xf>
    <xf numFmtId="0" fontId="1" fillId="12" borderId="0" xfId="0" applyFont="1" applyFill="1" applyAlignment="1">
      <alignment horizontal="left"/>
    </xf>
    <xf numFmtId="9" fontId="1" fillId="12" borderId="0" xfId="0" applyFont="1" applyNumberFormat="1" applyFill="1" applyAlignment="1">
      <alignment horizontal="left"/>
    </xf>
    <xf numFmtId="10" fontId="3" fillId="8" borderId="0" xfId="0" applyFont="1" applyNumberFormat="1" applyFill="1" applyAlignment="1">
      <alignment horizontal="left"/>
    </xf>
    <xf numFmtId="2" fontId="1" fillId="12" borderId="0" xfId="0" applyFont="1" applyNumberFormat="1" applyFill="1" applyAlignment="1">
      <alignment horizontal="left"/>
    </xf>
    <xf numFmtId="3" fontId="1" fillId="12" borderId="0" xfId="0" applyFont="1" applyNumberFormat="1" applyFill="1" applyAlignment="1">
      <alignment horizontal="left"/>
    </xf>
    <xf numFmtId="2" fontId="3" fillId="3" borderId="0" xfId="0" applyFont="1" applyNumberFormat="1" applyFill="1" applyAlignment="1">
      <alignment horizontal="left"/>
    </xf>
    <xf numFmtId="2" fontId="1" fillId="0" borderId="0" xfId="0" applyFont="1" applyNumberFormat="1" applyAlignment="1">
      <alignment horizontal="left"/>
    </xf>
    <xf numFmtId="165" fontId="6" fillId="3" borderId="0" xfId="0" applyFont="1" applyNumberFormat="1" applyFill="1" applyAlignment="1">
      <alignment horizontal="left"/>
    </xf>
    <xf numFmtId="164" fontId="6" fillId="8" borderId="0" xfId="0" applyFont="1" applyNumberFormat="1" applyFill="1" applyAlignment="1">
      <alignment horizontal="left"/>
    </xf>
    <xf numFmtId="164" fontId="3" fillId="4" borderId="0" xfId="0" applyFont="1" applyNumberFormat="1" applyFill="1" applyAlignment="1">
      <alignment horizontal="left"/>
    </xf>
    <xf numFmtId="9" fontId="6" fillId="3" borderId="0" xfId="0" applyFont="1" applyNumberFormat="1" applyFill="1" applyAlignment="1">
      <alignment horizontal="left"/>
    </xf>
    <xf numFmtId="165" fontId="5" fillId="7" borderId="0" xfId="0" applyFont="1" applyNumberFormat="1" applyFill="1" applyAlignment="1">
      <alignment horizontal="left"/>
    </xf>
    <xf numFmtId="2" fontId="1" fillId="8" borderId="0" xfId="0" applyFont="1" applyNumberFormat="1" applyFill="1" applyAlignment="1">
      <alignment horizontal="left"/>
    </xf>
    <xf numFmtId="2" fontId="5" fillId="3" borderId="0" xfId="0" applyFont="1" applyNumberFormat="1" applyFill="1" applyAlignment="1">
      <alignment horizontal="left"/>
    </xf>
    <xf numFmtId="0" fontId="5" fillId="7" borderId="0" xfId="0" applyFont="1" applyFill="1" applyAlignment="1">
      <alignment horizontal="left"/>
    </xf>
    <xf numFmtId="9" fontId="5" fillId="7" borderId="0" xfId="0" applyFont="1" applyNumberFormat="1" applyFill="1" applyAlignment="1">
      <alignment horizontal="left"/>
    </xf>
    <xf numFmtId="2" fontId="5" fillId="7" borderId="0" xfId="0" applyFont="1" applyNumberFormat="1" applyFill="1" applyAlignment="1">
      <alignment horizontal="left"/>
    </xf>
    <xf numFmtId="3" fontId="5" fillId="7" borderId="0" xfId="0" applyFont="1" applyNumberFormat="1" applyFill="1" applyAlignment="1">
      <alignment horizontal="left"/>
    </xf>
    <xf numFmtId="165" fontId="5" fillId="6" borderId="0" xfId="0" applyFont="1" applyNumberFormat="1" applyFill="1" applyAlignment="1">
      <alignment horizontal="left"/>
    </xf>
    <xf numFmtId="0" fontId="5" fillId="6" borderId="0" xfId="0" applyFont="1" applyFill="1" applyAlignment="1">
      <alignment horizontal="left"/>
    </xf>
    <xf numFmtId="1" fontId="5" fillId="9" borderId="0" xfId="0" applyFont="1" applyNumberFormat="1" applyFill="1" applyAlignment="1">
      <alignment horizontal="left"/>
    </xf>
    <xf numFmtId="165" fontId="1" fillId="0" borderId="0" xfId="0" applyFont="1" applyNumberFormat="1" applyAlignment="1">
      <alignment horizontal="left"/>
    </xf>
    <xf numFmtId="9" fontId="5" fillId="6" borderId="0" xfId="0" applyFont="1" applyNumberFormat="1" applyFill="1" applyAlignment="1">
      <alignment horizontal="left"/>
    </xf>
    <xf numFmtId="164" fontId="3" fillId="3" borderId="0" xfId="0" applyFont="1" applyNumberFormat="1" applyFill="1" applyAlignment="1">
      <alignment horizontal="left"/>
    </xf>
    <xf numFmtId="9" fontId="5" fillId="3" borderId="0" xfId="0" applyFont="1" applyNumberFormat="1" applyFill="1" applyAlignment="1">
      <alignment horizontal="left"/>
    </xf>
    <xf numFmtId="2" fontId="5" fillId="6" borderId="0" xfId="0" applyFont="1" applyNumberFormat="1" applyFill="1" applyAlignment="1">
      <alignment horizontal="left"/>
    </xf>
    <xf numFmtId="10" fontId="5" fillId="8" borderId="0" xfId="0" applyFont="1" applyNumberFormat="1" applyFill="1" applyAlignment="1">
      <alignment horizontal="left"/>
    </xf>
    <xf numFmtId="3" fontId="5" fillId="6" borderId="0" xfId="0" applyFont="1" applyNumberFormat="1" applyFill="1" applyAlignment="1">
      <alignment horizontal="left"/>
    </xf>
    <xf numFmtId="164" fontId="3" fillId="13" borderId="0" xfId="0" applyFont="1" applyNumberFormat="1" applyFill="1" applyAlignment="1">
      <alignment horizontal="left"/>
    </xf>
    <xf numFmtId="164" fontId="6" fillId="3" borderId="0" xfId="0" applyFont="1" applyNumberFormat="1" applyFill="1" applyAlignment="1">
      <alignment horizontal="left"/>
    </xf>
    <xf numFmtId="164" fontId="6" fillId="4" borderId="0" xfId="0" applyFont="1" applyNumberFormat="1" applyFill="1" applyAlignment="1">
      <alignment horizontal="left"/>
    </xf>
    <xf numFmtId="0" fontId="6" fillId="3" borderId="0" xfId="0" applyFont="1" applyFill="1" applyAlignment="1">
      <alignment horizontal="left"/>
    </xf>
    <xf numFmtId="10" fontId="1" fillId="3" borderId="0" xfId="0" applyFont="1" applyNumberFormat="1" applyFill="1" applyAlignment="1">
      <alignment horizontal="left"/>
    </xf>
    <xf numFmtId="3" fontId="3" fillId="3" borderId="0" xfId="0" applyFont="1" applyNumberFormat="1" applyFill="1" applyAlignment="1">
      <alignment horizontal="left"/>
    </xf>
    <xf numFmtId="1" fontId="3" fillId="3" borderId="0" xfId="0" applyFont="1" applyNumberFormat="1" applyFill="1" applyAlignment="1">
      <alignment horizontal="left"/>
    </xf>
    <xf numFmtId="3" fontId="5" fillId="3" borderId="0" xfId="0" applyFont="1" applyNumberFormat="1" applyFill="1" applyAlignment="1">
      <alignment horizontal="left"/>
    </xf>
    <xf numFmtId="2" fontId="6" fillId="3" borderId="0" xfId="0" applyFont="1" applyNumberFormat="1" applyFill="1" applyAlignment="1">
      <alignment horizontal="left"/>
    </xf>
    <xf numFmtId="0" fontId="8" fillId="3" borderId="0" xfId="0" applyFont="1" applyFill="1" applyAlignment="1">
      <alignment horizontal="left"/>
    </xf>
    <xf numFmtId="164" fontId="1" fillId="4" borderId="0" xfId="0" applyFont="1" applyNumberFormat="1" applyFill="1" applyAlignment="1">
      <alignment horizontal="left"/>
    </xf>
    <xf numFmtId="164" fontId="5" fillId="8" borderId="0" xfId="0" applyFont="1" applyNumberFormat="1" applyFill="1" applyAlignment="1">
      <alignment horizontal="left"/>
    </xf>
    <xf numFmtId="3" fontId="3" fillId="4" borderId="0" xfId="0" applyFont="1" applyNumberFormat="1" applyFill="1" applyAlignment="1">
      <alignment horizontal="left"/>
    </xf>
    <xf numFmtId="3" fontId="1" fillId="4" borderId="0" xfId="0" applyFont="1" applyNumberFormat="1" applyFill="1" applyAlignment="1">
      <alignment horizontal="left"/>
    </xf>
    <xf numFmtId="9" fontId="1" fillId="0" borderId="0" xfId="0" applyFont="1" applyNumberFormat="1" applyAlignment="1">
      <alignment horizontal="left"/>
    </xf>
    <xf numFmtId="2" fontId="1" fillId="4" borderId="0" xfId="0" applyFont="1" applyNumberFormat="1" applyFill="1" applyAlignment="1">
      <alignment horizontal="left"/>
    </xf>
    <xf numFmtId="3" fontId="1" fillId="3" borderId="0" xfId="0" applyFont="1" applyNumberFormat="1" applyFill="1" applyAlignment="1">
      <alignment horizontal="left"/>
    </xf>
    <xf numFmtId="9" fontId="3" fillId="4" borderId="0" xfId="0" applyFont="1" applyNumberFormat="1" applyFill="1" applyAlignment="1">
      <alignment horizontal="left"/>
    </xf>
    <xf numFmtId="0" fontId="6" fillId="0" borderId="0" xfId="0" applyFont="1" applyAlignment="1">
      <alignment horizontal="left"/>
    </xf>
    <xf numFmtId="165" fontId="3" fillId="4" borderId="0" xfId="0" applyFont="1" applyNumberFormat="1" applyFill="1" applyAlignment="1">
      <alignment horizontal="left"/>
    </xf>
    <xf numFmtId="9" fontId="1" fillId="4" borderId="0" xfId="0" applyFont="1" applyNumberFormat="1" applyFill="1" applyAlignment="1">
      <alignment horizontal="left"/>
    </xf>
    <xf numFmtId="2" fontId="3" fillId="3" borderId="0" xfId="0" applyFont="1" applyNumberFormat="1" applyFill="1" applyAlignment="1">
      <alignment horizontal="left" vertical="center"/>
    </xf>
    <xf numFmtId="164" fontId="1" fillId="0" borderId="0" xfId="0" applyFont="1" applyNumberFormat="1" applyAlignment="1">
      <alignment horizontal="left"/>
    </xf>
    <xf numFmtId="164" fontId="4" fillId="0" borderId="0" xfId="0" applyFont="1" applyNumberFormat="1"/>
    <xf numFmtId="164" fontId="5" fillId="3" borderId="0" xfId="0" applyFont="1" applyNumberFormat="1" applyFill="1" applyAlignment="1">
      <alignment horizontal="left"/>
    </xf>
    <xf numFmtId="3" fontId="1" fillId="0" borderId="0" xfId="0" applyFont="1" applyNumberFormat="1" applyAlignment="1">
      <alignment horizontal="left"/>
    </xf>
    <xf numFmtId="164" fontId="3" fillId="0" borderId="0" xfId="0" applyFont="1" applyNumberFormat="1" applyAlignment="1">
      <alignment horizontal="left"/>
    </xf>
    <xf numFmtId="164" fontId="1" fillId="3" borderId="0" xfId="0" applyFont="1" applyNumberFormat="1" applyFill="1" applyAlignment="1">
      <alignment horizontal="left"/>
    </xf>
    <xf numFmtId="0" fontId="2" fillId="9" borderId="0" xfId="0" applyFont="1" applyFill="1"/>
    <xf numFmtId="164" fontId="5" fillId="0" borderId="0" xfId="0" applyFont="1" applyNumberFormat="1" applyAlignment="1">
      <alignment horizontal="left"/>
    </xf>
    <xf numFmtId="0" fontId="7" fillId="0" borderId="0" xfId="0" applyFont="1"/>
    <xf numFmtId="165" fontId="3" fillId="3" borderId="0" xfId="0" applyFont="1" applyNumberFormat="1" applyFill="1" applyAlignment="1">
      <alignment horizontal="left"/>
    </xf>
    <xf numFmtId="2" fontId="6" fillId="4" borderId="0" xfId="0" applyFont="1" applyNumberFormat="1" applyFill="1" applyAlignment="1">
      <alignment horizontal="left"/>
    </xf>
    <xf numFmtId="9" fontId="6" fillId="4" borderId="0" xfId="0" applyFont="1" applyNumberFormat="1" applyFill="1" applyAlignment="1">
      <alignment horizontal="left"/>
    </xf>
    <xf numFmtId="0" fontId="1" fillId="5" borderId="0" xfId="0" applyFont="1" applyFill="1" applyAlignment="1">
      <alignment horizontal="left"/>
    </xf>
    <xf numFmtId="164" fontId="1" fillId="5" borderId="0" xfId="0" applyFont="1" applyNumberFormat="1" applyFill="1" applyAlignment="1">
      <alignment horizontal="left"/>
    </xf>
    <xf numFmtId="165" fontId="1" fillId="4" borderId="0" xfId="0" applyFont="1" applyNumberFormat="1" applyFill="1" applyAlignment="1">
      <alignment horizontal="left"/>
    </xf>
    <xf numFmtId="0" fontId="1" fillId="3" borderId="0" xfId="0" applyFont="1" applyFill="1"/>
    <xf numFmtId="0" fontId="4" fillId="0" borderId="0" xfId="0" applyFont="1"/>
    <xf numFmtId="10" fontId="6" fillId="8" borderId="0" xfId="0" applyFont="1" applyNumberFormat="1" applyFill="1" applyAlignment="1">
      <alignment horizontal="left"/>
    </xf>
    <xf numFmtId="165" fontId="1" fillId="3" borderId="0" xfId="0" applyFont="1" applyNumberFormat="1" applyFill="1" applyAlignment="1">
      <alignment horizontal="left"/>
    </xf>
    <xf numFmtId="0" fontId="4" fillId="3" borderId="0" xfId="0" applyFont="1" applyFill="1"/>
    <xf numFmtId="9" fontId="4" fillId="3" borderId="0" xfId="0" applyFont="1" applyNumberFormat="1" applyFill="1" applyAlignment="1">
      <alignment horizontal="left"/>
    </xf>
    <xf numFmtId="9" fontId="4" fillId="3" borderId="0" xfId="0" applyFont="1" applyNumberFormat="1" applyFill="1"/>
    <xf numFmtId="9" fontId="2" fillId="0" borderId="0" xfId="0" applyFont="1" applyNumberFormat="1"/>
    <xf numFmtId="164" fontId="1" fillId="14" borderId="0" xfId="0" applyFont="1" applyNumberFormat="1" applyFill="1" applyAlignment="1">
      <alignment horizontal="left"/>
    </xf>
    <xf numFmtId="2" fontId="3" fillId="4" borderId="0" xfId="0" applyFont="1" applyNumberFormat="1" applyFill="1" applyAlignment="1">
      <alignment horizontal="left"/>
    </xf>
    <xf numFmtId="164" fontId="1" fillId="2" borderId="0" xfId="0" applyFont="1" applyNumberFormat="1" applyFill="1" applyAlignment="1">
      <alignment horizontal="left"/>
    </xf>
    <xf numFmtId="9" fontId="4" fillId="0" borderId="0" xfId="0" applyFont="1" applyNumberFormat="1" applyAlignment="1">
      <alignment horizontal="left"/>
    </xf>
    <xf numFmtId="164" fontId="3" fillId="2" borderId="0" xfId="0" applyFont="1" applyNumberFormat="1" applyFill="1" applyAlignment="1">
      <alignment horizontal="left"/>
    </xf>
    <xf numFmtId="164" fontId="6" fillId="2" borderId="0" xfId="0" applyFont="1" applyNumberFormat="1" applyFill="1" applyAlignment="1">
      <alignment horizontal="left"/>
    </xf>
    <xf numFmtId="0" fontId="1" fillId="9" borderId="0" xfId="0" applyFont="1" applyFill="1"/>
    <xf numFmtId="1" fontId="1" fillId="9" borderId="0" xfId="0" applyFont="1" applyNumberFormat="1" applyFill="1" applyAlignment="1">
      <alignment horizontal="left"/>
    </xf>
    <xf numFmtId="0" fontId="1" fillId="9" borderId="0" xfId="0" applyFont="1" applyFill="1" applyAlignment="1">
      <alignment horizontal="left"/>
    </xf>
    <xf numFmtId="165" fontId="1" fillId="9" borderId="0" xfId="0" applyFont="1" applyNumberFormat="1" applyFill="1" applyAlignment="1">
      <alignment horizontal="left"/>
    </xf>
    <xf numFmtId="0" fontId="3" fillId="9" borderId="0" xfId="0" applyFont="1" applyFill="1" applyAlignment="1">
      <alignment horizontal="left"/>
    </xf>
    <xf numFmtId="165" fontId="3" fillId="9" borderId="0" xfId="0" applyFont="1" applyNumberFormat="1" applyFill="1" applyAlignment="1">
      <alignment horizontal="left"/>
    </xf>
    <xf numFmtId="9" fontId="3" fillId="9" borderId="0" xfId="0" applyFont="1" applyNumberFormat="1" applyFill="1" applyAlignment="1">
      <alignment horizontal="left"/>
    </xf>
    <xf numFmtId="164" fontId="3" fillId="9" borderId="0" xfId="0" applyFont="1" applyNumberFormat="1" applyFill="1" applyAlignment="1">
      <alignment horizontal="left"/>
    </xf>
    <xf numFmtId="9" fontId="1" fillId="9" borderId="0" xfId="0" applyFont="1" applyNumberFormat="1" applyFill="1" applyAlignment="1">
      <alignment horizontal="left"/>
    </xf>
    <xf numFmtId="0" fontId="1" fillId="5" borderId="0" xfId="0" applyFont="1" applyFill="1"/>
    <xf numFmtId="1" fontId="1" fillId="5" borderId="0" xfId="0" applyFont="1" applyNumberFormat="1" applyFill="1" applyAlignment="1">
      <alignment horizontal="left"/>
    </xf>
    <xf numFmtId="2" fontId="1" fillId="5" borderId="0" xfId="0" applyFont="1" applyNumberFormat="1" applyFill="1" applyAlignment="1">
      <alignment horizontal="left"/>
    </xf>
    <xf numFmtId="0" fontId="5" fillId="9" borderId="0" xfId="0" applyFont="1" applyFill="1"/>
    <xf numFmtId="9" fontId="6" fillId="9" borderId="0" xfId="0" applyFont="1" applyNumberFormat="1" applyFill="1" applyAlignment="1">
      <alignment horizontal="left"/>
    </xf>
    <xf numFmtId="164" fontId="5" fillId="9" borderId="0" xfId="0" applyFont="1" applyNumberFormat="1" applyFill="1" applyAlignment="1">
      <alignment horizontal="left"/>
    </xf>
    <xf numFmtId="2" fontId="5" fillId="9" borderId="0" xfId="0" applyFont="1" applyNumberFormat="1" applyFill="1" applyAlignment="1">
      <alignment horizontal="left"/>
    </xf>
    <xf numFmtId="0" fontId="9" fillId="0" borderId="0" xfId="0" applyFont="1"/>
    <xf numFmtId="9" fontId="5" fillId="9" borderId="0" xfId="0" applyFont="1" applyNumberFormat="1" applyFill="1" applyAlignment="1">
      <alignment horizontal="left"/>
    </xf>
    <xf numFmtId="0" fontId="5" fillId="9" borderId="0" xfId="0" applyFont="1" applyFill="1" applyAlignment="1">
      <alignment horizontal="left"/>
    </xf>
    <xf numFmtId="165" fontId="5" fillId="9" borderId="0" xfId="0" applyFont="1" applyNumberFormat="1" applyFill="1" applyAlignment="1">
      <alignment horizontal="left"/>
    </xf>
    <xf numFmtId="165" fontId="6" fillId="9" borderId="0" xfId="0" applyFont="1" applyNumberFormat="1" applyFill="1" applyAlignment="1">
      <alignment horizontal="left"/>
    </xf>
    <xf numFmtId="164" fontId="6" fillId="9" borderId="0" xfId="0" applyFont="1" applyNumberFormat="1" applyFill="1" applyAlignment="1">
      <alignment horizontal="left"/>
    </xf>
    <xf numFmtId="164" fontId="1" fillId="9" borderId="0" xfId="0" applyFont="1" applyNumberFormat="1" applyFill="1"/>
    <xf numFmtId="1" fontId="3" fillId="9" borderId="0" xfId="0" applyFont="1" applyNumberFormat="1" applyFill="1" applyAlignment="1">
      <alignment horizontal="left"/>
    </xf>
    <xf numFmtId="0" fontId="5" fillId="15" borderId="0" xfId="0" applyFont="1" applyFill="1"/>
    <xf numFmtId="1" fontId="5" fillId="15" borderId="0" xfId="0" applyFont="1" applyNumberFormat="1" applyFill="1" applyAlignment="1">
      <alignment horizontal="left"/>
    </xf>
    <xf numFmtId="2" fontId="5" fillId="15" borderId="0" xfId="0" applyFont="1" applyNumberFormat="1" applyFill="1" applyAlignment="1">
      <alignment horizontal="left"/>
    </xf>
    <xf numFmtId="9" fontId="5" fillId="15" borderId="0" xfId="0" applyFont="1" applyNumberFormat="1" applyFill="1" applyAlignment="1">
      <alignment horizontal="left"/>
    </xf>
    <xf numFmtId="0" fontId="5" fillId="15" borderId="0" xfId="0" applyFont="1" applyFill="1" applyAlignment="1">
      <alignment horizontal="left"/>
    </xf>
    <xf numFmtId="165" fontId="5" fillId="15" borderId="0" xfId="0" applyFont="1" applyNumberFormat="1" applyFill="1" applyAlignment="1">
      <alignment horizontal="left"/>
    </xf>
    <xf numFmtId="0" fontId="5" fillId="16" borderId="0" xfId="0" applyFont="1" applyFill="1"/>
    <xf numFmtId="1" fontId="5" fillId="16" borderId="0" xfId="0" applyFont="1" applyNumberFormat="1" applyFill="1" applyAlignment="1">
      <alignment horizontal="left"/>
    </xf>
    <xf numFmtId="2" fontId="5" fillId="16" borderId="0" xfId="0" applyFont="1" applyNumberFormat="1" applyFill="1" applyAlignment="1">
      <alignment horizontal="left"/>
    </xf>
    <xf numFmtId="9" fontId="5" fillId="16" borderId="0" xfId="0" applyFont="1" applyNumberFormat="1" applyFill="1" applyAlignment="1">
      <alignment horizontal="left"/>
    </xf>
    <xf numFmtId="0" fontId="5" fillId="16" borderId="0" xfId="0" applyFont="1" applyFill="1" applyAlignment="1">
      <alignment horizontal="left"/>
    </xf>
    <xf numFmtId="165" fontId="5" fillId="16" borderId="0" xfId="0" applyFont="1" applyNumberFormat="1" applyFill="1" applyAlignment="1">
      <alignment horizontal="left"/>
    </xf>
    <xf numFmtId="0" fontId="1" fillId="17" borderId="0" xfId="0" applyFont="1" applyFill="1"/>
    <xf numFmtId="1" fontId="1" fillId="17" borderId="0" xfId="0" applyFont="1" applyNumberFormat="1" applyFill="1" applyAlignment="1">
      <alignment horizontal="left"/>
    </xf>
    <xf numFmtId="2" fontId="1" fillId="17" borderId="0" xfId="0" applyFont="1" applyNumberFormat="1" applyFill="1" applyAlignment="1">
      <alignment horizontal="left"/>
    </xf>
    <xf numFmtId="9" fontId="1" fillId="17" borderId="0" xfId="0" applyFont="1" applyNumberFormat="1" applyFill="1" applyAlignment="1">
      <alignment horizontal="left"/>
    </xf>
    <xf numFmtId="0" fontId="1" fillId="17" borderId="0" xfId="0" applyFont="1" applyFill="1" applyAlignment="1">
      <alignment horizontal="left"/>
    </xf>
    <xf numFmtId="165" fontId="1" fillId="17" borderId="0" xfId="0" applyFont="1" applyNumberFormat="1" applyFill="1" applyAlignment="1">
      <alignment horizontal="left"/>
    </xf>
    <xf numFmtId="3" fontId="2" fillId="18" borderId="0" xfId="0" applyFont="1" applyNumberFormat="1" applyFill="1"/>
    <xf numFmtId="3" fontId="9" fillId="0" borderId="0" xfId="0" applyFont="1" applyNumberFormat="1"/>
    <xf numFmtId="3" fontId="12" fillId="9" borderId="0" xfId="0" applyFont="1" applyNumberFormat="1" applyFill="1"/>
    <xf numFmtId="3" fontId="9" fillId="9" borderId="0" xfId="0" applyFont="1" applyNumberFormat="1" applyFill="1"/>
    <xf numFmtId="3" fontId="2" fillId="0" borderId="0" xfId="0" applyFont="1" applyNumberFormat="1"/>
    <xf numFmtId="2" fontId="1" fillId="9" borderId="0" xfId="0" applyFont="1" applyNumberFormat="1" applyFill="1" applyAlignment="1">
      <alignment horizontal="left" wrapText="1"/>
    </xf>
    <xf numFmtId="9" fontId="1" fillId="9" borderId="0" xfId="0" applyFont="1" applyNumberFormat="1" applyFill="1" applyAlignment="1">
      <alignment horizontal="left" vertical="top" wrapText="1"/>
    </xf>
    <xf numFmtId="164" fontId="5" fillId="19" borderId="0" xfId="0" applyFont="1" applyNumberFormat="1" applyFill="1" applyAlignment="1">
      <alignment horizontal="left"/>
    </xf>
    <xf numFmtId="164" fontId="1" fillId="19" borderId="0" xfId="0" applyFont="1" applyNumberFormat="1" applyFill="1" applyAlignment="1">
      <alignment horizontal="left"/>
    </xf>
    <xf numFmtId="164" fontId="3" fillId="19" borderId="0" xfId="0" applyFont="1" applyNumberFormat="1" applyFill="1" applyAlignment="1">
      <alignment horizontal="left"/>
    </xf>
    <xf numFmtId="1" fontId="1" fillId="19" borderId="0" xfId="0" applyFont="1" applyNumberFormat="1" applyFill="1" applyAlignment="1">
      <alignment horizontal="left"/>
    </xf>
    <xf numFmtId="164" fontId="2" fillId="0" borderId="0" xfId="0" applyFont="1" applyNumberFormat="1"/>
    <xf numFmtId="165" fontId="2" fillId="0" borderId="0" xfId="0" applyFont="1" applyNumberFormat="1"/>
    <xf numFmtId="1" fontId="2" fillId="0" borderId="0" xfId="0" applyFont="1" applyNumberFormat="1"/>
    <xf numFmtId="1" fontId="2" fillId="20" borderId="0" xfId="0" applyFont="1" applyNumberFormat="1" applyFill="1"/>
    <xf numFmtId="2" fontId="2" fillId="20" borderId="0" xfId="0" applyFont="1" applyNumberFormat="1" applyFill="1"/>
    <xf numFmtId="0" fontId="2" fillId="20" borderId="0" xfId="0" applyFont="1" applyFill="1"/>
    <xf numFmtId="2" fontId="2" fillId="0" borderId="0" xfId="0" applyFont="1" applyNumberFormat="1"/>
    <xf numFmtId="1" fontId="2" fillId="21" borderId="0" xfId="0" applyFont="1" applyNumberFormat="1" applyFill="1"/>
    <xf numFmtId="167" fontId="2" fillId="21" borderId="0" xfId="0" applyFont="1" applyNumberFormat="1" applyFill="1"/>
    <xf numFmtId="167" fontId="2" fillId="0" borderId="0" xfId="0" applyFont="1" applyNumberFormat="1"/>
    <xf numFmtId="1" fontId="1" fillId="21" borderId="0" xfId="0" applyFont="1" applyNumberFormat="1" applyFill="1" applyAlignment="1">
      <alignment horizontal="right" vertical="center"/>
    </xf>
    <xf numFmtId="0" fontId="2" fillId="21" borderId="0" xfId="0" applyFont="1" applyFill="1"/>
    <xf numFmtId="165" fontId="2" fillId="5" borderId="0" xfId="0" applyFont="1" applyNumberFormat="1" applyFill="1"/>
  </cellXfs>
  <cellStyles count="1">
    <cellStyle name="Normal" xfId="0" builtinId="0"/>
  </cellStyles>
  <dxfs count="3">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externalLink" Target="externalLinks/externalLink3.xml"/><Relationship Id="rId17" Type="http://schemas.openxmlformats.org/officeDocument/2006/relationships/externalLink" Target="externalLinks/externalLink4.xml"/><Relationship Id="rId18" Type="http://schemas.openxmlformats.org/officeDocument/2006/relationships/externalLink" Target="externalLinks/externalLink5.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uco\Documents\Coeficientes\Biomass.xlsx" TargetMode="External"/><Relationship Id="rId1" Type="http://schemas.openxmlformats.org/officeDocument/2006/relationships/externalLinkPath" Target="/Users/leuco/Documents/Coeficientes/Biomas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0dd767e02e6ada6c/Documents/GitHub/General/input/Codes_coefs.xlsx" TargetMode="External"/><Relationship Id="rId1" Type="http://schemas.openxmlformats.org/officeDocument/2006/relationships/externalLinkPath" Target="Codes_coef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sus\Documents\Coeficientes\Biomas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uco/Documents/Metabolismo/Dietas/Balance%20propio%20Humano%20con%20destinos%20vPos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d.docs.live.net/0dd767e02e6ada6c/Documents/GitHub/General/input/Crop_codes.xlsx" TargetMode="External"/><Relationship Id="rId1" Type="http://schemas.openxmlformats.org/officeDocument/2006/relationships/externalLinkPath" Target="Crop_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2"/>
      <sheetName val="C"/>
      <sheetName val="Humus"/>
      <sheetName val="N"/>
      <sheetName val="CN"/>
      <sheetName val="RS"/>
      <sheetName val="Categories"/>
      <sheetName val="Cat-lists"/>
      <sheetName val="Cat-match"/>
      <sheetName val="All"/>
      <sheetName val="Key"/>
      <sheetName val="Sources"/>
      <sheetName val="A1.1 Residues"/>
      <sheetName val="A1.2 Roots"/>
      <sheetName val="A1.3 Dry matter"/>
      <sheetName val="A1.4 Weeds"/>
      <sheetName val="A1.5 Gross energy"/>
      <sheetName val="balance C"/>
      <sheetName val="Models"/>
      <sheetName val="Gan"/>
    </sheetNames>
    <sheetDataSet>
      <sheetData sheetId="0"/>
      <sheetData sheetId="1">
        <row r="5">
          <cell r="G5" t="str">
            <v>Carranca et al. (2009), ECN (2017) (2)</v>
          </cell>
          <cell r="BF5" t="str">
            <v>Redin et al. (2014), Carranca et al. (2009)</v>
          </cell>
        </row>
        <row r="6">
          <cell r="G6" t="str">
            <v>Nourbakhsh (2006), Parikh et al. (2007), Henriksen et al. (1999), ECN (2017) (10)</v>
          </cell>
          <cell r="BF6" t="str">
            <v>Redin et al. (2014)</v>
          </cell>
        </row>
        <row r="7">
          <cell r="G7" t="str">
            <v>Parikh et al. (2007), Wang et al.(2017), Chen et al (2015), Lou et al (2007), Su et al (2016), Levi-Minzi et al. (1990), ECN (2017) (8)</v>
          </cell>
          <cell r="BF7" t="str">
            <v>Lou et al. (2007)</v>
          </cell>
        </row>
        <row r="8">
          <cell r="G8" t="str">
            <v>Summer cereals</v>
          </cell>
          <cell r="BF8" t="str">
            <v>Redin et al. (2014)</v>
          </cell>
        </row>
        <row r="9">
          <cell r="G9" t="str">
            <v>Parikh et al. (2007), ECN (2017) (4)</v>
          </cell>
          <cell r="BF9" t="str">
            <v>Redin et al. (2014)</v>
          </cell>
        </row>
        <row r="10">
          <cell r="G10" t="str">
            <v>ECN (2017) (10)</v>
          </cell>
          <cell r="BF10" t="str">
            <v>Redin et al. (2014)</v>
          </cell>
        </row>
        <row r="11">
          <cell r="G11" t="str">
            <v>Rahn and Lillywhite (2002), Boiffin et al. (1986), Mondini et al. (2017), Nourbakhsh (2006), Parikh et al. (2007), Hadas et al. (2004), Huang et al. (2004), Raiesi (2006), Wang et al.(2017), Bremer et al. (1991), Triberti et al. (2008), Cayuela et al. (2009), Aita et aL (2012), Havstad et al (2009), Chen et al (2015), Gan et al. (2009) (2), Henriksen et al. (1999), ECN (2017) (21), Sarrantonio (2003)</v>
          </cell>
          <cell r="BF11" t="str">
            <v>Redin et al. (2014)</v>
          </cell>
        </row>
        <row r="12">
          <cell r="G12" t="str">
            <v>Boiffin et al. (1986), Nourbakhsh (2006), Paula et al. (2011), Abro et al. (2011), Hadas et al. (2004), Li et al. (2013), Potthoff et al. (2005), Wang et al.(2017), Triberti et al. (2008), Chen et al (2015), Johnson et al (2007), Delas and Molot (1983), ECN (2017) (6)</v>
          </cell>
          <cell r="BF12" t="str">
            <v>Redin et al. (2014), Johnson et al. (2007)</v>
          </cell>
        </row>
        <row r="13">
          <cell r="G13" t="str">
            <v>Average of available data</v>
          </cell>
          <cell r="BF13" t="str">
            <v>Average of available data</v>
          </cell>
        </row>
        <row r="14">
          <cell r="G14" t="str">
            <v>Average of available data</v>
          </cell>
          <cell r="BF14" t="str">
            <v>Average of available data</v>
          </cell>
        </row>
        <row r="16">
          <cell r="G16" t="str">
            <v>Modern varieties</v>
          </cell>
          <cell r="BF16" t="str">
            <v>Modern varieties</v>
          </cell>
        </row>
        <row r="17">
          <cell r="G17" t="str">
            <v>Modern varieties</v>
          </cell>
          <cell r="BF17" t="str">
            <v>Modern varieties</v>
          </cell>
        </row>
        <row r="18">
          <cell r="G18" t="str">
            <v>Modern varieties</v>
          </cell>
          <cell r="BF18" t="str">
            <v>Modern varieties</v>
          </cell>
        </row>
        <row r="19">
          <cell r="G19" t="str">
            <v>Modern varieties</v>
          </cell>
          <cell r="BF19" t="str">
            <v>Modern varieties</v>
          </cell>
        </row>
        <row r="20">
          <cell r="G20" t="str">
            <v>Dos Santos et al. (2012)</v>
          </cell>
          <cell r="BF20" t="str">
            <v>Modern varieties</v>
          </cell>
        </row>
        <row r="22">
          <cell r="G22" t="str">
            <v>Legumes average</v>
          </cell>
          <cell r="BF22" t="str">
            <v>Legumes</v>
          </cell>
        </row>
        <row r="23">
          <cell r="G23" t="str">
            <v>O Danga et al. (2013)</v>
          </cell>
          <cell r="BF23" t="str">
            <v>Gan et al. (2009)</v>
          </cell>
        </row>
        <row r="24">
          <cell r="G24" t="str">
            <v>Frankerberger and Abdelmagid (1985), Paula et al. (2011), Li et al. (2013), Wang et al.(2017), Johnson et al (2007)</v>
          </cell>
          <cell r="BF24" t="str">
            <v>Redin et al. (2014), Johnson et al. (2007)</v>
          </cell>
        </row>
        <row r="25">
          <cell r="G25" t="str">
            <v>Bremer et al. (1991)</v>
          </cell>
          <cell r="BF25" t="str">
            <v>Gan et al. (2009)</v>
          </cell>
        </row>
        <row r="26">
          <cell r="G26" t="str">
            <v>Carranca et al. (2009) (average of stems and pod valves)</v>
          </cell>
          <cell r="BF26" t="str">
            <v>Carranca et al. (2009)</v>
          </cell>
        </row>
        <row r="27">
          <cell r="G27" t="str">
            <v>Legumes average</v>
          </cell>
          <cell r="BF27" t="str">
            <v>Legumes</v>
          </cell>
        </row>
        <row r="28">
          <cell r="G28" t="str">
            <v>Henriksen et al. (1999)</v>
          </cell>
          <cell r="BF28" t="str">
            <v>Redin et al. (2014), Gan et al. (2009)</v>
          </cell>
        </row>
        <row r="29">
          <cell r="G29" t="str">
            <v>Legumes average</v>
          </cell>
          <cell r="BF29" t="str">
            <v>Legumes</v>
          </cell>
        </row>
        <row r="30">
          <cell r="G30" t="str">
            <v>Sarrantonio (2003)</v>
          </cell>
          <cell r="BF30" t="str">
            <v>Redin et al. (2014)</v>
          </cell>
        </row>
        <row r="31">
          <cell r="G31" t="str">
            <v>Paula et al. (2011), ECN (2017)</v>
          </cell>
          <cell r="BF31" t="str">
            <v>Redin et al. (2014)</v>
          </cell>
        </row>
        <row r="32">
          <cell r="G32" t="str">
            <v>Average of available data</v>
          </cell>
          <cell r="BF32" t="str">
            <v>Average of available data</v>
          </cell>
        </row>
        <row r="34">
          <cell r="G34" t="str">
            <v>Roots average</v>
          </cell>
          <cell r="BF34" t="str">
            <v>Plant average</v>
          </cell>
        </row>
        <row r="35">
          <cell r="G35" t="str">
            <v>Roots average</v>
          </cell>
          <cell r="BF35" t="str">
            <v>Plant average</v>
          </cell>
        </row>
        <row r="36">
          <cell r="G36" t="str">
            <v>Huang et al. (2004), Henriksen et al. (1999)</v>
          </cell>
          <cell r="BF36" t="str">
            <v>Plant average</v>
          </cell>
        </row>
        <row r="37">
          <cell r="G37" t="str">
            <v>Roots average</v>
          </cell>
          <cell r="BF37" t="str">
            <v>Plant average</v>
          </cell>
        </row>
        <row r="38">
          <cell r="G38" t="str">
            <v>Average of available data</v>
          </cell>
          <cell r="BF38" t="str">
            <v>Plant average</v>
          </cell>
        </row>
        <row r="39">
          <cell r="G39" t="str">
            <v>Roots average</v>
          </cell>
          <cell r="BF39" t="str">
            <v>Plant average</v>
          </cell>
        </row>
        <row r="41">
          <cell r="G41" t="str">
            <v>Rahn and Lillywhite (2002)</v>
          </cell>
          <cell r="BF41" t="str">
            <v>Plant average</v>
          </cell>
        </row>
        <row r="42">
          <cell r="G42" t="str">
            <v>Rahn and Lillywhite (2002)</v>
          </cell>
          <cell r="BF42" t="str">
            <v>Plant average</v>
          </cell>
        </row>
        <row r="43">
          <cell r="G43" t="str">
            <v>Vegetables average</v>
          </cell>
          <cell r="BF43" t="str">
            <v>Plant average</v>
          </cell>
        </row>
        <row r="44">
          <cell r="G44" t="str">
            <v>Vegetables average</v>
          </cell>
          <cell r="BF44" t="str">
            <v>Plant average</v>
          </cell>
        </row>
        <row r="45">
          <cell r="G45" t="str">
            <v>Vegetables average</v>
          </cell>
          <cell r="BF45" t="str">
            <v>Plant average</v>
          </cell>
        </row>
        <row r="46">
          <cell r="G46" t="str">
            <v>Rahn and Lillywhite (2002)</v>
          </cell>
          <cell r="BF46" t="str">
            <v>Plant average</v>
          </cell>
        </row>
        <row r="47">
          <cell r="G47" t="str">
            <v>Vegetables average</v>
          </cell>
          <cell r="BF47" t="str">
            <v>Plant average</v>
          </cell>
        </row>
        <row r="48">
          <cell r="G48" t="str">
            <v>Vegetables average</v>
          </cell>
          <cell r="BF48" t="str">
            <v>Plant average</v>
          </cell>
        </row>
        <row r="49">
          <cell r="G49" t="str">
            <v>Rahn and Lillywhite (2002), Henriksen et al. (1999), ECN (2017)</v>
          </cell>
          <cell r="BF49" t="str">
            <v>Plant average</v>
          </cell>
        </row>
        <row r="50">
          <cell r="G50" t="str">
            <v>Vegetables average</v>
          </cell>
          <cell r="BF50" t="str">
            <v>Plant average</v>
          </cell>
        </row>
        <row r="51">
          <cell r="G51" t="str">
            <v>Rahn and Lillywhite (2002)</v>
          </cell>
          <cell r="BF51" t="str">
            <v>Plant average</v>
          </cell>
        </row>
        <row r="52">
          <cell r="G52" t="str">
            <v>Vegetables average</v>
          </cell>
          <cell r="BF52" t="str">
            <v>Plant average</v>
          </cell>
        </row>
        <row r="53">
          <cell r="G53" t="str">
            <v>ECN (2017)</v>
          </cell>
          <cell r="BF53" t="str">
            <v>Plant average</v>
          </cell>
        </row>
        <row r="54">
          <cell r="G54" t="str">
            <v>Vegetables average</v>
          </cell>
          <cell r="BF54" t="str">
            <v>Plant average</v>
          </cell>
        </row>
        <row r="55">
          <cell r="G55" t="str">
            <v>Vegetables average</v>
          </cell>
          <cell r="BF55" t="str">
            <v>Plant average</v>
          </cell>
        </row>
        <row r="56">
          <cell r="G56" t="str">
            <v>Vegetables average</v>
          </cell>
          <cell r="BF56" t="str">
            <v>Plant average</v>
          </cell>
        </row>
        <row r="57">
          <cell r="G57" t="str">
            <v>ECN (2017)</v>
          </cell>
          <cell r="BF57" t="str">
            <v>Plant average</v>
          </cell>
        </row>
        <row r="58">
          <cell r="G58" t="str">
            <v>ECN (2017)</v>
          </cell>
          <cell r="BF58" t="str">
            <v>Plant average</v>
          </cell>
        </row>
        <row r="59">
          <cell r="G59" t="str">
            <v>Vegetables average</v>
          </cell>
          <cell r="BF59" t="str">
            <v>Plant average</v>
          </cell>
        </row>
        <row r="60">
          <cell r="G60" t="str">
            <v>ECN (2017)</v>
          </cell>
          <cell r="BF60" t="str">
            <v>Plant average</v>
          </cell>
        </row>
        <row r="61">
          <cell r="G61" t="str">
            <v>Vegetables average</v>
          </cell>
          <cell r="BF61" t="str">
            <v>Plant average</v>
          </cell>
        </row>
        <row r="62">
          <cell r="G62" t="str">
            <v>ECN (2017)</v>
          </cell>
          <cell r="BF62" t="str">
            <v>Plant average</v>
          </cell>
        </row>
        <row r="63">
          <cell r="G63" t="str">
            <v>Vegetables average</v>
          </cell>
          <cell r="BF63" t="str">
            <v>Plant average</v>
          </cell>
        </row>
        <row r="64">
          <cell r="G64" t="str">
            <v>Vegetables average</v>
          </cell>
          <cell r="BF64" t="str">
            <v>Plant average</v>
          </cell>
        </row>
        <row r="65">
          <cell r="G65" t="str">
            <v>Rahn and Lillywhite (2002)</v>
          </cell>
          <cell r="BF65" t="str">
            <v>Plant average</v>
          </cell>
        </row>
        <row r="66">
          <cell r="G66" t="str">
            <v>Vegetables average</v>
          </cell>
          <cell r="BF66" t="str">
            <v>Plant average</v>
          </cell>
        </row>
        <row r="67">
          <cell r="G67" t="str">
            <v>Rahn and Lillywhite (2002)</v>
          </cell>
          <cell r="BF67" t="str">
            <v>Plant average</v>
          </cell>
        </row>
        <row r="68">
          <cell r="G68" t="str">
            <v>Vegetables average</v>
          </cell>
          <cell r="BF68" t="str">
            <v>Plant average</v>
          </cell>
        </row>
        <row r="69">
          <cell r="G69" t="str">
            <v>Vegetables average</v>
          </cell>
          <cell r="BF69" t="str">
            <v>Plant average</v>
          </cell>
        </row>
        <row r="70">
          <cell r="G70" t="str">
            <v>Vegetables average</v>
          </cell>
          <cell r="BF70" t="str">
            <v>Plant average</v>
          </cell>
        </row>
        <row r="71">
          <cell r="G71" t="str">
            <v>Vegetables average</v>
          </cell>
          <cell r="BF71" t="str">
            <v>Plant average</v>
          </cell>
        </row>
        <row r="72">
          <cell r="G72" t="str">
            <v>Vegetables average</v>
          </cell>
          <cell r="BF72" t="str">
            <v>Plant average</v>
          </cell>
        </row>
        <row r="73">
          <cell r="G73" t="str">
            <v>ECN (2017) (2)</v>
          </cell>
          <cell r="BF73" t="str">
            <v>Plant average</v>
          </cell>
        </row>
        <row r="74">
          <cell r="G74" t="str">
            <v>ECN (2017)</v>
          </cell>
          <cell r="BF74" t="str">
            <v>Plant average</v>
          </cell>
        </row>
        <row r="75">
          <cell r="G75" t="str">
            <v>Vegetables average</v>
          </cell>
          <cell r="BF75" t="str">
            <v>Plant average</v>
          </cell>
        </row>
        <row r="76">
          <cell r="G76" t="str">
            <v>Rahn and Lillywhite (2002)</v>
          </cell>
          <cell r="BF76" t="str">
            <v>Plant average</v>
          </cell>
        </row>
        <row r="77">
          <cell r="G77" t="str">
            <v>Average of available data, Henriksen et al. (1999) (kale)</v>
          </cell>
          <cell r="BF77" t="str">
            <v>Plant average</v>
          </cell>
        </row>
        <row r="79">
          <cell r="G79" t="str">
            <v>Rahn and Lillywhite (2002), Boiffin et al. (1986)</v>
          </cell>
          <cell r="BF79" t="str">
            <v>Plant average</v>
          </cell>
        </row>
        <row r="80">
          <cell r="G80" t="str">
            <v>Boiffin et al. (1986), Hadas et al. (2004), Henriksen et al. (1999), ECN (2017) (8)</v>
          </cell>
          <cell r="BF80" t="str">
            <v>Redin et al. (2014), Gan et al. (2009)</v>
          </cell>
        </row>
        <row r="81">
          <cell r="G81" t="str">
            <v>Herbaceous average</v>
          </cell>
          <cell r="BF81" t="str">
            <v>Gan et al. (2009)</v>
          </cell>
        </row>
        <row r="82">
          <cell r="G82" t="str">
            <v>Herbaceous average</v>
          </cell>
          <cell r="BF82" t="str">
            <v>Plant average</v>
          </cell>
        </row>
        <row r="83">
          <cell r="G83" t="str">
            <v>Herbaceous average</v>
          </cell>
          <cell r="BF83" t="str">
            <v>Plant average</v>
          </cell>
        </row>
        <row r="84">
          <cell r="G84" t="str">
            <v>Herbaceous average</v>
          </cell>
          <cell r="BF84" t="str">
            <v>Plant average</v>
          </cell>
        </row>
        <row r="85">
          <cell r="G85" t="str">
            <v>Herbaceous average</v>
          </cell>
          <cell r="BF85" t="str">
            <v>Plant average</v>
          </cell>
        </row>
        <row r="86">
          <cell r="G86" t="str">
            <v>Herbaceous average</v>
          </cell>
          <cell r="BF86" t="str">
            <v>Plant average</v>
          </cell>
        </row>
        <row r="87">
          <cell r="G87" t="str">
            <v>Mondini et al. (2017), Parikh et al. (2007), ECN (2017) (6)</v>
          </cell>
          <cell r="BF87" t="str">
            <v>Plant average</v>
          </cell>
        </row>
        <row r="88">
          <cell r="G88" t="str">
            <v>Mondini et al. (2017), Parikh et al. (2007), ECN (2017) (6)</v>
          </cell>
          <cell r="BF88" t="str">
            <v>Plant average</v>
          </cell>
        </row>
        <row r="89">
          <cell r="G89" t="str">
            <v>ECN (2017) (6)</v>
          </cell>
          <cell r="BF89" t="str">
            <v>Redin et al. (2014)</v>
          </cell>
        </row>
        <row r="90">
          <cell r="G90" t="str">
            <v>Herbaceous average</v>
          </cell>
          <cell r="BF90" t="str">
            <v>Plant average</v>
          </cell>
        </row>
        <row r="91">
          <cell r="G91" t="str">
            <v>ECN (2017)</v>
          </cell>
          <cell r="BF91" t="str">
            <v>Plant average</v>
          </cell>
        </row>
        <row r="92">
          <cell r="G92" t="str">
            <v>Hadas et al. (2004), ECN (2017)</v>
          </cell>
          <cell r="BF92" t="str">
            <v>Plant average</v>
          </cell>
        </row>
        <row r="93">
          <cell r="G93" t="str">
            <v>Herbaceous average</v>
          </cell>
          <cell r="BF93" t="str">
            <v>Plant average</v>
          </cell>
        </row>
        <row r="94">
          <cell r="G94" t="str">
            <v>Herbaceous average</v>
          </cell>
          <cell r="BF94" t="str">
            <v>Plant average</v>
          </cell>
        </row>
        <row r="95">
          <cell r="G95" t="str">
            <v>Herbaceous average</v>
          </cell>
          <cell r="BF95" t="str">
            <v>Plant average</v>
          </cell>
        </row>
        <row r="96">
          <cell r="G96" t="str">
            <v>Paula et al. (2011), Huang et al. (2004), Carvalho et al. (2013), ECN (2017 (leaves)</v>
          </cell>
          <cell r="BF96" t="str">
            <v>Nunes Carvalho et al. (2013)</v>
          </cell>
        </row>
        <row r="97">
          <cell r="G97" t="str">
            <v>Herbaceous average</v>
          </cell>
          <cell r="BF97" t="str">
            <v>Plant average</v>
          </cell>
        </row>
        <row r="98">
          <cell r="G98" t="str">
            <v>Parikh et al. (2007)</v>
          </cell>
          <cell r="BF98" t="str">
            <v>Plant average</v>
          </cell>
        </row>
        <row r="99">
          <cell r="G99" t="str">
            <v>Chen et al. (2015)</v>
          </cell>
          <cell r="BF99" t="str">
            <v>Plant average</v>
          </cell>
        </row>
        <row r="100">
          <cell r="G100" t="str">
            <v>Average of available data</v>
          </cell>
          <cell r="BF100" t="str">
            <v>Plant average</v>
          </cell>
        </row>
        <row r="101">
          <cell r="G101" t="str">
            <v>Average of available data</v>
          </cell>
          <cell r="BF101" t="str">
            <v>Plant average</v>
          </cell>
        </row>
        <row r="102">
          <cell r="G102" t="str">
            <v>Average of available data</v>
          </cell>
          <cell r="BF102" t="str">
            <v>Plant average</v>
          </cell>
        </row>
        <row r="104">
          <cell r="G104" t="str">
            <v>Treenuts average</v>
          </cell>
          <cell r="BF104" t="str">
            <v>Wood average</v>
          </cell>
        </row>
        <row r="105">
          <cell r="G105" t="str">
            <v>Paula et al. (2011)</v>
          </cell>
          <cell r="BF105" t="str">
            <v>Wood average</v>
          </cell>
        </row>
        <row r="106">
          <cell r="G106" t="str">
            <v>Fruits average</v>
          </cell>
          <cell r="BF106" t="str">
            <v>Wood average</v>
          </cell>
        </row>
        <row r="107">
          <cell r="G107" t="str">
            <v>Fruits average</v>
          </cell>
          <cell r="BF107" t="str">
            <v>Wood average</v>
          </cell>
        </row>
        <row r="108">
          <cell r="G108" t="str">
            <v>Fruits average</v>
          </cell>
          <cell r="BF108" t="str">
            <v>Wood average</v>
          </cell>
        </row>
        <row r="109">
          <cell r="G109" t="str">
            <v>Treenuts average</v>
          </cell>
          <cell r="BF109" t="str">
            <v>Wood average</v>
          </cell>
        </row>
        <row r="110">
          <cell r="G110" t="str">
            <v>Fruits average</v>
          </cell>
          <cell r="BF110" t="str">
            <v>Wood average</v>
          </cell>
        </row>
        <row r="111">
          <cell r="G111" t="str">
            <v>Fruits average</v>
          </cell>
          <cell r="BF111" t="str">
            <v>Wood average</v>
          </cell>
        </row>
        <row r="112">
          <cell r="G112" t="str">
            <v>Citrus average</v>
          </cell>
          <cell r="BF112" t="str">
            <v>Wood average</v>
          </cell>
        </row>
        <row r="113">
          <cell r="G113" t="str">
            <v>Citrus average</v>
          </cell>
          <cell r="BF113" t="str">
            <v>Wood average</v>
          </cell>
        </row>
        <row r="114">
          <cell r="G114" t="str">
            <v>Kimball et al. (2007), ECN (2017)</v>
          </cell>
          <cell r="BF114" t="str">
            <v>Kimball et al. (2007)</v>
          </cell>
        </row>
        <row r="115">
          <cell r="G115" t="str">
            <v>Bilandzija et al. (2012)</v>
          </cell>
          <cell r="BF115" t="str">
            <v>Wood average</v>
          </cell>
        </row>
        <row r="116">
          <cell r="G116" t="str">
            <v>Fruits average</v>
          </cell>
          <cell r="BF116" t="str">
            <v>Wood average</v>
          </cell>
        </row>
        <row r="117">
          <cell r="G117" t="str">
            <v>Bilandzija et al. (2012)</v>
          </cell>
          <cell r="BF117" t="str">
            <v>Wood average</v>
          </cell>
        </row>
        <row r="118">
          <cell r="G118" t="str">
            <v>Bilandzija et al. (2012), ECN (2017) (2)</v>
          </cell>
          <cell r="BF118" t="str">
            <v>Wood average</v>
          </cell>
        </row>
        <row r="119">
          <cell r="G119" t="str">
            <v>Treenuts average</v>
          </cell>
          <cell r="BF119" t="str">
            <v>Wood average</v>
          </cell>
        </row>
        <row r="120">
          <cell r="G120" t="str">
            <v>Bilandzija et al. (2012), Zanotelli et al. (2013)</v>
          </cell>
          <cell r="BF120" t="str">
            <v>Zanotelli et al. (2013)</v>
          </cell>
        </row>
        <row r="121">
          <cell r="G121" t="str">
            <v>Fruits average</v>
          </cell>
          <cell r="BF121" t="str">
            <v>Wood average</v>
          </cell>
        </row>
        <row r="122">
          <cell r="G122" t="str">
            <v>Bilandzija et al. (2012), Gómez-Muñoz et al. (2016), ECN (2017) (2)</v>
          </cell>
          <cell r="BF122" t="str">
            <v>Wood average</v>
          </cell>
        </row>
        <row r="123">
          <cell r="G123" t="str">
            <v>Fruits average</v>
          </cell>
          <cell r="BF123" t="str">
            <v>Wood average</v>
          </cell>
        </row>
        <row r="124">
          <cell r="G124" t="str">
            <v>Fruits average</v>
          </cell>
          <cell r="BF124" t="str">
            <v>Wood average</v>
          </cell>
        </row>
        <row r="125">
          <cell r="G125" t="str">
            <v>Bilandzija et al. (2012)</v>
          </cell>
          <cell r="BF125" t="str">
            <v>Wood average</v>
          </cell>
        </row>
        <row r="126">
          <cell r="G126" t="str">
            <v>Bilandzija et al. (2012)</v>
          </cell>
          <cell r="BF126" t="str">
            <v>Wood average</v>
          </cell>
        </row>
        <row r="127">
          <cell r="G127" t="str">
            <v>Bilandzija et al. (2012), ECN (2017) (2)</v>
          </cell>
          <cell r="BF127" t="str">
            <v>Wood average</v>
          </cell>
        </row>
        <row r="128">
          <cell r="G128" t="str">
            <v>Bilandzija et al. (2012)</v>
          </cell>
          <cell r="BF128" t="str">
            <v>Wood average</v>
          </cell>
        </row>
        <row r="129">
          <cell r="G129" t="str">
            <v>Fruits average</v>
          </cell>
          <cell r="BF129" t="str">
            <v>Wood average</v>
          </cell>
        </row>
        <row r="130">
          <cell r="G130" t="str">
            <v>Bilandzija et al. (2012)</v>
          </cell>
          <cell r="BF130" t="str">
            <v>Wood average</v>
          </cell>
        </row>
        <row r="131">
          <cell r="G131" t="str">
            <v>Bilandzija et al. (2012)</v>
          </cell>
          <cell r="BF131" t="str">
            <v>Wood average</v>
          </cell>
        </row>
        <row r="132">
          <cell r="G132" t="str">
            <v>Broad-leave tree</v>
          </cell>
          <cell r="BF132" t="str">
            <v>Wood average</v>
          </cell>
        </row>
        <row r="133">
          <cell r="G133" t="str">
            <v>Bilandzija et al. (2012), Grechi et al. (2007) (3) (average of main and lateral stem), ECN (2017) (7)</v>
          </cell>
          <cell r="BF133" t="str">
            <v>Grechi et al. (2007)</v>
          </cell>
        </row>
        <row r="136">
          <cell r="G136" t="str">
            <v>Average of available data, Parikh et al. (2007) mango, orchard</v>
          </cell>
          <cell r="BF136" t="str">
            <v>Fruits, other</v>
          </cell>
        </row>
        <row r="138">
          <cell r="G138" t="str">
            <v>Ono et al. (2009), Parikh et al. (2007)</v>
          </cell>
          <cell r="BF138" t="str">
            <v>Wood average</v>
          </cell>
        </row>
        <row r="139">
          <cell r="G139" t="str">
            <v>Parikh et al. (2007)</v>
          </cell>
          <cell r="BF139" t="str">
            <v>Wood average</v>
          </cell>
        </row>
        <row r="140">
          <cell r="G140" t="str">
            <v>Parikh et al. (2007)</v>
          </cell>
          <cell r="BF140" t="str">
            <v>Wood average</v>
          </cell>
        </row>
        <row r="141">
          <cell r="G141" t="str">
            <v>Wood average</v>
          </cell>
          <cell r="BF141" t="str">
            <v>Wood average</v>
          </cell>
        </row>
        <row r="142">
          <cell r="G142" t="str">
            <v>Parikh et al. (2007)</v>
          </cell>
          <cell r="BF142" t="str">
            <v>Australian forests. Gifford (2000)</v>
          </cell>
        </row>
        <row r="143">
          <cell r="G143" t="str">
            <v>Parikh et al. (2007) (Loblolly pine, red wood)</v>
          </cell>
          <cell r="BF143" t="str">
            <v>Wood average</v>
          </cell>
        </row>
        <row r="144">
          <cell r="G144" t="str">
            <v>Parikh et al. (2007), Delas and Molot (1983)</v>
          </cell>
          <cell r="BF144" t="str">
            <v>Wood average</v>
          </cell>
        </row>
        <row r="145">
          <cell r="G145" t="str">
            <v>Parikh et al. (2007)</v>
          </cell>
          <cell r="BF145" t="str">
            <v>Wood average</v>
          </cell>
        </row>
        <row r="146">
          <cell r="G146" t="str">
            <v>Parikh et al. (2007) (Canyon live oak, Alabama oak)</v>
          </cell>
          <cell r="BF146" t="str">
            <v>Wood average</v>
          </cell>
        </row>
        <row r="147">
          <cell r="G147" t="str">
            <v>Wood average</v>
          </cell>
          <cell r="BF147" t="str">
            <v>Wood average</v>
          </cell>
        </row>
        <row r="148">
          <cell r="G148" t="str">
            <v>Parikh et al. (2007) Subabul, babul</v>
          </cell>
          <cell r="BF148" t="str">
            <v>Wood average</v>
          </cell>
        </row>
        <row r="149">
          <cell r="G149" t="str">
            <v>Average of available data. Includes crop tree categories. Paula et al. (2011) (2), Parikh et al. (2007) (chips)</v>
          </cell>
          <cell r="BF149" t="str">
            <v>Average of available data</v>
          </cell>
        </row>
        <row r="150">
          <cell r="G150" t="str">
            <v>Parikh et al. (2007) Madrone</v>
          </cell>
          <cell r="BF150" t="str">
            <v>Wood average</v>
          </cell>
        </row>
        <row r="151">
          <cell r="G151" t="str">
            <v>Wood average</v>
          </cell>
          <cell r="BF151" t="str">
            <v>Wood average</v>
          </cell>
        </row>
        <row r="152">
          <cell r="G152" t="str">
            <v>Wood average</v>
          </cell>
          <cell r="BF152" t="str">
            <v>Wood average</v>
          </cell>
        </row>
        <row r="153">
          <cell r="G153" t="str">
            <v>Wood average</v>
          </cell>
        </row>
        <row r="154">
          <cell r="G154" t="str">
            <v>Wood average</v>
          </cell>
        </row>
        <row r="156">
          <cell r="G156" t="str">
            <v>Grass average</v>
          </cell>
          <cell r="BF156" t="str">
            <v>Plant average</v>
          </cell>
        </row>
        <row r="157">
          <cell r="G157" t="str">
            <v>Grass average</v>
          </cell>
          <cell r="BF157" t="str">
            <v>Plant average</v>
          </cell>
        </row>
        <row r="158">
          <cell r="G158" t="str">
            <v>Grass average</v>
          </cell>
          <cell r="BF158" t="str">
            <v>Plant average</v>
          </cell>
        </row>
        <row r="159">
          <cell r="G159" t="str">
            <v>Grass average</v>
          </cell>
          <cell r="BF159" t="str">
            <v>Plant average</v>
          </cell>
        </row>
        <row r="160">
          <cell r="G160" t="str">
            <v>Grass average</v>
          </cell>
          <cell r="BF160" t="str">
            <v>Plant average</v>
          </cell>
        </row>
        <row r="161">
          <cell r="G161" t="str">
            <v>Grass average</v>
          </cell>
          <cell r="BF161" t="str">
            <v>Plant average</v>
          </cell>
        </row>
        <row r="162">
          <cell r="G162" t="str">
            <v>Grass average</v>
          </cell>
          <cell r="BF162" t="str">
            <v>Plant average</v>
          </cell>
        </row>
        <row r="163">
          <cell r="G163" t="str">
            <v>Grass average</v>
          </cell>
          <cell r="BF163" t="str">
            <v>Plant average</v>
          </cell>
        </row>
        <row r="164">
          <cell r="G164" t="str">
            <v>Grass average</v>
          </cell>
          <cell r="BF164" t="str">
            <v>Plant average</v>
          </cell>
        </row>
        <row r="165">
          <cell r="G165" t="str">
            <v>Grass average</v>
          </cell>
          <cell r="BF165" t="str">
            <v>Plant average</v>
          </cell>
        </row>
        <row r="166">
          <cell r="G166" t="str">
            <v>Grass average</v>
          </cell>
          <cell r="BF166" t="str">
            <v>Plant average</v>
          </cell>
        </row>
        <row r="167">
          <cell r="G167" t="str">
            <v>Grass average</v>
          </cell>
          <cell r="BF167" t="str">
            <v>Plant average</v>
          </cell>
        </row>
        <row r="168">
          <cell r="G168" t="str">
            <v>Chaves et al. (2004), Henriksen et al. (1999)</v>
          </cell>
          <cell r="BF168" t="str">
            <v>Redin et al. (2014)</v>
          </cell>
        </row>
        <row r="169">
          <cell r="G169" t="str">
            <v>Grass average</v>
          </cell>
          <cell r="BF169" t="str">
            <v>Plant average</v>
          </cell>
        </row>
        <row r="170">
          <cell r="G170" t="str">
            <v>Frankerberger and Abdelmagid (1985), Parikh et al. (2007), Raiesi (2006), Johnson et al (2007), Delas and Molot (1983), ECN (2017) (9)</v>
          </cell>
          <cell r="BF170" t="str">
            <v>Johnson et al. (2007)</v>
          </cell>
        </row>
        <row r="171">
          <cell r="G171" t="str">
            <v>Grass average</v>
          </cell>
          <cell r="BF171" t="str">
            <v>Plant average</v>
          </cell>
        </row>
        <row r="172">
          <cell r="G172" t="str">
            <v>Grass average</v>
          </cell>
          <cell r="BF172" t="str">
            <v>Redin et al. (2014)</v>
          </cell>
        </row>
        <row r="173">
          <cell r="G173" t="str">
            <v>Grass average</v>
          </cell>
          <cell r="BF173" t="str">
            <v>Plant average</v>
          </cell>
        </row>
        <row r="174">
          <cell r="G174" t="str">
            <v>Lynch et al. (2016), Parikh et al. (2007)</v>
          </cell>
          <cell r="BF174" t="str">
            <v>Plant average</v>
          </cell>
        </row>
        <row r="175">
          <cell r="G175" t="str">
            <v>Grass average</v>
          </cell>
          <cell r="BF175" t="str">
            <v>Plant average</v>
          </cell>
        </row>
        <row r="176">
          <cell r="G176" t="str">
            <v>Frankerberger and Abdelmagid (1985), Havstad et al. (2009), Henriksen et al. (1999) (white and red)</v>
          </cell>
          <cell r="BF176" t="str">
            <v>Plant average</v>
          </cell>
        </row>
        <row r="177">
          <cell r="G177" t="str">
            <v>Grass average</v>
          </cell>
          <cell r="BF177" t="str">
            <v>Plant average</v>
          </cell>
        </row>
        <row r="178">
          <cell r="G178" t="str">
            <v>Grass average</v>
          </cell>
          <cell r="BF178" t="str">
            <v>Plant average</v>
          </cell>
        </row>
        <row r="179">
          <cell r="G179" t="str">
            <v>Grass average</v>
          </cell>
          <cell r="BF179" t="str">
            <v>Plant average</v>
          </cell>
        </row>
        <row r="180">
          <cell r="G180" t="str">
            <v>Grass average</v>
          </cell>
          <cell r="BF180" t="str">
            <v>Plant average</v>
          </cell>
        </row>
        <row r="181">
          <cell r="G181" t="str">
            <v>Grass average</v>
          </cell>
          <cell r="BF181" t="str">
            <v>Plant average</v>
          </cell>
        </row>
        <row r="182">
          <cell r="G182" t="str">
            <v>Grass average</v>
          </cell>
          <cell r="BF182" t="str">
            <v>Plant average</v>
          </cell>
        </row>
        <row r="183">
          <cell r="G183" t="str">
            <v>Grass average</v>
          </cell>
          <cell r="BF183" t="str">
            <v>Redin et al. (2014)</v>
          </cell>
        </row>
        <row r="184">
          <cell r="G184" t="str">
            <v>Lynch et al. (2016)</v>
          </cell>
          <cell r="BF184" t="str">
            <v>Plant average</v>
          </cell>
        </row>
        <row r="185">
          <cell r="G185" t="str">
            <v>Grass average</v>
          </cell>
          <cell r="BF185" t="str">
            <v>Plant average</v>
          </cell>
        </row>
        <row r="186">
          <cell r="G186" t="str">
            <v>Grass average</v>
          </cell>
          <cell r="BF186" t="str">
            <v>Plant average</v>
          </cell>
        </row>
        <row r="187">
          <cell r="G187" t="str">
            <v>Grass average</v>
          </cell>
          <cell r="BF187" t="str">
            <v>Plant average</v>
          </cell>
        </row>
        <row r="188">
          <cell r="G188" t="str">
            <v>Havstad et al. (2009)</v>
          </cell>
          <cell r="BF188" t="str">
            <v>Plant average</v>
          </cell>
        </row>
        <row r="189">
          <cell r="G189" t="str">
            <v>Grass average</v>
          </cell>
          <cell r="BF189" t="str">
            <v>Plant average</v>
          </cell>
        </row>
        <row r="190">
          <cell r="G190" t="str">
            <v>Johnson et al. (2007), ECN (2017) (13)</v>
          </cell>
          <cell r="BF190" t="str">
            <v>Johnson et al. (2007)</v>
          </cell>
        </row>
        <row r="191">
          <cell r="G191" t="str">
            <v>Grass average</v>
          </cell>
          <cell r="BF191" t="str">
            <v>Plant average</v>
          </cell>
        </row>
        <row r="192">
          <cell r="G192" t="str">
            <v>Havstad et al. (2009) Timothy</v>
          </cell>
          <cell r="BF192" t="str">
            <v>Plant average</v>
          </cell>
        </row>
        <row r="193">
          <cell r="G193" t="str">
            <v>Lynch et al. (2016) (2), Frankerberger and Abdelmagid (1985), Gosh et al. (2012) (Sesbania), O Danga et al. (2013) (chickpea), Bremer et al. (1991) (lentils)</v>
          </cell>
          <cell r="BF193" t="str">
            <v>Redin et al. (2014)</v>
          </cell>
        </row>
        <row r="194">
          <cell r="G194" t="str">
            <v>Grass average</v>
          </cell>
          <cell r="BF194" t="str">
            <v>Plant average</v>
          </cell>
        </row>
        <row r="195">
          <cell r="G195" t="str">
            <v>Grass average</v>
          </cell>
          <cell r="BF195" t="str">
            <v>Plant average</v>
          </cell>
        </row>
        <row r="196">
          <cell r="G196" t="str">
            <v>Chaves et al. (2004) (white mustard: stems and leaves)</v>
          </cell>
          <cell r="BF196" t="str">
            <v>Plant average</v>
          </cell>
        </row>
        <row r="197">
          <cell r="G197" t="str">
            <v>Grass average</v>
          </cell>
          <cell r="BF197" t="str">
            <v>Plant average</v>
          </cell>
        </row>
        <row r="198">
          <cell r="G198" t="str">
            <v>Grass average</v>
          </cell>
          <cell r="BF198" t="str">
            <v>Plant average</v>
          </cell>
        </row>
        <row r="199">
          <cell r="G199" t="str">
            <v>Grass average</v>
          </cell>
          <cell r="BF199" t="str">
            <v>Plant average</v>
          </cell>
        </row>
        <row r="200">
          <cell r="G200" t="str">
            <v>Average of available data</v>
          </cell>
          <cell r="BF200" t="str">
            <v>Average of available data</v>
          </cell>
        </row>
        <row r="201">
          <cell r="G201" t="str">
            <v>ECN (2017)</v>
          </cell>
          <cell r="BF201" t="str">
            <v>Plant average</v>
          </cell>
        </row>
        <row r="202">
          <cell r="G202" t="str">
            <v>Grass average</v>
          </cell>
          <cell r="BF202" t="str">
            <v>Plant average</v>
          </cell>
        </row>
        <row r="262">
          <cell r="G262" t="str">
            <v>Delas and Molot (1983)</v>
          </cell>
        </row>
        <row r="311">
          <cell r="G311" t="str">
            <v>Mondini et al. (2017), Cayuela et al. (2009)</v>
          </cell>
        </row>
        <row r="313">
          <cell r="G313" t="str">
            <v>Mondini et al. (2017)</v>
          </cell>
        </row>
        <row r="314">
          <cell r="G314" t="str">
            <v>Mondini et al. (2017)</v>
          </cell>
        </row>
        <row r="328">
          <cell r="G328" t="str">
            <v>Pettygrove et al. 2010 (corral scrappings and mechanical screen solids), Levi-Minzi et al. (1990), Chadwick et al. (2000), Miller et al. (2003) (straw and chips bedding), ECN (2017) (3), Yamulki (2006) (8), Titonell et al. (2010) (2: heap open air and under roof)</v>
          </cell>
        </row>
        <row r="329">
          <cell r="G329" t="str">
            <v>FY manure</v>
          </cell>
        </row>
        <row r="330">
          <cell r="G330" t="str">
            <v>Chastain and Moore (2014)</v>
          </cell>
        </row>
        <row r="331">
          <cell r="G331" t="str">
            <v>Average of available data, Gosh et al. (2012), Delas and Molot (1983), Iakimenko et al. (1996)</v>
          </cell>
        </row>
        <row r="332">
          <cell r="G332" t="str">
            <v>Griffiths (2011), Chadwick et al. (2000) (broilers and layers), ECN (2017) (13), Edwards and Daniels (1992)</v>
          </cell>
        </row>
        <row r="334">
          <cell r="G334" t="str">
            <v>Antezana et al. (2016)</v>
          </cell>
        </row>
        <row r="335">
          <cell r="G335" t="str">
            <v>Pettygrove et al. 2010, Triberti et al. (2008), Chadwick et al. (2000), Amon et al. (2006) (after 5 different treatments)</v>
          </cell>
        </row>
        <row r="336">
          <cell r="G336" t="str">
            <v>Average of available data</v>
          </cell>
        </row>
        <row r="337">
          <cell r="G337" t="str">
            <v>Titonell et al. (2010), Chen et al. (2003) (x3), Thomsen et al. (2013), Triberti et al. (2008), Jarvis et al. (1995) (11: dung (10) and urine (1) from grazing (9) and housed (1) dairy and beef), Kirchmann and Witter (1992) (dung)</v>
          </cell>
        </row>
        <row r="338">
          <cell r="G338" t="str">
            <v>Mafongoya et al. (2000) (dung of goats) (5), Jarvis et al. (1995) (dung of sheep, housed)</v>
          </cell>
        </row>
        <row r="339">
          <cell r="G339" t="str">
            <v>Chastain and Moore (2014)</v>
          </cell>
        </row>
        <row r="340">
          <cell r="G340" t="str">
            <v>Kirchmann and Witter (1992) (dung)</v>
          </cell>
        </row>
        <row r="341">
          <cell r="G341" t="str">
            <v>Griffiths (2011), Levi-Minzi et al. (1990), Kirchmann and Witter (1992) (dung+urine), Edwards and Daniels (1992)</v>
          </cell>
        </row>
        <row r="342">
          <cell r="G342" t="str">
            <v>Average of available data</v>
          </cell>
        </row>
        <row r="343">
          <cell r="G343" t="str">
            <v>Katterer et al. (2011), Boiffin et al. (1986), Plaza et al. (2016), Levi-Minzi et al. (1990), Mondini et al. (2017), Iakimenko et al. (1996)</v>
          </cell>
        </row>
        <row r="344">
          <cell r="G344" t="str">
            <v>Plaza et al. (2016), Levi-Minzi et al. (1990), Mondini et al. (2017), ECN, 2017 (6)</v>
          </cell>
        </row>
        <row r="345">
          <cell r="G345" t="str">
            <v>Katterer et al. (2011)</v>
          </cell>
        </row>
        <row r="346">
          <cell r="G346" t="str">
            <v>Pettygrove et al. (2010), Mondini et al. (2017) (3 treat.)</v>
          </cell>
        </row>
      </sheetData>
      <sheetData sheetId="2">
        <row r="5">
          <cell r="G5" t="str">
            <v>Cereals average</v>
          </cell>
          <cell r="AK5" t="str">
            <v>Herbaceous average</v>
          </cell>
        </row>
        <row r="6">
          <cell r="G6" t="str">
            <v>Cereals average</v>
          </cell>
          <cell r="AK6" t="str">
            <v>Herbaceous average</v>
          </cell>
        </row>
        <row r="7">
          <cell r="G7" t="str">
            <v>Cereals average</v>
          </cell>
          <cell r="AK7" t="str">
            <v>Herbaceous average</v>
          </cell>
        </row>
        <row r="8">
          <cell r="G8" t="str">
            <v>Cereals average</v>
          </cell>
          <cell r="AK8" t="str">
            <v>Herbaceous average</v>
          </cell>
        </row>
        <row r="9">
          <cell r="G9" t="str">
            <v>Cereals average</v>
          </cell>
          <cell r="AK9" t="str">
            <v>Herbaceous average</v>
          </cell>
        </row>
        <row r="10">
          <cell r="G10" t="str">
            <v>Cereals average</v>
          </cell>
          <cell r="AK10" t="str">
            <v>Herbaceous average</v>
          </cell>
        </row>
        <row r="11">
          <cell r="G11" t="str">
            <v>Delas and Molot (1983), Thomsen and Christensen (2004)</v>
          </cell>
          <cell r="AK11" t="str">
            <v>Herbaceous average</v>
          </cell>
        </row>
        <row r="12">
          <cell r="G12" t="str">
            <v>Boiffin et al. (1986), Barber 1979, Plenet et al. 1993, Delas and Molot (1983), Thomsen and Christensen (2010)</v>
          </cell>
          <cell r="AK12" t="str">
            <v>Bolinder et al. (1999), Barber (1979) (2), Plenet et al. (1993) (2)</v>
          </cell>
        </row>
        <row r="13">
          <cell r="G13" t="str">
            <v>Katterer et al. (2011), Andren and Katterer (1997), Boiffin et al. (1986)</v>
          </cell>
          <cell r="AK13" t="str">
            <v>Herbaceous average</v>
          </cell>
        </row>
        <row r="14">
          <cell r="G14" t="str">
            <v>Cereals average</v>
          </cell>
          <cell r="AK14" t="str">
            <v>Herbaceous average</v>
          </cell>
        </row>
        <row r="16">
          <cell r="G16" t="str">
            <v>Modern varieties</v>
          </cell>
          <cell r="AK16" t="str">
            <v>Herbaceous average</v>
          </cell>
        </row>
        <row r="17">
          <cell r="G17" t="str">
            <v>Modern varieties</v>
          </cell>
          <cell r="AK17" t="str">
            <v>Herbaceous average</v>
          </cell>
        </row>
        <row r="18">
          <cell r="G18" t="str">
            <v>Modern varieties</v>
          </cell>
          <cell r="AK18" t="str">
            <v>Herbaceous average</v>
          </cell>
        </row>
        <row r="19">
          <cell r="G19" t="str">
            <v>Modern varieties</v>
          </cell>
          <cell r="AK19" t="str">
            <v>Herbaceous average</v>
          </cell>
        </row>
        <row r="20">
          <cell r="G20" t="str">
            <v>Modern varieties</v>
          </cell>
          <cell r="AK20" t="str">
            <v>Herbaceous average</v>
          </cell>
        </row>
        <row r="22">
          <cell r="G22" t="str">
            <v>Legumes , other</v>
          </cell>
          <cell r="AK22" t="str">
            <v>Herbaceous average</v>
          </cell>
        </row>
        <row r="23">
          <cell r="G23" t="str">
            <v>Legumes , other</v>
          </cell>
          <cell r="AK23" t="str">
            <v>Herbaceous average</v>
          </cell>
        </row>
        <row r="24">
          <cell r="G24" t="str">
            <v>Legumes , other</v>
          </cell>
          <cell r="AK24" t="str">
            <v>Herbaceous average</v>
          </cell>
        </row>
        <row r="25">
          <cell r="G25" t="str">
            <v>Legumes , other</v>
          </cell>
          <cell r="AK25" t="str">
            <v>Herbaceous average</v>
          </cell>
        </row>
        <row r="26">
          <cell r="G26" t="str">
            <v>Legumes , other</v>
          </cell>
          <cell r="AK26" t="str">
            <v>Herbaceous average</v>
          </cell>
        </row>
        <row r="27">
          <cell r="G27" t="str">
            <v>Legumes , other</v>
          </cell>
          <cell r="AK27" t="str">
            <v>Herbaceous average</v>
          </cell>
        </row>
        <row r="28">
          <cell r="G28" t="str">
            <v>Boiffin et al. (1986) (8%. Excluido por ser igual para todas las legumbres)</v>
          </cell>
          <cell r="AK28" t="str">
            <v>Herbaceous average</v>
          </cell>
        </row>
        <row r="29">
          <cell r="G29" t="str">
            <v>Boiffin et al. (1986) (8%. Excluido por ser igual para todas las legumbres)</v>
          </cell>
          <cell r="AK29" t="str">
            <v>Herbaceous average</v>
          </cell>
        </row>
        <row r="30">
          <cell r="G30" t="str">
            <v>Legumes , other</v>
          </cell>
          <cell r="AK30" t="str">
            <v>Herbaceous average</v>
          </cell>
        </row>
        <row r="31">
          <cell r="G31" t="str">
            <v>Boiffin et al. (1986) (8%. Excluido por ser igual para todas las legumbres)</v>
          </cell>
          <cell r="AK31" t="str">
            <v>Herbaceous average</v>
          </cell>
        </row>
        <row r="32">
          <cell r="G32" t="str">
            <v>Boiffin et al. (1986)</v>
          </cell>
          <cell r="AK32" t="str">
            <v>Herbaceous average</v>
          </cell>
        </row>
        <row r="34">
          <cell r="G34" t="str">
            <v>Roots, other</v>
          </cell>
          <cell r="AK34" t="str">
            <v>Herbaceous average</v>
          </cell>
        </row>
        <row r="35">
          <cell r="G35" t="str">
            <v>Roots, other</v>
          </cell>
          <cell r="AK35" t="str">
            <v>Herbaceous average</v>
          </cell>
        </row>
        <row r="36">
          <cell r="G36" t="str">
            <v>Vleeshowers and Verhagen (2002)</v>
          </cell>
          <cell r="AK36" t="str">
            <v>Herbaceous average</v>
          </cell>
        </row>
        <row r="37">
          <cell r="G37" t="str">
            <v>Roots, other</v>
          </cell>
          <cell r="AK37" t="str">
            <v>Herbaceous average</v>
          </cell>
        </row>
        <row r="38">
          <cell r="G38" t="str">
            <v>Herbaceous average</v>
          </cell>
          <cell r="AK38" t="str">
            <v>Herbaceous average</v>
          </cell>
        </row>
        <row r="39">
          <cell r="G39" t="str">
            <v>"Roots, average" transformed to dry equivalents</v>
          </cell>
          <cell r="AK39" t="str">
            <v>Herbaceous average</v>
          </cell>
        </row>
        <row r="41">
          <cell r="G41" t="str">
            <v>Vegetables, other</v>
          </cell>
          <cell r="AK41" t="str">
            <v>Herbaceous average</v>
          </cell>
        </row>
        <row r="42">
          <cell r="G42" t="str">
            <v>Vegetables, other</v>
          </cell>
          <cell r="AK42" t="str">
            <v>Herbaceous average</v>
          </cell>
        </row>
        <row r="43">
          <cell r="G43" t="str">
            <v>Vegetables, other</v>
          </cell>
          <cell r="AK43" t="str">
            <v>Herbaceous average</v>
          </cell>
        </row>
        <row r="44">
          <cell r="G44" t="str">
            <v>Vegetables, other</v>
          </cell>
          <cell r="AK44" t="str">
            <v>Herbaceous average</v>
          </cell>
        </row>
        <row r="45">
          <cell r="G45" t="str">
            <v>Vegetables, other</v>
          </cell>
          <cell r="AK45" t="str">
            <v>Herbaceous average</v>
          </cell>
        </row>
        <row r="46">
          <cell r="G46" t="str">
            <v>Vegetables, other</v>
          </cell>
          <cell r="AK46" t="str">
            <v>Herbaceous average</v>
          </cell>
        </row>
        <row r="47">
          <cell r="G47" t="str">
            <v>Vegetables, other</v>
          </cell>
          <cell r="AK47" t="str">
            <v>Herbaceous average</v>
          </cell>
        </row>
        <row r="48">
          <cell r="G48" t="str">
            <v>Vegetables, other</v>
          </cell>
          <cell r="AK48" t="str">
            <v>Herbaceous average</v>
          </cell>
        </row>
        <row r="49">
          <cell r="AK49" t="str">
            <v>Herbaceous average</v>
          </cell>
        </row>
        <row r="50">
          <cell r="G50" t="str">
            <v>Vegetables, other</v>
          </cell>
          <cell r="AK50" t="str">
            <v>Herbaceous average</v>
          </cell>
        </row>
        <row r="51">
          <cell r="G51" t="str">
            <v>Vegetables, other</v>
          </cell>
          <cell r="AK51" t="str">
            <v>Herbaceous average</v>
          </cell>
        </row>
        <row r="52">
          <cell r="G52" t="str">
            <v>Vegetables, other</v>
          </cell>
          <cell r="AK52" t="str">
            <v>Herbaceous average</v>
          </cell>
        </row>
        <row r="53">
          <cell r="G53" t="str">
            <v>Vegetables, other</v>
          </cell>
          <cell r="AK53" t="str">
            <v>Herbaceous average</v>
          </cell>
        </row>
        <row r="54">
          <cell r="G54" t="str">
            <v>Vegetables, other</v>
          </cell>
          <cell r="AK54" t="str">
            <v>Herbaceous average</v>
          </cell>
        </row>
        <row r="55">
          <cell r="G55" t="str">
            <v>Vegetables, other</v>
          </cell>
          <cell r="AK55" t="str">
            <v>Herbaceous average</v>
          </cell>
        </row>
        <row r="56">
          <cell r="G56" t="str">
            <v>Vegetables, other</v>
          </cell>
          <cell r="AK56" t="str">
            <v>Herbaceous average</v>
          </cell>
        </row>
        <row r="57">
          <cell r="G57" t="str">
            <v>Vegetables, other</v>
          </cell>
          <cell r="AK57" t="str">
            <v>Herbaceous average</v>
          </cell>
        </row>
        <row r="58">
          <cell r="G58" t="str">
            <v>Vegetables, other</v>
          </cell>
          <cell r="AK58" t="str">
            <v>Herbaceous average</v>
          </cell>
        </row>
        <row r="59">
          <cell r="G59" t="str">
            <v>Vegetables, other</v>
          </cell>
          <cell r="AK59" t="str">
            <v>Herbaceous average</v>
          </cell>
        </row>
        <row r="60">
          <cell r="G60" t="str">
            <v>Vegetables, other</v>
          </cell>
          <cell r="AK60" t="str">
            <v>Herbaceous average</v>
          </cell>
        </row>
        <row r="61">
          <cell r="G61" t="str">
            <v>Vegetables, other</v>
          </cell>
          <cell r="AK61" t="str">
            <v>Herbaceous average</v>
          </cell>
        </row>
        <row r="62">
          <cell r="G62" t="str">
            <v>Vegetables, other</v>
          </cell>
          <cell r="AK62" t="str">
            <v>Herbaceous average</v>
          </cell>
        </row>
        <row r="63">
          <cell r="G63" t="str">
            <v>Vegetables, other</v>
          </cell>
          <cell r="AK63" t="str">
            <v>Herbaceous average</v>
          </cell>
        </row>
        <row r="64">
          <cell r="G64" t="str">
            <v>Vegetables, other</v>
          </cell>
          <cell r="AK64" t="str">
            <v>Herbaceous average</v>
          </cell>
        </row>
        <row r="65">
          <cell r="G65" t="str">
            <v>Vegetables, other</v>
          </cell>
          <cell r="AK65" t="str">
            <v>Herbaceous average</v>
          </cell>
        </row>
        <row r="66">
          <cell r="G66" t="str">
            <v>Vegetables, other</v>
          </cell>
          <cell r="AK66" t="str">
            <v>Herbaceous average</v>
          </cell>
        </row>
        <row r="67">
          <cell r="G67" t="str">
            <v>Vegetables, other</v>
          </cell>
          <cell r="AK67" t="str">
            <v>Herbaceous average</v>
          </cell>
        </row>
        <row r="68">
          <cell r="G68" t="str">
            <v>Vegetables, other</v>
          </cell>
          <cell r="AK68" t="str">
            <v>Herbaceous average</v>
          </cell>
        </row>
        <row r="69">
          <cell r="G69" t="str">
            <v>Vegetables, other</v>
          </cell>
          <cell r="AK69" t="str">
            <v>Herbaceous average</v>
          </cell>
        </row>
        <row r="70">
          <cell r="G70" t="str">
            <v>Vegetables, other</v>
          </cell>
          <cell r="AK70" t="str">
            <v>Herbaceous average</v>
          </cell>
        </row>
        <row r="71">
          <cell r="G71" t="str">
            <v>Vegetables, other</v>
          </cell>
          <cell r="AK71" t="str">
            <v>Herbaceous average</v>
          </cell>
        </row>
        <row r="72">
          <cell r="G72" t="str">
            <v>Vegetables, other</v>
          </cell>
          <cell r="AK72" t="str">
            <v>Herbaceous average</v>
          </cell>
        </row>
        <row r="73">
          <cell r="G73" t="str">
            <v>Vegetables, other</v>
          </cell>
          <cell r="AK73" t="str">
            <v>Herbaceous average</v>
          </cell>
        </row>
        <row r="74">
          <cell r="G74" t="str">
            <v>Vegetables, other</v>
          </cell>
          <cell r="AK74" t="str">
            <v>Herbaceous average</v>
          </cell>
        </row>
        <row r="75">
          <cell r="G75" t="str">
            <v>Vegetables, other</v>
          </cell>
          <cell r="AK75" t="str">
            <v>Herbaceous average</v>
          </cell>
        </row>
        <row r="76">
          <cell r="G76" t="str">
            <v>Vegetables, other</v>
          </cell>
          <cell r="AK76" t="str">
            <v>Herbaceous average</v>
          </cell>
        </row>
        <row r="77">
          <cell r="G77" t="str">
            <v>Herbaceous average</v>
          </cell>
          <cell r="AK77" t="str">
            <v>Herbaceous average</v>
          </cell>
        </row>
        <row r="79">
          <cell r="G79" t="str">
            <v>Boiffin et al. (1986)</v>
          </cell>
          <cell r="AK79" t="str">
            <v>Herbaceous average</v>
          </cell>
        </row>
        <row r="80">
          <cell r="G80" t="str">
            <v>Boiffin et al. (1986)</v>
          </cell>
          <cell r="AK80" t="str">
            <v>Herbaceous average</v>
          </cell>
        </row>
        <row r="81">
          <cell r="G81" t="str">
            <v>Oilseeds, other</v>
          </cell>
          <cell r="AK81" t="str">
            <v>Herbaceous average</v>
          </cell>
        </row>
        <row r="82">
          <cell r="G82" t="str">
            <v>Fiber, other</v>
          </cell>
          <cell r="AK82" t="str">
            <v>Herbaceous average</v>
          </cell>
        </row>
        <row r="83">
          <cell r="G83" t="str">
            <v>Spices, other</v>
          </cell>
          <cell r="AK83" t="str">
            <v>Herbaceous average</v>
          </cell>
        </row>
        <row r="84">
          <cell r="G84" t="str">
            <v>Oilseeds, other</v>
          </cell>
          <cell r="AK84" t="str">
            <v>Herbaceous average</v>
          </cell>
        </row>
        <row r="85">
          <cell r="G85" t="str">
            <v>Spices, other</v>
          </cell>
          <cell r="AK85" t="str">
            <v>Herbaceous average</v>
          </cell>
        </row>
        <row r="86">
          <cell r="G86" t="str">
            <v>Spices, other</v>
          </cell>
          <cell r="AK86" t="str">
            <v>Herbaceous average</v>
          </cell>
        </row>
        <row r="87">
          <cell r="G87" t="str">
            <v>Fiber, other</v>
          </cell>
          <cell r="AK87" t="str">
            <v>Herbaceous average</v>
          </cell>
        </row>
        <row r="88">
          <cell r="G88" t="str">
            <v>Oilseeds, other</v>
          </cell>
          <cell r="AK88" t="str">
            <v>Herbaceous average</v>
          </cell>
        </row>
        <row r="89">
          <cell r="G89" t="str">
            <v>Oilseeds, other</v>
          </cell>
          <cell r="AK89" t="str">
            <v>Herbaceous average</v>
          </cell>
        </row>
        <row r="90">
          <cell r="G90" t="str">
            <v>Spices, other</v>
          </cell>
          <cell r="AK90" t="str">
            <v>Herbaceous average</v>
          </cell>
        </row>
        <row r="91">
          <cell r="G91" t="str">
            <v>Oilseeds, other</v>
          </cell>
          <cell r="AK91" t="str">
            <v>Herbaceous average</v>
          </cell>
        </row>
        <row r="92">
          <cell r="G92" t="str">
            <v>Spices, other</v>
          </cell>
          <cell r="AK92" t="str">
            <v>Herbaceous average</v>
          </cell>
        </row>
        <row r="93">
          <cell r="G93" t="str">
            <v>Spices, other</v>
          </cell>
          <cell r="AK93" t="str">
            <v>Herbaceous average</v>
          </cell>
        </row>
        <row r="94">
          <cell r="G94" t="str">
            <v>Oilseeds, other</v>
          </cell>
          <cell r="AK94" t="str">
            <v>Herbaceous average</v>
          </cell>
        </row>
        <row r="95">
          <cell r="G95" t="str">
            <v>Oilseeds, other</v>
          </cell>
          <cell r="AK95" t="str">
            <v>Herbaceous average</v>
          </cell>
        </row>
        <row r="96">
          <cell r="G96" t="str">
            <v>Herbaceous average</v>
          </cell>
          <cell r="AK96" t="str">
            <v>Herbaceous average</v>
          </cell>
        </row>
        <row r="97">
          <cell r="G97" t="str">
            <v>Fiber, other</v>
          </cell>
          <cell r="AK97" t="str">
            <v>Herbaceous average</v>
          </cell>
        </row>
        <row r="98">
          <cell r="G98" t="str">
            <v>Spices, other</v>
          </cell>
          <cell r="AK98" t="str">
            <v>Herbaceous average</v>
          </cell>
        </row>
        <row r="99">
          <cell r="G99" t="str">
            <v>Oilseeds, other</v>
          </cell>
          <cell r="AK99" t="str">
            <v>Herbaceous average</v>
          </cell>
        </row>
        <row r="100">
          <cell r="G100" t="str">
            <v>Herbaceous average</v>
          </cell>
          <cell r="AK100" t="str">
            <v>Herbaceous average</v>
          </cell>
        </row>
        <row r="101">
          <cell r="G101" t="str">
            <v>Herbaceous average</v>
          </cell>
          <cell r="AK101" t="str">
            <v>Herbaceous average</v>
          </cell>
        </row>
        <row r="102">
          <cell r="G102" t="str">
            <v>Average of available data</v>
          </cell>
          <cell r="AK102" t="str">
            <v>Herbaceous average</v>
          </cell>
        </row>
        <row r="104">
          <cell r="G104" t="str">
            <v>Fruits average</v>
          </cell>
          <cell r="AK104" t="str">
            <v>Herbaceous average</v>
          </cell>
        </row>
        <row r="105">
          <cell r="G105" t="str">
            <v>Fruits average</v>
          </cell>
          <cell r="AK105" t="str">
            <v>Herbaceous average</v>
          </cell>
        </row>
        <row r="106">
          <cell r="G106" t="str">
            <v>Fruits average</v>
          </cell>
          <cell r="AK106" t="str">
            <v>Herbaceous average</v>
          </cell>
        </row>
        <row r="107">
          <cell r="G107" t="str">
            <v>Fruits average</v>
          </cell>
          <cell r="AK107" t="str">
            <v>Herbaceous average</v>
          </cell>
        </row>
        <row r="108">
          <cell r="G108" t="str">
            <v>Fruits average</v>
          </cell>
          <cell r="AK108" t="str">
            <v>Herbaceous average</v>
          </cell>
        </row>
        <row r="109">
          <cell r="G109" t="str">
            <v>Fruits average</v>
          </cell>
          <cell r="AK109" t="str">
            <v>Herbaceous average</v>
          </cell>
        </row>
        <row r="110">
          <cell r="G110" t="str">
            <v>Fruits average</v>
          </cell>
          <cell r="AK110" t="str">
            <v>Herbaceous average</v>
          </cell>
        </row>
        <row r="111">
          <cell r="G111" t="str">
            <v>Fruits average</v>
          </cell>
          <cell r="AK111" t="str">
            <v>Herbaceous average</v>
          </cell>
        </row>
        <row r="112">
          <cell r="G112" t="str">
            <v>Fruits average</v>
          </cell>
          <cell r="AK112" t="str">
            <v>Herbaceous average</v>
          </cell>
        </row>
        <row r="113">
          <cell r="G113" t="str">
            <v>Fruits average</v>
          </cell>
          <cell r="AK113" t="str">
            <v>Herbaceous average</v>
          </cell>
        </row>
        <row r="114">
          <cell r="G114" t="str">
            <v>Fruits average</v>
          </cell>
          <cell r="AK114" t="str">
            <v>Herbaceous average</v>
          </cell>
        </row>
        <row r="115">
          <cell r="G115" t="str">
            <v>Fruits average</v>
          </cell>
          <cell r="AK115" t="str">
            <v>Herbaceous average</v>
          </cell>
        </row>
        <row r="116">
          <cell r="G116" t="str">
            <v>Fruits average</v>
          </cell>
          <cell r="AK116" t="str">
            <v>Herbaceous average</v>
          </cell>
        </row>
        <row r="117">
          <cell r="G117" t="str">
            <v>Fruits average</v>
          </cell>
          <cell r="AK117" t="str">
            <v>Herbaceous average</v>
          </cell>
        </row>
        <row r="118">
          <cell r="G118" t="str">
            <v>Fruits average</v>
          </cell>
          <cell r="AK118" t="str">
            <v>Herbaceous average</v>
          </cell>
        </row>
        <row r="119">
          <cell r="G119" t="str">
            <v>Fruits average</v>
          </cell>
          <cell r="AK119" t="str">
            <v>Herbaceous average</v>
          </cell>
        </row>
        <row r="120">
          <cell r="G120" t="str">
            <v>Fruits average</v>
          </cell>
          <cell r="AK120" t="str">
            <v>Herbaceous average</v>
          </cell>
        </row>
        <row r="121">
          <cell r="G121" t="str">
            <v>Fruits average</v>
          </cell>
          <cell r="AK121" t="str">
            <v>Herbaceous average</v>
          </cell>
        </row>
        <row r="122">
          <cell r="G122" t="str">
            <v>Fruits average</v>
          </cell>
          <cell r="AK122" t="str">
            <v>Herbaceous average</v>
          </cell>
        </row>
        <row r="123">
          <cell r="G123" t="str">
            <v>Fruits average</v>
          </cell>
          <cell r="AK123" t="str">
            <v>Herbaceous average</v>
          </cell>
        </row>
        <row r="124">
          <cell r="G124" t="str">
            <v>Fruits average</v>
          </cell>
          <cell r="AK124" t="str">
            <v>Herbaceous average</v>
          </cell>
        </row>
        <row r="125">
          <cell r="G125" t="str">
            <v>Fruits average</v>
          </cell>
          <cell r="AK125" t="str">
            <v>Herbaceous average</v>
          </cell>
        </row>
        <row r="126">
          <cell r="G126" t="str">
            <v>Fruits average</v>
          </cell>
          <cell r="AK126" t="str">
            <v>Herbaceous average</v>
          </cell>
        </row>
        <row r="127">
          <cell r="G127" t="str">
            <v>Fruits average</v>
          </cell>
          <cell r="AK127" t="str">
            <v>Herbaceous average</v>
          </cell>
        </row>
        <row r="128">
          <cell r="G128" t="str">
            <v>Sofo et al. (2005)</v>
          </cell>
          <cell r="AK128" t="str">
            <v>Herbaceous average</v>
          </cell>
        </row>
        <row r="129">
          <cell r="G129" t="str">
            <v>Fruits average</v>
          </cell>
          <cell r="AK129" t="str">
            <v>Herbaceous average</v>
          </cell>
        </row>
        <row r="130">
          <cell r="G130" t="str">
            <v>Fruits average</v>
          </cell>
          <cell r="AK130" t="str">
            <v>Herbaceous average</v>
          </cell>
        </row>
        <row r="131">
          <cell r="G131" t="str">
            <v>Fruits average</v>
          </cell>
          <cell r="AK131" t="str">
            <v>Herbaceous average</v>
          </cell>
        </row>
        <row r="132">
          <cell r="G132" t="str">
            <v>Fruits average</v>
          </cell>
          <cell r="AK132" t="str">
            <v>Herbaceous average</v>
          </cell>
        </row>
        <row r="133">
          <cell r="G133" t="str">
            <v>Fruits average</v>
          </cell>
          <cell r="AK133" t="str">
            <v>Herbaceous average</v>
          </cell>
        </row>
        <row r="134">
          <cell r="G134" t="str">
            <v>Fruits average</v>
          </cell>
          <cell r="AK134" t="str">
            <v>Herbaceous average</v>
          </cell>
        </row>
        <row r="135">
          <cell r="G135" t="str">
            <v>Fruits average</v>
          </cell>
          <cell r="AK135" t="str">
            <v>Herbaceous average</v>
          </cell>
        </row>
        <row r="136">
          <cell r="G136" t="str">
            <v>Average of available data, Bosco et al. (2012) (from Fregoni 1989)</v>
          </cell>
          <cell r="AK136" t="str">
            <v>Herbaceous average</v>
          </cell>
        </row>
        <row r="138">
          <cell r="AK138" t="str">
            <v>Woody average</v>
          </cell>
        </row>
        <row r="139">
          <cell r="AK139" t="str">
            <v>Woody average</v>
          </cell>
        </row>
        <row r="140">
          <cell r="AK140" t="str">
            <v>Woody average</v>
          </cell>
        </row>
        <row r="141">
          <cell r="AK141" t="str">
            <v>Woody average</v>
          </cell>
        </row>
        <row r="142">
          <cell r="AK142" t="str">
            <v>Woody average</v>
          </cell>
        </row>
        <row r="143">
          <cell r="G143" t="str">
            <v>Zhou et al. (2016)</v>
          </cell>
          <cell r="AK143" t="str">
            <v>Zhou et al. (2016)</v>
          </cell>
        </row>
        <row r="144">
          <cell r="G144" t="str">
            <v>Zhou et al. (2016), Delas and Molot (1983)</v>
          </cell>
          <cell r="AK144" t="str">
            <v>Zhou et al. (2016)</v>
          </cell>
        </row>
        <row r="145">
          <cell r="AK145" t="str">
            <v>Woody average</v>
          </cell>
        </row>
        <row r="146">
          <cell r="AK146" t="str">
            <v>Woody average</v>
          </cell>
        </row>
        <row r="147">
          <cell r="AK147" t="str">
            <v>Woody average</v>
          </cell>
        </row>
        <row r="148">
          <cell r="AK148" t="str">
            <v>Woody average</v>
          </cell>
        </row>
        <row r="149">
          <cell r="G149" t="str">
            <v>Average of available data, , Polglase et al. (2000) (average of range limits)</v>
          </cell>
          <cell r="AK149" t="str">
            <v>Average of available data</v>
          </cell>
        </row>
        <row r="150">
          <cell r="AK150" t="str">
            <v>Woody average</v>
          </cell>
        </row>
        <row r="151">
          <cell r="AK151" t="str">
            <v>Woody average</v>
          </cell>
        </row>
        <row r="152">
          <cell r="AK152" t="str">
            <v>Woody average</v>
          </cell>
        </row>
        <row r="153">
          <cell r="AK153" t="str">
            <v>Woody average</v>
          </cell>
        </row>
        <row r="154">
          <cell r="AK154" t="str">
            <v>Woody average</v>
          </cell>
        </row>
        <row r="156">
          <cell r="G156" t="str">
            <v>Herbaceous average</v>
          </cell>
          <cell r="AK156" t="str">
            <v>Herbaceous average</v>
          </cell>
        </row>
        <row r="157">
          <cell r="G157" t="str">
            <v>Herbaceous average</v>
          </cell>
          <cell r="AK157" t="str">
            <v>Herbaceous average</v>
          </cell>
        </row>
        <row r="158">
          <cell r="G158" t="str">
            <v>Herbaceous average</v>
          </cell>
          <cell r="AK158" t="str">
            <v>Herbaceous average</v>
          </cell>
        </row>
        <row r="159">
          <cell r="G159" t="str">
            <v>Herbaceous average</v>
          </cell>
          <cell r="AK159" t="str">
            <v>Herbaceous average</v>
          </cell>
        </row>
        <row r="160">
          <cell r="G160" t="str">
            <v>Herbaceous average</v>
          </cell>
          <cell r="AK160" t="str">
            <v>Herbaceous average</v>
          </cell>
        </row>
        <row r="161">
          <cell r="G161" t="str">
            <v>Herbaceous average</v>
          </cell>
          <cell r="AK161" t="str">
            <v>Herbaceous average</v>
          </cell>
        </row>
        <row r="162">
          <cell r="G162" t="str">
            <v>Herbaceous average</v>
          </cell>
          <cell r="AK162" t="str">
            <v>Herbaceous average</v>
          </cell>
        </row>
        <row r="163">
          <cell r="G163" t="str">
            <v>Herbaceous average</v>
          </cell>
          <cell r="AK163" t="str">
            <v>Herbaceous average</v>
          </cell>
        </row>
        <row r="164">
          <cell r="G164" t="str">
            <v>Herbaceous average</v>
          </cell>
          <cell r="AK164" t="str">
            <v>Herbaceous average</v>
          </cell>
        </row>
        <row r="165">
          <cell r="G165" t="str">
            <v>Herbaceous average</v>
          </cell>
          <cell r="AK165" t="str">
            <v>Herbaceous average</v>
          </cell>
        </row>
        <row r="166">
          <cell r="G166" t="str">
            <v>Herbaceous average</v>
          </cell>
          <cell r="AK166" t="str">
            <v>Herbaceous average</v>
          </cell>
        </row>
        <row r="167">
          <cell r="AK167" t="str">
            <v>Herbaceous average</v>
          </cell>
        </row>
        <row r="168">
          <cell r="G168" t="str">
            <v>Herbaceous average</v>
          </cell>
          <cell r="AK168" t="str">
            <v>Herbaceous average</v>
          </cell>
        </row>
        <row r="169">
          <cell r="G169" t="str">
            <v>Herbaceous average</v>
          </cell>
          <cell r="AK169" t="str">
            <v>Herbaceous average</v>
          </cell>
        </row>
        <row r="170">
          <cell r="G170" t="str">
            <v>Boiffin et al. (1986)</v>
          </cell>
          <cell r="AK170" t="str">
            <v>Herbaceous average</v>
          </cell>
        </row>
        <row r="171">
          <cell r="G171" t="str">
            <v>Herbaceous average</v>
          </cell>
          <cell r="AK171" t="str">
            <v>Herbaceous average</v>
          </cell>
        </row>
        <row r="172">
          <cell r="G172" t="str">
            <v>Herbaceous average</v>
          </cell>
          <cell r="AK172" t="str">
            <v>Herbaceous average</v>
          </cell>
        </row>
        <row r="173">
          <cell r="G173" t="str">
            <v>Herbaceous average</v>
          </cell>
          <cell r="AK173" t="str">
            <v>Herbaceous average</v>
          </cell>
        </row>
        <row r="174">
          <cell r="G174" t="str">
            <v>Herbaceous average</v>
          </cell>
          <cell r="AK174" t="str">
            <v>Herbaceous average</v>
          </cell>
        </row>
        <row r="175">
          <cell r="G175" t="str">
            <v>Herbaceous average</v>
          </cell>
          <cell r="AK175" t="str">
            <v>Herbaceous average</v>
          </cell>
        </row>
        <row r="176">
          <cell r="G176" t="str">
            <v>Herbaceous average</v>
          </cell>
          <cell r="AK176" t="str">
            <v>Herbaceous average</v>
          </cell>
        </row>
        <row r="177">
          <cell r="G177" t="str">
            <v>Herbaceous average</v>
          </cell>
          <cell r="AK177" t="str">
            <v>Herbaceous average</v>
          </cell>
        </row>
        <row r="178">
          <cell r="G178" t="str">
            <v>Herbaceous average</v>
          </cell>
          <cell r="AK178" t="str">
            <v>Herbaceous average</v>
          </cell>
        </row>
        <row r="179">
          <cell r="G179" t="str">
            <v>Herbaceous average</v>
          </cell>
          <cell r="AK179" t="str">
            <v>Herbaceous average</v>
          </cell>
        </row>
        <row r="180">
          <cell r="G180" t="str">
            <v>Herbaceous average</v>
          </cell>
          <cell r="AK180" t="str">
            <v>Herbaceous average</v>
          </cell>
        </row>
        <row r="181">
          <cell r="G181" t="str">
            <v>Herbaceous average</v>
          </cell>
          <cell r="AK181" t="str">
            <v>Herbaceous average</v>
          </cell>
        </row>
        <row r="182">
          <cell r="G182" t="str">
            <v>Herbaceous average</v>
          </cell>
          <cell r="AK182" t="str">
            <v>Herbaceous average</v>
          </cell>
        </row>
        <row r="183">
          <cell r="G183" t="str">
            <v>Herbaceous average</v>
          </cell>
          <cell r="AK183" t="str">
            <v>Herbaceous average</v>
          </cell>
        </row>
        <row r="184">
          <cell r="G184" t="str">
            <v>Boiffin et al. (1986)</v>
          </cell>
          <cell r="AK184" t="str">
            <v>Herbaceous average</v>
          </cell>
        </row>
        <row r="185">
          <cell r="G185" t="str">
            <v>Herbaceous average</v>
          </cell>
          <cell r="AK185" t="str">
            <v>Herbaceous average</v>
          </cell>
        </row>
        <row r="186">
          <cell r="G186" t="str">
            <v>Herbaceous average</v>
          </cell>
          <cell r="AK186" t="str">
            <v>Herbaceous average</v>
          </cell>
        </row>
        <row r="187">
          <cell r="G187" t="str">
            <v>Herbaceous average</v>
          </cell>
          <cell r="AK187" t="str">
            <v>Herbaceous average</v>
          </cell>
        </row>
        <row r="188">
          <cell r="G188" t="str">
            <v>Herbaceous average</v>
          </cell>
          <cell r="AK188" t="str">
            <v>Herbaceous average</v>
          </cell>
        </row>
        <row r="189">
          <cell r="G189" t="str">
            <v>Herbaceous average</v>
          </cell>
          <cell r="AK189" t="str">
            <v>Herbaceous average</v>
          </cell>
        </row>
        <row r="190">
          <cell r="G190" t="str">
            <v>Herbaceous average</v>
          </cell>
          <cell r="AK190" t="str">
            <v>Herbaceous average</v>
          </cell>
        </row>
        <row r="191">
          <cell r="G191" t="str">
            <v>Herbaceous average</v>
          </cell>
          <cell r="AK191" t="str">
            <v>Herbaceous average</v>
          </cell>
        </row>
        <row r="192">
          <cell r="G192" t="str">
            <v>Herbaceous average</v>
          </cell>
          <cell r="AK192" t="str">
            <v>Herbaceous average</v>
          </cell>
        </row>
        <row r="193">
          <cell r="G193" t="str">
            <v>Herbaceous average</v>
          </cell>
          <cell r="AK193" t="str">
            <v>Herbaceous average</v>
          </cell>
        </row>
        <row r="194">
          <cell r="G194" t="str">
            <v>Herbaceous average</v>
          </cell>
          <cell r="AK194" t="str">
            <v>Herbaceous average</v>
          </cell>
        </row>
        <row r="195">
          <cell r="G195" t="str">
            <v>Herbaceous average</v>
          </cell>
          <cell r="AK195" t="str">
            <v>Herbaceous average</v>
          </cell>
        </row>
        <row r="196">
          <cell r="G196" t="str">
            <v>Herbaceous average</v>
          </cell>
          <cell r="AK196" t="str">
            <v>Herbaceous average</v>
          </cell>
        </row>
        <row r="197">
          <cell r="G197" t="str">
            <v>Herbaceous average</v>
          </cell>
          <cell r="AK197" t="str">
            <v>Herbaceous average</v>
          </cell>
        </row>
        <row r="198">
          <cell r="G198" t="str">
            <v>Herbaceous average</v>
          </cell>
          <cell r="AK198" t="str">
            <v>Herbaceous average</v>
          </cell>
        </row>
        <row r="199">
          <cell r="G199" t="str">
            <v>Herbaceous average</v>
          </cell>
          <cell r="AK199" t="str">
            <v>Herbaceous average</v>
          </cell>
        </row>
        <row r="200">
          <cell r="G200" t="str">
            <v>Herbaceous average</v>
          </cell>
          <cell r="AK200" t="str">
            <v>Herbaceous average</v>
          </cell>
        </row>
        <row r="201">
          <cell r="G201" t="str">
            <v>Herbaceous average</v>
          </cell>
        </row>
        <row r="202">
          <cell r="G202" t="str">
            <v>Herbaceous average</v>
          </cell>
        </row>
        <row r="203">
          <cell r="G203" t="str">
            <v>Average of available data, Berti et al. (2016)</v>
          </cell>
          <cell r="AK203" t="str">
            <v>Katterer et al. (2011), Boiffin et al. (1986), Berti et al. (2016), Brock et al. (2012), Bertora et al. (2012), Plenet et al. (1993) (2), Barber (1979) (2), Bolider et al. (1999) (3), Angers et al. (1995)</v>
          </cell>
        </row>
        <row r="262">
          <cell r="G262" t="str">
            <v>Delas and Molot (1983)</v>
          </cell>
        </row>
        <row r="331">
          <cell r="G331" t="str">
            <v>Katterer et al. (2011) (First order), Andren and Katterer (1997), Boiffin et al. (1986), Berti et al. (2016), Bertora et al. (2012), Delas and Molot (1983), Bhogal et al. (2007), Maillard et al. (2014), Thomsen and Christensen (2004)</v>
          </cell>
        </row>
        <row r="335">
          <cell r="G335" t="str">
            <v>Berti et al. (2016), Bertora et al. (2012)</v>
          </cell>
        </row>
        <row r="343">
          <cell r="G343" t="str">
            <v>Katterer et al. (2011) (scenario 4), Andren and Katterer (1997), Boiffin et al. (1986), Bhogal et al. (2007) (digested and raw)</v>
          </cell>
        </row>
        <row r="344">
          <cell r="G344" t="str">
            <v>Manure</v>
          </cell>
        </row>
        <row r="345">
          <cell r="G345" t="str">
            <v>Katterer et al. (2011) (scenario 4)</v>
          </cell>
        </row>
        <row r="346">
          <cell r="G346" t="str">
            <v>Bhogal et al. (2007)</v>
          </cell>
        </row>
      </sheetData>
      <sheetData sheetId="3"/>
      <sheetData sheetId="4"/>
      <sheetData sheetId="5"/>
      <sheetData sheetId="6"/>
      <sheetData sheetId="7"/>
      <sheetData sheetId="8"/>
      <sheetData sheetId="9">
        <row r="104">
          <cell r="B104" t="str">
            <v>Cocoa beans</v>
          </cell>
        </row>
        <row r="105">
          <cell r="B105" t="str">
            <v>Coffee</v>
          </cell>
        </row>
        <row r="106">
          <cell r="B106" t="str">
            <v>Coconut</v>
          </cell>
        </row>
        <row r="107">
          <cell r="B107" t="str">
            <v>Pineapple</v>
          </cell>
        </row>
        <row r="108">
          <cell r="B108" t="str">
            <v>Dates</v>
          </cell>
        </row>
        <row r="109">
          <cell r="B109" t="str">
            <v>Carob</v>
          </cell>
        </row>
        <row r="138">
          <cell r="B138" t="str">
            <v>European beech</v>
          </cell>
        </row>
        <row r="139">
          <cell r="B139" t="str">
            <v>Spruce</v>
          </cell>
        </row>
        <row r="140">
          <cell r="B140" t="str">
            <v>Poplar</v>
          </cell>
        </row>
        <row r="141">
          <cell r="B141" t="str">
            <v>Willow, Sallow</v>
          </cell>
        </row>
        <row r="142">
          <cell r="B142" t="str">
            <v>Eucalyptus</v>
          </cell>
        </row>
        <row r="143">
          <cell r="B143" t="str">
            <v>Conifers</v>
          </cell>
        </row>
        <row r="144">
          <cell r="B144" t="str">
            <v>Bark (conifers)</v>
          </cell>
        </row>
        <row r="145">
          <cell r="B145" t="str">
            <v>Bark (broad-leaved tree)</v>
          </cell>
        </row>
        <row r="146">
          <cell r="B146" t="str">
            <v>Broad-leaved tree</v>
          </cell>
        </row>
        <row r="147">
          <cell r="B147" t="str">
            <v>Temperate wood</v>
          </cell>
        </row>
        <row r="148">
          <cell r="B148" t="str">
            <v>Tropical wood</v>
          </cell>
        </row>
        <row r="149">
          <cell r="B149" t="str">
            <v>Average wood</v>
          </cell>
        </row>
        <row r="153">
          <cell r="B153" t="str">
            <v>Paper</v>
          </cell>
        </row>
        <row r="154">
          <cell r="B154" t="str">
            <v>Charcoal</v>
          </cell>
        </row>
        <row r="200">
          <cell r="B200" t="str">
            <v>Grass</v>
          </cell>
        </row>
        <row r="201">
          <cell r="B201" t="str">
            <v>Temperate grassland</v>
          </cell>
        </row>
        <row r="202">
          <cell r="B202" t="str">
            <v>Tropical/subtropical grassland</v>
          </cell>
        </row>
        <row r="254">
          <cell r="B254" t="str">
            <v>Brewers grains</v>
          </cell>
        </row>
        <row r="255">
          <cell r="B255" t="str">
            <v>DDGS Barley</v>
          </cell>
        </row>
        <row r="256">
          <cell r="B256" t="str">
            <v>DDGS Maize</v>
          </cell>
        </row>
        <row r="257">
          <cell r="B257" t="str">
            <v>DDGS Sorghum</v>
          </cell>
        </row>
        <row r="258">
          <cell r="B258" t="str">
            <v>DDGS Wheat</v>
          </cell>
        </row>
        <row r="259">
          <cell r="B259" t="str">
            <v>Citrus pulp</v>
          </cell>
        </row>
        <row r="260">
          <cell r="B260" t="str">
            <v>Grape pulp</v>
          </cell>
        </row>
        <row r="261">
          <cell r="B261" t="str">
            <v>Olive mill waste</v>
          </cell>
        </row>
        <row r="262">
          <cell r="B262" t="str">
            <v>Wine industry waste</v>
          </cell>
        </row>
        <row r="263">
          <cell r="B263" t="str">
            <v>Olive leaves</v>
          </cell>
        </row>
        <row r="327">
          <cell r="B327" t="str">
            <v>Manure and residues</v>
          </cell>
        </row>
        <row r="328">
          <cell r="B328" t="str">
            <v>Bovine FY manure</v>
          </cell>
        </row>
        <row r="329">
          <cell r="B329" t="str">
            <v>Ovine FY manure</v>
          </cell>
        </row>
        <row r="330">
          <cell r="B330" t="str">
            <v>Equine FY manure</v>
          </cell>
        </row>
        <row r="331">
          <cell r="B331" t="str">
            <v>FY Manure</v>
          </cell>
        </row>
        <row r="332">
          <cell r="B332" t="str">
            <v>Poultry litter</v>
          </cell>
        </row>
        <row r="333">
          <cell r="B333" t="str">
            <v>Pig manure</v>
          </cell>
        </row>
        <row r="334">
          <cell r="B334" t="str">
            <v>Pig slurry</v>
          </cell>
        </row>
        <row r="335">
          <cell r="B335" t="str">
            <v>Bovine slurry</v>
          </cell>
        </row>
        <row r="336">
          <cell r="B336" t="str">
            <v>Slurry</v>
          </cell>
        </row>
        <row r="337">
          <cell r="B337" t="str">
            <v>Bovine manure as excreted</v>
          </cell>
        </row>
        <row r="338">
          <cell r="B338" t="str">
            <v>Ovine manure as excreted</v>
          </cell>
        </row>
        <row r="339">
          <cell r="B339" t="str">
            <v>Equine manure as excreted</v>
          </cell>
        </row>
        <row r="340">
          <cell r="B340" t="str">
            <v>Pig manure as excreted</v>
          </cell>
        </row>
        <row r="341">
          <cell r="B341" t="str">
            <v>Poultry manure as excreted</v>
          </cell>
        </row>
        <row r="342">
          <cell r="B342" t="str">
            <v>Manure as excreted</v>
          </cell>
        </row>
        <row r="343">
          <cell r="B343" t="str">
            <v>Sewage sludge</v>
          </cell>
        </row>
        <row r="344">
          <cell r="B344" t="str">
            <v>Municipal solid waste, composted</v>
          </cell>
        </row>
        <row r="345">
          <cell r="B345" t="str">
            <v>Peat</v>
          </cell>
        </row>
        <row r="346">
          <cell r="B346" t="str">
            <v>Compost</v>
          </cell>
        </row>
        <row r="347">
          <cell r="B347" t="str">
            <v>Pig slurry digestate</v>
          </cell>
        </row>
        <row r="348">
          <cell r="B348" t="str">
            <v>Bovine slurry digestate</v>
          </cell>
        </row>
        <row r="349">
          <cell r="B349" t="str">
            <v>Biochar</v>
          </cell>
        </row>
      </sheetData>
      <sheetData sheetId="10"/>
      <sheetData sheetId="11"/>
      <sheetData sheetId="12"/>
      <sheetData sheetId="13">
        <row r="3">
          <cell r="B3" t="str">
            <v>Oats</v>
          </cell>
          <cell r="C3">
            <v>8470</v>
          </cell>
          <cell r="D3">
            <v>3393.3333333333335</v>
          </cell>
          <cell r="E3">
            <v>0.4024040558156538</v>
          </cell>
        </row>
        <row r="4">
          <cell r="B4" t="str">
            <v>Barley</v>
          </cell>
          <cell r="C4">
            <v>9536.8681415653082</v>
          </cell>
          <cell r="D4">
            <v>1543.9522916269068</v>
          </cell>
          <cell r="E4">
            <v>0.2101117854410646</v>
          </cell>
        </row>
        <row r="5">
          <cell r="B5" t="str">
            <v>Canary grass</v>
          </cell>
          <cell r="C5">
            <v>1021.5</v>
          </cell>
          <cell r="D5">
            <v>1487</v>
          </cell>
          <cell r="E5">
            <v>1.5</v>
          </cell>
        </row>
        <row r="6">
          <cell r="B6" t="str">
            <v>Sorghum</v>
          </cell>
          <cell r="C6"/>
          <cell r="D6"/>
          <cell r="E6">
            <v>8.6206896551724144E-2</v>
          </cell>
        </row>
        <row r="7">
          <cell r="B7" t="str">
            <v>Wheat</v>
          </cell>
          <cell r="C7">
            <v>10193.175483870968</v>
          </cell>
          <cell r="D7">
            <v>2028.6683870967743</v>
          </cell>
          <cell r="E7">
            <v>0.20340943141706594</v>
          </cell>
        </row>
        <row r="8">
          <cell r="B8" t="str">
            <v>Triticale</v>
          </cell>
          <cell r="C8">
            <v>16260</v>
          </cell>
          <cell r="D8">
            <v>3115</v>
          </cell>
          <cell r="E8">
            <v>0.19156071095726268</v>
          </cell>
        </row>
        <row r="9">
          <cell r="B9" t="str">
            <v>Maize</v>
          </cell>
          <cell r="C9">
            <v>13585.466666666667</v>
          </cell>
          <cell r="D9">
            <v>4615.7777777777774</v>
          </cell>
          <cell r="E9">
            <v>0.24305480860228931</v>
          </cell>
        </row>
        <row r="10">
          <cell r="B10" t="str">
            <v>Cereals (old varieties)</v>
          </cell>
          <cell r="C10"/>
          <cell r="D10"/>
          <cell r="E10"/>
        </row>
        <row r="11">
          <cell r="B11" t="str">
            <v>Wheat old</v>
          </cell>
          <cell r="C11">
            <v>6224</v>
          </cell>
          <cell r="D11">
            <v>3972</v>
          </cell>
          <cell r="E11">
            <v>0.64</v>
          </cell>
        </row>
        <row r="12">
          <cell r="B12" t="str">
            <v>Legumes</v>
          </cell>
          <cell r="C12"/>
          <cell r="D12"/>
          <cell r="E12"/>
        </row>
        <row r="13">
          <cell r="B13" t="str">
            <v>Soyabeans</v>
          </cell>
          <cell r="C13">
            <v>4686.166666666667</v>
          </cell>
          <cell r="D13">
            <v>3330.8333333333335</v>
          </cell>
          <cell r="E13">
            <v>0.38854427583023488</v>
          </cell>
        </row>
        <row r="14">
          <cell r="B14" t="str">
            <v>Pea, green, with pod</v>
          </cell>
          <cell r="C14">
            <v>6220</v>
          </cell>
          <cell r="D14">
            <v>340</v>
          </cell>
          <cell r="E14">
            <v>5.9117579383341001E-2</v>
          </cell>
        </row>
        <row r="15">
          <cell r="B15" t="str">
            <v>Fava bean</v>
          </cell>
          <cell r="C15"/>
          <cell r="D15"/>
          <cell r="E15">
            <v>0.60333333333333339</v>
          </cell>
        </row>
        <row r="16">
          <cell r="B16" t="str">
            <v>Industrial crops</v>
          </cell>
          <cell r="C16"/>
          <cell r="D16"/>
          <cell r="E16"/>
        </row>
        <row r="17">
          <cell r="B17" t="str">
            <v>Sugar beet</v>
          </cell>
          <cell r="C17"/>
          <cell r="D17"/>
          <cell r="E17">
            <v>14.29</v>
          </cell>
        </row>
        <row r="18">
          <cell r="B18" t="str">
            <v>Hemp fiber</v>
          </cell>
          <cell r="C18">
            <v>15300</v>
          </cell>
          <cell r="D18">
            <v>2810</v>
          </cell>
          <cell r="E18">
            <v>0.18366013071895426</v>
          </cell>
        </row>
        <row r="19">
          <cell r="B19" t="str">
            <v>Green fodder</v>
          </cell>
          <cell r="C19"/>
          <cell r="D19"/>
          <cell r="E19"/>
        </row>
        <row r="20">
          <cell r="B20" t="str">
            <v>Brome</v>
          </cell>
          <cell r="C20">
            <v>3013.3333333333335</v>
          </cell>
          <cell r="D20">
            <v>9594.5</v>
          </cell>
          <cell r="E20">
            <v>4.1079537982399374</v>
          </cell>
        </row>
        <row r="21">
          <cell r="B21" t="str">
            <v>Brome grasses</v>
          </cell>
          <cell r="C21"/>
          <cell r="D21"/>
          <cell r="E21">
            <v>2.4444444444444446</v>
          </cell>
        </row>
        <row r="22">
          <cell r="B22" t="str">
            <v>Cocksfoot</v>
          </cell>
          <cell r="C22">
            <v>721.5</v>
          </cell>
          <cell r="D22">
            <v>836</v>
          </cell>
          <cell r="E22">
            <v>1.098901098901099</v>
          </cell>
        </row>
        <row r="23">
          <cell r="B23" t="str">
            <v>Fescue grass</v>
          </cell>
          <cell r="C23">
            <v>971.5</v>
          </cell>
          <cell r="D23">
            <v>1300.5</v>
          </cell>
          <cell r="E23">
            <v>1.1263354700854702</v>
          </cell>
        </row>
        <row r="24">
          <cell r="B24" t="str">
            <v>Ryegrasss</v>
          </cell>
          <cell r="C24">
            <v>5683.8888888888887</v>
          </cell>
          <cell r="D24">
            <v>3340</v>
          </cell>
          <cell r="E24">
            <v>0.51353538927310349</v>
          </cell>
        </row>
        <row r="25">
          <cell r="B25" t="str">
            <v>Perennial ryegrass</v>
          </cell>
          <cell r="C25">
            <v>719</v>
          </cell>
          <cell r="D25">
            <v>1101</v>
          </cell>
          <cell r="E25">
            <v>1.5833333333333333</v>
          </cell>
        </row>
        <row r="26">
          <cell r="B26" t="str">
            <v>Alfalfa</v>
          </cell>
          <cell r="C26">
            <v>2051.2342857142858</v>
          </cell>
          <cell r="D26">
            <v>2010.6314285714286</v>
          </cell>
          <cell r="E26">
            <v>1.2040592342104306</v>
          </cell>
        </row>
        <row r="27">
          <cell r="B27" t="str">
            <v>Alfalfa (mixed cropping)</v>
          </cell>
          <cell r="C27"/>
          <cell r="D27"/>
          <cell r="E27">
            <v>1.142857142857143</v>
          </cell>
        </row>
        <row r="28">
          <cell r="B28" t="str">
            <v>Switchgrass</v>
          </cell>
          <cell r="C28">
            <v>656</v>
          </cell>
          <cell r="D28">
            <v>885.5</v>
          </cell>
          <cell r="E28">
            <v>0.98833333333333329</v>
          </cell>
        </row>
        <row r="29">
          <cell r="B29" t="str">
            <v>Cat's-tail</v>
          </cell>
          <cell r="C29">
            <v>862.5</v>
          </cell>
          <cell r="D29">
            <v>1350.5</v>
          </cell>
          <cell r="E29">
            <v>1.4166666666666667</v>
          </cell>
        </row>
        <row r="30">
          <cell r="B30" t="str">
            <v>Rye, green</v>
          </cell>
          <cell r="C30">
            <v>2750.3333333333335</v>
          </cell>
          <cell r="D30">
            <v>2386</v>
          </cell>
          <cell r="E30">
            <v>0.84854807969815627</v>
          </cell>
        </row>
        <row r="31">
          <cell r="B31" t="str">
            <v>Cereal-legume mixture</v>
          </cell>
          <cell r="C31">
            <v>3521.6666666666665</v>
          </cell>
          <cell r="D31">
            <v>2094</v>
          </cell>
          <cell r="E31">
            <v>0.61101696234724401</v>
          </cell>
        </row>
        <row r="32">
          <cell r="B32" t="str">
            <v>Clover</v>
          </cell>
          <cell r="C32">
            <v>3527.6764705882351</v>
          </cell>
          <cell r="D32">
            <v>1441.8999999999999</v>
          </cell>
          <cell r="E32">
            <v>0.55799668177426676</v>
          </cell>
        </row>
        <row r="33">
          <cell r="B33" t="str">
            <v>Subterranean clover</v>
          </cell>
          <cell r="C33"/>
          <cell r="D33"/>
          <cell r="E33">
            <v>0.25</v>
          </cell>
        </row>
        <row r="34">
          <cell r="B34" t="str">
            <v>Maize, green</v>
          </cell>
          <cell r="C34">
            <v>12830</v>
          </cell>
          <cell r="D34">
            <v>1280</v>
          </cell>
          <cell r="E34">
            <v>9.9766173031956354E-2</v>
          </cell>
        </row>
        <row r="35">
          <cell r="B35" t="str">
            <v>Grass</v>
          </cell>
          <cell r="C35"/>
          <cell r="D35"/>
          <cell r="E35">
            <v>0.8</v>
          </cell>
        </row>
        <row r="36">
          <cell r="B36" t="str">
            <v xml:space="preserve">Fruits </v>
          </cell>
          <cell r="C36"/>
          <cell r="D36"/>
          <cell r="E36"/>
        </row>
        <row r="37">
          <cell r="B37" t="str">
            <v>Kiwifruit</v>
          </cell>
          <cell r="C37"/>
          <cell r="D37"/>
          <cell r="E37">
            <v>0.66666666666666674</v>
          </cell>
        </row>
        <row r="38">
          <cell r="B38" t="str">
            <v>Coffee</v>
          </cell>
          <cell r="C38"/>
          <cell r="D38"/>
          <cell r="E38">
            <v>0.2</v>
          </cell>
        </row>
        <row r="39">
          <cell r="B39" t="str">
            <v>Olive</v>
          </cell>
          <cell r="C39">
            <v>17297.916666666668</v>
          </cell>
          <cell r="D39">
            <v>3604.4444444444439</v>
          </cell>
          <cell r="E39">
            <v>0.21</v>
          </cell>
        </row>
        <row r="40">
          <cell r="B40" t="str">
            <v>Avocado</v>
          </cell>
          <cell r="C40"/>
          <cell r="D40"/>
          <cell r="E40">
            <v>0.25</v>
          </cell>
        </row>
        <row r="41">
          <cell r="B41" t="str">
            <v>Forest trees</v>
          </cell>
          <cell r="C41"/>
          <cell r="D41"/>
          <cell r="E41"/>
        </row>
        <row r="42">
          <cell r="B42" t="str">
            <v>Eucalyptus</v>
          </cell>
          <cell r="C42"/>
          <cell r="D42"/>
          <cell r="E42">
            <v>0.27500000000000002</v>
          </cell>
        </row>
        <row r="43">
          <cell r="B43" t="str">
            <v>Poplar</v>
          </cell>
          <cell r="C43"/>
          <cell r="D43"/>
          <cell r="E43">
            <v>0.50132911392405066</v>
          </cell>
        </row>
        <row r="44">
          <cell r="B44" t="str">
            <v>Holm oak</v>
          </cell>
          <cell r="C44">
            <v>40700</v>
          </cell>
          <cell r="D44">
            <v>30300</v>
          </cell>
          <cell r="E44">
            <v>0.84</v>
          </cell>
        </row>
        <row r="45">
          <cell r="B45" t="str">
            <v>Willow, Sallow</v>
          </cell>
          <cell r="C45"/>
          <cell r="D45"/>
          <cell r="E45">
            <v>0.44750000000000001</v>
          </cell>
        </row>
        <row r="46">
          <cell r="B46" t="str">
            <v>Mediterranean shrubland</v>
          </cell>
          <cell r="C46">
            <v>4918.5185185185182</v>
          </cell>
          <cell r="D46">
            <v>13280</v>
          </cell>
          <cell r="E46">
            <v>1.6</v>
          </cell>
        </row>
      </sheetData>
      <sheetData sheetId="14"/>
      <sheetData sheetId="15"/>
      <sheetData sheetId="16">
        <row r="400">
          <cell r="B400" t="str">
            <v>WOOD AND PRUNING</v>
          </cell>
        </row>
        <row r="401">
          <cell r="B401" t="str">
            <v>Mandarin</v>
          </cell>
          <cell r="E401">
            <v>11</v>
          </cell>
        </row>
        <row r="402">
          <cell r="B402" t="str">
            <v>Lemon</v>
          </cell>
          <cell r="E402">
            <v>11</v>
          </cell>
        </row>
        <row r="403">
          <cell r="B403" t="str">
            <v>Orange</v>
          </cell>
          <cell r="E403">
            <v>11.587499999999999</v>
          </cell>
        </row>
        <row r="404">
          <cell r="B404" t="str">
            <v>European beech</v>
          </cell>
          <cell r="E404">
            <v>13.8</v>
          </cell>
        </row>
        <row r="405">
          <cell r="B405" t="str">
            <v>Apple</v>
          </cell>
          <cell r="E405">
            <v>12.646066799999998</v>
          </cell>
        </row>
        <row r="406">
          <cell r="B406" t="str">
            <v>Olive</v>
          </cell>
          <cell r="E406">
            <v>13.164268800000002</v>
          </cell>
        </row>
        <row r="407">
          <cell r="B407" t="str">
            <v>Spruce</v>
          </cell>
          <cell r="E407">
            <v>14.100000000000001</v>
          </cell>
        </row>
        <row r="408">
          <cell r="B408" t="str">
            <v>Poplar</v>
          </cell>
          <cell r="E408">
            <v>13.875</v>
          </cell>
        </row>
        <row r="409">
          <cell r="B409" t="str">
            <v>Apricot</v>
          </cell>
          <cell r="E409">
            <v>13.698657500000001</v>
          </cell>
        </row>
        <row r="410">
          <cell r="B410" t="str">
            <v>Cherry</v>
          </cell>
          <cell r="E410">
            <v>12.492040000000001</v>
          </cell>
        </row>
        <row r="411">
          <cell r="B411" t="str">
            <v>Almonds</v>
          </cell>
          <cell r="E411">
            <v>12.809269199999999</v>
          </cell>
        </row>
        <row r="412">
          <cell r="B412" t="str">
            <v>Peach</v>
          </cell>
          <cell r="E412">
            <v>13.317324000000001</v>
          </cell>
        </row>
        <row r="413">
          <cell r="B413" t="str">
            <v>Pear</v>
          </cell>
          <cell r="E413">
            <v>12.8196846</v>
          </cell>
        </row>
        <row r="414">
          <cell r="B414" t="str">
            <v>Willow, Sallow</v>
          </cell>
          <cell r="E414">
            <v>13.8</v>
          </cell>
        </row>
        <row r="415">
          <cell r="B415" t="str">
            <v>Grapevine</v>
          </cell>
          <cell r="E415">
            <v>12.613094266666668</v>
          </cell>
        </row>
        <row r="416">
          <cell r="B416" t="str">
            <v>Conifers</v>
          </cell>
          <cell r="E416">
            <v>15.231412500000001</v>
          </cell>
        </row>
        <row r="417">
          <cell r="B417" t="str">
            <v>Bark (conifers)</v>
          </cell>
          <cell r="E417">
            <v>15.097728749999998</v>
          </cell>
        </row>
        <row r="418">
          <cell r="B418" t="str">
            <v>Bark (broad-leaved tree)</v>
          </cell>
          <cell r="E418">
            <v>14.664967499999999</v>
          </cell>
        </row>
        <row r="419">
          <cell r="B419" t="str">
            <v>Broad-leaved tree</v>
          </cell>
          <cell r="E419">
            <v>14.515049999999999</v>
          </cell>
        </row>
      </sheetData>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O_areas"/>
      <sheetName val="regions_full"/>
      <sheetName val="country_changes"/>
      <sheetName val="new_old"/>
      <sheetName val="region_krausmann"/>
      <sheetName val="regions_fabio"/>
      <sheetName val="polities_whep"/>
      <sheetName val="polities_cats"/>
      <sheetName val="Animals_codes"/>
      <sheetName val="Names_Liv_Prod"/>
      <sheetName val="CBS_Trade_codes"/>
      <sheetName val="CB_processing"/>
      <sheetName val="items_prod_full"/>
      <sheetName val="items_full"/>
      <sheetName val="CB_processing_primary"/>
      <sheetName val="CB_processing_tidy"/>
      <sheetName val="Names_biomass_CB"/>
      <sheetName val="Names_cats"/>
      <sheetName val="Cats"/>
      <sheetName val="Primary_double"/>
      <sheetName val="FBS_Trade_codes"/>
      <sheetName val="items_proc_fabio"/>
      <sheetName val="Feedstuff_FEDNA"/>
      <sheetName val="FishStat_items"/>
      <sheetName val="Prov"/>
      <sheetName val="Names_Prov"/>
      <sheetName val="FAO_Sp"/>
      <sheetName val="Crops_Eurostat"/>
      <sheetName val="Names_MAPA"/>
      <sheetName val="Names_Lab"/>
      <sheetName val="Cats_eq"/>
      <sheetName val="CB_item"/>
      <sheetName val="HS_FAO_JRC"/>
      <sheetName val="TF_plant_JRC"/>
      <sheetName val="Cats_Murcia"/>
      <sheetName val="Cats_MAPA"/>
      <sheetName val="Names_biomass"/>
      <sheetName val="Biomass_names"/>
      <sheetName val="Crop_Names"/>
      <sheetName val="water_fab"/>
      <sheetName val="conc_water"/>
      <sheetName val="conv_bouwman"/>
      <sheetName val="conv_krausmann"/>
      <sheetName val="HI_changes_krausmann"/>
      <sheetName val="residue_krausmann"/>
      <sheetName val="energy_fab"/>
      <sheetName val="Liv_LU_coefs"/>
      <sheetName val="CBS_c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E2" t="str">
            <v>Phytase</v>
          </cell>
          <cell r="F2" t="str">
            <v>Additives</v>
          </cell>
          <cell r="G2">
            <v>0</v>
          </cell>
          <cell r="H2" t="e">
            <v>#N/A</v>
          </cell>
          <cell r="I2" t="e">
            <v>#N/A</v>
          </cell>
        </row>
        <row r="3">
          <cell r="E3" t="str">
            <v>Phytase</v>
          </cell>
          <cell r="F3" t="str">
            <v>Additives</v>
          </cell>
          <cell r="G3">
            <v>0</v>
          </cell>
          <cell r="H3" t="e">
            <v>#N/A</v>
          </cell>
          <cell r="I3" t="e">
            <v>#N/A</v>
          </cell>
        </row>
        <row r="4">
          <cell r="E4" t="str">
            <v>Palm Oil</v>
          </cell>
          <cell r="F4" t="str">
            <v>Oil</v>
          </cell>
          <cell r="G4" t="str">
            <v>AC. PALMA</v>
          </cell>
          <cell r="H4">
            <v>0</v>
          </cell>
          <cell r="I4">
            <v>0</v>
          </cell>
        </row>
        <row r="5">
          <cell r="E5" t="str">
            <v>Soyabean Oil</v>
          </cell>
          <cell r="F5" t="str">
            <v>Oil</v>
          </cell>
          <cell r="G5" t="str">
            <v>AC. SOJA</v>
          </cell>
          <cell r="H5">
            <v>0</v>
          </cell>
          <cell r="I5">
            <v>0</v>
          </cell>
        </row>
        <row r="6">
          <cell r="E6" t="str">
            <v>Palm Oil</v>
          </cell>
          <cell r="F6" t="str">
            <v>Oil</v>
          </cell>
          <cell r="G6" t="str">
            <v>AC. PALMA</v>
          </cell>
          <cell r="H6">
            <v>0</v>
          </cell>
          <cell r="I6">
            <v>0</v>
          </cell>
        </row>
        <row r="7">
          <cell r="E7" t="str">
            <v>Acid</v>
          </cell>
          <cell r="F7" t="str">
            <v>Additives</v>
          </cell>
          <cell r="G7" t="str">
            <v>ACIDO PROMEDIO</v>
          </cell>
          <cell r="H7" t="e">
            <v>#NAME?</v>
          </cell>
          <cell r="I7">
            <v>0</v>
          </cell>
        </row>
        <row r="8">
          <cell r="E8" t="str">
            <v>Acid</v>
          </cell>
          <cell r="F8" t="str">
            <v>Additives</v>
          </cell>
          <cell r="G8" t="str">
            <v>ACIDO PROMEDIO</v>
          </cell>
          <cell r="H8" t="e">
            <v>#NAME?</v>
          </cell>
        </row>
        <row r="9">
          <cell r="E9" t="str">
            <v>Pesticides</v>
          </cell>
          <cell r="F9" t="str">
            <v>Additives</v>
          </cell>
          <cell r="G9" t="str">
            <v>ADSORBENTE DE MICOTOXINAS</v>
          </cell>
          <cell r="H9" t="e">
            <v>#N/A</v>
          </cell>
          <cell r="I9" t="e">
            <v>#N/A</v>
          </cell>
        </row>
        <row r="10">
          <cell r="E10" t="str">
            <v>Fodder legumes</v>
          </cell>
          <cell r="F10" t="str">
            <v>Fodder_green</v>
          </cell>
          <cell r="G10" t="str">
            <v>ALFALFA HENO PROMEDIO</v>
          </cell>
          <cell r="H10" t="e">
            <v>#N/A</v>
          </cell>
          <cell r="I10" t="e">
            <v>#N/A</v>
          </cell>
        </row>
        <row r="11">
          <cell r="E11" t="str">
            <v>Fodder legumes</v>
          </cell>
          <cell r="F11" t="str">
            <v>Fodder_green</v>
          </cell>
          <cell r="G11" t="str">
            <v>ALFALFA HENO PROMEDIO</v>
          </cell>
          <cell r="H11" t="e">
            <v>#N/A</v>
          </cell>
          <cell r="I11" t="e">
            <v>#N/A</v>
          </cell>
        </row>
        <row r="12">
          <cell r="E12" t="str">
            <v>Cottonseed</v>
          </cell>
          <cell r="F12" t="str">
            <v>Oilseeds</v>
          </cell>
          <cell r="G12" t="str">
            <v>SEMILLA ALGODON</v>
          </cell>
          <cell r="H12">
            <v>9.1</v>
          </cell>
          <cell r="I12">
            <v>20.8</v>
          </cell>
        </row>
        <row r="13">
          <cell r="E13" t="str">
            <v>Starch</v>
          </cell>
          <cell r="F13" t="str">
            <v>Additives</v>
          </cell>
          <cell r="G13" t="str">
            <v>ALMIDON</v>
          </cell>
          <cell r="H13" t="e">
            <v>#N/A</v>
          </cell>
          <cell r="I13" t="e">
            <v>#N/A</v>
          </cell>
        </row>
        <row r="14">
          <cell r="E14" t="str">
            <v>Flavours</v>
          </cell>
          <cell r="F14" t="str">
            <v>Additives</v>
          </cell>
          <cell r="G14" t="str">
            <v>AROMA</v>
          </cell>
          <cell r="H14" t="e">
            <v>#N/A</v>
          </cell>
          <cell r="I14" t="e">
            <v>#N/A</v>
          </cell>
        </row>
        <row r="15">
          <cell r="E15" t="str">
            <v>Oats</v>
          </cell>
          <cell r="F15" t="str">
            <v>Cereals</v>
          </cell>
          <cell r="G15" t="str">
            <v>AVENA</v>
          </cell>
          <cell r="H15">
            <v>9.5</v>
          </cell>
          <cell r="I15">
            <v>9.9</v>
          </cell>
        </row>
        <row r="16">
          <cell r="E16" t="str">
            <v>Fodder cereal and grasses</v>
          </cell>
          <cell r="F16" t="str">
            <v>Fodder_green</v>
          </cell>
          <cell r="G16" t="str">
            <v>AVENA ENSILADO</v>
          </cell>
          <cell r="H16" t="e">
            <v>#N/A</v>
          </cell>
          <cell r="I16" t="e">
            <v>#N/A</v>
          </cell>
        </row>
        <row r="17">
          <cell r="E17" t="str">
            <v>DDGS Barley</v>
          </cell>
          <cell r="F17" t="str">
            <v>Cakes</v>
          </cell>
          <cell r="G17" t="str">
            <v>BAGAZO CERVEZA</v>
          </cell>
          <cell r="H17">
            <v>8.5</v>
          </cell>
          <cell r="I17">
            <v>24.3</v>
          </cell>
        </row>
        <row r="18">
          <cell r="E18" t="str">
            <v>Acorns</v>
          </cell>
          <cell r="F18" t="str">
            <v>Acorns</v>
          </cell>
          <cell r="G18" t="str">
            <v>BELLOTA DECORTICADA</v>
          </cell>
          <cell r="H18">
            <v>42.8</v>
          </cell>
          <cell r="I18">
            <v>3.2</v>
          </cell>
        </row>
        <row r="19">
          <cell r="E19" t="str">
            <v>Bicarbonate</v>
          </cell>
          <cell r="F19" t="str">
            <v>Additives</v>
          </cell>
          <cell r="G19" t="str">
            <v>BICARBONATO SODICO</v>
          </cell>
          <cell r="H19">
            <v>0.2</v>
          </cell>
          <cell r="I19">
            <v>0</v>
          </cell>
        </row>
        <row r="20">
          <cell r="E20" t="str">
            <v>Sodium butyrate</v>
          </cell>
          <cell r="F20" t="str">
            <v>Additives</v>
          </cell>
          <cell r="G20" t="str">
            <v>BUTIRATO SODICO</v>
          </cell>
          <cell r="H20" t="str">
            <v>.</v>
          </cell>
          <cell r="I20">
            <v>0</v>
          </cell>
        </row>
        <row r="21">
          <cell r="E21" t="str">
            <v>Calcium carbonate</v>
          </cell>
          <cell r="F21" t="str">
            <v>Additives</v>
          </cell>
          <cell r="G21" t="str">
            <v>CARBONATO CALCICO</v>
          </cell>
          <cell r="H21">
            <v>2</v>
          </cell>
          <cell r="I21">
            <v>0</v>
          </cell>
        </row>
        <row r="22">
          <cell r="E22" t="str">
            <v>Calcium carbonate</v>
          </cell>
          <cell r="F22" t="str">
            <v>Additives</v>
          </cell>
          <cell r="G22" t="str">
            <v>CARBONATO CALCICO</v>
          </cell>
          <cell r="H22">
            <v>2</v>
          </cell>
          <cell r="I22">
            <v>0</v>
          </cell>
        </row>
        <row r="23">
          <cell r="E23" t="str">
            <v>Calcium carbonate</v>
          </cell>
          <cell r="F23" t="str">
            <v>Additives</v>
          </cell>
          <cell r="G23" t="str">
            <v>CARBONATO CALCICO</v>
          </cell>
          <cell r="H23">
            <v>2</v>
          </cell>
          <cell r="I23">
            <v>0</v>
          </cell>
        </row>
        <row r="24">
          <cell r="E24" t="str">
            <v>Potassium carbonate</v>
          </cell>
          <cell r="F24" t="str">
            <v>Additives</v>
          </cell>
          <cell r="G24" t="str">
            <v>CARBONATO POTASICO</v>
          </cell>
          <cell r="H24" t="e">
            <v>#N/A</v>
          </cell>
          <cell r="I24" t="e">
            <v>#N/A</v>
          </cell>
        </row>
        <row r="25">
          <cell r="E25" t="str">
            <v>Brans</v>
          </cell>
          <cell r="F25" t="str">
            <v>Brans</v>
          </cell>
          <cell r="G25" t="str">
            <v>CASCARILLA AVENA</v>
          </cell>
          <cell r="H25">
            <v>10</v>
          </cell>
          <cell r="I25">
            <v>3.8</v>
          </cell>
        </row>
        <row r="26">
          <cell r="E26" t="str">
            <v>Soy hulls</v>
          </cell>
          <cell r="F26" t="str">
            <v>Brans</v>
          </cell>
          <cell r="G26" t="str">
            <v>CASCARILLA DE SOJA</v>
          </cell>
          <cell r="H26" t="e">
            <v>#N/A</v>
          </cell>
          <cell r="I26" t="e">
            <v>#N/A</v>
          </cell>
        </row>
        <row r="27">
          <cell r="E27" t="str">
            <v>Soy hulls</v>
          </cell>
          <cell r="F27" t="str">
            <v>Brans</v>
          </cell>
          <cell r="G27" t="str">
            <v>CASCARILLA SOJA 10%PB</v>
          </cell>
          <cell r="H27">
            <v>11.7</v>
          </cell>
          <cell r="I27">
            <v>10</v>
          </cell>
        </row>
        <row r="28">
          <cell r="E28" t="str">
            <v>Barley and products</v>
          </cell>
          <cell r="F28" t="str">
            <v>Cereals</v>
          </cell>
          <cell r="G28" t="str">
            <v>CEBADA PROMEDIO</v>
          </cell>
          <cell r="H28">
            <v>10.6</v>
          </cell>
          <cell r="I28">
            <v>10.45</v>
          </cell>
        </row>
        <row r="29">
          <cell r="E29" t="str">
            <v>Barley and products</v>
          </cell>
          <cell r="F29" t="str">
            <v>Cereals</v>
          </cell>
          <cell r="G29" t="str">
            <v>CEBADA 2C 11.3 PB</v>
          </cell>
          <cell r="H29">
            <v>10.1</v>
          </cell>
          <cell r="I29">
            <v>11.3</v>
          </cell>
        </row>
        <row r="30">
          <cell r="E30" t="str">
            <v>Barley and products</v>
          </cell>
          <cell r="F30" t="str">
            <v>Cereals</v>
          </cell>
          <cell r="G30" t="str">
            <v>CEBADA PROMEDIO</v>
          </cell>
          <cell r="H30">
            <v>10.6</v>
          </cell>
          <cell r="I30">
            <v>10.45</v>
          </cell>
        </row>
        <row r="31">
          <cell r="E31" t="str">
            <v>Barley and products</v>
          </cell>
          <cell r="F31" t="str">
            <v>Cereals</v>
          </cell>
          <cell r="G31" t="str">
            <v>CEBADA PROMEDIO</v>
          </cell>
          <cell r="H31">
            <v>10.6</v>
          </cell>
          <cell r="I31">
            <v>10.45</v>
          </cell>
        </row>
        <row r="32">
          <cell r="E32" t="str">
            <v>Barley and products</v>
          </cell>
          <cell r="F32" t="str">
            <v>Cereals</v>
          </cell>
          <cell r="G32" t="str">
            <v>CEBADA PROMEDIO</v>
          </cell>
          <cell r="H32">
            <v>10.6</v>
          </cell>
          <cell r="I32">
            <v>10.45</v>
          </cell>
        </row>
        <row r="33">
          <cell r="E33" t="str">
            <v>Fodder cereal and grasses</v>
          </cell>
          <cell r="F33" t="str">
            <v>Fodder_green</v>
          </cell>
          <cell r="G33" t="str">
            <v>CEBADA SILO PROMEDIO</v>
          </cell>
          <cell r="H33" t="e">
            <v>#N/A</v>
          </cell>
          <cell r="I33" t="e">
            <v>#N/A</v>
          </cell>
        </row>
        <row r="34">
          <cell r="E34" t="str">
            <v>Ammonium chloride</v>
          </cell>
          <cell r="F34" t="str">
            <v>Additives</v>
          </cell>
          <cell r="G34" t="str">
            <v>CLORURO AMONICO</v>
          </cell>
          <cell r="H34" t="e">
            <v>#NAME?</v>
          </cell>
          <cell r="I34">
            <v>163.6</v>
          </cell>
        </row>
        <row r="35">
          <cell r="E35" t="str">
            <v>Choline chloride</v>
          </cell>
          <cell r="F35" t="str">
            <v>Additives</v>
          </cell>
          <cell r="G35">
            <v>0</v>
          </cell>
          <cell r="H35" t="e">
            <v>#N/A</v>
          </cell>
          <cell r="I35" t="e">
            <v>#N/A</v>
          </cell>
        </row>
        <row r="36">
          <cell r="E36" t="str">
            <v>Pesticides</v>
          </cell>
          <cell r="F36" t="str">
            <v>Additives</v>
          </cell>
          <cell r="G36">
            <v>0</v>
          </cell>
          <cell r="H36" t="e">
            <v>#N/A</v>
          </cell>
          <cell r="I36" t="e">
            <v>#N/A</v>
          </cell>
        </row>
        <row r="37">
          <cell r="E37" t="str">
            <v>Rape and Mustard Cake</v>
          </cell>
          <cell r="F37" t="str">
            <v>Cakes</v>
          </cell>
          <cell r="G37" t="str">
            <v>HNA. COLZA 00 SOLVENTES 33%PB</v>
          </cell>
          <cell r="H37">
            <v>11.6</v>
          </cell>
          <cell r="I37">
            <v>33</v>
          </cell>
        </row>
        <row r="38">
          <cell r="E38" t="str">
            <v>Soyabean Cake</v>
          </cell>
          <cell r="F38" t="str">
            <v>Cakes</v>
          </cell>
          <cell r="G38" t="str">
            <v>CONC.PROTEINA SOJA-EXTR.</v>
          </cell>
          <cell r="H38">
            <v>7</v>
          </cell>
          <cell r="I38">
            <v>65</v>
          </cell>
        </row>
        <row r="39">
          <cell r="E39" t="str">
            <v>Vitamins</v>
          </cell>
          <cell r="F39" t="str">
            <v>Additives</v>
          </cell>
          <cell r="G39" t="str">
            <v>CORRECTOR VITAMINICO MINERAL</v>
          </cell>
          <cell r="H39" t="e">
            <v>#N/A</v>
          </cell>
          <cell r="I39" t="e">
            <v>#N/A</v>
          </cell>
        </row>
        <row r="40">
          <cell r="E40" t="str">
            <v>Vitamins</v>
          </cell>
          <cell r="F40" t="str">
            <v>Additives</v>
          </cell>
          <cell r="G40">
            <v>0</v>
          </cell>
          <cell r="H40" t="e">
            <v>#N/A</v>
          </cell>
          <cell r="I40" t="e">
            <v>#N/A</v>
          </cell>
        </row>
        <row r="41">
          <cell r="E41" t="str">
            <v>Vitamins</v>
          </cell>
          <cell r="F41" t="str">
            <v>Additives</v>
          </cell>
          <cell r="G41" t="str">
            <v>CORRECTOR VITAMINICO MINERAL</v>
          </cell>
          <cell r="H41" t="e">
            <v>#N/A</v>
          </cell>
          <cell r="I41" t="e">
            <v>#N/A</v>
          </cell>
        </row>
        <row r="42">
          <cell r="E42" t="str">
            <v>Cake, maize</v>
          </cell>
          <cell r="F42" t="str">
            <v>Cakes</v>
          </cell>
          <cell r="G42" t="str">
            <v>DDGS MAIZ PROMEDIO</v>
          </cell>
          <cell r="H42">
            <v>10.266666666666666</v>
          </cell>
          <cell r="I42">
            <v>27.633333333333336</v>
          </cell>
        </row>
        <row r="43">
          <cell r="E43" t="str">
            <v>Cake, maize</v>
          </cell>
          <cell r="F43" t="str">
            <v>Cakes</v>
          </cell>
          <cell r="G43" t="str">
            <v>DDGS MAIZ PROMEDIO</v>
          </cell>
          <cell r="H43">
            <v>10.266666666666666</v>
          </cell>
          <cell r="I43">
            <v>27.633333333333336</v>
          </cell>
        </row>
        <row r="44">
          <cell r="E44" t="str">
            <v>Enzimes</v>
          </cell>
          <cell r="F44" t="str">
            <v>Additives</v>
          </cell>
          <cell r="G44">
            <v>0</v>
          </cell>
          <cell r="H44" t="e">
            <v>#N/A</v>
          </cell>
          <cell r="I44" t="e">
            <v>#N/A</v>
          </cell>
        </row>
        <row r="45">
          <cell r="E45" t="str">
            <v>Enzimes</v>
          </cell>
          <cell r="F45" t="str">
            <v>Additives</v>
          </cell>
          <cell r="G45">
            <v>0</v>
          </cell>
          <cell r="H45" t="e">
            <v>#N/A</v>
          </cell>
          <cell r="I45" t="e">
            <v>#N/A</v>
          </cell>
        </row>
        <row r="46">
          <cell r="E46" t="str">
            <v>Grassland</v>
          </cell>
          <cell r="F46" t="str">
            <v>Grass</v>
          </cell>
          <cell r="G46" t="str">
            <v>HARINA FORRAJERA MEZCLA (12.5%PB)</v>
          </cell>
          <cell r="H46">
            <v>8.4</v>
          </cell>
          <cell r="I46">
            <v>12.5</v>
          </cell>
        </row>
        <row r="47">
          <cell r="E47" t="str">
            <v>SSP</v>
          </cell>
          <cell r="F47" t="str">
            <v>Additives</v>
          </cell>
          <cell r="G47">
            <v>0</v>
          </cell>
          <cell r="H47" t="e">
            <v>#N/A</v>
          </cell>
          <cell r="I47" t="e">
            <v>#N/A</v>
          </cell>
        </row>
        <row r="48">
          <cell r="E48" t="str">
            <v>SSP</v>
          </cell>
          <cell r="F48" t="str">
            <v>Additives</v>
          </cell>
          <cell r="G48" t="str">
            <v>FOSFATO BICALCICO DIHR.</v>
          </cell>
          <cell r="H48">
            <v>2</v>
          </cell>
          <cell r="I48">
            <v>0</v>
          </cell>
        </row>
        <row r="49">
          <cell r="E49" t="str">
            <v>SSP</v>
          </cell>
          <cell r="F49" t="str">
            <v>Additives</v>
          </cell>
          <cell r="G49" t="str">
            <v>FOSFATO_MONOCALCICO</v>
          </cell>
          <cell r="H49" t="e">
            <v>#N/A</v>
          </cell>
          <cell r="I49" t="e">
            <v>#N/A</v>
          </cell>
        </row>
        <row r="50">
          <cell r="E50" t="str">
            <v>Nuts and products</v>
          </cell>
          <cell r="F50" t="str">
            <v>Treenuts</v>
          </cell>
          <cell r="G50" t="str">
            <v>GARROFA</v>
          </cell>
          <cell r="H50">
            <v>15</v>
          </cell>
          <cell r="I50">
            <v>4.5</v>
          </cell>
        </row>
        <row r="51">
          <cell r="E51" t="str">
            <v>Sunflowerseed Cake</v>
          </cell>
          <cell r="F51" t="str">
            <v>Cakes</v>
          </cell>
          <cell r="G51" t="str">
            <v>HNA.GIRASOL 32</v>
          </cell>
          <cell r="H51">
            <v>10.1</v>
          </cell>
          <cell r="I51">
            <v>32</v>
          </cell>
        </row>
        <row r="52">
          <cell r="E52" t="str">
            <v>Maize and products</v>
          </cell>
          <cell r="F52" t="str">
            <v>Cereals</v>
          </cell>
          <cell r="G52" t="str">
            <v>GLUTEN MEAL MAIZ 60%</v>
          </cell>
          <cell r="H52">
            <v>10.4</v>
          </cell>
          <cell r="I52">
            <v>60</v>
          </cell>
        </row>
        <row r="53">
          <cell r="E53" t="str">
            <v>Maize and products</v>
          </cell>
          <cell r="F53" t="str">
            <v>Cereals</v>
          </cell>
          <cell r="G53" t="str">
            <v>GLUTEN MEAL MAIZ 60%</v>
          </cell>
          <cell r="H53">
            <v>10.4</v>
          </cell>
          <cell r="I53">
            <v>60</v>
          </cell>
        </row>
        <row r="54">
          <cell r="E54" t="str">
            <v>Maize and products</v>
          </cell>
          <cell r="F54" t="str">
            <v>Cereals</v>
          </cell>
          <cell r="G54" t="str">
            <v>GLUTEN FEED MAIZ 20.5%</v>
          </cell>
          <cell r="H54">
            <v>11.5</v>
          </cell>
          <cell r="I54">
            <v>20.5</v>
          </cell>
        </row>
        <row r="55">
          <cell r="E55" t="str">
            <v>Maize and products</v>
          </cell>
          <cell r="F55" t="str">
            <v>Cereals</v>
          </cell>
          <cell r="G55" t="str">
            <v>GLUTEN FEED MAIZ 19%</v>
          </cell>
          <cell r="H55">
            <v>11.2</v>
          </cell>
          <cell r="I55">
            <v>19</v>
          </cell>
        </row>
        <row r="56">
          <cell r="E56" t="str">
            <v>Maize and products</v>
          </cell>
          <cell r="F56" t="str">
            <v>Cereals</v>
          </cell>
          <cell r="G56" t="str">
            <v>GLUTEN FEED MAIZ 20.5%</v>
          </cell>
          <cell r="H56">
            <v>11.5</v>
          </cell>
          <cell r="I56">
            <v>20.5</v>
          </cell>
        </row>
        <row r="57">
          <cell r="E57" t="str">
            <v>Maize and products</v>
          </cell>
          <cell r="F57" t="str">
            <v>Cereals</v>
          </cell>
          <cell r="G57" t="str">
            <v>GLUTEN FEED MAIZ 20.5%</v>
          </cell>
          <cell r="H57">
            <v>11.5</v>
          </cell>
          <cell r="I57">
            <v>20.5</v>
          </cell>
        </row>
        <row r="58">
          <cell r="E58" t="str">
            <v>DDGS Barley</v>
          </cell>
          <cell r="F58" t="str">
            <v>Cakes</v>
          </cell>
          <cell r="G58" t="str">
            <v>DDGS CEBADA</v>
          </cell>
          <cell r="H58">
            <v>8.1</v>
          </cell>
          <cell r="I58">
            <v>24.9</v>
          </cell>
        </row>
        <row r="59">
          <cell r="E59" t="str">
            <v>Palm Oil</v>
          </cell>
          <cell r="F59" t="str">
            <v>Oil</v>
          </cell>
          <cell r="G59" t="str">
            <v>GRASA MEZCLA 3/5</v>
          </cell>
          <cell r="H59">
            <v>0</v>
          </cell>
          <cell r="I59">
            <v>0</v>
          </cell>
        </row>
        <row r="60">
          <cell r="E60" t="str">
            <v>Calcium soap protected fat</v>
          </cell>
          <cell r="F60" t="str">
            <v>Additives</v>
          </cell>
          <cell r="G60" t="str">
            <v>GRASAS CALCICAS</v>
          </cell>
          <cell r="H60" t="e">
            <v>#N/A</v>
          </cell>
          <cell r="I60" t="e">
            <v>#N/A</v>
          </cell>
        </row>
        <row r="61">
          <cell r="E61" t="str">
            <v>Peas</v>
          </cell>
          <cell r="F61" t="str">
            <v>Pulses</v>
          </cell>
          <cell r="G61" t="str">
            <v>GUISANTES PRIMAVERA</v>
          </cell>
          <cell r="H61">
            <v>10.7</v>
          </cell>
          <cell r="I61">
            <v>21.5</v>
          </cell>
        </row>
        <row r="62">
          <cell r="E62" t="str">
            <v>Soyabeans</v>
          </cell>
          <cell r="F62" t="str">
            <v>Oilseeds</v>
          </cell>
          <cell r="G62" t="str">
            <v>HABA SOJA EXTRUSIONADA</v>
          </cell>
          <cell r="H62">
            <v>9.1999999999999993</v>
          </cell>
          <cell r="I62">
            <v>37</v>
          </cell>
        </row>
        <row r="63">
          <cell r="E63" t="str">
            <v>Soyabeans</v>
          </cell>
          <cell r="F63" t="str">
            <v>Oilseeds</v>
          </cell>
          <cell r="G63" t="str">
            <v>HABA SOJA EXTRUSIONADA</v>
          </cell>
          <cell r="H63">
            <v>9.1999999999999993</v>
          </cell>
          <cell r="I63">
            <v>37</v>
          </cell>
        </row>
        <row r="64">
          <cell r="E64" t="str">
            <v>Barley and products</v>
          </cell>
          <cell r="F64" t="str">
            <v>Cereals</v>
          </cell>
          <cell r="G64" t="str">
            <v>CEBADA PROMEDIO</v>
          </cell>
          <cell r="H64">
            <v>10.6</v>
          </cell>
          <cell r="I64">
            <v>10.45</v>
          </cell>
        </row>
        <row r="65">
          <cell r="E65" t="str">
            <v>Meat Meal</v>
          </cell>
          <cell r="F65" t="str">
            <v>Meat</v>
          </cell>
          <cell r="G65" t="str">
            <v>CARNE 44/15/28</v>
          </cell>
          <cell r="H65">
            <v>6.4</v>
          </cell>
          <cell r="I65">
            <v>43.7</v>
          </cell>
        </row>
        <row r="66">
          <cell r="E66" t="str">
            <v>Meat Meal</v>
          </cell>
          <cell r="F66" t="str">
            <v>Meat</v>
          </cell>
          <cell r="G66" t="str">
            <v>CARNE 44/15/28</v>
          </cell>
          <cell r="H66">
            <v>6.4</v>
          </cell>
          <cell r="I66">
            <v>43.7</v>
          </cell>
        </row>
        <row r="67">
          <cell r="E67" t="str">
            <v>Meat Meal</v>
          </cell>
          <cell r="F67" t="str">
            <v>Meat</v>
          </cell>
          <cell r="G67" t="str">
            <v>CARNE 50/14/26</v>
          </cell>
          <cell r="H67">
            <v>5.4</v>
          </cell>
          <cell r="I67">
            <v>49.3</v>
          </cell>
        </row>
        <row r="68">
          <cell r="E68" t="str">
            <v>Meat Meal</v>
          </cell>
          <cell r="F68" t="str">
            <v>Meat</v>
          </cell>
          <cell r="G68" t="str">
            <v>CARNE 52/14/25</v>
          </cell>
          <cell r="H68">
            <v>4.2</v>
          </cell>
          <cell r="I68">
            <v>52.3</v>
          </cell>
        </row>
        <row r="69">
          <cell r="E69" t="str">
            <v>Meat Meal</v>
          </cell>
          <cell r="F69" t="str">
            <v>Meat</v>
          </cell>
          <cell r="G69" t="str">
            <v>CARNE 52/14/25</v>
          </cell>
          <cell r="H69">
            <v>4.2</v>
          </cell>
          <cell r="I69">
            <v>52.3</v>
          </cell>
        </row>
        <row r="70">
          <cell r="E70" t="str">
            <v>Rape and Mustard Cake</v>
          </cell>
          <cell r="F70" t="str">
            <v>Cakes</v>
          </cell>
          <cell r="G70" t="str">
            <v>HNA. COLZA 00 SOLVENTES 33%PB</v>
          </cell>
          <cell r="H70">
            <v>11.6</v>
          </cell>
          <cell r="I70">
            <v>33</v>
          </cell>
        </row>
        <row r="71">
          <cell r="E71" t="str">
            <v>Rape and Mustard Cake</v>
          </cell>
          <cell r="F71" t="str">
            <v>Cakes</v>
          </cell>
          <cell r="G71" t="str">
            <v>HNA. COLZA 00 SOLVENTES 33%PB</v>
          </cell>
          <cell r="H71">
            <v>11.6</v>
          </cell>
          <cell r="I71">
            <v>33</v>
          </cell>
        </row>
        <row r="72">
          <cell r="E72" t="str">
            <v>Rape and Mustard Cake</v>
          </cell>
          <cell r="F72" t="str">
            <v>Cakes</v>
          </cell>
          <cell r="G72" t="str">
            <v>HNA. COLZA 00 SOLVENTES 36%PB</v>
          </cell>
          <cell r="H72">
            <v>11.5</v>
          </cell>
          <cell r="I72">
            <v>36</v>
          </cell>
        </row>
        <row r="73">
          <cell r="E73" t="str">
            <v>Sunflowerseed Cake</v>
          </cell>
          <cell r="F73" t="str">
            <v>Cakes</v>
          </cell>
          <cell r="G73" t="str">
            <v>HNA.GIRASOL 32</v>
          </cell>
          <cell r="H73">
            <v>10.1</v>
          </cell>
          <cell r="I73">
            <v>32</v>
          </cell>
        </row>
        <row r="74">
          <cell r="E74" t="str">
            <v>Rape and Mustard Cake</v>
          </cell>
          <cell r="F74" t="str">
            <v>Cakes</v>
          </cell>
          <cell r="G74" t="str">
            <v>HNA. COLZA 00 SOLVENTES 33%PB</v>
          </cell>
          <cell r="H74">
            <v>11.6</v>
          </cell>
          <cell r="I74">
            <v>33</v>
          </cell>
        </row>
        <row r="75">
          <cell r="E75" t="str">
            <v>Sunflowerseed Cake</v>
          </cell>
          <cell r="F75" t="str">
            <v>Cakes</v>
          </cell>
          <cell r="G75" t="str">
            <v>HNA.GIRASOL 36</v>
          </cell>
          <cell r="H75">
            <v>9.6</v>
          </cell>
          <cell r="I75">
            <v>36</v>
          </cell>
        </row>
        <row r="76">
          <cell r="E76" t="str">
            <v>Sunflowerseed Cake</v>
          </cell>
          <cell r="F76" t="str">
            <v>Cakes</v>
          </cell>
          <cell r="G76" t="str">
            <v>HNA.GIRASOL 36</v>
          </cell>
          <cell r="H76">
            <v>9.6</v>
          </cell>
          <cell r="I76">
            <v>36</v>
          </cell>
        </row>
        <row r="77">
          <cell r="E77" t="str">
            <v>Soyabean Cake</v>
          </cell>
          <cell r="F77" t="str">
            <v>Cakes</v>
          </cell>
          <cell r="G77" t="str">
            <v>HNA.SOJA 44</v>
          </cell>
          <cell r="H77">
            <v>12.1</v>
          </cell>
          <cell r="I77">
            <v>44</v>
          </cell>
        </row>
        <row r="78">
          <cell r="E78" t="str">
            <v>Soyabean Cake</v>
          </cell>
          <cell r="F78" t="str">
            <v>Cakes</v>
          </cell>
          <cell r="G78" t="str">
            <v>HNA.SOJA 47</v>
          </cell>
          <cell r="H78">
            <v>11.8</v>
          </cell>
          <cell r="I78">
            <v>47</v>
          </cell>
        </row>
        <row r="79">
          <cell r="E79" t="str">
            <v>Soyabean Cake</v>
          </cell>
          <cell r="F79" t="str">
            <v>Cakes</v>
          </cell>
          <cell r="G79" t="str">
            <v>HNA.SOJA 44</v>
          </cell>
          <cell r="H79">
            <v>12.1</v>
          </cell>
          <cell r="I79">
            <v>44</v>
          </cell>
        </row>
        <row r="80">
          <cell r="E80" t="str">
            <v>Fodder vegetables and roots</v>
          </cell>
          <cell r="F80" t="str">
            <v>Fodder_green</v>
          </cell>
          <cell r="G80" t="str">
            <v>HARINA FORRAJERA MEZCLA (12.5%PB)</v>
          </cell>
          <cell r="H80">
            <v>8.4</v>
          </cell>
          <cell r="I80">
            <v>12.5</v>
          </cell>
        </row>
        <row r="81">
          <cell r="E81" t="str">
            <v>Fodder vegetables and roots</v>
          </cell>
          <cell r="F81" t="str">
            <v>Fodder_green</v>
          </cell>
          <cell r="G81" t="str">
            <v>HARINA FORRAJERA MEZCLA (12.5%PB)</v>
          </cell>
          <cell r="H81">
            <v>8.4</v>
          </cell>
          <cell r="I81">
            <v>12.5</v>
          </cell>
        </row>
        <row r="82">
          <cell r="E82" t="str">
            <v>Sunflower seed</v>
          </cell>
          <cell r="F82" t="str">
            <v>Oilseeds</v>
          </cell>
          <cell r="G82" t="str">
            <v>HNA.GIRASOL 28</v>
          </cell>
          <cell r="H82">
            <v>10.6</v>
          </cell>
          <cell r="I82">
            <v>28</v>
          </cell>
        </row>
        <row r="83">
          <cell r="E83" t="str">
            <v>Sunflowerseed Cake</v>
          </cell>
          <cell r="F83" t="str">
            <v>Cakes</v>
          </cell>
          <cell r="G83" t="str">
            <v>HNA.GIRASOL 36</v>
          </cell>
          <cell r="H83">
            <v>9.6</v>
          </cell>
          <cell r="I83">
            <v>36</v>
          </cell>
        </row>
        <row r="84">
          <cell r="E84" t="str">
            <v>Maize and products</v>
          </cell>
          <cell r="F84" t="str">
            <v>Cereals</v>
          </cell>
          <cell r="G84" t="str">
            <v>HARINILLAS MAIZ 6%EE</v>
          </cell>
          <cell r="H84">
            <v>13.7</v>
          </cell>
          <cell r="I84">
            <v>8.3000000000000007</v>
          </cell>
        </row>
        <row r="85">
          <cell r="E85" t="str">
            <v>Fodder vegetables and roots</v>
          </cell>
          <cell r="F85" t="str">
            <v>Fodder_green</v>
          </cell>
          <cell r="G85" t="str">
            <v>HARINA FORRAJERA MEZCLA (12.5%PB)</v>
          </cell>
          <cell r="H85">
            <v>8.4</v>
          </cell>
          <cell r="I85">
            <v>12.5</v>
          </cell>
        </row>
        <row r="86">
          <cell r="E86" t="str">
            <v>Soyabean Cake</v>
          </cell>
          <cell r="F86" t="str">
            <v>Cakes</v>
          </cell>
          <cell r="G86" t="str">
            <v>HNA.SOJA 44</v>
          </cell>
          <cell r="H86">
            <v>12.1</v>
          </cell>
          <cell r="I86">
            <v>44</v>
          </cell>
        </row>
        <row r="87">
          <cell r="E87" t="str">
            <v>Soyabean Cake</v>
          </cell>
          <cell r="F87" t="str">
            <v>Cakes</v>
          </cell>
          <cell r="G87" t="str">
            <v>HNA.SOJA 47</v>
          </cell>
          <cell r="H87">
            <v>11.8</v>
          </cell>
          <cell r="I87">
            <v>47</v>
          </cell>
        </row>
        <row r="88">
          <cell r="E88" t="str">
            <v>Wheat and products</v>
          </cell>
          <cell r="F88" t="str">
            <v>Cereals</v>
          </cell>
          <cell r="G88" t="str">
            <v>TRIGO BLANDO PROMEDIO</v>
          </cell>
          <cell r="H88">
            <v>11.425000000000001</v>
          </cell>
          <cell r="I88">
            <v>11.324999999999999</v>
          </cell>
        </row>
        <row r="89">
          <cell r="E89" t="str">
            <v>Wheat and products</v>
          </cell>
          <cell r="F89" t="str">
            <v>Cereals</v>
          </cell>
          <cell r="G89" t="str">
            <v>HARINILLAS TRIGO 30% ALM</v>
          </cell>
          <cell r="H89">
            <v>11.8</v>
          </cell>
          <cell r="I89">
            <v>14.7</v>
          </cell>
        </row>
        <row r="90">
          <cell r="E90" t="str">
            <v>Fodder legumes</v>
          </cell>
          <cell r="F90" t="str">
            <v>Fodder_green</v>
          </cell>
          <cell r="G90" t="str">
            <v>Alfalfa heno PRIMERA</v>
          </cell>
          <cell r="H90" t="e">
            <v>#N/A</v>
          </cell>
          <cell r="I90" t="e">
            <v>#N/A</v>
          </cell>
        </row>
        <row r="91">
          <cell r="E91" t="str">
            <v>Fodder cereal and grasses</v>
          </cell>
          <cell r="F91" t="str">
            <v>Fodder_green</v>
          </cell>
          <cell r="G91" t="str">
            <v>Ray-grass heno SEGUNDA</v>
          </cell>
          <cell r="H91" t="e">
            <v>#N/A</v>
          </cell>
          <cell r="I91" t="e">
            <v>#N/A</v>
          </cell>
        </row>
        <row r="92">
          <cell r="E92" t="str">
            <v>Methionine</v>
          </cell>
          <cell r="F92" t="str">
            <v>Additives</v>
          </cell>
          <cell r="G92">
            <v>0</v>
          </cell>
          <cell r="H92" t="e">
            <v>#N/A</v>
          </cell>
          <cell r="I92" t="e">
            <v>#N/A</v>
          </cell>
        </row>
        <row r="93">
          <cell r="E93" t="str">
            <v>Methionine</v>
          </cell>
          <cell r="F93" t="str">
            <v>Additives</v>
          </cell>
          <cell r="G93" t="str">
            <v>HIDROXI-ANAL MET</v>
          </cell>
          <cell r="H93">
            <v>12</v>
          </cell>
          <cell r="I93">
            <v>0</v>
          </cell>
        </row>
        <row r="94">
          <cell r="E94" t="str">
            <v>Fodder cereal and grasses</v>
          </cell>
          <cell r="F94" t="str">
            <v>Fodder_green</v>
          </cell>
          <cell r="G94" t="str">
            <v>Hierba silo TERCERA</v>
          </cell>
          <cell r="H94" t="e">
            <v>#N/A</v>
          </cell>
          <cell r="I94" t="e">
            <v>#N/A</v>
          </cell>
        </row>
        <row r="95">
          <cell r="E95" t="str">
            <v>Threonine</v>
          </cell>
          <cell r="F95" t="str">
            <v>Additives</v>
          </cell>
          <cell r="G95" t="str">
            <v>L-TREONINA</v>
          </cell>
          <cell r="H95">
            <v>0.5</v>
          </cell>
          <cell r="I95">
            <v>72.5</v>
          </cell>
        </row>
        <row r="96">
          <cell r="E96" t="str">
            <v>Tryptophan</v>
          </cell>
          <cell r="F96" t="str">
            <v>Additives</v>
          </cell>
          <cell r="G96" t="str">
            <v>L-TRIPTOFANO</v>
          </cell>
          <cell r="H96">
            <v>0.6</v>
          </cell>
          <cell r="I96">
            <v>84.5</v>
          </cell>
        </row>
        <row r="97">
          <cell r="E97" t="str">
            <v>Valine</v>
          </cell>
          <cell r="F97" t="str">
            <v>Additives</v>
          </cell>
          <cell r="G97" t="str">
            <v>L-VALINA</v>
          </cell>
          <cell r="H97">
            <v>1</v>
          </cell>
          <cell r="I97">
            <v>72.400000000000006</v>
          </cell>
        </row>
        <row r="98">
          <cell r="E98" t="str">
            <v>Whey</v>
          </cell>
          <cell r="F98" t="str">
            <v>Milk and products</v>
          </cell>
          <cell r="G98" t="str">
            <v>SUERO PROMEDIO</v>
          </cell>
          <cell r="H98">
            <v>4.5333333333333332</v>
          </cell>
          <cell r="I98">
            <v>17.149999999999999</v>
          </cell>
        </row>
        <row r="99">
          <cell r="E99" t="str">
            <v>Whey</v>
          </cell>
          <cell r="F99" t="str">
            <v>Milk and products</v>
          </cell>
          <cell r="G99" t="str">
            <v>SUERO PROMEDIO</v>
          </cell>
          <cell r="H99">
            <v>4.5333333333333332</v>
          </cell>
          <cell r="I99">
            <v>17.149999999999999</v>
          </cell>
        </row>
        <row r="100">
          <cell r="E100" t="str">
            <v>Milk - Excluding Butter</v>
          </cell>
          <cell r="F100" t="str">
            <v>Milk and products</v>
          </cell>
          <cell r="G100" t="str">
            <v>LECHE DESCREMADA</v>
          </cell>
          <cell r="H100">
            <v>5</v>
          </cell>
          <cell r="I100">
            <v>34.200000000000003</v>
          </cell>
        </row>
        <row r="101">
          <cell r="E101" t="str">
            <v>Milk - Excluding Butter</v>
          </cell>
          <cell r="F101" t="str">
            <v>Milk and products</v>
          </cell>
          <cell r="G101" t="str">
            <v>LECHE DESCREMADA</v>
          </cell>
          <cell r="H101">
            <v>5</v>
          </cell>
          <cell r="I101">
            <v>34.200000000000003</v>
          </cell>
        </row>
        <row r="102">
          <cell r="E102" t="str">
            <v>Milk, lactation</v>
          </cell>
          <cell r="F102" t="str">
            <v>Lactation</v>
          </cell>
          <cell r="G102" t="str">
            <v>LECHE MATERNA BOVINO</v>
          </cell>
          <cell r="H102" t="e">
            <v>#N/A</v>
          </cell>
          <cell r="I102" t="e">
            <v>#N/A</v>
          </cell>
        </row>
        <row r="103">
          <cell r="E103" t="str">
            <v>Milk, lactation</v>
          </cell>
          <cell r="F103" t="str">
            <v>Lactation</v>
          </cell>
          <cell r="G103" t="str">
            <v>SC</v>
          </cell>
          <cell r="H103" t="e">
            <v>#N/A</v>
          </cell>
          <cell r="I103" t="e">
            <v>#N/A</v>
          </cell>
        </row>
        <row r="104">
          <cell r="E104" t="str">
            <v>Milk, lactation</v>
          </cell>
          <cell r="F104" t="str">
            <v>Lactation</v>
          </cell>
          <cell r="G104" t="str">
            <v>SC</v>
          </cell>
          <cell r="H104" t="e">
            <v>#N/A</v>
          </cell>
          <cell r="I104" t="e">
            <v>#N/A</v>
          </cell>
        </row>
        <row r="105">
          <cell r="E105" t="str">
            <v>Milk, lactation</v>
          </cell>
          <cell r="F105" t="str">
            <v>Lactation</v>
          </cell>
          <cell r="G105" t="str">
            <v>SC</v>
          </cell>
          <cell r="H105" t="e">
            <v>#N/A</v>
          </cell>
          <cell r="I105" t="e">
            <v>#N/A</v>
          </cell>
        </row>
        <row r="106">
          <cell r="E106" t="str">
            <v>Yeast</v>
          </cell>
          <cell r="F106" t="str">
            <v>Additives</v>
          </cell>
          <cell r="G106" t="str">
            <v>LEVADURA CERVEZA</v>
          </cell>
          <cell r="H106">
            <v>8.1999999999999993</v>
          </cell>
          <cell r="I106">
            <v>46</v>
          </cell>
        </row>
        <row r="107">
          <cell r="E107" t="str">
            <v>Yeast</v>
          </cell>
          <cell r="F107" t="str">
            <v>Additives</v>
          </cell>
          <cell r="G107" t="str">
            <v>LEVADURA CERVEZA</v>
          </cell>
          <cell r="H107">
            <v>8.1999999999999993</v>
          </cell>
          <cell r="I107">
            <v>46</v>
          </cell>
        </row>
        <row r="108">
          <cell r="E108" t="str">
            <v>Lysine</v>
          </cell>
          <cell r="F108" t="str">
            <v>Additives</v>
          </cell>
          <cell r="G108">
            <v>0</v>
          </cell>
          <cell r="H108" t="e">
            <v>#N/A</v>
          </cell>
          <cell r="I108" t="e">
            <v>#N/A</v>
          </cell>
        </row>
        <row r="109">
          <cell r="E109" t="str">
            <v>Lysine</v>
          </cell>
          <cell r="F109" t="str">
            <v>Additives</v>
          </cell>
          <cell r="G109" t="str">
            <v>L-LISINA 50</v>
          </cell>
          <cell r="H109">
            <v>46</v>
          </cell>
          <cell r="I109">
            <v>60</v>
          </cell>
        </row>
        <row r="110">
          <cell r="E110" t="str">
            <v>Lysine</v>
          </cell>
          <cell r="F110" t="str">
            <v>Additives</v>
          </cell>
          <cell r="G110">
            <v>0</v>
          </cell>
          <cell r="H110" t="e">
            <v>#N/A</v>
          </cell>
          <cell r="I110" t="e">
            <v>#N/A</v>
          </cell>
        </row>
        <row r="111">
          <cell r="E111" t="str">
            <v>Threonine</v>
          </cell>
          <cell r="F111" t="str">
            <v>Additives</v>
          </cell>
          <cell r="G111" t="str">
            <v>L-TREONINA</v>
          </cell>
          <cell r="H111">
            <v>0.5</v>
          </cell>
          <cell r="I111">
            <v>72.5</v>
          </cell>
        </row>
        <row r="112">
          <cell r="E112" t="str">
            <v>Fodder cereal and grasses</v>
          </cell>
          <cell r="F112" t="str">
            <v>Fodder_green</v>
          </cell>
          <cell r="G112" t="str">
            <v>Maiz silo PROMEDIO</v>
          </cell>
          <cell r="H112" t="e">
            <v>#N/A</v>
          </cell>
          <cell r="I112" t="e">
            <v>#N/A</v>
          </cell>
        </row>
        <row r="113">
          <cell r="E113" t="str">
            <v>Maize and products</v>
          </cell>
          <cell r="F113" t="str">
            <v>Cereals</v>
          </cell>
          <cell r="G113" t="str">
            <v>MAIZ PROMEDIO</v>
          </cell>
          <cell r="H113">
            <v>13.733333333333334</v>
          </cell>
          <cell r="I113">
            <v>7.666666666666667</v>
          </cell>
        </row>
        <row r="114">
          <cell r="E114" t="str">
            <v>Maize and products</v>
          </cell>
          <cell r="F114" t="str">
            <v>Cereals</v>
          </cell>
          <cell r="G114" t="str">
            <v>MAIZ NACIONAL</v>
          </cell>
          <cell r="H114">
            <v>13.6</v>
          </cell>
          <cell r="I114">
            <v>7.3</v>
          </cell>
        </row>
        <row r="115">
          <cell r="E115" t="str">
            <v>Maize and products</v>
          </cell>
          <cell r="F115" t="str">
            <v>Cereals</v>
          </cell>
          <cell r="G115" t="str">
            <v>HARINILLAS MAIZ 6%EE</v>
          </cell>
          <cell r="H115">
            <v>13.7</v>
          </cell>
          <cell r="I115">
            <v>8.3000000000000007</v>
          </cell>
        </row>
        <row r="116">
          <cell r="E116" t="str">
            <v>Maize and products</v>
          </cell>
          <cell r="F116" t="str">
            <v>Cereals</v>
          </cell>
          <cell r="G116" t="str">
            <v>MAIZ NACIONAL</v>
          </cell>
          <cell r="H116">
            <v>13.6</v>
          </cell>
          <cell r="I116">
            <v>7.3</v>
          </cell>
        </row>
        <row r="117">
          <cell r="E117" t="str">
            <v>Maize and products</v>
          </cell>
          <cell r="F117" t="str">
            <v>Cereals</v>
          </cell>
          <cell r="G117" t="str">
            <v>MAIZ TRATADO CALOR</v>
          </cell>
          <cell r="H117">
            <v>13.8</v>
          </cell>
          <cell r="I117">
            <v>7.3</v>
          </cell>
        </row>
        <row r="118">
          <cell r="E118" t="str">
            <v>Cassava and products</v>
          </cell>
          <cell r="F118" t="str">
            <v>Roots_tubers</v>
          </cell>
          <cell r="G118" t="str">
            <v>MANDIOCA_65</v>
          </cell>
          <cell r="H118" t="e">
            <v>#N/A</v>
          </cell>
          <cell r="I118" t="e">
            <v>#N/A</v>
          </cell>
        </row>
        <row r="119">
          <cell r="E119" t="str">
            <v>Fats, Animals, Raw</v>
          </cell>
          <cell r="F119" t="str">
            <v>Animal fats</v>
          </cell>
          <cell r="G119" t="str">
            <v>MANTECA</v>
          </cell>
          <cell r="H119">
            <v>0</v>
          </cell>
          <cell r="I119">
            <v>0</v>
          </cell>
        </row>
        <row r="120">
          <cell r="E120" t="str">
            <v>Molasses</v>
          </cell>
          <cell r="F120" t="str">
            <v>Molasses</v>
          </cell>
          <cell r="G120" t="str">
            <v>MELAZA CAÑA</v>
          </cell>
          <cell r="H120">
            <v>27.4</v>
          </cell>
          <cell r="I120">
            <v>4.3</v>
          </cell>
        </row>
        <row r="121">
          <cell r="E121" t="str">
            <v>Molasses</v>
          </cell>
          <cell r="F121" t="str">
            <v>Molasses</v>
          </cell>
          <cell r="G121" t="str">
            <v>MELAZA CAÑA</v>
          </cell>
          <cell r="H121">
            <v>27.4</v>
          </cell>
          <cell r="I121">
            <v>4.3</v>
          </cell>
        </row>
        <row r="122">
          <cell r="E122" t="str">
            <v>Molasses</v>
          </cell>
          <cell r="F122" t="str">
            <v>Molasses</v>
          </cell>
          <cell r="G122" t="str">
            <v>MELAZA REMOLACHA</v>
          </cell>
          <cell r="H122">
            <v>28.2</v>
          </cell>
          <cell r="I122">
            <v>9.1</v>
          </cell>
        </row>
        <row r="123">
          <cell r="E123" t="str">
            <v>Molasses</v>
          </cell>
          <cell r="F123" t="str">
            <v>Molasses</v>
          </cell>
          <cell r="G123" t="str">
            <v>MELAZA REMOLACHA</v>
          </cell>
          <cell r="H123">
            <v>28.2</v>
          </cell>
          <cell r="I123">
            <v>9.1</v>
          </cell>
        </row>
        <row r="124">
          <cell r="E124" t="str">
            <v>Methionine</v>
          </cell>
          <cell r="F124" t="str">
            <v>Additives</v>
          </cell>
          <cell r="G124">
            <v>0</v>
          </cell>
          <cell r="H124" t="e">
            <v>#N/A</v>
          </cell>
          <cell r="I124" t="e">
            <v>#N/A</v>
          </cell>
        </row>
        <row r="125">
          <cell r="E125" t="str">
            <v>MgO</v>
          </cell>
          <cell r="F125" t="str">
            <v>Additives</v>
          </cell>
          <cell r="G125" t="str">
            <v>MgO</v>
          </cell>
          <cell r="H125" t="e">
            <v>#N/A</v>
          </cell>
          <cell r="I125" t="e">
            <v>#N/A</v>
          </cell>
        </row>
        <row r="126">
          <cell r="E126" t="str">
            <v>Minerals</v>
          </cell>
          <cell r="F126" t="str">
            <v>Additives</v>
          </cell>
          <cell r="G126">
            <v>0</v>
          </cell>
          <cell r="H126" t="e">
            <v>#N/A</v>
          </cell>
          <cell r="I126" t="e">
            <v>#N/A</v>
          </cell>
        </row>
        <row r="127">
          <cell r="E127" t="str">
            <v>Olein</v>
          </cell>
          <cell r="F127" t="str">
            <v>Additives</v>
          </cell>
          <cell r="G127">
            <v>0</v>
          </cell>
          <cell r="H127" t="e">
            <v>#N/A</v>
          </cell>
          <cell r="I127" t="e">
            <v>#N/A</v>
          </cell>
        </row>
        <row r="128">
          <cell r="E128" t="str">
            <v>Olein</v>
          </cell>
          <cell r="F128" t="str">
            <v>Additives</v>
          </cell>
          <cell r="G128">
            <v>0</v>
          </cell>
          <cell r="H128" t="e">
            <v>#N/A</v>
          </cell>
          <cell r="I128" t="e">
            <v>#N/A</v>
          </cell>
        </row>
        <row r="129">
          <cell r="E129" t="str">
            <v>Straw</v>
          </cell>
          <cell r="F129" t="str">
            <v>Straw</v>
          </cell>
          <cell r="G129" t="str">
            <v>PAJA DE CEREALES</v>
          </cell>
          <cell r="H129">
            <v>8.6</v>
          </cell>
          <cell r="I129">
            <v>4.5999999999999996</v>
          </cell>
        </row>
        <row r="130">
          <cell r="E130" t="str">
            <v>Straw</v>
          </cell>
          <cell r="F130" t="str">
            <v>Straw</v>
          </cell>
          <cell r="G130" t="str">
            <v>PAJA DE CEREALES</v>
          </cell>
          <cell r="H130">
            <v>8.6</v>
          </cell>
          <cell r="I130">
            <v>4.5999999999999996</v>
          </cell>
        </row>
        <row r="131">
          <cell r="E131" t="str">
            <v>Pigment</v>
          </cell>
          <cell r="F131" t="str">
            <v>Additives</v>
          </cell>
          <cell r="G131">
            <v>0</v>
          </cell>
          <cell r="H131" t="e">
            <v>#N/A</v>
          </cell>
          <cell r="I131" t="e">
            <v>#N/A</v>
          </cell>
        </row>
        <row r="132">
          <cell r="E132" t="str">
            <v>Pigment</v>
          </cell>
          <cell r="F132" t="str">
            <v>Additives</v>
          </cell>
          <cell r="G132">
            <v>0</v>
          </cell>
          <cell r="H132" t="e">
            <v>#N/A</v>
          </cell>
          <cell r="I132" t="e">
            <v>#N/A</v>
          </cell>
        </row>
        <row r="133">
          <cell r="E133" t="str">
            <v>Minerals</v>
          </cell>
          <cell r="F133" t="str">
            <v>Additives</v>
          </cell>
          <cell r="G133">
            <v>0</v>
          </cell>
          <cell r="H133" t="e">
            <v>#N/A</v>
          </cell>
          <cell r="I133" t="e">
            <v>#N/A</v>
          </cell>
        </row>
        <row r="134">
          <cell r="E134" t="str">
            <v>Vitamins</v>
          </cell>
          <cell r="F134" t="str">
            <v>Additives</v>
          </cell>
          <cell r="G134" t="str">
            <v>PREMEZCLAVITAMINAS_MINERALES</v>
          </cell>
          <cell r="H134" t="e">
            <v>#N/A</v>
          </cell>
          <cell r="I134" t="e">
            <v>#N/A</v>
          </cell>
        </row>
        <row r="135">
          <cell r="E135" t="str">
            <v>Vitamins</v>
          </cell>
          <cell r="F135" t="str">
            <v>Additives</v>
          </cell>
          <cell r="G135">
            <v>0</v>
          </cell>
          <cell r="H135" t="e">
            <v>#N/A</v>
          </cell>
          <cell r="I135" t="e">
            <v>#N/A</v>
          </cell>
        </row>
        <row r="136">
          <cell r="E136" t="str">
            <v>Wheat and products</v>
          </cell>
          <cell r="F136" t="str">
            <v>Cereals</v>
          </cell>
          <cell r="G136" t="str">
            <v>PROT. TRIGO HIDROLIZADO</v>
          </cell>
          <cell r="H136">
            <v>7.5</v>
          </cell>
          <cell r="I136">
            <v>78</v>
          </cell>
        </row>
        <row r="137">
          <cell r="E137" t="str">
            <v>Oranges, Mandarines</v>
          </cell>
          <cell r="F137" t="str">
            <v>Citrus</v>
          </cell>
          <cell r="G137" t="str">
            <v>PULPA CÍTRICOS (NARANJA+MANDARINA)</v>
          </cell>
          <cell r="H137">
            <v>12.3</v>
          </cell>
          <cell r="I137">
            <v>6.1</v>
          </cell>
        </row>
        <row r="138">
          <cell r="E138" t="str">
            <v>Sugarbeet pulp</v>
          </cell>
          <cell r="F138" t="str">
            <v>Cakes</v>
          </cell>
          <cell r="G138" t="str">
            <v>PULPA REMOLACHA 4% CENIZAS</v>
          </cell>
          <cell r="H138">
            <v>10.7</v>
          </cell>
          <cell r="I138">
            <v>8.6</v>
          </cell>
        </row>
        <row r="139">
          <cell r="E139" t="str">
            <v>Sugarbeet pulp</v>
          </cell>
          <cell r="F139" t="str">
            <v>Cakes</v>
          </cell>
          <cell r="G139" t="str">
            <v>PULPA REMOLACHA 4% CENIZAS</v>
          </cell>
          <cell r="H139">
            <v>10.7</v>
          </cell>
          <cell r="I139">
            <v>8.6</v>
          </cell>
        </row>
        <row r="140">
          <cell r="E140" t="str">
            <v>Fodder cereal and grasses</v>
          </cell>
          <cell r="F140" t="str">
            <v>Fodder_green</v>
          </cell>
          <cell r="G140" t="str">
            <v>RAY-GRASS SILO PROMEDIO</v>
          </cell>
          <cell r="H140" t="e">
            <v>#N/A</v>
          </cell>
          <cell r="I140" t="e">
            <v>#N/A</v>
          </cell>
        </row>
        <row r="141">
          <cell r="E141" t="str">
            <v>Fodder cereal and grasses</v>
          </cell>
          <cell r="F141" t="str">
            <v>Fodder_green</v>
          </cell>
          <cell r="G141" t="str">
            <v>Ray-grass heno PROMEDIO</v>
          </cell>
          <cell r="H141" t="e">
            <v>#N/A</v>
          </cell>
          <cell r="I141" t="e">
            <v>#N/A</v>
          </cell>
        </row>
        <row r="142">
          <cell r="E142" t="str">
            <v>Fodder cereal and grasses</v>
          </cell>
          <cell r="F142" t="str">
            <v>Fodder_green</v>
          </cell>
          <cell r="G142" t="str">
            <v>Ray-grass heno PRIMERA</v>
          </cell>
          <cell r="H142" t="e">
            <v>#N/A</v>
          </cell>
          <cell r="I142" t="e">
            <v>#N/A</v>
          </cell>
        </row>
        <row r="143">
          <cell r="E143" t="str">
            <v>Fodder cereal and grasses</v>
          </cell>
          <cell r="F143" t="str">
            <v>Fodder_green</v>
          </cell>
          <cell r="G143" t="str">
            <v>Ray-grass heno SEGUNDA</v>
          </cell>
          <cell r="H143" t="e">
            <v>#N/A</v>
          </cell>
          <cell r="I143" t="e">
            <v>#N/A</v>
          </cell>
        </row>
        <row r="144">
          <cell r="E144" t="str">
            <v>Fodder cereal and grasses</v>
          </cell>
          <cell r="F144" t="str">
            <v>Fodder_green</v>
          </cell>
          <cell r="G144" t="str">
            <v>Ray-grass heno TERCERA</v>
          </cell>
          <cell r="H144" t="e">
            <v>#N/A</v>
          </cell>
          <cell r="I144" t="e">
            <v>#N/A</v>
          </cell>
        </row>
        <row r="145">
          <cell r="E145" t="str">
            <v>Fodder cereal and grasses</v>
          </cell>
          <cell r="F145" t="str">
            <v>Fodder_green</v>
          </cell>
          <cell r="G145" t="str">
            <v>Ray-grass verde PRIMERA</v>
          </cell>
          <cell r="H145" t="e">
            <v>#N/A</v>
          </cell>
          <cell r="I145" t="e">
            <v>#N/A</v>
          </cell>
        </row>
        <row r="146">
          <cell r="E146" t="str">
            <v>Fodder cereal and grasses</v>
          </cell>
          <cell r="F146" t="str">
            <v>Fodder_green</v>
          </cell>
          <cell r="G146" t="str">
            <v>Ray-grass verde SEGUNDA</v>
          </cell>
          <cell r="H146" t="e">
            <v>#N/A</v>
          </cell>
          <cell r="I146" t="e">
            <v>#N/A</v>
          </cell>
        </row>
        <row r="147">
          <cell r="E147" t="str">
            <v>Fodder cereal and grasses</v>
          </cell>
          <cell r="F147" t="str">
            <v>Fodder_green</v>
          </cell>
          <cell r="G147" t="str">
            <v>Ray-grass verde TERCERA</v>
          </cell>
          <cell r="H147" t="e">
            <v>#N/A</v>
          </cell>
          <cell r="I147" t="e">
            <v>#N/A</v>
          </cell>
        </row>
        <row r="148">
          <cell r="E148" t="str">
            <v>Salt</v>
          </cell>
          <cell r="F148" t="str">
            <v>Additives</v>
          </cell>
          <cell r="G148" t="str">
            <v>SAL</v>
          </cell>
          <cell r="H148" t="e">
            <v>#N/A</v>
          </cell>
          <cell r="I148" t="e">
            <v>#N/A</v>
          </cell>
        </row>
        <row r="149">
          <cell r="E149" t="str">
            <v>Anionic salts</v>
          </cell>
          <cell r="F149" t="str">
            <v>Additives</v>
          </cell>
          <cell r="G149" t="str">
            <v>SALES ANIONICAS</v>
          </cell>
          <cell r="H149" t="e">
            <v>#N/A</v>
          </cell>
          <cell r="I149" t="e">
            <v>#N/A</v>
          </cell>
        </row>
        <row r="150">
          <cell r="E150" t="str">
            <v>Brans</v>
          </cell>
          <cell r="F150" t="str">
            <v>Brans</v>
          </cell>
          <cell r="G150" t="str">
            <v>SALVADO TRIGO 15% ALMIDÓN</v>
          </cell>
          <cell r="H150">
            <v>12.6</v>
          </cell>
          <cell r="I150">
            <v>15.4</v>
          </cell>
        </row>
        <row r="151">
          <cell r="E151" t="str">
            <v>Brans</v>
          </cell>
          <cell r="F151" t="str">
            <v>Brans</v>
          </cell>
          <cell r="G151" t="str">
            <v>SALVADO TRIGO 20% ALMIDÓN</v>
          </cell>
          <cell r="H151">
            <v>12.4</v>
          </cell>
          <cell r="I151">
            <v>15</v>
          </cell>
        </row>
        <row r="152">
          <cell r="E152" t="str">
            <v>Brans</v>
          </cell>
          <cell r="F152" t="str">
            <v>Brans</v>
          </cell>
          <cell r="G152" t="str">
            <v>SALVADO TRIGO 20% ALMIDÓN</v>
          </cell>
          <cell r="H152">
            <v>12.4</v>
          </cell>
          <cell r="I152">
            <v>15</v>
          </cell>
        </row>
        <row r="153">
          <cell r="E153" t="str">
            <v>Brans</v>
          </cell>
          <cell r="F153" t="str">
            <v>Brans</v>
          </cell>
          <cell r="G153" t="str">
            <v>SALVADO TRIGO 20% ALMIDÓN</v>
          </cell>
          <cell r="H153">
            <v>12.4</v>
          </cell>
          <cell r="I153">
            <v>15</v>
          </cell>
        </row>
        <row r="154">
          <cell r="E154" t="str">
            <v>Brans</v>
          </cell>
          <cell r="F154" t="str">
            <v>Brans</v>
          </cell>
          <cell r="G154" t="str">
            <v>SALVADO TRIGO 20% ALMIDÓN</v>
          </cell>
          <cell r="H154">
            <v>12.4</v>
          </cell>
          <cell r="I154">
            <v>15</v>
          </cell>
        </row>
        <row r="155">
          <cell r="E155" t="str">
            <v>Brans</v>
          </cell>
          <cell r="F155" t="str">
            <v>Brans</v>
          </cell>
          <cell r="G155" t="str">
            <v>SALVADO TRIGO 20% ALMIDÓN</v>
          </cell>
          <cell r="H155">
            <v>12.4</v>
          </cell>
          <cell r="I155">
            <v>15</v>
          </cell>
        </row>
        <row r="156">
          <cell r="E156" t="str">
            <v>Phytase</v>
          </cell>
          <cell r="F156" t="e">
            <v>#N/A</v>
          </cell>
          <cell r="G156" t="str">
            <v>SEIS_FITASA</v>
          </cell>
          <cell r="H156" t="e">
            <v>#N/A</v>
          </cell>
          <cell r="I156" t="e">
            <v>#N/A</v>
          </cell>
        </row>
        <row r="157">
          <cell r="E157" t="str">
            <v>Phytase</v>
          </cell>
          <cell r="F157" t="str">
            <v>Additives</v>
          </cell>
          <cell r="G157">
            <v>0</v>
          </cell>
          <cell r="H157" t="e">
            <v>#N/A</v>
          </cell>
          <cell r="I157" t="e">
            <v>#N/A</v>
          </cell>
        </row>
        <row r="158">
          <cell r="E158" t="str">
            <v>Cottonseed</v>
          </cell>
          <cell r="F158" t="str">
            <v>Oilseeds</v>
          </cell>
          <cell r="G158" t="str">
            <v>SEMILLA ALGODON</v>
          </cell>
          <cell r="H158">
            <v>9.1</v>
          </cell>
          <cell r="I158">
            <v>20.8</v>
          </cell>
        </row>
        <row r="159">
          <cell r="E159" t="str">
            <v>Cottonseed</v>
          </cell>
          <cell r="F159" t="str">
            <v>Oilseeds</v>
          </cell>
          <cell r="G159" t="str">
            <v>SEMILLA ALGODON</v>
          </cell>
          <cell r="H159">
            <v>9.1</v>
          </cell>
          <cell r="I159">
            <v>20.8</v>
          </cell>
        </row>
        <row r="160">
          <cell r="E160" t="str">
            <v>Sunflower seed</v>
          </cell>
          <cell r="F160" t="str">
            <v>Oilseeds</v>
          </cell>
          <cell r="G160" t="str">
            <v>SEMILLA GIRASOL</v>
          </cell>
          <cell r="H160">
            <v>4.4000000000000004</v>
          </cell>
          <cell r="I160">
            <v>16.399999999999999</v>
          </cell>
        </row>
        <row r="161">
          <cell r="E161" t="str">
            <v>Soy hulls</v>
          </cell>
          <cell r="F161" t="str">
            <v>Brans</v>
          </cell>
          <cell r="G161" t="str">
            <v>CASCARILLA SOJA 10%PB</v>
          </cell>
          <cell r="H161">
            <v>11.7</v>
          </cell>
          <cell r="I161">
            <v>10</v>
          </cell>
        </row>
        <row r="162">
          <cell r="E162" t="str">
            <v>Soyabean Cake</v>
          </cell>
          <cell r="F162" t="str">
            <v>Cakes</v>
          </cell>
          <cell r="G162" t="str">
            <v>HNA.SOJA 44</v>
          </cell>
          <cell r="H162">
            <v>12.1</v>
          </cell>
          <cell r="I162">
            <v>44</v>
          </cell>
        </row>
        <row r="163">
          <cell r="E163" t="str">
            <v>Soyabean Cake</v>
          </cell>
          <cell r="F163" t="str">
            <v>Cakes</v>
          </cell>
          <cell r="G163" t="str">
            <v>HNA.SOJA 47</v>
          </cell>
          <cell r="H163">
            <v>11.8</v>
          </cell>
          <cell r="I163">
            <v>47</v>
          </cell>
        </row>
        <row r="164">
          <cell r="E164" t="str">
            <v>Soyabeans</v>
          </cell>
          <cell r="F164" t="str">
            <v>Oilseeds</v>
          </cell>
          <cell r="G164" t="str">
            <v>HABA SOJA TOSTADA</v>
          </cell>
          <cell r="H164">
            <v>9.1999999999999993</v>
          </cell>
          <cell r="I164">
            <v>37</v>
          </cell>
        </row>
        <row r="165">
          <cell r="E165" t="str">
            <v>Fodder cereal and grasses</v>
          </cell>
          <cell r="F165" t="str">
            <v>Fodder_green</v>
          </cell>
          <cell r="G165" t="str">
            <v>SORGO ENSILADO</v>
          </cell>
          <cell r="H165" t="e">
            <v>#N/A</v>
          </cell>
          <cell r="I165" t="e">
            <v>#N/A</v>
          </cell>
        </row>
        <row r="166">
          <cell r="E166" t="str">
            <v>Whey</v>
          </cell>
          <cell r="F166" t="str">
            <v>Milk and products</v>
          </cell>
          <cell r="G166" t="str">
            <v>SUERO DULCE VACUNO</v>
          </cell>
          <cell r="H166">
            <v>4.5</v>
          </cell>
          <cell r="I166">
            <v>12.5</v>
          </cell>
        </row>
        <row r="167">
          <cell r="E167" t="str">
            <v>Palmkernel Cake</v>
          </cell>
          <cell r="F167" t="str">
            <v>Cakes</v>
          </cell>
          <cell r="G167" t="str">
            <v>TORTA PALMISTE PRESION</v>
          </cell>
          <cell r="H167">
            <v>8.4</v>
          </cell>
          <cell r="I167">
            <v>15.6</v>
          </cell>
        </row>
        <row r="168">
          <cell r="E168" t="str">
            <v>Phytase</v>
          </cell>
          <cell r="F168" t="str">
            <v>Additives</v>
          </cell>
          <cell r="G168" t="str">
            <v>TRES_FITASA_750</v>
          </cell>
          <cell r="H168" t="e">
            <v>#N/A</v>
          </cell>
          <cell r="I168" t="e">
            <v>#N/A</v>
          </cell>
        </row>
        <row r="169">
          <cell r="E169" t="str">
            <v>Phytase</v>
          </cell>
          <cell r="F169" t="str">
            <v>Additives</v>
          </cell>
          <cell r="G169" t="str">
            <v>TRES_FITASA_500</v>
          </cell>
          <cell r="H169" t="e">
            <v>#N/A</v>
          </cell>
          <cell r="I169" t="e">
            <v>#N/A</v>
          </cell>
        </row>
        <row r="170">
          <cell r="E170" t="str">
            <v>Wheat and products</v>
          </cell>
          <cell r="F170" t="str">
            <v>Cereals</v>
          </cell>
          <cell r="G170" t="str">
            <v>TRIGO BLANDO PROMEDIO</v>
          </cell>
          <cell r="H170">
            <v>11.425000000000001</v>
          </cell>
          <cell r="I170">
            <v>11.324999999999999</v>
          </cell>
        </row>
        <row r="171">
          <cell r="E171" t="str">
            <v>Wheat and products</v>
          </cell>
          <cell r="F171" t="str">
            <v>Cereals</v>
          </cell>
          <cell r="G171" t="str">
            <v>TRIGO BLANDO NO INGLES</v>
          </cell>
          <cell r="H171" t="e">
            <v>#N/A</v>
          </cell>
          <cell r="I171" t="e">
            <v>#N/A</v>
          </cell>
        </row>
        <row r="172">
          <cell r="E172" t="str">
            <v>Wheat and products</v>
          </cell>
          <cell r="F172" t="str">
            <v>Cereals</v>
          </cell>
          <cell r="G172" t="str">
            <v>TRIGO BLANDO PROMEDIO</v>
          </cell>
          <cell r="H172">
            <v>11.425000000000001</v>
          </cell>
          <cell r="I172">
            <v>11.324999999999999</v>
          </cell>
        </row>
        <row r="173">
          <cell r="E173" t="str">
            <v>Wheat and products</v>
          </cell>
          <cell r="F173" t="str">
            <v>Cereals</v>
          </cell>
          <cell r="G173" t="str">
            <v>TRIGO BLANDO PROMEDIO</v>
          </cell>
          <cell r="H173">
            <v>11.425000000000001</v>
          </cell>
          <cell r="I173">
            <v>11.324999999999999</v>
          </cell>
        </row>
        <row r="174">
          <cell r="E174" t="str">
            <v>Wheat and products</v>
          </cell>
          <cell r="F174" t="str">
            <v>Cereals</v>
          </cell>
          <cell r="G174" t="str">
            <v>TRIGO BLANDO INGLES</v>
          </cell>
          <cell r="H174">
            <v>13</v>
          </cell>
          <cell r="I174">
            <v>11</v>
          </cell>
        </row>
        <row r="175">
          <cell r="E175" t="str">
            <v>Brans</v>
          </cell>
          <cell r="F175" t="str">
            <v>Brans</v>
          </cell>
          <cell r="G175" t="str">
            <v>TERCERILLAS TRIGO 25% ALMIDÓN</v>
          </cell>
          <cell r="H175">
            <v>12.1</v>
          </cell>
          <cell r="I175">
            <v>14.3</v>
          </cell>
        </row>
        <row r="176">
          <cell r="E176" t="str">
            <v>Urea</v>
          </cell>
          <cell r="F176" t="str">
            <v>Additives</v>
          </cell>
          <cell r="G176" t="str">
            <v>UREA</v>
          </cell>
          <cell r="H176">
            <v>1</v>
          </cell>
          <cell r="I176">
            <v>287.5</v>
          </cell>
        </row>
        <row r="177">
          <cell r="E177" t="str">
            <v>Fodder legumes</v>
          </cell>
          <cell r="F177" t="str">
            <v>Fodder_green</v>
          </cell>
          <cell r="G177" t="str">
            <v>Veza heno TERCERA</v>
          </cell>
          <cell r="H177" t="e">
            <v>#N/A</v>
          </cell>
          <cell r="I177" t="e">
            <v>#N/A</v>
          </cell>
        </row>
        <row r="178">
          <cell r="E178" t="str">
            <v>Vitamins</v>
          </cell>
          <cell r="F178" t="str">
            <v>Additives</v>
          </cell>
          <cell r="G178">
            <v>0</v>
          </cell>
          <cell r="H178" t="e">
            <v>#N/A</v>
          </cell>
          <cell r="I178" t="e">
            <v>#N/A</v>
          </cell>
        </row>
        <row r="179">
          <cell r="E179" t="str">
            <v>Vitamins</v>
          </cell>
          <cell r="F179" t="str">
            <v>Additives</v>
          </cell>
          <cell r="G179" t="str">
            <v>VITAMINAS MINERALES</v>
          </cell>
          <cell r="H179" t="e">
            <v>#N/A</v>
          </cell>
          <cell r="I179" t="e">
            <v>#N/A</v>
          </cell>
        </row>
        <row r="180">
          <cell r="E180" t="str">
            <v>Vitamins</v>
          </cell>
          <cell r="F180" t="str">
            <v>Additives</v>
          </cell>
          <cell r="G180">
            <v>0</v>
          </cell>
          <cell r="H180" t="e">
            <v>#N/A</v>
          </cell>
          <cell r="I180" t="e">
            <v>#N/A</v>
          </cell>
        </row>
        <row r="181">
          <cell r="E181" t="str">
            <v>Vitamins</v>
          </cell>
          <cell r="F181" t="str">
            <v>Additives</v>
          </cell>
          <cell r="G181">
            <v>0</v>
          </cell>
          <cell r="H181" t="e">
            <v>#N/A</v>
          </cell>
          <cell r="I181" t="e">
            <v>#N/A</v>
          </cell>
        </row>
        <row r="182">
          <cell r="E182" t="str">
            <v>Vitamins</v>
          </cell>
          <cell r="F182" t="str">
            <v>Additives</v>
          </cell>
          <cell r="G182">
            <v>0</v>
          </cell>
          <cell r="H182" t="e">
            <v>#N/A</v>
          </cell>
          <cell r="I182" t="e">
            <v>#N/A</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erta sin pérdidas"/>
      <sheetName val="Importación"/>
      <sheetName val="Exportación"/>
      <sheetName val="Producción"/>
      <sheetName val="Oferta bruta"/>
      <sheetName val="Dieta Bruta"/>
      <sheetName val="Dieta-Waste"/>
      <sheetName val="Dieta Neta"/>
      <sheetName val="P-E-I MF"/>
      <sheetName val="Destino"/>
      <sheetName val="Destino transf."/>
      <sheetName val="Procesado-MP"/>
      <sheetName val="P-E-I MF Humana"/>
      <sheetName val="Balance MF"/>
      <sheetName val="Balance MF Humana"/>
      <sheetName val="Balance FAO"/>
      <sheetName val="Comparativa MF"/>
      <sheetName val="Población"/>
      <sheetName val="Resumen"/>
    </sheetNames>
    <sheetDataSet>
      <sheetData sheetId="0"/>
      <sheetData sheetId="1"/>
      <sheetData sheetId="2"/>
      <sheetData sheetId="3"/>
      <sheetData sheetId="4"/>
      <sheetData sheetId="5">
        <row r="1">
          <cell r="AC1" t="str">
            <v>Proteínas (g/persona y día)</v>
          </cell>
          <cell r="AQ1" t="str">
            <v>Lípidos (g/persona y día)</v>
          </cell>
        </row>
        <row r="2">
          <cell r="P2">
            <v>1900</v>
          </cell>
          <cell r="Q2">
            <v>1910</v>
          </cell>
          <cell r="R2">
            <v>1922</v>
          </cell>
          <cell r="S2">
            <v>1933</v>
          </cell>
          <cell r="T2">
            <v>1940</v>
          </cell>
          <cell r="U2">
            <v>1950</v>
          </cell>
          <cell r="V2">
            <v>1960</v>
          </cell>
          <cell r="W2">
            <v>1970</v>
          </cell>
          <cell r="X2">
            <v>1980</v>
          </cell>
          <cell r="Y2">
            <v>1990</v>
          </cell>
          <cell r="Z2">
            <v>2000</v>
          </cell>
          <cell r="AA2">
            <v>2008</v>
          </cell>
          <cell r="AD2">
            <v>1900</v>
          </cell>
          <cell r="AE2">
            <v>1910</v>
          </cell>
          <cell r="AF2">
            <v>1922</v>
          </cell>
          <cell r="AG2">
            <v>1933</v>
          </cell>
          <cell r="AH2">
            <v>1940</v>
          </cell>
          <cell r="AI2">
            <v>1950</v>
          </cell>
          <cell r="AJ2">
            <v>1960</v>
          </cell>
          <cell r="AK2">
            <v>1970</v>
          </cell>
          <cell r="AL2">
            <v>1980</v>
          </cell>
          <cell r="AM2">
            <v>1990</v>
          </cell>
          <cell r="AN2">
            <v>2000</v>
          </cell>
          <cell r="AO2">
            <v>2008</v>
          </cell>
          <cell r="AR2">
            <v>1900</v>
          </cell>
          <cell r="AS2">
            <v>1910</v>
          </cell>
          <cell r="AT2">
            <v>1922</v>
          </cell>
          <cell r="AU2">
            <v>1933</v>
          </cell>
          <cell r="AV2">
            <v>1940</v>
          </cell>
          <cell r="AW2">
            <v>1950</v>
          </cell>
          <cell r="AX2">
            <v>1960</v>
          </cell>
          <cell r="AY2">
            <v>1970</v>
          </cell>
          <cell r="AZ2">
            <v>1980</v>
          </cell>
          <cell r="BA2">
            <v>1990</v>
          </cell>
          <cell r="BB2">
            <v>2000</v>
          </cell>
          <cell r="BC2">
            <v>2008</v>
          </cell>
        </row>
      </sheetData>
      <sheetData sheetId="6"/>
      <sheetData sheetId="7"/>
      <sheetData sheetId="8">
        <row r="71">
          <cell r="A71" t="str">
            <v>Guisantes verdes</v>
          </cell>
        </row>
        <row r="285">
          <cell r="A285" t="str">
            <v>Pescado total</v>
          </cell>
        </row>
      </sheetData>
      <sheetData sheetId="9"/>
      <sheetData sheetId="10"/>
      <sheetData sheetId="11"/>
      <sheetData sheetId="12"/>
      <sheetData sheetId="13"/>
      <sheetData sheetId="14"/>
      <sheetData sheetId="15">
        <row r="248">
          <cell r="B248">
            <v>275761</v>
          </cell>
          <cell r="C248">
            <v>456664</v>
          </cell>
          <cell r="D248">
            <v>1097122.8</v>
          </cell>
          <cell r="E248">
            <v>1801962</v>
          </cell>
          <cell r="F248">
            <v>2920247.8</v>
          </cell>
          <cell r="G248">
            <v>3323531.2</v>
          </cell>
        </row>
        <row r="259">
          <cell r="B259">
            <v>80544.2</v>
          </cell>
          <cell r="C259">
            <v>123057</v>
          </cell>
          <cell r="D259">
            <v>275055.2</v>
          </cell>
          <cell r="E259">
            <v>435691.6</v>
          </cell>
          <cell r="F259">
            <v>667754.6</v>
          </cell>
          <cell r="G259">
            <v>733292.2</v>
          </cell>
        </row>
      </sheetData>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v"/>
      <sheetName val="Names_Prov"/>
      <sheetName val="FAO_Sp"/>
      <sheetName val="Names_cats"/>
      <sheetName val="Names_MAPA"/>
      <sheetName val="Names_Lab"/>
      <sheetName val="Cats_MAPA"/>
      <sheetName val="Item_cats"/>
      <sheetName val="Cats_feed"/>
      <sheetName val="Cat_0"/>
      <sheetName val="Cat_Waste"/>
      <sheetName val="Cat_diets_agg"/>
      <sheetName val="Names_biomass_CB"/>
      <sheetName val="Names_CB_biomass"/>
      <sheetName val="Feedstuff_FEDNA"/>
      <sheetName val="CBS_Trade_codes_old"/>
      <sheetName val="FBS_Trade_codes"/>
      <sheetName val="items_proc_fabio"/>
      <sheetName val="Cats_Murcia"/>
      <sheetName val="CB_processing_tidy"/>
      <sheetName val="TF_plant_JRC"/>
      <sheetName val="HS_FAO_JRC"/>
      <sheetName val="CB_item"/>
      <sheetName val="Cats_eq"/>
    </sheetNames>
    <sheetDataSet>
      <sheetData sheetId="0"/>
      <sheetData sheetId="1"/>
      <sheetData sheetId="2"/>
      <sheetData sheetId="3"/>
      <sheetData sheetId="4"/>
      <sheetData sheetId="5">
        <row r="2">
          <cell r="A2" t="str">
            <v>cebada</v>
          </cell>
          <cell r="B2" t="str">
            <v>Barley</v>
          </cell>
        </row>
        <row r="3">
          <cell r="A3" t="str">
            <v>alforfón o trigo sarraceno</v>
          </cell>
          <cell r="B3" t="str">
            <v>Winter cereals, other</v>
          </cell>
        </row>
        <row r="4">
          <cell r="A4" t="str">
            <v>alpiste</v>
          </cell>
          <cell r="B4" t="str">
            <v>Canary grass</v>
          </cell>
        </row>
        <row r="5">
          <cell r="A5" t="str">
            <v>escaña</v>
          </cell>
          <cell r="B5" t="str">
            <v>Winter cereals, other</v>
          </cell>
        </row>
        <row r="6">
          <cell r="A6" t="str">
            <v>otras mezclas de cereales de invierno</v>
          </cell>
          <cell r="B6" t="str">
            <v>Grain, mixed</v>
          </cell>
        </row>
        <row r="7">
          <cell r="A7" t="str">
            <v>otros cereales de primavera</v>
          </cell>
          <cell r="B7" t="str">
            <v>Summer cereals, other</v>
          </cell>
        </row>
        <row r="8">
          <cell r="A8" t="str">
            <v>tranquillón</v>
          </cell>
          <cell r="B8" t="str">
            <v>Grain, mixed</v>
          </cell>
        </row>
        <row r="9">
          <cell r="A9" t="str">
            <v>triticale</v>
          </cell>
          <cell r="B9" t="str">
            <v>Winter cereals, other</v>
          </cell>
        </row>
        <row r="10">
          <cell r="A10" t="str">
            <v>maíz</v>
          </cell>
          <cell r="B10" t="str">
            <v>Maize</v>
          </cell>
        </row>
        <row r="11">
          <cell r="A11" t="str">
            <v>mijo</v>
          </cell>
          <cell r="B11" t="str">
            <v>Millet</v>
          </cell>
        </row>
        <row r="12">
          <cell r="A12" t="str">
            <v>mijo y panizo</v>
          </cell>
          <cell r="B12" t="str">
            <v>Millet</v>
          </cell>
        </row>
        <row r="13">
          <cell r="A13" t="str">
            <v>avena</v>
          </cell>
          <cell r="B13" t="str">
            <v>Oats</v>
          </cell>
        </row>
        <row r="14">
          <cell r="A14" t="str">
            <v>arroz</v>
          </cell>
          <cell r="B14" t="str">
            <v>Rice</v>
          </cell>
        </row>
        <row r="15">
          <cell r="A15" t="str">
            <v>centeno</v>
          </cell>
          <cell r="B15" t="str">
            <v>Rye</v>
          </cell>
        </row>
        <row r="16">
          <cell r="A16" t="str">
            <v>panizo</v>
          </cell>
          <cell r="B16" t="str">
            <v>Sorghum</v>
          </cell>
        </row>
        <row r="17">
          <cell r="A17" t="str">
            <v>sorgo</v>
          </cell>
          <cell r="B17" t="str">
            <v>Sorghum</v>
          </cell>
        </row>
        <row r="18">
          <cell r="A18" t="str">
            <v>zaniha</v>
          </cell>
          <cell r="B18" t="str">
            <v>Sorghum</v>
          </cell>
        </row>
        <row r="19">
          <cell r="A19" t="str">
            <v>trigo</v>
          </cell>
          <cell r="B19" t="str">
            <v>Wheat</v>
          </cell>
        </row>
        <row r="20">
          <cell r="A20" t="str">
            <v>judías para grano</v>
          </cell>
          <cell r="B20" t="str">
            <v>Beans</v>
          </cell>
        </row>
        <row r="21">
          <cell r="A21" t="str">
            <v>judías para grano (hortícola)</v>
          </cell>
          <cell r="B21" t="str">
            <v>Beans</v>
          </cell>
        </row>
        <row r="22">
          <cell r="A22" t="str">
            <v>garbanzos</v>
          </cell>
          <cell r="B22" t="str">
            <v>Chickpea</v>
          </cell>
        </row>
        <row r="23">
          <cell r="A23" t="str">
            <v>habas para grano</v>
          </cell>
          <cell r="B23" t="str">
            <v>Fava bean</v>
          </cell>
        </row>
        <row r="24">
          <cell r="A24" t="str">
            <v>lentejas</v>
          </cell>
          <cell r="B24" t="str">
            <v>Lentils</v>
          </cell>
        </row>
        <row r="25">
          <cell r="A25" t="str">
            <v>altramuces</v>
          </cell>
          <cell r="B25" t="str">
            <v>Lupin</v>
          </cell>
        </row>
        <row r="26">
          <cell r="A26" t="str">
            <v>guisantes para grano</v>
          </cell>
          <cell r="B26" t="str">
            <v>Pea</v>
          </cell>
        </row>
        <row r="27">
          <cell r="A27" t="str">
            <v>algarrobas</v>
          </cell>
          <cell r="B27" t="str">
            <v>Pulses nes</v>
          </cell>
        </row>
        <row r="28">
          <cell r="A28" t="str">
            <v>alhovas</v>
          </cell>
          <cell r="B28" t="str">
            <v>Pulses nes</v>
          </cell>
        </row>
        <row r="29">
          <cell r="A29" t="str">
            <v>almorta</v>
          </cell>
          <cell r="B29" t="str">
            <v>Pulses nes</v>
          </cell>
        </row>
        <row r="30">
          <cell r="A30" t="str">
            <v>alverjones</v>
          </cell>
          <cell r="B30" t="str">
            <v>Pulses nes</v>
          </cell>
        </row>
        <row r="31">
          <cell r="A31" t="str">
            <v>otras leguminosas</v>
          </cell>
          <cell r="B31" t="str">
            <v>Pulses nes</v>
          </cell>
        </row>
        <row r="32">
          <cell r="A32" t="str">
            <v>yeros</v>
          </cell>
          <cell r="B32" t="str">
            <v>Pulses nes</v>
          </cell>
        </row>
        <row r="33">
          <cell r="A33" t="str">
            <v>veza o alverjas</v>
          </cell>
          <cell r="B33" t="str">
            <v>Vetch</v>
          </cell>
        </row>
        <row r="34">
          <cell r="A34" t="str">
            <v>patata</v>
          </cell>
          <cell r="B34" t="str">
            <v>Potato</v>
          </cell>
        </row>
        <row r="35">
          <cell r="A35" t="str">
            <v>patata hortícola</v>
          </cell>
          <cell r="B35" t="str">
            <v>Potato</v>
          </cell>
        </row>
        <row r="36">
          <cell r="A36" t="str">
            <v>batata y boniato</v>
          </cell>
          <cell r="B36" t="str">
            <v>Sweet potato</v>
          </cell>
        </row>
        <row r="37">
          <cell r="A37" t="str">
            <v>alcachofa</v>
          </cell>
          <cell r="B37" t="str">
            <v>Artichoke</v>
          </cell>
        </row>
        <row r="38">
          <cell r="A38" t="str">
            <v>espárrago</v>
          </cell>
          <cell r="B38" t="str">
            <v>Asparagus</v>
          </cell>
        </row>
        <row r="39">
          <cell r="A39" t="str">
            <v>berenjena</v>
          </cell>
          <cell r="B39" t="str">
            <v>Aubergine</v>
          </cell>
        </row>
        <row r="40">
          <cell r="A40" t="str">
            <v>Judías verdes huerta</v>
          </cell>
          <cell r="B40" t="str">
            <v>Beans, green</v>
          </cell>
        </row>
        <row r="41">
          <cell r="A41" t="str">
            <v>berza</v>
          </cell>
          <cell r="B41" t="str">
            <v>Cabbage, Broccoli</v>
          </cell>
        </row>
        <row r="42">
          <cell r="A42" t="str">
            <v>Coles y repollos</v>
          </cell>
          <cell r="B42" t="str">
            <v>Cabbage, Broccoli</v>
          </cell>
        </row>
        <row r="43">
          <cell r="A43" t="str">
            <v>Nabos y rábanos</v>
          </cell>
          <cell r="B43" t="str">
            <v>Turnip</v>
          </cell>
        </row>
        <row r="44">
          <cell r="A44" t="str">
            <v>Zanahoria</v>
          </cell>
          <cell r="B44" t="str">
            <v>Carrot</v>
          </cell>
        </row>
        <row r="45">
          <cell r="A45" t="str">
            <v>Coliflor</v>
          </cell>
          <cell r="B45" t="str">
            <v>Cauliflower</v>
          </cell>
        </row>
        <row r="46">
          <cell r="A46" t="str">
            <v>pepinillo</v>
          </cell>
          <cell r="B46" t="str">
            <v>Cucumber</v>
          </cell>
        </row>
        <row r="47">
          <cell r="A47" t="str">
            <v>pepino</v>
          </cell>
          <cell r="B47" t="str">
            <v>Cucumber</v>
          </cell>
        </row>
        <row r="48">
          <cell r="A48" t="str">
            <v>Ajo</v>
          </cell>
          <cell r="B48" t="str">
            <v>Garlic</v>
          </cell>
        </row>
        <row r="49">
          <cell r="A49" t="str">
            <v>puerro</v>
          </cell>
          <cell r="B49" t="str">
            <v>Leek</v>
          </cell>
        </row>
        <row r="50">
          <cell r="A50" t="str">
            <v>habas en verde</v>
          </cell>
          <cell r="B50" t="str">
            <v>Vegetables, leguminous nes</v>
          </cell>
        </row>
        <row r="51">
          <cell r="A51" t="str">
            <v>Habas en verde huerta</v>
          </cell>
          <cell r="B51" t="str">
            <v>Vegetables, leguminous nes</v>
          </cell>
        </row>
        <row r="52">
          <cell r="A52" t="str">
            <v>endivia</v>
          </cell>
          <cell r="B52" t="str">
            <v>Endive</v>
          </cell>
        </row>
        <row r="53">
          <cell r="A53" t="str">
            <v>escarola</v>
          </cell>
          <cell r="B53" t="str">
            <v>Endive</v>
          </cell>
        </row>
        <row r="54">
          <cell r="A54" t="str">
            <v>lechuga</v>
          </cell>
          <cell r="B54" t="str">
            <v>Lettuce</v>
          </cell>
        </row>
        <row r="55">
          <cell r="A55" t="str">
            <v>melón</v>
          </cell>
          <cell r="B55" t="str">
            <v>Melon</v>
          </cell>
        </row>
        <row r="56">
          <cell r="A56" t="str">
            <v>Cebolla</v>
          </cell>
          <cell r="B56" t="str">
            <v>Onion</v>
          </cell>
        </row>
        <row r="57">
          <cell r="A57" t="str">
            <v>cebolleta</v>
          </cell>
          <cell r="B57" t="str">
            <v>Onion</v>
          </cell>
        </row>
        <row r="58">
          <cell r="A58" t="str">
            <v>guisantes en verde</v>
          </cell>
          <cell r="B58" t="str">
            <v>Pea, green, with pod</v>
          </cell>
        </row>
        <row r="59">
          <cell r="A59" t="str">
            <v>Guisantes verde</v>
          </cell>
          <cell r="B59" t="str">
            <v>Pea, green, with pod</v>
          </cell>
        </row>
        <row r="60">
          <cell r="A60" t="str">
            <v>judías verdes</v>
          </cell>
          <cell r="B60" t="str">
            <v>Beans, green</v>
          </cell>
        </row>
        <row r="61">
          <cell r="A61" t="str">
            <v>guindilla</v>
          </cell>
          <cell r="B61" t="str">
            <v>Chili pepper</v>
          </cell>
        </row>
        <row r="62">
          <cell r="A62" t="str">
            <v>Pimiento</v>
          </cell>
          <cell r="B62" t="str">
            <v>Pepper</v>
          </cell>
        </row>
        <row r="63">
          <cell r="A63" t="str">
            <v>Calabaza</v>
          </cell>
          <cell r="B63" t="str">
            <v>Squash/pumpkin</v>
          </cell>
        </row>
        <row r="64">
          <cell r="A64" t="str">
            <v>espinaca</v>
          </cell>
          <cell r="B64" t="str">
            <v>Spinach</v>
          </cell>
        </row>
        <row r="65">
          <cell r="A65" t="str">
            <v>Tomate</v>
          </cell>
          <cell r="B65" t="str">
            <v>Tomato</v>
          </cell>
        </row>
        <row r="66">
          <cell r="A66" t="str">
            <v>acelga</v>
          </cell>
          <cell r="B66" t="str">
            <v>Chard</v>
          </cell>
        </row>
        <row r="67">
          <cell r="A67" t="str">
            <v>achicoria</v>
          </cell>
          <cell r="B67" t="str">
            <v>Chicory roots</v>
          </cell>
        </row>
        <row r="68">
          <cell r="A68" t="str">
            <v>achicoria huerta</v>
          </cell>
          <cell r="B68" t="str">
            <v>Chicory roots</v>
          </cell>
        </row>
        <row r="69">
          <cell r="A69" t="str">
            <v>alcaparro</v>
          </cell>
          <cell r="B69" t="str">
            <v>Caper</v>
          </cell>
        </row>
        <row r="70">
          <cell r="A70" t="str">
            <v>apio</v>
          </cell>
          <cell r="B70" t="str">
            <v>Celery</v>
          </cell>
        </row>
        <row r="71">
          <cell r="A71" t="str">
            <v>borraja</v>
          </cell>
          <cell r="B71" t="str">
            <v>Borage</v>
          </cell>
        </row>
        <row r="72">
          <cell r="A72" t="str">
            <v>calabacín</v>
          </cell>
          <cell r="B72" t="str">
            <v>Zucchini</v>
          </cell>
        </row>
        <row r="73">
          <cell r="A73" t="str">
            <v>cardo</v>
          </cell>
          <cell r="B73" t="str">
            <v>Artichoke thistle</v>
          </cell>
        </row>
        <row r="74">
          <cell r="A74" t="str">
            <v>otras hortalizas</v>
          </cell>
          <cell r="B74" t="str">
            <v>Vegetables, other</v>
          </cell>
        </row>
        <row r="75">
          <cell r="A75" t="str">
            <v>perejil</v>
          </cell>
          <cell r="B75" t="str">
            <v>Parsley</v>
          </cell>
        </row>
        <row r="76">
          <cell r="A76" t="str">
            <v>remolacha</v>
          </cell>
          <cell r="B76" t="str">
            <v>Beet</v>
          </cell>
        </row>
        <row r="77">
          <cell r="A77" t="str">
            <v>sandía</v>
          </cell>
          <cell r="B77" t="str">
            <v>Watermelon</v>
          </cell>
        </row>
        <row r="78">
          <cell r="A78" t="str">
            <v>vid dedicado a pasificación</v>
          </cell>
          <cell r="B78" t="str">
            <v>Grapevine</v>
          </cell>
        </row>
        <row r="79">
          <cell r="A79" t="str">
            <v>vid dedicado a uva de mesa</v>
          </cell>
          <cell r="B79" t="str">
            <v>Grapevine</v>
          </cell>
        </row>
        <row r="80">
          <cell r="A80" t="str">
            <v>vid dedicado a uva para transformación</v>
          </cell>
          <cell r="B80" t="str">
            <v>Grapevine</v>
          </cell>
        </row>
        <row r="81">
          <cell r="A81" t="str">
            <v>Aceituna de mesa</v>
          </cell>
          <cell r="B81" t="str">
            <v>Olive</v>
          </cell>
        </row>
        <row r="82">
          <cell r="A82" t="str">
            <v>Aceituna para aceite</v>
          </cell>
          <cell r="B82" t="str">
            <v>Olive</v>
          </cell>
        </row>
        <row r="83">
          <cell r="A83" t="str">
            <v>manzana</v>
          </cell>
          <cell r="B83" t="str">
            <v>Apple</v>
          </cell>
        </row>
        <row r="84">
          <cell r="A84" t="str">
            <v>manzana para sidra</v>
          </cell>
          <cell r="B84" t="str">
            <v>Apple</v>
          </cell>
        </row>
        <row r="85">
          <cell r="A85" t="str">
            <v>membrillero</v>
          </cell>
          <cell r="B85" t="str">
            <v>Quince</v>
          </cell>
        </row>
        <row r="86">
          <cell r="A86" t="str">
            <v>albaricoque</v>
          </cell>
          <cell r="B86" t="str">
            <v>Apricot</v>
          </cell>
        </row>
        <row r="87">
          <cell r="A87" t="str">
            <v>aguacate</v>
          </cell>
          <cell r="B87" t="str">
            <v>Avocado</v>
          </cell>
        </row>
        <row r="88">
          <cell r="A88" t="str">
            <v>plátano total</v>
          </cell>
          <cell r="B88" t="str">
            <v>Bananas, platains</v>
          </cell>
        </row>
        <row r="89">
          <cell r="A89" t="str">
            <v>cereza y guinda</v>
          </cell>
          <cell r="B89" t="str">
            <v>Cherries</v>
          </cell>
        </row>
        <row r="90">
          <cell r="A90" t="str">
            <v>higos</v>
          </cell>
          <cell r="B90" t="str">
            <v>Figs</v>
          </cell>
        </row>
        <row r="91">
          <cell r="A91" t="str">
            <v>acerola</v>
          </cell>
          <cell r="B91" t="str">
            <v>Fruits</v>
          </cell>
        </row>
        <row r="92">
          <cell r="A92" t="str">
            <v>azufaifa</v>
          </cell>
          <cell r="B92" t="str">
            <v>Fruits</v>
          </cell>
        </row>
        <row r="93">
          <cell r="A93" t="str">
            <v>caqui</v>
          </cell>
          <cell r="B93" t="str">
            <v>Persimmon</v>
          </cell>
        </row>
        <row r="94">
          <cell r="A94" t="str">
            <v>chirimoya</v>
          </cell>
          <cell r="B94" t="str">
            <v>Fruit, tropical fresh nes</v>
          </cell>
        </row>
        <row r="95">
          <cell r="A95" t="str">
            <v>dátiles</v>
          </cell>
          <cell r="B95" t="str">
            <v>Dates</v>
          </cell>
        </row>
        <row r="96">
          <cell r="A96" t="str">
            <v>fresa y fresón</v>
          </cell>
          <cell r="B96" t="str">
            <v>Strawberry</v>
          </cell>
        </row>
        <row r="97">
          <cell r="A97" t="str">
            <v>granada</v>
          </cell>
          <cell r="B97" t="str">
            <v>Pomegranate</v>
          </cell>
        </row>
        <row r="98">
          <cell r="A98" t="str">
            <v>guayaba</v>
          </cell>
          <cell r="B98" t="str">
            <v>Fruit, tropical fresh nes</v>
          </cell>
        </row>
        <row r="99">
          <cell r="A99" t="str">
            <v>higos chumbos</v>
          </cell>
          <cell r="B99" t="str">
            <v>Fruits</v>
          </cell>
        </row>
        <row r="100">
          <cell r="A100" t="str">
            <v>liwi total</v>
          </cell>
          <cell r="B100" t="str">
            <v>Fruits</v>
          </cell>
        </row>
        <row r="101">
          <cell r="A101" t="str">
            <v>mango</v>
          </cell>
          <cell r="B101" t="str">
            <v>Fruit, tropical fresh nes</v>
          </cell>
        </row>
        <row r="102">
          <cell r="A102" t="str">
            <v>morera</v>
          </cell>
          <cell r="B102" t="str">
            <v>Fruits</v>
          </cell>
        </row>
        <row r="103">
          <cell r="A103" t="str">
            <v>níspero</v>
          </cell>
          <cell r="B103" t="str">
            <v>Fruits</v>
          </cell>
        </row>
        <row r="104">
          <cell r="A104" t="str">
            <v>nopal</v>
          </cell>
          <cell r="B104" t="str">
            <v>Fruits</v>
          </cell>
        </row>
        <row r="105">
          <cell r="A105" t="str">
            <v>otros frutales de fruto carnoso</v>
          </cell>
          <cell r="B105" t="str">
            <v>Fruits</v>
          </cell>
        </row>
        <row r="106">
          <cell r="A106" t="str">
            <v>otros frutales de pepita</v>
          </cell>
          <cell r="B106" t="str">
            <v>Fruits</v>
          </cell>
        </row>
        <row r="107">
          <cell r="A107" t="str">
            <v>regaliz</v>
          </cell>
          <cell r="B107" t="str">
            <v>Fruits</v>
          </cell>
        </row>
        <row r="108">
          <cell r="A108" t="str">
            <v>ricino</v>
          </cell>
          <cell r="B108" t="str">
            <v>Fruits</v>
          </cell>
        </row>
        <row r="109">
          <cell r="A109" t="str">
            <v>serbal</v>
          </cell>
          <cell r="B109" t="str">
            <v>Fruits</v>
          </cell>
        </row>
        <row r="110">
          <cell r="A110" t="str">
            <v>zumaque</v>
          </cell>
          <cell r="B110" t="str">
            <v>Fruits</v>
          </cell>
        </row>
        <row r="111">
          <cell r="A111" t="str">
            <v>melocotón</v>
          </cell>
          <cell r="B111" t="str">
            <v>Peach</v>
          </cell>
        </row>
        <row r="112">
          <cell r="A112" t="str">
            <v>pera</v>
          </cell>
          <cell r="B112" t="str">
            <v>Pear</v>
          </cell>
        </row>
        <row r="113">
          <cell r="A113" t="str">
            <v>ciruela</v>
          </cell>
          <cell r="B113" t="str">
            <v>Plum</v>
          </cell>
        </row>
        <row r="114">
          <cell r="A114" t="str">
            <v>lima</v>
          </cell>
          <cell r="B114" t="str">
            <v>Lemon</v>
          </cell>
        </row>
        <row r="115">
          <cell r="A115" t="str">
            <v>limón total</v>
          </cell>
          <cell r="B115" t="str">
            <v>Lemon</v>
          </cell>
        </row>
        <row r="116">
          <cell r="A116" t="str">
            <v>naranja en plena producción</v>
          </cell>
          <cell r="B116" t="str">
            <v>Orange</v>
          </cell>
        </row>
        <row r="117">
          <cell r="A117" t="str">
            <v>naranjas que no han alcanzado la plena producción</v>
          </cell>
          <cell r="B117" t="str">
            <v>Orange</v>
          </cell>
        </row>
        <row r="118">
          <cell r="A118" t="str">
            <v>naranjo amargo en producción</v>
          </cell>
          <cell r="B118" t="str">
            <v>Orange</v>
          </cell>
        </row>
        <row r="119">
          <cell r="A119" t="str">
            <v>otros cítricos</v>
          </cell>
          <cell r="B119" t="str">
            <v>Citrus</v>
          </cell>
        </row>
        <row r="120">
          <cell r="A120" t="str">
            <v>pomelo</v>
          </cell>
          <cell r="B120" t="str">
            <v>Grapefruit</v>
          </cell>
        </row>
        <row r="121">
          <cell r="A121" t="str">
            <v>mandarina en plena producción</v>
          </cell>
          <cell r="B121" t="str">
            <v>Mandarin</v>
          </cell>
        </row>
        <row r="122">
          <cell r="A122" t="str">
            <v>mandarina que no ha alcanzado la plena producción</v>
          </cell>
          <cell r="B122" t="str">
            <v>Mandarin</v>
          </cell>
        </row>
        <row r="123">
          <cell r="A123" t="str">
            <v>almendra</v>
          </cell>
          <cell r="B123" t="str">
            <v>Almonds</v>
          </cell>
        </row>
        <row r="124">
          <cell r="A124" t="str">
            <v>Algarrobo</v>
          </cell>
          <cell r="B124" t="str">
            <v>Carob</v>
          </cell>
        </row>
        <row r="125">
          <cell r="A125" t="str">
            <v>castaña</v>
          </cell>
          <cell r="B125" t="str">
            <v>Chestnut</v>
          </cell>
        </row>
        <row r="126">
          <cell r="A126" t="str">
            <v>avellano</v>
          </cell>
          <cell r="B126" t="str">
            <v>Hazelnut</v>
          </cell>
        </row>
        <row r="127">
          <cell r="A127" t="str">
            <v>nuez</v>
          </cell>
          <cell r="B127" t="str">
            <v>Walnut</v>
          </cell>
        </row>
        <row r="128">
          <cell r="A128" t="str">
            <v>Algodón semilla</v>
          </cell>
          <cell r="B128" t="str">
            <v>Cottonseed</v>
          </cell>
        </row>
        <row r="129">
          <cell r="A129" t="str">
            <v>Cacahuete</v>
          </cell>
          <cell r="B129" t="str">
            <v>Groundnuts, with shell</v>
          </cell>
        </row>
        <row r="130">
          <cell r="A130" t="str">
            <v>cañamo semilla</v>
          </cell>
          <cell r="B130" t="str">
            <v>Hemp seed</v>
          </cell>
        </row>
        <row r="131">
          <cell r="A131" t="str">
            <v>lino para producción de semillas</v>
          </cell>
          <cell r="B131" t="str">
            <v>Linseed</v>
          </cell>
        </row>
        <row r="132">
          <cell r="A132" t="str">
            <v>colza</v>
          </cell>
          <cell r="B132" t="str">
            <v>Rape</v>
          </cell>
        </row>
        <row r="133">
          <cell r="A133" t="str">
            <v>mostaza</v>
          </cell>
          <cell r="B133" t="str">
            <v>Rape</v>
          </cell>
        </row>
        <row r="134">
          <cell r="A134" t="str">
            <v>cártamo</v>
          </cell>
          <cell r="B134" t="str">
            <v>Safflower</v>
          </cell>
        </row>
        <row r="135">
          <cell r="A135" t="str">
            <v>soja</v>
          </cell>
          <cell r="B135" t="str">
            <v>Soyabeans</v>
          </cell>
        </row>
        <row r="136">
          <cell r="A136" t="str">
            <v>girasol</v>
          </cell>
          <cell r="B136" t="str">
            <v>Sunflower seed</v>
          </cell>
        </row>
        <row r="137">
          <cell r="A137" t="str">
            <v>algodón</v>
          </cell>
          <cell r="B137" t="str">
            <v>Cotton fiber</v>
          </cell>
        </row>
        <row r="138">
          <cell r="A138" t="str">
            <v>caña vulgar</v>
          </cell>
          <cell r="B138" t="str">
            <v>Giant reed</v>
          </cell>
        </row>
        <row r="139">
          <cell r="A139" t="str">
            <v>cañamo fibra</v>
          </cell>
          <cell r="B139" t="str">
            <v>Hemp</v>
          </cell>
        </row>
        <row r="140">
          <cell r="A140" t="str">
            <v>cañamo mies</v>
          </cell>
          <cell r="B140" t="str">
            <v>Hemp</v>
          </cell>
        </row>
        <row r="141">
          <cell r="A141" t="str">
            <v>esparto</v>
          </cell>
          <cell r="B141" t="str">
            <v>Esparto grass</v>
          </cell>
        </row>
        <row r="142">
          <cell r="A142" t="str">
            <v>lino para artesanía</v>
          </cell>
          <cell r="B142" t="str">
            <v>Flax fibre and tow</v>
          </cell>
        </row>
        <row r="143">
          <cell r="A143" t="str">
            <v>lino para factoría (en mies)o lino oleaginoso para producción de linaza</v>
          </cell>
          <cell r="B143" t="str">
            <v>Flax fibre and tow</v>
          </cell>
        </row>
        <row r="144">
          <cell r="A144" t="str">
            <v>mimbrera</v>
          </cell>
          <cell r="B144" t="str">
            <v>Crack willow</v>
          </cell>
        </row>
        <row r="145">
          <cell r="A145" t="str">
            <v>otros cultivos leñosos</v>
          </cell>
          <cell r="B145" t="str">
            <v>Fruits</v>
          </cell>
        </row>
        <row r="146">
          <cell r="A146" t="str">
            <v>palmito</v>
          </cell>
          <cell r="B146" t="str">
            <v>Bastfibres, other</v>
          </cell>
        </row>
        <row r="147">
          <cell r="A147" t="str">
            <v>pita</v>
          </cell>
          <cell r="B147" t="str">
            <v>Bastfibres, other</v>
          </cell>
        </row>
        <row r="148">
          <cell r="A148" t="str">
            <v>cafeto</v>
          </cell>
          <cell r="B148" t="str">
            <v>Coffee</v>
          </cell>
        </row>
        <row r="149">
          <cell r="A149" t="str">
            <v>lúpulo en verde</v>
          </cell>
          <cell r="B149" t="str">
            <v>Hop</v>
          </cell>
        </row>
        <row r="150">
          <cell r="A150" t="str">
            <v>anís</v>
          </cell>
          <cell r="B150" t="str">
            <v>Anise</v>
          </cell>
        </row>
        <row r="151">
          <cell r="A151" t="str">
            <v>azafrán</v>
          </cell>
          <cell r="B151" t="str">
            <v>Saffron</v>
          </cell>
        </row>
        <row r="152">
          <cell r="A152" t="str">
            <v>chufa</v>
          </cell>
          <cell r="B152" t="str">
            <v>Spices, Other</v>
          </cell>
        </row>
        <row r="153">
          <cell r="A153" t="str">
            <v>comino</v>
          </cell>
          <cell r="B153" t="str">
            <v>Spices, Other</v>
          </cell>
        </row>
        <row r="154">
          <cell r="A154" t="str">
            <v>lavanda y lavandín</v>
          </cell>
          <cell r="B154" t="str">
            <v>Spices, Other</v>
          </cell>
        </row>
        <row r="155">
          <cell r="A155" t="str">
            <v>menta en verde</v>
          </cell>
          <cell r="B155" t="str">
            <v>Spices, Other</v>
          </cell>
        </row>
        <row r="156">
          <cell r="A156" t="str">
            <v>otros cultivos industriales (lavanda, cardón, manzanilla, adormidera, colza, ajonjolí, orégano)</v>
          </cell>
          <cell r="B156" t="str">
            <v>Spices, Other</v>
          </cell>
        </row>
        <row r="157">
          <cell r="A157" t="str">
            <v>pimiento para pimentón</v>
          </cell>
          <cell r="B157" t="str">
            <v>Chili pepper and peppers, dry</v>
          </cell>
        </row>
        <row r="158">
          <cell r="A158" t="str">
            <v>tabaco</v>
          </cell>
          <cell r="B158" t="str">
            <v>Tobacco</v>
          </cell>
        </row>
        <row r="159">
          <cell r="A159" t="str">
            <v>remolacha azucarera</v>
          </cell>
          <cell r="B159" t="str">
            <v>Sugar beet</v>
          </cell>
        </row>
        <row r="160">
          <cell r="A160" t="str">
            <v>caña de azúcar</v>
          </cell>
          <cell r="B160" t="str">
            <v>Sugarcane</v>
          </cell>
        </row>
        <row r="161">
          <cell r="A161" t="str">
            <v>alfalfa</v>
          </cell>
          <cell r="B161" t="str">
            <v>Alfalfa</v>
          </cell>
        </row>
        <row r="162">
          <cell r="A162" t="str">
            <v>alfalfa arborea</v>
          </cell>
          <cell r="B162" t="str">
            <v>Alfalfa</v>
          </cell>
        </row>
        <row r="163">
          <cell r="A163" t="str">
            <v>remolacha forrajera</v>
          </cell>
          <cell r="B163" t="str">
            <v>Fodder beet</v>
          </cell>
        </row>
        <row r="164">
          <cell r="A164" t="str">
            <v>col forrajera</v>
          </cell>
          <cell r="B164" t="str">
            <v>Fodder cabbage</v>
          </cell>
        </row>
        <row r="165">
          <cell r="A165" t="str">
            <v>zanahoria forrajera</v>
          </cell>
          <cell r="B165" t="str">
            <v>Carrot, for fodder</v>
          </cell>
        </row>
        <row r="166">
          <cell r="A166" t="str">
            <v>avena para forraje</v>
          </cell>
          <cell r="B166" t="str">
            <v>Oats, green</v>
          </cell>
        </row>
        <row r="167">
          <cell r="A167" t="str">
            <v>cebada para forrajes</v>
          </cell>
          <cell r="B167" t="str">
            <v>Cereals, green</v>
          </cell>
        </row>
        <row r="168">
          <cell r="A168" t="str">
            <v>centeno para forrajes</v>
          </cell>
          <cell r="B168" t="str">
            <v>Cereals, green</v>
          </cell>
        </row>
        <row r="169">
          <cell r="A169" t="str">
            <v>cereales (trigo, avena, cebada, centeno y mezclas) para forraje</v>
          </cell>
          <cell r="B169" t="str">
            <v>Cereals, green</v>
          </cell>
        </row>
        <row r="170">
          <cell r="A170" t="str">
            <v>trigo para forraje</v>
          </cell>
          <cell r="B170" t="str">
            <v>Cereals, green</v>
          </cell>
        </row>
        <row r="171">
          <cell r="A171" t="str">
            <v>otros tréboles (blanco, híbrico, subterráneo, etc.)</v>
          </cell>
          <cell r="B171" t="str">
            <v>Clover</v>
          </cell>
        </row>
        <row r="172">
          <cell r="A172" t="str">
            <v>trebol</v>
          </cell>
          <cell r="B172" t="str">
            <v>Clover</v>
          </cell>
        </row>
        <row r="173">
          <cell r="A173" t="str">
            <v>trébol encarnado</v>
          </cell>
          <cell r="B173" t="str">
            <v>Crimson clover, in bloom</v>
          </cell>
        </row>
        <row r="174">
          <cell r="A174" t="str">
            <v>trebol rojo o violeta</v>
          </cell>
          <cell r="B174" t="str">
            <v>Clover</v>
          </cell>
        </row>
        <row r="175">
          <cell r="A175" t="str">
            <v>cardo forrajero</v>
          </cell>
          <cell r="B175" t="str">
            <v>Jerusalem artichoke</v>
          </cell>
        </row>
        <row r="176">
          <cell r="A176" t="str">
            <v>otras pratenses monofitas</v>
          </cell>
          <cell r="B176" t="str">
            <v>Other monospecific swards</v>
          </cell>
        </row>
        <row r="177">
          <cell r="A177" t="str">
            <v>otras raíces y tubérculos forrajeros</v>
          </cell>
          <cell r="B177" t="str">
            <v>Other roots and tubers for fodder</v>
          </cell>
        </row>
        <row r="178">
          <cell r="A178" t="str">
            <v>otros forrajes (altramuz, cardo, chirivia, salgue, alfalfa arbórea, etc.)</v>
          </cell>
          <cell r="B178" t="str">
            <v>Fodder, other</v>
          </cell>
        </row>
        <row r="179">
          <cell r="A179" t="str">
            <v>pataca</v>
          </cell>
          <cell r="B179" t="str">
            <v>Turnip, for fodder</v>
          </cell>
        </row>
        <row r="180">
          <cell r="A180" t="str">
            <v>salgue</v>
          </cell>
          <cell r="B180" t="str">
            <v>Fodder, other</v>
          </cell>
        </row>
        <row r="181">
          <cell r="A181" t="str">
            <v>esparceta</v>
          </cell>
          <cell r="B181" t="str">
            <v>Common sainfoin</v>
          </cell>
        </row>
        <row r="182">
          <cell r="A182" t="str">
            <v>zulla</v>
          </cell>
          <cell r="B182" t="str">
            <v>French honeysuckle</v>
          </cell>
        </row>
        <row r="183">
          <cell r="A183" t="str">
            <v>ballico</v>
          </cell>
          <cell r="B183" t="str">
            <v>Brome</v>
          </cell>
        </row>
        <row r="184">
          <cell r="A184" t="str">
            <v>otras gramíneas como forrajes</v>
          </cell>
          <cell r="B184" t="str">
            <v>Other true grasses for fodder</v>
          </cell>
        </row>
        <row r="185">
          <cell r="A185" t="str">
            <v>ray-grass</v>
          </cell>
          <cell r="B185" t="str">
            <v>Ryegrass</v>
          </cell>
        </row>
        <row r="186">
          <cell r="A186" t="str">
            <v>algarroba para forraje</v>
          </cell>
          <cell r="B186" t="str">
            <v>Other legumes for green fodder</v>
          </cell>
        </row>
        <row r="187">
          <cell r="A187" t="str">
            <v>alhova forrajera</v>
          </cell>
          <cell r="B187" t="str">
            <v>Other legumes for green fodder</v>
          </cell>
        </row>
        <row r="188">
          <cell r="A188" t="str">
            <v>guisante forrajero</v>
          </cell>
          <cell r="B188" t="str">
            <v>Pea, green, for fodder</v>
          </cell>
        </row>
        <row r="189">
          <cell r="A189" t="str">
            <v>habas para forraje</v>
          </cell>
          <cell r="B189" t="str">
            <v>Faba bean/Broad bean, green, for fodder</v>
          </cell>
        </row>
        <row r="190">
          <cell r="A190" t="str">
            <v>otras leguminosas forraje</v>
          </cell>
          <cell r="B190" t="str">
            <v>Other legumes for green fodder</v>
          </cell>
        </row>
        <row r="191">
          <cell r="A191" t="str">
            <v>maíz para forraje</v>
          </cell>
          <cell r="B191" t="str">
            <v>Maize, green</v>
          </cell>
        </row>
        <row r="192">
          <cell r="A192" t="str">
            <v>praderas artificiales</v>
          </cell>
          <cell r="B192" t="str">
            <v>Mixed swards</v>
          </cell>
        </row>
        <row r="193">
          <cell r="A193" t="str">
            <v>pratenses polífitas</v>
          </cell>
          <cell r="B193" t="str">
            <v>Mixed swards</v>
          </cell>
        </row>
        <row r="194">
          <cell r="A194" t="str">
            <v>sorgo forrajero</v>
          </cell>
          <cell r="B194" t="str">
            <v>Sorghum, green</v>
          </cell>
        </row>
        <row r="195">
          <cell r="A195" t="str">
            <v>calabaza para forraje</v>
          </cell>
          <cell r="B195" t="str">
            <v>Squash, for fodder</v>
          </cell>
        </row>
        <row r="196">
          <cell r="A196" t="str">
            <v xml:space="preserve">chirivía </v>
          </cell>
          <cell r="B196" t="str">
            <v>Other roots and tubers for fodder</v>
          </cell>
        </row>
        <row r="197">
          <cell r="A197" t="str">
            <v>nabo forrajero</v>
          </cell>
          <cell r="B197" t="str">
            <v>Turnip, for fodder</v>
          </cell>
        </row>
        <row r="198">
          <cell r="A198" t="str">
            <v>veza para forraje</v>
          </cell>
          <cell r="B198" t="str">
            <v>Vetch, green</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person displayName="Edu Aguilera" id="{D91EE05B-06DC-4F79-B7D9-F389EC2331C4}" userId="0dd767e02e6ada6c" providerId="Windows Live"/>
  <person displayName="Eduardo Aguilera" id="{1DCA275F-52B5-4C48-860A-4D86D9E8806B}" userId="Eduardo Aguiler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X3" dT="2022-11-30T19:16:32.76" personId="{1DCA275F-52B5-4C48-860A-4D86D9E8806B}" id="{5197B7C8-09C7-429D-817B-6FA908443229}">
    <text>Equated to aboveground biomass</text>
  </threadedComment>
  <threadedComment ref="Q42" dT="2022-07-09T17:07:04.73" personId="{1DCA275F-52B5-4C48-860A-4D86D9E8806B}" id="{2E802808-6408-4F8A-B7D3-F44D988DEEFC}">
    <text>Added later to replace 0</text>
  </threadedComment>
  <threadedComment ref="BP53" dT="2025-02-10T19:23:08.96" personId="{D91EE05B-06DC-4F79-B7D9-F389EC2331C4}" id="{13E7D38C-D8EA-4FBA-B5C1-953BF63062CF}">
    <text>https://onlinelibrary.wiley.com/doi/10.1155/2018/4637861</text>
    <extLst>
      <x:ext xmlns:xltc2="http://schemas.microsoft.com/office/spreadsheetml/2020/threadedcomments2" uri="{F7C98A9C-CBB3-438F-8F68-D28B6AF4A901}">
        <xltc2:checksum>1078845984</xltc2:checksum>
        <xltc2:hyperlink startIndex="0" length="56" url="https://onlinelibrary.wiley.com/doi/10.1155/2018/4637861"/>
      </x:ext>
    </extLst>
  </threadedComment>
  <threadedComment ref="BP73" dT="2025-02-10T19:22:53.46" personId="{D91EE05B-06DC-4F79-B7D9-F389EC2331C4}" id="{5F047A6B-08BD-4B60-8209-FBCB740F0979}">
    <text>https://onlinelibrary.wiley.com/doi/10.1155/2018/4637861</text>
    <extLst>
      <x:ext xmlns:xltc2="http://schemas.microsoft.com/office/spreadsheetml/2020/threadedcomments2" uri="{F7C98A9C-CBB3-438F-8F68-D28B6AF4A901}">
        <xltc2:checksum>1078845984</xltc2:checksum>
        <xltc2:hyperlink startIndex="0" length="56" url="https://onlinelibrary.wiley.com/doi/10.1155/2018/4637861"/>
      </x:ext>
    </extLst>
  </threadedComment>
  <threadedComment ref="G179" dT="2021-01-28T09:22:08.47" personId="{D91EE05B-06DC-4F79-B7D9-F389EC2331C4}" id="{48144582-B2E9-4780-906C-5B079A6616F7}">
    <text>MAPA 1990-2015 series</text>
  </threadedComment>
  <threadedComment ref="G180" dT="2021-01-28T09:22:08.47" personId="{D91EE05B-06DC-4F79-B7D9-F389EC2331C4}" id="{04150040-C166-4205-AAB1-68BDC4E5C8AA}">
    <text>MAPA 1990-2015 series</text>
  </threadedComment>
  <threadedComment ref="G182" dT="2021-01-28T09:22:08.47" personId="{D91EE05B-06DC-4F79-B7D9-F389EC2331C4}" id="{CC3DF68B-6DA2-4185-9246-42A131BD290C}">
    <text>MAPA 1990-2015 series</text>
  </threadedComment>
  <threadedComment ref="G183" dT="2021-01-28T09:22:08.47" personId="{D91EE05B-06DC-4F79-B7D9-F389EC2331C4}" id="{F9020EFF-A3D0-49E9-B04B-6FC317B33825}">
    <text>MAPA 1990-2015 series</text>
  </threadedComment>
  <threadedComment ref="G184" dT="2021-01-28T09:22:08.47" personId="{D91EE05B-06DC-4F79-B7D9-F389EC2331C4}" id="{CABC6FFA-0B36-4549-A833-5031532AEEBE}">
    <text>MAPA 1990-2015 series</text>
  </threadedComment>
  <threadedComment ref="G186" dT="2021-01-28T09:22:08.47" personId="{D91EE05B-06DC-4F79-B7D9-F389EC2331C4}" id="{88973BD7-8468-4A6A-8407-AC26C9402EBD}">
    <text>MAPA 1990-2015 series</text>
  </threadedComment>
  <threadedComment ref="G187" dT="2021-01-28T09:22:08.47" personId="{D91EE05B-06DC-4F79-B7D9-F389EC2331C4}" id="{4CA0F473-6953-4955-89AC-99C1B7030C60}">
    <text>MAPA 1990-2015 series</text>
  </threadedComment>
  <threadedComment ref="G192" dT="2021-01-28T09:22:08.47" personId="{D91EE05B-06DC-4F79-B7D9-F389EC2331C4}" id="{36633DB5-FC79-4B37-9285-3D5F532D23B2}">
    <text>MAPA 1990-2015 series</text>
  </threadedComment>
  <threadedComment ref="G193" dT="2021-01-28T09:22:08.47" personId="{D91EE05B-06DC-4F79-B7D9-F389EC2331C4}" id="{ACBE09FF-0A3C-46F1-9D63-144644798EDC}">
    <text>MAPA 1990-2015 series</text>
  </threadedComment>
  <threadedComment ref="G194" dT="2021-01-28T09:22:08.47" personId="{D91EE05B-06DC-4F79-B7D9-F389EC2331C4}" id="{1EC39FA6-9A0C-4DF6-9679-DC2C2659E58B}">
    <text>MAPA 1990-2015 series</text>
  </threadedComment>
  <threadedComment ref="G196" dT="2021-01-28T09:22:08.47" personId="{D91EE05B-06DC-4F79-B7D9-F389EC2331C4}" id="{B05523EC-D1A6-41DB-AD9F-B097D61727E9}">
    <text>MAPA 1990-2015 series</text>
  </threadedComment>
  <threadedComment ref="G197" dT="2021-01-28T09:22:08.47" personId="{D91EE05B-06DC-4F79-B7D9-F389EC2331C4}" id="{9E37ACD0-BFE6-46DE-8621-9597552D6DB3}">
    <text>MAPA 1990-2015 series</text>
  </threadedComment>
  <threadedComment ref="G199" dT="2021-01-28T09:22:08.47" personId="{D91EE05B-06DC-4F79-B7D9-F389EC2331C4}" id="{B44353AF-DF51-4657-9091-5BE7FED9EE4C}">
    <text>MAPA 1990-2015 series</text>
  </threadedComment>
  <threadedComment ref="G202" dT="2021-01-28T09:22:08.47" personId="{D91EE05B-06DC-4F79-B7D9-F389EC2331C4}" id="{CB064A07-F21E-4596-9AB9-924CAA52015B}">
    <text>MAPA 1990-2015 series</text>
  </threadedComment>
  <threadedComment ref="G206" dT="2021-01-28T09:22:08.47" personId="{D91EE05B-06DC-4F79-B7D9-F389EC2331C4}" id="{45A33F36-9FC9-4A27-8466-0B1A8E550845}">
    <text>MAPA 1990-2015 series</text>
  </threadedComment>
  <threadedComment ref="G207" dT="2021-01-28T09:22:08.47" personId="{D91EE05B-06DC-4F79-B7D9-F389EC2331C4}" id="{DB4056B8-9781-4DC6-A30D-F8C9EECD0CD3}">
    <text>MAPA 1990-2015 series</text>
  </threadedComment>
  <threadedComment ref="G212" dT="2021-01-28T09:22:08.47" personId="{D91EE05B-06DC-4F79-B7D9-F389EC2331C4}" id="{95D7FA8B-0261-4AEB-9598-47BBE31EAC2B}">
    <text>MAPA 1990-2015 series</text>
  </threadedComment>
  <threadedComment ref="G215" dT="2021-01-28T09:22:08.47" personId="{D91EE05B-06DC-4F79-B7D9-F389EC2331C4}" id="{C1EA6AAB-4467-4581-A766-3C29DAAD3C71}">
    <text>MAPA 1990-2015 series</text>
  </threadedComment>
  <threadedComment ref="G216" dT="2021-01-28T09:22:08.47" personId="{D91EE05B-06DC-4F79-B7D9-F389EC2331C4}" id="{0E2BA5A6-BD36-4F5E-8E20-3933E3EF2500}">
    <text>MAPA 1990-2015 series</text>
  </threadedComment>
  <threadedComment ref="G217" dT="2021-01-28T09:22:08.47" personId="{D91EE05B-06DC-4F79-B7D9-F389EC2331C4}" id="{9E386D5D-6AD6-4D6D-A4EA-2C3716584750}">
    <text>MAPA 1990-2015 series</text>
  </threadedComment>
  <threadedComment ref="G219" dT="2021-01-28T09:22:08.47" personId="{D91EE05B-06DC-4F79-B7D9-F389EC2331C4}" id="{21E638FD-4531-4F91-B07B-F676DFA9001A}">
    <text>MAPA 1990-2015 series</text>
  </threadedComment>
  <threadedComment ref="G220" dT="2021-01-28T09:22:08.47" personId="{D91EE05B-06DC-4F79-B7D9-F389EC2331C4}" id="{55E7FE53-071E-4698-A198-FE8BD78EC146}">
    <text>MAPA 1990-2015 series</text>
  </threadedComment>
  <threadedComment ref="G221" dT="2021-01-28T09:22:08.47" personId="{D91EE05B-06DC-4F79-B7D9-F389EC2331C4}" id="{D394319B-A662-4687-9A66-E9A3B3586362}">
    <text>MAPA 1990-2015 series</text>
  </threadedComment>
  <threadedComment ref="BB246" dT="2025-02-07T17:23:33.56" personId="{D91EE05B-06DC-4F79-B7D9-F389EC2331C4}" id="{1907F651-4F6A-4D4D-B625-88679254D5B7}">
    <text>https://pmc.ncbi.nlm.nih.gov/articles/PMC6331788/</text>
    <extLst>
      <x:ext xmlns:xltc2="http://schemas.microsoft.com/office/spreadsheetml/2020/threadedcomments2" uri="{F7C98A9C-CBB3-438F-8F68-D28B6AF4A901}">
        <xltc2:checksum>2718963201</xltc2:checksum>
        <xltc2:hyperlink startIndex="0" length="49" url="https://pmc.ncbi.nlm.nih.gov/articles/PMC6331788/"/>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95" dT="2022-09-21T12:24:42.76" personId="{1DCA275F-52B5-4C48-860A-4D86D9E8806B}" id="{02CEE0A6-25AD-47E2-9893-24239E6460A7}">
    <text>Equiparado a haba verde (revisar) (estaba equiparado a guisante seco)</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02-09T16:45:44.49" personId="{D91EE05B-06DC-4F79-B7D9-F389EC2331C4}" id="{D054167B-8E76-4319-90B0-67A5FD880257}">
    <text>https://opkp.si/en_GB/cms/help/assistance-in-working-with-open/macronutrients</text>
    <extLst>
      <x:ext xmlns:xltc2="http://schemas.microsoft.com/office/spreadsheetml/2020/threadedcomments2" uri="{F7C98A9C-CBB3-438F-8F68-D28B6AF4A901}">
        <xltc2:checksum>596509930</xltc2:checksum>
        <xltc2:hyperlink startIndex="0" length="77" url="https://opkp.si/en_GB/cms/help/assistance-in-working-with-open/macronutrients"/>
      </x:ext>
    </extLst>
  </threadedComment>
</ThreadedComments>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 Id="rIdthread" Type="http://schemas.microsoft.com/office/2017/10/relationships/threadedComment" Target="../threadedComments/threadedComment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comment" Type="http://schemas.openxmlformats.org/officeDocument/2006/relationships/comments" Target="../comments3.xml"/><Relationship Id="rIdthread" Type="http://schemas.microsoft.com/office/2017/10/relationships/threadedComment" Target="../threadedComments/threadedComment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comment" Type="http://schemas.openxmlformats.org/officeDocument/2006/relationships/comments" Target="../comments4.xml"/><Relationship Id="rIdthread" Type="http://schemas.microsoft.com/office/2017/10/relationships/threadedComment" Target="../threadedComments/threadedComment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80" zoomScaleNormal="80" workbookViewId="0">
      <pane xSplit="4" ySplit="3" topLeftCell="Q395" activePane="bottomRight" state="frozen"/>
      <selection pane="topRight" activeCell="E1" sqref="E1"/>
      <selection pane="bottomLeft" activeCell="A4" sqref="A4"/>
      <selection pane="bottomRight" activeCell="Y410" sqref="Y410"/>
    </sheetView>
  </sheetViews>
  <sheetFormatPr defaultRowHeight="15.0" baseColWidth="10"/>
  <cols>
    <col min="1" max="1" width="2.19921875" hidden="0" customWidth="1"/>
    <col min="2" max="2" width="29.46484375" hidden="0" customWidth="1"/>
    <col min="3" max="3" width="7.46484375" hidden="0" customWidth="1"/>
    <col min="4" max="4" width="0.46484375" hidden="0" customWidth="1"/>
    <col min="18" max="18" width="10" hidden="0" customWidth="1"/>
    <col min="35" max="35" width="10.53125" hidden="0" customWidth="1"/>
  </cols>
  <sheetData>
    <row r="1">
      <c r="A1" s="81"/>
      <c r="B1" s="81"/>
      <c r="C1" s="81"/>
      <c r="D1" s="68"/>
      <c r="E1" s="68" t="s">
        <v>394</v>
      </c>
      <c r="F1" s="13"/>
      <c r="G1" s="46" t="s">
        <v>393</v>
      </c>
      <c r="H1" s="46"/>
      <c r="I1" s="70" t="s">
        <v>392</v>
      </c>
      <c r="J1" s="70"/>
      <c r="K1" s="24" t="s">
        <v>391</v>
      </c>
      <c r="L1" s="24"/>
      <c r="M1" s="24"/>
      <c r="N1" s="24" t="s">
        <v>390</v>
      </c>
      <c r="O1" s="13" t="s">
        <v>389</v>
      </c>
      <c r="P1" s="13" t="s">
        <v>388</v>
      </c>
      <c r="Q1" s="13"/>
      <c r="R1" s="13"/>
      <c r="S1" s="46"/>
      <c r="T1" s="24" t="s">
        <v>804</v>
      </c>
      <c r="U1" s="24"/>
      <c r="V1" s="24"/>
      <c r="W1" s="27"/>
      <c r="X1" s="27"/>
      <c r="Y1" s="155"/>
      <c r="Z1" s="155"/>
      <c r="AA1" s="155"/>
      <c r="AB1" s="155"/>
      <c r="AC1" s="155"/>
      <c r="AD1" s="155"/>
      <c r="AE1" s="155"/>
      <c r="AF1" s="155"/>
      <c r="AG1" s="155"/>
      <c r="AH1" s="155"/>
      <c r="AI1" s="155" t="s">
        <v>815</v>
      </c>
      <c r="AJ1" s="31"/>
      <c r="AK1" s="155"/>
      <c r="AL1" s="155"/>
      <c r="AM1" s="92" t="s">
        <v>387</v>
      </c>
      <c r="AN1" s="92"/>
      <c r="AO1" s="92"/>
      <c r="AP1" s="92"/>
      <c r="AQ1" s="155"/>
      <c r="AR1" s="70" t="s">
        <v>386</v>
      </c>
      <c r="AS1" s="155" t="s">
        <v>385</v>
      </c>
      <c r="AT1" s="70"/>
      <c r="AU1" s="70"/>
      <c r="AV1" s="70"/>
      <c r="AW1" s="70"/>
      <c r="AX1" s="81"/>
      <c r="AY1" s="81"/>
      <c r="BA1" t="n">
        <v>2</v>
      </c>
      <c r="BB1" s="156"/>
      <c r="BC1" s="156"/>
      <c r="BQ1" s="155"/>
    </row>
    <row r="2" ht="105" customHeight="1">
      <c r="A2" s="14" t="s">
        <v>384</v>
      </c>
      <c r="B2" s="14" t="s">
        <v>399</v>
      </c>
      <c r="C2" s="14" t="s">
        <v>752</v>
      </c>
      <c r="D2" s="9" t="s">
        <v>400</v>
      </c>
      <c r="E2" s="9" t="s">
        <v>407</v>
      </c>
      <c r="F2" s="29" t="s">
        <v>430</v>
      </c>
      <c r="G2" s="74" t="s">
        <v>429</v>
      </c>
      <c r="H2" s="74" t="s">
        <v>428</v>
      </c>
      <c r="I2" s="29" t="s">
        <v>406</v>
      </c>
      <c r="J2" s="29" t="s">
        <v>405</v>
      </c>
      <c r="K2" s="58" t="s">
        <v>404</v>
      </c>
      <c r="L2" s="58" t="s">
        <v>408</v>
      </c>
      <c r="M2" s="58" t="s">
        <v>409</v>
      </c>
      <c r="N2" s="58" t="s">
        <v>401</v>
      </c>
      <c r="O2" s="29" t="s">
        <v>410</v>
      </c>
      <c r="P2" s="29" t="s">
        <v>402</v>
      </c>
      <c r="Q2" s="29" t="s">
        <v>403</v>
      </c>
      <c r="R2" s="29" t="s">
        <v>803</v>
      </c>
      <c r="S2" s="74" t="s">
        <v>579</v>
      </c>
      <c r="T2" s="32" t="s">
        <v>585</v>
      </c>
      <c r="U2" s="58" t="s">
        <v>580</v>
      </c>
      <c r="V2" s="58" t="s">
        <v>581</v>
      </c>
      <c r="W2" s="20" t="s">
        <v>583</v>
      </c>
      <c r="X2" s="20" t="s">
        <v>582</v>
      </c>
      <c r="Y2" s="43" t="s">
        <v>812</v>
      </c>
      <c r="Z2" s="43" t="s">
        <v>813</v>
      </c>
      <c r="AA2" s="43" t="s">
        <v>814</v>
      </c>
      <c r="AB2" s="43" t="s">
        <v>806</v>
      </c>
      <c r="AC2" s="43" t="s">
        <v>805</v>
      </c>
      <c r="AD2" s="43" t="s">
        <v>808</v>
      </c>
      <c r="AE2" s="43" t="s">
        <v>809</v>
      </c>
      <c r="AF2" s="43" t="s">
        <v>807</v>
      </c>
      <c r="AG2" s="43" t="s">
        <v>810</v>
      </c>
      <c r="AH2" s="43" t="s">
        <v>811</v>
      </c>
      <c r="AI2" s="43" t="s">
        <v>411</v>
      </c>
      <c r="AJ2" s="32" t="s">
        <v>412</v>
      </c>
      <c r="AK2" s="43" t="s">
        <v>413</v>
      </c>
      <c r="AL2" s="43" t="s">
        <v>414</v>
      </c>
      <c r="AM2" s="43" t="s">
        <v>415</v>
      </c>
      <c r="AN2" s="43" t="s">
        <v>416</v>
      </c>
      <c r="AO2" s="43" t="s">
        <v>417</v>
      </c>
      <c r="AP2" s="43" t="s">
        <v>418</v>
      </c>
      <c r="AQ2" s="43" t="s">
        <v>419</v>
      </c>
      <c r="AR2" s="29" t="s">
        <v>420</v>
      </c>
      <c r="AS2" s="43" t="s">
        <v>421</v>
      </c>
      <c r="AT2" s="29" t="s">
        <v>422</v>
      </c>
      <c r="AU2" s="29" t="s">
        <v>423</v>
      </c>
      <c r="AV2" s="29" t="s">
        <v>424</v>
      </c>
      <c r="AW2" s="29" t="s">
        <v>426</v>
      </c>
      <c r="AX2" s="14" t="s">
        <v>425</v>
      </c>
      <c r="AY2" s="14" t="s">
        <v>427</v>
      </c>
      <c r="AZ2" s="29" t="s">
        <v>762</v>
      </c>
      <c r="BA2" s="77" t="s">
        <v>821</v>
      </c>
      <c r="BB2" s="78" t="s">
        <v>822</v>
      </c>
      <c r="BC2" s="78" t="s">
        <v>823</v>
      </c>
      <c r="BD2" s="78" t="s">
        <v>824</v>
      </c>
      <c r="BE2" s="78" t="s">
        <v>825</v>
      </c>
      <c r="BF2" s="78" t="s">
        <v>826</v>
      </c>
      <c r="BG2" s="78" t="s">
        <v>827</v>
      </c>
      <c r="BH2" s="78" t="s">
        <v>828</v>
      </c>
      <c r="BI2" s="78" t="s">
        <v>829</v>
      </c>
      <c r="BJ2" s="78" t="s">
        <v>830</v>
      </c>
      <c r="BK2" s="78" t="s">
        <v>831</v>
      </c>
      <c r="BL2" s="78" t="s">
        <v>832</v>
      </c>
      <c r="BM2" s="78" t="s">
        <v>833</v>
      </c>
      <c r="BN2" s="78" t="s">
        <v>834</v>
      </c>
      <c r="BO2" s="78" t="s">
        <v>835</v>
      </c>
      <c r="BP2" s="78" t="s">
        <v>841</v>
      </c>
      <c r="BQ2" s="43"/>
    </row>
    <row r="3">
      <c r="A3" s="135" t="n">
        <v>75</v>
      </c>
      <c r="B3" s="44" t="s">
        <v>383</v>
      </c>
      <c r="C3" s="44" t="s">
        <v>377</v>
      </c>
      <c r="D3" s="142" t="s">
        <v>369</v>
      </c>
      <c r="E3" s="142" t="n">
        <v>3393.3333333333335</v>
      </c>
      <c r="F3" s="94" t="n">
        <v>0.4024040558156538</v>
      </c>
      <c r="G3" s="89" t="n">
        <v>0.86733333333333329</v>
      </c>
      <c r="H3" s="89" t="n">
        <v>0.90700000000000003</v>
      </c>
      <c r="I3" s="142" t="n">
        <v>232.07499999999999</v>
      </c>
      <c r="J3" s="142" t="n">
        <v>873.33823333333328</v>
      </c>
      <c r="K3" s="166"/>
      <c r="L3" s="166"/>
      <c r="M3" s="166" t="n">
        <v>15.176000000000002</v>
      </c>
      <c r="N3" s="166" t="n">
        <v>15.938529600000001</v>
      </c>
      <c r="O3" s="94" t="n">
        <v>0.41217501585288518</v>
      </c>
      <c r="P3" s="94" t="n">
        <v>0.58782498414711482</v>
      </c>
      <c r="Q3" s="94" t="n">
        <v>1.4261538461538463</v>
      </c>
      <c r="R3" s="94"/>
      <c r="S3" s="22" t="n">
        <f>VLOOKUP($B3,Conversores_Dieta!$B$4:$J$164,Coefs!S$292,0)</f>
        <v>1</v>
      </c>
      <c r="T3" s="130" t="n">
        <f>AI3*G3</f>
        <v>1.3414755555555553E-2</v>
      </c>
      <c r="U3" s="166" t="n">
        <f>VLOOKUP($B3,Conversores_Dieta!$B$4:$J$164,Coefs!U$292,0)</f>
        <v>71</v>
      </c>
      <c r="V3" s="166" t="n">
        <f>VLOOKUP($B3,Conversores_Dieta!$B$4:$J$164,Coefs!V$292,0)</f>
        <v>598</v>
      </c>
      <c r="W3" s="21" t="n">
        <f>VLOOKUP($B3,Conversores_Dieta!$B$4:$J$164,Coefs!W$292,0)</f>
        <v>796</v>
      </c>
      <c r="X3" s="21" t="n">
        <f>VLOOKUP($B3,Conversores_Dieta!$B$4:$J$164,Coefs!X$292,0)</f>
        <v>0</v>
      </c>
      <c r="Y3" s="67"/>
      <c r="Z3" s="67"/>
      <c r="AA3" s="67"/>
      <c r="AB3" s="67"/>
      <c r="AC3" s="67"/>
      <c r="AD3" s="21"/>
      <c r="AE3" s="21"/>
      <c r="AF3" s="21"/>
      <c r="AG3" s="21"/>
      <c r="AH3" s="21"/>
      <c r="AI3" s="153" t="n">
        <v>1.5466666666666665E-2</v>
      </c>
      <c r="AJ3" s="71" t="n">
        <v>3.666666666666667E-3</v>
      </c>
      <c r="AK3" s="67" t="n">
        <v>4.0000000000000001E-3</v>
      </c>
      <c r="AL3" s="153" t="n">
        <v>0.46</v>
      </c>
      <c r="AM3" s="153" t="n">
        <v>7.0000000000000001E-3</v>
      </c>
      <c r="AN3" s="130" t="n">
        <v>7.633587786259543E-4</v>
      </c>
      <c r="AO3" s="153" t="n">
        <v>1.1995637949836423E-2</v>
      </c>
      <c r="AP3" s="153" t="n">
        <v>0.47206666666666663</v>
      </c>
      <c r="AQ3" s="121" t="n">
        <v>0.11534666666666667</v>
      </c>
      <c r="AR3" s="94"/>
      <c r="AS3" s="121" t="n">
        <v>0.76065000000000005</v>
      </c>
      <c r="AT3" s="59" t="n">
        <f t="shared" ref="AT3:AT66" si="0">$AT$228</f>
        <v>0.17824592074592077</v>
      </c>
      <c r="AU3" s="87" t="n">
        <v>0.46100000000000002</v>
      </c>
      <c r="AV3" s="87" t="n">
        <v>0.29965000000000003</v>
      </c>
      <c r="AW3" s="174"/>
      <c r="AX3" s="107" t="n">
        <f t="shared" ref="AX3:AX34" si="1">AI3*O3+P3*AM3</f>
        <v>1.0489748467554426E-2</v>
      </c>
      <c r="AY3" s="119" t="n">
        <v>17.572800000000001</v>
      </c>
      <c r="AZ3" t="n">
        <v>0.7</v>
      </c>
      <c r="BA3" t="n">
        <v>106</v>
      </c>
      <c r="BB3" t="n">
        <v>12</v>
      </c>
      <c r="BC3" t="n">
        <v>22</v>
      </c>
      <c r="BD3" t="n">
        <v>25</v>
      </c>
      <c r="BE3" t="n">
        <v>0</v>
      </c>
      <c r="BF3" t="n">
        <v>47.199999999999996</v>
      </c>
      <c r="BG3" t="n">
        <v>39.700000000000003</v>
      </c>
      <c r="BH3" t="n">
        <v>1770</v>
      </c>
      <c r="BI3" t="n">
        <v>33.4</v>
      </c>
      <c r="BJ3" t="n">
        <v>0</v>
      </c>
      <c r="BK3" t="n">
        <v>0</v>
      </c>
      <c r="BL3" t="n">
        <v>560</v>
      </c>
      <c r="BM3" t="n">
        <v>0</v>
      </c>
      <c r="BN3" t="n">
        <v>7</v>
      </c>
      <c r="BO3" t="n">
        <v>200</v>
      </c>
      <c r="BP3" t="n">
        <v>3</v>
      </c>
      <c r="BQ3" s="110"/>
    </row>
    <row r="4">
      <c r="A4" s="135" t="n">
        <v>44</v>
      </c>
      <c r="B4" s="44" t="s">
        <v>382</v>
      </c>
      <c r="C4" s="44" t="s">
        <v>377</v>
      </c>
      <c r="D4" s="142" t="s">
        <v>382</v>
      </c>
      <c r="E4" s="142" t="n">
        <v>1543.9522916269068</v>
      </c>
      <c r="F4" s="94" t="n">
        <v>0.2101117854410646</v>
      </c>
      <c r="G4" s="89" t="n">
        <v>0.88500000000000001</v>
      </c>
      <c r="H4" s="89" t="n">
        <v>0.8640000000000001</v>
      </c>
      <c r="I4" s="142" t="n">
        <v>232.07499999999999</v>
      </c>
      <c r="J4" s="142" t="n">
        <v>873.33823333333328</v>
      </c>
      <c r="K4" s="166"/>
      <c r="L4" s="166"/>
      <c r="M4" s="166" t="n">
        <v>15.625999999999999</v>
      </c>
      <c r="N4" s="166" t="n">
        <v>15.182899200000003</v>
      </c>
      <c r="O4" s="94" t="n">
        <v>0.45373030754013988</v>
      </c>
      <c r="P4" s="94" t="n">
        <v>0.54626969245986012</v>
      </c>
      <c r="Q4" s="94" t="n">
        <v>1.2039523994361643</v>
      </c>
      <c r="R4" s="94"/>
      <c r="S4" s="65" t="n">
        <f>VLOOKUP(C4,$B$3:$X$358,MATCH(S$2,$B$2:$X$2,0),0)</f>
        <v>1</v>
      </c>
      <c r="T4" s="130" t="n">
        <f>AI4*G4</f>
        <v>1.6480821268153638E-2</v>
      </c>
      <c r="U4" s="157" t="n">
        <f>VLOOKUP($C4,$B$3:$X$358,MATCH(U$2,$B$2:$X$2,0),0)*$G4/VLOOKUP($C4,$B$3:$X$358,MATCH($G$2,$B$2:$X$2,0),0)</f>
        <v>12.081911262798636</v>
      </c>
      <c r="V4" s="157" t="n">
        <f>VLOOKUP($C4,$B$3:$X$358,MATCH(V$2,$B$2:$X$2,0),0)*$G4/VLOOKUP($C4,$B$3:$X$358,MATCH($G$2,$B$2:$X$2,0),0)</f>
        <v>805.4607508532423</v>
      </c>
      <c r="W4" s="132" t="n">
        <f>VLOOKUP($C4,$B$3:$X$358,MATCH(W$2,$B$2:$X$2,0),0)*$G4/VLOOKUP($C4,$B$3:$X$358,MATCH($G$2,$B$2:$X$2,0),0)</f>
        <v>151.02389078498294</v>
      </c>
      <c r="X4" s="132" t="n">
        <f>VLOOKUP($C4,$B$3:$X$358,MATCH(X$2,$B$2:$X$2,0),0)*$G4/VLOOKUP($C4,$B$3:$X$358,MATCH($G$2,$B$2:$X$2,0),0)</f>
        <v>0</v>
      </c>
      <c r="Y4" s="66"/>
      <c r="Z4" s="66"/>
      <c r="AA4" s="66"/>
      <c r="AB4" s="66"/>
      <c r="AC4" s="66"/>
      <c r="AD4" s="21"/>
      <c r="AE4" s="21"/>
      <c r="AF4" s="21"/>
      <c r="AG4" s="21"/>
      <c r="AH4" s="21"/>
      <c r="AI4" s="153" t="n">
        <v>1.862239691316795E-2</v>
      </c>
      <c r="AJ4" s="71" t="n">
        <v>3.7872787360674178E-3</v>
      </c>
      <c r="AK4" s="67" t="n">
        <v>4.4569365575565564E-3</v>
      </c>
      <c r="AL4" s="153" t="n">
        <v>0.46</v>
      </c>
      <c r="AM4" s="153" t="n">
        <v>7.0000000000000001E-3</v>
      </c>
      <c r="AN4" s="130" t="n">
        <v>7.633587786259543E-4</v>
      </c>
      <c r="AO4" s="153" t="n">
        <v>1.1995637949836423E-2</v>
      </c>
      <c r="AP4" s="153" t="n">
        <v>0.44669999999999999</v>
      </c>
      <c r="AQ4" s="121" t="n">
        <v>0.11534666666666667</v>
      </c>
      <c r="AR4" s="94"/>
      <c r="AS4" s="121" t="n">
        <v>0.8085</v>
      </c>
      <c r="AT4" s="59" t="n">
        <f t="shared" si="0"/>
        <v>0.17824592074592077</v>
      </c>
      <c r="AU4" s="87" t="n">
        <v>0.49</v>
      </c>
      <c r="AV4" s="87" t="n">
        <v>0.31850000000000001</v>
      </c>
      <c r="AW4" s="5"/>
      <c r="AX4" s="107" t="n">
        <f t="shared" si="1"/>
        <v>1.2273433725765266E-2</v>
      </c>
      <c r="AY4" s="119" t="n">
        <v>17.572800000000001</v>
      </c>
      <c r="AZ4" t="n">
        <v>0.7</v>
      </c>
      <c r="BA4" t="n">
        <v>148</v>
      </c>
      <c r="BB4" t="n">
        <v>3</v>
      </c>
      <c r="BC4" t="n">
        <v>2</v>
      </c>
      <c r="BD4" t="n">
        <v>7</v>
      </c>
      <c r="BE4" t="n">
        <v>0</v>
      </c>
      <c r="BF4" t="n">
        <v>60</v>
      </c>
      <c r="BG4" t="n">
        <v>33</v>
      </c>
      <c r="BH4" t="n">
        <v>910</v>
      </c>
      <c r="BI4" t="n">
        <v>33.4</v>
      </c>
      <c r="BJ4" t="n">
        <v>0</v>
      </c>
      <c r="BK4" t="n">
        <v>0</v>
      </c>
      <c r="BL4" t="n">
        <v>500</v>
      </c>
      <c r="BM4" t="n">
        <v>100</v>
      </c>
      <c r="BN4" t="n">
        <v>2</v>
      </c>
      <c r="BO4" t="n">
        <v>600</v>
      </c>
      <c r="BP4" t="n">
        <v>5</v>
      </c>
      <c r="BQ4" s="110"/>
    </row>
    <row r="5">
      <c r="A5" s="135" t="n">
        <v>27</v>
      </c>
      <c r="B5" s="44" t="s">
        <v>381</v>
      </c>
      <c r="C5" s="44"/>
      <c r="D5" s="142" t="s">
        <v>381</v>
      </c>
      <c r="E5" s="142"/>
      <c r="F5" s="94" t="n">
        <v>0.22</v>
      </c>
      <c r="G5" s="89" t="n">
        <v>0.8640000000000001</v>
      </c>
      <c r="H5" s="89" t="n">
        <v>0.91</v>
      </c>
      <c r="I5" s="142" t="n">
        <v>232.07499999999999</v>
      </c>
      <c r="J5" s="142" t="n">
        <v>873.33823333333328</v>
      </c>
      <c r="K5" s="166"/>
      <c r="L5" s="166"/>
      <c r="M5" s="166" t="n">
        <v>15.176000000000002</v>
      </c>
      <c r="N5" s="166" t="n">
        <v>15.991248000000001</v>
      </c>
      <c r="O5" s="94" t="n">
        <v>0.45454545454545459</v>
      </c>
      <c r="P5" s="94" t="n">
        <v>0.54545454545454541</v>
      </c>
      <c r="Q5" s="94" t="n">
        <v>1.2</v>
      </c>
      <c r="R5" s="94"/>
      <c r="S5" s="22" t="n">
        <f>VLOOKUP($B5,Conversores_Dieta!$B$4:$J$164,Coefs!S$292,0)</f>
        <v>1</v>
      </c>
      <c r="T5" s="130" t="n">
        <f>AI5*G5</f>
        <v>1.1889908256880737E-2</v>
      </c>
      <c r="U5" s="166" t="n">
        <f>VLOOKUP($B5,Conversores_Dieta!$B$4:$J$164,Coefs!U$292,0)</f>
        <v>9</v>
      </c>
      <c r="V5" s="166" t="n">
        <f>VLOOKUP($B5,Conversores_Dieta!$B$4:$J$164,Coefs!V$292,0)</f>
        <v>860</v>
      </c>
      <c r="W5" s="21" t="n">
        <f>VLOOKUP($B5,Conversores_Dieta!$B$4:$J$164,Coefs!W$292,0)</f>
        <v>100</v>
      </c>
      <c r="X5" s="21" t="n">
        <f>VLOOKUP($B5,Conversores_Dieta!$B$4:$J$164,Coefs!X$292,0)</f>
        <v>0</v>
      </c>
      <c r="Y5" s="67"/>
      <c r="Z5" s="67"/>
      <c r="AA5" s="67"/>
      <c r="AB5" s="67"/>
      <c r="AC5" s="67"/>
      <c r="AD5" s="21"/>
      <c r="AE5" s="21"/>
      <c r="AF5" s="21"/>
      <c r="AG5" s="21"/>
      <c r="AH5" s="21"/>
      <c r="AI5" s="153" t="n">
        <v>1.3761467889908258E-2</v>
      </c>
      <c r="AJ5" s="71" t="n">
        <v>1.1467889908256881E-3</v>
      </c>
      <c r="AK5" s="67" t="n">
        <v>1.3761467889908255E-3</v>
      </c>
      <c r="AL5" s="153" t="n">
        <v>0.46</v>
      </c>
      <c r="AM5" s="153" t="n">
        <v>7.0000000000000001E-3</v>
      </c>
      <c r="AN5" s="130" t="n">
        <v>7.633587786259543E-4</v>
      </c>
      <c r="AO5" s="153" t="n">
        <v>1.1995637949836423E-2</v>
      </c>
      <c r="AP5" s="153" t="n">
        <v>0.40053571428571427</v>
      </c>
      <c r="AQ5" s="121" t="n">
        <v>0.11534666666666667</v>
      </c>
      <c r="AR5" s="94"/>
      <c r="AS5" s="121" t="n">
        <v>0.51315</v>
      </c>
      <c r="AT5" s="59" t="n">
        <f t="shared" si="0"/>
        <v>0.17824592074592077</v>
      </c>
      <c r="AU5" s="87" t="n">
        <v>0.311</v>
      </c>
      <c r="AV5" s="87" t="n">
        <v>0.20215</v>
      </c>
      <c r="AW5" s="5"/>
      <c r="AX5" s="107" t="n">
        <f t="shared" si="1"/>
        <v>1.0073394495412846E-2</v>
      </c>
      <c r="AY5" s="119" t="n">
        <v>17.572800000000001</v>
      </c>
      <c r="AZ5" t="n">
        <v>0.7</v>
      </c>
      <c r="BA5" t="n">
        <v>18.5</v>
      </c>
      <c r="BB5" t="n">
        <v>2.1</v>
      </c>
      <c r="BC5" t="n">
        <v>2.3000000000000003</v>
      </c>
      <c r="BD5" t="n">
        <v>3.2</v>
      </c>
      <c r="BE5" t="n">
        <v>0</v>
      </c>
      <c r="BF5" t="n">
        <v>5</v>
      </c>
      <c r="BG5" t="n">
        <v>2</v>
      </c>
      <c r="BH5" t="n">
        <v>130</v>
      </c>
      <c r="BI5" t="n">
        <v>33.4</v>
      </c>
      <c r="BJ5" t="n">
        <v>0</v>
      </c>
      <c r="BK5" t="n">
        <v>0</v>
      </c>
      <c r="BL5" t="n">
        <v>200</v>
      </c>
      <c r="BM5" t="n">
        <v>0</v>
      </c>
      <c r="BN5" t="n">
        <v>3</v>
      </c>
      <c r="BO5" t="n">
        <v>300</v>
      </c>
      <c r="BP5" t="n">
        <v>0</v>
      </c>
      <c r="BQ5" s="110"/>
    </row>
    <row r="6">
      <c r="A6" s="135" t="n">
        <v>79</v>
      </c>
      <c r="B6" s="44" t="s">
        <v>380</v>
      </c>
      <c r="C6" s="44" t="s">
        <v>376</v>
      </c>
      <c r="D6" s="142" t="s">
        <v>369</v>
      </c>
      <c r="E6" s="142"/>
      <c r="F6" s="94" t="n">
        <v>0.25</v>
      </c>
      <c r="G6" s="89" t="n">
        <v>0.88049999999999995</v>
      </c>
      <c r="H6" s="89" t="n">
        <v>0.9</v>
      </c>
      <c r="I6" s="142" t="n">
        <v>232.07499999999999</v>
      </c>
      <c r="J6" s="142" t="n">
        <v>873.33823333333328</v>
      </c>
      <c r="K6" s="166"/>
      <c r="L6" s="166"/>
      <c r="M6" s="166" t="n">
        <v>15.123800000000001</v>
      </c>
      <c r="N6" s="166" t="n">
        <v>15.815520000000001</v>
      </c>
      <c r="O6" s="94" t="n">
        <v>0.44999999999999996</v>
      </c>
      <c r="P6" s="94" t="n">
        <v>0.55000000000000004</v>
      </c>
      <c r="Q6" s="94" t="n">
        <v>1.2222222222222223</v>
      </c>
      <c r="R6" s="94"/>
      <c r="S6" s="65" t="n">
        <f>VLOOKUP(C6,$B$3:$X$358,MATCH(S$2,$B$2:$X$2,0),0)</f>
        <v>1</v>
      </c>
      <c r="T6" s="130" t="n">
        <f>AI6*G6</f>
        <v>1.3579852148171853E-2</v>
      </c>
      <c r="U6" s="157" t="n">
        <f>VLOOKUP($C6,$B$3:$X$358,MATCH(U$2,$B$2:$X$2,0),0)*$G6/VLOOKUP($C6,$B$3:$X$358,MATCH($G$2,$B$2:$X$2,0),0)</f>
        <v>27.579466357308583</v>
      </c>
      <c r="V6" s="157" t="n">
        <f>VLOOKUP($C6,$B$3:$X$358,MATCH(V$2,$B$2:$X$2,0),0)*$G6/VLOOKUP($C6,$B$3:$X$358,MATCH($G$2,$B$2:$X$2,0),0)</f>
        <v>776.31090487238976</v>
      </c>
      <c r="W6" s="132" t="n">
        <f>VLOOKUP($C6,$B$3:$X$358,MATCH(W$2,$B$2:$X$2,0),0)*$G6/VLOOKUP($C6,$B$3:$X$358,MATCH($G$2,$B$2:$X$2,0),0)</f>
        <v>122.57540603248259</v>
      </c>
      <c r="X6" s="132" t="n">
        <f>VLOOKUP($C6,$B$3:$X$358,MATCH(X$2,$B$2:$X$2,0),0)*$G6/VLOOKUP($C6,$B$3:$X$358,MATCH($G$2,$B$2:$X$2,0),0)</f>
        <v>0</v>
      </c>
      <c r="Y6" s="66"/>
      <c r="Z6" s="66"/>
      <c r="AA6" s="66"/>
      <c r="AB6" s="66"/>
      <c r="AC6" s="66"/>
      <c r="AD6" s="21"/>
      <c r="AE6" s="21"/>
      <c r="AF6" s="21"/>
      <c r="AG6" s="21"/>
      <c r="AH6" s="21"/>
      <c r="AI6" s="153" t="n">
        <v>1.5422887164306478E-2</v>
      </c>
      <c r="AJ6" s="71" t="n">
        <v>3.2554604368349466E-3</v>
      </c>
      <c r="AK6" s="67" t="n">
        <v>3.8328399605301756E-3</v>
      </c>
      <c r="AL6" s="153" t="n">
        <v>0.46</v>
      </c>
      <c r="AM6" s="153" t="n">
        <v>7.0000000000000001E-3</v>
      </c>
      <c r="AN6" s="130" t="n">
        <v>7.633587786259543E-4</v>
      </c>
      <c r="AO6" s="153" t="n">
        <v>1.1995637949836423E-2</v>
      </c>
      <c r="AP6" s="153" t="n">
        <v>0.42792857142857155</v>
      </c>
      <c r="AQ6" s="121" t="n">
        <v>0.11534666666666667</v>
      </c>
      <c r="AR6" s="94"/>
      <c r="AS6" s="121" t="n">
        <v>0.73920000000000008</v>
      </c>
      <c r="AT6" s="59" t="n">
        <f t="shared" si="0"/>
        <v>0.17824592074592077</v>
      </c>
      <c r="AU6" s="87" t="n">
        <v>0.44800000000000001</v>
      </c>
      <c r="AV6" s="87" t="n">
        <v>0.29120000000000001</v>
      </c>
      <c r="AW6" s="5"/>
      <c r="AX6" s="107" t="n">
        <f t="shared" si="1"/>
        <v>1.0790299223937915E-2</v>
      </c>
      <c r="AY6" s="119" t="n">
        <v>17.572800000000001</v>
      </c>
      <c r="AZ6" t="n">
        <v>0.7</v>
      </c>
      <c r="BA6" s="156" t="n">
        <f>BA8</f>
        <v>70</v>
      </c>
      <c r="BB6" s="156" t="n">
        <f t="shared" ref="BB6:BP6" si="2">BB8</f>
        <v>6.1</v>
      </c>
      <c r="BC6" s="156" t="n">
        <f t="shared" si="2"/>
        <v>9.8000000000000007</v>
      </c>
      <c r="BD6" s="156" t="n">
        <f t="shared" si="2"/>
        <v>17.5</v>
      </c>
      <c r="BE6" s="156" t="n">
        <f t="shared" si="2"/>
        <v>0</v>
      </c>
      <c r="BF6" s="156" t="n">
        <f t="shared" si="2"/>
        <v>39</v>
      </c>
      <c r="BG6" s="156" t="n">
        <f t="shared" si="2"/>
        <v>30</v>
      </c>
      <c r="BH6" s="156" t="n">
        <f t="shared" si="2"/>
        <v>1300</v>
      </c>
      <c r="BI6" s="156" t="n">
        <f t="shared" si="2"/>
        <v>33.4</v>
      </c>
      <c r="BJ6" s="156" t="n">
        <f t="shared" si="2"/>
        <v>0</v>
      </c>
      <c r="BK6" s="156" t="n">
        <f t="shared" si="2"/>
        <v>0</v>
      </c>
      <c r="BL6" s="156" t="n">
        <f t="shared" si="2"/>
        <v>384</v>
      </c>
      <c r="BM6" s="156" t="n">
        <f t="shared" si="2"/>
        <v>0</v>
      </c>
      <c r="BN6" s="156" t="n">
        <f t="shared" si="2"/>
        <v>8.1000000000000014</v>
      </c>
      <c r="BO6" s="156" t="n">
        <f t="shared" si="2"/>
        <v>900</v>
      </c>
      <c r="BP6" s="156" t="n">
        <f t="shared" si="2"/>
        <v>3</v>
      </c>
      <c r="BQ6" s="110"/>
    </row>
    <row r="7">
      <c r="A7" s="135" t="n">
        <v>71</v>
      </c>
      <c r="B7" s="44" t="s">
        <v>379</v>
      </c>
      <c r="C7" s="44"/>
      <c r="D7" s="142" t="s">
        <v>369</v>
      </c>
      <c r="E7" s="142"/>
      <c r="F7" s="94" t="n">
        <v>0.14000000000000001</v>
      </c>
      <c r="G7" s="89" t="n">
        <v>0.87599999999999989</v>
      </c>
      <c r="H7" s="89" t="n">
        <v>0.92400000000000004</v>
      </c>
      <c r="I7" s="142" t="n">
        <v>232.07499999999999</v>
      </c>
      <c r="J7" s="142" t="n">
        <v>873.33823333333328</v>
      </c>
      <c r="K7" s="166"/>
      <c r="L7" s="166"/>
      <c r="M7" s="166" t="n">
        <v>14.137</v>
      </c>
      <c r="N7" s="166" t="n">
        <v>16.237267200000002</v>
      </c>
      <c r="O7" s="94" t="n">
        <v>0.43478260869565211</v>
      </c>
      <c r="P7" s="94" t="n">
        <v>0.56521739130434789</v>
      </c>
      <c r="Q7" s="94" t="n">
        <v>1.3</v>
      </c>
      <c r="R7" s="94"/>
      <c r="S7" s="22" t="n">
        <f>VLOOKUP($B7,Conversores_Dieta!$B$4:$J$164,Coefs!S$292,0)</f>
        <v>1</v>
      </c>
      <c r="T7" s="130" t="n">
        <f>AI7*G7</f>
        <v>1.3670313901345288E-2</v>
      </c>
      <c r="U7" s="166" t="n">
        <f>VLOOKUP($B7,Conversores_Dieta!$B$4:$J$164,Coefs!U$292,0)</f>
        <v>19.3</v>
      </c>
      <c r="V7" s="166" t="n">
        <f>VLOOKUP($B7,Conversores_Dieta!$B$4:$J$164,Coefs!V$292,0)</f>
        <v>597</v>
      </c>
      <c r="W7" s="21" t="n">
        <f>VLOOKUP($B7,Conversores_Dieta!$B$4:$J$164,Coefs!W$292,0)</f>
        <v>270</v>
      </c>
      <c r="X7" s="21" t="n">
        <f>VLOOKUP($B7,Conversores_Dieta!$B$4:$J$164,Coefs!X$292,0)</f>
        <v>0</v>
      </c>
      <c r="Y7" s="67"/>
      <c r="Z7" s="67"/>
      <c r="AA7" s="67"/>
      <c r="AB7" s="67"/>
      <c r="AC7" s="67"/>
      <c r="AD7" s="21"/>
      <c r="AE7" s="21"/>
      <c r="AF7" s="21"/>
      <c r="AG7" s="21"/>
      <c r="AH7" s="21"/>
      <c r="AI7" s="153" t="n">
        <v>1.560538116591928E-2</v>
      </c>
      <c r="AJ7" s="71" t="n">
        <v>3.3632286995515692E-3</v>
      </c>
      <c r="AK7" s="67" t="n">
        <v>4.4843049327354259E-3</v>
      </c>
      <c r="AL7" s="153" t="n">
        <v>0.46</v>
      </c>
      <c r="AM7" s="153" t="n">
        <v>5.0000000000000001E-3</v>
      </c>
      <c r="AN7" s="130" t="n">
        <v>7.633587786259543E-4</v>
      </c>
      <c r="AO7" s="153" t="n">
        <v>1.1995637949836423E-2</v>
      </c>
      <c r="AP7" s="153" t="n">
        <v>0.47423999999999999</v>
      </c>
      <c r="AQ7" s="121" t="n">
        <v>0.11534666666666667</v>
      </c>
      <c r="AR7" s="94"/>
      <c r="AS7" s="121" t="n">
        <v>0.6996</v>
      </c>
      <c r="AT7" s="59" t="n">
        <f t="shared" si="0"/>
        <v>0.17824592074592077</v>
      </c>
      <c r="AU7" s="87" t="n">
        <v>0.42399999999999999</v>
      </c>
      <c r="AV7" s="87" t="n">
        <v>0.27560000000000001</v>
      </c>
      <c r="AW7" s="5"/>
      <c r="AX7" s="107" t="n">
        <f t="shared" si="1"/>
        <v>9.6110352895301208E-3</v>
      </c>
      <c r="AY7" s="119" t="n">
        <v>17.572800000000001</v>
      </c>
      <c r="AZ7" t="n">
        <v>0.7</v>
      </c>
      <c r="BA7" t="n">
        <v>146</v>
      </c>
      <c r="BB7" t="n">
        <v>2.9</v>
      </c>
      <c r="BC7" t="n">
        <v>3</v>
      </c>
      <c r="BD7" t="n">
        <v>11</v>
      </c>
      <c r="BE7" t="n">
        <v>0</v>
      </c>
      <c r="BF7" t="n">
        <v>26.7</v>
      </c>
      <c r="BG7" t="n">
        <v>37.299999999999997</v>
      </c>
      <c r="BH7" t="n">
        <v>1210</v>
      </c>
      <c r="BI7" t="n">
        <v>33.4</v>
      </c>
      <c r="BJ7" t="n">
        <v>0</v>
      </c>
      <c r="BK7" t="n">
        <v>0</v>
      </c>
      <c r="BL7" t="n">
        <v>600</v>
      </c>
      <c r="BM7" t="n">
        <v>0</v>
      </c>
      <c r="BN7" t="n">
        <v>18.700000000000003</v>
      </c>
      <c r="BO7" t="n">
        <v>300</v>
      </c>
      <c r="BP7" t="n">
        <v>3.5</v>
      </c>
      <c r="BQ7" s="110"/>
    </row>
    <row r="8">
      <c r="A8" s="44" t="n">
        <v>83</v>
      </c>
      <c r="B8" s="44" t="s">
        <v>378</v>
      </c>
      <c r="C8" s="44" t="s">
        <v>376</v>
      </c>
      <c r="D8" s="142" t="s">
        <v>369</v>
      </c>
      <c r="E8" s="142"/>
      <c r="F8" s="94" t="n">
        <v>8.6206896551724144E-2</v>
      </c>
      <c r="G8" s="89" t="n">
        <v>0.86499999999999999</v>
      </c>
      <c r="H8" s="89" t="n">
        <v>0.87</v>
      </c>
      <c r="I8" s="142" t="n">
        <v>232.07499999999999</v>
      </c>
      <c r="J8" s="142" t="n">
        <v>873.33823333333328</v>
      </c>
      <c r="K8" s="166"/>
      <c r="L8" s="166"/>
      <c r="M8" s="166" t="n">
        <v>15.982880000000002</v>
      </c>
      <c r="N8" s="166" t="n">
        <v>15.288336000000001</v>
      </c>
      <c r="O8" s="94" t="n">
        <v>0.37234492680037223</v>
      </c>
      <c r="P8" s="94" t="n">
        <v>0.62765507319962777</v>
      </c>
      <c r="Q8" s="94" t="n">
        <v>1.6856818181818183</v>
      </c>
      <c r="R8" s="94"/>
      <c r="S8" s="65" t="n">
        <f>VLOOKUP(C8,$B$3:$X$358,MATCH(S$2,$B$2:$X$2,0),0)</f>
        <v>1</v>
      </c>
      <c r="T8" s="130" t="n">
        <v>1.6160000000000001E-2</v>
      </c>
      <c r="U8" s="157" t="n">
        <f>VLOOKUP($C8,$B$3:$X$358,MATCH(U$2,$B$2:$X$2,0),0)*$G8/VLOOKUP($C8,$B$3:$X$358,MATCH($G$2,$B$2:$X$2,0),0)</f>
        <v>27.093967517401392</v>
      </c>
      <c r="V8" s="157" t="n">
        <f>VLOOKUP($C8,$B$3:$X$358,MATCH(V$2,$B$2:$X$2,0),0)*$G8/VLOOKUP($C8,$B$3:$X$358,MATCH($G$2,$B$2:$X$2,0),0)</f>
        <v>762.64501160092811</v>
      </c>
      <c r="W8" s="132" t="n">
        <f>VLOOKUP($C8,$B$3:$X$358,MATCH(W$2,$B$2:$X$2,0),0)*$G8/VLOOKUP($C8,$B$3:$X$358,MATCH($G$2,$B$2:$X$2,0),0)</f>
        <v>120.41763341067285</v>
      </c>
      <c r="X8" s="132" t="n">
        <f>VLOOKUP($C8,$B$3:$X$358,MATCH(X$2,$B$2:$X$2,0),0)*$G8/VLOOKUP($C8,$B$3:$X$358,MATCH($G$2,$B$2:$X$2,0),0)</f>
        <v>0</v>
      </c>
      <c r="Y8" s="66"/>
      <c r="Z8" s="66"/>
      <c r="AA8" s="66"/>
      <c r="AB8" s="66"/>
      <c r="AC8" s="66"/>
      <c r="AD8" s="21"/>
      <c r="AE8" s="21"/>
      <c r="AF8" s="21"/>
      <c r="AG8" s="21"/>
      <c r="AH8" s="21"/>
      <c r="AI8" s="153" t="n">
        <f>T8/G8</f>
        <v>1.8682080924855491E-2</v>
      </c>
      <c r="AJ8" s="100" t="n">
        <v>3.4482758620689655E-3</v>
      </c>
      <c r="AK8" s="66" t="n">
        <v>4.0229885057471264E-3</v>
      </c>
      <c r="AL8" s="153" t="n">
        <v>0.46</v>
      </c>
      <c r="AM8" s="153" t="n">
        <v>7.0000000000000001E-3</v>
      </c>
      <c r="AN8" s="130" t="n">
        <v>7.633587786259543E-4</v>
      </c>
      <c r="AO8" s="153" t="n">
        <v>1.1995637949836423E-2</v>
      </c>
      <c r="AP8" s="153" t="n">
        <v>0.45563999999999999</v>
      </c>
      <c r="AQ8" s="121" t="n">
        <v>0.11534666666666667</v>
      </c>
      <c r="AR8" s="94"/>
      <c r="AS8" s="121" t="n">
        <v>0.76560000000000006</v>
      </c>
      <c r="AT8" s="59" t="n">
        <f t="shared" si="0"/>
        <v>0.17824592074592077</v>
      </c>
      <c r="AU8" s="87" t="n">
        <v>0.46400000000000002</v>
      </c>
      <c r="AV8" s="87" t="n">
        <v>0.30160000000000003</v>
      </c>
      <c r="AW8" s="5"/>
      <c r="AX8" s="107" t="n">
        <f t="shared" si="1"/>
        <v>1.1349763566841344E-2</v>
      </c>
      <c r="AY8" s="119" t="n">
        <v>17.572800000000001</v>
      </c>
      <c r="AZ8" t="n">
        <v>0.7</v>
      </c>
      <c r="BA8" t="n">
        <v>70</v>
      </c>
      <c r="BB8" t="n">
        <v>6.1</v>
      </c>
      <c r="BC8" t="n">
        <v>9.8000000000000007</v>
      </c>
      <c r="BD8" t="n">
        <v>17.5</v>
      </c>
      <c r="BE8" t="n">
        <v>0</v>
      </c>
      <c r="BF8" t="n">
        <v>39</v>
      </c>
      <c r="BG8" t="n">
        <v>30</v>
      </c>
      <c r="BH8" t="n">
        <v>1300</v>
      </c>
      <c r="BI8" t="n">
        <v>33.4</v>
      </c>
      <c r="BJ8" t="n">
        <v>0</v>
      </c>
      <c r="BK8" t="n">
        <v>0</v>
      </c>
      <c r="BL8" t="n">
        <v>384</v>
      </c>
      <c r="BM8" t="n">
        <v>0</v>
      </c>
      <c r="BN8" t="n">
        <v>8.1000000000000014</v>
      </c>
      <c r="BO8" t="n">
        <v>900</v>
      </c>
      <c r="BP8" t="n">
        <v>3</v>
      </c>
      <c r="BQ8" s="110"/>
    </row>
    <row r="9">
      <c r="A9" s="135" t="n">
        <v>15</v>
      </c>
      <c r="B9" s="44" t="s">
        <v>377</v>
      </c>
      <c r="C9" s="44"/>
      <c r="D9" s="142" t="s">
        <v>377</v>
      </c>
      <c r="E9" s="142" t="n">
        <v>2028.6683870967743</v>
      </c>
      <c r="F9" s="94" t="n">
        <v>0.20340943141706594</v>
      </c>
      <c r="G9" s="89" t="n">
        <v>0.879</v>
      </c>
      <c r="H9" s="89" t="n">
        <v>0.86650000000000005</v>
      </c>
      <c r="I9" s="142" t="n">
        <v>232.07499999999999</v>
      </c>
      <c r="J9" s="142" t="n">
        <v>873.33823333333328</v>
      </c>
      <c r="K9" s="166"/>
      <c r="L9" s="166"/>
      <c r="M9" s="166" t="n">
        <v>15.226831200000001</v>
      </c>
      <c r="N9" s="166" t="n">
        <v>15.226831200000001</v>
      </c>
      <c r="O9" s="94" t="n">
        <v>0.42347950889488528</v>
      </c>
      <c r="P9" s="94" t="n">
        <v>0.57652049110511472</v>
      </c>
      <c r="Q9" s="94" t="n">
        <v>1.3613893446925118</v>
      </c>
      <c r="R9" s="94"/>
      <c r="S9" s="22" t="n">
        <f>VLOOKUP($B9,Conversores_Dieta!$B$4:$J$164,Coefs!S$292,0)</f>
        <v>1</v>
      </c>
      <c r="T9" s="130" t="n">
        <f t="shared" ref="T9:T21" si="3">AI9*G9</f>
        <v>1.8951324393104405E-2</v>
      </c>
      <c r="U9" s="166" t="n">
        <f>VLOOKUP($B9,Conversores_Dieta!$B$4:$J$164,Coefs!U$292,0)</f>
        <v>12</v>
      </c>
      <c r="V9" s="166" t="n">
        <f>VLOOKUP($B9,Conversores_Dieta!$B$4:$J$164,Coefs!V$292,0)</f>
        <v>800</v>
      </c>
      <c r="W9" s="21" t="n">
        <f>VLOOKUP($B9,Conversores_Dieta!$B$4:$J$164,Coefs!W$292,0)</f>
        <v>150</v>
      </c>
      <c r="X9" s="21" t="n">
        <f>VLOOKUP($B9,Conversores_Dieta!$B$4:$J$164,Coefs!X$292,0)</f>
        <v>0</v>
      </c>
      <c r="Y9" s="67"/>
      <c r="Z9" s="67"/>
      <c r="AA9" s="67"/>
      <c r="AB9" s="67"/>
      <c r="AC9" s="67"/>
      <c r="AD9" s="21"/>
      <c r="AE9" s="21"/>
      <c r="AF9" s="21"/>
      <c r="AG9" s="21"/>
      <c r="AH9" s="21"/>
      <c r="AI9" s="153" t="n">
        <v>2.1560096010357684E-2</v>
      </c>
      <c r="AJ9" s="71" t="n">
        <v>3.5144480397353815E-3</v>
      </c>
      <c r="AK9" s="67" t="n">
        <v>4.0126526216947515E-3</v>
      </c>
      <c r="AL9" s="153" t="n">
        <v>0.46</v>
      </c>
      <c r="AM9" s="153" t="n">
        <v>5.9199999999999999E-3</v>
      </c>
      <c r="AN9" s="130" t="n">
        <v>7.633587786259543E-4</v>
      </c>
      <c r="AO9" s="153" t="n">
        <v>1.1995637949836423E-2</v>
      </c>
      <c r="AP9" s="153" t="n">
        <v>0.45799749999999995</v>
      </c>
      <c r="AQ9" s="121" t="n">
        <v>0.11534666666666667</v>
      </c>
      <c r="AR9" s="94"/>
      <c r="AS9" s="121" t="n">
        <v>0.76560000000000006</v>
      </c>
      <c r="AT9" s="59" t="n">
        <f t="shared" si="0"/>
        <v>0.17824592074592077</v>
      </c>
      <c r="AU9" s="87" t="n">
        <v>0.46400000000000002</v>
      </c>
      <c r="AV9" s="87" t="n">
        <v>0.30160000000000003</v>
      </c>
      <c r="AW9" s="5"/>
      <c r="AX9" s="107" t="n">
        <f t="shared" si="1"/>
        <v>1.2543260177535126E-2</v>
      </c>
      <c r="AY9" s="119" t="n">
        <v>17.572800000000001</v>
      </c>
      <c r="AZ9" t="n">
        <v>0.7</v>
      </c>
      <c r="BA9" s="80" t="n">
        <v>10</v>
      </c>
      <c r="BB9" t="n">
        <v>3.7</v>
      </c>
      <c r="BC9" t="n">
        <v>2.7</v>
      </c>
      <c r="BD9" t="n">
        <v>11</v>
      </c>
      <c r="BE9" t="n">
        <v>0</v>
      </c>
      <c r="BF9" t="n">
        <v>33</v>
      </c>
      <c r="BG9" t="n">
        <v>41</v>
      </c>
      <c r="BH9" t="n">
        <v>1470</v>
      </c>
      <c r="BI9" t="n">
        <v>33.4</v>
      </c>
      <c r="BJ9" t="n">
        <v>0</v>
      </c>
      <c r="BK9" t="n">
        <v>0</v>
      </c>
      <c r="BL9" t="n">
        <v>490</v>
      </c>
      <c r="BM9" t="n">
        <v>0</v>
      </c>
      <c r="BN9" t="n">
        <v>14</v>
      </c>
      <c r="BO9" t="n">
        <v>325</v>
      </c>
      <c r="BP9" t="n">
        <v>5.5</v>
      </c>
      <c r="BQ9" s="110"/>
    </row>
    <row r="10">
      <c r="A10" s="135" t="n">
        <v>56</v>
      </c>
      <c r="B10" s="44" t="s">
        <v>376</v>
      </c>
      <c r="C10" s="44"/>
      <c r="D10" s="142" t="s">
        <v>376</v>
      </c>
      <c r="E10" s="142" t="n">
        <v>4615.7777777777774</v>
      </c>
      <c r="F10" s="94" t="n">
        <v>0.24305480860228931</v>
      </c>
      <c r="G10" s="89" t="n">
        <v>0.86199999999999999</v>
      </c>
      <c r="H10" s="89" t="n">
        <v>0.88099999999999989</v>
      </c>
      <c r="I10" s="142" t="n">
        <v>232.07499999999999</v>
      </c>
      <c r="J10" s="142" t="n">
        <v>873.33823333333328</v>
      </c>
      <c r="K10" s="166"/>
      <c r="L10" s="166"/>
      <c r="M10" s="166" t="n">
        <v>14.438400000000001</v>
      </c>
      <c r="N10" s="166" t="n">
        <v>15.481636799999999</v>
      </c>
      <c r="O10" s="94" t="n">
        <v>0.51510321502157597</v>
      </c>
      <c r="P10" s="94" t="n">
        <v>0.48489678497842398</v>
      </c>
      <c r="Q10" s="94" t="n">
        <v>0.94135849056603771</v>
      </c>
      <c r="R10" s="94"/>
      <c r="S10" s="22" t="n">
        <f>VLOOKUP($B10,Conversores_Dieta!$B$4:$J$164,Coefs!S$292,0)</f>
        <v>1</v>
      </c>
      <c r="T10" s="130" t="n">
        <f t="shared" si="3"/>
        <v>1.248E-2</v>
      </c>
      <c r="U10" s="166" t="n">
        <f>VLOOKUP($B10,Conversores_Dieta!$B$4:$J$164,Coefs!U$292,0)</f>
        <v>27</v>
      </c>
      <c r="V10" s="166" t="n">
        <f>VLOOKUP($B10,Conversores_Dieta!$B$4:$J$164,Coefs!V$292,0)</f>
        <v>760</v>
      </c>
      <c r="W10" s="21" t="n">
        <f>VLOOKUP($B10,Conversores_Dieta!$B$4:$J$164,Coefs!W$292,0)</f>
        <v>120</v>
      </c>
      <c r="X10" s="21" t="n">
        <f>VLOOKUP($B10,Conversores_Dieta!$B$4:$J$164,Coefs!X$292,0)</f>
        <v>0</v>
      </c>
      <c r="Y10" s="67"/>
      <c r="Z10" s="67"/>
      <c r="AA10" s="67"/>
      <c r="AB10" s="67"/>
      <c r="AC10" s="67"/>
      <c r="AD10" s="21"/>
      <c r="AE10" s="21"/>
      <c r="AF10" s="21"/>
      <c r="AG10" s="21"/>
      <c r="AH10" s="21"/>
      <c r="AI10" s="153" t="n">
        <v>1.4477958236658933E-2</v>
      </c>
      <c r="AJ10" s="71" t="n">
        <v>3.0626450116009278E-3</v>
      </c>
      <c r="AK10" s="67" t="n">
        <v>3.6426914153132248E-3</v>
      </c>
      <c r="AL10" s="153" t="n">
        <v>0.44</v>
      </c>
      <c r="AM10" s="153" t="n">
        <v>5.9199999999999999E-3</v>
      </c>
      <c r="AN10" s="130" t="n">
        <v>7.633587786259543E-4</v>
      </c>
      <c r="AO10" s="153" t="n">
        <v>1.1995637949836423E-2</v>
      </c>
      <c r="AP10" s="153" t="n">
        <v>0.43383888888888894</v>
      </c>
      <c r="AQ10" s="121" t="n">
        <v>0.11534666666666667</v>
      </c>
      <c r="AR10" s="94"/>
      <c r="AS10" s="121" t="n">
        <v>0.67980000000000007</v>
      </c>
      <c r="AT10" s="59" t="n">
        <f t="shared" si="0"/>
        <v>0.17824592074592077</v>
      </c>
      <c r="AU10" s="87" t="n">
        <v>0.41200000000000003</v>
      </c>
      <c r="AV10" s="87" t="n">
        <v>0.26780000000000004</v>
      </c>
      <c r="AW10" s="5"/>
      <c r="AX10" s="107" t="n">
        <f t="shared" si="1"/>
        <v>1.0328231801723393E-2</v>
      </c>
      <c r="AY10" s="119" t="n">
        <v>17.572800000000001</v>
      </c>
      <c r="AZ10" t="n">
        <v>0.7</v>
      </c>
      <c r="BA10" t="n">
        <v>27</v>
      </c>
      <c r="BB10" t="n">
        <v>1.3</v>
      </c>
      <c r="BC10" t="n">
        <v>2.4</v>
      </c>
      <c r="BD10" t="n">
        <v>4.2</v>
      </c>
      <c r="BE10" t="n">
        <v>0</v>
      </c>
      <c r="BF10" t="n">
        <v>7</v>
      </c>
      <c r="BG10" t="n">
        <v>3</v>
      </c>
      <c r="BH10" t="n">
        <v>300</v>
      </c>
      <c r="BI10" t="n">
        <v>33.4</v>
      </c>
      <c r="BJ10" t="n">
        <v>0</v>
      </c>
      <c r="BK10" t="n">
        <v>0</v>
      </c>
      <c r="BL10" t="n">
        <v>300</v>
      </c>
      <c r="BM10" t="n">
        <v>60</v>
      </c>
      <c r="BN10" t="n">
        <v>4</v>
      </c>
      <c r="BO10" t="n">
        <v>600</v>
      </c>
      <c r="BP10" t="n">
        <v>37.5</v>
      </c>
      <c r="BQ10" s="110"/>
    </row>
    <row r="11">
      <c r="A11" s="135"/>
      <c r="B11" s="44" t="s">
        <v>375</v>
      </c>
      <c r="C11" s="44" t="s">
        <v>377</v>
      </c>
      <c r="D11" s="142" t="s">
        <v>369</v>
      </c>
      <c r="E11" s="142"/>
      <c r="F11" s="111" t="n">
        <f>AVERAGE(F3:F4,F7,F9)</f>
        <v>0.23898131816844609</v>
      </c>
      <c r="G11" s="89" t="n">
        <v>0.87258333333333327</v>
      </c>
      <c r="H11" s="89" t="n">
        <v>0.89037500000000014</v>
      </c>
      <c r="I11" s="142" t="n">
        <v>232.07499999999999</v>
      </c>
      <c r="J11" s="142" t="n">
        <v>873.33823333333328</v>
      </c>
      <c r="K11" s="166"/>
      <c r="L11" s="166"/>
      <c r="M11" s="166" t="n">
        <v>14.911096000000001</v>
      </c>
      <c r="N11" s="166" t="n">
        <v>15.646381800000004</v>
      </c>
      <c r="O11" s="94" t="n">
        <v>0.44999999999999996</v>
      </c>
      <c r="P11" s="94" t="n">
        <v>0.55000000000000004</v>
      </c>
      <c r="Q11" s="94" t="n">
        <v>1.2222222222222223</v>
      </c>
      <c r="R11" s="94"/>
      <c r="S11" s="65" t="n">
        <f t="shared" ref="S11:S21" si="4">VLOOKUP(C11,$B$3:$X$358,MATCH(S$2,$B$2:$X$2,0),0)</f>
        <v>1</v>
      </c>
      <c r="T11" s="130" t="n">
        <f t="shared" si="3"/>
        <v>1.6023208345896899E-2</v>
      </c>
      <c r="U11" s="157" t="n">
        <f t="shared" ref="U11:X21" si="5">VLOOKUP($C11,$B$3:$X$358,MATCH(U$2,$B$2:$X$2,0),0)*$G11/VLOOKUP($C11,$B$3:$X$358,MATCH($G$2,$B$2:$X$2,0),0)</f>
        <v>11.912400455062571</v>
      </c>
      <c r="V11" s="157" t="n">
        <f t="shared" si="5"/>
        <v>794.16003033750462</v>
      </c>
      <c r="W11" s="132" t="n">
        <f t="shared" si="5"/>
        <v>148.90500568828213</v>
      </c>
      <c r="X11" s="132" t="n">
        <f t="shared" si="5"/>
        <v>0</v>
      </c>
      <c r="Y11" s="66"/>
      <c r="Z11" s="66"/>
      <c r="AA11" s="66"/>
      <c r="AB11" s="66"/>
      <c r="AC11" s="66"/>
      <c r="AD11" s="21"/>
      <c r="AE11" s="21"/>
      <c r="AF11" s="21"/>
      <c r="AG11" s="21"/>
      <c r="AH11" s="21"/>
      <c r="AI11" s="121" t="n">
        <v>1.8362954842017266E-2</v>
      </c>
      <c r="AJ11" s="100" t="n">
        <v>3.6561311474898224E-3</v>
      </c>
      <c r="AK11" s="66" t="n">
        <v>4.1565297264171026E-3</v>
      </c>
      <c r="AL11" s="121" t="n">
        <v>0.46</v>
      </c>
      <c r="AM11" s="153" t="n">
        <v>5.9199999999999999E-3</v>
      </c>
      <c r="AN11" s="15" t="n">
        <v>7.633587786259543E-4</v>
      </c>
      <c r="AO11" s="121" t="n">
        <v>1.1995637949836423E-2</v>
      </c>
      <c r="AP11" s="153" t="n">
        <v>0.45761311475409844</v>
      </c>
      <c r="AQ11" s="121" t="n">
        <v>0.11534666666666667</v>
      </c>
      <c r="AR11" s="94"/>
      <c r="AS11" s="121" t="n">
        <v>0.72176499999999999</v>
      </c>
      <c r="AT11" s="59" t="n">
        <f t="shared" si="0"/>
        <v>0.17824592074592077</v>
      </c>
      <c r="AU11" s="87" t="n">
        <v>0.43743333333333334</v>
      </c>
      <c r="AV11" s="87" t="n">
        <v>0.2843316666666667</v>
      </c>
      <c r="AW11" s="5"/>
      <c r="AX11" s="107" t="n">
        <f t="shared" si="1"/>
        <v>1.1519329678907769E-2</v>
      </c>
      <c r="AY11" s="119" t="n">
        <v>17.572800000000001</v>
      </c>
      <c r="AZ11" t="n">
        <v>0.7</v>
      </c>
      <c r="BA11" t="n">
        <v>133.30000000000001</v>
      </c>
      <c r="BB11" t="n">
        <v>7.9</v>
      </c>
      <c r="BC11" t="n">
        <v>12.4</v>
      </c>
      <c r="BD11" t="n">
        <v>18</v>
      </c>
      <c r="BE11" t="n">
        <v>0</v>
      </c>
      <c r="BF11" t="n">
        <v>40</v>
      </c>
      <c r="BG11" t="n">
        <v>36.700000000000003</v>
      </c>
      <c r="BH11" t="n">
        <v>1296.6999999999998</v>
      </c>
      <c r="BI11" t="n">
        <v>33.4</v>
      </c>
      <c r="BJ11" t="n">
        <v>0</v>
      </c>
      <c r="BK11" t="n">
        <v>0</v>
      </c>
      <c r="BL11" t="n">
        <v>530</v>
      </c>
      <c r="BM11" t="n">
        <v>0</v>
      </c>
      <c r="BN11" t="n">
        <v>7.7</v>
      </c>
      <c r="BO11" t="n">
        <v>550</v>
      </c>
      <c r="BP11" t="n">
        <v>3</v>
      </c>
      <c r="BQ11" s="110"/>
    </row>
    <row r="12">
      <c r="A12" s="135"/>
      <c r="B12" s="44" t="s">
        <v>374</v>
      </c>
      <c r="C12" s="44" t="s">
        <v>376</v>
      </c>
      <c r="D12" s="142" t="s">
        <v>369</v>
      </c>
      <c r="E12" s="142"/>
      <c r="F12" s="111" t="n">
        <f>AVERAGE(F5:F6,F8,F10)</f>
        <v>0.19981542628850338</v>
      </c>
      <c r="G12" s="87" t="n">
        <v>0.86349999999999993</v>
      </c>
      <c r="H12" s="87" t="n">
        <v>0.87549999999999994</v>
      </c>
      <c r="I12" s="142" t="n">
        <v>232.07499999999999</v>
      </c>
      <c r="J12" s="142" t="n">
        <v>873.33823333333328</v>
      </c>
      <c r="K12" s="157"/>
      <c r="L12" s="157"/>
      <c r="M12" s="157" t="n">
        <v>15.210640000000001</v>
      </c>
      <c r="N12" s="157" t="n">
        <v>15.384986399999999</v>
      </c>
      <c r="O12" s="94" t="n">
        <v>0.44999999999999996</v>
      </c>
      <c r="P12" s="94" t="n">
        <v>0.55000000000000004</v>
      </c>
      <c r="Q12" s="94" t="n">
        <v>1.2222222222222223</v>
      </c>
      <c r="R12" s="94"/>
      <c r="S12" s="65" t="n">
        <f t="shared" si="4"/>
        <v>1</v>
      </c>
      <c r="T12" s="130" t="n">
        <f t="shared" si="3"/>
        <v>1.3317663066378643E-2</v>
      </c>
      <c r="U12" s="157" t="n">
        <f t="shared" si="5"/>
        <v>27.046983758700694</v>
      </c>
      <c r="V12" s="157" t="n">
        <f t="shared" si="5"/>
        <v>761.322505800464</v>
      </c>
      <c r="W12" s="132" t="n">
        <f t="shared" si="5"/>
        <v>120.20881670533642</v>
      </c>
      <c r="X12" s="132" t="n">
        <f t="shared" si="5"/>
        <v>0</v>
      </c>
      <c r="Y12" s="66"/>
      <c r="Z12" s="66"/>
      <c r="AA12" s="66"/>
      <c r="AB12" s="66"/>
      <c r="AC12" s="66"/>
      <c r="AD12" s="21"/>
      <c r="AE12" s="21"/>
      <c r="AF12" s="21"/>
      <c r="AG12" s="21"/>
      <c r="AH12" s="21"/>
      <c r="AI12" s="121" t="n">
        <v>1.5422887164306478E-2</v>
      </c>
      <c r="AJ12" s="100" t="n">
        <v>3.2554604368349466E-3</v>
      </c>
      <c r="AK12" s="66" t="n">
        <v>3.8328399605301756E-3</v>
      </c>
      <c r="AL12" s="121" t="n">
        <v>0.45500000000000002</v>
      </c>
      <c r="AM12" s="153" t="n">
        <v>5.9199999999999999E-3</v>
      </c>
      <c r="AN12" s="15" t="n">
        <v>7.633587786259543E-4</v>
      </c>
      <c r="AO12" s="121" t="n">
        <v>1.1995637949836423E-2</v>
      </c>
      <c r="AP12" s="153" t="n">
        <v>0.42792857142857155</v>
      </c>
      <c r="AQ12" s="121" t="n">
        <v>0.11534666666666667</v>
      </c>
      <c r="AR12" s="94"/>
      <c r="AS12" s="121" t="n">
        <v>0.69278000000000017</v>
      </c>
      <c r="AT12" s="59" t="n">
        <f t="shared" si="0"/>
        <v>0.17824592074592077</v>
      </c>
      <c r="AU12" s="87" t="n">
        <v>0.41986666666666672</v>
      </c>
      <c r="AV12" s="87" t="n">
        <v>0.2729133333333334</v>
      </c>
      <c r="AW12" s="5"/>
      <c r="AX12" s="107" t="n">
        <f t="shared" si="1"/>
        <v>1.0196299223937916E-2</v>
      </c>
      <c r="AY12" s="119" t="n">
        <v>17.572800000000001</v>
      </c>
      <c r="AZ12" t="n">
        <v>0.7</v>
      </c>
      <c r="BA12" t="n">
        <v>50</v>
      </c>
      <c r="BB12" t="n">
        <v>1.7000000000000002</v>
      </c>
      <c r="BC12" t="n">
        <v>2.4</v>
      </c>
      <c r="BD12" t="n">
        <v>3.7</v>
      </c>
      <c r="BE12" t="n">
        <v>0</v>
      </c>
      <c r="BF12" t="n">
        <v>6</v>
      </c>
      <c r="BG12" t="n">
        <v>16</v>
      </c>
      <c r="BH12" t="n">
        <v>715</v>
      </c>
      <c r="BI12" t="n">
        <v>33.4</v>
      </c>
      <c r="BJ12" t="n">
        <v>0</v>
      </c>
      <c r="BK12" t="n">
        <v>0</v>
      </c>
      <c r="BL12" t="n">
        <v>250</v>
      </c>
      <c r="BM12" t="n">
        <v>60</v>
      </c>
      <c r="BN12" t="n">
        <v>5</v>
      </c>
      <c r="BO12" t="n">
        <v>800</v>
      </c>
      <c r="BP12" t="n">
        <v>2.5</v>
      </c>
      <c r="BQ12" s="110"/>
    </row>
    <row r="13">
      <c r="A13" s="55" t="n">
        <v>97</v>
      </c>
      <c r="B13" s="8" t="s">
        <v>373</v>
      </c>
      <c r="C13" s="8" t="s">
        <v>377</v>
      </c>
      <c r="D13" s="56" t="s">
        <v>369</v>
      </c>
      <c r="E13" s="56"/>
      <c r="F13" s="4" t="n">
        <f>$F$11</f>
        <v>0.23898131816844609</v>
      </c>
      <c r="G13" s="59" t="n">
        <f>$G$11</f>
        <v>0.87258333333333327</v>
      </c>
      <c r="H13" s="4" t="n">
        <f>$H$11</f>
        <v>0.89037500000000014</v>
      </c>
      <c r="I13" s="61" t="n">
        <f>$I$11</f>
        <v>232.07499999999999</v>
      </c>
      <c r="J13" s="61" t="n">
        <f>$J$11</f>
        <v>873.33823333333328</v>
      </c>
      <c r="K13" s="4"/>
      <c r="L13" s="4"/>
      <c r="M13" s="4" t="n">
        <f>$M$11</f>
        <v>14.911096000000001</v>
      </c>
      <c r="N13" s="4" t="n">
        <f>$N$11</f>
        <v>15.646381800000004</v>
      </c>
      <c r="O13" s="4" t="n">
        <f>$O$11</f>
        <v>0.44999999999999996</v>
      </c>
      <c r="P13" s="4" t="n">
        <f>$P$11</f>
        <v>0.55000000000000004</v>
      </c>
      <c r="Q13" s="4" t="n">
        <f>$Q$11</f>
        <v>1.2222222222222223</v>
      </c>
      <c r="R13" s="94"/>
      <c r="S13" s="65" t="n">
        <f t="shared" si="4"/>
        <v>1</v>
      </c>
      <c r="T13" s="45" t="n">
        <f t="shared" si="3"/>
        <v>1.6023208345896899E-2</v>
      </c>
      <c r="U13" s="60" t="n">
        <f t="shared" si="5"/>
        <v>11.912400455062571</v>
      </c>
      <c r="V13" s="60" t="n">
        <f t="shared" si="5"/>
        <v>794.16003033750462</v>
      </c>
      <c r="W13" s="61" t="n">
        <f t="shared" si="5"/>
        <v>148.90500568828213</v>
      </c>
      <c r="X13" s="61" t="n">
        <f t="shared" si="5"/>
        <v>0</v>
      </c>
      <c r="Y13" s="66"/>
      <c r="Z13" s="66"/>
      <c r="AA13" s="66"/>
      <c r="AB13" s="66"/>
      <c r="AC13" s="66"/>
      <c r="AD13" s="21"/>
      <c r="AE13" s="21"/>
      <c r="AF13" s="21"/>
      <c r="AG13" s="21"/>
      <c r="AH13" s="21"/>
      <c r="AI13" s="175" t="n">
        <f>$AI$11</f>
        <v>1.8362954842017266E-2</v>
      </c>
      <c r="AJ13" s="100" t="n">
        <f>$AJ$11</f>
        <v>3.6561311474898224E-3</v>
      </c>
      <c r="AK13" s="66" t="n">
        <f>$AK$11</f>
        <v>4.1565297264171026E-3</v>
      </c>
      <c r="AL13" s="175" t="n">
        <f>$AL$11</f>
        <v>0.46</v>
      </c>
      <c r="AM13" s="173" t="n">
        <v>5.9199999999999999E-3</v>
      </c>
      <c r="AN13" s="4" t="n">
        <f>$AN$11</f>
        <v>7.633587786259543E-4</v>
      </c>
      <c r="AO13" s="4" t="n">
        <f>$AO$11</f>
        <v>1.1995637949836423E-2</v>
      </c>
      <c r="AP13" s="175" t="n">
        <f>$AP$11</f>
        <v>0.45761311475409844</v>
      </c>
      <c r="AQ13" s="4" t="n">
        <f>$AQ$11</f>
        <v>0.11534666666666667</v>
      </c>
      <c r="AR13" s="4"/>
      <c r="AS13" s="175" t="n">
        <f>$AS$11</f>
        <v>0.72176499999999999</v>
      </c>
      <c r="AT13" s="59" t="n">
        <f t="shared" si="0"/>
        <v>0.17824592074592077</v>
      </c>
      <c r="AU13" s="4" t="n">
        <f>$AU$11</f>
        <v>0.43743333333333334</v>
      </c>
      <c r="AV13" s="4" t="n">
        <f>$AV$11</f>
        <v>0.2843316666666667</v>
      </c>
      <c r="AW13" s="4"/>
      <c r="AX13" s="175" t="n">
        <f t="shared" si="1"/>
        <v>1.1519329678907769E-2</v>
      </c>
      <c r="AY13" s="4" t="n">
        <f>$AY$11</f>
        <v>17.572800000000001</v>
      </c>
      <c r="AZ13" s="154" t="n">
        <v>0.7</v>
      </c>
      <c r="BA13" t="n">
        <v>105</v>
      </c>
      <c r="BB13" t="n">
        <v>3</v>
      </c>
      <c r="BC13" t="n">
        <v>2</v>
      </c>
      <c r="BD13" t="n">
        <v>8</v>
      </c>
      <c r="BE13" t="n">
        <v>0</v>
      </c>
      <c r="BF13" t="n">
        <v>26</v>
      </c>
      <c r="BG13" t="n">
        <v>25</v>
      </c>
      <c r="BH13" t="n">
        <v>1100</v>
      </c>
      <c r="BI13" t="n">
        <v>33.4</v>
      </c>
      <c r="BJ13" t="n">
        <v>0</v>
      </c>
      <c r="BK13" t="n">
        <v>0</v>
      </c>
      <c r="BL13" t="n">
        <v>740</v>
      </c>
      <c r="BM13" t="n">
        <v>0</v>
      </c>
      <c r="BN13" t="n">
        <v>9</v>
      </c>
      <c r="BO13" t="n">
        <v>250</v>
      </c>
      <c r="BP13" t="n">
        <v>3.5</v>
      </c>
      <c r="BQ13" s="110"/>
    </row>
    <row r="14">
      <c r="A14" s="55" t="n">
        <v>101</v>
      </c>
      <c r="B14" s="8" t="s">
        <v>372</v>
      </c>
      <c r="C14" s="8" t="s">
        <v>377</v>
      </c>
      <c r="D14" s="56" t="s">
        <v>369</v>
      </c>
      <c r="E14" s="56"/>
      <c r="F14" s="4" t="n">
        <f>$F$11</f>
        <v>0.23898131816844609</v>
      </c>
      <c r="G14" s="59" t="n">
        <f>$G$11</f>
        <v>0.87258333333333327</v>
      </c>
      <c r="H14" s="4" t="n">
        <f>$H$11</f>
        <v>0.89037500000000014</v>
      </c>
      <c r="I14" s="61" t="n">
        <f>$I$11</f>
        <v>232.07499999999999</v>
      </c>
      <c r="J14" s="61" t="n">
        <f>$J$11</f>
        <v>873.33823333333328</v>
      </c>
      <c r="K14" s="4"/>
      <c r="L14" s="4"/>
      <c r="M14" s="4" t="n">
        <f>$M$11</f>
        <v>14.911096000000001</v>
      </c>
      <c r="N14" s="4" t="n">
        <f>$N$11</f>
        <v>15.646381800000004</v>
      </c>
      <c r="O14" s="4" t="n">
        <f>$O$11</f>
        <v>0.44999999999999996</v>
      </c>
      <c r="P14" s="4" t="n">
        <f>$P$11</f>
        <v>0.55000000000000004</v>
      </c>
      <c r="Q14" s="4" t="n">
        <f>$Q$11</f>
        <v>1.2222222222222223</v>
      </c>
      <c r="R14" s="94"/>
      <c r="S14" s="65" t="n">
        <f t="shared" si="4"/>
        <v>1</v>
      </c>
      <c r="T14" s="45" t="n">
        <f t="shared" si="3"/>
        <v>1.6023208345896899E-2</v>
      </c>
      <c r="U14" s="60" t="n">
        <f t="shared" si="5"/>
        <v>11.912400455062571</v>
      </c>
      <c r="V14" s="60" t="n">
        <f t="shared" si="5"/>
        <v>794.16003033750462</v>
      </c>
      <c r="W14" s="61" t="n">
        <f t="shared" si="5"/>
        <v>148.90500568828213</v>
      </c>
      <c r="X14" s="61" t="n">
        <f t="shared" si="5"/>
        <v>0</v>
      </c>
      <c r="Y14" s="66"/>
      <c r="Z14" s="66"/>
      <c r="AA14" s="66"/>
      <c r="AB14" s="66"/>
      <c r="AC14" s="66"/>
      <c r="AD14" s="21"/>
      <c r="AE14" s="21"/>
      <c r="AF14" s="21"/>
      <c r="AG14" s="21"/>
      <c r="AH14" s="21"/>
      <c r="AI14" s="175" t="n">
        <f>$AI$11</f>
        <v>1.8362954842017266E-2</v>
      </c>
      <c r="AJ14" s="100" t="n">
        <f>$AJ$11</f>
        <v>3.6561311474898224E-3</v>
      </c>
      <c r="AK14" s="66" t="n">
        <f>$AK$11</f>
        <v>4.1565297264171026E-3</v>
      </c>
      <c r="AL14" s="175" t="n">
        <f>$AL$11</f>
        <v>0.46</v>
      </c>
      <c r="AM14" s="173" t="n">
        <v>5.9199999999999999E-3</v>
      </c>
      <c r="AN14" s="4" t="n">
        <f>$AN$11</f>
        <v>7.633587786259543E-4</v>
      </c>
      <c r="AO14" s="4" t="n">
        <f>$AO$11</f>
        <v>1.1995637949836423E-2</v>
      </c>
      <c r="AP14" s="175" t="n">
        <f>$AP$11</f>
        <v>0.45761311475409844</v>
      </c>
      <c r="AQ14" s="4" t="n">
        <f>$AQ$11</f>
        <v>0.11534666666666667</v>
      </c>
      <c r="AR14" s="4"/>
      <c r="AS14" s="175" t="n">
        <f>$AS$11</f>
        <v>0.72176499999999999</v>
      </c>
      <c r="AT14" s="59" t="n">
        <f t="shared" si="0"/>
        <v>0.17824592074592077</v>
      </c>
      <c r="AU14" s="4" t="n">
        <f>$AU$11</f>
        <v>0.43743333333333334</v>
      </c>
      <c r="AV14" s="4" t="n">
        <f>$AV$11</f>
        <v>0.2843316666666667</v>
      </c>
      <c r="AW14" s="4"/>
      <c r="AX14" s="175" t="n">
        <f t="shared" si="1"/>
        <v>1.1519329678907769E-2</v>
      </c>
      <c r="AY14" s="4" t="n">
        <f>$AY$11</f>
        <v>17.572800000000001</v>
      </c>
      <c r="AZ14" s="154" t="n">
        <v>0.7</v>
      </c>
      <c r="BA14" t="n">
        <v>130</v>
      </c>
      <c r="BB14" t="n">
        <v>7.1</v>
      </c>
      <c r="BC14" t="n">
        <v>12</v>
      </c>
      <c r="BD14" t="n">
        <v>32.9</v>
      </c>
      <c r="BE14" t="n">
        <v>0</v>
      </c>
      <c r="BF14" t="n">
        <v>0</v>
      </c>
      <c r="BG14" t="n">
        <v>30</v>
      </c>
      <c r="BH14" t="n">
        <v>1200</v>
      </c>
      <c r="BI14" t="n">
        <v>33.4</v>
      </c>
      <c r="BJ14" t="n">
        <v>0</v>
      </c>
      <c r="BK14" t="n">
        <v>0</v>
      </c>
      <c r="BL14" t="n">
        <v>550</v>
      </c>
      <c r="BM14" t="n">
        <v>0</v>
      </c>
      <c r="BN14" t="n">
        <v>6</v>
      </c>
      <c r="BO14" t="n">
        <v>300</v>
      </c>
      <c r="BP14" t="n">
        <v>3</v>
      </c>
      <c r="BQ14" s="110"/>
    </row>
    <row r="15">
      <c r="A15" s="55" t="n">
        <v>108</v>
      </c>
      <c r="B15" s="8" t="s">
        <v>371</v>
      </c>
      <c r="C15" s="8" t="s">
        <v>377</v>
      </c>
      <c r="D15" s="56" t="s">
        <v>369</v>
      </c>
      <c r="E15" s="56"/>
      <c r="F15" s="4" t="n">
        <f>$F$11</f>
        <v>0.23898131816844609</v>
      </c>
      <c r="G15" s="59" t="n">
        <f>$G$11</f>
        <v>0.87258333333333327</v>
      </c>
      <c r="H15" s="4" t="n">
        <f>$H$11</f>
        <v>0.89037500000000014</v>
      </c>
      <c r="I15" s="61" t="n">
        <f>$I$11</f>
        <v>232.07499999999999</v>
      </c>
      <c r="J15" s="61" t="n">
        <f>$J$11</f>
        <v>873.33823333333328</v>
      </c>
      <c r="K15" s="4"/>
      <c r="L15" s="4"/>
      <c r="M15" s="4" t="n">
        <f>$M$11</f>
        <v>14.911096000000001</v>
      </c>
      <c r="N15" s="4" t="n">
        <f>$N$11</f>
        <v>15.646381800000004</v>
      </c>
      <c r="O15" s="4" t="n">
        <f>$O$11</f>
        <v>0.44999999999999996</v>
      </c>
      <c r="P15" s="4" t="n">
        <f>$P$11</f>
        <v>0.55000000000000004</v>
      </c>
      <c r="Q15" s="4" t="n">
        <f>$Q$11</f>
        <v>1.2222222222222223</v>
      </c>
      <c r="R15" s="94"/>
      <c r="S15" s="65" t="n">
        <f t="shared" si="4"/>
        <v>1</v>
      </c>
      <c r="T15" s="45" t="n">
        <f t="shared" si="3"/>
        <v>1.6023208345896899E-2</v>
      </c>
      <c r="U15" s="60" t="n">
        <f t="shared" si="5"/>
        <v>11.912400455062571</v>
      </c>
      <c r="V15" s="60" t="n">
        <f t="shared" si="5"/>
        <v>794.16003033750462</v>
      </c>
      <c r="W15" s="61" t="n">
        <f t="shared" si="5"/>
        <v>148.90500568828213</v>
      </c>
      <c r="X15" s="61" t="n">
        <f t="shared" si="5"/>
        <v>0</v>
      </c>
      <c r="Y15" s="66"/>
      <c r="Z15" s="66"/>
      <c r="AA15" s="66"/>
      <c r="AB15" s="66"/>
      <c r="AC15" s="66"/>
      <c r="AD15" s="21"/>
      <c r="AE15" s="21"/>
      <c r="AF15" s="21"/>
      <c r="AG15" s="21"/>
      <c r="AH15" s="21"/>
      <c r="AI15" s="175" t="n">
        <f>$AI$11</f>
        <v>1.8362954842017266E-2</v>
      </c>
      <c r="AJ15" s="100" t="n">
        <f>$AJ$11</f>
        <v>3.6561311474898224E-3</v>
      </c>
      <c r="AK15" s="66" t="n">
        <f>$AK$11</f>
        <v>4.1565297264171026E-3</v>
      </c>
      <c r="AL15" s="175" t="n">
        <f>$AL$11</f>
        <v>0.46</v>
      </c>
      <c r="AM15" s="173" t="n">
        <v>5.9199999999999999E-3</v>
      </c>
      <c r="AN15" s="4" t="n">
        <f>$AN$11</f>
        <v>7.633587786259543E-4</v>
      </c>
      <c r="AO15" s="4" t="n">
        <f>$AO$11</f>
        <v>1.1995637949836423E-2</v>
      </c>
      <c r="AP15" s="175" t="n">
        <f>$AP$11</f>
        <v>0.45761311475409844</v>
      </c>
      <c r="AQ15" s="4" t="n">
        <f>$AQ$11</f>
        <v>0.11534666666666667</v>
      </c>
      <c r="AR15" s="4"/>
      <c r="AS15" s="175" t="n">
        <f>$AS$11</f>
        <v>0.72176499999999999</v>
      </c>
      <c r="AT15" s="59" t="n">
        <f t="shared" si="0"/>
        <v>0.17824592074592077</v>
      </c>
      <c r="AU15" s="4" t="n">
        <f>$AU$11</f>
        <v>0.43743333333333334</v>
      </c>
      <c r="AV15" s="4" t="n">
        <f>$AV$11</f>
        <v>0.2843316666666667</v>
      </c>
      <c r="AW15" s="4"/>
      <c r="AX15" s="175" t="n">
        <f t="shared" si="1"/>
        <v>1.1519329678907769E-2</v>
      </c>
      <c r="AY15" s="4" t="n">
        <f>$AY$11</f>
        <v>17.572800000000001</v>
      </c>
      <c r="AZ15" s="154" t="n">
        <v>0.7</v>
      </c>
      <c r="BA15" t="n">
        <v>94.399999999999991</v>
      </c>
      <c r="BB15" t="n">
        <v>4.2</v>
      </c>
      <c r="BC15" t="n">
        <v>5.3000000000000007</v>
      </c>
      <c r="BD15" t="n">
        <v>10.199999999999999</v>
      </c>
      <c r="BE15" t="n">
        <v>0</v>
      </c>
      <c r="BF15" t="n">
        <v>31.099999999999998</v>
      </c>
      <c r="BG15" t="n">
        <v>26.7</v>
      </c>
      <c r="BH15" t="n">
        <v>1036.5</v>
      </c>
      <c r="BI15" t="n">
        <v>33.4</v>
      </c>
      <c r="BJ15" t="n">
        <v>0</v>
      </c>
      <c r="BK15" t="n">
        <v>0</v>
      </c>
      <c r="BL15" t="n">
        <v>441.70000000000005</v>
      </c>
      <c r="BM15" t="n">
        <v>0</v>
      </c>
      <c r="BN15" t="n">
        <v>7.1999999999999993</v>
      </c>
      <c r="BO15" t="n">
        <v>800</v>
      </c>
      <c r="BP15" t="n">
        <v>4</v>
      </c>
      <c r="BQ15" s="110"/>
    </row>
    <row r="16">
      <c r="A16" s="55" t="n">
        <v>103</v>
      </c>
      <c r="B16" s="8" t="s">
        <v>370</v>
      </c>
      <c r="C16" s="8" t="s">
        <v>377</v>
      </c>
      <c r="D16" s="56" t="s">
        <v>369</v>
      </c>
      <c r="E16" s="56"/>
      <c r="F16" s="4" t="n">
        <f>$F$11</f>
        <v>0.23898131816844609</v>
      </c>
      <c r="G16" s="59" t="n">
        <f>$G$11</f>
        <v>0.87258333333333327</v>
      </c>
      <c r="H16" s="4" t="n">
        <f>$H$11</f>
        <v>0.89037500000000014</v>
      </c>
      <c r="I16" s="61" t="n">
        <f>$I$11</f>
        <v>232.07499999999999</v>
      </c>
      <c r="J16" s="61" t="n">
        <f>$J$11</f>
        <v>873.33823333333328</v>
      </c>
      <c r="K16" s="4"/>
      <c r="L16" s="4"/>
      <c r="M16" s="4" t="n">
        <f>$M$11</f>
        <v>14.911096000000001</v>
      </c>
      <c r="N16" s="4" t="n">
        <f>$N$11</f>
        <v>15.646381800000004</v>
      </c>
      <c r="O16" s="4" t="n">
        <f>$O$11</f>
        <v>0.44999999999999996</v>
      </c>
      <c r="P16" s="4" t="n">
        <f>$P$11</f>
        <v>0.55000000000000004</v>
      </c>
      <c r="Q16" s="4" t="n">
        <f>$Q$11</f>
        <v>1.2222222222222223</v>
      </c>
      <c r="R16" s="94"/>
      <c r="S16" s="65" t="n">
        <f t="shared" si="4"/>
        <v>1</v>
      </c>
      <c r="T16" s="45" t="n">
        <f t="shared" si="3"/>
        <v>1.6023208345896899E-2</v>
      </c>
      <c r="U16" s="60" t="n">
        <f t="shared" si="5"/>
        <v>11.912400455062571</v>
      </c>
      <c r="V16" s="60" t="n">
        <f t="shared" si="5"/>
        <v>794.16003033750462</v>
      </c>
      <c r="W16" s="61" t="n">
        <f t="shared" si="5"/>
        <v>148.90500568828213</v>
      </c>
      <c r="X16" s="61" t="n">
        <f t="shared" si="5"/>
        <v>0</v>
      </c>
      <c r="Y16" s="66"/>
      <c r="Z16" s="66"/>
      <c r="AA16" s="66"/>
      <c r="AB16" s="66"/>
      <c r="AC16" s="66"/>
      <c r="AD16" s="21"/>
      <c r="AE16" s="21"/>
      <c r="AF16" s="21"/>
      <c r="AG16" s="21"/>
      <c r="AH16" s="21"/>
      <c r="AI16" s="175" t="n">
        <f>$AI$11</f>
        <v>1.8362954842017266E-2</v>
      </c>
      <c r="AJ16" s="100" t="n">
        <f>$AJ$11</f>
        <v>3.6561311474898224E-3</v>
      </c>
      <c r="AK16" s="66" t="n">
        <f>$AK$11</f>
        <v>4.1565297264171026E-3</v>
      </c>
      <c r="AL16" s="175" t="n">
        <f>$AL$11</f>
        <v>0.46</v>
      </c>
      <c r="AM16" s="173" t="n">
        <v>5.9199999999999999E-3</v>
      </c>
      <c r="AN16" s="4" t="n">
        <f>$AN$11</f>
        <v>7.633587786259543E-4</v>
      </c>
      <c r="AO16" s="4" t="n">
        <f>$AO$11</f>
        <v>1.1995637949836423E-2</v>
      </c>
      <c r="AP16" s="175" t="n">
        <f>$AP$11</f>
        <v>0.45761311475409844</v>
      </c>
      <c r="AQ16" s="4" t="n">
        <f>$AQ$11</f>
        <v>0.11534666666666667</v>
      </c>
      <c r="AR16" s="4"/>
      <c r="AS16" s="175" t="n">
        <f>$AS$11</f>
        <v>0.72176499999999999</v>
      </c>
      <c r="AT16" s="59" t="n">
        <f t="shared" si="0"/>
        <v>0.17824592074592077</v>
      </c>
      <c r="AU16" s="4" t="n">
        <f>$AU$11</f>
        <v>0.43743333333333334</v>
      </c>
      <c r="AV16" s="4" t="n">
        <f>$AV$11</f>
        <v>0.2843316666666667</v>
      </c>
      <c r="AW16" s="4"/>
      <c r="AX16" s="175" t="n">
        <f t="shared" si="1"/>
        <v>1.1519329678907769E-2</v>
      </c>
      <c r="AY16" s="4" t="n">
        <f>$AY$11</f>
        <v>17.572800000000001</v>
      </c>
      <c r="AZ16" s="154" t="n">
        <v>0.7</v>
      </c>
      <c r="BA16" t="n">
        <v>94.399999999999991</v>
      </c>
      <c r="BB16" t="n">
        <v>4.2</v>
      </c>
      <c r="BC16" t="n">
        <v>5.3000000000000007</v>
      </c>
      <c r="BD16" t="n">
        <v>10.199999999999999</v>
      </c>
      <c r="BE16" t="n">
        <v>0</v>
      </c>
      <c r="BF16" t="n">
        <v>31.099999999999998</v>
      </c>
      <c r="BG16" t="n">
        <v>26.7</v>
      </c>
      <c r="BH16" t="n">
        <v>1036.5</v>
      </c>
      <c r="BI16" t="n">
        <v>33.4</v>
      </c>
      <c r="BJ16" t="n">
        <v>0</v>
      </c>
      <c r="BK16" t="n">
        <v>0</v>
      </c>
      <c r="BL16" t="n">
        <v>441.70000000000005</v>
      </c>
      <c r="BM16" t="n">
        <v>0</v>
      </c>
      <c r="BN16" t="n">
        <v>7.1999999999999993</v>
      </c>
      <c r="BO16" t="n">
        <v>800</v>
      </c>
      <c r="BP16" t="n">
        <v>4</v>
      </c>
      <c r="BQ16" s="110"/>
    </row>
    <row r="17">
      <c r="A17" s="135" t="s">
        <v>432</v>
      </c>
      <c r="B17" s="44" t="s">
        <v>431</v>
      </c>
      <c r="C17" s="44" t="s">
        <v>383</v>
      </c>
      <c r="D17" s="142" t="s">
        <v>364</v>
      </c>
      <c r="E17" s="142"/>
      <c r="F17" s="103" t="n">
        <v>0.55531759702560224</v>
      </c>
      <c r="G17" s="87" t="n">
        <v>0.86733333333333329</v>
      </c>
      <c r="H17" s="87" t="n">
        <v>0.90700000000000003</v>
      </c>
      <c r="I17" s="142" t="n">
        <v>232.07499999999999</v>
      </c>
      <c r="J17" s="142" t="n">
        <v>873.33823333333328</v>
      </c>
      <c r="K17" s="166"/>
      <c r="L17" s="166"/>
      <c r="M17" s="157" t="n">
        <v>15.176000000000002</v>
      </c>
      <c r="N17" s="157" t="n">
        <v>15.938529600000001</v>
      </c>
      <c r="O17" s="94" t="n">
        <v>0.33</v>
      </c>
      <c r="P17" s="94" t="n">
        <v>0.66999999999999993</v>
      </c>
      <c r="Q17" s="94" t="n">
        <v>2.0303030303030298</v>
      </c>
      <c r="R17" s="94"/>
      <c r="S17" s="65" t="n">
        <f t="shared" si="4"/>
        <v>1</v>
      </c>
      <c r="T17" s="130" t="n">
        <f t="shared" si="3"/>
        <v>1.3414755555555553E-2</v>
      </c>
      <c r="U17" s="157" t="n">
        <f t="shared" si="5"/>
        <v>71</v>
      </c>
      <c r="V17" s="157" t="n">
        <f t="shared" si="5"/>
        <v>597.99999999999989</v>
      </c>
      <c r="W17" s="132" t="n">
        <f t="shared" si="5"/>
        <v>796</v>
      </c>
      <c r="X17" s="132" t="n">
        <f t="shared" si="5"/>
        <v>0</v>
      </c>
      <c r="Y17" s="66"/>
      <c r="Z17" s="66"/>
      <c r="AA17" s="66"/>
      <c r="AB17" s="66"/>
      <c r="AC17" s="66"/>
      <c r="AD17" s="21"/>
      <c r="AE17" s="21"/>
      <c r="AF17" s="21"/>
      <c r="AG17" s="21"/>
      <c r="AH17" s="21"/>
      <c r="AI17" s="121" t="n">
        <v>1.5466666666666665E-2</v>
      </c>
      <c r="AJ17" s="100" t="n">
        <v>3.666666666666667E-3</v>
      </c>
      <c r="AK17" s="66" t="n">
        <v>4.0000000000000001E-3</v>
      </c>
      <c r="AL17" s="121" t="n">
        <v>0.46</v>
      </c>
      <c r="AM17" s="121" t="n">
        <f>AM3</f>
        <v>7.0000000000000001E-3</v>
      </c>
      <c r="AN17" s="121" t="n">
        <v>7.633587786259543E-4</v>
      </c>
      <c r="AO17" s="121" t="n">
        <v>1.1995637949836423E-2</v>
      </c>
      <c r="AP17" s="153" t="n">
        <v>0.47206666666666663</v>
      </c>
      <c r="AQ17" s="121" t="n">
        <v>0.11534666666666667</v>
      </c>
      <c r="AR17" s="94"/>
      <c r="AS17" s="121" t="n">
        <v>0.76065000000000005</v>
      </c>
      <c r="AT17" s="59" t="n">
        <f t="shared" si="0"/>
        <v>0.17824592074592077</v>
      </c>
      <c r="AU17" s="87" t="n">
        <v>0.46100000000000002</v>
      </c>
      <c r="AV17" s="87" t="n">
        <v>0.29965000000000003</v>
      </c>
      <c r="AW17" s="5"/>
      <c r="AX17" s="107" t="n">
        <f t="shared" si="1"/>
        <v>9.7940000000000006E-3</v>
      </c>
      <c r="AY17" s="119" t="n">
        <v>17.572800000000001</v>
      </c>
      <c r="AZ17" t="n">
        <v>0.7</v>
      </c>
      <c r="BA17" s="156" t="n">
        <f>BA3</f>
        <v>106</v>
      </c>
      <c r="BB17" s="156" t="n">
        <f t="shared" ref="BB17:BP17" si="6">BB3</f>
        <v>12</v>
      </c>
      <c r="BC17" s="156" t="n">
        <f t="shared" si="6"/>
        <v>22</v>
      </c>
      <c r="BD17" s="156" t="n">
        <f t="shared" si="6"/>
        <v>25</v>
      </c>
      <c r="BE17" s="156" t="n">
        <f t="shared" si="6"/>
        <v>0</v>
      </c>
      <c r="BF17" s="156" t="n">
        <f t="shared" si="6"/>
        <v>47.199999999999996</v>
      </c>
      <c r="BG17" s="156" t="n">
        <f t="shared" si="6"/>
        <v>39.700000000000003</v>
      </c>
      <c r="BH17" s="156" t="n">
        <f t="shared" si="6"/>
        <v>1770</v>
      </c>
      <c r="BI17" s="156" t="n">
        <f t="shared" si="6"/>
        <v>33.4</v>
      </c>
      <c r="BJ17" s="156" t="n">
        <f t="shared" si="6"/>
        <v>0</v>
      </c>
      <c r="BK17" s="156" t="n">
        <f t="shared" si="6"/>
        <v>0</v>
      </c>
      <c r="BL17" s="156" t="n">
        <f t="shared" si="6"/>
        <v>560</v>
      </c>
      <c r="BM17" s="156" t="n">
        <f t="shared" si="6"/>
        <v>0</v>
      </c>
      <c r="BN17" s="156" t="n">
        <f t="shared" si="6"/>
        <v>7</v>
      </c>
      <c r="BO17" s="156" t="n">
        <f t="shared" si="6"/>
        <v>200</v>
      </c>
      <c r="BP17" s="156" t="n">
        <f t="shared" si="6"/>
        <v>3</v>
      </c>
      <c r="BQ17" s="110"/>
    </row>
    <row r="18">
      <c r="A18" s="135" t="s">
        <v>432</v>
      </c>
      <c r="B18" s="44" t="s">
        <v>368</v>
      </c>
      <c r="C18" s="44" t="s">
        <v>377</v>
      </c>
      <c r="D18" s="142" t="s">
        <v>364</v>
      </c>
      <c r="E18" s="142"/>
      <c r="F18" s="103" t="n">
        <v>0.28995426390866913</v>
      </c>
      <c r="G18" s="87" t="n">
        <v>0.88500000000000001</v>
      </c>
      <c r="H18" s="87" t="n">
        <v>0.8640000000000001</v>
      </c>
      <c r="I18" s="142" t="n">
        <v>232.07499999999999</v>
      </c>
      <c r="J18" s="142" t="n">
        <v>873.33823333333328</v>
      </c>
      <c r="K18" s="166"/>
      <c r="L18" s="166"/>
      <c r="M18" s="157" t="n">
        <v>15.625999999999999</v>
      </c>
      <c r="N18" s="157" t="n">
        <v>15.182899200000003</v>
      </c>
      <c r="O18" s="94" t="n">
        <v>0.34679003739146974</v>
      </c>
      <c r="P18" s="94" t="n">
        <v>0.65320996260853026</v>
      </c>
      <c r="Q18" s="94" t="n">
        <v>1.8835891812865497</v>
      </c>
      <c r="R18" s="94"/>
      <c r="S18" s="65" t="n">
        <f t="shared" si="4"/>
        <v>1</v>
      </c>
      <c r="T18" s="130" t="n">
        <f t="shared" si="3"/>
        <v>1.6480821268153638E-2</v>
      </c>
      <c r="U18" s="157" t="n">
        <f t="shared" si="5"/>
        <v>12.081911262798636</v>
      </c>
      <c r="V18" s="157" t="n">
        <f t="shared" si="5"/>
        <v>805.4607508532423</v>
      </c>
      <c r="W18" s="132" t="n">
        <f t="shared" si="5"/>
        <v>151.02389078498294</v>
      </c>
      <c r="X18" s="132" t="n">
        <f t="shared" si="5"/>
        <v>0</v>
      </c>
      <c r="Y18" s="66"/>
      <c r="Z18" s="66"/>
      <c r="AA18" s="66"/>
      <c r="AB18" s="66"/>
      <c r="AC18" s="66"/>
      <c r="AD18" s="21"/>
      <c r="AE18" s="21"/>
      <c r="AF18" s="21"/>
      <c r="AG18" s="21"/>
      <c r="AH18" s="21"/>
      <c r="AI18" s="121" t="n">
        <v>1.862239691316795E-2</v>
      </c>
      <c r="AJ18" s="100" t="n">
        <v>3.7872787360674178E-3</v>
      </c>
      <c r="AK18" s="66" t="n">
        <v>4.4569365575565564E-3</v>
      </c>
      <c r="AL18" s="121" t="n">
        <v>0.46</v>
      </c>
      <c r="AM18" s="121" t="n">
        <f>AM4</f>
        <v>7.0000000000000001E-3</v>
      </c>
      <c r="AN18" s="121" t="n">
        <v>7.633587786259543E-4</v>
      </c>
      <c r="AO18" s="121" t="n">
        <v>1.1995637949836423E-2</v>
      </c>
      <c r="AP18" s="153" t="n">
        <v>0.44669999999999999</v>
      </c>
      <c r="AQ18" s="121" t="n">
        <v>0.11534666666666667</v>
      </c>
      <c r="AR18" s="94"/>
      <c r="AS18" s="121" t="n">
        <v>0.8085</v>
      </c>
      <c r="AT18" s="59" t="n">
        <f t="shared" si="0"/>
        <v>0.17824592074592077</v>
      </c>
      <c r="AU18" s="87" t="n">
        <v>0.49</v>
      </c>
      <c r="AV18" s="87" t="n">
        <v>0.31850000000000001</v>
      </c>
      <c r="AW18" s="5"/>
      <c r="AX18" s="107" t="n">
        <f t="shared" si="1"/>
        <v>1.1030531460096017E-2</v>
      </c>
      <c r="AY18" s="119" t="n">
        <v>17.572800000000001</v>
      </c>
      <c r="AZ18" t="n">
        <v>0.7</v>
      </c>
      <c r="BA18" s="156" t="n">
        <f t="shared" ref="BA18:BP21" si="7">BA4</f>
        <v>148</v>
      </c>
      <c r="BB18" s="156" t="n">
        <f t="shared" si="7"/>
        <v>3</v>
      </c>
      <c r="BC18" s="156" t="n">
        <f t="shared" si="7"/>
        <v>2</v>
      </c>
      <c r="BD18" s="156" t="n">
        <f t="shared" si="7"/>
        <v>7</v>
      </c>
      <c r="BE18" s="156" t="n">
        <f t="shared" si="7"/>
        <v>0</v>
      </c>
      <c r="BF18" s="156" t="n">
        <f t="shared" si="7"/>
        <v>60</v>
      </c>
      <c r="BG18" s="156" t="n">
        <f t="shared" si="7"/>
        <v>33</v>
      </c>
      <c r="BH18" s="156" t="n">
        <f t="shared" si="7"/>
        <v>910</v>
      </c>
      <c r="BI18" s="156" t="n">
        <f t="shared" si="7"/>
        <v>33.4</v>
      </c>
      <c r="BJ18" s="156" t="n">
        <f t="shared" si="7"/>
        <v>0</v>
      </c>
      <c r="BK18" s="156" t="n">
        <f t="shared" si="7"/>
        <v>0</v>
      </c>
      <c r="BL18" s="156" t="n">
        <f t="shared" si="7"/>
        <v>500</v>
      </c>
      <c r="BM18" s="156" t="n">
        <f t="shared" si="7"/>
        <v>100</v>
      </c>
      <c r="BN18" s="156" t="n">
        <f t="shared" si="7"/>
        <v>2</v>
      </c>
      <c r="BO18" s="156" t="n">
        <f t="shared" si="7"/>
        <v>600</v>
      </c>
      <c r="BP18" s="156" t="n">
        <f t="shared" si="7"/>
        <v>5</v>
      </c>
      <c r="BQ18" s="110"/>
    </row>
    <row r="19">
      <c r="A19" s="135" t="s">
        <v>432</v>
      </c>
      <c r="B19" s="44" t="s">
        <v>367</v>
      </c>
      <c r="C19" s="44" t="s">
        <v>381</v>
      </c>
      <c r="D19" s="142" t="s">
        <v>364</v>
      </c>
      <c r="E19" s="142"/>
      <c r="F19" s="103" t="n">
        <v>0.30359999999999998</v>
      </c>
      <c r="G19" s="87" t="n">
        <v>0.8640000000000001</v>
      </c>
      <c r="H19" s="87" t="n">
        <v>0.91</v>
      </c>
      <c r="I19" s="142" t="n">
        <v>232.07499999999999</v>
      </c>
      <c r="J19" s="142" t="n">
        <v>873.33823333333328</v>
      </c>
      <c r="K19" s="166"/>
      <c r="L19" s="166"/>
      <c r="M19" s="157" t="n">
        <v>15.176000000000002</v>
      </c>
      <c r="N19" s="157" t="n">
        <v>15.991248000000001</v>
      </c>
      <c r="O19" s="94" t="n">
        <v>0.3</v>
      </c>
      <c r="P19" s="94" t="n">
        <v>0.7</v>
      </c>
      <c r="Q19" s="94" t="n">
        <v>2.3333333333333335</v>
      </c>
      <c r="R19" s="94"/>
      <c r="S19" s="65" t="n">
        <f t="shared" si="4"/>
        <v>1</v>
      </c>
      <c r="T19" s="130" t="n">
        <f t="shared" si="3"/>
        <v>1.1889908256880737E-2</v>
      </c>
      <c r="U19" s="157" t="n">
        <f t="shared" si="5"/>
        <v>9</v>
      </c>
      <c r="V19" s="157" t="n">
        <f t="shared" si="5"/>
        <v>860</v>
      </c>
      <c r="W19" s="132" t="n">
        <f t="shared" si="5"/>
        <v>100</v>
      </c>
      <c r="X19" s="132" t="n">
        <f t="shared" si="5"/>
        <v>0</v>
      </c>
      <c r="Y19" s="66"/>
      <c r="Z19" s="66"/>
      <c r="AA19" s="66"/>
      <c r="AB19" s="66"/>
      <c r="AC19" s="66"/>
      <c r="AD19" s="21"/>
      <c r="AE19" s="21"/>
      <c r="AF19" s="21"/>
      <c r="AG19" s="21"/>
      <c r="AH19" s="21"/>
      <c r="AI19" s="121" t="n">
        <v>1.3761467889908258E-2</v>
      </c>
      <c r="AJ19" s="100" t="n">
        <v>1.1467889908256881E-3</v>
      </c>
      <c r="AK19" s="66" t="n">
        <v>1.3761467889908255E-3</v>
      </c>
      <c r="AL19" s="121" t="n">
        <v>0.46</v>
      </c>
      <c r="AM19" s="121" t="n">
        <f>AM5</f>
        <v>7.0000000000000001E-3</v>
      </c>
      <c r="AN19" s="121" t="n">
        <v>7.633587786259543E-4</v>
      </c>
      <c r="AO19" s="121" t="n">
        <v>1.1995637949836423E-2</v>
      </c>
      <c r="AP19" s="153" t="n">
        <v>0.40053571428571427</v>
      </c>
      <c r="AQ19" s="121" t="n">
        <v>0.11534666666666667</v>
      </c>
      <c r="AR19" s="94"/>
      <c r="AS19" s="121" t="n">
        <v>0.51315</v>
      </c>
      <c r="AT19" s="59" t="n">
        <f t="shared" si="0"/>
        <v>0.17824592074592077</v>
      </c>
      <c r="AU19" s="87" t="n">
        <v>0.311</v>
      </c>
      <c r="AV19" s="87" t="n">
        <v>0.20215</v>
      </c>
      <c r="AW19" s="5"/>
      <c r="AX19" s="107" t="n">
        <f t="shared" si="1"/>
        <v>9.0284403669724771E-3</v>
      </c>
      <c r="AY19" s="119" t="n">
        <v>17.572800000000001</v>
      </c>
      <c r="AZ19" t="n">
        <v>0.7</v>
      </c>
      <c r="BA19" s="156" t="n">
        <f t="shared" si="7"/>
        <v>18.5</v>
      </c>
      <c r="BB19" s="156" t="n">
        <f t="shared" si="7"/>
        <v>2.1</v>
      </c>
      <c r="BC19" s="156" t="n">
        <f t="shared" si="7"/>
        <v>2.3000000000000003</v>
      </c>
      <c r="BD19" s="156" t="n">
        <f t="shared" si="7"/>
        <v>3.2</v>
      </c>
      <c r="BE19" s="156" t="n">
        <f t="shared" si="7"/>
        <v>0</v>
      </c>
      <c r="BF19" s="156" t="n">
        <f t="shared" si="7"/>
        <v>5</v>
      </c>
      <c r="BG19" s="156" t="n">
        <f t="shared" si="7"/>
        <v>2</v>
      </c>
      <c r="BH19" s="156" t="n">
        <f t="shared" si="7"/>
        <v>130</v>
      </c>
      <c r="BI19" s="156" t="n">
        <f t="shared" si="7"/>
        <v>33.4</v>
      </c>
      <c r="BJ19" s="156" t="n">
        <f t="shared" si="7"/>
        <v>0</v>
      </c>
      <c r="BK19" s="156" t="n">
        <f t="shared" si="7"/>
        <v>0</v>
      </c>
      <c r="BL19" s="156" t="n">
        <f t="shared" si="7"/>
        <v>200</v>
      </c>
      <c r="BM19" s="156" t="n">
        <f t="shared" si="7"/>
        <v>0</v>
      </c>
      <c r="BN19" s="156" t="n">
        <f t="shared" si="7"/>
        <v>3</v>
      </c>
      <c r="BO19" s="156" t="n">
        <f t="shared" si="7"/>
        <v>300</v>
      </c>
      <c r="BP19" s="156" t="n">
        <f t="shared" si="7"/>
        <v>0</v>
      </c>
      <c r="BQ19" s="110"/>
    </row>
    <row r="20">
      <c r="A20" s="135" t="s">
        <v>432</v>
      </c>
      <c r="B20" s="44" t="s">
        <v>366</v>
      </c>
      <c r="C20" s="44" t="s">
        <v>377</v>
      </c>
      <c r="D20" s="142" t="s">
        <v>364</v>
      </c>
      <c r="E20" s="142" t="n">
        <v>3972</v>
      </c>
      <c r="F20" s="94" t="n">
        <v>0.28070501535555098</v>
      </c>
      <c r="G20" s="87" t="n">
        <v>0.879</v>
      </c>
      <c r="H20" s="87" t="n">
        <v>0.86650000000000005</v>
      </c>
      <c r="I20" s="142" t="n">
        <v>232.07499999999999</v>
      </c>
      <c r="J20" s="142" t="n">
        <v>873.33823333333328</v>
      </c>
      <c r="K20" s="166"/>
      <c r="L20" s="166"/>
      <c r="M20" s="157" t="n">
        <v>15.226831200000001</v>
      </c>
      <c r="N20" s="157" t="n">
        <v>15.226831200000001</v>
      </c>
      <c r="O20" s="94" t="n">
        <v>0.28333333333333338</v>
      </c>
      <c r="P20" s="94" t="n">
        <v>0.71666666666666656</v>
      </c>
      <c r="Q20" s="94" t="n">
        <v>2.5294117647058814</v>
      </c>
      <c r="R20" s="94"/>
      <c r="S20" s="65" t="n">
        <f t="shared" si="4"/>
        <v>1</v>
      </c>
      <c r="T20" s="130" t="n">
        <f t="shared" si="3"/>
        <v>1.8458825031724902E-2</v>
      </c>
      <c r="U20" s="157" t="n">
        <f t="shared" si="5"/>
        <v>12</v>
      </c>
      <c r="V20" s="157" t="n">
        <f t="shared" si="5"/>
        <v>800</v>
      </c>
      <c r="W20" s="132" t="n">
        <f t="shared" si="5"/>
        <v>150</v>
      </c>
      <c r="X20" s="132" t="n">
        <f t="shared" si="5"/>
        <v>0</v>
      </c>
      <c r="Y20" s="66"/>
      <c r="Z20" s="66"/>
      <c r="AA20" s="66"/>
      <c r="AB20" s="66"/>
      <c r="AC20" s="66"/>
      <c r="AD20" s="21"/>
      <c r="AE20" s="21"/>
      <c r="AF20" s="21"/>
      <c r="AG20" s="21"/>
      <c r="AH20" s="21"/>
      <c r="AI20" s="121" t="n">
        <v>2.099980094621718E-2</v>
      </c>
      <c r="AJ20" s="100" t="n">
        <v>3.5144480397353815E-3</v>
      </c>
      <c r="AK20" s="66" t="n">
        <v>4.0126526216947515E-3</v>
      </c>
      <c r="AL20" s="121" t="n">
        <v>0.46</v>
      </c>
      <c r="AM20" s="121" t="n">
        <f>AM9</f>
        <v>5.9199999999999999E-3</v>
      </c>
      <c r="AN20" s="121" t="n">
        <v>7.633587786259543E-4</v>
      </c>
      <c r="AO20" s="121" t="n">
        <v>1.1995637949836423E-2</v>
      </c>
      <c r="AP20" s="153" t="n">
        <v>0.45799749999999995</v>
      </c>
      <c r="AQ20" s="121" t="n">
        <v>0.11534666666666667</v>
      </c>
      <c r="AR20" s="94"/>
      <c r="AS20" s="121" t="n">
        <v>0.76560000000000006</v>
      </c>
      <c r="AT20" s="59" t="n">
        <f t="shared" si="0"/>
        <v>0.17824592074592077</v>
      </c>
      <c r="AU20" s="87" t="n">
        <v>0.46400000000000002</v>
      </c>
      <c r="AV20" s="87" t="n">
        <v>0.30160000000000003</v>
      </c>
      <c r="AW20" s="5"/>
      <c r="AX20" s="107" t="n">
        <f t="shared" si="1"/>
        <v>1.0192610268094867E-2</v>
      </c>
      <c r="AY20" s="119" t="n">
        <v>17.572800000000001</v>
      </c>
      <c r="AZ20" t="n">
        <v>0.7</v>
      </c>
      <c r="BA20" s="156" t="n">
        <f>BA9</f>
        <v>10</v>
      </c>
      <c r="BB20" s="156" t="n">
        <f t="shared" si="7"/>
        <v>6.1</v>
      </c>
      <c r="BC20" s="156" t="n">
        <f t="shared" si="7"/>
        <v>9.8000000000000007</v>
      </c>
      <c r="BD20" s="156" t="n">
        <f t="shared" si="7"/>
        <v>17.5</v>
      </c>
      <c r="BE20" s="156" t="n">
        <f t="shared" si="7"/>
        <v>0</v>
      </c>
      <c r="BF20" s="156" t="n">
        <f t="shared" si="7"/>
        <v>39</v>
      </c>
      <c r="BG20" s="156" t="n">
        <f t="shared" si="7"/>
        <v>30</v>
      </c>
      <c r="BH20" s="156" t="n">
        <f t="shared" si="7"/>
        <v>1300</v>
      </c>
      <c r="BI20" s="156" t="n">
        <f t="shared" si="7"/>
        <v>33.4</v>
      </c>
      <c r="BJ20" s="156" t="n">
        <f t="shared" si="7"/>
        <v>0</v>
      </c>
      <c r="BK20" s="156" t="n">
        <f t="shared" si="7"/>
        <v>0</v>
      </c>
      <c r="BL20" s="156" t="n">
        <f t="shared" si="7"/>
        <v>384</v>
      </c>
      <c r="BM20" s="156" t="n">
        <f t="shared" si="7"/>
        <v>0</v>
      </c>
      <c r="BN20" s="156" t="n">
        <f t="shared" si="7"/>
        <v>8.1000000000000014</v>
      </c>
      <c r="BO20" s="156" t="n">
        <f t="shared" si="7"/>
        <v>900</v>
      </c>
      <c r="BP20" s="156" t="n">
        <f t="shared" si="7"/>
        <v>3</v>
      </c>
      <c r="BQ20" s="110"/>
    </row>
    <row r="21">
      <c r="A21" s="135" t="s">
        <v>432</v>
      </c>
      <c r="B21" s="44" t="s">
        <v>365</v>
      </c>
      <c r="C21" s="44" t="s">
        <v>376</v>
      </c>
      <c r="D21" s="142" t="s">
        <v>364</v>
      </c>
      <c r="E21" s="142"/>
      <c r="F21" s="103" t="n">
        <v>0.33541563587115925</v>
      </c>
      <c r="G21" s="87" t="n">
        <v>0.86199999999999999</v>
      </c>
      <c r="H21" s="87" t="n">
        <v>0.88099999999999989</v>
      </c>
      <c r="I21" s="142" t="n">
        <v>232.07499999999999</v>
      </c>
      <c r="J21" s="142" t="n">
        <v>873.33823333333328</v>
      </c>
      <c r="K21" s="166"/>
      <c r="L21" s="166"/>
      <c r="M21" s="157" t="n">
        <v>14.438400000000001</v>
      </c>
      <c r="N21" s="157" t="n">
        <v>15.481636799999999</v>
      </c>
      <c r="O21" s="94" t="n">
        <v>0.44999999999999996</v>
      </c>
      <c r="P21" s="94" t="n">
        <v>0.55000000000000004</v>
      </c>
      <c r="Q21" s="94" t="n">
        <v>1.2222222222222223</v>
      </c>
      <c r="R21" s="94"/>
      <c r="S21" s="65" t="n">
        <f t="shared" si="4"/>
        <v>1</v>
      </c>
      <c r="T21" s="130" t="n">
        <f t="shared" si="3"/>
        <v>1.248E-2</v>
      </c>
      <c r="U21" s="157" t="n">
        <f t="shared" si="5"/>
        <v>27</v>
      </c>
      <c r="V21" s="157" t="n">
        <f t="shared" si="5"/>
        <v>760</v>
      </c>
      <c r="W21" s="132" t="n">
        <f t="shared" si="5"/>
        <v>120</v>
      </c>
      <c r="X21" s="132" t="n">
        <f t="shared" si="5"/>
        <v>0</v>
      </c>
      <c r="Y21" s="66"/>
      <c r="Z21" s="66"/>
      <c r="AA21" s="66"/>
      <c r="AB21" s="66"/>
      <c r="AC21" s="66"/>
      <c r="AD21" s="21"/>
      <c r="AE21" s="21"/>
      <c r="AF21" s="21"/>
      <c r="AG21" s="21"/>
      <c r="AH21" s="21"/>
      <c r="AI21" s="121" t="n">
        <v>1.4477958236658933E-2</v>
      </c>
      <c r="AJ21" s="100" t="n">
        <v>3.0626450116009278E-3</v>
      </c>
      <c r="AK21" s="66" t="n">
        <v>3.6426914153132248E-3</v>
      </c>
      <c r="AL21" s="121" t="n">
        <v>0.44</v>
      </c>
      <c r="AM21" s="121" t="n">
        <f>AM10</f>
        <v>5.9199999999999999E-3</v>
      </c>
      <c r="AN21" s="121" t="n">
        <v>7.633587786259543E-4</v>
      </c>
      <c r="AO21" s="121" t="n">
        <v>1.1995637949836423E-2</v>
      </c>
      <c r="AP21" s="153" t="n">
        <v>0.43383888888888894</v>
      </c>
      <c r="AQ21" s="121" t="n">
        <v>0.11534666666666667</v>
      </c>
      <c r="AR21" s="94"/>
      <c r="AS21" s="121" t="n">
        <v>0.67980000000000007</v>
      </c>
      <c r="AT21" s="59" t="n">
        <f t="shared" si="0"/>
        <v>0.17824592074592077</v>
      </c>
      <c r="AU21" s="87" t="n">
        <v>0.41200000000000003</v>
      </c>
      <c r="AV21" s="87" t="n">
        <v>0.26780000000000004</v>
      </c>
      <c r="AW21" s="5"/>
      <c r="AX21" s="107" t="n">
        <f t="shared" si="1"/>
        <v>9.7710812064965187E-3</v>
      </c>
      <c r="AY21" s="119" t="n">
        <v>17.572800000000001</v>
      </c>
      <c r="AZ21" t="n">
        <v>0.7</v>
      </c>
      <c r="BA21" s="156" t="n">
        <f>BA10</f>
        <v>27</v>
      </c>
      <c r="BB21" s="156" t="n">
        <f t="shared" si="7"/>
        <v>2.9</v>
      </c>
      <c r="BC21" s="156" t="n">
        <f t="shared" si="7"/>
        <v>3</v>
      </c>
      <c r="BD21" s="156" t="n">
        <f t="shared" si="7"/>
        <v>11</v>
      </c>
      <c r="BE21" s="156" t="n">
        <f t="shared" si="7"/>
        <v>0</v>
      </c>
      <c r="BF21" s="156" t="n">
        <f t="shared" si="7"/>
        <v>26.7</v>
      </c>
      <c r="BG21" s="156" t="n">
        <f t="shared" si="7"/>
        <v>37.299999999999997</v>
      </c>
      <c r="BH21" s="156" t="n">
        <f t="shared" si="7"/>
        <v>1210</v>
      </c>
      <c r="BI21" s="156" t="n">
        <f t="shared" si="7"/>
        <v>33.4</v>
      </c>
      <c r="BJ21" s="156" t="n">
        <f t="shared" si="7"/>
        <v>0</v>
      </c>
      <c r="BK21" s="156" t="n">
        <f t="shared" si="7"/>
        <v>0</v>
      </c>
      <c r="BL21" s="156" t="n">
        <f t="shared" si="7"/>
        <v>600</v>
      </c>
      <c r="BM21" s="156" t="n">
        <f t="shared" si="7"/>
        <v>0</v>
      </c>
      <c r="BN21" s="156" t="n">
        <f t="shared" si="7"/>
        <v>18.700000000000003</v>
      </c>
      <c r="BO21" s="156" t="n">
        <f t="shared" si="7"/>
        <v>300</v>
      </c>
      <c r="BP21" s="156" t="n">
        <f t="shared" si="7"/>
        <v>3.5</v>
      </c>
      <c r="BQ21" s="110"/>
    </row>
    <row r="22">
      <c r="A22" s="135"/>
      <c r="B22" s="44" t="s">
        <v>569</v>
      </c>
      <c r="C22" s="44"/>
      <c r="D22" s="142" t="s">
        <v>570</v>
      </c>
      <c r="E22" s="142"/>
      <c r="F22" s="103"/>
      <c r="G22" s="87" t="n">
        <f>H12</f>
        <v>0.87549999999999994</v>
      </c>
      <c r="H22" s="87"/>
      <c r="I22" s="142"/>
      <c r="J22" s="142"/>
      <c r="K22" s="166"/>
      <c r="L22" s="166"/>
      <c r="M22" s="157"/>
      <c r="N22" s="157"/>
      <c r="O22" s="94"/>
      <c r="P22" s="94"/>
      <c r="Q22" s="94"/>
      <c r="R22" s="94"/>
      <c r="S22" s="94"/>
      <c r="T22" s="94"/>
      <c r="U22" s="94"/>
      <c r="V22" s="94"/>
      <c r="W22" s="132"/>
      <c r="X22" s="132"/>
      <c r="Y22" s="132"/>
      <c r="Z22" s="132"/>
      <c r="AA22" s="132"/>
      <c r="AB22" s="132"/>
      <c r="AC22" s="132"/>
      <c r="AD22" s="132"/>
      <c r="AE22" s="21"/>
      <c r="AF22" s="21"/>
      <c r="AG22" s="21"/>
      <c r="AH22" s="21"/>
      <c r="AI22" s="121" t="n">
        <f>AM11</f>
        <v>5.9199999999999999E-3</v>
      </c>
      <c r="AJ22" s="100" t="n">
        <f t="shared" ref="AJ22:AK22" si="8">AN11</f>
        <v>7.633587786259543E-4</v>
      </c>
      <c r="AK22" s="66" t="n">
        <f t="shared" si="8"/>
        <v>1.1995637949836423E-2</v>
      </c>
      <c r="AL22" s="121"/>
      <c r="AM22" s="121"/>
      <c r="AN22" s="121"/>
      <c r="AO22" s="121"/>
      <c r="AP22" s="153"/>
      <c r="AQ22" s="121"/>
      <c r="AR22" s="94"/>
      <c r="AS22" s="121"/>
      <c r="AT22" s="59"/>
      <c r="AU22" s="87"/>
      <c r="AV22" s="87"/>
      <c r="AW22" s="5"/>
      <c r="AX22" s="107" t="n">
        <f t="shared" si="1"/>
        <v>0</v>
      </c>
      <c r="AY22" s="119"/>
      <c r="AZ22" t="n">
        <v>0.7</v>
      </c>
      <c r="BA22" s="156"/>
      <c r="BB22" s="156"/>
      <c r="BC22" s="156"/>
      <c r="BD22" s="156"/>
      <c r="BE22" s="156"/>
      <c r="BF22" s="156"/>
      <c r="BG22" s="156"/>
      <c r="BH22" s="156"/>
      <c r="BI22" s="156"/>
      <c r="BJ22" s="156"/>
      <c r="BK22" s="156"/>
      <c r="BL22" s="156"/>
      <c r="BM22" s="156"/>
      <c r="BN22" s="156"/>
      <c r="BO22" s="156"/>
      <c r="BP22" s="156"/>
      <c r="BQ22" s="110"/>
    </row>
    <row r="23">
      <c r="A23" s="135"/>
      <c r="B23" s="44" t="s">
        <v>575</v>
      </c>
      <c r="C23" s="44"/>
      <c r="D23" s="142" t="s">
        <v>817</v>
      </c>
      <c r="E23" s="142"/>
      <c r="F23" s="103"/>
      <c r="G23" s="87" t="n">
        <f>H33</f>
        <v>0.89966666666666661</v>
      </c>
      <c r="H23" s="87"/>
      <c r="I23" s="142"/>
      <c r="J23" s="142"/>
      <c r="K23" s="166"/>
      <c r="L23" s="166"/>
      <c r="M23" s="157"/>
      <c r="N23" s="157"/>
      <c r="O23" s="94"/>
      <c r="P23" s="94"/>
      <c r="Q23" s="94"/>
      <c r="R23" s="94"/>
      <c r="S23" s="94"/>
      <c r="T23" s="94"/>
      <c r="U23" s="94"/>
      <c r="V23" s="94"/>
      <c r="W23" s="132"/>
      <c r="X23" s="132"/>
      <c r="Y23" s="132"/>
      <c r="Z23" s="132"/>
      <c r="AA23" s="132"/>
      <c r="AB23" s="132"/>
      <c r="AC23" s="132"/>
      <c r="AD23" s="132"/>
      <c r="AE23" s="21"/>
      <c r="AF23" s="21"/>
      <c r="AG23" s="21"/>
      <c r="AH23" s="21"/>
      <c r="AI23" s="121" t="n">
        <f>AM33</f>
        <v>8.0000000000000002E-3</v>
      </c>
      <c r="AJ23" s="100" t="n">
        <f>AN33</f>
        <v>7.7777777777777784E-4</v>
      </c>
      <c r="AK23" s="66" t="n">
        <f>AO33</f>
        <v>1.5000000000000001E-2</v>
      </c>
      <c r="AL23" s="121"/>
      <c r="AM23" s="121"/>
      <c r="AN23" s="121"/>
      <c r="AO23" s="121"/>
      <c r="AP23" s="153"/>
      <c r="AQ23" s="121"/>
      <c r="AR23" s="94"/>
      <c r="AS23" s="121"/>
      <c r="AT23" s="59"/>
      <c r="AU23" s="87"/>
      <c r="AV23" s="87"/>
      <c r="AW23" s="5"/>
      <c r="AX23" s="107" t="n">
        <f t="shared" si="1"/>
        <v>0</v>
      </c>
      <c r="AY23" s="119"/>
      <c r="AZ23" t="n">
        <v>0.7</v>
      </c>
      <c r="BQ23" s="110"/>
    </row>
    <row r="24">
      <c r="A24" s="135" t="n">
        <v>242</v>
      </c>
      <c r="B24" s="44" t="s">
        <v>363</v>
      </c>
      <c r="C24" s="44"/>
      <c r="D24" s="142" t="s">
        <v>274</v>
      </c>
      <c r="E24" s="142"/>
      <c r="F24" s="94" t="n">
        <v>7.0000000000000007E-2</v>
      </c>
      <c r="G24" s="87" t="n">
        <v>0.91616666666666668</v>
      </c>
      <c r="H24" s="87" t="n">
        <v>0.89966666666666661</v>
      </c>
      <c r="I24" s="142" t="n">
        <v>232.07499999999999</v>
      </c>
      <c r="J24" s="142" t="n">
        <v>873.33823333333328</v>
      </c>
      <c r="K24" s="166"/>
      <c r="L24" s="166"/>
      <c r="M24" s="157" t="n">
        <v>15.809662400000001</v>
      </c>
      <c r="N24" s="157" t="n">
        <v>15.809662400000001</v>
      </c>
      <c r="O24" s="94" t="n">
        <v>0.33003300330033003</v>
      </c>
      <c r="P24" s="94" t="n">
        <v>0.66996699669966997</v>
      </c>
      <c r="Q24" s="94" t="n">
        <v>2.0299999999999998</v>
      </c>
      <c r="R24" s="94"/>
      <c r="S24" s="65" t="n">
        <v>0.7</v>
      </c>
      <c r="T24" s="130" t="n">
        <f>VLOOKUP($B24,Conversores_Dieta!$B$4:$J$164,Coefs!T$292,0)</f>
        <v>4.3200000000000002E-2</v>
      </c>
      <c r="U24" s="166" t="n">
        <f>VLOOKUP($B24,Conversores_Dieta!$B$4:$J$164,Coefs!U$292,0)</f>
        <v>490</v>
      </c>
      <c r="V24" s="166" t="n">
        <f>VLOOKUP($B24,Conversores_Dieta!$B$4:$J$164,Coefs!V$292,0)</f>
        <v>85</v>
      </c>
      <c r="W24" s="21" t="n">
        <f>VLOOKUP($B24,Conversores_Dieta!$B$4:$J$164,Coefs!W$292,0)</f>
        <v>610</v>
      </c>
      <c r="X24" s="21" t="n">
        <f>VLOOKUP($B24,Conversores_Dieta!$B$4:$J$164,Coefs!X$292,0)</f>
        <v>0</v>
      </c>
      <c r="Y24" s="66"/>
      <c r="Z24" s="66"/>
      <c r="AA24" s="66"/>
      <c r="AB24" s="66"/>
      <c r="AC24" s="66"/>
      <c r="AD24" s="171"/>
      <c r="AE24" s="171"/>
      <c r="AF24" s="171"/>
      <c r="AG24" s="171"/>
      <c r="AH24" s="171"/>
      <c r="AI24" s="153" t="n">
        <f>T24/G24</f>
        <v>4.7152992541386211E-2</v>
      </c>
      <c r="AJ24" s="100" t="n">
        <v>4.9991945819286608E-3</v>
      </c>
      <c r="AK24" s="66" t="n">
        <v>1.2371095488735356E-2</v>
      </c>
      <c r="AL24" s="153" t="n">
        <v>0.6</v>
      </c>
      <c r="AM24" s="153" t="n">
        <v>1.6E-2</v>
      </c>
      <c r="AN24" s="121" t="n">
        <v>7.7777777777777784E-4</v>
      </c>
      <c r="AO24" s="121" t="n">
        <v>1.5000000000000001E-2</v>
      </c>
      <c r="AP24" s="153" t="n">
        <v>0.43749765209281005</v>
      </c>
      <c r="AQ24" s="121" t="n">
        <v>0.11534666666666667</v>
      </c>
      <c r="AR24" s="94"/>
      <c r="AS24" s="121" t="n">
        <v>0.74707044691443703</v>
      </c>
      <c r="AT24" s="59" t="n">
        <f t="shared" si="0"/>
        <v>0.17824592074592077</v>
      </c>
      <c r="AU24" s="87" t="n">
        <v>0.45276996782693152</v>
      </c>
      <c r="AV24" s="87" t="n">
        <v>0.29430047908750551</v>
      </c>
      <c r="AW24" s="5"/>
      <c r="AX24" s="107" t="n">
        <f t="shared" si="1"/>
        <v>2.6281515690226472E-2</v>
      </c>
      <c r="AY24" s="119" t="n">
        <v>17.572800000000001</v>
      </c>
      <c r="AZ24" t="n">
        <v>0.7</v>
      </c>
      <c r="BA24" t="n">
        <v>81</v>
      </c>
      <c r="BB24" t="n">
        <v>67.5</v>
      </c>
      <c r="BC24" t="n">
        <v>231.4</v>
      </c>
      <c r="BD24" t="n">
        <v>131.9</v>
      </c>
      <c r="BE24" t="n">
        <v>0.4</v>
      </c>
      <c r="BF24" t="n">
        <v>25</v>
      </c>
      <c r="BG24" t="n">
        <v>35</v>
      </c>
      <c r="BH24" t="n">
        <v>2100</v>
      </c>
      <c r="BI24" t="n">
        <v>36.200000000000003</v>
      </c>
      <c r="BJ24" t="n">
        <v>0</v>
      </c>
      <c r="BK24" t="n">
        <v>0</v>
      </c>
      <c r="BL24" t="n">
        <v>1100</v>
      </c>
      <c r="BM24" t="n">
        <v>0</v>
      </c>
      <c r="BN24" t="n">
        <v>109.39999999999999</v>
      </c>
      <c r="BO24" t="n">
        <v>2</v>
      </c>
      <c r="BP24" t="n">
        <v>0.5</v>
      </c>
      <c r="BQ24" s="110"/>
    </row>
    <row r="25">
      <c r="A25" s="135" t="n">
        <v>191</v>
      </c>
      <c r="B25" s="44" t="s">
        <v>362</v>
      </c>
      <c r="C25" s="44"/>
      <c r="D25" s="142" t="s">
        <v>353</v>
      </c>
      <c r="E25" s="142"/>
      <c r="F25" s="94" t="n">
        <v>0.08</v>
      </c>
      <c r="G25" s="89" t="n">
        <v>0.94400000000000006</v>
      </c>
      <c r="H25" s="89" t="n">
        <v>0.89300000000000002</v>
      </c>
      <c r="I25" s="142" t="n">
        <v>232.07499999999999</v>
      </c>
      <c r="J25" s="142" t="n">
        <v>873.33823333333328</v>
      </c>
      <c r="K25" s="166"/>
      <c r="L25" s="166"/>
      <c r="M25" s="166" t="n">
        <v>15.762</v>
      </c>
      <c r="N25" s="166" t="n">
        <v>15.692510400000002</v>
      </c>
      <c r="O25" s="94" t="n">
        <v>0.37037037037037046</v>
      </c>
      <c r="P25" s="94" t="n">
        <v>0.62962962962962954</v>
      </c>
      <c r="Q25" s="94" t="n">
        <v>1.7</v>
      </c>
      <c r="R25" s="94"/>
      <c r="S25" s="22" t="n">
        <f>VLOOKUP($B25,Conversores_Dieta!$B$4:$J$164,Coefs!S$292,0)</f>
        <v>1</v>
      </c>
      <c r="T25" s="130" t="n">
        <f>VLOOKUP($B25,Conversores_Dieta!$B$4:$J$164,Coefs!T$292,0)</f>
        <v>3.1040000000000002E-2</v>
      </c>
      <c r="U25" s="166" t="n">
        <f>VLOOKUP($B25,Conversores_Dieta!$B$4:$J$164,Coefs!U$292,0)</f>
        <v>50</v>
      </c>
      <c r="V25" s="166" t="n">
        <f>VLOOKUP($B25,Conversores_Dieta!$B$4:$J$164,Coefs!V$292,0)</f>
        <v>550</v>
      </c>
      <c r="W25" s="21" t="n">
        <f>VLOOKUP($B25,Conversores_Dieta!$B$4:$J$164,Coefs!W$292,0)</f>
        <v>1450</v>
      </c>
      <c r="X25" s="21" t="n">
        <f>VLOOKUP($B25,Conversores_Dieta!$B$4:$J$164,Coefs!X$292,0)</f>
        <v>320</v>
      </c>
      <c r="Y25" s="66"/>
      <c r="Z25" s="66"/>
      <c r="AA25" s="66"/>
      <c r="AB25" s="66"/>
      <c r="AC25" s="66"/>
      <c r="AD25" s="21"/>
      <c r="AE25" s="21"/>
      <c r="AF25" s="21"/>
      <c r="AG25" s="21"/>
      <c r="AH25" s="21"/>
      <c r="AI25" s="153" t="n">
        <f>T25/G25</f>
        <v>3.2881355932203392E-2</v>
      </c>
      <c r="AJ25" s="100" t="n">
        <v>4.9991945819286608E-3</v>
      </c>
      <c r="AK25" s="66" t="n">
        <v>1.2371095488735356E-2</v>
      </c>
      <c r="AL25" s="153" t="n">
        <v>0.46</v>
      </c>
      <c r="AM25" s="153" t="n">
        <v>9.1999999999999998E-3</v>
      </c>
      <c r="AN25" s="121" t="n">
        <v>7.7777777777777784E-4</v>
      </c>
      <c r="AO25" s="121" t="n">
        <v>1.5000000000000001E-2</v>
      </c>
      <c r="AP25" s="153" t="n">
        <v>0.44</v>
      </c>
      <c r="AQ25" s="121" t="n">
        <v>0.11534666666666667</v>
      </c>
      <c r="AR25" s="94"/>
      <c r="AS25" s="121" t="n">
        <v>0.69718309859154926</v>
      </c>
      <c r="AT25" s="59" t="n">
        <f t="shared" si="0"/>
        <v>0.17824592074592077</v>
      </c>
      <c r="AU25" s="87" t="n">
        <v>0.42253521126760563</v>
      </c>
      <c r="AV25" s="87" t="n">
        <v>0.27464788732394368</v>
      </c>
      <c r="AW25" s="5"/>
      <c r="AX25" s="107" t="n">
        <f t="shared" si="1"/>
        <v>1.797087256748274E-2</v>
      </c>
      <c r="AY25" s="119" t="n">
        <v>17.572800000000001</v>
      </c>
      <c r="AZ25" t="n">
        <v>0.7</v>
      </c>
      <c r="BA25" t="n">
        <v>149.70000000000002</v>
      </c>
      <c r="BB25" t="n">
        <v>4.3</v>
      </c>
      <c r="BC25" t="n">
        <v>18</v>
      </c>
      <c r="BD25" t="n">
        <v>28.1</v>
      </c>
      <c r="BE25" t="n">
        <v>0</v>
      </c>
      <c r="BF25" t="n">
        <v>68</v>
      </c>
      <c r="BG25" t="n">
        <v>20</v>
      </c>
      <c r="BH25" t="n">
        <v>1220</v>
      </c>
      <c r="BI25" t="n">
        <v>4.3899999999999997</v>
      </c>
      <c r="BJ25" t="n">
        <v>0</v>
      </c>
      <c r="BK25" t="n">
        <v>0</v>
      </c>
      <c r="BL25" t="n">
        <v>1850</v>
      </c>
      <c r="BM25" t="n">
        <v>41</v>
      </c>
      <c r="BN25" t="n">
        <v>31</v>
      </c>
      <c r="BO25" t="n">
        <v>225</v>
      </c>
      <c r="BP25" t="n">
        <v>1.5</v>
      </c>
      <c r="BQ25" s="110"/>
    </row>
    <row r="26">
      <c r="A26" s="135" t="n">
        <v>236</v>
      </c>
      <c r="B26" s="44" t="s">
        <v>361</v>
      </c>
      <c r="C26" s="7" t="s">
        <v>355</v>
      </c>
      <c r="D26" s="142" t="s">
        <v>274</v>
      </c>
      <c r="E26" s="142" t="n">
        <v>3330.8333333333335</v>
      </c>
      <c r="F26" s="94" t="n">
        <v>0.38854427583023488</v>
      </c>
      <c r="G26" s="89" t="n">
        <v>0.86</v>
      </c>
      <c r="H26" s="89" t="n">
        <v>0.88566666666666671</v>
      </c>
      <c r="I26" s="142" t="n">
        <v>232.07499999999999</v>
      </c>
      <c r="J26" s="142" t="n">
        <v>873.33823333333328</v>
      </c>
      <c r="K26" s="166"/>
      <c r="L26" s="166"/>
      <c r="M26" s="166" t="n">
        <v>18.196999999999999</v>
      </c>
      <c r="N26" s="166" t="n">
        <v>15.563643200000001</v>
      </c>
      <c r="O26" s="94" t="n">
        <v>0.34931599561608428</v>
      </c>
      <c r="P26" s="94" t="n">
        <v>0.65068400438391572</v>
      </c>
      <c r="Q26" s="94" t="n">
        <v>1.8627375000000002</v>
      </c>
      <c r="R26" s="94"/>
      <c r="S26" s="65" t="n">
        <f>VLOOKUP(C26,$B$3:$X$358,MATCH(S$2,$B$2:$X$2,0),0)</f>
        <v>1</v>
      </c>
      <c r="T26" s="130" t="n">
        <v>6.08E-2</v>
      </c>
      <c r="U26" s="157" t="n">
        <f>VLOOKUP($C26,$B$3:$X$358,MATCH(U$2,$B$2:$X$2,0),0)*$G26/VLOOKUP($C26,$B$3:$X$358,MATCH($G$2,$B$2:$X$2,0),0)</f>
        <v>12.248219735503559</v>
      </c>
      <c r="V26" s="157" t="n">
        <f>VLOOKUP($C26,$B$3:$X$358,MATCH(V$2,$B$2:$X$2,0),0)*$G26/VLOOKUP($C26,$B$3:$X$358,MATCH($G$2,$B$2:$X$2,0),0)</f>
        <v>459.30824008138353</v>
      </c>
      <c r="W26" s="132" t="n">
        <f>VLOOKUP($C26,$B$3:$X$358,MATCH(W$2,$B$2:$X$2,0),0)*$G26/VLOOKUP($C26,$B$3:$X$358,MATCH($G$2,$B$2:$X$2,0),0)</f>
        <v>113.73346897253306</v>
      </c>
      <c r="X26" s="132" t="n">
        <f>VLOOKUP($C26,$B$3:$X$358,MATCH(X$2,$B$2:$X$2,0),0)*$G26/VLOOKUP($C26,$B$3:$X$358,MATCH($G$2,$B$2:$X$2,0),0)</f>
        <v>0</v>
      </c>
      <c r="Y26" s="66"/>
      <c r="Z26" s="66"/>
      <c r="AA26" s="66"/>
      <c r="AB26" s="66"/>
      <c r="AC26" s="66"/>
      <c r="AD26" s="21"/>
      <c r="AE26" s="21"/>
      <c r="AF26" s="21"/>
      <c r="AG26" s="21"/>
      <c r="AH26" s="21"/>
      <c r="AI26" s="153" t="n">
        <f>T26/G26</f>
        <v>7.0697674418604653E-2</v>
      </c>
      <c r="AJ26" s="71" t="n">
        <v>6.2291434927697446E-3</v>
      </c>
      <c r="AK26" s="67" t="n">
        <v>1.8909899888765291E-2</v>
      </c>
      <c r="AL26" s="153" t="n">
        <v>0.52</v>
      </c>
      <c r="AM26" s="153" t="n">
        <v>8.0000000000000002E-3</v>
      </c>
      <c r="AN26" s="121" t="n">
        <v>7.7777777777777784E-4</v>
      </c>
      <c r="AO26" s="121" t="n">
        <v>1.5000000000000001E-2</v>
      </c>
      <c r="AP26" s="153" t="n">
        <v>0.43116666666666664</v>
      </c>
      <c r="AQ26" s="121" t="n">
        <v>0.11534666666666667</v>
      </c>
      <c r="AR26" s="94"/>
      <c r="AS26" s="121" t="n">
        <v>0.76642500000000002</v>
      </c>
      <c r="AT26" s="59" t="n">
        <f t="shared" si="0"/>
        <v>0.17824592074592077</v>
      </c>
      <c r="AU26" s="87" t="n">
        <v>0.46450000000000002</v>
      </c>
      <c r="AV26" s="87" t="n">
        <v>0.301925</v>
      </c>
      <c r="AW26" s="5"/>
      <c r="AX26" s="107" t="n">
        <f t="shared" si="1"/>
        <v>2.9901300562347983E-2</v>
      </c>
      <c r="AY26" s="119" t="n">
        <v>17.572800000000001</v>
      </c>
      <c r="AZ26" t="n">
        <v>0.7</v>
      </c>
      <c r="BA26" t="n">
        <v>42</v>
      </c>
      <c r="BB26" t="n">
        <v>7.9</v>
      </c>
      <c r="BC26" t="n">
        <v>13</v>
      </c>
      <c r="BD26" t="n">
        <v>32</v>
      </c>
      <c r="BE26" t="n">
        <v>13.5</v>
      </c>
      <c r="BF26" t="n">
        <v>35.5</v>
      </c>
      <c r="BG26" t="n">
        <v>9.9</v>
      </c>
      <c r="BH26" t="n">
        <v>650</v>
      </c>
      <c r="BI26" t="n">
        <v>4.49</v>
      </c>
      <c r="BJ26" t="n">
        <v>0</v>
      </c>
      <c r="BK26" t="n">
        <v>0</v>
      </c>
      <c r="BL26" t="n">
        <v>1650</v>
      </c>
      <c r="BM26" t="n">
        <v>290</v>
      </c>
      <c r="BN26" t="n">
        <v>1</v>
      </c>
      <c r="BO26" t="n">
        <v>1000</v>
      </c>
      <c r="BP26" t="n">
        <v>15</v>
      </c>
      <c r="BQ26" s="110"/>
    </row>
    <row r="27">
      <c r="A27" s="135" t="n">
        <v>201</v>
      </c>
      <c r="B27" s="44" t="s">
        <v>360</v>
      </c>
      <c r="C27" s="44"/>
      <c r="D27" s="142" t="s">
        <v>353</v>
      </c>
      <c r="E27" s="142"/>
      <c r="F27" s="103" t="n">
        <v>0.28796940229089207</v>
      </c>
      <c r="G27" s="89" t="n">
        <v>0.89650000000000007</v>
      </c>
      <c r="H27" s="89" t="n">
        <v>0.92799999999999994</v>
      </c>
      <c r="I27" s="142" t="n">
        <v>232.07499999999999</v>
      </c>
      <c r="J27" s="142" t="n">
        <v>873.33823333333328</v>
      </c>
      <c r="K27" s="166"/>
      <c r="L27" s="166"/>
      <c r="M27" s="166" t="n">
        <v>15.356</v>
      </c>
      <c r="N27" s="166" t="n">
        <v>16.307558400000001</v>
      </c>
      <c r="O27" s="94" t="n">
        <v>0.32467532467532467</v>
      </c>
      <c r="P27" s="94" t="n">
        <v>0.67532467532467533</v>
      </c>
      <c r="Q27" s="94" t="n">
        <v>2.08</v>
      </c>
      <c r="R27" s="94"/>
      <c r="S27" s="22" t="n">
        <f>VLOOKUP($B27,Conversores_Dieta!$B$4:$J$164,Coefs!S$292,0)</f>
        <v>1</v>
      </c>
      <c r="T27" s="130" t="n">
        <f>VLOOKUP($B27,Conversores_Dieta!$B$4:$J$164,Coefs!T$292,0)</f>
        <v>3.8080000000000003E-2</v>
      </c>
      <c r="U27" s="166" t="n">
        <f>VLOOKUP($B27,Conversores_Dieta!$B$4:$J$164,Coefs!U$292,0)</f>
        <v>18</v>
      </c>
      <c r="V27" s="166" t="n">
        <f>VLOOKUP($B27,Conversores_Dieta!$B$4:$J$164,Coefs!V$292,0)</f>
        <v>540</v>
      </c>
      <c r="W27" s="21" t="n">
        <f>VLOOKUP($B27,Conversores_Dieta!$B$4:$J$164,Coefs!W$292,0)</f>
        <v>560</v>
      </c>
      <c r="X27" s="21" t="n">
        <f>VLOOKUP($B27,Conversores_Dieta!$B$4:$J$164,Coefs!X$292,0)</f>
        <v>100</v>
      </c>
      <c r="Y27" s="66"/>
      <c r="Z27" s="66"/>
      <c r="AA27" s="66"/>
      <c r="AB27" s="66"/>
      <c r="AC27" s="66"/>
      <c r="AD27" s="21"/>
      <c r="AE27" s="21"/>
      <c r="AF27" s="21"/>
      <c r="AG27" s="21"/>
      <c r="AH27" s="21"/>
      <c r="AI27" s="153" t="n">
        <f>T27/G27</f>
        <v>4.2476296709425543E-2</v>
      </c>
      <c r="AJ27" s="71" t="n">
        <v>4.6590909090909087E-3</v>
      </c>
      <c r="AK27" s="67" t="n">
        <v>1.0454545454545454E-2</v>
      </c>
      <c r="AL27" s="153" t="n">
        <v>0.46</v>
      </c>
      <c r="AM27" s="153" t="n">
        <v>1.2699999999999999E-2</v>
      </c>
      <c r="AN27" s="153" t="n">
        <v>7.7777777777777784E-4</v>
      </c>
      <c r="AO27" s="153" t="n">
        <v>1.5000000000000001E-2</v>
      </c>
      <c r="AP27" s="153" t="n">
        <v>0.41499999999999998</v>
      </c>
      <c r="AQ27" s="121" t="n">
        <v>0.11534666666666667</v>
      </c>
      <c r="AR27" s="94"/>
      <c r="AS27" s="121" t="n">
        <v>0.69899665551839463</v>
      </c>
      <c r="AT27" s="59" t="n">
        <f t="shared" si="0"/>
        <v>0.17824592074592077</v>
      </c>
      <c r="AU27" s="87" t="n">
        <v>0.42363433667781492</v>
      </c>
      <c r="AV27" s="87" t="n">
        <v>0.27536231884057971</v>
      </c>
      <c r="AW27" s="5"/>
      <c r="AX27" s="107" t="n">
        <f t="shared" si="1"/>
        <v>2.236762880176154E-2</v>
      </c>
      <c r="AY27" s="119" t="n">
        <v>17.572800000000004</v>
      </c>
      <c r="AZ27" t="n">
        <v>0.7</v>
      </c>
      <c r="BA27" t="n">
        <v>97</v>
      </c>
      <c r="BB27" t="n">
        <v>1.7000000000000002</v>
      </c>
      <c r="BC27" t="n">
        <v>2.2000000000000002</v>
      </c>
      <c r="BD27" t="n">
        <v>5.5</v>
      </c>
      <c r="BE27" t="n">
        <v>0</v>
      </c>
      <c r="BF27" t="n">
        <v>68.7</v>
      </c>
      <c r="BG27" t="n">
        <v>39</v>
      </c>
      <c r="BH27" t="n">
        <v>743.19999999999993</v>
      </c>
      <c r="BI27" t="n">
        <v>4.3899999999999997</v>
      </c>
      <c r="BJ27" t="n">
        <v>0</v>
      </c>
      <c r="BK27" t="n">
        <v>0</v>
      </c>
      <c r="BL27" t="n">
        <v>1171</v>
      </c>
      <c r="BM27" t="n">
        <v>17</v>
      </c>
      <c r="BN27" t="n">
        <v>9</v>
      </c>
      <c r="BO27" t="n">
        <v>275</v>
      </c>
      <c r="BP27" t="n">
        <v>0.8</v>
      </c>
      <c r="BQ27" s="110"/>
    </row>
    <row r="28">
      <c r="A28" s="135" t="n">
        <v>210</v>
      </c>
      <c r="B28" s="44" t="s">
        <v>359</v>
      </c>
      <c r="C28" s="44" t="s">
        <v>360</v>
      </c>
      <c r="D28" s="142" t="s">
        <v>353</v>
      </c>
      <c r="E28" s="142"/>
      <c r="F28" s="103" t="n">
        <v>0.28796940229089207</v>
      </c>
      <c r="G28" s="87" t="n">
        <v>0.91616666666666668</v>
      </c>
      <c r="H28" s="87" t="n">
        <v>0.89966666666666661</v>
      </c>
      <c r="I28" s="142" t="n">
        <v>232.07499999999999</v>
      </c>
      <c r="J28" s="142" t="n">
        <v>873.33823333333328</v>
      </c>
      <c r="K28" s="166"/>
      <c r="L28" s="166"/>
      <c r="M28" s="157" t="n">
        <v>15.809662400000001</v>
      </c>
      <c r="N28" s="157" t="n">
        <v>15.809662400000001</v>
      </c>
      <c r="O28" s="94" t="n">
        <v>0.3003003003003003</v>
      </c>
      <c r="P28" s="94" t="n">
        <v>0.6996996996996997</v>
      </c>
      <c r="Q28" s="94" t="n">
        <v>2.33</v>
      </c>
      <c r="R28" s="94"/>
      <c r="S28" s="65" t="n">
        <f>VLOOKUP(C28,$B$3:$X$358,MATCH(S$2,$B$2:$X$2,0),0)</f>
        <v>1</v>
      </c>
      <c r="T28" s="15" t="n">
        <f>VLOOKUP($C28,$B$3:$X$358,MATCH(T$2,$B$2:$X$2,0),0)*$G28/VLOOKUP($C28,$B$3:$X$358,MATCH($G$2,$B$2:$X$2,0),0)</f>
        <v>3.8915367168618702E-2</v>
      </c>
      <c r="U28" s="157" t="n">
        <f>VLOOKUP($C28,$B$3:$X$358,MATCH(U$2,$B$2:$X$2,0),0)*$G28/VLOOKUP($C28,$B$3:$X$358,MATCH($G$2,$B$2:$X$2,0),0)</f>
        <v>18.394868934746235</v>
      </c>
      <c r="V28" s="157" t="n">
        <f>VLOOKUP($C28,$B$3:$X$358,MATCH(V$2,$B$2:$X$2,0),0)*$G28/VLOOKUP($C28,$B$3:$X$358,MATCH($G$2,$B$2:$X$2,0),0)</f>
        <v>551.84606804238706</v>
      </c>
      <c r="W28" s="132" t="n">
        <f>VLOOKUP($C28,$B$3:$X$358,MATCH(W$2,$B$2:$X$2,0),0)*$G28/VLOOKUP($C28,$B$3:$X$358,MATCH($G$2,$B$2:$X$2,0),0)</f>
        <v>572.2848113032162</v>
      </c>
      <c r="X28" s="132" t="n">
        <f>VLOOKUP($C28,$B$3:$X$358,MATCH(X$2,$B$2:$X$2,0),0)*$G28/VLOOKUP($C28,$B$3:$X$358,MATCH($G$2,$B$2:$X$2,0),0)</f>
        <v>102.19371630414575</v>
      </c>
      <c r="Y28" s="66"/>
      <c r="Z28" s="66"/>
      <c r="AA28" s="66"/>
      <c r="AB28" s="66"/>
      <c r="AC28" s="66"/>
      <c r="AD28" s="21"/>
      <c r="AE28" s="21"/>
      <c r="AF28" s="21"/>
      <c r="AG28" s="21"/>
      <c r="AH28" s="21"/>
      <c r="AI28" s="153" t="n">
        <v>5.3450937155457554E-2</v>
      </c>
      <c r="AJ28" s="71" t="n">
        <v>3.8588754134509366E-3</v>
      </c>
      <c r="AK28" s="67" t="n">
        <v>9.371554575523704E-3</v>
      </c>
      <c r="AL28" s="121" t="n">
        <v>0.4744444444444445</v>
      </c>
      <c r="AM28" s="153" t="n">
        <v>8.0000000000000002E-3</v>
      </c>
      <c r="AN28" s="121" t="n">
        <v>7.7777777777777784E-4</v>
      </c>
      <c r="AO28" s="121" t="n">
        <v>1.5000000000000001E-2</v>
      </c>
      <c r="AP28" s="153" t="n">
        <v>0.47699999999999998</v>
      </c>
      <c r="AQ28" s="121" t="n">
        <v>0.11534666666666667</v>
      </c>
      <c r="AR28" s="94"/>
      <c r="AS28" s="121" t="n">
        <v>0.80354999999999999</v>
      </c>
      <c r="AT28" s="59" t="n">
        <f t="shared" si="0"/>
        <v>0.17824592074592077</v>
      </c>
      <c r="AU28" s="87" t="n">
        <v>0.48699999999999999</v>
      </c>
      <c r="AV28" s="87" t="n">
        <v>0.31655</v>
      </c>
      <c r="AW28" s="5"/>
      <c r="AX28" s="107" t="n">
        <f t="shared" si="1"/>
        <v>2.1648930076713979E-2</v>
      </c>
      <c r="AY28" s="119" t="n">
        <v>17.572800000000001</v>
      </c>
      <c r="AZ28" t="n">
        <v>0.7</v>
      </c>
      <c r="BA28" t="n">
        <v>165</v>
      </c>
      <c r="BB28" t="n">
        <v>4</v>
      </c>
      <c r="BC28" t="n">
        <v>22</v>
      </c>
      <c r="BD28" t="n">
        <v>24</v>
      </c>
      <c r="BE28" t="n">
        <v>0</v>
      </c>
      <c r="BF28" t="n">
        <v>43.6</v>
      </c>
      <c r="BG28" t="n">
        <v>47.5</v>
      </c>
      <c r="BH28" t="n">
        <v>1980</v>
      </c>
      <c r="BI28" t="n">
        <v>4.3899999999999997</v>
      </c>
      <c r="BJ28" t="n">
        <v>0</v>
      </c>
      <c r="BK28" t="n">
        <v>0</v>
      </c>
      <c r="BL28" t="n">
        <v>3550</v>
      </c>
      <c r="BM28" t="n">
        <v>0</v>
      </c>
      <c r="BN28" t="n">
        <v>6</v>
      </c>
      <c r="BO28" t="n">
        <v>375</v>
      </c>
      <c r="BP28" t="n">
        <v>3</v>
      </c>
      <c r="BQ28" s="110"/>
    </row>
    <row r="29">
      <c r="A29" s="135" t="n">
        <v>187</v>
      </c>
      <c r="B29" s="44" t="s">
        <v>358</v>
      </c>
      <c r="C29" s="44"/>
      <c r="D29" s="142" t="s">
        <v>353</v>
      </c>
      <c r="E29" s="142"/>
      <c r="F29" s="94" t="n">
        <v>0.08</v>
      </c>
      <c r="G29" s="87" t="n">
        <v>0.91616666666666668</v>
      </c>
      <c r="H29" s="87" t="n">
        <v>0.89966666666666661</v>
      </c>
      <c r="I29" s="142" t="n">
        <v>232.07499999999999</v>
      </c>
      <c r="J29" s="142" t="n">
        <v>873.33823333333328</v>
      </c>
      <c r="K29" s="166"/>
      <c r="L29" s="166"/>
      <c r="M29" s="166" t="n">
        <v>15.385</v>
      </c>
      <c r="N29" s="157" t="n">
        <v>15.809662400000001</v>
      </c>
      <c r="O29" s="147" t="n">
        <v>0.36832076932566482</v>
      </c>
      <c r="P29" s="147" t="n">
        <v>0.63167923067433518</v>
      </c>
      <c r="Q29" s="147" t="n">
        <v>1.7150247373528154</v>
      </c>
      <c r="R29" s="94"/>
      <c r="S29" s="22" t="n">
        <f>VLOOKUP($B29,Conversores_Dieta!$B$4:$J$164,Coefs!S$292,0)</f>
        <v>1</v>
      </c>
      <c r="T29" s="130" t="n">
        <f>VLOOKUP($B29,Conversores_Dieta!$B$4:$J$164,Coefs!T$292,0)</f>
        <v>3.456E-2</v>
      </c>
      <c r="U29" s="166" t="n">
        <f>VLOOKUP($B29,Conversores_Dieta!$B$4:$J$164,Coefs!U$292,0)</f>
        <v>23</v>
      </c>
      <c r="V29" s="166" t="n">
        <f>VLOOKUP($B29,Conversores_Dieta!$B$4:$J$164,Coefs!V$292,0)</f>
        <v>560</v>
      </c>
      <c r="W29" s="21" t="n">
        <f>VLOOKUP($B29,Conversores_Dieta!$B$4:$J$164,Coefs!W$292,0)</f>
        <v>720</v>
      </c>
      <c r="X29" s="21" t="n">
        <f>VLOOKUP($B29,Conversores_Dieta!$B$4:$J$164,Coefs!X$292,0)</f>
        <v>420</v>
      </c>
      <c r="Y29" s="66"/>
      <c r="Z29" s="66"/>
      <c r="AA29" s="66"/>
      <c r="AB29" s="66"/>
      <c r="AC29" s="66"/>
      <c r="AD29" s="21"/>
      <c r="AE29" s="21"/>
      <c r="AF29" s="21"/>
      <c r="AG29" s="21"/>
      <c r="AH29" s="21"/>
      <c r="AI29" s="153" t="n">
        <v>3.7412031782065841E-2</v>
      </c>
      <c r="AJ29" s="71" t="n">
        <v>4.5402951191827476E-3</v>
      </c>
      <c r="AK29" s="67" t="n">
        <v>1.1918274687854712E-2</v>
      </c>
      <c r="AL29" s="153" t="n">
        <v>0.46</v>
      </c>
      <c r="AM29" s="153" t="n">
        <v>8.0000000000000002E-3</v>
      </c>
      <c r="AN29" s="121" t="n">
        <v>7.7777777777777784E-4</v>
      </c>
      <c r="AO29" s="121" t="n">
        <v>1.5000000000000001E-2</v>
      </c>
      <c r="AP29" s="153" t="n">
        <v>0.45700000000000002</v>
      </c>
      <c r="AQ29" s="121" t="n">
        <v>0.11534666666666667</v>
      </c>
      <c r="AR29" s="94"/>
      <c r="AS29" s="121" t="n">
        <v>0.73213837429111539</v>
      </c>
      <c r="AT29" s="59" t="n">
        <f t="shared" si="0"/>
        <v>0.17824592074592077</v>
      </c>
      <c r="AU29" s="87" t="n">
        <v>0.4437202268431002</v>
      </c>
      <c r="AV29" s="87" t="n">
        <v>0.28841814744801514</v>
      </c>
      <c r="AW29" s="5"/>
      <c r="AX29" s="107" t="n">
        <f t="shared" si="1"/>
        <v>1.8833062173401395E-2</v>
      </c>
      <c r="AY29" s="119" t="n">
        <v>17.572800000000001</v>
      </c>
      <c r="AZ29" t="n">
        <v>0.7</v>
      </c>
      <c r="BA29" t="n">
        <v>167</v>
      </c>
      <c r="BB29" t="n">
        <v>1.5</v>
      </c>
      <c r="BC29" t="n">
        <v>1.3</v>
      </c>
      <c r="BD29" t="n">
        <v>0.5</v>
      </c>
      <c r="BE29" t="n">
        <v>0</v>
      </c>
      <c r="BF29" t="n">
        <v>15</v>
      </c>
      <c r="BG29" t="n">
        <v>35</v>
      </c>
      <c r="BH29" t="n">
        <v>1230</v>
      </c>
      <c r="BI29" t="n">
        <v>4.49</v>
      </c>
      <c r="BJ29" t="n">
        <v>0</v>
      </c>
      <c r="BK29" t="n">
        <v>0</v>
      </c>
      <c r="BL29" t="n">
        <v>780</v>
      </c>
      <c r="BM29" t="n">
        <v>180</v>
      </c>
      <c r="BN29" t="n">
        <v>1</v>
      </c>
      <c r="BO29" t="n">
        <v>175</v>
      </c>
      <c r="BP29" t="n">
        <v>4.5</v>
      </c>
      <c r="BQ29" s="110"/>
    </row>
    <row r="30">
      <c r="A30" s="135" t="n">
        <v>181</v>
      </c>
      <c r="B30" s="44" t="s">
        <v>357</v>
      </c>
      <c r="C30" s="44"/>
      <c r="D30" s="142" t="s">
        <v>353</v>
      </c>
      <c r="E30" s="142"/>
      <c r="F30" s="94" t="n">
        <v>0.60333333333333339</v>
      </c>
      <c r="G30" s="89" t="n">
        <v>0.91533333333333344</v>
      </c>
      <c r="H30" s="89" t="n">
        <v>0.8859999999999999</v>
      </c>
      <c r="I30" s="142" t="n">
        <v>232.07499999999999</v>
      </c>
      <c r="J30" s="142" t="n">
        <v>873.33823333333328</v>
      </c>
      <c r="K30" s="166"/>
      <c r="L30" s="166"/>
      <c r="M30" s="157" t="n">
        <v>15.809662400000001</v>
      </c>
      <c r="N30" s="157" t="n">
        <v>15.809662400000001</v>
      </c>
      <c r="O30" s="94" t="n">
        <v>0.39024422231859712</v>
      </c>
      <c r="P30" s="94" t="n">
        <v>0.60975577768140288</v>
      </c>
      <c r="Q30" s="94" t="n">
        <v>1.5624978995424954</v>
      </c>
      <c r="R30" s="94"/>
      <c r="S30" s="22" t="n">
        <f>VLOOKUP($B30,Conversores_Dieta!$B$4:$J$164,Coefs!S$292,0)</f>
        <v>1</v>
      </c>
      <c r="T30" s="130" t="n">
        <f>VLOOKUP($B30,Conversores_Dieta!$B$4:$J$164,Coefs!T$292,0)</f>
        <v>3.6799999999999999E-2</v>
      </c>
      <c r="U30" s="166" t="n">
        <f>VLOOKUP($B30,Conversores_Dieta!$B$4:$J$164,Coefs!U$292,0)</f>
        <v>20</v>
      </c>
      <c r="V30" s="166" t="n">
        <f>VLOOKUP($B30,Conversores_Dieta!$B$4:$J$164,Coefs!V$292,0)</f>
        <v>560</v>
      </c>
      <c r="W30" s="21" t="n">
        <f>VLOOKUP($B30,Conversores_Dieta!$B$4:$J$164,Coefs!W$292,0)</f>
        <v>1150</v>
      </c>
      <c r="X30" s="21" t="n">
        <f>VLOOKUP($B30,Conversores_Dieta!$B$4:$J$164,Coefs!X$292,0)</f>
        <v>420</v>
      </c>
      <c r="Y30" s="66"/>
      <c r="Z30" s="66"/>
      <c r="AA30" s="66"/>
      <c r="AB30" s="66"/>
      <c r="AC30" s="66"/>
      <c r="AD30" s="21"/>
      <c r="AE30" s="21"/>
      <c r="AF30" s="21"/>
      <c r="AG30" s="21"/>
      <c r="AH30" s="21"/>
      <c r="AI30" s="153" t="n">
        <v>4.4200913242009129E-2</v>
      </c>
      <c r="AJ30" s="71" t="n">
        <v>5.7077625570776261E-3</v>
      </c>
      <c r="AK30" s="67" t="n">
        <v>1.3127853881278538E-2</v>
      </c>
      <c r="AL30" s="153" t="n">
        <v>0.46</v>
      </c>
      <c r="AM30" s="153" t="n">
        <v>8.0000000000000002E-3</v>
      </c>
      <c r="AN30" s="153" t="n">
        <v>1.5E-3</v>
      </c>
      <c r="AO30" s="121" t="n">
        <v>1.5000000000000001E-2</v>
      </c>
      <c r="AP30" s="153" t="n">
        <v>0.43749765209281005</v>
      </c>
      <c r="AQ30" s="121" t="n">
        <v>0.11534666666666667</v>
      </c>
      <c r="AR30" s="94"/>
      <c r="AS30" s="121" t="n">
        <v>0.72602958765444336</v>
      </c>
      <c r="AT30" s="59" t="n">
        <f t="shared" si="0"/>
        <v>0.17824592074592077</v>
      </c>
      <c r="AU30" s="87" t="n">
        <v>0.4400179319117839</v>
      </c>
      <c r="AV30" s="87" t="n">
        <v>0.28601165574265952</v>
      </c>
      <c r="AW30" s="5"/>
      <c r="AX30" s="107" t="n">
        <f t="shared" si="1"/>
        <v>2.2127197235350858E-2</v>
      </c>
      <c r="AY30" s="119" t="n">
        <v>17.84386275395034</v>
      </c>
      <c r="AZ30" t="n">
        <v>0.7</v>
      </c>
      <c r="BA30" t="n">
        <v>42</v>
      </c>
      <c r="BB30" t="n">
        <v>0.5</v>
      </c>
      <c r="BC30" t="n">
        <v>0.4</v>
      </c>
      <c r="BD30" t="n">
        <v>2</v>
      </c>
      <c r="BE30" t="n">
        <v>0</v>
      </c>
      <c r="BF30" t="n">
        <v>17</v>
      </c>
      <c r="BG30" t="n">
        <v>7</v>
      </c>
      <c r="BH30" t="n">
        <v>280</v>
      </c>
      <c r="BI30" t="n">
        <v>4.3899999999999997</v>
      </c>
      <c r="BJ30" t="n">
        <v>0</v>
      </c>
      <c r="BK30" t="n">
        <v>0</v>
      </c>
      <c r="BL30" t="n">
        <v>780</v>
      </c>
      <c r="BM30" t="n">
        <v>240</v>
      </c>
      <c r="BN30" t="n">
        <v>0</v>
      </c>
      <c r="BO30" t="n">
        <v>175</v>
      </c>
      <c r="BP30" t="n">
        <v>2</v>
      </c>
      <c r="BQ30" s="110"/>
    </row>
    <row r="31">
      <c r="A31" s="135" t="n">
        <v>205</v>
      </c>
      <c r="B31" s="44" t="s">
        <v>356</v>
      </c>
      <c r="C31" s="44" t="s">
        <v>360</v>
      </c>
      <c r="D31" s="142" t="s">
        <v>353</v>
      </c>
      <c r="E31" s="142"/>
      <c r="F31" s="103" t="n">
        <v>0.28796940229089207</v>
      </c>
      <c r="G31" s="89" t="n">
        <v>0.9</v>
      </c>
      <c r="H31" s="89" t="n">
        <v>0.91099999999999992</v>
      </c>
      <c r="I31" s="142" t="n">
        <v>232.07499999999999</v>
      </c>
      <c r="J31" s="142" t="n">
        <v>873.33823333333328</v>
      </c>
      <c r="K31" s="166"/>
      <c r="L31" s="166"/>
      <c r="M31" s="166" t="n">
        <v>18.7514328</v>
      </c>
      <c r="N31" s="166" t="n">
        <v>16.008820799999999</v>
      </c>
      <c r="O31" s="94" t="n">
        <v>0.44576523031203563</v>
      </c>
      <c r="P31" s="94" t="n">
        <v>0.55423476968796437</v>
      </c>
      <c r="Q31" s="94" t="n">
        <v>1.2433333333333334</v>
      </c>
      <c r="R31" s="94"/>
      <c r="S31" s="65" t="n">
        <f>VLOOKUP(C31,$B$3:$X$358,MATCH(S$2,$B$2:$X$2,0),0)</f>
        <v>1</v>
      </c>
      <c r="T31" s="15" t="n">
        <f>VLOOKUP($C31,$B$3:$X$358,MATCH(T$2,$B$2:$X$2,0),0)*$G31/VLOOKUP($C31,$B$3:$X$358,MATCH($G$2,$B$2:$X$2,0),0)</f>
        <v>3.8228667038482989E-2</v>
      </c>
      <c r="U31" s="157" t="n">
        <f>VLOOKUP($C31,$B$3:$X$358,MATCH(U$2,$B$2:$X$2,0),0)*$G31/VLOOKUP($C31,$B$3:$X$358,MATCH($G$2,$B$2:$X$2,0),0)</f>
        <v>18.07027328499721</v>
      </c>
      <c r="V31" s="157" t="n">
        <f>VLOOKUP($C31,$B$3:$X$358,MATCH(V$2,$B$2:$X$2,0),0)*$G31/VLOOKUP($C31,$B$3:$X$358,MATCH($G$2,$B$2:$X$2,0),0)</f>
        <v>542.10819854991632</v>
      </c>
      <c r="W31" s="132" t="n">
        <f>VLOOKUP($C31,$B$3:$X$358,MATCH(W$2,$B$2:$X$2,0),0)*$G31/VLOOKUP($C31,$B$3:$X$358,MATCH($G$2,$B$2:$X$2,0),0)</f>
        <v>562.18627997769102</v>
      </c>
      <c r="X31" s="132" t="n">
        <f>VLOOKUP($C31,$B$3:$X$358,MATCH(X$2,$B$2:$X$2,0),0)*$G31/VLOOKUP($C31,$B$3:$X$358,MATCH($G$2,$B$2:$X$2,0),0)</f>
        <v>100.39040713887339</v>
      </c>
      <c r="Y31" s="66"/>
      <c r="Z31" s="66"/>
      <c r="AA31" s="66"/>
      <c r="AB31" s="66"/>
      <c r="AC31" s="66"/>
      <c r="AD31" s="21"/>
      <c r="AE31" s="21"/>
      <c r="AF31" s="21"/>
      <c r="AG31" s="21"/>
      <c r="AH31" s="21"/>
      <c r="AI31" s="153" t="n">
        <v>3.7333333333333329E-2</v>
      </c>
      <c r="AJ31" s="71" t="n">
        <v>5.0000000000000001E-3</v>
      </c>
      <c r="AK31" s="67" t="n">
        <v>1.0444444444444444E-2</v>
      </c>
      <c r="AL31" s="153" t="n">
        <v>0.44</v>
      </c>
      <c r="AM31" s="153" t="n">
        <v>8.0000000000000002E-3</v>
      </c>
      <c r="AN31" s="121" t="n">
        <v>7.7777777777777784E-4</v>
      </c>
      <c r="AO31" s="121" t="n">
        <v>1.5000000000000001E-2</v>
      </c>
      <c r="AP31" s="153" t="n">
        <v>0.43876947720652976</v>
      </c>
      <c r="AQ31" s="121" t="n">
        <v>0.11534666666666667</v>
      </c>
      <c r="AR31" s="94"/>
      <c r="AS31" s="121" t="n">
        <v>0.77384999999999993</v>
      </c>
      <c r="AT31" s="59" t="n">
        <f t="shared" si="0"/>
        <v>0.17824592074592077</v>
      </c>
      <c r="AU31" s="87" t="n">
        <v>0.46899999999999997</v>
      </c>
      <c r="AV31" s="87" t="n">
        <v>0.30485000000000001</v>
      </c>
      <c r="AW31" s="5"/>
      <c r="AX31" s="107" t="n">
        <f t="shared" si="1"/>
        <v>2.1075780089153041E-2</v>
      </c>
      <c r="AY31" s="119" t="n">
        <v>17.572800000000001</v>
      </c>
      <c r="AZ31" t="n">
        <v>0.7</v>
      </c>
      <c r="BA31" t="n">
        <v>130</v>
      </c>
      <c r="BB31" t="n">
        <v>0</v>
      </c>
      <c r="BC31" t="n">
        <v>0</v>
      </c>
      <c r="BD31" t="n">
        <v>0</v>
      </c>
      <c r="BE31" t="n">
        <v>0</v>
      </c>
      <c r="BF31" t="n">
        <v>0</v>
      </c>
      <c r="BG31" t="n">
        <v>25</v>
      </c>
      <c r="BH31" t="n">
        <v>740</v>
      </c>
      <c r="BI31" t="n">
        <v>4.49</v>
      </c>
      <c r="BJ31" t="n">
        <v>0</v>
      </c>
      <c r="BK31" t="n">
        <v>0</v>
      </c>
      <c r="BL31" t="n">
        <v>0</v>
      </c>
      <c r="BM31" t="n">
        <v>0</v>
      </c>
      <c r="BN31" t="n">
        <v>0</v>
      </c>
      <c r="BO31" t="n">
        <v>300</v>
      </c>
      <c r="BP31" t="n">
        <v>2.5</v>
      </c>
      <c r="BQ31" s="110"/>
    </row>
    <row r="32">
      <c r="A32" s="135" t="n">
        <v>176</v>
      </c>
      <c r="B32" s="44" t="s">
        <v>355</v>
      </c>
      <c r="C32" s="44"/>
      <c r="D32" s="142" t="s">
        <v>353</v>
      </c>
      <c r="E32" s="142"/>
      <c r="F32" s="103" t="n">
        <v>0.28796940229089207</v>
      </c>
      <c r="G32" s="89" t="n">
        <v>0.98299999999999998</v>
      </c>
      <c r="H32" s="89" t="n">
        <v>0.871</v>
      </c>
      <c r="I32" s="142" t="n">
        <v>232.07499999999999</v>
      </c>
      <c r="J32" s="142" t="n">
        <v>873.33823333333328</v>
      </c>
      <c r="K32" s="166"/>
      <c r="L32" s="166"/>
      <c r="M32" s="157" t="n">
        <v>15.809662400000001</v>
      </c>
      <c r="N32" s="157" t="n">
        <v>15.809662400000001</v>
      </c>
      <c r="O32" s="103" t="n">
        <v>0.36832076932566482</v>
      </c>
      <c r="P32" s="103" t="n">
        <v>0.63167923067433518</v>
      </c>
      <c r="Q32" s="103" t="n">
        <v>1.7150247373528154</v>
      </c>
      <c r="R32" s="94"/>
      <c r="S32" s="22" t="n">
        <f>VLOOKUP($B32,Conversores_Dieta!$B$4:$J$164,Coefs!S$292,0)</f>
        <v>1</v>
      </c>
      <c r="T32" s="130" t="n">
        <f>VLOOKUP($B32,Conversores_Dieta!$B$4:$J$164,Coefs!T$292,0)</f>
        <v>3.04E-2</v>
      </c>
      <c r="U32" s="166" t="n">
        <f>VLOOKUP($B32,Conversores_Dieta!$B$4:$J$164,Coefs!U$292,0)</f>
        <v>14</v>
      </c>
      <c r="V32" s="166" t="n">
        <f>VLOOKUP($B32,Conversores_Dieta!$B$4:$J$164,Coefs!V$292,0)</f>
        <v>525</v>
      </c>
      <c r="W32" s="21" t="n">
        <f>VLOOKUP($B32,Conversores_Dieta!$B$4:$J$164,Coefs!W$292,0)</f>
        <v>130</v>
      </c>
      <c r="X32" s="21" t="n">
        <f>VLOOKUP($B32,Conversores_Dieta!$B$4:$J$164,Coefs!X$292,0)</f>
        <v>0</v>
      </c>
      <c r="Y32" s="66"/>
      <c r="Z32" s="66"/>
      <c r="AA32" s="66"/>
      <c r="AB32" s="66"/>
      <c r="AC32" s="66"/>
      <c r="AD32" s="21"/>
      <c r="AE32" s="21"/>
      <c r="AF32" s="21"/>
      <c r="AG32" s="21"/>
      <c r="AH32" s="21"/>
      <c r="AI32" s="153" t="n">
        <f>T32/G32</f>
        <v>3.0925737538148524E-2</v>
      </c>
      <c r="AJ32" s="100" t="n">
        <v>4.9991945819286608E-3</v>
      </c>
      <c r="AK32" s="66" t="n">
        <v>1.2371095488735356E-2</v>
      </c>
      <c r="AL32" s="153" t="n">
        <v>0.46</v>
      </c>
      <c r="AM32" s="153" t="n">
        <v>8.0000000000000002E-3</v>
      </c>
      <c r="AN32" s="153" t="n">
        <v>1.4000000000000002E-3</v>
      </c>
      <c r="AO32" s="153" t="n">
        <v>1.1399999999999999E-2</v>
      </c>
      <c r="AP32" s="153" t="n">
        <v>0.43635000000000002</v>
      </c>
      <c r="AQ32" s="121" t="n">
        <v>0.11534666666666667</v>
      </c>
      <c r="AR32" s="103"/>
      <c r="AS32" s="121" t="n">
        <v>0.75734999999999997</v>
      </c>
      <c r="AT32" s="59" t="n">
        <f t="shared" si="0"/>
        <v>0.17824592074592077</v>
      </c>
      <c r="AU32" s="87" t="n">
        <v>0.45900000000000002</v>
      </c>
      <c r="AV32" s="87" t="n">
        <v>0.29835</v>
      </c>
      <c r="AW32" s="5"/>
      <c r="AX32" s="107" t="n">
        <f t="shared" si="1"/>
        <v>1.6444025287409139E-2</v>
      </c>
      <c r="AY32" s="119" t="n">
        <v>18.151162342135478</v>
      </c>
      <c r="AZ32" t="n">
        <v>0.7</v>
      </c>
      <c r="BA32" t="n">
        <v>44</v>
      </c>
      <c r="BB32" t="n">
        <v>2.8000000000000003</v>
      </c>
      <c r="BC32" t="n">
        <v>1</v>
      </c>
      <c r="BD32" t="n">
        <v>7</v>
      </c>
      <c r="BE32" t="n">
        <v>0</v>
      </c>
      <c r="BF32" t="n">
        <v>51.900000000000006</v>
      </c>
      <c r="BG32" t="n">
        <v>23</v>
      </c>
      <c r="BH32" t="n">
        <v>390</v>
      </c>
      <c r="BI32" t="n">
        <v>4.49</v>
      </c>
      <c r="BJ32" t="n">
        <v>0</v>
      </c>
      <c r="BK32" t="n">
        <v>0</v>
      </c>
      <c r="BL32" t="n">
        <v>3080</v>
      </c>
      <c r="BM32" t="n">
        <v>0</v>
      </c>
      <c r="BN32" t="n">
        <v>0.5</v>
      </c>
      <c r="BO32" t="n">
        <v>200</v>
      </c>
      <c r="BP32" t="n">
        <v>2</v>
      </c>
      <c r="BQ32" s="110"/>
    </row>
    <row r="33">
      <c r="A33" s="135" t="n">
        <v>211</v>
      </c>
      <c r="B33" s="44" t="s">
        <v>354</v>
      </c>
      <c r="C33" s="44" t="s">
        <v>358</v>
      </c>
      <c r="D33" s="142" t="s">
        <v>353</v>
      </c>
      <c r="E33" s="142"/>
      <c r="F33" s="103" t="n">
        <v>0.28796940229089207</v>
      </c>
      <c r="G33" s="89" t="n">
        <v>0.91616666666666668</v>
      </c>
      <c r="H33" s="89" t="n">
        <v>0.89966666666666661</v>
      </c>
      <c r="I33" s="142" t="n">
        <v>232.07499999999999</v>
      </c>
      <c r="J33" s="142" t="n">
        <v>873.33823333333328</v>
      </c>
      <c r="K33" s="166"/>
      <c r="L33" s="166"/>
      <c r="M33" s="166" t="n">
        <v>15.809662400000001</v>
      </c>
      <c r="N33" s="166" t="n">
        <v>15.809662400000001</v>
      </c>
      <c r="O33" s="94" t="n">
        <v>0.36832076932566482</v>
      </c>
      <c r="P33" s="94" t="n">
        <v>0.63167923067433518</v>
      </c>
      <c r="Q33" s="94" t="n">
        <v>1.7150247373528154</v>
      </c>
      <c r="R33" s="94"/>
      <c r="S33" s="65" t="n">
        <f>VLOOKUP(C33,$B$3:$X$358,MATCH(S$2,$B$2:$X$2,0),0)</f>
        <v>1</v>
      </c>
      <c r="T33" s="15" t="n">
        <f>VLOOKUP($C33,$B$3:$X$358,MATCH(T$2,$B$2:$X$2,0),0)*$G33/VLOOKUP($C33,$B$3:$X$358,MATCH($G$2,$B$2:$X$2,0),0)</f>
        <v>3.456E-2</v>
      </c>
      <c r="U33" s="157" t="n">
        <f>VLOOKUP($C33,$B$3:$X$358,MATCH(U$2,$B$2:$X$2,0),0)*$G33/VLOOKUP($C33,$B$3:$X$358,MATCH($G$2,$B$2:$X$2,0),0)</f>
        <v>23</v>
      </c>
      <c r="V33" s="157" t="n">
        <f>VLOOKUP($C33,$B$3:$X$358,MATCH(V$2,$B$2:$X$2,0),0)*$G33/VLOOKUP($C33,$B$3:$X$358,MATCH($G$2,$B$2:$X$2,0),0)</f>
        <v>560.00000000000011</v>
      </c>
      <c r="W33" s="132" t="n">
        <f>VLOOKUP($C33,$B$3:$X$358,MATCH(W$2,$B$2:$X$2,0),0)*$G33/VLOOKUP($C33,$B$3:$X$358,MATCH($G$2,$B$2:$X$2,0),0)</f>
        <v>720</v>
      </c>
      <c r="X33" s="132" t="n">
        <f>VLOOKUP($C33,$B$3:$X$358,MATCH(X$2,$B$2:$X$2,0),0)*$G33/VLOOKUP($C33,$B$3:$X$358,MATCH($G$2,$B$2:$X$2,0),0)</f>
        <v>420</v>
      </c>
      <c r="Y33" s="66"/>
      <c r="Z33" s="66"/>
      <c r="AA33" s="66"/>
      <c r="AB33" s="66"/>
      <c r="AC33" s="66"/>
      <c r="AD33" s="21"/>
      <c r="AE33" s="21"/>
      <c r="AF33" s="21"/>
      <c r="AG33" s="21"/>
      <c r="AH33" s="21"/>
      <c r="AI33" s="153" t="n">
        <v>4.704264105246115E-2</v>
      </c>
      <c r="AJ33" s="71" t="n">
        <v>4.9991945819286608E-3</v>
      </c>
      <c r="AK33" s="67" t="n">
        <v>1.2371095488735356E-2</v>
      </c>
      <c r="AL33" s="121" t="n">
        <v>0.4744444444444445</v>
      </c>
      <c r="AM33" s="153" t="n">
        <v>8.0000000000000002E-3</v>
      </c>
      <c r="AN33" s="121" t="n">
        <v>7.7777777777777784E-4</v>
      </c>
      <c r="AO33" s="121" t="n">
        <v>1.5000000000000001E-2</v>
      </c>
      <c r="AP33" s="153" t="n">
        <v>0.43749765209281005</v>
      </c>
      <c r="AQ33" s="121" t="n">
        <v>0.11534666666666667</v>
      </c>
      <c r="AR33" s="94"/>
      <c r="AS33" s="121" t="n">
        <v>0.74707044691443703</v>
      </c>
      <c r="AT33" s="59" t="n">
        <f t="shared" si="0"/>
        <v>0.17824592074592077</v>
      </c>
      <c r="AU33" s="87" t="n">
        <v>0.45276996782693152</v>
      </c>
      <c r="AV33" s="87" t="n">
        <v>0.29430047908750551</v>
      </c>
      <c r="AW33" s="5"/>
      <c r="AX33" s="107" t="n">
        <f t="shared" si="1"/>
        <v>2.2380215588948274E-2</v>
      </c>
      <c r="AY33" s="119" t="n">
        <v>17.572800000000001</v>
      </c>
      <c r="AZ33" t="n">
        <v>0.7</v>
      </c>
      <c r="BA33" t="n">
        <v>85.8</v>
      </c>
      <c r="BB33" t="n">
        <v>3.3000000000000003</v>
      </c>
      <c r="BC33" t="n">
        <v>10.9</v>
      </c>
      <c r="BD33" t="n">
        <v>16.599999999999998</v>
      </c>
      <c r="BE33" t="n">
        <v>0</v>
      </c>
      <c r="BF33" t="n">
        <v>62.300000000000004</v>
      </c>
      <c r="BG33" t="n">
        <v>28.1</v>
      </c>
      <c r="BH33" t="n">
        <v>941.9</v>
      </c>
      <c r="BI33" t="n">
        <v>4.49</v>
      </c>
      <c r="BJ33" t="n">
        <v>0</v>
      </c>
      <c r="BK33" t="n">
        <v>0</v>
      </c>
      <c r="BL33" t="n">
        <v>2607.7999999999997</v>
      </c>
      <c r="BM33" t="n">
        <v>74.5</v>
      </c>
      <c r="BN33" t="n">
        <v>11.6</v>
      </c>
      <c r="BO33" t="n">
        <v>300</v>
      </c>
      <c r="BP33" t="n">
        <v>3.3000000000000003</v>
      </c>
      <c r="BQ33" s="110"/>
    </row>
    <row r="34">
      <c r="A34" s="135"/>
      <c r="B34" s="44" t="s">
        <v>352</v>
      </c>
      <c r="C34" s="44"/>
      <c r="D34" s="142" t="s">
        <v>330</v>
      </c>
      <c r="E34" s="142"/>
      <c r="F34" s="103" t="n">
        <v>4.11764705882353E-2</v>
      </c>
      <c r="G34" s="87" t="n">
        <v>0.30033333333333334</v>
      </c>
      <c r="H34" s="87" t="n">
        <v>0.25</v>
      </c>
      <c r="I34" s="142" t="n">
        <v>232.07499999999999</v>
      </c>
      <c r="J34" s="142" t="n">
        <v>873.33823333333328</v>
      </c>
      <c r="K34" s="157" t="n">
        <v>3.9390000000000001</v>
      </c>
      <c r="L34" s="157" t="n">
        <v>4.2614040000000006</v>
      </c>
      <c r="M34" s="157" t="n">
        <v>4.9663489546666666</v>
      </c>
      <c r="N34" s="157" t="n">
        <v>3.5145600000000004</v>
      </c>
      <c r="O34" s="94" t="n">
        <v>0.5</v>
      </c>
      <c r="P34" s="94" t="n">
        <v>0.5</v>
      </c>
      <c r="Q34" s="94" t="n">
        <v>1</v>
      </c>
      <c r="R34" s="94"/>
      <c r="S34" s="22" t="n">
        <f>VLOOKUP($B34,Conversores_Dieta!$B$4:$J$164,Coefs!S$292,0)</f>
        <v>1</v>
      </c>
      <c r="T34" s="130" t="n">
        <f>VLOOKUP($B34,Conversores_Dieta!$B$4:$J$164,Coefs!T$292,0)</f>
        <v>9.7599999999999996E-3</v>
      </c>
      <c r="U34" s="166" t="n">
        <f>VLOOKUP($B34,Conversores_Dieta!$B$4:$J$164,Coefs!U$292,0)</f>
        <v>237</v>
      </c>
      <c r="V34" s="166" t="n">
        <f>VLOOKUP($B34,Conversores_Dieta!$B$4:$J$164,Coefs!V$292,0)</f>
        <v>425</v>
      </c>
      <c r="W34" s="21" t="n">
        <f>VLOOKUP($B34,Conversores_Dieta!$B$4:$J$164,Coefs!W$292,0)</f>
        <v>700</v>
      </c>
      <c r="X34" s="21" t="n">
        <f>VLOOKUP($B34,Conversores_Dieta!$B$4:$J$164,Coefs!X$292,0)</f>
        <v>0</v>
      </c>
      <c r="Y34" s="66"/>
      <c r="Z34" s="66"/>
      <c r="AA34" s="66"/>
      <c r="AB34" s="66"/>
      <c r="AC34" s="66"/>
      <c r="AD34" s="21"/>
      <c r="AE34" s="21"/>
      <c r="AF34" s="21"/>
      <c r="AG34" s="21"/>
      <c r="AH34" s="21"/>
      <c r="AI34" s="121" t="n">
        <v>8.7991127690872761E-3</v>
      </c>
      <c r="AJ34" s="100" t="n">
        <v>1.655878264398077E-3</v>
      </c>
      <c r="AK34" s="66" t="n">
        <v>1.3525658314276009E-2</v>
      </c>
      <c r="AL34" s="121" t="n">
        <v>0.42</v>
      </c>
      <c r="AM34" s="173" t="n">
        <v>1.9E-2</v>
      </c>
      <c r="AN34" s="153"/>
      <c r="AO34" s="153"/>
      <c r="AP34" s="153" t="n">
        <v>0.43689436219155298</v>
      </c>
      <c r="AQ34" s="121" t="n">
        <v>0.11534666666666667</v>
      </c>
      <c r="AR34" s="94"/>
      <c r="AS34" s="121" t="n">
        <v>0.72602958765444336</v>
      </c>
      <c r="AT34" s="59" t="n">
        <f t="shared" si="0"/>
        <v>0.17824592074592077</v>
      </c>
      <c r="AU34" s="87" t="n">
        <v>0.4400179319117839</v>
      </c>
      <c r="AV34" s="87" t="n">
        <v>0.28601165574265952</v>
      </c>
      <c r="AW34" s="5"/>
      <c r="AX34" s="107" t="n">
        <f t="shared" si="1"/>
        <v>1.3899556384543637E-2</v>
      </c>
      <c r="AY34" s="119" t="n">
        <v>14.058240000000001</v>
      </c>
      <c r="AZ34" t="n">
        <v>0.7</v>
      </c>
      <c r="BA34" s="156" t="n">
        <f>BA38</f>
        <v>0</v>
      </c>
      <c r="BB34" s="156" t="n">
        <f t="shared" ref="BB34:BP34" si="9">BB38</f>
        <v>0</v>
      </c>
      <c r="BC34" s="156" t="n">
        <f t="shared" si="9"/>
        <v>0</v>
      </c>
      <c r="BD34" s="156" t="n">
        <f t="shared" si="9"/>
        <v>0</v>
      </c>
      <c r="BE34" s="156" t="n">
        <f t="shared" si="9"/>
        <v>0.3</v>
      </c>
      <c r="BF34" s="156" t="n">
        <f t="shared" si="9"/>
        <v>6</v>
      </c>
      <c r="BG34" s="156" t="n">
        <f t="shared" si="9"/>
        <v>4</v>
      </c>
      <c r="BH34" s="156" t="n">
        <f t="shared" si="9"/>
        <v>350</v>
      </c>
      <c r="BI34" s="156" t="n">
        <f t="shared" si="9"/>
        <v>14.1</v>
      </c>
      <c r="BJ34" s="156" t="n">
        <f t="shared" si="9"/>
        <v>0</v>
      </c>
      <c r="BK34" s="156" t="n">
        <f t="shared" si="9"/>
        <v>0</v>
      </c>
      <c r="BL34" s="156" t="n">
        <f t="shared" si="9"/>
        <v>0</v>
      </c>
      <c r="BM34" s="156" t="n">
        <f t="shared" si="9"/>
        <v>40</v>
      </c>
      <c r="BN34" s="156" t="n">
        <f t="shared" si="9"/>
        <v>0</v>
      </c>
      <c r="BO34" s="156" t="n">
        <f t="shared" si="9"/>
        <v>150</v>
      </c>
      <c r="BP34" s="156" t="n">
        <f t="shared" si="9"/>
        <v>15</v>
      </c>
      <c r="BQ34" s="110"/>
    </row>
    <row r="35">
      <c r="A35" s="135" t="n">
        <v>122</v>
      </c>
      <c r="B35" s="44" t="s">
        <v>351</v>
      </c>
      <c r="C35" s="44"/>
      <c r="D35" s="142" t="s">
        <v>330</v>
      </c>
      <c r="E35" s="142"/>
      <c r="F35" s="103" t="n">
        <v>4.11764705882353E-2</v>
      </c>
      <c r="G35" s="89" t="n">
        <v>0.25800000000000001</v>
      </c>
      <c r="H35" s="87" t="n">
        <v>0.25</v>
      </c>
      <c r="I35" s="142" t="n">
        <v>232.07499999999999</v>
      </c>
      <c r="J35" s="142" t="n">
        <v>873.33823333333328</v>
      </c>
      <c r="K35" s="166" t="n">
        <v>4.165</v>
      </c>
      <c r="L35" s="166" t="n">
        <v>4.5337824000000007</v>
      </c>
      <c r="M35" s="166" t="n">
        <v>4.2424443040000002</v>
      </c>
      <c r="N35" s="157" t="n">
        <v>3.5145600000000004</v>
      </c>
      <c r="O35" s="94" t="n">
        <v>0.5300006890008957</v>
      </c>
      <c r="P35" s="94" t="n">
        <v>0.4699993109991043</v>
      </c>
      <c r="Q35" s="94" t="n">
        <v>0.88678999999999997</v>
      </c>
      <c r="R35" s="94"/>
      <c r="S35" s="22" t="n">
        <f>VLOOKUP($B35,Conversores_Dieta!$B$4:$J$164,Coefs!S$292,0)</f>
        <v>0.79</v>
      </c>
      <c r="T35" s="130" t="n">
        <f>VLOOKUP($B35,Conversores_Dieta!$B$4:$J$164,Coefs!T$292,0)</f>
        <v>1.92E-3</v>
      </c>
      <c r="U35" s="166" t="n">
        <f>VLOOKUP($B35,Conversores_Dieta!$B$4:$J$164,Coefs!U$292,0)</f>
        <v>6</v>
      </c>
      <c r="V35" s="166" t="n">
        <f>VLOOKUP($B35,Conversores_Dieta!$B$4:$J$164,Coefs!V$292,0)</f>
        <v>215</v>
      </c>
      <c r="W35" s="21" t="n">
        <f>VLOOKUP($B35,Conversores_Dieta!$B$4:$J$164,Coefs!W$292,0)</f>
        <v>220</v>
      </c>
      <c r="X35" s="21" t="n">
        <f>VLOOKUP($B35,Conversores_Dieta!$B$4:$J$164,Coefs!X$292,0)</f>
        <v>6670</v>
      </c>
      <c r="Y35" s="66"/>
      <c r="Z35" s="66"/>
      <c r="AA35" s="66"/>
      <c r="AB35" s="66"/>
      <c r="AC35" s="66"/>
      <c r="AD35" s="171"/>
      <c r="AE35" s="171"/>
      <c r="AF35" s="171"/>
      <c r="AG35" s="171"/>
      <c r="AH35" s="171"/>
      <c r="AI35" s="153" t="n">
        <v>6.0000000000000001E-3</v>
      </c>
      <c r="AJ35" s="71" t="n">
        <v>1.590909090909091E-3</v>
      </c>
      <c r="AK35" s="67" t="n">
        <v>7.3863636363636362E-3</v>
      </c>
      <c r="AL35" s="153" t="n">
        <v>0.41</v>
      </c>
      <c r="AM35" s="173" t="n">
        <v>1.9E-2</v>
      </c>
      <c r="AN35" s="153" t="n">
        <v>0</v>
      </c>
      <c r="AO35" s="153" t="n">
        <v>0</v>
      </c>
      <c r="AP35" s="153" t="n">
        <v>0.43689436219155298</v>
      </c>
      <c r="AQ35" s="121" t="n">
        <v>0.11534666666666667</v>
      </c>
      <c r="AR35" s="94"/>
      <c r="AS35" s="121" t="n">
        <v>0.72602958765444336</v>
      </c>
      <c r="AT35" s="59" t="n">
        <f t="shared" si="0"/>
        <v>0.17824592074592077</v>
      </c>
      <c r="AU35" s="87" t="n">
        <v>0.4400179319117839</v>
      </c>
      <c r="AV35" s="87" t="n">
        <v>0.28601165574265952</v>
      </c>
      <c r="AW35" s="5"/>
      <c r="AX35" s="107" t="n">
        <f t="shared" ref="AX35:AX66" si="10">AI35*O35+P35*AM35</f>
        <v>1.2109991042988356E-2</v>
      </c>
      <c r="AY35" s="119" t="n">
        <v>14.058240000000001</v>
      </c>
      <c r="AZ35" t="n">
        <v>0.7</v>
      </c>
      <c r="BA35" t="n">
        <v>29</v>
      </c>
      <c r="BB35" t="n">
        <v>0</v>
      </c>
      <c r="BC35" t="n">
        <v>0</v>
      </c>
      <c r="BD35" t="n">
        <v>1.3</v>
      </c>
      <c r="BE35" t="n">
        <v>0.5</v>
      </c>
      <c r="BF35" t="n">
        <v>7</v>
      </c>
      <c r="BG35" t="n">
        <v>3</v>
      </c>
      <c r="BH35" t="n">
        <v>130</v>
      </c>
      <c r="BI35" t="n">
        <v>21.7</v>
      </c>
      <c r="BJ35" t="n">
        <v>0</v>
      </c>
      <c r="BK35" t="n">
        <v>0</v>
      </c>
      <c r="BL35" t="n">
        <v>520</v>
      </c>
      <c r="BM35" t="n">
        <v>250</v>
      </c>
      <c r="BN35" t="n">
        <v>40</v>
      </c>
      <c r="BO35" t="n">
        <v>175</v>
      </c>
      <c r="BP35" t="n">
        <v>10</v>
      </c>
      <c r="BQ35" s="110"/>
    </row>
    <row r="36">
      <c r="A36" s="135" t="n">
        <v>116</v>
      </c>
      <c r="B36" s="44" t="s">
        <v>350</v>
      </c>
      <c r="C36" s="44"/>
      <c r="D36" s="142" t="s">
        <v>330</v>
      </c>
      <c r="E36" s="142"/>
      <c r="F36" s="101" t="n">
        <v>4.11764705882353E-2</v>
      </c>
      <c r="G36" s="89" t="n">
        <v>0.22700000000000001</v>
      </c>
      <c r="H36" s="89" t="n">
        <v>0.2</v>
      </c>
      <c r="I36" s="142" t="n">
        <v>232.07499999999999</v>
      </c>
      <c r="J36" s="142" t="n">
        <v>873.33823333333328</v>
      </c>
      <c r="K36" s="166" t="n">
        <v>3.7130000000000001</v>
      </c>
      <c r="L36" s="166" t="n">
        <v>3.9890255999999997</v>
      </c>
      <c r="M36" s="166" t="n">
        <v>3.7406025599999997</v>
      </c>
      <c r="N36" s="166" t="n">
        <v>3.5145600000000004</v>
      </c>
      <c r="O36" s="94" t="n">
        <v>0.58823529411764708</v>
      </c>
      <c r="P36" s="94" t="n">
        <v>0.41176470588235292</v>
      </c>
      <c r="Q36" s="94" t="n">
        <v>0.7</v>
      </c>
      <c r="R36" s="94"/>
      <c r="S36" s="22" t="n">
        <f>VLOOKUP($B36,Conversores_Dieta!$B$4:$J$164,Coefs!S$292,0)</f>
        <v>0.9</v>
      </c>
      <c r="T36" s="130" t="n">
        <f>VLOOKUP($B36,Conversores_Dieta!$B$4:$J$164,Coefs!T$292,0)</f>
        <v>4.0000000000000001E-3</v>
      </c>
      <c r="U36" s="166" t="n">
        <f>VLOOKUP($B36,Conversores_Dieta!$B$4:$J$164,Coefs!U$292,0)</f>
        <v>2</v>
      </c>
      <c r="V36" s="166" t="n">
        <f>VLOOKUP($B36,Conversores_Dieta!$B$4:$J$164,Coefs!V$292,0)</f>
        <v>180</v>
      </c>
      <c r="W36" s="21" t="n">
        <f>VLOOKUP($B36,Conversores_Dieta!$B$4:$J$164,Coefs!W$292,0)</f>
        <v>90</v>
      </c>
      <c r="X36" s="21" t="n">
        <f>VLOOKUP($B36,Conversores_Dieta!$B$4:$J$164,Coefs!X$292,0)</f>
        <v>0</v>
      </c>
      <c r="Y36" s="66"/>
      <c r="Z36" s="66"/>
      <c r="AA36" s="66"/>
      <c r="AB36" s="66"/>
      <c r="AC36" s="66"/>
      <c r="AD36" s="171"/>
      <c r="AE36" s="171"/>
      <c r="AF36" s="171"/>
      <c r="AG36" s="171"/>
      <c r="AH36" s="171"/>
      <c r="AI36" s="153" t="n">
        <v>1.6E-2</v>
      </c>
      <c r="AJ36" s="71" t="n">
        <v>2.2471910112359553E-3</v>
      </c>
      <c r="AK36" s="67" t="n">
        <v>2.4719101123595509E-2</v>
      </c>
      <c r="AL36" s="153" t="n">
        <v>0.41</v>
      </c>
      <c r="AM36" s="173" t="n">
        <v>1.9E-2</v>
      </c>
      <c r="AN36" s="153"/>
      <c r="AO36" s="153"/>
      <c r="AP36" s="153" t="n">
        <v>0.43049999999999999</v>
      </c>
      <c r="AQ36" s="121" t="n">
        <v>0.11534666666666667</v>
      </c>
      <c r="AR36" s="94"/>
      <c r="AS36" s="121" t="n">
        <v>0.72602958765444336</v>
      </c>
      <c r="AT36" s="59" t="n">
        <f t="shared" si="0"/>
        <v>0.17824592074592077</v>
      </c>
      <c r="AU36" s="87" t="n">
        <v>0.4400179319117839</v>
      </c>
      <c r="AV36" s="87" t="n">
        <v>0.28601165574265952</v>
      </c>
      <c r="AW36" s="5"/>
      <c r="AX36" s="107" t="n">
        <f t="shared" si="10"/>
        <v>1.7235294117647057E-2</v>
      </c>
      <c r="AY36" s="119" t="n">
        <v>17.572800000000001</v>
      </c>
      <c r="AZ36" t="n">
        <v>0.7</v>
      </c>
      <c r="BA36" t="n">
        <v>17</v>
      </c>
      <c r="BB36" t="n">
        <v>0.3</v>
      </c>
      <c r="BC36" t="n">
        <v>0</v>
      </c>
      <c r="BD36" t="n">
        <v>1.1000000000000001</v>
      </c>
      <c r="BE36" t="n">
        <v>0.5</v>
      </c>
      <c r="BF36" t="n">
        <v>7</v>
      </c>
      <c r="BG36" t="n">
        <v>4</v>
      </c>
      <c r="BH36" t="n">
        <v>200</v>
      </c>
      <c r="BI36" t="n">
        <v>21.7</v>
      </c>
      <c r="BJ36" t="n">
        <v>0</v>
      </c>
      <c r="BK36" t="n">
        <v>0</v>
      </c>
      <c r="BL36" t="n">
        <v>160</v>
      </c>
      <c r="BM36" t="n">
        <v>190</v>
      </c>
      <c r="BN36" t="n">
        <v>0.6</v>
      </c>
      <c r="BO36" t="n">
        <v>150</v>
      </c>
      <c r="BP36" t="n">
        <v>7.5</v>
      </c>
      <c r="BQ36" s="110"/>
    </row>
    <row r="37">
      <c r="A37" s="135"/>
      <c r="B37" s="44" t="s">
        <v>349</v>
      </c>
      <c r="C37" s="44" t="s">
        <v>350</v>
      </c>
      <c r="D37" s="142" t="s">
        <v>330</v>
      </c>
      <c r="E37" s="142"/>
      <c r="F37" s="103" t="n">
        <v>4.11764705882353E-2</v>
      </c>
      <c r="G37" s="89" t="n">
        <v>0.41600000000000004</v>
      </c>
      <c r="H37" s="89" t="n">
        <v>0.30000000000000004</v>
      </c>
      <c r="I37" s="142" t="n">
        <v>232.07499999999999</v>
      </c>
      <c r="J37" s="142" t="n">
        <v>873.33823333333328</v>
      </c>
      <c r="K37" s="157" t="n">
        <v>3.9390000000000001</v>
      </c>
      <c r="L37" s="157" t="n">
        <v>4.2614040000000006</v>
      </c>
      <c r="M37" s="166" t="n">
        <v>6.9160000000000004</v>
      </c>
      <c r="N37" s="157" t="n">
        <v>3.5145600000000004</v>
      </c>
      <c r="O37" s="103" t="n">
        <v>0.53941199437284759</v>
      </c>
      <c r="P37" s="103" t="n">
        <v>0.46058800562715235</v>
      </c>
      <c r="Q37" s="103" t="n">
        <v>0.86226333333333327</v>
      </c>
      <c r="R37" s="94"/>
      <c r="S37" s="65" t="n">
        <f>VLOOKUP(C37,$B$3:$X$358,MATCH(S$2,$B$2:$X$2,0),0)</f>
        <v>0.9</v>
      </c>
      <c r="T37" s="130" t="n">
        <v>1.4400000000000001E-3</v>
      </c>
      <c r="U37" s="157" t="n">
        <f t="shared" ref="U37:X39" si="11">VLOOKUP($C37,$B$3:$X$358,MATCH(U$2,$B$2:$X$2,0),0)*$G37/VLOOKUP($C37,$B$3:$X$358,MATCH($G$2,$B$2:$X$2,0),0)</f>
        <v>3.6651982378854626</v>
      </c>
      <c r="V37" s="157" t="n">
        <f t="shared" si="11"/>
        <v>329.86784140969166</v>
      </c>
      <c r="W37" s="132" t="n">
        <f t="shared" si="11"/>
        <v>164.93392070484583</v>
      </c>
      <c r="X37" s="132" t="n">
        <f t="shared" si="11"/>
        <v>0</v>
      </c>
      <c r="Y37" s="66"/>
      <c r="Z37" s="66"/>
      <c r="AA37" s="66"/>
      <c r="AB37" s="66"/>
      <c r="AC37" s="66"/>
      <c r="AD37" s="171"/>
      <c r="AE37" s="171"/>
      <c r="AF37" s="171"/>
      <c r="AG37" s="171"/>
      <c r="AH37" s="171"/>
      <c r="AI37" s="153" t="n">
        <f>T37/G37</f>
        <v>3.4615384615384616E-3</v>
      </c>
      <c r="AJ37" s="71" t="n">
        <v>1.1295346910491846E-3</v>
      </c>
      <c r="AK37" s="67" t="n">
        <v>8.471510182868883E-3</v>
      </c>
      <c r="AL37" s="153" t="n">
        <v>0.44</v>
      </c>
      <c r="AM37" s="173" t="n">
        <v>1.9E-2</v>
      </c>
      <c r="AN37" s="121"/>
      <c r="AO37" s="121"/>
      <c r="AP37" s="153" t="n">
        <v>0.43689436219155298</v>
      </c>
      <c r="AQ37" s="121" t="n">
        <v>0.11534666666666667</v>
      </c>
      <c r="AR37" s="157"/>
      <c r="AS37" s="121" t="n">
        <v>0.72602958765444336</v>
      </c>
      <c r="AT37" s="59" t="n">
        <f t="shared" si="0"/>
        <v>0.17824592074592077</v>
      </c>
      <c r="AU37" s="87" t="n">
        <v>0.4400179319117839</v>
      </c>
      <c r="AV37" s="87" t="n">
        <v>0.28601165574265952</v>
      </c>
      <c r="AW37" s="5"/>
      <c r="AX37" s="107" t="n">
        <f t="shared" si="10"/>
        <v>1.0618367472052675E-2</v>
      </c>
      <c r="AY37" s="119" t="n">
        <v>11.715199999999999</v>
      </c>
      <c r="AZ37" t="n">
        <v>0.7</v>
      </c>
      <c r="BA37" s="156" t="n">
        <f>BA38</f>
        <v>0</v>
      </c>
      <c r="BB37" s="156" t="n">
        <f t="shared" ref="BB37:BP37" si="12">BB38</f>
        <v>0</v>
      </c>
      <c r="BC37" s="156" t="n">
        <f t="shared" si="12"/>
        <v>0</v>
      </c>
      <c r="BD37" s="156" t="n">
        <f t="shared" si="12"/>
        <v>0</v>
      </c>
      <c r="BE37" s="156" t="n">
        <f t="shared" si="12"/>
        <v>0.3</v>
      </c>
      <c r="BF37" s="156" t="n">
        <f t="shared" si="12"/>
        <v>6</v>
      </c>
      <c r="BG37" s="156" t="n">
        <f t="shared" si="12"/>
        <v>4</v>
      </c>
      <c r="BH37" s="156" t="n">
        <f t="shared" si="12"/>
        <v>350</v>
      </c>
      <c r="BI37" s="156" t="n">
        <f t="shared" si="12"/>
        <v>14.1</v>
      </c>
      <c r="BJ37" s="156" t="n">
        <f t="shared" si="12"/>
        <v>0</v>
      </c>
      <c r="BK37" s="156" t="n">
        <f t="shared" si="12"/>
        <v>0</v>
      </c>
      <c r="BL37" s="156" t="n">
        <f t="shared" si="12"/>
        <v>0</v>
      </c>
      <c r="BM37" s="156" t="n">
        <f t="shared" si="12"/>
        <v>40</v>
      </c>
      <c r="BN37" s="156" t="n">
        <f t="shared" si="12"/>
        <v>0</v>
      </c>
      <c r="BO37" s="156" t="n">
        <f t="shared" si="12"/>
        <v>150</v>
      </c>
      <c r="BP37" s="156" t="n">
        <f t="shared" si="12"/>
        <v>15</v>
      </c>
      <c r="BQ37" s="110"/>
    </row>
    <row r="38">
      <c r="A38" s="135" t="n">
        <v>149</v>
      </c>
      <c r="B38" s="44" t="s">
        <v>348</v>
      </c>
      <c r="C38" s="44" t="s">
        <v>350</v>
      </c>
      <c r="D38" s="142" t="s">
        <v>330</v>
      </c>
      <c r="E38" s="142"/>
      <c r="F38" s="103" t="n">
        <v>4.11764705882353E-2</v>
      </c>
      <c r="G38" s="87" t="n">
        <v>0.30033333333333334</v>
      </c>
      <c r="H38" s="87" t="n">
        <v>0.25</v>
      </c>
      <c r="I38" s="142" t="n">
        <v>232.07499999999999</v>
      </c>
      <c r="J38" s="142" t="n">
        <v>873.33823333333328</v>
      </c>
      <c r="K38" s="103" t="n">
        <v>3.9390000000000001</v>
      </c>
      <c r="L38" s="103" t="n">
        <v>4.2614040000000006</v>
      </c>
      <c r="M38" s="157" t="n">
        <v>4.9663489546666666</v>
      </c>
      <c r="N38" s="157" t="n">
        <v>3.5145600000000004</v>
      </c>
      <c r="O38" s="103" t="n">
        <v>0.53941199437284759</v>
      </c>
      <c r="P38" s="103" t="n">
        <v>0.46058800562715235</v>
      </c>
      <c r="Q38" s="103" t="n">
        <v>0.86226333333333327</v>
      </c>
      <c r="R38" s="94"/>
      <c r="S38" s="65" t="n">
        <f>VLOOKUP(C38,$B$3:$X$358,MATCH(S$2,$B$2:$X$2,0),0)</f>
        <v>0.9</v>
      </c>
      <c r="T38" s="15" t="n">
        <f>VLOOKUP($C38,$B$3:$X$358,MATCH(T$2,$B$2:$X$2,0),0)*$G38/VLOOKUP($C38,$B$3:$X$358,MATCH($G$2,$B$2:$X$2,0),0)</f>
        <v>5.2922173274596177E-3</v>
      </c>
      <c r="U38" s="157" t="n">
        <f t="shared" si="11"/>
        <v>2.6461086637298092</v>
      </c>
      <c r="V38" s="157" t="n">
        <f t="shared" si="11"/>
        <v>238.14977973568281</v>
      </c>
      <c r="W38" s="132" t="n">
        <f t="shared" si="11"/>
        <v>119.07488986784141</v>
      </c>
      <c r="X38" s="132" t="n">
        <f t="shared" si="11"/>
        <v>0</v>
      </c>
      <c r="Y38" s="66"/>
      <c r="Z38" s="66"/>
      <c r="AA38" s="66"/>
      <c r="AB38" s="66"/>
      <c r="AC38" s="66"/>
      <c r="AD38" s="171"/>
      <c r="AE38" s="171"/>
      <c r="AF38" s="171"/>
      <c r="AG38" s="171"/>
      <c r="AH38" s="171"/>
      <c r="AI38" s="121" t="n">
        <v>8.7991127690872761E-3</v>
      </c>
      <c r="AJ38" s="100" t="n">
        <v>1.655878264398077E-3</v>
      </c>
      <c r="AK38" s="66" t="n">
        <v>1.3525658314276009E-2</v>
      </c>
      <c r="AL38" s="121" t="n">
        <v>0.42</v>
      </c>
      <c r="AM38" s="173" t="n">
        <v>1.9E-2</v>
      </c>
      <c r="AN38" s="153"/>
      <c r="AO38" s="153"/>
      <c r="AP38" s="153" t="n">
        <v>0.43049999999999999</v>
      </c>
      <c r="AQ38" s="121" t="n">
        <v>0.11534666666666667</v>
      </c>
      <c r="AR38" s="94"/>
      <c r="AS38" s="121" t="n">
        <v>0.72602958765444336</v>
      </c>
      <c r="AT38" s="59" t="n">
        <f t="shared" si="0"/>
        <v>0.17824592074592077</v>
      </c>
      <c r="AU38" s="87" t="n">
        <v>0.4400179319117839</v>
      </c>
      <c r="AV38" s="87" t="n">
        <v>0.28601165574265952</v>
      </c>
      <c r="AW38" s="5"/>
      <c r="AX38" s="107" t="n">
        <f t="shared" si="10"/>
        <v>1.3497519074400851E-2</v>
      </c>
      <c r="AY38" s="119" t="n">
        <v>14.058240000000001</v>
      </c>
      <c r="AZ38" t="n">
        <v>0.7</v>
      </c>
      <c r="BA38" t="n">
        <v>0</v>
      </c>
      <c r="BB38" t="n">
        <v>0</v>
      </c>
      <c r="BC38" t="n">
        <v>0</v>
      </c>
      <c r="BD38" t="n">
        <v>0</v>
      </c>
      <c r="BE38" t="n">
        <v>0.3</v>
      </c>
      <c r="BF38" t="n">
        <v>6</v>
      </c>
      <c r="BG38" t="n">
        <v>4</v>
      </c>
      <c r="BH38" t="n">
        <v>350</v>
      </c>
      <c r="BI38" t="n">
        <v>14.1</v>
      </c>
      <c r="BJ38" t="n">
        <v>0</v>
      </c>
      <c r="BK38" t="n">
        <v>0</v>
      </c>
      <c r="BL38" t="n">
        <v>0</v>
      </c>
      <c r="BM38" t="n">
        <v>40</v>
      </c>
      <c r="BN38" t="n">
        <v>0</v>
      </c>
      <c r="BO38" t="n">
        <v>150</v>
      </c>
      <c r="BP38" t="n">
        <v>15</v>
      </c>
      <c r="BQ38" s="110"/>
    </row>
    <row r="39">
      <c r="A39" s="135"/>
      <c r="B39" s="44" t="s">
        <v>347</v>
      </c>
      <c r="C39" s="44" t="s">
        <v>350</v>
      </c>
      <c r="D39" s="142"/>
      <c r="E39" s="142"/>
      <c r="F39" s="103" t="n">
        <v>4.11764705882353E-2</v>
      </c>
      <c r="G39" s="87" t="n">
        <v>1</v>
      </c>
      <c r="H39" s="87" t="n">
        <v>1</v>
      </c>
      <c r="I39" s="131" t="n">
        <v>232.07499999999999</v>
      </c>
      <c r="J39" s="131" t="n">
        <v>873.33823333333328</v>
      </c>
      <c r="K39" s="131" t="n">
        <v>3.9390000000000001</v>
      </c>
      <c r="L39" s="131" t="n">
        <v>4.2614040000000006</v>
      </c>
      <c r="M39" s="131" t="n">
        <v>16.536123045504993</v>
      </c>
      <c r="N39" s="131" t="n">
        <v>14.058240000000001</v>
      </c>
      <c r="O39" s="131" t="n">
        <v>0.53941199437284759</v>
      </c>
      <c r="P39" s="131" t="n">
        <v>0.46058800562715235</v>
      </c>
      <c r="Q39" s="131" t="n">
        <v>0.86226333333333327</v>
      </c>
      <c r="R39" s="94"/>
      <c r="S39" s="65" t="n">
        <f>VLOOKUP(C39,$B$3:$X$358,MATCH(S$2,$B$2:$X$2,0),0)</f>
        <v>0.9</v>
      </c>
      <c r="T39" s="15" t="n">
        <f>VLOOKUP($C39,$B$3:$X$358,MATCH(T$2,$B$2:$X$2,0),0)*$G39/VLOOKUP($C39,$B$3:$X$358,MATCH($G$2,$B$2:$X$2,0),0)</f>
        <v>1.7621145374449337E-2</v>
      </c>
      <c r="U39" s="157" t="n">
        <f t="shared" si="11"/>
        <v>8.8105726872246688</v>
      </c>
      <c r="V39" s="157" t="n">
        <f t="shared" si="11"/>
        <v>792.95154185022022</v>
      </c>
      <c r="W39" s="132" t="n">
        <f t="shared" si="11"/>
        <v>396.47577092511011</v>
      </c>
      <c r="X39" s="132" t="n">
        <f t="shared" si="11"/>
        <v>0</v>
      </c>
      <c r="Y39" s="66"/>
      <c r="Z39" s="66"/>
      <c r="AA39" s="66"/>
      <c r="AB39" s="66"/>
      <c r="AC39" s="66"/>
      <c r="AD39" s="171"/>
      <c r="AE39" s="171"/>
      <c r="AF39" s="171"/>
      <c r="AG39" s="171"/>
      <c r="AH39" s="171"/>
      <c r="AI39" s="121" t="n">
        <f t="shared" ref="AI39:AI79" si="13">T39/G39</f>
        <v>1.7621145374449337E-2</v>
      </c>
      <c r="AJ39" s="100"/>
      <c r="AK39" s="57"/>
      <c r="AL39" s="131"/>
      <c r="AM39" s="173" t="n">
        <v>1.9E-2</v>
      </c>
      <c r="AN39" s="131" t="n">
        <v>0</v>
      </c>
      <c r="AO39" s="131" t="n">
        <v>0</v>
      </c>
      <c r="AP39" s="153" t="n">
        <v>0.43049999999999999</v>
      </c>
      <c r="AQ39" s="121" t="n">
        <v>0.11534666666666667</v>
      </c>
      <c r="AR39" s="94"/>
      <c r="AS39" s="121" t="n">
        <v>0.72602958765444336</v>
      </c>
      <c r="AT39" s="59" t="n">
        <f t="shared" si="0"/>
        <v>0.17824592074592077</v>
      </c>
      <c r="AU39" s="87" t="n">
        <v>0.4400179319117839</v>
      </c>
      <c r="AV39" s="87" t="n">
        <v>0.28601165574265952</v>
      </c>
      <c r="AW39" s="5"/>
      <c r="AX39" s="107" t="n">
        <f t="shared" si="10"/>
        <v>1.8256229276481489E-2</v>
      </c>
      <c r="AY39" s="119" t="n">
        <v>14.058240000000001</v>
      </c>
      <c r="AZ39" t="n">
        <v>0.7</v>
      </c>
      <c r="BQ39" s="110"/>
    </row>
    <row r="40">
      <c r="A40" s="135" t="n">
        <v>407</v>
      </c>
      <c r="B40" s="44" t="s">
        <v>346</v>
      </c>
      <c r="C40" s="44"/>
      <c r="D40" s="142" t="s">
        <v>306</v>
      </c>
      <c r="E40" s="142"/>
      <c r="F40" s="103" t="n">
        <v>0.15</v>
      </c>
      <c r="G40" s="89" t="n">
        <v>0.129</v>
      </c>
      <c r="H40" s="89" t="n">
        <v>0.20499999999999999</v>
      </c>
      <c r="I40" s="142" t="n">
        <v>212</v>
      </c>
      <c r="J40" s="142" t="n">
        <v>1634.2637500000001</v>
      </c>
      <c r="K40" s="166" t="n">
        <v>1.891</v>
      </c>
      <c r="L40" s="166" t="n">
        <v>2.2668912000000003</v>
      </c>
      <c r="M40" s="166" t="n">
        <v>2.0225619199999998</v>
      </c>
      <c r="N40" s="166" t="n">
        <v>3.6024240000000001</v>
      </c>
      <c r="O40" s="94" t="n">
        <v>1</v>
      </c>
      <c r="P40" s="94" t="n">
        <v>0</v>
      </c>
      <c r="Q40" s="94" t="n">
        <v>0</v>
      </c>
      <c r="R40" s="94"/>
      <c r="S40" s="22" t="n">
        <f>VLOOKUP($B40,Conversores_Dieta!$B$4:$J$164,Coefs!S$292,0)</f>
        <v>0.65</v>
      </c>
      <c r="T40" s="130" t="n">
        <f>VLOOKUP($B40,Conversores_Dieta!$B$4:$J$164,Coefs!T$292,0)</f>
        <v>3.2000000000000002E-3</v>
      </c>
      <c r="U40" s="166" t="n">
        <f>VLOOKUP($B40,Conversores_Dieta!$B$4:$J$164,Coefs!U$292,0)</f>
        <v>4</v>
      </c>
      <c r="V40" s="166" t="n">
        <f>VLOOKUP($B40,Conversores_Dieta!$B$4:$J$164,Coefs!V$292,0)</f>
        <v>75</v>
      </c>
      <c r="W40" s="21" t="n">
        <f>VLOOKUP($B40,Conversores_Dieta!$B$4:$J$164,Coefs!W$292,0)</f>
        <v>600</v>
      </c>
      <c r="X40" s="21" t="n">
        <f>VLOOKUP($B40,Conversores_Dieta!$B$4:$J$164,Coefs!X$292,0)</f>
        <v>1230</v>
      </c>
      <c r="Y40" s="66"/>
      <c r="Z40" s="66"/>
      <c r="AA40" s="66"/>
      <c r="AB40" s="66"/>
      <c r="AC40" s="66"/>
      <c r="AD40" s="171"/>
      <c r="AE40" s="171"/>
      <c r="AF40" s="171"/>
      <c r="AG40" s="171"/>
      <c r="AH40" s="171"/>
      <c r="AI40" s="153" t="n">
        <f t="shared" si="13"/>
        <v>2.4806201550387597E-2</v>
      </c>
      <c r="AJ40" s="71"/>
      <c r="AK40" s="67"/>
      <c r="AL40" s="153" t="n">
        <v>0.41</v>
      </c>
      <c r="AM40" s="153" t="n">
        <v>2.9000000000000001E-2</v>
      </c>
      <c r="AN40" s="153"/>
      <c r="AO40" s="153"/>
      <c r="AP40" s="153" t="n">
        <v>0.34100000000000003</v>
      </c>
      <c r="AQ40" s="121" t="n">
        <v>0.11534666666666667</v>
      </c>
      <c r="AR40" s="94"/>
      <c r="AS40" s="121" t="n">
        <v>0.72602958765444336</v>
      </c>
      <c r="AT40" s="59" t="n">
        <f t="shared" si="0"/>
        <v>0.17824592074592077</v>
      </c>
      <c r="AU40" s="87" t="n">
        <v>0.4400179319117839</v>
      </c>
      <c r="AV40" s="87" t="n">
        <v>0.28601165574265952</v>
      </c>
      <c r="AW40" s="5"/>
      <c r="AX40" s="107" t="n">
        <f t="shared" si="10"/>
        <v>2.4806201550387597E-2</v>
      </c>
      <c r="AY40" s="119" t="n">
        <v>17.572800000000001</v>
      </c>
      <c r="AZ40" t="n">
        <v>0.7</v>
      </c>
      <c r="BA40" t="n">
        <v>28</v>
      </c>
      <c r="BB40" t="n">
        <v>0</v>
      </c>
      <c r="BC40" t="n">
        <v>0</v>
      </c>
      <c r="BD40" t="n">
        <v>2</v>
      </c>
      <c r="BE40" t="n">
        <v>1</v>
      </c>
      <c r="BF40" t="n">
        <v>9</v>
      </c>
      <c r="BG40" t="n">
        <v>2</v>
      </c>
      <c r="BH40" t="n">
        <v>110</v>
      </c>
      <c r="BI40" t="n">
        <v>7.27</v>
      </c>
      <c r="BJ40" t="n">
        <v>0</v>
      </c>
      <c r="BK40" t="n">
        <v>0</v>
      </c>
      <c r="BL40" t="n">
        <v>960</v>
      </c>
      <c r="BM40" t="n">
        <v>180</v>
      </c>
      <c r="BN40" t="n">
        <v>7.3</v>
      </c>
      <c r="BO40" t="n">
        <v>150</v>
      </c>
      <c r="BP40" t="n">
        <v>0.3</v>
      </c>
      <c r="BQ40" s="110"/>
    </row>
    <row r="41">
      <c r="A41" s="135" t="n">
        <v>403</v>
      </c>
      <c r="B41" s="44" t="s">
        <v>345</v>
      </c>
      <c r="C41" s="44"/>
      <c r="D41" s="142" t="s">
        <v>306</v>
      </c>
      <c r="E41" s="142"/>
      <c r="F41" s="103" t="n">
        <v>0.15</v>
      </c>
      <c r="G41" s="89" t="n">
        <v>6.1000000000000054E-2</v>
      </c>
      <c r="H41" s="89" t="n">
        <v>0.19850000000000001</v>
      </c>
      <c r="I41" s="142" t="n">
        <v>212</v>
      </c>
      <c r="J41" s="142" t="n">
        <v>1634.2637500000001</v>
      </c>
      <c r="K41" s="166"/>
      <c r="L41" s="166"/>
      <c r="M41" s="166" t="n">
        <v>0.995</v>
      </c>
      <c r="N41" s="166" t="n">
        <v>3.4882008000000004</v>
      </c>
      <c r="O41" s="94" t="n">
        <v>0.61960975308195021</v>
      </c>
      <c r="P41" s="94" t="n">
        <v>0.38039024691804973</v>
      </c>
      <c r="Q41" s="94" t="n">
        <v>0.61391907571819471</v>
      </c>
      <c r="R41" s="94"/>
      <c r="S41" s="22" t="n">
        <f>VLOOKUP($B41,Conversores_Dieta!$B$4:$J$164,Coefs!S$292,0)</f>
        <v>1</v>
      </c>
      <c r="T41" s="130" t="n">
        <f>VLOOKUP($B41,Conversores_Dieta!$B$4:$J$164,Coefs!T$292,0)</f>
        <v>2.2399999999999998E-3</v>
      </c>
      <c r="U41" s="166" t="n">
        <f>VLOOKUP($B41,Conversores_Dieta!$B$4:$J$164,Coefs!U$292,0)</f>
        <v>2</v>
      </c>
      <c r="V41" s="166" t="n">
        <f>VLOOKUP($B41,Conversores_Dieta!$B$4:$J$164,Coefs!V$292,0)</f>
        <v>35</v>
      </c>
      <c r="W41" s="21" t="n">
        <f>VLOOKUP($B41,Conversores_Dieta!$B$4:$J$164,Coefs!W$292,0)</f>
        <v>1140</v>
      </c>
      <c r="X41" s="21" t="n">
        <f>VLOOKUP($B41,Conversores_Dieta!$B$4:$J$164,Coefs!X$292,0)</f>
        <v>0</v>
      </c>
      <c r="Y41" s="66"/>
      <c r="Z41" s="66"/>
      <c r="AA41" s="66"/>
      <c r="AB41" s="66"/>
      <c r="AC41" s="66"/>
      <c r="AD41" s="171"/>
      <c r="AE41" s="171"/>
      <c r="AF41" s="171"/>
      <c r="AG41" s="171"/>
      <c r="AH41" s="171"/>
      <c r="AI41" s="153" t="n">
        <f t="shared" si="13"/>
        <v>3.6721311475409801E-2</v>
      </c>
      <c r="AJ41" s="71"/>
      <c r="AK41" s="67"/>
      <c r="AL41" s="153" t="n">
        <v>0.41</v>
      </c>
      <c r="AM41" s="153" t="n">
        <v>2.4E-2</v>
      </c>
      <c r="AN41" s="153"/>
      <c r="AO41" s="153"/>
      <c r="AP41" s="153" t="n">
        <v>0.29399999999999998</v>
      </c>
      <c r="AQ41" s="121" t="n">
        <v>0.11534666666666667</v>
      </c>
      <c r="AR41" s="94"/>
      <c r="AS41" s="121" t="n">
        <v>0.72602958765444336</v>
      </c>
      <c r="AT41" s="59" t="n">
        <f t="shared" si="0"/>
        <v>0.17824592074592077</v>
      </c>
      <c r="AU41" s="87" t="n">
        <v>0.4400179319117839</v>
      </c>
      <c r="AV41" s="87" t="n">
        <v>0.28601165574265952</v>
      </c>
      <c r="AW41" s="5"/>
      <c r="AX41" s="107" t="n">
        <f t="shared" si="10"/>
        <v>3.1882248662157248E-2</v>
      </c>
      <c r="AY41" s="119" t="n">
        <v>17.572800000000001</v>
      </c>
      <c r="AZ41" t="n">
        <v>0.7</v>
      </c>
      <c r="BA41" t="n">
        <v>18</v>
      </c>
      <c r="BB41" t="n">
        <v>0</v>
      </c>
      <c r="BC41" t="n">
        <v>0</v>
      </c>
      <c r="BD41" t="n">
        <v>0</v>
      </c>
      <c r="BE41" t="n">
        <v>0.1</v>
      </c>
      <c r="BF41" t="n">
        <v>2.7</v>
      </c>
      <c r="BG41" t="n">
        <v>2.6</v>
      </c>
      <c r="BH41" t="n">
        <v>42</v>
      </c>
      <c r="BI41" t="n">
        <v>12.7</v>
      </c>
      <c r="BJ41" t="n">
        <v>0</v>
      </c>
      <c r="BK41" t="n">
        <v>0</v>
      </c>
      <c r="BL41" t="n">
        <v>70</v>
      </c>
      <c r="BM41" t="n">
        <v>69</v>
      </c>
      <c r="BN41" t="n">
        <v>4.5</v>
      </c>
      <c r="BO41" t="n">
        <v>450</v>
      </c>
      <c r="BP41" t="n">
        <v>0</v>
      </c>
      <c r="BQ41" s="110"/>
    </row>
    <row r="42">
      <c r="A42" s="135" t="n">
        <v>406</v>
      </c>
      <c r="B42" s="44" t="s">
        <v>344</v>
      </c>
      <c r="C42" s="44"/>
      <c r="D42" s="142" t="s">
        <v>306</v>
      </c>
      <c r="E42" s="142"/>
      <c r="F42" s="103" t="n">
        <v>0.15</v>
      </c>
      <c r="G42" s="89" t="n">
        <v>0.29700000000000004</v>
      </c>
      <c r="H42" s="89" t="n">
        <v>0.30000000000000004</v>
      </c>
      <c r="I42" s="142" t="n">
        <v>212</v>
      </c>
      <c r="J42" s="142" t="n">
        <v>1634.2637500000001</v>
      </c>
      <c r="K42" s="166" t="n">
        <v>5.2460000000000004</v>
      </c>
      <c r="L42" s="166" t="n">
        <v>5.2191216000000011</v>
      </c>
      <c r="M42" s="166" t="n">
        <v>5.2395491840000004</v>
      </c>
      <c r="N42" s="166" t="n">
        <v>5.271840000000001</v>
      </c>
      <c r="O42" s="94" t="n">
        <v>1</v>
      </c>
      <c r="P42" s="172" t="n">
        <f>Q42/(1+Q42)</f>
        <v>9.0909090909090912E-2</v>
      </c>
      <c r="Q42" s="172" t="n">
        <v>0.1</v>
      </c>
      <c r="R42" s="94"/>
      <c r="S42" s="22" t="n">
        <f>VLOOKUP($B42,Conversores_Dieta!$B$4:$J$164,Coefs!S$292,0)</f>
        <v>0.76</v>
      </c>
      <c r="T42" s="130" t="n">
        <f>VLOOKUP($B42,Conversores_Dieta!$B$4:$J$164,Coefs!T$292,0)</f>
        <v>8.4799999999999997E-3</v>
      </c>
      <c r="U42" s="166" t="n">
        <f>VLOOKUP($B42,Conversores_Dieta!$B$4:$J$164,Coefs!U$292,0)</f>
        <v>3</v>
      </c>
      <c r="V42" s="166" t="n">
        <f>VLOOKUP($B42,Conversores_Dieta!$B$4:$J$164,Coefs!V$292,0)</f>
        <v>230</v>
      </c>
      <c r="W42" s="21" t="n">
        <f>VLOOKUP($B42,Conversores_Dieta!$B$4:$J$164,Coefs!W$292,0)</f>
        <v>114</v>
      </c>
      <c r="X42" s="21" t="n">
        <f>VLOOKUP($B42,Conversores_Dieta!$B$4:$J$164,Coefs!X$292,0)</f>
        <v>0</v>
      </c>
      <c r="Y42" s="66"/>
      <c r="Z42" s="66"/>
      <c r="AA42" s="66"/>
      <c r="AB42" s="66"/>
      <c r="AC42" s="66"/>
      <c r="AD42" s="171"/>
      <c r="AE42" s="171"/>
      <c r="AF42" s="171"/>
      <c r="AG42" s="171"/>
      <c r="AH42" s="171"/>
      <c r="AI42" s="153" t="n">
        <f t="shared" si="13"/>
        <v>2.8552188552188548E-2</v>
      </c>
      <c r="AJ42" s="71"/>
      <c r="AK42" s="67"/>
      <c r="AL42" s="153" t="n">
        <v>0.41</v>
      </c>
      <c r="AM42" s="121" t="n">
        <v>2.6125000000000002E-2</v>
      </c>
      <c r="AN42" s="153"/>
      <c r="AO42" s="153"/>
      <c r="AP42" s="153" t="n">
        <v>0.35967000000000005</v>
      </c>
      <c r="AQ42" s="121" t="n">
        <v>0.11534666666666667</v>
      </c>
      <c r="AR42" s="94"/>
      <c r="AS42" s="121" t="n">
        <v>0.72602958765444336</v>
      </c>
      <c r="AT42" s="59" t="n">
        <f t="shared" si="0"/>
        <v>0.17824592074592077</v>
      </c>
      <c r="AU42" s="87" t="n">
        <v>0.4400179319117839</v>
      </c>
      <c r="AV42" s="87" t="n">
        <v>0.28601165574265952</v>
      </c>
      <c r="AW42" s="5"/>
      <c r="AX42" s="107" t="n">
        <f t="shared" si="10"/>
        <v>3.0927188552188546E-2</v>
      </c>
      <c r="AY42" s="119" t="n">
        <v>17.572800000000001</v>
      </c>
      <c r="AZ42" t="n">
        <v>0.7</v>
      </c>
      <c r="BA42" t="n">
        <v>12</v>
      </c>
      <c r="BB42" t="n">
        <v>0.5</v>
      </c>
      <c r="BC42" t="n">
        <v>0.3</v>
      </c>
      <c r="BD42" t="n">
        <v>1</v>
      </c>
      <c r="BE42" t="n">
        <v>1</v>
      </c>
      <c r="BF42" t="n">
        <v>12</v>
      </c>
      <c r="BG42" t="n">
        <v>11</v>
      </c>
      <c r="BH42" t="n">
        <v>241</v>
      </c>
      <c r="BI42" t="n">
        <v>7.27</v>
      </c>
      <c r="BJ42" t="n">
        <v>0</v>
      </c>
      <c r="BK42" t="n">
        <v>0</v>
      </c>
      <c r="BL42" t="n">
        <v>48</v>
      </c>
      <c r="BM42" t="n">
        <v>140</v>
      </c>
      <c r="BN42" t="n">
        <v>1</v>
      </c>
      <c r="BO42" t="n">
        <v>75</v>
      </c>
      <c r="BP42" t="n">
        <v>0</v>
      </c>
      <c r="BQ42" s="110"/>
    </row>
    <row r="43">
      <c r="A43" s="135"/>
      <c r="B43" s="44" t="s">
        <v>343</v>
      </c>
      <c r="C43" s="44"/>
      <c r="D43" s="142" t="s">
        <v>306</v>
      </c>
      <c r="E43" s="142"/>
      <c r="F43" s="103" t="n">
        <v>0.15</v>
      </c>
      <c r="G43" s="89" t="n">
        <v>4.6000000000000041E-2</v>
      </c>
      <c r="H43" s="89" t="n">
        <v>9.8999999999999991E-2</v>
      </c>
      <c r="I43" s="142" t="n">
        <v>212</v>
      </c>
      <c r="J43" s="142" t="n">
        <v>1634.2637500000001</v>
      </c>
      <c r="K43" s="166" t="n">
        <v>0.59799999999999998</v>
      </c>
      <c r="L43" s="166" t="n">
        <v>0.80834880000000076</v>
      </c>
      <c r="M43" s="166" t="n">
        <v>0.67162208000000023</v>
      </c>
      <c r="N43" s="166" t="n">
        <v>1.7397072</v>
      </c>
      <c r="O43" s="94" t="n">
        <v>0.86124401913875603</v>
      </c>
      <c r="P43" s="94" t="n">
        <v>0.13875598086124402</v>
      </c>
      <c r="Q43" s="94" t="n">
        <v>0.16111111111111109</v>
      </c>
      <c r="R43" s="94"/>
      <c r="S43" s="22" t="n">
        <f>VLOOKUP($B43,Conversores_Dieta!$B$4:$J$164,Coefs!S$292,0)</f>
        <v>0.65</v>
      </c>
      <c r="T43" s="130" t="n">
        <f>VLOOKUP($B43,Conversores_Dieta!$B$4:$J$164,Coefs!T$292,0)</f>
        <v>2.0799999999999998E-3</v>
      </c>
      <c r="U43" s="166" t="n">
        <f>VLOOKUP($B43,Conversores_Dieta!$B$4:$J$164,Coefs!U$292,0)</f>
        <v>2</v>
      </c>
      <c r="V43" s="166" t="n">
        <f>VLOOKUP($B43,Conversores_Dieta!$B$4:$J$164,Coefs!V$292,0)</f>
        <v>13</v>
      </c>
      <c r="W43" s="21" t="n">
        <f>VLOOKUP($B43,Conversores_Dieta!$B$4:$J$164,Coefs!W$292,0)</f>
        <v>550</v>
      </c>
      <c r="X43" s="21" t="n">
        <f>VLOOKUP($B43,Conversores_Dieta!$B$4:$J$164,Coefs!X$292,0)</f>
        <v>950</v>
      </c>
      <c r="Y43" s="66"/>
      <c r="Z43" s="66"/>
      <c r="AA43" s="66"/>
      <c r="AB43" s="66"/>
      <c r="AC43" s="66"/>
      <c r="AD43" s="171"/>
      <c r="AE43" s="171"/>
      <c r="AF43" s="171"/>
      <c r="AG43" s="171"/>
      <c r="AH43" s="171"/>
      <c r="AI43" s="153" t="n">
        <f t="shared" si="13"/>
        <v>4.5217391304347779E-2</v>
      </c>
      <c r="AJ43" s="71"/>
      <c r="AK43" s="67"/>
      <c r="AL43" s="121" t="n">
        <v>0.41000000000000009</v>
      </c>
      <c r="AM43" s="121" t="n">
        <v>2.6125000000000002E-2</v>
      </c>
      <c r="AN43" s="153"/>
      <c r="AO43" s="153"/>
      <c r="AP43" s="153" t="n">
        <v>0.35967000000000005</v>
      </c>
      <c r="AQ43" s="121" t="n">
        <v>0.11534666666666667</v>
      </c>
      <c r="AR43" s="94"/>
      <c r="AS43" s="121" t="n">
        <v>0.72602958765444336</v>
      </c>
      <c r="AT43" s="59" t="n">
        <f t="shared" si="0"/>
        <v>0.17824592074592077</v>
      </c>
      <c r="AU43" s="87" t="n">
        <v>0.4400179319117839</v>
      </c>
      <c r="AV43" s="87" t="n">
        <v>0.28601165574265952</v>
      </c>
      <c r="AW43" s="5"/>
      <c r="AX43" s="107" t="n">
        <f t="shared" si="10"/>
        <v>4.2568207821926322E-2</v>
      </c>
      <c r="AY43" s="119" t="n">
        <v>17.572800000000001</v>
      </c>
      <c r="AZ43" t="n">
        <v>0.7</v>
      </c>
      <c r="BA43" t="n">
        <v>20</v>
      </c>
      <c r="BB43" t="n">
        <v>0</v>
      </c>
      <c r="BC43" t="n">
        <v>0</v>
      </c>
      <c r="BD43" t="n">
        <v>0</v>
      </c>
      <c r="BE43" t="n">
        <v>0.1</v>
      </c>
      <c r="BF43" t="n">
        <v>5</v>
      </c>
      <c r="BG43" t="n">
        <v>1</v>
      </c>
      <c r="BH43" t="n">
        <v>140</v>
      </c>
      <c r="BI43" t="n">
        <v>7.27</v>
      </c>
      <c r="BJ43" t="n">
        <v>0</v>
      </c>
      <c r="BK43" t="n">
        <v>0</v>
      </c>
      <c r="BL43" t="n">
        <v>180</v>
      </c>
      <c r="BM43" t="n">
        <v>80</v>
      </c>
      <c r="BN43" t="n">
        <v>2</v>
      </c>
      <c r="BO43" t="n">
        <v>55</v>
      </c>
      <c r="BP43" t="n">
        <v>2</v>
      </c>
      <c r="BQ43" s="110"/>
    </row>
    <row r="44">
      <c r="A44" s="135" t="n">
        <v>367</v>
      </c>
      <c r="B44" s="44" t="s">
        <v>342</v>
      </c>
      <c r="C44" s="44"/>
      <c r="D44" s="142" t="s">
        <v>306</v>
      </c>
      <c r="E44" s="142"/>
      <c r="F44" s="103" t="n">
        <v>0.15</v>
      </c>
      <c r="G44" s="89" t="n">
        <v>5.3000000000000047E-2</v>
      </c>
      <c r="H44" s="89" t="n">
        <v>0.30000000000000004</v>
      </c>
      <c r="I44" s="142" t="n">
        <v>212</v>
      </c>
      <c r="J44" s="142" t="n">
        <v>1634.2637500000001</v>
      </c>
      <c r="K44" s="166" t="n">
        <v>0.80800000000000016</v>
      </c>
      <c r="L44" s="166" t="n">
        <v>0.93135840000000092</v>
      </c>
      <c r="M44" s="166" t="n">
        <v>0.85734336000000044</v>
      </c>
      <c r="N44" s="166" t="n">
        <v>5.271840000000001</v>
      </c>
      <c r="O44" s="94" t="n">
        <v>0.21786492374727673</v>
      </c>
      <c r="P44" s="94" t="n">
        <v>0.78213507625272327</v>
      </c>
      <c r="Q44" s="94" t="n">
        <v>3.59</v>
      </c>
      <c r="R44" s="94"/>
      <c r="S44" s="22" t="n">
        <f>VLOOKUP($B44,Conversores_Dieta!$B$4:$J$164,Coefs!S$292,0)</f>
        <v>0.6</v>
      </c>
      <c r="T44" s="130" t="n">
        <f>VLOOKUP($B44,Conversores_Dieta!$B$4:$J$164,Coefs!T$292,0)</f>
        <v>4.3200000000000001E-3</v>
      </c>
      <c r="U44" s="166" t="n">
        <f>VLOOKUP($B44,Conversores_Dieta!$B$4:$J$164,Coefs!U$292,0)</f>
        <v>0</v>
      </c>
      <c r="V44" s="166" t="n">
        <f>VLOOKUP($B44,Conversores_Dieta!$B$4:$J$164,Coefs!V$292,0)</f>
        <v>11</v>
      </c>
      <c r="W44" s="21" t="n">
        <f>VLOOKUP($B44,Conversores_Dieta!$B$4:$J$164,Coefs!W$292,0)</f>
        <v>220</v>
      </c>
      <c r="X44" s="21" t="n">
        <f>VLOOKUP($B44,Conversores_Dieta!$B$4:$J$164,Coefs!X$292,0)</f>
        <v>530</v>
      </c>
      <c r="Y44" s="66"/>
      <c r="Z44" s="66"/>
      <c r="AA44" s="66"/>
      <c r="AB44" s="66"/>
      <c r="AC44" s="66"/>
      <c r="AD44" s="171"/>
      <c r="AE44" s="171"/>
      <c r="AF44" s="171"/>
      <c r="AG44" s="171"/>
      <c r="AH44" s="171"/>
      <c r="AI44" s="153" t="n">
        <f t="shared" si="13"/>
        <v>8.150943396226408E-2</v>
      </c>
      <c r="AJ44" s="71"/>
      <c r="AK44" s="67"/>
      <c r="AL44" s="153" t="n">
        <v>0.41</v>
      </c>
      <c r="AM44" s="121" t="n">
        <v>2.6125000000000002E-2</v>
      </c>
      <c r="AN44" s="153"/>
      <c r="AO44" s="153"/>
      <c r="AP44" s="153" t="n">
        <v>0.35967000000000005</v>
      </c>
      <c r="AQ44" s="121" t="n">
        <v>0.11534666666666667</v>
      </c>
      <c r="AR44" s="94"/>
      <c r="AS44" s="121" t="n">
        <v>0.72602958765444336</v>
      </c>
      <c r="AT44" s="59" t="n">
        <f t="shared" si="0"/>
        <v>0.17824592074592077</v>
      </c>
      <c r="AU44" s="87" t="n">
        <v>0.4400179319117839</v>
      </c>
      <c r="AV44" s="87" t="n">
        <v>0.28601165574265952</v>
      </c>
      <c r="AW44" s="5"/>
      <c r="AX44" s="107" t="n">
        <f t="shared" si="10"/>
        <v>3.819132548197475E-2</v>
      </c>
      <c r="AY44" s="119" t="n">
        <v>17.572800000000001</v>
      </c>
      <c r="AZ44" t="n">
        <v>0.7</v>
      </c>
      <c r="BA44" t="n">
        <v>17</v>
      </c>
      <c r="BB44" t="n">
        <v>1</v>
      </c>
      <c r="BC44" t="n">
        <v>1</v>
      </c>
      <c r="BD44" t="n">
        <v>2</v>
      </c>
      <c r="BE44" t="n">
        <v>0</v>
      </c>
      <c r="BF44" t="n">
        <v>13</v>
      </c>
      <c r="BG44" t="n">
        <v>5.0999999999999996</v>
      </c>
      <c r="BH44" t="n">
        <v>125</v>
      </c>
      <c r="BI44" t="n">
        <v>7.27</v>
      </c>
      <c r="BJ44" t="n">
        <v>0</v>
      </c>
      <c r="BK44" t="n">
        <v>0</v>
      </c>
      <c r="BL44" t="n">
        <v>1130</v>
      </c>
      <c r="BM44" t="n">
        <v>216</v>
      </c>
      <c r="BN44" t="n">
        <v>20</v>
      </c>
      <c r="BO44" t="n">
        <v>150</v>
      </c>
      <c r="BP44" t="n">
        <v>0.5</v>
      </c>
      <c r="BQ44" s="110"/>
    </row>
    <row r="45">
      <c r="A45" s="135"/>
      <c r="B45" s="44" t="s">
        <v>341</v>
      </c>
      <c r="C45" s="44"/>
      <c r="D45" s="142" t="s">
        <v>306</v>
      </c>
      <c r="E45" s="142"/>
      <c r="F45" s="103" t="n">
        <v>0.15</v>
      </c>
      <c r="G45" s="89" t="n">
        <v>0.10799999999999998</v>
      </c>
      <c r="H45" s="89" t="n">
        <v>0.121</v>
      </c>
      <c r="I45" s="142" t="n">
        <v>212</v>
      </c>
      <c r="J45" s="142" t="n">
        <v>1634.2637500000001</v>
      </c>
      <c r="K45" s="166" t="n">
        <v>1.3870000000000002</v>
      </c>
      <c r="L45" s="166" t="n">
        <v>1.8978623999999997</v>
      </c>
      <c r="M45" s="166" t="n">
        <v>1.4789552320000001</v>
      </c>
      <c r="N45" s="166" t="n">
        <v>2.1263087999999999</v>
      </c>
      <c r="O45" s="94" t="n">
        <v>0.51282051282051277</v>
      </c>
      <c r="P45" s="94" t="n">
        <v>0.48717948717948717</v>
      </c>
      <c r="Q45" s="94" t="n">
        <v>0.95</v>
      </c>
      <c r="R45" s="94"/>
      <c r="S45" s="22" t="n">
        <f>VLOOKUP($B45,Conversores_Dieta!$B$4:$J$164,Coefs!S$292,0)</f>
        <v>0.82</v>
      </c>
      <c r="T45" s="130" t="n">
        <f>VLOOKUP($B45,Conversores_Dieta!$B$4:$J$164,Coefs!T$292,0)</f>
        <v>2.0799999999999998E-3</v>
      </c>
      <c r="U45" s="166" t="n">
        <f>VLOOKUP($B45,Conversores_Dieta!$B$4:$J$164,Coefs!U$292,0)</f>
        <v>0</v>
      </c>
      <c r="V45" s="166" t="n">
        <f>VLOOKUP($B45,Conversores_Dieta!$B$4:$J$164,Coefs!V$292,0)</f>
        <v>64</v>
      </c>
      <c r="W45" s="21" t="n">
        <f>VLOOKUP($B45,Conversores_Dieta!$B$4:$J$164,Coefs!W$292,0)</f>
        <v>230</v>
      </c>
      <c r="X45" s="21" t="n">
        <f>VLOOKUP($B45,Conversores_Dieta!$B$4:$J$164,Coefs!X$292,0)</f>
        <v>0</v>
      </c>
      <c r="Y45" s="66"/>
      <c r="Z45" s="66"/>
      <c r="AA45" s="66"/>
      <c r="AB45" s="66"/>
      <c r="AC45" s="66"/>
      <c r="AD45" s="171"/>
      <c r="AE45" s="171"/>
      <c r="AF45" s="171"/>
      <c r="AG45" s="171"/>
      <c r="AH45" s="171"/>
      <c r="AI45" s="153" t="n">
        <f t="shared" si="13"/>
        <v>1.9259259259259261E-2</v>
      </c>
      <c r="AJ45" s="71"/>
      <c r="AK45" s="67"/>
      <c r="AL45" s="121" t="n">
        <v>0.41000000000000009</v>
      </c>
      <c r="AM45" s="153" t="n">
        <v>2.9000000000000001E-2</v>
      </c>
      <c r="AN45" s="153"/>
      <c r="AO45" s="153"/>
      <c r="AP45" s="153" t="n">
        <v>0.28000000000000003</v>
      </c>
      <c r="AQ45" s="121" t="n">
        <v>0.11534666666666667</v>
      </c>
      <c r="AR45" s="94"/>
      <c r="AS45" s="121" t="n">
        <v>0.72602958765444336</v>
      </c>
      <c r="AT45" s="59" t="n">
        <f t="shared" si="0"/>
        <v>0.17824592074592077</v>
      </c>
      <c r="AU45" s="87" t="n">
        <v>0.4400179319117839</v>
      </c>
      <c r="AV45" s="87" t="n">
        <v>0.28601165574265952</v>
      </c>
      <c r="AW45" s="5"/>
      <c r="AX45" s="107" t="n">
        <f t="shared" si="10"/>
        <v>2.4004748338081673E-2</v>
      </c>
      <c r="AY45" s="119" t="n">
        <v>17.572800000000001</v>
      </c>
      <c r="AZ45" t="n">
        <v>0.7</v>
      </c>
      <c r="BA45" t="n">
        <v>25</v>
      </c>
      <c r="BB45" t="n">
        <v>0</v>
      </c>
      <c r="BC45" t="n">
        <v>0</v>
      </c>
      <c r="BD45" t="n">
        <v>0</v>
      </c>
      <c r="BE45" t="n">
        <v>0.1</v>
      </c>
      <c r="BF45" t="n">
        <v>8</v>
      </c>
      <c r="BG45" t="n">
        <v>3.5</v>
      </c>
      <c r="BH45" t="n">
        <v>225</v>
      </c>
      <c r="BI45" t="n">
        <v>7.27</v>
      </c>
      <c r="BJ45" t="n">
        <v>0</v>
      </c>
      <c r="BK45" t="n">
        <v>0</v>
      </c>
      <c r="BL45" t="n">
        <v>900</v>
      </c>
      <c r="BM45" t="n">
        <v>49</v>
      </c>
      <c r="BN45" t="n">
        <v>0.4</v>
      </c>
      <c r="BO45" t="n">
        <v>200</v>
      </c>
      <c r="BP45" t="n">
        <v>0.4</v>
      </c>
      <c r="BQ45" s="110"/>
    </row>
    <row r="46">
      <c r="A46" s="135"/>
      <c r="B46" s="44" t="s">
        <v>340</v>
      </c>
      <c r="C46" s="44"/>
      <c r="D46" s="142" t="s">
        <v>306</v>
      </c>
      <c r="E46" s="142"/>
      <c r="F46" s="103" t="n">
        <v>0.15</v>
      </c>
      <c r="G46" s="89" t="n">
        <v>0.125</v>
      </c>
      <c r="H46" s="89" t="n">
        <v>0.185</v>
      </c>
      <c r="I46" s="142" t="n">
        <v>212</v>
      </c>
      <c r="J46" s="142" t="n">
        <v>1634.2637500000001</v>
      </c>
      <c r="K46" s="166" t="n">
        <v>1.381</v>
      </c>
      <c r="L46" s="166" t="n">
        <v>2.1966000000000001</v>
      </c>
      <c r="M46" s="166" t="n">
        <v>1.6256799999999998</v>
      </c>
      <c r="N46" s="166" t="n">
        <v>3.2509680000000003</v>
      </c>
      <c r="O46" s="94" t="n">
        <v>0.90819348469891414</v>
      </c>
      <c r="P46" s="94" t="n">
        <v>9.1806515301085884E-2</v>
      </c>
      <c r="Q46" s="94" t="n">
        <v>0.10108695652173913</v>
      </c>
      <c r="R46" s="94"/>
      <c r="S46" s="22" t="n">
        <f>VLOOKUP($B46,Conversores_Dieta!$B$4:$J$164,Coefs!S$292,0)</f>
        <v>0.7</v>
      </c>
      <c r="T46" s="130" t="n">
        <f>VLOOKUP($B46,Conversores_Dieta!$B$4:$J$164,Coefs!T$292,0)</f>
        <v>3.2000000000000002E-3</v>
      </c>
      <c r="U46" s="166" t="n">
        <f>VLOOKUP($B46,Conversores_Dieta!$B$4:$J$164,Coefs!U$292,0)</f>
        <v>4</v>
      </c>
      <c r="V46" s="166" t="n">
        <f>VLOOKUP($B46,Conversores_Dieta!$B$4:$J$164,Coefs!V$292,0)</f>
        <v>45</v>
      </c>
      <c r="W46" s="21" t="n">
        <f>VLOOKUP($B46,Conversores_Dieta!$B$4:$J$164,Coefs!W$292,0)</f>
        <v>1130</v>
      </c>
      <c r="X46" s="21" t="n">
        <f>VLOOKUP($B46,Conversores_Dieta!$B$4:$J$164,Coefs!X$292,0)</f>
        <v>1830</v>
      </c>
      <c r="Y46" s="66"/>
      <c r="Z46" s="66"/>
      <c r="AA46" s="66"/>
      <c r="AB46" s="66"/>
      <c r="AC46" s="66"/>
      <c r="AD46" s="171"/>
      <c r="AE46" s="171"/>
      <c r="AF46" s="171"/>
      <c r="AG46" s="171"/>
      <c r="AH46" s="171"/>
      <c r="AI46" s="153" t="n">
        <f t="shared" si="13"/>
        <v>2.5600000000000001E-2</v>
      </c>
      <c r="AJ46" s="71"/>
      <c r="AK46" s="67"/>
      <c r="AL46" s="121" t="n">
        <v>0.41000000000000009</v>
      </c>
      <c r="AM46" s="121" t="n">
        <v>2.6125000000000002E-2</v>
      </c>
      <c r="AN46" s="153"/>
      <c r="AO46" s="153"/>
      <c r="AP46" s="153" t="n">
        <v>0.35967000000000005</v>
      </c>
      <c r="AQ46" s="121" t="n">
        <v>0.11534666666666667</v>
      </c>
      <c r="AR46" s="94"/>
      <c r="AS46" s="121" t="n">
        <v>0.72602958765444336</v>
      </c>
      <c r="AT46" s="59" t="n">
        <f t="shared" si="0"/>
        <v>0.17824592074592077</v>
      </c>
      <c r="AU46" s="87" t="n">
        <v>0.4400179319117839</v>
      </c>
      <c r="AV46" s="87" t="n">
        <v>0.28601165574265952</v>
      </c>
      <c r="AW46" s="5"/>
      <c r="AX46" s="107" t="n">
        <f t="shared" si="10"/>
        <v>2.5648198420533074E-2</v>
      </c>
      <c r="AY46" s="119" t="n">
        <v>17.572800000000001</v>
      </c>
      <c r="AZ46" t="n">
        <v>0.7</v>
      </c>
      <c r="BA46" t="n">
        <v>10</v>
      </c>
      <c r="BB46" t="n">
        <v>0</v>
      </c>
      <c r="BC46" t="n">
        <v>0</v>
      </c>
      <c r="BD46" t="n">
        <v>0</v>
      </c>
      <c r="BE46" t="n">
        <v>0.4</v>
      </c>
      <c r="BF46" t="n">
        <v>23</v>
      </c>
      <c r="BG46" t="n">
        <v>2</v>
      </c>
      <c r="BH46" t="n">
        <v>810</v>
      </c>
      <c r="BI46" t="n">
        <v>7.27</v>
      </c>
      <c r="BJ46" t="n">
        <v>0</v>
      </c>
      <c r="BK46" t="n">
        <v>0</v>
      </c>
      <c r="BL46" t="n">
        <v>220</v>
      </c>
      <c r="BM46" t="n">
        <v>350</v>
      </c>
      <c r="BN46" t="n">
        <v>0.3</v>
      </c>
      <c r="BO46" t="n">
        <v>100</v>
      </c>
      <c r="BP46" t="n">
        <v>40</v>
      </c>
      <c r="BQ46" s="110"/>
    </row>
    <row r="47">
      <c r="A47" s="135"/>
      <c r="B47" s="44" t="s">
        <v>339</v>
      </c>
      <c r="C47" s="44"/>
      <c r="D47" s="142" t="s">
        <v>306</v>
      </c>
      <c r="E47" s="142"/>
      <c r="F47" s="103" t="n">
        <v>0.15</v>
      </c>
      <c r="G47" s="89" t="n">
        <v>6.4999999999999947E-2</v>
      </c>
      <c r="H47" s="89" t="n">
        <v>0.17397078682651235</v>
      </c>
      <c r="I47" s="142" t="n">
        <v>212</v>
      </c>
      <c r="J47" s="142" t="n">
        <v>1634.2637500000001</v>
      </c>
      <c r="K47" s="166" t="n">
        <v>1.214</v>
      </c>
      <c r="L47" s="166" t="n">
        <v>1.142231999999999</v>
      </c>
      <c r="M47" s="166" t="n">
        <v>1.1996463999999998</v>
      </c>
      <c r="N47" s="166" t="n">
        <v>3.0571538427449365</v>
      </c>
      <c r="O47" s="94" t="n">
        <v>0.86124401913875603</v>
      </c>
      <c r="P47" s="94" t="n">
        <v>0.13875598086124402</v>
      </c>
      <c r="Q47" s="94" t="n">
        <v>0.16111111111111109</v>
      </c>
      <c r="R47" s="94"/>
      <c r="S47" s="22" t="n">
        <f>VLOOKUP($B47,Conversores_Dieta!$B$4:$J$164,Coefs!S$292,0)</f>
        <v>0.8</v>
      </c>
      <c r="T47" s="130" t="n">
        <f>VLOOKUP($B47,Conversores_Dieta!$B$4:$J$164,Coefs!T$292,0)</f>
        <v>2.8800000000000002E-3</v>
      </c>
      <c r="U47" s="166" t="n">
        <f>VLOOKUP($B47,Conversores_Dieta!$B$4:$J$164,Coefs!U$292,0)</f>
        <v>7</v>
      </c>
      <c r="V47" s="166" t="n">
        <f>VLOOKUP($B47,Conversores_Dieta!$B$4:$J$164,Coefs!V$292,0)</f>
        <v>31</v>
      </c>
      <c r="W47" s="21" t="n">
        <f>VLOOKUP($B47,Conversores_Dieta!$B$4:$J$164,Coefs!W$292,0)</f>
        <v>930</v>
      </c>
      <c r="X47" s="21" t="n">
        <f>VLOOKUP($B47,Conversores_Dieta!$B$4:$J$164,Coefs!X$292,0)</f>
        <v>2100</v>
      </c>
      <c r="Y47" s="66"/>
      <c r="Z47" s="66"/>
      <c r="AA47" s="66"/>
      <c r="AB47" s="66"/>
      <c r="AC47" s="66"/>
      <c r="AD47" s="171"/>
      <c r="AE47" s="171"/>
      <c r="AF47" s="171"/>
      <c r="AG47" s="171"/>
      <c r="AH47" s="171"/>
      <c r="AI47" s="153" t="n">
        <f t="shared" si="13"/>
        <v>4.4307692307692347E-2</v>
      </c>
      <c r="AJ47" s="71"/>
      <c r="AK47" s="67"/>
      <c r="AL47" s="121" t="n">
        <v>0.41000000000000009</v>
      </c>
      <c r="AM47" s="121" t="n">
        <v>2.6125000000000002E-2</v>
      </c>
      <c r="AN47" s="153"/>
      <c r="AO47" s="153"/>
      <c r="AP47" s="153" t="n">
        <v>0.35967000000000005</v>
      </c>
      <c r="AQ47" s="121" t="n">
        <v>0.11534666666666667</v>
      </c>
      <c r="AR47" s="94"/>
      <c r="AS47" s="121" t="n">
        <v>0.72602958765444336</v>
      </c>
      <c r="AT47" s="59" t="n">
        <f t="shared" si="0"/>
        <v>0.17824592074592077</v>
      </c>
      <c r="AU47" s="87" t="n">
        <v>0.4400179319117839</v>
      </c>
      <c r="AV47" s="87" t="n">
        <v>0.28601165574265952</v>
      </c>
      <c r="AW47" s="5"/>
      <c r="AX47" s="107" t="n">
        <f t="shared" si="10"/>
        <v>4.1784735001840302E-2</v>
      </c>
      <c r="AY47" s="119" t="n">
        <v>17.572800000000001</v>
      </c>
      <c r="AZ47" t="n">
        <v>0.7</v>
      </c>
      <c r="BA47" t="n">
        <v>27</v>
      </c>
      <c r="BB47" t="n">
        <v>1.7000000000000002</v>
      </c>
      <c r="BC47" t="n">
        <v>2.1</v>
      </c>
      <c r="BD47" t="n">
        <v>1.1000000000000001</v>
      </c>
      <c r="BE47" t="n">
        <v>1.5</v>
      </c>
      <c r="BF47" t="n">
        <v>33</v>
      </c>
      <c r="BG47" t="n">
        <v>2</v>
      </c>
      <c r="BH47" t="n">
        <v>520</v>
      </c>
      <c r="BI47" t="n">
        <v>7.27</v>
      </c>
      <c r="BJ47" t="n">
        <v>0</v>
      </c>
      <c r="BK47" t="n">
        <v>130</v>
      </c>
      <c r="BL47" t="n">
        <v>130</v>
      </c>
      <c r="BM47" t="n">
        <v>350</v>
      </c>
      <c r="BN47" t="n">
        <v>0</v>
      </c>
      <c r="BO47" t="n">
        <v>225</v>
      </c>
      <c r="BP47" t="n">
        <v>0.6</v>
      </c>
      <c r="BQ47" s="110"/>
    </row>
    <row r="48">
      <c r="A48" s="135" t="n">
        <v>358</v>
      </c>
      <c r="B48" s="44" t="s">
        <v>338</v>
      </c>
      <c r="C48" s="44"/>
      <c r="D48" s="142" t="s">
        <v>306</v>
      </c>
      <c r="E48" s="142"/>
      <c r="F48" s="103" t="n">
        <v>0.15</v>
      </c>
      <c r="G48" s="89" t="n">
        <v>0.10299999999999998</v>
      </c>
      <c r="H48" s="89" t="n">
        <v>0.17666666666666667</v>
      </c>
      <c r="I48" s="142" t="n">
        <v>212</v>
      </c>
      <c r="J48" s="142" t="n">
        <v>1634.2637500000001</v>
      </c>
      <c r="K48" s="166" t="n">
        <v>1.4539999999999997</v>
      </c>
      <c r="L48" s="166" t="n">
        <v>1.8099983999999998</v>
      </c>
      <c r="M48" s="166" t="n">
        <v>1.5429995999999997</v>
      </c>
      <c r="N48" s="166" t="n">
        <v>3.1045280000000002</v>
      </c>
      <c r="O48" s="94" t="n">
        <v>0.44829191112271416</v>
      </c>
      <c r="P48" s="94" t="n">
        <v>0.55170808887728584</v>
      </c>
      <c r="Q48" s="94" t="n">
        <v>1.2306893682189657</v>
      </c>
      <c r="R48" s="94"/>
      <c r="S48" s="22" t="n">
        <f>VLOOKUP($B48,Conversores_Dieta!$B$4:$J$164,Coefs!S$292,0)</f>
        <v>0.85</v>
      </c>
      <c r="T48" s="130" t="n">
        <f>VLOOKUP($B48,Conversores_Dieta!$B$4:$J$164,Coefs!T$292,0)</f>
        <v>6.8799999999999998E-3</v>
      </c>
      <c r="U48" s="166" t="n">
        <f>VLOOKUP($B48,Conversores_Dieta!$B$4:$J$164,Coefs!U$292,0)</f>
        <v>9</v>
      </c>
      <c r="V48" s="166" t="n">
        <f>VLOOKUP($B48,Conversores_Dieta!$B$4:$J$164,Coefs!V$292,0)</f>
        <v>25.4</v>
      </c>
      <c r="W48" s="21" t="n">
        <f>VLOOKUP($B48,Conversores_Dieta!$B$4:$J$164,Coefs!W$292,0)</f>
        <v>2120</v>
      </c>
      <c r="X48" s="21" t="n">
        <f>VLOOKUP($B48,Conversores_Dieta!$B$4:$J$164,Coefs!X$292,0)</f>
        <v>8666</v>
      </c>
      <c r="Y48" s="66"/>
      <c r="Z48" s="66"/>
      <c r="AA48" s="66"/>
      <c r="AB48" s="66"/>
      <c r="AC48" s="66"/>
      <c r="AD48" s="171"/>
      <c r="AE48" s="171"/>
      <c r="AF48" s="171"/>
      <c r="AG48" s="171"/>
      <c r="AH48" s="171"/>
      <c r="AI48" s="153" t="n">
        <f t="shared" si="13"/>
        <v>6.6796116504854383E-2</v>
      </c>
      <c r="AJ48" s="71"/>
      <c r="AK48" s="67"/>
      <c r="AL48" s="153" t="n">
        <v>0.41</v>
      </c>
      <c r="AM48" s="153" t="n">
        <v>2.8000000000000001E-2</v>
      </c>
      <c r="AN48" s="153"/>
      <c r="AO48" s="153"/>
      <c r="AP48" s="153" t="n">
        <v>0.38666666666666671</v>
      </c>
      <c r="AQ48" s="121" t="n">
        <v>0.11534666666666667</v>
      </c>
      <c r="AR48" s="94"/>
      <c r="AS48" s="121" t="n">
        <v>0.72602958765444336</v>
      </c>
      <c r="AT48" s="59" t="n">
        <f t="shared" si="0"/>
        <v>0.17824592074592077</v>
      </c>
      <c r="AU48" s="87" t="n">
        <v>0.4400179319117839</v>
      </c>
      <c r="AV48" s="87" t="n">
        <v>0.28601165574265952</v>
      </c>
      <c r="AW48" s="5"/>
      <c r="AX48" s="107" t="n">
        <f t="shared" si="10"/>
        <v>4.5391985212100645E-2</v>
      </c>
      <c r="AY48" s="119" t="n">
        <v>17.572800000000001</v>
      </c>
      <c r="AZ48" t="n">
        <v>0.7</v>
      </c>
      <c r="BA48" t="n">
        <v>31</v>
      </c>
      <c r="BB48" t="n">
        <v>1</v>
      </c>
      <c r="BC48" t="n">
        <v>0</v>
      </c>
      <c r="BD48" t="n">
        <v>3</v>
      </c>
      <c r="BE48" t="n">
        <v>0</v>
      </c>
      <c r="BF48" t="n">
        <v>6</v>
      </c>
      <c r="BG48" t="n">
        <v>4</v>
      </c>
      <c r="BH48" t="n">
        <v>60</v>
      </c>
      <c r="BI48" t="n">
        <v>7.27</v>
      </c>
      <c r="BJ48" t="n">
        <v>0</v>
      </c>
      <c r="BK48" t="n">
        <v>0</v>
      </c>
      <c r="BL48" t="n">
        <v>780</v>
      </c>
      <c r="BM48" t="n">
        <v>490</v>
      </c>
      <c r="BN48" t="n">
        <v>2</v>
      </c>
      <c r="BO48" t="n">
        <v>325</v>
      </c>
      <c r="BP48" t="n">
        <v>4</v>
      </c>
      <c r="BQ48" s="110"/>
    </row>
    <row r="49">
      <c r="A49" s="135" t="n">
        <v>393</v>
      </c>
      <c r="B49" s="44" t="s">
        <v>337</v>
      </c>
      <c r="C49" s="44"/>
      <c r="D49" s="142" t="s">
        <v>306</v>
      </c>
      <c r="E49" s="142"/>
      <c r="F49" s="103" t="n">
        <v>0.15</v>
      </c>
      <c r="G49" s="89" t="n">
        <v>7.5999999999999956E-2</v>
      </c>
      <c r="H49" s="89" t="n">
        <v>0.21</v>
      </c>
      <c r="I49" s="142" t="n">
        <v>212</v>
      </c>
      <c r="J49" s="142" t="n">
        <v>1634.2637500000001</v>
      </c>
      <c r="K49" s="166" t="n">
        <v>1.111</v>
      </c>
      <c r="L49" s="166" t="n">
        <v>1.3355327999999993</v>
      </c>
      <c r="M49" s="166" t="n">
        <v>1.1559065599999998</v>
      </c>
      <c r="N49" s="166" t="n">
        <v>3.6902880000000002</v>
      </c>
      <c r="O49" s="94" t="n">
        <v>0.65146579804560267</v>
      </c>
      <c r="P49" s="94" t="n">
        <v>0.34853420195439738</v>
      </c>
      <c r="Q49" s="94" t="n">
        <v>0.53499999999999992</v>
      </c>
      <c r="R49" s="94"/>
      <c r="S49" s="22" t="n">
        <f>VLOOKUP($B49,Conversores_Dieta!$B$4:$J$164,Coefs!S$292,0)</f>
        <v>0.8</v>
      </c>
      <c r="T49" s="130" t="n">
        <f>VLOOKUP($B49,Conversores_Dieta!$B$4:$J$164,Coefs!T$292,0)</f>
        <v>3.5200000000000001E-3</v>
      </c>
      <c r="U49" s="166" t="n">
        <f>VLOOKUP($B49,Conversores_Dieta!$B$4:$J$164,Coefs!U$292,0)</f>
        <v>2</v>
      </c>
      <c r="V49" s="166" t="n">
        <f>VLOOKUP($B49,Conversores_Dieta!$B$4:$J$164,Coefs!V$292,0)</f>
        <v>31</v>
      </c>
      <c r="W49" s="21" t="n">
        <f>VLOOKUP($B49,Conversores_Dieta!$B$4:$J$164,Coefs!W$292,0)</f>
        <v>220</v>
      </c>
      <c r="X49" s="21" t="n">
        <f>VLOOKUP($B49,Conversores_Dieta!$B$4:$J$164,Coefs!X$292,0)</f>
        <v>0</v>
      </c>
      <c r="Y49" s="66"/>
      <c r="Z49" s="66"/>
      <c r="AA49" s="66"/>
      <c r="AB49" s="66"/>
      <c r="AC49" s="66"/>
      <c r="AD49" s="171"/>
      <c r="AE49" s="171"/>
      <c r="AF49" s="171"/>
      <c r="AG49" s="171"/>
      <c r="AH49" s="171"/>
      <c r="AI49" s="153" t="n">
        <f t="shared" si="13"/>
        <v>4.6315789473684241E-2</v>
      </c>
      <c r="AJ49" s="71"/>
      <c r="AK49" s="67"/>
      <c r="AL49" s="153" t="n">
        <v>0.41</v>
      </c>
      <c r="AM49" s="121" t="n">
        <v>2.6125000000000002E-2</v>
      </c>
      <c r="AN49" s="153"/>
      <c r="AO49" s="153"/>
      <c r="AP49" s="153" t="n">
        <v>0.35967000000000005</v>
      </c>
      <c r="AQ49" s="121" t="n">
        <v>0.11534666666666667</v>
      </c>
      <c r="AR49" s="94"/>
      <c r="AS49" s="121" t="n">
        <v>0.72602958765444336</v>
      </c>
      <c r="AT49" s="59" t="n">
        <f t="shared" si="0"/>
        <v>0.17824592074592077</v>
      </c>
      <c r="AU49" s="87" t="n">
        <v>0.4400179319117839</v>
      </c>
      <c r="AV49" s="87" t="n">
        <v>0.28601165574265952</v>
      </c>
      <c r="AW49" s="5"/>
      <c r="AX49" s="107" t="n">
        <f t="shared" si="10"/>
        <v>3.9278608777644455E-2</v>
      </c>
      <c r="AY49" s="119" t="n">
        <v>17.572800000000001</v>
      </c>
      <c r="AZ49" t="n">
        <v>0.7</v>
      </c>
      <c r="BA49" t="n">
        <v>23</v>
      </c>
      <c r="BB49" t="n">
        <v>0</v>
      </c>
      <c r="BC49" t="n">
        <v>0</v>
      </c>
      <c r="BD49" t="n">
        <v>1.4000000000000001</v>
      </c>
      <c r="BE49" t="n">
        <v>0.2</v>
      </c>
      <c r="BF49" t="n">
        <v>5</v>
      </c>
      <c r="BG49" t="n">
        <v>6</v>
      </c>
      <c r="BH49" t="n">
        <v>120</v>
      </c>
      <c r="BI49" t="n">
        <v>7.27</v>
      </c>
      <c r="BJ49" t="n">
        <v>0</v>
      </c>
      <c r="BK49" t="n">
        <v>0</v>
      </c>
      <c r="BL49" t="n">
        <v>640</v>
      </c>
      <c r="BM49" t="n">
        <v>470</v>
      </c>
      <c r="BN49" t="n">
        <v>1.2</v>
      </c>
      <c r="BO49" t="n">
        <v>35</v>
      </c>
      <c r="BP49" t="n">
        <v>4</v>
      </c>
      <c r="BQ49" s="110"/>
    </row>
    <row r="50">
      <c r="A50" s="135"/>
      <c r="B50" s="44" t="s">
        <v>336</v>
      </c>
      <c r="C50" s="44"/>
      <c r="D50" s="142" t="s">
        <v>306</v>
      </c>
      <c r="E50" s="142"/>
      <c r="F50" s="103" t="n">
        <v>0.15</v>
      </c>
      <c r="G50" s="89" t="n">
        <v>8.8999999999999968E-2</v>
      </c>
      <c r="H50" s="89" t="n">
        <v>0.2</v>
      </c>
      <c r="I50" s="142" t="n">
        <v>212</v>
      </c>
      <c r="J50" s="142" t="n">
        <v>1634.2637500000001</v>
      </c>
      <c r="K50" s="166" t="n">
        <v>1.151</v>
      </c>
      <c r="L50" s="166" t="n">
        <v>1.5639791999999995</v>
      </c>
      <c r="M50" s="166" t="n">
        <v>1.2625043839999999</v>
      </c>
      <c r="N50" s="166" t="n">
        <v>3.5145600000000004</v>
      </c>
      <c r="O50" s="94" t="n">
        <v>0.5300006890008957</v>
      </c>
      <c r="P50" s="94" t="n">
        <v>0.4699993109991043</v>
      </c>
      <c r="Q50" s="94" t="n">
        <v>0.88678999999999997</v>
      </c>
      <c r="R50" s="94"/>
      <c r="S50" s="22" t="n">
        <f>VLOOKUP($B50,Conversores_Dieta!$B$4:$J$164,Coefs!S$292,0)</f>
        <v>0.73</v>
      </c>
      <c r="T50" s="130" t="n">
        <f>VLOOKUP($B50,Conversores_Dieta!$B$4:$J$164,Coefs!T$292,0)</f>
        <v>1.2800000000000001E-3</v>
      </c>
      <c r="U50" s="166" t="n">
        <f>VLOOKUP($B50,Conversores_Dieta!$B$4:$J$164,Coefs!U$292,0)</f>
        <v>3</v>
      </c>
      <c r="V50" s="166" t="n">
        <f>VLOOKUP($B50,Conversores_Dieta!$B$4:$J$164,Coefs!V$292,0)</f>
        <v>50</v>
      </c>
      <c r="W50" s="21" t="n">
        <f>VLOOKUP($B50,Conversores_Dieta!$B$4:$J$164,Coefs!W$292,0)</f>
        <v>590</v>
      </c>
      <c r="X50" s="21" t="n">
        <f>VLOOKUP($B50,Conversores_Dieta!$B$4:$J$164,Coefs!X$292,0)</f>
        <v>0</v>
      </c>
      <c r="Y50" s="66"/>
      <c r="Z50" s="66"/>
      <c r="AA50" s="66"/>
      <c r="AB50" s="66"/>
      <c r="AC50" s="66"/>
      <c r="AD50" s="171"/>
      <c r="AE50" s="171"/>
      <c r="AF50" s="171"/>
      <c r="AG50" s="171"/>
      <c r="AH50" s="171"/>
      <c r="AI50" s="153" t="n">
        <f t="shared" si="13"/>
        <v>1.4382022471910118E-2</v>
      </c>
      <c r="AJ50" s="71"/>
      <c r="AK50" s="67"/>
      <c r="AL50" s="153" t="n">
        <v>0.41</v>
      </c>
      <c r="AM50" s="153" t="n">
        <v>3.1E-2</v>
      </c>
      <c r="AN50" s="153"/>
      <c r="AO50" s="153"/>
      <c r="AP50" s="153" t="n">
        <v>0.309</v>
      </c>
      <c r="AQ50" s="121" t="n">
        <v>0.11534666666666667</v>
      </c>
      <c r="AR50" s="94"/>
      <c r="AS50" s="121" t="n">
        <v>0.72602958765444336</v>
      </c>
      <c r="AT50" s="59" t="n">
        <f t="shared" si="0"/>
        <v>0.17824592074592077</v>
      </c>
      <c r="AU50" s="87" t="n">
        <v>0.4400179319117839</v>
      </c>
      <c r="AV50" s="87" t="n">
        <v>0.28601165574265952</v>
      </c>
      <c r="AW50" s="5"/>
      <c r="AX50" s="107" t="n">
        <f t="shared" si="10"/>
        <v>2.219246046031096E-2</v>
      </c>
      <c r="AY50" s="119" t="n">
        <v>17.572800000000001</v>
      </c>
      <c r="AZ50" t="n">
        <v>0.7</v>
      </c>
      <c r="BA50" t="n">
        <v>20</v>
      </c>
      <c r="BB50" t="n">
        <v>0</v>
      </c>
      <c r="BC50" t="n">
        <v>0</v>
      </c>
      <c r="BD50" t="n">
        <v>1</v>
      </c>
      <c r="BE50" t="n">
        <v>0.3</v>
      </c>
      <c r="BF50" t="n">
        <v>3</v>
      </c>
      <c r="BG50" t="n">
        <v>1</v>
      </c>
      <c r="BH50" t="n">
        <v>80</v>
      </c>
      <c r="BI50" t="n">
        <v>7.27</v>
      </c>
      <c r="BJ50" t="n">
        <v>0</v>
      </c>
      <c r="BK50" t="n">
        <v>0</v>
      </c>
      <c r="BL50" t="n">
        <v>160</v>
      </c>
      <c r="BM50" t="n">
        <v>200</v>
      </c>
      <c r="BN50" t="n">
        <v>0</v>
      </c>
      <c r="BO50" t="n">
        <v>0</v>
      </c>
      <c r="BP50" t="n">
        <v>1.5</v>
      </c>
      <c r="BQ50" s="110"/>
    </row>
    <row r="51">
      <c r="A51" s="135" t="n">
        <v>401</v>
      </c>
      <c r="B51" s="44" t="s">
        <v>335</v>
      </c>
      <c r="C51" s="44"/>
      <c r="D51" s="142" t="s">
        <v>306</v>
      </c>
      <c r="E51" s="142"/>
      <c r="F51" s="103" t="n">
        <v>0.15</v>
      </c>
      <c r="G51" s="89" t="n">
        <v>0.10499999999999998</v>
      </c>
      <c r="H51" s="89" t="n">
        <v>0.30000000000000004</v>
      </c>
      <c r="I51" s="142" t="n">
        <v>212</v>
      </c>
      <c r="J51" s="142" t="n">
        <v>1634.2637500000001</v>
      </c>
      <c r="K51" s="166" t="n">
        <v>2.0310000000000001</v>
      </c>
      <c r="L51" s="145" t="n">
        <v>2.9522303999999999</v>
      </c>
      <c r="M51" s="145" t="n">
        <v>1.5</v>
      </c>
      <c r="N51" s="166" t="n">
        <v>5.271840000000001</v>
      </c>
      <c r="O51" s="94" t="n">
        <v>0.30000300003000036</v>
      </c>
      <c r="P51" s="94" t="n">
        <v>0.69999699996999964</v>
      </c>
      <c r="Q51" s="94" t="n">
        <v>2.3332999999999999</v>
      </c>
      <c r="R51" s="94"/>
      <c r="S51" s="22" t="n">
        <f>VLOOKUP($B51,Conversores_Dieta!$B$4:$J$164,Coefs!S$292,0)</f>
        <v>0.95</v>
      </c>
      <c r="T51" s="130" t="n">
        <f>VLOOKUP($B51,Conversores_Dieta!$B$4:$J$164,Coefs!T$292,0)</f>
        <v>2.9919999999999999E-3</v>
      </c>
      <c r="U51" s="166" t="n">
        <f>VLOOKUP($B51,Conversores_Dieta!$B$4:$J$164,Coefs!U$292,0)</f>
        <v>11</v>
      </c>
      <c r="V51" s="166" t="n">
        <f>VLOOKUP($B51,Conversores_Dieta!$B$4:$J$164,Coefs!V$292,0)</f>
        <v>67</v>
      </c>
      <c r="W51" s="21" t="n">
        <f>VLOOKUP($B51,Conversores_Dieta!$B$4:$J$164,Coefs!W$292,0)</f>
        <v>140</v>
      </c>
      <c r="X51" s="21" t="n">
        <f>VLOOKUP($B51,Conversores_Dieta!$B$4:$J$164,Coefs!X$292,0)</f>
        <v>953.3</v>
      </c>
      <c r="Y51" s="66"/>
      <c r="Z51" s="66"/>
      <c r="AA51" s="66"/>
      <c r="AB51" s="66"/>
      <c r="AC51" s="66"/>
      <c r="AD51" s="171"/>
      <c r="AE51" s="171"/>
      <c r="AF51" s="171"/>
      <c r="AG51" s="171"/>
      <c r="AH51" s="171"/>
      <c r="AI51" s="153" t="n">
        <f t="shared" si="13"/>
        <v>2.8495238095238098E-2</v>
      </c>
      <c r="AJ51" s="71"/>
      <c r="AK51" s="67"/>
      <c r="AL51" s="153" t="n">
        <v>0.41</v>
      </c>
      <c r="AM51" s="121" t="n">
        <v>2.6125000000000002E-2</v>
      </c>
      <c r="AN51" s="153"/>
      <c r="AO51" s="153"/>
      <c r="AP51" s="153" t="n">
        <v>0.35967000000000005</v>
      </c>
      <c r="AQ51" s="121" t="n">
        <v>0.11534666666666667</v>
      </c>
      <c r="AR51" s="94"/>
      <c r="AS51" s="121" t="n">
        <v>0.72602958765444336</v>
      </c>
      <c r="AT51" s="59" t="n">
        <f t="shared" si="0"/>
        <v>0.17824592074592077</v>
      </c>
      <c r="AU51" s="87" t="n">
        <v>0.4400179319117839</v>
      </c>
      <c r="AV51" s="87" t="n">
        <v>0.28601165574265952</v>
      </c>
      <c r="AW51" s="5"/>
      <c r="AX51" s="107" t="n">
        <f t="shared" si="10"/>
        <v>2.6836078539356826E-2</v>
      </c>
      <c r="AY51" s="119" t="n">
        <v>17.572800000000001</v>
      </c>
      <c r="AZ51" t="n">
        <v>0.7</v>
      </c>
      <c r="BA51" t="n">
        <v>19</v>
      </c>
      <c r="BB51" t="n">
        <v>1</v>
      </c>
      <c r="BC51" t="n">
        <v>0</v>
      </c>
      <c r="BD51" t="n">
        <v>2</v>
      </c>
      <c r="BE51" t="n">
        <v>0.2</v>
      </c>
      <c r="BF51" t="n">
        <v>10</v>
      </c>
      <c r="BG51" t="n">
        <v>3</v>
      </c>
      <c r="BH51" t="n">
        <v>210</v>
      </c>
      <c r="BI51" t="n">
        <v>7.27</v>
      </c>
      <c r="BJ51" t="n">
        <v>0</v>
      </c>
      <c r="BK51" t="n">
        <v>0</v>
      </c>
      <c r="BL51" t="n">
        <v>230</v>
      </c>
      <c r="BM51" t="n">
        <v>2250</v>
      </c>
      <c r="BN51" t="n">
        <v>8</v>
      </c>
      <c r="BO51" t="n">
        <v>250</v>
      </c>
      <c r="BP51" s="156" t="n">
        <f>BP53</f>
        <v>110</v>
      </c>
      <c r="BQ51" s="110"/>
    </row>
    <row r="52">
      <c r="A52" s="135" t="n">
        <v>689</v>
      </c>
      <c r="B52" s="44" t="s">
        <v>334</v>
      </c>
      <c r="C52" s="44"/>
      <c r="D52" s="142" t="s">
        <v>306</v>
      </c>
      <c r="E52" s="142"/>
      <c r="F52" s="103" t="n">
        <f>F51</f>
        <v>0.15</v>
      </c>
      <c r="G52" s="87" t="n">
        <v>0.9</v>
      </c>
      <c r="H52" s="103" t="n">
        <f>H51</f>
        <v>0.30000000000000004</v>
      </c>
      <c r="I52" s="103" t="n">
        <f>I51</f>
        <v>212</v>
      </c>
      <c r="J52" s="103" t="n">
        <f>J51</f>
        <v>1634.2637500000001</v>
      </c>
      <c r="K52" s="172" t="n">
        <f>K51*$G52/$G51</f>
        <v>17.408571428571431</v>
      </c>
      <c r="L52" s="172" t="n">
        <f>L51*$G52/$G51</f>
        <v>25.304832000000005</v>
      </c>
      <c r="M52" s="172" t="n">
        <f>M51*$G52/$G51</f>
        <v>12.857142857142859</v>
      </c>
      <c r="N52" s="103" t="n">
        <f>N51</f>
        <v>5.271840000000001</v>
      </c>
      <c r="O52" s="172" t="n">
        <f>1-P52</f>
        <v>0.78602860358088433</v>
      </c>
      <c r="P52" s="172" t="n">
        <f>Q52/(1+Q52)</f>
        <v>0.21397139641911567</v>
      </c>
      <c r="Q52" s="172" t="n">
        <f>Q51/(G52/G51)</f>
        <v>0.27221833333333328</v>
      </c>
      <c r="R52" s="94"/>
      <c r="S52" s="22" t="n">
        <f>VLOOKUP($B52,Conversores_Dieta!$B$4:$J$164,Coefs!S$292,0)</f>
        <v>1</v>
      </c>
      <c r="T52" s="130" t="n">
        <f>VLOOKUP($B52,Conversores_Dieta!$B$4:$J$164,Coefs!T$292,0)</f>
        <v>2.368E-2</v>
      </c>
      <c r="U52" s="166" t="n">
        <f>VLOOKUP($B52,Conversores_Dieta!$B$4:$J$164,Coefs!U$292,0)</f>
        <v>130</v>
      </c>
      <c r="V52" s="166" t="n">
        <f>VLOOKUP($B52,Conversores_Dieta!$B$4:$J$164,Coefs!V$292,0)</f>
        <v>349</v>
      </c>
      <c r="W52" s="21" t="n">
        <f>VLOOKUP($B52,Conversores_Dieta!$B$4:$J$164,Coefs!W$292,0)</f>
        <v>1800</v>
      </c>
      <c r="X52" s="21" t="n">
        <f>VLOOKUP($B52,Conversores_Dieta!$B$4:$J$164,Coefs!X$292,0)</f>
        <v>60420</v>
      </c>
      <c r="Y52" s="66"/>
      <c r="Z52" s="66"/>
      <c r="AA52" s="66"/>
      <c r="AB52" s="66"/>
      <c r="AC52" s="66"/>
      <c r="AD52" s="171"/>
      <c r="AE52" s="171"/>
      <c r="AF52" s="171"/>
      <c r="AG52" s="171"/>
      <c r="AH52" s="171"/>
      <c r="AI52" s="153" t="n">
        <f t="shared" si="13"/>
        <v>2.6311111111111112E-2</v>
      </c>
      <c r="AJ52" s="100"/>
      <c r="AK52" s="97"/>
      <c r="AL52" s="103" t="n">
        <f>AL51</f>
        <v>0.41</v>
      </c>
      <c r="AM52" s="121" t="n">
        <f>AM51</f>
        <v>2.6125000000000002E-2</v>
      </c>
      <c r="AN52" s="103"/>
      <c r="AO52" s="103"/>
      <c r="AP52" s="121" t="n">
        <f>AP51</f>
        <v>0.35967000000000005</v>
      </c>
      <c r="AQ52" s="103" t="n">
        <f>AQ51</f>
        <v>0.11534666666666667</v>
      </c>
      <c r="AR52" s="103"/>
      <c r="AS52" s="121" t="n">
        <f>AS51</f>
        <v>0.72602958765444336</v>
      </c>
      <c r="AT52" s="59" t="n">
        <f t="shared" si="0"/>
        <v>0.17824592074592077</v>
      </c>
      <c r="AU52" s="103" t="n">
        <f>AU51</f>
        <v>0.4400179319117839</v>
      </c>
      <c r="AV52" s="103" t="n">
        <f>AV51</f>
        <v>0.28601165574265952</v>
      </c>
      <c r="AW52" s="103"/>
      <c r="AX52" s="107" t="n">
        <f t="shared" si="10"/>
        <v>2.6271288656777556E-2</v>
      </c>
      <c r="AY52" s="103" t="n">
        <f>AY51</f>
        <v>17.572800000000001</v>
      </c>
      <c r="AZ52" t="n">
        <v>0.7</v>
      </c>
      <c r="BA52" t="n">
        <v>19</v>
      </c>
      <c r="BB52" t="n">
        <v>1.1000000000000001</v>
      </c>
      <c r="BC52" t="n">
        <v>0</v>
      </c>
      <c r="BD52" t="n">
        <v>2</v>
      </c>
      <c r="BE52" t="n">
        <v>1.5</v>
      </c>
      <c r="BF52" t="n">
        <v>10.3</v>
      </c>
      <c r="BG52" t="n">
        <v>3</v>
      </c>
      <c r="BH52" t="n">
        <v>210</v>
      </c>
      <c r="BI52" t="n">
        <v>90.1</v>
      </c>
      <c r="BJ52" t="n">
        <v>0</v>
      </c>
      <c r="BK52" t="n">
        <v>0</v>
      </c>
      <c r="BL52" t="n">
        <v>230</v>
      </c>
      <c r="BM52" t="n">
        <v>2250</v>
      </c>
      <c r="BN52" t="n">
        <v>8</v>
      </c>
      <c r="BO52" t="n">
        <v>250</v>
      </c>
      <c r="BP52" s="156" t="n">
        <f>BP53</f>
        <v>110</v>
      </c>
      <c r="BQ52" s="110"/>
    </row>
    <row r="53">
      <c r="A53" s="135"/>
      <c r="B53" s="44" t="s">
        <v>333</v>
      </c>
      <c r="C53" s="44"/>
      <c r="D53" s="142" t="s">
        <v>306</v>
      </c>
      <c r="E53" s="142"/>
      <c r="F53" s="103" t="n">
        <v>0.15</v>
      </c>
      <c r="G53" s="89" t="n">
        <v>8.6999999999999994E-2</v>
      </c>
      <c r="H53" s="89" t="n">
        <v>0.30000000000000004</v>
      </c>
      <c r="I53" s="142" t="n">
        <v>212</v>
      </c>
      <c r="J53" s="142" t="n">
        <v>1634.2637500000001</v>
      </c>
      <c r="K53" s="166"/>
      <c r="L53" s="166"/>
      <c r="M53" s="166" t="n">
        <v>5.271840000000001</v>
      </c>
      <c r="N53" s="166" t="n">
        <v>5.271840000000001</v>
      </c>
      <c r="O53" s="94" t="n">
        <v>0.57903538223207107</v>
      </c>
      <c r="P53" s="94" t="n">
        <v>0.42096461776792893</v>
      </c>
      <c r="Q53" s="94" t="n">
        <v>0.72701018052677646</v>
      </c>
      <c r="R53" s="94"/>
      <c r="S53" s="22" t="n">
        <f>VLOOKUP($B53,Conversores_Dieta!$B$4:$J$164,Coefs!S$292,0)</f>
        <v>0.81</v>
      </c>
      <c r="T53" s="130" t="n">
        <f>VLOOKUP($B53,Conversores_Dieta!$B$4:$J$164,Coefs!T$292,0)</f>
        <v>1.4400000000000001E-3</v>
      </c>
      <c r="U53" s="166" t="n">
        <f>VLOOKUP($B53,Conversores_Dieta!$B$4:$J$164,Coefs!U$292,0)</f>
        <v>2</v>
      </c>
      <c r="V53" s="166" t="n">
        <f>VLOOKUP($B53,Conversores_Dieta!$B$4:$J$164,Coefs!V$292,0)</f>
        <v>37</v>
      </c>
      <c r="W53" s="21" t="n">
        <f>VLOOKUP($B53,Conversores_Dieta!$B$4:$J$164,Coefs!W$292,0)</f>
        <v>120</v>
      </c>
      <c r="X53" s="21" t="n">
        <f>VLOOKUP($B53,Conversores_Dieta!$B$4:$J$164,Coefs!X$292,0)</f>
        <v>340</v>
      </c>
      <c r="Y53" s="66"/>
      <c r="Z53" s="66"/>
      <c r="AA53" s="66"/>
      <c r="AB53" s="66"/>
      <c r="AC53" s="66"/>
      <c r="AD53" s="171"/>
      <c r="AE53" s="171"/>
      <c r="AF53" s="171"/>
      <c r="AG53" s="171"/>
      <c r="AH53" s="171"/>
      <c r="AI53" s="153" t="n">
        <f t="shared" si="13"/>
        <v>1.6551724137931035E-2</v>
      </c>
      <c r="AJ53" s="71"/>
      <c r="AK53" s="67"/>
      <c r="AL53" s="121" t="n">
        <v>0.41000000000000009</v>
      </c>
      <c r="AM53" s="121" t="n">
        <v>2.6125000000000002E-2</v>
      </c>
      <c r="AN53" s="153"/>
      <c r="AO53" s="153"/>
      <c r="AP53" s="153" t="n">
        <v>0.39269999999999999</v>
      </c>
      <c r="AQ53" s="121" t="n">
        <v>0.11534666666666667</v>
      </c>
      <c r="AR53" s="94"/>
      <c r="AS53" s="121" t="n">
        <v>0.72602958765444336</v>
      </c>
      <c r="AT53" s="59" t="n">
        <f t="shared" si="0"/>
        <v>0.17824592074592077</v>
      </c>
      <c r="AU53" s="87" t="n">
        <v>0.4400179319117839</v>
      </c>
      <c r="AV53" s="87" t="n">
        <v>0.28601165574265952</v>
      </c>
      <c r="AW53" s="5"/>
      <c r="AX53" s="107" t="n">
        <f t="shared" si="10"/>
        <v>2.0581734551993837E-2</v>
      </c>
      <c r="AY53" s="119" t="n">
        <v>17.572800000000001</v>
      </c>
      <c r="AZ53" t="n">
        <v>0.7</v>
      </c>
      <c r="BA53" t="n">
        <v>18</v>
      </c>
      <c r="BB53" t="n">
        <v>1.4000000000000001</v>
      </c>
      <c r="BC53" t="n">
        <v>0.4</v>
      </c>
      <c r="BD53" t="n">
        <v>2.6</v>
      </c>
      <c r="BE53" t="n">
        <v>0.3</v>
      </c>
      <c r="BF53" t="n">
        <v>4</v>
      </c>
      <c r="BG53" t="n">
        <v>1</v>
      </c>
      <c r="BH53" t="n">
        <v>80</v>
      </c>
      <c r="BI53" t="n">
        <v>7.27</v>
      </c>
      <c r="BJ53" t="n">
        <v>0</v>
      </c>
      <c r="BK53" t="n">
        <v>0</v>
      </c>
      <c r="BL53" t="n">
        <v>230</v>
      </c>
      <c r="BM53" t="n">
        <v>1520</v>
      </c>
      <c r="BN53" t="n">
        <v>8.6</v>
      </c>
      <c r="BO53" t="n">
        <v>125</v>
      </c>
      <c r="BP53" s="80" t="n">
        <v>110</v>
      </c>
      <c r="BQ53" s="110"/>
    </row>
    <row r="54">
      <c r="A54" s="135"/>
      <c r="B54" s="44" t="s">
        <v>332</v>
      </c>
      <c r="C54" s="44"/>
      <c r="D54" s="142" t="s">
        <v>306</v>
      </c>
      <c r="E54" s="142"/>
      <c r="F54" s="103" t="n">
        <v>0.15</v>
      </c>
      <c r="G54" s="89" t="n">
        <v>6.3999999999999946E-2</v>
      </c>
      <c r="H54" s="89" t="n">
        <v>0.17397078682651235</v>
      </c>
      <c r="I54" s="142" t="n">
        <v>212</v>
      </c>
      <c r="J54" s="142" t="n">
        <v>1634.2637500000001</v>
      </c>
      <c r="K54" s="166" t="n">
        <v>0.97199999999999998</v>
      </c>
      <c r="L54" s="166" t="n">
        <v>1.1246591999999991</v>
      </c>
      <c r="M54" s="166" t="n">
        <v>1.0269573119999997</v>
      </c>
      <c r="N54" s="166" t="n">
        <v>3.0571538427449365</v>
      </c>
      <c r="O54" s="94" t="n">
        <v>0.66666666666666674</v>
      </c>
      <c r="P54" s="94" t="n">
        <v>0.33333333333333331</v>
      </c>
      <c r="Q54" s="94" t="n">
        <v>0.5</v>
      </c>
      <c r="R54" s="94"/>
      <c r="S54" s="22" t="n">
        <f>VLOOKUP($B54,Conversores_Dieta!$B$4:$J$164,Coefs!S$292,0)</f>
        <v>0.64</v>
      </c>
      <c r="T54" s="130" t="n">
        <f>VLOOKUP($B54,Conversores_Dieta!$B$4:$J$164,Coefs!T$292,0)</f>
        <v>2.3999999999999998E-3</v>
      </c>
      <c r="U54" s="166" t="n">
        <f>VLOOKUP($B54,Conversores_Dieta!$B$4:$J$164,Coefs!U$292,0)</f>
        <v>3</v>
      </c>
      <c r="V54" s="166" t="n">
        <f>VLOOKUP($B54,Conversores_Dieta!$B$4:$J$164,Coefs!V$292,0)</f>
        <v>30</v>
      </c>
      <c r="W54" s="21" t="n">
        <f>VLOOKUP($B54,Conversores_Dieta!$B$4:$J$164,Coefs!W$292,0)</f>
        <v>670</v>
      </c>
      <c r="X54" s="21" t="n">
        <f>VLOOKUP($B54,Conversores_Dieta!$B$4:$J$164,Coefs!X$292,0)</f>
        <v>730</v>
      </c>
      <c r="Y54" s="66"/>
      <c r="Z54" s="66"/>
      <c r="AA54" s="66"/>
      <c r="AB54" s="66"/>
      <c r="AC54" s="66"/>
      <c r="AD54" s="171"/>
      <c r="AE54" s="171"/>
      <c r="AF54" s="171"/>
      <c r="AG54" s="171"/>
      <c r="AH54" s="171"/>
      <c r="AI54" s="153" t="n">
        <f t="shared" si="13"/>
        <v>3.7500000000000026E-2</v>
      </c>
      <c r="AJ54" s="71"/>
      <c r="AK54" s="67"/>
      <c r="AL54" s="121" t="n">
        <v>0.41000000000000009</v>
      </c>
      <c r="AM54" s="121" t="n">
        <v>2.6125000000000002E-2</v>
      </c>
      <c r="AN54" s="153"/>
      <c r="AO54" s="153"/>
      <c r="AP54" s="153" t="n">
        <v>0.35967000000000005</v>
      </c>
      <c r="AQ54" s="121" t="n">
        <v>0.11534666666666667</v>
      </c>
      <c r="AR54" s="94"/>
      <c r="AS54" s="121" t="n">
        <v>0.72602958765444336</v>
      </c>
      <c r="AT54" s="59" t="n">
        <f t="shared" si="0"/>
        <v>0.17824592074592077</v>
      </c>
      <c r="AU54" s="87" t="n">
        <v>0.4400179319117839</v>
      </c>
      <c r="AV54" s="87" t="n">
        <v>0.28601165574265952</v>
      </c>
      <c r="AW54" s="5"/>
      <c r="AX54" s="107" t="n">
        <f t="shared" si="10"/>
        <v>3.3708333333333354E-2</v>
      </c>
      <c r="AY54" s="119" t="n">
        <v>17.572800000000001</v>
      </c>
      <c r="AZ54" t="n">
        <v>0.7</v>
      </c>
      <c r="BA54" t="n">
        <v>19</v>
      </c>
      <c r="BB54" t="n">
        <v>0.4</v>
      </c>
      <c r="BC54" t="n">
        <v>0.2</v>
      </c>
      <c r="BD54" t="n">
        <v>1.3</v>
      </c>
      <c r="BE54" t="n">
        <v>0.3</v>
      </c>
      <c r="BF54" t="n">
        <v>6</v>
      </c>
      <c r="BG54" t="n">
        <v>3</v>
      </c>
      <c r="BH54" t="n">
        <v>80</v>
      </c>
      <c r="BI54" t="n">
        <v>7.27</v>
      </c>
      <c r="BJ54" t="n">
        <v>0</v>
      </c>
      <c r="BK54" t="n">
        <v>0</v>
      </c>
      <c r="BL54" t="n">
        <v>1150</v>
      </c>
      <c r="BM54" t="n">
        <v>100</v>
      </c>
      <c r="BN54" t="n">
        <v>10</v>
      </c>
      <c r="BO54" t="n">
        <v>75</v>
      </c>
      <c r="BP54" t="n">
        <v>1</v>
      </c>
      <c r="BQ54" s="110"/>
    </row>
    <row r="55">
      <c r="A55" s="135" t="n">
        <v>459</v>
      </c>
      <c r="B55" s="44" t="s">
        <v>331</v>
      </c>
      <c r="C55" s="44" t="s">
        <v>350</v>
      </c>
      <c r="D55" s="142" t="s">
        <v>330</v>
      </c>
      <c r="E55" s="142"/>
      <c r="F55" s="103" t="n">
        <v>0.15</v>
      </c>
      <c r="G55" s="87" t="n">
        <v>9.5474789915966377E-2</v>
      </c>
      <c r="H55" s="89" t="n">
        <v>0.17397078682651235</v>
      </c>
      <c r="I55" s="142" t="n">
        <v>212</v>
      </c>
      <c r="J55" s="142" t="n">
        <v>1634.2637500000001</v>
      </c>
      <c r="K55" s="166"/>
      <c r="L55" s="166"/>
      <c r="M55" s="166" t="n">
        <v>0.82499999999999996</v>
      </c>
      <c r="N55" s="166" t="n">
        <v>3.0571538427449365</v>
      </c>
      <c r="O55" s="94" t="n">
        <v>0.78009205086200173</v>
      </c>
      <c r="P55" s="94" t="n">
        <v>0.21990794913799827</v>
      </c>
      <c r="Q55" s="94" t="n">
        <v>0.28189999999999998</v>
      </c>
      <c r="R55" s="94"/>
      <c r="S55" s="65" t="n">
        <f>VLOOKUP(C55,$B$3:$X$358,MATCH(S$2,$B$2:$X$2,0),0)</f>
        <v>0.9</v>
      </c>
      <c r="T55" s="15" t="n">
        <f t="shared" ref="T55:X56" si="14">VLOOKUP($C55,$B$3:$X$358,MATCH(T$2,$B$2:$X$2,0),0)*$G55/VLOOKUP($C55,$B$3:$X$358,MATCH($G$2,$B$2:$X$2,0),0)</f>
        <v>1.6823751527042534E-3</v>
      </c>
      <c r="U55" s="157" t="n">
        <f t="shared" si="14"/>
        <v>0.8411875763521266</v>
      </c>
      <c r="V55" s="157" t="n">
        <f t="shared" si="14"/>
        <v>75.706881871691394</v>
      </c>
      <c r="W55" s="132" t="n">
        <f t="shared" si="14"/>
        <v>37.853440935845697</v>
      </c>
      <c r="X55" s="132" t="n">
        <f t="shared" si="14"/>
        <v>0</v>
      </c>
      <c r="Y55" s="66"/>
      <c r="Z55" s="66"/>
      <c r="AA55" s="66"/>
      <c r="AB55" s="66"/>
      <c r="AC55" s="66"/>
      <c r="AD55" s="171"/>
      <c r="AE55" s="171"/>
      <c r="AF55" s="171"/>
      <c r="AG55" s="171"/>
      <c r="AH55" s="171"/>
      <c r="AI55" s="121" t="n">
        <f t="shared" si="13"/>
        <v>1.7621145374449341E-2</v>
      </c>
      <c r="AJ55" s="71"/>
      <c r="AK55" s="67"/>
      <c r="AL55" s="121" t="n">
        <v>0.41000000000000009</v>
      </c>
      <c r="AM55" s="121" t="n">
        <v>2.6125000000000002E-2</v>
      </c>
      <c r="AN55" s="153"/>
      <c r="AO55" s="153"/>
      <c r="AP55" s="153" t="n">
        <v>0.35967000000000005</v>
      </c>
      <c r="AQ55" s="121" t="n">
        <v>0.11534666666666667</v>
      </c>
      <c r="AR55" s="94"/>
      <c r="AS55" s="121" t="n">
        <v>0.72602958765444336</v>
      </c>
      <c r="AT55" s="59" t="n">
        <f t="shared" si="0"/>
        <v>0.17824592074592077</v>
      </c>
      <c r="AU55" s="87" t="n">
        <v>0.4400179319117839</v>
      </c>
      <c r="AV55" s="87" t="n">
        <v>0.28601165574265952</v>
      </c>
      <c r="AW55" s="5"/>
      <c r="AX55" s="107" t="n">
        <f t="shared" si="10"/>
        <v>1.9491210604921868E-2</v>
      </c>
      <c r="AY55" s="119" t="n">
        <v>17.572800000000001</v>
      </c>
      <c r="AZ55" t="n">
        <v>0.7</v>
      </c>
      <c r="BA55" s="156" t="n">
        <f>BA$79</f>
        <v>28.700000000000003</v>
      </c>
      <c r="BB55" s="156" t="n">
        <f t="shared" ref="BB55:BP56" si="15">BB$79</f>
        <v>0.70000000000000007</v>
      </c>
      <c r="BC55" s="156" t="n">
        <f t="shared" si="15"/>
        <v>0.3</v>
      </c>
      <c r="BD55" s="156" t="n">
        <f t="shared" si="15"/>
        <v>1.3</v>
      </c>
      <c r="BE55" s="156" t="n">
        <f t="shared" si="15"/>
        <v>0.4</v>
      </c>
      <c r="BF55" s="156" t="n">
        <f t="shared" si="15"/>
        <v>10.1</v>
      </c>
      <c r="BG55" s="156" t="n">
        <f t="shared" si="15"/>
        <v>4</v>
      </c>
      <c r="BH55" s="156" t="n">
        <f t="shared" si="15"/>
        <v>253.70000000000002</v>
      </c>
      <c r="BI55" s="156" t="n">
        <f t="shared" si="15"/>
        <v>7.27</v>
      </c>
      <c r="BJ55" s="156" t="n">
        <f t="shared" si="15"/>
        <v>0</v>
      </c>
      <c r="BK55" s="156" t="n">
        <f t="shared" si="15"/>
        <v>5</v>
      </c>
      <c r="BL55" s="156" t="n">
        <f t="shared" si="15"/>
        <v>489</v>
      </c>
      <c r="BM55" s="156" t="n">
        <f t="shared" si="15"/>
        <v>315.10000000000002</v>
      </c>
      <c r="BN55" s="156" t="n">
        <f t="shared" si="15"/>
        <v>4.8</v>
      </c>
      <c r="BO55" s="156" t="n">
        <f t="shared" si="15"/>
        <v>300</v>
      </c>
      <c r="BP55" s="156" t="n">
        <f t="shared" si="15"/>
        <v>60</v>
      </c>
      <c r="BQ55" s="110"/>
    </row>
    <row r="56">
      <c r="A56" s="135"/>
      <c r="B56" s="44" t="s">
        <v>329</v>
      </c>
      <c r="C56" s="44" t="s">
        <v>318</v>
      </c>
      <c r="D56" s="142" t="s">
        <v>306</v>
      </c>
      <c r="E56" s="142"/>
      <c r="F56" s="103" t="n">
        <v>0.15</v>
      </c>
      <c r="G56" s="89" t="n">
        <v>6.5999999999999948E-2</v>
      </c>
      <c r="H56" s="89" t="n">
        <v>0.17397078682651235</v>
      </c>
      <c r="I56" s="142" t="n">
        <v>212</v>
      </c>
      <c r="J56" s="142" t="n">
        <v>1634.2637500000001</v>
      </c>
      <c r="K56" s="166" t="n">
        <v>1.0506</v>
      </c>
      <c r="L56" s="166" t="n">
        <v>1.1598047999999992</v>
      </c>
      <c r="M56" s="166" t="n">
        <v>1.0713489119999999</v>
      </c>
      <c r="N56" s="166" t="n">
        <v>3.0571538427449365</v>
      </c>
      <c r="O56" s="94" t="n">
        <v>0.78009205086200173</v>
      </c>
      <c r="P56" s="94" t="n">
        <v>0.21990794913799827</v>
      </c>
      <c r="Q56" s="94" t="n">
        <v>0.28189999999999998</v>
      </c>
      <c r="R56" s="94"/>
      <c r="S56" s="65" t="n">
        <f>VLOOKUP(C56,$B$3:$X$358,MATCH(S$2,$B$2:$X$2,0),0)</f>
        <v>0.74</v>
      </c>
      <c r="T56" s="15" t="n">
        <f t="shared" si="14"/>
        <v>3.3702127659574412E-3</v>
      </c>
      <c r="U56" s="157" t="n">
        <f t="shared" si="14"/>
        <v>4.212765957446801</v>
      </c>
      <c r="V56" s="157" t="n">
        <f t="shared" si="14"/>
        <v>19.659574468085072</v>
      </c>
      <c r="W56" s="132" t="n">
        <f t="shared" si="14"/>
        <v>561.70212765957353</v>
      </c>
      <c r="X56" s="132" t="n">
        <f t="shared" si="14"/>
        <v>407.23404255319082</v>
      </c>
      <c r="Y56" s="66"/>
      <c r="Z56" s="66"/>
      <c r="AA56" s="66"/>
      <c r="AB56" s="66"/>
      <c r="AC56" s="66"/>
      <c r="AD56" s="171"/>
      <c r="AE56" s="171"/>
      <c r="AF56" s="171"/>
      <c r="AG56" s="171"/>
      <c r="AH56" s="171"/>
      <c r="AI56" s="121" t="n">
        <f t="shared" si="13"/>
        <v>5.1063829787233998E-2</v>
      </c>
      <c r="AJ56" s="71"/>
      <c r="AK56" s="67"/>
      <c r="AL56" s="121" t="n">
        <v>0.41000000000000009</v>
      </c>
      <c r="AM56" s="121" t="n">
        <v>2.6125000000000002E-2</v>
      </c>
      <c r="AN56" s="153"/>
      <c r="AO56" s="153"/>
      <c r="AP56" s="153" t="n">
        <v>0.35967000000000005</v>
      </c>
      <c r="AQ56" s="121" t="n">
        <v>0.11534666666666667</v>
      </c>
      <c r="AR56" s="94"/>
      <c r="AS56" s="121" t="n">
        <v>0.72602958765444336</v>
      </c>
      <c r="AT56" s="59" t="n">
        <f t="shared" si="0"/>
        <v>0.17824592074592077</v>
      </c>
      <c r="AU56" s="87" t="n">
        <v>0.4400179319117839</v>
      </c>
      <c r="AV56" s="87" t="n">
        <v>0.28601165574265952</v>
      </c>
      <c r="AW56" s="5"/>
      <c r="AX56" s="107" t="n">
        <f t="shared" si="10"/>
        <v>4.557958287482175E-2</v>
      </c>
      <c r="AY56" s="119" t="n">
        <v>17.572800000000001</v>
      </c>
      <c r="AZ56" t="n">
        <v>0.7</v>
      </c>
      <c r="BA56" s="156" t="n">
        <f>BA$79</f>
        <v>28.700000000000003</v>
      </c>
      <c r="BB56" s="156" t="n">
        <f t="shared" si="15"/>
        <v>0.70000000000000007</v>
      </c>
      <c r="BC56" s="156" t="n">
        <f t="shared" si="15"/>
        <v>0.3</v>
      </c>
      <c r="BD56" s="156" t="n">
        <f t="shared" si="15"/>
        <v>1.3</v>
      </c>
      <c r="BE56" s="156" t="n">
        <f t="shared" si="15"/>
        <v>0.4</v>
      </c>
      <c r="BF56" s="156" t="n">
        <f t="shared" si="15"/>
        <v>10.1</v>
      </c>
      <c r="BG56" s="156" t="n">
        <f t="shared" si="15"/>
        <v>4</v>
      </c>
      <c r="BH56" s="156" t="n">
        <f t="shared" si="15"/>
        <v>253.70000000000002</v>
      </c>
      <c r="BI56" s="156" t="n">
        <f t="shared" si="15"/>
        <v>7.27</v>
      </c>
      <c r="BJ56" s="156" t="n">
        <f t="shared" si="15"/>
        <v>0</v>
      </c>
      <c r="BK56" s="156" t="n">
        <f t="shared" si="15"/>
        <v>5</v>
      </c>
      <c r="BL56" s="156" t="n">
        <f t="shared" si="15"/>
        <v>489</v>
      </c>
      <c r="BM56" s="156" t="n">
        <f t="shared" si="15"/>
        <v>315.10000000000002</v>
      </c>
      <c r="BN56" s="156" t="n">
        <f t="shared" si="15"/>
        <v>4.8</v>
      </c>
      <c r="BO56" s="156" t="n">
        <f t="shared" si="15"/>
        <v>300</v>
      </c>
      <c r="BP56" s="156" t="n">
        <f t="shared" si="15"/>
        <v>60</v>
      </c>
      <c r="BQ56" s="110"/>
    </row>
    <row r="57">
      <c r="A57" s="135" t="n">
        <v>567</v>
      </c>
      <c r="B57" s="44" t="s">
        <v>328</v>
      </c>
      <c r="C57" s="44"/>
      <c r="D57" s="142" t="s">
        <v>306</v>
      </c>
      <c r="E57" s="142"/>
      <c r="F57" s="103" t="n">
        <v>0.15</v>
      </c>
      <c r="G57" s="89" t="n">
        <v>5.7000000000000002E-2</v>
      </c>
      <c r="H57" s="89" t="n">
        <v>0.2</v>
      </c>
      <c r="I57" s="142" t="n">
        <v>212</v>
      </c>
      <c r="J57" s="142" t="n">
        <v>1634.2637500000001</v>
      </c>
      <c r="K57" s="166" t="n">
        <v>0.85699999999999998</v>
      </c>
      <c r="L57" s="166" t="n">
        <v>0.94893120000000086</v>
      </c>
      <c r="M57" s="166" t="n">
        <v>0.90112697600000047</v>
      </c>
      <c r="N57" s="166" t="n">
        <v>3.5145600000000004</v>
      </c>
      <c r="O57" s="94" t="n">
        <v>0.90909090909090906</v>
      </c>
      <c r="P57" s="94" t="n">
        <v>9.0909090909090912E-2</v>
      </c>
      <c r="Q57" s="94" t="n">
        <v>0.1</v>
      </c>
      <c r="R57" s="94"/>
      <c r="S57" s="22" t="n">
        <f>VLOOKUP($B57,Conversores_Dieta!$B$4:$J$164,Coefs!S$292,0)</f>
        <v>0.52</v>
      </c>
      <c r="T57" s="130" t="n">
        <f>VLOOKUP($B57,Conversores_Dieta!$B$4:$J$164,Coefs!T$292,0)</f>
        <v>6.4000000000000005E-4</v>
      </c>
      <c r="U57" s="166" t="n">
        <f>VLOOKUP($B57,Conversores_Dieta!$B$4:$J$164,Coefs!U$292,0)</f>
        <v>0</v>
      </c>
      <c r="V57" s="166" t="n">
        <f>VLOOKUP($B57,Conversores_Dieta!$B$4:$J$164,Coefs!V$292,0)</f>
        <v>45</v>
      </c>
      <c r="W57" s="21" t="n">
        <f>VLOOKUP($B57,Conversores_Dieta!$B$4:$J$164,Coefs!W$292,0)</f>
        <v>230</v>
      </c>
      <c r="X57" s="21" t="n">
        <f>VLOOKUP($B57,Conversores_Dieta!$B$4:$J$164,Coefs!X$292,0)</f>
        <v>330</v>
      </c>
      <c r="Y57" s="66"/>
      <c r="Z57" s="66"/>
      <c r="AA57" s="66"/>
      <c r="AB57" s="66"/>
      <c r="AC57" s="66"/>
      <c r="AD57" s="171"/>
      <c r="AE57" s="171"/>
      <c r="AF57" s="171"/>
      <c r="AG57" s="171"/>
      <c r="AH57" s="171"/>
      <c r="AI57" s="153" t="n">
        <f t="shared" si="13"/>
        <v>1.1228070175438597E-2</v>
      </c>
      <c r="AJ57" s="71"/>
      <c r="AK57" s="67"/>
      <c r="AL57" s="153" t="n">
        <v>0.41</v>
      </c>
      <c r="AM57" s="121" t="n">
        <v>2.6125000000000002E-2</v>
      </c>
      <c r="AN57" s="153"/>
      <c r="AO57" s="153"/>
      <c r="AP57" s="153" t="n">
        <v>0.37640000000000001</v>
      </c>
      <c r="AQ57" s="121" t="n">
        <v>0.11534666666666667</v>
      </c>
      <c r="AR57" s="94"/>
      <c r="AS57" s="121" t="n">
        <v>0.72602958765444336</v>
      </c>
      <c r="AT57" s="59" t="n">
        <f t="shared" si="0"/>
        <v>0.17824592074592077</v>
      </c>
      <c r="AU57" s="87" t="n">
        <v>0.4400179319117839</v>
      </c>
      <c r="AV57" s="87" t="n">
        <v>0.28601165574265952</v>
      </c>
      <c r="AW57" s="5"/>
      <c r="AX57" s="107" t="n">
        <f t="shared" si="10"/>
        <v>1.2582336523125997E-2</v>
      </c>
      <c r="AY57" s="119" t="n">
        <v>17.572800000000001</v>
      </c>
      <c r="AZ57" t="n">
        <v>0.7</v>
      </c>
      <c r="BA57" t="n">
        <v>5</v>
      </c>
      <c r="BB57" t="n">
        <v>1</v>
      </c>
      <c r="BC57" t="n">
        <v>0</v>
      </c>
      <c r="BD57" t="n">
        <v>1</v>
      </c>
      <c r="BE57" t="n">
        <v>0.2</v>
      </c>
      <c r="BF57" t="n">
        <v>3</v>
      </c>
      <c r="BG57" t="n">
        <v>1</v>
      </c>
      <c r="BH57" t="n">
        <v>110</v>
      </c>
      <c r="BI57" t="n">
        <v>7.27</v>
      </c>
      <c r="BJ57" t="n">
        <v>0</v>
      </c>
      <c r="BK57" t="n">
        <v>0</v>
      </c>
      <c r="BL57" t="n">
        <v>30</v>
      </c>
      <c r="BM57" t="n">
        <v>50</v>
      </c>
      <c r="BN57" t="n">
        <v>1</v>
      </c>
      <c r="BO57" t="n">
        <v>0</v>
      </c>
      <c r="BP57" t="n">
        <v>12.5</v>
      </c>
      <c r="BQ57" s="110"/>
    </row>
    <row r="58">
      <c r="A58" s="135" t="n">
        <v>568</v>
      </c>
      <c r="B58" s="44" t="s">
        <v>327</v>
      </c>
      <c r="C58" s="44"/>
      <c r="D58" s="142" t="s">
        <v>306</v>
      </c>
      <c r="E58" s="142"/>
      <c r="F58" s="103" t="n">
        <v>0.15</v>
      </c>
      <c r="G58" s="89" t="n">
        <v>7.5999999999999956E-2</v>
      </c>
      <c r="H58" s="89" t="n">
        <v>0.19999999999999996</v>
      </c>
      <c r="I58" s="142" t="n">
        <v>212</v>
      </c>
      <c r="J58" s="142" t="n">
        <v>1634.2637500000001</v>
      </c>
      <c r="K58" s="166" t="n">
        <v>1.1579999999999999</v>
      </c>
      <c r="L58" s="166" t="n">
        <v>1.3355327999999993</v>
      </c>
      <c r="M58" s="166" t="n">
        <v>1.2290131199999996</v>
      </c>
      <c r="N58" s="166" t="n">
        <v>3.5145599999999995</v>
      </c>
      <c r="O58" s="94" t="n">
        <v>0.75187969924812026</v>
      </c>
      <c r="P58" s="94" t="n">
        <v>0.24812030075187969</v>
      </c>
      <c r="Q58" s="94" t="n">
        <v>0.33</v>
      </c>
      <c r="R58" s="94"/>
      <c r="S58" s="22" t="n">
        <f>VLOOKUP($B58,Conversores_Dieta!$B$4:$J$164,Coefs!S$292,0)</f>
        <v>0.6</v>
      </c>
      <c r="T58" s="130" t="n">
        <f>VLOOKUP($B58,Conversores_Dieta!$B$4:$J$164,Coefs!T$292,0)</f>
        <v>9.6000000000000002E-4</v>
      </c>
      <c r="U58" s="166" t="n">
        <f>VLOOKUP($B58,Conversores_Dieta!$B$4:$J$164,Coefs!U$292,0)</f>
        <v>0</v>
      </c>
      <c r="V58" s="166" t="n">
        <f>VLOOKUP($B58,Conversores_Dieta!$B$4:$J$164,Coefs!V$292,0)</f>
        <v>60</v>
      </c>
      <c r="W58" s="21" t="n">
        <f>VLOOKUP($B58,Conversores_Dieta!$B$4:$J$164,Coefs!W$292,0)</f>
        <v>140</v>
      </c>
      <c r="X58" s="21" t="n">
        <f>VLOOKUP($B58,Conversores_Dieta!$B$4:$J$164,Coefs!X$292,0)</f>
        <v>30</v>
      </c>
      <c r="Y58" s="66"/>
      <c r="Z58" s="66"/>
      <c r="AA58" s="66"/>
      <c r="AB58" s="66"/>
      <c r="AC58" s="66"/>
      <c r="AD58" s="171"/>
      <c r="AE58" s="171"/>
      <c r="AF58" s="171"/>
      <c r="AG58" s="171"/>
      <c r="AH58" s="171"/>
      <c r="AI58" s="153" t="n">
        <f t="shared" si="13"/>
        <v>1.2631578947368429E-2</v>
      </c>
      <c r="AJ58" s="71"/>
      <c r="AK58" s="67"/>
      <c r="AL58" s="153" t="n">
        <v>0.41</v>
      </c>
      <c r="AM58" s="121" t="n">
        <v>2.6125000000000002E-2</v>
      </c>
      <c r="AN58" s="153"/>
      <c r="AO58" s="153"/>
      <c r="AP58" s="153" t="n">
        <v>0.35499999999999998</v>
      </c>
      <c r="AQ58" s="121" t="n">
        <v>0.11534666666666667</v>
      </c>
      <c r="AR58" s="94"/>
      <c r="AS58" s="121" t="n">
        <v>0.72602958765444336</v>
      </c>
      <c r="AT58" s="59" t="n">
        <f t="shared" si="0"/>
        <v>0.17824592074592077</v>
      </c>
      <c r="AU58" s="87" t="n">
        <v>0.4400179319117839</v>
      </c>
      <c r="AV58" s="87" t="n">
        <v>0.28601165574265952</v>
      </c>
      <c r="AW58" s="5"/>
      <c r="AX58" s="107" t="n">
        <f t="shared" si="10"/>
        <v>1.597957063711912E-2</v>
      </c>
      <c r="AY58" s="119" t="n">
        <v>17.572800000000001</v>
      </c>
      <c r="AZ58" t="n">
        <v>0.7</v>
      </c>
      <c r="BA58" t="n">
        <v>10</v>
      </c>
      <c r="BB58" t="n">
        <v>0.3</v>
      </c>
      <c r="BC58" t="n">
        <v>0.1</v>
      </c>
      <c r="BD58" t="n">
        <v>0.2</v>
      </c>
      <c r="BE58" t="n">
        <v>0.2</v>
      </c>
      <c r="BF58" t="n">
        <v>4</v>
      </c>
      <c r="BG58" t="n">
        <v>1</v>
      </c>
      <c r="BH58" t="n">
        <v>170</v>
      </c>
      <c r="BI58" t="n">
        <v>7.27</v>
      </c>
      <c r="BJ58" t="n">
        <v>0</v>
      </c>
      <c r="BK58" t="n">
        <v>0</v>
      </c>
      <c r="BL58" t="n">
        <v>300</v>
      </c>
      <c r="BM58" t="n">
        <v>250</v>
      </c>
      <c r="BN58" t="n">
        <v>1</v>
      </c>
      <c r="BO58" t="n">
        <v>40</v>
      </c>
      <c r="BP58" t="n">
        <v>4</v>
      </c>
      <c r="BQ58" s="110"/>
    </row>
    <row r="59">
      <c r="A59" s="135"/>
      <c r="B59" s="44" t="s">
        <v>326</v>
      </c>
      <c r="C59" s="44" t="s">
        <v>325</v>
      </c>
      <c r="D59" s="142" t="s">
        <v>306</v>
      </c>
      <c r="E59" s="142"/>
      <c r="F59" s="103" t="n">
        <v>0.15</v>
      </c>
      <c r="G59" s="87" t="n">
        <v>3.3000000000000029E-2</v>
      </c>
      <c r="H59" s="89" t="n">
        <v>0.19999999999999996</v>
      </c>
      <c r="I59" s="142" t="n">
        <v>212</v>
      </c>
      <c r="J59" s="142" t="n">
        <v>1634.2637500000001</v>
      </c>
      <c r="K59" s="166"/>
      <c r="L59" s="166"/>
      <c r="M59" s="166" t="n">
        <v>3.5145599999999995</v>
      </c>
      <c r="N59" s="166" t="n">
        <v>3.5145599999999995</v>
      </c>
      <c r="O59" s="94" t="n">
        <v>0.8</v>
      </c>
      <c r="P59" s="94" t="n">
        <v>0.2</v>
      </c>
      <c r="Q59" s="94" t="n">
        <v>0.25</v>
      </c>
      <c r="R59" s="94"/>
      <c r="S59" s="65" t="n">
        <f>VLOOKUP(C59,$B$3:$X$358,MATCH(S$2,$B$2:$X$2,0),0)</f>
        <v>0.77</v>
      </c>
      <c r="T59" s="15" t="n">
        <f>VLOOKUP($C59,$B$3:$X$358,MATCH(T$2,$B$2:$X$2,0),0)*$G59/VLOOKUP($C59,$B$3:$X$358,MATCH($G$2,$B$2:$X$2,0),0)</f>
        <v>1.1199999999999999E-3</v>
      </c>
      <c r="U59" s="157" t="n">
        <f>VLOOKUP($C59,$B$3:$X$358,MATCH(U$2,$B$2:$X$2,0),0)*$G59/VLOOKUP($C59,$B$3:$X$358,MATCH($G$2,$B$2:$X$2,0),0)</f>
        <v>2</v>
      </c>
      <c r="V59" s="157" t="n">
        <f>VLOOKUP($C59,$B$3:$X$358,MATCH(V$2,$B$2:$X$2,0),0)*$G59/VLOOKUP($C59,$B$3:$X$358,MATCH($G$2,$B$2:$X$2,0),0)</f>
        <v>19</v>
      </c>
      <c r="W59" s="132" t="n">
        <f>VLOOKUP($C59,$B$3:$X$358,MATCH(W$2,$B$2:$X$2,0),0)*$G59/VLOOKUP($C59,$B$3:$X$358,MATCH($G$2,$B$2:$X$2,0),0)</f>
        <v>170</v>
      </c>
      <c r="X59" s="132" t="n">
        <f>VLOOKUP($C59,$B$3:$X$358,MATCH(X$2,$B$2:$X$2,0),0)*$G59/VLOOKUP($C59,$B$3:$X$358,MATCH($G$2,$B$2:$X$2,0),0)</f>
        <v>20</v>
      </c>
      <c r="Y59" s="66"/>
      <c r="Z59" s="66"/>
      <c r="AA59" s="66"/>
      <c r="AB59" s="66"/>
      <c r="AC59" s="66"/>
      <c r="AD59" s="171"/>
      <c r="AE59" s="171"/>
      <c r="AF59" s="171"/>
      <c r="AG59" s="171"/>
      <c r="AH59" s="171"/>
      <c r="AI59" s="121" t="n">
        <f t="shared" si="13"/>
        <v>3.3939393939393908E-2</v>
      </c>
      <c r="AJ59" s="71"/>
      <c r="AK59" s="67"/>
      <c r="AL59" s="153" t="n">
        <v>0.41</v>
      </c>
      <c r="AM59" s="121" t="n">
        <v>2.6125000000000002E-2</v>
      </c>
      <c r="AN59" s="153"/>
      <c r="AO59" s="153"/>
      <c r="AP59" s="153" t="n">
        <v>0.35967000000000005</v>
      </c>
      <c r="AQ59" s="121" t="n">
        <v>0.11534666666666667</v>
      </c>
      <c r="AR59" s="94"/>
      <c r="AS59" s="121" t="n">
        <v>0.72602958765444336</v>
      </c>
      <c r="AT59" s="59" t="n">
        <f t="shared" si="0"/>
        <v>0.17824592074592077</v>
      </c>
      <c r="AU59" s="87" t="n">
        <v>0.4400179319117839</v>
      </c>
      <c r="AV59" s="87" t="n">
        <v>0.28601165574265952</v>
      </c>
      <c r="AW59" s="5"/>
      <c r="AX59" s="107" t="n">
        <f t="shared" si="10"/>
        <v>3.2376515151515128E-2</v>
      </c>
      <c r="AY59" s="119" t="n">
        <v>17.572800000000001</v>
      </c>
      <c r="AZ59" t="n">
        <v>0.7</v>
      </c>
      <c r="BA59" s="156" t="n">
        <f>BA60</f>
        <v>8</v>
      </c>
      <c r="BB59" s="156" t="n">
        <f t="shared" ref="BB59:BP59" si="16">BB60</f>
        <v>0</v>
      </c>
      <c r="BC59" s="156" t="n">
        <f t="shared" si="16"/>
        <v>0</v>
      </c>
      <c r="BD59" s="156" t="n">
        <f t="shared" si="16"/>
        <v>0</v>
      </c>
      <c r="BE59" s="156" t="n">
        <f t="shared" si="16"/>
        <v>0.2</v>
      </c>
      <c r="BF59" s="156" t="n">
        <f t="shared" si="16"/>
        <v>3</v>
      </c>
      <c r="BG59" s="156" t="n">
        <f t="shared" si="16"/>
        <v>1</v>
      </c>
      <c r="BH59" s="156" t="n">
        <f t="shared" si="16"/>
        <v>120</v>
      </c>
      <c r="BI59" s="156" t="n">
        <f t="shared" si="16"/>
        <v>7.27</v>
      </c>
      <c r="BJ59" s="156" t="n">
        <f t="shared" si="16"/>
        <v>0</v>
      </c>
      <c r="BK59" s="156" t="n">
        <f t="shared" si="16"/>
        <v>0</v>
      </c>
      <c r="BL59" s="156" t="n">
        <f t="shared" si="16"/>
        <v>130</v>
      </c>
      <c r="BM59" s="156" t="n">
        <f t="shared" si="16"/>
        <v>50</v>
      </c>
      <c r="BN59" s="156" t="n">
        <f t="shared" si="16"/>
        <v>0.89999999999999991</v>
      </c>
      <c r="BO59" s="156" t="n">
        <f t="shared" si="16"/>
        <v>150</v>
      </c>
      <c r="BP59" s="156" t="n">
        <f t="shared" si="16"/>
        <v>0.8</v>
      </c>
      <c r="BQ59" s="110"/>
    </row>
    <row r="60">
      <c r="A60" s="135" t="n">
        <v>397</v>
      </c>
      <c r="B60" s="44" t="s">
        <v>325</v>
      </c>
      <c r="C60" s="44"/>
      <c r="D60" s="142" t="s">
        <v>306</v>
      </c>
      <c r="E60" s="142"/>
      <c r="F60" s="103" t="n">
        <v>0.15</v>
      </c>
      <c r="G60" s="89" t="n">
        <v>3.3000000000000029E-2</v>
      </c>
      <c r="H60" s="89" t="n">
        <v>0.17822019808805492</v>
      </c>
      <c r="I60" s="142" t="n">
        <v>212</v>
      </c>
      <c r="J60" s="142" t="n">
        <v>1634.2637500000001</v>
      </c>
      <c r="K60" s="166" t="n">
        <v>0.56200000000000006</v>
      </c>
      <c r="L60" s="166" t="n">
        <v>0.5799024000000006</v>
      </c>
      <c r="M60" s="166" t="n">
        <v>0.56611755200000013</v>
      </c>
      <c r="N60" s="166" t="n">
        <v>3.1318278969617719</v>
      </c>
      <c r="O60" s="94" t="n">
        <v>0.8</v>
      </c>
      <c r="P60" s="94" t="n">
        <v>0.2</v>
      </c>
      <c r="Q60" s="94" t="n">
        <v>0.25</v>
      </c>
      <c r="R60" s="94"/>
      <c r="S60" s="22" t="n">
        <f>VLOOKUP($B60,Conversores_Dieta!$B$4:$J$164,Coefs!S$292,0)</f>
        <v>0.77</v>
      </c>
      <c r="T60" s="130" t="n">
        <f>VLOOKUP($B60,Conversores_Dieta!$B$4:$J$164,Coefs!T$292,0)</f>
        <v>1.1199999999999999E-3</v>
      </c>
      <c r="U60" s="166" t="n">
        <f>VLOOKUP($B60,Conversores_Dieta!$B$4:$J$164,Coefs!U$292,0)</f>
        <v>2</v>
      </c>
      <c r="V60" s="166" t="n">
        <f>VLOOKUP($B60,Conversores_Dieta!$B$4:$J$164,Coefs!V$292,0)</f>
        <v>19</v>
      </c>
      <c r="W60" s="21" t="n">
        <f>VLOOKUP($B60,Conversores_Dieta!$B$4:$J$164,Coefs!W$292,0)</f>
        <v>170</v>
      </c>
      <c r="X60" s="21" t="n">
        <f>VLOOKUP($B60,Conversores_Dieta!$B$4:$J$164,Coefs!X$292,0)</f>
        <v>20</v>
      </c>
      <c r="Y60" s="66"/>
      <c r="Z60" s="66"/>
      <c r="AA60" s="66"/>
      <c r="AB60" s="66"/>
      <c r="AC60" s="66"/>
      <c r="AD60" s="171"/>
      <c r="AE60" s="171"/>
      <c r="AF60" s="171"/>
      <c r="AG60" s="171"/>
      <c r="AH60" s="171"/>
      <c r="AI60" s="153" t="n">
        <f t="shared" si="13"/>
        <v>3.3939393939393908E-2</v>
      </c>
      <c r="AJ60" s="71"/>
      <c r="AK60" s="67"/>
      <c r="AL60" s="153" t="n">
        <v>0.41</v>
      </c>
      <c r="AM60" s="121" t="n">
        <v>2.6125000000000002E-2</v>
      </c>
      <c r="AN60" s="153"/>
      <c r="AO60" s="153"/>
      <c r="AP60" s="153" t="n">
        <v>0.33810000000000001</v>
      </c>
      <c r="AQ60" s="121" t="n">
        <v>0.11534666666666667</v>
      </c>
      <c r="AR60" s="94"/>
      <c r="AS60" s="121" t="n">
        <v>0.72602958765444336</v>
      </c>
      <c r="AT60" s="59" t="n">
        <f t="shared" si="0"/>
        <v>0.17824592074592077</v>
      </c>
      <c r="AU60" s="87" t="n">
        <v>0.4400179319117839</v>
      </c>
      <c r="AV60" s="87" t="n">
        <v>0.28601165574265952</v>
      </c>
      <c r="AW60" s="5"/>
      <c r="AX60" s="107" t="n">
        <f t="shared" si="10"/>
        <v>3.2376515151515128E-2</v>
      </c>
      <c r="AY60" s="119" t="n">
        <v>17.572800000000001</v>
      </c>
      <c r="AZ60" t="n">
        <v>0.7</v>
      </c>
      <c r="BA60" t="n">
        <v>8</v>
      </c>
      <c r="BB60" t="n">
        <v>0</v>
      </c>
      <c r="BC60" t="n">
        <v>0</v>
      </c>
      <c r="BD60" t="n">
        <v>0</v>
      </c>
      <c r="BE60" t="n">
        <v>0.2</v>
      </c>
      <c r="BF60" t="n">
        <v>3</v>
      </c>
      <c r="BG60" t="n">
        <v>1</v>
      </c>
      <c r="BH60" t="n">
        <v>120</v>
      </c>
      <c r="BI60" t="n">
        <v>7.27</v>
      </c>
      <c r="BJ60" t="n">
        <v>0</v>
      </c>
      <c r="BK60" t="n">
        <v>0</v>
      </c>
      <c r="BL60" t="n">
        <v>130</v>
      </c>
      <c r="BM60" t="n">
        <v>50</v>
      </c>
      <c r="BN60" t="n">
        <v>0.89999999999999991</v>
      </c>
      <c r="BO60" t="n">
        <v>150</v>
      </c>
      <c r="BP60" t="n">
        <v>0.8</v>
      </c>
      <c r="BQ60" s="110"/>
    </row>
    <row r="61">
      <c r="A61" s="135" t="n">
        <v>394</v>
      </c>
      <c r="B61" s="44" t="s">
        <v>768</v>
      </c>
      <c r="C61" s="44"/>
      <c r="D61" s="142" t="s">
        <v>306</v>
      </c>
      <c r="E61" s="142"/>
      <c r="F61" s="103" t="n">
        <v>0.15</v>
      </c>
      <c r="G61" s="89" t="n">
        <v>0.10800000000000001</v>
      </c>
      <c r="H61" s="89" t="n">
        <v>0.30000000000000004</v>
      </c>
      <c r="I61" s="142" t="n">
        <v>212</v>
      </c>
      <c r="J61" s="142" t="n">
        <v>1634.2637500000001</v>
      </c>
      <c r="K61" s="166" t="n">
        <v>0.61299999999999999</v>
      </c>
      <c r="L61" s="166" t="n">
        <v>1.8978624000000004</v>
      </c>
      <c r="M61" s="166" t="n">
        <v>1.0370045920000002</v>
      </c>
      <c r="N61" s="166" t="n">
        <v>5.271840000000001</v>
      </c>
      <c r="O61" s="94" t="n">
        <v>0.88</v>
      </c>
      <c r="P61" s="94" t="n">
        <v>0.12000000000000001</v>
      </c>
      <c r="Q61" s="94" t="n">
        <v>0.13636363636363635</v>
      </c>
      <c r="R61" s="94"/>
      <c r="S61" s="22" t="n">
        <f>VLOOKUP($B61,Conversores_Dieta!$B$4:$J$164,Coefs!S$292,0)</f>
        <v>0.67</v>
      </c>
      <c r="T61" s="130" t="n">
        <f>VLOOKUP($B61,Conversores_Dieta!$B$4:$J$164,Coefs!T$292,0)</f>
        <v>1.1199999999999999E-3</v>
      </c>
      <c r="U61" s="166" t="n">
        <f>VLOOKUP($B61,Conversores_Dieta!$B$4:$J$164,Coefs!U$292,0)</f>
        <v>2</v>
      </c>
      <c r="V61" s="166" t="n">
        <f>VLOOKUP($B61,Conversores_Dieta!$B$4:$J$164,Coefs!V$292,0)</f>
        <v>22</v>
      </c>
      <c r="W61" s="21" t="n">
        <f>VLOOKUP($B61,Conversores_Dieta!$B$4:$J$164,Coefs!W$292,0)</f>
        <v>290</v>
      </c>
      <c r="X61" s="21" t="n">
        <f>VLOOKUP($B61,Conversores_Dieta!$B$4:$J$164,Coefs!X$292,0)</f>
        <v>750</v>
      </c>
      <c r="Y61" s="66"/>
      <c r="Z61" s="66"/>
      <c r="AA61" s="66"/>
      <c r="AB61" s="66"/>
      <c r="AC61" s="66"/>
      <c r="AD61" s="171"/>
      <c r="AE61" s="171"/>
      <c r="AF61" s="171"/>
      <c r="AG61" s="171"/>
      <c r="AH61" s="171"/>
      <c r="AI61" s="153" t="n">
        <f t="shared" si="13"/>
        <v>1.0370370370370368E-2</v>
      </c>
      <c r="AJ61" s="71"/>
      <c r="AK61" s="67"/>
      <c r="AL61" s="121" t="n">
        <v>0.41000000000000009</v>
      </c>
      <c r="AM61" s="121" t="n">
        <v>2.6125000000000002E-2</v>
      </c>
      <c r="AN61" s="153"/>
      <c r="AO61" s="153"/>
      <c r="AP61" s="153" t="n">
        <v>0.35967000000000005</v>
      </c>
      <c r="AQ61" s="121" t="n">
        <v>0.11534666666666667</v>
      </c>
      <c r="AR61" s="94"/>
      <c r="AS61" s="121" t="n">
        <v>0.72602958765444336</v>
      </c>
      <c r="AT61" s="59" t="n">
        <f t="shared" si="0"/>
        <v>0.17824592074592077</v>
      </c>
      <c r="AU61" s="87" t="n">
        <v>0.4400179319117839</v>
      </c>
      <c r="AV61" s="87" t="n">
        <v>0.28601165574265952</v>
      </c>
      <c r="AW61" s="5"/>
      <c r="AX61" s="107" t="n">
        <f t="shared" si="10"/>
        <v>1.2260925925925925E-2</v>
      </c>
      <c r="AY61" s="119" t="n">
        <v>17.572800000000001</v>
      </c>
      <c r="AZ61" t="n">
        <v>0.7</v>
      </c>
      <c r="BA61" t="n">
        <v>24</v>
      </c>
      <c r="BB61" t="n">
        <v>2.6</v>
      </c>
      <c r="BC61" t="n">
        <v>0.70000000000000007</v>
      </c>
      <c r="BD61" t="n">
        <v>0</v>
      </c>
      <c r="BE61" t="n">
        <v>0.1</v>
      </c>
      <c r="BF61" t="n">
        <v>4</v>
      </c>
      <c r="BG61" t="n">
        <v>2</v>
      </c>
      <c r="BH61" t="n">
        <v>100</v>
      </c>
      <c r="BI61" t="n">
        <v>7.27</v>
      </c>
      <c r="BJ61" t="n">
        <v>0</v>
      </c>
      <c r="BK61" t="n">
        <v>0</v>
      </c>
      <c r="BL61" t="n">
        <v>250</v>
      </c>
      <c r="BM61" t="n">
        <v>120</v>
      </c>
      <c r="BN61" t="n">
        <v>1</v>
      </c>
      <c r="BO61" t="n">
        <v>15</v>
      </c>
      <c r="BP61" t="n">
        <v>25</v>
      </c>
      <c r="BQ61" s="110"/>
    </row>
    <row r="62">
      <c r="A62" s="135"/>
      <c r="B62" s="44" t="s">
        <v>323</v>
      </c>
      <c r="C62" s="44"/>
      <c r="D62" s="142" t="s">
        <v>306</v>
      </c>
      <c r="E62" s="142"/>
      <c r="F62" s="103" t="n">
        <v>0.15</v>
      </c>
      <c r="G62" s="89" t="n">
        <v>3.5000000000000031E-2</v>
      </c>
      <c r="H62" s="89" t="n">
        <v>0.17822019808805492</v>
      </c>
      <c r="I62" s="142" t="n">
        <v>212</v>
      </c>
      <c r="J62" s="142" t="n">
        <v>1634.2637500000001</v>
      </c>
      <c r="K62" s="166" t="n">
        <v>0.59000000000000008</v>
      </c>
      <c r="L62" s="166" t="n">
        <v>0.61504800000000059</v>
      </c>
      <c r="M62" s="166" t="n">
        <v>0.59751440000000022</v>
      </c>
      <c r="N62" s="166" t="n">
        <v>3.1318278969617719</v>
      </c>
      <c r="O62" s="94" t="n">
        <v>0.8</v>
      </c>
      <c r="P62" s="94" t="n">
        <v>0.2</v>
      </c>
      <c r="Q62" s="94" t="n">
        <v>0.25</v>
      </c>
      <c r="R62" s="94"/>
      <c r="S62" s="22" t="n">
        <f>VLOOKUP($B62,Conversores_Dieta!$B$4:$J$164,Coefs!S$292,0)</f>
        <v>0.7</v>
      </c>
      <c r="T62" s="130" t="n">
        <f>VLOOKUP($B62,Conversores_Dieta!$B$4:$J$164,Coefs!T$292,0)</f>
        <v>9.6000000000000002E-4</v>
      </c>
      <c r="U62" s="166" t="n">
        <f>VLOOKUP($B62,Conversores_Dieta!$B$4:$J$164,Coefs!U$292,0)</f>
        <v>2</v>
      </c>
      <c r="V62" s="166" t="n">
        <f>VLOOKUP($B62,Conversores_Dieta!$B$4:$J$164,Coefs!V$292,0)</f>
        <v>22</v>
      </c>
      <c r="W62" s="21" t="n">
        <f>VLOOKUP($B62,Conversores_Dieta!$B$4:$J$164,Coefs!W$292,0)</f>
        <v>240</v>
      </c>
      <c r="X62" s="21" t="n">
        <f>VLOOKUP($B62,Conversores_Dieta!$B$4:$J$164,Coefs!X$292,0)</f>
        <v>45</v>
      </c>
      <c r="Y62" s="66"/>
      <c r="Z62" s="66"/>
      <c r="AA62" s="66"/>
      <c r="AB62" s="66"/>
      <c r="AC62" s="66"/>
      <c r="AD62" s="171"/>
      <c r="AE62" s="171"/>
      <c r="AF62" s="171"/>
      <c r="AG62" s="171"/>
      <c r="AH62" s="171"/>
      <c r="AI62" s="153" t="n">
        <f t="shared" si="13"/>
        <v>2.7428571428571406E-2</v>
      </c>
      <c r="AJ62" s="71"/>
      <c r="AK62" s="67"/>
      <c r="AL62" s="121" t="n">
        <v>0.41000000000000009</v>
      </c>
      <c r="AM62" s="121" t="n">
        <v>2.6125000000000002E-2</v>
      </c>
      <c r="AN62" s="153"/>
      <c r="AO62" s="153"/>
      <c r="AP62" s="153" t="n">
        <v>0.33879999999999999</v>
      </c>
      <c r="AQ62" s="121" t="n">
        <v>0.11534666666666667</v>
      </c>
      <c r="AR62" s="94"/>
      <c r="AS62" s="121" t="n">
        <v>0.72602958765444336</v>
      </c>
      <c r="AT62" s="59" t="n">
        <f t="shared" si="0"/>
        <v>0.17824592074592077</v>
      </c>
      <c r="AU62" s="87" t="n">
        <v>0.4400179319117839</v>
      </c>
      <c r="AV62" s="87" t="n">
        <v>0.28601165574265952</v>
      </c>
      <c r="AW62" s="5"/>
      <c r="AX62" s="107" t="n">
        <f t="shared" si="10"/>
        <v>2.7167857142857126E-2</v>
      </c>
      <c r="AY62" s="119" t="n">
        <v>17.572800000000001</v>
      </c>
      <c r="AZ62" t="n">
        <v>0.7</v>
      </c>
      <c r="BA62" t="n">
        <v>10</v>
      </c>
      <c r="BB62" t="n">
        <v>0.4</v>
      </c>
      <c r="BC62" t="n">
        <v>0.2</v>
      </c>
      <c r="BD62" t="n">
        <v>0.89999999999999991</v>
      </c>
      <c r="BE62" t="n">
        <v>0.1</v>
      </c>
      <c r="BF62" t="n">
        <v>4</v>
      </c>
      <c r="BG62" t="n">
        <v>3</v>
      </c>
      <c r="BH62" t="n">
        <v>180</v>
      </c>
      <c r="BI62" t="n">
        <v>7.27</v>
      </c>
      <c r="BJ62" t="n">
        <v>0</v>
      </c>
      <c r="BK62" t="n">
        <v>0</v>
      </c>
      <c r="BL62" t="n">
        <v>500</v>
      </c>
      <c r="BM62" t="n">
        <v>200</v>
      </c>
      <c r="BN62" t="n">
        <v>0</v>
      </c>
      <c r="BO62" t="n">
        <v>0</v>
      </c>
      <c r="BP62" t="n">
        <v>0</v>
      </c>
      <c r="BQ62" s="110"/>
    </row>
    <row r="63">
      <c r="A63" s="135"/>
      <c r="B63" s="44" t="s">
        <v>322</v>
      </c>
      <c r="C63" s="44"/>
      <c r="D63" s="142" t="s">
        <v>306</v>
      </c>
      <c r="E63" s="142"/>
      <c r="F63" s="103" t="n">
        <v>0.15</v>
      </c>
      <c r="G63" s="89" t="n">
        <v>6.1000000000000054E-2</v>
      </c>
      <c r="H63" s="89" t="n">
        <v>0.17397078682651235</v>
      </c>
      <c r="I63" s="142" t="n">
        <v>212</v>
      </c>
      <c r="J63" s="142" t="n">
        <v>1634.2637500000001</v>
      </c>
      <c r="K63" s="166" t="n">
        <v>0.995</v>
      </c>
      <c r="L63" s="166" t="n">
        <v>1.071940800000001</v>
      </c>
      <c r="M63" s="166" t="n">
        <v>1.0103881600000002</v>
      </c>
      <c r="N63" s="166" t="n">
        <v>3.0571538427449365</v>
      </c>
      <c r="O63" s="94" t="n">
        <v>0.78009205086200173</v>
      </c>
      <c r="P63" s="94" t="n">
        <v>0.21990794913799827</v>
      </c>
      <c r="Q63" s="94" t="n">
        <v>0.28189999999999998</v>
      </c>
      <c r="R63" s="94"/>
      <c r="S63" s="22" t="n">
        <f>VLOOKUP($B63,Conversores_Dieta!$B$4:$J$164,Coefs!S$292,0)</f>
        <v>0.8</v>
      </c>
      <c r="T63" s="130" t="n">
        <f>VLOOKUP($B63,Conversores_Dieta!$B$4:$J$164,Coefs!T$292,0)</f>
        <v>2.2399999999999998E-3</v>
      </c>
      <c r="U63" s="166" t="n">
        <f>VLOOKUP($B63,Conversores_Dieta!$B$4:$J$164,Coefs!U$292,0)</f>
        <v>2</v>
      </c>
      <c r="V63" s="166" t="n">
        <f>VLOOKUP($B63,Conversores_Dieta!$B$4:$J$164,Coefs!V$292,0)</f>
        <v>35</v>
      </c>
      <c r="W63" s="21" t="n">
        <f>VLOOKUP($B63,Conversores_Dieta!$B$4:$J$164,Coefs!W$292,0)</f>
        <v>1140</v>
      </c>
      <c r="X63" s="21" t="n">
        <f>VLOOKUP($B63,Conversores_Dieta!$B$4:$J$164,Coefs!X$292,0)</f>
        <v>0</v>
      </c>
      <c r="Y63" s="66"/>
      <c r="Z63" s="66"/>
      <c r="AA63" s="66"/>
      <c r="AB63" s="66"/>
      <c r="AC63" s="66"/>
      <c r="AD63" s="171"/>
      <c r="AE63" s="171"/>
      <c r="AF63" s="171"/>
      <c r="AG63" s="171"/>
      <c r="AH63" s="171"/>
      <c r="AI63" s="153" t="n">
        <f t="shared" si="13"/>
        <v>3.6721311475409801E-2</v>
      </c>
      <c r="AJ63" s="71"/>
      <c r="AK63" s="67"/>
      <c r="AL63" s="121" t="n">
        <v>0.41000000000000009</v>
      </c>
      <c r="AM63" s="121" t="n">
        <v>2.6125000000000002E-2</v>
      </c>
      <c r="AN63" s="153"/>
      <c r="AO63" s="153"/>
      <c r="AP63" s="153" t="n">
        <v>0.35967000000000005</v>
      </c>
      <c r="AQ63" s="121" t="n">
        <v>0.11534666666666667</v>
      </c>
      <c r="AR63" s="94"/>
      <c r="AS63" s="121" t="n">
        <v>0.72602958765444336</v>
      </c>
      <c r="AT63" s="59" t="n">
        <f t="shared" si="0"/>
        <v>0.17824592074592077</v>
      </c>
      <c r="AU63" s="87" t="n">
        <v>0.4400179319117839</v>
      </c>
      <c r="AV63" s="87" t="n">
        <v>0.28601165574265952</v>
      </c>
      <c r="AW63" s="5"/>
      <c r="AX63" s="107" t="n">
        <f t="shared" si="10"/>
        <v>3.4391098350424996E-2</v>
      </c>
      <c r="AY63" s="119" t="n">
        <v>17.572800000000001</v>
      </c>
      <c r="AZ63" t="n">
        <v>0.7</v>
      </c>
      <c r="BA63" t="n">
        <v>50</v>
      </c>
      <c r="BB63" t="n">
        <v>0</v>
      </c>
      <c r="BC63" t="n">
        <v>0</v>
      </c>
      <c r="BD63" t="n">
        <v>0</v>
      </c>
      <c r="BE63" t="n">
        <v>1</v>
      </c>
      <c r="BF63" t="n">
        <v>15</v>
      </c>
      <c r="BG63" t="n">
        <v>3.5</v>
      </c>
      <c r="BH63" t="n">
        <v>550</v>
      </c>
      <c r="BI63" t="n">
        <v>7.27</v>
      </c>
      <c r="BJ63" t="n">
        <v>0</v>
      </c>
      <c r="BK63" t="n">
        <v>0</v>
      </c>
      <c r="BL63" t="n">
        <v>340</v>
      </c>
      <c r="BM63" t="n">
        <v>10</v>
      </c>
      <c r="BN63" t="n">
        <v>9</v>
      </c>
      <c r="BO63" t="n">
        <v>350</v>
      </c>
      <c r="BP63" t="n">
        <v>0.2</v>
      </c>
      <c r="BQ63" s="110"/>
    </row>
    <row r="64">
      <c r="A64" s="135" t="n">
        <v>366</v>
      </c>
      <c r="B64" s="44" t="s">
        <v>321</v>
      </c>
      <c r="C64" s="44"/>
      <c r="D64" s="142" t="s">
        <v>306</v>
      </c>
      <c r="E64" s="142"/>
      <c r="F64" s="103" t="n">
        <v>0.15</v>
      </c>
      <c r="G64" s="89" t="n">
        <v>0.11899999999999999</v>
      </c>
      <c r="H64" s="89" t="n">
        <v>0.19999999999999996</v>
      </c>
      <c r="I64" s="142" t="n">
        <v>212</v>
      </c>
      <c r="J64" s="142" t="n">
        <v>1634.2637500000001</v>
      </c>
      <c r="K64" s="166" t="n">
        <v>1.843</v>
      </c>
      <c r="L64" s="166" t="n">
        <v>2.0911632</v>
      </c>
      <c r="M64" s="166" t="n">
        <v>2.0018244479999998</v>
      </c>
      <c r="N64" s="166" t="n">
        <v>3.5145599999999995</v>
      </c>
      <c r="O64" s="94" t="n">
        <v>0.41677954445995791</v>
      </c>
      <c r="P64" s="94" t="n">
        <v>0.58322045554004209</v>
      </c>
      <c r="Q64" s="94" t="n">
        <v>1.3993500000000001</v>
      </c>
      <c r="R64" s="94"/>
      <c r="S64" s="22" t="n">
        <f>VLOOKUP($B64,Conversores_Dieta!$B$4:$J$164,Coefs!S$292,0)</f>
        <v>0.36</v>
      </c>
      <c r="T64" s="130" t="n">
        <f>VLOOKUP($B64,Conversores_Dieta!$B$4:$J$164,Coefs!T$292,0)</f>
        <v>3.6800000000000001E-3</v>
      </c>
      <c r="U64" s="166" t="n">
        <f>VLOOKUP($B64,Conversores_Dieta!$B$4:$J$164,Coefs!U$292,0)</f>
        <v>1</v>
      </c>
      <c r="V64" s="166" t="n">
        <f>VLOOKUP($B64,Conversores_Dieta!$B$4:$J$164,Coefs!V$292,0)</f>
        <v>75</v>
      </c>
      <c r="W64" s="21" t="n">
        <f>VLOOKUP($B64,Conversores_Dieta!$B$4:$J$164,Coefs!W$292,0)</f>
        <v>450</v>
      </c>
      <c r="X64" s="21" t="n">
        <f>VLOOKUP($B64,Conversores_Dieta!$B$4:$J$164,Coefs!X$292,0)</f>
        <v>80</v>
      </c>
      <c r="Y64" s="66"/>
      <c r="Z64" s="66"/>
      <c r="AA64" s="66"/>
      <c r="AB64" s="66"/>
      <c r="AC64" s="66"/>
      <c r="AD64" s="171"/>
      <c r="AE64" s="171"/>
      <c r="AF64" s="171"/>
      <c r="AG64" s="171"/>
      <c r="AH64" s="171"/>
      <c r="AI64" s="153" t="n">
        <f t="shared" si="13"/>
        <v>3.0924369747899163E-2</v>
      </c>
      <c r="AJ64" s="71"/>
      <c r="AK64" s="67"/>
      <c r="AL64" s="121" t="n">
        <v>0.41000000000000009</v>
      </c>
      <c r="AM64" s="121" t="n">
        <v>2.6125000000000002E-2</v>
      </c>
      <c r="AN64" s="153"/>
      <c r="AO64" s="153"/>
      <c r="AP64" s="153" t="n">
        <v>0.35967000000000005</v>
      </c>
      <c r="AQ64" s="121" t="n">
        <v>0.11534666666666667</v>
      </c>
      <c r="AR64" s="94"/>
      <c r="AS64" s="121" t="n">
        <v>0.72602958765444336</v>
      </c>
      <c r="AT64" s="59" t="n">
        <f t="shared" si="0"/>
        <v>0.17824592074592077</v>
      </c>
      <c r="AU64" s="87" t="n">
        <v>0.4400179319117839</v>
      </c>
      <c r="AV64" s="87" t="n">
        <v>0.28601165574265952</v>
      </c>
      <c r="AW64" s="5"/>
      <c r="AX64" s="107" t="n">
        <f t="shared" si="10"/>
        <v>2.8125279137224318E-2</v>
      </c>
      <c r="AY64" s="119" t="n">
        <v>17.572800000000001</v>
      </c>
      <c r="AZ64" t="n">
        <v>0.7</v>
      </c>
      <c r="BA64" t="n">
        <v>94</v>
      </c>
      <c r="BB64" t="n">
        <v>0</v>
      </c>
      <c r="BC64" t="n">
        <v>0</v>
      </c>
      <c r="BD64" t="n">
        <v>0.89999999999999991</v>
      </c>
      <c r="BE64" t="n">
        <v>1</v>
      </c>
      <c r="BF64" t="n">
        <v>10</v>
      </c>
      <c r="BG64" t="n">
        <v>1</v>
      </c>
      <c r="BH64" t="n">
        <v>270</v>
      </c>
      <c r="BI64" t="n">
        <v>7.27</v>
      </c>
      <c r="BJ64" t="n">
        <v>0</v>
      </c>
      <c r="BK64" t="n">
        <v>0</v>
      </c>
      <c r="BL64" t="n">
        <v>280</v>
      </c>
      <c r="BM64" t="n">
        <v>60</v>
      </c>
      <c r="BN64" t="n">
        <v>2</v>
      </c>
      <c r="BO64" t="n">
        <v>250</v>
      </c>
      <c r="BP64" t="n">
        <v>0.6</v>
      </c>
      <c r="BQ64" s="110"/>
    </row>
    <row r="65">
      <c r="A65" s="135" t="n">
        <v>426</v>
      </c>
      <c r="B65" s="44" t="s">
        <v>320</v>
      </c>
      <c r="C65" s="44"/>
      <c r="D65" s="142" t="s">
        <v>306</v>
      </c>
      <c r="E65" s="142"/>
      <c r="F65" s="103" t="n">
        <v>0.15</v>
      </c>
      <c r="G65" s="89" t="n">
        <v>8.0999999999999961E-2</v>
      </c>
      <c r="H65" s="89" t="n">
        <v>0.20500000000000002</v>
      </c>
      <c r="I65" s="142" t="n">
        <v>212</v>
      </c>
      <c r="J65" s="142" t="n">
        <v>1634.2637500000001</v>
      </c>
      <c r="K65" s="166" t="n">
        <v>1.526</v>
      </c>
      <c r="L65" s="166" t="n">
        <v>1.4233967999999995</v>
      </c>
      <c r="M65" s="166" t="n">
        <v>1.5085574559999997</v>
      </c>
      <c r="N65" s="166" t="n">
        <v>3.6024240000000005</v>
      </c>
      <c r="O65" s="94" t="n">
        <v>0.53472708133111357</v>
      </c>
      <c r="P65" s="94" t="n">
        <v>0.46527291866888637</v>
      </c>
      <c r="Q65" s="94" t="n">
        <v>0.8701128761061947</v>
      </c>
      <c r="R65" s="94"/>
      <c r="S65" s="22" t="n">
        <f>VLOOKUP($B65,Conversores_Dieta!$B$4:$J$164,Coefs!S$292,0)</f>
        <v>0.83</v>
      </c>
      <c r="T65" s="130" t="n">
        <f>VLOOKUP($B65,Conversores_Dieta!$B$4:$J$164,Coefs!T$292,0)</f>
        <v>1.4400000000000001E-3</v>
      </c>
      <c r="U65" s="166" t="n">
        <f>VLOOKUP($B65,Conversores_Dieta!$B$4:$J$164,Coefs!U$292,0)</f>
        <v>2</v>
      </c>
      <c r="V65" s="166" t="n">
        <f>VLOOKUP($B65,Conversores_Dieta!$B$4:$J$164,Coefs!V$292,0)</f>
        <v>73</v>
      </c>
      <c r="W65" s="21" t="n">
        <f>VLOOKUP($B65,Conversores_Dieta!$B$4:$J$164,Coefs!W$292,0)</f>
        <v>410</v>
      </c>
      <c r="X65" s="21" t="n">
        <f>VLOOKUP($B65,Conversores_Dieta!$B$4:$J$164,Coefs!X$292,0)</f>
        <v>13460</v>
      </c>
      <c r="Y65" s="66"/>
      <c r="Z65" s="66"/>
      <c r="AA65" s="66"/>
      <c r="AB65" s="66"/>
      <c r="AC65" s="66"/>
      <c r="AD65" s="171"/>
      <c r="AE65" s="171"/>
      <c r="AF65" s="171"/>
      <c r="AG65" s="171"/>
      <c r="AH65" s="171"/>
      <c r="AI65" s="153" t="n">
        <f t="shared" si="13"/>
        <v>1.7777777777777788E-2</v>
      </c>
      <c r="AJ65" s="71"/>
      <c r="AK65" s="67"/>
      <c r="AL65" s="121" t="n">
        <v>0.41000000000000009</v>
      </c>
      <c r="AM65" s="153" t="n">
        <v>1.4999999999999999E-2</v>
      </c>
      <c r="AN65" s="153"/>
      <c r="AO65" s="153"/>
      <c r="AP65" s="153" t="n">
        <v>0.35299999999999998</v>
      </c>
      <c r="AQ65" s="121" t="n">
        <v>0.11534666666666667</v>
      </c>
      <c r="AR65" s="94"/>
      <c r="AS65" s="121" t="n">
        <v>0.72602958765444336</v>
      </c>
      <c r="AT65" s="59" t="n">
        <f t="shared" si="0"/>
        <v>0.17824592074592077</v>
      </c>
      <c r="AU65" s="87" t="n">
        <v>0.4400179319117839</v>
      </c>
      <c r="AV65" s="87" t="n">
        <v>0.28601165574265952</v>
      </c>
      <c r="AW65" s="5"/>
      <c r="AX65" s="107" t="n">
        <f t="shared" si="10"/>
        <v>1.6485353003697543E-2</v>
      </c>
      <c r="AY65" s="119" t="n">
        <v>17.572800000000001</v>
      </c>
      <c r="AZ65" t="n">
        <v>0.7</v>
      </c>
      <c r="BA65" t="n">
        <v>26</v>
      </c>
      <c r="BB65" t="n">
        <v>0.5</v>
      </c>
      <c r="BC65" t="n">
        <v>0.2</v>
      </c>
      <c r="BD65" t="n">
        <v>1.2</v>
      </c>
      <c r="BE65" t="n">
        <v>0.1</v>
      </c>
      <c r="BF65" t="n">
        <v>3</v>
      </c>
      <c r="BG65" t="n">
        <v>2</v>
      </c>
      <c r="BH65" t="n">
        <v>100</v>
      </c>
      <c r="BI65" t="n">
        <v>7.27</v>
      </c>
      <c r="BJ65" t="n">
        <v>0</v>
      </c>
      <c r="BK65" t="n">
        <v>0</v>
      </c>
      <c r="BL65" t="n">
        <v>300</v>
      </c>
      <c r="BM65" t="n">
        <v>70</v>
      </c>
      <c r="BN65" t="n">
        <v>5</v>
      </c>
      <c r="BO65" t="n">
        <v>20</v>
      </c>
      <c r="BP65" t="n">
        <v>100</v>
      </c>
      <c r="BQ65" s="110"/>
    </row>
    <row r="66">
      <c r="A66" s="135" t="n">
        <v>544</v>
      </c>
      <c r="B66" s="44" t="s">
        <v>319</v>
      </c>
      <c r="C66" s="44"/>
      <c r="D66" s="142" t="s">
        <v>306</v>
      </c>
      <c r="E66" s="142"/>
      <c r="F66" s="103" t="n">
        <v>0.15</v>
      </c>
      <c r="G66" s="89" t="n">
        <v>0.10399999999999998</v>
      </c>
      <c r="H66" s="89" t="n">
        <v>0.3</v>
      </c>
      <c r="I66" s="142" t="n">
        <v>212</v>
      </c>
      <c r="J66" s="142" t="n">
        <v>1634.2637500000001</v>
      </c>
      <c r="K66" s="166" t="n">
        <v>1.546</v>
      </c>
      <c r="L66" s="166" t="n">
        <v>1.8275711999999997</v>
      </c>
      <c r="M66" s="166" t="n">
        <v>1.56007856</v>
      </c>
      <c r="N66" s="166" t="n">
        <v>5.2718400000000001</v>
      </c>
      <c r="O66" s="94" t="n">
        <v>0.5</v>
      </c>
      <c r="P66" s="94" t="n">
        <v>0.5</v>
      </c>
      <c r="Q66" s="94" t="n">
        <v>1</v>
      </c>
      <c r="R66" s="94"/>
      <c r="S66" s="22" t="n">
        <f>VLOOKUP($B66,Conversores_Dieta!$B$4:$J$164,Coefs!S$292,0)</f>
        <v>0.95</v>
      </c>
      <c r="T66" s="130" t="n">
        <f>VLOOKUP($B66,Conversores_Dieta!$B$4:$J$164,Coefs!T$292,0)</f>
        <v>1.1199999999999999E-3</v>
      </c>
      <c r="U66" s="166" t="n">
        <f>VLOOKUP($B66,Conversores_Dieta!$B$4:$J$164,Coefs!U$292,0)</f>
        <v>5</v>
      </c>
      <c r="V66" s="166" t="n">
        <f>VLOOKUP($B66,Conversores_Dieta!$B$4:$J$164,Coefs!V$292,0)</f>
        <v>70</v>
      </c>
      <c r="W66" s="21" t="n">
        <f>VLOOKUP($B66,Conversores_Dieta!$B$4:$J$164,Coefs!W$292,0)</f>
        <v>250</v>
      </c>
      <c r="X66" s="21" t="n">
        <f>VLOOKUP($B66,Conversores_Dieta!$B$4:$J$164,Coefs!X$292,0)</f>
        <v>10</v>
      </c>
      <c r="Y66" s="66"/>
      <c r="Z66" s="66"/>
      <c r="AA66" s="66"/>
      <c r="AB66" s="66"/>
      <c r="AC66" s="66"/>
      <c r="AD66" s="171"/>
      <c r="AE66" s="171"/>
      <c r="AF66" s="171"/>
      <c r="AG66" s="171"/>
      <c r="AH66" s="171"/>
      <c r="AI66" s="153" t="n">
        <f t="shared" si="13"/>
        <v>1.0769230769230771E-2</v>
      </c>
      <c r="AJ66" s="71"/>
      <c r="AK66" s="67"/>
      <c r="AL66" s="121" t="n">
        <v>0.41000000000000009</v>
      </c>
      <c r="AM66" s="121" t="n">
        <v>2.6125000000000002E-2</v>
      </c>
      <c r="AN66" s="153"/>
      <c r="AO66" s="153"/>
      <c r="AP66" s="153" t="n">
        <v>0.35967000000000005</v>
      </c>
      <c r="AQ66" s="121" t="n">
        <v>0.11534666666666667</v>
      </c>
      <c r="AR66" s="94"/>
      <c r="AS66" s="121" t="n">
        <v>0.72602958765444336</v>
      </c>
      <c r="AT66" s="59" t="n">
        <f t="shared" si="0"/>
        <v>0.17824592074592077</v>
      </c>
      <c r="AU66" s="87" t="n">
        <v>0.4400179319117839</v>
      </c>
      <c r="AV66" s="87" t="n">
        <v>0.28601165574265952</v>
      </c>
      <c r="AW66" s="5"/>
      <c r="AX66" s="107" t="n">
        <f t="shared" si="10"/>
        <v>1.8447115384615388E-2</v>
      </c>
      <c r="AY66" s="119" t="n">
        <v>17.572800000000001</v>
      </c>
      <c r="AZ66" t="n">
        <v>0.7</v>
      </c>
      <c r="BA66" t="n">
        <v>22</v>
      </c>
      <c r="BB66" t="n">
        <v>0.3</v>
      </c>
      <c r="BC66" t="n">
        <v>0.6</v>
      </c>
      <c r="BD66" t="n">
        <v>2.4</v>
      </c>
      <c r="BE66" t="n">
        <v>0</v>
      </c>
      <c r="BF66" t="n">
        <v>8</v>
      </c>
      <c r="BG66" t="n">
        <v>1</v>
      </c>
      <c r="BH66" t="n">
        <v>120</v>
      </c>
      <c r="BI66" t="n">
        <v>3.89</v>
      </c>
      <c r="BJ66" t="n">
        <v>0</v>
      </c>
      <c r="BK66" t="n">
        <v>0</v>
      </c>
      <c r="BL66" t="n">
        <v>200</v>
      </c>
      <c r="BM66" t="n">
        <v>600</v>
      </c>
      <c r="BN66" t="n">
        <v>20</v>
      </c>
      <c r="BO66" t="n">
        <v>325</v>
      </c>
      <c r="BP66" t="n">
        <v>0.8</v>
      </c>
      <c r="BQ66" s="110"/>
    </row>
    <row r="67">
      <c r="A67" s="135" t="n">
        <v>372</v>
      </c>
      <c r="B67" s="44" t="s">
        <v>318</v>
      </c>
      <c r="C67" s="44"/>
      <c r="D67" s="142" t="s">
        <v>306</v>
      </c>
      <c r="E67" s="142"/>
      <c r="F67" s="103" t="n">
        <v>0.15</v>
      </c>
      <c r="G67" s="89" t="n">
        <v>4.7000000000000042E-2</v>
      </c>
      <c r="H67" s="89" t="n">
        <v>0.17397078682651235</v>
      </c>
      <c r="I67" s="142" t="n">
        <v>212</v>
      </c>
      <c r="J67" s="142" t="n">
        <v>1634.2637500000001</v>
      </c>
      <c r="K67" s="166" t="n">
        <v>0.7</v>
      </c>
      <c r="L67" s="166" t="n">
        <v>0.82592160000000081</v>
      </c>
      <c r="M67" s="166" t="n">
        <v>0.73273961600000026</v>
      </c>
      <c r="N67" s="166" t="n">
        <v>3.0571538427449365</v>
      </c>
      <c r="O67" s="94" t="n">
        <v>0.78009205086200173</v>
      </c>
      <c r="P67" s="94" t="n">
        <v>0.21990794913799827</v>
      </c>
      <c r="Q67" s="94" t="n">
        <v>0.28189999999999998</v>
      </c>
      <c r="R67" s="94"/>
      <c r="S67" s="22" t="n">
        <f>VLOOKUP($B67,Conversores_Dieta!$B$4:$J$164,Coefs!S$292,0)</f>
        <v>0.74</v>
      </c>
      <c r="T67" s="130" t="n">
        <f>VLOOKUP($B67,Conversores_Dieta!$B$4:$J$164,Coefs!T$292,0)</f>
        <v>2.3999999999999998E-3</v>
      </c>
      <c r="U67" s="166" t="n">
        <f>VLOOKUP($B67,Conversores_Dieta!$B$4:$J$164,Coefs!U$292,0)</f>
        <v>3</v>
      </c>
      <c r="V67" s="166" t="n">
        <f>VLOOKUP($B67,Conversores_Dieta!$B$4:$J$164,Coefs!V$292,0)</f>
        <v>14</v>
      </c>
      <c r="W67" s="21" t="n">
        <f>VLOOKUP($B67,Conversores_Dieta!$B$4:$J$164,Coefs!W$292,0)</f>
        <v>400</v>
      </c>
      <c r="X67" s="21" t="n">
        <f>VLOOKUP($B67,Conversores_Dieta!$B$4:$J$164,Coefs!X$292,0)</f>
        <v>290</v>
      </c>
      <c r="Y67" s="66"/>
      <c r="Z67" s="66"/>
      <c r="AA67" s="66"/>
      <c r="AB67" s="66"/>
      <c r="AC67" s="66"/>
      <c r="AD67" s="171"/>
      <c r="AE67" s="171"/>
      <c r="AF67" s="171"/>
      <c r="AG67" s="171"/>
      <c r="AH67" s="171"/>
      <c r="AI67" s="153" t="n">
        <f t="shared" si="13"/>
        <v>5.1063829787233991E-2</v>
      </c>
      <c r="AJ67" s="71"/>
      <c r="AK67" s="67"/>
      <c r="AL67" s="153" t="n">
        <v>0.41</v>
      </c>
      <c r="AM67" s="153" t="n">
        <v>2.4E-2</v>
      </c>
      <c r="AN67" s="153"/>
      <c r="AO67" s="153"/>
      <c r="AP67" s="153" t="n">
        <v>0.29399999999999998</v>
      </c>
      <c r="AQ67" s="121" t="n">
        <v>0.11534666666666667</v>
      </c>
      <c r="AR67" s="94"/>
      <c r="AS67" s="121" t="n">
        <v>0.72602958765444336</v>
      </c>
      <c r="AT67" s="59" t="n">
        <f t="shared" ref="AT67:AT130" si="17">$AT$228</f>
        <v>0.17824592074592077</v>
      </c>
      <c r="AU67" s="87" t="n">
        <v>0.4400179319117839</v>
      </c>
      <c r="AV67" s="87" t="n">
        <v>0.28601165574265952</v>
      </c>
      <c r="AW67" s="5"/>
      <c r="AX67" s="107" t="n">
        <f t="shared" ref="AX67:AX98" si="18">AI67*O67+P67*AM67</f>
        <v>4.5112278482903501E-2</v>
      </c>
      <c r="AY67" s="119" t="n">
        <v>17.572800000000001</v>
      </c>
      <c r="AZ67" t="n">
        <v>0.7</v>
      </c>
      <c r="BA67" t="n">
        <v>15</v>
      </c>
      <c r="BB67" t="n">
        <v>1.2</v>
      </c>
      <c r="BC67" t="n">
        <v>0</v>
      </c>
      <c r="BD67" t="n">
        <v>3.7</v>
      </c>
      <c r="BE67" t="n">
        <v>1</v>
      </c>
      <c r="BF67" t="n">
        <v>10</v>
      </c>
      <c r="BG67" t="n">
        <v>2.3000000000000003</v>
      </c>
      <c r="BH67" t="n">
        <v>87</v>
      </c>
      <c r="BI67" t="n">
        <v>7.27</v>
      </c>
      <c r="BJ67" t="n">
        <v>0</v>
      </c>
      <c r="BK67" t="n">
        <v>0</v>
      </c>
      <c r="BL67" t="n">
        <v>336</v>
      </c>
      <c r="BM67" t="n">
        <v>122</v>
      </c>
      <c r="BN67" t="n">
        <v>5.0999999999999996</v>
      </c>
      <c r="BO67" t="n">
        <v>75</v>
      </c>
      <c r="BP67" t="n">
        <v>1.2</v>
      </c>
      <c r="BQ67" s="110"/>
    </row>
    <row r="68">
      <c r="A68" s="135" t="n">
        <v>748</v>
      </c>
      <c r="B68" s="44" t="s">
        <v>317</v>
      </c>
      <c r="C68" s="7" t="s">
        <v>318</v>
      </c>
      <c r="D68" s="142" t="s">
        <v>306</v>
      </c>
      <c r="E68" s="142"/>
      <c r="F68" s="103" t="n">
        <v>0.15</v>
      </c>
      <c r="G68" s="89" t="n">
        <v>9.7999999999999976E-2</v>
      </c>
      <c r="H68" s="87" t="n">
        <v>0.21007642501377988</v>
      </c>
      <c r="I68" s="142" t="n">
        <v>212</v>
      </c>
      <c r="J68" s="142" t="n">
        <v>1634.2637500000001</v>
      </c>
      <c r="K68" s="166" t="n">
        <v>0</v>
      </c>
      <c r="L68" s="166" t="n">
        <v>0</v>
      </c>
      <c r="M68" s="166" t="n">
        <v>2.0479999999999996</v>
      </c>
      <c r="N68" s="157" t="n">
        <v>3.6916310014821523</v>
      </c>
      <c r="O68" s="94" t="n">
        <v>0.8</v>
      </c>
      <c r="P68" s="94" t="n">
        <v>0.2</v>
      </c>
      <c r="Q68" s="94" t="n">
        <v>0.25</v>
      </c>
      <c r="R68" s="94"/>
      <c r="S68" s="65" t="n">
        <f>VLOOKUP(C68,$B$3:$X$358,MATCH(S$2,$B$2:$X$2,0),0)</f>
        <v>0.74</v>
      </c>
      <c r="T68" s="15" t="n">
        <f>VLOOKUP($C68,$B$3:$X$358,MATCH(T$2,$B$2:$X$2,0),0)*$G68/VLOOKUP($C68,$B$3:$X$358,MATCH($G$2,$B$2:$X$2,0),0)</f>
        <v>5.0042553191489304E-3</v>
      </c>
      <c r="U68" s="157" t="n">
        <f>VLOOKUP($C68,$B$3:$X$358,MATCH(U$2,$B$2:$X$2,0),0)*$G68/VLOOKUP($C68,$B$3:$X$358,MATCH($G$2,$B$2:$X$2,0),0)</f>
        <v>6.255319148936163</v>
      </c>
      <c r="V68" s="157" t="n">
        <f>VLOOKUP($C68,$B$3:$X$358,MATCH(V$2,$B$2:$X$2,0),0)*$G68/VLOOKUP($C68,$B$3:$X$358,MATCH($G$2,$B$2:$X$2,0),0)</f>
        <v>29.191489361702093</v>
      </c>
      <c r="W68" s="132" t="n">
        <f>VLOOKUP($C68,$B$3:$X$358,MATCH(W$2,$B$2:$X$2,0),0)*$G68/VLOOKUP($C68,$B$3:$X$358,MATCH($G$2,$B$2:$X$2,0),0)</f>
        <v>834.04255319148842</v>
      </c>
      <c r="X68" s="132" t="n">
        <f>VLOOKUP($C68,$B$3:$X$358,MATCH(X$2,$B$2:$X$2,0),0)*$G68/VLOOKUP($C68,$B$3:$X$358,MATCH($G$2,$B$2:$X$2,0),0)</f>
        <v>604.6808510638291</v>
      </c>
      <c r="Y68" s="66"/>
      <c r="Z68" s="66"/>
      <c r="AA68" s="66"/>
      <c r="AB68" s="66"/>
      <c r="AC68" s="66"/>
      <c r="AD68" s="171"/>
      <c r="AE68" s="171"/>
      <c r="AF68" s="171"/>
      <c r="AG68" s="171"/>
      <c r="AH68" s="171"/>
      <c r="AI68" s="121" t="n">
        <f t="shared" si="13"/>
        <v>5.1063829787233998E-2</v>
      </c>
      <c r="AJ68" s="71"/>
      <c r="AK68" s="67"/>
      <c r="AL68" s="121" t="n">
        <v>0.41000000000000009</v>
      </c>
      <c r="AM68" s="121" t="n">
        <v>2.6125000000000002E-2</v>
      </c>
      <c r="AN68" s="153"/>
      <c r="AO68" s="153"/>
      <c r="AP68" s="153" t="n">
        <v>0.35967000000000005</v>
      </c>
      <c r="AQ68" s="121" t="n">
        <v>0.11534666666666667</v>
      </c>
      <c r="AR68" s="94"/>
      <c r="AS68" s="121" t="n">
        <v>0.72602958765444336</v>
      </c>
      <c r="AT68" s="59" t="n">
        <f t="shared" si="17"/>
        <v>0.17824592074592077</v>
      </c>
      <c r="AU68" s="87" t="n">
        <v>0.4400179319117839</v>
      </c>
      <c r="AV68" s="87" t="n">
        <v>0.28601165574265952</v>
      </c>
      <c r="AW68" s="5"/>
      <c r="AX68" s="107" t="n">
        <f t="shared" si="18"/>
        <v>4.6076063829787205E-2</v>
      </c>
      <c r="AY68" s="119" t="n">
        <v>17.572800000000004</v>
      </c>
      <c r="AZ68" t="n">
        <v>0.7</v>
      </c>
      <c r="BA68" t="n">
        <v>68</v>
      </c>
      <c r="BB68" t="n">
        <v>1.9</v>
      </c>
      <c r="BC68" t="n">
        <v>0</v>
      </c>
      <c r="BD68" t="n">
        <v>3.9000000000000004</v>
      </c>
      <c r="BE68" t="n">
        <v>2</v>
      </c>
      <c r="BF68" t="n">
        <v>95</v>
      </c>
      <c r="BG68" t="n">
        <v>10.9</v>
      </c>
      <c r="BH68" t="n">
        <v>630</v>
      </c>
      <c r="BI68" t="n">
        <v>43.9</v>
      </c>
      <c r="BJ68" t="n">
        <v>0</v>
      </c>
      <c r="BK68" t="n">
        <v>0</v>
      </c>
      <c r="BL68" t="n">
        <v>1100</v>
      </c>
      <c r="BM68" t="n">
        <v>310</v>
      </c>
      <c r="BN68" t="n">
        <v>50</v>
      </c>
      <c r="BO68" t="n">
        <v>650</v>
      </c>
      <c r="BP68" t="n">
        <v>35</v>
      </c>
      <c r="BQ68" s="110"/>
    </row>
    <row r="69">
      <c r="A69" s="135"/>
      <c r="B69" s="44" t="s">
        <v>316</v>
      </c>
      <c r="C69" s="44"/>
      <c r="D69" s="142" t="s">
        <v>306</v>
      </c>
      <c r="E69" s="142"/>
      <c r="F69" s="103" t="n">
        <v>0.15</v>
      </c>
      <c r="G69" s="89" t="n">
        <v>0.12</v>
      </c>
      <c r="H69" s="87" t="n">
        <v>0.21007642501377988</v>
      </c>
      <c r="I69" s="142" t="n">
        <v>212</v>
      </c>
      <c r="J69" s="142" t="n">
        <v>1634.2637500000001</v>
      </c>
      <c r="K69" s="166" t="n">
        <v>0</v>
      </c>
      <c r="L69" s="166" t="n">
        <v>0</v>
      </c>
      <c r="M69" s="166" t="n">
        <v>1.6560000000000001</v>
      </c>
      <c r="N69" s="157" t="n">
        <v>3.6916310014821523</v>
      </c>
      <c r="O69" s="94" t="n">
        <v>0.86124401913875603</v>
      </c>
      <c r="P69" s="94" t="n">
        <v>0.13875598086124402</v>
      </c>
      <c r="Q69" s="94" t="n">
        <v>0.16111111111111109</v>
      </c>
      <c r="R69" s="94"/>
      <c r="S69" s="22" t="n">
        <f>VLOOKUP($B69,Conversores_Dieta!$B$4:$J$164,Coefs!S$292,0)</f>
        <v>1</v>
      </c>
      <c r="T69" s="130" t="n">
        <f>VLOOKUP($B69,Conversores_Dieta!$B$4:$J$164,Coefs!T$292,0)</f>
        <v>4.7999999999999996E-3</v>
      </c>
      <c r="U69" s="166" t="n">
        <f>VLOOKUP($B69,Conversores_Dieta!$B$4:$J$164,Coefs!U$292,0)</f>
        <v>13</v>
      </c>
      <c r="V69" s="166" t="n">
        <f>VLOOKUP($B69,Conversores_Dieta!$B$4:$J$164,Coefs!V$292,0)</f>
        <v>27</v>
      </c>
      <c r="W69" s="21" t="n">
        <f>VLOOKUP($B69,Conversores_Dieta!$B$4:$J$164,Coefs!W$292,0)</f>
        <v>2000</v>
      </c>
      <c r="X69" s="21" t="n">
        <f>VLOOKUP($B69,Conversores_Dieta!$B$4:$J$164,Coefs!X$292,0)</f>
        <v>6730</v>
      </c>
      <c r="Y69" s="66"/>
      <c r="Z69" s="66"/>
      <c r="AA69" s="66"/>
      <c r="AB69" s="66"/>
      <c r="AC69" s="66"/>
      <c r="AD69" s="171"/>
      <c r="AE69" s="171"/>
      <c r="AF69" s="171"/>
      <c r="AG69" s="171"/>
      <c r="AH69" s="171"/>
      <c r="AI69" s="153" t="n">
        <f t="shared" si="13"/>
        <v>0.04</v>
      </c>
      <c r="AJ69" s="71"/>
      <c r="AK69" s="67"/>
      <c r="AL69" s="121" t="n">
        <v>0.41000000000000009</v>
      </c>
      <c r="AM69" s="121" t="n">
        <v>2.6125000000000002E-2</v>
      </c>
      <c r="AN69" s="153"/>
      <c r="AO69" s="153"/>
      <c r="AP69" s="153" t="n">
        <v>0.35967000000000005</v>
      </c>
      <c r="AQ69" s="121" t="n">
        <v>0.11534666666666667</v>
      </c>
      <c r="AR69" s="94"/>
      <c r="AS69" s="121" t="n">
        <v>0.72602958765444336</v>
      </c>
      <c r="AT69" s="59" t="n">
        <f t="shared" si="17"/>
        <v>0.17824592074592077</v>
      </c>
      <c r="AU69" s="87" t="n">
        <v>0.4400179319117839</v>
      </c>
      <c r="AV69" s="87" t="n">
        <v>0.28601165574265952</v>
      </c>
      <c r="AW69" s="5"/>
      <c r="AX69" s="107" t="n">
        <f t="shared" si="18"/>
        <v>3.8074760765550247E-2</v>
      </c>
      <c r="AY69" s="119" t="n">
        <v>17.572800000000004</v>
      </c>
      <c r="AZ69" t="n">
        <v>0.7</v>
      </c>
      <c r="BA69" s="156" t="n">
        <f>BA$79</f>
        <v>28.700000000000003</v>
      </c>
      <c r="BB69" s="156" t="n">
        <f t="shared" ref="BB69:BP69" si="19">BB$79</f>
        <v>0.70000000000000007</v>
      </c>
      <c r="BC69" s="156" t="n">
        <f t="shared" si="19"/>
        <v>0.3</v>
      </c>
      <c r="BD69" s="156" t="n">
        <f t="shared" si="19"/>
        <v>1.3</v>
      </c>
      <c r="BE69" s="156" t="n">
        <f t="shared" si="19"/>
        <v>0.4</v>
      </c>
      <c r="BF69" s="156" t="n">
        <f t="shared" si="19"/>
        <v>10.1</v>
      </c>
      <c r="BG69" s="156" t="n">
        <f t="shared" si="19"/>
        <v>4</v>
      </c>
      <c r="BH69" s="156" t="n">
        <f t="shared" si="19"/>
        <v>253.70000000000002</v>
      </c>
      <c r="BI69" s="156" t="n">
        <f t="shared" si="19"/>
        <v>7.27</v>
      </c>
      <c r="BJ69" s="156" t="n">
        <f t="shared" si="19"/>
        <v>0</v>
      </c>
      <c r="BK69" s="156" t="n">
        <f t="shared" si="19"/>
        <v>5</v>
      </c>
      <c r="BL69" s="156" t="n">
        <f t="shared" si="19"/>
        <v>489</v>
      </c>
      <c r="BM69" s="156" t="n">
        <f t="shared" si="19"/>
        <v>315.10000000000002</v>
      </c>
      <c r="BN69" s="156" t="n">
        <f t="shared" si="19"/>
        <v>4.8</v>
      </c>
      <c r="BO69" s="156" t="n">
        <f t="shared" si="19"/>
        <v>300</v>
      </c>
      <c r="BP69" s="156" t="n">
        <f t="shared" si="19"/>
        <v>60</v>
      </c>
      <c r="BQ69" s="110"/>
    </row>
    <row r="70">
      <c r="A70" s="135" t="n">
        <v>414</v>
      </c>
      <c r="B70" s="44" t="s">
        <v>315</v>
      </c>
      <c r="C70" s="44"/>
      <c r="D70" s="142" t="s">
        <v>306</v>
      </c>
      <c r="E70" s="142"/>
      <c r="F70" s="103" t="n">
        <v>0.15</v>
      </c>
      <c r="G70" s="89" t="n">
        <v>0.10400000000000005</v>
      </c>
      <c r="H70" s="89" t="n">
        <v>0.3</v>
      </c>
      <c r="I70" s="142" t="n">
        <v>212</v>
      </c>
      <c r="J70" s="142" t="n">
        <v>1634.2637500000001</v>
      </c>
      <c r="K70" s="166" t="n">
        <v>1.4570000000000001</v>
      </c>
      <c r="L70" s="166" t="n">
        <v>1.8275711999999997</v>
      </c>
      <c r="M70" s="166" t="n">
        <v>1.4903514080000002</v>
      </c>
      <c r="N70" s="166" t="n">
        <v>5.2718400000000001</v>
      </c>
      <c r="O70" s="94" t="n">
        <v>0.38461538461538458</v>
      </c>
      <c r="P70" s="94" t="n">
        <v>0.61538461538461542</v>
      </c>
      <c r="Q70" s="94" t="n">
        <v>1.5999999999999999</v>
      </c>
      <c r="R70" s="94"/>
      <c r="S70" s="22" t="n">
        <f>VLOOKUP($B70,Conversores_Dieta!$B$4:$J$164,Coefs!S$292,0)</f>
        <v>0.91</v>
      </c>
      <c r="T70" s="130" t="n">
        <f>VLOOKUP($B70,Conversores_Dieta!$B$4:$J$164,Coefs!T$292,0)</f>
        <v>3.6800000000000001E-3</v>
      </c>
      <c r="U70" s="166" t="n">
        <f>VLOOKUP($B70,Conversores_Dieta!$B$4:$J$164,Coefs!U$292,0)</f>
        <v>2</v>
      </c>
      <c r="V70" s="166" t="n">
        <f>VLOOKUP($B70,Conversores_Dieta!$B$4:$J$164,Coefs!V$292,0)</f>
        <v>50</v>
      </c>
      <c r="W70" s="21" t="n">
        <f>VLOOKUP($B70,Conversores_Dieta!$B$4:$J$164,Coefs!W$292,0)</f>
        <v>400</v>
      </c>
      <c r="X70" s="21" t="n">
        <f>VLOOKUP($B70,Conversores_Dieta!$B$4:$J$164,Coefs!X$292,0)</f>
        <v>335</v>
      </c>
      <c r="Y70" s="66"/>
      <c r="Z70" s="66"/>
      <c r="AA70" s="66"/>
      <c r="AB70" s="66"/>
      <c r="AC70" s="66"/>
      <c r="AD70" s="171"/>
      <c r="AE70" s="171"/>
      <c r="AF70" s="171"/>
      <c r="AG70" s="171"/>
      <c r="AH70" s="171"/>
      <c r="AI70" s="153" t="n">
        <f t="shared" si="13"/>
        <v>3.5384615384615369E-2</v>
      </c>
      <c r="AJ70" s="71"/>
      <c r="AK70" s="67"/>
      <c r="AL70" s="121" t="n">
        <v>0.41000000000000009</v>
      </c>
      <c r="AM70" s="121" t="n">
        <v>2.6125000000000002E-2</v>
      </c>
      <c r="AN70" s="153"/>
      <c r="AO70" s="153"/>
      <c r="AP70" s="153" t="n">
        <v>0.42859999999999998</v>
      </c>
      <c r="AQ70" s="121" t="n">
        <v>0.11534666666666667</v>
      </c>
      <c r="AR70" s="94"/>
      <c r="AS70" s="121" t="n">
        <v>0.72602958765444336</v>
      </c>
      <c r="AT70" s="59" t="n">
        <f t="shared" si="17"/>
        <v>0.17824592074592077</v>
      </c>
      <c r="AU70" s="87" t="n">
        <v>0.4400179319117839</v>
      </c>
      <c r="AV70" s="87" t="n">
        <v>0.28601165574265952</v>
      </c>
      <c r="AW70" s="5"/>
      <c r="AX70" s="107" t="n">
        <f t="shared" si="18"/>
        <v>2.9686390532544373E-2</v>
      </c>
      <c r="AY70" s="119" t="n">
        <v>17.572800000000001</v>
      </c>
      <c r="AZ70" t="n">
        <v>0.7</v>
      </c>
      <c r="BA70" t="n">
        <v>28</v>
      </c>
      <c r="BB70" t="n">
        <v>0.4</v>
      </c>
      <c r="BC70" t="n">
        <v>0.1</v>
      </c>
      <c r="BD70" t="n">
        <v>1.1000000000000001</v>
      </c>
      <c r="BE70" t="n">
        <v>0</v>
      </c>
      <c r="BF70" t="n">
        <v>9</v>
      </c>
      <c r="BG70" t="n">
        <v>2</v>
      </c>
      <c r="BH70" t="n">
        <v>250</v>
      </c>
      <c r="BI70" t="n">
        <v>7.27</v>
      </c>
      <c r="BJ70" t="n">
        <v>0</v>
      </c>
      <c r="BK70" t="n">
        <v>0</v>
      </c>
      <c r="BL70" t="n">
        <v>600</v>
      </c>
      <c r="BM70" t="n">
        <v>200</v>
      </c>
      <c r="BN70" t="n">
        <v>2.6</v>
      </c>
      <c r="BO70" t="n">
        <v>150</v>
      </c>
      <c r="BP70" t="n">
        <v>2.5</v>
      </c>
      <c r="BQ70" s="110"/>
    </row>
    <row r="71">
      <c r="A71" s="135" t="n">
        <v>417</v>
      </c>
      <c r="B71" s="44" t="s">
        <v>314</v>
      </c>
      <c r="C71" s="44"/>
      <c r="D71" s="142" t="s">
        <v>306</v>
      </c>
      <c r="E71" s="142" t="n">
        <v>340</v>
      </c>
      <c r="F71" s="94" t="n">
        <v>5.9117579383341001E-2</v>
      </c>
      <c r="G71" s="89" t="n">
        <v>0.24799999999999997</v>
      </c>
      <c r="H71" s="89" t="n">
        <v>0.30000000000000004</v>
      </c>
      <c r="I71" s="142" t="n">
        <v>212</v>
      </c>
      <c r="J71" s="142" t="n">
        <v>1634.2637500000001</v>
      </c>
      <c r="K71" s="166" t="n">
        <v>3.802</v>
      </c>
      <c r="L71" s="166" t="n">
        <v>15.112608</v>
      </c>
      <c r="M71" s="166" t="n">
        <v>10.13594048</v>
      </c>
      <c r="N71" s="166" t="n">
        <v>5.271840000000001</v>
      </c>
      <c r="O71" s="94" t="n">
        <v>0.30000300003000036</v>
      </c>
      <c r="P71" s="94" t="n">
        <v>0.69999699996999964</v>
      </c>
      <c r="Q71" s="94" t="n">
        <v>2.3332999999999999</v>
      </c>
      <c r="R71" s="94"/>
      <c r="S71" s="22" t="n">
        <f>VLOOKUP($B71,Conversores_Dieta!$B$4:$J$164,Coefs!S$292,0)</f>
        <v>0.4</v>
      </c>
      <c r="T71" s="130" t="n">
        <f>VLOOKUP($B71,Conversores_Dieta!$B$4:$J$164,Coefs!T$292,0)</f>
        <v>6.7200000000000003E-3</v>
      </c>
      <c r="U71" s="166" t="n">
        <f>VLOOKUP($B71,Conversores_Dieta!$B$4:$J$164,Coefs!U$292,0)</f>
        <v>2</v>
      </c>
      <c r="V71" s="166" t="n">
        <f>VLOOKUP($B71,Conversores_Dieta!$B$4:$J$164,Coefs!V$292,0)</f>
        <v>42</v>
      </c>
      <c r="W71" s="21" t="n">
        <f>VLOOKUP($B71,Conversores_Dieta!$B$4:$J$164,Coefs!W$292,0)</f>
        <v>230</v>
      </c>
      <c r="X71" s="21" t="n">
        <f>VLOOKUP($B71,Conversores_Dieta!$B$4:$J$164,Coefs!X$292,0)</f>
        <v>283.3</v>
      </c>
      <c r="Y71" s="66"/>
      <c r="Z71" s="66"/>
      <c r="AA71" s="66"/>
      <c r="AB71" s="66"/>
      <c r="AC71" s="66"/>
      <c r="AD71" s="171"/>
      <c r="AE71" s="171"/>
      <c r="AF71" s="171"/>
      <c r="AG71" s="171"/>
      <c r="AH71" s="171"/>
      <c r="AI71" s="153" t="n">
        <f t="shared" si="13"/>
        <v>2.7096774193548393E-2</v>
      </c>
      <c r="AJ71" s="71"/>
      <c r="AK71" s="67"/>
      <c r="AL71" s="121" t="n">
        <v>0.41000000000000009</v>
      </c>
      <c r="AM71" s="121" t="n">
        <v>2.6125000000000002E-2</v>
      </c>
      <c r="AN71" s="153"/>
      <c r="AO71" s="153"/>
      <c r="AP71" s="153" t="n">
        <v>0.35967000000000005</v>
      </c>
      <c r="AQ71" s="121" t="n">
        <v>0.11534666666666667</v>
      </c>
      <c r="AR71" s="94"/>
      <c r="AS71" s="121" t="n">
        <v>0.72602958765444336</v>
      </c>
      <c r="AT71" s="59" t="n">
        <f t="shared" si="17"/>
        <v>0.17824592074592077</v>
      </c>
      <c r="AU71" s="87" t="n">
        <v>0.4400179319117839</v>
      </c>
      <c r="AV71" s="87" t="n">
        <v>0.28601165574265952</v>
      </c>
      <c r="AW71" s="5"/>
      <c r="AX71" s="107" t="n">
        <f t="shared" si="18"/>
        <v>2.6416535173416255E-2</v>
      </c>
      <c r="AY71" s="119" t="n">
        <v>17.572800000000001</v>
      </c>
      <c r="AZ71" t="n">
        <v>0.7</v>
      </c>
      <c r="BA71" t="n">
        <v>167</v>
      </c>
      <c r="BB71" t="n">
        <v>1.5</v>
      </c>
      <c r="BC71" t="n">
        <v>1.3</v>
      </c>
      <c r="BD71" t="n">
        <v>0.5</v>
      </c>
      <c r="BE71" t="n">
        <v>1</v>
      </c>
      <c r="BF71" t="n">
        <v>15</v>
      </c>
      <c r="BG71" t="n">
        <v>35</v>
      </c>
      <c r="BH71" t="n">
        <v>1230</v>
      </c>
      <c r="BI71" t="n">
        <v>7.27</v>
      </c>
      <c r="BJ71" t="n">
        <v>0</v>
      </c>
      <c r="BK71" t="n">
        <v>0</v>
      </c>
      <c r="BL71" t="n">
        <v>780</v>
      </c>
      <c r="BM71" t="n">
        <v>180</v>
      </c>
      <c r="BN71" t="n">
        <v>1</v>
      </c>
      <c r="BO71" t="n">
        <v>175</v>
      </c>
      <c r="BP71" t="n">
        <v>1.2</v>
      </c>
      <c r="BQ71" s="110"/>
    </row>
    <row r="72">
      <c r="A72" s="135"/>
      <c r="B72" s="44" t="s">
        <v>313</v>
      </c>
      <c r="C72" s="7" t="s">
        <v>318</v>
      </c>
      <c r="D72" s="142" t="s">
        <v>306</v>
      </c>
      <c r="E72" s="142"/>
      <c r="F72" s="103" t="n">
        <v>0.15</v>
      </c>
      <c r="G72" s="89" t="n">
        <v>4.7000000000000042E-2</v>
      </c>
      <c r="H72" s="89" t="n">
        <v>0.187</v>
      </c>
      <c r="I72" s="142" t="n">
        <v>212</v>
      </c>
      <c r="J72" s="142" t="n">
        <v>1634.2637500000001</v>
      </c>
      <c r="K72" s="166" t="n">
        <v>0.68899999999999995</v>
      </c>
      <c r="L72" s="166" t="n">
        <v>0.82592160000000081</v>
      </c>
      <c r="M72" s="166" t="n">
        <v>0.74376864000000031</v>
      </c>
      <c r="N72" s="166" t="n">
        <v>3.2861136000000002</v>
      </c>
      <c r="O72" s="94" t="n">
        <v>0.5300006890008957</v>
      </c>
      <c r="P72" s="94" t="n">
        <v>0.4699993109991043</v>
      </c>
      <c r="Q72" s="94" t="n">
        <v>0.88678999999999997</v>
      </c>
      <c r="R72" s="94"/>
      <c r="S72" s="65" t="n">
        <f>VLOOKUP(C72,$B$3:$X$358,MATCH(S$2,$B$2:$X$2,0),0)</f>
        <v>0.74</v>
      </c>
      <c r="T72" s="15" t="n">
        <f>VLOOKUP($C72,$B$3:$X$358,MATCH(T$2,$B$2:$X$2,0),0)*$G72/VLOOKUP($C72,$B$3:$X$358,MATCH($G$2,$B$2:$X$2,0),0)</f>
        <v>2.3999999999999998E-3</v>
      </c>
      <c r="U72" s="157" t="n">
        <f>VLOOKUP($C72,$B$3:$X$358,MATCH(U$2,$B$2:$X$2,0),0)*$G72/VLOOKUP($C72,$B$3:$X$358,MATCH($G$2,$B$2:$X$2,0),0)</f>
        <v>3</v>
      </c>
      <c r="V72" s="157" t="n">
        <f>VLOOKUP($C72,$B$3:$X$358,MATCH(V$2,$B$2:$X$2,0),0)*$G72/VLOOKUP($C72,$B$3:$X$358,MATCH($G$2,$B$2:$X$2,0),0)</f>
        <v>14</v>
      </c>
      <c r="W72" s="132" t="n">
        <f>VLOOKUP($C72,$B$3:$X$358,MATCH(W$2,$B$2:$X$2,0),0)*$G72/VLOOKUP($C72,$B$3:$X$358,MATCH($G$2,$B$2:$X$2,0),0)</f>
        <v>400.00000000000006</v>
      </c>
      <c r="X72" s="132" t="n">
        <f>VLOOKUP($C72,$B$3:$X$358,MATCH(X$2,$B$2:$X$2,0),0)*$G72/VLOOKUP($C72,$B$3:$X$358,MATCH($G$2,$B$2:$X$2,0),0)</f>
        <v>290</v>
      </c>
      <c r="Y72" s="66"/>
      <c r="Z72" s="66"/>
      <c r="AA72" s="66"/>
      <c r="AB72" s="66"/>
      <c r="AC72" s="66"/>
      <c r="AD72" s="171"/>
      <c r="AE72" s="171"/>
      <c r="AF72" s="171"/>
      <c r="AG72" s="171"/>
      <c r="AH72" s="171"/>
      <c r="AI72" s="121" t="n">
        <f t="shared" si="13"/>
        <v>5.1063829787233991E-2</v>
      </c>
      <c r="AJ72" s="71"/>
      <c r="AK72" s="67"/>
      <c r="AL72" s="121" t="n">
        <v>0.41000000000000009</v>
      </c>
      <c r="AM72" s="121" t="n">
        <v>2.6125000000000002E-2</v>
      </c>
      <c r="AN72" s="153"/>
      <c r="AO72" s="153"/>
      <c r="AP72" s="153" t="n">
        <v>0.35967000000000005</v>
      </c>
      <c r="AQ72" s="121" t="n">
        <v>0.11534666666666667</v>
      </c>
      <c r="AR72" s="94"/>
      <c r="AS72" s="121" t="n">
        <v>0.72602958765444336</v>
      </c>
      <c r="AT72" s="59" t="n">
        <f t="shared" si="17"/>
        <v>0.17824592074592077</v>
      </c>
      <c r="AU72" s="87" t="n">
        <v>0.4400179319117839</v>
      </c>
      <c r="AV72" s="87" t="n">
        <v>0.28601165574265952</v>
      </c>
      <c r="AW72" s="5"/>
      <c r="AX72" s="107" t="n">
        <f t="shared" si="18"/>
        <v>3.9342596970110083E-2</v>
      </c>
      <c r="AY72" s="119" t="n">
        <v>17.572800000000001</v>
      </c>
      <c r="AZ72" t="n">
        <v>0.7</v>
      </c>
      <c r="BA72" s="156" t="n">
        <f>BA$79</f>
        <v>28.700000000000003</v>
      </c>
      <c r="BB72" s="156" t="n">
        <f t="shared" ref="BB72:BP72" si="20">BB$79</f>
        <v>0.70000000000000007</v>
      </c>
      <c r="BC72" s="156" t="n">
        <f t="shared" si="20"/>
        <v>0.3</v>
      </c>
      <c r="BD72" s="156" t="n">
        <f t="shared" si="20"/>
        <v>1.3</v>
      </c>
      <c r="BE72" s="156" t="n">
        <f t="shared" si="20"/>
        <v>0.4</v>
      </c>
      <c r="BF72" s="156" t="n">
        <f t="shared" si="20"/>
        <v>10.1</v>
      </c>
      <c r="BG72" s="156" t="n">
        <f t="shared" si="20"/>
        <v>4</v>
      </c>
      <c r="BH72" s="156" t="n">
        <f t="shared" si="20"/>
        <v>253.70000000000002</v>
      </c>
      <c r="BI72" s="156" t="n">
        <f t="shared" si="20"/>
        <v>7.27</v>
      </c>
      <c r="BJ72" s="156" t="n">
        <f t="shared" si="20"/>
        <v>0</v>
      </c>
      <c r="BK72" s="156" t="n">
        <f t="shared" si="20"/>
        <v>5</v>
      </c>
      <c r="BL72" s="156" t="n">
        <f t="shared" si="20"/>
        <v>489</v>
      </c>
      <c r="BM72" s="156" t="n">
        <f t="shared" si="20"/>
        <v>315.10000000000002</v>
      </c>
      <c r="BN72" s="156" t="n">
        <f t="shared" si="20"/>
        <v>4.8</v>
      </c>
      <c r="BO72" s="156" t="n">
        <f t="shared" si="20"/>
        <v>300</v>
      </c>
      <c r="BP72" s="156" t="n">
        <f t="shared" si="20"/>
        <v>60</v>
      </c>
      <c r="BQ72" s="110"/>
    </row>
    <row r="73">
      <c r="A73" s="135" t="n">
        <v>388</v>
      </c>
      <c r="B73" s="44" t="s">
        <v>312</v>
      </c>
      <c r="C73" s="44"/>
      <c r="D73" s="142" t="s">
        <v>306</v>
      </c>
      <c r="E73" s="142"/>
      <c r="F73" s="94" t="n">
        <v>0.14000000000000001</v>
      </c>
      <c r="G73" s="89" t="n">
        <v>6.2142857142857146E-2</v>
      </c>
      <c r="H73" s="89" t="n">
        <v>0.13249999999999998</v>
      </c>
      <c r="I73" s="142" t="n">
        <v>212</v>
      </c>
      <c r="J73" s="142" t="n">
        <v>1634.2637500000001</v>
      </c>
      <c r="K73" s="166" t="n">
        <v>0.86789999999999989</v>
      </c>
      <c r="L73" s="166" t="n">
        <v>1.0543680000000011</v>
      </c>
      <c r="M73" s="166" t="n">
        <v>0.87908807999999994</v>
      </c>
      <c r="N73" s="166" t="n">
        <v>2.3283959999999997</v>
      </c>
      <c r="O73" s="94" t="n">
        <v>0.51107325383304936</v>
      </c>
      <c r="P73" s="94" t="n">
        <v>0.48892674616695059</v>
      </c>
      <c r="Q73" s="94" t="n">
        <v>0.95666666666666655</v>
      </c>
      <c r="R73" s="94"/>
      <c r="S73" s="22" t="n">
        <f>VLOOKUP($B73,Conversores_Dieta!$B$4:$J$164,Coefs!S$292,0)</f>
        <v>0.94</v>
      </c>
      <c r="T73" s="130" t="n">
        <f>VLOOKUP($B73,Conversores_Dieta!$B$4:$J$164,Coefs!T$292,0)</f>
        <v>1.6000000000000001E-3</v>
      </c>
      <c r="U73" s="166" t="n">
        <f>VLOOKUP($B73,Conversores_Dieta!$B$4:$J$164,Coefs!U$292,0)</f>
        <v>1.1000000000000001</v>
      </c>
      <c r="V73" s="166" t="n">
        <f>VLOOKUP($B73,Conversores_Dieta!$B$4:$J$164,Coefs!V$292,0)</f>
        <v>35</v>
      </c>
      <c r="W73" s="21" t="n">
        <f>VLOOKUP($B73,Conversores_Dieta!$B$4:$J$164,Coefs!W$292,0)</f>
        <v>110</v>
      </c>
      <c r="X73" s="21" t="n">
        <f>VLOOKUP($B73,Conversores_Dieta!$B$4:$J$164,Coefs!X$292,0)</f>
        <v>823</v>
      </c>
      <c r="Y73" s="66"/>
      <c r="Z73" s="66"/>
      <c r="AA73" s="66"/>
      <c r="AB73" s="66"/>
      <c r="AC73" s="66"/>
      <c r="AD73" s="171"/>
      <c r="AE73" s="171"/>
      <c r="AF73" s="171"/>
      <c r="AG73" s="171"/>
      <c r="AH73" s="171"/>
      <c r="AI73" s="153" t="n">
        <f t="shared" si="13"/>
        <v>2.574712643678161E-2</v>
      </c>
      <c r="AJ73" s="71"/>
      <c r="AK73" s="67"/>
      <c r="AL73" s="153" t="n">
        <v>0.41</v>
      </c>
      <c r="AM73" s="121" t="n">
        <v>2.6125000000000002E-2</v>
      </c>
      <c r="AN73" s="153"/>
      <c r="AO73" s="153"/>
      <c r="AP73" s="153" t="n">
        <v>0.34145000000000003</v>
      </c>
      <c r="AQ73" s="121" t="n">
        <v>0.11534666666666667</v>
      </c>
      <c r="AR73" s="94"/>
      <c r="AS73" s="121" t="n">
        <v>0.72602958765444336</v>
      </c>
      <c r="AT73" s="59" t="n">
        <f t="shared" si="17"/>
        <v>0.17824592074592077</v>
      </c>
      <c r="AU73" s="87" t="n">
        <v>0.4400179319117839</v>
      </c>
      <c r="AV73" s="87" t="n">
        <v>0.28601165574265952</v>
      </c>
      <c r="AW73" s="5"/>
      <c r="AX73" s="107" t="n">
        <f t="shared" si="18"/>
        <v>2.5931878928508491E-2</v>
      </c>
      <c r="AY73" s="119" t="n">
        <v>17.572800000000001</v>
      </c>
      <c r="AZ73" t="n">
        <v>0.7</v>
      </c>
      <c r="BA73" t="n">
        <v>11</v>
      </c>
      <c r="BB73" t="n">
        <v>0</v>
      </c>
      <c r="BC73" t="n">
        <v>0</v>
      </c>
      <c r="BD73" t="n">
        <v>1.1000000000000001</v>
      </c>
      <c r="BE73" t="n">
        <v>0.3</v>
      </c>
      <c r="BF73" t="n">
        <v>5</v>
      </c>
      <c r="BG73" t="n">
        <v>2</v>
      </c>
      <c r="BH73" t="n">
        <v>100</v>
      </c>
      <c r="BI73" t="n">
        <v>7.27</v>
      </c>
      <c r="BJ73" t="n">
        <v>0</v>
      </c>
      <c r="BK73" t="n">
        <v>0</v>
      </c>
      <c r="BL73" t="n">
        <v>290</v>
      </c>
      <c r="BM73" t="n">
        <v>190</v>
      </c>
      <c r="BN73" t="n">
        <v>8.9</v>
      </c>
      <c r="BO73" t="n">
        <v>7.5</v>
      </c>
      <c r="BP73" s="80" t="n">
        <v>50</v>
      </c>
      <c r="BQ73" s="110"/>
    </row>
    <row r="74">
      <c r="A74" s="135" t="n">
        <v>399</v>
      </c>
      <c r="B74" s="44" t="s">
        <v>311</v>
      </c>
      <c r="C74" s="44"/>
      <c r="D74" s="142" t="s">
        <v>306</v>
      </c>
      <c r="E74" s="142"/>
      <c r="F74" s="103" t="n">
        <v>0.15</v>
      </c>
      <c r="G74" s="89" t="n">
        <v>0.09</v>
      </c>
      <c r="H74" s="89" t="n">
        <v>0.19999999999999996</v>
      </c>
      <c r="I74" s="142" t="n">
        <v>212</v>
      </c>
      <c r="J74" s="142" t="n">
        <v>1634.2637500000001</v>
      </c>
      <c r="K74" s="166" t="n">
        <v>1.1020000000000003</v>
      </c>
      <c r="L74" s="166" t="n">
        <v>1.2300959999999992</v>
      </c>
      <c r="M74" s="166" t="n">
        <v>1.1212144000000002</v>
      </c>
      <c r="N74" s="166" t="n">
        <v>3.5145599999999995</v>
      </c>
      <c r="O74" s="94" t="n">
        <v>0.59000531004779044</v>
      </c>
      <c r="P74" s="94" t="n">
        <v>0.40999468995220956</v>
      </c>
      <c r="Q74" s="94" t="n">
        <v>0.69489999999999996</v>
      </c>
      <c r="R74" s="94"/>
      <c r="S74" s="22" t="n">
        <f>VLOOKUP($B74,Conversores_Dieta!$B$4:$J$164,Coefs!S$292,0)</f>
        <v>0.85</v>
      </c>
      <c r="T74" s="130" t="n">
        <f>VLOOKUP($B74,Conversores_Dieta!$B$4:$J$164,Coefs!T$292,0)</f>
        <v>1.92E-3</v>
      </c>
      <c r="U74" s="166" t="n">
        <f>VLOOKUP($B74,Conversores_Dieta!$B$4:$J$164,Coefs!U$292,0)</f>
        <v>2</v>
      </c>
      <c r="V74" s="166" t="n">
        <f>VLOOKUP($B74,Conversores_Dieta!$B$4:$J$164,Coefs!V$292,0)</f>
        <v>44</v>
      </c>
      <c r="W74" s="21" t="n">
        <f>VLOOKUP($B74,Conversores_Dieta!$B$4:$J$164,Coefs!W$292,0)</f>
        <v>111</v>
      </c>
      <c r="X74" s="21" t="n">
        <f>VLOOKUP($B74,Conversores_Dieta!$B$4:$J$164,Coefs!X$292,0)</f>
        <v>30</v>
      </c>
      <c r="Y74" s="66"/>
      <c r="Z74" s="66"/>
      <c r="AA74" s="66"/>
      <c r="AB74" s="66"/>
      <c r="AC74" s="66"/>
      <c r="AD74" s="171"/>
      <c r="AE74" s="171"/>
      <c r="AF74" s="171"/>
      <c r="AG74" s="171"/>
      <c r="AH74" s="171"/>
      <c r="AI74" s="153" t="n">
        <f t="shared" si="13"/>
        <v>2.1333333333333336E-2</v>
      </c>
      <c r="AJ74" s="71"/>
      <c r="AK74" s="67"/>
      <c r="AL74" s="153" t="n">
        <v>0.41</v>
      </c>
      <c r="AM74" s="121" t="n">
        <v>2.6125000000000002E-2</v>
      </c>
      <c r="AN74" s="153"/>
      <c r="AO74" s="153"/>
      <c r="AP74" s="153" t="n">
        <v>0.4209</v>
      </c>
      <c r="AQ74" s="121" t="n">
        <v>0.11534666666666667</v>
      </c>
      <c r="AR74" s="94"/>
      <c r="AS74" s="121" t="n">
        <v>0.72602958765444336</v>
      </c>
      <c r="AT74" s="59" t="n">
        <f t="shared" si="17"/>
        <v>0.17824592074592077</v>
      </c>
      <c r="AU74" s="87" t="n">
        <v>0.4400179319117839</v>
      </c>
      <c r="AV74" s="87" t="n">
        <v>0.28601165574265952</v>
      </c>
      <c r="AW74" s="5"/>
      <c r="AX74" s="107" t="n">
        <f t="shared" si="18"/>
        <v>2.3297891222687675E-2</v>
      </c>
      <c r="AY74" s="119" t="n">
        <v>17.572800000000001</v>
      </c>
      <c r="AZ74" t="n">
        <v>0.7</v>
      </c>
      <c r="BA74" t="n">
        <v>24</v>
      </c>
      <c r="BB74" t="n">
        <v>0</v>
      </c>
      <c r="BC74" t="n">
        <v>0</v>
      </c>
      <c r="BD74" t="n">
        <v>0.89999999999999991</v>
      </c>
      <c r="BE74" t="n">
        <v>0</v>
      </c>
      <c r="BF74" t="n">
        <v>3</v>
      </c>
      <c r="BG74" t="n">
        <v>1</v>
      </c>
      <c r="BH74" t="n">
        <v>130</v>
      </c>
      <c r="BI74" t="n">
        <v>7.27</v>
      </c>
      <c r="BJ74" t="n">
        <v>0</v>
      </c>
      <c r="BK74" t="n">
        <v>0</v>
      </c>
      <c r="BL74" t="n">
        <v>190</v>
      </c>
      <c r="BM74" t="n">
        <v>40</v>
      </c>
      <c r="BN74" t="n">
        <v>0.3</v>
      </c>
      <c r="BO74" t="n">
        <v>300</v>
      </c>
      <c r="BP74" t="n">
        <v>0.4</v>
      </c>
      <c r="BQ74" s="110"/>
    </row>
    <row r="75">
      <c r="A75" s="135" t="n">
        <v>373</v>
      </c>
      <c r="B75" s="44" t="s">
        <v>310</v>
      </c>
      <c r="C75" s="44"/>
      <c r="D75" s="142" t="s">
        <v>306</v>
      </c>
      <c r="E75" s="142"/>
      <c r="F75" s="103" t="n">
        <v>0.15</v>
      </c>
      <c r="G75" s="89" t="n">
        <v>0.10399999999999998</v>
      </c>
      <c r="H75" s="89" t="n">
        <v>0.185</v>
      </c>
      <c r="I75" s="142" t="n">
        <v>212</v>
      </c>
      <c r="J75" s="142" t="n">
        <v>1634.2637500000001</v>
      </c>
      <c r="K75" s="166" t="n">
        <v>0.91900000000000004</v>
      </c>
      <c r="L75" s="166" t="n">
        <v>1.8275711999999997</v>
      </c>
      <c r="M75" s="166" t="n">
        <v>1.091628528</v>
      </c>
      <c r="N75" s="166" t="n">
        <v>3.2509680000000003</v>
      </c>
      <c r="O75" s="94" t="n">
        <v>0.90819348469891414</v>
      </c>
      <c r="P75" s="94" t="n">
        <v>9.1806515301085884E-2</v>
      </c>
      <c r="Q75" s="94" t="n">
        <v>0.10108695652173913</v>
      </c>
      <c r="R75" s="94"/>
      <c r="S75" s="22" t="n">
        <f>VLOOKUP($B75,Conversores_Dieta!$B$4:$J$164,Coefs!S$292,0)</f>
        <v>0.81</v>
      </c>
      <c r="T75" s="130" t="n">
        <f>VLOOKUP($B75,Conversores_Dieta!$B$4:$J$164,Coefs!T$292,0)</f>
        <v>4.1599999999999996E-3</v>
      </c>
      <c r="U75" s="166" t="n">
        <f>VLOOKUP($B75,Conversores_Dieta!$B$4:$J$164,Coefs!U$292,0)</f>
        <v>3</v>
      </c>
      <c r="V75" s="166" t="n">
        <f>VLOOKUP($B75,Conversores_Dieta!$B$4:$J$164,Coefs!V$292,0)</f>
        <v>12</v>
      </c>
      <c r="W75" s="21" t="n">
        <f>VLOOKUP($B75,Conversores_Dieta!$B$4:$J$164,Coefs!W$292,0)</f>
        <v>900</v>
      </c>
      <c r="X75" s="21" t="n">
        <f>VLOOKUP($B75,Conversores_Dieta!$B$4:$J$164,Coefs!X$292,0)</f>
        <v>300</v>
      </c>
      <c r="Y75" s="66"/>
      <c r="Z75" s="66"/>
      <c r="AA75" s="66"/>
      <c r="AB75" s="66"/>
      <c r="AC75" s="66"/>
      <c r="AD75" s="171"/>
      <c r="AE75" s="171"/>
      <c r="AF75" s="171"/>
      <c r="AG75" s="171"/>
      <c r="AH75" s="171"/>
      <c r="AI75" s="153" t="n">
        <f t="shared" si="13"/>
        <v>0.04</v>
      </c>
      <c r="AJ75" s="71"/>
      <c r="AK75" s="67"/>
      <c r="AL75" s="121" t="n">
        <v>0.41000000000000009</v>
      </c>
      <c r="AM75" s="121" t="n">
        <v>2.6125000000000002E-2</v>
      </c>
      <c r="AN75" s="153"/>
      <c r="AO75" s="153"/>
      <c r="AP75" s="153" t="n">
        <v>0.35967000000000005</v>
      </c>
      <c r="AQ75" s="121" t="n">
        <v>0.11534666666666667</v>
      </c>
      <c r="AR75" s="94"/>
      <c r="AS75" s="121" t="n">
        <v>0.72602958765444336</v>
      </c>
      <c r="AT75" s="59" t="n">
        <f t="shared" si="17"/>
        <v>0.17824592074592077</v>
      </c>
      <c r="AU75" s="87" t="n">
        <v>0.4400179319117839</v>
      </c>
      <c r="AV75" s="87" t="n">
        <v>0.28601165574265952</v>
      </c>
      <c r="AW75" s="5"/>
      <c r="AX75" s="107" t="n">
        <f t="shared" si="18"/>
        <v>3.8726184600197437E-2</v>
      </c>
      <c r="AY75" s="119" t="n">
        <v>17.572800000000001</v>
      </c>
      <c r="AZ75" t="n">
        <v>0.7</v>
      </c>
      <c r="BA75" t="n">
        <v>29</v>
      </c>
      <c r="BB75" t="n">
        <v>2.4</v>
      </c>
      <c r="BC75" t="n">
        <v>0.8</v>
      </c>
      <c r="BD75" t="n">
        <v>3.2</v>
      </c>
      <c r="BE75" t="n">
        <v>1.4000000000000001</v>
      </c>
      <c r="BF75" t="n">
        <v>22.7</v>
      </c>
      <c r="BG75" t="n">
        <v>5.4</v>
      </c>
      <c r="BH75" t="n">
        <v>535.90000000000009</v>
      </c>
      <c r="BI75" t="n">
        <v>7.27</v>
      </c>
      <c r="BJ75" t="n">
        <v>0</v>
      </c>
      <c r="BK75" t="n">
        <v>0</v>
      </c>
      <c r="BL75" t="n">
        <v>1430.2</v>
      </c>
      <c r="BM75" t="n">
        <v>262.8</v>
      </c>
      <c r="BN75" t="n">
        <v>17.2</v>
      </c>
      <c r="BO75" t="n">
        <v>150</v>
      </c>
      <c r="BP75" t="n">
        <v>35</v>
      </c>
      <c r="BQ75" s="110"/>
    </row>
    <row r="76">
      <c r="A76" s="135"/>
      <c r="B76" s="44" t="s">
        <v>309</v>
      </c>
      <c r="C76" s="44"/>
      <c r="D76" s="142" t="s">
        <v>306</v>
      </c>
      <c r="E76" s="142"/>
      <c r="F76" s="103" t="n">
        <v>0.15</v>
      </c>
      <c r="G76" s="89" t="n">
        <v>0.17799999999999996</v>
      </c>
      <c r="H76" s="89" t="n">
        <v>0.23766666666666669</v>
      </c>
      <c r="I76" s="142" t="n">
        <v>212</v>
      </c>
      <c r="J76" s="142" t="n">
        <v>1634.2637500000001</v>
      </c>
      <c r="K76" s="166" t="n">
        <v>0</v>
      </c>
      <c r="L76" s="166" t="n">
        <v>0</v>
      </c>
      <c r="M76" s="166" t="n">
        <v>2.6760000000000002</v>
      </c>
      <c r="N76" s="166" t="n">
        <v>4.1764688000000003</v>
      </c>
      <c r="O76" s="94" t="n">
        <v>0.33708054539632248</v>
      </c>
      <c r="P76" s="94" t="n">
        <v>0.66291945460367752</v>
      </c>
      <c r="Q76" s="94" t="n">
        <v>1.96665</v>
      </c>
      <c r="R76" s="94"/>
      <c r="S76" s="22" t="n">
        <f>VLOOKUP($B76,Conversores_Dieta!$B$4:$J$164,Coefs!S$292,0)</f>
        <v>0.4</v>
      </c>
      <c r="T76" s="130" t="n">
        <f>VLOOKUP($B76,Conversores_Dieta!$B$4:$J$164,Coefs!T$292,0)</f>
        <v>6.7200000000000003E-3</v>
      </c>
      <c r="U76" s="166" t="n">
        <f>VLOOKUP($B76,Conversores_Dieta!$B$4:$J$164,Coefs!U$292,0)</f>
        <v>2</v>
      </c>
      <c r="V76" s="166" t="n">
        <f>VLOOKUP($B76,Conversores_Dieta!$B$4:$J$164,Coefs!V$292,0)</f>
        <v>42</v>
      </c>
      <c r="W76" s="21" t="n">
        <f>VLOOKUP($B76,Conversores_Dieta!$B$4:$J$164,Coefs!W$292,0)</f>
        <v>230</v>
      </c>
      <c r="X76" s="21" t="n">
        <f>VLOOKUP($B76,Conversores_Dieta!$B$4:$J$164,Coefs!X$292,0)</f>
        <v>283.3</v>
      </c>
      <c r="Y76" s="66"/>
      <c r="Z76" s="66"/>
      <c r="AA76" s="66"/>
      <c r="AB76" s="66"/>
      <c r="AC76" s="66"/>
      <c r="AD76" s="171"/>
      <c r="AE76" s="171"/>
      <c r="AF76" s="171"/>
      <c r="AG76" s="171"/>
      <c r="AH76" s="171"/>
      <c r="AI76" s="153" t="n">
        <f t="shared" si="13"/>
        <v>3.7752808988764056E-2</v>
      </c>
      <c r="AJ76" s="71"/>
      <c r="AK76" s="67"/>
      <c r="AL76" s="121" t="n">
        <v>0.41000000000000009</v>
      </c>
      <c r="AM76" s="153" t="n">
        <v>2.9000000000000001E-2</v>
      </c>
      <c r="AN76" s="153"/>
      <c r="AO76" s="153"/>
      <c r="AP76" s="153" t="n">
        <v>0.371</v>
      </c>
      <c r="AQ76" s="121" t="n">
        <v>0.11534666666666667</v>
      </c>
      <c r="AR76" s="94"/>
      <c r="AS76" s="121" t="n">
        <v>0.72602958765444336</v>
      </c>
      <c r="AT76" s="59" t="n">
        <f t="shared" si="17"/>
        <v>0.17824592074592077</v>
      </c>
      <c r="AU76" s="87" t="n">
        <v>0.4400179319117839</v>
      </c>
      <c r="AV76" s="87" t="n">
        <v>0.28601165574265952</v>
      </c>
      <c r="AW76" s="5"/>
      <c r="AX76" s="107" t="n">
        <f t="shared" si="18"/>
        <v>3.1950401627682423E-2</v>
      </c>
      <c r="AY76" s="119" t="n">
        <v>17.572800000000001</v>
      </c>
      <c r="AZ76" t="n">
        <v>0.7</v>
      </c>
      <c r="BA76" s="156" t="n">
        <f>BA70</f>
        <v>28</v>
      </c>
      <c r="BB76" s="156" t="n">
        <f t="shared" ref="BB76:BP76" si="21">BB70</f>
        <v>0.4</v>
      </c>
      <c r="BC76" s="156" t="n">
        <f t="shared" si="21"/>
        <v>0.1</v>
      </c>
      <c r="BD76" s="156" t="n">
        <f t="shared" si="21"/>
        <v>1.1000000000000001</v>
      </c>
      <c r="BE76" s="156" t="n">
        <f t="shared" si="21"/>
        <v>0</v>
      </c>
      <c r="BF76" s="156" t="n">
        <f t="shared" si="21"/>
        <v>9</v>
      </c>
      <c r="BG76" s="156" t="n">
        <f t="shared" si="21"/>
        <v>2</v>
      </c>
      <c r="BH76" s="156" t="n">
        <f t="shared" si="21"/>
        <v>250</v>
      </c>
      <c r="BI76" s="156" t="n">
        <f t="shared" si="21"/>
        <v>7.27</v>
      </c>
      <c r="BJ76" s="156" t="n">
        <f t="shared" si="21"/>
        <v>0</v>
      </c>
      <c r="BK76" s="156" t="n">
        <f t="shared" si="21"/>
        <v>0</v>
      </c>
      <c r="BL76" s="156" t="n">
        <f t="shared" si="21"/>
        <v>600</v>
      </c>
      <c r="BM76" s="156" t="n">
        <f t="shared" si="21"/>
        <v>200</v>
      </c>
      <c r="BN76" s="156" t="n">
        <f t="shared" si="21"/>
        <v>2.6</v>
      </c>
      <c r="BO76" s="156" t="n">
        <f t="shared" si="21"/>
        <v>150</v>
      </c>
      <c r="BP76" s="156" t="n">
        <f t="shared" si="21"/>
        <v>2.5</v>
      </c>
      <c r="BQ76" s="110"/>
    </row>
    <row r="77">
      <c r="A77" s="135" t="n">
        <v>401</v>
      </c>
      <c r="B77" s="44" t="s">
        <v>546</v>
      </c>
      <c r="C77" s="44" t="s">
        <v>345</v>
      </c>
      <c r="D77" s="103" t="str">
        <f>D41</f>
        <v>Vegetables</v>
      </c>
      <c r="E77" s="103"/>
      <c r="F77" s="172" t="n">
        <f t="shared" ref="F77:AY77" si="22">F41</f>
        <v>0.15</v>
      </c>
      <c r="G77" s="143" t="n">
        <f>G41</f>
        <v>6.1000000000000054E-2</v>
      </c>
      <c r="H77" s="172" t="n">
        <f t="shared" si="22"/>
        <v>0.19850000000000001</v>
      </c>
      <c r="I77" s="172" t="n">
        <f t="shared" si="22"/>
        <v>212</v>
      </c>
      <c r="J77" s="172" t="n">
        <f t="shared" si="22"/>
        <v>1634.2637500000001</v>
      </c>
      <c r="K77" s="172" t="n">
        <f t="shared" si="22"/>
        <v>0</v>
      </c>
      <c r="L77" s="172" t="n">
        <f t="shared" si="22"/>
        <v>0</v>
      </c>
      <c r="M77" s="172" t="n">
        <f t="shared" si="22"/>
        <v>0.995</v>
      </c>
      <c r="N77" s="172" t="n">
        <f t="shared" si="22"/>
        <v>3.4882008000000004</v>
      </c>
      <c r="O77" s="172" t="n">
        <f t="shared" si="22"/>
        <v>0.61960975308195021</v>
      </c>
      <c r="P77" s="172" t="n">
        <f t="shared" si="22"/>
        <v>0.38039024691804973</v>
      </c>
      <c r="Q77" s="172" t="n">
        <f t="shared" si="22"/>
        <v>0.61391907571819471</v>
      </c>
      <c r="R77" s="94"/>
      <c r="S77" s="65" t="n">
        <f>VLOOKUP(C77,$B$3:$X$358,MATCH(S$2,$B$2:$X$2,0),0)</f>
        <v>1</v>
      </c>
      <c r="T77" s="15" t="n">
        <f t="shared" ref="T77:X78" si="23">VLOOKUP($C77,$B$3:$X$358,MATCH(T$2,$B$2:$X$2,0),0)*$G77/VLOOKUP($C77,$B$3:$X$358,MATCH($G$2,$B$2:$X$2,0),0)</f>
        <v>2.2399999999999998E-3</v>
      </c>
      <c r="U77" s="157" t="n">
        <f t="shared" si="23"/>
        <v>2</v>
      </c>
      <c r="V77" s="157" t="n">
        <f t="shared" si="23"/>
        <v>35</v>
      </c>
      <c r="W77" s="132" t="n">
        <f t="shared" si="23"/>
        <v>1140</v>
      </c>
      <c r="X77" s="132" t="n">
        <f t="shared" si="23"/>
        <v>0</v>
      </c>
      <c r="Y77" s="66"/>
      <c r="Z77" s="66"/>
      <c r="AA77" s="66"/>
      <c r="AB77" s="66"/>
      <c r="AC77" s="66"/>
      <c r="AD77" s="171"/>
      <c r="AE77" s="171"/>
      <c r="AF77" s="171"/>
      <c r="AG77" s="171"/>
      <c r="AH77" s="171"/>
      <c r="AI77" s="121" t="n">
        <f t="shared" si="13"/>
        <v>3.6721311475409801E-2</v>
      </c>
      <c r="AJ77" s="100"/>
      <c r="AK77" s="97"/>
      <c r="AL77" s="172" t="n">
        <f t="shared" si="22"/>
        <v>0.41</v>
      </c>
      <c r="AM77" s="107" t="n">
        <f t="shared" si="22"/>
        <v>2.4E-2</v>
      </c>
      <c r="AN77" s="172"/>
      <c r="AO77" s="172"/>
      <c r="AP77" s="107" t="n">
        <f t="shared" si="22"/>
        <v>0.29399999999999998</v>
      </c>
      <c r="AQ77" s="172" t="n">
        <f t="shared" si="22"/>
        <v>0.11534666666666667</v>
      </c>
      <c r="AR77" s="172"/>
      <c r="AS77" s="107" t="n">
        <f t="shared" si="22"/>
        <v>0.72602958765444336</v>
      </c>
      <c r="AT77" s="59" t="n">
        <f t="shared" si="17"/>
        <v>0.17824592074592077</v>
      </c>
      <c r="AU77" s="172" t="n">
        <f t="shared" si="22"/>
        <v>0.4400179319117839</v>
      </c>
      <c r="AV77" s="172" t="n">
        <f t="shared" si="22"/>
        <v>0.28601165574265952</v>
      </c>
      <c r="AW77" s="172"/>
      <c r="AX77" s="107" t="n">
        <f t="shared" si="18"/>
        <v>3.1882248662157248E-2</v>
      </c>
      <c r="AY77" s="172" t="n">
        <f t="shared" si="22"/>
        <v>17.572800000000001</v>
      </c>
      <c r="AZ77" t="n">
        <v>0.7</v>
      </c>
      <c r="BA77" s="156" t="n">
        <f>BA70</f>
        <v>28</v>
      </c>
      <c r="BB77" s="156" t="n">
        <f t="shared" ref="BB77:BP77" si="24">BB70</f>
        <v>0.4</v>
      </c>
      <c r="BC77" s="156" t="n">
        <f t="shared" si="24"/>
        <v>0.1</v>
      </c>
      <c r="BD77" s="156" t="n">
        <f t="shared" si="24"/>
        <v>1.1000000000000001</v>
      </c>
      <c r="BE77" s="156" t="n">
        <f t="shared" si="24"/>
        <v>0</v>
      </c>
      <c r="BF77" s="156" t="n">
        <f t="shared" si="24"/>
        <v>9</v>
      </c>
      <c r="BG77" s="156" t="n">
        <f t="shared" si="24"/>
        <v>2</v>
      </c>
      <c r="BH77" s="156" t="n">
        <f t="shared" si="24"/>
        <v>250</v>
      </c>
      <c r="BI77" s="156" t="n">
        <f t="shared" si="24"/>
        <v>7.27</v>
      </c>
      <c r="BJ77" s="156" t="n">
        <f t="shared" si="24"/>
        <v>0</v>
      </c>
      <c r="BK77" s="156" t="n">
        <f t="shared" si="24"/>
        <v>0</v>
      </c>
      <c r="BL77" s="156" t="n">
        <f t="shared" si="24"/>
        <v>600</v>
      </c>
      <c r="BM77" s="156" t="n">
        <f t="shared" si="24"/>
        <v>200</v>
      </c>
      <c r="BN77" s="156" t="n">
        <f t="shared" si="24"/>
        <v>2.6</v>
      </c>
      <c r="BO77" s="156" t="n">
        <f t="shared" si="24"/>
        <v>150</v>
      </c>
      <c r="BP77" s="156" t="n">
        <f t="shared" si="24"/>
        <v>2.5</v>
      </c>
      <c r="BQ77" s="110"/>
    </row>
    <row r="78">
      <c r="A78" s="135" t="n">
        <v>420</v>
      </c>
      <c r="B78" s="44" t="s">
        <v>308</v>
      </c>
      <c r="C78" s="44" t="str">
        <f>B76</f>
        <v>Fava bean, green, without pod</v>
      </c>
      <c r="D78" s="142" t="s">
        <v>306</v>
      </c>
      <c r="E78" s="142"/>
      <c r="F78" s="172" t="n">
        <f>F76</f>
        <v>0.15</v>
      </c>
      <c r="G78" s="143" t="n">
        <f>AVERAGE(G70,G71,G76)</f>
        <v>0.17666666666666667</v>
      </c>
      <c r="H78" s="172" t="n">
        <f>AVERAGE(H70,H71,H76)</f>
        <v>0.27922222222222226</v>
      </c>
      <c r="I78" s="172" t="n">
        <f t="shared" ref="I78:AY78" si="25">AVERAGE(I70,I71,I76)</f>
        <v>212</v>
      </c>
      <c r="J78" s="172" t="n">
        <f t="shared" si="25"/>
        <v>1634.2637500000001</v>
      </c>
      <c r="K78" s="172" t="n">
        <f t="shared" si="25"/>
        <v>1.7530000000000001</v>
      </c>
      <c r="L78" s="172" t="n">
        <f t="shared" si="25"/>
        <v>5.6467263999999995</v>
      </c>
      <c r="M78" s="172" t="n">
        <f t="shared" si="25"/>
        <v>4.7674306293333339</v>
      </c>
      <c r="N78" s="172" t="n">
        <f t="shared" si="25"/>
        <v>4.9067162666666677</v>
      </c>
      <c r="O78" s="172" t="n">
        <f>AVERAGE(O70,O71,O76)</f>
        <v>0.34056631001390247</v>
      </c>
      <c r="P78" s="172" t="n">
        <f t="shared" si="25"/>
        <v>0.65943368998609753</v>
      </c>
      <c r="Q78" s="172" t="n">
        <f>AVERAGE(Q70,Q71,Q76)</f>
        <v>1.9666500000000002</v>
      </c>
      <c r="R78" s="94"/>
      <c r="S78" s="65" t="n">
        <f>VLOOKUP(C78,$B$3:$X$358,MATCH(S$2,$B$2:$X$2,0),0)</f>
        <v>0.4</v>
      </c>
      <c r="T78" s="15" t="n">
        <f t="shared" si="23"/>
        <v>6.669662921348316E-3</v>
      </c>
      <c r="U78" s="157" t="n">
        <f t="shared" si="23"/>
        <v>1.9850187265917607</v>
      </c>
      <c r="V78" s="157" t="n">
        <f t="shared" si="23"/>
        <v>41.685393258426977</v>
      </c>
      <c r="W78" s="132" t="n">
        <f t="shared" si="23"/>
        <v>228.27715355805248</v>
      </c>
      <c r="X78" s="132" t="n">
        <f t="shared" si="23"/>
        <v>281.17790262172292</v>
      </c>
      <c r="Y78" s="66"/>
      <c r="Z78" s="66"/>
      <c r="AA78" s="66"/>
      <c r="AB78" s="66"/>
      <c r="AC78" s="66"/>
      <c r="AD78" s="171"/>
      <c r="AE78" s="171"/>
      <c r="AF78" s="171"/>
      <c r="AG78" s="171"/>
      <c r="AH78" s="171"/>
      <c r="AI78" s="121" t="n">
        <f t="shared" si="13"/>
        <v>3.7752808988764056E-2</v>
      </c>
      <c r="AJ78" s="100"/>
      <c r="AK78" s="97"/>
      <c r="AL78" s="172" t="n">
        <f t="shared" si="25"/>
        <v>0.41000000000000009</v>
      </c>
      <c r="AM78" s="107" t="n">
        <f t="shared" si="25"/>
        <v>2.7083333333333334E-2</v>
      </c>
      <c r="AN78" s="172"/>
      <c r="AO78" s="172"/>
      <c r="AP78" s="172" t="n">
        <f t="shared" si="25"/>
        <v>0.38642333333333334</v>
      </c>
      <c r="AQ78" s="172" t="n">
        <f t="shared" si="25"/>
        <v>0.11534666666666667</v>
      </c>
      <c r="AR78" s="172"/>
      <c r="AS78" s="172" t="n">
        <f t="shared" si="25"/>
        <v>0.72602958765444336</v>
      </c>
      <c r="AT78" s="59" t="n">
        <f t="shared" si="17"/>
        <v>0.17824592074592077</v>
      </c>
      <c r="AU78" s="172" t="n">
        <f t="shared" si="25"/>
        <v>0.4400179319117839</v>
      </c>
      <c r="AV78" s="172" t="n">
        <f t="shared" si="25"/>
        <v>0.28601165574265952</v>
      </c>
      <c r="AW78" s="172"/>
      <c r="AX78" s="107" t="n">
        <f t="shared" si="18"/>
        <v>3.0716997287086538E-2</v>
      </c>
      <c r="AY78" s="172" t="n">
        <f t="shared" si="25"/>
        <v>17.572800000000001</v>
      </c>
      <c r="AZ78" t="n">
        <v>0.7</v>
      </c>
      <c r="BA78" t="n">
        <v>167</v>
      </c>
      <c r="BB78" t="n">
        <v>3.3000000000000003</v>
      </c>
      <c r="BC78" t="n">
        <v>4.8</v>
      </c>
      <c r="BD78" t="n">
        <v>11.200000000000001</v>
      </c>
      <c r="BE78" t="n">
        <v>1</v>
      </c>
      <c r="BF78" t="n">
        <v>19.8</v>
      </c>
      <c r="BG78" t="n">
        <v>35</v>
      </c>
      <c r="BH78" t="n">
        <v>1230</v>
      </c>
      <c r="BI78" t="n">
        <v>7.27</v>
      </c>
      <c r="BJ78" t="n">
        <v>0</v>
      </c>
      <c r="BK78" t="n">
        <v>0</v>
      </c>
      <c r="BL78" t="n">
        <v>1010</v>
      </c>
      <c r="BM78" t="n">
        <v>223.29999999999998</v>
      </c>
      <c r="BN78" t="n">
        <v>1.5</v>
      </c>
      <c r="BO78" t="n">
        <v>175</v>
      </c>
      <c r="BP78" t="n">
        <v>1.2</v>
      </c>
      <c r="BQ78" s="110"/>
    </row>
    <row r="79">
      <c r="A79" s="135" t="n">
        <v>463</v>
      </c>
      <c r="B79" s="44" t="s">
        <v>307</v>
      </c>
      <c r="C79" s="44" t="s">
        <v>312</v>
      </c>
      <c r="D79" s="142" t="s">
        <v>306</v>
      </c>
      <c r="E79" s="142"/>
      <c r="F79" s="103" t="n">
        <v>0.15</v>
      </c>
      <c r="G79" s="87" t="n">
        <f>G73</f>
        <v>6.2142857142857146E-2</v>
      </c>
      <c r="H79" s="87" t="n">
        <v>0.21007642501377988</v>
      </c>
      <c r="I79" s="142" t="n">
        <v>212</v>
      </c>
      <c r="J79" s="142" t="n">
        <v>1634.2637500000001</v>
      </c>
      <c r="K79" s="103" t="n">
        <v>1.2350468750000001</v>
      </c>
      <c r="L79" s="103" t="n">
        <v>2.6710655999999995</v>
      </c>
      <c r="M79" s="157" t="n">
        <v>1.9215955555555557</v>
      </c>
      <c r="N79" s="157" t="n">
        <v>3.6916310014821523</v>
      </c>
      <c r="O79" s="103" t="n">
        <v>0.66365281344620375</v>
      </c>
      <c r="P79" s="103" t="n">
        <v>0.33634718655379614</v>
      </c>
      <c r="Q79" s="103" t="n">
        <v>0.73483191805492376</v>
      </c>
      <c r="R79" s="94"/>
      <c r="S79" s="22" t="n">
        <f>VLOOKUP($B79,Conversores_Dieta!$B$4:$J$164,Coefs!S$292,0)</f>
        <v>0.77921052631578924</v>
      </c>
      <c r="T79" s="130" t="n">
        <v>2.2399999999999998E-3</v>
      </c>
      <c r="U79" s="166" t="n">
        <f>VLOOKUP($B79,Conversores_Dieta!$B$4:$J$164,Coefs!U$292,0)</f>
        <v>16.792105263157897</v>
      </c>
      <c r="V79" s="166" t="n">
        <f>VLOOKUP($B79,Conversores_Dieta!$B$4:$J$164,Coefs!V$292,0)</f>
        <v>91.673684210526332</v>
      </c>
      <c r="W79" s="21" t="n">
        <f>VLOOKUP($B79,Conversores_Dieta!$B$4:$J$164,Coefs!W$292,0)</f>
        <v>954.07894736842104</v>
      </c>
      <c r="X79" s="21" t="n">
        <f>VLOOKUP($B79,Conversores_Dieta!$B$4:$J$164,Coefs!X$292,0)</f>
        <v>2792.3394736842106</v>
      </c>
      <c r="Y79" s="66"/>
      <c r="Z79" s="66"/>
      <c r="AA79" s="66"/>
      <c r="AB79" s="66"/>
      <c r="AC79" s="66"/>
      <c r="AD79" s="171"/>
      <c r="AE79" s="171"/>
      <c r="AF79" s="171"/>
      <c r="AG79" s="171"/>
      <c r="AH79" s="171"/>
      <c r="AI79" s="153" t="n">
        <f t="shared" si="13"/>
        <v>3.604597701149425E-2</v>
      </c>
      <c r="AJ79" s="100"/>
      <c r="AK79" s="66"/>
      <c r="AL79" s="121" t="n">
        <v>0.41000000000000009</v>
      </c>
      <c r="AM79" s="121" t="n">
        <v>2.6125000000000002E-2</v>
      </c>
      <c r="AN79" s="121"/>
      <c r="AO79" s="121"/>
      <c r="AP79" s="153" t="n">
        <v>0.35967000000000005</v>
      </c>
      <c r="AQ79" s="121" t="n">
        <v>0.11534666666666667</v>
      </c>
      <c r="AR79" s="103"/>
      <c r="AS79" s="121" t="n">
        <v>0.72602958765444336</v>
      </c>
      <c r="AT79" s="59" t="n">
        <f t="shared" si="17"/>
        <v>0.17824592074592077</v>
      </c>
      <c r="AU79" s="87" t="n">
        <v>0.4400179319117839</v>
      </c>
      <c r="AV79" s="87" t="n">
        <v>0.28601165574265952</v>
      </c>
      <c r="AW79" s="5"/>
      <c r="AX79" s="107" t="n">
        <f t="shared" si="18"/>
        <v>3.2709084305813263E-2</v>
      </c>
      <c r="AY79" s="119" t="n">
        <v>17.572800000000004</v>
      </c>
      <c r="AZ79" t="n">
        <v>0.7</v>
      </c>
      <c r="BA79" t="n">
        <v>28.700000000000003</v>
      </c>
      <c r="BB79" t="n">
        <v>0.70000000000000007</v>
      </c>
      <c r="BC79" t="n">
        <v>0.3</v>
      </c>
      <c r="BD79" t="n">
        <v>1.3</v>
      </c>
      <c r="BE79" t="n">
        <v>0.4</v>
      </c>
      <c r="BF79" t="n">
        <v>10.1</v>
      </c>
      <c r="BG79" t="n">
        <v>4</v>
      </c>
      <c r="BH79" t="n">
        <v>253.70000000000002</v>
      </c>
      <c r="BI79" t="n">
        <v>7.27</v>
      </c>
      <c r="BJ79" t="n">
        <v>0</v>
      </c>
      <c r="BK79" t="n">
        <v>5</v>
      </c>
      <c r="BL79" t="n">
        <v>489</v>
      </c>
      <c r="BM79" t="n">
        <v>315.10000000000002</v>
      </c>
      <c r="BN79" t="n">
        <v>4.8</v>
      </c>
      <c r="BO79" t="n">
        <v>300</v>
      </c>
      <c r="BP79" t="n">
        <v>60</v>
      </c>
      <c r="BQ79" s="110"/>
    </row>
    <row r="80">
      <c r="A80" s="84"/>
      <c r="B80" s="70" t="s">
        <v>305</v>
      </c>
      <c r="C80" s="70"/>
      <c r="D80" s="142" t="s">
        <v>272</v>
      </c>
      <c r="E80" s="151"/>
      <c r="F80" s="141" t="n">
        <v>0.42914389476422721</v>
      </c>
      <c r="G80" s="146" t="n">
        <v>0.90847222222222224</v>
      </c>
      <c r="H80" s="141" t="n">
        <v>0.92600000000000005</v>
      </c>
      <c r="I80" s="141" t="n">
        <v>232.07499999999996</v>
      </c>
      <c r="J80" s="141" t="n">
        <v>873.33823333333328</v>
      </c>
      <c r="K80" s="141" t="n">
        <v>26.38</v>
      </c>
      <c r="L80" s="141" t="e">
        <v>#DIV/0!</v>
      </c>
      <c r="M80" s="141" t="n">
        <v>19.423482844444447</v>
      </c>
      <c r="N80" s="141" t="n">
        <v>16.181619999999999</v>
      </c>
      <c r="O80" s="141" t="n">
        <v>0.38117782210031875</v>
      </c>
      <c r="P80" s="141" t="n">
        <v>0.6188221778996813</v>
      </c>
      <c r="Q80" s="141" t="n">
        <v>2.287884580670652</v>
      </c>
      <c r="R80" s="157"/>
      <c r="S80" s="157"/>
      <c r="T80" s="157"/>
      <c r="U80" s="157"/>
      <c r="V80" s="157"/>
      <c r="W80" s="157"/>
      <c r="X80" s="157"/>
      <c r="Y80" s="157"/>
      <c r="Z80" s="157"/>
      <c r="AA80" s="157"/>
      <c r="AB80" s="157"/>
      <c r="AC80" s="157"/>
      <c r="AD80" s="157"/>
      <c r="AE80" s="157"/>
      <c r="AF80" s="157"/>
      <c r="AG80" s="157"/>
      <c r="AH80" s="157"/>
      <c r="AI80" s="136" t="n">
        <v>3.4245489272391211E-2</v>
      </c>
      <c r="AJ80" s="71" t="n">
        <v>6.1094221509300503E-3</v>
      </c>
      <c r="AK80" s="110" t="n">
        <v>9.3240256399858123E-3</v>
      </c>
      <c r="AL80" s="141" t="n">
        <v>0.5</v>
      </c>
      <c r="AM80" s="107" t="n">
        <v>8.0000000000000002E-3</v>
      </c>
      <c r="AN80" s="141"/>
      <c r="AO80" s="141"/>
      <c r="AP80" s="136" t="n">
        <v>0.44677540404040411</v>
      </c>
      <c r="AQ80" s="141" t="n">
        <v>0.11534666666666667</v>
      </c>
      <c r="AR80" s="141" t="e">
        <v>#DIV/0!</v>
      </c>
      <c r="AS80" s="136" t="n">
        <v>0.73784472510296217</v>
      </c>
      <c r="AT80" s="59" t="n">
        <f t="shared" si="17"/>
        <v>0.17824592074592077</v>
      </c>
      <c r="AU80" s="141" t="n">
        <v>0.44717862127452257</v>
      </c>
      <c r="AV80" s="141" t="n">
        <v>0.29066610382843971</v>
      </c>
      <c r="AW80" s="148"/>
      <c r="AX80" s="107" t="n">
        <f t="shared" si="18"/>
        <v>1.8004198440807362E-2</v>
      </c>
      <c r="AY80" s="119" t="n">
        <v>17.474751619870407</v>
      </c>
      <c r="AZ80" t="n">
        <v>0.7</v>
      </c>
      <c r="BQ80" s="110"/>
    </row>
    <row r="81">
      <c r="A81" s="135" t="n">
        <v>157</v>
      </c>
      <c r="B81" s="94" t="s">
        <v>304</v>
      </c>
      <c r="C81" s="94"/>
      <c r="D81" s="142" t="s">
        <v>303</v>
      </c>
      <c r="E81" s="142"/>
      <c r="F81" s="101" t="n">
        <v>0.22051282051282048</v>
      </c>
      <c r="G81" s="89" t="n">
        <v>0.25</v>
      </c>
      <c r="H81" s="89" t="n">
        <v>0.16233333333333336</v>
      </c>
      <c r="I81" s="142" t="n">
        <v>232.07499999999999</v>
      </c>
      <c r="J81" s="142" t="n">
        <v>873.33823333333328</v>
      </c>
      <c r="K81" s="166"/>
      <c r="L81" s="166"/>
      <c r="M81" s="157" t="n">
        <v>4.2515544041450779</v>
      </c>
      <c r="N81" s="157" t="n">
        <v>2.8526512000000004</v>
      </c>
      <c r="O81" s="94" t="n">
        <v>0.51282051282051277</v>
      </c>
      <c r="P81" s="94" t="n">
        <v>0.48717948717948717</v>
      </c>
      <c r="Q81" s="94" t="n">
        <v>0.95</v>
      </c>
      <c r="R81" s="94"/>
      <c r="S81" s="65"/>
      <c r="T81" s="130" t="n">
        <v>2.0799999999999998E-3</v>
      </c>
      <c r="U81" s="166"/>
      <c r="V81" s="166"/>
      <c r="W81" s="21"/>
      <c r="X81" s="21"/>
      <c r="Y81" s="157"/>
      <c r="Z81" s="157"/>
      <c r="AA81" s="157"/>
      <c r="AB81" s="157"/>
      <c r="AC81" s="157"/>
      <c r="AD81" s="157"/>
      <c r="AE81" s="157"/>
      <c r="AF81" s="157"/>
      <c r="AG81" s="157"/>
      <c r="AH81" s="157"/>
      <c r="AI81" s="153" t="n">
        <f>T81/G81</f>
        <v>8.3199999999999993E-3</v>
      </c>
      <c r="AJ81" s="71"/>
      <c r="AK81" s="67"/>
      <c r="AL81" s="121" t="n">
        <v>0.5</v>
      </c>
      <c r="AM81" s="153" t="n">
        <v>0.02</v>
      </c>
      <c r="AN81" s="153"/>
      <c r="AO81" s="153"/>
      <c r="AP81" s="153" t="n">
        <v>0.34799999999999998</v>
      </c>
      <c r="AQ81" s="121" t="n">
        <v>0.11534666666666667</v>
      </c>
      <c r="AR81" s="94"/>
      <c r="AS81" s="121" t="n">
        <v>0.72602958765444336</v>
      </c>
      <c r="AT81" s="59" t="n">
        <f t="shared" si="17"/>
        <v>0.17824592074592077</v>
      </c>
      <c r="AU81" s="87" t="n">
        <v>0.4400179319117839</v>
      </c>
      <c r="AV81" s="87" t="n">
        <v>0.28601165574265952</v>
      </c>
      <c r="AW81" s="5"/>
      <c r="AX81" s="107" t="n">
        <f t="shared" si="18"/>
        <v>1.4010256410256411E-2</v>
      </c>
      <c r="AY81" s="119" t="n">
        <v>17.572800000000001</v>
      </c>
      <c r="AZ81" t="n">
        <v>0.7</v>
      </c>
      <c r="BQ81" s="110"/>
    </row>
    <row r="82">
      <c r="A82" s="135" t="n">
        <v>270</v>
      </c>
      <c r="B82" s="44" t="s">
        <v>302</v>
      </c>
      <c r="C82" s="7" t="s">
        <v>240</v>
      </c>
      <c r="D82" s="142" t="s">
        <v>274</v>
      </c>
      <c r="E82" s="142"/>
      <c r="F82" s="94" t="n">
        <v>0.15</v>
      </c>
      <c r="G82" s="89" t="n">
        <v>0.91200000000000003</v>
      </c>
      <c r="H82" s="89" t="n">
        <v>1</v>
      </c>
      <c r="I82" s="142" t="n">
        <v>232.07499999999999</v>
      </c>
      <c r="J82" s="142" t="n">
        <v>873.33823333333328</v>
      </c>
      <c r="K82" s="166"/>
      <c r="L82" s="166"/>
      <c r="M82" s="166" t="n">
        <v>27.326540800000004</v>
      </c>
      <c r="N82" s="157" t="n">
        <v>17.572800000000001</v>
      </c>
      <c r="O82" s="94" t="n">
        <v>0.28971525336323189</v>
      </c>
      <c r="P82" s="94" t="n">
        <v>0.71028474663676811</v>
      </c>
      <c r="Q82" s="94" t="n">
        <v>2.4516650000000002</v>
      </c>
      <c r="R82" s="94"/>
      <c r="S82" s="65" t="n">
        <f>VLOOKUP(C82,$B$3:$X$358,MATCH(S$2,$B$2:$X$2,0),0)</f>
        <v>0.95750000000000002</v>
      </c>
      <c r="T82" s="130" t="n">
        <f>AI82*G82</f>
        <v>3.04E-2</v>
      </c>
      <c r="U82" s="157" t="n">
        <f t="shared" ref="U82:X83" si="26">VLOOKUP($C82,$B$3:$X$358,MATCH(U$2,$B$2:$X$2,0),0)*$G82/VLOOKUP($C82,$B$3:$X$358,MATCH($G$2,$B$2:$X$2,0),0)</f>
        <v>536.98427897421618</v>
      </c>
      <c r="V82" s="157" t="n">
        <f t="shared" si="26"/>
        <v>134.96056686223648</v>
      </c>
      <c r="W82" s="132" t="n">
        <f t="shared" si="26"/>
        <v>1781.4794825815216</v>
      </c>
      <c r="X82" s="132" t="n">
        <f t="shared" si="26"/>
        <v>0</v>
      </c>
      <c r="Y82" s="66"/>
      <c r="Z82" s="66"/>
      <c r="AA82" s="66"/>
      <c r="AB82" s="66"/>
      <c r="AC82" s="66"/>
      <c r="AD82" s="171"/>
      <c r="AE82" s="171"/>
      <c r="AF82" s="171"/>
      <c r="AG82" s="171"/>
      <c r="AH82" s="171"/>
      <c r="AI82" s="153" t="n">
        <v>3.3333333333333333E-2</v>
      </c>
      <c r="AJ82" s="71" t="n">
        <v>6.5789473684210523E-3</v>
      </c>
      <c r="AK82" s="67" t="n">
        <v>8.6622807017543869E-3</v>
      </c>
      <c r="AL82" s="121" t="n">
        <v>0.5</v>
      </c>
      <c r="AM82" s="107" t="n">
        <v>8.0000000000000002E-3</v>
      </c>
      <c r="AN82" s="153"/>
      <c r="AO82" s="153"/>
      <c r="AP82" s="153" t="n">
        <v>0.46917272727272724</v>
      </c>
      <c r="AQ82" s="121" t="n">
        <v>0.11534666666666667</v>
      </c>
      <c r="AR82" s="94"/>
      <c r="AS82" s="121" t="n">
        <v>0.7491000000000001</v>
      </c>
      <c r="AT82" s="59" t="n">
        <f t="shared" si="17"/>
        <v>0.17824592074592077</v>
      </c>
      <c r="AU82" s="87" t="n">
        <v>0.45400000000000001</v>
      </c>
      <c r="AV82" s="87" t="n">
        <v>0.29510000000000003</v>
      </c>
      <c r="AW82" s="5"/>
      <c r="AX82" s="107" t="n">
        <f t="shared" si="18"/>
        <v>1.5339453085201874E-2</v>
      </c>
      <c r="AY82" s="119" t="n">
        <v>17.572800000000001</v>
      </c>
      <c r="AZ82" t="n">
        <v>0.7</v>
      </c>
      <c r="BA82" t="n">
        <v>110</v>
      </c>
      <c r="BB82" t="n">
        <v>62.9</v>
      </c>
      <c r="BC82" t="n">
        <v>653</v>
      </c>
      <c r="BD82" t="n">
        <v>280.10000000000002</v>
      </c>
      <c r="BE82" t="n">
        <v>25</v>
      </c>
      <c r="BF82" t="n">
        <v>0</v>
      </c>
      <c r="BG82" t="n">
        <v>45</v>
      </c>
      <c r="BH82" t="n">
        <v>2250</v>
      </c>
      <c r="BI82" t="n">
        <v>371</v>
      </c>
      <c r="BJ82" t="n">
        <v>0</v>
      </c>
      <c r="BK82" t="n">
        <v>0</v>
      </c>
      <c r="BL82" t="n">
        <v>0</v>
      </c>
      <c r="BM82" t="n">
        <v>0</v>
      </c>
      <c r="BN82" t="n">
        <v>209.5</v>
      </c>
      <c r="BO82" t="n">
        <v>300</v>
      </c>
      <c r="BP82" t="n">
        <v>15</v>
      </c>
      <c r="BQ82" s="110"/>
    </row>
    <row r="83">
      <c r="A83" s="44"/>
      <c r="B83" s="44" t="s">
        <v>301</v>
      </c>
      <c r="C83" s="7" t="s">
        <v>240</v>
      </c>
      <c r="D83" s="142" t="s">
        <v>816</v>
      </c>
      <c r="E83" s="142"/>
      <c r="F83" s="103" t="n">
        <v>0.23898131816844609</v>
      </c>
      <c r="G83" s="89" t="n">
        <v>0.91200000000000003</v>
      </c>
      <c r="H83" s="89" t="n">
        <v>1</v>
      </c>
      <c r="I83" s="142" t="n">
        <v>232.07499999999999</v>
      </c>
      <c r="J83" s="142" t="n">
        <v>873.33823333333328</v>
      </c>
      <c r="K83" s="166"/>
      <c r="L83" s="166"/>
      <c r="M83" s="157" t="n">
        <v>25.310928533333335</v>
      </c>
      <c r="N83" s="157" t="n">
        <v>17.572800000000001</v>
      </c>
      <c r="O83" s="94" t="n">
        <v>0.28971525336323189</v>
      </c>
      <c r="P83" s="94" t="n">
        <v>0.71028474663676811</v>
      </c>
      <c r="Q83" s="94" t="n">
        <v>2.4516650000000002</v>
      </c>
      <c r="R83" s="94"/>
      <c r="S83" s="65" t="n">
        <f>VLOOKUP(C83,$B$3:$X$358,MATCH(S$2,$B$2:$X$2,0),0)</f>
        <v>0.95750000000000002</v>
      </c>
      <c r="T83" s="15" t="n">
        <f>VLOOKUP($C83,$B$3:$X$358,MATCH(T$2,$B$2:$X$2,0),0)*$G83/VLOOKUP($C83,$B$3:$X$358,MATCH($G$2,$B$2:$X$2,0),0)</f>
        <v>2.7147906976744192E-2</v>
      </c>
      <c r="U83" s="157" t="n">
        <f t="shared" si="26"/>
        <v>536.98427897421618</v>
      </c>
      <c r="V83" s="157" t="n">
        <f t="shared" si="26"/>
        <v>134.96056686223648</v>
      </c>
      <c r="W83" s="132" t="n">
        <f t="shared" si="26"/>
        <v>1781.4794825815216</v>
      </c>
      <c r="X83" s="132" t="n">
        <f t="shared" si="26"/>
        <v>0</v>
      </c>
      <c r="Y83" s="66"/>
      <c r="Z83" s="66"/>
      <c r="AA83" s="66"/>
      <c r="AB83" s="66"/>
      <c r="AC83" s="66"/>
      <c r="AD83" s="171"/>
      <c r="AE83" s="171"/>
      <c r="AF83" s="171"/>
      <c r="AG83" s="171"/>
      <c r="AH83" s="171"/>
      <c r="AI83" s="121" t="n">
        <f t="shared" ref="AI83:AI90" si="27">T83/G83</f>
        <v>2.9767441860465121E-2</v>
      </c>
      <c r="AJ83" s="100" t="n">
        <v>6.1094221509300503E-3</v>
      </c>
      <c r="AK83" s="66" t="n">
        <v>9.3240256399858123E-3</v>
      </c>
      <c r="AL83" s="121" t="n">
        <v>0.5</v>
      </c>
      <c r="AM83" s="107" t="n">
        <v>8.0000000000000002E-3</v>
      </c>
      <c r="AN83" s="153"/>
      <c r="AO83" s="153"/>
      <c r="AP83" s="153" t="n">
        <v>0.44426371212121218</v>
      </c>
      <c r="AQ83" s="121" t="n">
        <v>0.11534666666666667</v>
      </c>
      <c r="AR83" s="94"/>
      <c r="AS83" s="121" t="n">
        <v>0.69641379310344831</v>
      </c>
      <c r="AT83" s="59" t="n">
        <f t="shared" si="17"/>
        <v>0.17824592074592077</v>
      </c>
      <c r="AU83" s="87" t="n">
        <v>0.42206896551724138</v>
      </c>
      <c r="AV83" s="87" t="n">
        <v>0.27434482758620693</v>
      </c>
      <c r="AW83" s="5"/>
      <c r="AX83" s="107" t="n">
        <f t="shared" si="18"/>
        <v>1.4306359933674071E-2</v>
      </c>
      <c r="AY83" s="119" t="n">
        <v>17.572800000000001</v>
      </c>
      <c r="AZ83" t="n">
        <v>0.7</v>
      </c>
      <c r="BA83" s="156" t="n">
        <f>BA$82</f>
        <v>110</v>
      </c>
      <c r="BB83" s="156" t="n">
        <f t="shared" ref="BB83:BP83" si="28">BB82</f>
        <v>62.9</v>
      </c>
      <c r="BC83" s="156" t="n">
        <f t="shared" si="28"/>
        <v>653</v>
      </c>
      <c r="BD83" s="156" t="n">
        <f t="shared" si="28"/>
        <v>280.10000000000002</v>
      </c>
      <c r="BE83" s="156" t="n">
        <f t="shared" si="28"/>
        <v>25</v>
      </c>
      <c r="BF83" s="156" t="n">
        <f t="shared" si="28"/>
        <v>0</v>
      </c>
      <c r="BG83" s="156" t="n">
        <f t="shared" si="28"/>
        <v>45</v>
      </c>
      <c r="BH83" s="156" t="n">
        <f t="shared" si="28"/>
        <v>2250</v>
      </c>
      <c r="BI83" s="156" t="n">
        <f t="shared" si="28"/>
        <v>371</v>
      </c>
      <c r="BJ83" s="156" t="n">
        <f t="shared" si="28"/>
        <v>0</v>
      </c>
      <c r="BK83" s="156" t="n">
        <f t="shared" si="28"/>
        <v>0</v>
      </c>
      <c r="BL83" s="156" t="n">
        <f t="shared" si="28"/>
        <v>0</v>
      </c>
      <c r="BM83" s="156" t="n">
        <f t="shared" si="28"/>
        <v>0</v>
      </c>
      <c r="BN83" s="156" t="n">
        <f t="shared" si="28"/>
        <v>209.5</v>
      </c>
      <c r="BO83" s="156" t="n">
        <f t="shared" si="28"/>
        <v>300</v>
      </c>
      <c r="BP83" s="156" t="n">
        <f t="shared" si="28"/>
        <v>15</v>
      </c>
      <c r="BQ83" s="110"/>
    </row>
    <row r="84">
      <c r="A84" s="135" t="n">
        <v>777</v>
      </c>
      <c r="B84" s="44" t="s">
        <v>300</v>
      </c>
      <c r="C84" s="44"/>
      <c r="D84" s="142" t="s">
        <v>278</v>
      </c>
      <c r="E84" s="142"/>
      <c r="F84" s="103" t="n">
        <v>0.23898131816844609</v>
      </c>
      <c r="G84" s="89" t="n">
        <v>0.91100000000000003</v>
      </c>
      <c r="H84" s="89" t="n">
        <v>0.91100000000000003</v>
      </c>
      <c r="I84" s="142" t="n">
        <v>232.07499999999999</v>
      </c>
      <c r="J84" s="142" t="n">
        <v>873.33823333333328</v>
      </c>
      <c r="K84" s="87"/>
      <c r="L84" s="87"/>
      <c r="M84" s="157" t="n">
        <v>15.815520000000001</v>
      </c>
      <c r="N84" s="157" t="n">
        <v>15.815520000000001</v>
      </c>
      <c r="O84" s="94" t="n">
        <v>0.8</v>
      </c>
      <c r="P84" s="94" t="n">
        <v>0.2</v>
      </c>
      <c r="Q84" s="94" t="n">
        <v>0.25</v>
      </c>
      <c r="R84" s="94"/>
      <c r="S84" s="94"/>
      <c r="T84" s="15" t="n">
        <v>1.2999999999999999E-3</v>
      </c>
      <c r="U84" s="132"/>
      <c r="V84" s="132"/>
      <c r="W84" s="132"/>
      <c r="X84" s="132"/>
      <c r="Y84" s="132"/>
      <c r="Z84" s="132"/>
      <c r="AA84" s="132"/>
      <c r="AB84" s="132"/>
      <c r="AC84" s="132"/>
      <c r="AD84" s="132"/>
      <c r="AE84" s="132"/>
      <c r="AF84" s="132"/>
      <c r="AG84" s="132"/>
      <c r="AH84" s="132"/>
      <c r="AI84" s="153" t="n">
        <f t="shared" si="27"/>
        <v>1.4270032930845224E-3</v>
      </c>
      <c r="AJ84" s="71"/>
      <c r="AK84" s="67"/>
      <c r="AL84" s="153" t="n">
        <v>0.62</v>
      </c>
      <c r="AM84" s="107" t="n">
        <v>8.0000000000000002E-3</v>
      </c>
      <c r="AN84" s="153"/>
      <c r="AO84" s="153"/>
      <c r="AP84" s="153" t="n">
        <v>0.43689436219155298</v>
      </c>
      <c r="AQ84" s="121" t="n">
        <v>0.11534666666666667</v>
      </c>
      <c r="AR84" s="94"/>
      <c r="AS84" s="121" t="n">
        <v>0.72602958765444336</v>
      </c>
      <c r="AT84" s="59" t="n">
        <f t="shared" si="17"/>
        <v>0.17824592074592077</v>
      </c>
      <c r="AU84" s="87" t="n">
        <v>0.4400179319117839</v>
      </c>
      <c r="AV84" s="87" t="n">
        <v>0.28601165574265952</v>
      </c>
      <c r="AW84" s="5"/>
      <c r="AX84" s="107" t="n">
        <f t="shared" si="18"/>
        <v>2.7416026344676183E-3</v>
      </c>
      <c r="AY84" s="119" t="n">
        <v>17.36061470911087</v>
      </c>
      <c r="AZ84" t="n">
        <v>0.7</v>
      </c>
      <c r="BQ84" s="110"/>
    </row>
    <row r="85">
      <c r="A85" s="135"/>
      <c r="B85" s="44" t="s">
        <v>299</v>
      </c>
      <c r="C85" s="44"/>
      <c r="D85" s="142" t="s">
        <v>272</v>
      </c>
      <c r="E85" s="142"/>
      <c r="F85" s="103" t="n">
        <v>0.23898131816844609</v>
      </c>
      <c r="G85" s="89" t="n">
        <v>0.11399999999999999</v>
      </c>
      <c r="H85" s="87" t="n">
        <v>0.11399999999999999</v>
      </c>
      <c r="I85" s="142" t="n">
        <v>232.07499999999999</v>
      </c>
      <c r="J85" s="142" t="n">
        <v>873.33823333333328</v>
      </c>
      <c r="K85" s="166"/>
      <c r="L85" s="166"/>
      <c r="M85" s="166" t="n">
        <v>1.7360000000000002</v>
      </c>
      <c r="N85" s="157" t="n">
        <v>2.0032991999999998</v>
      </c>
      <c r="O85" s="94" t="n">
        <v>0.33333333333333337</v>
      </c>
      <c r="P85" s="94" t="n">
        <v>0.66666666666666663</v>
      </c>
      <c r="Q85" s="94" t="n">
        <v>2</v>
      </c>
      <c r="R85" s="94"/>
      <c r="S85" s="22" t="n">
        <f>VLOOKUP($B85,Conversores_Dieta!$B$4:$J$164,Coefs!S$292,0)</f>
        <v>1</v>
      </c>
      <c r="T85" s="130" t="n">
        <f>VLOOKUP($B85,Conversores_Dieta!$B$4:$J$164,Coefs!T$292,0)</f>
        <v>3.8400000000000001E-3</v>
      </c>
      <c r="U85" s="166" t="n">
        <f>VLOOKUP($B85,Conversores_Dieta!$B$4:$J$164,Coefs!U$292,0)</f>
        <v>9</v>
      </c>
      <c r="V85" s="166" t="n">
        <f>VLOOKUP($B85,Conversores_Dieta!$B$4:$J$164,Coefs!V$292,0)</f>
        <v>49</v>
      </c>
      <c r="W85" s="21" t="n">
        <f>VLOOKUP($B85,Conversores_Dieta!$B$4:$J$164,Coefs!W$292,0)</f>
        <v>400</v>
      </c>
      <c r="X85" s="21" t="n">
        <f>VLOOKUP($B85,Conversores_Dieta!$B$4:$J$164,Coefs!X$292,0)</f>
        <v>140</v>
      </c>
      <c r="Y85" s="66"/>
      <c r="Z85" s="66"/>
      <c r="AA85" s="66"/>
      <c r="AB85" s="66"/>
      <c r="AC85" s="66"/>
      <c r="AD85" s="171"/>
      <c r="AE85" s="171"/>
      <c r="AF85" s="171"/>
      <c r="AG85" s="171"/>
      <c r="AH85" s="171"/>
      <c r="AI85" s="153" t="n">
        <f t="shared" si="27"/>
        <v>3.3684210526315796E-2</v>
      </c>
      <c r="AJ85" s="71"/>
      <c r="AK85" s="67"/>
      <c r="AL85" s="121" t="n">
        <v>0.5</v>
      </c>
      <c r="AM85" s="107" t="n">
        <v>8.0000000000000002E-3</v>
      </c>
      <c r="AN85" s="153"/>
      <c r="AO85" s="153"/>
      <c r="AP85" s="153" t="n">
        <v>0.43689436219155298</v>
      </c>
      <c r="AQ85" s="121" t="n">
        <v>0.11534666666666667</v>
      </c>
      <c r="AR85" s="94"/>
      <c r="AS85" s="121" t="n">
        <v>0.72602958765444336</v>
      </c>
      <c r="AT85" s="59" t="n">
        <f t="shared" si="17"/>
        <v>0.17824592074592077</v>
      </c>
      <c r="AU85" s="87" t="n">
        <v>0.4400179319117839</v>
      </c>
      <c r="AV85" s="87" t="n">
        <v>0.28601165574265952</v>
      </c>
      <c r="AW85" s="5"/>
      <c r="AX85" s="107" t="n">
        <f t="shared" si="18"/>
        <v>1.6561403508771933E-2</v>
      </c>
      <c r="AY85" s="119" t="n">
        <v>17.572800000000001</v>
      </c>
      <c r="AZ85" t="n">
        <v>0.7</v>
      </c>
      <c r="BA85" t="n">
        <v>15</v>
      </c>
      <c r="BB85" t="n">
        <v>2.3000000000000003</v>
      </c>
      <c r="BC85" t="n">
        <v>0.6</v>
      </c>
      <c r="BD85" t="n">
        <v>3</v>
      </c>
      <c r="BE85" t="n">
        <v>0.1</v>
      </c>
      <c r="BF85" t="n">
        <v>16.7</v>
      </c>
      <c r="BG85" t="n">
        <v>3.2</v>
      </c>
      <c r="BH85" t="n">
        <v>330</v>
      </c>
      <c r="BI85" t="n">
        <v>7.27</v>
      </c>
      <c r="BJ85" t="n">
        <v>0</v>
      </c>
      <c r="BK85" t="n">
        <v>0</v>
      </c>
      <c r="BL85" t="n">
        <v>230</v>
      </c>
      <c r="BM85" t="n">
        <v>43</v>
      </c>
      <c r="BN85" t="n">
        <v>8.8000000000000007</v>
      </c>
      <c r="BO85" t="n">
        <v>500</v>
      </c>
      <c r="BP85" t="n">
        <v>2.5</v>
      </c>
      <c r="BQ85" s="110"/>
    </row>
    <row r="86">
      <c r="A86" s="135" t="n">
        <v>280</v>
      </c>
      <c r="B86" s="44" t="s">
        <v>298</v>
      </c>
      <c r="C86" s="44"/>
      <c r="D86" s="142" t="s">
        <v>274</v>
      </c>
      <c r="E86" s="142"/>
      <c r="F86" s="94" t="n">
        <v>0.1</v>
      </c>
      <c r="G86" s="89" t="n">
        <v>0.91200000000000003</v>
      </c>
      <c r="H86" s="89" t="n">
        <v>1</v>
      </c>
      <c r="I86" s="142" t="n">
        <v>232.07499999999999</v>
      </c>
      <c r="J86" s="142" t="n">
        <v>873.33823333333328</v>
      </c>
      <c r="K86" s="166"/>
      <c r="L86" s="166"/>
      <c r="M86" s="157" t="n">
        <v>25.310928533333335</v>
      </c>
      <c r="N86" s="157" t="n">
        <v>17.572800000000001</v>
      </c>
      <c r="O86" s="94" t="n">
        <v>0.22022471910112351</v>
      </c>
      <c r="P86" s="94" t="n">
        <v>0.77977528089887649</v>
      </c>
      <c r="Q86" s="94" t="n">
        <v>3.5408163265306123</v>
      </c>
      <c r="R86" s="94"/>
      <c r="S86" s="65" t="n">
        <f>S85</f>
        <v>1</v>
      </c>
      <c r="T86" s="130" t="n">
        <v>1.5520000000000001E-2</v>
      </c>
      <c r="U86" s="157" t="n">
        <f t="shared" ref="U86:X86" si="29">U85</f>
        <v>9</v>
      </c>
      <c r="V86" s="157" t="n">
        <f t="shared" si="29"/>
        <v>49</v>
      </c>
      <c r="W86" s="132" t="n">
        <f t="shared" si="29"/>
        <v>400</v>
      </c>
      <c r="X86" s="132" t="n">
        <f t="shared" si="29"/>
        <v>140</v>
      </c>
      <c r="Y86" s="66"/>
      <c r="Z86" s="66"/>
      <c r="AA86" s="66"/>
      <c r="AB86" s="66"/>
      <c r="AC86" s="66"/>
      <c r="AD86" s="171"/>
      <c r="AE86" s="171"/>
      <c r="AF86" s="171"/>
      <c r="AG86" s="171"/>
      <c r="AH86" s="171"/>
      <c r="AI86" s="153" t="n">
        <f t="shared" si="27"/>
        <v>1.7017543859649122E-2</v>
      </c>
      <c r="AJ86" s="100" t="n">
        <v>6.1094221509300503E-3</v>
      </c>
      <c r="AK86" s="66" t="n">
        <v>9.3240256399858123E-3</v>
      </c>
      <c r="AL86" s="121" t="n">
        <v>0.5</v>
      </c>
      <c r="AM86" s="107" t="n">
        <v>8.0000000000000002E-3</v>
      </c>
      <c r="AN86" s="153"/>
      <c r="AO86" s="153"/>
      <c r="AP86" s="153" t="n">
        <v>0.43689436219155298</v>
      </c>
      <c r="AQ86" s="121" t="n">
        <v>0.11534666666666667</v>
      </c>
      <c r="AR86" s="94"/>
      <c r="AS86" s="121" t="n">
        <v>0.72602958765444336</v>
      </c>
      <c r="AT86" s="59" t="n">
        <f t="shared" si="17"/>
        <v>0.17824592074592077</v>
      </c>
      <c r="AU86" s="87" t="n">
        <v>0.4400179319117839</v>
      </c>
      <c r="AV86" s="87" t="n">
        <v>0.28601165574265952</v>
      </c>
      <c r="AW86" s="5"/>
      <c r="AX86" s="107" t="n">
        <f t="shared" si="18"/>
        <v>9.9858860634732902E-3</v>
      </c>
      <c r="AY86" s="119" t="n">
        <v>17.572800000000001</v>
      </c>
      <c r="AZ86" t="n">
        <v>0.7</v>
      </c>
      <c r="BA86" t="n">
        <v>100</v>
      </c>
      <c r="BB86" t="n">
        <v>76.5</v>
      </c>
      <c r="BC86" t="n">
        <v>716</v>
      </c>
      <c r="BD86" t="n">
        <v>138</v>
      </c>
      <c r="BE86" t="n">
        <v>1</v>
      </c>
      <c r="BF86" t="n">
        <v>0</v>
      </c>
      <c r="BG86" t="n">
        <v>35</v>
      </c>
      <c r="BH86" t="n">
        <v>2750</v>
      </c>
      <c r="BI86" t="n">
        <v>371</v>
      </c>
      <c r="BJ86" t="n">
        <v>0</v>
      </c>
      <c r="BK86" t="n">
        <v>0</v>
      </c>
      <c r="BL86" t="n">
        <v>1600</v>
      </c>
      <c r="BM86" t="n">
        <v>0</v>
      </c>
      <c r="BN86" t="n">
        <v>460</v>
      </c>
      <c r="BO86" t="n">
        <v>350</v>
      </c>
      <c r="BP86" t="n">
        <v>7.5</v>
      </c>
      <c r="BQ86" s="110"/>
    </row>
    <row r="87">
      <c r="A87" s="135"/>
      <c r="B87" s="44" t="s">
        <v>297</v>
      </c>
      <c r="C87" s="44"/>
      <c r="D87" s="142" t="s">
        <v>816</v>
      </c>
      <c r="E87" s="142"/>
      <c r="F87" s="103" t="n">
        <v>0.23898131816844609</v>
      </c>
      <c r="G87" s="87" t="n">
        <v>0.9</v>
      </c>
      <c r="H87" s="87" t="n">
        <v>0.9</v>
      </c>
      <c r="I87" s="142" t="n">
        <v>232.07499999999999</v>
      </c>
      <c r="J87" s="142" t="n">
        <v>873.33823333333328</v>
      </c>
      <c r="K87" s="166"/>
      <c r="L87" s="166"/>
      <c r="M87" s="166" t="n">
        <v>15.378</v>
      </c>
      <c r="N87" s="157" t="n">
        <v>15.815520000000001</v>
      </c>
      <c r="O87" s="94" t="n">
        <v>0.16666666666666663</v>
      </c>
      <c r="P87" s="94" t="n">
        <v>0.83333333333333337</v>
      </c>
      <c r="Q87" s="94" t="n">
        <v>5</v>
      </c>
      <c r="R87" s="94"/>
      <c r="S87" s="22" t="n">
        <f>VLOOKUP($B87,Conversores_Dieta!$B$4:$J$164,Coefs!S$292,0)</f>
        <v>1</v>
      </c>
      <c r="T87" s="130" t="n">
        <f>VLOOKUP($B87,Conversores_Dieta!$B$4:$J$164,Coefs!T$292,0)</f>
        <v>1.8239999999999999E-2</v>
      </c>
      <c r="U87" s="166" t="n">
        <f>VLOOKUP($B87,Conversores_Dieta!$B$4:$J$164,Coefs!U$292,0)</f>
        <v>59</v>
      </c>
      <c r="V87" s="166" t="n">
        <f>VLOOKUP($B87,Conversores_Dieta!$B$4:$J$164,Coefs!V$292,0)</f>
        <v>615</v>
      </c>
      <c r="W87" s="21" t="n">
        <f>VLOOKUP($B87,Conversores_Dieta!$B$4:$J$164,Coefs!W$292,0)</f>
        <v>1100</v>
      </c>
      <c r="X87" s="21" t="n">
        <f>VLOOKUP($B87,Conversores_Dieta!$B$4:$J$164,Coefs!X$292,0)</f>
        <v>0</v>
      </c>
      <c r="Y87" s="66"/>
      <c r="Z87" s="66"/>
      <c r="AA87" s="66"/>
      <c r="AB87" s="66"/>
      <c r="AC87" s="66"/>
      <c r="AD87" s="171"/>
      <c r="AE87" s="171"/>
      <c r="AF87" s="171"/>
      <c r="AG87" s="171"/>
      <c r="AH87" s="171"/>
      <c r="AI87" s="121" t="n">
        <f t="shared" si="27"/>
        <v>2.0266666666666665E-2</v>
      </c>
      <c r="AJ87" s="71"/>
      <c r="AK87" s="67"/>
      <c r="AL87" s="121" t="n">
        <v>0.5</v>
      </c>
      <c r="AM87" s="107" t="n">
        <v>8.0000000000000002E-3</v>
      </c>
      <c r="AN87" s="153"/>
      <c r="AO87" s="153"/>
      <c r="AP87" s="153" t="n">
        <v>0.43689436219155298</v>
      </c>
      <c r="AQ87" s="121" t="n">
        <v>0.11534666666666667</v>
      </c>
      <c r="AR87" s="94"/>
      <c r="AS87" s="121" t="n">
        <v>0.72602958765444336</v>
      </c>
      <c r="AT87" s="59" t="n">
        <f t="shared" si="17"/>
        <v>0.17824592074592077</v>
      </c>
      <c r="AU87" s="87" t="n">
        <v>0.4400179319117839</v>
      </c>
      <c r="AV87" s="87" t="n">
        <v>0.28601165574265952</v>
      </c>
      <c r="AW87" s="5"/>
      <c r="AX87" s="107" t="n">
        <f t="shared" si="18"/>
        <v>1.0044444444444444E-2</v>
      </c>
      <c r="AY87" s="119" t="n">
        <v>17.572800000000001</v>
      </c>
      <c r="AZ87" t="n">
        <v>0.7</v>
      </c>
      <c r="BA87" t="n">
        <v>39</v>
      </c>
      <c r="BB87" t="n">
        <v>15.9</v>
      </c>
      <c r="BC87" t="n">
        <v>4.3</v>
      </c>
      <c r="BD87" t="n">
        <v>20.7</v>
      </c>
      <c r="BE87" t="n">
        <v>1</v>
      </c>
      <c r="BF87" t="n">
        <v>111</v>
      </c>
      <c r="BG87" t="n">
        <v>10.9</v>
      </c>
      <c r="BH87" t="n">
        <v>2640</v>
      </c>
      <c r="BI87" t="n">
        <v>43.9</v>
      </c>
      <c r="BJ87" t="n">
        <v>0</v>
      </c>
      <c r="BK87" t="n">
        <v>0</v>
      </c>
      <c r="BL87" t="n">
        <v>0</v>
      </c>
      <c r="BM87" t="n">
        <v>0</v>
      </c>
      <c r="BN87" t="n">
        <v>0</v>
      </c>
      <c r="BO87" t="n">
        <v>125</v>
      </c>
      <c r="BP87" t="n">
        <v>350</v>
      </c>
      <c r="BQ87" s="110"/>
    </row>
    <row r="88">
      <c r="A88" s="135"/>
      <c r="B88" s="44" t="s">
        <v>296</v>
      </c>
      <c r="C88" s="44" t="s">
        <v>297</v>
      </c>
      <c r="D88" s="142" t="s">
        <v>816</v>
      </c>
      <c r="E88" s="142"/>
      <c r="F88" s="103" t="n">
        <v>0.23898131816844609</v>
      </c>
      <c r="G88" s="87" t="n">
        <v>0.9</v>
      </c>
      <c r="H88" s="87" t="n">
        <v>0.9</v>
      </c>
      <c r="I88" s="142" t="n">
        <v>232.07499999999999</v>
      </c>
      <c r="J88" s="142" t="n">
        <v>873.33823333333328</v>
      </c>
      <c r="K88" s="166"/>
      <c r="L88" s="166"/>
      <c r="M88" s="166" t="n">
        <v>18.91</v>
      </c>
      <c r="N88" s="157" t="n">
        <v>15.815520000000001</v>
      </c>
      <c r="O88" s="94" t="n">
        <v>0.33333333333333337</v>
      </c>
      <c r="P88" s="94" t="n">
        <v>0.66666666666666663</v>
      </c>
      <c r="Q88" s="94" t="n">
        <v>2</v>
      </c>
      <c r="R88" s="94"/>
      <c r="S88" s="65" t="n">
        <f>VLOOKUP(C88,$B$3:$X$358,MATCH(S$2,$B$2:$X$2,0),0)</f>
        <v>1</v>
      </c>
      <c r="T88" s="15" t="n">
        <f>VLOOKUP($C88,$B$3:$X$358,MATCH(T$2,$B$2:$X$2,0),0)*$G88/VLOOKUP($C88,$B$3:$X$358,MATCH($G$2,$B$2:$X$2,0),0)</f>
        <v>1.8239999999999999E-2</v>
      </c>
      <c r="U88" s="157" t="n">
        <f>VLOOKUP($C88,$B$3:$X$358,MATCH(U$2,$B$2:$X$2,0),0)*$G88/VLOOKUP($C88,$B$3:$X$358,MATCH($G$2,$B$2:$X$2,0),0)</f>
        <v>59</v>
      </c>
      <c r="V88" s="157" t="n">
        <f>VLOOKUP($C88,$B$3:$X$358,MATCH(V$2,$B$2:$X$2,0),0)*$G88/VLOOKUP($C88,$B$3:$X$358,MATCH($G$2,$B$2:$X$2,0),0)</f>
        <v>615</v>
      </c>
      <c r="W88" s="132" t="n">
        <f>VLOOKUP($C88,$B$3:$X$358,MATCH(W$2,$B$2:$X$2,0),0)*$G88/VLOOKUP($C88,$B$3:$X$358,MATCH($G$2,$B$2:$X$2,0),0)</f>
        <v>1100</v>
      </c>
      <c r="X88" s="132" t="n">
        <f>VLOOKUP($C88,$B$3:$X$358,MATCH(X$2,$B$2:$X$2,0),0)*$G88/VLOOKUP($C88,$B$3:$X$358,MATCH($G$2,$B$2:$X$2,0),0)</f>
        <v>0</v>
      </c>
      <c r="Y88" s="66"/>
      <c r="Z88" s="66"/>
      <c r="AA88" s="66"/>
      <c r="AB88" s="66"/>
      <c r="AC88" s="66"/>
      <c r="AD88" s="171"/>
      <c r="AE88" s="171"/>
      <c r="AF88" s="171"/>
      <c r="AG88" s="171"/>
      <c r="AH88" s="171"/>
      <c r="AI88" s="121" t="n">
        <f t="shared" si="27"/>
        <v>2.0266666666666665E-2</v>
      </c>
      <c r="AJ88" s="71"/>
      <c r="AK88" s="67"/>
      <c r="AL88" s="121" t="n">
        <v>0.5</v>
      </c>
      <c r="AM88" s="107" t="n">
        <v>8.0000000000000002E-3</v>
      </c>
      <c r="AN88" s="153"/>
      <c r="AO88" s="153"/>
      <c r="AP88" s="153" t="n">
        <v>0.43689436219155298</v>
      </c>
      <c r="AQ88" s="121" t="n">
        <v>0.11534666666666667</v>
      </c>
      <c r="AR88" s="94"/>
      <c r="AS88" s="121" t="n">
        <v>0.72602958765444336</v>
      </c>
      <c r="AT88" s="59" t="n">
        <f t="shared" si="17"/>
        <v>0.17824592074592077</v>
      </c>
      <c r="AU88" s="87" t="n">
        <v>0.4400179319117839</v>
      </c>
      <c r="AV88" s="87" t="n">
        <v>0.28601165574265952</v>
      </c>
      <c r="AW88" s="5"/>
      <c r="AX88" s="107" t="n">
        <f t="shared" si="18"/>
        <v>1.2088888888888889E-2</v>
      </c>
      <c r="AY88" s="119" t="n">
        <v>17.572800000000001</v>
      </c>
      <c r="AZ88" t="n">
        <v>0.7</v>
      </c>
      <c r="BA88" s="156" t="n">
        <f>BA$87</f>
        <v>39</v>
      </c>
      <c r="BB88" s="156" t="n">
        <f t="shared" ref="BB88:BP88" si="30">BB87</f>
        <v>15.9</v>
      </c>
      <c r="BC88" s="156" t="n">
        <f t="shared" si="30"/>
        <v>4.3</v>
      </c>
      <c r="BD88" s="156" t="n">
        <f t="shared" si="30"/>
        <v>20.7</v>
      </c>
      <c r="BE88" s="156" t="n">
        <f t="shared" si="30"/>
        <v>1</v>
      </c>
      <c r="BF88" s="156" t="n">
        <f t="shared" si="30"/>
        <v>111</v>
      </c>
      <c r="BG88" s="156" t="n">
        <f t="shared" si="30"/>
        <v>10.9</v>
      </c>
      <c r="BH88" s="156" t="n">
        <f t="shared" si="30"/>
        <v>2640</v>
      </c>
      <c r="BI88" s="156" t="n">
        <f t="shared" si="30"/>
        <v>43.9</v>
      </c>
      <c r="BJ88" s="156" t="n">
        <f t="shared" si="30"/>
        <v>0</v>
      </c>
      <c r="BK88" s="156" t="n">
        <f t="shared" si="30"/>
        <v>0</v>
      </c>
      <c r="BL88" s="156" t="n">
        <f t="shared" si="30"/>
        <v>0</v>
      </c>
      <c r="BM88" s="156" t="n">
        <f t="shared" si="30"/>
        <v>0</v>
      </c>
      <c r="BN88" s="156" t="n">
        <f t="shared" si="30"/>
        <v>0</v>
      </c>
      <c r="BO88" s="156" t="n">
        <f t="shared" si="30"/>
        <v>125</v>
      </c>
      <c r="BP88" s="156" t="n">
        <f t="shared" si="30"/>
        <v>350</v>
      </c>
      <c r="BQ88" s="110"/>
    </row>
    <row r="89">
      <c r="A89" s="44" t="n">
        <v>767</v>
      </c>
      <c r="B89" s="44" t="s">
        <v>295</v>
      </c>
      <c r="C89" s="44"/>
      <c r="D89" s="142" t="s">
        <v>278</v>
      </c>
      <c r="E89" s="142"/>
      <c r="F89" s="103" t="n">
        <f>F90</f>
        <v>0.17</v>
      </c>
      <c r="G89" s="89" t="n">
        <v>0.9</v>
      </c>
      <c r="H89" s="89" t="n">
        <v>0.92</v>
      </c>
      <c r="I89" s="142" t="n">
        <v>232.07499999999999</v>
      </c>
      <c r="J89" s="142" t="n">
        <v>873.33823333333328</v>
      </c>
      <c r="K89" s="166"/>
      <c r="L89" s="166"/>
      <c r="M89" s="166" t="n">
        <v>15.815520000000001</v>
      </c>
      <c r="N89" s="166" t="n">
        <v>15.815520000000001</v>
      </c>
      <c r="O89" s="94" t="n">
        <v>0.38500000000000001</v>
      </c>
      <c r="P89" s="94" t="n">
        <v>0.61499999999999999</v>
      </c>
      <c r="Q89" s="94" t="n">
        <v>1.5974025974025974</v>
      </c>
      <c r="R89" s="94"/>
      <c r="S89" s="94"/>
      <c r="T89" s="130" t="n">
        <f>0.00088</f>
        <v>8.8000000000000003E-4</v>
      </c>
      <c r="U89" s="157"/>
      <c r="V89" s="157"/>
      <c r="W89" s="132"/>
      <c r="X89" s="132"/>
      <c r="Y89" s="132"/>
      <c r="Z89" s="132"/>
      <c r="AA89" s="132"/>
      <c r="AB89" s="132"/>
      <c r="AC89" s="132"/>
      <c r="AD89" s="132"/>
      <c r="AE89" s="132"/>
      <c r="AF89" s="132"/>
      <c r="AG89" s="132"/>
      <c r="AH89" s="132"/>
      <c r="AI89" s="153" t="n">
        <f t="shared" si="27"/>
        <v>9.7777777777777772E-4</v>
      </c>
      <c r="AJ89" s="71"/>
      <c r="AK89" s="67"/>
      <c r="AL89" s="121" t="n">
        <v>0.5</v>
      </c>
      <c r="AM89" s="107" t="n">
        <v>8.0000000000000002E-3</v>
      </c>
      <c r="AN89" s="153"/>
      <c r="AO89" s="153"/>
      <c r="AP89" s="153" t="n">
        <v>0.45796249999999999</v>
      </c>
      <c r="AQ89" s="121" t="n">
        <v>0.11534666666666667</v>
      </c>
      <c r="AR89" s="94"/>
      <c r="AS89" s="121" t="n">
        <v>0.72602958765444336</v>
      </c>
      <c r="AT89" s="59" t="n">
        <f t="shared" si="17"/>
        <v>0.17824592074592077</v>
      </c>
      <c r="AU89" s="87" t="n">
        <v>0.4400179319117839</v>
      </c>
      <c r="AV89" s="87" t="n">
        <v>0.28601165574265952</v>
      </c>
      <c r="AW89" s="5"/>
      <c r="AX89" s="107" t="n">
        <f t="shared" si="18"/>
        <v>5.2964444444444439E-3</v>
      </c>
      <c r="AY89" s="119" t="n">
        <v>17.190782608695653</v>
      </c>
      <c r="AZ89" t="n">
        <v>0.7</v>
      </c>
      <c r="BQ89" s="110"/>
    </row>
    <row r="90">
      <c r="A90" s="44" t="n">
        <v>329</v>
      </c>
      <c r="B90" s="44" t="s">
        <v>294</v>
      </c>
      <c r="C90" s="44"/>
      <c r="D90" s="142" t="s">
        <v>274</v>
      </c>
      <c r="E90" s="142"/>
      <c r="F90" s="94" t="n">
        <v>0.17</v>
      </c>
      <c r="G90" s="89" t="n">
        <v>0.92</v>
      </c>
      <c r="H90" s="89" t="n">
        <v>0.92</v>
      </c>
      <c r="I90" s="142" t="n">
        <v>232.07499999999999</v>
      </c>
      <c r="J90" s="142" t="n">
        <v>873.33823333333328</v>
      </c>
      <c r="K90" s="166"/>
      <c r="L90" s="166"/>
      <c r="M90" s="166" t="n">
        <v>22.2262448</v>
      </c>
      <c r="N90" s="157" t="n">
        <v>16.166976000000002</v>
      </c>
      <c r="O90" s="94" t="n">
        <v>0.4</v>
      </c>
      <c r="P90" s="94" t="n">
        <v>0.6</v>
      </c>
      <c r="Q90" s="94" t="n">
        <v>1.5</v>
      </c>
      <c r="R90" s="94"/>
      <c r="S90" s="94"/>
      <c r="T90" s="130" t="n">
        <v>2.768E-2</v>
      </c>
      <c r="U90" s="157"/>
      <c r="V90" s="157"/>
      <c r="W90" s="132"/>
      <c r="X90" s="132"/>
      <c r="Y90" s="132"/>
      <c r="Z90" s="132"/>
      <c r="AA90" s="132"/>
      <c r="AB90" s="132"/>
      <c r="AC90" s="132"/>
      <c r="AD90" s="132"/>
      <c r="AE90" s="132"/>
      <c r="AF90" s="132"/>
      <c r="AG90" s="132"/>
      <c r="AH90" s="132"/>
      <c r="AI90" s="153" t="n">
        <f t="shared" si="27"/>
        <v>3.0086956521739129E-2</v>
      </c>
      <c r="AJ90" s="71" t="n">
        <v>5.7608695652173912E-3</v>
      </c>
      <c r="AK90" s="67" t="n">
        <v>1.0326086956521738E-2</v>
      </c>
      <c r="AL90" s="121" t="n">
        <v>0.5</v>
      </c>
      <c r="AM90" s="107" t="n">
        <v>8.0000000000000002E-3</v>
      </c>
      <c r="AN90" s="153"/>
      <c r="AO90" s="153"/>
      <c r="AP90" s="153" t="n">
        <v>0.45796249999999999</v>
      </c>
      <c r="AQ90" s="121" t="n">
        <v>0.11534666666666667</v>
      </c>
      <c r="AR90" s="94"/>
      <c r="AS90" s="121" t="n">
        <v>0.72602958765444336</v>
      </c>
      <c r="AT90" s="59" t="n">
        <f t="shared" si="17"/>
        <v>0.17824592074592077</v>
      </c>
      <c r="AU90" s="87" t="n">
        <v>0.4400179319117839</v>
      </c>
      <c r="AV90" s="87" t="n">
        <v>0.28601165574265952</v>
      </c>
      <c r="AW90" s="5"/>
      <c r="AX90" s="107" t="n">
        <f t="shared" si="18"/>
        <v>1.6834782608695652E-2</v>
      </c>
      <c r="AY90" s="119" t="n">
        <v>17.572800000000001</v>
      </c>
      <c r="AZ90" t="n">
        <v>0.7</v>
      </c>
      <c r="BQ90" s="110"/>
    </row>
    <row r="91">
      <c r="A91" s="44" t="n">
        <v>328</v>
      </c>
      <c r="B91" s="44" t="s">
        <v>293</v>
      </c>
      <c r="C91" s="44"/>
      <c r="D91" s="142" t="s">
        <v>278</v>
      </c>
      <c r="E91" s="142"/>
      <c r="F91" s="141" t="n">
        <f>AVERAGE(F89:F90)</f>
        <v>0.17</v>
      </c>
      <c r="G91" s="146" t="n">
        <f t="shared" ref="G91:AY91" si="31">AVERAGE(G89:G90)</f>
        <v>0.91</v>
      </c>
      <c r="H91" s="141" t="n">
        <f t="shared" si="31"/>
        <v>0.92</v>
      </c>
      <c r="I91" s="141" t="n">
        <f t="shared" si="31"/>
        <v>232.07499999999999</v>
      </c>
      <c r="J91" s="141" t="n">
        <f t="shared" si="31"/>
        <v>873.33823333333328</v>
      </c>
      <c r="K91" s="141"/>
      <c r="L91" s="141"/>
      <c r="M91" s="141" t="n">
        <f t="shared" si="31"/>
        <v>19.020882400000001</v>
      </c>
      <c r="N91" s="141" t="n">
        <f t="shared" si="31"/>
        <v>15.991248000000002</v>
      </c>
      <c r="O91" s="141" t="n">
        <f>SUM(O89:O90)/SUM(O89:O90,P89)</f>
        <v>0.56071428571428572</v>
      </c>
      <c r="P91" s="141" t="n">
        <f>1-O91</f>
        <v>0.43928571428571428</v>
      </c>
      <c r="Q91" s="141" t="n">
        <f>P91/O91</f>
        <v>0.78343949044585981</v>
      </c>
      <c r="R91" s="94"/>
      <c r="S91" s="94"/>
      <c r="T91" s="15"/>
      <c r="U91" s="157"/>
      <c r="V91" s="157"/>
      <c r="W91" s="132"/>
      <c r="X91" s="132"/>
      <c r="Y91" s="132"/>
      <c r="Z91" s="132"/>
      <c r="AA91" s="132"/>
      <c r="AB91" s="132"/>
      <c r="AC91" s="132"/>
      <c r="AD91" s="132"/>
      <c r="AE91" s="132"/>
      <c r="AF91" s="132"/>
      <c r="AG91" s="132"/>
      <c r="AH91" s="132"/>
      <c r="AI91" s="136" t="n">
        <f t="shared" si="31"/>
        <v>1.5532367149758454E-2</v>
      </c>
      <c r="AJ91" s="71" t="n">
        <f t="shared" si="31"/>
        <v>5.7608695652173912E-3</v>
      </c>
      <c r="AK91" s="67" t="n">
        <f t="shared" si="31"/>
        <v>1.0326086956521738E-2</v>
      </c>
      <c r="AL91" s="136" t="n">
        <f t="shared" si="31"/>
        <v>0.5</v>
      </c>
      <c r="AM91" s="136" t="n">
        <f t="shared" si="31"/>
        <v>8.0000000000000002E-3</v>
      </c>
      <c r="AN91" s="141"/>
      <c r="AO91" s="141"/>
      <c r="AP91" s="136" t="n">
        <f t="shared" si="31"/>
        <v>0.45796249999999999</v>
      </c>
      <c r="AQ91" s="136" t="n">
        <f t="shared" si="31"/>
        <v>0.11534666666666667</v>
      </c>
      <c r="AR91" s="141"/>
      <c r="AS91" s="146" t="n">
        <f t="shared" si="31"/>
        <v>0.72602958765444336</v>
      </c>
      <c r="AT91" s="59" t="n">
        <f t="shared" si="17"/>
        <v>0.17824592074592077</v>
      </c>
      <c r="AU91" s="146" t="n">
        <f t="shared" si="31"/>
        <v>0.4400179319117839</v>
      </c>
      <c r="AV91" s="146" t="n">
        <f t="shared" si="31"/>
        <v>0.28601165574265952</v>
      </c>
      <c r="AW91" s="146"/>
      <c r="AX91" s="107" t="n">
        <f t="shared" si="18"/>
        <v>1.2223505866114563E-2</v>
      </c>
      <c r="AY91" s="141" t="n">
        <f t="shared" si="31"/>
        <v>17.381791304347828</v>
      </c>
      <c r="AZ91" t="n">
        <v>0.7</v>
      </c>
      <c r="BQ91" s="110"/>
    </row>
    <row r="92">
      <c r="A92" s="135" t="n">
        <v>267</v>
      </c>
      <c r="B92" s="44" t="s">
        <v>292</v>
      </c>
      <c r="C92" s="7" t="s">
        <v>240</v>
      </c>
      <c r="D92" s="142" t="s">
        <v>274</v>
      </c>
      <c r="E92" s="142"/>
      <c r="F92" s="94" t="n">
        <v>0.06</v>
      </c>
      <c r="G92" s="89" t="n">
        <v>0.93566666666666665</v>
      </c>
      <c r="H92" s="89" t="n">
        <v>0.92999999999999994</v>
      </c>
      <c r="I92" s="142" t="n">
        <v>232.07499999999999</v>
      </c>
      <c r="J92" s="142" t="n">
        <v>873.33823333333328</v>
      </c>
      <c r="K92" s="166" t="n">
        <v>26.38</v>
      </c>
      <c r="L92" s="166"/>
      <c r="M92" s="166" t="n">
        <v>26.38</v>
      </c>
      <c r="N92" s="157" t="n">
        <v>16.342704000000001</v>
      </c>
      <c r="O92" s="94" t="n">
        <v>0.30291709159203128</v>
      </c>
      <c r="P92" s="94" t="n">
        <v>0.69708290840796872</v>
      </c>
      <c r="Q92" s="94" t="n">
        <v>2.3012333333333332</v>
      </c>
      <c r="R92" s="94"/>
      <c r="S92" s="65" t="n">
        <f>VLOOKUP(C92,$B$3:$X$358,MATCH(S$2,$B$2:$X$2,0),0)</f>
        <v>0.95750000000000002</v>
      </c>
      <c r="T92" s="130" t="n">
        <v>1.968E-2</v>
      </c>
      <c r="U92" s="157" t="n">
        <f t="shared" ref="U92:X94" si="32">VLOOKUP($C92,$B$3:$X$358,MATCH(U$2,$B$2:$X$2,0),0)*$G92/VLOOKUP($C92,$B$3:$X$358,MATCH($G$2,$B$2:$X$2,0),0)</f>
        <v>550.91917802654416</v>
      </c>
      <c r="V92" s="157" t="n">
        <f t="shared" si="32"/>
        <v>138.46283303446555</v>
      </c>
      <c r="W92" s="132" t="n">
        <f t="shared" si="32"/>
        <v>1827.7093960549453</v>
      </c>
      <c r="X92" s="132" t="n">
        <f t="shared" si="32"/>
        <v>0</v>
      </c>
      <c r="Y92" s="66"/>
      <c r="Z92" s="66"/>
      <c r="AA92" s="66"/>
      <c r="AB92" s="66"/>
      <c r="AC92" s="66"/>
      <c r="AD92" s="171"/>
      <c r="AE92" s="171"/>
      <c r="AF92" s="171"/>
      <c r="AG92" s="171"/>
      <c r="AH92" s="171"/>
      <c r="AI92" s="153" t="n">
        <f t="shared" ref="AI92:AI102" si="33">T92/G92</f>
        <v>2.1033131457071606E-2</v>
      </c>
      <c r="AJ92" s="71" t="n">
        <v>5.372403092352979E-3</v>
      </c>
      <c r="AK92" s="67" t="n">
        <v>8.9361803261434197E-3</v>
      </c>
      <c r="AL92" s="121" t="n">
        <v>0.5</v>
      </c>
      <c r="AM92" s="107" t="n">
        <v>8.0000000000000002E-3</v>
      </c>
      <c r="AN92" s="153"/>
      <c r="AO92" s="153"/>
      <c r="AP92" s="153" t="n">
        <v>0.48928333333333335</v>
      </c>
      <c r="AQ92" s="121" t="n">
        <v>0.11534666666666667</v>
      </c>
      <c r="AR92" s="94"/>
      <c r="AS92" s="121" t="n">
        <v>0.77384999999999993</v>
      </c>
      <c r="AT92" s="59" t="n">
        <f t="shared" si="17"/>
        <v>0.17824592074592077</v>
      </c>
      <c r="AU92" s="87" t="n">
        <v>0.46899999999999997</v>
      </c>
      <c r="AV92" s="87" t="n">
        <v>0.30485000000000001</v>
      </c>
      <c r="AW92" s="5"/>
      <c r="AX92" s="107" t="n">
        <f t="shared" si="18"/>
        <v>1.1947958275312745E-2</v>
      </c>
      <c r="AY92" s="119" t="n">
        <v>17.572800000000001</v>
      </c>
      <c r="AZ92" t="n">
        <v>0.7</v>
      </c>
      <c r="BA92" t="n">
        <v>27</v>
      </c>
      <c r="BB92" t="n">
        <v>56.3</v>
      </c>
      <c r="BC92" t="n">
        <v>135</v>
      </c>
      <c r="BD92" t="n">
        <v>215.2</v>
      </c>
      <c r="BE92" t="n">
        <v>0</v>
      </c>
      <c r="BF92" t="n">
        <v>64</v>
      </c>
      <c r="BG92" t="n">
        <v>51</v>
      </c>
      <c r="BH92" t="n">
        <v>3900</v>
      </c>
      <c r="BI92" t="n">
        <v>371</v>
      </c>
      <c r="BJ92" t="n">
        <v>0</v>
      </c>
      <c r="BK92" t="n">
        <v>0</v>
      </c>
      <c r="BL92" t="n">
        <v>2380</v>
      </c>
      <c r="BM92" t="n">
        <v>0</v>
      </c>
      <c r="BN92" t="n">
        <v>378</v>
      </c>
      <c r="BO92" t="n">
        <v>150</v>
      </c>
      <c r="BP92" t="n">
        <v>150</v>
      </c>
      <c r="BQ92" s="110"/>
    </row>
    <row r="93">
      <c r="A93" s="135" t="n">
        <v>677</v>
      </c>
      <c r="B93" s="44" t="s">
        <v>291</v>
      </c>
      <c r="C93" s="44" t="s">
        <v>297</v>
      </c>
      <c r="D93" s="142" t="s">
        <v>272</v>
      </c>
      <c r="E93" s="142"/>
      <c r="F93" s="103" t="n">
        <v>0.23898131816844609</v>
      </c>
      <c r="G93" s="87" t="n">
        <v>0.9</v>
      </c>
      <c r="H93" s="87" t="n">
        <v>0.9</v>
      </c>
      <c r="I93" s="142" t="n">
        <v>232.07499999999999</v>
      </c>
      <c r="J93" s="142" t="n">
        <v>873.33823333333328</v>
      </c>
      <c r="K93" s="166"/>
      <c r="L93" s="166"/>
      <c r="M93" s="157" t="n">
        <v>17.143999999999998</v>
      </c>
      <c r="N93" s="157" t="n">
        <v>15.815520000000001</v>
      </c>
      <c r="O93" s="94" t="n">
        <v>0.33333333333333337</v>
      </c>
      <c r="P93" s="94" t="n">
        <v>0.66666666666666663</v>
      </c>
      <c r="Q93" s="94" t="n">
        <v>2</v>
      </c>
      <c r="R93" s="94"/>
      <c r="S93" s="65" t="n">
        <f>VLOOKUP(C93,$B$3:$X$358,MATCH(S$2,$B$2:$X$2,0),0)</f>
        <v>1</v>
      </c>
      <c r="T93" s="15" t="n">
        <f>VLOOKUP($C93,$B$3:$X$358,MATCH(T$2,$B$2:$X$2,0),0)*$G93/VLOOKUP($C93,$B$3:$X$358,MATCH($G$2,$B$2:$X$2,0),0)</f>
        <v>1.8239999999999999E-2</v>
      </c>
      <c r="U93" s="157" t="n">
        <f t="shared" si="32"/>
        <v>59</v>
      </c>
      <c r="V93" s="157" t="n">
        <f t="shared" si="32"/>
        <v>615</v>
      </c>
      <c r="W93" s="132" t="n">
        <f t="shared" si="32"/>
        <v>1100</v>
      </c>
      <c r="X93" s="132" t="n">
        <f t="shared" si="32"/>
        <v>0</v>
      </c>
      <c r="Y93" s="66"/>
      <c r="Z93" s="66"/>
      <c r="AA93" s="66"/>
      <c r="AB93" s="66"/>
      <c r="AC93" s="66"/>
      <c r="AD93" s="171"/>
      <c r="AE93" s="171"/>
      <c r="AF93" s="171"/>
      <c r="AG93" s="171"/>
      <c r="AH93" s="171"/>
      <c r="AI93" s="121" t="n">
        <f t="shared" si="33"/>
        <v>2.0266666666666665E-2</v>
      </c>
      <c r="AJ93" s="71"/>
      <c r="AK93" s="67"/>
      <c r="AL93" s="121" t="n">
        <v>0.5</v>
      </c>
      <c r="AM93" s="107" t="n">
        <v>8.0000000000000002E-3</v>
      </c>
      <c r="AN93" s="153"/>
      <c r="AO93" s="153"/>
      <c r="AP93" s="153" t="n">
        <v>0.43689436219155298</v>
      </c>
      <c r="AQ93" s="121" t="n">
        <v>0.11534666666666667</v>
      </c>
      <c r="AR93" s="94"/>
      <c r="AS93" s="121" t="n">
        <v>0.72602958765444336</v>
      </c>
      <c r="AT93" s="59" t="n">
        <f t="shared" si="17"/>
        <v>0.17824592074592077</v>
      </c>
      <c r="AU93" s="87" t="n">
        <v>0.4400179319117839</v>
      </c>
      <c r="AV93" s="87" t="n">
        <v>0.28601165574265952</v>
      </c>
      <c r="AW93" s="5"/>
      <c r="AX93" s="107" t="n">
        <f t="shared" si="18"/>
        <v>1.2088888888888889E-2</v>
      </c>
      <c r="AY93" s="119" t="n">
        <v>17.572800000000001</v>
      </c>
      <c r="AZ93" t="n">
        <v>0.7</v>
      </c>
      <c r="BA93" s="156" t="n">
        <f>BA$87</f>
        <v>39</v>
      </c>
      <c r="BB93" s="156" t="n">
        <f t="shared" ref="BB93:BO93" si="34">BB$87</f>
        <v>15.9</v>
      </c>
      <c r="BC93" s="156" t="n">
        <f t="shared" si="34"/>
        <v>4.3</v>
      </c>
      <c r="BD93" s="156" t="n">
        <f t="shared" si="34"/>
        <v>20.7</v>
      </c>
      <c r="BE93" s="156" t="n">
        <f t="shared" si="34"/>
        <v>1</v>
      </c>
      <c r="BF93" s="156" t="n">
        <f t="shared" si="34"/>
        <v>111</v>
      </c>
      <c r="BG93" s="156" t="n">
        <f t="shared" si="34"/>
        <v>10.9</v>
      </c>
      <c r="BH93" s="156" t="n">
        <f t="shared" si="34"/>
        <v>2640</v>
      </c>
      <c r="BI93" s="156" t="n">
        <f t="shared" si="34"/>
        <v>43.9</v>
      </c>
      <c r="BJ93" s="156" t="n">
        <f t="shared" si="34"/>
        <v>0</v>
      </c>
      <c r="BK93" s="156" t="n">
        <f t="shared" si="34"/>
        <v>0</v>
      </c>
      <c r="BL93" s="156" t="n">
        <f t="shared" si="34"/>
        <v>0</v>
      </c>
      <c r="BM93" s="156" t="n">
        <f t="shared" si="34"/>
        <v>0</v>
      </c>
      <c r="BN93" s="156" t="n">
        <f t="shared" si="34"/>
        <v>0</v>
      </c>
      <c r="BO93" s="156" t="n">
        <f t="shared" si="34"/>
        <v>125</v>
      </c>
      <c r="BP93" s="156" t="n">
        <f>BP96</f>
        <v>7.5</v>
      </c>
      <c r="BQ93" s="110"/>
    </row>
    <row r="94">
      <c r="A94" s="135" t="n">
        <v>333</v>
      </c>
      <c r="B94" s="44" t="s">
        <v>756</v>
      </c>
      <c r="C94" s="7" t="s">
        <v>240</v>
      </c>
      <c r="D94" s="142" t="s">
        <v>274</v>
      </c>
      <c r="E94" s="142"/>
      <c r="F94" s="103" t="n">
        <v>0.23898131816844609</v>
      </c>
      <c r="G94" s="87" t="n">
        <v>0.91990000000000005</v>
      </c>
      <c r="H94" s="87" t="n">
        <v>0.96249999999999991</v>
      </c>
      <c r="I94" s="142" t="n">
        <v>232.07499999999999</v>
      </c>
      <c r="J94" s="142" t="n">
        <v>873.33823333333328</v>
      </c>
      <c r="K94" s="166"/>
      <c r="L94" s="166"/>
      <c r="M94" s="157" t="n">
        <v>25.310928533333335</v>
      </c>
      <c r="N94" s="157" t="n">
        <v>16.913819999999998</v>
      </c>
      <c r="O94" s="94" t="n">
        <v>0.26001040041601664</v>
      </c>
      <c r="P94" s="94" t="n">
        <v>0.73998959958398336</v>
      </c>
      <c r="Q94" s="94" t="n">
        <v>2.8460000000000001</v>
      </c>
      <c r="R94" s="94"/>
      <c r="S94" s="65" t="n">
        <f>VLOOKUP(C94,$B$3:$X$358,MATCH(S$2,$B$2:$X$2,0),0)</f>
        <v>0.95750000000000002</v>
      </c>
      <c r="T94" s="130" t="n">
        <v>6.1000000000000004E-3</v>
      </c>
      <c r="U94" s="157" t="n">
        <f t="shared" si="32"/>
        <v>541.63578753112006</v>
      </c>
      <c r="V94" s="157" t="n">
        <f t="shared" si="32"/>
        <v>136.12963317606506</v>
      </c>
      <c r="W94" s="132" t="n">
        <f t="shared" si="32"/>
        <v>1796.9111579240587</v>
      </c>
      <c r="X94" s="132" t="n">
        <f t="shared" si="32"/>
        <v>0</v>
      </c>
      <c r="Y94" s="66"/>
      <c r="Z94" s="66"/>
      <c r="AA94" s="66"/>
      <c r="AB94" s="66"/>
      <c r="AC94" s="66"/>
      <c r="AD94" s="171"/>
      <c r="AE94" s="171"/>
      <c r="AF94" s="171"/>
      <c r="AG94" s="171"/>
      <c r="AH94" s="171"/>
      <c r="AI94" s="153" t="n">
        <f t="shared" si="33"/>
        <v>6.6311555603869986E-3</v>
      </c>
      <c r="AJ94" s="71" t="n">
        <v>6.7254685777287755E-3</v>
      </c>
      <c r="AK94" s="67" t="n">
        <v>9.371554575523704E-3</v>
      </c>
      <c r="AL94" s="153" t="n">
        <v>0.62</v>
      </c>
      <c r="AM94" s="107" t="n">
        <v>8.0000000000000002E-3</v>
      </c>
      <c r="AN94" s="153"/>
      <c r="AO94" s="153"/>
      <c r="AP94" s="153" t="n">
        <v>0.41689999999999999</v>
      </c>
      <c r="AQ94" s="121" t="n">
        <v>0.11534666666666667</v>
      </c>
      <c r="AR94" s="94"/>
      <c r="AS94" s="121" t="n">
        <v>0.72602958765444336</v>
      </c>
      <c r="AT94" s="59" t="n">
        <f t="shared" si="17"/>
        <v>0.17824592074592077</v>
      </c>
      <c r="AU94" s="87" t="n">
        <v>0.4400179319117839</v>
      </c>
      <c r="AV94" s="87" t="n">
        <v>0.28601165574265952</v>
      </c>
      <c r="AW94" s="5"/>
      <c r="AX94" s="107" t="n">
        <f t="shared" si="18"/>
        <v>7.6440862091489859E-3</v>
      </c>
      <c r="AY94" s="119" t="n">
        <v>17.572800000000001</v>
      </c>
      <c r="AZ94" t="n">
        <v>0.7</v>
      </c>
      <c r="BA94" t="n">
        <v>285</v>
      </c>
      <c r="BB94" t="n">
        <v>36.6</v>
      </c>
      <c r="BC94" t="n">
        <v>75.3</v>
      </c>
      <c r="BD94" t="n">
        <v>287.3</v>
      </c>
      <c r="BE94" t="n">
        <v>205</v>
      </c>
      <c r="BF94" t="n">
        <v>57.5</v>
      </c>
      <c r="BG94" t="n">
        <v>45</v>
      </c>
      <c r="BH94" t="n">
        <v>3700</v>
      </c>
      <c r="BI94" t="n">
        <v>371</v>
      </c>
      <c r="BJ94" t="n">
        <v>0</v>
      </c>
      <c r="BK94" t="n">
        <v>0</v>
      </c>
      <c r="BL94" t="n">
        <v>870</v>
      </c>
      <c r="BM94" t="n">
        <v>6</v>
      </c>
      <c r="BN94" t="n">
        <v>3.1</v>
      </c>
      <c r="BO94" t="n">
        <v>4</v>
      </c>
      <c r="BP94" t="n">
        <v>0.4</v>
      </c>
      <c r="BQ94" s="110"/>
    </row>
    <row r="95">
      <c r="A95" s="135" t="n">
        <v>826</v>
      </c>
      <c r="B95" s="94" t="s">
        <v>289</v>
      </c>
      <c r="C95" s="94"/>
      <c r="D95" s="142" t="s">
        <v>272</v>
      </c>
      <c r="E95" s="142"/>
      <c r="F95" s="94" t="n">
        <v>0.8</v>
      </c>
      <c r="G95" s="89" t="n">
        <v>0.9</v>
      </c>
      <c r="H95" s="89" t="n">
        <v>0.8</v>
      </c>
      <c r="I95" s="142" t="n">
        <v>232.07499999999999</v>
      </c>
      <c r="J95" s="142" t="n">
        <v>873.33823333333328</v>
      </c>
      <c r="K95" s="166"/>
      <c r="L95" s="166"/>
      <c r="M95" s="166" t="n">
        <v>14.962</v>
      </c>
      <c r="N95" s="157" t="n">
        <v>14.058240000000001</v>
      </c>
      <c r="O95" s="94" t="n">
        <v>0.66666666666666674</v>
      </c>
      <c r="P95" s="94" t="n">
        <v>0.33333333333333331</v>
      </c>
      <c r="Q95" s="94" t="n">
        <v>0.5</v>
      </c>
      <c r="R95" s="94"/>
      <c r="S95" s="94"/>
      <c r="T95" s="130" t="n">
        <v>0.04</v>
      </c>
      <c r="U95" s="166"/>
      <c r="V95" s="166"/>
      <c r="W95" s="21"/>
      <c r="X95" s="21"/>
      <c r="Y95" s="21"/>
      <c r="Z95" s="21"/>
      <c r="AA95" s="21"/>
      <c r="AB95" s="21"/>
      <c r="AC95" s="21"/>
      <c r="AD95" s="21"/>
      <c r="AE95" s="21"/>
      <c r="AF95" s="21"/>
      <c r="AG95" s="21"/>
      <c r="AH95" s="21"/>
      <c r="AI95" s="153" t="n">
        <f t="shared" si="33"/>
        <v>4.4444444444444446E-2</v>
      </c>
      <c r="AJ95" s="71"/>
      <c r="AK95" s="67"/>
      <c r="AL95" s="121" t="n">
        <v>0.5</v>
      </c>
      <c r="AM95" s="107" t="n">
        <v>8.0000000000000002E-3</v>
      </c>
      <c r="AN95" s="153"/>
      <c r="AO95" s="153"/>
      <c r="AP95" s="153" t="n">
        <v>0.39949999999999997</v>
      </c>
      <c r="AQ95" s="121" t="n">
        <v>0.11534666666666667</v>
      </c>
      <c r="AR95" s="94"/>
      <c r="AS95" s="121" t="n">
        <v>0.72602958765444336</v>
      </c>
      <c r="AT95" s="59" t="n">
        <f t="shared" si="17"/>
        <v>0.17824592074592077</v>
      </c>
      <c r="AU95" s="87" t="n">
        <v>0.4400179319117839</v>
      </c>
      <c r="AV95" s="87" t="n">
        <v>0.28601165574265952</v>
      </c>
      <c r="AW95" s="5"/>
      <c r="AX95" s="107" t="n">
        <f t="shared" si="18"/>
        <v>3.2296296296296302E-2</v>
      </c>
      <c r="AY95" s="119" t="n">
        <v>17.572800000000001</v>
      </c>
      <c r="AZ95" t="n">
        <v>0.7</v>
      </c>
      <c r="BQ95" s="110"/>
    </row>
    <row r="96">
      <c r="A96" s="135" t="n">
        <v>711</v>
      </c>
      <c r="B96" s="44" t="s">
        <v>288</v>
      </c>
      <c r="C96" s="44" t="s">
        <v>297</v>
      </c>
      <c r="D96" s="142" t="s">
        <v>272</v>
      </c>
      <c r="E96" s="142"/>
      <c r="F96" s="103" t="n">
        <v>0.23898131816844609</v>
      </c>
      <c r="G96" s="87" t="n">
        <v>0.9</v>
      </c>
      <c r="H96" s="87" t="n">
        <v>0.9</v>
      </c>
      <c r="I96" s="142" t="n">
        <v>232.07499999999999</v>
      </c>
      <c r="J96" s="142" t="n">
        <v>873.33823333333328</v>
      </c>
      <c r="K96" s="166"/>
      <c r="L96" s="166"/>
      <c r="M96" s="157" t="n">
        <v>17.143999999999998</v>
      </c>
      <c r="N96" s="157" t="n">
        <v>15.815520000000001</v>
      </c>
      <c r="O96" s="94" t="n">
        <v>0.19999999999999996</v>
      </c>
      <c r="P96" s="94" t="n">
        <v>0.8</v>
      </c>
      <c r="Q96" s="94" t="n">
        <v>4</v>
      </c>
      <c r="R96" s="94"/>
      <c r="S96" s="22" t="n">
        <f>VLOOKUP($B96,Conversores_Dieta!$B$4:$J$164,Coefs!S$292,0)</f>
        <v>1</v>
      </c>
      <c r="T96" s="130" t="n">
        <f>VLOOKUP($B96,Conversores_Dieta!$B$4:$J$164,Coefs!T$292,0)</f>
        <v>2.8160000000000001E-2</v>
      </c>
      <c r="U96" s="166" t="n">
        <f>VLOOKUP($B96,Conversores_Dieta!$B$4:$J$164,Coefs!U$292,0)</f>
        <v>159</v>
      </c>
      <c r="V96" s="166" t="n">
        <f>VLOOKUP($B96,Conversores_Dieta!$B$4:$J$164,Coefs!V$292,0)</f>
        <v>500.2</v>
      </c>
      <c r="W96" s="21" t="n">
        <f>VLOOKUP($B96,Conversores_Dieta!$B$4:$J$164,Coefs!W$292,0)</f>
        <v>6460</v>
      </c>
      <c r="X96" s="21" t="n">
        <f>VLOOKUP($B96,Conversores_Dieta!$B$4:$J$164,Coefs!X$292,0)</f>
        <v>3110</v>
      </c>
      <c r="Y96" s="66"/>
      <c r="Z96" s="66"/>
      <c r="AA96" s="66"/>
      <c r="AB96" s="66"/>
      <c r="AC96" s="66"/>
      <c r="AD96" s="171"/>
      <c r="AE96" s="171"/>
      <c r="AF96" s="171"/>
      <c r="AG96" s="171"/>
      <c r="AH96" s="171"/>
      <c r="AI96" s="121" t="n">
        <f t="shared" si="33"/>
        <v>3.1288888888888887E-2</v>
      </c>
      <c r="AJ96" s="71"/>
      <c r="AK96" s="67"/>
      <c r="AL96" s="121" t="n">
        <v>0.5</v>
      </c>
      <c r="AM96" s="107" t="n">
        <v>8.0000000000000002E-3</v>
      </c>
      <c r="AN96" s="153"/>
      <c r="AO96" s="153"/>
      <c r="AP96" s="153" t="n">
        <v>0.43689436219155298</v>
      </c>
      <c r="AQ96" s="121" t="n">
        <v>0.11534666666666667</v>
      </c>
      <c r="AR96" s="94"/>
      <c r="AS96" s="121" t="n">
        <v>0.72602958765444336</v>
      </c>
      <c r="AT96" s="59" t="n">
        <f t="shared" si="17"/>
        <v>0.17824592074592077</v>
      </c>
      <c r="AU96" s="87" t="n">
        <v>0.4400179319117839</v>
      </c>
      <c r="AV96" s="87" t="n">
        <v>0.28601165574265952</v>
      </c>
      <c r="AW96" s="5"/>
      <c r="AX96" s="107" t="n">
        <f t="shared" si="18"/>
        <v>1.2657777777777776E-2</v>
      </c>
      <c r="AY96" s="119" t="n">
        <v>17.572800000000001</v>
      </c>
      <c r="AZ96" t="n">
        <v>0.7</v>
      </c>
      <c r="BA96" t="n">
        <v>145</v>
      </c>
      <c r="BB96" t="n">
        <v>0</v>
      </c>
      <c r="BC96" t="n">
        <v>0</v>
      </c>
      <c r="BD96" t="n">
        <v>0</v>
      </c>
      <c r="BE96" t="n">
        <v>2</v>
      </c>
      <c r="BF96" t="n">
        <v>0</v>
      </c>
      <c r="BG96" t="n">
        <v>55</v>
      </c>
      <c r="BH96" t="n">
        <v>1750</v>
      </c>
      <c r="BI96" t="n">
        <v>43.9</v>
      </c>
      <c r="BJ96" t="n">
        <v>0</v>
      </c>
      <c r="BK96" t="n">
        <v>0</v>
      </c>
      <c r="BL96" t="n">
        <v>0</v>
      </c>
      <c r="BM96" t="n">
        <v>0</v>
      </c>
      <c r="BN96" t="n">
        <v>0</v>
      </c>
      <c r="BO96" t="n">
        <v>150</v>
      </c>
      <c r="BP96" t="n">
        <v>7.5</v>
      </c>
      <c r="BQ96" s="110"/>
    </row>
    <row r="97">
      <c r="A97" s="135"/>
      <c r="B97" s="94" t="s">
        <v>287</v>
      </c>
      <c r="C97" s="7" t="s">
        <v>240</v>
      </c>
      <c r="D97" s="142" t="s">
        <v>274</v>
      </c>
      <c r="E97" s="142"/>
      <c r="F97" s="103" t="n">
        <v>0.23898131816844609</v>
      </c>
      <c r="G97" s="87" t="n">
        <v>0.91991666666666672</v>
      </c>
      <c r="H97" s="87" t="n">
        <v>0.96249999999999991</v>
      </c>
      <c r="I97" s="142" t="n">
        <v>232.07499999999999</v>
      </c>
      <c r="J97" s="142" t="n">
        <v>873.33823333333328</v>
      </c>
      <c r="K97" s="166"/>
      <c r="L97" s="166"/>
      <c r="M97" s="157" t="n">
        <v>25.310928533333335</v>
      </c>
      <c r="N97" s="157" t="n">
        <v>16.913819999999998</v>
      </c>
      <c r="O97" s="94" t="n">
        <v>0.33333333333333337</v>
      </c>
      <c r="P97" s="94" t="n">
        <v>0.66666666666666663</v>
      </c>
      <c r="Q97" s="94" t="n">
        <v>2</v>
      </c>
      <c r="R97" s="94"/>
      <c r="S97" s="65" t="n">
        <f>VLOOKUP(C97,$B$3:$X$358,MATCH(S$2,$B$2:$X$2,0),0)</f>
        <v>0.95750000000000002</v>
      </c>
      <c r="T97" s="15" t="n">
        <f t="shared" ref="T97:X98" si="35">VLOOKUP($C97,$B$3:$X$358,MATCH(T$2,$B$2:$X$2,0),0)*$G97/VLOOKUP($C97,$B$3:$X$358,MATCH($G$2,$B$2:$X$2,0),0)</f>
        <v>2.738356589147287E-2</v>
      </c>
      <c r="U97" s="157" t="n">
        <f t="shared" si="35"/>
        <v>541.64560084031177</v>
      </c>
      <c r="V97" s="157" t="n">
        <f t="shared" si="35"/>
        <v>136.13209956069338</v>
      </c>
      <c r="W97" s="132" t="n">
        <f t="shared" si="35"/>
        <v>1796.9437142011525</v>
      </c>
      <c r="X97" s="132" t="n">
        <f t="shared" si="35"/>
        <v>0</v>
      </c>
      <c r="Y97" s="66"/>
      <c r="Z97" s="66"/>
      <c r="AA97" s="66"/>
      <c r="AB97" s="66"/>
      <c r="AC97" s="66"/>
      <c r="AD97" s="171"/>
      <c r="AE97" s="171"/>
      <c r="AF97" s="171"/>
      <c r="AG97" s="171"/>
      <c r="AH97" s="171"/>
      <c r="AI97" s="121" t="n">
        <f t="shared" si="33"/>
        <v>2.9767441860465118E-2</v>
      </c>
      <c r="AJ97" s="100" t="n">
        <v>6.1094221509300503E-3</v>
      </c>
      <c r="AK97" s="66" t="n">
        <v>9.3240256399858123E-3</v>
      </c>
      <c r="AL97" s="121" t="n">
        <v>0.5</v>
      </c>
      <c r="AM97" s="107" t="n">
        <v>8.0000000000000002E-3</v>
      </c>
      <c r="AN97" s="153"/>
      <c r="AO97" s="153"/>
      <c r="AP97" s="153" t="n">
        <v>0.43689436219155298</v>
      </c>
      <c r="AQ97" s="121" t="n">
        <v>0.11534666666666667</v>
      </c>
      <c r="AR97" s="94"/>
      <c r="AS97" s="121" t="n">
        <v>0.72602958765444336</v>
      </c>
      <c r="AT97" s="59" t="n">
        <f t="shared" si="17"/>
        <v>0.17824592074592077</v>
      </c>
      <c r="AU97" s="87" t="n">
        <v>0.4400179319117839</v>
      </c>
      <c r="AV97" s="87" t="n">
        <v>0.28601165574265952</v>
      </c>
      <c r="AW97" s="5"/>
      <c r="AX97" s="107" t="n">
        <f t="shared" si="18"/>
        <v>1.5255813953488375E-2</v>
      </c>
      <c r="AY97" s="119" t="n">
        <v>17.572800000000001</v>
      </c>
      <c r="AZ97" t="n">
        <v>0.7</v>
      </c>
      <c r="BA97" s="156" t="n">
        <f>BA$82</f>
        <v>110</v>
      </c>
      <c r="BB97" s="156" t="n">
        <f t="shared" ref="BB97:BP97" si="36">BB$82</f>
        <v>62.9</v>
      </c>
      <c r="BC97" s="156" t="n">
        <f t="shared" si="36"/>
        <v>653</v>
      </c>
      <c r="BD97" s="156" t="n">
        <f t="shared" si="36"/>
        <v>280.10000000000002</v>
      </c>
      <c r="BE97" s="156" t="n">
        <f t="shared" si="36"/>
        <v>25</v>
      </c>
      <c r="BF97" s="156" t="n">
        <f t="shared" si="36"/>
        <v>0</v>
      </c>
      <c r="BG97" s="156" t="n">
        <f t="shared" si="36"/>
        <v>45</v>
      </c>
      <c r="BH97" s="156" t="n">
        <f t="shared" si="36"/>
        <v>2250</v>
      </c>
      <c r="BI97" s="156" t="n">
        <f t="shared" si="36"/>
        <v>371</v>
      </c>
      <c r="BJ97" s="156" t="n">
        <f t="shared" si="36"/>
        <v>0</v>
      </c>
      <c r="BK97" s="156" t="n">
        <f t="shared" si="36"/>
        <v>0</v>
      </c>
      <c r="BL97" s="156" t="n">
        <f t="shared" si="36"/>
        <v>0</v>
      </c>
      <c r="BM97" s="156" t="n">
        <f t="shared" si="36"/>
        <v>0</v>
      </c>
      <c r="BN97" s="156" t="n">
        <f t="shared" si="36"/>
        <v>209.5</v>
      </c>
      <c r="BO97" s="156" t="n">
        <f t="shared" si="36"/>
        <v>300</v>
      </c>
      <c r="BP97" s="156" t="n">
        <f t="shared" si="36"/>
        <v>15</v>
      </c>
      <c r="BQ97" s="110"/>
    </row>
    <row r="98">
      <c r="A98" s="135"/>
      <c r="B98" s="44" t="s">
        <v>286</v>
      </c>
      <c r="C98" s="44" t="s">
        <v>297</v>
      </c>
      <c r="D98" s="142" t="s">
        <v>816</v>
      </c>
      <c r="E98" s="142"/>
      <c r="F98" s="103" t="n">
        <v>0.23898131816844609</v>
      </c>
      <c r="G98" s="87" t="n">
        <v>0.91991666666666672</v>
      </c>
      <c r="H98" s="87" t="n">
        <v>0.96249999999999991</v>
      </c>
      <c r="I98" s="142" t="n">
        <v>232.07499999999999</v>
      </c>
      <c r="J98" s="142" t="n">
        <v>873.33823333333328</v>
      </c>
      <c r="K98" s="166"/>
      <c r="L98" s="166"/>
      <c r="M98" s="157" t="n">
        <v>25.310928533333335</v>
      </c>
      <c r="N98" s="157" t="n">
        <v>16.913819999999998</v>
      </c>
      <c r="O98" s="94" t="n">
        <v>0.40000000000000013</v>
      </c>
      <c r="P98" s="94" t="n">
        <v>0.59999999999999987</v>
      </c>
      <c r="Q98" s="94" t="n">
        <v>1.4999999999999998</v>
      </c>
      <c r="R98" s="94"/>
      <c r="S98" s="65" t="n">
        <f>VLOOKUP(C98,$B$3:$X$358,MATCH(S$2,$B$2:$X$2,0),0)</f>
        <v>1</v>
      </c>
      <c r="T98" s="15" t="n">
        <f t="shared" si="35"/>
        <v>1.8643644444444444E-2</v>
      </c>
      <c r="U98" s="157" t="n">
        <f t="shared" si="35"/>
        <v>60.305648148148151</v>
      </c>
      <c r="V98" s="157" t="n">
        <f t="shared" si="35"/>
        <v>628.60972222222233</v>
      </c>
      <c r="W98" s="132" t="n">
        <f t="shared" si="35"/>
        <v>1124.3425925925926</v>
      </c>
      <c r="X98" s="132" t="n">
        <f t="shared" si="35"/>
        <v>0</v>
      </c>
      <c r="Y98" s="66"/>
      <c r="Z98" s="66"/>
      <c r="AA98" s="66"/>
      <c r="AB98" s="66"/>
      <c r="AC98" s="66"/>
      <c r="AD98" s="171"/>
      <c r="AE98" s="171"/>
      <c r="AF98" s="171"/>
      <c r="AG98" s="171"/>
      <c r="AH98" s="171"/>
      <c r="AI98" s="121" t="n">
        <f t="shared" si="33"/>
        <v>2.0266666666666665E-2</v>
      </c>
      <c r="AJ98" s="100" t="n">
        <v>6.1094221509300503E-3</v>
      </c>
      <c r="AK98" s="66" t="n">
        <v>9.3240256399858123E-3</v>
      </c>
      <c r="AL98" s="121" t="n">
        <v>0.5</v>
      </c>
      <c r="AM98" s="107" t="n">
        <v>8.0000000000000002E-3</v>
      </c>
      <c r="AN98" s="153"/>
      <c r="AO98" s="153"/>
      <c r="AP98" s="153" t="n">
        <v>0.43689436219155298</v>
      </c>
      <c r="AQ98" s="121" t="n">
        <v>0.11534666666666667</v>
      </c>
      <c r="AR98" s="94"/>
      <c r="AS98" s="121" t="n">
        <v>0.72602958765444336</v>
      </c>
      <c r="AT98" s="59" t="n">
        <f t="shared" si="17"/>
        <v>0.17824592074592077</v>
      </c>
      <c r="AU98" s="87" t="n">
        <v>0.4400179319117839</v>
      </c>
      <c r="AV98" s="87" t="n">
        <v>0.28601165574265952</v>
      </c>
      <c r="AW98" s="5"/>
      <c r="AX98" s="107" t="n">
        <f t="shared" si="18"/>
        <v>1.2906666666666667E-2</v>
      </c>
      <c r="AY98" s="119" t="n">
        <v>17.572800000000001</v>
      </c>
      <c r="AZ98" t="n">
        <v>0.7</v>
      </c>
      <c r="BA98" s="156" t="n">
        <f>BA$87</f>
        <v>39</v>
      </c>
      <c r="BB98" s="156" t="n">
        <f t="shared" ref="BB98:BO98" si="37">BB$87</f>
        <v>15.9</v>
      </c>
      <c r="BC98" s="156" t="n">
        <f t="shared" si="37"/>
        <v>4.3</v>
      </c>
      <c r="BD98" s="156" t="n">
        <f t="shared" si="37"/>
        <v>20.7</v>
      </c>
      <c r="BE98" s="156" t="n">
        <f t="shared" si="37"/>
        <v>1</v>
      </c>
      <c r="BF98" s="156" t="n">
        <f t="shared" si="37"/>
        <v>111</v>
      </c>
      <c r="BG98" s="156" t="n">
        <f t="shared" si="37"/>
        <v>10.9</v>
      </c>
      <c r="BH98" s="156" t="n">
        <f t="shared" si="37"/>
        <v>2640</v>
      </c>
      <c r="BI98" s="156" t="n">
        <f t="shared" si="37"/>
        <v>43.9</v>
      </c>
      <c r="BJ98" s="156" t="n">
        <f t="shared" si="37"/>
        <v>0</v>
      </c>
      <c r="BK98" s="156" t="n">
        <f t="shared" si="37"/>
        <v>0</v>
      </c>
      <c r="BL98" s="156" t="n">
        <f t="shared" si="37"/>
        <v>0</v>
      </c>
      <c r="BM98" s="156" t="n">
        <f t="shared" si="37"/>
        <v>0</v>
      </c>
      <c r="BN98" s="156" t="n">
        <f t="shared" si="37"/>
        <v>0</v>
      </c>
      <c r="BO98" s="156" t="n">
        <f t="shared" si="37"/>
        <v>125</v>
      </c>
      <c r="BP98" s="156" t="n">
        <f>BP96</f>
        <v>7.5</v>
      </c>
      <c r="BQ98" s="110"/>
    </row>
    <row r="99">
      <c r="A99" s="135" t="n">
        <v>156</v>
      </c>
      <c r="B99" s="44" t="s">
        <v>285</v>
      </c>
      <c r="C99" s="44"/>
      <c r="D99" s="142" t="s">
        <v>272</v>
      </c>
      <c r="E99" s="142"/>
      <c r="F99" s="94" t="n">
        <v>0.11499999999999999</v>
      </c>
      <c r="G99" s="89" t="n">
        <v>0.29499999999999998</v>
      </c>
      <c r="H99" s="89" t="n">
        <v>0.48</v>
      </c>
      <c r="I99" s="142" t="n">
        <v>232.07499999999999</v>
      </c>
      <c r="J99" s="142" t="n">
        <v>873.33823333333328</v>
      </c>
      <c r="K99" s="166"/>
      <c r="L99" s="166"/>
      <c r="M99" s="157" t="n">
        <v>5.0168341968911916</v>
      </c>
      <c r="N99" s="157" t="n">
        <v>8.4349439999999998</v>
      </c>
      <c r="O99" s="94" t="n">
        <v>0.7</v>
      </c>
      <c r="P99" s="94" t="n">
        <v>0.30000000000000004</v>
      </c>
      <c r="Q99" s="94" t="n">
        <v>0.42857142857142866</v>
      </c>
      <c r="R99" s="94"/>
      <c r="S99" s="94"/>
      <c r="T99" s="130" t="n">
        <v>3.2000000000000003E-4</v>
      </c>
      <c r="U99" s="157"/>
      <c r="V99" s="157"/>
      <c r="W99" s="132"/>
      <c r="X99" s="132"/>
      <c r="Y99" s="132"/>
      <c r="Z99" s="132"/>
      <c r="AA99" s="132"/>
      <c r="AB99" s="132"/>
      <c r="AC99" s="132"/>
      <c r="AD99" s="132"/>
      <c r="AE99" s="132"/>
      <c r="AF99" s="132"/>
      <c r="AG99" s="132"/>
      <c r="AH99" s="132"/>
      <c r="AI99" s="153" t="n">
        <f t="shared" si="33"/>
        <v>1.0847457627118646E-3</v>
      </c>
      <c r="AJ99" s="71"/>
      <c r="AK99" s="67"/>
      <c r="AL99" s="121" t="n">
        <v>0.5</v>
      </c>
      <c r="AM99" s="107" t="n">
        <v>8.0000000000000002E-3</v>
      </c>
      <c r="AN99" s="153"/>
      <c r="AO99" s="153"/>
      <c r="AP99" s="153" t="n">
        <v>0.43887499999999996</v>
      </c>
      <c r="AQ99" s="121" t="n">
        <v>0.11534666666666667</v>
      </c>
      <c r="AR99" s="94"/>
      <c r="AS99" s="121" t="n">
        <v>0.55110000000000003</v>
      </c>
      <c r="AT99" s="59" t="n">
        <f t="shared" si="17"/>
        <v>0.17824592074592077</v>
      </c>
      <c r="AU99" s="87" t="n">
        <v>0.33400000000000002</v>
      </c>
      <c r="AV99" s="87" t="n">
        <v>0.21710000000000002</v>
      </c>
      <c r="AW99" s="5"/>
      <c r="AX99" s="107" t="n">
        <f t="shared" ref="AX99:AX115" si="38">AI99*O99+P99*AM99</f>
        <v>3.1593220338983052E-3</v>
      </c>
      <c r="AY99" s="119" t="n">
        <v>17.572800000000001</v>
      </c>
      <c r="AZ99" t="n">
        <v>0.7</v>
      </c>
      <c r="BQ99" s="110"/>
    </row>
    <row r="100">
      <c r="A100" s="135"/>
      <c r="B100" s="44" t="s">
        <v>284</v>
      </c>
      <c r="C100" s="44"/>
      <c r="D100" s="142" t="s">
        <v>272</v>
      </c>
      <c r="E100" s="142"/>
      <c r="F100" s="172" t="n">
        <f>$F115</f>
        <v>0.29383040935672516</v>
      </c>
      <c r="G100" s="89" t="n">
        <v>0.7</v>
      </c>
      <c r="H100" s="87" t="n">
        <v>0.75599666666666676</v>
      </c>
      <c r="I100" s="142" t="n">
        <v>232.07499999999999</v>
      </c>
      <c r="J100" s="142" t="n">
        <v>873.33823333333328</v>
      </c>
      <c r="K100" s="166"/>
      <c r="L100" s="166"/>
      <c r="M100" s="172" t="n">
        <v>17.143999999999998</v>
      </c>
      <c r="N100" s="157" t="n">
        <v>13.284978224000003</v>
      </c>
      <c r="O100" s="172" t="n">
        <v>0.25</v>
      </c>
      <c r="P100" s="172" t="n">
        <v>0.75</v>
      </c>
      <c r="Q100" s="172" t="n">
        <v>3.5</v>
      </c>
      <c r="R100" s="94"/>
      <c r="S100" s="94"/>
      <c r="T100" s="130" t="n">
        <v>8.8000000000000005E-3</v>
      </c>
      <c r="U100" s="157"/>
      <c r="V100" s="157"/>
      <c r="W100" s="132"/>
      <c r="X100" s="132"/>
      <c r="Y100" s="132"/>
      <c r="Z100" s="132"/>
      <c r="AA100" s="132"/>
      <c r="AB100" s="132"/>
      <c r="AC100" s="132"/>
      <c r="AD100" s="132"/>
      <c r="AE100" s="132"/>
      <c r="AF100" s="132"/>
      <c r="AG100" s="132"/>
      <c r="AH100" s="132"/>
      <c r="AI100" s="153" t="n">
        <f t="shared" si="33"/>
        <v>1.2571428571428574E-2</v>
      </c>
      <c r="AJ100" s="71"/>
      <c r="AK100" s="67"/>
      <c r="AL100" s="121" t="n">
        <v>0.5</v>
      </c>
      <c r="AM100" s="107" t="n">
        <v>8.0000000000000002E-3</v>
      </c>
      <c r="AN100" s="153"/>
      <c r="AO100" s="153"/>
      <c r="AP100" s="153" t="n">
        <v>0.43689436219155298</v>
      </c>
      <c r="AQ100" s="121" t="n">
        <v>0.11534666666666667</v>
      </c>
      <c r="AR100" s="94"/>
      <c r="AS100" s="121" t="n">
        <v>0.72602958765444336</v>
      </c>
      <c r="AT100" s="59" t="n">
        <f t="shared" si="17"/>
        <v>0.17824592074592077</v>
      </c>
      <c r="AU100" s="87" t="n">
        <v>0.4400179319117839</v>
      </c>
      <c r="AV100" s="87" t="n">
        <v>0.28601165574265952</v>
      </c>
      <c r="AW100" s="5"/>
      <c r="AX100" s="107" t="n">
        <f t="shared" si="38"/>
        <v>9.1428571428571435E-3</v>
      </c>
      <c r="AY100" s="119" t="n">
        <v>17.572800000000001</v>
      </c>
      <c r="AZ100" t="n">
        <v>0.7</v>
      </c>
      <c r="BQ100" s="110"/>
    </row>
    <row r="101">
      <c r="A101" s="135"/>
      <c r="B101" s="44" t="s">
        <v>283</v>
      </c>
      <c r="C101" s="44"/>
      <c r="D101" s="142" t="s">
        <v>272</v>
      </c>
      <c r="E101" s="142"/>
      <c r="F101" s="172" t="n">
        <f>$F116</f>
        <v>0.29383040935672516</v>
      </c>
      <c r="G101" s="87" t="n">
        <v>0.9</v>
      </c>
      <c r="H101" s="87" t="n">
        <v>0.9</v>
      </c>
      <c r="I101" s="142" t="n">
        <v>232.07499999999999</v>
      </c>
      <c r="J101" s="142" t="n">
        <v>873.33823333333328</v>
      </c>
      <c r="K101" s="166"/>
      <c r="L101" s="166"/>
      <c r="M101" s="157" t="n">
        <v>17.143999999999998</v>
      </c>
      <c r="N101" s="157" t="n">
        <v>15.815520000000001</v>
      </c>
      <c r="O101" s="172" t="n">
        <v>0.25</v>
      </c>
      <c r="P101" s="172" t="n">
        <v>0.75</v>
      </c>
      <c r="Q101" s="172" t="n">
        <v>3.5</v>
      </c>
      <c r="R101" s="94"/>
      <c r="S101" s="65" t="n">
        <v>0.01</v>
      </c>
      <c r="T101" s="45" t="n">
        <v>1.6E-2</v>
      </c>
      <c r="U101" s="145" t="n">
        <v>0</v>
      </c>
      <c r="V101" s="145" t="n">
        <v>0</v>
      </c>
      <c r="W101" s="23" t="n">
        <v>0</v>
      </c>
      <c r="X101" s="23" t="n">
        <v>0</v>
      </c>
      <c r="Y101" s="66"/>
      <c r="Z101" s="66"/>
      <c r="AA101" s="66"/>
      <c r="AB101" s="66"/>
      <c r="AC101" s="66"/>
      <c r="AD101" s="171"/>
      <c r="AE101" s="171"/>
      <c r="AF101" s="171"/>
      <c r="AG101" s="171"/>
      <c r="AH101" s="171"/>
      <c r="AI101" s="153" t="n">
        <f t="shared" si="33"/>
        <v>1.7777777777777778E-2</v>
      </c>
      <c r="AJ101" s="71"/>
      <c r="AK101" s="67"/>
      <c r="AL101" s="121" t="n">
        <v>0.5</v>
      </c>
      <c r="AM101" s="107" t="n">
        <v>8.0000000000000002E-3</v>
      </c>
      <c r="AN101" s="153"/>
      <c r="AO101" s="153"/>
      <c r="AP101" s="153" t="n">
        <v>0.47670000000000001</v>
      </c>
      <c r="AQ101" s="121" t="n">
        <v>0.11534666666666667</v>
      </c>
      <c r="AR101" s="94"/>
      <c r="AS101" s="121" t="n">
        <v>0.72602958765444336</v>
      </c>
      <c r="AT101" s="59" t="n">
        <f t="shared" si="17"/>
        <v>0.17824592074592077</v>
      </c>
      <c r="AU101" s="87" t="n">
        <v>0.4400179319117839</v>
      </c>
      <c r="AV101" s="87" t="n">
        <v>0.28601165574265952</v>
      </c>
      <c r="AW101" s="5"/>
      <c r="AX101" s="107" t="n">
        <f t="shared" si="38"/>
        <v>1.0444444444444444E-2</v>
      </c>
      <c r="AY101" s="119" t="n">
        <v>17.572800000000001</v>
      </c>
      <c r="AZ101" t="n">
        <v>0.7</v>
      </c>
      <c r="BA101" t="n">
        <v>15</v>
      </c>
      <c r="BB101" t="n">
        <v>0</v>
      </c>
      <c r="BC101" t="n">
        <v>0</v>
      </c>
      <c r="BD101" t="n">
        <v>0</v>
      </c>
      <c r="BE101" t="n">
        <v>0</v>
      </c>
      <c r="BF101" t="n">
        <v>0</v>
      </c>
      <c r="BG101" t="n">
        <v>3</v>
      </c>
      <c r="BH101" t="n">
        <v>600</v>
      </c>
      <c r="BI101" t="n">
        <v>0.92</v>
      </c>
      <c r="BJ101" t="n">
        <v>0</v>
      </c>
      <c r="BK101" t="n">
        <v>0</v>
      </c>
      <c r="BL101" t="n">
        <v>0</v>
      </c>
      <c r="BM101" t="n">
        <v>2500</v>
      </c>
      <c r="BN101" t="n">
        <v>0</v>
      </c>
      <c r="BO101" t="n">
        <v>2000</v>
      </c>
      <c r="BP101" t="n">
        <v>50</v>
      </c>
      <c r="BQ101" s="110"/>
    </row>
    <row r="102">
      <c r="A102" s="135" t="n">
        <v>296</v>
      </c>
      <c r="B102" s="44" t="s">
        <v>282</v>
      </c>
      <c r="C102" s="7" t="s">
        <v>240</v>
      </c>
      <c r="D102" s="142" t="s">
        <v>272</v>
      </c>
      <c r="E102" s="142"/>
      <c r="F102" s="103" t="n">
        <f>F105</f>
        <v>0.56388562245159979</v>
      </c>
      <c r="G102" s="143" t="n">
        <f t="shared" ref="G102:AY102" si="39">G101</f>
        <v>0.9</v>
      </c>
      <c r="H102" s="143" t="n">
        <f t="shared" si="39"/>
        <v>0.9</v>
      </c>
      <c r="I102" s="143" t="n">
        <f t="shared" si="39"/>
        <v>232.07499999999999</v>
      </c>
      <c r="J102" s="143" t="n">
        <f t="shared" si="39"/>
        <v>873.33823333333328</v>
      </c>
      <c r="K102" s="143" t="n">
        <f t="shared" si="39"/>
        <v>0</v>
      </c>
      <c r="L102" s="143" t="n">
        <f t="shared" si="39"/>
        <v>0</v>
      </c>
      <c r="M102" s="143" t="n">
        <f t="shared" si="39"/>
        <v>17.143999999999998</v>
      </c>
      <c r="N102" s="143" t="n">
        <f t="shared" si="39"/>
        <v>15.815520000000001</v>
      </c>
      <c r="O102" s="143" t="n">
        <f t="shared" si="39"/>
        <v>0.25</v>
      </c>
      <c r="P102" s="143" t="n">
        <f t="shared" si="39"/>
        <v>0.75</v>
      </c>
      <c r="Q102" s="143" t="n">
        <f t="shared" si="39"/>
        <v>3.5</v>
      </c>
      <c r="R102" s="94"/>
      <c r="S102" s="65" t="n">
        <f>VLOOKUP(C102,$B$3:$X$358,MATCH(S$2,$B$2:$X$2,0),0)</f>
        <v>0.95750000000000002</v>
      </c>
      <c r="T102" s="15" t="n">
        <f>VLOOKUP($C102,$B$3:$X$358,MATCH(T$2,$B$2:$X$2,0),0)*$G102/VLOOKUP($C102,$B$3:$X$358,MATCH($G$2,$B$2:$X$2,0),0)</f>
        <v>2.679069767441861E-2</v>
      </c>
      <c r="U102" s="157" t="n">
        <f>VLOOKUP($C102,$B$3:$X$358,MATCH(U$2,$B$2:$X$2,0),0)*$G102/VLOOKUP($C102,$B$3:$X$358,MATCH($G$2,$B$2:$X$2,0),0)</f>
        <v>529.91869635613432</v>
      </c>
      <c r="V102" s="157" t="n">
        <f>VLOOKUP($C102,$B$3:$X$358,MATCH(V$2,$B$2:$X$2,0),0)*$G102/VLOOKUP($C102,$B$3:$X$358,MATCH($G$2,$B$2:$X$2,0),0)</f>
        <v>133.18476992983861</v>
      </c>
      <c r="W102" s="132" t="n">
        <f>VLOOKUP($C102,$B$3:$X$358,MATCH(W$2,$B$2:$X$2,0),0)*$G102/VLOOKUP($C102,$B$3:$X$358,MATCH($G$2,$B$2:$X$2,0),0)</f>
        <v>1758.0389630738696</v>
      </c>
      <c r="X102" s="132" t="n">
        <f>VLOOKUP($C102,$B$3:$X$358,MATCH(X$2,$B$2:$X$2,0),0)*$G102/VLOOKUP($C102,$B$3:$X$358,MATCH($G$2,$B$2:$X$2,0),0)</f>
        <v>0</v>
      </c>
      <c r="Y102" s="66"/>
      <c r="Z102" s="66"/>
      <c r="AA102" s="66"/>
      <c r="AB102" s="66"/>
      <c r="AC102" s="66"/>
      <c r="AD102" s="171"/>
      <c r="AE102" s="171"/>
      <c r="AF102" s="171"/>
      <c r="AG102" s="171"/>
      <c r="AH102" s="171"/>
      <c r="AI102" s="121" t="n">
        <f t="shared" si="33"/>
        <v>2.9767441860465121E-2</v>
      </c>
      <c r="AJ102" s="100"/>
      <c r="AK102" s="65"/>
      <c r="AL102" s="143" t="n">
        <f t="shared" si="39"/>
        <v>0.5</v>
      </c>
      <c r="AM102" s="107" t="n">
        <v>8.0000000000000002E-3</v>
      </c>
      <c r="AN102" s="143"/>
      <c r="AO102" s="143"/>
      <c r="AP102" s="107" t="n">
        <f t="shared" si="39"/>
        <v>0.47670000000000001</v>
      </c>
      <c r="AQ102" s="143" t="n">
        <f t="shared" si="39"/>
        <v>0.11534666666666667</v>
      </c>
      <c r="AR102" s="143" t="n">
        <f t="shared" si="39"/>
        <v>0</v>
      </c>
      <c r="AS102" s="107" t="n">
        <f t="shared" si="39"/>
        <v>0.72602958765444336</v>
      </c>
      <c r="AT102" s="59" t="n">
        <f t="shared" si="17"/>
        <v>0.17824592074592077</v>
      </c>
      <c r="AU102" s="143" t="n">
        <f t="shared" si="39"/>
        <v>0.4400179319117839</v>
      </c>
      <c r="AV102" s="143" t="n">
        <f t="shared" si="39"/>
        <v>0.28601165574265952</v>
      </c>
      <c r="AW102" s="143"/>
      <c r="AX102" s="107" t="n">
        <f t="shared" si="38"/>
        <v>1.344186046511628E-2</v>
      </c>
      <c r="AY102" s="143" t="n">
        <f t="shared" si="39"/>
        <v>17.572800000000001</v>
      </c>
      <c r="AZ102" t="n">
        <v>0.7</v>
      </c>
      <c r="BA102" t="n">
        <v>200</v>
      </c>
      <c r="BB102" t="n">
        <v>45</v>
      </c>
      <c r="BC102" t="n">
        <v>60</v>
      </c>
      <c r="BD102" t="n">
        <v>290</v>
      </c>
      <c r="BE102" t="n">
        <v>12.5</v>
      </c>
      <c r="BF102" t="n">
        <v>98</v>
      </c>
      <c r="BG102" t="n">
        <v>75</v>
      </c>
      <c r="BH102" t="n">
        <v>3400</v>
      </c>
      <c r="BI102" t="n">
        <v>371</v>
      </c>
      <c r="BJ102" t="n">
        <v>0</v>
      </c>
      <c r="BK102" t="n">
        <v>0</v>
      </c>
      <c r="BL102" t="n">
        <v>0</v>
      </c>
      <c r="BM102" t="n">
        <v>10</v>
      </c>
      <c r="BN102" t="n">
        <v>10</v>
      </c>
      <c r="BO102" t="n">
        <v>125</v>
      </c>
      <c r="BP102" t="n">
        <v>1.5</v>
      </c>
      <c r="BQ102" s="110"/>
    </row>
    <row r="103">
      <c r="A103" s="135" t="n">
        <v>782</v>
      </c>
      <c r="B103" s="44" t="s">
        <v>281</v>
      </c>
      <c r="C103" s="44"/>
      <c r="D103" s="142" t="s">
        <v>278</v>
      </c>
      <c r="E103" s="142"/>
      <c r="F103" s="141" t="n">
        <f>F105</f>
        <v>0.56388562245159979</v>
      </c>
      <c r="G103" s="146" t="n">
        <f>G105</f>
        <v>0.90549999999999997</v>
      </c>
      <c r="H103" s="141" t="n">
        <f>H105</f>
        <v>0.91549999999999998</v>
      </c>
      <c r="I103" s="141" t="n">
        <f>I105</f>
        <v>232.07499999999999</v>
      </c>
      <c r="J103" s="141" t="n">
        <f>J105</f>
        <v>873.33823333333328</v>
      </c>
      <c r="K103" s="141"/>
      <c r="L103" s="141"/>
      <c r="M103" s="141" t="n">
        <f t="shared" ref="M103:AI103" si="40">M105</f>
        <v>15.815520000000001</v>
      </c>
      <c r="N103" s="141" t="n">
        <f t="shared" si="40"/>
        <v>15.815520000000001</v>
      </c>
      <c r="O103" s="141" t="n">
        <f t="shared" si="40"/>
        <v>0.59250000000000003</v>
      </c>
      <c r="P103" s="141" t="n">
        <f t="shared" si="40"/>
        <v>0.40749999999999997</v>
      </c>
      <c r="Q103" s="141" t="n">
        <f t="shared" si="40"/>
        <v>0.92370129870129869</v>
      </c>
      <c r="R103" s="94"/>
      <c r="S103" s="94"/>
      <c r="T103" s="136" t="n">
        <f>T105</f>
        <v>3.5400000000000002E-3</v>
      </c>
      <c r="U103" s="157"/>
      <c r="V103" s="157"/>
      <c r="W103" s="132"/>
      <c r="X103" s="132"/>
      <c r="Y103" s="132"/>
      <c r="Z103" s="132"/>
      <c r="AA103" s="132"/>
      <c r="AB103" s="132"/>
      <c r="AC103" s="132"/>
      <c r="AD103" s="132"/>
      <c r="AE103" s="132"/>
      <c r="AF103" s="132"/>
      <c r="AG103" s="132"/>
      <c r="AH103" s="132"/>
      <c r="AI103" s="136" t="n">
        <f t="shared" si="40"/>
        <v>3.9094422970734405E-3</v>
      </c>
      <c r="AJ103" s="71"/>
      <c r="AK103" s="110"/>
      <c r="AL103" s="141" t="n">
        <f>AL105</f>
        <v>0.5</v>
      </c>
      <c r="AM103" s="107" t="n">
        <v>8.0000000000000002E-3</v>
      </c>
      <c r="AN103" s="141"/>
      <c r="AO103" s="141"/>
      <c r="AP103" s="136" t="n">
        <f t="shared" ref="AP103:AV103" si="41">AP105</f>
        <v>0.45796249999999999</v>
      </c>
      <c r="AQ103" s="141" t="n">
        <f t="shared" si="41"/>
        <v>0.11534666666666667</v>
      </c>
      <c r="AR103" s="141" t="n">
        <f t="shared" si="41"/>
        <v>0</v>
      </c>
      <c r="AS103" s="136" t="n">
        <f t="shared" si="41"/>
        <v>0.72602958765444336</v>
      </c>
      <c r="AT103" s="59" t="n">
        <f t="shared" si="17"/>
        <v>0.17824592074592077</v>
      </c>
      <c r="AU103" s="141" t="n">
        <f t="shared" si="41"/>
        <v>0.4400179319117839</v>
      </c>
      <c r="AV103" s="141" t="n">
        <f t="shared" si="41"/>
        <v>0.28601165574265952</v>
      </c>
      <c r="AW103" s="141"/>
      <c r="AX103" s="107" t="n">
        <f t="shared" si="38"/>
        <v>5.5763445610160136E-3</v>
      </c>
      <c r="AY103" s="141" t="n">
        <f>AY105</f>
        <v>17.275281267067179</v>
      </c>
      <c r="AZ103" t="n">
        <v>0.7</v>
      </c>
      <c r="BQ103" s="110"/>
    </row>
    <row r="104">
      <c r="A104" s="135" t="n">
        <v>773</v>
      </c>
      <c r="B104" s="44" t="s">
        <v>280</v>
      </c>
      <c r="C104" s="44"/>
      <c r="D104" s="142" t="s">
        <v>278</v>
      </c>
      <c r="E104" s="142"/>
      <c r="F104" s="141" t="n">
        <f>F105</f>
        <v>0.56388562245159979</v>
      </c>
      <c r="G104" s="141" t="n">
        <f t="shared" ref="G104:AY104" si="42">G105</f>
        <v>0.90549999999999997</v>
      </c>
      <c r="H104" s="141" t="n">
        <f t="shared" si="42"/>
        <v>0.91549999999999998</v>
      </c>
      <c r="I104" s="141" t="n">
        <f t="shared" si="42"/>
        <v>232.07499999999999</v>
      </c>
      <c r="J104" s="141" t="n">
        <f t="shared" si="42"/>
        <v>873.33823333333328</v>
      </c>
      <c r="K104" s="141" t="n">
        <f t="shared" si="42"/>
        <v>0</v>
      </c>
      <c r="L104" s="141" t="n">
        <f t="shared" si="42"/>
        <v>0</v>
      </c>
      <c r="M104" s="141" t="n">
        <f t="shared" si="42"/>
        <v>15.815520000000001</v>
      </c>
      <c r="N104" s="141" t="n">
        <f t="shared" si="42"/>
        <v>15.815520000000001</v>
      </c>
      <c r="O104" s="141" t="n">
        <f t="shared" si="42"/>
        <v>0.59250000000000003</v>
      </c>
      <c r="P104" s="141" t="n">
        <f t="shared" si="42"/>
        <v>0.40749999999999997</v>
      </c>
      <c r="Q104" s="141" t="n">
        <f t="shared" si="42"/>
        <v>0.92370129870129869</v>
      </c>
      <c r="R104" s="94"/>
      <c r="S104" s="94"/>
      <c r="T104" s="136" t="n">
        <f>T105</f>
        <v>3.5400000000000002E-3</v>
      </c>
      <c r="U104" s="157"/>
      <c r="V104" s="157"/>
      <c r="W104" s="132"/>
      <c r="X104" s="132"/>
      <c r="Y104" s="132"/>
      <c r="Z104" s="132"/>
      <c r="AA104" s="132"/>
      <c r="AB104" s="132"/>
      <c r="AC104" s="132"/>
      <c r="AD104" s="132"/>
      <c r="AE104" s="132"/>
      <c r="AF104" s="132"/>
      <c r="AG104" s="132"/>
      <c r="AH104" s="132"/>
      <c r="AI104" s="136" t="n">
        <f t="shared" si="42"/>
        <v>3.9094422970734405E-3</v>
      </c>
      <c r="AJ104" s="71"/>
      <c r="AK104" s="110"/>
      <c r="AL104" s="141" t="n">
        <f t="shared" si="42"/>
        <v>0.5</v>
      </c>
      <c r="AM104" s="107" t="n">
        <v>8.0000000000000002E-3</v>
      </c>
      <c r="AN104" s="141"/>
      <c r="AO104" s="141"/>
      <c r="AP104" s="141" t="n">
        <f t="shared" si="42"/>
        <v>0.45796249999999999</v>
      </c>
      <c r="AQ104" s="141" t="n">
        <f t="shared" si="42"/>
        <v>0.11534666666666667</v>
      </c>
      <c r="AR104" s="141" t="n">
        <f t="shared" si="42"/>
        <v>0</v>
      </c>
      <c r="AS104" s="141" t="n">
        <f t="shared" si="42"/>
        <v>0.72602958765444336</v>
      </c>
      <c r="AT104" s="59" t="n">
        <f t="shared" si="17"/>
        <v>0.17824592074592077</v>
      </c>
      <c r="AU104" s="141" t="n">
        <f t="shared" si="42"/>
        <v>0.4400179319117839</v>
      </c>
      <c r="AV104" s="141" t="n">
        <f t="shared" si="42"/>
        <v>0.28601165574265952</v>
      </c>
      <c r="AW104" s="141"/>
      <c r="AX104" s="107" t="n">
        <f t="shared" si="38"/>
        <v>5.5763445610160136E-3</v>
      </c>
      <c r="AY104" s="141" t="n">
        <f t="shared" si="42"/>
        <v>17.275281267067179</v>
      </c>
      <c r="AZ104" t="n">
        <v>0.7</v>
      </c>
      <c r="BQ104" s="110"/>
    </row>
    <row r="105">
      <c r="A105" s="135"/>
      <c r="B105" s="44" t="s">
        <v>279</v>
      </c>
      <c r="C105" s="44"/>
      <c r="D105" s="142" t="s">
        <v>278</v>
      </c>
      <c r="E105" s="142"/>
      <c r="F105" s="103" t="n">
        <v>0.56388562245159979</v>
      </c>
      <c r="G105" s="87" t="n">
        <v>0.90549999999999997</v>
      </c>
      <c r="H105" s="87" t="n">
        <v>0.91549999999999998</v>
      </c>
      <c r="I105" s="142" t="n">
        <v>232.07499999999999</v>
      </c>
      <c r="J105" s="142" t="n">
        <v>873.33823333333328</v>
      </c>
      <c r="K105" s="157"/>
      <c r="L105" s="157"/>
      <c r="M105" s="157" t="n">
        <v>15.815520000000001</v>
      </c>
      <c r="N105" s="157" t="n">
        <v>15.815520000000001</v>
      </c>
      <c r="O105" s="103" t="n">
        <v>0.59250000000000003</v>
      </c>
      <c r="P105" s="103" t="n">
        <v>0.40749999999999997</v>
      </c>
      <c r="Q105" s="103" t="n">
        <v>0.92370129870129869</v>
      </c>
      <c r="R105" s="94"/>
      <c r="S105" s="94"/>
      <c r="T105" s="45" t="n">
        <v>3.5400000000000002E-3</v>
      </c>
      <c r="U105" s="47"/>
      <c r="V105" s="47"/>
      <c r="W105" s="48"/>
      <c r="X105" s="48"/>
      <c r="Y105" s="48"/>
      <c r="Z105" s="48"/>
      <c r="AA105" s="48"/>
      <c r="AB105" s="48"/>
      <c r="AC105" s="48"/>
      <c r="AD105" s="48"/>
      <c r="AE105" s="48"/>
      <c r="AF105" s="48"/>
      <c r="AG105" s="48"/>
      <c r="AH105" s="48"/>
      <c r="AI105" s="173" t="n">
        <f>T105/G105</f>
        <v>3.9094422970734405E-3</v>
      </c>
      <c r="AJ105" s="71"/>
      <c r="AK105" s="67"/>
      <c r="AL105" s="121" t="n">
        <v>0.5</v>
      </c>
      <c r="AM105" s="107" t="n">
        <v>8.0000000000000002E-3</v>
      </c>
      <c r="AN105" s="153"/>
      <c r="AO105" s="153"/>
      <c r="AP105" s="153" t="n">
        <v>0.45796249999999999</v>
      </c>
      <c r="AQ105" s="121" t="n">
        <v>0.11534666666666667</v>
      </c>
      <c r="AR105" s="94"/>
      <c r="AS105" s="121" t="n">
        <v>0.72602958765444336</v>
      </c>
      <c r="AT105" s="59" t="n">
        <f t="shared" si="17"/>
        <v>0.17824592074592077</v>
      </c>
      <c r="AU105" s="87" t="n">
        <v>0.4400179319117839</v>
      </c>
      <c r="AV105" s="87" t="n">
        <v>0.28601165574265952</v>
      </c>
      <c r="AW105" s="5"/>
      <c r="AX105" s="107" t="n">
        <f t="shared" si="38"/>
        <v>5.5763445610160136E-3</v>
      </c>
      <c r="AY105" s="119" t="n">
        <v>17.275281267067179</v>
      </c>
      <c r="AZ105" t="n">
        <v>0.7</v>
      </c>
      <c r="BQ105" s="110"/>
    </row>
    <row r="106">
      <c r="A106" s="135" t="n">
        <v>723</v>
      </c>
      <c r="B106" s="44" t="s">
        <v>277</v>
      </c>
      <c r="C106" s="44"/>
      <c r="D106" s="142" t="s">
        <v>272</v>
      </c>
      <c r="E106" s="142"/>
      <c r="F106" s="103" t="n">
        <v>0.56388562245159979</v>
      </c>
      <c r="G106" s="87" t="n">
        <v>0.9</v>
      </c>
      <c r="H106" s="87" t="n">
        <v>0.9</v>
      </c>
      <c r="I106" s="142" t="n">
        <v>232.07499999999999</v>
      </c>
      <c r="J106" s="142" t="n">
        <v>873.33823333333328</v>
      </c>
      <c r="K106" s="166"/>
      <c r="L106" s="157"/>
      <c r="M106" s="157" t="n">
        <v>17.143999999999998</v>
      </c>
      <c r="N106" s="157" t="n">
        <v>15.815520000000001</v>
      </c>
      <c r="O106" s="103" t="n">
        <v>0.25</v>
      </c>
      <c r="P106" s="103" t="n">
        <v>0.75</v>
      </c>
      <c r="Q106" s="103" t="n">
        <v>3.5</v>
      </c>
      <c r="R106" s="94"/>
      <c r="S106" s="22" t="n">
        <f>VLOOKUP($B106,Conversores_Dieta!$B$4:$J$164,Coefs!S$292,0)</f>
        <v>1</v>
      </c>
      <c r="T106" s="130" t="n">
        <f>VLOOKUP($B106,Conversores_Dieta!$B$4:$J$164,Coefs!T$292,0)</f>
        <v>2.8479999999999998E-2</v>
      </c>
      <c r="U106" s="166" t="n">
        <f>VLOOKUP($B106,Conversores_Dieta!$B$4:$J$164,Coefs!U$292,0)</f>
        <v>182</v>
      </c>
      <c r="V106" s="166" t="n">
        <f>VLOOKUP($B106,Conversores_Dieta!$B$4:$J$164,Coefs!V$292,0)</f>
        <v>454</v>
      </c>
      <c r="W106" s="21" t="n">
        <f>VLOOKUP($B106,Conversores_Dieta!$B$4:$J$164,Coefs!W$292,0)</f>
        <v>9310</v>
      </c>
      <c r="X106" s="21" t="n">
        <f>VLOOKUP($B106,Conversores_Dieta!$B$4:$J$164,Coefs!X$292,0)</f>
        <v>1270</v>
      </c>
      <c r="Y106" s="66"/>
      <c r="Z106" s="66"/>
      <c r="AA106" s="66"/>
      <c r="AB106" s="66"/>
      <c r="AC106" s="66"/>
      <c r="AD106" s="171"/>
      <c r="AE106" s="171"/>
      <c r="AF106" s="171"/>
      <c r="AG106" s="171"/>
      <c r="AH106" s="171"/>
      <c r="AI106" s="153" t="n">
        <f>T106/G106</f>
        <v>3.164444444444444E-2</v>
      </c>
      <c r="AJ106" s="71"/>
      <c r="AK106" s="67"/>
      <c r="AL106" s="121" t="n">
        <v>0.5</v>
      </c>
      <c r="AM106" s="107" t="n">
        <v>8.0000000000000002E-3</v>
      </c>
      <c r="AN106" s="153"/>
      <c r="AO106" s="153"/>
      <c r="AP106" s="153" t="n">
        <v>0.43809999999999999</v>
      </c>
      <c r="AQ106" s="121" t="n">
        <v>0.11534666666666667</v>
      </c>
      <c r="AR106" s="94"/>
      <c r="AS106" s="121" t="n">
        <v>0.72602958765444336</v>
      </c>
      <c r="AT106" s="59" t="n">
        <f t="shared" si="17"/>
        <v>0.17824592074592077</v>
      </c>
      <c r="AU106" s="87" t="n">
        <v>0.4400179319117839</v>
      </c>
      <c r="AV106" s="87" t="n">
        <v>0.28601165574265952</v>
      </c>
      <c r="AW106" s="5"/>
      <c r="AX106" s="107" t="n">
        <f t="shared" si="38"/>
        <v>1.391111111111111E-2</v>
      </c>
      <c r="AY106" s="119" t="n">
        <v>17.572800000000001</v>
      </c>
      <c r="AZ106" t="n">
        <v>0.7</v>
      </c>
      <c r="BA106" t="n">
        <v>186</v>
      </c>
      <c r="BB106" t="n">
        <v>0</v>
      </c>
      <c r="BC106" t="n">
        <v>0</v>
      </c>
      <c r="BD106" t="n">
        <v>0</v>
      </c>
      <c r="BE106" t="n">
        <v>1.5</v>
      </c>
      <c r="BF106" t="n">
        <v>1236</v>
      </c>
      <c r="BG106" t="n">
        <v>5</v>
      </c>
      <c r="BH106" t="n">
        <v>650</v>
      </c>
      <c r="BI106" t="n">
        <v>90.1</v>
      </c>
      <c r="BJ106" t="n">
        <v>0</v>
      </c>
      <c r="BK106" t="n">
        <v>0</v>
      </c>
      <c r="BL106" t="n">
        <v>0</v>
      </c>
      <c r="BM106" t="n">
        <v>0</v>
      </c>
      <c r="BN106" t="n">
        <v>0</v>
      </c>
      <c r="BO106" t="n">
        <v>225</v>
      </c>
      <c r="BP106" t="n">
        <v>75</v>
      </c>
      <c r="BQ106" s="110"/>
    </row>
    <row r="107">
      <c r="A107" s="135"/>
      <c r="B107" s="44" t="s">
        <v>276</v>
      </c>
      <c r="C107" s="7" t="s">
        <v>302</v>
      </c>
      <c r="D107" s="142" t="s">
        <v>274</v>
      </c>
      <c r="E107" s="142"/>
      <c r="F107" s="94" t="n">
        <v>0.15966043938948205</v>
      </c>
      <c r="G107" s="87" t="n">
        <v>0.91991666666666672</v>
      </c>
      <c r="H107" s="87" t="n">
        <v>0.96249999999999991</v>
      </c>
      <c r="I107" s="142" t="n">
        <v>232.07499999999999</v>
      </c>
      <c r="J107" s="142" t="n">
        <v>873.33823333333328</v>
      </c>
      <c r="K107" s="166" t="n">
        <v>26.38</v>
      </c>
      <c r="L107" s="94"/>
      <c r="M107" s="166" t="n">
        <v>25.310928533333335</v>
      </c>
      <c r="N107" s="157" t="n">
        <v>16.913819999999998</v>
      </c>
      <c r="O107" s="94" t="n">
        <v>0.30103346630095612</v>
      </c>
      <c r="P107" s="94" t="n">
        <v>0.69896653369904393</v>
      </c>
      <c r="Q107" s="94" t="n">
        <v>2.4399524433106574</v>
      </c>
      <c r="R107" s="94"/>
      <c r="S107" s="65" t="n">
        <f>VLOOKUP(C107,$B$3:$X$358,MATCH(S$2,$B$2:$X$2,0),0)</f>
        <v>0.95750000000000002</v>
      </c>
      <c r="T107" s="15" t="n">
        <f t="shared" ref="T107:X109" si="43">VLOOKUP($C107,$B$3:$X$358,MATCH(T$2,$B$2:$X$2,0),0)*$G107/VLOOKUP($C107,$B$3:$X$358,MATCH($G$2,$B$2:$X$2,0),0)</f>
        <v>3.066388888888889E-2</v>
      </c>
      <c r="U107" s="157" t="n">
        <f t="shared" si="43"/>
        <v>541.64560084031177</v>
      </c>
      <c r="V107" s="157" t="n">
        <f t="shared" si="43"/>
        <v>136.13209956069338</v>
      </c>
      <c r="W107" s="132" t="n">
        <f t="shared" si="43"/>
        <v>1796.9437142011527</v>
      </c>
      <c r="X107" s="132" t="n">
        <f t="shared" si="43"/>
        <v>0</v>
      </c>
      <c r="Y107" s="66"/>
      <c r="Z107" s="66"/>
      <c r="AA107" s="66"/>
      <c r="AB107" s="66"/>
      <c r="AC107" s="66"/>
      <c r="AD107" s="171"/>
      <c r="AE107" s="171"/>
      <c r="AF107" s="171"/>
      <c r="AG107" s="171"/>
      <c r="AH107" s="171"/>
      <c r="AI107" s="121" t="n">
        <f>T107/G107</f>
        <v>3.3333333333333333E-2</v>
      </c>
      <c r="AJ107" s="100" t="n">
        <v>6.1094221509300503E-3</v>
      </c>
      <c r="AK107" s="66" t="n">
        <v>9.3240256399858123E-3</v>
      </c>
      <c r="AL107" s="121" t="n">
        <v>0.5</v>
      </c>
      <c r="AM107" s="107" t="n">
        <v>8.0000000000000002E-3</v>
      </c>
      <c r="AN107" s="153"/>
      <c r="AO107" s="153"/>
      <c r="AP107" s="153" t="n">
        <v>0.44426371212121218</v>
      </c>
      <c r="AQ107" s="121" t="n">
        <v>0.11534666666666667</v>
      </c>
      <c r="AR107" s="94"/>
      <c r="AS107" s="121" t="n">
        <v>0.76147500000000012</v>
      </c>
      <c r="AT107" s="59" t="n">
        <f t="shared" si="17"/>
        <v>0.17824592074592077</v>
      </c>
      <c r="AU107" s="87" t="n">
        <v>0.46150000000000002</v>
      </c>
      <c r="AV107" s="87" t="n">
        <v>0.29997500000000005</v>
      </c>
      <c r="AW107" s="5"/>
      <c r="AX107" s="107" t="n">
        <f t="shared" si="38"/>
        <v>1.5626181146290889E-2</v>
      </c>
      <c r="AY107" s="119" t="n">
        <v>17.572800000000001</v>
      </c>
      <c r="AZ107" t="n">
        <v>0.7</v>
      </c>
      <c r="BA107" s="156" t="n">
        <f>BA82</f>
        <v>110</v>
      </c>
      <c r="BB107" s="156" t="n">
        <f t="shared" ref="BB107:BP107" si="44">BB82</f>
        <v>62.9</v>
      </c>
      <c r="BC107" s="156" t="n">
        <f t="shared" si="44"/>
        <v>653</v>
      </c>
      <c r="BD107" s="156" t="n">
        <f t="shared" si="44"/>
        <v>280.10000000000002</v>
      </c>
      <c r="BE107" s="156" t="n">
        <f t="shared" si="44"/>
        <v>25</v>
      </c>
      <c r="BF107" s="156" t="n">
        <f t="shared" si="44"/>
        <v>0</v>
      </c>
      <c r="BG107" s="156" t="n">
        <f t="shared" si="44"/>
        <v>45</v>
      </c>
      <c r="BH107" s="156" t="n">
        <f t="shared" si="44"/>
        <v>2250</v>
      </c>
      <c r="BI107" s="156" t="n">
        <f t="shared" si="44"/>
        <v>371</v>
      </c>
      <c r="BJ107" s="156" t="n">
        <f t="shared" si="44"/>
        <v>0</v>
      </c>
      <c r="BK107" s="156" t="n">
        <f t="shared" si="44"/>
        <v>0</v>
      </c>
      <c r="BL107" s="156" t="n">
        <f t="shared" si="44"/>
        <v>0</v>
      </c>
      <c r="BM107" s="156" t="n">
        <f t="shared" si="44"/>
        <v>0</v>
      </c>
      <c r="BN107" s="156" t="n">
        <f t="shared" si="44"/>
        <v>209.5</v>
      </c>
      <c r="BO107" s="156" t="n">
        <f t="shared" si="44"/>
        <v>300</v>
      </c>
      <c r="BP107" s="156" t="n">
        <f t="shared" si="44"/>
        <v>15</v>
      </c>
      <c r="BQ107" s="110"/>
    </row>
    <row r="108">
      <c r="A108" s="135" t="n">
        <v>336</v>
      </c>
      <c r="B108" s="44" t="s">
        <v>275</v>
      </c>
      <c r="C108" s="7" t="s">
        <v>240</v>
      </c>
      <c r="D108" s="142" t="s">
        <v>274</v>
      </c>
      <c r="E108" s="142"/>
      <c r="F108" s="141" t="n">
        <f t="shared" ref="F108:K108" si="45">F105</f>
        <v>0.56388562245159979</v>
      </c>
      <c r="G108" s="146" t="n">
        <f t="shared" si="45"/>
        <v>0.90549999999999997</v>
      </c>
      <c r="H108" s="141" t="n">
        <f t="shared" si="45"/>
        <v>0.91549999999999998</v>
      </c>
      <c r="I108" s="141" t="n">
        <f t="shared" si="45"/>
        <v>232.07499999999999</v>
      </c>
      <c r="J108" s="141" t="n">
        <f t="shared" si="45"/>
        <v>873.33823333333328</v>
      </c>
      <c r="K108" s="141" t="n">
        <f t="shared" si="45"/>
        <v>0</v>
      </c>
      <c r="L108" s="141"/>
      <c r="M108" s="141" t="n">
        <f t="shared" ref="M108:AL108" si="46">M105</f>
        <v>15.815520000000001</v>
      </c>
      <c r="N108" s="141" t="n">
        <f t="shared" si="46"/>
        <v>15.815520000000001</v>
      </c>
      <c r="O108" s="141" t="n">
        <f t="shared" si="46"/>
        <v>0.59250000000000003</v>
      </c>
      <c r="P108" s="141" t="n">
        <f t="shared" si="46"/>
        <v>0.40749999999999997</v>
      </c>
      <c r="Q108" s="141" t="n">
        <f t="shared" si="46"/>
        <v>0.92370129870129869</v>
      </c>
      <c r="R108" s="94"/>
      <c r="S108" s="65" t="n">
        <f>VLOOKUP(C108,$B$3:$X$358,MATCH(S$2,$B$2:$X$2,0),0)</f>
        <v>0.95750000000000002</v>
      </c>
      <c r="T108" s="15" t="n">
        <f t="shared" si="43"/>
        <v>2.6954418604651163E-2</v>
      </c>
      <c r="U108" s="157" t="n">
        <f t="shared" si="43"/>
        <v>533.1570883894218</v>
      </c>
      <c r="V108" s="157" t="n">
        <f t="shared" si="43"/>
        <v>133.9986768571876</v>
      </c>
      <c r="W108" s="132" t="n">
        <f t="shared" si="43"/>
        <v>1768.7825345148765</v>
      </c>
      <c r="X108" s="132" t="n">
        <f t="shared" si="43"/>
        <v>0</v>
      </c>
      <c r="Y108" s="66"/>
      <c r="Z108" s="66"/>
      <c r="AA108" s="66"/>
      <c r="AB108" s="66"/>
      <c r="AC108" s="66"/>
      <c r="AD108" s="171"/>
      <c r="AE108" s="171"/>
      <c r="AF108" s="171"/>
      <c r="AG108" s="171"/>
      <c r="AH108" s="171"/>
      <c r="AI108" s="121" t="n">
        <f>T108/G108</f>
        <v>2.9767441860465118E-2</v>
      </c>
      <c r="AJ108" s="71"/>
      <c r="AK108" s="110"/>
      <c r="AL108" s="141" t="n">
        <f t="shared" si="46"/>
        <v>0.5</v>
      </c>
      <c r="AM108" s="107" t="n">
        <v>8.0000000000000002E-3</v>
      </c>
      <c r="AN108" s="141"/>
      <c r="AO108" s="141"/>
      <c r="AP108" s="136" t="n">
        <f>AP105</f>
        <v>0.45796249999999999</v>
      </c>
      <c r="AQ108" s="141" t="n">
        <f>AQ105</f>
        <v>0.11534666666666667</v>
      </c>
      <c r="AR108" s="141"/>
      <c r="AS108" s="136" t="n">
        <f>AS105</f>
        <v>0.72602958765444336</v>
      </c>
      <c r="AT108" s="59" t="n">
        <f t="shared" si="17"/>
        <v>0.17824592074592077</v>
      </c>
      <c r="AU108" s="141" t="n">
        <f>AU105</f>
        <v>0.4400179319117839</v>
      </c>
      <c r="AV108" s="141" t="n">
        <f>AV105</f>
        <v>0.28601165574265952</v>
      </c>
      <c r="AW108" s="141"/>
      <c r="AX108" s="107" t="n">
        <f t="shared" si="38"/>
        <v>2.0897209302325581E-2</v>
      </c>
      <c r="AY108" s="141" t="n">
        <f>AY105</f>
        <v>17.275281267067179</v>
      </c>
      <c r="AZ108" t="n">
        <v>0.7</v>
      </c>
      <c r="BA108" t="n">
        <v>250</v>
      </c>
      <c r="BB108" t="n">
        <v>45</v>
      </c>
      <c r="BC108" t="n">
        <v>50</v>
      </c>
      <c r="BD108" t="n">
        <v>300</v>
      </c>
      <c r="BE108" t="n">
        <v>25</v>
      </c>
      <c r="BF108" t="n">
        <v>100</v>
      </c>
      <c r="BG108" t="n">
        <v>55</v>
      </c>
      <c r="BH108" t="n">
        <v>4250</v>
      </c>
      <c r="BI108" t="n">
        <v>371</v>
      </c>
      <c r="BJ108" t="n">
        <v>0</v>
      </c>
      <c r="BK108" t="n">
        <v>0</v>
      </c>
      <c r="BL108" t="n">
        <v>0</v>
      </c>
      <c r="BM108" t="n">
        <v>0</v>
      </c>
      <c r="BN108" t="n">
        <v>8</v>
      </c>
      <c r="BO108" t="n">
        <v>150</v>
      </c>
      <c r="BP108" t="n">
        <v>0.70000000000000007</v>
      </c>
      <c r="BQ108" s="110"/>
    </row>
    <row r="109">
      <c r="A109" s="135" t="n">
        <v>449</v>
      </c>
      <c r="B109" s="44" t="s">
        <v>445</v>
      </c>
      <c r="C109" s="7" t="s">
        <v>318</v>
      </c>
      <c r="D109" s="142" t="s">
        <v>272</v>
      </c>
      <c r="E109" s="142"/>
      <c r="F109" s="172" t="n">
        <v>0</v>
      </c>
      <c r="G109" s="146" t="n">
        <v>0.09</v>
      </c>
      <c r="H109" s="141"/>
      <c r="I109" s="141"/>
      <c r="J109" s="141"/>
      <c r="K109" s="141"/>
      <c r="L109" s="141"/>
      <c r="M109" s="141" t="n">
        <f>M80*G109/G80</f>
        <v>1.924234349977068</v>
      </c>
      <c r="N109" s="141"/>
      <c r="O109" s="141"/>
      <c r="P109" s="141"/>
      <c r="Q109" s="141"/>
      <c r="R109" s="94"/>
      <c r="S109" s="65" t="n">
        <f>VLOOKUP(C109,$B$3:$X$358,MATCH(S$2,$B$2:$X$2,0),0)</f>
        <v>0.74</v>
      </c>
      <c r="T109" s="33" t="n">
        <f t="shared" si="43"/>
        <v>4.5957446808510593E-3</v>
      </c>
      <c r="U109" s="145" t="n">
        <f t="shared" si="43"/>
        <v>5.7446808510638254</v>
      </c>
      <c r="V109" s="145" t="n">
        <f t="shared" si="43"/>
        <v>26.80851063829785</v>
      </c>
      <c r="W109" s="23" t="n">
        <f t="shared" si="43"/>
        <v>765.95744680850999</v>
      </c>
      <c r="X109" s="23" t="n">
        <f t="shared" si="43"/>
        <v>555.31914893616965</v>
      </c>
      <c r="Y109" s="66"/>
      <c r="Z109" s="66"/>
      <c r="AA109" s="66"/>
      <c r="AB109" s="66"/>
      <c r="AC109" s="66"/>
      <c r="AD109" s="171"/>
      <c r="AE109" s="171"/>
      <c r="AF109" s="171"/>
      <c r="AG109" s="171"/>
      <c r="AH109" s="171"/>
      <c r="AI109" s="121" t="n">
        <f>T109/G109</f>
        <v>5.1063829787233991E-2</v>
      </c>
      <c r="AJ109" s="71"/>
      <c r="AK109" s="110"/>
      <c r="AL109" s="141" t="n">
        <v>0.5</v>
      </c>
      <c r="AM109" s="107" t="n">
        <v>8.0000000000000002E-3</v>
      </c>
      <c r="AN109" s="141"/>
      <c r="AO109" s="141"/>
      <c r="AP109" s="136"/>
      <c r="AQ109" s="141"/>
      <c r="AR109" s="141"/>
      <c r="AS109" s="136"/>
      <c r="AT109" s="59" t="n">
        <f t="shared" si="17"/>
        <v>0.17824592074592077</v>
      </c>
      <c r="AU109" s="141"/>
      <c r="AV109" s="141"/>
      <c r="AW109" s="141"/>
      <c r="AX109" s="107" t="n">
        <f t="shared" si="38"/>
        <v>0</v>
      </c>
      <c r="AY109" s="141"/>
      <c r="AZ109" t="n">
        <v>0.7</v>
      </c>
      <c r="BQ109" s="110"/>
    </row>
    <row r="110">
      <c r="A110" s="135" t="n">
        <v>754</v>
      </c>
      <c r="B110" s="44" t="s">
        <v>273</v>
      </c>
      <c r="C110" s="44"/>
      <c r="D110" s="142" t="s">
        <v>272</v>
      </c>
      <c r="E110" s="142"/>
      <c r="F110" s="141"/>
      <c r="G110" s="146" t="n">
        <f t="shared" ref="G110:AY110" si="47">G108</f>
        <v>0.90549999999999997</v>
      </c>
      <c r="H110" s="141" t="n">
        <f t="shared" si="47"/>
        <v>0.91549999999999998</v>
      </c>
      <c r="I110" s="141" t="n">
        <f t="shared" si="47"/>
        <v>232.07499999999999</v>
      </c>
      <c r="J110" s="141" t="n">
        <f t="shared" si="47"/>
        <v>873.33823333333328</v>
      </c>
      <c r="K110" s="141" t="n">
        <f t="shared" si="47"/>
        <v>0</v>
      </c>
      <c r="L110" s="141" t="n">
        <f t="shared" si="47"/>
        <v>0</v>
      </c>
      <c r="M110" s="141" t="n">
        <f t="shared" si="47"/>
        <v>15.815520000000001</v>
      </c>
      <c r="N110" s="141" t="n">
        <f t="shared" si="47"/>
        <v>15.815520000000001</v>
      </c>
      <c r="O110" s="141" t="n">
        <f t="shared" si="47"/>
        <v>0.59250000000000003</v>
      </c>
      <c r="P110" s="141" t="n">
        <f t="shared" si="47"/>
        <v>0.40749999999999997</v>
      </c>
      <c r="Q110" s="141" t="n">
        <f t="shared" si="47"/>
        <v>0.92370129870129869</v>
      </c>
      <c r="R110" s="94"/>
      <c r="S110" s="94"/>
      <c r="T110" s="15" t="n">
        <f>AI110*G110</f>
        <v>2.6954418604651163E-2</v>
      </c>
      <c r="U110" s="157"/>
      <c r="V110" s="157"/>
      <c r="W110" s="132"/>
      <c r="X110" s="132"/>
      <c r="Y110" s="132"/>
      <c r="Z110" s="132"/>
      <c r="AA110" s="132"/>
      <c r="AB110" s="132"/>
      <c r="AC110" s="132"/>
      <c r="AD110" s="132"/>
      <c r="AE110" s="132"/>
      <c r="AF110" s="132"/>
      <c r="AG110" s="132"/>
      <c r="AH110" s="132"/>
      <c r="AI110" s="136" t="n">
        <f>AI108</f>
        <v>2.9767441860465118E-2</v>
      </c>
      <c r="AJ110" s="71"/>
      <c r="AK110" s="110"/>
      <c r="AL110" s="141" t="n">
        <f t="shared" si="47"/>
        <v>0.5</v>
      </c>
      <c r="AM110" s="107" t="n">
        <v>8.0000000000000002E-3</v>
      </c>
      <c r="AN110" s="141"/>
      <c r="AO110" s="141"/>
      <c r="AP110" s="136" t="n">
        <f t="shared" si="47"/>
        <v>0.45796249999999999</v>
      </c>
      <c r="AQ110" s="141" t="n">
        <f t="shared" si="47"/>
        <v>0.11534666666666667</v>
      </c>
      <c r="AR110" s="141" t="n">
        <f t="shared" si="47"/>
        <v>0</v>
      </c>
      <c r="AS110" s="136" t="n">
        <f t="shared" si="47"/>
        <v>0.72602958765444336</v>
      </c>
      <c r="AT110" s="59" t="n">
        <f t="shared" si="17"/>
        <v>0.17824592074592077</v>
      </c>
      <c r="AU110" s="141" t="n">
        <f t="shared" si="47"/>
        <v>0.4400179319117839</v>
      </c>
      <c r="AV110" s="141" t="n">
        <f t="shared" si="47"/>
        <v>0.28601165574265952</v>
      </c>
      <c r="AW110" s="141"/>
      <c r="AX110" s="107" t="n">
        <f t="shared" si="38"/>
        <v>2.0897209302325581E-2</v>
      </c>
      <c r="AY110" s="141" t="n">
        <f t="shared" si="47"/>
        <v>17.275281267067179</v>
      </c>
      <c r="AZ110" t="n">
        <v>0.7</v>
      </c>
      <c r="BQ110" s="110"/>
    </row>
    <row r="111">
      <c r="A111" s="135"/>
      <c r="B111" s="44" t="s">
        <v>396</v>
      </c>
      <c r="C111" s="44"/>
      <c r="D111" s="142" t="s">
        <v>278</v>
      </c>
      <c r="E111" s="142"/>
      <c r="F111" s="172" t="n">
        <f>$F$148</f>
        <v>0.29383040935672516</v>
      </c>
      <c r="G111" s="143" t="n">
        <f t="shared" ref="G111:AY115" si="48">G$106</f>
        <v>0.9</v>
      </c>
      <c r="H111" s="172" t="n">
        <f t="shared" si="48"/>
        <v>0.9</v>
      </c>
      <c r="I111" s="172" t="n">
        <f t="shared" si="48"/>
        <v>232.07499999999999</v>
      </c>
      <c r="J111" s="172" t="n">
        <f t="shared" si="48"/>
        <v>873.33823333333328</v>
      </c>
      <c r="K111" s="172" t="n">
        <f t="shared" si="48"/>
        <v>0</v>
      </c>
      <c r="L111" s="172" t="n">
        <f t="shared" si="48"/>
        <v>0</v>
      </c>
      <c r="M111" s="172" t="n">
        <f t="shared" si="48"/>
        <v>17.143999999999998</v>
      </c>
      <c r="N111" s="172" t="n">
        <f t="shared" si="48"/>
        <v>15.815520000000001</v>
      </c>
      <c r="O111" s="172" t="n">
        <f t="shared" si="48"/>
        <v>0.25</v>
      </c>
      <c r="P111" s="172" t="n">
        <v>0.2</v>
      </c>
      <c r="Q111" s="172" t="n">
        <v>0.25</v>
      </c>
      <c r="R111" s="94"/>
      <c r="S111" s="94"/>
      <c r="T111" s="15" t="n">
        <v>3.5400000000000002E-3</v>
      </c>
      <c r="U111" s="157"/>
      <c r="V111" s="157"/>
      <c r="W111" s="132"/>
      <c r="X111" s="132"/>
      <c r="Y111" s="132"/>
      <c r="Z111" s="132"/>
      <c r="AA111" s="132"/>
      <c r="AB111" s="132"/>
      <c r="AC111" s="132"/>
      <c r="AD111" s="132"/>
      <c r="AE111" s="132"/>
      <c r="AF111" s="132"/>
      <c r="AG111" s="132"/>
      <c r="AH111" s="132"/>
      <c r="AI111" s="136" t="n">
        <f>T111/G111</f>
        <v>3.9333333333333338E-3</v>
      </c>
      <c r="AJ111" s="100"/>
      <c r="AK111" s="97"/>
      <c r="AL111" s="172" t="n">
        <f t="shared" si="48"/>
        <v>0.5</v>
      </c>
      <c r="AM111" s="107" t="n">
        <v>8.0000000000000002E-3</v>
      </c>
      <c r="AN111" s="172"/>
      <c r="AO111" s="172"/>
      <c r="AP111" s="107" t="n">
        <f t="shared" si="48"/>
        <v>0.43809999999999999</v>
      </c>
      <c r="AQ111" s="172" t="n">
        <f t="shared" si="48"/>
        <v>0.11534666666666667</v>
      </c>
      <c r="AR111" s="172" t="n">
        <f t="shared" si="48"/>
        <v>0</v>
      </c>
      <c r="AS111" s="107" t="n">
        <f t="shared" si="48"/>
        <v>0.72602958765444336</v>
      </c>
      <c r="AT111" s="59" t="n">
        <f t="shared" si="17"/>
        <v>0.17824592074592077</v>
      </c>
      <c r="AU111" s="172" t="n">
        <f t="shared" si="48"/>
        <v>0.4400179319117839</v>
      </c>
      <c r="AV111" s="172" t="n">
        <f t="shared" si="48"/>
        <v>0.28601165574265952</v>
      </c>
      <c r="AW111" s="172"/>
      <c r="AX111" s="107" t="n">
        <f t="shared" si="38"/>
        <v>2.5833333333333333E-3</v>
      </c>
      <c r="AY111" s="172" t="n">
        <f t="shared" si="48"/>
        <v>17.572800000000001</v>
      </c>
      <c r="AZ111" t="n">
        <v>0.7</v>
      </c>
      <c r="BQ111" s="110"/>
    </row>
    <row r="112">
      <c r="A112" s="135"/>
      <c r="B112" s="44" t="s">
        <v>395</v>
      </c>
      <c r="C112" s="44"/>
      <c r="D112" s="142" t="s">
        <v>278</v>
      </c>
      <c r="E112" s="142"/>
      <c r="F112" s="172" t="n">
        <f>F223</f>
        <v>0.58000000000000007</v>
      </c>
      <c r="G112" s="143" t="n">
        <f t="shared" ref="G112:AL112" si="49">G$106</f>
        <v>0.9</v>
      </c>
      <c r="H112" s="172" t="n">
        <f t="shared" si="49"/>
        <v>0.9</v>
      </c>
      <c r="I112" s="172" t="n">
        <f t="shared" si="49"/>
        <v>232.07499999999999</v>
      </c>
      <c r="J112" s="172" t="n">
        <f t="shared" si="49"/>
        <v>873.33823333333328</v>
      </c>
      <c r="K112" s="172" t="n">
        <f t="shared" si="49"/>
        <v>0</v>
      </c>
      <c r="L112" s="172" t="n">
        <f t="shared" si="49"/>
        <v>0</v>
      </c>
      <c r="M112" s="172" t="n">
        <f t="shared" si="49"/>
        <v>17.143999999999998</v>
      </c>
      <c r="N112" s="172" t="n">
        <f t="shared" si="49"/>
        <v>15.815520000000001</v>
      </c>
      <c r="O112" s="172" t="n">
        <f t="shared" si="49"/>
        <v>0.25</v>
      </c>
      <c r="P112" s="172" t="n">
        <v>0.2</v>
      </c>
      <c r="Q112" s="172" t="n">
        <v>0.25</v>
      </c>
      <c r="R112" s="94"/>
      <c r="S112" s="94"/>
      <c r="T112" s="15" t="n">
        <v>3.5400000000000002E-3</v>
      </c>
      <c r="U112" s="157"/>
      <c r="V112" s="157"/>
      <c r="W112" s="132"/>
      <c r="X112" s="132"/>
      <c r="Y112" s="132"/>
      <c r="Z112" s="132"/>
      <c r="AA112" s="132"/>
      <c r="AB112" s="132"/>
      <c r="AC112" s="132"/>
      <c r="AD112" s="132"/>
      <c r="AE112" s="132"/>
      <c r="AF112" s="132"/>
      <c r="AG112" s="132"/>
      <c r="AH112" s="132"/>
      <c r="AI112" s="136" t="n">
        <f>T112/G112</f>
        <v>3.9333333333333338E-3</v>
      </c>
      <c r="AJ112" s="100"/>
      <c r="AK112" s="97"/>
      <c r="AL112" s="172" t="n">
        <f t="shared" si="49"/>
        <v>0.5</v>
      </c>
      <c r="AM112" s="107" t="n">
        <v>8.0000000000000002E-3</v>
      </c>
      <c r="AN112" s="172"/>
      <c r="AO112" s="172"/>
      <c r="AP112" s="107" t="n">
        <f t="shared" si="48"/>
        <v>0.43809999999999999</v>
      </c>
      <c r="AQ112" s="172" t="n">
        <f t="shared" si="48"/>
        <v>0.11534666666666667</v>
      </c>
      <c r="AR112" s="172" t="n">
        <f t="shared" si="48"/>
        <v>0</v>
      </c>
      <c r="AS112" s="107" t="n">
        <f t="shared" si="48"/>
        <v>0.72602958765444336</v>
      </c>
      <c r="AT112" s="59" t="n">
        <f t="shared" si="17"/>
        <v>0.17824592074592077</v>
      </c>
      <c r="AU112" s="172" t="n">
        <f t="shared" si="48"/>
        <v>0.4400179319117839</v>
      </c>
      <c r="AV112" s="172" t="n">
        <f t="shared" si="48"/>
        <v>0.28601165574265952</v>
      </c>
      <c r="AW112" s="172"/>
      <c r="AX112" s="107" t="n">
        <f t="shared" si="38"/>
        <v>2.5833333333333333E-3</v>
      </c>
      <c r="AY112" s="172" t="n">
        <f t="shared" si="48"/>
        <v>17.572800000000001</v>
      </c>
      <c r="AZ112" t="n">
        <v>0.7</v>
      </c>
      <c r="BQ112" s="110"/>
    </row>
    <row r="113">
      <c r="A113" s="135"/>
      <c r="B113" s="44" t="s">
        <v>397</v>
      </c>
      <c r="C113" s="44"/>
      <c r="D113" s="142" t="s">
        <v>278</v>
      </c>
      <c r="E113" s="142"/>
      <c r="F113" s="172" t="n">
        <f>$F$148</f>
        <v>0.29383040935672516</v>
      </c>
      <c r="G113" s="143" t="n">
        <v>0.5</v>
      </c>
      <c r="H113" s="172" t="n">
        <f t="shared" si="48"/>
        <v>0.9</v>
      </c>
      <c r="I113" s="172" t="n">
        <f t="shared" si="48"/>
        <v>232.07499999999999</v>
      </c>
      <c r="J113" s="172" t="n">
        <f t="shared" si="48"/>
        <v>873.33823333333328</v>
      </c>
      <c r="K113" s="172" t="n">
        <f t="shared" si="48"/>
        <v>0</v>
      </c>
      <c r="L113" s="172" t="n">
        <f t="shared" si="48"/>
        <v>0</v>
      </c>
      <c r="M113" s="172" t="n">
        <f t="shared" si="48"/>
        <v>17.143999999999998</v>
      </c>
      <c r="N113" s="172" t="n">
        <f t="shared" si="48"/>
        <v>15.815520000000001</v>
      </c>
      <c r="O113" s="172" t="n">
        <f t="shared" si="48"/>
        <v>0.25</v>
      </c>
      <c r="P113" s="172" t="n">
        <v>0.2</v>
      </c>
      <c r="Q113" s="172" t="n">
        <v>0.25</v>
      </c>
      <c r="R113" s="94"/>
      <c r="S113" s="94"/>
      <c r="T113" s="15" t="n">
        <v>3.5400000000000002E-3</v>
      </c>
      <c r="U113" s="157"/>
      <c r="V113" s="157"/>
      <c r="W113" s="132"/>
      <c r="X113" s="132"/>
      <c r="Y113" s="132"/>
      <c r="Z113" s="132"/>
      <c r="AA113" s="132"/>
      <c r="AB113" s="132"/>
      <c r="AC113" s="132"/>
      <c r="AD113" s="132"/>
      <c r="AE113" s="132"/>
      <c r="AF113" s="132"/>
      <c r="AG113" s="132"/>
      <c r="AH113" s="132"/>
      <c r="AI113" s="136" t="n">
        <f>T113/G113</f>
        <v>7.0800000000000004E-3</v>
      </c>
      <c r="AJ113" s="100"/>
      <c r="AK113" s="97"/>
      <c r="AL113" s="172" t="n">
        <f t="shared" si="48"/>
        <v>0.5</v>
      </c>
      <c r="AM113" s="107" t="n">
        <v>8.0000000000000002E-3</v>
      </c>
      <c r="AN113" s="172"/>
      <c r="AO113" s="172"/>
      <c r="AP113" s="107" t="n">
        <f t="shared" si="48"/>
        <v>0.43809999999999999</v>
      </c>
      <c r="AQ113" s="172" t="n">
        <f t="shared" si="48"/>
        <v>0.11534666666666667</v>
      </c>
      <c r="AR113" s="172" t="n">
        <f t="shared" si="48"/>
        <v>0</v>
      </c>
      <c r="AS113" s="107" t="n">
        <f t="shared" si="48"/>
        <v>0.72602958765444336</v>
      </c>
      <c r="AT113" s="59" t="n">
        <f t="shared" si="17"/>
        <v>0.17824592074592077</v>
      </c>
      <c r="AU113" s="172" t="n">
        <f t="shared" si="48"/>
        <v>0.4400179319117839</v>
      </c>
      <c r="AV113" s="172" t="n">
        <f t="shared" si="48"/>
        <v>0.28601165574265952</v>
      </c>
      <c r="AW113" s="172"/>
      <c r="AX113" s="107" t="n">
        <f t="shared" si="38"/>
        <v>3.3700000000000002E-3</v>
      </c>
      <c r="AY113" s="172" t="n">
        <f t="shared" si="48"/>
        <v>17.572800000000001</v>
      </c>
      <c r="AZ113" t="n">
        <v>0.7</v>
      </c>
      <c r="BQ113" s="110"/>
    </row>
    <row r="114">
      <c r="A114" s="135"/>
      <c r="B114" s="44" t="s">
        <v>444</v>
      </c>
      <c r="C114" s="44"/>
      <c r="D114" s="142" t="s">
        <v>272</v>
      </c>
      <c r="E114" s="142"/>
      <c r="F114" s="172" t="n">
        <f>$F$148</f>
        <v>0.29383040935672516</v>
      </c>
      <c r="G114" s="143" t="n">
        <f t="shared" si="48"/>
        <v>0.9</v>
      </c>
      <c r="H114" s="172" t="n">
        <f t="shared" si="48"/>
        <v>0.9</v>
      </c>
      <c r="I114" s="172" t="n">
        <f t="shared" si="48"/>
        <v>232.07499999999999</v>
      </c>
      <c r="J114" s="172" t="n">
        <f t="shared" si="48"/>
        <v>873.33823333333328</v>
      </c>
      <c r="K114" s="172" t="n">
        <f t="shared" si="48"/>
        <v>0</v>
      </c>
      <c r="L114" s="172" t="n">
        <f t="shared" si="48"/>
        <v>0</v>
      </c>
      <c r="M114" s="172" t="n">
        <f t="shared" si="48"/>
        <v>17.143999999999998</v>
      </c>
      <c r="N114" s="172" t="n">
        <f t="shared" si="48"/>
        <v>15.815520000000001</v>
      </c>
      <c r="O114" s="172" t="n">
        <f t="shared" si="48"/>
        <v>0.25</v>
      </c>
      <c r="P114" s="172" t="n">
        <f t="shared" si="48"/>
        <v>0.75</v>
      </c>
      <c r="Q114" s="172" t="n">
        <f t="shared" si="48"/>
        <v>3.5</v>
      </c>
      <c r="R114" s="94"/>
      <c r="S114" s="94"/>
      <c r="T114" s="15" t="n">
        <f>AI114*G114</f>
        <v>2.8479999999999998E-2</v>
      </c>
      <c r="U114" s="157"/>
      <c r="V114" s="157"/>
      <c r="W114" s="132"/>
      <c r="X114" s="132"/>
      <c r="Y114" s="132"/>
      <c r="Z114" s="132"/>
      <c r="AA114" s="132"/>
      <c r="AB114" s="132"/>
      <c r="AC114" s="132"/>
      <c r="AD114" s="132"/>
      <c r="AE114" s="132"/>
      <c r="AF114" s="132"/>
      <c r="AG114" s="132"/>
      <c r="AH114" s="132"/>
      <c r="AI114" s="107" t="n">
        <f>AI$106</f>
        <v>3.164444444444444E-2</v>
      </c>
      <c r="AJ114" s="100"/>
      <c r="AK114" s="97"/>
      <c r="AL114" s="172" t="n">
        <f t="shared" si="48"/>
        <v>0.5</v>
      </c>
      <c r="AM114" s="107" t="n">
        <v>8.0000000000000002E-3</v>
      </c>
      <c r="AN114" s="172"/>
      <c r="AO114" s="172"/>
      <c r="AP114" s="107" t="n">
        <f t="shared" si="48"/>
        <v>0.43809999999999999</v>
      </c>
      <c r="AQ114" s="172" t="n">
        <f t="shared" si="48"/>
        <v>0.11534666666666667</v>
      </c>
      <c r="AR114" s="172" t="n">
        <f t="shared" si="48"/>
        <v>0</v>
      </c>
      <c r="AS114" s="107" t="n">
        <f t="shared" si="48"/>
        <v>0.72602958765444336</v>
      </c>
      <c r="AT114" s="59" t="n">
        <f t="shared" si="17"/>
        <v>0.17824592074592077</v>
      </c>
      <c r="AU114" s="172" t="n">
        <f t="shared" si="48"/>
        <v>0.4400179319117839</v>
      </c>
      <c r="AV114" s="172" t="n">
        <f t="shared" si="48"/>
        <v>0.28601165574265952</v>
      </c>
      <c r="AW114" s="172"/>
      <c r="AX114" s="107" t="n">
        <f t="shared" si="38"/>
        <v>1.391111111111111E-2</v>
      </c>
      <c r="AY114" s="172" t="n">
        <f t="shared" si="48"/>
        <v>17.572800000000001</v>
      </c>
      <c r="AZ114" t="n">
        <v>0.7</v>
      </c>
      <c r="BQ114" s="110"/>
    </row>
    <row r="115">
      <c r="A115" s="135"/>
      <c r="B115" s="44" t="s">
        <v>446</v>
      </c>
      <c r="C115" s="44"/>
      <c r="D115" s="142" t="s">
        <v>272</v>
      </c>
      <c r="E115" s="142"/>
      <c r="F115" s="172" t="n">
        <f>$F$148</f>
        <v>0.29383040935672516</v>
      </c>
      <c r="G115" s="143" t="n">
        <f t="shared" si="48"/>
        <v>0.9</v>
      </c>
      <c r="H115" s="172" t="n">
        <f t="shared" si="48"/>
        <v>0.9</v>
      </c>
      <c r="I115" s="172" t="n">
        <f t="shared" si="48"/>
        <v>232.07499999999999</v>
      </c>
      <c r="J115" s="172" t="n">
        <f t="shared" si="48"/>
        <v>873.33823333333328</v>
      </c>
      <c r="K115" s="172" t="n">
        <f t="shared" si="48"/>
        <v>0</v>
      </c>
      <c r="L115" s="172" t="n">
        <f t="shared" si="48"/>
        <v>0</v>
      </c>
      <c r="M115" s="172" t="n">
        <f t="shared" si="48"/>
        <v>17.143999999999998</v>
      </c>
      <c r="N115" s="172" t="n">
        <f t="shared" si="48"/>
        <v>15.815520000000001</v>
      </c>
      <c r="O115" s="172" t="n">
        <f t="shared" si="48"/>
        <v>0.25</v>
      </c>
      <c r="P115" s="172" t="n">
        <f t="shared" si="48"/>
        <v>0.75</v>
      </c>
      <c r="Q115" s="172" t="n">
        <f t="shared" si="48"/>
        <v>3.5</v>
      </c>
      <c r="R115" s="94"/>
      <c r="S115" s="94"/>
      <c r="T115" s="15" t="n">
        <f>AI115*G115</f>
        <v>2.8479999999999998E-2</v>
      </c>
      <c r="U115" s="157"/>
      <c r="V115" s="157"/>
      <c r="W115" s="132"/>
      <c r="X115" s="132"/>
      <c r="Y115" s="132"/>
      <c r="Z115" s="132"/>
      <c r="AA115" s="132"/>
      <c r="AB115" s="132"/>
      <c r="AC115" s="132"/>
      <c r="AD115" s="132"/>
      <c r="AE115" s="132"/>
      <c r="AF115" s="132"/>
      <c r="AG115" s="132"/>
      <c r="AH115" s="132"/>
      <c r="AI115" s="107" t="n">
        <f t="shared" si="48"/>
        <v>3.164444444444444E-2</v>
      </c>
      <c r="AJ115" s="100"/>
      <c r="AK115" s="97"/>
      <c r="AL115" s="172" t="n">
        <f t="shared" si="48"/>
        <v>0.5</v>
      </c>
      <c r="AM115" s="107" t="n">
        <v>8.0000000000000002E-3</v>
      </c>
      <c r="AN115" s="172"/>
      <c r="AO115" s="172"/>
      <c r="AP115" s="107" t="n">
        <f t="shared" si="48"/>
        <v>0.43809999999999999</v>
      </c>
      <c r="AQ115" s="172" t="n">
        <f t="shared" si="48"/>
        <v>0.11534666666666667</v>
      </c>
      <c r="AR115" s="172" t="n">
        <f t="shared" si="48"/>
        <v>0</v>
      </c>
      <c r="AS115" s="107" t="n">
        <f t="shared" si="48"/>
        <v>0.72602958765444336</v>
      </c>
      <c r="AT115" s="59" t="n">
        <f t="shared" si="17"/>
        <v>0.17824592074592077</v>
      </c>
      <c r="AU115" s="172" t="n">
        <f t="shared" si="48"/>
        <v>0.4400179319117839</v>
      </c>
      <c r="AV115" s="172" t="n">
        <f t="shared" si="48"/>
        <v>0.28601165574265952</v>
      </c>
      <c r="AW115" s="172"/>
      <c r="AX115" s="107" t="n">
        <f t="shared" si="38"/>
        <v>1.391111111111111E-2</v>
      </c>
      <c r="AY115" s="172" t="n">
        <f t="shared" si="48"/>
        <v>17.572800000000001</v>
      </c>
      <c r="AZ115" t="n">
        <v>0.7</v>
      </c>
      <c r="BQ115" s="110"/>
    </row>
    <row r="116">
      <c r="A116" s="44"/>
      <c r="B116" s="44" t="s">
        <v>271</v>
      </c>
      <c r="C116" s="7" t="s">
        <v>240</v>
      </c>
      <c r="D116" s="142" t="e">
        <v>#N/A</v>
      </c>
      <c r="E116" s="142"/>
      <c r="F116" s="103" t="n">
        <v>0.29383040935672516</v>
      </c>
      <c r="G116" s="87" t="n">
        <v>0.7179875</v>
      </c>
      <c r="H116" s="87" t="n">
        <v>0.75599666666666676</v>
      </c>
      <c r="I116" s="103"/>
      <c r="J116" s="103"/>
      <c r="K116" s="157" t="n">
        <v>16.819125066666668</v>
      </c>
      <c r="L116" s="166"/>
      <c r="M116" s="157" t="n">
        <v>16.819125066666668</v>
      </c>
      <c r="N116" s="166" t="n">
        <v>20.9</v>
      </c>
      <c r="O116" s="103" t="n">
        <v>0.36816497502819395</v>
      </c>
      <c r="P116" s="103" t="n">
        <v>0.6318350249718061</v>
      </c>
      <c r="Q116" s="103" t="n">
        <v>1.7613756613756613</v>
      </c>
      <c r="R116" s="94"/>
      <c r="S116" s="65" t="n">
        <f>VLOOKUP(C116,$B$3:$X$358,MATCH(S$2,$B$2:$X$2,0),0)</f>
        <v>0.95750000000000002</v>
      </c>
      <c r="T116" s="45" t="n">
        <v>6.4000000000000003E-3</v>
      </c>
      <c r="U116" s="157" t="n">
        <f>VLOOKUP($C116,$B$3:$X$358,MATCH(U$2,$B$2:$X$2,0),0)*$G116/VLOOKUP($C116,$B$3:$X$358,MATCH($G$2,$B$2:$X$2,0),0)</f>
        <v>422.75</v>
      </c>
      <c r="V116" s="157" t="n">
        <f>VLOOKUP($C116,$B$3:$X$358,MATCH(V$2,$B$2:$X$2,0),0)*$G116/VLOOKUP($C116,$B$3:$X$358,MATCH($G$2,$B$2:$X$2,0),0)</f>
        <v>106.24999999999999</v>
      </c>
      <c r="W116" s="132" t="n">
        <f>VLOOKUP($C116,$B$3:$X$358,MATCH(W$2,$B$2:$X$2,0),0)*$G116/VLOOKUP($C116,$B$3:$X$358,MATCH($G$2,$B$2:$X$2,0),0)</f>
        <v>1402.5</v>
      </c>
      <c r="X116" s="132" t="n">
        <f>VLOOKUP($C116,$B$3:$X$358,MATCH(X$2,$B$2:$X$2,0),0)*$G116/VLOOKUP($C116,$B$3:$X$358,MATCH($G$2,$B$2:$X$2,0),0)</f>
        <v>0</v>
      </c>
      <c r="Y116" s="66"/>
      <c r="Z116" s="66"/>
      <c r="AA116" s="66"/>
      <c r="AB116" s="66"/>
      <c r="AC116" s="66"/>
      <c r="AD116" s="171"/>
      <c r="AE116" s="171"/>
      <c r="AF116" s="171"/>
      <c r="AG116" s="171"/>
      <c r="AH116" s="171"/>
      <c r="AI116" s="153" t="n">
        <f>T116/G116</f>
        <v>8.9138042096833167E-3</v>
      </c>
      <c r="AJ116" s="100"/>
      <c r="AK116" s="66"/>
      <c r="AL116" s="121" t="n">
        <v>0.5</v>
      </c>
      <c r="AM116" s="121" t="n">
        <v>7.4666666666666675E-3</v>
      </c>
      <c r="AN116" s="121"/>
      <c r="AO116" s="121"/>
      <c r="AP116" s="153" t="n">
        <v>0.46958440154440156</v>
      </c>
      <c r="AQ116" s="121" t="n">
        <v>0.32499999999999996</v>
      </c>
      <c r="AR116" s="103"/>
      <c r="AS116" s="121" t="n">
        <v>0.78600546478873246</v>
      </c>
      <c r="AT116" s="59" t="n">
        <f t="shared" si="17"/>
        <v>0.17824592074592077</v>
      </c>
      <c r="AU116" s="87" t="n">
        <v>0.47636694835680754</v>
      </c>
      <c r="AV116" s="87" t="n">
        <v>0.30963851643192492</v>
      </c>
      <c r="AW116" s="5"/>
      <c r="AX116" s="107" t="n">
        <v>8.9999999999999993E-3</v>
      </c>
      <c r="AY116" s="119" t="n">
        <v>27.645624539790735</v>
      </c>
      <c r="AZ116" t="n">
        <v>0.7</v>
      </c>
      <c r="BA116" t="n">
        <v>350</v>
      </c>
      <c r="BB116" t="n">
        <v>48.6</v>
      </c>
      <c r="BC116" t="n">
        <v>21.400000000000002</v>
      </c>
      <c r="BD116" t="n">
        <v>7.6</v>
      </c>
      <c r="BE116" t="n">
        <v>1</v>
      </c>
      <c r="BF116" t="n">
        <v>44</v>
      </c>
      <c r="BG116" t="n">
        <v>65</v>
      </c>
      <c r="BH116" t="n">
        <v>5250</v>
      </c>
      <c r="BI116" t="n">
        <v>183</v>
      </c>
      <c r="BJ116" t="n">
        <v>0</v>
      </c>
      <c r="BK116" t="n">
        <v>0</v>
      </c>
      <c r="BL116" t="n">
        <v>380</v>
      </c>
      <c r="BM116" t="n">
        <v>0</v>
      </c>
      <c r="BN116" t="n">
        <v>4</v>
      </c>
      <c r="BO116" t="n">
        <v>110</v>
      </c>
      <c r="BP116" t="n">
        <v>10</v>
      </c>
      <c r="BQ116" s="110"/>
    </row>
    <row r="117">
      <c r="A117" s="44" t="n">
        <v>656</v>
      </c>
      <c r="B117" s="44" t="s">
        <v>270</v>
      </c>
      <c r="C117" s="44"/>
      <c r="D117" s="142" t="s">
        <v>227</v>
      </c>
      <c r="E117" s="142"/>
      <c r="F117" s="94" t="n">
        <f>0.24/0.76</f>
        <v>0.31578947368421051</v>
      </c>
      <c r="G117" s="87" t="n">
        <v>0.7179875</v>
      </c>
      <c r="H117" s="87" t="n">
        <v>0.75599666666666676</v>
      </c>
      <c r="I117" s="103"/>
      <c r="J117" s="103"/>
      <c r="K117" s="157" t="n">
        <v>16.819125066666668</v>
      </c>
      <c r="L117" s="166"/>
      <c r="M117" s="157" t="n">
        <v>16.819125066666668</v>
      </c>
      <c r="N117" s="166" t="n">
        <v>20.9</v>
      </c>
      <c r="O117" s="103" t="n">
        <v>0.36816497502819395</v>
      </c>
      <c r="P117" s="103" t="n">
        <v>0.6318350249718061</v>
      </c>
      <c r="Q117" s="103" t="n">
        <v>1.7613756613756613</v>
      </c>
      <c r="R117" s="94"/>
      <c r="S117" s="65" t="n">
        <v>0.01</v>
      </c>
      <c r="T117" s="45" t="n">
        <v>1.2800000000000001E-2</v>
      </c>
      <c r="U117" s="145" t="n">
        <v>0</v>
      </c>
      <c r="V117" s="145" t="n">
        <v>0</v>
      </c>
      <c r="W117" s="23" t="n">
        <v>0</v>
      </c>
      <c r="X117" s="23" t="n">
        <v>0</v>
      </c>
      <c r="Y117" s="66"/>
      <c r="Z117" s="66"/>
      <c r="AA117" s="66"/>
      <c r="AB117" s="66"/>
      <c r="AC117" s="66"/>
      <c r="AD117" s="171"/>
      <c r="AE117" s="171"/>
      <c r="AF117" s="171"/>
      <c r="AG117" s="171"/>
      <c r="AH117" s="171"/>
      <c r="AI117" s="153" t="n">
        <f>T117/G117</f>
        <v>1.7827608419366633E-2</v>
      </c>
      <c r="AJ117" s="100"/>
      <c r="AK117" s="66"/>
      <c r="AL117" s="121" t="n">
        <v>0.5</v>
      </c>
      <c r="AM117" s="121" t="n">
        <v>7.4666666666666675E-3</v>
      </c>
      <c r="AN117" s="121"/>
      <c r="AO117" s="121"/>
      <c r="AP117" s="153" t="n">
        <v>0.48599999999999999</v>
      </c>
      <c r="AQ117" s="121" t="n">
        <v>0.32499999999999996</v>
      </c>
      <c r="AR117" s="103"/>
      <c r="AS117" s="121" t="n">
        <v>0.78600546478873246</v>
      </c>
      <c r="AT117" s="59" t="n">
        <f t="shared" si="17"/>
        <v>0.17824592074592077</v>
      </c>
      <c r="AU117" s="87" t="n">
        <v>0.47636694835680754</v>
      </c>
      <c r="AV117" s="87" t="n">
        <v>0.30963851643192492</v>
      </c>
      <c r="AW117" s="5"/>
      <c r="AX117" s="107" t="n">
        <v>8.9999999999999993E-3</v>
      </c>
      <c r="AY117" s="119" t="n">
        <v>27.645624539790735</v>
      </c>
      <c r="AZ117" t="n">
        <v>0.7</v>
      </c>
      <c r="BA117" t="n">
        <v>582</v>
      </c>
      <c r="BB117" t="n">
        <v>1.2</v>
      </c>
      <c r="BC117" t="n">
        <v>0</v>
      </c>
      <c r="BD117" t="n">
        <v>1.2</v>
      </c>
      <c r="BE117" t="n">
        <v>0</v>
      </c>
      <c r="BF117" t="n">
        <v>44</v>
      </c>
      <c r="BG117" t="n">
        <v>0</v>
      </c>
      <c r="BH117" t="n">
        <v>2220</v>
      </c>
      <c r="BI117" t="n">
        <v>12</v>
      </c>
      <c r="BJ117" t="n">
        <v>0</v>
      </c>
      <c r="BK117" t="n">
        <v>0</v>
      </c>
      <c r="BL117" t="n">
        <v>5</v>
      </c>
      <c r="BM117" t="n">
        <v>2</v>
      </c>
      <c r="BN117" t="n">
        <v>0.1</v>
      </c>
      <c r="BO117" t="n">
        <v>3000</v>
      </c>
      <c r="BP117" t="n">
        <v>5</v>
      </c>
      <c r="BQ117" s="110"/>
    </row>
    <row r="118">
      <c r="A118" s="44"/>
      <c r="B118" s="44" t="s">
        <v>269</v>
      </c>
      <c r="C118" s="7" t="s">
        <v>240</v>
      </c>
      <c r="D118" s="142" t="s">
        <v>227</v>
      </c>
      <c r="E118" s="142"/>
      <c r="F118" s="103" t="n">
        <v>0.29383040935672516</v>
      </c>
      <c r="G118" s="89" t="n">
        <v>0.2</v>
      </c>
      <c r="H118" s="87" t="n">
        <v>0.38062189619377168</v>
      </c>
      <c r="I118" s="103"/>
      <c r="J118" s="103"/>
      <c r="K118" s="166" t="n">
        <v>15.404999999999999</v>
      </c>
      <c r="L118" s="166" t="n">
        <v>9.3838752000000003</v>
      </c>
      <c r="M118" s="166" t="n">
        <v>13.598662559999998</v>
      </c>
      <c r="N118" s="166" t="n">
        <v>17.3</v>
      </c>
      <c r="O118" s="94" t="n">
        <v>0.66</v>
      </c>
      <c r="P118" s="94" t="n">
        <v>0.33999999999999997</v>
      </c>
      <c r="Q118" s="94" t="n">
        <v>0.51515151515151503</v>
      </c>
      <c r="R118" s="94"/>
      <c r="S118" s="65" t="n">
        <f>VLOOKUP(C118,$B$3:$X$358,MATCH(S$2,$B$2:$X$2,0),0)</f>
        <v>0.95750000000000002</v>
      </c>
      <c r="T118" s="45" t="n">
        <v>2.7200000000000002E-3</v>
      </c>
      <c r="U118" s="157" t="n">
        <f t="shared" ref="U118:X119" si="50">VLOOKUP($C118,$B$3:$X$358,MATCH(U$2,$B$2:$X$2,0),0)*$G118/VLOOKUP($C118,$B$3:$X$358,MATCH($G$2,$B$2:$X$2,0),0)</f>
        <v>117.7597103013632</v>
      </c>
      <c r="V118" s="157" t="n">
        <f t="shared" si="50"/>
        <v>29.596615539964137</v>
      </c>
      <c r="W118" s="132" t="n">
        <f t="shared" si="50"/>
        <v>390.67532512752661</v>
      </c>
      <c r="X118" s="132" t="n">
        <f t="shared" si="50"/>
        <v>0</v>
      </c>
      <c r="Y118" s="66"/>
      <c r="Z118" s="66"/>
      <c r="AA118" s="66"/>
      <c r="AB118" s="66"/>
      <c r="AC118" s="66"/>
      <c r="AD118" s="171"/>
      <c r="AE118" s="171"/>
      <c r="AF118" s="171"/>
      <c r="AG118" s="171"/>
      <c r="AH118" s="171"/>
      <c r="AI118" s="153" t="n">
        <f>T118/G118</f>
        <v>1.3600000000000001E-2</v>
      </c>
      <c r="AJ118" s="100"/>
      <c r="AK118" s="66"/>
      <c r="AL118" s="153" t="n">
        <v>0.6</v>
      </c>
      <c r="AM118" s="121" t="n">
        <v>7.4666666666666675E-3</v>
      </c>
      <c r="AN118" s="121"/>
      <c r="AO118" s="121"/>
      <c r="AP118" s="153" t="n">
        <v>0.46958440154440156</v>
      </c>
      <c r="AQ118" s="121" t="n">
        <v>0.32499999999999996</v>
      </c>
      <c r="AR118" s="103"/>
      <c r="AS118" s="121" t="n">
        <v>0.78600546478873246</v>
      </c>
      <c r="AT118" s="59" t="n">
        <f t="shared" si="17"/>
        <v>0.17824592074592077</v>
      </c>
      <c r="AU118" s="87" t="n">
        <v>0.47636694835680754</v>
      </c>
      <c r="AV118" s="87" t="n">
        <v>0.30963851643192492</v>
      </c>
      <c r="AW118" s="5"/>
      <c r="AX118" s="107" t="n">
        <v>8.9999999999999993E-3</v>
      </c>
      <c r="AY118" s="119" t="n">
        <v>45.4519305720465</v>
      </c>
      <c r="AZ118" t="n">
        <v>0.7</v>
      </c>
      <c r="BA118" t="n">
        <v>95</v>
      </c>
      <c r="BB118" t="n">
        <v>297</v>
      </c>
      <c r="BC118" t="n">
        <v>14</v>
      </c>
      <c r="BD118" t="n">
        <v>3.7</v>
      </c>
      <c r="BE118" t="n">
        <v>0</v>
      </c>
      <c r="BF118" t="n">
        <v>21</v>
      </c>
      <c r="BG118" t="n">
        <v>8</v>
      </c>
      <c r="BH118" t="n">
        <v>400</v>
      </c>
      <c r="BI118" t="n">
        <v>4.1900000000000004</v>
      </c>
      <c r="BJ118" t="n">
        <v>0</v>
      </c>
      <c r="BK118" t="n">
        <v>0</v>
      </c>
      <c r="BL118" t="n">
        <v>260</v>
      </c>
      <c r="BM118" t="n">
        <v>20</v>
      </c>
      <c r="BN118" t="n">
        <v>7</v>
      </c>
      <c r="BO118" t="n">
        <v>15</v>
      </c>
      <c r="BP118" t="n">
        <v>1</v>
      </c>
      <c r="BQ118" s="110"/>
    </row>
    <row r="119">
      <c r="A119" s="44"/>
      <c r="B119" s="44" t="s">
        <v>268</v>
      </c>
      <c r="C119" s="44" t="str">
        <f>B133</f>
        <v>Bananas, platains</v>
      </c>
      <c r="D119" s="142" t="s">
        <v>227</v>
      </c>
      <c r="E119" s="142"/>
      <c r="F119" s="94" t="n">
        <v>5.2631578947368425E-2</v>
      </c>
      <c r="G119" s="89" t="n">
        <v>0.2</v>
      </c>
      <c r="H119" s="87" t="n">
        <v>0.75599666666666676</v>
      </c>
      <c r="I119" s="103"/>
      <c r="J119" s="103"/>
      <c r="K119" s="157" t="n">
        <v>3.1020449091187743</v>
      </c>
      <c r="L119" s="166"/>
      <c r="M119" s="157" t="n">
        <v>3.1020449091187743</v>
      </c>
      <c r="N119" s="166" t="n">
        <v>2.1773321279999998</v>
      </c>
      <c r="O119" s="94" t="n">
        <v>0.26</v>
      </c>
      <c r="P119" s="94" t="n">
        <v>0.74</v>
      </c>
      <c r="Q119" s="94" t="n">
        <v>2.8461538461538458</v>
      </c>
      <c r="R119" s="94"/>
      <c r="S119" s="65" t="n">
        <f>VLOOKUP(C119,$B$3:$X$358,MATCH(S$2,$B$2:$X$2,0),0)</f>
        <v>0.66</v>
      </c>
      <c r="T119" s="45" t="n">
        <v>3.2000000000000003E-4</v>
      </c>
      <c r="U119" s="157" t="n">
        <f t="shared" si="50"/>
        <v>2.4096385542168677</v>
      </c>
      <c r="V119" s="157" t="n">
        <f t="shared" si="50"/>
        <v>160.64257028112451</v>
      </c>
      <c r="W119" s="132" t="n">
        <f t="shared" si="50"/>
        <v>72.289156626506028</v>
      </c>
      <c r="X119" s="132" t="n">
        <f t="shared" si="50"/>
        <v>144.57831325301206</v>
      </c>
      <c r="Y119" s="66"/>
      <c r="Z119" s="66"/>
      <c r="AA119" s="66"/>
      <c r="AB119" s="66"/>
      <c r="AC119" s="66"/>
      <c r="AD119" s="171"/>
      <c r="AE119" s="171"/>
      <c r="AF119" s="171"/>
      <c r="AG119" s="171"/>
      <c r="AH119" s="171"/>
      <c r="AI119" s="153" t="n">
        <f>T119/G119</f>
        <v>1.6000000000000001E-3</v>
      </c>
      <c r="AJ119" s="71"/>
      <c r="AK119" s="67"/>
      <c r="AL119" s="153" t="n">
        <v>0.41</v>
      </c>
      <c r="AM119" s="121" t="n">
        <v>7.4666666666666675E-3</v>
      </c>
      <c r="AN119" s="121"/>
      <c r="AO119" s="121"/>
      <c r="AP119" s="153" t="n">
        <v>0.46958440154440156</v>
      </c>
      <c r="AQ119" s="121" t="n">
        <v>0.32499999999999996</v>
      </c>
      <c r="AR119" s="103"/>
      <c r="AS119" s="121" t="n">
        <v>0.78600546478873246</v>
      </c>
      <c r="AT119" s="59" t="n">
        <f t="shared" si="17"/>
        <v>0.17824592074592077</v>
      </c>
      <c r="AU119" s="87" t="n">
        <v>0.47636694835680754</v>
      </c>
      <c r="AV119" s="87" t="n">
        <v>0.30963851643192492</v>
      </c>
      <c r="AW119" s="5"/>
      <c r="AX119" s="107" t="n">
        <v>8.9999999999999993E-3</v>
      </c>
      <c r="AY119" s="119" t="n">
        <v>2.880081651153664</v>
      </c>
      <c r="AZ119" t="n">
        <v>0.7</v>
      </c>
      <c r="BA119" s="156" t="n">
        <f>BA$152</f>
        <v>12</v>
      </c>
      <c r="BB119" s="156" t="n">
        <f t="shared" ref="BB119:BP119" si="51">BB152</f>
        <v>0</v>
      </c>
      <c r="BC119" s="156" t="n">
        <f t="shared" si="51"/>
        <v>1</v>
      </c>
      <c r="BD119" s="156" t="n">
        <f t="shared" si="51"/>
        <v>1</v>
      </c>
      <c r="BE119" s="156" t="n">
        <f t="shared" si="51"/>
        <v>0</v>
      </c>
      <c r="BF119" s="156" t="n">
        <f t="shared" si="51"/>
        <v>5</v>
      </c>
      <c r="BG119" s="156" t="n">
        <f t="shared" si="51"/>
        <v>1.5</v>
      </c>
      <c r="BH119" s="156" t="n">
        <f t="shared" si="51"/>
        <v>140</v>
      </c>
      <c r="BI119" s="156" t="n">
        <f t="shared" si="51"/>
        <v>4.46</v>
      </c>
      <c r="BJ119" s="156" t="n">
        <f t="shared" si="51"/>
        <v>0</v>
      </c>
      <c r="BK119" s="156" t="n">
        <f t="shared" si="51"/>
        <v>0</v>
      </c>
      <c r="BL119" s="156" t="n">
        <f t="shared" si="51"/>
        <v>110</v>
      </c>
      <c r="BM119" s="156" t="n">
        <f t="shared" si="51"/>
        <v>200</v>
      </c>
      <c r="BN119" s="156" t="n">
        <f t="shared" si="51"/>
        <v>1</v>
      </c>
      <c r="BO119" s="156" t="n">
        <f t="shared" si="51"/>
        <v>75</v>
      </c>
      <c r="BP119" s="156" t="n">
        <f t="shared" si="51"/>
        <v>0.8</v>
      </c>
      <c r="BQ119" s="110"/>
    </row>
    <row r="120">
      <c r="A120" s="44" t="n">
        <v>577</v>
      </c>
      <c r="B120" s="44" t="s">
        <v>267</v>
      </c>
      <c r="C120" s="44"/>
      <c r="D120" s="142" t="s">
        <v>227</v>
      </c>
      <c r="E120" s="142"/>
      <c r="F120" s="103" t="n">
        <v>0.29383040935672516</v>
      </c>
      <c r="G120" s="89" t="n">
        <v>0.77</v>
      </c>
      <c r="H120" s="87" t="n">
        <v>0.75599666666666676</v>
      </c>
      <c r="I120" s="103"/>
      <c r="J120" s="103"/>
      <c r="K120" s="157" t="n">
        <v>11.942872900107281</v>
      </c>
      <c r="L120" s="166"/>
      <c r="M120" s="157" t="n">
        <v>11.942872900107281</v>
      </c>
      <c r="N120" s="166" t="n">
        <v>17.3</v>
      </c>
      <c r="O120" s="94" t="n">
        <v>0.8</v>
      </c>
      <c r="P120" s="94" t="n">
        <v>0.19999999999999996</v>
      </c>
      <c r="Q120" s="94" t="n">
        <v>0.24999999999999994</v>
      </c>
      <c r="R120" s="94"/>
      <c r="S120" s="22" t="n">
        <f>VLOOKUP($B120,Conversores_Dieta!$B$4:$J$164,Coefs!S$292,0)</f>
        <v>0.86</v>
      </c>
      <c r="T120" s="130" t="n">
        <f>VLOOKUP($B120,Conversores_Dieta!$B$4:$J$164,Coefs!T$292,0)</f>
        <v>3.5200000000000001E-3</v>
      </c>
      <c r="U120" s="166" t="n">
        <f>VLOOKUP($B120,Conversores_Dieta!$B$4:$J$164,Coefs!U$292,0)</f>
        <v>4</v>
      </c>
      <c r="V120" s="166" t="n">
        <f>VLOOKUP($B120,Conversores_Dieta!$B$4:$J$164,Coefs!V$292,0)</f>
        <v>710</v>
      </c>
      <c r="W120" s="21" t="n">
        <f>VLOOKUP($B120,Conversores_Dieta!$B$4:$J$164,Coefs!W$292,0)</f>
        <v>680</v>
      </c>
      <c r="X120" s="21" t="n">
        <f>VLOOKUP($B120,Conversores_Dieta!$B$4:$J$164,Coefs!X$292,0)</f>
        <v>70</v>
      </c>
      <c r="Y120" s="66"/>
      <c r="Z120" s="66"/>
      <c r="AA120" s="66"/>
      <c r="AB120" s="66"/>
      <c r="AC120" s="66"/>
      <c r="AD120" s="171"/>
      <c r="AE120" s="171"/>
      <c r="AF120" s="171"/>
      <c r="AG120" s="171"/>
      <c r="AH120" s="171"/>
      <c r="AI120" s="153" t="n">
        <f>T120/G120</f>
        <v>4.5714285714285718E-3</v>
      </c>
      <c r="AJ120" s="71"/>
      <c r="AK120" s="67"/>
      <c r="AL120" s="153" t="n">
        <v>0.41</v>
      </c>
      <c r="AM120" s="121" t="n">
        <v>7.4666666666666675E-3</v>
      </c>
      <c r="AN120" s="121"/>
      <c r="AO120" s="121"/>
      <c r="AP120" s="153" t="n">
        <v>0.46958440154440156</v>
      </c>
      <c r="AQ120" s="121" t="n">
        <v>0.32499999999999996</v>
      </c>
      <c r="AR120" s="103"/>
      <c r="AS120" s="121" t="n">
        <v>0.78600546478873246</v>
      </c>
      <c r="AT120" s="59" t="n">
        <f t="shared" si="17"/>
        <v>0.17824592074592077</v>
      </c>
      <c r="AU120" s="87" t="n">
        <v>0.47636694835680754</v>
      </c>
      <c r="AV120" s="87" t="n">
        <v>0.30963851643192492</v>
      </c>
      <c r="AW120" s="5"/>
      <c r="AX120" s="107" t="n">
        <v>8.9999999999999993E-3</v>
      </c>
      <c r="AY120" s="119" t="n">
        <v>22.883698781740659</v>
      </c>
      <c r="AZ120" t="n">
        <v>0.7</v>
      </c>
      <c r="BA120" t="n">
        <v>22</v>
      </c>
      <c r="BB120" t="n">
        <v>0</v>
      </c>
      <c r="BC120" t="n">
        <v>0</v>
      </c>
      <c r="BD120" t="n">
        <v>0</v>
      </c>
      <c r="BE120" t="n">
        <v>0</v>
      </c>
      <c r="BF120" t="n">
        <v>30</v>
      </c>
      <c r="BG120" t="n">
        <v>3</v>
      </c>
      <c r="BH120" t="n">
        <v>580</v>
      </c>
      <c r="BI120" t="n">
        <v>4.71</v>
      </c>
      <c r="BJ120" t="n">
        <v>0</v>
      </c>
      <c r="BK120" t="n">
        <v>0</v>
      </c>
      <c r="BL120" t="n">
        <v>280</v>
      </c>
      <c r="BM120" t="n">
        <v>20</v>
      </c>
      <c r="BN120" t="n">
        <v>22</v>
      </c>
      <c r="BO120" t="n">
        <v>325</v>
      </c>
      <c r="BP120" t="n">
        <v>7.5</v>
      </c>
      <c r="BQ120" s="110"/>
    </row>
    <row r="121">
      <c r="A121" s="135" t="n">
        <v>461</v>
      </c>
      <c r="B121" s="44" t="s">
        <v>266</v>
      </c>
      <c r="C121" s="44"/>
      <c r="D121" s="142" t="s">
        <v>239</v>
      </c>
      <c r="E121" s="142"/>
      <c r="F121" s="103" t="n">
        <v>0.29383040935672516</v>
      </c>
      <c r="G121" s="87" t="n">
        <v>0.7179875</v>
      </c>
      <c r="H121" s="87" t="n">
        <v>0.75599666666666676</v>
      </c>
      <c r="I121" s="103"/>
      <c r="J121" s="103"/>
      <c r="K121" s="157" t="n">
        <v>22.049000000000003</v>
      </c>
      <c r="L121" s="157" t="n">
        <v>15.566572000000001</v>
      </c>
      <c r="M121" s="166" t="n">
        <v>17.213394399999999</v>
      </c>
      <c r="N121" s="157" t="n">
        <v>12.433863596666667</v>
      </c>
      <c r="O121" s="103" t="n">
        <v>0.36816497502819395</v>
      </c>
      <c r="P121" s="103" t="n">
        <v>0.6318350249718061</v>
      </c>
      <c r="Q121" s="103" t="n">
        <v>1.7613756613756613</v>
      </c>
      <c r="R121" s="94"/>
      <c r="S121" s="22" t="n">
        <f>VLOOKUP($B121,Conversores_Dieta!$B$4:$J$164,Coefs!S$292,0)</f>
        <v>1</v>
      </c>
      <c r="T121" s="130" t="n">
        <f>VLOOKUP($B121,Conversores_Dieta!$B$4:$J$164,Coefs!T$292,0)</f>
        <v>3.5680000000000003E-2</v>
      </c>
      <c r="U121" s="166" t="n">
        <f>VLOOKUP($B121,Conversores_Dieta!$B$4:$J$164,Coefs!U$292,0)</f>
        <v>102.5</v>
      </c>
      <c r="V121" s="166" t="n">
        <f>VLOOKUP($B121,Conversores_Dieta!$B$4:$J$164,Coefs!V$292,0)</f>
        <v>470</v>
      </c>
      <c r="W121" s="21" t="n">
        <f>VLOOKUP($B121,Conversores_Dieta!$B$4:$J$164,Coefs!W$292,0)</f>
        <v>770</v>
      </c>
      <c r="X121" s="21" t="n">
        <f>VLOOKUP($B121,Conversores_Dieta!$B$4:$J$164,Coefs!X$292,0)</f>
        <v>210</v>
      </c>
      <c r="Y121" s="66"/>
      <c r="Z121" s="66"/>
      <c r="AA121" s="66"/>
      <c r="AB121" s="66"/>
      <c r="AC121" s="66"/>
      <c r="AD121" s="171"/>
      <c r="AE121" s="171"/>
      <c r="AF121" s="171"/>
      <c r="AG121" s="171"/>
      <c r="AH121" s="171"/>
      <c r="AI121" s="153" t="n">
        <v>8.4805653710247342E-3</v>
      </c>
      <c r="AJ121" s="71" t="n">
        <v>1.2956419316843347E-3</v>
      </c>
      <c r="AK121" s="67" t="n">
        <v>8.8339222614840993E-3</v>
      </c>
      <c r="AL121" s="121" t="n">
        <v>0.49000000000000005</v>
      </c>
      <c r="AM121" s="121" t="n">
        <v>7.4666666666666675E-3</v>
      </c>
      <c r="AN121" s="121"/>
      <c r="AO121" s="121"/>
      <c r="AP121" s="153" t="n">
        <v>0.46958440154440156</v>
      </c>
      <c r="AQ121" s="121" t="n">
        <v>0.32499999999999996</v>
      </c>
      <c r="AR121" s="103"/>
      <c r="AS121" s="121" t="n">
        <v>0.78600546478873246</v>
      </c>
      <c r="AT121" s="59" t="n">
        <f t="shared" si="17"/>
        <v>0.17824592074592077</v>
      </c>
      <c r="AU121" s="87" t="n">
        <v>0.47636694835680754</v>
      </c>
      <c r="AV121" s="87" t="n">
        <v>0.30963851643192492</v>
      </c>
      <c r="AW121" s="5"/>
      <c r="AX121" s="107" t="n">
        <v>8.9999999999999993E-3</v>
      </c>
      <c r="AY121" s="119" t="n">
        <v>16.446982036957834</v>
      </c>
      <c r="AZ121" t="n">
        <v>0.7</v>
      </c>
      <c r="BA121" t="n">
        <v>450</v>
      </c>
      <c r="BB121" t="n">
        <v>0.89999999999999991</v>
      </c>
      <c r="BC121" t="n">
        <v>2</v>
      </c>
      <c r="BD121" t="n">
        <v>2.2000000000000002</v>
      </c>
      <c r="BE121" t="n">
        <v>1</v>
      </c>
      <c r="BF121" t="n">
        <v>29.4</v>
      </c>
      <c r="BG121" t="n">
        <v>7</v>
      </c>
      <c r="BH121" t="n">
        <v>550</v>
      </c>
      <c r="BI121" t="n">
        <v>36.200000000000003</v>
      </c>
      <c r="BJ121" t="n">
        <v>0</v>
      </c>
      <c r="BK121" t="n">
        <v>0</v>
      </c>
      <c r="BL121" t="n">
        <v>290</v>
      </c>
      <c r="BM121" t="n">
        <v>2</v>
      </c>
      <c r="BN121" t="n">
        <v>6.3</v>
      </c>
      <c r="BO121" t="n">
        <v>300</v>
      </c>
      <c r="BP121" t="n">
        <v>0</v>
      </c>
      <c r="BQ121" s="110"/>
    </row>
    <row r="122">
      <c r="A122" s="135" t="n">
        <v>592</v>
      </c>
      <c r="B122" s="44" t="s">
        <v>265</v>
      </c>
      <c r="C122" s="7" t="s">
        <v>255</v>
      </c>
      <c r="D122" s="142" t="s">
        <v>227</v>
      </c>
      <c r="E122" s="142"/>
      <c r="F122" s="94" t="n">
        <v>0.66666666666666674</v>
      </c>
      <c r="G122" s="89" t="n">
        <v>0.186</v>
      </c>
      <c r="H122" s="87" t="n">
        <v>0.68246400000000018</v>
      </c>
      <c r="I122" s="44"/>
      <c r="J122" s="44"/>
      <c r="K122" s="166" t="n">
        <v>2.25</v>
      </c>
      <c r="L122" s="166" t="n">
        <v>2.4777648000000005</v>
      </c>
      <c r="M122" s="166" t="n">
        <v>2.281887072</v>
      </c>
      <c r="N122" s="157" t="n">
        <v>12.433863596666667</v>
      </c>
      <c r="O122" s="94" t="n">
        <v>0.68283756945529195</v>
      </c>
      <c r="P122" s="94" t="n">
        <v>0.31716243054470805</v>
      </c>
      <c r="Q122" s="94" t="n">
        <v>0.46447712418300657</v>
      </c>
      <c r="R122" s="94"/>
      <c r="S122" s="65" t="n">
        <f>VLOOKUP(C122,$B$3:$X$358,MATCH(S$2,$B$2:$X$2,0),0)</f>
        <v>0.84</v>
      </c>
      <c r="T122" s="130" t="n">
        <v>1.4400000000000001E-3</v>
      </c>
      <c r="U122" s="157" t="n">
        <f t="shared" ref="U122:X124" si="52">VLOOKUP($C122,$B$3:$X$358,MATCH(U$2,$B$2:$X$2,0),0)*$G122/VLOOKUP($C122,$B$3:$X$358,MATCH($G$2,$B$2:$X$2,0),0)</f>
        <v>0</v>
      </c>
      <c r="V122" s="157" t="n">
        <f t="shared" si="52"/>
        <v>139.5</v>
      </c>
      <c r="W122" s="132" t="n">
        <f t="shared" si="52"/>
        <v>69.75</v>
      </c>
      <c r="X122" s="132" t="n">
        <f t="shared" si="52"/>
        <v>46.499999999999993</v>
      </c>
      <c r="Y122" s="66"/>
      <c r="Z122" s="66"/>
      <c r="AA122" s="66"/>
      <c r="AB122" s="66"/>
      <c r="AC122" s="66"/>
      <c r="AD122" s="171"/>
      <c r="AE122" s="171"/>
      <c r="AF122" s="171"/>
      <c r="AG122" s="171"/>
      <c r="AH122" s="171"/>
      <c r="AI122" s="153" t="n">
        <f t="shared" ref="AI122:AI143" si="53">T122/G122</f>
        <v>7.7419354838709686E-3</v>
      </c>
      <c r="AJ122" s="71"/>
      <c r="AK122" s="67"/>
      <c r="AL122" s="121" t="n">
        <v>0.49000000000000005</v>
      </c>
      <c r="AM122" s="121" t="n">
        <v>7.4666666666666675E-3</v>
      </c>
      <c r="AN122" s="153"/>
      <c r="AO122" s="153"/>
      <c r="AP122" s="153" t="n">
        <v>0.46958440154440156</v>
      </c>
      <c r="AQ122" s="121" t="n">
        <v>0.32499999999999996</v>
      </c>
      <c r="AR122" s="94"/>
      <c r="AS122" s="121" t="n">
        <v>0.78600546478873246</v>
      </c>
      <c r="AT122" s="59" t="n">
        <f t="shared" si="17"/>
        <v>0.17824592074592077</v>
      </c>
      <c r="AU122" s="87" t="n">
        <v>0.47636694835680754</v>
      </c>
      <c r="AV122" s="87" t="n">
        <v>0.30963851643192492</v>
      </c>
      <c r="AW122" s="5"/>
      <c r="AX122" s="107" t="n">
        <v>8.9999999999999993E-3</v>
      </c>
      <c r="AY122" s="119" t="n">
        <v>18.219076166166513</v>
      </c>
      <c r="AZ122" t="n">
        <v>0.7</v>
      </c>
      <c r="BA122" t="n">
        <v>19</v>
      </c>
      <c r="BB122" t="n">
        <v>1</v>
      </c>
      <c r="BC122" t="n">
        <v>1</v>
      </c>
      <c r="BD122" t="n">
        <v>4</v>
      </c>
      <c r="BE122" t="n">
        <v>0</v>
      </c>
      <c r="BF122" t="n">
        <v>4</v>
      </c>
      <c r="BG122" t="n">
        <v>1</v>
      </c>
      <c r="BH122" t="n">
        <v>150</v>
      </c>
      <c r="BI122" t="n">
        <v>5.04</v>
      </c>
      <c r="BJ122" t="n">
        <v>0</v>
      </c>
      <c r="BK122" t="n">
        <v>0</v>
      </c>
      <c r="BL122" t="n">
        <v>293</v>
      </c>
      <c r="BM122" t="n">
        <v>590</v>
      </c>
      <c r="BN122" t="n">
        <v>11.200000000000001</v>
      </c>
      <c r="BO122" t="n">
        <v>650</v>
      </c>
      <c r="BP122" t="n">
        <v>3.5</v>
      </c>
      <c r="BQ122" s="110"/>
    </row>
    <row r="123">
      <c r="A123" s="135"/>
      <c r="B123" s="44" t="s">
        <v>264</v>
      </c>
      <c r="C123" s="7" t="s">
        <v>255</v>
      </c>
      <c r="D123" s="142" t="s">
        <v>227</v>
      </c>
      <c r="E123" s="142"/>
      <c r="F123" s="103" t="n">
        <v>0.29383040935672516</v>
      </c>
      <c r="G123" s="87" t="n">
        <v>0.22620000000000004</v>
      </c>
      <c r="H123" s="87" t="n">
        <v>0.68246400000000018</v>
      </c>
      <c r="I123" s="44"/>
      <c r="J123" s="44"/>
      <c r="K123" s="166" t="n">
        <v>1.6500000000000001</v>
      </c>
      <c r="L123" s="166" t="n">
        <v>2.0560176000000001</v>
      </c>
      <c r="M123" s="166" t="n">
        <v>1.7515044</v>
      </c>
      <c r="N123" s="157" t="n">
        <v>12.433863596666667</v>
      </c>
      <c r="O123" s="94" t="n">
        <v>0.99</v>
      </c>
      <c r="P123" s="94" t="n">
        <v>0.01</v>
      </c>
      <c r="Q123" s="94" t="n">
        <v>1.0101010101010102E-2</v>
      </c>
      <c r="R123" s="94"/>
      <c r="S123" s="65" t="n">
        <f>VLOOKUP(C123,$B$3:$X$358,MATCH(S$2,$B$2:$X$2,0),0)</f>
        <v>0.84</v>
      </c>
      <c r="T123" s="130" t="n">
        <v>6.4000000000000005E-4</v>
      </c>
      <c r="U123" s="157" t="n">
        <f t="shared" si="52"/>
        <v>0</v>
      </c>
      <c r="V123" s="157" t="n">
        <f t="shared" si="52"/>
        <v>169.65000000000003</v>
      </c>
      <c r="W123" s="132" t="n">
        <f t="shared" si="52"/>
        <v>84.825000000000017</v>
      </c>
      <c r="X123" s="132" t="n">
        <f t="shared" si="52"/>
        <v>56.550000000000011</v>
      </c>
      <c r="Y123" s="66"/>
      <c r="Z123" s="66"/>
      <c r="AA123" s="66"/>
      <c r="AB123" s="66"/>
      <c r="AC123" s="66"/>
      <c r="AD123" s="171"/>
      <c r="AE123" s="171"/>
      <c r="AF123" s="171"/>
      <c r="AG123" s="171"/>
      <c r="AH123" s="171"/>
      <c r="AI123" s="153" t="n">
        <f t="shared" si="53"/>
        <v>2.8293545534924841E-3</v>
      </c>
      <c r="AJ123" s="71"/>
      <c r="AK123" s="67"/>
      <c r="AL123" s="121" t="n">
        <v>0.49000000000000005</v>
      </c>
      <c r="AM123" s="121" t="n">
        <v>7.4666666666666675E-3</v>
      </c>
      <c r="AN123" s="153"/>
      <c r="AO123" s="153"/>
      <c r="AP123" s="153" t="n">
        <v>0.46958440154440156</v>
      </c>
      <c r="AQ123" s="121" t="n">
        <v>0.32499999999999996</v>
      </c>
      <c r="AR123" s="94"/>
      <c r="AS123" s="121" t="n">
        <v>0.78600546478873246</v>
      </c>
      <c r="AT123" s="59" t="n">
        <f t="shared" si="17"/>
        <v>0.17824592074592077</v>
      </c>
      <c r="AU123" s="87" t="n">
        <v>0.47636694835680754</v>
      </c>
      <c r="AV123" s="87" t="n">
        <v>0.30963851643192492</v>
      </c>
      <c r="AW123" s="5"/>
      <c r="AX123" s="107" t="n">
        <v>8.9999999999999993E-3</v>
      </c>
      <c r="AY123" s="119" t="n">
        <v>18.219076166166513</v>
      </c>
      <c r="AZ123" t="n">
        <v>0.7</v>
      </c>
      <c r="BA123" s="156" t="n">
        <f>BA$152</f>
        <v>12</v>
      </c>
      <c r="BB123" s="156" t="n">
        <f t="shared" ref="BB123:BP123" si="54">BB$152</f>
        <v>0</v>
      </c>
      <c r="BC123" s="156" t="n">
        <f t="shared" si="54"/>
        <v>1</v>
      </c>
      <c r="BD123" s="156" t="n">
        <f t="shared" si="54"/>
        <v>1</v>
      </c>
      <c r="BE123" s="156" t="n">
        <f t="shared" si="54"/>
        <v>0</v>
      </c>
      <c r="BF123" s="156" t="n">
        <f t="shared" si="54"/>
        <v>5</v>
      </c>
      <c r="BG123" s="156" t="n">
        <f t="shared" si="54"/>
        <v>1.5</v>
      </c>
      <c r="BH123" s="156" t="n">
        <f t="shared" si="54"/>
        <v>140</v>
      </c>
      <c r="BI123" s="156" t="n">
        <f t="shared" si="54"/>
        <v>4.46</v>
      </c>
      <c r="BJ123" s="156" t="n">
        <f t="shared" si="54"/>
        <v>0</v>
      </c>
      <c r="BK123" s="156" t="n">
        <f t="shared" si="54"/>
        <v>0</v>
      </c>
      <c r="BL123" s="156" t="n">
        <f t="shared" si="54"/>
        <v>110</v>
      </c>
      <c r="BM123" s="156" t="n">
        <f t="shared" si="54"/>
        <v>200</v>
      </c>
      <c r="BN123" s="156" t="n">
        <f t="shared" si="54"/>
        <v>1</v>
      </c>
      <c r="BO123" s="156" t="n">
        <f t="shared" si="54"/>
        <v>75</v>
      </c>
      <c r="BP123" s="156" t="n">
        <f t="shared" si="54"/>
        <v>0.8</v>
      </c>
      <c r="BQ123" s="110"/>
    </row>
    <row r="124">
      <c r="A124" s="135" t="n">
        <v>495</v>
      </c>
      <c r="B124" s="44" t="s">
        <v>263</v>
      </c>
      <c r="C124" s="44" t="s">
        <v>261</v>
      </c>
      <c r="D124" s="142" t="s">
        <v>241</v>
      </c>
      <c r="E124" s="142"/>
      <c r="F124" s="94" t="n">
        <v>0.2863157894736843</v>
      </c>
      <c r="G124" s="87" t="n">
        <v>0.12129000000000001</v>
      </c>
      <c r="H124" s="89" t="n">
        <v>0.625</v>
      </c>
      <c r="I124" s="44"/>
      <c r="J124" s="44"/>
      <c r="K124" s="166" t="n">
        <v>1.714</v>
      </c>
      <c r="L124" s="166" t="n">
        <v>2.0560176000000001</v>
      </c>
      <c r="M124" s="166" t="n">
        <v>1.8097649280000001</v>
      </c>
      <c r="N124" s="166" t="n">
        <v>11</v>
      </c>
      <c r="O124" s="94" t="n">
        <v>0.78042437823332511</v>
      </c>
      <c r="P124" s="94" t="n">
        <v>0.21957562176667494</v>
      </c>
      <c r="Q124" s="94" t="n">
        <v>0.28135412974122648</v>
      </c>
      <c r="R124" s="94"/>
      <c r="S124" s="65" t="n">
        <f>VLOOKUP(C124,$B$3:$X$358,MATCH(S$2,$B$2:$X$2,0),0)</f>
        <v>0.73</v>
      </c>
      <c r="T124" s="15" t="n">
        <f>VLOOKUP($C124,$B$3:$X$358,MATCH(T$2,$B$2:$X$2,0),0)*$G124/VLOOKUP($C124,$B$3:$X$358,MATCH($G$2,$B$2:$X$2,0),0)</f>
        <v>1.2800000000000001E-3</v>
      </c>
      <c r="U124" s="157" t="n">
        <f t="shared" si="52"/>
        <v>0</v>
      </c>
      <c r="V124" s="157" t="n">
        <f t="shared" si="52"/>
        <v>86</v>
      </c>
      <c r="W124" s="132" t="n">
        <f t="shared" si="52"/>
        <v>360</v>
      </c>
      <c r="X124" s="132" t="n">
        <f t="shared" si="52"/>
        <v>400</v>
      </c>
      <c r="Y124" s="66"/>
      <c r="Z124" s="66"/>
      <c r="AA124" s="66"/>
      <c r="AB124" s="66"/>
      <c r="AC124" s="66"/>
      <c r="AD124" s="171"/>
      <c r="AE124" s="171"/>
      <c r="AF124" s="171"/>
      <c r="AG124" s="171"/>
      <c r="AH124" s="171"/>
      <c r="AI124" s="153" t="n">
        <f t="shared" si="53"/>
        <v>1.0553219556434991E-2</v>
      </c>
      <c r="AJ124" s="71"/>
      <c r="AK124" s="67"/>
      <c r="AL124" s="121" t="n">
        <v>0.49000000000000005</v>
      </c>
      <c r="AM124" s="121" t="n">
        <v>7.4666666666666675E-3</v>
      </c>
      <c r="AN124" s="153"/>
      <c r="AO124" s="153"/>
      <c r="AP124" s="153" t="n">
        <v>0.46958440154440156</v>
      </c>
      <c r="AQ124" s="121" t="n">
        <v>0.32499999999999996</v>
      </c>
      <c r="AR124" s="94"/>
      <c r="AS124" s="121" t="n">
        <v>0.78600546478873246</v>
      </c>
      <c r="AT124" s="59" t="n">
        <f t="shared" si="17"/>
        <v>0.17824592074592077</v>
      </c>
      <c r="AU124" s="87" t="n">
        <v>0.47636694835680754</v>
      </c>
      <c r="AV124" s="87" t="n">
        <v>0.30963851643192492</v>
      </c>
      <c r="AW124" s="5"/>
      <c r="AX124" s="107" t="n">
        <v>8.9999999999999993E-3</v>
      </c>
      <c r="AY124" s="119" t="n">
        <v>17.600000000000001</v>
      </c>
      <c r="AZ124" t="n">
        <v>0.7</v>
      </c>
      <c r="BA124" t="n">
        <v>19</v>
      </c>
      <c r="BB124" t="n">
        <v>0.2</v>
      </c>
      <c r="BC124" t="n">
        <v>0.3</v>
      </c>
      <c r="BD124" t="n">
        <v>0.4</v>
      </c>
      <c r="BE124" t="n">
        <v>0</v>
      </c>
      <c r="BF124" t="n">
        <v>3</v>
      </c>
      <c r="BG124" t="n">
        <v>4</v>
      </c>
      <c r="BH124" t="n">
        <v>110</v>
      </c>
      <c r="BI124" t="n">
        <v>2.61</v>
      </c>
      <c r="BJ124" t="n">
        <v>0</v>
      </c>
      <c r="BK124" t="n">
        <v>0</v>
      </c>
      <c r="BL124" t="n">
        <v>320</v>
      </c>
      <c r="BM124" t="n">
        <v>350</v>
      </c>
      <c r="BN124" t="n">
        <v>2.2000000000000002</v>
      </c>
      <c r="BO124" t="n">
        <v>500</v>
      </c>
      <c r="BP124" t="n">
        <v>6</v>
      </c>
      <c r="BQ124" s="110"/>
    </row>
    <row r="125">
      <c r="A125" s="135" t="n">
        <v>497</v>
      </c>
      <c r="B125" s="44" t="s">
        <v>262</v>
      </c>
      <c r="C125" s="44"/>
      <c r="D125" s="142" t="s">
        <v>241</v>
      </c>
      <c r="E125" s="142"/>
      <c r="F125" s="94" t="n">
        <v>0.2863157894736843</v>
      </c>
      <c r="G125" s="87" t="n">
        <v>0.12129000000000001</v>
      </c>
      <c r="H125" s="89" t="n">
        <v>0.625</v>
      </c>
      <c r="I125" s="44"/>
      <c r="J125" s="44"/>
      <c r="K125" s="166" t="n">
        <v>1.847</v>
      </c>
      <c r="L125" s="166" t="n">
        <v>1.9505807999999998</v>
      </c>
      <c r="M125" s="166" t="n">
        <v>1.8842890879999998</v>
      </c>
      <c r="N125" s="166" t="n">
        <v>11</v>
      </c>
      <c r="O125" s="94" t="n">
        <v>0.83262051086341438</v>
      </c>
      <c r="P125" s="94" t="n">
        <v>0.16737948913658557</v>
      </c>
      <c r="Q125" s="94" t="n">
        <v>0.20102734313260628</v>
      </c>
      <c r="R125" s="94"/>
      <c r="S125" s="22" t="n">
        <f>VLOOKUP($B125,Conversores_Dieta!$B$4:$J$164,Coefs!S$292,0)</f>
        <v>0.7</v>
      </c>
      <c r="T125" s="130" t="n">
        <f>VLOOKUP($B125,Conversores_Dieta!$B$4:$J$164,Coefs!T$292,0)</f>
        <v>8.0000000000000004E-4</v>
      </c>
      <c r="U125" s="166" t="n">
        <f>VLOOKUP($B125,Conversores_Dieta!$B$4:$J$164,Coefs!U$292,0)</f>
        <v>2</v>
      </c>
      <c r="V125" s="166" t="n">
        <f>VLOOKUP($B125,Conversores_Dieta!$B$4:$J$164,Coefs!V$292,0)</f>
        <v>19</v>
      </c>
      <c r="W125" s="21" t="n">
        <f>VLOOKUP($B125,Conversores_Dieta!$B$4:$J$164,Coefs!W$292,0)</f>
        <v>130</v>
      </c>
      <c r="X125" s="21" t="n">
        <f>VLOOKUP($B125,Conversores_Dieta!$B$4:$J$164,Coefs!X$292,0)</f>
        <v>17</v>
      </c>
      <c r="Y125" s="66"/>
      <c r="Z125" s="66"/>
      <c r="AA125" s="66"/>
      <c r="AB125" s="66"/>
      <c r="AC125" s="66"/>
      <c r="AD125" s="171"/>
      <c r="AE125" s="171"/>
      <c r="AF125" s="171"/>
      <c r="AG125" s="171"/>
      <c r="AH125" s="171"/>
      <c r="AI125" s="153" t="n">
        <f t="shared" si="53"/>
        <v>6.5957622227718693E-3</v>
      </c>
      <c r="AJ125" s="71"/>
      <c r="AK125" s="67"/>
      <c r="AL125" s="121" t="n">
        <v>0.49000000000000005</v>
      </c>
      <c r="AM125" s="121" t="n">
        <v>7.4666666666666675E-3</v>
      </c>
      <c r="AN125" s="153"/>
      <c r="AO125" s="153"/>
      <c r="AP125" s="153" t="n">
        <v>0.46958440154440156</v>
      </c>
      <c r="AQ125" s="121" t="n">
        <v>0.32499999999999996</v>
      </c>
      <c r="AR125" s="94"/>
      <c r="AS125" s="121" t="n">
        <v>0.78600546478873246</v>
      </c>
      <c r="AT125" s="59" t="n">
        <f t="shared" si="17"/>
        <v>0.17824592074592077</v>
      </c>
      <c r="AU125" s="87" t="n">
        <v>0.47636694835680754</v>
      </c>
      <c r="AV125" s="87" t="n">
        <v>0.30963851643192492</v>
      </c>
      <c r="AW125" s="5"/>
      <c r="AX125" s="107" t="n">
        <v>8.9999999999999993E-3</v>
      </c>
      <c r="AY125" s="119" t="n">
        <v>17.600000000000001</v>
      </c>
      <c r="AZ125" t="n">
        <v>0.7</v>
      </c>
      <c r="BA125" t="n">
        <v>27</v>
      </c>
      <c r="BB125" t="n">
        <v>0</v>
      </c>
      <c r="BC125" t="n">
        <v>0</v>
      </c>
      <c r="BD125" t="n">
        <v>0</v>
      </c>
      <c r="BE125" t="n">
        <v>0</v>
      </c>
      <c r="BF125" t="n">
        <v>4</v>
      </c>
      <c r="BG125" t="n">
        <v>1</v>
      </c>
      <c r="BH125" t="n">
        <v>90</v>
      </c>
      <c r="BI125" t="n">
        <v>2.61</v>
      </c>
      <c r="BJ125" t="n">
        <v>0</v>
      </c>
      <c r="BK125" t="n">
        <v>0</v>
      </c>
      <c r="BL125" t="n">
        <v>70</v>
      </c>
      <c r="BM125" t="n">
        <v>530</v>
      </c>
      <c r="BN125" t="n">
        <v>1.5</v>
      </c>
      <c r="BO125" t="n">
        <v>350</v>
      </c>
      <c r="BP125" t="n">
        <v>0.6</v>
      </c>
      <c r="BQ125" s="110"/>
    </row>
    <row r="126">
      <c r="A126" s="135" t="n">
        <v>490</v>
      </c>
      <c r="B126" s="44" t="s">
        <v>261</v>
      </c>
      <c r="C126" s="44"/>
      <c r="D126" s="142" t="s">
        <v>241</v>
      </c>
      <c r="E126" s="142"/>
      <c r="F126" s="94" t="n">
        <v>0.2863157894736843</v>
      </c>
      <c r="G126" s="89" t="n">
        <v>0.12129000000000001</v>
      </c>
      <c r="H126" s="89" t="n">
        <v>0.625</v>
      </c>
      <c r="I126" s="44"/>
      <c r="J126" s="44"/>
      <c r="K126" s="166" t="n">
        <v>1.6459999999999999</v>
      </c>
      <c r="L126" s="166" t="n">
        <v>2.0032991999999998</v>
      </c>
      <c r="M126" s="166" t="n">
        <v>1.742470784</v>
      </c>
      <c r="N126" s="166" t="n">
        <v>11.587499999999999</v>
      </c>
      <c r="O126" s="94" t="n">
        <v>0.85579900598781544</v>
      </c>
      <c r="P126" s="94" t="n">
        <f>Q126/(1+Q126)</f>
        <v>0.22546425672451934</v>
      </c>
      <c r="Q126" s="94" t="n">
        <f>1.5*G126/H126</f>
        <v>0.29109600000000002</v>
      </c>
      <c r="R126" s="94"/>
      <c r="S126" s="22" t="n">
        <f>VLOOKUP($B126,Conversores_Dieta!$B$4:$J$164,Coefs!S$292,0)</f>
        <v>0.73</v>
      </c>
      <c r="T126" s="130" t="n">
        <f>VLOOKUP($B126,Conversores_Dieta!$B$4:$J$164,Coefs!T$292,0)</f>
        <v>1.2800000000000001E-3</v>
      </c>
      <c r="U126" s="166" t="n">
        <f>VLOOKUP($B126,Conversores_Dieta!$B$4:$J$164,Coefs!U$292,0)</f>
        <v>0</v>
      </c>
      <c r="V126" s="166" t="n">
        <f>VLOOKUP($B126,Conversores_Dieta!$B$4:$J$164,Coefs!V$292,0)</f>
        <v>86</v>
      </c>
      <c r="W126" s="21" t="n">
        <f>VLOOKUP($B126,Conversores_Dieta!$B$4:$J$164,Coefs!W$292,0)</f>
        <v>360</v>
      </c>
      <c r="X126" s="21" t="n">
        <f>VLOOKUP($B126,Conversores_Dieta!$B$4:$J$164,Coefs!X$292,0)</f>
        <v>400</v>
      </c>
      <c r="Y126" s="66"/>
      <c r="Z126" s="66"/>
      <c r="AA126" s="66"/>
      <c r="AB126" s="66"/>
      <c r="AC126" s="66"/>
      <c r="AD126" s="171"/>
      <c r="AE126" s="171"/>
      <c r="AF126" s="171"/>
      <c r="AG126" s="171"/>
      <c r="AH126" s="171"/>
      <c r="AI126" s="153" t="n">
        <f t="shared" si="53"/>
        <v>1.0553219556434991E-2</v>
      </c>
      <c r="AJ126" s="71"/>
      <c r="AK126" s="67"/>
      <c r="AL126" s="121" t="n">
        <v>0.49000000000000005</v>
      </c>
      <c r="AM126" s="121" t="n">
        <v>7.4666666666666675E-3</v>
      </c>
      <c r="AN126" s="153"/>
      <c r="AO126" s="153"/>
      <c r="AP126" s="153" t="n">
        <v>0.46804999999999997</v>
      </c>
      <c r="AQ126" s="121" t="n">
        <v>0.32499999999999996</v>
      </c>
      <c r="AR126" s="94"/>
      <c r="AS126" s="121" t="n">
        <v>0.81394500000000003</v>
      </c>
      <c r="AT126" s="59" t="n">
        <f t="shared" si="17"/>
        <v>0.17824592074592077</v>
      </c>
      <c r="AU126" s="87" t="n">
        <v>0.49330000000000002</v>
      </c>
      <c r="AV126" s="87" t="n">
        <v>0.32064500000000001</v>
      </c>
      <c r="AW126" s="5"/>
      <c r="AX126" s="107" t="n">
        <v>8.9999999999999993E-3</v>
      </c>
      <c r="AY126" s="119" t="n">
        <v>18.54</v>
      </c>
      <c r="AZ126" t="n">
        <v>0.7</v>
      </c>
      <c r="BA126" t="n">
        <v>20</v>
      </c>
      <c r="BB126" t="n">
        <v>0.3</v>
      </c>
      <c r="BC126" t="n">
        <v>0.6</v>
      </c>
      <c r="BD126" t="n">
        <v>0.8</v>
      </c>
      <c r="BE126" t="n">
        <v>0</v>
      </c>
      <c r="BF126" t="n">
        <v>3</v>
      </c>
      <c r="BG126" t="n">
        <v>18</v>
      </c>
      <c r="BH126" t="n">
        <v>120</v>
      </c>
      <c r="BI126" t="n">
        <v>2.61</v>
      </c>
      <c r="BJ126" t="n">
        <v>0</v>
      </c>
      <c r="BK126" t="n">
        <v>0</v>
      </c>
      <c r="BL126" t="n">
        <v>370</v>
      </c>
      <c r="BM126" t="n">
        <v>500</v>
      </c>
      <c r="BN126" t="n">
        <v>2</v>
      </c>
      <c r="BO126" t="n">
        <v>400</v>
      </c>
      <c r="BP126" t="n">
        <v>6.5</v>
      </c>
      <c r="BQ126" s="110"/>
    </row>
    <row r="127">
      <c r="A127" s="135" t="n">
        <v>225</v>
      </c>
      <c r="B127" s="44" t="s">
        <v>260</v>
      </c>
      <c r="C127" s="44"/>
      <c r="D127" s="142" t="s">
        <v>239</v>
      </c>
      <c r="E127" s="142"/>
      <c r="F127" s="103" t="n">
        <v>0.29383040935672516</v>
      </c>
      <c r="G127" s="89" t="n">
        <v>0.93</v>
      </c>
      <c r="H127" s="89" t="n">
        <v>0.74960000000000004</v>
      </c>
      <c r="I127" s="44"/>
      <c r="J127" s="44"/>
      <c r="K127" s="157" t="n">
        <v>28.559786904368117</v>
      </c>
      <c r="L127" s="157" t="n">
        <v>20.163181058166057</v>
      </c>
      <c r="M127" s="166" t="n">
        <v>25.36</v>
      </c>
      <c r="N127" s="157" t="n">
        <v>12.809269199999999</v>
      </c>
      <c r="O127" s="103" t="n">
        <v>0.36816497502819395</v>
      </c>
      <c r="P127" s="103" t="n">
        <v>0.6318350249718061</v>
      </c>
      <c r="Q127" s="94" t="n">
        <v>1.6999999999999997</v>
      </c>
      <c r="R127" s="94"/>
      <c r="S127" s="22" t="n">
        <f>VLOOKUP($B127,Conversores_Dieta!$B$4:$J$164,Coefs!S$292,0)</f>
        <v>1</v>
      </c>
      <c r="T127" s="130" t="n">
        <f>VLOOKUP($B127,Conversores_Dieta!$B$4:$J$164,Coefs!T$292,0)</f>
        <v>2.256E-2</v>
      </c>
      <c r="U127" s="166" t="n">
        <f>VLOOKUP($B127,Conversores_Dieta!$B$4:$J$164,Coefs!U$292,0)</f>
        <v>544</v>
      </c>
      <c r="V127" s="166" t="n">
        <f>VLOOKUP($B127,Conversores_Dieta!$B$4:$J$164,Coefs!V$292,0)</f>
        <v>53</v>
      </c>
      <c r="W127" s="21" t="n">
        <f>VLOOKUP($B127,Conversores_Dieta!$B$4:$J$164,Coefs!W$292,0)</f>
        <v>1920</v>
      </c>
      <c r="X127" s="21" t="n">
        <f>VLOOKUP($B127,Conversores_Dieta!$B$4:$J$164,Coefs!X$292,0)</f>
        <v>0</v>
      </c>
      <c r="Y127" s="66"/>
      <c r="Z127" s="66"/>
      <c r="AA127" s="66"/>
      <c r="AB127" s="66"/>
      <c r="AC127" s="66"/>
      <c r="AD127" s="171"/>
      <c r="AE127" s="171"/>
      <c r="AF127" s="171"/>
      <c r="AG127" s="171"/>
      <c r="AH127" s="171"/>
      <c r="AI127" s="153" t="n">
        <f t="shared" si="53"/>
        <v>2.4258064516129031E-2</v>
      </c>
      <c r="AJ127" s="71"/>
      <c r="AK127" s="67"/>
      <c r="AL127" s="121" t="n">
        <v>0.49000000000000005</v>
      </c>
      <c r="AM127" s="153" t="n">
        <v>7.8000000000000005E-3</v>
      </c>
      <c r="AN127" s="86"/>
      <c r="AO127" s="44"/>
      <c r="AP127" s="153" t="n">
        <v>0.46460000000000001</v>
      </c>
      <c r="AQ127" s="121" t="n">
        <v>0.32499999999999996</v>
      </c>
      <c r="AR127" s="94"/>
      <c r="AS127" s="121" t="n">
        <v>0.78600546478873246</v>
      </c>
      <c r="AT127" s="59" t="n">
        <f t="shared" si="17"/>
        <v>0.17824592074592077</v>
      </c>
      <c r="AU127" s="87" t="n">
        <v>0.47636694835680754</v>
      </c>
      <c r="AV127" s="87" t="n">
        <v>0.30963851643192492</v>
      </c>
      <c r="AW127" s="5"/>
      <c r="AX127" s="107" t="n">
        <v>8.9999999999999993E-3</v>
      </c>
      <c r="AY127" s="119" t="n">
        <v>17.088139274279612</v>
      </c>
      <c r="AZ127" t="n">
        <v>0.7</v>
      </c>
      <c r="BA127" t="n">
        <v>82.2</v>
      </c>
      <c r="BB127" t="n">
        <v>49.1</v>
      </c>
      <c r="BC127" t="n">
        <v>464</v>
      </c>
      <c r="BD127" t="n">
        <v>48.9</v>
      </c>
      <c r="BE127" t="n">
        <v>1.5</v>
      </c>
      <c r="BF127" t="n">
        <v>38</v>
      </c>
      <c r="BG127" t="n">
        <v>21</v>
      </c>
      <c r="BH127" t="n">
        <v>1560</v>
      </c>
      <c r="BI127" t="n">
        <v>36.200000000000003</v>
      </c>
      <c r="BJ127" t="n">
        <v>0</v>
      </c>
      <c r="BK127" t="n">
        <v>0</v>
      </c>
      <c r="BL127" t="n">
        <v>710</v>
      </c>
      <c r="BM127" t="n">
        <v>30</v>
      </c>
      <c r="BN127" t="n">
        <v>261.90000000000003</v>
      </c>
      <c r="BO127" t="n">
        <v>1000</v>
      </c>
      <c r="BP127" t="n">
        <v>0</v>
      </c>
      <c r="BQ127" s="110"/>
    </row>
    <row r="128">
      <c r="A128" s="135"/>
      <c r="B128" s="44" t="s">
        <v>259</v>
      </c>
      <c r="C128" s="7" t="s">
        <v>240</v>
      </c>
      <c r="D128" s="142" t="s">
        <v>274</v>
      </c>
      <c r="E128" s="142"/>
      <c r="F128" s="94" t="n">
        <v>0.15</v>
      </c>
      <c r="G128" s="89" t="n">
        <v>0.65</v>
      </c>
      <c r="H128" s="87" t="n">
        <v>0.65</v>
      </c>
      <c r="I128" s="44"/>
      <c r="J128" s="44"/>
      <c r="K128" s="157" t="n">
        <v>15.226492513216924</v>
      </c>
      <c r="L128" s="166"/>
      <c r="M128" s="157" t="n">
        <v>15.226492513216924</v>
      </c>
      <c r="N128" s="166" t="n">
        <v>17.3</v>
      </c>
      <c r="O128" s="94" t="n">
        <v>0.18999999999999995</v>
      </c>
      <c r="P128" s="94" t="n">
        <v>0.81</v>
      </c>
      <c r="Q128" s="94" t="n">
        <v>4.2631578947368425</v>
      </c>
      <c r="R128" s="94"/>
      <c r="S128" s="65" t="n">
        <f>VLOOKUP(C128,$B$3:$X$358,MATCH(S$2,$B$2:$X$2,0),0)</f>
        <v>0.95750000000000002</v>
      </c>
      <c r="T128" s="130" t="n">
        <v>1.1679999999999999E-2</v>
      </c>
      <c r="U128" s="157" t="n">
        <f>VLOOKUP($C128,$B$3:$X$358,MATCH(U$2,$B$2:$X$2,0),0)*$G128/VLOOKUP($C128,$B$3:$X$358,MATCH($G$2,$B$2:$X$2,0),0)</f>
        <v>382.71905847943037</v>
      </c>
      <c r="V128" s="157" t="n">
        <f>VLOOKUP($C128,$B$3:$X$358,MATCH(V$2,$B$2:$X$2,0),0)*$G128/VLOOKUP($C128,$B$3:$X$358,MATCH($G$2,$B$2:$X$2,0),0)</f>
        <v>96.189000504883438</v>
      </c>
      <c r="W128" s="132" t="n">
        <f>VLOOKUP($C128,$B$3:$X$358,MATCH(W$2,$B$2:$X$2,0),0)*$G128/VLOOKUP($C128,$B$3:$X$358,MATCH($G$2,$B$2:$X$2,0),0)</f>
        <v>1269.6948066644613</v>
      </c>
      <c r="X128" s="132" t="n">
        <f>VLOOKUP($C128,$B$3:$X$358,MATCH(X$2,$B$2:$X$2,0),0)*$G128/VLOOKUP($C128,$B$3:$X$358,MATCH($G$2,$B$2:$X$2,0),0)</f>
        <v>0</v>
      </c>
      <c r="Y128" s="66"/>
      <c r="Z128" s="66"/>
      <c r="AA128" s="66"/>
      <c r="AB128" s="66"/>
      <c r="AC128" s="66"/>
      <c r="AD128" s="171"/>
      <c r="AE128" s="171"/>
      <c r="AF128" s="171"/>
      <c r="AG128" s="171"/>
      <c r="AH128" s="171"/>
      <c r="AI128" s="153" t="n">
        <f t="shared" si="53"/>
        <v>1.7969230769230769E-2</v>
      </c>
      <c r="AJ128" s="71"/>
      <c r="AK128" s="67"/>
      <c r="AL128" s="153" t="n">
        <v>0.62</v>
      </c>
      <c r="AM128" s="121" t="n">
        <v>7.4666666666666675E-3</v>
      </c>
      <c r="AN128" s="153"/>
      <c r="AO128" s="153"/>
      <c r="AP128" s="153" t="n">
        <v>0.46958440154440156</v>
      </c>
      <c r="AQ128" s="121" t="n">
        <v>0.32499999999999996</v>
      </c>
      <c r="AR128" s="94"/>
      <c r="AS128" s="121" t="n">
        <v>0.78600546478873246</v>
      </c>
      <c r="AT128" s="59" t="n">
        <f t="shared" si="17"/>
        <v>0.17824592074592077</v>
      </c>
      <c r="AU128" s="87" t="n">
        <v>0.47636694835680754</v>
      </c>
      <c r="AV128" s="87" t="n">
        <v>0.30963851643192492</v>
      </c>
      <c r="AW128" s="5"/>
      <c r="AX128" s="107" t="n">
        <v>8.9999999999999993E-3</v>
      </c>
      <c r="AY128" s="119" t="n">
        <v>26.615384615384617</v>
      </c>
      <c r="AZ128" t="n">
        <v>0.7</v>
      </c>
      <c r="BA128" s="156" t="n">
        <f>BA$82</f>
        <v>110</v>
      </c>
      <c r="BB128" s="156" t="n">
        <f t="shared" ref="BB128:BP128" si="55">BB$82</f>
        <v>62.9</v>
      </c>
      <c r="BC128" s="156" t="n">
        <f t="shared" si="55"/>
        <v>653</v>
      </c>
      <c r="BD128" s="156" t="n">
        <f t="shared" si="55"/>
        <v>280.10000000000002</v>
      </c>
      <c r="BE128" s="156" t="n">
        <f t="shared" si="55"/>
        <v>25</v>
      </c>
      <c r="BF128" s="156" t="n">
        <f t="shared" si="55"/>
        <v>0</v>
      </c>
      <c r="BG128" s="156" t="n">
        <f t="shared" si="55"/>
        <v>45</v>
      </c>
      <c r="BH128" s="156" t="n">
        <f t="shared" si="55"/>
        <v>2250</v>
      </c>
      <c r="BI128" s="156" t="n">
        <f t="shared" si="55"/>
        <v>371</v>
      </c>
      <c r="BJ128" s="156" t="n">
        <f t="shared" si="55"/>
        <v>0</v>
      </c>
      <c r="BK128" s="156" t="n">
        <f t="shared" si="55"/>
        <v>0</v>
      </c>
      <c r="BL128" s="156" t="n">
        <f t="shared" si="55"/>
        <v>0</v>
      </c>
      <c r="BM128" s="156" t="n">
        <f t="shared" si="55"/>
        <v>0</v>
      </c>
      <c r="BN128" s="156" t="n">
        <f t="shared" si="55"/>
        <v>209.5</v>
      </c>
      <c r="BO128" s="156" t="n">
        <f t="shared" si="55"/>
        <v>300</v>
      </c>
      <c r="BP128" s="156" t="n">
        <f t="shared" si="55"/>
        <v>15</v>
      </c>
      <c r="BQ128" s="110"/>
    </row>
    <row r="129">
      <c r="A129" s="135" t="n">
        <v>569</v>
      </c>
      <c r="B129" s="44" t="s">
        <v>258</v>
      </c>
      <c r="C129" s="44"/>
      <c r="D129" s="142" t="s">
        <v>227</v>
      </c>
      <c r="E129" s="142"/>
      <c r="F129" s="103" t="n">
        <v>0.29383040935672516</v>
      </c>
      <c r="G129" s="89" t="n">
        <v>0.19700000000000001</v>
      </c>
      <c r="H129" s="89" t="n">
        <v>0.80584999999999996</v>
      </c>
      <c r="I129" s="44"/>
      <c r="J129" s="44"/>
      <c r="K129" s="166" t="n">
        <v>2.996</v>
      </c>
      <c r="L129" s="166" t="n">
        <v>3.4618415999999992</v>
      </c>
      <c r="M129" s="166" t="n">
        <v>3.0658762400000001</v>
      </c>
      <c r="N129" s="157" t="n">
        <v>12.433863596666667</v>
      </c>
      <c r="O129" s="94" t="n">
        <v>0.62</v>
      </c>
      <c r="P129" s="94" t="n">
        <v>0.38</v>
      </c>
      <c r="Q129" s="94" t="n">
        <v>0.61290322580645162</v>
      </c>
      <c r="R129" s="94"/>
      <c r="S129" s="22" t="n">
        <f>VLOOKUP($B129,Conversores_Dieta!$B$4:$J$164,Coefs!S$292,0)</f>
        <v>1</v>
      </c>
      <c r="T129" s="130" t="n">
        <f>VLOOKUP($B129,Conversores_Dieta!$B$4:$J$164,Coefs!T$292,0)</f>
        <v>5.5999999999999999E-3</v>
      </c>
      <c r="U129" s="166" t="n">
        <f>VLOOKUP($B129,Conversores_Dieta!$B$4:$J$164,Coefs!U$292,0)</f>
        <v>20</v>
      </c>
      <c r="V129" s="166" t="n">
        <f>VLOOKUP($B129,Conversores_Dieta!$B$4:$J$164,Coefs!V$292,0)</f>
        <v>530</v>
      </c>
      <c r="W129" s="21" t="n">
        <f>VLOOKUP($B129,Conversores_Dieta!$B$4:$J$164,Coefs!W$292,0)</f>
        <v>1780</v>
      </c>
      <c r="X129" s="21" t="n">
        <f>VLOOKUP($B129,Conversores_Dieta!$B$4:$J$164,Coefs!X$292,0)</f>
        <v>70</v>
      </c>
      <c r="Y129" s="66"/>
      <c r="Z129" s="66"/>
      <c r="AA129" s="66"/>
      <c r="AB129" s="66"/>
      <c r="AC129" s="66"/>
      <c r="AD129" s="171"/>
      <c r="AE129" s="171"/>
      <c r="AF129" s="171"/>
      <c r="AG129" s="171"/>
      <c r="AH129" s="171"/>
      <c r="AI129" s="153" t="n">
        <f t="shared" si="53"/>
        <v>2.8426395939086292E-2</v>
      </c>
      <c r="AJ129" s="71"/>
      <c r="AK129" s="67"/>
      <c r="AL129" s="121" t="n">
        <v>0.49000000000000005</v>
      </c>
      <c r="AM129" s="153" t="n">
        <v>1.0500000000000001E-2</v>
      </c>
      <c r="AN129" s="86"/>
      <c r="AO129" s="44"/>
      <c r="AP129" s="153" t="n">
        <v>0.45549999999999996</v>
      </c>
      <c r="AQ129" s="121" t="n">
        <v>0.32499999999999996</v>
      </c>
      <c r="AR129" s="94"/>
      <c r="AS129" s="121" t="n">
        <v>0.78600546478873246</v>
      </c>
      <c r="AT129" s="59" t="n">
        <f t="shared" si="17"/>
        <v>0.17824592074592077</v>
      </c>
      <c r="AU129" s="87" t="n">
        <v>0.47636694835680754</v>
      </c>
      <c r="AV129" s="87" t="n">
        <v>0.30963851643192492</v>
      </c>
      <c r="AW129" s="5"/>
      <c r="AX129" s="107" t="n">
        <v>8.9999999999999993E-3</v>
      </c>
      <c r="AY129" s="119" t="n">
        <v>15.429501267812455</v>
      </c>
      <c r="AZ129" t="n">
        <v>0.7</v>
      </c>
      <c r="BA129" t="n">
        <v>25</v>
      </c>
      <c r="BB129" t="n">
        <v>0.89999999999999991</v>
      </c>
      <c r="BC129" t="n">
        <v>1</v>
      </c>
      <c r="BD129" t="n">
        <v>2.1</v>
      </c>
      <c r="BE129" t="n">
        <v>0</v>
      </c>
      <c r="BF129" t="n">
        <v>6</v>
      </c>
      <c r="BG129" t="n">
        <v>3</v>
      </c>
      <c r="BH129" t="n">
        <v>200</v>
      </c>
      <c r="BI129" t="n">
        <v>4.46</v>
      </c>
      <c r="BJ129" t="n">
        <v>0</v>
      </c>
      <c r="BK129" t="n">
        <v>0</v>
      </c>
      <c r="BL129" t="n">
        <v>70</v>
      </c>
      <c r="BM129" t="n">
        <v>20</v>
      </c>
      <c r="BN129" t="n">
        <v>8.9</v>
      </c>
      <c r="BO129" t="n">
        <v>350</v>
      </c>
      <c r="BP129" t="n">
        <v>7.5</v>
      </c>
      <c r="BQ129" s="110"/>
    </row>
    <row r="130">
      <c r="A130" s="135" t="n">
        <v>222</v>
      </c>
      <c r="B130" s="44" t="s">
        <v>257</v>
      </c>
      <c r="C130" s="44"/>
      <c r="D130" s="142" t="s">
        <v>239</v>
      </c>
      <c r="E130" s="142"/>
      <c r="F130" s="103" t="n">
        <v>0.29383040935672516</v>
      </c>
      <c r="G130" s="89" t="n">
        <v>0.75249999999999995</v>
      </c>
      <c r="H130" s="89" t="n">
        <v>0.83174999999999999</v>
      </c>
      <c r="I130" s="44"/>
      <c r="J130" s="44"/>
      <c r="K130" s="166" t="n">
        <v>26.791</v>
      </c>
      <c r="L130" s="166" t="n">
        <v>15.464064</v>
      </c>
      <c r="M130" s="166" t="n">
        <v>21.127532000000002</v>
      </c>
      <c r="N130" s="157" t="n">
        <v>12.809269199999999</v>
      </c>
      <c r="O130" s="94" t="n">
        <v>0.4</v>
      </c>
      <c r="P130" s="94" t="n">
        <v>0.6</v>
      </c>
      <c r="Q130" s="94" t="n">
        <v>1.4999999999999998</v>
      </c>
      <c r="R130" s="94"/>
      <c r="S130" s="22" t="n">
        <f>VLOOKUP($B130,Conversores_Dieta!$B$4:$J$164,Coefs!S$292,0)</f>
        <v>1</v>
      </c>
      <c r="T130" s="130" t="n">
        <f>VLOOKUP($B130,Conversores_Dieta!$B$4:$J$164,Coefs!T$292,0)</f>
        <v>2.24E-2</v>
      </c>
      <c r="U130" s="166" t="n">
        <f>VLOOKUP($B130,Conversores_Dieta!$B$4:$J$164,Coefs!U$292,0)</f>
        <v>590</v>
      </c>
      <c r="V130" s="166" t="n">
        <f>VLOOKUP($B130,Conversores_Dieta!$B$4:$J$164,Coefs!V$292,0)</f>
        <v>33</v>
      </c>
      <c r="W130" s="21" t="n">
        <f>VLOOKUP($B130,Conversores_Dieta!$B$4:$J$164,Coefs!W$292,0)</f>
        <v>770</v>
      </c>
      <c r="X130" s="21" t="n">
        <f>VLOOKUP($B130,Conversores_Dieta!$B$4:$J$164,Coefs!X$292,0)</f>
        <v>0</v>
      </c>
      <c r="Y130" s="66"/>
      <c r="Z130" s="66"/>
      <c r="AA130" s="66"/>
      <c r="AB130" s="66"/>
      <c r="AC130" s="66"/>
      <c r="AD130" s="171"/>
      <c r="AE130" s="171"/>
      <c r="AF130" s="171"/>
      <c r="AG130" s="171"/>
      <c r="AH130" s="171"/>
      <c r="AI130" s="153" t="n">
        <f t="shared" si="53"/>
        <v>2.9767441860465118E-2</v>
      </c>
      <c r="AJ130" s="71"/>
      <c r="AK130" s="67"/>
      <c r="AL130" s="121" t="n">
        <v>0.49000000000000005</v>
      </c>
      <c r="AM130" s="153" t="n">
        <v>9.8999999999999991E-3</v>
      </c>
      <c r="AN130" s="86"/>
      <c r="AO130" s="44"/>
      <c r="AP130" s="153" t="n">
        <v>0.4914</v>
      </c>
      <c r="AQ130" s="121" t="n">
        <v>0.32499999999999996</v>
      </c>
      <c r="AR130" s="94"/>
      <c r="AS130" s="121" t="n">
        <v>0.78600546478873246</v>
      </c>
      <c r="AT130" s="59" t="n">
        <f t="shared" si="17"/>
        <v>0.17824592074592077</v>
      </c>
      <c r="AU130" s="87" t="n">
        <v>0.47636694835680754</v>
      </c>
      <c r="AV130" s="87" t="n">
        <v>0.30963851643192492</v>
      </c>
      <c r="AW130" s="5"/>
      <c r="AX130" s="107" t="n">
        <v>8.9999999999999993E-3</v>
      </c>
      <c r="AY130" s="119" t="n">
        <v>15.400383769161406</v>
      </c>
      <c r="AZ130" t="n">
        <v>0.7</v>
      </c>
      <c r="BA130" t="n">
        <v>52</v>
      </c>
      <c r="BB130" t="n">
        <v>74.2</v>
      </c>
      <c r="BC130" t="n">
        <v>121.30000000000001</v>
      </c>
      <c r="BD130" t="n">
        <v>437</v>
      </c>
      <c r="BE130" t="n">
        <v>0.4</v>
      </c>
      <c r="BF130" t="n">
        <v>23</v>
      </c>
      <c r="BG130" t="n">
        <v>21</v>
      </c>
      <c r="BH130" t="n">
        <v>1400</v>
      </c>
      <c r="BI130" t="n">
        <v>36.200000000000003</v>
      </c>
      <c r="BJ130" t="n">
        <v>0</v>
      </c>
      <c r="BK130" t="n">
        <v>0</v>
      </c>
      <c r="BL130" t="n">
        <v>660</v>
      </c>
      <c r="BM130" t="n">
        <v>0</v>
      </c>
      <c r="BN130" t="n">
        <v>8</v>
      </c>
      <c r="BO130" t="n">
        <v>300</v>
      </c>
      <c r="BP130" t="n">
        <v>0.1</v>
      </c>
      <c r="BQ130" s="110"/>
    </row>
    <row r="131">
      <c r="A131" s="135" t="n">
        <v>220</v>
      </c>
      <c r="B131" s="44" t="s">
        <v>256</v>
      </c>
      <c r="C131" s="44"/>
      <c r="D131" s="142" t="s">
        <v>239</v>
      </c>
      <c r="E131" s="142"/>
      <c r="F131" s="103" t="n">
        <v>0.29383040935672516</v>
      </c>
      <c r="G131" s="89" t="n">
        <v>0.5</v>
      </c>
      <c r="H131" s="87" t="n">
        <v>0.75599666666666676</v>
      </c>
      <c r="I131" s="44"/>
      <c r="J131" s="44"/>
      <c r="K131" s="166" t="n">
        <v>8.5039999999999996</v>
      </c>
      <c r="L131" s="166" t="n">
        <v>14.93688</v>
      </c>
      <c r="M131" s="166" t="n">
        <v>9.6619183999999994</v>
      </c>
      <c r="N131" s="157" t="n">
        <v>12.809269199999999</v>
      </c>
      <c r="O131" s="103" t="n">
        <v>0.36816497502819395</v>
      </c>
      <c r="P131" s="103" t="n">
        <v>0.6318350249718061</v>
      </c>
      <c r="Q131" s="103" t="n">
        <v>1.7613756613756613</v>
      </c>
      <c r="R131" s="94"/>
      <c r="S131" s="22" t="n">
        <f>VLOOKUP($B131,Conversores_Dieta!$B$4:$J$164,Coefs!S$292,0)</f>
        <v>0.83</v>
      </c>
      <c r="T131" s="130" t="n">
        <f>VLOOKUP($B131,Conversores_Dieta!$B$4:$J$164,Coefs!T$292,0)</f>
        <v>2.5600000000000002E-3</v>
      </c>
      <c r="U131" s="166" t="n">
        <f>VLOOKUP($B131,Conversores_Dieta!$B$4:$J$164,Coefs!U$292,0)</f>
        <v>22</v>
      </c>
      <c r="V131" s="166" t="n">
        <f>VLOOKUP($B131,Conversores_Dieta!$B$4:$J$164,Coefs!V$292,0)</f>
        <v>304</v>
      </c>
      <c r="W131" s="21" t="n">
        <f>VLOOKUP($B131,Conversores_Dieta!$B$4:$J$164,Coefs!W$292,0)</f>
        <v>380</v>
      </c>
      <c r="X131" s="21" t="n">
        <f>VLOOKUP($B131,Conversores_Dieta!$B$4:$J$164,Coefs!X$292,0)</f>
        <v>0</v>
      </c>
      <c r="Y131" s="66"/>
      <c r="Z131" s="66"/>
      <c r="AA131" s="66"/>
      <c r="AB131" s="66"/>
      <c r="AC131" s="66"/>
      <c r="AD131" s="171"/>
      <c r="AE131" s="171"/>
      <c r="AF131" s="171"/>
      <c r="AG131" s="171"/>
      <c r="AH131" s="171"/>
      <c r="AI131" s="153" t="n">
        <f t="shared" si="53"/>
        <v>5.1200000000000004E-3</v>
      </c>
      <c r="AJ131" s="71"/>
      <c r="AK131" s="67"/>
      <c r="AL131" s="121" t="n">
        <v>0.49000000000000005</v>
      </c>
      <c r="AM131" s="121" t="n">
        <v>7.4666666666666675E-3</v>
      </c>
      <c r="AN131" s="153"/>
      <c r="AO131" s="153"/>
      <c r="AP131" s="153" t="n">
        <v>0.46958440154440156</v>
      </c>
      <c r="AQ131" s="121" t="n">
        <v>0.32499999999999996</v>
      </c>
      <c r="AR131" s="94"/>
      <c r="AS131" s="121" t="n">
        <v>0.78600546478873246</v>
      </c>
      <c r="AT131" s="59" t="n">
        <f t="shared" ref="AT131:AT194" si="56">$AT$228</f>
        <v>0.17824592074592077</v>
      </c>
      <c r="AU131" s="87" t="n">
        <v>0.47636694835680754</v>
      </c>
      <c r="AV131" s="87" t="n">
        <v>0.30963851643192492</v>
      </c>
      <c r="AW131" s="5"/>
      <c r="AX131" s="107" t="n">
        <v>8.9999999999999993E-3</v>
      </c>
      <c r="AY131" s="119" t="n">
        <v>16.943552484799312</v>
      </c>
      <c r="AZ131" t="n">
        <v>0.7</v>
      </c>
      <c r="BA131" t="n">
        <v>67</v>
      </c>
      <c r="BB131" t="n">
        <v>4.2</v>
      </c>
      <c r="BC131" t="n">
        <v>8.2999999999999989</v>
      </c>
      <c r="BD131" t="n">
        <v>12.5</v>
      </c>
      <c r="BE131" t="n">
        <v>0</v>
      </c>
      <c r="BF131" t="n">
        <v>15.8</v>
      </c>
      <c r="BG131" t="n">
        <v>23.599999999999998</v>
      </c>
      <c r="BH131" t="n">
        <v>343</v>
      </c>
      <c r="BI131" t="n">
        <v>36.200000000000003</v>
      </c>
      <c r="BJ131" t="n">
        <v>0</v>
      </c>
      <c r="BK131" t="n">
        <v>0</v>
      </c>
      <c r="BL131" t="n">
        <v>124.2</v>
      </c>
      <c r="BM131" t="n">
        <v>172</v>
      </c>
      <c r="BN131" t="n">
        <v>12</v>
      </c>
      <c r="BO131" t="n">
        <v>300</v>
      </c>
      <c r="BP131" t="n">
        <v>0</v>
      </c>
      <c r="BQ131" s="110"/>
    </row>
    <row r="132">
      <c r="A132" s="135" t="n">
        <v>515</v>
      </c>
      <c r="B132" s="44" t="s">
        <v>255</v>
      </c>
      <c r="C132" s="44"/>
      <c r="D132" s="142" t="s">
        <v>227</v>
      </c>
      <c r="E132" s="142"/>
      <c r="F132" s="103" t="n">
        <v>0.29383040935672516</v>
      </c>
      <c r="G132" s="89" t="n">
        <v>0.16</v>
      </c>
      <c r="H132" s="89" t="n">
        <v>0.68653999999999993</v>
      </c>
      <c r="I132" s="44"/>
      <c r="J132" s="44"/>
      <c r="K132" s="166" t="n">
        <v>2.109</v>
      </c>
      <c r="L132" s="166" t="n">
        <v>2.5129104000000004</v>
      </c>
      <c r="M132" s="166" t="n">
        <v>2.1736256640000002</v>
      </c>
      <c r="N132" s="166" t="n">
        <v>12.646066799999998</v>
      </c>
      <c r="O132" s="94" t="n">
        <v>0.72996183206106868</v>
      </c>
      <c r="P132" s="94" t="n">
        <f>Q132/(1+Q132)</f>
        <v>0.27160651006853825</v>
      </c>
      <c r="Q132" s="94" t="n">
        <f>1.6*G132/H132</f>
        <v>0.37288431846651326</v>
      </c>
      <c r="R132" s="94"/>
      <c r="S132" s="22" t="n">
        <f>VLOOKUP($B132,Conversores_Dieta!$B$4:$J$164,Coefs!S$292,0)</f>
        <v>0.84</v>
      </c>
      <c r="T132" s="130" t="n">
        <f>VLOOKUP($B132,Conversores_Dieta!$B$4:$J$164,Coefs!T$292,0)</f>
        <v>4.8000000000000001E-4</v>
      </c>
      <c r="U132" s="166" t="n">
        <f>VLOOKUP($B132,Conversores_Dieta!$B$4:$J$164,Coefs!U$292,0)</f>
        <v>0</v>
      </c>
      <c r="V132" s="166" t="n">
        <f>VLOOKUP($B132,Conversores_Dieta!$B$4:$J$164,Coefs!V$292,0)</f>
        <v>120</v>
      </c>
      <c r="W132" s="21" t="n">
        <f>VLOOKUP($B132,Conversores_Dieta!$B$4:$J$164,Coefs!W$292,0)</f>
        <v>60</v>
      </c>
      <c r="X132" s="21" t="n">
        <f>VLOOKUP($B132,Conversores_Dieta!$B$4:$J$164,Coefs!X$292,0)</f>
        <v>40</v>
      </c>
      <c r="Y132" s="66"/>
      <c r="Z132" s="66"/>
      <c r="AA132" s="66"/>
      <c r="AB132" s="66"/>
      <c r="AC132" s="66"/>
      <c r="AD132" s="171"/>
      <c r="AE132" s="171"/>
      <c r="AF132" s="171"/>
      <c r="AG132" s="171"/>
      <c r="AH132" s="171"/>
      <c r="AI132" s="153" t="n">
        <f t="shared" si="53"/>
        <v>3.0000000000000001E-3</v>
      </c>
      <c r="AJ132" s="71"/>
      <c r="AK132" s="67"/>
      <c r="AL132" s="121" t="n">
        <v>0.49000000000000005</v>
      </c>
      <c r="AM132" s="153" t="n">
        <v>7.4000000000000003E-3</v>
      </c>
      <c r="AN132" s="86"/>
      <c r="AO132" s="44"/>
      <c r="AP132" s="153" t="n">
        <v>0.46382702702702705</v>
      </c>
      <c r="AQ132" s="121" t="n">
        <v>0.32499999999999996</v>
      </c>
      <c r="AR132" s="94"/>
      <c r="AS132" s="121" t="n">
        <v>0.74366197183098592</v>
      </c>
      <c r="AT132" s="59" t="n">
        <f t="shared" si="56"/>
        <v>0.17824592074592077</v>
      </c>
      <c r="AU132" s="87" t="n">
        <v>0.45070422535211269</v>
      </c>
      <c r="AV132" s="87" t="n">
        <v>0.29295774647887324</v>
      </c>
      <c r="AW132" s="5"/>
      <c r="AX132" s="107" t="n">
        <v>8.9999999999999993E-3</v>
      </c>
      <c r="AY132" s="119" t="n">
        <v>18.419999999999998</v>
      </c>
      <c r="AZ132" t="n">
        <v>0.7</v>
      </c>
      <c r="BA132" t="n">
        <v>20</v>
      </c>
      <c r="BB132" t="n">
        <v>2</v>
      </c>
      <c r="BC132" t="n">
        <v>1.5</v>
      </c>
      <c r="BD132" t="n">
        <v>1.1000000000000001</v>
      </c>
      <c r="BE132" t="n">
        <v>0</v>
      </c>
      <c r="BF132" t="n">
        <v>4</v>
      </c>
      <c r="BG132" t="n">
        <v>1</v>
      </c>
      <c r="BH132" t="n">
        <v>50</v>
      </c>
      <c r="BI132" t="n">
        <v>5.04</v>
      </c>
      <c r="BJ132" t="n">
        <v>0</v>
      </c>
      <c r="BK132" t="n">
        <v>0</v>
      </c>
      <c r="BL132" t="n">
        <v>10</v>
      </c>
      <c r="BM132" t="n">
        <v>30</v>
      </c>
      <c r="BN132" t="n">
        <v>5.3000000000000007</v>
      </c>
      <c r="BO132" t="n">
        <v>1000</v>
      </c>
      <c r="BP132" t="n">
        <v>0.3</v>
      </c>
      <c r="BQ132" s="110"/>
    </row>
    <row r="133">
      <c r="A133" s="135" t="n">
        <v>486</v>
      </c>
      <c r="B133" s="44" t="s">
        <v>254</v>
      </c>
      <c r="C133" s="44"/>
      <c r="D133" s="142" t="s">
        <v>227</v>
      </c>
      <c r="E133" s="142"/>
      <c r="F133" s="94" t="n">
        <v>0.41499999999999998</v>
      </c>
      <c r="G133" s="89" t="n">
        <v>0.249</v>
      </c>
      <c r="H133" s="87" t="n">
        <v>0.249</v>
      </c>
      <c r="I133" s="44"/>
      <c r="J133" s="44"/>
      <c r="K133" s="166" t="n">
        <v>3.7930000000000001</v>
      </c>
      <c r="L133" s="166" t="n">
        <v>4.3756272000000003</v>
      </c>
      <c r="M133" s="166" t="n">
        <v>3.9910932480000003</v>
      </c>
      <c r="N133" s="157" t="n">
        <v>12.433863596666667</v>
      </c>
      <c r="O133" s="94" t="n">
        <v>0.4</v>
      </c>
      <c r="P133" s="94" t="n">
        <v>0.6</v>
      </c>
      <c r="Q133" s="94" t="n">
        <v>1.4999999999999998</v>
      </c>
      <c r="R133" s="94"/>
      <c r="S133" s="22" t="n">
        <f>VLOOKUP($B133,Conversores_Dieta!$B$4:$J$164,Coefs!S$292,0)</f>
        <v>0.66</v>
      </c>
      <c r="T133" s="130" t="n">
        <f>VLOOKUP($B133,Conversores_Dieta!$B$4:$J$164,Coefs!T$292,0)</f>
        <v>1.92E-3</v>
      </c>
      <c r="U133" s="166" t="n">
        <f>VLOOKUP($B133,Conversores_Dieta!$B$4:$J$164,Coefs!U$292,0)</f>
        <v>3</v>
      </c>
      <c r="V133" s="166" t="n">
        <f>VLOOKUP($B133,Conversores_Dieta!$B$4:$J$164,Coefs!V$292,0)</f>
        <v>200</v>
      </c>
      <c r="W133" s="21" t="n">
        <f>VLOOKUP($B133,Conversores_Dieta!$B$4:$J$164,Coefs!W$292,0)</f>
        <v>90</v>
      </c>
      <c r="X133" s="21" t="n">
        <f>VLOOKUP($B133,Conversores_Dieta!$B$4:$J$164,Coefs!X$292,0)</f>
        <v>180</v>
      </c>
      <c r="Y133" s="66"/>
      <c r="Z133" s="66"/>
      <c r="AA133" s="66"/>
      <c r="AB133" s="66"/>
      <c r="AC133" s="66"/>
      <c r="AD133" s="171"/>
      <c r="AE133" s="171"/>
      <c r="AF133" s="171"/>
      <c r="AG133" s="171"/>
      <c r="AH133" s="171"/>
      <c r="AI133" s="153" t="n">
        <f t="shared" si="53"/>
        <v>7.7108433734939764E-3</v>
      </c>
      <c r="AJ133" s="71"/>
      <c r="AK133" s="67"/>
      <c r="AL133" s="121" t="n">
        <v>0.49000000000000005</v>
      </c>
      <c r="AM133" s="121" t="n">
        <v>7.4666666666666675E-3</v>
      </c>
      <c r="AN133" s="153"/>
      <c r="AO133" s="153"/>
      <c r="AP133" s="153" t="n">
        <v>0.46958440154440156</v>
      </c>
      <c r="AQ133" s="121" t="n">
        <v>0.32499999999999996</v>
      </c>
      <c r="AR133" s="94"/>
      <c r="AS133" s="121" t="n">
        <v>0.78600546478873246</v>
      </c>
      <c r="AT133" s="59" t="n">
        <f t="shared" si="56"/>
        <v>0.17824592074592077</v>
      </c>
      <c r="AU133" s="87" t="n">
        <v>0.47636694835680754</v>
      </c>
      <c r="AV133" s="87" t="n">
        <v>0.30963851643192492</v>
      </c>
      <c r="AW133" s="5"/>
      <c r="AX133" s="107" t="n">
        <v>8.9999999999999993E-3</v>
      </c>
      <c r="AY133" s="119" t="n">
        <v>49.935195167336012</v>
      </c>
      <c r="AZ133" t="n">
        <v>0.7</v>
      </c>
      <c r="BA133" t="n">
        <v>34</v>
      </c>
      <c r="BB133" t="n">
        <v>1.1000000000000001</v>
      </c>
      <c r="BC133" t="n">
        <v>0.4</v>
      </c>
      <c r="BD133" t="n">
        <v>0.89999999999999991</v>
      </c>
      <c r="BE133" t="n">
        <v>0</v>
      </c>
      <c r="BF133" t="n">
        <v>6</v>
      </c>
      <c r="BG133" t="n">
        <v>2.3000000000000003</v>
      </c>
      <c r="BH133" t="n">
        <v>380</v>
      </c>
      <c r="BI133" t="n">
        <v>4.1900000000000004</v>
      </c>
      <c r="BJ133" t="n">
        <v>0</v>
      </c>
      <c r="BK133" t="n">
        <v>0</v>
      </c>
      <c r="BL133" t="n">
        <v>220</v>
      </c>
      <c r="BM133" t="n">
        <v>0</v>
      </c>
      <c r="BN133" t="n">
        <v>2</v>
      </c>
      <c r="BO133" t="n">
        <v>150</v>
      </c>
      <c r="BP133" t="n">
        <v>3.5</v>
      </c>
      <c r="BQ133" s="110"/>
    </row>
    <row r="134">
      <c r="A134" s="135" t="n">
        <v>260</v>
      </c>
      <c r="B134" s="44" t="s">
        <v>253</v>
      </c>
      <c r="C134" s="44"/>
      <c r="D134" s="142" t="s">
        <v>253</v>
      </c>
      <c r="E134" s="142" t="n">
        <v>3604.4444444444439</v>
      </c>
      <c r="F134" s="94" t="n">
        <v>0.21</v>
      </c>
      <c r="G134" s="89" t="n">
        <v>0.53900000000000003</v>
      </c>
      <c r="H134" s="89" t="n">
        <v>0.69725999999999999</v>
      </c>
      <c r="I134" s="44"/>
      <c r="J134" s="44"/>
      <c r="K134" s="166" t="n">
        <v>11.55</v>
      </c>
      <c r="L134" s="166"/>
      <c r="M134" s="166" t="n">
        <v>11.55</v>
      </c>
      <c r="N134" s="166" t="n">
        <v>13.164268800000002</v>
      </c>
      <c r="O134" s="94" t="n">
        <v>0.51275366690529955</v>
      </c>
      <c r="P134" s="94" t="n">
        <f>Q134/(1+Q134)</f>
        <v>0.51974708305208495</v>
      </c>
      <c r="Q134" s="94" t="n">
        <f>1.4*G134/H134</f>
        <v>1.0822361816252188</v>
      </c>
      <c r="R134" s="94"/>
      <c r="S134" s="22" t="n">
        <f>VLOOKUP($B134,Conversores_Dieta!$B$4:$J$164,Coefs!S$292,0)</f>
        <v>0.8</v>
      </c>
      <c r="T134" s="130" t="n">
        <v>3.8E-3</v>
      </c>
      <c r="U134" s="166" t="n">
        <f>VLOOKUP($B134,Conversores_Dieta!$B$4:$J$164,Coefs!U$292,0)</f>
        <v>200</v>
      </c>
      <c r="V134" s="166" t="n">
        <f>VLOOKUP($B134,Conversores_Dieta!$B$4:$J$164,Coefs!V$292,0)</f>
        <v>10</v>
      </c>
      <c r="W134" s="21" t="n">
        <f>VLOOKUP($B134,Conversores_Dieta!$B$4:$J$164,Coefs!W$292,0)</f>
        <v>630</v>
      </c>
      <c r="X134" s="21" t="n">
        <f>VLOOKUP($B134,Conversores_Dieta!$B$4:$J$164,Coefs!X$292,0)</f>
        <v>220</v>
      </c>
      <c r="Y134" s="66"/>
      <c r="Z134" s="66"/>
      <c r="AA134" s="66"/>
      <c r="AB134" s="66"/>
      <c r="AC134" s="66"/>
      <c r="AD134" s="171"/>
      <c r="AE134" s="171"/>
      <c r="AF134" s="171"/>
      <c r="AG134" s="171"/>
      <c r="AH134" s="171"/>
      <c r="AI134" s="130" t="n">
        <f t="shared" si="53"/>
        <v>7.050092764378478E-3</v>
      </c>
      <c r="AJ134" s="71"/>
      <c r="AK134" s="67"/>
      <c r="AL134" s="121" t="n">
        <v>0.49000000000000005</v>
      </c>
      <c r="AM134" s="153" t="n">
        <v>9.1500000000000001E-3</v>
      </c>
      <c r="AN134" s="86"/>
      <c r="AO134" s="44"/>
      <c r="AP134" s="153" t="n">
        <v>0.45274999999999999</v>
      </c>
      <c r="AQ134" s="121" t="n">
        <v>0.32499999999999996</v>
      </c>
      <c r="AR134" s="94"/>
      <c r="AS134" s="121" t="n">
        <v>0.78600546478873246</v>
      </c>
      <c r="AT134" s="59" t="n">
        <f t="shared" si="56"/>
        <v>0.17824592074592077</v>
      </c>
      <c r="AU134" s="87" t="n">
        <v>0.47636694835680754</v>
      </c>
      <c r="AV134" s="87" t="n">
        <v>0.30963851643192492</v>
      </c>
      <c r="AW134" s="5"/>
      <c r="AX134" s="107" t="n">
        <v>8.9999999999999993E-3</v>
      </c>
      <c r="AY134" s="119" t="n">
        <v>18.880000000000003</v>
      </c>
      <c r="AZ134" t="n">
        <v>0.7</v>
      </c>
      <c r="BA134" t="n">
        <v>48</v>
      </c>
      <c r="BB134" t="n">
        <v>26</v>
      </c>
      <c r="BC134" t="n">
        <v>87</v>
      </c>
      <c r="BD134" t="n">
        <v>6</v>
      </c>
      <c r="BE134" t="n">
        <v>1</v>
      </c>
      <c r="BF134" t="n">
        <v>17.7</v>
      </c>
      <c r="BG134" t="n">
        <v>5.0999999999999996</v>
      </c>
      <c r="BH134" t="n">
        <v>220</v>
      </c>
      <c r="BI134" t="n">
        <v>0.5</v>
      </c>
      <c r="BJ134" t="n">
        <v>0</v>
      </c>
      <c r="BK134" t="n">
        <v>0</v>
      </c>
      <c r="BL134" t="n">
        <v>104</v>
      </c>
      <c r="BM134" t="n">
        <v>0.70000000000000007</v>
      </c>
      <c r="BN134" t="n">
        <v>14.8</v>
      </c>
      <c r="BO134" t="n">
        <v>750</v>
      </c>
      <c r="BP134" t="n">
        <v>3</v>
      </c>
      <c r="BQ134" s="110"/>
    </row>
    <row r="135">
      <c r="A135" s="135" t="n">
        <v>572</v>
      </c>
      <c r="B135" s="44" t="s">
        <v>252</v>
      </c>
      <c r="C135" s="44"/>
      <c r="D135" s="142" t="s">
        <v>227</v>
      </c>
      <c r="E135" s="142"/>
      <c r="F135" s="94" t="n">
        <v>0.25</v>
      </c>
      <c r="G135" s="89" t="n">
        <v>0.26666666666666666</v>
      </c>
      <c r="H135" s="87" t="n">
        <v>0.68246400000000018</v>
      </c>
      <c r="I135" s="44"/>
      <c r="J135" s="44"/>
      <c r="K135" s="166" t="n">
        <v>6.0279999999999996</v>
      </c>
      <c r="L135" s="166" t="n">
        <v>13.392230880000001</v>
      </c>
      <c r="M135" s="166" t="n">
        <v>8.1636269551999998</v>
      </c>
      <c r="N135" s="157" t="n">
        <v>12.433863596666667</v>
      </c>
      <c r="O135" s="94" t="n">
        <v>0.71</v>
      </c>
      <c r="P135" s="94" t="n">
        <v>0.29000000000000004</v>
      </c>
      <c r="Q135" s="94" t="n">
        <v>0.40845070422535212</v>
      </c>
      <c r="R135" s="94"/>
      <c r="S135" s="22" t="n">
        <f>VLOOKUP($B135,Conversores_Dieta!$B$4:$J$164,Coefs!S$292,0)</f>
        <v>0.71</v>
      </c>
      <c r="T135" s="130" t="n">
        <f>VLOOKUP($B135,Conversores_Dieta!$B$4:$J$164,Coefs!T$292,0)</f>
        <v>2.3999999999999998E-3</v>
      </c>
      <c r="U135" s="166" t="n">
        <f>VLOOKUP($B135,Conversores_Dieta!$B$4:$J$164,Coefs!U$292,0)</f>
        <v>120</v>
      </c>
      <c r="V135" s="166" t="n">
        <f>VLOOKUP($B135,Conversores_Dieta!$B$4:$J$164,Coefs!V$292,0)</f>
        <v>59</v>
      </c>
      <c r="W135" s="21" t="n">
        <f>VLOOKUP($B135,Conversores_Dieta!$B$4:$J$164,Coefs!W$292,0)</f>
        <v>160</v>
      </c>
      <c r="X135" s="21" t="n">
        <f>VLOOKUP($B135,Conversores_Dieta!$B$4:$J$164,Coefs!X$292,0)</f>
        <v>250</v>
      </c>
      <c r="Y135" s="66"/>
      <c r="Z135" s="66"/>
      <c r="AA135" s="66"/>
      <c r="AB135" s="66"/>
      <c r="AC135" s="66"/>
      <c r="AD135" s="171"/>
      <c r="AE135" s="171"/>
      <c r="AF135" s="171"/>
      <c r="AG135" s="171"/>
      <c r="AH135" s="171"/>
      <c r="AI135" s="153" t="n">
        <f t="shared" si="53"/>
        <v>8.9999999999999993E-3</v>
      </c>
      <c r="AJ135" s="71"/>
      <c r="AK135" s="67"/>
      <c r="AL135" s="121" t="n">
        <v>0.49000000000000005</v>
      </c>
      <c r="AM135" s="121" t="n">
        <v>7.4666666666666675E-3</v>
      </c>
      <c r="AN135" s="153"/>
      <c r="AO135" s="153"/>
      <c r="AP135" s="153" t="n">
        <v>0.46958440154440156</v>
      </c>
      <c r="AQ135" s="121" t="n">
        <v>0.32499999999999996</v>
      </c>
      <c r="AR135" s="94"/>
      <c r="AS135" s="121" t="n">
        <v>0.78600546478873246</v>
      </c>
      <c r="AT135" s="59" t="n">
        <f t="shared" si="56"/>
        <v>0.17824592074592077</v>
      </c>
      <c r="AU135" s="87" t="n">
        <v>0.47636694835680754</v>
      </c>
      <c r="AV135" s="87" t="n">
        <v>0.30963851643192492</v>
      </c>
      <c r="AW135" s="5"/>
      <c r="AX135" s="107" t="n">
        <v>8.9999999999999993E-3</v>
      </c>
      <c r="AY135" s="119" t="n">
        <v>18.219076166166513</v>
      </c>
      <c r="AZ135" t="n">
        <v>0.7</v>
      </c>
      <c r="BA135" t="n">
        <v>63</v>
      </c>
      <c r="BB135" t="n">
        <v>14.1</v>
      </c>
      <c r="BC135" t="n">
        <v>90.1</v>
      </c>
      <c r="BD135" t="n">
        <v>10.4</v>
      </c>
      <c r="BE135" t="n">
        <v>0</v>
      </c>
      <c r="BF135" t="n">
        <v>7</v>
      </c>
      <c r="BG135" t="n">
        <v>3</v>
      </c>
      <c r="BH135" t="n">
        <v>410</v>
      </c>
      <c r="BI135" t="n">
        <v>3.53</v>
      </c>
      <c r="BJ135" t="n">
        <v>0</v>
      </c>
      <c r="BK135" t="n">
        <v>0</v>
      </c>
      <c r="BL135" t="n">
        <v>110</v>
      </c>
      <c r="BM135" t="n">
        <v>170</v>
      </c>
      <c r="BN135" t="n">
        <v>32</v>
      </c>
      <c r="BO135" t="n">
        <v>100</v>
      </c>
      <c r="BP135" t="n">
        <v>7</v>
      </c>
      <c r="BQ135" s="110"/>
    </row>
    <row r="136">
      <c r="A136" s="135" t="n">
        <v>223</v>
      </c>
      <c r="B136" s="44" t="s">
        <v>251</v>
      </c>
      <c r="C136" s="8" t="s">
        <v>240</v>
      </c>
      <c r="D136" s="142" t="e">
        <v>#N/A</v>
      </c>
      <c r="E136" s="142"/>
      <c r="F136" s="103" t="n">
        <v>0.29383040935672516</v>
      </c>
      <c r="G136" s="87" t="n">
        <v>0.7179875</v>
      </c>
      <c r="H136" s="87" t="n">
        <v>0.75599666666666676</v>
      </c>
      <c r="I136" s="44"/>
      <c r="J136" s="44"/>
      <c r="K136" s="166" t="n">
        <v>26.841000000000005</v>
      </c>
      <c r="L136" s="166" t="n">
        <v>14.93688</v>
      </c>
      <c r="M136" s="166" t="n">
        <v>21.246063600000003</v>
      </c>
      <c r="N136" s="157" t="n">
        <v>12.809269199999999</v>
      </c>
      <c r="O136" s="94" t="n">
        <v>0.4</v>
      </c>
      <c r="P136" s="94" t="n">
        <v>0.6</v>
      </c>
      <c r="Q136" s="94" t="n">
        <v>1.4999999999999998</v>
      </c>
      <c r="R136" s="94"/>
      <c r="S136" s="65" t="n">
        <f>VLOOKUP(C136,$B$3:$X$358,MATCH(S$2,$B$2:$X$2,0),0)</f>
        <v>0.95750000000000002</v>
      </c>
      <c r="T136" s="130" t="n">
        <v>1.1639999999999999E-2</v>
      </c>
      <c r="U136" s="157" t="n">
        <f>VLOOKUP($C136,$B$3:$X$358,MATCH(U$2,$B$2:$X$2,0),0)*$G136/VLOOKUP($C136,$B$3:$X$358,MATCH($G$2,$B$2:$X$2,0),0)</f>
        <v>422.75</v>
      </c>
      <c r="V136" s="157" t="n">
        <f>VLOOKUP($C136,$B$3:$X$358,MATCH(V$2,$B$2:$X$2,0),0)*$G136/VLOOKUP($C136,$B$3:$X$358,MATCH($G$2,$B$2:$X$2,0),0)</f>
        <v>106.24999999999999</v>
      </c>
      <c r="W136" s="132" t="n">
        <f>VLOOKUP($C136,$B$3:$X$358,MATCH(W$2,$B$2:$X$2,0),0)*$G136/VLOOKUP($C136,$B$3:$X$358,MATCH($G$2,$B$2:$X$2,0),0)</f>
        <v>1402.5</v>
      </c>
      <c r="X136" s="132" t="n">
        <f>VLOOKUP($C136,$B$3:$X$358,MATCH(X$2,$B$2:$X$2,0),0)*$G136/VLOOKUP($C136,$B$3:$X$358,MATCH($G$2,$B$2:$X$2,0),0)</f>
        <v>0</v>
      </c>
      <c r="Y136" s="66"/>
      <c r="Z136" s="66"/>
      <c r="AA136" s="66"/>
      <c r="AB136" s="66"/>
      <c r="AC136" s="66"/>
      <c r="AD136" s="171"/>
      <c r="AE136" s="171"/>
      <c r="AF136" s="171"/>
      <c r="AG136" s="171"/>
      <c r="AH136" s="171"/>
      <c r="AI136" s="153" t="n">
        <f t="shared" si="53"/>
        <v>1.6211981406361532E-2</v>
      </c>
      <c r="AJ136" s="71"/>
      <c r="AK136" s="67"/>
      <c r="AL136" s="121" t="n">
        <v>0.49000000000000005</v>
      </c>
      <c r="AM136" s="121" t="n">
        <v>7.4666666666666675E-3</v>
      </c>
      <c r="AN136" s="153"/>
      <c r="AO136" s="153"/>
      <c r="AP136" s="153" t="n">
        <v>0.46958440154440156</v>
      </c>
      <c r="AQ136" s="121" t="n">
        <v>0.32499999999999996</v>
      </c>
      <c r="AR136" s="94"/>
      <c r="AS136" s="121" t="n">
        <v>0.78600546478873246</v>
      </c>
      <c r="AT136" s="59" t="n">
        <f t="shared" si="56"/>
        <v>0.17824592074592077</v>
      </c>
      <c r="AU136" s="87" t="n">
        <v>0.47636694835680754</v>
      </c>
      <c r="AV136" s="87" t="n">
        <v>0.30963851643192492</v>
      </c>
      <c r="AW136" s="5"/>
      <c r="AX136" s="107" t="n">
        <v>8.9999999999999993E-3</v>
      </c>
      <c r="AY136" s="119" t="n">
        <v>16.943552484799312</v>
      </c>
      <c r="AZ136" t="n">
        <v>0.7</v>
      </c>
      <c r="BA136" t="n">
        <v>65</v>
      </c>
      <c r="BB136" t="n">
        <v>62.1</v>
      </c>
      <c r="BC136" t="n">
        <v>263.5</v>
      </c>
      <c r="BD136" t="n">
        <v>156.30000000000001</v>
      </c>
      <c r="BE136" t="n">
        <v>1</v>
      </c>
      <c r="BF136" t="n">
        <v>72</v>
      </c>
      <c r="BG136" t="n">
        <v>28</v>
      </c>
      <c r="BH136" t="n">
        <v>1220</v>
      </c>
      <c r="BI136" t="n">
        <v>36.200000000000003</v>
      </c>
      <c r="BJ136" t="n">
        <v>0</v>
      </c>
      <c r="BK136" t="n">
        <v>0</v>
      </c>
      <c r="BL136" t="n">
        <v>580</v>
      </c>
      <c r="BM136" t="n">
        <v>0</v>
      </c>
      <c r="BN136" t="n">
        <v>52</v>
      </c>
      <c r="BO136" t="n">
        <v>550</v>
      </c>
      <c r="BP136" t="n">
        <v>1.5</v>
      </c>
      <c r="BQ136" s="110"/>
    </row>
    <row r="137">
      <c r="A137" s="135" t="n">
        <v>526</v>
      </c>
      <c r="B137" s="44" t="s">
        <v>250</v>
      </c>
      <c r="C137" s="44"/>
      <c r="D137" s="142" t="s">
        <v>227</v>
      </c>
      <c r="E137" s="142"/>
      <c r="F137" s="103" t="n">
        <v>0.29383040935672516</v>
      </c>
      <c r="G137" s="89" t="n">
        <v>0.18631999999999999</v>
      </c>
      <c r="H137" s="89" t="n">
        <v>0.70977500000000004</v>
      </c>
      <c r="I137" s="44"/>
      <c r="J137" s="44"/>
      <c r="K137" s="166" t="n">
        <v>1.7989999999999999</v>
      </c>
      <c r="L137" s="166" t="n">
        <v>15.868238400000001</v>
      </c>
      <c r="M137" s="166" t="n">
        <v>2.924539072</v>
      </c>
      <c r="N137" s="166" t="n">
        <v>13.698657500000001</v>
      </c>
      <c r="O137" s="94" t="n">
        <v>0.70854123862635743</v>
      </c>
      <c r="P137" s="94" t="n">
        <f>Q137/(1+Q137)</f>
        <v>0.26874285896790001</v>
      </c>
      <c r="Q137" s="94" t="n">
        <f>1.4*G137/H137</f>
        <v>0.36750801310274378</v>
      </c>
      <c r="R137" s="94"/>
      <c r="S137" s="22" t="n">
        <f>VLOOKUP($B137,Conversores_Dieta!$B$4:$J$164,Coefs!S$292,0)</f>
        <v>0.92</v>
      </c>
      <c r="T137" s="130" t="n">
        <f>VLOOKUP($B137,Conversores_Dieta!$B$4:$J$164,Coefs!T$292,0)</f>
        <v>1.2800000000000001E-3</v>
      </c>
      <c r="U137" s="166" t="n">
        <f>VLOOKUP($B137,Conversores_Dieta!$B$4:$J$164,Coefs!U$292,0)</f>
        <v>0</v>
      </c>
      <c r="V137" s="166" t="n">
        <f>VLOOKUP($B137,Conversores_Dieta!$B$4:$J$164,Coefs!V$292,0)</f>
        <v>95</v>
      </c>
      <c r="W137" s="21" t="n">
        <f>VLOOKUP($B137,Conversores_Dieta!$B$4:$J$164,Coefs!W$292,0)</f>
        <v>170</v>
      </c>
      <c r="X137" s="21" t="n">
        <f>VLOOKUP($B137,Conversores_Dieta!$B$4:$J$164,Coefs!X$292,0)</f>
        <v>270</v>
      </c>
      <c r="Y137" s="66"/>
      <c r="Z137" s="66"/>
      <c r="AA137" s="66"/>
      <c r="AB137" s="66"/>
      <c r="AC137" s="66"/>
      <c r="AD137" s="171"/>
      <c r="AE137" s="171"/>
      <c r="AF137" s="171"/>
      <c r="AG137" s="171"/>
      <c r="AH137" s="171"/>
      <c r="AI137" s="153" t="n">
        <f t="shared" si="53"/>
        <v>6.8699012451696019E-3</v>
      </c>
      <c r="AJ137" s="71"/>
      <c r="AK137" s="67"/>
      <c r="AL137" s="121" t="n">
        <v>0.49000000000000005</v>
      </c>
      <c r="AM137" s="153" t="n">
        <v>5.4000000000000003E-3</v>
      </c>
      <c r="AN137" s="86"/>
      <c r="AO137" s="44"/>
      <c r="AP137" s="153" t="n">
        <v>0.48159999999999997</v>
      </c>
      <c r="AQ137" s="121" t="n">
        <v>0.32499999999999996</v>
      </c>
      <c r="AR137" s="94" t="n">
        <v>0.49</v>
      </c>
      <c r="AS137" s="121" t="n">
        <v>0.78600546478873246</v>
      </c>
      <c r="AT137" s="59" t="n">
        <f t="shared" si="56"/>
        <v>0.17824592074592077</v>
      </c>
      <c r="AU137" s="87" t="n">
        <v>0.47636694835680754</v>
      </c>
      <c r="AV137" s="87" t="n">
        <v>0.30963851643192492</v>
      </c>
      <c r="AW137" s="5"/>
      <c r="AX137" s="107" t="n">
        <v>8.9999999999999993E-3</v>
      </c>
      <c r="AY137" s="119" t="n">
        <v>19.3</v>
      </c>
      <c r="AZ137" t="n">
        <v>0.7</v>
      </c>
      <c r="BA137" t="n">
        <v>21</v>
      </c>
      <c r="BB137" t="n">
        <v>0.1</v>
      </c>
      <c r="BC137" t="n">
        <v>0.4</v>
      </c>
      <c r="BD137" t="n">
        <v>0.2</v>
      </c>
      <c r="BE137" t="n">
        <v>0</v>
      </c>
      <c r="BF137" t="n">
        <v>5</v>
      </c>
      <c r="BG137" t="n">
        <v>1</v>
      </c>
      <c r="BH137" t="n">
        <v>120</v>
      </c>
      <c r="BI137" t="n">
        <v>3.53</v>
      </c>
      <c r="BJ137" t="n">
        <v>0</v>
      </c>
      <c r="BK137" t="n">
        <v>0</v>
      </c>
      <c r="BL137" t="n">
        <v>50</v>
      </c>
      <c r="BM137" t="n">
        <v>70</v>
      </c>
      <c r="BN137" t="n">
        <v>7</v>
      </c>
      <c r="BO137" t="n">
        <v>300</v>
      </c>
      <c r="BP137" t="n">
        <v>20</v>
      </c>
      <c r="BQ137" s="110"/>
    </row>
    <row r="138">
      <c r="A138" s="135" t="n">
        <v>531</v>
      </c>
      <c r="B138" s="44" t="s">
        <v>249</v>
      </c>
      <c r="C138" s="44"/>
      <c r="D138" s="142" t="s">
        <v>227</v>
      </c>
      <c r="E138" s="142"/>
      <c r="F138" s="103" t="n">
        <v>0.29383040935672516</v>
      </c>
      <c r="G138" s="89" t="n">
        <v>0.26167000000000001</v>
      </c>
      <c r="H138" s="89" t="n">
        <v>0.70977500000000004</v>
      </c>
      <c r="I138" s="44"/>
      <c r="J138" s="44"/>
      <c r="K138" s="166" t="n">
        <v>2.6739999999999999</v>
      </c>
      <c r="L138" s="166" t="n">
        <v>16.202121600000002</v>
      </c>
      <c r="M138" s="166" t="n">
        <v>4.4326558080000007</v>
      </c>
      <c r="N138" s="166" t="n">
        <v>12.492040000000001</v>
      </c>
      <c r="O138" s="94" t="n">
        <v>0.66449511400651473</v>
      </c>
      <c r="P138" s="94" t="n">
        <f>Q138/(1+Q138)</f>
        <v>0.34042707410838824</v>
      </c>
      <c r="Q138" s="94" t="n">
        <f>1.4*G138/H138</f>
        <v>0.51613257722517691</v>
      </c>
      <c r="R138" s="94"/>
      <c r="S138" s="22" t="n">
        <f>VLOOKUP($B138,Conversores_Dieta!$B$4:$J$164,Coefs!S$292,0)</f>
        <v>0.87</v>
      </c>
      <c r="T138" s="130" t="n">
        <f>VLOOKUP($B138,Conversores_Dieta!$B$4:$J$164,Coefs!T$292,0)</f>
        <v>1.2800000000000001E-3</v>
      </c>
      <c r="U138" s="166" t="n">
        <f>VLOOKUP($B138,Conversores_Dieta!$B$4:$J$164,Coefs!U$292,0)</f>
        <v>5</v>
      </c>
      <c r="V138" s="166" t="n">
        <f>VLOOKUP($B138,Conversores_Dieta!$B$4:$J$164,Coefs!V$292,0)</f>
        <v>135</v>
      </c>
      <c r="W138" s="21" t="n">
        <f>VLOOKUP($B138,Conversores_Dieta!$B$4:$J$164,Coefs!W$292,0)</f>
        <v>160</v>
      </c>
      <c r="X138" s="21" t="n">
        <f>VLOOKUP($B138,Conversores_Dieta!$B$4:$J$164,Coefs!X$292,0)</f>
        <v>30</v>
      </c>
      <c r="Y138" s="66"/>
      <c r="Z138" s="66"/>
      <c r="AA138" s="66"/>
      <c r="AB138" s="66"/>
      <c r="AC138" s="66"/>
      <c r="AD138" s="171"/>
      <c r="AE138" s="171"/>
      <c r="AF138" s="171"/>
      <c r="AG138" s="171"/>
      <c r="AH138" s="171"/>
      <c r="AI138" s="153" t="n">
        <f t="shared" si="53"/>
        <v>4.8916574311155276E-3</v>
      </c>
      <c r="AJ138" s="71"/>
      <c r="AK138" s="67"/>
      <c r="AL138" s="121" t="n">
        <v>0.49000000000000005</v>
      </c>
      <c r="AM138" s="153" t="n">
        <v>1.0200000000000001E-2</v>
      </c>
      <c r="AN138" s="86"/>
      <c r="AO138" s="44"/>
      <c r="AP138" s="153" t="n">
        <v>0.46110000000000001</v>
      </c>
      <c r="AQ138" s="121" t="n">
        <v>0.32499999999999996</v>
      </c>
      <c r="AR138" s="94" t="n">
        <v>0.49</v>
      </c>
      <c r="AS138" s="121" t="n">
        <v>0.78600546478873246</v>
      </c>
      <c r="AT138" s="59" t="n">
        <f t="shared" si="56"/>
        <v>0.17824592074592077</v>
      </c>
      <c r="AU138" s="87" t="n">
        <v>0.47636694835680754</v>
      </c>
      <c r="AV138" s="87" t="n">
        <v>0.30963851643192492</v>
      </c>
      <c r="AW138" s="5"/>
      <c r="AX138" s="107" t="n">
        <v>8.9999999999999993E-3</v>
      </c>
      <c r="AY138" s="119" t="n">
        <v>17.600000000000001</v>
      </c>
      <c r="AZ138" t="n">
        <v>0.7</v>
      </c>
      <c r="BA138" t="n">
        <v>15</v>
      </c>
      <c r="BB138" t="n">
        <v>0.70000000000000007</v>
      </c>
      <c r="BC138" t="n">
        <v>0.8</v>
      </c>
      <c r="BD138" t="n">
        <v>0.89999999999999991</v>
      </c>
      <c r="BE138" t="n">
        <v>0</v>
      </c>
      <c r="BF138" t="n">
        <v>4</v>
      </c>
      <c r="BG138" t="n">
        <v>1.2</v>
      </c>
      <c r="BH138" t="n">
        <v>110</v>
      </c>
      <c r="BI138" t="n">
        <v>3.89</v>
      </c>
      <c r="BJ138" t="n">
        <v>0</v>
      </c>
      <c r="BK138" t="n">
        <v>0</v>
      </c>
      <c r="BL138" t="n">
        <v>80</v>
      </c>
      <c r="BM138" t="n">
        <v>80</v>
      </c>
      <c r="BN138" t="n">
        <v>1</v>
      </c>
      <c r="BO138" t="n">
        <v>1750</v>
      </c>
      <c r="BP138" t="n">
        <v>2</v>
      </c>
      <c r="BQ138" s="110"/>
    </row>
    <row r="139">
      <c r="A139" s="135" t="n">
        <v>221</v>
      </c>
      <c r="B139" s="44" t="s">
        <v>248</v>
      </c>
      <c r="C139" s="44"/>
      <c r="D139" s="142" t="s">
        <v>239</v>
      </c>
      <c r="E139" s="142"/>
      <c r="F139" s="103" t="n">
        <v>0.29383040935672516</v>
      </c>
      <c r="G139" s="89" t="n">
        <v>0.68945000000000001</v>
      </c>
      <c r="H139" s="89" t="n">
        <v>0.68663999999999992</v>
      </c>
      <c r="I139" s="44"/>
      <c r="J139" s="44"/>
      <c r="K139" s="166" t="n">
        <v>26.06</v>
      </c>
      <c r="L139" s="166" t="n">
        <v>16.928463999999998</v>
      </c>
      <c r="M139" s="166" t="n">
        <v>19.667924799999998</v>
      </c>
      <c r="N139" s="166" t="n">
        <v>12.809269199999999</v>
      </c>
      <c r="O139" s="94" t="n">
        <v>0.30449492508458187</v>
      </c>
      <c r="P139" s="94" t="n">
        <v>0.69550507491541813</v>
      </c>
      <c r="Q139" s="94" t="n">
        <v>2.2841269841269844</v>
      </c>
      <c r="R139" s="94"/>
      <c r="S139" s="22" t="n">
        <f>VLOOKUP($B139,Conversores_Dieta!$B$4:$J$164,Coefs!S$292,0)</f>
        <v>1</v>
      </c>
      <c r="T139" s="130" t="n">
        <f>VLOOKUP($B139,Conversores_Dieta!$B$4:$J$164,Coefs!T$292,0)</f>
        <v>3.2000000000000001E-2</v>
      </c>
      <c r="U139" s="166" t="n">
        <f>VLOOKUP($B139,Conversores_Dieta!$B$4:$J$164,Coefs!U$292,0)</f>
        <v>535</v>
      </c>
      <c r="V139" s="166" t="n">
        <f>VLOOKUP($B139,Conversores_Dieta!$B$4:$J$164,Coefs!V$292,0)</f>
        <v>35</v>
      </c>
      <c r="W139" s="21" t="n">
        <f>VLOOKUP($B139,Conversores_Dieta!$B$4:$J$164,Coefs!W$292,0)</f>
        <v>2540</v>
      </c>
      <c r="X139" s="21" t="n">
        <f>VLOOKUP($B139,Conversores_Dieta!$B$4:$J$164,Coefs!X$292,0)</f>
        <v>0</v>
      </c>
      <c r="Y139" s="66"/>
      <c r="Z139" s="66"/>
      <c r="AA139" s="66"/>
      <c r="AB139" s="66"/>
      <c r="AC139" s="66"/>
      <c r="AD139" s="171"/>
      <c r="AE139" s="171"/>
      <c r="AF139" s="171"/>
      <c r="AG139" s="171"/>
      <c r="AH139" s="171"/>
      <c r="AI139" s="153" t="n">
        <f t="shared" si="53"/>
        <v>4.6413808107912104E-2</v>
      </c>
      <c r="AJ139" s="71"/>
      <c r="AK139" s="67"/>
      <c r="AL139" s="121" t="n">
        <v>0.49000000000000005</v>
      </c>
      <c r="AM139" s="153" t="n">
        <v>6.7000000000000002E-3</v>
      </c>
      <c r="AN139" s="86"/>
      <c r="AO139" s="44"/>
      <c r="AP139" s="153" t="n">
        <v>0.4991666666666667</v>
      </c>
      <c r="AQ139" s="121" t="n">
        <v>0.32499999999999996</v>
      </c>
      <c r="AR139" s="94" t="n">
        <v>0.49</v>
      </c>
      <c r="AS139" s="121" t="n">
        <v>0.78600546478873246</v>
      </c>
      <c r="AT139" s="59" t="n">
        <f t="shared" si="56"/>
        <v>0.17824592074592077</v>
      </c>
      <c r="AU139" s="87" t="n">
        <v>0.47636694835680754</v>
      </c>
      <c r="AV139" s="87" t="n">
        <v>0.30963851643192492</v>
      </c>
      <c r="AW139" s="5"/>
      <c r="AX139" s="107" t="n">
        <v>8.9999999999999993E-3</v>
      </c>
      <c r="AY139" s="119" t="n">
        <v>18.655000000000001</v>
      </c>
      <c r="AZ139" t="n">
        <v>0.7</v>
      </c>
      <c r="BA139" t="n">
        <v>83.5</v>
      </c>
      <c r="BB139" t="n">
        <v>43.2</v>
      </c>
      <c r="BC139" t="n">
        <v>279.8</v>
      </c>
      <c r="BD139" t="n">
        <v>111.4</v>
      </c>
      <c r="BE139" t="n">
        <v>0.1</v>
      </c>
      <c r="BF139" t="n">
        <v>35.9</v>
      </c>
      <c r="BG139" t="n">
        <v>36</v>
      </c>
      <c r="BH139" t="n">
        <v>2581.3000000000002</v>
      </c>
      <c r="BI139" t="n">
        <v>36.200000000000003</v>
      </c>
      <c r="BJ139" t="n">
        <v>0</v>
      </c>
      <c r="BK139" t="n">
        <v>0</v>
      </c>
      <c r="BL139" t="n">
        <v>700</v>
      </c>
      <c r="BM139" t="n">
        <v>0</v>
      </c>
      <c r="BN139" t="n">
        <v>240</v>
      </c>
      <c r="BO139" t="n">
        <v>850</v>
      </c>
      <c r="BP139" t="n">
        <v>0</v>
      </c>
      <c r="BQ139" s="110"/>
    </row>
    <row r="140">
      <c r="A140" s="135" t="n">
        <v>534</v>
      </c>
      <c r="B140" s="44" t="s">
        <v>247</v>
      </c>
      <c r="C140" s="44"/>
      <c r="D140" s="142" t="s">
        <v>227</v>
      </c>
      <c r="E140" s="142"/>
      <c r="F140" s="103" t="n">
        <v>0.29383040935672516</v>
      </c>
      <c r="G140" s="89" t="n">
        <v>0.20791999999999999</v>
      </c>
      <c r="H140" s="89" t="n">
        <v>0.68646000000000007</v>
      </c>
      <c r="I140" s="44"/>
      <c r="J140" s="44"/>
      <c r="K140" s="166" t="n">
        <v>1.6679999999999999</v>
      </c>
      <c r="L140" s="166" t="n">
        <v>16.272412800000001</v>
      </c>
      <c r="M140" s="166" t="n">
        <v>3.4205295360000001</v>
      </c>
      <c r="N140" s="166" t="n">
        <v>13.317324000000001</v>
      </c>
      <c r="O140" s="94" t="n">
        <v>0.79761840244761617</v>
      </c>
      <c r="P140" s="94" t="n">
        <v>0.20238159755238383</v>
      </c>
      <c r="Q140" s="94" t="n">
        <v>0.2537323573921369</v>
      </c>
      <c r="R140" s="94"/>
      <c r="S140" s="22" t="n">
        <f>VLOOKUP($B140,Conversores_Dieta!$B$4:$J$164,Coefs!S$292,0)</f>
        <v>0.88</v>
      </c>
      <c r="T140" s="130" t="n">
        <f>VLOOKUP($B140,Conversores_Dieta!$B$4:$J$164,Coefs!T$292,0)</f>
        <v>9.6000000000000002E-4</v>
      </c>
      <c r="U140" s="166" t="n">
        <f>VLOOKUP($B140,Conversores_Dieta!$B$4:$J$164,Coefs!U$292,0)</f>
        <v>0</v>
      </c>
      <c r="V140" s="166" t="n">
        <f>VLOOKUP($B140,Conversores_Dieta!$B$4:$J$164,Coefs!V$292,0)</f>
        <v>90</v>
      </c>
      <c r="W140" s="21" t="n">
        <f>VLOOKUP($B140,Conversores_Dieta!$B$4:$J$164,Coefs!W$292,0)</f>
        <v>80</v>
      </c>
      <c r="X140" s="21" t="n">
        <f>VLOOKUP($B140,Conversores_Dieta!$B$4:$J$164,Coefs!X$292,0)</f>
        <v>40</v>
      </c>
      <c r="Y140" s="66"/>
      <c r="Z140" s="66"/>
      <c r="AA140" s="66"/>
      <c r="AB140" s="66"/>
      <c r="AC140" s="66"/>
      <c r="AD140" s="171"/>
      <c r="AE140" s="171"/>
      <c r="AF140" s="171"/>
      <c r="AG140" s="171"/>
      <c r="AH140" s="171"/>
      <c r="AI140" s="153" t="n">
        <f t="shared" si="53"/>
        <v>4.6171604463255099E-3</v>
      </c>
      <c r="AJ140" s="71"/>
      <c r="AK140" s="67"/>
      <c r="AL140" s="121" t="n">
        <v>0.49000000000000005</v>
      </c>
      <c r="AM140" s="153" t="n">
        <v>6.0999999999999995E-3</v>
      </c>
      <c r="AN140" s="86"/>
      <c r="AO140" s="44"/>
      <c r="AP140" s="153" t="n">
        <v>0.48460000000000003</v>
      </c>
      <c r="AQ140" s="121" t="n">
        <v>0.32499999999999996</v>
      </c>
      <c r="AR140" s="94" t="n">
        <v>0.49</v>
      </c>
      <c r="AS140" s="121" t="n">
        <v>0.78600546478873246</v>
      </c>
      <c r="AT140" s="59" t="n">
        <f t="shared" si="56"/>
        <v>0.17824592074592077</v>
      </c>
      <c r="AU140" s="87" t="n">
        <v>0.47636694835680754</v>
      </c>
      <c r="AV140" s="87" t="n">
        <v>0.30963851643192492</v>
      </c>
      <c r="AW140" s="5"/>
      <c r="AX140" s="107" t="n">
        <v>8.9999999999999993E-3</v>
      </c>
      <c r="AY140" s="119" t="n">
        <v>19.399999999999999</v>
      </c>
      <c r="AZ140" t="n">
        <v>0.7</v>
      </c>
      <c r="BA140" t="n">
        <v>14</v>
      </c>
      <c r="BB140" t="n">
        <v>0.2</v>
      </c>
      <c r="BC140" t="n">
        <v>0.6</v>
      </c>
      <c r="BD140" t="n">
        <v>0.8</v>
      </c>
      <c r="BE140" t="n">
        <v>0</v>
      </c>
      <c r="BF140" t="n">
        <v>4</v>
      </c>
      <c r="BG140" t="n">
        <v>0.6</v>
      </c>
      <c r="BH140" t="n">
        <v>90</v>
      </c>
      <c r="BI140" t="n">
        <v>3.53</v>
      </c>
      <c r="BJ140" t="n">
        <v>0</v>
      </c>
      <c r="BK140" t="n">
        <v>0</v>
      </c>
      <c r="BL140" t="n">
        <v>30</v>
      </c>
      <c r="BM140" t="n">
        <v>80</v>
      </c>
      <c r="BN140" t="n">
        <v>5</v>
      </c>
      <c r="BO140" t="n">
        <v>200</v>
      </c>
      <c r="BP140" t="n">
        <v>6.3</v>
      </c>
      <c r="BQ140" s="110"/>
    </row>
    <row r="141">
      <c r="A141" s="135"/>
      <c r="B141" s="44" t="s">
        <v>246</v>
      </c>
      <c r="C141" s="44"/>
      <c r="D141" s="142" t="s">
        <v>227</v>
      </c>
      <c r="E141" s="142"/>
      <c r="F141" s="103" t="n">
        <v>0.29383040935672516</v>
      </c>
      <c r="G141" s="89" t="n">
        <v>0.2</v>
      </c>
      <c r="H141" s="87" t="n">
        <v>0.68246400000000018</v>
      </c>
      <c r="I141" s="44"/>
      <c r="J141" s="44"/>
      <c r="K141" s="166" t="n">
        <v>1.4750000000000001</v>
      </c>
      <c r="L141" s="166" t="n">
        <v>1.4936879999999995</v>
      </c>
      <c r="M141" s="166" t="n">
        <v>1.4871471999999997</v>
      </c>
      <c r="N141" s="157" t="n">
        <v>12.433863596666667</v>
      </c>
      <c r="O141" s="94" t="n">
        <v>0.7834757834757835</v>
      </c>
      <c r="P141" s="94" t="n">
        <v>0.2165242165242165</v>
      </c>
      <c r="Q141" s="94" t="n">
        <v>0.27636363636363631</v>
      </c>
      <c r="R141" s="94"/>
      <c r="S141" s="22" t="n">
        <f>VLOOKUP($B141,Conversores_Dieta!$B$4:$J$164,Coefs!S$292,0)</f>
        <v>0.35</v>
      </c>
      <c r="T141" s="130" t="n">
        <f>VLOOKUP($B141,Conversores_Dieta!$B$4:$J$164,Coefs!T$292,0)</f>
        <v>1.1199999999999999E-3</v>
      </c>
      <c r="U141" s="166" t="n">
        <f>VLOOKUP($B141,Conversores_Dieta!$B$4:$J$164,Coefs!U$292,0)</f>
        <v>1</v>
      </c>
      <c r="V141" s="166" t="n">
        <f>VLOOKUP($B141,Conversores_Dieta!$B$4:$J$164,Coefs!V$292,0)</f>
        <v>75</v>
      </c>
      <c r="W141" s="21" t="n">
        <f>VLOOKUP($B141,Conversores_Dieta!$B$4:$J$164,Coefs!W$292,0)</f>
        <v>80</v>
      </c>
      <c r="X141" s="21" t="n">
        <f>VLOOKUP($B141,Conversores_Dieta!$B$4:$J$164,Coefs!X$292,0)</f>
        <v>35</v>
      </c>
      <c r="Y141" s="66"/>
      <c r="Z141" s="66"/>
      <c r="AA141" s="66"/>
      <c r="AB141" s="66"/>
      <c r="AC141" s="66"/>
      <c r="AD141" s="171"/>
      <c r="AE141" s="171"/>
      <c r="AF141" s="171"/>
      <c r="AG141" s="171"/>
      <c r="AH141" s="171"/>
      <c r="AI141" s="153" t="n">
        <f t="shared" si="53"/>
        <v>5.5999999999999991E-3</v>
      </c>
      <c r="AJ141" s="71"/>
      <c r="AK141" s="67"/>
      <c r="AL141" s="121" t="n">
        <v>0.49000000000000005</v>
      </c>
      <c r="AM141" s="121" t="n">
        <v>7.4666666666666675E-3</v>
      </c>
      <c r="AN141" s="153"/>
      <c r="AO141" s="153"/>
      <c r="AP141" s="153" t="n">
        <v>0.46958440154440156</v>
      </c>
      <c r="AQ141" s="121" t="n">
        <v>0.32499999999999996</v>
      </c>
      <c r="AR141" s="94"/>
      <c r="AS141" s="121" t="n">
        <v>0.78600546478873246</v>
      </c>
      <c r="AT141" s="59" t="n">
        <f t="shared" si="56"/>
        <v>0.17824592074592077</v>
      </c>
      <c r="AU141" s="87" t="n">
        <v>0.47636694835680754</v>
      </c>
      <c r="AV141" s="87" t="n">
        <v>0.30963851643192492</v>
      </c>
      <c r="AW141" s="5"/>
      <c r="AX141" s="107" t="n">
        <v>8.9999999999999993E-3</v>
      </c>
      <c r="AY141" s="119" t="n">
        <v>18.219076166166513</v>
      </c>
      <c r="AZ141" t="n">
        <v>0.7</v>
      </c>
      <c r="BA141" t="n">
        <v>35</v>
      </c>
      <c r="BB141" t="n">
        <v>0</v>
      </c>
      <c r="BC141" t="n">
        <v>0</v>
      </c>
      <c r="BD141" t="n">
        <v>0</v>
      </c>
      <c r="BE141" t="n">
        <v>0</v>
      </c>
      <c r="BF141" t="n">
        <v>10</v>
      </c>
      <c r="BG141" t="n">
        <v>1</v>
      </c>
      <c r="BH141" t="n">
        <v>60</v>
      </c>
      <c r="BI141" t="n">
        <v>5.04</v>
      </c>
      <c r="BJ141" t="n">
        <v>0</v>
      </c>
      <c r="BK141" t="n">
        <v>0</v>
      </c>
      <c r="BL141" t="n">
        <v>290</v>
      </c>
      <c r="BM141" t="n">
        <v>200</v>
      </c>
      <c r="BN141" t="n">
        <v>5.5</v>
      </c>
      <c r="BO141" t="n">
        <v>550</v>
      </c>
      <c r="BP141" t="n">
        <v>1.3</v>
      </c>
      <c r="BQ141" s="110"/>
    </row>
    <row r="142">
      <c r="A142" s="135" t="n">
        <v>521</v>
      </c>
      <c r="B142" s="44" t="s">
        <v>245</v>
      </c>
      <c r="C142" s="44"/>
      <c r="D142" s="142" t="s">
        <v>227</v>
      </c>
      <c r="E142" s="142"/>
      <c r="F142" s="103" t="n">
        <v>0.29383040935672516</v>
      </c>
      <c r="G142" s="89" t="n">
        <v>0.18</v>
      </c>
      <c r="H142" s="89" t="n">
        <v>0.68886000000000003</v>
      </c>
      <c r="I142" s="44"/>
      <c r="J142" s="44"/>
      <c r="K142" s="166" t="n">
        <v>1.8939999999999997</v>
      </c>
      <c r="L142" s="166" t="n">
        <v>2.3371824000000001</v>
      </c>
      <c r="M142" s="166" t="n">
        <v>1.9471818879999998</v>
      </c>
      <c r="N142" s="166" t="n">
        <v>12.8196846</v>
      </c>
      <c r="O142" s="94" t="n">
        <v>0.74441420796333424</v>
      </c>
      <c r="P142" s="94" t="n">
        <v>0.2555857920366657</v>
      </c>
      <c r="Q142" s="94" t="n">
        <v>0.34333814333814328</v>
      </c>
      <c r="R142" s="94"/>
      <c r="S142" s="22" t="n">
        <f>VLOOKUP($B142,Conversores_Dieta!$B$4:$J$164,Coefs!S$292,0)</f>
        <v>0.88</v>
      </c>
      <c r="T142" s="130" t="n">
        <f>VLOOKUP($B142,Conversores_Dieta!$B$4:$J$164,Coefs!T$292,0)</f>
        <v>6.4000000000000005E-4</v>
      </c>
      <c r="U142" s="166" t="n">
        <f>VLOOKUP($B142,Conversores_Dieta!$B$4:$J$164,Coefs!U$292,0)</f>
        <v>0</v>
      </c>
      <c r="V142" s="166" t="n">
        <f>VLOOKUP($B142,Conversores_Dieta!$B$4:$J$164,Coefs!V$292,0)</f>
        <v>106</v>
      </c>
      <c r="W142" s="21" t="n">
        <f>VLOOKUP($B142,Conversores_Dieta!$B$4:$J$164,Coefs!W$292,0)</f>
        <v>120</v>
      </c>
      <c r="X142" s="21" t="n">
        <f>VLOOKUP($B142,Conversores_Dieta!$B$4:$J$164,Coefs!X$292,0)</f>
        <v>100</v>
      </c>
      <c r="Y142" s="66"/>
      <c r="Z142" s="66"/>
      <c r="AA142" s="66"/>
      <c r="AB142" s="66"/>
      <c r="AC142" s="66"/>
      <c r="AD142" s="171"/>
      <c r="AE142" s="171"/>
      <c r="AF142" s="171"/>
      <c r="AG142" s="171"/>
      <c r="AH142" s="171"/>
      <c r="AI142" s="153" t="n">
        <f t="shared" si="53"/>
        <v>3.5555555555555562E-3</v>
      </c>
      <c r="AJ142" s="71"/>
      <c r="AK142" s="67"/>
      <c r="AL142" s="121" t="n">
        <v>0.49000000000000005</v>
      </c>
      <c r="AM142" s="153" t="n">
        <v>7.6E-3</v>
      </c>
      <c r="AN142" s="86"/>
      <c r="AO142" s="44"/>
      <c r="AP142" s="153" t="n">
        <v>0.46529999999999999</v>
      </c>
      <c r="AQ142" s="121" t="n">
        <v>0.32499999999999996</v>
      </c>
      <c r="AR142" s="94"/>
      <c r="AS142" s="121" t="n">
        <v>0.78600546478873246</v>
      </c>
      <c r="AT142" s="59" t="n">
        <f t="shared" si="56"/>
        <v>0.17824592074592077</v>
      </c>
      <c r="AU142" s="87" t="n">
        <v>0.47636694835680754</v>
      </c>
      <c r="AV142" s="87" t="n">
        <v>0.30963851643192492</v>
      </c>
      <c r="AW142" s="5"/>
      <c r="AX142" s="107" t="n">
        <v>8.9999999999999993E-3</v>
      </c>
      <c r="AY142" s="119" t="n">
        <v>18.61</v>
      </c>
      <c r="AZ142" t="n">
        <v>0.7</v>
      </c>
      <c r="BA142" t="n">
        <v>23</v>
      </c>
      <c r="BB142" t="n">
        <v>0.1</v>
      </c>
      <c r="BC142" t="n">
        <v>0.2</v>
      </c>
      <c r="BD142" t="n">
        <v>0.4</v>
      </c>
      <c r="BE142" t="n">
        <v>0</v>
      </c>
      <c r="BF142" t="n">
        <v>2</v>
      </c>
      <c r="BG142" t="n">
        <v>1.4000000000000001</v>
      </c>
      <c r="BH142" t="n">
        <v>70</v>
      </c>
      <c r="BI142" t="n">
        <v>5.04</v>
      </c>
      <c r="BJ142" t="n">
        <v>0</v>
      </c>
      <c r="BK142" t="n">
        <v>0</v>
      </c>
      <c r="BL142" t="n">
        <v>110</v>
      </c>
      <c r="BM142" t="n">
        <v>30</v>
      </c>
      <c r="BN142" t="n">
        <v>0</v>
      </c>
      <c r="BO142" t="n">
        <v>225</v>
      </c>
      <c r="BP142" t="n">
        <v>0.8</v>
      </c>
      <c r="BQ142" s="110"/>
    </row>
    <row r="143">
      <c r="A143" s="135" t="n">
        <v>536</v>
      </c>
      <c r="B143" s="44" t="s">
        <v>244</v>
      </c>
      <c r="C143" s="44"/>
      <c r="D143" s="142" t="s">
        <v>227</v>
      </c>
      <c r="E143" s="142"/>
      <c r="F143" s="103" t="n">
        <v>0.29383040935672516</v>
      </c>
      <c r="G143" s="87" t="n">
        <v>0.22620000000000004</v>
      </c>
      <c r="H143" s="87" t="n">
        <v>0.68246400000000018</v>
      </c>
      <c r="I143" s="44"/>
      <c r="J143" s="44"/>
      <c r="K143" s="166" t="n">
        <v>2.008</v>
      </c>
      <c r="L143" s="166" t="n">
        <v>2.4074736000000003</v>
      </c>
      <c r="M143" s="166" t="n">
        <v>2.0679210399999999</v>
      </c>
      <c r="N143" s="157" t="n">
        <v>12.433863596666667</v>
      </c>
      <c r="O143" s="103" t="n">
        <v>0.72086278066838816</v>
      </c>
      <c r="P143" s="103" t="n">
        <v>0.27913721933161195</v>
      </c>
      <c r="Q143" s="103" t="n">
        <v>0.45044584104422702</v>
      </c>
      <c r="R143" s="94"/>
      <c r="S143" s="22" t="n">
        <f>VLOOKUP($B143,Conversores_Dieta!$B$4:$J$164,Coefs!S$292,0)</f>
        <v>0.85</v>
      </c>
      <c r="T143" s="130" t="n">
        <f>VLOOKUP($B143,Conversores_Dieta!$B$4:$J$164,Coefs!T$292,0)</f>
        <v>9.6000000000000002E-4</v>
      </c>
      <c r="U143" s="166" t="n">
        <f>VLOOKUP($B143,Conversores_Dieta!$B$4:$J$164,Coefs!U$292,0)</f>
        <v>0</v>
      </c>
      <c r="V143" s="166" t="n">
        <f>VLOOKUP($B143,Conversores_Dieta!$B$4:$J$164,Coefs!V$292,0)</f>
        <v>110</v>
      </c>
      <c r="W143" s="21" t="n">
        <f>VLOOKUP($B143,Conversores_Dieta!$B$4:$J$164,Coefs!W$292,0)</f>
        <v>140</v>
      </c>
      <c r="X143" s="21" t="n">
        <f>VLOOKUP($B143,Conversores_Dieta!$B$4:$J$164,Coefs!X$292,0)</f>
        <v>492</v>
      </c>
      <c r="Y143" s="66"/>
      <c r="Z143" s="66"/>
      <c r="AA143" s="66"/>
      <c r="AB143" s="66"/>
      <c r="AC143" s="66"/>
      <c r="AD143" s="171"/>
      <c r="AE143" s="171"/>
      <c r="AF143" s="171"/>
      <c r="AG143" s="171"/>
      <c r="AH143" s="171"/>
      <c r="AI143" s="153" t="n">
        <f t="shared" si="53"/>
        <v>4.2440318302387264E-3</v>
      </c>
      <c r="AJ143" s="71"/>
      <c r="AK143" s="67"/>
      <c r="AL143" s="121" t="n">
        <v>0.49000000000000005</v>
      </c>
      <c r="AM143" s="153" t="n">
        <v>8.1000000000000013E-3</v>
      </c>
      <c r="AN143" s="86"/>
      <c r="AO143" s="44"/>
      <c r="AP143" s="153" t="n">
        <v>0.48149999999999998</v>
      </c>
      <c r="AQ143" s="121" t="n">
        <v>0.32499999999999996</v>
      </c>
      <c r="AR143" s="94" t="n">
        <v>0.49</v>
      </c>
      <c r="AS143" s="121" t="n">
        <v>0.78600546478873246</v>
      </c>
      <c r="AT143" s="59" t="n">
        <f t="shared" si="56"/>
        <v>0.17824592074592077</v>
      </c>
      <c r="AU143" s="87" t="n">
        <v>0.47636694835680754</v>
      </c>
      <c r="AV143" s="87" t="n">
        <v>0.30963851643192492</v>
      </c>
      <c r="AW143" s="5"/>
      <c r="AX143" s="107" t="n">
        <v>8.9999999999999993E-3</v>
      </c>
      <c r="AY143" s="119" t="n">
        <v>18.219076166166513</v>
      </c>
      <c r="AZ143" t="n">
        <v>0.7</v>
      </c>
      <c r="BA143" t="n">
        <v>23</v>
      </c>
      <c r="BB143" t="n">
        <v>0</v>
      </c>
      <c r="BC143" t="n">
        <v>0</v>
      </c>
      <c r="BD143" t="n">
        <v>0</v>
      </c>
      <c r="BE143" t="n">
        <v>0</v>
      </c>
      <c r="BF143" t="n">
        <v>4.5</v>
      </c>
      <c r="BG143" t="n">
        <v>4</v>
      </c>
      <c r="BH143" t="n">
        <v>115</v>
      </c>
      <c r="BI143" t="n">
        <v>3.53</v>
      </c>
      <c r="BJ143" t="n">
        <v>0</v>
      </c>
      <c r="BK143" t="n">
        <v>0</v>
      </c>
      <c r="BL143" t="n">
        <v>30</v>
      </c>
      <c r="BM143" t="n">
        <v>60</v>
      </c>
      <c r="BN143" t="n">
        <v>5</v>
      </c>
      <c r="BO143" t="n">
        <v>200</v>
      </c>
      <c r="BP143" t="n">
        <v>1.5</v>
      </c>
      <c r="BQ143" s="110"/>
    </row>
    <row r="144">
      <c r="A144" s="135"/>
      <c r="B144" s="44" t="s">
        <v>243</v>
      </c>
      <c r="C144" s="8" t="s">
        <v>240</v>
      </c>
      <c r="D144" s="142" t="e">
        <v>#N/A</v>
      </c>
      <c r="E144" s="142" t="n">
        <v>30300</v>
      </c>
      <c r="F144" s="94" t="n">
        <v>0.84</v>
      </c>
      <c r="G144" s="89" t="n">
        <v>0.625</v>
      </c>
      <c r="H144" s="87" t="n">
        <v>0.75599666666666676</v>
      </c>
      <c r="I144" s="44"/>
      <c r="J144" s="44"/>
      <c r="K144" s="157" t="n">
        <v>19.193405177666744</v>
      </c>
      <c r="L144" s="157" t="n">
        <v>13.55052490468149</v>
      </c>
      <c r="M144" s="166" t="n">
        <v>18.327593600000004</v>
      </c>
      <c r="N144" s="157" t="n">
        <v>12.809269199999999</v>
      </c>
      <c r="O144" s="94" t="n">
        <v>0.23110555902560898</v>
      </c>
      <c r="P144" s="94" t="n">
        <v>0.76889444097439097</v>
      </c>
      <c r="Q144" s="94" t="n">
        <v>3.327027027027027</v>
      </c>
      <c r="R144" s="94"/>
      <c r="S144" s="65" t="n">
        <f>VLOOKUP(C144,$B$3:$X$358,MATCH(S$2,$B$2:$X$2,0),0)</f>
        <v>0.95750000000000002</v>
      </c>
      <c r="T144" s="130" t="n">
        <f>AI144*G144</f>
        <v>4.1599999999999996E-3</v>
      </c>
      <c r="U144" s="157" t="n">
        <f>VLOOKUP($C144,$B$3:$X$358,MATCH(U$2,$B$2:$X$2,0),0)*$G144/VLOOKUP($C144,$B$3:$X$358,MATCH($G$2,$B$2:$X$2,0),0)</f>
        <v>367.99909469175998</v>
      </c>
      <c r="V144" s="157" t="n">
        <f>VLOOKUP($C144,$B$3:$X$358,MATCH(V$2,$B$2:$X$2,0),0)*$G144/VLOOKUP($C144,$B$3:$X$358,MATCH($G$2,$B$2:$X$2,0),0)</f>
        <v>92.489423562387927</v>
      </c>
      <c r="W144" s="132" t="n">
        <f>VLOOKUP($C144,$B$3:$X$358,MATCH(W$2,$B$2:$X$2,0),0)*$G144/VLOOKUP($C144,$B$3:$X$358,MATCH($G$2,$B$2:$X$2,0),0)</f>
        <v>1220.8603910235206</v>
      </c>
      <c r="X144" s="132" t="n">
        <f>VLOOKUP($C144,$B$3:$X$358,MATCH(X$2,$B$2:$X$2,0),0)*$G144/VLOOKUP($C144,$B$3:$X$358,MATCH($G$2,$B$2:$X$2,0),0)</f>
        <v>0</v>
      </c>
      <c r="Y144" s="66"/>
      <c r="Z144" s="66"/>
      <c r="AA144" s="66"/>
      <c r="AB144" s="66"/>
      <c r="AC144" s="66"/>
      <c r="AD144" s="171"/>
      <c r="AE144" s="171"/>
      <c r="AF144" s="171"/>
      <c r="AG144" s="171"/>
      <c r="AH144" s="171"/>
      <c r="AI144" s="153" t="n">
        <v>6.6559999999999996E-3</v>
      </c>
      <c r="AJ144" s="71" t="n">
        <v>1.2800000000000001E-3</v>
      </c>
      <c r="AK144" s="67" t="n">
        <v>1.2800000000000001E-2</v>
      </c>
      <c r="AL144" s="121" t="n">
        <v>0.49000000000000005</v>
      </c>
      <c r="AM144" s="121" t="n">
        <v>7.4666666666666675E-3</v>
      </c>
      <c r="AN144" s="153"/>
      <c r="AO144" s="153"/>
      <c r="AP144" s="153" t="n">
        <v>0.46958440154440156</v>
      </c>
      <c r="AQ144" s="121" t="n">
        <v>0.32499999999999996</v>
      </c>
      <c r="AR144" s="94" t="n">
        <v>0.57999999999999996</v>
      </c>
      <c r="AS144" s="121" t="n">
        <v>0.78600546478873246</v>
      </c>
      <c r="AT144" s="59" t="n">
        <f t="shared" si="56"/>
        <v>0.17824592074592077</v>
      </c>
      <c r="AU144" s="87" t="n">
        <v>0.47636694835680754</v>
      </c>
      <c r="AV144" s="87" t="n">
        <v>0.30963851643192492</v>
      </c>
      <c r="AW144" s="5"/>
      <c r="AX144" s="107" t="n">
        <v>8.9999999999999993E-3</v>
      </c>
      <c r="AY144" s="119" t="n">
        <v>16.943552484799312</v>
      </c>
      <c r="AZ144" t="n">
        <v>0.7</v>
      </c>
      <c r="BA144" s="156" t="n">
        <f>BA$82</f>
        <v>110</v>
      </c>
      <c r="BB144" s="156" t="n">
        <f t="shared" ref="BB144:BP144" si="57">BB$82</f>
        <v>62.9</v>
      </c>
      <c r="BC144" s="156" t="n">
        <f t="shared" si="57"/>
        <v>653</v>
      </c>
      <c r="BD144" s="156" t="n">
        <f t="shared" si="57"/>
        <v>280.10000000000002</v>
      </c>
      <c r="BE144" s="156" t="n">
        <f t="shared" si="57"/>
        <v>25</v>
      </c>
      <c r="BF144" s="156" t="n">
        <f t="shared" si="57"/>
        <v>0</v>
      </c>
      <c r="BG144" s="156" t="n">
        <f t="shared" si="57"/>
        <v>45</v>
      </c>
      <c r="BH144" s="156" t="n">
        <f t="shared" si="57"/>
        <v>2250</v>
      </c>
      <c r="BI144" s="156" t="n">
        <f t="shared" si="57"/>
        <v>371</v>
      </c>
      <c r="BJ144" s="156" t="n">
        <f t="shared" si="57"/>
        <v>0</v>
      </c>
      <c r="BK144" s="156" t="n">
        <f t="shared" si="57"/>
        <v>0</v>
      </c>
      <c r="BL144" s="156" t="n">
        <f t="shared" si="57"/>
        <v>0</v>
      </c>
      <c r="BM144" s="156" t="n">
        <f t="shared" si="57"/>
        <v>0</v>
      </c>
      <c r="BN144" s="156" t="n">
        <f t="shared" si="57"/>
        <v>209.5</v>
      </c>
      <c r="BO144" s="156" t="n">
        <f t="shared" si="57"/>
        <v>300</v>
      </c>
      <c r="BP144" s="156" t="n">
        <f t="shared" si="57"/>
        <v>15</v>
      </c>
      <c r="BQ144" s="110"/>
    </row>
    <row r="145">
      <c r="A145" s="135" t="n">
        <v>560</v>
      </c>
      <c r="B145" s="44" t="s">
        <v>242</v>
      </c>
      <c r="C145" s="44"/>
      <c r="D145" s="142" t="s">
        <v>242</v>
      </c>
      <c r="E145" s="142"/>
      <c r="F145" s="103" t="n">
        <v>0.29383040935672516</v>
      </c>
      <c r="G145" s="89" t="n">
        <v>0.29123333333333334</v>
      </c>
      <c r="H145" s="89" t="n">
        <v>0.65398000000000001</v>
      </c>
      <c r="I145" s="44"/>
      <c r="J145" s="44"/>
      <c r="K145" s="166" t="n">
        <v>2.8240000000000003</v>
      </c>
      <c r="L145" s="166" t="n">
        <v>2.9961624000000011</v>
      </c>
      <c r="M145" s="166" t="n">
        <v>2.8412162400000005</v>
      </c>
      <c r="N145" s="166" t="n">
        <v>12.613094266666668</v>
      </c>
      <c r="O145" s="94" t="n">
        <v>0.65229357798165133</v>
      </c>
      <c r="P145" s="94" t="n">
        <f>Q145/(1+Q145)</f>
        <v>0.38402948711508517</v>
      </c>
      <c r="Q145" s="94" t="n">
        <f>1.4*G145/H145</f>
        <v>0.62345433601435318</v>
      </c>
      <c r="R145" s="94"/>
      <c r="S145" s="22" t="n">
        <f>VLOOKUP($B145,Conversores_Dieta!$B$4:$J$164,Coefs!S$292,0)</f>
        <v>0.9</v>
      </c>
      <c r="T145" s="130" t="n">
        <f>VLOOKUP($B145,Conversores_Dieta!$B$4:$J$164,Coefs!T$292,0)</f>
        <v>9.6000000000000002E-4</v>
      </c>
      <c r="U145" s="166" t="n">
        <f>VLOOKUP($B145,Conversores_Dieta!$B$4:$J$164,Coefs!U$292,0)</f>
        <v>0</v>
      </c>
      <c r="V145" s="166" t="n">
        <f>VLOOKUP($B145,Conversores_Dieta!$B$4:$J$164,Coefs!V$292,0)</f>
        <v>161</v>
      </c>
      <c r="W145" s="21" t="n">
        <f>VLOOKUP($B145,Conversores_Dieta!$B$4:$J$164,Coefs!W$292,0)</f>
        <v>170</v>
      </c>
      <c r="X145" s="21" t="n">
        <f>VLOOKUP($B145,Conversores_Dieta!$B$4:$J$164,Coefs!X$292,0)</f>
        <v>30</v>
      </c>
      <c r="Y145" s="66"/>
      <c r="Z145" s="66"/>
      <c r="AA145" s="66"/>
      <c r="AB145" s="66"/>
      <c r="AC145" s="66"/>
      <c r="AD145" s="171"/>
      <c r="AE145" s="171"/>
      <c r="AF145" s="171"/>
      <c r="AG145" s="171"/>
      <c r="AH145" s="171"/>
      <c r="AI145" s="153" t="n">
        <f>T145/G145</f>
        <v>3.2963259700125899E-3</v>
      </c>
      <c r="AJ145" s="71"/>
      <c r="AK145" s="67"/>
      <c r="AL145" s="153" t="n">
        <v>0.41</v>
      </c>
      <c r="AM145" s="153" t="n">
        <v>6.1999999999999998E-3</v>
      </c>
      <c r="AN145" s="86"/>
      <c r="AO145" s="44"/>
      <c r="AP145" s="153" t="n">
        <v>0.45953636363636358</v>
      </c>
      <c r="AQ145" s="121" t="n">
        <v>0.32499999999999996</v>
      </c>
      <c r="AR145" s="94"/>
      <c r="AS145" s="121" t="n">
        <v>0.67320000000000002</v>
      </c>
      <c r="AT145" s="59" t="n">
        <f t="shared" si="56"/>
        <v>0.17824592074592077</v>
      </c>
      <c r="AU145" s="87" t="n">
        <v>0.40799999999999997</v>
      </c>
      <c r="AV145" s="87" t="n">
        <v>0.26519999999999999</v>
      </c>
      <c r="AW145" s="5"/>
      <c r="AX145" s="107" t="n">
        <v>8.9999999999999993E-3</v>
      </c>
      <c r="AY145" s="119" t="n">
        <v>19.286666666666669</v>
      </c>
      <c r="AZ145" t="n">
        <v>0.7</v>
      </c>
      <c r="BA145" t="n">
        <v>4</v>
      </c>
      <c r="BB145" t="n">
        <v>0.5</v>
      </c>
      <c r="BC145" t="n">
        <v>0.1</v>
      </c>
      <c r="BD145" t="n">
        <v>0.5</v>
      </c>
      <c r="BE145" t="n">
        <v>0</v>
      </c>
      <c r="BF145" t="n">
        <v>3</v>
      </c>
      <c r="BG145" t="n">
        <v>1</v>
      </c>
      <c r="BH145" t="n">
        <v>40</v>
      </c>
      <c r="BI145" t="n">
        <v>5.04</v>
      </c>
      <c r="BJ145" t="n">
        <v>0</v>
      </c>
      <c r="BK145" t="n">
        <v>0</v>
      </c>
      <c r="BL145" t="n">
        <v>270</v>
      </c>
      <c r="BM145" t="n">
        <v>40</v>
      </c>
      <c r="BN145" t="n">
        <v>7</v>
      </c>
      <c r="BO145" t="n">
        <v>2000</v>
      </c>
      <c r="BP145" t="n">
        <v>1.3</v>
      </c>
      <c r="BQ145" s="110"/>
    </row>
    <row r="146">
      <c r="A146" s="73" t="n">
        <v>512</v>
      </c>
      <c r="B146" s="73" t="s">
        <v>241</v>
      </c>
      <c r="C146" s="73" t="s">
        <v>261</v>
      </c>
      <c r="D146" s="142" t="s">
        <v>241</v>
      </c>
      <c r="E146" s="133"/>
      <c r="F146" s="111" t="n">
        <v>0.2863157894736843</v>
      </c>
      <c r="G146" s="108" t="n">
        <v>0.12129000000000001</v>
      </c>
      <c r="H146" s="108" t="n">
        <v>0.625</v>
      </c>
      <c r="I146" s="73"/>
      <c r="J146" s="73"/>
      <c r="K146" s="105" t="n">
        <v>1.7356666666666667</v>
      </c>
      <c r="L146" s="105" t="n">
        <v>2.0032991999999998</v>
      </c>
      <c r="M146" s="105" t="n">
        <v>1.8121749333333332</v>
      </c>
      <c r="N146" s="105" t="n">
        <v>11.195833333333333</v>
      </c>
      <c r="O146" s="134" t="n">
        <v>0.82294796502818501</v>
      </c>
      <c r="P146" s="134" t="n">
        <v>0.17705203497181501</v>
      </c>
      <c r="Q146" s="134" t="n">
        <v>0.21696004751396017</v>
      </c>
      <c r="R146" s="94"/>
      <c r="S146" s="65" t="n">
        <f>VLOOKUP(C146,$B$3:$X$358,MATCH(S$2,$B$2:$X$2,0),0)</f>
        <v>0.73</v>
      </c>
      <c r="T146" s="15" t="n">
        <f>VLOOKUP($C146,$B$3:$X$358,MATCH(T$2,$B$2:$X$2,0),0)*$G146/VLOOKUP($C146,$B$3:$X$358,MATCH($G$2,$B$2:$X$2,0),0)</f>
        <v>1.2800000000000001E-3</v>
      </c>
      <c r="U146" s="157" t="n">
        <f>VLOOKUP($C146,$B$3:$X$358,MATCH(U$2,$B$2:$X$2,0),0)*$G146/VLOOKUP($C146,$B$3:$X$358,MATCH($G$2,$B$2:$X$2,0),0)</f>
        <v>0</v>
      </c>
      <c r="V146" s="157" t="n">
        <f>VLOOKUP($C146,$B$3:$X$358,MATCH(V$2,$B$2:$X$2,0),0)*$G146/VLOOKUP($C146,$B$3:$X$358,MATCH($G$2,$B$2:$X$2,0),0)</f>
        <v>86</v>
      </c>
      <c r="W146" s="132" t="n">
        <f>VLOOKUP($C146,$B$3:$X$358,MATCH(W$2,$B$2:$X$2,0),0)*$G146/VLOOKUP($C146,$B$3:$X$358,MATCH($G$2,$B$2:$X$2,0),0)</f>
        <v>360</v>
      </c>
      <c r="X146" s="132" t="n">
        <f>VLOOKUP($C146,$B$3:$X$358,MATCH(X$2,$B$2:$X$2,0),0)*$G146/VLOOKUP($C146,$B$3:$X$358,MATCH($G$2,$B$2:$X$2,0),0)</f>
        <v>400</v>
      </c>
      <c r="Y146" s="66"/>
      <c r="Z146" s="66"/>
      <c r="AA146" s="66"/>
      <c r="AB146" s="66"/>
      <c r="AC146" s="66"/>
      <c r="AD146" s="171"/>
      <c r="AE146" s="171"/>
      <c r="AF146" s="171"/>
      <c r="AG146" s="171"/>
      <c r="AH146" s="171"/>
      <c r="AI146" s="107" t="n">
        <f>AI126</f>
        <v>1.0553219556434991E-2</v>
      </c>
      <c r="AJ146" s="124"/>
      <c r="AK146" s="137"/>
      <c r="AL146" s="127" t="n">
        <v>0.49000000000000005</v>
      </c>
      <c r="AM146" s="121" t="n">
        <v>7.4666666666666675E-3</v>
      </c>
      <c r="AN146" s="150"/>
      <c r="AO146" s="150"/>
      <c r="AP146" s="150" t="n">
        <v>0.46958440154440156</v>
      </c>
      <c r="AQ146" s="121" t="n">
        <v>0.32499999999999996</v>
      </c>
      <c r="AR146" s="111"/>
      <c r="AS146" s="127" t="n">
        <v>0.71544139436619725</v>
      </c>
      <c r="AT146" s="59" t="n">
        <f t="shared" si="56"/>
        <v>0.17824592074592077</v>
      </c>
      <c r="AU146" s="108" t="n">
        <v>0.43360084507042257</v>
      </c>
      <c r="AV146" s="108" t="n">
        <v>0.28184054929577468</v>
      </c>
      <c r="AW146" s="144"/>
      <c r="AX146" s="107" t="n">
        <v>8.9999999999999993E-3</v>
      </c>
      <c r="AY146" s="119" t="n">
        <v>17.913333333333334</v>
      </c>
      <c r="AZ146" t="n">
        <v>0.7</v>
      </c>
      <c r="BA146" t="n">
        <v>22</v>
      </c>
      <c r="BB146" t="n">
        <v>0.2</v>
      </c>
      <c r="BC146" t="n">
        <v>0.3</v>
      </c>
      <c r="BD146" t="n">
        <v>0.4</v>
      </c>
      <c r="BE146" t="n">
        <v>0</v>
      </c>
      <c r="BF146" t="n">
        <v>3.3000000000000003</v>
      </c>
      <c r="BG146" t="n">
        <v>2.3000000000000003</v>
      </c>
      <c r="BH146" t="n">
        <v>106.7</v>
      </c>
      <c r="BI146" t="n">
        <v>2.61</v>
      </c>
      <c r="BJ146" t="n">
        <v>0</v>
      </c>
      <c r="BK146" t="n">
        <v>0</v>
      </c>
      <c r="BL146" t="n">
        <v>253.29999999999998</v>
      </c>
      <c r="BM146" t="n">
        <v>460</v>
      </c>
      <c r="BN146" t="n">
        <v>1.9</v>
      </c>
      <c r="BO146" t="n">
        <v>450</v>
      </c>
      <c r="BP146" t="n">
        <v>6</v>
      </c>
      <c r="BQ146" s="110"/>
    </row>
    <row r="147">
      <c r="A147" s="73" t="n">
        <v>234</v>
      </c>
      <c r="B147" s="73" t="s">
        <v>240</v>
      </c>
      <c r="C147" s="73" t="s">
        <v>257</v>
      </c>
      <c r="D147" s="142" t="s">
        <v>239</v>
      </c>
      <c r="E147" s="133"/>
      <c r="F147" s="134" t="n">
        <v>0.29383040935672516</v>
      </c>
      <c r="G147" s="108" t="n">
        <v>0.7179875</v>
      </c>
      <c r="H147" s="108" t="n">
        <v>0.75599666666666676</v>
      </c>
      <c r="I147" s="129"/>
      <c r="J147" s="129"/>
      <c r="K147" s="105" t="n">
        <v>22.049000000000003</v>
      </c>
      <c r="L147" s="105" t="n">
        <v>15.566572000000001</v>
      </c>
      <c r="M147" s="105" t="n">
        <v>16.819125066666668</v>
      </c>
      <c r="N147" s="105" t="n">
        <v>12.809269199999999</v>
      </c>
      <c r="O147" s="134" t="n">
        <v>0.36816497502819395</v>
      </c>
      <c r="P147" s="134" t="n">
        <v>0.6318350249718061</v>
      </c>
      <c r="Q147" s="134" t="n">
        <v>1.7613756613756613</v>
      </c>
      <c r="R147" s="94"/>
      <c r="S147" s="22" t="n">
        <f>VLOOKUP($B147,Conversores_Dieta!$B$4:$J$164,Coefs!S$292,0)</f>
        <v>0.95750000000000002</v>
      </c>
      <c r="T147" s="15" t="n">
        <f>VLOOKUP($C147,$B$3:$X$358,MATCH(T$2,$B$2:$X$2,0),0)*$G147/VLOOKUP($C147,$B$3:$X$358,MATCH($G$2,$B$2:$X$2,0),0)</f>
        <v>2.1372651162790701E-2</v>
      </c>
      <c r="U147" s="166" t="n">
        <f>VLOOKUP($B147,Conversores_Dieta!$B$4:$J$164,Coefs!U$292,0)</f>
        <v>422.75</v>
      </c>
      <c r="V147" s="166" t="n">
        <f>VLOOKUP($B147,Conversores_Dieta!$B$4:$J$164,Coefs!V$292,0)</f>
        <v>106.25</v>
      </c>
      <c r="W147" s="21" t="n">
        <f>VLOOKUP($B147,Conversores_Dieta!$B$4:$J$164,Coefs!W$292,0)</f>
        <v>1402.5</v>
      </c>
      <c r="X147" s="21" t="n">
        <f>VLOOKUP($B147,Conversores_Dieta!$B$4:$J$164,Coefs!X$292,0)</f>
        <v>0</v>
      </c>
      <c r="Y147" s="66"/>
      <c r="Z147" s="66"/>
      <c r="AA147" s="66"/>
      <c r="AB147" s="66"/>
      <c r="AC147" s="66"/>
      <c r="AD147" s="171"/>
      <c r="AE147" s="171"/>
      <c r="AF147" s="171"/>
      <c r="AG147" s="171"/>
      <c r="AH147" s="171"/>
      <c r="AI147" s="107" t="n">
        <f>AVERAGE(AI130,AI131,AI136,AI139)</f>
        <v>2.4378307843684686E-2</v>
      </c>
      <c r="AJ147" s="124"/>
      <c r="AK147" s="137"/>
      <c r="AL147" s="127" t="n">
        <v>0.5</v>
      </c>
      <c r="AM147" s="127" t="n">
        <v>8.1333333333333344E-3</v>
      </c>
      <c r="AN147" s="150"/>
      <c r="AO147" s="150"/>
      <c r="AP147" s="150" t="n">
        <v>0.46958440154440156</v>
      </c>
      <c r="AQ147" s="121" t="n">
        <v>0.32499999999999996</v>
      </c>
      <c r="AR147" s="111"/>
      <c r="AS147" s="127" t="n">
        <v>0.71544139436619725</v>
      </c>
      <c r="AT147" s="59" t="n">
        <f t="shared" si="56"/>
        <v>0.17824592074592077</v>
      </c>
      <c r="AU147" s="108" t="n">
        <v>0.43360084507042257</v>
      </c>
      <c r="AV147" s="108" t="n">
        <v>0.28184054929577468</v>
      </c>
      <c r="AW147" s="144"/>
      <c r="AX147" s="107" t="n">
        <v>8.9999999999999993E-3</v>
      </c>
      <c r="AY147" s="119" t="n">
        <v>16.943552484799312</v>
      </c>
      <c r="AZ147" t="n">
        <v>0.7</v>
      </c>
      <c r="BA147" t="n">
        <v>133.30000000000001</v>
      </c>
      <c r="BB147" t="n">
        <v>87.100000000000009</v>
      </c>
      <c r="BC147" t="n">
        <v>277.39999999999998</v>
      </c>
      <c r="BD147" t="n">
        <v>80.099999999999994</v>
      </c>
      <c r="BE147" t="n">
        <v>0.70000000000000007</v>
      </c>
      <c r="BF147" t="n">
        <v>28</v>
      </c>
      <c r="BG147" t="n">
        <v>22.799999999999997</v>
      </c>
      <c r="BH147" t="n">
        <v>1275.6999999999998</v>
      </c>
      <c r="BI147" t="n">
        <v>36.200000000000003</v>
      </c>
      <c r="BJ147" t="n">
        <v>0</v>
      </c>
      <c r="BK147" t="n">
        <v>0</v>
      </c>
      <c r="BL147" t="n">
        <v>680</v>
      </c>
      <c r="BM147" t="n">
        <v>34</v>
      </c>
      <c r="BN147" t="n">
        <v>96.7</v>
      </c>
      <c r="BO147" t="n">
        <v>650</v>
      </c>
      <c r="BP147" t="n">
        <v>0.8</v>
      </c>
      <c r="BQ147" s="110"/>
    </row>
    <row r="148">
      <c r="A148" s="73" t="n">
        <v>619</v>
      </c>
      <c r="B148" s="73" t="s">
        <v>227</v>
      </c>
      <c r="C148" s="73" t="s">
        <v>255</v>
      </c>
      <c r="D148" s="142" t="s">
        <v>227</v>
      </c>
      <c r="E148" s="133"/>
      <c r="F148" s="134" t="n">
        <v>0.29383040935672516</v>
      </c>
      <c r="G148" s="108" t="n">
        <v>0.22620000000000004</v>
      </c>
      <c r="H148" s="108" t="n">
        <v>0.68246400000000018</v>
      </c>
      <c r="I148" s="134"/>
      <c r="J148" s="134"/>
      <c r="K148" s="105" t="n">
        <v>3.0062000000000002</v>
      </c>
      <c r="L148" s="105" t="n">
        <v>6.1757095200000007</v>
      </c>
      <c r="M148" s="105" t="n">
        <v>3.5084127922133344</v>
      </c>
      <c r="N148" s="105" t="n">
        <v>12.433863596666667</v>
      </c>
      <c r="O148" s="134" t="n">
        <v>0.72086278066838816</v>
      </c>
      <c r="P148" s="134" t="n">
        <v>0.27913721933161195</v>
      </c>
      <c r="Q148" s="134" t="n">
        <v>0.45044584104422702</v>
      </c>
      <c r="R148" s="94"/>
      <c r="S148" s="22" t="n">
        <f>VLOOKUP($B148,Conversores_Dieta!$B$4:$J$164,Coefs!S$292,0)</f>
        <v>0.81</v>
      </c>
      <c r="T148" s="15" t="n">
        <f>VLOOKUP($C148,$B$3:$X$358,MATCH(T$2,$B$2:$X$2,0),0)*$G148/VLOOKUP($C148,$B$3:$X$358,MATCH($G$2,$B$2:$X$2,0),0)</f>
        <v>6.7860000000000012E-4</v>
      </c>
      <c r="U148" s="166" t="n">
        <f>VLOOKUP($B148,Conversores_Dieta!$B$4:$J$164,Coefs!U$292,0)</f>
        <v>2.2999999999999998</v>
      </c>
      <c r="V148" s="166" t="n">
        <f>VLOOKUP($B148,Conversores_Dieta!$B$4:$J$164,Coefs!V$292,0)</f>
        <v>35.700000000000003</v>
      </c>
      <c r="W148" s="21" t="n">
        <f>VLOOKUP($B148,Conversores_Dieta!$B$4:$J$164,Coefs!W$292,0)</f>
        <v>117</v>
      </c>
      <c r="X148" s="21" t="n">
        <f>VLOOKUP($B148,Conversores_Dieta!$B$4:$J$164,Coefs!X$292,0)</f>
        <v>0</v>
      </c>
      <c r="Y148" s="66"/>
      <c r="Z148" s="66"/>
      <c r="AA148" s="66"/>
      <c r="AB148" s="66"/>
      <c r="AC148" s="66"/>
      <c r="AD148" s="171"/>
      <c r="AE148" s="171"/>
      <c r="AF148" s="171"/>
      <c r="AG148" s="171"/>
      <c r="AH148" s="171"/>
      <c r="AI148" s="107" t="n">
        <f>AI132</f>
        <v>3.0000000000000001E-3</v>
      </c>
      <c r="AJ148" s="165"/>
      <c r="AK148" s="106"/>
      <c r="AL148" s="150" t="n">
        <v>0.49000000000000005</v>
      </c>
      <c r="AM148" s="127" t="n">
        <v>7.4666666666666675E-3</v>
      </c>
      <c r="AN148" s="127"/>
      <c r="AO148" s="127"/>
      <c r="AP148" s="150" t="n">
        <v>0.46958440154440156</v>
      </c>
      <c r="AQ148" s="121" t="n">
        <v>0.32499999999999996</v>
      </c>
      <c r="AR148" s="134"/>
      <c r="AS148" s="127" t="n">
        <v>0.71544139436619725</v>
      </c>
      <c r="AT148" s="59" t="n">
        <f t="shared" si="56"/>
        <v>0.17824592074592077</v>
      </c>
      <c r="AU148" s="108" t="n">
        <v>0.43360084507042257</v>
      </c>
      <c r="AV148" s="108" t="n">
        <v>0.28184054929577468</v>
      </c>
      <c r="AW148" s="144"/>
      <c r="AX148" s="107" t="n">
        <v>8.9999999999999993E-3</v>
      </c>
      <c r="AY148" s="119" t="n">
        <v>18.219076166166513</v>
      </c>
      <c r="AZ148" t="n">
        <v>0.7</v>
      </c>
      <c r="BA148" t="n">
        <v>25.8</v>
      </c>
      <c r="BB148" t="n">
        <v>1.3</v>
      </c>
      <c r="BC148" t="n">
        <v>6.2</v>
      </c>
      <c r="BD148" t="n">
        <v>1.7999999999999998</v>
      </c>
      <c r="BE148" t="n">
        <v>0</v>
      </c>
      <c r="BF148" t="n">
        <v>6.2</v>
      </c>
      <c r="BG148" t="n">
        <v>5.6000000000000005</v>
      </c>
      <c r="BH148" t="n">
        <v>232.2</v>
      </c>
      <c r="BI148" t="n">
        <v>4.46</v>
      </c>
      <c r="BJ148" t="n">
        <v>0</v>
      </c>
      <c r="BK148" t="n">
        <v>0</v>
      </c>
      <c r="BL148" t="n">
        <v>197.7</v>
      </c>
      <c r="BM148" t="n">
        <v>252.5</v>
      </c>
      <c r="BN148" t="n">
        <v>9.5</v>
      </c>
      <c r="BO148" t="n">
        <v>1550</v>
      </c>
      <c r="BP148" t="n">
        <v>15</v>
      </c>
      <c r="BQ148" s="110"/>
    </row>
    <row r="149">
      <c r="A149" s="73" t="n">
        <v>507</v>
      </c>
      <c r="B149" s="73" t="s">
        <v>238</v>
      </c>
      <c r="C149" s="73"/>
      <c r="D149" s="172" t="str">
        <f>D146</f>
        <v>Citrus</v>
      </c>
      <c r="E149" s="172"/>
      <c r="F149" s="172" t="n">
        <f>F146</f>
        <v>0.2863157894736843</v>
      </c>
      <c r="G149" s="143" t="n">
        <f>G146</f>
        <v>0.12129000000000001</v>
      </c>
      <c r="H149" s="172" t="n">
        <f>H146</f>
        <v>0.625</v>
      </c>
      <c r="I149" s="172"/>
      <c r="J149" s="172"/>
      <c r="K149" s="172" t="n">
        <f t="shared" ref="K149:Q149" si="58">K146</f>
        <v>1.7356666666666667</v>
      </c>
      <c r="L149" s="172" t="n">
        <f t="shared" si="58"/>
        <v>2.0032991999999998</v>
      </c>
      <c r="M149" s="172" t="n">
        <f t="shared" si="58"/>
        <v>1.8121749333333332</v>
      </c>
      <c r="N149" s="172" t="n">
        <f t="shared" si="58"/>
        <v>11.195833333333333</v>
      </c>
      <c r="O149" s="172" t="n">
        <f t="shared" si="58"/>
        <v>0.82294796502818501</v>
      </c>
      <c r="P149" s="172" t="n">
        <f t="shared" si="58"/>
        <v>0.17705203497181501</v>
      </c>
      <c r="Q149" s="172" t="n">
        <f t="shared" si="58"/>
        <v>0.21696004751396017</v>
      </c>
      <c r="R149" s="94"/>
      <c r="S149" s="22" t="n">
        <f>VLOOKUP($B149,Conversores_Dieta!$B$4:$J$164,Coefs!S$292,0)</f>
        <v>0.68</v>
      </c>
      <c r="T149" s="130" t="n">
        <f>VLOOKUP($B149,Conversores_Dieta!$B$4:$J$164,Coefs!T$292,0)</f>
        <v>1.2800000000000001E-3</v>
      </c>
      <c r="U149" s="166" t="n">
        <f>VLOOKUP($B149,Conversores_Dieta!$B$4:$J$164,Coefs!U$292,0)</f>
        <v>1</v>
      </c>
      <c r="V149" s="166" t="n">
        <f>VLOOKUP($B149,Conversores_Dieta!$B$4:$J$164,Coefs!V$292,0)</f>
        <v>68</v>
      </c>
      <c r="W149" s="21" t="n">
        <f>VLOOKUP($B149,Conversores_Dieta!$B$4:$J$164,Coefs!W$292,0)</f>
        <v>230</v>
      </c>
      <c r="X149" s="21" t="n">
        <f>VLOOKUP($B149,Conversores_Dieta!$B$4:$J$164,Coefs!X$292,0)</f>
        <v>20</v>
      </c>
      <c r="Y149" s="66"/>
      <c r="Z149" s="66"/>
      <c r="AA149" s="66"/>
      <c r="AB149" s="66"/>
      <c r="AC149" s="66"/>
      <c r="AD149" s="171"/>
      <c r="AE149" s="171"/>
      <c r="AF149" s="171"/>
      <c r="AG149" s="171"/>
      <c r="AH149" s="171"/>
      <c r="AI149" s="153" t="n">
        <f>T149/G149</f>
        <v>1.0553219556434991E-2</v>
      </c>
      <c r="AJ149" s="100"/>
      <c r="AK149" s="97"/>
      <c r="AL149" s="172" t="n">
        <f>AL146</f>
        <v>0.49000000000000005</v>
      </c>
      <c r="AM149" s="107" t="n">
        <f>AM146</f>
        <v>7.4666666666666675E-3</v>
      </c>
      <c r="AN149" s="172"/>
      <c r="AO149" s="172"/>
      <c r="AP149" s="107" t="n">
        <f>AP146</f>
        <v>0.46958440154440156</v>
      </c>
      <c r="AQ149" s="121" t="n">
        <v>0.32499999999999996</v>
      </c>
      <c r="AR149" s="172"/>
      <c r="AS149" s="107" t="n">
        <f>AS146</f>
        <v>0.71544139436619725</v>
      </c>
      <c r="AT149" s="59" t="n">
        <f t="shared" si="56"/>
        <v>0.17824592074592077</v>
      </c>
      <c r="AU149" s="172" t="n">
        <f>AU146</f>
        <v>0.43360084507042257</v>
      </c>
      <c r="AV149" s="172" t="n">
        <f>AV146</f>
        <v>0.28184054929577468</v>
      </c>
      <c r="AW149" s="172"/>
      <c r="AX149" s="107" t="n">
        <v>8.9999999999999993E-3</v>
      </c>
      <c r="AY149" s="172" t="n">
        <f>AY146</f>
        <v>17.913333333333334</v>
      </c>
      <c r="AZ149" t="n">
        <v>0.7</v>
      </c>
      <c r="BA149" s="156" t="n">
        <f>BA126</f>
        <v>20</v>
      </c>
      <c r="BB149" s="156" t="n">
        <f t="shared" ref="BB149:BP149" si="59">BB126</f>
        <v>0.3</v>
      </c>
      <c r="BC149" s="156" t="n">
        <f t="shared" si="59"/>
        <v>0.6</v>
      </c>
      <c r="BD149" s="156" t="n">
        <f t="shared" si="59"/>
        <v>0.8</v>
      </c>
      <c r="BE149" s="156" t="n">
        <f t="shared" si="59"/>
        <v>0</v>
      </c>
      <c r="BF149" s="156" t="n">
        <f t="shared" si="59"/>
        <v>3</v>
      </c>
      <c r="BG149" s="156" t="n">
        <f t="shared" si="59"/>
        <v>18</v>
      </c>
      <c r="BH149" s="156" t="n">
        <f t="shared" si="59"/>
        <v>120</v>
      </c>
      <c r="BI149" s="156" t="n">
        <f t="shared" si="59"/>
        <v>2.61</v>
      </c>
      <c r="BJ149" s="156" t="n">
        <f t="shared" si="59"/>
        <v>0</v>
      </c>
      <c r="BK149" s="156" t="n">
        <f t="shared" si="59"/>
        <v>0</v>
      </c>
      <c r="BL149" s="156" t="n">
        <f t="shared" si="59"/>
        <v>370</v>
      </c>
      <c r="BM149" s="156" t="n">
        <f t="shared" si="59"/>
        <v>500</v>
      </c>
      <c r="BN149" s="156" t="n">
        <f t="shared" si="59"/>
        <v>2</v>
      </c>
      <c r="BO149" s="156" t="n">
        <f t="shared" si="59"/>
        <v>400</v>
      </c>
      <c r="BP149" s="156" t="n">
        <f t="shared" si="59"/>
        <v>6.5</v>
      </c>
      <c r="BQ149" s="110"/>
    </row>
    <row r="150">
      <c r="A150" s="44" t="n">
        <v>523</v>
      </c>
      <c r="B150" s="44" t="s">
        <v>237</v>
      </c>
      <c r="C150" s="44"/>
      <c r="D150" s="138" t="s">
        <v>227</v>
      </c>
      <c r="E150" s="139"/>
      <c r="F150" s="172" t="n">
        <f>F132</f>
        <v>0.29383040935672516</v>
      </c>
      <c r="G150" s="143" t="n">
        <f>G132</f>
        <v>0.16</v>
      </c>
      <c r="H150" s="172" t="n">
        <f>H132</f>
        <v>0.68653999999999993</v>
      </c>
      <c r="I150" s="172"/>
      <c r="J150" s="172"/>
      <c r="K150" s="172" t="n">
        <f t="shared" ref="K150:Q150" si="60">K132</f>
        <v>2.109</v>
      </c>
      <c r="L150" s="172" t="n">
        <f t="shared" si="60"/>
        <v>2.5129104000000004</v>
      </c>
      <c r="M150" s="172" t="n">
        <f t="shared" si="60"/>
        <v>2.1736256640000002</v>
      </c>
      <c r="N150" s="172" t="n">
        <f t="shared" si="60"/>
        <v>12.646066799999998</v>
      </c>
      <c r="O150" s="172" t="n">
        <f t="shared" si="60"/>
        <v>0.72996183206106868</v>
      </c>
      <c r="P150" s="172" t="n">
        <f t="shared" si="60"/>
        <v>0.27160651006853825</v>
      </c>
      <c r="Q150" s="172" t="n">
        <f t="shared" si="60"/>
        <v>0.37288431846651326</v>
      </c>
      <c r="R150" s="94"/>
      <c r="S150" s="22" t="n">
        <f>VLOOKUP($B150,Conversores_Dieta!$B$4:$J$164,Coefs!S$292,0)</f>
        <v>0.61</v>
      </c>
      <c r="T150" s="130" t="n">
        <f>VLOOKUP($B150,Conversores_Dieta!$B$4:$J$164,Coefs!T$292,0)</f>
        <v>6.4000000000000005E-4</v>
      </c>
      <c r="U150" s="166" t="n">
        <f>VLOOKUP($B150,Conversores_Dieta!$B$4:$J$164,Coefs!U$292,0)</f>
        <v>0</v>
      </c>
      <c r="V150" s="166" t="n">
        <f>VLOOKUP($B150,Conversores_Dieta!$B$4:$J$164,Coefs!V$292,0)</f>
        <v>68</v>
      </c>
      <c r="W150" s="21" t="n">
        <f>VLOOKUP($B150,Conversores_Dieta!$B$4:$J$164,Coefs!W$292,0)</f>
        <v>140</v>
      </c>
      <c r="X150" s="21" t="n">
        <f>VLOOKUP($B150,Conversores_Dieta!$B$4:$J$164,Coefs!X$292,0)</f>
        <v>0</v>
      </c>
      <c r="Y150" s="66"/>
      <c r="Z150" s="66"/>
      <c r="AA150" s="66"/>
      <c r="AB150" s="66"/>
      <c r="AC150" s="66"/>
      <c r="AD150" s="171"/>
      <c r="AE150" s="171"/>
      <c r="AF150" s="171"/>
      <c r="AG150" s="171"/>
      <c r="AH150" s="171"/>
      <c r="AI150" s="153" t="n">
        <f>T150/G150</f>
        <v>4.0000000000000001E-3</v>
      </c>
      <c r="AJ150" s="100"/>
      <c r="AK150" s="97"/>
      <c r="AL150" s="172" t="n">
        <f>AL132</f>
        <v>0.49000000000000005</v>
      </c>
      <c r="AM150" s="107" t="n">
        <f>AM132</f>
        <v>7.4000000000000003E-3</v>
      </c>
      <c r="AN150" s="172"/>
      <c r="AO150" s="172"/>
      <c r="AP150" s="107" t="n">
        <f>AP132</f>
        <v>0.46382702702702705</v>
      </c>
      <c r="AQ150" s="121" t="n">
        <v>0.32499999999999996</v>
      </c>
      <c r="AR150" s="172"/>
      <c r="AS150" s="107" t="n">
        <f>AS132</f>
        <v>0.74366197183098592</v>
      </c>
      <c r="AT150" s="59" t="n">
        <f t="shared" si="56"/>
        <v>0.17824592074592077</v>
      </c>
      <c r="AU150" s="172" t="n">
        <f>AU132</f>
        <v>0.45070422535211269</v>
      </c>
      <c r="AV150" s="172" t="n">
        <f>AV132</f>
        <v>0.29295774647887324</v>
      </c>
      <c r="AW150" s="172"/>
      <c r="AX150" s="107" t="n">
        <v>8.9999999999999993E-3</v>
      </c>
      <c r="AY150" s="172" t="n">
        <f>AY132</f>
        <v>18.419999999999998</v>
      </c>
      <c r="AZ150" t="n">
        <v>0.7</v>
      </c>
      <c r="BA150" t="n">
        <v>64</v>
      </c>
      <c r="BB150" t="n">
        <v>0</v>
      </c>
      <c r="BC150" t="n">
        <v>0.8</v>
      </c>
      <c r="BD150" t="n">
        <v>1</v>
      </c>
      <c r="BE150" t="n">
        <v>0</v>
      </c>
      <c r="BF150" t="n">
        <v>3</v>
      </c>
      <c r="BG150" t="n">
        <v>5</v>
      </c>
      <c r="BH150" t="n">
        <v>60</v>
      </c>
      <c r="BI150" t="n">
        <v>5.04</v>
      </c>
      <c r="BJ150" t="n">
        <v>0</v>
      </c>
      <c r="BK150" t="n">
        <v>0</v>
      </c>
      <c r="BL150" t="n">
        <v>30</v>
      </c>
      <c r="BM150" t="n">
        <v>150</v>
      </c>
      <c r="BN150" t="n">
        <v>8.9</v>
      </c>
      <c r="BO150" t="n">
        <v>200</v>
      </c>
      <c r="BP150" t="n">
        <v>2</v>
      </c>
      <c r="BQ150" s="110"/>
    </row>
    <row r="151">
      <c r="A151" s="44" t="n">
        <v>530</v>
      </c>
      <c r="B151" s="44" t="s">
        <v>236</v>
      </c>
      <c r="C151" s="44" t="s">
        <v>249</v>
      </c>
      <c r="D151" s="138" t="str">
        <f>D138</f>
        <v>Fruits</v>
      </c>
      <c r="E151" s="138"/>
      <c r="F151" s="172" t="n">
        <f>F138</f>
        <v>0.29383040935672516</v>
      </c>
      <c r="G151" s="143" t="n">
        <f>G138</f>
        <v>0.26167000000000001</v>
      </c>
      <c r="H151" s="172" t="n">
        <f>H138</f>
        <v>0.70977500000000004</v>
      </c>
      <c r="I151" s="172"/>
      <c r="J151" s="172"/>
      <c r="K151" s="172" t="n">
        <f t="shared" ref="K151:AI151" si="61">K138</f>
        <v>2.6739999999999999</v>
      </c>
      <c r="L151" s="172" t="n">
        <f t="shared" si="61"/>
        <v>16.202121600000002</v>
      </c>
      <c r="M151" s="172" t="n">
        <f t="shared" si="61"/>
        <v>4.4326558080000007</v>
      </c>
      <c r="N151" s="172" t="n">
        <f t="shared" si="61"/>
        <v>12.492040000000001</v>
      </c>
      <c r="O151" s="172" t="n">
        <f t="shared" si="61"/>
        <v>0.66449511400651473</v>
      </c>
      <c r="P151" s="172" t="n">
        <f t="shared" si="61"/>
        <v>0.34042707410838824</v>
      </c>
      <c r="Q151" s="172" t="n">
        <f t="shared" si="61"/>
        <v>0.51613257722517691</v>
      </c>
      <c r="R151" s="94"/>
      <c r="S151" s="65" t="n">
        <f>VLOOKUP(C151,$B$3:$X$358,MATCH(S$2,$B$2:$X$2,0),0)</f>
        <v>0.87</v>
      </c>
      <c r="T151" s="15" t="n">
        <f>VLOOKUP($C151,$B$3:$X$358,MATCH(T$2,$B$2:$X$2,0),0)*$G151/VLOOKUP($C151,$B$3:$X$358,MATCH($G$2,$B$2:$X$2,0),0)</f>
        <v>1.2800000000000001E-3</v>
      </c>
      <c r="U151" s="157" t="n">
        <f>VLOOKUP($C151,$B$3:$X$358,MATCH(U$2,$B$2:$X$2,0),0)*$G151/VLOOKUP($C151,$B$3:$X$358,MATCH($G$2,$B$2:$X$2,0),0)</f>
        <v>5</v>
      </c>
      <c r="V151" s="157" t="n">
        <f>VLOOKUP($C151,$B$3:$X$358,MATCH(V$2,$B$2:$X$2,0),0)*$G151/VLOOKUP($C151,$B$3:$X$358,MATCH($G$2,$B$2:$X$2,0),0)</f>
        <v>135</v>
      </c>
      <c r="W151" s="132" t="n">
        <f>VLOOKUP($C151,$B$3:$X$358,MATCH(W$2,$B$2:$X$2,0),0)*$G151/VLOOKUP($C151,$B$3:$X$358,MATCH($G$2,$B$2:$X$2,0),0)</f>
        <v>160</v>
      </c>
      <c r="X151" s="132" t="n">
        <f>VLOOKUP($C151,$B$3:$X$358,MATCH(X$2,$B$2:$X$2,0),0)*$G151/VLOOKUP($C151,$B$3:$X$358,MATCH($G$2,$B$2:$X$2,0),0)</f>
        <v>30</v>
      </c>
      <c r="Y151" s="66"/>
      <c r="Z151" s="66"/>
      <c r="AA151" s="66"/>
      <c r="AB151" s="66"/>
      <c r="AC151" s="66"/>
      <c r="AD151" s="171"/>
      <c r="AE151" s="171"/>
      <c r="AF151" s="171"/>
      <c r="AG151" s="171"/>
      <c r="AH151" s="171"/>
      <c r="AI151" s="107" t="n">
        <f t="shared" si="61"/>
        <v>4.8916574311155276E-3</v>
      </c>
      <c r="AJ151" s="100"/>
      <c r="AK151" s="97"/>
      <c r="AL151" s="172" t="n">
        <f>AL138</f>
        <v>0.49000000000000005</v>
      </c>
      <c r="AM151" s="107" t="n">
        <f>AM138</f>
        <v>1.0200000000000001E-2</v>
      </c>
      <c r="AN151" s="172"/>
      <c r="AO151" s="172"/>
      <c r="AP151" s="107" t="n">
        <f t="shared" ref="AP151:AV151" si="62">AP138</f>
        <v>0.46110000000000001</v>
      </c>
      <c r="AQ151" s="121" t="n">
        <v>0.32499999999999996</v>
      </c>
      <c r="AR151" s="172" t="n">
        <f t="shared" si="62"/>
        <v>0.49</v>
      </c>
      <c r="AS151" s="107" t="n">
        <f t="shared" si="62"/>
        <v>0.78600546478873246</v>
      </c>
      <c r="AT151" s="59" t="n">
        <f t="shared" si="56"/>
        <v>0.17824592074592077</v>
      </c>
      <c r="AU151" s="172" t="n">
        <f t="shared" si="62"/>
        <v>0.47636694835680754</v>
      </c>
      <c r="AV151" s="172" t="n">
        <f t="shared" si="62"/>
        <v>0.30963851643192492</v>
      </c>
      <c r="AW151" s="172"/>
      <c r="AX151" s="107" t="n">
        <v>8.9999999999999993E-3</v>
      </c>
      <c r="AY151" s="172" t="n">
        <f>AY138</f>
        <v>17.600000000000001</v>
      </c>
      <c r="AZ151" t="n">
        <v>0.7</v>
      </c>
      <c r="BA151" s="156" t="n">
        <f>BA138</f>
        <v>15</v>
      </c>
      <c r="BB151" s="156" t="n">
        <f t="shared" ref="BB151:BP151" si="63">BB138</f>
        <v>0.70000000000000007</v>
      </c>
      <c r="BC151" s="156" t="n">
        <f t="shared" si="63"/>
        <v>0.8</v>
      </c>
      <c r="BD151" s="156" t="n">
        <f t="shared" si="63"/>
        <v>0.89999999999999991</v>
      </c>
      <c r="BE151" s="156" t="n">
        <f t="shared" si="63"/>
        <v>0</v>
      </c>
      <c r="BF151" s="156" t="n">
        <f t="shared" si="63"/>
        <v>4</v>
      </c>
      <c r="BG151" s="156" t="n">
        <f t="shared" si="63"/>
        <v>1.2</v>
      </c>
      <c r="BH151" s="156" t="n">
        <f t="shared" si="63"/>
        <v>110</v>
      </c>
      <c r="BI151" s="156" t="n">
        <f t="shared" si="63"/>
        <v>3.89</v>
      </c>
      <c r="BJ151" s="156" t="n">
        <f t="shared" si="63"/>
        <v>0</v>
      </c>
      <c r="BK151" s="156" t="n">
        <f t="shared" si="63"/>
        <v>0</v>
      </c>
      <c r="BL151" s="156" t="n">
        <f t="shared" si="63"/>
        <v>80</v>
      </c>
      <c r="BM151" s="156" t="n">
        <f t="shared" si="63"/>
        <v>80</v>
      </c>
      <c r="BN151" s="156" t="n">
        <f t="shared" si="63"/>
        <v>1</v>
      </c>
      <c r="BO151" s="156" t="n">
        <f t="shared" si="63"/>
        <v>1750</v>
      </c>
      <c r="BP151" s="156" t="n">
        <f t="shared" si="63"/>
        <v>2</v>
      </c>
      <c r="BQ151" s="110"/>
    </row>
    <row r="152">
      <c r="A152" s="44" t="n">
        <v>603</v>
      </c>
      <c r="B152" s="44" t="s">
        <v>235</v>
      </c>
      <c r="C152" s="44"/>
      <c r="D152" s="172" t="str">
        <f>$D$148</f>
        <v>Fruits</v>
      </c>
      <c r="E152" s="172"/>
      <c r="F152" s="172" t="n">
        <f>$F$148</f>
        <v>0.29383040935672516</v>
      </c>
      <c r="G152" s="143" t="n">
        <f>$G$148</f>
        <v>0.22620000000000004</v>
      </c>
      <c r="H152" s="172" t="n">
        <f>$H$148</f>
        <v>0.68246400000000018</v>
      </c>
      <c r="I152" s="172"/>
      <c r="J152" s="172"/>
      <c r="K152" s="172" t="n">
        <f>$K$148</f>
        <v>3.0062000000000002</v>
      </c>
      <c r="L152" s="172" t="n">
        <f>$L$148</f>
        <v>6.1757095200000007</v>
      </c>
      <c r="M152" s="172" t="n">
        <f>$M$148</f>
        <v>3.5084127922133344</v>
      </c>
      <c r="N152" s="172" t="n">
        <f>$N$148</f>
        <v>12.433863596666667</v>
      </c>
      <c r="O152" s="172" t="n">
        <f>$O$148</f>
        <v>0.72086278066838816</v>
      </c>
      <c r="P152" s="172" t="n">
        <f>$P$148</f>
        <v>0.27913721933161195</v>
      </c>
      <c r="Q152" s="172" t="n">
        <f>$Q$148</f>
        <v>0.45044584104422702</v>
      </c>
      <c r="R152" s="94"/>
      <c r="S152" s="22" t="n">
        <f>VLOOKUP($B152,Conversores_Dieta!$B$4:$J$164,Coefs!S$292,0)</f>
        <v>0.6</v>
      </c>
      <c r="T152" s="130" t="n">
        <f>VLOOKUP($B152,Conversores_Dieta!$B$4:$J$164,Coefs!T$292,0)</f>
        <v>1.6000000000000001E-3</v>
      </c>
      <c r="U152" s="166" t="n">
        <f>VLOOKUP($B152,Conversores_Dieta!$B$4:$J$164,Coefs!U$292,0)</f>
        <v>2</v>
      </c>
      <c r="V152" s="166" t="n">
        <f>VLOOKUP($B152,Conversores_Dieta!$B$4:$J$164,Coefs!V$292,0)</f>
        <v>200</v>
      </c>
      <c r="W152" s="21" t="n">
        <f>VLOOKUP($B152,Conversores_Dieta!$B$4:$J$164,Coefs!W$292,0)</f>
        <v>300</v>
      </c>
      <c r="X152" s="21" t="n">
        <f>VLOOKUP($B152,Conversores_Dieta!$B$4:$J$164,Coefs!X$292,0)</f>
        <v>0</v>
      </c>
      <c r="Y152" s="66"/>
      <c r="Z152" s="66"/>
      <c r="AA152" s="66"/>
      <c r="AB152" s="66"/>
      <c r="AC152" s="66"/>
      <c r="AD152" s="171"/>
      <c r="AE152" s="171"/>
      <c r="AF152" s="171"/>
      <c r="AG152" s="171"/>
      <c r="AH152" s="171"/>
      <c r="AI152" s="153" t="n">
        <f>T152/G152</f>
        <v>7.0733863837312101E-3</v>
      </c>
      <c r="AJ152" s="100"/>
      <c r="AK152" s="97"/>
      <c r="AL152" s="172" t="n">
        <f>$AL$148</f>
        <v>0.49000000000000005</v>
      </c>
      <c r="AM152" s="107" t="n">
        <f>$AM$148</f>
        <v>7.4666666666666675E-3</v>
      </c>
      <c r="AN152" s="172"/>
      <c r="AO152" s="172"/>
      <c r="AP152" s="107" t="n">
        <f>$AP$148</f>
        <v>0.46958440154440156</v>
      </c>
      <c r="AQ152" s="121" t="n">
        <v>0.32499999999999996</v>
      </c>
      <c r="AR152" s="172"/>
      <c r="AS152" s="107" t="n">
        <f>$AS$148</f>
        <v>0.71544139436619725</v>
      </c>
      <c r="AT152" s="59" t="n">
        <f t="shared" si="56"/>
        <v>0.17824592074592077</v>
      </c>
      <c r="AU152" s="172" t="n">
        <f>$AU$148</f>
        <v>0.43360084507042257</v>
      </c>
      <c r="AV152" s="172" t="n">
        <f>$AV$148</f>
        <v>0.28184054929577468</v>
      </c>
      <c r="AW152" s="172"/>
      <c r="AX152" s="107" t="n">
        <v>8.9999999999999993E-3</v>
      </c>
      <c r="AY152" s="172" t="n">
        <f>$AY$148</f>
        <v>18.219076166166513</v>
      </c>
      <c r="AZ152" t="n">
        <v>0.7</v>
      </c>
      <c r="BA152" t="n">
        <v>12</v>
      </c>
      <c r="BB152" t="n">
        <v>0</v>
      </c>
      <c r="BC152" t="n">
        <v>1</v>
      </c>
      <c r="BD152" t="n">
        <v>1</v>
      </c>
      <c r="BE152" t="n">
        <v>0</v>
      </c>
      <c r="BF152" t="n">
        <v>5</v>
      </c>
      <c r="BG152" t="n">
        <v>1.5</v>
      </c>
      <c r="BH152" t="n">
        <v>140</v>
      </c>
      <c r="BI152" t="n">
        <v>4.46</v>
      </c>
      <c r="BJ152" t="n">
        <v>0</v>
      </c>
      <c r="BK152" t="n">
        <v>0</v>
      </c>
      <c r="BL152" t="n">
        <v>110</v>
      </c>
      <c r="BM152" t="n">
        <v>200</v>
      </c>
      <c r="BN152" t="n">
        <v>1</v>
      </c>
      <c r="BO152" t="n">
        <v>75</v>
      </c>
      <c r="BP152" t="n">
        <v>0.8</v>
      </c>
      <c r="BQ152" s="110"/>
    </row>
    <row r="153">
      <c r="A153" s="44" t="n">
        <v>552</v>
      </c>
      <c r="B153" s="44" t="s">
        <v>234</v>
      </c>
      <c r="C153" s="7" t="s">
        <v>232</v>
      </c>
      <c r="D153" s="172" t="str">
        <f>$D$148</f>
        <v>Fruits</v>
      </c>
      <c r="E153" s="172"/>
      <c r="F153" s="172" t="n">
        <f>$F$148</f>
        <v>0.29383040935672516</v>
      </c>
      <c r="G153" s="143" t="n">
        <f>$G$148</f>
        <v>0.22620000000000004</v>
      </c>
      <c r="H153" s="172" t="n">
        <f>$H$148</f>
        <v>0.68246400000000018</v>
      </c>
      <c r="I153" s="172"/>
      <c r="J153" s="172"/>
      <c r="K153" s="172" t="n">
        <f>$K$148</f>
        <v>3.0062000000000002</v>
      </c>
      <c r="L153" s="172" t="n">
        <f>$L$148</f>
        <v>6.1757095200000007</v>
      </c>
      <c r="M153" s="172" t="n">
        <f>$M$148</f>
        <v>3.5084127922133344</v>
      </c>
      <c r="N153" s="172" t="n">
        <f>$N$148</f>
        <v>12.433863596666667</v>
      </c>
      <c r="O153" s="172" t="n">
        <f>$O$148</f>
        <v>0.72086278066838816</v>
      </c>
      <c r="P153" s="172" t="n">
        <f>$P$148</f>
        <v>0.27913721933161195</v>
      </c>
      <c r="Q153" s="172" t="n">
        <f>$Q$148</f>
        <v>0.45044584104422702</v>
      </c>
      <c r="R153" s="94"/>
      <c r="S153" s="65" t="n">
        <f>VLOOKUP(C153,$B$3:$X$358,MATCH(S$2,$B$2:$X$2,0),0)</f>
        <v>0.95</v>
      </c>
      <c r="T153" s="130" t="n">
        <v>1.1199999999999999E-3</v>
      </c>
      <c r="U153" s="157" t="n">
        <f t="shared" ref="U153:X157" si="64">VLOOKUP($C153,$B$3:$X$358,MATCH(U$2,$B$2:$X$2,0),0)*$G153/VLOOKUP($C153,$B$3:$X$358,MATCH($G$2,$B$2:$X$2,0),0)</f>
        <v>10.875000000000002</v>
      </c>
      <c r="V153" s="157" t="n">
        <f t="shared" si="64"/>
        <v>152.25000000000006</v>
      </c>
      <c r="W153" s="132" t="n">
        <f t="shared" si="64"/>
        <v>543.75000000000023</v>
      </c>
      <c r="X153" s="132" t="n">
        <f t="shared" si="64"/>
        <v>21.750000000000004</v>
      </c>
      <c r="Y153" s="66"/>
      <c r="Z153" s="66"/>
      <c r="AA153" s="66"/>
      <c r="AB153" s="66"/>
      <c r="AC153" s="66"/>
      <c r="AD153" s="171"/>
      <c r="AE153" s="171"/>
      <c r="AF153" s="171"/>
      <c r="AG153" s="171"/>
      <c r="AH153" s="171"/>
      <c r="AI153" s="153" t="n">
        <f>T153/G153</f>
        <v>4.9513704686118465E-3</v>
      </c>
      <c r="AJ153" s="100"/>
      <c r="AK153" s="97"/>
      <c r="AL153" s="172" t="n">
        <f>$AL$148</f>
        <v>0.49000000000000005</v>
      </c>
      <c r="AM153" s="107" t="n">
        <f>$AM$148</f>
        <v>7.4666666666666675E-3</v>
      </c>
      <c r="AN153" s="172"/>
      <c r="AO153" s="172"/>
      <c r="AP153" s="107" t="n">
        <f>$AP$148</f>
        <v>0.46958440154440156</v>
      </c>
      <c r="AQ153" s="121" t="n">
        <v>0.32499999999999996</v>
      </c>
      <c r="AR153" s="172"/>
      <c r="AS153" s="107" t="n">
        <f>$AS$148</f>
        <v>0.71544139436619725</v>
      </c>
      <c r="AT153" s="59" t="n">
        <f t="shared" si="56"/>
        <v>0.17824592074592077</v>
      </c>
      <c r="AU153" s="172" t="n">
        <f>$AU$148</f>
        <v>0.43360084507042257</v>
      </c>
      <c r="AV153" s="172" t="n">
        <f>$AV$148</f>
        <v>0.28184054929577468</v>
      </c>
      <c r="AW153" s="172"/>
      <c r="AX153" s="107" t="n">
        <v>8.9999999999999993E-3</v>
      </c>
      <c r="AY153" s="172" t="n">
        <f>$AY$148</f>
        <v>18.219076166166513</v>
      </c>
      <c r="AZ153" t="n">
        <v>0.7</v>
      </c>
      <c r="BA153" t="n">
        <v>49</v>
      </c>
      <c r="BB153" t="n">
        <v>0</v>
      </c>
      <c r="BC153" t="n">
        <v>0</v>
      </c>
      <c r="BD153" t="n">
        <v>0</v>
      </c>
      <c r="BE153" t="n">
        <v>0</v>
      </c>
      <c r="BF153" t="n">
        <v>7.4</v>
      </c>
      <c r="BG153" t="n">
        <v>1.3</v>
      </c>
      <c r="BH153" t="n">
        <v>24</v>
      </c>
      <c r="BI153" t="n">
        <v>3.89</v>
      </c>
      <c r="BJ153" t="n">
        <v>0</v>
      </c>
      <c r="BK153" t="n">
        <v>0</v>
      </c>
      <c r="BL153" t="n">
        <v>100</v>
      </c>
      <c r="BM153" t="n">
        <v>220</v>
      </c>
      <c r="BN153" t="n">
        <v>19.2</v>
      </c>
      <c r="BO153" t="n">
        <v>2000</v>
      </c>
      <c r="BP153" t="n">
        <v>1.3</v>
      </c>
      <c r="BQ153" s="110"/>
    </row>
    <row r="154">
      <c r="A154" s="44" t="n">
        <v>554</v>
      </c>
      <c r="B154" s="44" t="s">
        <v>233</v>
      </c>
      <c r="C154" s="7" t="s">
        <v>232</v>
      </c>
      <c r="D154" s="172" t="str">
        <f>D148</f>
        <v>Fruits</v>
      </c>
      <c r="E154" s="172"/>
      <c r="F154" s="172" t="n">
        <f>F148</f>
        <v>0.29383040935672516</v>
      </c>
      <c r="G154" s="143" t="n">
        <f>G148</f>
        <v>0.22620000000000004</v>
      </c>
      <c r="H154" s="172" t="n">
        <f>H148</f>
        <v>0.68246400000000018</v>
      </c>
      <c r="I154" s="172"/>
      <c r="J154" s="172"/>
      <c r="K154" s="172" t="n">
        <f t="shared" ref="K154:AI154" si="65">K148</f>
        <v>3.0062000000000002</v>
      </c>
      <c r="L154" s="172" t="n">
        <f t="shared" si="65"/>
        <v>6.1757095200000007</v>
      </c>
      <c r="M154" s="172" t="n">
        <f t="shared" si="65"/>
        <v>3.5084127922133344</v>
      </c>
      <c r="N154" s="172" t="n">
        <f t="shared" si="65"/>
        <v>12.433863596666667</v>
      </c>
      <c r="O154" s="172" t="n">
        <f t="shared" si="65"/>
        <v>0.72086278066838816</v>
      </c>
      <c r="P154" s="172" t="n">
        <f t="shared" si="65"/>
        <v>0.27913721933161195</v>
      </c>
      <c r="Q154" s="172" t="n">
        <f t="shared" si="65"/>
        <v>0.45044584104422702</v>
      </c>
      <c r="R154" s="94"/>
      <c r="S154" s="65" t="n">
        <f>VLOOKUP(C154,$B$3:$X$358,MATCH(S$2,$B$2:$X$2,0),0)</f>
        <v>0.95</v>
      </c>
      <c r="T154" s="15" t="n">
        <f>VLOOKUP($C154,$B$3:$X$358,MATCH(T$2,$B$2:$X$2,0),0)*$G154/VLOOKUP($C154,$B$3:$X$358,MATCH($G$2,$B$2:$X$2,0),0)</f>
        <v>1.6000000000000001E-3</v>
      </c>
      <c r="U154" s="157" t="n">
        <f t="shared" si="64"/>
        <v>10.875000000000002</v>
      </c>
      <c r="V154" s="157" t="n">
        <f t="shared" si="64"/>
        <v>152.25000000000006</v>
      </c>
      <c r="W154" s="132" t="n">
        <f t="shared" si="64"/>
        <v>543.75000000000023</v>
      </c>
      <c r="X154" s="132" t="n">
        <f t="shared" si="64"/>
        <v>21.750000000000004</v>
      </c>
      <c r="Y154" s="66"/>
      <c r="Z154" s="66"/>
      <c r="AA154" s="66"/>
      <c r="AB154" s="66"/>
      <c r="AC154" s="66"/>
      <c r="AD154" s="171"/>
      <c r="AE154" s="171"/>
      <c r="AF154" s="171"/>
      <c r="AG154" s="171"/>
      <c r="AH154" s="171"/>
      <c r="AI154" s="107" t="n">
        <f t="shared" si="65"/>
        <v>3.0000000000000001E-3</v>
      </c>
      <c r="AJ154" s="100"/>
      <c r="AK154" s="97"/>
      <c r="AL154" s="172" t="n">
        <f>AL148</f>
        <v>0.49000000000000005</v>
      </c>
      <c r="AM154" s="107" t="n">
        <f>AM148</f>
        <v>7.4666666666666675E-3</v>
      </c>
      <c r="AN154" s="172"/>
      <c r="AO154" s="172"/>
      <c r="AP154" s="107" t="n">
        <f>AP148</f>
        <v>0.46958440154440156</v>
      </c>
      <c r="AQ154" s="121" t="n">
        <v>0.32499999999999996</v>
      </c>
      <c r="AR154" s="172"/>
      <c r="AS154" s="107" t="n">
        <f>AS148</f>
        <v>0.71544139436619725</v>
      </c>
      <c r="AT154" s="59" t="n">
        <f t="shared" si="56"/>
        <v>0.17824592074592077</v>
      </c>
      <c r="AU154" s="172" t="n">
        <f>AU148</f>
        <v>0.43360084507042257</v>
      </c>
      <c r="AV154" s="172" t="n">
        <f>AV148</f>
        <v>0.28184054929577468</v>
      </c>
      <c r="AW154" s="172"/>
      <c r="AX154" s="107" t="n">
        <v>8.9999999999999993E-3</v>
      </c>
      <c r="AY154" s="172" t="n">
        <f>AY148</f>
        <v>18.219076166166513</v>
      </c>
      <c r="AZ154" t="n">
        <v>0.7</v>
      </c>
      <c r="BA154" s="156" t="n">
        <f>BA$155</f>
        <v>16</v>
      </c>
      <c r="BB154" s="156" t="n">
        <f t="shared" ref="BB154:BP157" si="66">BB$155</f>
        <v>0</v>
      </c>
      <c r="BC154" s="156" t="n">
        <f t="shared" si="66"/>
        <v>0</v>
      </c>
      <c r="BD154" s="156" t="n">
        <f t="shared" si="66"/>
        <v>1.9</v>
      </c>
      <c r="BE154" s="156" t="n">
        <f t="shared" si="66"/>
        <v>0</v>
      </c>
      <c r="BF154" s="156" t="n">
        <f t="shared" si="66"/>
        <v>7.4</v>
      </c>
      <c r="BG154" s="156" t="n">
        <f t="shared" si="66"/>
        <v>6.6000000000000005</v>
      </c>
      <c r="BH154" s="156" t="n">
        <f t="shared" si="66"/>
        <v>151.5</v>
      </c>
      <c r="BI154" s="156" t="n">
        <f t="shared" si="66"/>
        <v>3.89</v>
      </c>
      <c r="BJ154" s="156" t="n">
        <f t="shared" si="66"/>
        <v>0</v>
      </c>
      <c r="BK154" s="156" t="n">
        <f t="shared" si="66"/>
        <v>0</v>
      </c>
      <c r="BL154" s="156" t="n">
        <f t="shared" si="66"/>
        <v>233.29999999999998</v>
      </c>
      <c r="BM154" s="156" t="n">
        <f t="shared" si="66"/>
        <v>356.70000000000005</v>
      </c>
      <c r="BN154" s="156" t="n">
        <f t="shared" si="66"/>
        <v>13.700000000000001</v>
      </c>
      <c r="BO154" s="156" t="n">
        <f t="shared" si="66"/>
        <v>1600</v>
      </c>
      <c r="BP154" s="156" t="n">
        <f t="shared" si="66"/>
        <v>1.7999999999999998</v>
      </c>
      <c r="BQ154" s="110"/>
    </row>
    <row r="155">
      <c r="A155" s="44" t="n">
        <v>558</v>
      </c>
      <c r="B155" s="44" t="s">
        <v>232</v>
      </c>
      <c r="C155" s="7" t="s">
        <v>319</v>
      </c>
      <c r="D155" s="172" t="str">
        <f>$D$148</f>
        <v>Fruits</v>
      </c>
      <c r="E155" s="172"/>
      <c r="F155" s="172" t="n">
        <f t="shared" ref="F155:F160" si="67">$F$148</f>
        <v>0.29383040935672516</v>
      </c>
      <c r="G155" s="143" t="n">
        <f t="shared" ref="G155:G160" si="68">$G$148</f>
        <v>0.22620000000000004</v>
      </c>
      <c r="H155" s="172" t="n">
        <f t="shared" ref="H155:H160" si="69">$H$148</f>
        <v>0.68246400000000018</v>
      </c>
      <c r="I155" s="172"/>
      <c r="J155" s="172"/>
      <c r="K155" s="172" t="n">
        <f t="shared" ref="K155:K160" si="70">$K$148</f>
        <v>3.0062000000000002</v>
      </c>
      <c r="L155" s="172" t="n">
        <f t="shared" ref="L155:L160" si="71">$L$148</f>
        <v>6.1757095200000007</v>
      </c>
      <c r="M155" s="172" t="n">
        <f t="shared" ref="M155:M160" si="72">$M$148</f>
        <v>3.5084127922133344</v>
      </c>
      <c r="N155" s="172" t="n">
        <f t="shared" ref="N155:N160" si="73">$N$148</f>
        <v>12.433863596666667</v>
      </c>
      <c r="O155" s="172" t="n">
        <f t="shared" ref="O155:O160" si="74">$O$148</f>
        <v>0.72086278066838816</v>
      </c>
      <c r="P155" s="172" t="n">
        <f t="shared" ref="P155:P160" si="75">$P$148</f>
        <v>0.27913721933161195</v>
      </c>
      <c r="Q155" s="172" t="n">
        <f t="shared" ref="Q155:Q160" si="76">$Q$148</f>
        <v>0.45044584104422702</v>
      </c>
      <c r="R155" s="94"/>
      <c r="S155" s="65" t="n">
        <f>VLOOKUP(C155,$B$3:$X$358,MATCH(S$2,$B$2:$X$2,0),0)</f>
        <v>0.95</v>
      </c>
      <c r="T155" s="130" t="n">
        <v>1.6000000000000001E-3</v>
      </c>
      <c r="U155" s="157" t="n">
        <f t="shared" si="64"/>
        <v>10.875000000000004</v>
      </c>
      <c r="V155" s="157" t="n">
        <f t="shared" si="64"/>
        <v>152.25000000000006</v>
      </c>
      <c r="W155" s="132" t="n">
        <f t="shared" si="64"/>
        <v>543.75000000000023</v>
      </c>
      <c r="X155" s="132" t="n">
        <f t="shared" si="64"/>
        <v>21.750000000000007</v>
      </c>
      <c r="Y155" s="66"/>
      <c r="Z155" s="66"/>
      <c r="AA155" s="66"/>
      <c r="AB155" s="66"/>
      <c r="AC155" s="66"/>
      <c r="AD155" s="171"/>
      <c r="AE155" s="171"/>
      <c r="AF155" s="171"/>
      <c r="AG155" s="171"/>
      <c r="AH155" s="171"/>
      <c r="AI155" s="153" t="n">
        <f>T155/G155</f>
        <v>7.0733863837312101E-3</v>
      </c>
      <c r="AJ155" s="100"/>
      <c r="AK155" s="97"/>
      <c r="AL155" s="172" t="n">
        <f t="shared" ref="AL155:AL160" si="77">$AL$148</f>
        <v>0.49000000000000005</v>
      </c>
      <c r="AM155" s="107" t="n">
        <f t="shared" ref="AM155:AM160" si="78">$AM$148</f>
        <v>7.4666666666666675E-3</v>
      </c>
      <c r="AN155" s="172"/>
      <c r="AO155" s="172"/>
      <c r="AP155" s="107" t="n">
        <f t="shared" ref="AP155:AP160" si="79">$AP$148</f>
        <v>0.46958440154440156</v>
      </c>
      <c r="AQ155" s="121" t="n">
        <v>0.32499999999999996</v>
      </c>
      <c r="AR155" s="172"/>
      <c r="AS155" s="107" t="n">
        <f t="shared" ref="AS155:AS160" si="80">$AS$148</f>
        <v>0.71544139436619725</v>
      </c>
      <c r="AT155" s="59" t="n">
        <f t="shared" si="56"/>
        <v>0.17824592074592077</v>
      </c>
      <c r="AU155" s="172" t="n">
        <f t="shared" ref="AU155:AU160" si="81">$AU$148</f>
        <v>0.43360084507042257</v>
      </c>
      <c r="AV155" s="172" t="n">
        <f t="shared" ref="AV155:AV160" si="82">$AV$148</f>
        <v>0.28184054929577468</v>
      </c>
      <c r="AW155" s="172"/>
      <c r="AX155" s="107" t="n">
        <v>8.9999999999999993E-3</v>
      </c>
      <c r="AY155" s="172" t="n">
        <f t="shared" ref="AY155:AY160" si="83">$AY$148</f>
        <v>18.219076166166513</v>
      </c>
      <c r="AZ155" t="n">
        <v>0.7</v>
      </c>
      <c r="BA155" t="n">
        <v>16</v>
      </c>
      <c r="BB155" t="n">
        <v>0</v>
      </c>
      <c r="BC155" t="n">
        <v>0</v>
      </c>
      <c r="BD155" t="n">
        <v>1.9</v>
      </c>
      <c r="BE155" t="n">
        <v>0</v>
      </c>
      <c r="BF155" t="n">
        <v>7.4</v>
      </c>
      <c r="BG155" t="n">
        <v>6.6000000000000005</v>
      </c>
      <c r="BH155" t="n">
        <v>151.5</v>
      </c>
      <c r="BI155" t="n">
        <v>3.89</v>
      </c>
      <c r="BJ155" t="n">
        <v>0</v>
      </c>
      <c r="BK155" t="n">
        <v>0</v>
      </c>
      <c r="BL155" t="n">
        <v>233.29999999999998</v>
      </c>
      <c r="BM155" t="n">
        <v>356.70000000000005</v>
      </c>
      <c r="BN155" t="n">
        <v>13.700000000000001</v>
      </c>
      <c r="BO155" t="n">
        <v>1600</v>
      </c>
      <c r="BP155" t="n">
        <v>1.7999999999999998</v>
      </c>
      <c r="BQ155" s="110"/>
    </row>
    <row r="156">
      <c r="A156" s="44" t="n">
        <v>550</v>
      </c>
      <c r="B156" s="44" t="s">
        <v>231</v>
      </c>
      <c r="C156" s="7" t="s">
        <v>232</v>
      </c>
      <c r="D156" s="172" t="str">
        <f>$D$148</f>
        <v>Fruits</v>
      </c>
      <c r="E156" s="172"/>
      <c r="F156" s="172" t="n">
        <f t="shared" si="67"/>
        <v>0.29383040935672516</v>
      </c>
      <c r="G156" s="143" t="n">
        <f t="shared" si="68"/>
        <v>0.22620000000000004</v>
      </c>
      <c r="H156" s="172" t="n">
        <f t="shared" si="69"/>
        <v>0.68246400000000018</v>
      </c>
      <c r="I156" s="172"/>
      <c r="J156" s="172"/>
      <c r="K156" s="172" t="n">
        <f t="shared" si="70"/>
        <v>3.0062000000000002</v>
      </c>
      <c r="L156" s="172" t="n">
        <f t="shared" si="71"/>
        <v>6.1757095200000007</v>
      </c>
      <c r="M156" s="172" t="n">
        <f t="shared" si="72"/>
        <v>3.5084127922133344</v>
      </c>
      <c r="N156" s="172" t="n">
        <f t="shared" si="73"/>
        <v>12.433863596666667</v>
      </c>
      <c r="O156" s="172" t="n">
        <f t="shared" si="74"/>
        <v>0.72086278066838816</v>
      </c>
      <c r="P156" s="172" t="n">
        <f t="shared" si="75"/>
        <v>0.27913721933161195</v>
      </c>
      <c r="Q156" s="172" t="n">
        <f>$Q$148</f>
        <v>0.45044584104422702</v>
      </c>
      <c r="R156" s="94"/>
      <c r="S156" s="65" t="n">
        <f>VLOOKUP(C156,$B$3:$X$358,MATCH(S$2,$B$2:$X$2,0),0)</f>
        <v>0.95</v>
      </c>
      <c r="T156" s="15" t="n">
        <f>VLOOKUP($C156,$B$3:$X$358,MATCH(T$2,$B$2:$X$2,0),0)*$G156/VLOOKUP($C156,$B$3:$X$358,MATCH($G$2,$B$2:$X$2,0),0)</f>
        <v>1.6000000000000001E-3</v>
      </c>
      <c r="U156" s="157" t="n">
        <f t="shared" si="64"/>
        <v>10.875000000000002</v>
      </c>
      <c r="V156" s="157" t="n">
        <f t="shared" si="64"/>
        <v>152.25000000000006</v>
      </c>
      <c r="W156" s="132" t="n">
        <f t="shared" si="64"/>
        <v>543.75000000000023</v>
      </c>
      <c r="X156" s="132" t="n">
        <f t="shared" si="64"/>
        <v>21.750000000000004</v>
      </c>
      <c r="Y156" s="66"/>
      <c r="Z156" s="66"/>
      <c r="AA156" s="66"/>
      <c r="AB156" s="66"/>
      <c r="AC156" s="66"/>
      <c r="AD156" s="171"/>
      <c r="AE156" s="171"/>
      <c r="AF156" s="171"/>
      <c r="AG156" s="171"/>
      <c r="AH156" s="171"/>
      <c r="AI156" s="107" t="n">
        <f t="shared" ref="AI156:AI160" si="84">$AI$148</f>
        <v>3.0000000000000001E-3</v>
      </c>
      <c r="AJ156" s="100"/>
      <c r="AK156" s="97"/>
      <c r="AL156" s="172" t="n">
        <f t="shared" si="77"/>
        <v>0.49000000000000005</v>
      </c>
      <c r="AM156" s="107" t="n">
        <f t="shared" si="78"/>
        <v>7.4666666666666675E-3</v>
      </c>
      <c r="AN156" s="172"/>
      <c r="AO156" s="172"/>
      <c r="AP156" s="107" t="n">
        <f t="shared" si="79"/>
        <v>0.46958440154440156</v>
      </c>
      <c r="AQ156" s="121" t="n">
        <v>0.32499999999999996</v>
      </c>
      <c r="AR156" s="172"/>
      <c r="AS156" s="107" t="n">
        <f t="shared" si="80"/>
        <v>0.71544139436619725</v>
      </c>
      <c r="AT156" s="59" t="n">
        <f t="shared" si="56"/>
        <v>0.17824592074592077</v>
      </c>
      <c r="AU156" s="172" t="n">
        <f t="shared" si="81"/>
        <v>0.43360084507042257</v>
      </c>
      <c r="AV156" s="172" t="n">
        <f t="shared" si="82"/>
        <v>0.28184054929577468</v>
      </c>
      <c r="AW156" s="172"/>
      <c r="AX156" s="107" t="n">
        <v>8.9999999999999993E-3</v>
      </c>
      <c r="AY156" s="172" t="n">
        <f t="shared" si="83"/>
        <v>18.219076166166513</v>
      </c>
      <c r="AZ156" t="n">
        <v>0.7</v>
      </c>
      <c r="BA156" s="156" t="n">
        <f>BA$155</f>
        <v>16</v>
      </c>
      <c r="BB156" s="156" t="n">
        <f t="shared" si="66"/>
        <v>0</v>
      </c>
      <c r="BC156" s="156" t="n">
        <f t="shared" si="66"/>
        <v>0</v>
      </c>
      <c r="BD156" s="156" t="n">
        <f t="shared" si="66"/>
        <v>1.9</v>
      </c>
      <c r="BE156" s="156" t="n">
        <f t="shared" si="66"/>
        <v>0</v>
      </c>
      <c r="BF156" s="156" t="n">
        <f t="shared" si="66"/>
        <v>7.4</v>
      </c>
      <c r="BG156" s="156" t="n">
        <f t="shared" si="66"/>
        <v>6.6000000000000005</v>
      </c>
      <c r="BH156" s="156" t="n">
        <f t="shared" si="66"/>
        <v>151.5</v>
      </c>
      <c r="BI156" s="156" t="n">
        <f t="shared" si="66"/>
        <v>3.89</v>
      </c>
      <c r="BJ156" s="156" t="n">
        <f t="shared" si="66"/>
        <v>0</v>
      </c>
      <c r="BK156" s="156" t="n">
        <f t="shared" si="66"/>
        <v>0</v>
      </c>
      <c r="BL156" s="156" t="n">
        <f t="shared" si="66"/>
        <v>233.29999999999998</v>
      </c>
      <c r="BM156" s="156" t="n">
        <f t="shared" si="66"/>
        <v>356.70000000000005</v>
      </c>
      <c r="BN156" s="156" t="n">
        <f t="shared" si="66"/>
        <v>13.700000000000001</v>
      </c>
      <c r="BO156" s="156" t="n">
        <f t="shared" si="66"/>
        <v>1600</v>
      </c>
      <c r="BP156" s="156" t="n">
        <f t="shared" si="66"/>
        <v>1.7999999999999998</v>
      </c>
      <c r="BQ156" s="110"/>
    </row>
    <row r="157">
      <c r="A157" s="44" t="n">
        <v>549</v>
      </c>
      <c r="B157" s="44" t="s">
        <v>230</v>
      </c>
      <c r="C157" s="7" t="s">
        <v>232</v>
      </c>
      <c r="D157" s="172" t="str">
        <f>$D$148</f>
        <v>Fruits</v>
      </c>
      <c r="E157" s="172"/>
      <c r="F157" s="172" t="n">
        <f t="shared" si="67"/>
        <v>0.29383040935672516</v>
      </c>
      <c r="G157" s="143" t="n">
        <f t="shared" si="68"/>
        <v>0.22620000000000004</v>
      </c>
      <c r="H157" s="172" t="n">
        <f t="shared" si="69"/>
        <v>0.68246400000000018</v>
      </c>
      <c r="I157" s="172"/>
      <c r="J157" s="172"/>
      <c r="K157" s="172" t="n">
        <f t="shared" si="70"/>
        <v>3.0062000000000002</v>
      </c>
      <c r="L157" s="172" t="n">
        <f t="shared" si="71"/>
        <v>6.1757095200000007</v>
      </c>
      <c r="M157" s="172" t="n">
        <f t="shared" si="72"/>
        <v>3.5084127922133344</v>
      </c>
      <c r="N157" s="172" t="n">
        <f t="shared" si="73"/>
        <v>12.433863596666667</v>
      </c>
      <c r="O157" s="172" t="n">
        <f t="shared" si="74"/>
        <v>0.72086278066838816</v>
      </c>
      <c r="P157" s="172" t="n">
        <f t="shared" si="75"/>
        <v>0.27913721933161195</v>
      </c>
      <c r="Q157" s="172" t="n">
        <f t="shared" si="76"/>
        <v>0.45044584104422702</v>
      </c>
      <c r="R157" s="94"/>
      <c r="S157" s="65" t="n">
        <f>VLOOKUP(C157,$B$3:$X$358,MATCH(S$2,$B$2:$X$2,0),0)</f>
        <v>0.95</v>
      </c>
      <c r="T157" s="15" t="n">
        <f>VLOOKUP($C157,$B$3:$X$358,MATCH(T$2,$B$2:$X$2,0),0)*$G157/VLOOKUP($C157,$B$3:$X$358,MATCH($G$2,$B$2:$X$2,0),0)</f>
        <v>1.6000000000000001E-3</v>
      </c>
      <c r="U157" s="157" t="n">
        <f t="shared" si="64"/>
        <v>10.875000000000002</v>
      </c>
      <c r="V157" s="157" t="n">
        <f t="shared" si="64"/>
        <v>152.25000000000006</v>
      </c>
      <c r="W157" s="132" t="n">
        <f t="shared" si="64"/>
        <v>543.75000000000023</v>
      </c>
      <c r="X157" s="132" t="n">
        <f t="shared" si="64"/>
        <v>21.750000000000004</v>
      </c>
      <c r="Y157" s="66"/>
      <c r="Z157" s="66"/>
      <c r="AA157" s="66"/>
      <c r="AB157" s="66"/>
      <c r="AC157" s="66"/>
      <c r="AD157" s="171"/>
      <c r="AE157" s="171"/>
      <c r="AF157" s="171"/>
      <c r="AG157" s="171"/>
      <c r="AH157" s="171"/>
      <c r="AI157" s="107" t="n">
        <f t="shared" si="84"/>
        <v>3.0000000000000001E-3</v>
      </c>
      <c r="AJ157" s="100"/>
      <c r="AK157" s="97"/>
      <c r="AL157" s="172" t="n">
        <f t="shared" si="77"/>
        <v>0.49000000000000005</v>
      </c>
      <c r="AM157" s="107" t="n">
        <f t="shared" si="78"/>
        <v>7.4666666666666675E-3</v>
      </c>
      <c r="AN157" s="172"/>
      <c r="AO157" s="172"/>
      <c r="AP157" s="107" t="n">
        <f t="shared" si="79"/>
        <v>0.46958440154440156</v>
      </c>
      <c r="AQ157" s="121" t="n">
        <v>0.32499999999999996</v>
      </c>
      <c r="AR157" s="172"/>
      <c r="AS157" s="107" t="n">
        <f t="shared" si="80"/>
        <v>0.71544139436619725</v>
      </c>
      <c r="AT157" s="59" t="n">
        <f t="shared" si="56"/>
        <v>0.17824592074592077</v>
      </c>
      <c r="AU157" s="172" t="n">
        <f t="shared" si="81"/>
        <v>0.43360084507042257</v>
      </c>
      <c r="AV157" s="172" t="n">
        <f t="shared" si="82"/>
        <v>0.28184054929577468</v>
      </c>
      <c r="AW157" s="172"/>
      <c r="AX157" s="107" t="n">
        <v>8.9999999999999993E-3</v>
      </c>
      <c r="AY157" s="172" t="n">
        <f t="shared" si="83"/>
        <v>18.219076166166513</v>
      </c>
      <c r="AZ157" t="n">
        <v>0.7</v>
      </c>
      <c r="BA157" s="156" t="n">
        <f>BA$155</f>
        <v>16</v>
      </c>
      <c r="BB157" s="156" t="n">
        <f t="shared" si="66"/>
        <v>0</v>
      </c>
      <c r="BC157" s="156" t="n">
        <f t="shared" si="66"/>
        <v>0</v>
      </c>
      <c r="BD157" s="156" t="n">
        <f t="shared" si="66"/>
        <v>1.9</v>
      </c>
      <c r="BE157" s="156" t="n">
        <f t="shared" si="66"/>
        <v>0</v>
      </c>
      <c r="BF157" s="156" t="n">
        <f t="shared" si="66"/>
        <v>7.4</v>
      </c>
      <c r="BG157" s="156" t="n">
        <f t="shared" si="66"/>
        <v>6.6000000000000005</v>
      </c>
      <c r="BH157" s="156" t="n">
        <f t="shared" si="66"/>
        <v>151.5</v>
      </c>
      <c r="BI157" s="156" t="n">
        <f t="shared" si="66"/>
        <v>3.89</v>
      </c>
      <c r="BJ157" s="156" t="n">
        <f t="shared" si="66"/>
        <v>0</v>
      </c>
      <c r="BK157" s="156" t="n">
        <f t="shared" si="66"/>
        <v>0</v>
      </c>
      <c r="BL157" s="156" t="n">
        <f t="shared" si="66"/>
        <v>233.29999999999998</v>
      </c>
      <c r="BM157" s="156" t="n">
        <f t="shared" si="66"/>
        <v>356.70000000000005</v>
      </c>
      <c r="BN157" s="156" t="n">
        <f t="shared" si="66"/>
        <v>13.700000000000001</v>
      </c>
      <c r="BO157" s="156" t="n">
        <f t="shared" si="66"/>
        <v>1600</v>
      </c>
      <c r="BP157" s="156" t="n">
        <f t="shared" si="66"/>
        <v>1.7999999999999998</v>
      </c>
      <c r="BQ157" s="110"/>
    </row>
    <row r="158">
      <c r="A158" s="44" t="n">
        <v>587</v>
      </c>
      <c r="B158" s="44" t="s">
        <v>229</v>
      </c>
      <c r="C158" s="7" t="s">
        <v>319</v>
      </c>
      <c r="D158" s="172" t="str">
        <f>$D$148</f>
        <v>Fruits</v>
      </c>
      <c r="E158" s="172"/>
      <c r="F158" s="172" t="n">
        <f t="shared" si="67"/>
        <v>0.29383040935672516</v>
      </c>
      <c r="G158" s="143" t="n">
        <f t="shared" si="68"/>
        <v>0.22620000000000004</v>
      </c>
      <c r="H158" s="172" t="n">
        <f t="shared" si="69"/>
        <v>0.68246400000000018</v>
      </c>
      <c r="I158" s="172"/>
      <c r="J158" s="172"/>
      <c r="K158" s="172" t="n">
        <f t="shared" si="70"/>
        <v>3.0062000000000002</v>
      </c>
      <c r="L158" s="172" t="n">
        <f t="shared" si="71"/>
        <v>6.1757095200000007</v>
      </c>
      <c r="M158" s="172" t="n">
        <f t="shared" si="72"/>
        <v>3.5084127922133344</v>
      </c>
      <c r="N158" s="172" t="n">
        <f t="shared" si="73"/>
        <v>12.433863596666667</v>
      </c>
      <c r="O158" s="172" t="n">
        <f t="shared" si="74"/>
        <v>0.72086278066838816</v>
      </c>
      <c r="P158" s="172" t="n">
        <f t="shared" si="75"/>
        <v>0.27913721933161195</v>
      </c>
      <c r="Q158" s="172" t="n">
        <f t="shared" si="76"/>
        <v>0.45044584104422702</v>
      </c>
      <c r="R158" s="94"/>
      <c r="S158" s="22" t="n">
        <f>VLOOKUP($B158,Conversores_Dieta!$B$4:$J$164,Coefs!S$292,0)</f>
        <v>0.87</v>
      </c>
      <c r="T158" s="130" t="n">
        <f>VLOOKUP($B158,Conversores_Dieta!$B$4:$J$164,Coefs!T$292,0)</f>
        <v>1.008E-3</v>
      </c>
      <c r="U158" s="166" t="n">
        <f>VLOOKUP($B158,Conversores_Dieta!$B$4:$J$164,Coefs!U$292,0)</f>
        <v>3</v>
      </c>
      <c r="V158" s="166" t="n">
        <f>VLOOKUP($B158,Conversores_Dieta!$B$4:$J$164,Coefs!V$292,0)</f>
        <v>160</v>
      </c>
      <c r="W158" s="21" t="n">
        <f>VLOOKUP($B158,Conversores_Dieta!$B$4:$J$164,Coefs!W$292,0)</f>
        <v>80</v>
      </c>
      <c r="X158" s="21" t="n">
        <f>VLOOKUP($B158,Conversores_Dieta!$B$4:$J$164,Coefs!X$292,0)</f>
        <v>0</v>
      </c>
      <c r="Y158" s="66"/>
      <c r="Z158" s="66"/>
      <c r="AA158" s="66"/>
      <c r="AB158" s="66"/>
      <c r="AC158" s="66"/>
      <c r="AD158" s="171"/>
      <c r="AE158" s="171"/>
      <c r="AF158" s="171"/>
      <c r="AG158" s="171"/>
      <c r="AH158" s="171"/>
      <c r="AI158" s="153" t="n">
        <f>T158/G158</f>
        <v>4.4562334217506626E-3</v>
      </c>
      <c r="AJ158" s="100"/>
      <c r="AK158" s="97"/>
      <c r="AL158" s="172" t="n">
        <f t="shared" si="77"/>
        <v>0.49000000000000005</v>
      </c>
      <c r="AM158" s="107" t="n">
        <f t="shared" si="78"/>
        <v>7.4666666666666675E-3</v>
      </c>
      <c r="AN158" s="172"/>
      <c r="AO158" s="172"/>
      <c r="AP158" s="107" t="n">
        <f t="shared" si="79"/>
        <v>0.46958440154440156</v>
      </c>
      <c r="AQ158" s="121" t="n">
        <v>0.32499999999999996</v>
      </c>
      <c r="AR158" s="172"/>
      <c r="AS158" s="107" t="n">
        <f t="shared" si="80"/>
        <v>0.71544139436619725</v>
      </c>
      <c r="AT158" s="59" t="n">
        <f t="shared" si="56"/>
        <v>0.17824592074592077</v>
      </c>
      <c r="AU158" s="172" t="n">
        <f t="shared" si="81"/>
        <v>0.43360084507042257</v>
      </c>
      <c r="AV158" s="172" t="n">
        <f t="shared" si="82"/>
        <v>0.28184054929577468</v>
      </c>
      <c r="AW158" s="172"/>
      <c r="AX158" s="107" t="n">
        <v>8.9999999999999993E-3</v>
      </c>
      <c r="AY158" s="172" t="n">
        <f t="shared" si="83"/>
        <v>18.219076166166513</v>
      </c>
      <c r="AZ158" t="n">
        <v>0.7</v>
      </c>
      <c r="BA158" t="n">
        <v>25</v>
      </c>
      <c r="BB158" t="n">
        <v>0</v>
      </c>
      <c r="BC158" t="n">
        <v>0</v>
      </c>
      <c r="BD158" t="n">
        <v>0</v>
      </c>
      <c r="BE158" t="n">
        <v>0</v>
      </c>
      <c r="BF158" t="n">
        <v>4</v>
      </c>
      <c r="BG158" t="n">
        <v>0</v>
      </c>
      <c r="BH158" t="n">
        <v>90</v>
      </c>
      <c r="BI158" t="n">
        <v>4.46</v>
      </c>
      <c r="BJ158" t="n">
        <v>0</v>
      </c>
      <c r="BK158" t="n">
        <v>0</v>
      </c>
      <c r="BL158" t="n">
        <v>110</v>
      </c>
      <c r="BM158" t="n">
        <v>70</v>
      </c>
      <c r="BN158" t="n">
        <v>5.8999999999999995</v>
      </c>
      <c r="BO158" t="n">
        <v>350</v>
      </c>
      <c r="BP158" t="n">
        <v>15</v>
      </c>
      <c r="BQ158" s="110"/>
    </row>
    <row r="159">
      <c r="A159" s="44" t="n">
        <v>547</v>
      </c>
      <c r="B159" s="44" t="s">
        <v>228</v>
      </c>
      <c r="C159" s="7" t="s">
        <v>232</v>
      </c>
      <c r="D159" s="172" t="s">
        <v>227</v>
      </c>
      <c r="E159" s="172"/>
      <c r="F159" s="172" t="n">
        <f t="shared" si="67"/>
        <v>0.29383040935672516</v>
      </c>
      <c r="G159" s="143" t="n">
        <f t="shared" si="68"/>
        <v>0.22620000000000004</v>
      </c>
      <c r="H159" s="172" t="n">
        <f t="shared" si="69"/>
        <v>0.68246400000000018</v>
      </c>
      <c r="I159" s="172"/>
      <c r="J159" s="172"/>
      <c r="K159" s="172" t="n">
        <f t="shared" si="70"/>
        <v>3.0062000000000002</v>
      </c>
      <c r="L159" s="172" t="n">
        <f t="shared" si="71"/>
        <v>6.1757095200000007</v>
      </c>
      <c r="M159" s="172" t="n">
        <f t="shared" si="72"/>
        <v>3.5084127922133344</v>
      </c>
      <c r="N159" s="172" t="n">
        <f t="shared" si="73"/>
        <v>12.433863596666667</v>
      </c>
      <c r="O159" s="172" t="n">
        <f t="shared" si="74"/>
        <v>0.72086278066838816</v>
      </c>
      <c r="P159" s="172" t="n">
        <f t="shared" si="75"/>
        <v>0.27913721933161195</v>
      </c>
      <c r="Q159" s="172" t="n">
        <f t="shared" si="76"/>
        <v>0.45044584104422702</v>
      </c>
      <c r="R159" s="94"/>
      <c r="S159" s="65" t="n">
        <f>VLOOKUP(C159,$B$3:$X$358,MATCH(S$2,$B$2:$X$2,0),0)</f>
        <v>0.95</v>
      </c>
      <c r="T159" s="15" t="n">
        <f>VLOOKUP($C159,$B$3:$X$358,MATCH(T$2,$B$2:$X$2,0),0)*$G159/VLOOKUP($C159,$B$3:$X$358,MATCH($G$2,$B$2:$X$2,0),0)</f>
        <v>1.6000000000000001E-3</v>
      </c>
      <c r="U159" s="157" t="n">
        <f>VLOOKUP($C159,$B$3:$X$358,MATCH(U$2,$B$2:$X$2,0),0)*$G159/VLOOKUP($C159,$B$3:$X$358,MATCH($G$2,$B$2:$X$2,0),0)</f>
        <v>10.875000000000002</v>
      </c>
      <c r="V159" s="157" t="n">
        <f>VLOOKUP($C159,$B$3:$X$358,MATCH(V$2,$B$2:$X$2,0),0)*$G159/VLOOKUP($C159,$B$3:$X$358,MATCH($G$2,$B$2:$X$2,0),0)</f>
        <v>152.25000000000006</v>
      </c>
      <c r="W159" s="132" t="n">
        <f>VLOOKUP($C159,$B$3:$X$358,MATCH(W$2,$B$2:$X$2,0),0)*$G159/VLOOKUP($C159,$B$3:$X$358,MATCH($G$2,$B$2:$X$2,0),0)</f>
        <v>543.75000000000023</v>
      </c>
      <c r="X159" s="132" t="n">
        <f>VLOOKUP($C159,$B$3:$X$358,MATCH(X$2,$B$2:$X$2,0),0)*$G159/VLOOKUP($C159,$B$3:$X$358,MATCH($G$2,$B$2:$X$2,0),0)</f>
        <v>21.750000000000004</v>
      </c>
      <c r="Y159" s="66"/>
      <c r="Z159" s="66"/>
      <c r="AA159" s="66"/>
      <c r="AB159" s="66"/>
      <c r="AC159" s="66"/>
      <c r="AD159" s="171"/>
      <c r="AE159" s="171"/>
      <c r="AF159" s="171"/>
      <c r="AG159" s="171"/>
      <c r="AH159" s="171"/>
      <c r="AI159" s="107" t="n">
        <f t="shared" si="84"/>
        <v>3.0000000000000001E-3</v>
      </c>
      <c r="AJ159" s="100"/>
      <c r="AK159" s="97"/>
      <c r="AL159" s="172" t="n">
        <f t="shared" si="77"/>
        <v>0.49000000000000005</v>
      </c>
      <c r="AM159" s="107" t="n">
        <f t="shared" si="78"/>
        <v>7.4666666666666675E-3</v>
      </c>
      <c r="AN159" s="172"/>
      <c r="AO159" s="172"/>
      <c r="AP159" s="107" t="n">
        <f t="shared" si="79"/>
        <v>0.46958440154440156</v>
      </c>
      <c r="AQ159" s="121" t="n">
        <v>0.32499999999999996</v>
      </c>
      <c r="AR159" s="172"/>
      <c r="AS159" s="107" t="n">
        <f t="shared" si="80"/>
        <v>0.71544139436619725</v>
      </c>
      <c r="AT159" s="59" t="n">
        <f t="shared" si="56"/>
        <v>0.17824592074592077</v>
      </c>
      <c r="AU159" s="172" t="n">
        <f t="shared" si="81"/>
        <v>0.43360084507042257</v>
      </c>
      <c r="AV159" s="172" t="n">
        <f t="shared" si="82"/>
        <v>0.28184054929577468</v>
      </c>
      <c r="AW159" s="172"/>
      <c r="AX159" s="107" t="n">
        <v>8.9999999999999993E-3</v>
      </c>
      <c r="AY159" s="172" t="n">
        <f t="shared" si="83"/>
        <v>18.219076166166513</v>
      </c>
      <c r="AZ159" t="n">
        <v>0.7</v>
      </c>
      <c r="BA159" t="n">
        <v>67</v>
      </c>
      <c r="BB159" t="n">
        <v>0</v>
      </c>
      <c r="BC159" t="n">
        <v>0</v>
      </c>
      <c r="BD159" t="n">
        <v>3.4000000000000004</v>
      </c>
      <c r="BE159" t="n">
        <v>0</v>
      </c>
      <c r="BF159" t="n">
        <v>7</v>
      </c>
      <c r="BG159" t="n">
        <v>3</v>
      </c>
      <c r="BH159" t="n">
        <v>200</v>
      </c>
      <c r="BI159" t="n">
        <v>3.89</v>
      </c>
      <c r="BJ159" t="n">
        <v>0</v>
      </c>
      <c r="BK159" t="n">
        <v>0</v>
      </c>
      <c r="BL159" t="n">
        <v>400</v>
      </c>
      <c r="BM159" t="n">
        <v>250</v>
      </c>
      <c r="BN159" t="n">
        <v>2</v>
      </c>
      <c r="BO159" t="n">
        <v>350</v>
      </c>
      <c r="BP159" t="n">
        <v>1.5</v>
      </c>
      <c r="BQ159" s="110"/>
    </row>
    <row r="160">
      <c r="A160" s="44"/>
      <c r="B160" s="44" t="s">
        <v>398</v>
      </c>
      <c r="C160" s="44"/>
      <c r="D160" s="172" t="s">
        <v>227</v>
      </c>
      <c r="E160" s="172"/>
      <c r="F160" s="172" t="n">
        <f t="shared" si="67"/>
        <v>0.29383040935672516</v>
      </c>
      <c r="G160" s="143" t="n">
        <f t="shared" si="68"/>
        <v>0.22620000000000004</v>
      </c>
      <c r="H160" s="172" t="n">
        <f t="shared" si="69"/>
        <v>0.68246400000000018</v>
      </c>
      <c r="I160" s="172"/>
      <c r="J160" s="172"/>
      <c r="K160" s="172" t="n">
        <f t="shared" si="70"/>
        <v>3.0062000000000002</v>
      </c>
      <c r="L160" s="172" t="n">
        <f t="shared" si="71"/>
        <v>6.1757095200000007</v>
      </c>
      <c r="M160" s="172" t="n">
        <f t="shared" si="72"/>
        <v>3.5084127922133344</v>
      </c>
      <c r="N160" s="172" t="n">
        <f t="shared" si="73"/>
        <v>12.433863596666667</v>
      </c>
      <c r="O160" s="172" t="n">
        <f t="shared" si="74"/>
        <v>0.72086278066838816</v>
      </c>
      <c r="P160" s="172" t="n">
        <f t="shared" si="75"/>
        <v>0.27913721933161195</v>
      </c>
      <c r="Q160" s="172" t="n">
        <f t="shared" si="76"/>
        <v>0.45044584104422702</v>
      </c>
      <c r="R160" s="94"/>
      <c r="S160" s="22" t="n">
        <f>VLOOKUP($B160,Conversores_Dieta!$B$4:$J$164,Coefs!S$292,0)</f>
        <v>0.85</v>
      </c>
      <c r="T160" s="130" t="n">
        <f>VLOOKUP($B160,Conversores_Dieta!$B$4:$J$164,Coefs!T$292,0)</f>
        <v>1.92E-3</v>
      </c>
      <c r="U160" s="166" t="n">
        <f>VLOOKUP($B160,Conversores_Dieta!$B$4:$J$164,Coefs!U$292,0)</f>
        <v>0</v>
      </c>
      <c r="V160" s="166" t="n">
        <f>VLOOKUP($B160,Conversores_Dieta!$B$4:$J$164,Coefs!V$292,0)</f>
        <v>160</v>
      </c>
      <c r="W160" s="21" t="n">
        <f>VLOOKUP($B160,Conversores_Dieta!$B$4:$J$164,Coefs!W$292,0)</f>
        <v>380</v>
      </c>
      <c r="X160" s="21" t="n">
        <f>VLOOKUP($B160,Conversores_Dieta!$B$4:$J$164,Coefs!X$292,0)</f>
        <v>80</v>
      </c>
      <c r="Y160" s="66"/>
      <c r="Z160" s="66"/>
      <c r="AA160" s="66"/>
      <c r="AB160" s="66"/>
      <c r="AC160" s="66"/>
      <c r="AD160" s="171"/>
      <c r="AE160" s="171"/>
      <c r="AF160" s="171"/>
      <c r="AG160" s="171"/>
      <c r="AH160" s="171"/>
      <c r="AI160" s="107" t="n">
        <f t="shared" si="84"/>
        <v>3.0000000000000001E-3</v>
      </c>
      <c r="AJ160" s="100"/>
      <c r="AK160" s="97"/>
      <c r="AL160" s="172" t="n">
        <f t="shared" si="77"/>
        <v>0.49000000000000005</v>
      </c>
      <c r="AM160" s="107" t="n">
        <f t="shared" si="78"/>
        <v>7.4666666666666675E-3</v>
      </c>
      <c r="AN160" s="172"/>
      <c r="AO160" s="172"/>
      <c r="AP160" s="107" t="n">
        <f t="shared" si="79"/>
        <v>0.46958440154440156</v>
      </c>
      <c r="AQ160" s="121" t="n">
        <v>0.32499999999999996</v>
      </c>
      <c r="AR160" s="172"/>
      <c r="AS160" s="107" t="n">
        <f t="shared" si="80"/>
        <v>0.71544139436619725</v>
      </c>
      <c r="AT160" s="59" t="n">
        <f t="shared" si="56"/>
        <v>0.17824592074592077</v>
      </c>
      <c r="AU160" s="172" t="n">
        <f t="shared" si="81"/>
        <v>0.43360084507042257</v>
      </c>
      <c r="AV160" s="172" t="n">
        <f t="shared" si="82"/>
        <v>0.28184054929577468</v>
      </c>
      <c r="AW160" s="172"/>
      <c r="AX160" s="107" t="n">
        <v>8.9999999999999993E-3</v>
      </c>
      <c r="AY160" s="172" t="n">
        <f t="shared" si="83"/>
        <v>18.219076166166513</v>
      </c>
      <c r="AZ160" t="n">
        <v>0.7</v>
      </c>
      <c r="BA160" s="156" t="n">
        <f>BA$155</f>
        <v>16</v>
      </c>
      <c r="BB160" s="156" t="n">
        <f t="shared" ref="BB160:BP160" si="85">BB$155</f>
        <v>0</v>
      </c>
      <c r="BC160" s="156" t="n">
        <f t="shared" si="85"/>
        <v>0</v>
      </c>
      <c r="BD160" s="156" t="n">
        <f t="shared" si="85"/>
        <v>1.9</v>
      </c>
      <c r="BE160" s="156" t="n">
        <f t="shared" si="85"/>
        <v>0</v>
      </c>
      <c r="BF160" s="156" t="n">
        <f t="shared" si="85"/>
        <v>7.4</v>
      </c>
      <c r="BG160" s="156" t="n">
        <f t="shared" si="85"/>
        <v>6.6000000000000005</v>
      </c>
      <c r="BH160" s="156" t="n">
        <f t="shared" si="85"/>
        <v>151.5</v>
      </c>
      <c r="BI160" s="156" t="n">
        <f t="shared" si="85"/>
        <v>3.89</v>
      </c>
      <c r="BJ160" s="156" t="n">
        <f t="shared" si="85"/>
        <v>0</v>
      </c>
      <c r="BK160" s="156" t="n">
        <f t="shared" si="85"/>
        <v>0</v>
      </c>
      <c r="BL160" s="156" t="n">
        <f t="shared" si="85"/>
        <v>233.29999999999998</v>
      </c>
      <c r="BM160" s="156" t="n">
        <f t="shared" si="85"/>
        <v>356.70000000000005</v>
      </c>
      <c r="BN160" s="156" t="n">
        <f t="shared" si="85"/>
        <v>13.700000000000001</v>
      </c>
      <c r="BO160" s="156" t="n">
        <f t="shared" si="85"/>
        <v>1600</v>
      </c>
      <c r="BP160" s="156" t="n">
        <f t="shared" si="85"/>
        <v>1.7999999999999998</v>
      </c>
      <c r="BQ160" s="110"/>
    </row>
    <row r="161">
      <c r="A161" s="44"/>
      <c r="B161" s="44" t="s">
        <v>226</v>
      </c>
      <c r="C161" s="44"/>
      <c r="D161" s="142"/>
      <c r="E161" s="142"/>
      <c r="F161" s="103" t="n">
        <f>F166</f>
        <v>0.28999999999999998</v>
      </c>
      <c r="G161" s="87" t="n">
        <v>0.75</v>
      </c>
      <c r="H161" s="87" t="n">
        <f>G161</f>
        <v>0.75</v>
      </c>
      <c r="I161" s="44"/>
      <c r="J161" s="44"/>
      <c r="K161" s="166"/>
      <c r="L161" s="166"/>
      <c r="M161" s="166" t="n">
        <v>13.8</v>
      </c>
      <c r="N161" s="157" t="n">
        <f>M161</f>
        <v>13.8</v>
      </c>
      <c r="O161" s="94"/>
      <c r="P161" s="94"/>
      <c r="Q161" s="94"/>
      <c r="R161" s="94"/>
      <c r="S161" s="89"/>
      <c r="T161" s="130"/>
      <c r="U161" s="166"/>
      <c r="V161" s="166"/>
      <c r="W161" s="21"/>
      <c r="X161" s="21"/>
      <c r="Y161" s="21"/>
      <c r="Z161" s="21"/>
      <c r="AA161" s="21"/>
      <c r="AB161" s="21"/>
      <c r="AC161" s="21"/>
      <c r="AD161" s="21"/>
      <c r="AE161" s="21"/>
      <c r="AF161" s="21"/>
      <c r="AG161" s="21"/>
      <c r="AH161" s="21"/>
      <c r="AI161" s="107" t="n">
        <v>0.01</v>
      </c>
      <c r="AJ161" s="71"/>
      <c r="AK161" s="66"/>
      <c r="AL161" s="121" t="n">
        <v>0.48799999999999999</v>
      </c>
      <c r="AM161" s="35" t="n">
        <f>AVERAGE(0.0005,0.0015)</f>
        <v>1E-3</v>
      </c>
      <c r="AN161" s="153"/>
      <c r="AO161" s="153"/>
      <c r="AP161" s="153" t="n">
        <v>0.50550000000000006</v>
      </c>
      <c r="AQ161" s="121" t="n">
        <v>0.32499999999999996</v>
      </c>
      <c r="AR161" s="94" t="n">
        <v>0.57999999999999996</v>
      </c>
      <c r="AS161" s="121" t="n">
        <v>0.83407500000000012</v>
      </c>
      <c r="AT161" s="59" t="n">
        <f t="shared" si="56"/>
        <v>0.17824592074592077</v>
      </c>
      <c r="AU161" s="87" t="n">
        <v>0.50550000000000006</v>
      </c>
      <c r="AV161" s="87" t="n">
        <v>0.32857500000000006</v>
      </c>
      <c r="AW161" s="5"/>
      <c r="AX161" s="107" t="n">
        <v>8.9999999999999993E-3</v>
      </c>
      <c r="AY161" s="119" t="e">
        <v>#DIV/0!</v>
      </c>
      <c r="AZ161" t="n">
        <v>0.7</v>
      </c>
      <c r="BQ161" s="110"/>
    </row>
    <row r="162">
      <c r="A162" s="44"/>
      <c r="B162" s="44" t="s">
        <v>225</v>
      </c>
      <c r="C162" s="44"/>
      <c r="D162" s="142"/>
      <c r="E162" s="142"/>
      <c r="F162" s="103" t="n">
        <f>F166</f>
        <v>0.28999999999999998</v>
      </c>
      <c r="G162" s="87" t="n">
        <v>0.75</v>
      </c>
      <c r="H162" s="87" t="n">
        <f t="shared" ref="H162:H178" si="86">G162</f>
        <v>0.75</v>
      </c>
      <c r="I162" s="44"/>
      <c r="J162" s="44"/>
      <c r="K162" s="166"/>
      <c r="L162" s="166"/>
      <c r="M162" s="166" t="n">
        <v>14.100000000000001</v>
      </c>
      <c r="N162" s="157" t="n">
        <f t="shared" ref="N162:N178" si="87">M162</f>
        <v>14.100000000000001</v>
      </c>
      <c r="O162" s="94"/>
      <c r="P162" s="94"/>
      <c r="Q162" s="94"/>
      <c r="R162" s="94"/>
      <c r="S162" s="89"/>
      <c r="T162" s="130"/>
      <c r="U162" s="166"/>
      <c r="V162" s="166"/>
      <c r="W162" s="21"/>
      <c r="X162" s="21"/>
      <c r="Y162" s="21"/>
      <c r="Z162" s="21"/>
      <c r="AA162" s="21"/>
      <c r="AB162" s="21"/>
      <c r="AC162" s="21"/>
      <c r="AD162" s="21"/>
      <c r="AE162" s="21"/>
      <c r="AF162" s="21"/>
      <c r="AG162" s="21"/>
      <c r="AH162" s="21"/>
      <c r="AI162" s="107" t="n">
        <v>0.01</v>
      </c>
      <c r="AJ162" s="71"/>
      <c r="AK162" s="66"/>
      <c r="AL162" s="121" t="n">
        <v>0.50800000000000001</v>
      </c>
      <c r="AM162" s="175" t="n">
        <f>$AM$172</f>
        <v>3.0000000000000005E-3</v>
      </c>
      <c r="AN162" s="153"/>
      <c r="AO162" s="153"/>
      <c r="AP162" s="153" t="n">
        <v>0.51900000000000002</v>
      </c>
      <c r="AQ162" s="121" t="n">
        <v>0.32499999999999996</v>
      </c>
      <c r="AR162" s="94" t="n">
        <v>0.4</v>
      </c>
      <c r="AS162" s="121" t="n">
        <v>0.78600546478873246</v>
      </c>
      <c r="AT162" s="59" t="n">
        <f t="shared" si="56"/>
        <v>0.17824592074592077</v>
      </c>
      <c r="AU162" s="87" t="n">
        <v>0.47636694835680754</v>
      </c>
      <c r="AV162" s="87" t="n">
        <v>0.30963851643192492</v>
      </c>
      <c r="AW162" s="5"/>
      <c r="AX162" s="107" t="n">
        <v>8.9999999999999993E-3</v>
      </c>
      <c r="AY162" s="119" t="e">
        <v>#DIV/0!</v>
      </c>
      <c r="AZ162" t="n">
        <v>0.7</v>
      </c>
      <c r="BQ162" s="110"/>
    </row>
    <row r="163">
      <c r="A163" s="44"/>
      <c r="B163" s="44" t="s">
        <v>224</v>
      </c>
      <c r="C163" s="44"/>
      <c r="D163" s="142"/>
      <c r="E163" s="142"/>
      <c r="F163" s="94" t="n">
        <v>0.50132911392405066</v>
      </c>
      <c r="G163" s="87" t="n">
        <v>0.75</v>
      </c>
      <c r="H163" s="87" t="n">
        <f t="shared" si="86"/>
        <v>0.75</v>
      </c>
      <c r="I163" s="44"/>
      <c r="J163" s="44"/>
      <c r="K163" s="166"/>
      <c r="L163" s="166"/>
      <c r="M163" s="166" t="n">
        <v>13.875</v>
      </c>
      <c r="N163" s="157" t="n">
        <f t="shared" si="87"/>
        <v>13.875</v>
      </c>
      <c r="O163" s="94"/>
      <c r="P163" s="94"/>
      <c r="Q163" s="94"/>
      <c r="R163" s="94"/>
      <c r="S163" s="89"/>
      <c r="T163" s="130"/>
      <c r="U163" s="166"/>
      <c r="V163" s="166"/>
      <c r="W163" s="21"/>
      <c r="X163" s="21"/>
      <c r="Y163" s="21"/>
      <c r="Z163" s="21"/>
      <c r="AA163" s="21"/>
      <c r="AB163" s="21"/>
      <c r="AC163" s="21"/>
      <c r="AD163" s="21"/>
      <c r="AE163" s="21"/>
      <c r="AF163" s="21"/>
      <c r="AG163" s="21"/>
      <c r="AH163" s="21"/>
      <c r="AI163" s="107" t="n">
        <v>0.01</v>
      </c>
      <c r="AJ163" s="71"/>
      <c r="AK163" s="66"/>
      <c r="AL163" s="121" t="n">
        <v>0.48799999999999999</v>
      </c>
      <c r="AM163" s="175" t="n">
        <f>$AM$172</f>
        <v>3.0000000000000005E-3</v>
      </c>
      <c r="AN163" s="153"/>
      <c r="AO163" s="153"/>
      <c r="AP163" s="153" t="n">
        <v>0.48449999999999999</v>
      </c>
      <c r="AQ163" s="121" t="n">
        <v>0.32499999999999996</v>
      </c>
      <c r="AR163" s="94" t="n">
        <v>0.35</v>
      </c>
      <c r="AS163" s="121" t="n">
        <v>0.78600546478873246</v>
      </c>
      <c r="AT163" s="59" t="n">
        <f t="shared" si="56"/>
        <v>0.17824592074592077</v>
      </c>
      <c r="AU163" s="87" t="n">
        <v>0.47636694835680754</v>
      </c>
      <c r="AV163" s="87" t="n">
        <v>0.30963851643192492</v>
      </c>
      <c r="AW163" s="5"/>
      <c r="AX163" s="107" t="n">
        <v>8.9999999999999993E-3</v>
      </c>
      <c r="AY163" s="119" t="e">
        <v>#DIV/0!</v>
      </c>
      <c r="AZ163" t="n">
        <v>0.7</v>
      </c>
      <c r="BQ163" s="110"/>
    </row>
    <row r="164">
      <c r="A164" s="44"/>
      <c r="B164" s="44" t="s">
        <v>223</v>
      </c>
      <c r="C164" s="44"/>
      <c r="D164" s="142"/>
      <c r="E164" s="142"/>
      <c r="F164" s="94" t="n">
        <v>0.44750000000000001</v>
      </c>
      <c r="G164" s="87" t="n">
        <v>0.75</v>
      </c>
      <c r="H164" s="87" t="n">
        <f t="shared" si="86"/>
        <v>0.75</v>
      </c>
      <c r="I164" s="44"/>
      <c r="J164" s="44"/>
      <c r="K164" s="166"/>
      <c r="L164" s="166"/>
      <c r="M164" s="166" t="n">
        <v>13.8</v>
      </c>
      <c r="N164" s="157" t="n">
        <f t="shared" si="87"/>
        <v>13.8</v>
      </c>
      <c r="O164" s="94"/>
      <c r="P164" s="94"/>
      <c r="Q164" s="94"/>
      <c r="R164" s="94"/>
      <c r="S164" s="89"/>
      <c r="T164" s="130"/>
      <c r="U164" s="166"/>
      <c r="V164" s="166"/>
      <c r="W164" s="21"/>
      <c r="X164" s="21"/>
      <c r="Y164" s="21"/>
      <c r="Z164" s="21"/>
      <c r="AA164" s="21"/>
      <c r="AB164" s="21"/>
      <c r="AC164" s="21"/>
      <c r="AD164" s="21"/>
      <c r="AE164" s="21"/>
      <c r="AF164" s="21"/>
      <c r="AG164" s="21"/>
      <c r="AH164" s="21"/>
      <c r="AI164" s="107" t="n">
        <v>0.01</v>
      </c>
      <c r="AJ164" s="71"/>
      <c r="AK164" s="66"/>
      <c r="AL164" s="121" t="n">
        <v>0.48799999999999999</v>
      </c>
      <c r="AM164" s="175" t="n">
        <f>$AM$172</f>
        <v>3.0000000000000005E-3</v>
      </c>
      <c r="AN164" s="153"/>
      <c r="AO164" s="153"/>
      <c r="AP164" s="153" t="n">
        <v>0.49229888582460013</v>
      </c>
      <c r="AQ164" s="121" t="n">
        <v>0.32499999999999996</v>
      </c>
      <c r="AR164" s="94" t="n">
        <v>0.45</v>
      </c>
      <c r="AS164" s="121" t="n">
        <v>0.78600546478873246</v>
      </c>
      <c r="AT164" s="59" t="n">
        <f t="shared" si="56"/>
        <v>0.17824592074592077</v>
      </c>
      <c r="AU164" s="87" t="n">
        <v>0.47636694835680754</v>
      </c>
      <c r="AV164" s="87" t="n">
        <v>0.30963851643192492</v>
      </c>
      <c r="AW164" s="5"/>
      <c r="AX164" s="107" t="n">
        <v>8.9999999999999993E-3</v>
      </c>
      <c r="AY164" s="119" t="e">
        <v>#DIV/0!</v>
      </c>
      <c r="AZ164" t="n">
        <v>0.7</v>
      </c>
      <c r="BQ164" s="110"/>
    </row>
    <row r="165">
      <c r="A165" s="44"/>
      <c r="B165" s="44" t="s">
        <v>222</v>
      </c>
      <c r="C165" s="44"/>
      <c r="D165" s="142"/>
      <c r="E165" s="142"/>
      <c r="F165" s="94" t="n">
        <v>0.27500000000000002</v>
      </c>
      <c r="G165" s="87" t="n">
        <v>0.75</v>
      </c>
      <c r="H165" s="87" t="n">
        <f t="shared" si="86"/>
        <v>0.75</v>
      </c>
      <c r="I165" s="44"/>
      <c r="J165" s="44"/>
      <c r="K165" s="166"/>
      <c r="L165" s="166"/>
      <c r="M165" s="157" t="n">
        <v>17.130157619912794</v>
      </c>
      <c r="N165" s="157" t="n">
        <f t="shared" si="87"/>
        <v>17.130157619912794</v>
      </c>
      <c r="O165" s="94"/>
      <c r="P165" s="94"/>
      <c r="Q165" s="94"/>
      <c r="R165" s="94"/>
      <c r="S165" s="89"/>
      <c r="T165" s="130"/>
      <c r="U165" s="166"/>
      <c r="V165" s="166"/>
      <c r="W165" s="21"/>
      <c r="X165" s="21"/>
      <c r="Y165" s="21"/>
      <c r="Z165" s="21"/>
      <c r="AA165" s="21"/>
      <c r="AB165" s="21"/>
      <c r="AC165" s="21"/>
      <c r="AD165" s="21"/>
      <c r="AE165" s="21"/>
      <c r="AF165" s="21"/>
      <c r="AG165" s="21"/>
      <c r="AH165" s="21"/>
      <c r="AI165" s="107" t="n">
        <v>0.01</v>
      </c>
      <c r="AJ165" s="71"/>
      <c r="AK165" s="66"/>
      <c r="AL165" s="121" t="n">
        <v>0.48799999999999999</v>
      </c>
      <c r="AM165" s="175" t="n">
        <f>$AM$172</f>
        <v>3.0000000000000005E-3</v>
      </c>
      <c r="AN165" s="153"/>
      <c r="AO165" s="153"/>
      <c r="AP165" s="153" t="n">
        <v>0.47099999999999997</v>
      </c>
      <c r="AQ165" s="121" t="n">
        <v>0.32499999999999996</v>
      </c>
      <c r="AR165" s="103" t="n">
        <v>0.52131578947368418</v>
      </c>
      <c r="AS165" s="121" t="n">
        <v>0.8085</v>
      </c>
      <c r="AT165" s="59" t="n">
        <f t="shared" si="56"/>
        <v>0.17824592074592077</v>
      </c>
      <c r="AU165" s="87" t="n">
        <v>0.49</v>
      </c>
      <c r="AV165" s="87" t="n">
        <v>0.31850000000000001</v>
      </c>
      <c r="AW165" s="5"/>
      <c r="AX165" s="107" t="n">
        <v>8.9999999999999993E-3</v>
      </c>
      <c r="AY165" s="119" t="e">
        <v>#DIV/0!</v>
      </c>
      <c r="AZ165" t="n">
        <v>0.7</v>
      </c>
      <c r="BQ165" s="110"/>
    </row>
    <row r="166">
      <c r="A166" s="44"/>
      <c r="B166" s="44" t="s">
        <v>221</v>
      </c>
      <c r="C166" s="44"/>
      <c r="D166" s="142"/>
      <c r="E166" s="142"/>
      <c r="F166" s="94" t="n">
        <v>0.28999999999999998</v>
      </c>
      <c r="G166" s="87" t="n">
        <v>0.75</v>
      </c>
      <c r="H166" s="87" t="n">
        <f t="shared" si="86"/>
        <v>0.75</v>
      </c>
      <c r="I166" s="44"/>
      <c r="J166" s="44"/>
      <c r="K166" s="166"/>
      <c r="L166" s="166"/>
      <c r="M166" s="166" t="n">
        <v>15.231412500000001</v>
      </c>
      <c r="N166" s="157" t="n">
        <f t="shared" si="87"/>
        <v>15.231412500000001</v>
      </c>
      <c r="O166" s="94"/>
      <c r="P166" s="94"/>
      <c r="Q166" s="94"/>
      <c r="R166" s="94"/>
      <c r="S166" s="89"/>
      <c r="T166" s="130"/>
      <c r="U166" s="166"/>
      <c r="V166" s="166"/>
      <c r="W166" s="21"/>
      <c r="X166" s="21"/>
      <c r="Y166" s="21"/>
      <c r="Z166" s="21"/>
      <c r="AA166" s="21"/>
      <c r="AB166" s="21"/>
      <c r="AC166" s="21"/>
      <c r="AD166" s="21"/>
      <c r="AE166" s="21"/>
      <c r="AF166" s="21"/>
      <c r="AG166" s="21"/>
      <c r="AH166" s="21"/>
      <c r="AI166" s="107" t="n">
        <v>0.01</v>
      </c>
      <c r="AJ166" s="71"/>
      <c r="AK166" s="66"/>
      <c r="AL166" s="153" t="n">
        <v>0.50800000000000001</v>
      </c>
      <c r="AM166" s="49" t="n">
        <v>3.5000000000000001E-3</v>
      </c>
      <c r="AN166" s="153"/>
      <c r="AO166" s="153"/>
      <c r="AP166" s="153" t="n">
        <v>0.53469999999999995</v>
      </c>
      <c r="AQ166" s="121" t="n">
        <v>0.32499999999999996</v>
      </c>
      <c r="AR166" s="94" t="n">
        <v>0.40777777777777779</v>
      </c>
      <c r="AS166" s="121" t="n">
        <v>0.78600546478873246</v>
      </c>
      <c r="AT166" s="59" t="n">
        <f t="shared" si="56"/>
        <v>0.17824592074592077</v>
      </c>
      <c r="AU166" s="87" t="n">
        <v>0.47636694835680754</v>
      </c>
      <c r="AV166" s="87" t="n">
        <v>0.30963851643192492</v>
      </c>
      <c r="AW166" s="5"/>
      <c r="AX166" s="107" t="n">
        <v>8.9999999999999993E-3</v>
      </c>
      <c r="AY166" s="119" t="e">
        <v>#DIV/0!</v>
      </c>
      <c r="AZ166" t="n">
        <v>0.7</v>
      </c>
      <c r="BQ166" s="110"/>
    </row>
    <row r="167">
      <c r="A167" s="44"/>
      <c r="B167" s="44" t="s">
        <v>220</v>
      </c>
      <c r="C167" s="44"/>
      <c r="D167" s="142"/>
      <c r="E167" s="142"/>
      <c r="F167" s="94"/>
      <c r="G167" s="87" t="n">
        <v>0.75</v>
      </c>
      <c r="H167" s="87" t="n">
        <f t="shared" si="86"/>
        <v>0.75</v>
      </c>
      <c r="I167" s="44"/>
      <c r="J167" s="44"/>
      <c r="K167" s="166"/>
      <c r="L167" s="166"/>
      <c r="M167" s="166" t="n">
        <v>15.097728749999998</v>
      </c>
      <c r="N167" s="157" t="n">
        <f t="shared" si="87"/>
        <v>15.097728749999998</v>
      </c>
      <c r="O167" s="94"/>
      <c r="P167" s="94"/>
      <c r="Q167" s="94"/>
      <c r="R167" s="94"/>
      <c r="S167" s="89"/>
      <c r="T167" s="130"/>
      <c r="U167" s="166"/>
      <c r="V167" s="166"/>
      <c r="W167" s="21"/>
      <c r="X167" s="21"/>
      <c r="Y167" s="21"/>
      <c r="Z167" s="21"/>
      <c r="AA167" s="21"/>
      <c r="AB167" s="21"/>
      <c r="AC167" s="21"/>
      <c r="AD167" s="21"/>
      <c r="AE167" s="21"/>
      <c r="AF167" s="21"/>
      <c r="AG167" s="21"/>
      <c r="AH167" s="21"/>
      <c r="AI167" s="107" t="n">
        <v>0.01</v>
      </c>
      <c r="AJ167" s="71"/>
      <c r="AK167" s="66"/>
      <c r="AL167" s="121" t="n">
        <v>0.48449999999999999</v>
      </c>
      <c r="AM167" s="175" t="n">
        <f>$AM$172</f>
        <v>3.0000000000000005E-3</v>
      </c>
      <c r="AN167" s="153"/>
      <c r="AO167" s="153"/>
      <c r="AP167" s="153" t="n">
        <v>0.51150000000000007</v>
      </c>
      <c r="AQ167" s="121" t="n">
        <v>0.32499999999999996</v>
      </c>
      <c r="AR167" s="103" t="n">
        <v>0.52131578947368418</v>
      </c>
      <c r="AS167" s="121" t="n">
        <v>0.78600546478873246</v>
      </c>
      <c r="AT167" s="59" t="n">
        <f t="shared" si="56"/>
        <v>0.17824592074592077</v>
      </c>
      <c r="AU167" s="87" t="n">
        <v>0.47636694835680754</v>
      </c>
      <c r="AV167" s="87" t="n">
        <v>0.30963851643192492</v>
      </c>
      <c r="AW167" s="5"/>
      <c r="AX167" s="107" t="n">
        <v>8.9999999999999993E-3</v>
      </c>
      <c r="AY167" s="119" t="e">
        <v>#DIV/0!</v>
      </c>
      <c r="AZ167" t="n">
        <v>0.7</v>
      </c>
      <c r="BQ167" s="110"/>
    </row>
    <row r="168">
      <c r="A168" s="44"/>
      <c r="B168" s="44" t="s">
        <v>219</v>
      </c>
      <c r="C168" s="44"/>
      <c r="D168" s="142"/>
      <c r="E168" s="142"/>
      <c r="F168" s="94"/>
      <c r="G168" s="87" t="n">
        <v>0.75</v>
      </c>
      <c r="H168" s="87" t="n">
        <f t="shared" si="86"/>
        <v>0.75</v>
      </c>
      <c r="I168" s="44"/>
      <c r="J168" s="44"/>
      <c r="K168" s="166"/>
      <c r="L168" s="166"/>
      <c r="M168" s="166" t="n">
        <v>14.664967499999999</v>
      </c>
      <c r="N168" s="157" t="n">
        <f t="shared" si="87"/>
        <v>14.664967499999999</v>
      </c>
      <c r="O168" s="94"/>
      <c r="P168" s="94"/>
      <c r="Q168" s="94"/>
      <c r="R168" s="94"/>
      <c r="S168" s="89"/>
      <c r="T168" s="130"/>
      <c r="U168" s="166"/>
      <c r="V168" s="166"/>
      <c r="W168" s="21"/>
      <c r="X168" s="21"/>
      <c r="Y168" s="21"/>
      <c r="Z168" s="21"/>
      <c r="AA168" s="21"/>
      <c r="AB168" s="21"/>
      <c r="AC168" s="21"/>
      <c r="AD168" s="21"/>
      <c r="AE168" s="21"/>
      <c r="AF168" s="21"/>
      <c r="AG168" s="21"/>
      <c r="AH168" s="21"/>
      <c r="AI168" s="107" t="n">
        <v>0.01</v>
      </c>
      <c r="AJ168" s="71"/>
      <c r="AK168" s="66"/>
      <c r="AL168" s="121" t="n">
        <v>0.48449999999999999</v>
      </c>
      <c r="AM168" s="175" t="n">
        <f t="shared" ref="AM168:AM171" si="88">$AM$172</f>
        <v>3.0000000000000005E-3</v>
      </c>
      <c r="AN168" s="153"/>
      <c r="AO168" s="153"/>
      <c r="AP168" s="153" t="n">
        <v>0.53100000000000003</v>
      </c>
      <c r="AQ168" s="121" t="n">
        <v>0.32499999999999996</v>
      </c>
      <c r="AR168" s="103" t="n">
        <v>0.52131578947368418</v>
      </c>
      <c r="AS168" s="121" t="n">
        <v>0.78600546478873246</v>
      </c>
      <c r="AT168" s="59" t="n">
        <f t="shared" si="56"/>
        <v>0.17824592074592077</v>
      </c>
      <c r="AU168" s="87" t="n">
        <v>0.47636694835680754</v>
      </c>
      <c r="AV168" s="87" t="n">
        <v>0.30963851643192492</v>
      </c>
      <c r="AW168" s="5"/>
      <c r="AX168" s="107" t="n">
        <v>8.9999999999999993E-3</v>
      </c>
      <c r="AY168" s="119" t="e">
        <v>#DIV/0!</v>
      </c>
      <c r="AZ168" t="n">
        <v>0.7</v>
      </c>
      <c r="BQ168" s="110"/>
    </row>
    <row r="169">
      <c r="A169" s="44"/>
      <c r="B169" s="44" t="s">
        <v>218</v>
      </c>
      <c r="C169" s="44"/>
      <c r="D169" s="142"/>
      <c r="E169" s="142"/>
      <c r="F169" s="94" t="n">
        <v>0.22600000000000001</v>
      </c>
      <c r="G169" s="87" t="n">
        <v>0.75</v>
      </c>
      <c r="H169" s="87" t="n">
        <f t="shared" si="86"/>
        <v>0.75</v>
      </c>
      <c r="I169" s="44"/>
      <c r="J169" s="44"/>
      <c r="K169" s="166"/>
      <c r="L169" s="166"/>
      <c r="M169" s="166" t="n">
        <v>14.515049999999999</v>
      </c>
      <c r="N169" s="157" t="n">
        <f t="shared" si="87"/>
        <v>14.515049999999999</v>
      </c>
      <c r="O169" s="94"/>
      <c r="P169" s="94"/>
      <c r="Q169" s="94"/>
      <c r="R169" s="94"/>
      <c r="S169" s="89"/>
      <c r="T169" s="130"/>
      <c r="U169" s="166"/>
      <c r="V169" s="166"/>
      <c r="W169" s="21"/>
      <c r="X169" s="21"/>
      <c r="Y169" s="21"/>
      <c r="Z169" s="21"/>
      <c r="AA169" s="21"/>
      <c r="AB169" s="21"/>
      <c r="AC169" s="21"/>
      <c r="AD169" s="21"/>
      <c r="AE169" s="21"/>
      <c r="AF169" s="21"/>
      <c r="AG169" s="21"/>
      <c r="AH169" s="21"/>
      <c r="AI169" s="107" t="n">
        <v>0.01</v>
      </c>
      <c r="AJ169" s="71"/>
      <c r="AK169" s="66"/>
      <c r="AL169" s="153" t="n">
        <v>0.48799999999999999</v>
      </c>
      <c r="AM169" s="175" t="n">
        <f t="shared" si="88"/>
        <v>3.0000000000000005E-3</v>
      </c>
      <c r="AN169" s="153"/>
      <c r="AO169" s="153"/>
      <c r="AP169" s="153" t="n">
        <v>0.48670000000000002</v>
      </c>
      <c r="AQ169" s="121" t="n">
        <v>0.32499999999999996</v>
      </c>
      <c r="AR169" s="94" t="n">
        <v>0.49299999999999999</v>
      </c>
      <c r="AS169" s="121" t="n">
        <v>0.78600546478873246</v>
      </c>
      <c r="AT169" s="59" t="n">
        <f t="shared" si="56"/>
        <v>0.17824592074592077</v>
      </c>
      <c r="AU169" s="87" t="n">
        <v>0.47636694835680754</v>
      </c>
      <c r="AV169" s="87" t="n">
        <v>0.30963851643192492</v>
      </c>
      <c r="AW169" s="5"/>
      <c r="AX169" s="107" t="n">
        <v>8.9999999999999993E-3</v>
      </c>
      <c r="AY169" s="119" t="e">
        <v>#DIV/0!</v>
      </c>
      <c r="AZ169" t="n">
        <v>0.7</v>
      </c>
      <c r="BQ169" s="110"/>
    </row>
    <row r="170">
      <c r="A170" s="44"/>
      <c r="B170" s="44" t="s">
        <v>217</v>
      </c>
      <c r="C170" s="44"/>
      <c r="D170" s="142"/>
      <c r="E170" s="142"/>
      <c r="F170" s="103" t="n">
        <v>0.25800000000000001</v>
      </c>
      <c r="G170" s="87" t="n">
        <v>0.75</v>
      </c>
      <c r="H170" s="87" t="n">
        <f t="shared" si="86"/>
        <v>0.75</v>
      </c>
      <c r="I170" s="44"/>
      <c r="J170" s="44"/>
      <c r="K170" s="166"/>
      <c r="L170" s="166"/>
      <c r="M170" s="157" t="n">
        <v>14.87323125</v>
      </c>
      <c r="N170" s="157" t="n">
        <f t="shared" si="87"/>
        <v>14.87323125</v>
      </c>
      <c r="O170" s="94"/>
      <c r="P170" s="94"/>
      <c r="Q170" s="94"/>
      <c r="R170" s="94"/>
      <c r="S170" s="89"/>
      <c r="T170" s="130"/>
      <c r="U170" s="166"/>
      <c r="V170" s="166"/>
      <c r="W170" s="21"/>
      <c r="X170" s="21"/>
      <c r="Y170" s="21"/>
      <c r="Z170" s="21"/>
      <c r="AA170" s="21"/>
      <c r="AB170" s="21"/>
      <c r="AC170" s="21"/>
      <c r="AD170" s="21"/>
      <c r="AE170" s="21"/>
      <c r="AF170" s="21"/>
      <c r="AG170" s="21"/>
      <c r="AH170" s="21"/>
      <c r="AI170" s="107" t="n">
        <v>0.01</v>
      </c>
      <c r="AJ170" s="71"/>
      <c r="AK170" s="67"/>
      <c r="AL170" s="121" t="n">
        <v>0.498</v>
      </c>
      <c r="AM170" s="175" t="n">
        <f t="shared" si="88"/>
        <v>3.0000000000000005E-3</v>
      </c>
      <c r="AN170" s="153"/>
      <c r="AO170" s="153"/>
      <c r="AP170" s="153" t="n">
        <v>0.49229888582460013</v>
      </c>
      <c r="AQ170" s="121" t="n">
        <v>0.32499999999999996</v>
      </c>
      <c r="AR170" s="94" t="n">
        <v>0.45263157894736838</v>
      </c>
      <c r="AS170" s="121" t="n">
        <v>0.78600546478873246</v>
      </c>
      <c r="AT170" s="59" t="n">
        <f t="shared" si="56"/>
        <v>0.17824592074592077</v>
      </c>
      <c r="AU170" s="87" t="n">
        <v>0.47636694835680754</v>
      </c>
      <c r="AV170" s="87" t="n">
        <v>0.30963851643192492</v>
      </c>
      <c r="AW170" s="5"/>
      <c r="AX170" s="107" t="n">
        <v>8.9999999999999993E-3</v>
      </c>
      <c r="AY170" s="119" t="e">
        <v>#DIV/0!</v>
      </c>
      <c r="AZ170" t="n">
        <v>0.7</v>
      </c>
      <c r="BQ170" s="110"/>
    </row>
    <row r="171">
      <c r="A171" s="44"/>
      <c r="B171" s="44" t="s">
        <v>216</v>
      </c>
      <c r="C171" s="44"/>
      <c r="D171" s="142"/>
      <c r="E171" s="142"/>
      <c r="F171" s="94" t="n">
        <v>0.21999999999999997</v>
      </c>
      <c r="G171" s="87" t="n">
        <v>0.75</v>
      </c>
      <c r="H171" s="87" t="n">
        <f t="shared" si="86"/>
        <v>0.75</v>
      </c>
      <c r="I171" s="44"/>
      <c r="J171" s="44"/>
      <c r="K171" s="166"/>
      <c r="L171" s="166"/>
      <c r="M171" s="157" t="n">
        <v>19.387083989825584</v>
      </c>
      <c r="N171" s="157" t="n">
        <f t="shared" si="87"/>
        <v>19.387083989825584</v>
      </c>
      <c r="O171" s="94"/>
      <c r="P171" s="94"/>
      <c r="Q171" s="94"/>
      <c r="R171" s="94"/>
      <c r="S171" s="89"/>
      <c r="T171" s="130"/>
      <c r="U171" s="166"/>
      <c r="V171" s="166"/>
      <c r="W171" s="21"/>
      <c r="X171" s="21"/>
      <c r="Y171" s="21"/>
      <c r="Z171" s="21"/>
      <c r="AA171" s="21"/>
      <c r="AB171" s="21"/>
      <c r="AC171" s="21"/>
      <c r="AD171" s="21"/>
      <c r="AE171" s="21"/>
      <c r="AF171" s="21"/>
      <c r="AG171" s="21"/>
      <c r="AH171" s="21"/>
      <c r="AI171" s="107" t="n">
        <v>0.01</v>
      </c>
      <c r="AJ171" s="71"/>
      <c r="AK171" s="67"/>
      <c r="AL171" s="153" t="n">
        <v>0.47099999999999997</v>
      </c>
      <c r="AM171" s="175" t="n">
        <f t="shared" si="88"/>
        <v>3.0000000000000005E-3</v>
      </c>
      <c r="AN171" s="153"/>
      <c r="AO171" s="153"/>
      <c r="AP171" s="153" t="n">
        <v>0.4677</v>
      </c>
      <c r="AQ171" s="121" t="n">
        <v>0.32499999999999996</v>
      </c>
      <c r="AR171" s="94" t="n">
        <v>0.59</v>
      </c>
      <c r="AS171" s="121" t="n">
        <v>0.78600546478873246</v>
      </c>
      <c r="AT171" s="59" t="n">
        <f t="shared" si="56"/>
        <v>0.17824592074592077</v>
      </c>
      <c r="AU171" s="87" t="n">
        <v>0.47636694835680754</v>
      </c>
      <c r="AV171" s="87" t="n">
        <v>0.30963851643192492</v>
      </c>
      <c r="AW171" s="5"/>
      <c r="AX171" s="107" t="n">
        <v>8.9999999999999993E-3</v>
      </c>
      <c r="AY171" s="119" t="e">
        <v>#DIV/0!</v>
      </c>
      <c r="AZ171" t="n">
        <v>0.7</v>
      </c>
      <c r="BQ171" s="110"/>
    </row>
    <row r="172">
      <c r="A172" s="73"/>
      <c r="B172" s="73" t="s">
        <v>215</v>
      </c>
      <c r="C172" s="73"/>
      <c r="D172" s="142"/>
      <c r="E172" s="133"/>
      <c r="F172" s="103" t="n">
        <v>0.23899999999999999</v>
      </c>
      <c r="G172" s="89" t="n">
        <v>0.75</v>
      </c>
      <c r="H172" s="87" t="n">
        <f t="shared" si="86"/>
        <v>0.75</v>
      </c>
      <c r="I172" s="73"/>
      <c r="J172" s="73"/>
      <c r="K172" s="18"/>
      <c r="L172" s="18"/>
      <c r="M172" s="105" t="n">
        <v>17.130157619912794</v>
      </c>
      <c r="N172" s="157" t="n">
        <f t="shared" si="87"/>
        <v>17.130157619912794</v>
      </c>
      <c r="O172" s="111"/>
      <c r="P172" s="111"/>
      <c r="Q172" s="111"/>
      <c r="R172" s="94"/>
      <c r="S172" s="89"/>
      <c r="T172" s="130"/>
      <c r="U172" s="166"/>
      <c r="V172" s="166"/>
      <c r="W172" s="21"/>
      <c r="X172" s="21"/>
      <c r="Y172" s="21"/>
      <c r="Z172" s="21"/>
      <c r="AA172" s="21"/>
      <c r="AB172" s="21"/>
      <c r="AC172" s="21"/>
      <c r="AD172" s="21"/>
      <c r="AE172" s="21"/>
      <c r="AF172" s="21"/>
      <c r="AG172" s="21"/>
      <c r="AH172" s="21"/>
      <c r="AI172" s="107" t="n">
        <v>0.01</v>
      </c>
      <c r="AJ172" s="124"/>
      <c r="AK172" s="106"/>
      <c r="AL172" s="127" t="n">
        <v>0.48449999999999999</v>
      </c>
      <c r="AM172" s="175" t="n">
        <f>AVERAGE(AM161,AM166,AM173)</f>
        <v>3.0000000000000005E-3</v>
      </c>
      <c r="AN172" s="150"/>
      <c r="AO172" s="150"/>
      <c r="AP172" s="150" t="n">
        <v>0.49229888582460013</v>
      </c>
      <c r="AQ172" s="121" t="n">
        <v>0.32499999999999996</v>
      </c>
      <c r="AR172" s="134" t="n">
        <v>0.52131578947368418</v>
      </c>
      <c r="AS172" s="127" t="n">
        <v>0.78600546478873246</v>
      </c>
      <c r="AT172" s="59" t="n">
        <f t="shared" si="56"/>
        <v>0.17824592074592077</v>
      </c>
      <c r="AU172" s="108" t="n">
        <v>0.47636694835680754</v>
      </c>
      <c r="AV172" s="108" t="n">
        <v>0.30963851643192492</v>
      </c>
      <c r="AW172" s="144"/>
      <c r="AX172" s="107" t="n">
        <v>8.9999999999999993E-3</v>
      </c>
      <c r="AY172" s="119" t="e">
        <v>#DIV/0!</v>
      </c>
      <c r="AZ172" t="n">
        <v>0.7</v>
      </c>
      <c r="BQ172" s="110"/>
    </row>
    <row r="173">
      <c r="A173" s="73"/>
      <c r="B173" s="73" t="s">
        <v>770</v>
      </c>
      <c r="C173" s="73"/>
      <c r="D173" s="142"/>
      <c r="E173" s="133"/>
      <c r="F173" s="103" t="n">
        <f>AVERAGE(F144,0.95,0.5,0.4,1.2)</f>
        <v>0.77799999999999991</v>
      </c>
      <c r="G173" s="87" t="n">
        <f>G172</f>
        <v>0.75</v>
      </c>
      <c r="H173" s="108" t="n">
        <f>H144</f>
        <v>0.75599666666666676</v>
      </c>
      <c r="I173" s="73"/>
      <c r="J173" s="73"/>
      <c r="K173" s="105"/>
      <c r="L173" s="105"/>
      <c r="M173" s="105" t="n">
        <f t="shared" ref="M173:AZ173" si="89">M144</f>
        <v>18.327593600000004</v>
      </c>
      <c r="N173" s="157" t="n">
        <f t="shared" si="87"/>
        <v>18.327593600000004</v>
      </c>
      <c r="O173" s="105"/>
      <c r="P173" s="105"/>
      <c r="Q173" s="105"/>
      <c r="R173" s="134"/>
      <c r="S173" s="108"/>
      <c r="T173" s="105"/>
      <c r="U173" s="105"/>
      <c r="V173" s="105"/>
      <c r="W173" s="105"/>
      <c r="X173" s="105"/>
      <c r="Y173" s="105"/>
      <c r="Z173" s="105"/>
      <c r="AA173" s="105"/>
      <c r="AB173" s="105"/>
      <c r="AC173" s="105"/>
      <c r="AD173" s="105"/>
      <c r="AE173" s="105"/>
      <c r="AF173" s="105"/>
      <c r="AG173" s="105"/>
      <c r="AH173" s="105"/>
      <c r="AI173" s="127" t="n">
        <f t="shared" si="89"/>
        <v>6.6559999999999996E-3</v>
      </c>
      <c r="AJ173" s="165"/>
      <c r="AK173" s="106"/>
      <c r="AL173" s="127" t="n">
        <f t="shared" si="89"/>
        <v>0.49000000000000005</v>
      </c>
      <c r="AM173" s="36" t="n">
        <v>4.4999999999999997E-3</v>
      </c>
      <c r="AN173" s="105" t="n">
        <f t="shared" si="89"/>
        <v>0</v>
      </c>
      <c r="AO173" s="105" t="n">
        <f t="shared" si="89"/>
        <v>0</v>
      </c>
      <c r="AP173" s="127" t="n">
        <f t="shared" si="89"/>
        <v>0.46958440154440156</v>
      </c>
      <c r="AQ173" s="121" t="n">
        <v>0.32499999999999996</v>
      </c>
      <c r="AR173" s="105" t="n">
        <f t="shared" si="89"/>
        <v>0.57999999999999996</v>
      </c>
      <c r="AS173" s="127" t="n">
        <f t="shared" si="89"/>
        <v>0.78600546478873246</v>
      </c>
      <c r="AT173" s="59" t="n">
        <f t="shared" si="56"/>
        <v>0.17824592074592077</v>
      </c>
      <c r="AU173" s="105" t="n">
        <f t="shared" si="89"/>
        <v>0.47636694835680754</v>
      </c>
      <c r="AV173" s="105" t="n">
        <f t="shared" si="89"/>
        <v>0.30963851643192492</v>
      </c>
      <c r="AW173" s="105"/>
      <c r="AX173" s="127" t="n">
        <f t="shared" si="89"/>
        <v>8.9999999999999993E-3</v>
      </c>
      <c r="AY173" s="105" t="n">
        <f t="shared" si="89"/>
        <v>16.943552484799312</v>
      </c>
      <c r="AZ173" s="105" t="n">
        <f t="shared" si="89"/>
        <v>0.7</v>
      </c>
      <c r="BQ173" s="110"/>
    </row>
    <row r="174">
      <c r="A174" s="44"/>
      <c r="B174" s="44" t="s">
        <v>214</v>
      </c>
      <c r="C174" s="44"/>
      <c r="D174" s="142"/>
      <c r="E174" s="142"/>
      <c r="F174" s="94" t="n">
        <v>1.6</v>
      </c>
      <c r="G174" s="87" t="n">
        <v>0.75</v>
      </c>
      <c r="H174" s="87" t="n">
        <f t="shared" si="86"/>
        <v>0.75</v>
      </c>
      <c r="I174" s="44"/>
      <c r="J174" s="44"/>
      <c r="K174" s="166"/>
      <c r="L174" s="166"/>
      <c r="M174" s="157" t="n">
        <v>17.130157619912794</v>
      </c>
      <c r="N174" s="157" t="n">
        <f t="shared" si="87"/>
        <v>17.130157619912794</v>
      </c>
      <c r="O174" s="94"/>
      <c r="P174" s="94"/>
      <c r="Q174" s="94"/>
      <c r="R174" s="134"/>
      <c r="S174" s="89"/>
      <c r="T174" s="130"/>
      <c r="U174" s="166"/>
      <c r="V174" s="166"/>
      <c r="W174" s="21"/>
      <c r="X174" s="21"/>
      <c r="Y174" s="21"/>
      <c r="Z174" s="21"/>
      <c r="AA174" s="21"/>
      <c r="AB174" s="21"/>
      <c r="AC174" s="21"/>
      <c r="AD174" s="21"/>
      <c r="AE174" s="21"/>
      <c r="AF174" s="21"/>
      <c r="AG174" s="21"/>
      <c r="AH174" s="21"/>
      <c r="AI174" s="107" t="n">
        <v>0.01</v>
      </c>
      <c r="AJ174" s="71"/>
      <c r="AK174" s="66"/>
      <c r="AL174" s="121" t="n">
        <v>0.48449999999999999</v>
      </c>
      <c r="AM174" s="175" t="n">
        <f t="shared" ref="AM174:AM178" si="90">$AM$172</f>
        <v>3.0000000000000005E-3</v>
      </c>
      <c r="AN174" s="153"/>
      <c r="AO174" s="153"/>
      <c r="AP174" s="153" t="n">
        <v>0.48559999999999998</v>
      </c>
      <c r="AQ174" s="121" t="n">
        <v>0.32499999999999996</v>
      </c>
      <c r="AR174" s="103" t="n">
        <v>0.52131578947368418</v>
      </c>
      <c r="AS174" s="121" t="n">
        <v>0.78600546478873246</v>
      </c>
      <c r="AT174" s="59" t="n">
        <f t="shared" si="56"/>
        <v>0.17824592074592077</v>
      </c>
      <c r="AU174" s="87" t="n">
        <v>0.47636694835680754</v>
      </c>
      <c r="AV174" s="87" t="n">
        <v>0.30963851643192492</v>
      </c>
      <c r="AW174" s="5"/>
      <c r="AX174" s="107" t="n">
        <v>8.9999999999999993E-3</v>
      </c>
      <c r="AY174" s="119" t="e">
        <v>#DIV/0!</v>
      </c>
      <c r="AZ174" t="n">
        <v>0.7</v>
      </c>
      <c r="BQ174" s="110"/>
    </row>
    <row r="175">
      <c r="A175" s="44"/>
      <c r="B175" s="44" t="s">
        <v>213</v>
      </c>
      <c r="C175" s="44"/>
      <c r="D175" s="142"/>
      <c r="E175" s="142"/>
      <c r="F175" s="94" t="n">
        <v>1.887</v>
      </c>
      <c r="G175" s="87" t="n">
        <v>0.75</v>
      </c>
      <c r="H175" s="87" t="n">
        <f t="shared" si="86"/>
        <v>0.75</v>
      </c>
      <c r="I175" s="44"/>
      <c r="J175" s="44"/>
      <c r="K175" s="166"/>
      <c r="L175" s="166"/>
      <c r="M175" s="157" t="n">
        <v>17.130157619912794</v>
      </c>
      <c r="N175" s="157" t="n">
        <f t="shared" si="87"/>
        <v>17.130157619912794</v>
      </c>
      <c r="O175" s="94"/>
      <c r="P175" s="94"/>
      <c r="Q175" s="94"/>
      <c r="R175" s="134"/>
      <c r="S175" s="89"/>
      <c r="T175" s="130"/>
      <c r="U175" s="166"/>
      <c r="V175" s="166"/>
      <c r="W175" s="21"/>
      <c r="X175" s="21"/>
      <c r="Y175" s="21"/>
      <c r="Z175" s="21"/>
      <c r="AA175" s="21"/>
      <c r="AB175" s="21"/>
      <c r="AC175" s="21"/>
      <c r="AD175" s="21"/>
      <c r="AE175" s="21"/>
      <c r="AF175" s="21"/>
      <c r="AG175" s="21"/>
      <c r="AH175" s="21"/>
      <c r="AI175" s="107" t="n">
        <v>0.01</v>
      </c>
      <c r="AJ175" s="71"/>
      <c r="AK175" s="66"/>
      <c r="AL175" s="121" t="n">
        <v>0.48449999999999999</v>
      </c>
      <c r="AM175" s="175" t="n">
        <f t="shared" si="90"/>
        <v>3.0000000000000005E-3</v>
      </c>
      <c r="AN175" s="153"/>
      <c r="AO175" s="153"/>
      <c r="AP175" s="153" t="n">
        <v>0.49229888582460013</v>
      </c>
      <c r="AQ175" s="121" t="n">
        <v>0.32499999999999996</v>
      </c>
      <c r="AR175" s="103" t="n">
        <v>0.52131578947368418</v>
      </c>
      <c r="AS175" s="121" t="n">
        <v>0.78600546478873246</v>
      </c>
      <c r="AT175" s="59" t="n">
        <f t="shared" si="56"/>
        <v>0.17824592074592077</v>
      </c>
      <c r="AU175" s="87" t="n">
        <v>0.47636694835680754</v>
      </c>
      <c r="AV175" s="87" t="n">
        <v>0.30963851643192492</v>
      </c>
      <c r="AW175" s="5"/>
      <c r="AX175" s="107" t="n">
        <v>8.9999999999999993E-3</v>
      </c>
      <c r="AY175" s="119" t="e">
        <v>#DIV/0!</v>
      </c>
      <c r="AZ175" t="n">
        <v>0.7</v>
      </c>
      <c r="BQ175" s="110"/>
    </row>
    <row r="176">
      <c r="A176" s="44"/>
      <c r="B176" s="44" t="s">
        <v>212</v>
      </c>
      <c r="C176" s="44"/>
      <c r="D176" s="142"/>
      <c r="E176" s="142"/>
      <c r="F176" s="94" t="n">
        <v>0.64200000000000002</v>
      </c>
      <c r="G176" s="87" t="n">
        <v>0.75</v>
      </c>
      <c r="H176" s="87" t="n">
        <f t="shared" si="86"/>
        <v>0.75</v>
      </c>
      <c r="I176" s="44"/>
      <c r="J176" s="44"/>
      <c r="K176" s="166"/>
      <c r="L176" s="166"/>
      <c r="M176" s="157" t="n">
        <v>17.130157619912794</v>
      </c>
      <c r="N176" s="157" t="n">
        <f t="shared" si="87"/>
        <v>17.130157619912794</v>
      </c>
      <c r="O176" s="94"/>
      <c r="P176" s="94"/>
      <c r="Q176" s="94"/>
      <c r="R176" s="134"/>
      <c r="S176" s="89"/>
      <c r="T176" s="130"/>
      <c r="U176" s="166"/>
      <c r="V176" s="166"/>
      <c r="W176" s="21"/>
      <c r="X176" s="21"/>
      <c r="Y176" s="21"/>
      <c r="Z176" s="21"/>
      <c r="AA176" s="21"/>
      <c r="AB176" s="21"/>
      <c r="AC176" s="21"/>
      <c r="AD176" s="21"/>
      <c r="AE176" s="21"/>
      <c r="AF176" s="21"/>
      <c r="AG176" s="21"/>
      <c r="AH176" s="21"/>
      <c r="AI176" s="107" t="n">
        <v>0.01</v>
      </c>
      <c r="AJ176" s="71"/>
      <c r="AK176" s="66"/>
      <c r="AL176" s="121" t="n">
        <v>0.48449999999999999</v>
      </c>
      <c r="AM176" s="175" t="n">
        <f t="shared" si="90"/>
        <v>3.0000000000000005E-3</v>
      </c>
      <c r="AN176" s="153"/>
      <c r="AO176" s="153"/>
      <c r="AP176" s="153" t="n">
        <v>0.49229888582460013</v>
      </c>
      <c r="AQ176" s="121" t="n">
        <v>0.32499999999999996</v>
      </c>
      <c r="AR176" s="103" t="n">
        <v>0.52131578947368418</v>
      </c>
      <c r="AS176" s="121" t="n">
        <v>0.78600546478873246</v>
      </c>
      <c r="AT176" s="59" t="n">
        <f t="shared" si="56"/>
        <v>0.17824592074592077</v>
      </c>
      <c r="AU176" s="87" t="n">
        <v>0.47636694835680754</v>
      </c>
      <c r="AV176" s="87" t="n">
        <v>0.30963851643192492</v>
      </c>
      <c r="AW176" s="5"/>
      <c r="AX176" s="107" t="n">
        <v>8.9999999999999993E-3</v>
      </c>
      <c r="AY176" s="119" t="e">
        <v>#DIV/0!</v>
      </c>
      <c r="AZ176" t="n">
        <v>0.7</v>
      </c>
      <c r="BQ176" s="110"/>
    </row>
    <row r="177">
      <c r="A177" s="44"/>
      <c r="B177" s="44" t="s">
        <v>211</v>
      </c>
      <c r="C177" s="44"/>
      <c r="D177" s="142"/>
      <c r="E177" s="142"/>
      <c r="F177" s="94"/>
      <c r="G177" s="89" t="n">
        <v>0.9</v>
      </c>
      <c r="H177" s="87" t="n">
        <f t="shared" si="86"/>
        <v>0.9</v>
      </c>
      <c r="I177" s="44"/>
      <c r="J177" s="44"/>
      <c r="K177" s="166"/>
      <c r="L177" s="166"/>
      <c r="M177" s="157" t="n">
        <v>21.213817485960117</v>
      </c>
      <c r="N177" s="157" t="n">
        <f t="shared" si="87"/>
        <v>21.213817485960117</v>
      </c>
      <c r="O177" s="94"/>
      <c r="P177" s="94"/>
      <c r="Q177" s="94"/>
      <c r="R177" s="134"/>
      <c r="S177" s="89"/>
      <c r="T177" s="130"/>
      <c r="U177" s="166"/>
      <c r="V177" s="166"/>
      <c r="W177" s="21"/>
      <c r="X177" s="21"/>
      <c r="Y177" s="21"/>
      <c r="Z177" s="21"/>
      <c r="AA177" s="21"/>
      <c r="AB177" s="21"/>
      <c r="AC177" s="21"/>
      <c r="AD177" s="21"/>
      <c r="AE177" s="21"/>
      <c r="AF177" s="21"/>
      <c r="AG177" s="21"/>
      <c r="AH177" s="21"/>
      <c r="AI177" s="107" t="n">
        <v>0.01</v>
      </c>
      <c r="AJ177" s="71"/>
      <c r="AK177" s="67"/>
      <c r="AL177" s="153" t="n">
        <v>0.5</v>
      </c>
      <c r="AM177" s="175" t="n">
        <f t="shared" si="90"/>
        <v>3.0000000000000005E-3</v>
      </c>
      <c r="AN177" s="153"/>
      <c r="AO177" s="153"/>
      <c r="AP177" s="153" t="n">
        <v>0.49229888582460013</v>
      </c>
      <c r="AQ177" s="121" t="n">
        <v>0.32499999999999996</v>
      </c>
      <c r="AR177" s="103"/>
      <c r="AS177" s="121" t="s">
        <v>4</v>
      </c>
      <c r="AT177" s="59" t="n">
        <f t="shared" si="56"/>
        <v>0.17824592074592077</v>
      </c>
      <c r="AU177" s="87" t="s">
        <v>4</v>
      </c>
      <c r="AV177" s="87" t="s">
        <v>4</v>
      </c>
      <c r="AW177" s="5"/>
      <c r="AX177" s="107" t="n">
        <v>8.9999999999999993E-3</v>
      </c>
      <c r="AY177" s="119" t="e">
        <v>#DIV/0!</v>
      </c>
      <c r="AZ177" t="n">
        <v>0.7</v>
      </c>
      <c r="BQ177" s="110"/>
    </row>
    <row r="178">
      <c r="A178" s="44"/>
      <c r="B178" s="44" t="s">
        <v>210</v>
      </c>
      <c r="C178" s="44"/>
      <c r="D178" s="142"/>
      <c r="E178" s="142"/>
      <c r="F178" s="94"/>
      <c r="G178" s="89" t="n">
        <v>0.9</v>
      </c>
      <c r="H178" s="87" t="n">
        <f t="shared" si="86"/>
        <v>0.9</v>
      </c>
      <c r="I178" s="44"/>
      <c r="J178" s="44"/>
      <c r="K178" s="166"/>
      <c r="L178" s="166"/>
      <c r="M178" s="157" t="n">
        <v>36.063489726132197</v>
      </c>
      <c r="N178" s="157" t="n">
        <f t="shared" si="87"/>
        <v>36.063489726132197</v>
      </c>
      <c r="O178" s="94"/>
      <c r="P178" s="94"/>
      <c r="Q178" s="94"/>
      <c r="R178" s="134"/>
      <c r="S178" s="89"/>
      <c r="T178" s="130"/>
      <c r="U178" s="166"/>
      <c r="V178" s="166"/>
      <c r="W178" s="21"/>
      <c r="X178" s="21"/>
      <c r="Y178" s="21"/>
      <c r="Z178" s="21"/>
      <c r="AA178" s="21"/>
      <c r="AB178" s="21"/>
      <c r="AC178" s="21"/>
      <c r="AD178" s="21"/>
      <c r="AE178" s="21"/>
      <c r="AF178" s="21"/>
      <c r="AG178" s="21"/>
      <c r="AH178" s="21"/>
      <c r="AI178" s="153" t="n">
        <v>5.7000000000000002E-3</v>
      </c>
      <c r="AJ178" s="71"/>
      <c r="AK178" s="67"/>
      <c r="AL178" s="136" t="n">
        <v>0.85</v>
      </c>
      <c r="AM178" s="175" t="n">
        <f t="shared" si="90"/>
        <v>3.0000000000000005E-3</v>
      </c>
      <c r="AN178" s="153"/>
      <c r="AO178" s="153"/>
      <c r="AP178" s="153" t="n">
        <v>0.49229888582460013</v>
      </c>
      <c r="AQ178" s="121" t="n">
        <v>0.32499999999999996</v>
      </c>
      <c r="AR178" s="153"/>
      <c r="AS178" s="121" t="s">
        <v>4</v>
      </c>
      <c r="AT178" s="59" t="n">
        <f t="shared" si="56"/>
        <v>0.17824592074592077</v>
      </c>
      <c r="AU178" s="87" t="s">
        <v>4</v>
      </c>
      <c r="AV178" s="87" t="s">
        <v>4</v>
      </c>
      <c r="AW178" s="5"/>
      <c r="AX178" s="107" t="n">
        <v>8.9999999999999993E-3</v>
      </c>
      <c r="AY178" s="119" t="e">
        <v>#DIV/0!</v>
      </c>
      <c r="AZ178" t="n">
        <v>0.7</v>
      </c>
      <c r="BQ178" s="110"/>
    </row>
    <row r="179">
      <c r="A179" s="44"/>
      <c r="B179" s="44" t="s">
        <v>209</v>
      </c>
      <c r="C179" s="44"/>
      <c r="D179" s="142" t="s">
        <v>149</v>
      </c>
      <c r="E179" s="131"/>
      <c r="F179" s="51" t="n">
        <v>0.54</v>
      </c>
      <c r="G179" s="3" t="n">
        <v>0.29165848043341702</v>
      </c>
      <c r="H179" s="87" t="n">
        <v>0.30299999999999999</v>
      </c>
      <c r="I179" s="44"/>
      <c r="J179" s="44"/>
      <c r="K179" s="166"/>
      <c r="L179" s="166"/>
      <c r="M179" s="166" t="n">
        <v>5.3245583999999999</v>
      </c>
      <c r="N179" s="157" t="n">
        <v>5.3245583999999999</v>
      </c>
      <c r="O179" s="94" t="n">
        <f>1-P179</f>
        <v>0.90909090909090906</v>
      </c>
      <c r="P179" s="103" t="n">
        <f>Q179/(1+Q179)</f>
        <v>9.0909090909090912E-2</v>
      </c>
      <c r="Q179" s="172" t="n">
        <v>0.1</v>
      </c>
      <c r="R179" s="134"/>
      <c r="S179" s="89"/>
      <c r="T179" s="130"/>
      <c r="U179" s="166"/>
      <c r="V179" s="166"/>
      <c r="W179" s="21"/>
      <c r="X179" s="21"/>
      <c r="Y179" s="21"/>
      <c r="Z179" s="21"/>
      <c r="AA179" s="21"/>
      <c r="AB179" s="21"/>
      <c r="AC179" s="21"/>
      <c r="AD179" s="21"/>
      <c r="AE179" s="21"/>
      <c r="AF179" s="21"/>
      <c r="AG179" s="21"/>
      <c r="AH179" s="21"/>
      <c r="AI179" s="153" t="n">
        <v>1.4396000000000001E-2</v>
      </c>
      <c r="AJ179" s="71" t="n">
        <v>3.0999999999999999E-3</v>
      </c>
      <c r="AK179" s="67"/>
      <c r="AL179" s="121" t="n">
        <v>0.44</v>
      </c>
      <c r="AM179" s="173" t="n">
        <f>AI179</f>
        <v>1.4396000000000001E-2</v>
      </c>
      <c r="AN179" s="153"/>
      <c r="AO179" s="153"/>
      <c r="AP179" s="153" t="n">
        <v>0.43812127659574457</v>
      </c>
      <c r="AQ179" s="121" t="n">
        <v>0.11534666666666667</v>
      </c>
      <c r="AR179" s="94"/>
      <c r="AS179" s="121" t="n">
        <v>0.72602958765444336</v>
      </c>
      <c r="AT179" s="59" t="n">
        <f t="shared" si="56"/>
        <v>0.17824592074592077</v>
      </c>
      <c r="AU179" s="87" t="n">
        <v>0.4400179319117839</v>
      </c>
      <c r="AV179" s="87" t="n">
        <v>0.28601165574265952</v>
      </c>
      <c r="AW179" s="5"/>
      <c r="AX179" s="107" t="n">
        <f>AI179*O179+P179*AM179</f>
        <v>1.4395999999999999E-2</v>
      </c>
      <c r="AY179" s="119" t="n">
        <v>17.572800000000001</v>
      </c>
      <c r="AZ179" t="n">
        <v>0.7</v>
      </c>
      <c r="BQ179" s="110"/>
    </row>
    <row r="180">
      <c r="A180" s="44" t="s">
        <v>208</v>
      </c>
      <c r="B180" s="44" t="s">
        <v>207</v>
      </c>
      <c r="C180" s="44"/>
      <c r="D180" s="142" t="s">
        <v>149</v>
      </c>
      <c r="E180" s="131"/>
      <c r="F180" s="51" t="n">
        <v>0.54</v>
      </c>
      <c r="G180" s="3" t="n">
        <v>0.17097816295791823</v>
      </c>
      <c r="H180" s="87" t="n">
        <v>0.184</v>
      </c>
      <c r="I180" s="44"/>
      <c r="J180" s="44"/>
      <c r="K180" s="166"/>
      <c r="L180" s="166"/>
      <c r="M180" s="157" t="n">
        <v>3.2333951999999999</v>
      </c>
      <c r="N180" s="157" t="n">
        <v>3.2333951999999999</v>
      </c>
      <c r="O180" s="94" t="n">
        <f t="shared" ref="O180:O222" si="91">1-P180</f>
        <v>0.90909090909090906</v>
      </c>
      <c r="P180" s="103" t="n">
        <f t="shared" ref="P180:P222" si="92">Q180/(1+Q180)</f>
        <v>9.0909090909090912E-2</v>
      </c>
      <c r="Q180" s="172" t="n">
        <v>0.1</v>
      </c>
      <c r="R180" s="134"/>
      <c r="S180" s="89"/>
      <c r="T180" s="130"/>
      <c r="U180" s="166"/>
      <c r="V180" s="166"/>
      <c r="W180" s="21"/>
      <c r="X180" s="21"/>
      <c r="Y180" s="21"/>
      <c r="Z180" s="21"/>
      <c r="AA180" s="21"/>
      <c r="AB180" s="21"/>
      <c r="AC180" s="21"/>
      <c r="AD180" s="21"/>
      <c r="AE180" s="21"/>
      <c r="AF180" s="21"/>
      <c r="AG180" s="21"/>
      <c r="AH180" s="21"/>
      <c r="AI180" s="173" t="n">
        <v>1.4999999999999999E-2</v>
      </c>
      <c r="AJ180" s="71"/>
      <c r="AK180" s="67"/>
      <c r="AL180" s="121" t="n">
        <v>0.44</v>
      </c>
      <c r="AM180" s="173" t="n">
        <v>1.4999999999999999E-2</v>
      </c>
      <c r="AN180" s="153"/>
      <c r="AO180" s="153"/>
      <c r="AP180" s="153" t="n">
        <v>0.43812127659574457</v>
      </c>
      <c r="AQ180" s="121" t="n">
        <v>0.11534666666666667</v>
      </c>
      <c r="AR180" s="94"/>
      <c r="AS180" s="121" t="n">
        <v>0.72602958765444336</v>
      </c>
      <c r="AT180" s="59" t="n">
        <f t="shared" si="56"/>
        <v>0.17824592074592077</v>
      </c>
      <c r="AU180" s="87" t="n">
        <v>0.4400179319117839</v>
      </c>
      <c r="AV180" s="87" t="n">
        <v>0.28601165574265952</v>
      </c>
      <c r="AW180" s="5"/>
      <c r="AX180" s="107" t="n">
        <f t="shared" ref="AX180:AX225" si="93">AI180</f>
        <v>1.4999999999999999E-2</v>
      </c>
      <c r="AY180" s="119" t="n">
        <v>17.572800000000001</v>
      </c>
      <c r="AZ180" t="n">
        <v>0.7</v>
      </c>
      <c r="BQ180" s="110"/>
    </row>
    <row r="181">
      <c r="A181" s="44"/>
      <c r="B181" s="44" t="s">
        <v>206</v>
      </c>
      <c r="C181" s="44"/>
      <c r="D181" s="142" t="s">
        <v>149</v>
      </c>
      <c r="E181" s="142"/>
      <c r="F181" s="51" t="n">
        <v>0.54</v>
      </c>
      <c r="G181" s="89" t="n">
        <v>0.20299999999999996</v>
      </c>
      <c r="H181" s="87" t="n">
        <v>0.20299999999999996</v>
      </c>
      <c r="I181" s="44"/>
      <c r="J181" s="44"/>
      <c r="K181" s="166"/>
      <c r="L181" s="166"/>
      <c r="M181" s="166" t="n">
        <v>3.2333951999999999</v>
      </c>
      <c r="N181" s="157" t="n">
        <v>3.2333951999999999</v>
      </c>
      <c r="O181" s="94" t="n">
        <f t="shared" si="91"/>
        <v>0.90909090909090906</v>
      </c>
      <c r="P181" s="103" t="n">
        <f t="shared" si="92"/>
        <v>9.0909090909090912E-2</v>
      </c>
      <c r="Q181" s="172" t="n">
        <v>0.1</v>
      </c>
      <c r="R181" s="134"/>
      <c r="S181" s="89"/>
      <c r="T181" s="130"/>
      <c r="U181" s="166"/>
      <c r="V181" s="166"/>
      <c r="W181" s="21"/>
      <c r="X181" s="21"/>
      <c r="Y181" s="21"/>
      <c r="Z181" s="21"/>
      <c r="AA181" s="21"/>
      <c r="AB181" s="21"/>
      <c r="AC181" s="21"/>
      <c r="AD181" s="21"/>
      <c r="AE181" s="21"/>
      <c r="AF181" s="21"/>
      <c r="AG181" s="21"/>
      <c r="AH181" s="21"/>
      <c r="AI181" s="173" t="n">
        <v>1.4999999999999999E-2</v>
      </c>
      <c r="AJ181" s="71"/>
      <c r="AK181" s="67"/>
      <c r="AL181" s="121" t="n">
        <v>0.44</v>
      </c>
      <c r="AM181" s="173" t="n">
        <v>1.4999999999999999E-2</v>
      </c>
      <c r="AN181" s="153"/>
      <c r="AO181" s="153"/>
      <c r="AP181" s="153" t="n">
        <v>0.43812127659574457</v>
      </c>
      <c r="AQ181" s="121" t="n">
        <v>0.11534666666666667</v>
      </c>
      <c r="AR181" s="94"/>
      <c r="AS181" s="121" t="n">
        <v>0.72602958765444336</v>
      </c>
      <c r="AT181" s="59" t="n">
        <f t="shared" si="56"/>
        <v>0.17824592074592077</v>
      </c>
      <c r="AU181" s="87" t="n">
        <v>0.4400179319117839</v>
      </c>
      <c r="AV181" s="87" t="n">
        <v>0.28601165574265952</v>
      </c>
      <c r="AW181" s="5"/>
      <c r="AX181" s="107" t="n">
        <f t="shared" si="93"/>
        <v>1.4999999999999999E-2</v>
      </c>
      <c r="AY181" s="119" t="n">
        <v>15.928055172413796</v>
      </c>
      <c r="AZ181" t="n">
        <v>0.7</v>
      </c>
      <c r="BQ181" s="110"/>
    </row>
    <row r="182">
      <c r="A182" s="44" t="s">
        <v>205</v>
      </c>
      <c r="B182" s="44" t="s">
        <v>204</v>
      </c>
      <c r="C182" s="44"/>
      <c r="D182" s="142" t="s">
        <v>149</v>
      </c>
      <c r="E182" s="142"/>
      <c r="F182" s="51" t="n">
        <v>0.54</v>
      </c>
      <c r="G182" s="3" t="n">
        <v>9.8062354374967756E-2</v>
      </c>
      <c r="H182" s="87" t="n">
        <v>0.126</v>
      </c>
      <c r="I182" s="44"/>
      <c r="J182" s="44"/>
      <c r="K182" s="166"/>
      <c r="L182" s="166"/>
      <c r="M182" s="166" t="n">
        <v>2.2141728000000005</v>
      </c>
      <c r="N182" s="157" t="n">
        <v>2.2141728000000005</v>
      </c>
      <c r="O182" s="94" t="n">
        <f t="shared" si="91"/>
        <v>0.90909090909090906</v>
      </c>
      <c r="P182" s="103" t="n">
        <f t="shared" si="92"/>
        <v>9.0909090909090912E-2</v>
      </c>
      <c r="Q182" s="172" t="n">
        <v>0.1</v>
      </c>
      <c r="R182" s="134"/>
      <c r="S182" s="89"/>
      <c r="T182" s="130"/>
      <c r="U182" s="166"/>
      <c r="V182" s="166"/>
      <c r="W182" s="21"/>
      <c r="X182" s="21"/>
      <c r="Y182" s="21"/>
      <c r="Z182" s="21"/>
      <c r="AA182" s="21"/>
      <c r="AB182" s="21"/>
      <c r="AC182" s="21"/>
      <c r="AD182" s="21"/>
      <c r="AE182" s="21"/>
      <c r="AF182" s="21"/>
      <c r="AG182" s="21"/>
      <c r="AH182" s="21"/>
      <c r="AI182" s="173" t="n">
        <v>1.4999999999999999E-2</v>
      </c>
      <c r="AJ182" s="71"/>
      <c r="AK182" s="67"/>
      <c r="AL182" s="121" t="n">
        <v>0.44</v>
      </c>
      <c r="AM182" s="173" t="n">
        <v>1.4999999999999999E-2</v>
      </c>
      <c r="AN182" s="153"/>
      <c r="AO182" s="153"/>
      <c r="AP182" s="153" t="n">
        <v>0.43812127659574457</v>
      </c>
      <c r="AQ182" s="121" t="n">
        <v>0.11534666666666667</v>
      </c>
      <c r="AR182" s="94"/>
      <c r="AS182" s="121" t="n">
        <v>0.72602958765444336</v>
      </c>
      <c r="AT182" s="59" t="n">
        <f t="shared" si="56"/>
        <v>0.17824592074592077</v>
      </c>
      <c r="AU182" s="87" t="n">
        <v>0.4400179319117839</v>
      </c>
      <c r="AV182" s="87" t="n">
        <v>0.28601165574265952</v>
      </c>
      <c r="AW182" s="5"/>
      <c r="AX182" s="107" t="n">
        <f t="shared" si="93"/>
        <v>1.4999999999999999E-2</v>
      </c>
      <c r="AY182" s="119" t="n">
        <v>17.572800000000004</v>
      </c>
      <c r="AZ182" t="n">
        <v>0.7</v>
      </c>
      <c r="BQ182" s="110"/>
    </row>
    <row r="183">
      <c r="A183" s="44" t="s">
        <v>203</v>
      </c>
      <c r="B183" s="44" t="s">
        <v>202</v>
      </c>
      <c r="C183" s="44"/>
      <c r="D183" s="142" t="s">
        <v>149</v>
      </c>
      <c r="E183" s="142"/>
      <c r="F183" s="51" t="n">
        <v>0.54</v>
      </c>
      <c r="G183" s="3" t="n">
        <v>0.16803184672892235</v>
      </c>
      <c r="H183" s="87" t="n">
        <v>0.16500000000000001</v>
      </c>
      <c r="I183" s="44"/>
      <c r="J183" s="44"/>
      <c r="K183" s="166"/>
      <c r="L183" s="166"/>
      <c r="M183" s="166" t="n">
        <v>1.4539999999999997</v>
      </c>
      <c r="N183" s="157" t="n">
        <v>1.4539999999999997</v>
      </c>
      <c r="O183" s="94" t="n">
        <f t="shared" si="91"/>
        <v>0.90909090909090906</v>
      </c>
      <c r="P183" s="103" t="n">
        <f t="shared" si="92"/>
        <v>9.0909090909090912E-2</v>
      </c>
      <c r="Q183" s="172" t="n">
        <v>0.1</v>
      </c>
      <c r="R183" s="134"/>
      <c r="S183" s="89"/>
      <c r="T183" s="130"/>
      <c r="U183" s="166"/>
      <c r="V183" s="166"/>
      <c r="W183" s="21"/>
      <c r="X183" s="21"/>
      <c r="Y183" s="21"/>
      <c r="Z183" s="21"/>
      <c r="AA183" s="21"/>
      <c r="AB183" s="21"/>
      <c r="AC183" s="21"/>
      <c r="AD183" s="21"/>
      <c r="AE183" s="21"/>
      <c r="AF183" s="21"/>
      <c r="AG183" s="21"/>
      <c r="AH183" s="21"/>
      <c r="AI183" s="173" t="n">
        <v>1.4999999999999999E-2</v>
      </c>
      <c r="AJ183" s="71"/>
      <c r="AK183" s="67"/>
      <c r="AL183" s="121" t="n">
        <v>0.44</v>
      </c>
      <c r="AM183" s="173" t="n">
        <v>1.4999999999999999E-2</v>
      </c>
      <c r="AN183" s="153"/>
      <c r="AO183" s="153"/>
      <c r="AP183" s="153" t="n">
        <v>0.43812127659574457</v>
      </c>
      <c r="AQ183" s="121" t="n">
        <v>0.11534666666666667</v>
      </c>
      <c r="AR183" s="94"/>
      <c r="AS183" s="121" t="n">
        <v>0.72602958765444336</v>
      </c>
      <c r="AT183" s="59" t="n">
        <f t="shared" si="56"/>
        <v>0.17824592074592077</v>
      </c>
      <c r="AU183" s="87" t="n">
        <v>0.4400179319117839</v>
      </c>
      <c r="AV183" s="87" t="n">
        <v>0.28601165574265952</v>
      </c>
      <c r="AW183" s="5"/>
      <c r="AX183" s="107" t="n">
        <f t="shared" si="93"/>
        <v>1.4999999999999999E-2</v>
      </c>
      <c r="AY183" s="119" t="n">
        <v>8.8121212121212107</v>
      </c>
      <c r="AZ183" t="n">
        <v>0.7</v>
      </c>
      <c r="BQ183" s="110"/>
    </row>
    <row r="184">
      <c r="A184" s="44" t="s">
        <v>201</v>
      </c>
      <c r="B184" s="44" t="s">
        <v>200</v>
      </c>
      <c r="C184" s="44"/>
      <c r="D184" s="142" t="s">
        <v>149</v>
      </c>
      <c r="E184" s="142"/>
      <c r="F184" s="51" t="n">
        <v>0.54</v>
      </c>
      <c r="G184" s="3" t="n">
        <v>0.10010729546829951</v>
      </c>
      <c r="H184" s="87" t="n">
        <v>0.10800000000000001</v>
      </c>
      <c r="I184" s="44"/>
      <c r="J184" s="44"/>
      <c r="K184" s="166"/>
      <c r="L184" s="166"/>
      <c r="M184" s="166" t="n">
        <v>1.8978624000000004</v>
      </c>
      <c r="N184" s="157" t="n">
        <v>1.8978624000000004</v>
      </c>
      <c r="O184" s="94" t="n">
        <f t="shared" si="91"/>
        <v>0.90909090909090906</v>
      </c>
      <c r="P184" s="103" t="n">
        <f t="shared" si="92"/>
        <v>9.0909090909090912E-2</v>
      </c>
      <c r="Q184" s="172" t="n">
        <v>0.1</v>
      </c>
      <c r="R184" s="134"/>
      <c r="S184" s="89"/>
      <c r="T184" s="130"/>
      <c r="U184" s="166"/>
      <c r="V184" s="166"/>
      <c r="W184" s="21"/>
      <c r="X184" s="21"/>
      <c r="Y184" s="21"/>
      <c r="Z184" s="21"/>
      <c r="AA184" s="21"/>
      <c r="AB184" s="21"/>
      <c r="AC184" s="21"/>
      <c r="AD184" s="21"/>
      <c r="AE184" s="21"/>
      <c r="AF184" s="21"/>
      <c r="AG184" s="21"/>
      <c r="AH184" s="21"/>
      <c r="AI184" s="173" t="n">
        <v>1.4999999999999999E-2</v>
      </c>
      <c r="AJ184" s="71"/>
      <c r="AK184" s="67"/>
      <c r="AL184" s="121" t="n">
        <v>0.44</v>
      </c>
      <c r="AM184" s="173" t="n">
        <v>1.4999999999999999E-2</v>
      </c>
      <c r="AN184" s="153"/>
      <c r="AO184" s="153"/>
      <c r="AP184" s="153" t="n">
        <v>0.43812127659574457</v>
      </c>
      <c r="AQ184" s="121" t="n">
        <v>0.11534666666666667</v>
      </c>
      <c r="AR184" s="94"/>
      <c r="AS184" s="121" t="n">
        <v>0.72602958765444336</v>
      </c>
      <c r="AT184" s="59" t="n">
        <f t="shared" si="56"/>
        <v>0.17824592074592077</v>
      </c>
      <c r="AU184" s="87" t="n">
        <v>0.4400179319117839</v>
      </c>
      <c r="AV184" s="87" t="n">
        <v>0.28601165574265952</v>
      </c>
      <c r="AW184" s="5"/>
      <c r="AX184" s="107" t="n">
        <f t="shared" si="93"/>
        <v>1.4999999999999999E-2</v>
      </c>
      <c r="AY184" s="119" t="n">
        <v>17.572800000000001</v>
      </c>
      <c r="AZ184" t="n">
        <v>0.7</v>
      </c>
      <c r="BQ184" s="110"/>
    </row>
    <row r="185">
      <c r="A185" s="44"/>
      <c r="B185" s="44" t="s">
        <v>199</v>
      </c>
      <c r="C185" s="44"/>
      <c r="D185" s="142" t="s">
        <v>149</v>
      </c>
      <c r="E185" s="142"/>
      <c r="F185" s="51" t="n">
        <v>0.54</v>
      </c>
      <c r="G185" s="89" t="n">
        <v>0.11799999999999999</v>
      </c>
      <c r="H185" s="87" t="n">
        <v>0.11799999999999999</v>
      </c>
      <c r="I185" s="44"/>
      <c r="J185" s="44"/>
      <c r="K185" s="166"/>
      <c r="L185" s="166"/>
      <c r="M185" s="166" t="n">
        <v>0.995</v>
      </c>
      <c r="N185" s="157" t="n">
        <v>0.995</v>
      </c>
      <c r="O185" s="94" t="n">
        <f t="shared" si="91"/>
        <v>0.90909090909090906</v>
      </c>
      <c r="P185" s="103" t="n">
        <f t="shared" si="92"/>
        <v>9.0909090909090912E-2</v>
      </c>
      <c r="Q185" s="172" t="n">
        <v>0.1</v>
      </c>
      <c r="R185" s="134"/>
      <c r="S185" s="89"/>
      <c r="T185" s="130"/>
      <c r="U185" s="166"/>
      <c r="V185" s="166"/>
      <c r="W185" s="21"/>
      <c r="X185" s="21"/>
      <c r="Y185" s="21"/>
      <c r="Z185" s="21"/>
      <c r="AA185" s="21"/>
      <c r="AB185" s="21"/>
      <c r="AC185" s="21"/>
      <c r="AD185" s="21"/>
      <c r="AE185" s="21"/>
      <c r="AF185" s="21"/>
      <c r="AG185" s="21"/>
      <c r="AH185" s="21"/>
      <c r="AI185" s="173" t="n">
        <v>1.4999999999999999E-2</v>
      </c>
      <c r="AJ185" s="71"/>
      <c r="AK185" s="67"/>
      <c r="AL185" s="121" t="n">
        <v>0.44</v>
      </c>
      <c r="AM185" s="173" t="n">
        <v>1.4999999999999999E-2</v>
      </c>
      <c r="AN185" s="153"/>
      <c r="AO185" s="153"/>
      <c r="AP185" s="153" t="n">
        <v>0.43812127659574457</v>
      </c>
      <c r="AQ185" s="121" t="n">
        <v>0.11534666666666667</v>
      </c>
      <c r="AR185" s="94"/>
      <c r="AS185" s="121" t="n">
        <v>0.72602958765444336</v>
      </c>
      <c r="AT185" s="59" t="n">
        <f t="shared" si="56"/>
        <v>0.17824592074592077</v>
      </c>
      <c r="AU185" s="87" t="n">
        <v>0.4400179319117839</v>
      </c>
      <c r="AV185" s="87" t="n">
        <v>0.28601165574265952</v>
      </c>
      <c r="AW185" s="5"/>
      <c r="AX185" s="107" t="n">
        <f t="shared" si="93"/>
        <v>1.4999999999999999E-2</v>
      </c>
      <c r="AY185" s="119" t="n">
        <v>8.4322033898305087</v>
      </c>
      <c r="AZ185" t="n">
        <v>0.7</v>
      </c>
      <c r="BQ185" s="110"/>
    </row>
    <row r="186">
      <c r="A186" s="44" t="s">
        <v>198</v>
      </c>
      <c r="B186" s="44" t="s">
        <v>197</v>
      </c>
      <c r="C186" s="44"/>
      <c r="D186" s="142" t="s">
        <v>149</v>
      </c>
      <c r="E186" s="142"/>
      <c r="F186" s="51" t="n">
        <v>0.54</v>
      </c>
      <c r="G186" s="3" t="n">
        <v>0.1</v>
      </c>
      <c r="H186" s="87" t="n">
        <v>0.126</v>
      </c>
      <c r="I186" s="44"/>
      <c r="J186" s="44"/>
      <c r="K186" s="166"/>
      <c r="L186" s="166"/>
      <c r="M186" s="166" t="n">
        <v>1.526</v>
      </c>
      <c r="N186" s="157" t="n">
        <v>1.526</v>
      </c>
      <c r="O186" s="94" t="n">
        <f t="shared" si="91"/>
        <v>0.90909090909090906</v>
      </c>
      <c r="P186" s="103" t="n">
        <f t="shared" si="92"/>
        <v>9.0909090909090912E-2</v>
      </c>
      <c r="Q186" s="172" t="n">
        <v>0.1</v>
      </c>
      <c r="R186" s="134"/>
      <c r="S186" s="89"/>
      <c r="T186" s="130"/>
      <c r="U186" s="166"/>
      <c r="V186" s="166"/>
      <c r="W186" s="21"/>
      <c r="X186" s="21"/>
      <c r="Y186" s="21"/>
      <c r="Z186" s="21"/>
      <c r="AA186" s="21"/>
      <c r="AB186" s="21"/>
      <c r="AC186" s="21"/>
      <c r="AD186" s="21"/>
      <c r="AE186" s="21"/>
      <c r="AF186" s="21"/>
      <c r="AG186" s="21"/>
      <c r="AH186" s="21"/>
      <c r="AI186" s="173" t="n">
        <v>1.4999999999999999E-2</v>
      </c>
      <c r="AJ186" s="71"/>
      <c r="AK186" s="67"/>
      <c r="AL186" s="121" t="n">
        <v>0.44</v>
      </c>
      <c r="AM186" s="173" t="n">
        <v>1.4999999999999999E-2</v>
      </c>
      <c r="AN186" s="153"/>
      <c r="AO186" s="153"/>
      <c r="AP186" s="153" t="n">
        <v>0.43812127659574457</v>
      </c>
      <c r="AQ186" s="121" t="n">
        <v>0.11534666666666667</v>
      </c>
      <c r="AR186" s="94"/>
      <c r="AS186" s="121" t="n">
        <v>0.72602958765444336</v>
      </c>
      <c r="AT186" s="59" t="n">
        <f t="shared" si="56"/>
        <v>0.17824592074592077</v>
      </c>
      <c r="AU186" s="87" t="n">
        <v>0.4400179319117839</v>
      </c>
      <c r="AV186" s="87" t="n">
        <v>0.28601165574265952</v>
      </c>
      <c r="AW186" s="5"/>
      <c r="AX186" s="107" t="n">
        <f t="shared" si="93"/>
        <v>1.4999999999999999E-2</v>
      </c>
      <c r="AY186" s="119" t="n">
        <v>12.111111111111111</v>
      </c>
      <c r="AZ186" t="n">
        <v>0.7</v>
      </c>
      <c r="BQ186" s="110"/>
    </row>
    <row r="187">
      <c r="A187" s="44" t="s">
        <v>196</v>
      </c>
      <c r="B187" s="44" t="s">
        <v>195</v>
      </c>
      <c r="C187" s="44"/>
      <c r="D187" s="142" t="s">
        <v>149</v>
      </c>
      <c r="E187" s="131"/>
      <c r="F187" s="51" t="n">
        <v>0.54</v>
      </c>
      <c r="G187" s="3" t="n">
        <v>0.12624352746353737</v>
      </c>
      <c r="H187" s="87" t="n">
        <v>0.153</v>
      </c>
      <c r="I187" s="44"/>
      <c r="J187" s="44"/>
      <c r="K187" s="166"/>
      <c r="L187" s="166"/>
      <c r="M187" s="166" t="n">
        <v>2.6886384000000003</v>
      </c>
      <c r="N187" s="157" t="n">
        <v>2.6886384000000003</v>
      </c>
      <c r="O187" s="94" t="n">
        <f t="shared" si="91"/>
        <v>0.90909090909090906</v>
      </c>
      <c r="P187" s="103" t="n">
        <f t="shared" si="92"/>
        <v>9.0909090909090912E-2</v>
      </c>
      <c r="Q187" s="172" t="n">
        <v>0.1</v>
      </c>
      <c r="R187" s="134"/>
      <c r="S187" s="89"/>
      <c r="T187" s="130"/>
      <c r="U187" s="166"/>
      <c r="V187" s="166"/>
      <c r="W187" s="21"/>
      <c r="X187" s="21"/>
      <c r="Y187" s="21"/>
      <c r="Z187" s="21"/>
      <c r="AA187" s="21"/>
      <c r="AB187" s="21"/>
      <c r="AC187" s="21"/>
      <c r="AD187" s="21"/>
      <c r="AE187" s="21"/>
      <c r="AF187" s="21"/>
      <c r="AG187" s="21"/>
      <c r="AH187" s="21"/>
      <c r="AI187" s="173" t="n">
        <v>1.4999999999999999E-2</v>
      </c>
      <c r="AJ187" s="71"/>
      <c r="AK187" s="67"/>
      <c r="AL187" s="121" t="n">
        <v>0.44</v>
      </c>
      <c r="AM187" s="173" t="n">
        <v>1.4999999999999999E-2</v>
      </c>
      <c r="AN187" s="153"/>
      <c r="AO187" s="153"/>
      <c r="AP187" s="153" t="n">
        <v>0.43812127659574457</v>
      </c>
      <c r="AQ187" s="121" t="n">
        <v>0.11534666666666667</v>
      </c>
      <c r="AR187" s="94"/>
      <c r="AS187" s="121" t="n">
        <v>0.72602958765444336</v>
      </c>
      <c r="AT187" s="59" t="n">
        <f t="shared" si="56"/>
        <v>0.17824592074592077</v>
      </c>
      <c r="AU187" s="87" t="n">
        <v>0.4400179319117839</v>
      </c>
      <c r="AV187" s="87" t="n">
        <v>0.28601165574265952</v>
      </c>
      <c r="AW187" s="5"/>
      <c r="AX187" s="107" t="n">
        <f t="shared" si="93"/>
        <v>1.4999999999999999E-2</v>
      </c>
      <c r="AY187" s="119" t="n">
        <v>17.572800000000001</v>
      </c>
      <c r="AZ187" t="n">
        <v>0.7</v>
      </c>
      <c r="BQ187" s="110"/>
    </row>
    <row r="188">
      <c r="A188" s="44"/>
      <c r="B188" s="44" t="s">
        <v>194</v>
      </c>
      <c r="C188" s="44"/>
      <c r="D188" s="142" t="s">
        <v>149</v>
      </c>
      <c r="E188" s="142"/>
      <c r="F188" s="51" t="n">
        <v>0.54</v>
      </c>
      <c r="G188" s="89" t="n">
        <v>0.23439999999999994</v>
      </c>
      <c r="H188" s="87" t="n">
        <v>0.23439999999999994</v>
      </c>
      <c r="I188" s="44"/>
      <c r="J188" s="44"/>
      <c r="K188" s="166"/>
      <c r="L188" s="166"/>
      <c r="M188" s="166" t="n">
        <v>4.1190643199999997</v>
      </c>
      <c r="N188" s="157" t="n">
        <v>4.1190643199999997</v>
      </c>
      <c r="O188" s="94" t="n">
        <f t="shared" si="91"/>
        <v>0.90909090909090906</v>
      </c>
      <c r="P188" s="103" t="n">
        <f t="shared" si="92"/>
        <v>9.0909090909090912E-2</v>
      </c>
      <c r="Q188" s="172" t="n">
        <v>0.1</v>
      </c>
      <c r="R188" s="134"/>
      <c r="S188" s="89"/>
      <c r="T188" s="130"/>
      <c r="U188" s="166"/>
      <c r="V188" s="166"/>
      <c r="W188" s="21"/>
      <c r="X188" s="21"/>
      <c r="Y188" s="21"/>
      <c r="Z188" s="21"/>
      <c r="AA188" s="21"/>
      <c r="AB188" s="21"/>
      <c r="AC188" s="21"/>
      <c r="AD188" s="21"/>
      <c r="AE188" s="21"/>
      <c r="AF188" s="21"/>
      <c r="AG188" s="21"/>
      <c r="AH188" s="21"/>
      <c r="AI188" s="173" t="n">
        <v>1.4999999999999999E-2</v>
      </c>
      <c r="AJ188" s="71"/>
      <c r="AK188" s="67"/>
      <c r="AL188" s="121" t="n">
        <v>0.44</v>
      </c>
      <c r="AM188" s="173" t="n">
        <v>1.4999999999999999E-2</v>
      </c>
      <c r="AN188" s="153"/>
      <c r="AO188" s="153"/>
      <c r="AP188" s="153" t="n">
        <v>0.43812127659574457</v>
      </c>
      <c r="AQ188" s="121" t="n">
        <v>0.11534666666666667</v>
      </c>
      <c r="AR188" s="94"/>
      <c r="AS188" s="121" t="n">
        <v>0.72602958765444336</v>
      </c>
      <c r="AT188" s="59" t="n">
        <f t="shared" si="56"/>
        <v>0.17824592074592077</v>
      </c>
      <c r="AU188" s="87" t="n">
        <v>0.4400179319117839</v>
      </c>
      <c r="AV188" s="87" t="n">
        <v>0.28601165574265952</v>
      </c>
      <c r="AW188" s="5"/>
      <c r="AX188" s="107" t="n">
        <f t="shared" si="93"/>
        <v>1.4999999999999999E-2</v>
      </c>
      <c r="AY188" s="119" t="n">
        <v>17.572800000000004</v>
      </c>
      <c r="AZ188" t="n">
        <v>0.7</v>
      </c>
      <c r="BQ188" s="110"/>
    </row>
    <row r="189">
      <c r="A189" s="44"/>
      <c r="B189" s="44" t="s">
        <v>193</v>
      </c>
      <c r="C189" s="44"/>
      <c r="D189" s="142" t="s">
        <v>149</v>
      </c>
      <c r="E189" s="131"/>
      <c r="F189" s="51" t="n">
        <v>0.54</v>
      </c>
      <c r="G189" s="89" t="n">
        <v>0.248</v>
      </c>
      <c r="H189" s="87" t="n">
        <v>0.248</v>
      </c>
      <c r="I189" s="44"/>
      <c r="J189" s="44"/>
      <c r="K189" s="166"/>
      <c r="L189" s="166"/>
      <c r="M189" s="166" t="n">
        <v>4.3580544000000003</v>
      </c>
      <c r="N189" s="157" t="n">
        <v>4.3580544000000003</v>
      </c>
      <c r="O189" s="94" t="n">
        <f t="shared" si="91"/>
        <v>0.90909090909090906</v>
      </c>
      <c r="P189" s="103" t="n">
        <f t="shared" si="92"/>
        <v>9.0909090909090912E-2</v>
      </c>
      <c r="Q189" s="172" t="n">
        <v>0.1</v>
      </c>
      <c r="R189" s="134"/>
      <c r="S189" s="89"/>
      <c r="T189" s="130"/>
      <c r="U189" s="166"/>
      <c r="V189" s="166"/>
      <c r="W189" s="21"/>
      <c r="X189" s="21"/>
      <c r="Y189" s="21"/>
      <c r="Z189" s="21"/>
      <c r="AA189" s="21"/>
      <c r="AB189" s="21"/>
      <c r="AC189" s="21"/>
      <c r="AD189" s="21"/>
      <c r="AE189" s="21"/>
      <c r="AF189" s="21"/>
      <c r="AG189" s="21"/>
      <c r="AH189" s="21"/>
      <c r="AI189" s="153" t="n">
        <v>1.79712E-2</v>
      </c>
      <c r="AJ189" s="71" t="n">
        <v>2.5999999999999999E-3</v>
      </c>
      <c r="AK189" s="67"/>
      <c r="AL189" s="121" t="n">
        <v>0.44</v>
      </c>
      <c r="AM189" s="173" t="n">
        <f>AI189</f>
        <v>1.79712E-2</v>
      </c>
      <c r="AN189" s="153"/>
      <c r="AO189" s="153"/>
      <c r="AP189" s="153" t="n">
        <v>0.43812127659574457</v>
      </c>
      <c r="AQ189" s="121" t="n">
        <v>0.11534666666666667</v>
      </c>
      <c r="AR189" s="94"/>
      <c r="AS189" s="121" t="n">
        <v>0.72602958765444336</v>
      </c>
      <c r="AT189" s="59" t="n">
        <f t="shared" si="56"/>
        <v>0.17824592074592077</v>
      </c>
      <c r="AU189" s="87" t="n">
        <v>0.4400179319117839</v>
      </c>
      <c r="AV189" s="87" t="n">
        <v>0.28601165574265952</v>
      </c>
      <c r="AW189" s="5"/>
      <c r="AX189" s="107" t="n">
        <f t="shared" si="93"/>
        <v>1.79712E-2</v>
      </c>
      <c r="AY189" s="119" t="n">
        <v>17.572800000000001</v>
      </c>
      <c r="AZ189" t="n">
        <v>0.7</v>
      </c>
      <c r="BQ189" s="110"/>
    </row>
    <row r="190">
      <c r="A190" s="44"/>
      <c r="B190" s="44" t="s">
        <v>192</v>
      </c>
      <c r="C190" s="44"/>
      <c r="D190" s="142" t="s">
        <v>149</v>
      </c>
      <c r="E190" s="142" t="n">
        <v>1101</v>
      </c>
      <c r="F190" s="51" t="n">
        <v>0.8</v>
      </c>
      <c r="G190" s="89" t="n">
        <v>0.23899999999999999</v>
      </c>
      <c r="H190" s="87" t="n">
        <v>0.23899999999999999</v>
      </c>
      <c r="I190" s="44"/>
      <c r="J190" s="44"/>
      <c r="K190" s="166"/>
      <c r="L190" s="166"/>
      <c r="M190" s="166" t="n">
        <v>4.1998991999999999</v>
      </c>
      <c r="N190" s="157" t="n">
        <v>4.1998991999999999</v>
      </c>
      <c r="O190" s="94" t="n">
        <f t="shared" si="91"/>
        <v>0.90909090909090906</v>
      </c>
      <c r="P190" s="103" t="n">
        <f t="shared" si="92"/>
        <v>9.0909090909090912E-2</v>
      </c>
      <c r="Q190" s="172" t="n">
        <v>0.1</v>
      </c>
      <c r="R190" s="134"/>
      <c r="S190" s="89"/>
      <c r="T190" s="130"/>
      <c r="U190" s="166"/>
      <c r="V190" s="166"/>
      <c r="W190" s="21"/>
      <c r="X190" s="21"/>
      <c r="Y190" s="21"/>
      <c r="Z190" s="21"/>
      <c r="AA190" s="21"/>
      <c r="AB190" s="21"/>
      <c r="AC190" s="21"/>
      <c r="AD190" s="21"/>
      <c r="AE190" s="21"/>
      <c r="AF190" s="21"/>
      <c r="AG190" s="21"/>
      <c r="AH190" s="21"/>
      <c r="AI190" s="121" t="n">
        <v>2.0639999999999999E-2</v>
      </c>
      <c r="AJ190" s="100" t="n">
        <v>4.4000000000000003E-3</v>
      </c>
      <c r="AK190" s="67"/>
      <c r="AL190" s="121" t="n">
        <v>0.44</v>
      </c>
      <c r="AM190" s="175" t="n">
        <v>2.0639999999999999E-2</v>
      </c>
      <c r="AN190" s="153"/>
      <c r="AO190" s="153"/>
      <c r="AP190" s="153" t="n">
        <v>0.43812127659574457</v>
      </c>
      <c r="AQ190" s="121" t="n">
        <v>0.11534666666666667</v>
      </c>
      <c r="AR190" s="94"/>
      <c r="AS190" s="121" t="n">
        <v>0.72602958765444336</v>
      </c>
      <c r="AT190" s="59" t="n">
        <f t="shared" si="56"/>
        <v>0.17824592074592077</v>
      </c>
      <c r="AU190" s="87" t="n">
        <v>0.4400179319117839</v>
      </c>
      <c r="AV190" s="87" t="n">
        <v>0.28601165574265952</v>
      </c>
      <c r="AW190" s="5"/>
      <c r="AX190" s="107" t="n">
        <f t="shared" si="93"/>
        <v>2.0639999999999999E-2</v>
      </c>
      <c r="AY190" s="119" t="n">
        <v>17.572800000000001</v>
      </c>
      <c r="AZ190" t="n">
        <v>0.7</v>
      </c>
      <c r="BQ190" s="110"/>
    </row>
    <row r="191">
      <c r="A191" s="44"/>
      <c r="B191" s="44" t="s">
        <v>523</v>
      </c>
      <c r="C191" s="44"/>
      <c r="D191" s="142" t="s">
        <v>149</v>
      </c>
      <c r="E191" s="142" t="n">
        <v>3340</v>
      </c>
      <c r="F191" s="51" t="n">
        <v>0.51353538927310349</v>
      </c>
      <c r="G191" s="89" t="n">
        <v>0.22700000000000001</v>
      </c>
      <c r="H191" s="87" t="n">
        <v>0.22700000000000001</v>
      </c>
      <c r="I191" s="44"/>
      <c r="J191" s="44"/>
      <c r="K191" s="166"/>
      <c r="L191" s="166"/>
      <c r="M191" s="166" t="n">
        <v>3.9890255999999997</v>
      </c>
      <c r="N191" s="157" t="n">
        <v>3.9890255999999997</v>
      </c>
      <c r="O191" s="94" t="n">
        <f t="shared" si="91"/>
        <v>0.90909090909090906</v>
      </c>
      <c r="P191" s="103" t="n">
        <f t="shared" si="92"/>
        <v>9.0909090909090912E-2</v>
      </c>
      <c r="Q191" s="172" t="n">
        <v>0.1</v>
      </c>
      <c r="R191" s="134"/>
      <c r="S191" s="89"/>
      <c r="T191" s="130"/>
      <c r="U191" s="166"/>
      <c r="V191" s="166"/>
      <c r="W191" s="21"/>
      <c r="X191" s="21"/>
      <c r="Y191" s="21"/>
      <c r="Z191" s="21"/>
      <c r="AA191" s="21"/>
      <c r="AB191" s="21"/>
      <c r="AC191" s="21"/>
      <c r="AD191" s="21"/>
      <c r="AE191" s="21"/>
      <c r="AF191" s="21"/>
      <c r="AG191" s="21"/>
      <c r="AH191" s="21"/>
      <c r="AI191" s="153" t="n">
        <v>2.0639999999999999E-2</v>
      </c>
      <c r="AJ191" s="71" t="n">
        <v>4.4000000000000003E-3</v>
      </c>
      <c r="AK191" s="67"/>
      <c r="AL191" s="121" t="n">
        <v>0.44</v>
      </c>
      <c r="AM191" s="173" t="n">
        <f>AI191</f>
        <v>2.0639999999999999E-2</v>
      </c>
      <c r="AN191" s="153"/>
      <c r="AO191" s="153"/>
      <c r="AP191" s="153" t="n">
        <v>0.42785000000000001</v>
      </c>
      <c r="AQ191" s="121" t="n">
        <v>0.11534666666666667</v>
      </c>
      <c r="AR191" s="94"/>
      <c r="AS191" s="121" t="n">
        <v>0.75570000000000004</v>
      </c>
      <c r="AT191" s="59" t="n">
        <f t="shared" si="56"/>
        <v>0.17824592074592077</v>
      </c>
      <c r="AU191" s="87" t="n">
        <v>0.45800000000000002</v>
      </c>
      <c r="AV191" s="87" t="n">
        <v>0.29770000000000002</v>
      </c>
      <c r="AW191" s="5"/>
      <c r="AX191" s="107" t="n">
        <f t="shared" si="93"/>
        <v>2.0639999999999999E-2</v>
      </c>
      <c r="AY191" s="119" t="n">
        <v>17.572799999999997</v>
      </c>
      <c r="AZ191" t="n">
        <v>0.7</v>
      </c>
      <c r="BQ191" s="110"/>
    </row>
    <row r="192">
      <c r="A192" s="44"/>
      <c r="B192" s="44" t="s">
        <v>190</v>
      </c>
      <c r="C192" s="44"/>
      <c r="D192" s="142" t="s">
        <v>149</v>
      </c>
      <c r="E192" s="131"/>
      <c r="F192" s="51" t="n">
        <f>F193</f>
        <v>0.4</v>
      </c>
      <c r="G192" s="3" t="n">
        <v>0.20492973272018955</v>
      </c>
      <c r="H192" s="87" t="n">
        <v>0.28000000000000003</v>
      </c>
      <c r="I192" s="44"/>
      <c r="J192" s="44"/>
      <c r="K192" s="166"/>
      <c r="L192" s="166"/>
      <c r="M192" s="166" t="n">
        <v>4.9203840000000003</v>
      </c>
      <c r="N192" s="157" t="n">
        <v>4.9203840000000003</v>
      </c>
      <c r="O192" s="94" t="n">
        <f t="shared" si="91"/>
        <v>0.90909090909090906</v>
      </c>
      <c r="P192" s="103" t="n">
        <f t="shared" si="92"/>
        <v>9.0909090909090912E-2</v>
      </c>
      <c r="Q192" s="172" t="n">
        <v>0.1</v>
      </c>
      <c r="R192" s="134"/>
      <c r="S192" s="89"/>
      <c r="T192" s="130"/>
      <c r="U192" s="166"/>
      <c r="V192" s="166"/>
      <c r="W192" s="21"/>
      <c r="X192" s="21"/>
      <c r="Y192" s="21"/>
      <c r="Z192" s="21"/>
      <c r="AA192" s="21"/>
      <c r="AB192" s="21"/>
      <c r="AC192" s="21"/>
      <c r="AD192" s="21"/>
      <c r="AE192" s="21"/>
      <c r="AF192" s="21"/>
      <c r="AG192" s="21"/>
      <c r="AH192" s="21"/>
      <c r="AI192" s="121" t="n">
        <v>3.0899001109877908E-2</v>
      </c>
      <c r="AJ192" s="100" t="n">
        <v>2.8856825749167588E-3</v>
      </c>
      <c r="AK192" s="66" t="n">
        <v>2.6082130965593784E-2</v>
      </c>
      <c r="AL192" s="121" t="n">
        <v>0.44</v>
      </c>
      <c r="AM192" s="175" t="n">
        <f>AM193</f>
        <v>3.0899001109877908E-2</v>
      </c>
      <c r="AN192" s="153"/>
      <c r="AO192" s="153"/>
      <c r="AP192" s="153" t="n">
        <v>0.43812127659574457</v>
      </c>
      <c r="AQ192" s="121" t="n">
        <v>0.11534666666666667</v>
      </c>
      <c r="AR192" s="94"/>
      <c r="AS192" s="121" t="n">
        <v>0.72602958765444336</v>
      </c>
      <c r="AT192" s="59" t="n">
        <f t="shared" si="56"/>
        <v>0.17824592074592077</v>
      </c>
      <c r="AU192" s="87" t="n">
        <v>0.4400179319117839</v>
      </c>
      <c r="AV192" s="87" t="n">
        <v>0.28601165574265952</v>
      </c>
      <c r="AW192" s="5"/>
      <c r="AX192" s="107" t="n">
        <f t="shared" si="93"/>
        <v>3.0899001109877908E-2</v>
      </c>
      <c r="AY192" s="119" t="n">
        <v>17.572800000000001</v>
      </c>
      <c r="AZ192" t="n">
        <v>0.7</v>
      </c>
      <c r="BQ192" s="110"/>
    </row>
    <row r="193">
      <c r="A193" s="44" t="s">
        <v>189</v>
      </c>
      <c r="B193" s="44" t="s">
        <v>188</v>
      </c>
      <c r="C193" s="44"/>
      <c r="D193" s="142" t="s">
        <v>149</v>
      </c>
      <c r="E193" s="142" t="n">
        <v>2010.6314285714286</v>
      </c>
      <c r="F193" s="51" t="n">
        <v>0.4</v>
      </c>
      <c r="G193" s="3" t="n">
        <v>0.20492973272018955</v>
      </c>
      <c r="H193" s="87" t="n">
        <v>0.28000000000000003</v>
      </c>
      <c r="I193" s="44"/>
      <c r="J193" s="44"/>
      <c r="K193" s="166"/>
      <c r="L193" s="166"/>
      <c r="M193" s="166" t="n">
        <v>4.9203840000000003</v>
      </c>
      <c r="N193" s="157" t="n">
        <v>4.9203840000000003</v>
      </c>
      <c r="O193" s="94" t="n">
        <f t="shared" si="91"/>
        <v>0.90909090909090906</v>
      </c>
      <c r="P193" s="103" t="n">
        <f t="shared" si="92"/>
        <v>9.0909090909090912E-2</v>
      </c>
      <c r="Q193" s="172" t="n">
        <v>0.1</v>
      </c>
      <c r="R193" s="134"/>
      <c r="S193" s="89"/>
      <c r="T193" s="130"/>
      <c r="U193" s="166"/>
      <c r="V193" s="166"/>
      <c r="W193" s="21"/>
      <c r="X193" s="21"/>
      <c r="Y193" s="21"/>
      <c r="Z193" s="21"/>
      <c r="AA193" s="21"/>
      <c r="AB193" s="21"/>
      <c r="AC193" s="21"/>
      <c r="AD193" s="21"/>
      <c r="AE193" s="21"/>
      <c r="AF193" s="21"/>
      <c r="AG193" s="21"/>
      <c r="AH193" s="21"/>
      <c r="AI193" s="153" t="n">
        <v>3.0899001109877908E-2</v>
      </c>
      <c r="AJ193" s="71" t="n">
        <v>2.8856825749167588E-3</v>
      </c>
      <c r="AK193" s="67" t="n">
        <v>2.6082130965593784E-2</v>
      </c>
      <c r="AL193" s="153" t="n">
        <v>0.44</v>
      </c>
      <c r="AM193" s="173" t="n">
        <f>AI193</f>
        <v>3.0899001109877908E-2</v>
      </c>
      <c r="AN193" s="153"/>
      <c r="AO193" s="153"/>
      <c r="AP193" s="153" t="n">
        <v>0.45135714285714279</v>
      </c>
      <c r="AQ193" s="121" t="n">
        <v>0.11534666666666667</v>
      </c>
      <c r="AR193" s="94"/>
      <c r="AS193" s="121" t="n">
        <v>0.71445000000000003</v>
      </c>
      <c r="AT193" s="59" t="n">
        <f t="shared" si="56"/>
        <v>0.17824592074592077</v>
      </c>
      <c r="AU193" s="87" t="n">
        <v>0.433</v>
      </c>
      <c r="AV193" s="87" t="n">
        <v>0.28145000000000003</v>
      </c>
      <c r="AW193" s="5"/>
      <c r="AX193" s="107" t="n">
        <f t="shared" si="93"/>
        <v>3.0899001109877908E-2</v>
      </c>
      <c r="AY193" s="119" t="n">
        <v>17.572800000000001</v>
      </c>
      <c r="AZ193" t="n">
        <v>0.7</v>
      </c>
      <c r="BQ193" s="110"/>
    </row>
    <row r="194">
      <c r="A194" s="44" t="s">
        <v>187</v>
      </c>
      <c r="B194" s="44" t="s">
        <v>186</v>
      </c>
      <c r="C194" s="44"/>
      <c r="D194" s="142" t="s">
        <v>149</v>
      </c>
      <c r="E194" s="131"/>
      <c r="F194" s="51" t="n">
        <v>0.4</v>
      </c>
      <c r="G194" s="3" t="n">
        <v>0.22929860961515586</v>
      </c>
      <c r="H194" s="87" t="n">
        <v>0.20200000000000001</v>
      </c>
      <c r="I194" s="44"/>
      <c r="J194" s="44"/>
      <c r="K194" s="166"/>
      <c r="L194" s="166"/>
      <c r="M194" s="166" t="n">
        <v>3.5497056000000011</v>
      </c>
      <c r="N194" s="157" t="n">
        <v>3.5497056000000011</v>
      </c>
      <c r="O194" s="94" t="n">
        <f t="shared" si="91"/>
        <v>0.90909090909090906</v>
      </c>
      <c r="P194" s="103" t="n">
        <f t="shared" si="92"/>
        <v>9.0909090909090912E-2</v>
      </c>
      <c r="Q194" s="172" t="n">
        <v>0.1</v>
      </c>
      <c r="R194" s="134"/>
      <c r="S194" s="89"/>
      <c r="T194" s="130"/>
      <c r="U194" s="166"/>
      <c r="V194" s="166"/>
      <c r="W194" s="21"/>
      <c r="X194" s="21"/>
      <c r="Y194" s="21"/>
      <c r="Z194" s="21"/>
      <c r="AA194" s="21"/>
      <c r="AB194" s="21"/>
      <c r="AC194" s="21"/>
      <c r="AD194" s="21"/>
      <c r="AE194" s="21"/>
      <c r="AF194" s="21"/>
      <c r="AG194" s="21"/>
      <c r="AH194" s="21"/>
      <c r="AI194" s="173" t="n">
        <v>2.7E-2</v>
      </c>
      <c r="AJ194" s="71"/>
      <c r="AK194" s="67"/>
      <c r="AL194" s="121" t="n">
        <v>0.44</v>
      </c>
      <c r="AM194" s="173" t="n">
        <v>2.7E-2</v>
      </c>
      <c r="AN194" s="153"/>
      <c r="AO194" s="153"/>
      <c r="AP194" s="153" t="n">
        <v>0.43812127659574457</v>
      </c>
      <c r="AQ194" s="121" t="n">
        <v>0.11534666666666667</v>
      </c>
      <c r="AR194" s="94"/>
      <c r="AS194" s="121" t="n">
        <v>0.72602958765444336</v>
      </c>
      <c r="AT194" s="59" t="n">
        <f t="shared" si="56"/>
        <v>0.17824592074592077</v>
      </c>
      <c r="AU194" s="87" t="n">
        <v>0.4400179319117839</v>
      </c>
      <c r="AV194" s="87" t="n">
        <v>0.28601165574265952</v>
      </c>
      <c r="AW194" s="5"/>
      <c r="AX194" s="107" t="n">
        <f t="shared" si="93"/>
        <v>2.7E-2</v>
      </c>
      <c r="AY194" s="119" t="n">
        <v>17.572800000000004</v>
      </c>
      <c r="AZ194" t="n">
        <v>0.7</v>
      </c>
      <c r="BQ194" s="110"/>
    </row>
    <row r="195">
      <c r="A195" s="44"/>
      <c r="B195" s="44" t="s">
        <v>185</v>
      </c>
      <c r="C195" s="44"/>
      <c r="D195" s="142" t="s">
        <v>149</v>
      </c>
      <c r="E195" s="131"/>
      <c r="F195" s="51" t="n">
        <v>0.4</v>
      </c>
      <c r="G195" s="89" t="n">
        <v>0.182</v>
      </c>
      <c r="H195" s="87" t="n">
        <v>0.182</v>
      </c>
      <c r="I195" s="44"/>
      <c r="J195" s="44"/>
      <c r="K195" s="166"/>
      <c r="L195" s="166"/>
      <c r="M195" s="166" t="n">
        <v>3.1982495999999996</v>
      </c>
      <c r="N195" s="157" t="n">
        <v>3.1982495999999996</v>
      </c>
      <c r="O195" s="94" t="n">
        <f t="shared" si="91"/>
        <v>0.90909090909090906</v>
      </c>
      <c r="P195" s="103" t="n">
        <f t="shared" si="92"/>
        <v>9.0909090909090912E-2</v>
      </c>
      <c r="Q195" s="172" t="n">
        <v>0.1</v>
      </c>
      <c r="R195" s="134"/>
      <c r="S195" s="89"/>
      <c r="T195" s="130"/>
      <c r="U195" s="166"/>
      <c r="V195" s="166"/>
      <c r="W195" s="21"/>
      <c r="X195" s="21"/>
      <c r="Y195" s="21"/>
      <c r="Z195" s="21"/>
      <c r="AA195" s="21"/>
      <c r="AB195" s="21"/>
      <c r="AC195" s="21"/>
      <c r="AD195" s="21"/>
      <c r="AE195" s="21"/>
      <c r="AF195" s="21"/>
      <c r="AG195" s="21"/>
      <c r="AH195" s="21"/>
      <c r="AI195" s="173" t="n">
        <v>2.7E-2</v>
      </c>
      <c r="AJ195" s="71"/>
      <c r="AK195" s="67"/>
      <c r="AL195" s="121" t="n">
        <v>0.44</v>
      </c>
      <c r="AM195" s="173" t="n">
        <v>2.7E-2</v>
      </c>
      <c r="AN195" s="153"/>
      <c r="AO195" s="153"/>
      <c r="AP195" s="153" t="n">
        <v>0.43812127659574457</v>
      </c>
      <c r="AQ195" s="121" t="n">
        <v>0.11534666666666667</v>
      </c>
      <c r="AR195" s="94"/>
      <c r="AS195" s="121" t="n">
        <v>0.76560000000000006</v>
      </c>
      <c r="AT195" s="59" t="n">
        <f t="shared" ref="AT195:AT226" si="94">$AT$228</f>
        <v>0.17824592074592077</v>
      </c>
      <c r="AU195" s="87" t="n">
        <v>0.46400000000000002</v>
      </c>
      <c r="AV195" s="87" t="n">
        <v>0.30160000000000003</v>
      </c>
      <c r="AW195" s="5"/>
      <c r="AX195" s="107" t="n">
        <f t="shared" si="93"/>
        <v>2.7E-2</v>
      </c>
      <c r="AY195" s="119" t="n">
        <v>17.572799999999997</v>
      </c>
      <c r="AZ195" t="n">
        <v>0.7</v>
      </c>
      <c r="BQ195" s="110"/>
    </row>
    <row r="196">
      <c r="A196" s="44"/>
      <c r="B196" s="44" t="s">
        <v>184</v>
      </c>
      <c r="C196" s="44"/>
      <c r="D196" s="142" t="s">
        <v>149</v>
      </c>
      <c r="E196" s="142" t="n">
        <v>2386</v>
      </c>
      <c r="F196" s="51" t="n">
        <f>VLOOKUP($B196,'[1]A1.2 Roots'!$B$3:$E$46,4,0)</f>
        <v>0.84854807969815627</v>
      </c>
      <c r="G196" s="3" t="n">
        <v>0.29165848043341702</v>
      </c>
      <c r="H196" s="87" t="n">
        <v>0.19400000000000001</v>
      </c>
      <c r="I196" s="44"/>
      <c r="J196" s="44"/>
      <c r="K196" s="166"/>
      <c r="L196" s="166"/>
      <c r="M196" s="166" t="n">
        <v>3.4091232000000002</v>
      </c>
      <c r="N196" s="157" t="n">
        <v>3.4091232000000002</v>
      </c>
      <c r="O196" s="94" t="n">
        <f t="shared" si="91"/>
        <v>0.90909090909090906</v>
      </c>
      <c r="P196" s="103" t="n">
        <f t="shared" si="92"/>
        <v>9.0909090909090912E-2</v>
      </c>
      <c r="Q196" s="172" t="n">
        <v>0.1</v>
      </c>
      <c r="R196" s="134"/>
      <c r="S196" s="89"/>
      <c r="T196" s="130"/>
      <c r="U196" s="166"/>
      <c r="V196" s="166"/>
      <c r="W196" s="21"/>
      <c r="X196" s="21"/>
      <c r="Y196" s="21"/>
      <c r="Z196" s="21"/>
      <c r="AA196" s="21"/>
      <c r="AB196" s="21"/>
      <c r="AC196" s="21"/>
      <c r="AD196" s="21"/>
      <c r="AE196" s="21"/>
      <c r="AF196" s="21"/>
      <c r="AG196" s="21"/>
      <c r="AH196" s="21"/>
      <c r="AI196" s="173" t="n">
        <v>2.7E-2</v>
      </c>
      <c r="AJ196" s="71"/>
      <c r="AK196" s="67"/>
      <c r="AL196" s="121" t="n">
        <v>0.44</v>
      </c>
      <c r="AM196" s="173" t="n">
        <v>2.7E-2</v>
      </c>
      <c r="AN196" s="153"/>
      <c r="AO196" s="153"/>
      <c r="AP196" s="153" t="n">
        <v>0.43812127659574457</v>
      </c>
      <c r="AQ196" s="121" t="n">
        <v>0.11534666666666667</v>
      </c>
      <c r="AR196" s="94"/>
      <c r="AS196" s="121" t="n">
        <v>0.72602958765444336</v>
      </c>
      <c r="AT196" s="59" t="n">
        <f t="shared" si="94"/>
        <v>0.17824592074592077</v>
      </c>
      <c r="AU196" s="87" t="n">
        <v>0.4400179319117839</v>
      </c>
      <c r="AV196" s="87" t="n">
        <v>0.28601165574265952</v>
      </c>
      <c r="AW196" s="5"/>
      <c r="AX196" s="107" t="n">
        <f t="shared" si="93"/>
        <v>2.7E-2</v>
      </c>
      <c r="AY196" s="119" t="n">
        <v>17.572800000000001</v>
      </c>
      <c r="AZ196" t="n">
        <v>0.7</v>
      </c>
      <c r="BQ196" s="110"/>
    </row>
    <row r="197">
      <c r="A197" s="44" t="s">
        <v>183</v>
      </c>
      <c r="B197" s="44" t="s">
        <v>182</v>
      </c>
      <c r="C197" s="44"/>
      <c r="D197" s="142" t="s">
        <v>149</v>
      </c>
      <c r="E197" s="131"/>
      <c r="F197" s="51" t="n">
        <v>0.54</v>
      </c>
      <c r="G197" s="3" t="n">
        <v>0.17576873173977034</v>
      </c>
      <c r="H197" s="87" t="n">
        <v>0.20200000000000001</v>
      </c>
      <c r="I197" s="44"/>
      <c r="J197" s="44"/>
      <c r="K197" s="166"/>
      <c r="L197" s="166"/>
      <c r="M197" s="166" t="n">
        <v>3.5497056000000011</v>
      </c>
      <c r="N197" s="157" t="n">
        <v>3.5497056000000011</v>
      </c>
      <c r="O197" s="94" t="n">
        <f t="shared" si="91"/>
        <v>0.90909090909090906</v>
      </c>
      <c r="P197" s="103" t="n">
        <f t="shared" si="92"/>
        <v>9.0909090909090912E-2</v>
      </c>
      <c r="Q197" s="172" t="n">
        <v>0.1</v>
      </c>
      <c r="R197" s="134"/>
      <c r="S197" s="89"/>
      <c r="T197" s="130"/>
      <c r="U197" s="166"/>
      <c r="V197" s="166"/>
      <c r="W197" s="21"/>
      <c r="X197" s="21"/>
      <c r="Y197" s="21"/>
      <c r="Z197" s="21"/>
      <c r="AA197" s="21"/>
      <c r="AB197" s="21"/>
      <c r="AC197" s="21"/>
      <c r="AD197" s="21"/>
      <c r="AE197" s="21"/>
      <c r="AF197" s="21"/>
      <c r="AG197" s="21"/>
      <c r="AH197" s="21"/>
      <c r="AI197" s="153" t="n">
        <v>1.4355200000000002E-2</v>
      </c>
      <c r="AJ197" s="100" t="n">
        <v>6.0999999999999995E-3</v>
      </c>
      <c r="AK197" s="67"/>
      <c r="AL197" s="121" t="n">
        <v>0.44</v>
      </c>
      <c r="AM197" s="173" t="n">
        <v>2.7E-2</v>
      </c>
      <c r="AN197" s="153"/>
      <c r="AO197" s="153"/>
      <c r="AP197" s="153" t="n">
        <v>0.39439999999999997</v>
      </c>
      <c r="AQ197" s="121" t="n">
        <v>0.11534666666666667</v>
      </c>
      <c r="AR197" s="94"/>
      <c r="AS197" s="121" t="n">
        <v>0.72602958765444336</v>
      </c>
      <c r="AT197" s="59" t="n">
        <f t="shared" si="94"/>
        <v>0.17824592074592077</v>
      </c>
      <c r="AU197" s="87" t="n">
        <v>0.4400179319117839</v>
      </c>
      <c r="AV197" s="87" t="n">
        <v>0.28601165574265952</v>
      </c>
      <c r="AW197" s="5"/>
      <c r="AX197" s="107" t="n">
        <f t="shared" si="93"/>
        <v>1.4355200000000002E-2</v>
      </c>
      <c r="AY197" s="119" t="n">
        <v>17.572800000000004</v>
      </c>
      <c r="AZ197" t="n">
        <v>0.7</v>
      </c>
      <c r="BQ197" s="110"/>
    </row>
    <row r="198">
      <c r="A198" s="44"/>
      <c r="B198" s="44" t="s">
        <v>181</v>
      </c>
      <c r="C198" s="44"/>
      <c r="D198" s="142" t="s">
        <v>149</v>
      </c>
      <c r="E198" s="131"/>
      <c r="F198" s="51" t="n">
        <v>0.4</v>
      </c>
      <c r="G198" s="89" t="n">
        <v>0.215</v>
      </c>
      <c r="H198" s="87" t="n">
        <v>0.215</v>
      </c>
      <c r="I198" s="44"/>
      <c r="J198" s="44"/>
      <c r="K198" s="166"/>
      <c r="L198" s="166"/>
      <c r="M198" s="166" t="n">
        <v>3.778152</v>
      </c>
      <c r="N198" s="157" t="n">
        <v>3.778152</v>
      </c>
      <c r="O198" s="94" t="n">
        <f t="shared" si="91"/>
        <v>0.90909090909090906</v>
      </c>
      <c r="P198" s="103" t="n">
        <f t="shared" si="92"/>
        <v>9.0909090909090912E-2</v>
      </c>
      <c r="Q198" s="172" t="n">
        <v>0.1</v>
      </c>
      <c r="R198" s="134"/>
      <c r="S198" s="89"/>
      <c r="T198" s="130"/>
      <c r="U198" s="166"/>
      <c r="V198" s="166"/>
      <c r="W198" s="21"/>
      <c r="X198" s="21"/>
      <c r="Y198" s="21"/>
      <c r="Z198" s="21"/>
      <c r="AA198" s="21"/>
      <c r="AB198" s="21"/>
      <c r="AC198" s="21"/>
      <c r="AD198" s="21"/>
      <c r="AE198" s="21"/>
      <c r="AF198" s="21"/>
      <c r="AG198" s="21"/>
      <c r="AH198" s="21"/>
      <c r="AI198" s="173" t="n">
        <v>2.7E-2</v>
      </c>
      <c r="AJ198" s="71"/>
      <c r="AK198" s="67"/>
      <c r="AL198" s="153" t="n">
        <v>0.44</v>
      </c>
      <c r="AM198" s="173" t="n">
        <v>2.7E-2</v>
      </c>
      <c r="AN198" s="153"/>
      <c r="AO198" s="153"/>
      <c r="AP198" s="153" t="n">
        <v>0.43812127659574457</v>
      </c>
      <c r="AQ198" s="121" t="n">
        <v>0.11534666666666667</v>
      </c>
      <c r="AR198" s="94"/>
      <c r="AS198" s="121" t="n">
        <v>0.72602958765444336</v>
      </c>
      <c r="AT198" s="59" t="n">
        <f t="shared" si="94"/>
        <v>0.17824592074592077</v>
      </c>
      <c r="AU198" s="87" t="n">
        <v>0.4400179319117839</v>
      </c>
      <c r="AV198" s="87" t="n">
        <v>0.28601165574265952</v>
      </c>
      <c r="AW198" s="5"/>
      <c r="AX198" s="107" t="n">
        <f t="shared" si="93"/>
        <v>2.7E-2</v>
      </c>
      <c r="AY198" s="119" t="n">
        <v>17.572800000000001</v>
      </c>
      <c r="AZ198" t="n">
        <v>0.7</v>
      </c>
      <c r="BQ198" s="110"/>
    </row>
    <row r="199">
      <c r="A199" s="44" t="s">
        <v>180</v>
      </c>
      <c r="B199" s="44" t="s">
        <v>179</v>
      </c>
      <c r="C199" s="44"/>
      <c r="D199" s="142" t="s">
        <v>149</v>
      </c>
      <c r="E199" s="142" t="n">
        <v>1441.8999999999999</v>
      </c>
      <c r="F199" s="51" t="n">
        <f>VLOOKUP($B199,'[1]A1.2 Roots'!$B$3:$E$46,4,0)</f>
        <v>0.55799668177426676</v>
      </c>
      <c r="G199" s="3" t="n">
        <v>0.28897784538849169</v>
      </c>
      <c r="H199" s="87" t="n">
        <v>0.215</v>
      </c>
      <c r="I199" s="44"/>
      <c r="J199" s="44"/>
      <c r="K199" s="166"/>
      <c r="L199" s="166"/>
      <c r="M199" s="166" t="n">
        <v>3.778152</v>
      </c>
      <c r="N199" s="157" t="n">
        <v>3.778152</v>
      </c>
      <c r="O199" s="94" t="n">
        <f t="shared" si="91"/>
        <v>0.90909090909090906</v>
      </c>
      <c r="P199" s="103" t="n">
        <f t="shared" si="92"/>
        <v>9.0909090909090912E-2</v>
      </c>
      <c r="Q199" s="172" t="n">
        <v>0.1</v>
      </c>
      <c r="R199" s="134"/>
      <c r="S199" s="89"/>
      <c r="T199" s="130"/>
      <c r="U199" s="166"/>
      <c r="V199" s="166"/>
      <c r="W199" s="21"/>
      <c r="X199" s="21"/>
      <c r="Y199" s="21"/>
      <c r="Z199" s="21"/>
      <c r="AA199" s="21"/>
      <c r="AB199" s="21"/>
      <c r="AC199" s="21"/>
      <c r="AD199" s="21"/>
      <c r="AE199" s="21"/>
      <c r="AF199" s="21"/>
      <c r="AG199" s="21"/>
      <c r="AH199" s="21"/>
      <c r="AI199" s="173" t="n">
        <v>2.7E-2</v>
      </c>
      <c r="AJ199" s="71"/>
      <c r="AK199" s="67"/>
      <c r="AL199" s="153" t="n">
        <v>0.44</v>
      </c>
      <c r="AM199" s="173" t="n">
        <v>2.7E-2</v>
      </c>
      <c r="AN199" s="153"/>
      <c r="AO199" s="153"/>
      <c r="AP199" s="153" t="n">
        <v>0.42</v>
      </c>
      <c r="AQ199" s="121" t="n">
        <v>0.11534666666666667</v>
      </c>
      <c r="AR199" s="94"/>
      <c r="AS199" s="121" t="n">
        <v>0.72602958765444336</v>
      </c>
      <c r="AT199" s="59" t="n">
        <f t="shared" si="94"/>
        <v>0.17824592074592077</v>
      </c>
      <c r="AU199" s="87" t="n">
        <v>0.4400179319117839</v>
      </c>
      <c r="AV199" s="87" t="n">
        <v>0.28601165574265952</v>
      </c>
      <c r="AW199" s="5"/>
      <c r="AX199" s="107" t="n">
        <f t="shared" si="93"/>
        <v>2.7E-2</v>
      </c>
      <c r="AY199" s="119" t="n">
        <v>17.572800000000001</v>
      </c>
      <c r="AZ199" t="n">
        <v>0.7</v>
      </c>
      <c r="BQ199" s="110"/>
    </row>
    <row r="200">
      <c r="A200" s="44"/>
      <c r="B200" s="44" t="s">
        <v>178</v>
      </c>
      <c r="C200" s="44"/>
      <c r="D200" s="142" t="s">
        <v>149</v>
      </c>
      <c r="E200" s="142"/>
      <c r="F200" s="51" t="n">
        <f>VLOOKUP($B200,'[1]A1.2 Roots'!$B$3:$E$46,4,0)</f>
        <v>0.25</v>
      </c>
      <c r="G200" s="89" t="n">
        <v>0.158</v>
      </c>
      <c r="H200" s="87" t="n">
        <v>0.158</v>
      </c>
      <c r="I200" s="44"/>
      <c r="J200" s="44"/>
      <c r="K200" s="166"/>
      <c r="L200" s="166"/>
      <c r="M200" s="166" t="n">
        <v>2.7765024000000005</v>
      </c>
      <c r="N200" s="157" t="n">
        <v>2.7765024000000005</v>
      </c>
      <c r="O200" s="94" t="n">
        <f t="shared" si="91"/>
        <v>0.90909090909090906</v>
      </c>
      <c r="P200" s="103" t="n">
        <f t="shared" si="92"/>
        <v>9.0909090909090912E-2</v>
      </c>
      <c r="Q200" s="172" t="n">
        <v>0.1</v>
      </c>
      <c r="R200" s="134"/>
      <c r="S200" s="89"/>
      <c r="T200" s="130"/>
      <c r="U200" s="166"/>
      <c r="V200" s="166"/>
      <c r="W200" s="21"/>
      <c r="X200" s="21"/>
      <c r="Y200" s="21"/>
      <c r="Z200" s="21"/>
      <c r="AA200" s="21"/>
      <c r="AB200" s="21"/>
      <c r="AC200" s="21"/>
      <c r="AD200" s="21"/>
      <c r="AE200" s="21"/>
      <c r="AF200" s="21"/>
      <c r="AG200" s="21"/>
      <c r="AH200" s="21"/>
      <c r="AI200" s="173" t="n">
        <v>2.7E-2</v>
      </c>
      <c r="AJ200" s="71"/>
      <c r="AK200" s="67"/>
      <c r="AL200" s="153" t="n">
        <v>0.44</v>
      </c>
      <c r="AM200" s="173" t="n">
        <v>2.7E-2</v>
      </c>
      <c r="AN200" s="153"/>
      <c r="AO200" s="153"/>
      <c r="AP200" s="153" t="n">
        <v>0.43812127659574457</v>
      </c>
      <c r="AQ200" s="121" t="n">
        <v>0.11534666666666667</v>
      </c>
      <c r="AR200" s="94"/>
      <c r="AS200" s="121" t="n">
        <v>0.72602958765444336</v>
      </c>
      <c r="AT200" s="59" t="n">
        <f t="shared" si="94"/>
        <v>0.17824592074592077</v>
      </c>
      <c r="AU200" s="87" t="n">
        <v>0.4400179319117839</v>
      </c>
      <c r="AV200" s="87" t="n">
        <v>0.28601165574265952</v>
      </c>
      <c r="AW200" s="5"/>
      <c r="AX200" s="107" t="n">
        <f t="shared" si="93"/>
        <v>2.7E-2</v>
      </c>
      <c r="AY200" s="119" t="n">
        <v>17.572800000000004</v>
      </c>
      <c r="AZ200" t="n">
        <v>0.7</v>
      </c>
      <c r="BQ200" s="110"/>
    </row>
    <row r="201">
      <c r="A201" s="44"/>
      <c r="B201" s="44" t="s">
        <v>177</v>
      </c>
      <c r="C201" s="44"/>
      <c r="D201" s="142" t="s">
        <v>149</v>
      </c>
      <c r="E201" s="131"/>
      <c r="F201" s="51" t="n">
        <v>0.4</v>
      </c>
      <c r="G201" s="89" t="n">
        <v>0.308</v>
      </c>
      <c r="H201" s="87" t="n">
        <v>0.308</v>
      </c>
      <c r="I201" s="44"/>
      <c r="J201" s="44"/>
      <c r="K201" s="166"/>
      <c r="L201" s="166"/>
      <c r="M201" s="166" t="n">
        <v>5.4124223999999996</v>
      </c>
      <c r="N201" s="157" t="n">
        <v>5.4124223999999996</v>
      </c>
      <c r="O201" s="94" t="n">
        <f t="shared" si="91"/>
        <v>0.90909090909090906</v>
      </c>
      <c r="P201" s="103" t="n">
        <f t="shared" si="92"/>
        <v>9.0909090909090912E-2</v>
      </c>
      <c r="Q201" s="172" t="n">
        <v>0.1</v>
      </c>
      <c r="R201" s="134"/>
      <c r="S201" s="89"/>
      <c r="T201" s="130"/>
      <c r="U201" s="166"/>
      <c r="V201" s="166"/>
      <c r="W201" s="21"/>
      <c r="X201" s="21"/>
      <c r="Y201" s="21"/>
      <c r="Z201" s="21"/>
      <c r="AA201" s="21"/>
      <c r="AB201" s="21"/>
      <c r="AC201" s="21"/>
      <c r="AD201" s="21"/>
      <c r="AE201" s="21"/>
      <c r="AF201" s="21"/>
      <c r="AG201" s="21"/>
      <c r="AH201" s="21"/>
      <c r="AI201" s="173" t="n">
        <v>2.7E-2</v>
      </c>
      <c r="AJ201" s="71"/>
      <c r="AK201" s="67"/>
      <c r="AL201" s="121" t="n">
        <v>0.44</v>
      </c>
      <c r="AM201" s="173" t="n">
        <v>2.7E-2</v>
      </c>
      <c r="AN201" s="153"/>
      <c r="AO201" s="153"/>
      <c r="AP201" s="153" t="n">
        <v>0.43812127659574457</v>
      </c>
      <c r="AQ201" s="121" t="n">
        <v>0.11534666666666667</v>
      </c>
      <c r="AR201" s="94"/>
      <c r="AS201" s="121" t="n">
        <v>0.72602958765444336</v>
      </c>
      <c r="AT201" s="59" t="n">
        <f t="shared" si="94"/>
        <v>0.17824592074592077</v>
      </c>
      <c r="AU201" s="87" t="n">
        <v>0.4400179319117839</v>
      </c>
      <c r="AV201" s="87" t="n">
        <v>0.28601165574265952</v>
      </c>
      <c r="AW201" s="5"/>
      <c r="AX201" s="107" t="n">
        <f t="shared" si="93"/>
        <v>2.7E-2</v>
      </c>
      <c r="AY201" s="119" t="n">
        <v>17.572799999999997</v>
      </c>
      <c r="AZ201" t="n">
        <v>0.7</v>
      </c>
      <c r="BQ201" s="110"/>
    </row>
    <row r="202">
      <c r="A202" s="44"/>
      <c r="B202" s="44" t="s">
        <v>176</v>
      </c>
      <c r="C202" s="44"/>
      <c r="D202" s="142" t="s">
        <v>149</v>
      </c>
      <c r="E202" s="131"/>
      <c r="F202" s="51" t="n">
        <v>0.54</v>
      </c>
      <c r="G202" s="3" t="n">
        <v>0.29165848043341702</v>
      </c>
      <c r="H202" s="87" t="n">
        <v>0.158</v>
      </c>
      <c r="I202" s="44"/>
      <c r="J202" s="44"/>
      <c r="K202" s="166"/>
      <c r="L202" s="166"/>
      <c r="M202" s="166" t="n">
        <v>6.6073728000000003</v>
      </c>
      <c r="N202" s="157" t="n">
        <v>6.6073728000000003</v>
      </c>
      <c r="O202" s="94" t="n">
        <f t="shared" si="91"/>
        <v>0.90909090909090906</v>
      </c>
      <c r="P202" s="103" t="n">
        <f t="shared" si="92"/>
        <v>9.0909090909090912E-2</v>
      </c>
      <c r="Q202" s="172" t="n">
        <v>0.1</v>
      </c>
      <c r="R202" s="134"/>
      <c r="S202" s="89"/>
      <c r="T202" s="130"/>
      <c r="U202" s="166"/>
      <c r="V202" s="166"/>
      <c r="W202" s="21"/>
      <c r="X202" s="21"/>
      <c r="Y202" s="21"/>
      <c r="Z202" s="21"/>
      <c r="AA202" s="21"/>
      <c r="AB202" s="21"/>
      <c r="AC202" s="21"/>
      <c r="AD202" s="21"/>
      <c r="AE202" s="21"/>
      <c r="AF202" s="21"/>
      <c r="AG202" s="21"/>
      <c r="AH202" s="21"/>
      <c r="AI202" s="153" t="n">
        <v>1.5216000000000002E-2</v>
      </c>
      <c r="AJ202" s="71" t="n">
        <v>2.7000000000000001E-3</v>
      </c>
      <c r="AK202" s="67"/>
      <c r="AL202" s="121" t="n">
        <v>0.44</v>
      </c>
      <c r="AM202" s="173" t="n">
        <f>AI202</f>
        <v>1.5216000000000002E-2</v>
      </c>
      <c r="AN202" s="153"/>
      <c r="AO202" s="153"/>
      <c r="AP202" s="153" t="n">
        <v>0.43812127659574457</v>
      </c>
      <c r="AQ202" s="121" t="n">
        <v>0.11534666666666667</v>
      </c>
      <c r="AR202" s="94"/>
      <c r="AS202" s="121" t="n">
        <v>0.72602958765444336</v>
      </c>
      <c r="AT202" s="59" t="n">
        <f t="shared" si="94"/>
        <v>0.17824592074592077</v>
      </c>
      <c r="AU202" s="87" t="n">
        <v>0.4400179319117839</v>
      </c>
      <c r="AV202" s="87" t="n">
        <v>0.28601165574265952</v>
      </c>
      <c r="AW202" s="5"/>
      <c r="AX202" s="107" t="n">
        <f t="shared" si="93"/>
        <v>1.5216000000000002E-2</v>
      </c>
      <c r="AY202" s="119" t="n">
        <v>41.818815189873419</v>
      </c>
      <c r="AZ202" t="n">
        <v>0.7</v>
      </c>
      <c r="BQ202" s="110"/>
    </row>
    <row r="203">
      <c r="A203" s="44"/>
      <c r="B203" s="44" t="s">
        <v>175</v>
      </c>
      <c r="C203" s="44"/>
      <c r="D203" s="142" t="s">
        <v>149</v>
      </c>
      <c r="E203" s="131"/>
      <c r="F203" s="51" t="n">
        <v>0.4</v>
      </c>
      <c r="G203" s="89" t="n">
        <v>0.249</v>
      </c>
      <c r="H203" s="87" t="n">
        <v>0.249</v>
      </c>
      <c r="I203" s="44"/>
      <c r="J203" s="44"/>
      <c r="K203" s="166"/>
      <c r="L203" s="166"/>
      <c r="M203" s="166" t="n">
        <v>4.3756272000000003</v>
      </c>
      <c r="N203" s="157" t="n">
        <v>4.3756272000000003</v>
      </c>
      <c r="O203" s="94" t="n">
        <f t="shared" si="91"/>
        <v>0.90909090909090906</v>
      </c>
      <c r="P203" s="103" t="n">
        <f t="shared" si="92"/>
        <v>9.0909090909090912E-2</v>
      </c>
      <c r="Q203" s="172" t="n">
        <v>0.1</v>
      </c>
      <c r="R203" s="134"/>
      <c r="S203" s="89"/>
      <c r="T203" s="130"/>
      <c r="U203" s="166"/>
      <c r="V203" s="166"/>
      <c r="W203" s="21"/>
      <c r="X203" s="21"/>
      <c r="Y203" s="21"/>
      <c r="Z203" s="21"/>
      <c r="AA203" s="21"/>
      <c r="AB203" s="21"/>
      <c r="AC203" s="21"/>
      <c r="AD203" s="21"/>
      <c r="AE203" s="21"/>
      <c r="AF203" s="21"/>
      <c r="AG203" s="21"/>
      <c r="AH203" s="21"/>
      <c r="AI203" s="173" t="n">
        <v>2.7E-2</v>
      </c>
      <c r="AJ203" s="71"/>
      <c r="AK203" s="67"/>
      <c r="AL203" s="121" t="n">
        <v>0.44</v>
      </c>
      <c r="AM203" s="173" t="n">
        <v>2.7E-2</v>
      </c>
      <c r="AN203" s="153"/>
      <c r="AO203" s="153"/>
      <c r="AP203" s="153" t="n">
        <v>0.43812127659574457</v>
      </c>
      <c r="AQ203" s="121" t="n">
        <v>0.11534666666666667</v>
      </c>
      <c r="AR203" s="94"/>
      <c r="AS203" s="121" t="n">
        <v>0.72602958765444336</v>
      </c>
      <c r="AT203" s="59" t="n">
        <f t="shared" si="94"/>
        <v>0.17824592074592077</v>
      </c>
      <c r="AU203" s="87" t="n">
        <v>0.4400179319117839</v>
      </c>
      <c r="AV203" s="87" t="n">
        <v>0.28601165574265952</v>
      </c>
      <c r="AW203" s="5"/>
      <c r="AX203" s="107" t="n">
        <f t="shared" si="93"/>
        <v>2.7E-2</v>
      </c>
      <c r="AY203" s="119" t="n">
        <v>17.572800000000001</v>
      </c>
      <c r="AZ203" t="n">
        <v>0.7</v>
      </c>
      <c r="BQ203" s="110"/>
    </row>
    <row r="204">
      <c r="A204" s="44"/>
      <c r="B204" s="44" t="s">
        <v>174</v>
      </c>
      <c r="C204" s="44"/>
      <c r="D204" s="142" t="s">
        <v>149</v>
      </c>
      <c r="E204" s="131"/>
      <c r="F204" s="51" t="n">
        <v>0.4</v>
      </c>
      <c r="G204" s="89" t="n">
        <v>0.193</v>
      </c>
      <c r="H204" s="87" t="n">
        <v>0.193</v>
      </c>
      <c r="I204" s="44"/>
      <c r="J204" s="44"/>
      <c r="K204" s="166"/>
      <c r="L204" s="166"/>
      <c r="M204" s="166" t="n">
        <v>5.8868879999999999</v>
      </c>
      <c r="N204" s="157" t="n">
        <v>5.8868879999999999</v>
      </c>
      <c r="O204" s="94" t="n">
        <f t="shared" si="91"/>
        <v>0.90909090909090906</v>
      </c>
      <c r="P204" s="103" t="n">
        <f t="shared" si="92"/>
        <v>9.0909090909090912E-2</v>
      </c>
      <c r="Q204" s="172" t="n">
        <v>0.1</v>
      </c>
      <c r="R204" s="134"/>
      <c r="S204" s="89"/>
      <c r="T204" s="130"/>
      <c r="U204" s="166"/>
      <c r="V204" s="166"/>
      <c r="W204" s="21"/>
      <c r="X204" s="21"/>
      <c r="Y204" s="21"/>
      <c r="Z204" s="21"/>
      <c r="AA204" s="21"/>
      <c r="AB204" s="21"/>
      <c r="AC204" s="21"/>
      <c r="AD204" s="21"/>
      <c r="AE204" s="21"/>
      <c r="AF204" s="21"/>
      <c r="AG204" s="21"/>
      <c r="AH204" s="21"/>
      <c r="AI204" s="173" t="n">
        <v>2.7E-2</v>
      </c>
      <c r="AJ204" s="71"/>
      <c r="AK204" s="67"/>
      <c r="AL204" s="121" t="n">
        <v>0.44</v>
      </c>
      <c r="AM204" s="173" t="n">
        <v>2.7E-2</v>
      </c>
      <c r="AN204" s="153"/>
      <c r="AO204" s="153"/>
      <c r="AP204" s="153" t="n">
        <v>0.43812127659574457</v>
      </c>
      <c r="AQ204" s="121" t="n">
        <v>0.11534666666666667</v>
      </c>
      <c r="AR204" s="94"/>
      <c r="AS204" s="121" t="n">
        <v>0.72602958765444336</v>
      </c>
      <c r="AT204" s="59" t="n">
        <f t="shared" si="94"/>
        <v>0.17824592074592077</v>
      </c>
      <c r="AU204" s="87" t="n">
        <v>0.4400179319117839</v>
      </c>
      <c r="AV204" s="87" t="n">
        <v>0.28601165574265952</v>
      </c>
      <c r="AW204" s="5"/>
      <c r="AX204" s="107" t="n">
        <f t="shared" si="93"/>
        <v>2.7E-2</v>
      </c>
      <c r="AY204" s="119" t="n">
        <v>30.5020103626943</v>
      </c>
      <c r="AZ204" t="n">
        <v>0.7</v>
      </c>
      <c r="BQ204" s="110"/>
    </row>
    <row r="205">
      <c r="A205" s="44"/>
      <c r="B205" s="44" t="s">
        <v>769</v>
      </c>
      <c r="C205" s="44"/>
      <c r="D205" s="142" t="s">
        <v>149</v>
      </c>
      <c r="E205" s="131"/>
      <c r="F205" s="51" t="n">
        <v>0.4</v>
      </c>
      <c r="G205" s="89" t="n">
        <v>0.16800000000000001</v>
      </c>
      <c r="H205" s="87" t="n">
        <v>0.16800000000000001</v>
      </c>
      <c r="I205" s="44"/>
      <c r="J205" s="44"/>
      <c r="K205" s="166"/>
      <c r="L205" s="166"/>
      <c r="M205" s="166" t="n">
        <v>2.9522304000000004</v>
      </c>
      <c r="N205" s="157" t="n">
        <v>2.9522304000000004</v>
      </c>
      <c r="O205" s="94" t="n">
        <f t="shared" si="91"/>
        <v>0.90909090909090906</v>
      </c>
      <c r="P205" s="103" t="n">
        <f t="shared" si="92"/>
        <v>9.0909090909090912E-2</v>
      </c>
      <c r="Q205" s="172" t="n">
        <v>0.1</v>
      </c>
      <c r="R205" s="134"/>
      <c r="S205" s="89"/>
      <c r="T205" s="130"/>
      <c r="U205" s="166"/>
      <c r="V205" s="166"/>
      <c r="W205" s="21"/>
      <c r="X205" s="21"/>
      <c r="Y205" s="21"/>
      <c r="Z205" s="21"/>
      <c r="AA205" s="21"/>
      <c r="AB205" s="21"/>
      <c r="AC205" s="21"/>
      <c r="AD205" s="21"/>
      <c r="AE205" s="21"/>
      <c r="AF205" s="21"/>
      <c r="AG205" s="21"/>
      <c r="AH205" s="21"/>
      <c r="AI205" s="173" t="n">
        <v>2.7E-2</v>
      </c>
      <c r="AJ205" s="71"/>
      <c r="AK205" s="67"/>
      <c r="AL205" s="121" t="n">
        <v>0.44</v>
      </c>
      <c r="AM205" s="173" t="n">
        <v>2.7E-2</v>
      </c>
      <c r="AN205" s="153"/>
      <c r="AO205" s="153"/>
      <c r="AP205" s="153" t="n">
        <v>0.43812127659574457</v>
      </c>
      <c r="AQ205" s="121" t="n">
        <v>0.11534666666666667</v>
      </c>
      <c r="AR205" s="94"/>
      <c r="AS205" s="121" t="n">
        <v>0.72602958765444336</v>
      </c>
      <c r="AT205" s="59" t="n">
        <f t="shared" si="94"/>
        <v>0.17824592074592077</v>
      </c>
      <c r="AU205" s="87" t="n">
        <v>0.4400179319117839</v>
      </c>
      <c r="AV205" s="87" t="n">
        <v>0.28601165574265952</v>
      </c>
      <c r="AW205" s="5"/>
      <c r="AX205" s="107" t="n">
        <f t="shared" si="93"/>
        <v>2.7E-2</v>
      </c>
      <c r="AY205" s="119" t="n">
        <v>17.572800000000001</v>
      </c>
      <c r="AZ205" t="n">
        <v>0.7</v>
      </c>
      <c r="BQ205" s="110"/>
    </row>
    <row r="206">
      <c r="A206" s="44" t="s">
        <v>172</v>
      </c>
      <c r="B206" s="44" t="s">
        <v>171</v>
      </c>
      <c r="C206" s="44"/>
      <c r="D206" s="142" t="s">
        <v>149</v>
      </c>
      <c r="E206" s="131"/>
      <c r="F206" s="51" t="n">
        <v>0.4</v>
      </c>
      <c r="G206" s="3" t="n">
        <v>0.2641165505282943</v>
      </c>
      <c r="H206" s="87" t="n">
        <v>0.376</v>
      </c>
      <c r="I206" s="44"/>
      <c r="J206" s="44"/>
      <c r="K206" s="166"/>
      <c r="L206" s="166"/>
      <c r="M206" s="166" t="n">
        <v>3.3915504000000003</v>
      </c>
      <c r="N206" s="157" t="n">
        <v>3.3915504000000003</v>
      </c>
      <c r="O206" s="94" t="n">
        <f t="shared" si="91"/>
        <v>0.90909090909090906</v>
      </c>
      <c r="P206" s="103" t="n">
        <f t="shared" si="92"/>
        <v>9.0909090909090912E-2</v>
      </c>
      <c r="Q206" s="172" t="n">
        <v>0.1</v>
      </c>
      <c r="R206" s="134"/>
      <c r="S206" s="89"/>
      <c r="T206" s="130"/>
      <c r="U206" s="166"/>
      <c r="V206" s="166"/>
      <c r="W206" s="21"/>
      <c r="X206" s="21"/>
      <c r="Y206" s="21"/>
      <c r="Z206" s="21"/>
      <c r="AA206" s="21"/>
      <c r="AB206" s="21"/>
      <c r="AC206" s="21"/>
      <c r="AD206" s="21"/>
      <c r="AE206" s="21"/>
      <c r="AF206" s="21"/>
      <c r="AG206" s="21"/>
      <c r="AH206" s="21"/>
      <c r="AI206" s="173" t="n">
        <v>2.7E-2</v>
      </c>
      <c r="AJ206" s="71"/>
      <c r="AK206" s="67"/>
      <c r="AL206" s="121" t="n">
        <v>0.44</v>
      </c>
      <c r="AM206" s="173" t="n">
        <v>2.7E-2</v>
      </c>
      <c r="AN206" s="153"/>
      <c r="AO206" s="153"/>
      <c r="AP206" s="153" t="n">
        <v>0.43812127659574457</v>
      </c>
      <c r="AQ206" s="121" t="n">
        <v>0.11534666666666667</v>
      </c>
      <c r="AR206" s="94"/>
      <c r="AS206" s="121" t="n">
        <v>0.77384999999999993</v>
      </c>
      <c r="AT206" s="59" t="n">
        <f t="shared" si="94"/>
        <v>0.17824592074592077</v>
      </c>
      <c r="AU206" s="87" t="n">
        <v>0.46899999999999997</v>
      </c>
      <c r="AV206" s="87" t="n">
        <v>0.30485000000000001</v>
      </c>
      <c r="AW206" s="5"/>
      <c r="AX206" s="107" t="n">
        <f t="shared" si="93"/>
        <v>2.7E-2</v>
      </c>
      <c r="AY206" s="119" t="n">
        <v>9.0200808510638311</v>
      </c>
      <c r="AZ206" t="n">
        <v>0.7</v>
      </c>
      <c r="BQ206" s="110"/>
    </row>
    <row r="207">
      <c r="A207" s="44" t="s">
        <v>170</v>
      </c>
      <c r="B207" s="44" t="s">
        <v>169</v>
      </c>
      <c r="C207" s="44"/>
      <c r="D207" s="142" t="s">
        <v>149</v>
      </c>
      <c r="E207" s="142" t="n">
        <v>1280</v>
      </c>
      <c r="F207" s="51" t="n">
        <v>0.54</v>
      </c>
      <c r="G207" s="3" t="n">
        <v>0.3031918266339812</v>
      </c>
      <c r="H207" s="87" t="n">
        <v>0.216</v>
      </c>
      <c r="I207" s="44"/>
      <c r="J207" s="44"/>
      <c r="K207" s="166"/>
      <c r="L207" s="166"/>
      <c r="M207" s="166" t="n">
        <v>3.7957248000000003</v>
      </c>
      <c r="N207" s="157" t="n">
        <v>3.7957248000000003</v>
      </c>
      <c r="O207" s="94" t="n">
        <f t="shared" si="91"/>
        <v>0.90909090909090906</v>
      </c>
      <c r="P207" s="103" t="n">
        <f t="shared" si="92"/>
        <v>9.0909090909090912E-2</v>
      </c>
      <c r="Q207" s="172" t="n">
        <v>0.1</v>
      </c>
      <c r="R207" s="134"/>
      <c r="S207" s="89"/>
      <c r="T207" s="130"/>
      <c r="U207" s="166"/>
      <c r="V207" s="166"/>
      <c r="W207" s="21"/>
      <c r="X207" s="21"/>
      <c r="Y207" s="21"/>
      <c r="Z207" s="21"/>
      <c r="AA207" s="21"/>
      <c r="AB207" s="21"/>
      <c r="AC207" s="21"/>
      <c r="AD207" s="21"/>
      <c r="AE207" s="21"/>
      <c r="AF207" s="21"/>
      <c r="AG207" s="21"/>
      <c r="AH207" s="21"/>
      <c r="AI207" s="153" t="n">
        <v>1.4355200000000002E-2</v>
      </c>
      <c r="AJ207" s="71" t="n">
        <v>6.0999999999999995E-3</v>
      </c>
      <c r="AK207" s="67"/>
      <c r="AL207" s="153" t="n">
        <v>0.44</v>
      </c>
      <c r="AM207" s="173" t="n">
        <f>AI207</f>
        <v>1.4355200000000002E-2</v>
      </c>
      <c r="AN207" s="153"/>
      <c r="AO207" s="153"/>
      <c r="AP207" s="153" t="n">
        <v>0.36699999999999999</v>
      </c>
      <c r="AQ207" s="121" t="n">
        <v>0.11534666666666667</v>
      </c>
      <c r="AR207" s="94"/>
      <c r="AS207" s="121" t="n">
        <v>0.72602958765444336</v>
      </c>
      <c r="AT207" s="59" t="n">
        <f t="shared" si="94"/>
        <v>0.17824592074592077</v>
      </c>
      <c r="AU207" s="87" t="n">
        <v>0.4400179319117839</v>
      </c>
      <c r="AV207" s="87" t="n">
        <v>0.28601165574265952</v>
      </c>
      <c r="AW207" s="5"/>
      <c r="AX207" s="107" t="n">
        <f t="shared" si="93"/>
        <v>1.4355200000000002E-2</v>
      </c>
      <c r="AY207" s="119" t="n">
        <v>17.572800000000001</v>
      </c>
      <c r="AZ207" t="n">
        <v>0.7</v>
      </c>
      <c r="BQ207" s="110"/>
    </row>
    <row r="208">
      <c r="A208" s="44"/>
      <c r="B208" s="44" t="s">
        <v>168</v>
      </c>
      <c r="C208" s="44"/>
      <c r="D208" s="142" t="s">
        <v>149</v>
      </c>
      <c r="E208" s="142" t="n">
        <v>9594.5</v>
      </c>
      <c r="F208" s="51" t="n">
        <v>0.8</v>
      </c>
      <c r="G208" s="87" t="n">
        <v>0.22700000000000001</v>
      </c>
      <c r="H208" s="87" t="n">
        <v>0.22700000000000001</v>
      </c>
      <c r="I208" s="95"/>
      <c r="J208" s="95"/>
      <c r="K208" s="157"/>
      <c r="L208" s="157"/>
      <c r="M208" s="157" t="n">
        <v>3.9890255999999997</v>
      </c>
      <c r="N208" s="157" t="n">
        <v>3.9890255999999997</v>
      </c>
      <c r="O208" s="94" t="n">
        <f t="shared" si="91"/>
        <v>0.90909090909090906</v>
      </c>
      <c r="P208" s="103" t="n">
        <f t="shared" si="92"/>
        <v>9.0909090909090912E-2</v>
      </c>
      <c r="Q208" s="172" t="n">
        <v>0.1</v>
      </c>
      <c r="R208" s="134"/>
      <c r="S208" s="89"/>
      <c r="T208" s="130"/>
      <c r="U208" s="166"/>
      <c r="V208" s="166"/>
      <c r="W208" s="21"/>
      <c r="X208" s="21"/>
      <c r="Y208" s="21"/>
      <c r="Z208" s="21"/>
      <c r="AA208" s="21"/>
      <c r="AB208" s="21"/>
      <c r="AC208" s="21"/>
      <c r="AD208" s="21"/>
      <c r="AE208" s="21"/>
      <c r="AF208" s="21"/>
      <c r="AG208" s="21"/>
      <c r="AH208" s="21"/>
      <c r="AI208" s="173" t="n">
        <v>1.4999999999999999E-2</v>
      </c>
      <c r="AJ208" s="71"/>
      <c r="AK208" s="67"/>
      <c r="AL208" s="121" t="n">
        <v>0.44</v>
      </c>
      <c r="AM208" s="173" t="n">
        <v>1.4999999999999999E-2</v>
      </c>
      <c r="AN208" s="153"/>
      <c r="AO208" s="153"/>
      <c r="AP208" s="153" t="n">
        <v>0.43812127659574457</v>
      </c>
      <c r="AQ208" s="121" t="n">
        <v>0.11534666666666667</v>
      </c>
      <c r="AR208" s="94"/>
      <c r="AS208" s="121" t="n">
        <v>0.72602958765444336</v>
      </c>
      <c r="AT208" s="59" t="n">
        <f t="shared" si="94"/>
        <v>0.17824592074592077</v>
      </c>
      <c r="AU208" s="87" t="n">
        <v>0.4400179319117839</v>
      </c>
      <c r="AV208" s="87" t="n">
        <v>0.28601165574265952</v>
      </c>
      <c r="AW208" s="5"/>
      <c r="AX208" s="107" t="n">
        <f t="shared" si="93"/>
        <v>1.4999999999999999E-2</v>
      </c>
      <c r="AY208" s="119" t="n">
        <v>17.572799999999997</v>
      </c>
      <c r="AZ208" t="n">
        <v>0.7</v>
      </c>
      <c r="BQ208" s="110"/>
    </row>
    <row r="209">
      <c r="A209" s="44"/>
      <c r="B209" s="44" t="s">
        <v>167</v>
      </c>
      <c r="C209" s="44"/>
      <c r="D209" s="142" t="s">
        <v>149</v>
      </c>
      <c r="E209" s="142"/>
      <c r="F209" s="51" t="n">
        <v>0.8</v>
      </c>
      <c r="G209" s="87" t="n">
        <v>0.22700000000000001</v>
      </c>
      <c r="H209" s="87" t="n">
        <v>0.22700000000000001</v>
      </c>
      <c r="I209" s="95"/>
      <c r="J209" s="95"/>
      <c r="K209" s="157"/>
      <c r="L209" s="157"/>
      <c r="M209" s="157" t="n">
        <v>3.9890255999999997</v>
      </c>
      <c r="N209" s="157" t="n">
        <v>3.9890255999999997</v>
      </c>
      <c r="O209" s="94" t="n">
        <f t="shared" si="91"/>
        <v>0.90909090909090906</v>
      </c>
      <c r="P209" s="103" t="n">
        <f t="shared" si="92"/>
        <v>9.0909090909090912E-2</v>
      </c>
      <c r="Q209" s="172" t="n">
        <v>0.1</v>
      </c>
      <c r="R209" s="134"/>
      <c r="S209" s="89"/>
      <c r="T209" s="130"/>
      <c r="U209" s="166"/>
      <c r="V209" s="166"/>
      <c r="W209" s="21"/>
      <c r="X209" s="21"/>
      <c r="Y209" s="21"/>
      <c r="Z209" s="21"/>
      <c r="AA209" s="21"/>
      <c r="AB209" s="21"/>
      <c r="AC209" s="21"/>
      <c r="AD209" s="21"/>
      <c r="AE209" s="21"/>
      <c r="AF209" s="21"/>
      <c r="AG209" s="21"/>
      <c r="AH209" s="21"/>
      <c r="AI209" s="173" t="n">
        <v>1.4999999999999999E-2</v>
      </c>
      <c r="AJ209" s="71"/>
      <c r="AK209" s="67"/>
      <c r="AL209" s="121" t="n">
        <v>0.44</v>
      </c>
      <c r="AM209" s="173" t="n">
        <v>1.4999999999999999E-2</v>
      </c>
      <c r="AN209" s="153"/>
      <c r="AO209" s="153"/>
      <c r="AP209" s="153" t="n">
        <v>0.43812127659574457</v>
      </c>
      <c r="AQ209" s="121" t="n">
        <v>0.11534666666666667</v>
      </c>
      <c r="AR209" s="94"/>
      <c r="AS209" s="121" t="n">
        <v>0.72602958765444336</v>
      </c>
      <c r="AT209" s="59" t="n">
        <f t="shared" si="94"/>
        <v>0.17824592074592077</v>
      </c>
      <c r="AU209" s="87" t="n">
        <v>0.4400179319117839</v>
      </c>
      <c r="AV209" s="87" t="n">
        <v>0.28601165574265952</v>
      </c>
      <c r="AW209" s="5"/>
      <c r="AX209" s="107" t="n">
        <f t="shared" si="93"/>
        <v>1.4999999999999999E-2</v>
      </c>
      <c r="AY209" s="119" t="n">
        <v>17.572799999999997</v>
      </c>
      <c r="AZ209" t="n">
        <v>0.7</v>
      </c>
      <c r="BQ209" s="110"/>
    </row>
    <row r="210">
      <c r="A210" s="44"/>
      <c r="B210" s="44" t="s">
        <v>166</v>
      </c>
      <c r="C210" s="44"/>
      <c r="D210" s="142" t="s">
        <v>149</v>
      </c>
      <c r="E210" s="142" t="n">
        <v>836</v>
      </c>
      <c r="F210" s="51" t="n">
        <v>0.8</v>
      </c>
      <c r="G210" s="87" t="n">
        <v>0.22700000000000001</v>
      </c>
      <c r="H210" s="87" t="n">
        <v>0.22700000000000001</v>
      </c>
      <c r="I210" s="95"/>
      <c r="J210" s="95"/>
      <c r="K210" s="157"/>
      <c r="L210" s="157"/>
      <c r="M210" s="157" t="n">
        <v>3.9890255999999997</v>
      </c>
      <c r="N210" s="157" t="n">
        <v>3.9890255999999997</v>
      </c>
      <c r="O210" s="94" t="n">
        <f t="shared" si="91"/>
        <v>0.90909090909090906</v>
      </c>
      <c r="P210" s="103" t="n">
        <f t="shared" si="92"/>
        <v>9.0909090909090912E-2</v>
      </c>
      <c r="Q210" s="172" t="n">
        <v>0.1</v>
      </c>
      <c r="R210" s="134"/>
      <c r="S210" s="89"/>
      <c r="T210" s="130"/>
      <c r="U210" s="166"/>
      <c r="V210" s="166"/>
      <c r="W210" s="21"/>
      <c r="X210" s="21"/>
      <c r="Y210" s="21"/>
      <c r="Z210" s="21"/>
      <c r="AA210" s="21"/>
      <c r="AB210" s="21"/>
      <c r="AC210" s="21"/>
      <c r="AD210" s="21"/>
      <c r="AE210" s="21"/>
      <c r="AF210" s="21"/>
      <c r="AG210" s="21"/>
      <c r="AH210" s="21"/>
      <c r="AI210" s="173" t="n">
        <v>1.4999999999999999E-2</v>
      </c>
      <c r="AJ210" s="71"/>
      <c r="AK210" s="67"/>
      <c r="AL210" s="121" t="n">
        <v>0.44</v>
      </c>
      <c r="AM210" s="173" t="n">
        <v>1.4999999999999999E-2</v>
      </c>
      <c r="AN210" s="153"/>
      <c r="AO210" s="153"/>
      <c r="AP210" s="153" t="n">
        <v>0.43812127659574457</v>
      </c>
      <c r="AQ210" s="121" t="n">
        <v>0.11534666666666667</v>
      </c>
      <c r="AR210" s="94"/>
      <c r="AS210" s="121" t="n">
        <v>0.72602958765444336</v>
      </c>
      <c r="AT210" s="59" t="n">
        <f t="shared" si="94"/>
        <v>0.17824592074592077</v>
      </c>
      <c r="AU210" s="87" t="n">
        <v>0.4400179319117839</v>
      </c>
      <c r="AV210" s="87" t="n">
        <v>0.28601165574265952</v>
      </c>
      <c r="AW210" s="5"/>
      <c r="AX210" s="107" t="n">
        <f t="shared" si="93"/>
        <v>1.4999999999999999E-2</v>
      </c>
      <c r="AY210" s="119" t="n">
        <v>17.572799999999997</v>
      </c>
      <c r="AZ210" t="n">
        <v>0.7</v>
      </c>
      <c r="BQ210" s="110"/>
    </row>
    <row r="211">
      <c r="A211" s="44"/>
      <c r="B211" s="44" t="s">
        <v>165</v>
      </c>
      <c r="C211" s="44"/>
      <c r="D211" s="142" t="s">
        <v>149</v>
      </c>
      <c r="E211" s="142" t="n">
        <v>1300.5</v>
      </c>
      <c r="F211" s="51" t="n">
        <v>0.8</v>
      </c>
      <c r="G211" s="87" t="n">
        <v>0.22700000000000001</v>
      </c>
      <c r="H211" s="87" t="n">
        <v>0.22700000000000001</v>
      </c>
      <c r="I211" s="95"/>
      <c r="J211" s="95"/>
      <c r="K211" s="157"/>
      <c r="L211" s="157"/>
      <c r="M211" s="157" t="n">
        <v>3.9890255999999997</v>
      </c>
      <c r="N211" s="157" t="n">
        <v>3.9890255999999997</v>
      </c>
      <c r="O211" s="94" t="n">
        <f t="shared" si="91"/>
        <v>0.90909090909090906</v>
      </c>
      <c r="P211" s="103" t="n">
        <f t="shared" si="92"/>
        <v>9.0909090909090912E-2</v>
      </c>
      <c r="Q211" s="172" t="n">
        <v>0.1</v>
      </c>
      <c r="R211" s="134"/>
      <c r="S211" s="89"/>
      <c r="T211" s="130"/>
      <c r="U211" s="166"/>
      <c r="V211" s="166"/>
      <c r="W211" s="21"/>
      <c r="X211" s="21"/>
      <c r="Y211" s="21"/>
      <c r="Z211" s="21"/>
      <c r="AA211" s="21"/>
      <c r="AB211" s="21"/>
      <c r="AC211" s="21"/>
      <c r="AD211" s="21"/>
      <c r="AE211" s="21"/>
      <c r="AF211" s="21"/>
      <c r="AG211" s="21"/>
      <c r="AH211" s="21"/>
      <c r="AI211" s="173" t="n">
        <v>1.4999999999999999E-2</v>
      </c>
      <c r="AJ211" s="71"/>
      <c r="AK211" s="67"/>
      <c r="AL211" s="121" t="n">
        <v>0.44</v>
      </c>
      <c r="AM211" s="173" t="n">
        <v>1.4999999999999999E-2</v>
      </c>
      <c r="AN211" s="153"/>
      <c r="AO211" s="153"/>
      <c r="AP211" s="153" t="n">
        <v>0.442</v>
      </c>
      <c r="AQ211" s="121" t="n">
        <v>0.11534666666666667</v>
      </c>
      <c r="AR211" s="94"/>
      <c r="AS211" s="121" t="n">
        <v>0.72602958765444336</v>
      </c>
      <c r="AT211" s="59" t="n">
        <f t="shared" si="94"/>
        <v>0.17824592074592077</v>
      </c>
      <c r="AU211" s="87" t="n">
        <v>0.4400179319117839</v>
      </c>
      <c r="AV211" s="87" t="n">
        <v>0.28601165574265952</v>
      </c>
      <c r="AW211" s="5"/>
      <c r="AX211" s="107" t="n">
        <f t="shared" si="93"/>
        <v>1.4999999999999999E-2</v>
      </c>
      <c r="AY211" s="119" t="n">
        <v>17.572799999999997</v>
      </c>
      <c r="AZ211" t="n">
        <v>0.7</v>
      </c>
      <c r="BQ211" s="110"/>
    </row>
    <row r="212">
      <c r="A212" s="44"/>
      <c r="B212" s="44" t="s">
        <v>164</v>
      </c>
      <c r="C212" s="44"/>
      <c r="D212" s="142" t="s">
        <v>149</v>
      </c>
      <c r="E212" s="142"/>
      <c r="F212" s="63" t="n">
        <f>F193</f>
        <v>0.4</v>
      </c>
      <c r="G212" s="3" t="n">
        <v>0.20492973272018955</v>
      </c>
      <c r="H212" s="87" t="n">
        <v>0.28000000000000003</v>
      </c>
      <c r="I212" s="95"/>
      <c r="J212" s="95"/>
      <c r="K212" s="157"/>
      <c r="L212" s="157"/>
      <c r="M212" s="157" t="n">
        <v>4.9203840000000003</v>
      </c>
      <c r="N212" s="157" t="n">
        <v>4.9203840000000003</v>
      </c>
      <c r="O212" s="94" t="n">
        <f t="shared" si="91"/>
        <v>0.90909090909090906</v>
      </c>
      <c r="P212" s="103" t="n">
        <f t="shared" si="92"/>
        <v>9.0909090909090912E-2</v>
      </c>
      <c r="Q212" s="172" t="n">
        <v>0.1</v>
      </c>
      <c r="R212" s="134"/>
      <c r="S212" s="89"/>
      <c r="T212" s="130"/>
      <c r="U212" s="166"/>
      <c r="V212" s="166"/>
      <c r="W212" s="21"/>
      <c r="X212" s="21"/>
      <c r="Y212" s="21"/>
      <c r="Z212" s="21"/>
      <c r="AA212" s="21"/>
      <c r="AB212" s="21"/>
      <c r="AC212" s="21"/>
      <c r="AD212" s="21"/>
      <c r="AE212" s="21"/>
      <c r="AF212" s="21"/>
      <c r="AG212" s="21"/>
      <c r="AH212" s="21"/>
      <c r="AI212" s="121" t="n">
        <v>1.4999999999999999E-2</v>
      </c>
      <c r="AJ212" s="71"/>
      <c r="AK212" s="67"/>
      <c r="AL212" s="121" t="n">
        <v>0.44</v>
      </c>
      <c r="AM212" s="175" t="n">
        <f>AM193</f>
        <v>3.0899001109877908E-2</v>
      </c>
      <c r="AN212" s="153"/>
      <c r="AO212" s="153"/>
      <c r="AP212" s="153" t="n">
        <v>0.43812127659574457</v>
      </c>
      <c r="AQ212" s="121" t="n">
        <v>0.11534666666666667</v>
      </c>
      <c r="AR212" s="94"/>
      <c r="AS212" s="121" t="n">
        <v>0.72602958765444336</v>
      </c>
      <c r="AT212" s="59" t="n">
        <f t="shared" si="94"/>
        <v>0.17824592074592077</v>
      </c>
      <c r="AU212" s="87" t="n">
        <v>0.4400179319117839</v>
      </c>
      <c r="AV212" s="87" t="n">
        <v>0.28601165574265952</v>
      </c>
      <c r="AW212" s="5"/>
      <c r="AX212" s="107" t="n">
        <f t="shared" si="93"/>
        <v>1.4999999999999999E-2</v>
      </c>
      <c r="AY212" s="119" t="n">
        <v>17.572800000000001</v>
      </c>
      <c r="AZ212" t="n">
        <v>0.7</v>
      </c>
      <c r="BQ212" s="110"/>
    </row>
    <row r="213">
      <c r="A213" s="44"/>
      <c r="B213" s="44" t="s">
        <v>163</v>
      </c>
      <c r="C213" s="44"/>
      <c r="D213" s="142" t="s">
        <v>149</v>
      </c>
      <c r="E213" s="142" t="n">
        <v>885.5</v>
      </c>
      <c r="F213" s="51" t="n">
        <v>0.8</v>
      </c>
      <c r="G213" s="87" t="n">
        <v>0.22700000000000001</v>
      </c>
      <c r="H213" s="87" t="n">
        <v>0.22700000000000001</v>
      </c>
      <c r="I213" s="95"/>
      <c r="J213" s="95"/>
      <c r="K213" s="157"/>
      <c r="L213" s="157"/>
      <c r="M213" s="157" t="n">
        <v>3.9890255999999997</v>
      </c>
      <c r="N213" s="157" t="n">
        <v>3.9890255999999997</v>
      </c>
      <c r="O213" s="94" t="n">
        <f t="shared" si="91"/>
        <v>0.90909090909090906</v>
      </c>
      <c r="P213" s="103" t="n">
        <f t="shared" si="92"/>
        <v>9.0909090909090912E-2</v>
      </c>
      <c r="Q213" s="172" t="n">
        <v>0.1</v>
      </c>
      <c r="R213" s="134"/>
      <c r="S213" s="89"/>
      <c r="T213" s="130"/>
      <c r="U213" s="166"/>
      <c r="V213" s="166"/>
      <c r="W213" s="21"/>
      <c r="X213" s="21"/>
      <c r="Y213" s="21"/>
      <c r="Z213" s="21"/>
      <c r="AA213" s="21"/>
      <c r="AB213" s="21"/>
      <c r="AC213" s="21"/>
      <c r="AD213" s="21"/>
      <c r="AE213" s="21"/>
      <c r="AF213" s="21"/>
      <c r="AG213" s="21"/>
      <c r="AH213" s="21"/>
      <c r="AI213" s="173" t="n">
        <v>1.4999999999999999E-2</v>
      </c>
      <c r="AJ213" s="71"/>
      <c r="AK213" s="67"/>
      <c r="AL213" s="121" t="n">
        <v>0.44</v>
      </c>
      <c r="AM213" s="173" t="n">
        <v>1.4999999999999999E-2</v>
      </c>
      <c r="AN213" s="153"/>
      <c r="AO213" s="153"/>
      <c r="AP213" s="153" t="n">
        <v>0.46170714285714276</v>
      </c>
      <c r="AQ213" s="121" t="n">
        <v>0.11534666666666667</v>
      </c>
      <c r="AR213" s="94"/>
      <c r="AS213" s="121" t="n">
        <v>0.76724999999999999</v>
      </c>
      <c r="AT213" s="59" t="n">
        <f t="shared" si="94"/>
        <v>0.17824592074592077</v>
      </c>
      <c r="AU213" s="87" t="n">
        <v>0.46500000000000002</v>
      </c>
      <c r="AV213" s="87" t="n">
        <v>0.30225000000000002</v>
      </c>
      <c r="AW213" s="5"/>
      <c r="AX213" s="107" t="n">
        <f t="shared" si="93"/>
        <v>1.4999999999999999E-2</v>
      </c>
      <c r="AY213" s="119" t="n">
        <v>17.572799999999997</v>
      </c>
      <c r="AZ213" t="n">
        <v>0.7</v>
      </c>
      <c r="BQ213" s="110"/>
    </row>
    <row r="214">
      <c r="A214" s="44"/>
      <c r="B214" s="44" t="s">
        <v>162</v>
      </c>
      <c r="C214" s="44"/>
      <c r="D214" s="142" t="s">
        <v>149</v>
      </c>
      <c r="E214" s="142" t="n">
        <v>1350.5</v>
      </c>
      <c r="F214" s="51" t="n">
        <v>0.8</v>
      </c>
      <c r="G214" s="87" t="n">
        <v>0.22700000000000001</v>
      </c>
      <c r="H214" s="87" t="n">
        <v>0.22700000000000001</v>
      </c>
      <c r="I214" s="95"/>
      <c r="J214" s="95"/>
      <c r="K214" s="157"/>
      <c r="L214" s="157"/>
      <c r="M214" s="157" t="n">
        <v>3.9890255999999997</v>
      </c>
      <c r="N214" s="157" t="n">
        <v>3.9890255999999997</v>
      </c>
      <c r="O214" s="94" t="n">
        <f t="shared" si="91"/>
        <v>0.90909090909090906</v>
      </c>
      <c r="P214" s="103" t="n">
        <f t="shared" si="92"/>
        <v>9.0909090909090912E-2</v>
      </c>
      <c r="Q214" s="172" t="n">
        <v>0.1</v>
      </c>
      <c r="R214" s="134"/>
      <c r="S214" s="89"/>
      <c r="T214" s="130"/>
      <c r="U214" s="166"/>
      <c r="V214" s="166"/>
      <c r="W214" s="21"/>
      <c r="X214" s="21"/>
      <c r="Y214" s="21"/>
      <c r="Z214" s="21"/>
      <c r="AA214" s="21"/>
      <c r="AB214" s="21"/>
      <c r="AC214" s="21"/>
      <c r="AD214" s="21"/>
      <c r="AE214" s="21"/>
      <c r="AF214" s="21"/>
      <c r="AG214" s="21"/>
      <c r="AH214" s="21"/>
      <c r="AI214" s="173" t="n">
        <v>1.4999999999999999E-2</v>
      </c>
      <c r="AJ214" s="71"/>
      <c r="AK214" s="67"/>
      <c r="AL214" s="121" t="n">
        <v>0.44</v>
      </c>
      <c r="AM214" s="173" t="n">
        <v>1.4999999999999999E-2</v>
      </c>
      <c r="AN214" s="153"/>
      <c r="AO214" s="153"/>
      <c r="AP214" s="153" t="n">
        <v>0.43812127659574457</v>
      </c>
      <c r="AQ214" s="121" t="n">
        <v>0.11534666666666667</v>
      </c>
      <c r="AR214" s="94"/>
      <c r="AS214" s="121" t="n">
        <v>0.72602958765444336</v>
      </c>
      <c r="AT214" s="59" t="n">
        <f t="shared" si="94"/>
        <v>0.17824592074592077</v>
      </c>
      <c r="AU214" s="87" t="n">
        <v>0.4400179319117839</v>
      </c>
      <c r="AV214" s="87" t="n">
        <v>0.28601165574265952</v>
      </c>
      <c r="AW214" s="5"/>
      <c r="AX214" s="107" t="n">
        <f t="shared" si="93"/>
        <v>1.4999999999999999E-2</v>
      </c>
      <c r="AY214" s="119" t="n">
        <v>17.572799999999997</v>
      </c>
      <c r="AZ214" t="n">
        <v>0.7</v>
      </c>
      <c r="BQ214" s="110"/>
    </row>
    <row r="215">
      <c r="A215" s="44" t="s">
        <v>161</v>
      </c>
      <c r="B215" s="44" t="s">
        <v>160</v>
      </c>
      <c r="C215" s="44"/>
      <c r="D215" s="142" t="s">
        <v>149</v>
      </c>
      <c r="E215" s="131" t="n">
        <v>3780.125</v>
      </c>
      <c r="F215" s="51" t="n">
        <v>0.8</v>
      </c>
      <c r="G215" s="3" t="n">
        <v>0.21365209399604068</v>
      </c>
      <c r="H215" s="172" t="n">
        <f t="shared" ref="H215:AY215" si="95">AVERAGE(H208:H211,H213:H214)</f>
        <v>0.22700000000000001</v>
      </c>
      <c r="I215" s="172"/>
      <c r="J215" s="172"/>
      <c r="K215" s="172"/>
      <c r="L215" s="172"/>
      <c r="M215" s="172" t="n">
        <f t="shared" si="95"/>
        <v>3.9890255999999993</v>
      </c>
      <c r="N215" s="172" t="n">
        <f t="shared" si="95"/>
        <v>3.9890255999999993</v>
      </c>
      <c r="O215" s="94" t="n">
        <f t="shared" si="91"/>
        <v>0.90909090909090906</v>
      </c>
      <c r="P215" s="103" t="n">
        <f t="shared" si="92"/>
        <v>9.0909090909090912E-2</v>
      </c>
      <c r="Q215" s="172" t="n">
        <v>0.1</v>
      </c>
      <c r="R215" s="134"/>
      <c r="S215" s="89"/>
      <c r="T215" s="130"/>
      <c r="U215" s="166"/>
      <c r="V215" s="166"/>
      <c r="W215" s="21"/>
      <c r="X215" s="21"/>
      <c r="Y215" s="21"/>
      <c r="Z215" s="21"/>
      <c r="AA215" s="21"/>
      <c r="AB215" s="21"/>
      <c r="AC215" s="21"/>
      <c r="AD215" s="21"/>
      <c r="AE215" s="21"/>
      <c r="AF215" s="21"/>
      <c r="AG215" s="21"/>
      <c r="AH215" s="21"/>
      <c r="AI215" s="173" t="n">
        <f t="shared" ref="AI215" si="96">AVERAGE(AI208:AI211,AI213:AI214)</f>
        <v>1.4999999999999999E-2</v>
      </c>
      <c r="AJ215" s="100"/>
      <c r="AK215" s="97"/>
      <c r="AL215" s="172" t="n">
        <f t="shared" si="95"/>
        <v>0.44</v>
      </c>
      <c r="AM215" s="173" t="n">
        <f t="shared" si="95"/>
        <v>1.4999999999999999E-2</v>
      </c>
      <c r="AN215" s="172"/>
      <c r="AO215" s="172"/>
      <c r="AP215" s="107" t="n">
        <f t="shared" si="95"/>
        <v>0.44269870820668689</v>
      </c>
      <c r="AQ215" s="172" t="n">
        <f t="shared" si="95"/>
        <v>0.11534666666666667</v>
      </c>
      <c r="AR215" s="172"/>
      <c r="AS215" s="107" t="n">
        <f t="shared" si="95"/>
        <v>0.7328996563787028</v>
      </c>
      <c r="AT215" s="59" t="n">
        <f t="shared" si="94"/>
        <v>0.17824592074592077</v>
      </c>
      <c r="AU215" s="172" t="n">
        <f t="shared" si="95"/>
        <v>0.44418160992648659</v>
      </c>
      <c r="AV215" s="172" t="n">
        <f t="shared" si="95"/>
        <v>0.28871804645221627</v>
      </c>
      <c r="AW215" s="172"/>
      <c r="AX215" s="107" t="n">
        <f t="shared" si="93"/>
        <v>1.4999999999999999E-2</v>
      </c>
      <c r="AY215" s="172" t="n">
        <f t="shared" si="95"/>
        <v>17.572799999999997</v>
      </c>
      <c r="AZ215" t="n">
        <v>0.7</v>
      </c>
      <c r="BQ215" s="110"/>
    </row>
    <row r="216">
      <c r="A216" s="44" t="s">
        <v>159</v>
      </c>
      <c r="B216" s="44" t="s">
        <v>158</v>
      </c>
      <c r="C216" s="44"/>
      <c r="D216" s="142" t="s">
        <v>149</v>
      </c>
      <c r="E216" s="131" t="n">
        <v>1726.2657142857142</v>
      </c>
      <c r="F216" s="51" t="n">
        <v>0.4</v>
      </c>
      <c r="G216" s="3" t="n">
        <v>0.1259137971847942</v>
      </c>
      <c r="H216" s="87" t="n">
        <v>0.17960000000000004</v>
      </c>
      <c r="I216" s="44"/>
      <c r="J216" s="44"/>
      <c r="K216" s="166"/>
      <c r="L216" s="166"/>
      <c r="M216" s="166" t="n">
        <v>3.1560748800000011</v>
      </c>
      <c r="N216" s="157" t="n">
        <v>3.1560748800000011</v>
      </c>
      <c r="O216" s="94" t="n">
        <f t="shared" si="91"/>
        <v>0.90909090909090906</v>
      </c>
      <c r="P216" s="103" t="n">
        <f t="shared" si="92"/>
        <v>9.0909090909090912E-2</v>
      </c>
      <c r="Q216" s="172" t="n">
        <v>0.1</v>
      </c>
      <c r="R216" s="134"/>
      <c r="S216" s="89"/>
      <c r="T216" s="130"/>
      <c r="U216" s="166"/>
      <c r="V216" s="166"/>
      <c r="W216" s="21"/>
      <c r="X216" s="21"/>
      <c r="Y216" s="21"/>
      <c r="Z216" s="21"/>
      <c r="AA216" s="21"/>
      <c r="AB216" s="21"/>
      <c r="AC216" s="21"/>
      <c r="AD216" s="21"/>
      <c r="AE216" s="21"/>
      <c r="AF216" s="21"/>
      <c r="AG216" s="21"/>
      <c r="AH216" s="21"/>
      <c r="AI216" s="173" t="n">
        <v>2.7E-2</v>
      </c>
      <c r="AJ216" s="71"/>
      <c r="AK216" s="67"/>
      <c r="AL216" s="121" t="n">
        <v>0.44</v>
      </c>
      <c r="AM216" s="173" t="n">
        <v>2.7E-2</v>
      </c>
      <c r="AN216" s="153"/>
      <c r="AO216" s="153"/>
      <c r="AP216" s="153" t="n">
        <v>0.41233333333333338</v>
      </c>
      <c r="AQ216" s="121" t="n">
        <v>0.11534666666666667</v>
      </c>
      <c r="AR216" s="94"/>
      <c r="AS216" s="121" t="n">
        <v>0.76285000000000003</v>
      </c>
      <c r="AT216" s="59" t="n">
        <f t="shared" si="94"/>
        <v>0.17824592074592077</v>
      </c>
      <c r="AU216" s="87" t="n">
        <v>0.46233333333333332</v>
      </c>
      <c r="AV216" s="87" t="n">
        <v>0.30051666666666665</v>
      </c>
      <c r="AW216" s="5"/>
      <c r="AX216" s="107" t="n">
        <f t="shared" si="93"/>
        <v>2.7E-2</v>
      </c>
      <c r="AY216" s="119" t="n">
        <v>17.572800000000004</v>
      </c>
      <c r="AZ216" t="n">
        <v>0.7</v>
      </c>
      <c r="BQ216" s="110"/>
    </row>
    <row r="217">
      <c r="A217" s="44"/>
      <c r="B217" s="44" t="s">
        <v>157</v>
      </c>
      <c r="C217" s="44"/>
      <c r="D217" s="142" t="s">
        <v>149</v>
      </c>
      <c r="E217" s="142"/>
      <c r="F217" s="51" t="n">
        <f>F$203</f>
        <v>0.4</v>
      </c>
      <c r="G217" s="3" t="n">
        <v>0.21365209399604068</v>
      </c>
      <c r="H217" s="87" t="n">
        <v>0.2</v>
      </c>
      <c r="I217" s="44"/>
      <c r="J217" s="44"/>
      <c r="K217" s="166"/>
      <c r="L217" s="166"/>
      <c r="M217" s="166" t="n">
        <v>3.5145600000000004</v>
      </c>
      <c r="N217" s="157" t="n">
        <v>3.5145600000000004</v>
      </c>
      <c r="O217" s="94" t="n">
        <f t="shared" si="91"/>
        <v>0.90909090909090906</v>
      </c>
      <c r="P217" s="103" t="n">
        <f t="shared" si="92"/>
        <v>9.0909090909090912E-2</v>
      </c>
      <c r="Q217" s="172" t="n">
        <v>0.1</v>
      </c>
      <c r="R217" s="134"/>
      <c r="S217" s="89"/>
      <c r="T217" s="130"/>
      <c r="U217" s="166"/>
      <c r="V217" s="166"/>
      <c r="W217" s="21"/>
      <c r="X217" s="21"/>
      <c r="Y217" s="21"/>
      <c r="Z217" s="21"/>
      <c r="AA217" s="21"/>
      <c r="AB217" s="21"/>
      <c r="AC217" s="21"/>
      <c r="AD217" s="21"/>
      <c r="AE217" s="21"/>
      <c r="AF217" s="21"/>
      <c r="AG217" s="21"/>
      <c r="AH217" s="21"/>
      <c r="AI217" s="173" t="n">
        <v>1.4999999999999999E-2</v>
      </c>
      <c r="AJ217" s="71"/>
      <c r="AK217" s="67"/>
      <c r="AL217" s="121" t="n">
        <v>0.44</v>
      </c>
      <c r="AM217" s="173" t="n">
        <v>1.4999999999999999E-2</v>
      </c>
      <c r="AN217" s="153"/>
      <c r="AO217" s="153"/>
      <c r="AP217" s="153" t="n">
        <v>0.43812127659574457</v>
      </c>
      <c r="AQ217" s="121" t="n">
        <v>0.11534666666666667</v>
      </c>
      <c r="AR217" s="94"/>
      <c r="AS217" s="121" t="n">
        <v>0.72602958765444336</v>
      </c>
      <c r="AT217" s="59" t="n">
        <f t="shared" si="94"/>
        <v>0.17824592074592077</v>
      </c>
      <c r="AU217" s="87" t="n">
        <v>0.4400179319117839</v>
      </c>
      <c r="AV217" s="87" t="n">
        <v>0.28601165574265952</v>
      </c>
      <c r="AW217" s="5"/>
      <c r="AX217" s="107" t="n">
        <f t="shared" si="93"/>
        <v>1.4999999999999999E-2</v>
      </c>
      <c r="AY217" s="119" t="n">
        <v>17.572800000000001</v>
      </c>
      <c r="AZ217" t="n">
        <v>0.7</v>
      </c>
      <c r="BQ217" s="110"/>
    </row>
    <row r="218">
      <c r="A218" s="44"/>
      <c r="B218" s="44" t="s">
        <v>156</v>
      </c>
      <c r="C218" s="44"/>
      <c r="D218" s="142" t="s">
        <v>149</v>
      </c>
      <c r="E218" s="142"/>
      <c r="F218" s="51" t="n">
        <v>0.54</v>
      </c>
      <c r="G218" s="89" t="n">
        <v>0.2</v>
      </c>
      <c r="H218" s="87" t="n">
        <v>0.2</v>
      </c>
      <c r="I218" s="44"/>
      <c r="J218" s="44"/>
      <c r="K218" s="166"/>
      <c r="L218" s="166"/>
      <c r="M218" s="166" t="n">
        <v>3.5145600000000004</v>
      </c>
      <c r="N218" s="157" t="n">
        <v>3.5145600000000004</v>
      </c>
      <c r="O218" s="94" t="n">
        <f t="shared" si="91"/>
        <v>0.90909090909090906</v>
      </c>
      <c r="P218" s="103" t="n">
        <f t="shared" si="92"/>
        <v>9.0909090909090912E-2</v>
      </c>
      <c r="Q218" s="172" t="n">
        <v>0.1</v>
      </c>
      <c r="R218" s="134"/>
      <c r="S218" s="89"/>
      <c r="T218" s="130"/>
      <c r="U218" s="166"/>
      <c r="V218" s="166"/>
      <c r="W218" s="21"/>
      <c r="X218" s="21"/>
      <c r="Y218" s="21"/>
      <c r="Z218" s="21"/>
      <c r="AA218" s="21"/>
      <c r="AB218" s="21"/>
      <c r="AC218" s="21"/>
      <c r="AD218" s="21"/>
      <c r="AE218" s="21"/>
      <c r="AF218" s="21"/>
      <c r="AG218" s="21"/>
      <c r="AH218" s="21"/>
      <c r="AI218" s="173" t="n">
        <v>1.4999999999999999E-2</v>
      </c>
      <c r="AJ218" s="71"/>
      <c r="AK218" s="67"/>
      <c r="AL218" s="121" t="n">
        <v>0.44</v>
      </c>
      <c r="AM218" s="173" t="n">
        <v>1.4999999999999999E-2</v>
      </c>
      <c r="AN218" s="153"/>
      <c r="AO218" s="153"/>
      <c r="AP218" s="153" t="n">
        <v>0.43812127659574457</v>
      </c>
      <c r="AQ218" s="121" t="n">
        <v>0.11534666666666667</v>
      </c>
      <c r="AR218" s="94"/>
      <c r="AS218" s="121" t="n">
        <v>0.72602958765444336</v>
      </c>
      <c r="AT218" s="59" t="n">
        <f t="shared" si="94"/>
        <v>0.17824592074592077</v>
      </c>
      <c r="AU218" s="87" t="n">
        <v>0.4400179319117839</v>
      </c>
      <c r="AV218" s="87" t="n">
        <v>0.28601165574265952</v>
      </c>
      <c r="AW218" s="5"/>
      <c r="AX218" s="107" t="n">
        <f t="shared" si="93"/>
        <v>1.4999999999999999E-2</v>
      </c>
      <c r="AY218" s="119" t="n">
        <v>17.572800000000001</v>
      </c>
      <c r="AZ218" t="n">
        <v>0.7</v>
      </c>
      <c r="BQ218" s="110"/>
    </row>
    <row r="219">
      <c r="A219" s="44" t="s">
        <v>155</v>
      </c>
      <c r="B219" s="44" t="s">
        <v>154</v>
      </c>
      <c r="C219" s="44"/>
      <c r="D219" s="142" t="s">
        <v>149</v>
      </c>
      <c r="E219" s="131" t="n">
        <v>2423.5976785714283</v>
      </c>
      <c r="F219" s="63" t="n">
        <f>AVERAGE(F215:F216)</f>
        <v>0.60000000000000009</v>
      </c>
      <c r="G219" s="3" t="n">
        <v>0.22989558132301352</v>
      </c>
      <c r="H219" s="87" t="n">
        <v>0.19700000000000001</v>
      </c>
      <c r="I219" s="95"/>
      <c r="J219" s="95"/>
      <c r="K219" s="157"/>
      <c r="L219" s="157"/>
      <c r="M219" s="157" t="n">
        <v>3.6806229600000009</v>
      </c>
      <c r="N219" s="157" t="n">
        <v>3.6806229600000009</v>
      </c>
      <c r="O219" s="94" t="n">
        <f t="shared" si="91"/>
        <v>0.90909090909090906</v>
      </c>
      <c r="P219" s="103" t="n">
        <f t="shared" si="92"/>
        <v>9.0909090909090912E-2</v>
      </c>
      <c r="Q219" s="172" t="n">
        <v>0.1</v>
      </c>
      <c r="R219" s="134"/>
      <c r="S219" s="89"/>
      <c r="T219" s="130"/>
      <c r="U219" s="166"/>
      <c r="V219" s="166"/>
      <c r="W219" s="21"/>
      <c r="X219" s="21"/>
      <c r="Y219" s="21"/>
      <c r="Z219" s="21"/>
      <c r="AA219" s="21"/>
      <c r="AB219" s="21"/>
      <c r="AC219" s="21"/>
      <c r="AD219" s="21"/>
      <c r="AE219" s="21"/>
      <c r="AF219" s="21"/>
      <c r="AG219" s="21"/>
      <c r="AH219" s="21"/>
      <c r="AI219" s="121" t="n">
        <v>1.4999999999999999E-2</v>
      </c>
      <c r="AJ219" s="71"/>
      <c r="AK219" s="67"/>
      <c r="AL219" s="121" t="n">
        <v>0.44</v>
      </c>
      <c r="AM219" s="175" t="n">
        <f>AVERAGE(AM216,AM215)</f>
        <v>2.0999999999999998E-2</v>
      </c>
      <c r="AN219" s="153"/>
      <c r="AO219" s="153"/>
      <c r="AP219" s="153" t="n">
        <v>0.37664999999999998</v>
      </c>
      <c r="AQ219" s="121" t="n">
        <v>0.11534666666666667</v>
      </c>
      <c r="AR219" s="94"/>
      <c r="AS219" s="121" t="n">
        <v>0.72602958765444336</v>
      </c>
      <c r="AT219" s="59" t="n">
        <f t="shared" si="94"/>
        <v>0.17824592074592077</v>
      </c>
      <c r="AU219" s="87" t="n">
        <v>0.4400179319117839</v>
      </c>
      <c r="AV219" s="87" t="n">
        <v>0.28601165574265952</v>
      </c>
      <c r="AW219" s="5"/>
      <c r="AX219" s="107" t="n">
        <f t="shared" si="93"/>
        <v>1.4999999999999999E-2</v>
      </c>
      <c r="AY219" s="119" t="n">
        <v>18.683365279187822</v>
      </c>
      <c r="AZ219" t="n">
        <v>0.7</v>
      </c>
      <c r="BQ219" s="110"/>
    </row>
    <row r="220">
      <c r="A220" s="44" t="s">
        <v>153</v>
      </c>
      <c r="B220" s="44" t="s">
        <v>152</v>
      </c>
      <c r="C220" s="44"/>
      <c r="D220" s="142" t="s">
        <v>149</v>
      </c>
      <c r="E220" s="131" t="n">
        <v>2753.1953571428571</v>
      </c>
      <c r="F220" s="51" t="n">
        <f>F219</f>
        <v>0.60000000000000009</v>
      </c>
      <c r="G220" s="3" t="n">
        <v>0.29165848043341702</v>
      </c>
      <c r="H220" s="87" t="n">
        <v>0.2</v>
      </c>
      <c r="I220" s="44"/>
      <c r="J220" s="44"/>
      <c r="K220" s="166"/>
      <c r="L220" s="166"/>
      <c r="M220" s="166" t="n">
        <v>3.5145600000000004</v>
      </c>
      <c r="N220" s="157" t="n">
        <v>3.5145600000000004</v>
      </c>
      <c r="O220" s="94" t="n">
        <f t="shared" si="91"/>
        <v>0.90909090909090906</v>
      </c>
      <c r="P220" s="103" t="n">
        <f>Q220/(1+Q220)</f>
        <v>9.0909090909090912E-2</v>
      </c>
      <c r="Q220" s="172" t="n">
        <v>0.1</v>
      </c>
      <c r="R220" s="134"/>
      <c r="S220" s="89"/>
      <c r="T220" s="130"/>
      <c r="U220" s="166"/>
      <c r="V220" s="166"/>
      <c r="W220" s="21"/>
      <c r="X220" s="21"/>
      <c r="Y220" s="21"/>
      <c r="Z220" s="21"/>
      <c r="AA220" s="21"/>
      <c r="AB220" s="21"/>
      <c r="AC220" s="21"/>
      <c r="AD220" s="21"/>
      <c r="AE220" s="21"/>
      <c r="AF220" s="21"/>
      <c r="AG220" s="21"/>
      <c r="AH220" s="21"/>
      <c r="AI220" s="173" t="n">
        <v>2.5000000000000001E-2</v>
      </c>
      <c r="AJ220" s="71"/>
      <c r="AK220" s="67"/>
      <c r="AL220" s="121" t="n">
        <v>0.44</v>
      </c>
      <c r="AM220" s="173" t="n">
        <v>2.5000000000000001E-2</v>
      </c>
      <c r="AN220" s="153"/>
      <c r="AO220" s="153"/>
      <c r="AP220" s="153" t="n">
        <v>0.43812127659574457</v>
      </c>
      <c r="AQ220" s="121" t="n">
        <v>0.11534666666666667</v>
      </c>
      <c r="AR220" s="94"/>
      <c r="AS220" s="121" t="n">
        <v>0.72602958765444336</v>
      </c>
      <c r="AT220" s="59" t="n">
        <f t="shared" si="94"/>
        <v>0.17824592074592077</v>
      </c>
      <c r="AU220" s="87" t="n">
        <v>0.4400179319117839</v>
      </c>
      <c r="AV220" s="87" t="n">
        <v>0.28601165574265952</v>
      </c>
      <c r="AW220" s="5"/>
      <c r="AX220" s="107" t="n">
        <f t="shared" si="93"/>
        <v>2.5000000000000001E-2</v>
      </c>
      <c r="AY220" s="119" t="n">
        <v>17.572800000000001</v>
      </c>
      <c r="AZ220" t="n">
        <v>0.7</v>
      </c>
      <c r="BQ220" s="110"/>
    </row>
    <row r="221">
      <c r="A221" s="44" t="s">
        <v>151</v>
      </c>
      <c r="B221" s="44" t="s">
        <v>150</v>
      </c>
      <c r="C221" s="44"/>
      <c r="D221" s="142" t="s">
        <v>149</v>
      </c>
      <c r="E221" s="131" t="n">
        <v>1833</v>
      </c>
      <c r="F221" s="51" t="n">
        <v>0.54</v>
      </c>
      <c r="G221" s="3" t="n">
        <v>0.29165848043341702</v>
      </c>
      <c r="H221" s="87" t="n">
        <v>0.21460000000000004</v>
      </c>
      <c r="I221" s="132"/>
      <c r="J221" s="132"/>
      <c r="K221" s="132"/>
      <c r="L221" s="132"/>
      <c r="M221" s="157" t="n">
        <v>4.5372969600000008</v>
      </c>
      <c r="N221" s="157" t="n">
        <v>4.5372969600000008</v>
      </c>
      <c r="O221" s="94" t="n">
        <f t="shared" si="91"/>
        <v>0.90909090909090906</v>
      </c>
      <c r="P221" s="103" t="n">
        <f t="shared" si="92"/>
        <v>9.0909090909090912E-2</v>
      </c>
      <c r="Q221" s="172" t="n">
        <v>0.1</v>
      </c>
      <c r="R221" s="134"/>
      <c r="S221" s="89"/>
      <c r="T221" s="130"/>
      <c r="U221" s="166"/>
      <c r="V221" s="166"/>
      <c r="W221" s="21"/>
      <c r="X221" s="21"/>
      <c r="Y221" s="21"/>
      <c r="Z221" s="21"/>
      <c r="AA221" s="21"/>
      <c r="AB221" s="21"/>
      <c r="AC221" s="21"/>
      <c r="AD221" s="21"/>
      <c r="AE221" s="21"/>
      <c r="AF221" s="21"/>
      <c r="AG221" s="21"/>
      <c r="AH221" s="21"/>
      <c r="AI221" s="121" t="n">
        <v>1.4999999999999999E-2</v>
      </c>
      <c r="AJ221" s="71"/>
      <c r="AK221" s="67"/>
      <c r="AL221" s="121" t="n">
        <v>0.44</v>
      </c>
      <c r="AM221" s="175" t="n">
        <v>1.4999999999999999E-2</v>
      </c>
      <c r="AN221" s="153"/>
      <c r="AO221" s="153"/>
      <c r="AP221" s="153" t="n">
        <v>0.43812127659574457</v>
      </c>
      <c r="AQ221" s="121" t="n">
        <v>0.11534666666666667</v>
      </c>
      <c r="AR221" s="94"/>
      <c r="AS221" s="121" t="n">
        <v>0.72602958765444336</v>
      </c>
      <c r="AT221" s="59" t="n">
        <f t="shared" si="94"/>
        <v>0.17824592074592077</v>
      </c>
      <c r="AU221" s="87" t="n">
        <v>0.4400179319117839</v>
      </c>
      <c r="AV221" s="87" t="n">
        <v>0.28601165574265952</v>
      </c>
      <c r="AW221" s="5"/>
      <c r="AX221" s="107" t="n">
        <f t="shared" si="93"/>
        <v>1.4999999999999999E-2</v>
      </c>
      <c r="AY221" s="119" t="n">
        <v>21.143042684063374</v>
      </c>
      <c r="AZ221" t="n">
        <v>0.7</v>
      </c>
      <c r="BQ221" s="110"/>
    </row>
    <row r="222">
      <c r="A222" s="44"/>
      <c r="B222" s="44" t="s">
        <v>148</v>
      </c>
      <c r="C222" s="44"/>
      <c r="D222" s="142" t="s">
        <v>149</v>
      </c>
      <c r="E222" s="131" t="n">
        <v>2094</v>
      </c>
      <c r="F222" s="63" t="n">
        <f>AVERAGE(F215:F216)</f>
        <v>0.60000000000000009</v>
      </c>
      <c r="G222" s="89" t="n">
        <v>0.19400000000000001</v>
      </c>
      <c r="H222" s="87" t="n">
        <v>0.19400000000000001</v>
      </c>
      <c r="I222" s="44"/>
      <c r="J222" s="44"/>
      <c r="K222" s="166"/>
      <c r="L222" s="166"/>
      <c r="M222" s="157" t="n">
        <v>3.846685920000001</v>
      </c>
      <c r="N222" s="157" t="n">
        <v>3.846685920000001</v>
      </c>
      <c r="O222" s="94" t="n">
        <f t="shared" si="91"/>
        <v>0.90909090909090906</v>
      </c>
      <c r="P222" s="103" t="n">
        <f t="shared" si="92"/>
        <v>9.0909090909090912E-2</v>
      </c>
      <c r="Q222" s="172" t="n">
        <v>0.1</v>
      </c>
      <c r="R222" s="134"/>
      <c r="S222" s="89"/>
      <c r="T222" s="130"/>
      <c r="U222" s="166"/>
      <c r="V222" s="166"/>
      <c r="W222" s="21"/>
      <c r="X222" s="21"/>
      <c r="Y222" s="21"/>
      <c r="Z222" s="21"/>
      <c r="AA222" s="21"/>
      <c r="AB222" s="21"/>
      <c r="AC222" s="21"/>
      <c r="AD222" s="21"/>
      <c r="AE222" s="21"/>
      <c r="AF222" s="21"/>
      <c r="AG222" s="21"/>
      <c r="AH222" s="21"/>
      <c r="AI222" s="173" t="n">
        <v>2.5000000000000001E-2</v>
      </c>
      <c r="AJ222" s="100" t="n">
        <v>2.7928412874583795E-3</v>
      </c>
      <c r="AK222" s="66" t="n">
        <v>2.6082130965593784E-2</v>
      </c>
      <c r="AL222" s="121" t="n">
        <v>0.44</v>
      </c>
      <c r="AM222" s="173" t="n">
        <v>2.5000000000000001E-2</v>
      </c>
      <c r="AN222" s="153"/>
      <c r="AO222" s="153"/>
      <c r="AP222" s="153" t="n">
        <v>0.43812127659574457</v>
      </c>
      <c r="AQ222" s="121" t="n">
        <v>0.11534666666666667</v>
      </c>
      <c r="AR222" s="94"/>
      <c r="AS222" s="121" t="n">
        <v>0.72602958765444336</v>
      </c>
      <c r="AT222" s="59" t="n">
        <f t="shared" si="94"/>
        <v>0.17824592074592077</v>
      </c>
      <c r="AU222" s="87" t="n">
        <v>0.4400179319117839</v>
      </c>
      <c r="AV222" s="87" t="n">
        <v>0.28601165574265952</v>
      </c>
      <c r="AW222" s="5"/>
      <c r="AX222" s="107" t="n">
        <f t="shared" si="93"/>
        <v>2.5000000000000001E-2</v>
      </c>
      <c r="AY222" s="119" t="n">
        <v>19.828277938144335</v>
      </c>
      <c r="AZ222" t="n">
        <v>0.7</v>
      </c>
      <c r="BQ222" s="110"/>
    </row>
    <row r="223">
      <c r="A223" s="44"/>
      <c r="B223" s="73" t="s">
        <v>146</v>
      </c>
      <c r="C223" s="73"/>
      <c r="D223" s="142" t="s">
        <v>146</v>
      </c>
      <c r="E223" s="133"/>
      <c r="F223" s="4" t="n">
        <f>(F216/3)+(F215/3)+(F221/3)</f>
        <v>0.58000000000000007</v>
      </c>
      <c r="G223" s="159" t="n">
        <v>0.2</v>
      </c>
      <c r="H223" s="143" t="n">
        <v>0.2</v>
      </c>
      <c r="I223" s="129"/>
      <c r="J223" s="129"/>
      <c r="K223" s="105"/>
      <c r="L223" s="105"/>
      <c r="M223" s="105"/>
      <c r="N223" s="157"/>
      <c r="O223" s="172" t="n">
        <f t="shared" ref="O223:P223" si="97">O222</f>
        <v>0.90909090909090906</v>
      </c>
      <c r="P223" s="172" t="n">
        <f t="shared" si="97"/>
        <v>9.0909090909090912E-2</v>
      </c>
      <c r="Q223" s="172" t="n">
        <f>Q222</f>
        <v>0.1</v>
      </c>
      <c r="R223" s="134"/>
      <c r="S223" s="89"/>
      <c r="T223" s="130"/>
      <c r="U223" s="166"/>
      <c r="V223" s="166"/>
      <c r="W223" s="21"/>
      <c r="X223" s="21"/>
      <c r="Y223" s="21"/>
      <c r="Z223" s="21"/>
      <c r="AA223" s="21"/>
      <c r="AB223" s="21"/>
      <c r="AC223" s="21"/>
      <c r="AD223" s="21"/>
      <c r="AE223" s="21"/>
      <c r="AF223" s="21"/>
      <c r="AG223" s="21"/>
      <c r="AH223" s="21"/>
      <c r="AI223" s="128" t="n">
        <f>AI215*0.8+AI216*0.2</f>
        <v>1.7399999999999999E-2</v>
      </c>
      <c r="AJ223" s="124" t="n">
        <v>3.2000000000000002E-3</v>
      </c>
      <c r="AK223" s="137"/>
      <c r="AL223" s="150" t="n">
        <v>0.44</v>
      </c>
      <c r="AM223" s="175" t="n">
        <f>($AM$216/3)+($AM$215*2/3)</f>
        <v>1.9E-2</v>
      </c>
      <c r="AN223" s="150"/>
      <c r="AO223" s="150"/>
      <c r="AP223" s="150" t="n">
        <v>0.43812127659574457</v>
      </c>
      <c r="AQ223" s="127" t="n">
        <v>0.11534666666666667</v>
      </c>
      <c r="AR223" s="111"/>
      <c r="AS223" s="127" t="n">
        <v>0.75661666666666672</v>
      </c>
      <c r="AT223" s="59" t="n">
        <f t="shared" si="94"/>
        <v>0.17824592074592077</v>
      </c>
      <c r="AU223" s="108" t="n">
        <v>0.45855555555555555</v>
      </c>
      <c r="AV223" s="108" t="n">
        <v>0.29806111111111111</v>
      </c>
      <c r="AW223" s="144"/>
      <c r="AX223" s="107" t="n">
        <f t="shared" si="93"/>
        <v>1.7399999999999999E-2</v>
      </c>
      <c r="AY223" s="119" t="n">
        <v>17.507621677313001</v>
      </c>
      <c r="AZ223" t="n">
        <v>0.7</v>
      </c>
      <c r="BQ223" s="110"/>
    </row>
    <row r="224">
      <c r="A224" s="44" t="n">
        <v>118</v>
      </c>
      <c r="B224" s="73" t="s">
        <v>447</v>
      </c>
      <c r="C224" s="73"/>
      <c r="D224" s="142"/>
      <c r="E224" s="133"/>
      <c r="F224" s="63" t="n">
        <f>F223</f>
        <v>0.58000000000000007</v>
      </c>
      <c r="G224" s="159" t="n">
        <v>0.2</v>
      </c>
      <c r="H224" s="159" t="n">
        <v>0.2</v>
      </c>
      <c r="I224" s="94"/>
      <c r="J224" s="94"/>
      <c r="K224" s="94"/>
      <c r="L224" s="94"/>
      <c r="M224" s="94"/>
      <c r="N224" s="94"/>
      <c r="O224" s="94"/>
      <c r="P224" s="94"/>
      <c r="Q224" s="94"/>
      <c r="R224" s="134"/>
      <c r="S224" s="89"/>
      <c r="T224" s="130"/>
      <c r="U224" s="166"/>
      <c r="V224" s="166"/>
      <c r="W224" s="21"/>
      <c r="X224" s="21"/>
      <c r="Y224" s="21"/>
      <c r="Z224" s="21"/>
      <c r="AA224" s="21"/>
      <c r="AB224" s="21"/>
      <c r="AC224" s="21"/>
      <c r="AD224" s="21"/>
      <c r="AE224" s="21"/>
      <c r="AF224" s="21"/>
      <c r="AG224" s="21"/>
      <c r="AH224" s="21"/>
      <c r="AI224" s="128" t="n">
        <f>AI$223</f>
        <v>1.7399999999999999E-2</v>
      </c>
      <c r="AJ224" s="165" t="n">
        <f t="shared" ref="AI224:AY227" si="98">AJ$223</f>
        <v>3.2000000000000002E-3</v>
      </c>
      <c r="AK224" s="106"/>
      <c r="AL224" s="128" t="n">
        <f t="shared" si="98"/>
        <v>0.44</v>
      </c>
      <c r="AM224" s="176" t="n">
        <f t="shared" si="98"/>
        <v>1.9E-2</v>
      </c>
      <c r="AN224" s="128"/>
      <c r="AO224" s="128"/>
      <c r="AP224" s="128" t="n">
        <f t="shared" si="98"/>
        <v>0.43812127659574457</v>
      </c>
      <c r="AQ224" s="128" t="n">
        <f t="shared" si="98"/>
        <v>0.11534666666666667</v>
      </c>
      <c r="AR224" s="128"/>
      <c r="AS224" s="128" t="n">
        <f t="shared" si="98"/>
        <v>0.75661666666666672</v>
      </c>
      <c r="AT224" s="59" t="n">
        <f t="shared" si="94"/>
        <v>0.17824592074592077</v>
      </c>
      <c r="AU224" s="128" t="n">
        <f t="shared" si="98"/>
        <v>0.45855555555555555</v>
      </c>
      <c r="AV224" s="128" t="n">
        <f t="shared" si="98"/>
        <v>0.29806111111111111</v>
      </c>
      <c r="AW224" s="128"/>
      <c r="AX224" s="107" t="n">
        <f t="shared" si="93"/>
        <v>1.7399999999999999E-2</v>
      </c>
      <c r="AY224" s="158" t="n">
        <f t="shared" si="98"/>
        <v>17.507621677313001</v>
      </c>
      <c r="AZ224" t="n">
        <v>0.7</v>
      </c>
      <c r="BQ224" s="110"/>
    </row>
    <row r="225">
      <c r="A225" s="44" t="s">
        <v>147</v>
      </c>
      <c r="B225" s="73" t="s">
        <v>448</v>
      </c>
      <c r="C225" s="73"/>
      <c r="D225" s="142"/>
      <c r="E225" s="133"/>
      <c r="F225" s="63" t="n">
        <f>F223</f>
        <v>0.58000000000000007</v>
      </c>
      <c r="G225" s="159" t="n">
        <v>0.2</v>
      </c>
      <c r="H225" s="159" t="n">
        <v>0.2</v>
      </c>
      <c r="I225" s="94"/>
      <c r="J225" s="94"/>
      <c r="K225" s="94"/>
      <c r="L225" s="94"/>
      <c r="M225" s="94"/>
      <c r="N225" s="94"/>
      <c r="O225" s="94"/>
      <c r="P225" s="94"/>
      <c r="Q225" s="94"/>
      <c r="R225" s="134"/>
      <c r="S225" s="89"/>
      <c r="T225" s="130"/>
      <c r="U225" s="166"/>
      <c r="V225" s="166"/>
      <c r="W225" s="21"/>
      <c r="X225" s="21"/>
      <c r="Y225" s="21"/>
      <c r="Z225" s="21"/>
      <c r="AA225" s="21"/>
      <c r="AB225" s="21"/>
      <c r="AC225" s="21"/>
      <c r="AD225" s="21"/>
      <c r="AE225" s="21"/>
      <c r="AF225" s="21"/>
      <c r="AG225" s="21"/>
      <c r="AH225" s="21"/>
      <c r="AI225" s="128" t="n">
        <f t="shared" si="98"/>
        <v>1.7399999999999999E-2</v>
      </c>
      <c r="AJ225" s="165" t="n">
        <f t="shared" si="98"/>
        <v>3.2000000000000002E-3</v>
      </c>
      <c r="AK225" s="106"/>
      <c r="AL225" s="128" t="n">
        <f t="shared" si="98"/>
        <v>0.44</v>
      </c>
      <c r="AM225" s="176" t="n">
        <f t="shared" si="98"/>
        <v>1.9E-2</v>
      </c>
      <c r="AN225" s="128"/>
      <c r="AO225" s="128"/>
      <c r="AP225" s="128" t="n">
        <f t="shared" si="98"/>
        <v>0.43812127659574457</v>
      </c>
      <c r="AQ225" s="128" t="n">
        <f t="shared" si="98"/>
        <v>0.11534666666666667</v>
      </c>
      <c r="AR225" s="128"/>
      <c r="AS225" s="128" t="n">
        <f t="shared" si="98"/>
        <v>0.75661666666666672</v>
      </c>
      <c r="AT225" s="59" t="n">
        <f t="shared" si="94"/>
        <v>0.17824592074592077</v>
      </c>
      <c r="AU225" s="128" t="n">
        <f t="shared" si="98"/>
        <v>0.45855555555555555</v>
      </c>
      <c r="AV225" s="128" t="n">
        <f t="shared" si="98"/>
        <v>0.29806111111111111</v>
      </c>
      <c r="AW225" s="128"/>
      <c r="AX225" s="107" t="n">
        <f t="shared" si="93"/>
        <v>1.7399999999999999E-2</v>
      </c>
      <c r="AY225" s="158" t="n">
        <f t="shared" si="98"/>
        <v>17.507621677313001</v>
      </c>
      <c r="AZ225" t="n">
        <v>0.7</v>
      </c>
      <c r="BQ225" s="110"/>
    </row>
    <row r="226">
      <c r="A226" s="44"/>
      <c r="B226" s="44" t="s">
        <v>145</v>
      </c>
      <c r="C226" s="44"/>
      <c r="D226" s="142" t="e">
        <v>#N/A</v>
      </c>
      <c r="E226" s="142"/>
      <c r="F226" s="63" t="n">
        <f>F224</f>
        <v>0.58000000000000007</v>
      </c>
      <c r="G226" s="87" t="n">
        <v>0.2</v>
      </c>
      <c r="H226" s="87" t="n">
        <v>0.2</v>
      </c>
      <c r="I226" s="95"/>
      <c r="J226" s="95"/>
      <c r="K226" s="157"/>
      <c r="L226" s="157"/>
      <c r="M226" s="157"/>
      <c r="N226" s="157"/>
      <c r="O226" s="94"/>
      <c r="P226" s="94"/>
      <c r="Q226" s="94"/>
      <c r="R226" s="134"/>
      <c r="S226" s="89"/>
      <c r="T226" s="130"/>
      <c r="U226" s="166"/>
      <c r="V226" s="166"/>
      <c r="W226" s="21"/>
      <c r="X226" s="21"/>
      <c r="Y226" s="21"/>
      <c r="Z226" s="21"/>
      <c r="AA226" s="21"/>
      <c r="AB226" s="21"/>
      <c r="AC226" s="21"/>
      <c r="AD226" s="21"/>
      <c r="AE226" s="21"/>
      <c r="AF226" s="21"/>
      <c r="AG226" s="21"/>
      <c r="AH226" s="21"/>
      <c r="AI226" s="128" t="n">
        <f t="shared" si="98"/>
        <v>1.7399999999999999E-2</v>
      </c>
      <c r="AJ226" s="165" t="n">
        <f t="shared" si="98"/>
        <v>3.2000000000000002E-3</v>
      </c>
      <c r="AK226" s="67"/>
      <c r="AL226" s="153"/>
      <c r="AM226" s="153"/>
      <c r="AN226" s="153"/>
      <c r="AO226" s="153"/>
      <c r="AP226" s="153" t="n">
        <v>0.41816666666666674</v>
      </c>
      <c r="AQ226" s="121" t="s">
        <v>4</v>
      </c>
      <c r="AR226" s="94"/>
      <c r="AS226" s="126" t="n">
        <v>0.75661666666666672</v>
      </c>
      <c r="AT226" s="59" t="n">
        <f t="shared" si="94"/>
        <v>0.17824592074592077</v>
      </c>
      <c r="AU226" s="87" t="n">
        <v>0.4400179319117839</v>
      </c>
      <c r="AV226" s="87" t="n">
        <v>0.28601165574265952</v>
      </c>
      <c r="AW226" s="5"/>
      <c r="AX226" s="107"/>
      <c r="AY226" s="119" t="n">
        <v>0</v>
      </c>
      <c r="AZ226" t="n">
        <v>0.7</v>
      </c>
      <c r="BQ226" s="110"/>
    </row>
    <row r="227">
      <c r="A227" s="44"/>
      <c r="B227" s="44" t="s">
        <v>144</v>
      </c>
      <c r="C227" s="44"/>
      <c r="D227" s="142" t="e">
        <v>#N/A</v>
      </c>
      <c r="E227" s="142"/>
      <c r="F227" s="63" t="n">
        <f>F225</f>
        <v>0.58000000000000007</v>
      </c>
      <c r="G227" s="87" t="n">
        <v>0.2</v>
      </c>
      <c r="H227" s="87" t="n">
        <v>0.2</v>
      </c>
      <c r="I227" s="95"/>
      <c r="J227" s="95"/>
      <c r="K227" s="157"/>
      <c r="L227" s="157"/>
      <c r="M227" s="157"/>
      <c r="N227" s="157"/>
      <c r="O227" s="94"/>
      <c r="P227" s="94"/>
      <c r="Q227" s="94"/>
      <c r="R227" s="134"/>
      <c r="S227" s="89"/>
      <c r="T227" s="130"/>
      <c r="U227" s="166"/>
      <c r="V227" s="166"/>
      <c r="W227" s="21"/>
      <c r="X227" s="21"/>
      <c r="Y227" s="21"/>
      <c r="Z227" s="21"/>
      <c r="AA227" s="21"/>
      <c r="AB227" s="21"/>
      <c r="AC227" s="21"/>
      <c r="AD227" s="21"/>
      <c r="AE227" s="21"/>
      <c r="AF227" s="21"/>
      <c r="AG227" s="21"/>
      <c r="AH227" s="21"/>
      <c r="AI227" s="128" t="n">
        <f t="shared" si="98"/>
        <v>1.7399999999999999E-2</v>
      </c>
      <c r="AJ227" s="165" t="n">
        <f t="shared" si="98"/>
        <v>3.2000000000000002E-3</v>
      </c>
      <c r="AK227" s="67"/>
      <c r="AL227" s="153"/>
      <c r="AM227" s="153"/>
      <c r="AN227" s="153"/>
      <c r="AO227" s="153"/>
      <c r="AP227" s="153" t="n">
        <v>0.43812127659574457</v>
      </c>
      <c r="AQ227" s="121" t="s">
        <v>4</v>
      </c>
      <c r="AR227" s="94"/>
      <c r="AS227" s="126" t="n">
        <v>0.75661666666666672</v>
      </c>
      <c r="AT227" s="59" t="n">
        <f>$AT$228</f>
        <v>0.17824592074592077</v>
      </c>
      <c r="AU227" s="87" t="n">
        <v>0.4400179319117839</v>
      </c>
      <c r="AV227" s="87" t="n">
        <v>0.28601165574265952</v>
      </c>
      <c r="AW227" s="5"/>
      <c r="AX227" s="107"/>
      <c r="AY227" s="119" t="n">
        <v>0</v>
      </c>
      <c r="AZ227" t="n">
        <v>0.7</v>
      </c>
      <c r="BQ227" s="110"/>
    </row>
    <row r="228">
      <c r="A228" s="1"/>
      <c r="B228" s="54" t="s">
        <v>143</v>
      </c>
      <c r="C228" s="54"/>
      <c r="D228" s="142" t="e">
        <v>#N/A</v>
      </c>
      <c r="E228" s="142"/>
      <c r="F228" s="94"/>
      <c r="G228" s="89"/>
      <c r="H228" s="87" t="n">
        <v>0</v>
      </c>
      <c r="I228" s="44"/>
      <c r="J228" s="44"/>
      <c r="K228" s="166"/>
      <c r="L228" s="166"/>
      <c r="M228" s="166"/>
      <c r="N228" s="166"/>
      <c r="O228" s="94"/>
      <c r="P228" s="94"/>
      <c r="Q228" s="94"/>
      <c r="R228" s="134"/>
      <c r="S228" s="89"/>
      <c r="T228" s="130"/>
      <c r="U228" s="166"/>
      <c r="V228" s="166"/>
      <c r="W228" s="21"/>
      <c r="X228" s="21"/>
      <c r="Y228" s="21"/>
      <c r="Z228" s="21"/>
      <c r="AA228" s="21"/>
      <c r="AB228" s="21"/>
      <c r="AC228" s="21"/>
      <c r="AD228" s="21"/>
      <c r="AE228" s="21"/>
      <c r="AF228" s="21"/>
      <c r="AG228" s="21"/>
      <c r="AH228" s="21"/>
      <c r="AI228" s="21"/>
      <c r="AJ228" s="130"/>
      <c r="AK228" s="21"/>
      <c r="AL228" s="21"/>
      <c r="AM228" s="21"/>
      <c r="AN228" s="16"/>
      <c r="AO228" s="6"/>
      <c r="AP228" s="153" t="n">
        <v>0.43689436219155298</v>
      </c>
      <c r="AQ228" s="121" t="n">
        <v>0.11534666666666667</v>
      </c>
      <c r="AR228" s="44"/>
      <c r="AS228" s="153"/>
      <c r="AT228" s="87" t="n">
        <v>0.17824592074592077</v>
      </c>
      <c r="AU228" s="44"/>
      <c r="AV228" s="44"/>
      <c r="AW228" s="5"/>
      <c r="AX228" s="107"/>
      <c r="AY228" s="119"/>
      <c r="AZ228" t="n">
        <v>0.7</v>
      </c>
      <c r="BQ228" s="110"/>
    </row>
    <row r="229">
      <c r="A229" s="70"/>
      <c r="B229" s="117" t="s">
        <v>142</v>
      </c>
      <c r="C229" s="117"/>
      <c r="D229" s="117"/>
      <c r="E229" s="125"/>
      <c r="F229" s="123"/>
      <c r="G229" s="120"/>
      <c r="H229" s="120"/>
      <c r="I229" s="120"/>
      <c r="J229" s="120"/>
      <c r="K229" s="120"/>
      <c r="L229" s="120"/>
      <c r="M229" s="120"/>
      <c r="N229" s="120"/>
      <c r="O229" s="120"/>
      <c r="P229" s="120"/>
      <c r="Q229" s="120"/>
      <c r="R229" s="120"/>
      <c r="S229" s="120"/>
      <c r="T229" s="120"/>
      <c r="U229" s="116"/>
      <c r="V229" s="116"/>
      <c r="W229" s="25"/>
      <c r="X229" s="25"/>
      <c r="Y229" s="11"/>
      <c r="Z229" s="11"/>
      <c r="AA229" s="11"/>
      <c r="AB229" s="11"/>
      <c r="AC229" s="11"/>
      <c r="AD229" s="11"/>
      <c r="AE229" s="11"/>
      <c r="AF229" s="11"/>
      <c r="AG229" s="11"/>
      <c r="AH229" s="11"/>
      <c r="AI229" s="25"/>
      <c r="AJ229" s="34"/>
      <c r="AK229" s="25"/>
      <c r="AL229" s="25"/>
      <c r="AM229" s="25"/>
      <c r="AN229" s="116"/>
      <c r="AO229" s="116"/>
      <c r="AP229" s="116"/>
      <c r="AQ229" s="116"/>
      <c r="AR229" s="116"/>
      <c r="AS229" s="116"/>
      <c r="AT229" s="116"/>
      <c r="AU229" s="116"/>
      <c r="AV229" s="116"/>
      <c r="AW229" s="116"/>
      <c r="AX229" s="116"/>
      <c r="AY229" s="116"/>
      <c r="AZ229" t="n">
        <v>0.7</v>
      </c>
      <c r="BQ229" s="110"/>
    </row>
    <row r="230">
      <c r="A230" s="70"/>
      <c r="B230" s="70" t="s">
        <v>141</v>
      </c>
      <c r="C230" s="68"/>
      <c r="D230" s="68"/>
      <c r="E230" s="68"/>
      <c r="F230" s="13"/>
      <c r="G230" s="13"/>
      <c r="H230" s="13"/>
      <c r="I230" s="13"/>
      <c r="J230" s="13"/>
      <c r="K230" s="13"/>
      <c r="L230" s="13"/>
      <c r="M230" s="13"/>
      <c r="N230" s="13"/>
      <c r="O230" s="13"/>
      <c r="P230" s="13"/>
      <c r="Q230" s="13"/>
      <c r="R230" s="13"/>
      <c r="S230" s="13"/>
      <c r="T230" s="13"/>
      <c r="U230" s="13"/>
      <c r="V230" s="13"/>
      <c r="W230" s="13"/>
      <c r="X230" s="27"/>
      <c r="Y230" s="155"/>
      <c r="Z230" s="155"/>
      <c r="AA230" s="155"/>
      <c r="AB230" s="155"/>
      <c r="AC230" s="155"/>
      <c r="AD230" s="155"/>
      <c r="AE230" s="155"/>
      <c r="AF230" s="155"/>
      <c r="AG230" s="155"/>
      <c r="AH230" s="155"/>
      <c r="AI230" s="27"/>
      <c r="AJ230" s="31"/>
      <c r="AK230" s="27"/>
      <c r="AL230" s="27"/>
      <c r="AM230" s="27"/>
      <c r="AN230" s="155"/>
      <c r="AO230" s="155"/>
      <c r="AP230" s="155"/>
      <c r="AQ230" s="155"/>
      <c r="AR230" s="155"/>
      <c r="AS230" s="148"/>
      <c r="AT230" s="84"/>
      <c r="AU230" s="84"/>
      <c r="AV230" s="84"/>
      <c r="AW230" s="144"/>
      <c r="AX230" s="70"/>
      <c r="AY230" s="70"/>
      <c r="AZ230" t="n">
        <v>0.7</v>
      </c>
      <c r="BQ230" s="110"/>
    </row>
    <row r="231">
      <c r="A231" s="84"/>
      <c r="B231" s="84" t="s">
        <v>140</v>
      </c>
      <c r="C231" s="142" t="s">
        <v>139</v>
      </c>
      <c r="D231" s="142" t="e">
        <v>#N/A</v>
      </c>
      <c r="E231" s="142"/>
      <c r="F231" s="94"/>
      <c r="G231" s="89" t="n">
        <v>0.995</v>
      </c>
      <c r="H231" s="89" t="n">
        <v>0</v>
      </c>
      <c r="I231" s="44"/>
      <c r="J231" s="44"/>
      <c r="K231" s="166" t="n">
        <v>16.914999999999999</v>
      </c>
      <c r="L231" s="166"/>
      <c r="M231" s="166" t="n">
        <v>16.914999999999999</v>
      </c>
      <c r="N231" s="166"/>
      <c r="O231" s="94"/>
      <c r="P231" s="94"/>
      <c r="Q231" s="94"/>
      <c r="R231" s="134"/>
      <c r="S231" s="87" t="n">
        <f>VLOOKUP(C231,$B$3:$X$358,MATCH(S$2,$B$2:$X$2,0),0)</f>
        <v>1</v>
      </c>
      <c r="T231" s="15" t="n">
        <f>VLOOKUP($C231,$B$3:$X$358,MATCH(T$2,$B$2:$X$2,0),0)*$G231/VLOOKUP($C231,$B$3:$X$358,MATCH($G$2,$B$2:$X$2,0),0)</f>
        <v>0</v>
      </c>
      <c r="U231" s="157" t="n">
        <f>VLOOKUP($C231,$B$3:$X$358,MATCH(U$2,$B$2:$X$2,0),0)*$G231/VLOOKUP($C231,$B$3:$X$358,MATCH($G$2,$B$2:$X$2,0),0)</f>
        <v>0</v>
      </c>
      <c r="V231" s="157" t="n">
        <f>VLOOKUP($C231,$B$3:$X$358,MATCH(V$2,$B$2:$X$2,0),0)*$G231/VLOOKUP($C231,$B$3:$X$358,MATCH($G$2,$B$2:$X$2,0),0)</f>
        <v>1025.9326424870467</v>
      </c>
      <c r="W231" s="132" t="n">
        <f>VLOOKUP($C231,$B$3:$X$358,MATCH(W$2,$B$2:$X$2,0),0)*$G231/VLOOKUP($C231,$B$3:$X$358,MATCH($G$2,$B$2:$X$2,0),0)</f>
        <v>20.621761658031087</v>
      </c>
      <c r="X231" s="132" t="n">
        <f>VLOOKUP($C231,$B$3:$X$358,MATCH(X$2,$B$2:$X$2,0),0)*$G231/VLOOKUP($C231,$B$3:$X$358,MATCH($G$2,$B$2:$X$2,0),0)</f>
        <v>0</v>
      </c>
      <c r="Y231" s="67"/>
      <c r="Z231" s="66"/>
      <c r="AA231" s="66"/>
      <c r="AB231" s="66"/>
      <c r="AC231" s="66"/>
      <c r="AD231" s="153"/>
      <c r="AE231" s="153"/>
      <c r="AF231" s="153"/>
      <c r="AG231" s="153"/>
      <c r="AH231" s="153"/>
      <c r="AI231" s="153" t="n">
        <v>0</v>
      </c>
      <c r="AJ231" s="71"/>
      <c r="AK231" s="67"/>
      <c r="AL231" s="121" t="n">
        <v>0.5</v>
      </c>
      <c r="AM231" s="153"/>
      <c r="AN231" s="153"/>
      <c r="AO231" s="153"/>
      <c r="AP231" s="153" t="s">
        <v>4</v>
      </c>
      <c r="AQ231" s="121" t="s">
        <v>4</v>
      </c>
      <c r="AR231" s="94"/>
      <c r="AS231" s="148"/>
      <c r="AT231" s="84"/>
      <c r="AU231" s="84"/>
      <c r="AV231" s="84"/>
      <c r="AW231" s="5"/>
      <c r="AX231" s="84"/>
      <c r="AY231" s="84"/>
      <c r="AZ231" t="n">
        <v>0.7</v>
      </c>
      <c r="BA231" t="n">
        <v>0</v>
      </c>
      <c r="BB231" t="n">
        <v>0</v>
      </c>
      <c r="BC231" t="n">
        <v>0</v>
      </c>
      <c r="BD231" t="n">
        <v>0</v>
      </c>
      <c r="BE231" t="n">
        <v>0</v>
      </c>
      <c r="BF231" t="n">
        <v>1</v>
      </c>
      <c r="BG231" t="n">
        <v>1</v>
      </c>
      <c r="BH231" t="n">
        <v>0</v>
      </c>
      <c r="BI231" t="n">
        <v>3.13</v>
      </c>
      <c r="BJ231" t="n">
        <v>0</v>
      </c>
      <c r="BK231" t="n">
        <v>0</v>
      </c>
      <c r="BL231" t="n">
        <v>0</v>
      </c>
      <c r="BM231" t="n">
        <v>0</v>
      </c>
      <c r="BN231" t="n">
        <v>0</v>
      </c>
      <c r="BO231" t="n">
        <v>0</v>
      </c>
      <c r="BP231" t="n">
        <v>0</v>
      </c>
      <c r="BQ231" s="110"/>
    </row>
    <row r="232">
      <c r="A232" s="70"/>
      <c r="B232" s="84" t="s">
        <v>139</v>
      </c>
      <c r="C232" s="84"/>
      <c r="D232" s="142" t="e">
        <v>#N/A</v>
      </c>
      <c r="E232" s="142"/>
      <c r="F232" s="94"/>
      <c r="G232" s="89" t="n">
        <v>0.96499999999999997</v>
      </c>
      <c r="H232" s="89" t="n">
        <v>0</v>
      </c>
      <c r="I232" s="44"/>
      <c r="J232" s="44"/>
      <c r="K232" s="166" t="n">
        <v>16.411000000000001</v>
      </c>
      <c r="L232" s="166"/>
      <c r="M232" s="166" t="n">
        <v>16.411000000000001</v>
      </c>
      <c r="N232" s="166"/>
      <c r="O232" s="111"/>
      <c r="P232" s="111"/>
      <c r="Q232" s="94"/>
      <c r="R232" s="134"/>
      <c r="S232" s="89" t="n">
        <f>VLOOKUP($B232,Conversores_Dieta!$B$4:$J$164,Coefs!S$292,0)</f>
        <v>1</v>
      </c>
      <c r="T232" s="130" t="n">
        <f>VLOOKUP($B232,Conversores_Dieta!$B$4:$J$164,Coefs!T$292,0)</f>
        <v>0</v>
      </c>
      <c r="U232" s="166" t="n">
        <f>VLOOKUP($B232,Conversores_Dieta!$B$4:$J$164,Coefs!U$292,0)</f>
        <v>0</v>
      </c>
      <c r="V232" s="166" t="n">
        <f>VLOOKUP($B232,Conversores_Dieta!$B$4:$J$164,Coefs!V$292,0)</f>
        <v>995</v>
      </c>
      <c r="W232" s="21" t="n">
        <f>VLOOKUP($B232,Conversores_Dieta!$B$4:$J$164,Coefs!W$292,0)</f>
        <v>20</v>
      </c>
      <c r="X232" s="21" t="n">
        <f>VLOOKUP($B232,Conversores_Dieta!$B$4:$J$164,Coefs!X$292,0)</f>
        <v>0</v>
      </c>
      <c r="Y232" s="67"/>
      <c r="Z232" s="67"/>
      <c r="AA232" s="67"/>
      <c r="AB232" s="67"/>
      <c r="AC232" s="67"/>
      <c r="AD232" s="153"/>
      <c r="AE232" s="153"/>
      <c r="AF232" s="153"/>
      <c r="AG232" s="153"/>
      <c r="AH232" s="153"/>
      <c r="AI232" s="153" t="n">
        <v>0</v>
      </c>
      <c r="AJ232" s="71"/>
      <c r="AK232" s="67"/>
      <c r="AL232" s="121" t="n">
        <v>0.5</v>
      </c>
      <c r="AM232" s="153"/>
      <c r="AN232" s="153"/>
      <c r="AO232" s="153"/>
      <c r="AP232" s="153" t="s">
        <v>4</v>
      </c>
      <c r="AQ232" s="121" t="s">
        <v>4</v>
      </c>
      <c r="AR232" s="94"/>
      <c r="AS232" s="148"/>
      <c r="AT232" s="84"/>
      <c r="AU232" s="84"/>
      <c r="AV232" s="84"/>
      <c r="AW232" s="5"/>
      <c r="AX232" s="84"/>
      <c r="AY232" s="84"/>
      <c r="AZ232" t="n">
        <v>0.7</v>
      </c>
      <c r="BA232" t="n">
        <v>0</v>
      </c>
      <c r="BB232" t="n">
        <v>0</v>
      </c>
      <c r="BC232" t="n">
        <v>0</v>
      </c>
      <c r="BD232" t="n">
        <v>0</v>
      </c>
      <c r="BE232" t="n">
        <v>0</v>
      </c>
      <c r="BF232" t="n">
        <v>19</v>
      </c>
      <c r="BG232" t="n">
        <v>1</v>
      </c>
      <c r="BH232" t="n">
        <v>220</v>
      </c>
      <c r="BI232" t="n">
        <v>3.13</v>
      </c>
      <c r="BJ232" t="n">
        <v>0</v>
      </c>
      <c r="BK232" t="n">
        <v>0</v>
      </c>
      <c r="BL232" t="n">
        <v>0</v>
      </c>
      <c r="BM232" t="n">
        <v>0</v>
      </c>
      <c r="BN232" t="n">
        <v>0</v>
      </c>
      <c r="BO232" t="n">
        <v>0</v>
      </c>
      <c r="BP232" t="n">
        <v>0</v>
      </c>
      <c r="BQ232" s="110"/>
    </row>
    <row r="233">
      <c r="A233" s="70"/>
      <c r="B233" s="70" t="s">
        <v>135</v>
      </c>
      <c r="C233" s="70"/>
      <c r="D233" s="142" t="e">
        <v>#N/A</v>
      </c>
      <c r="E233" s="133"/>
      <c r="F233" s="111"/>
      <c r="G233" s="122"/>
      <c r="H233" s="122"/>
      <c r="I233" s="73"/>
      <c r="J233" s="73"/>
      <c r="K233" s="18"/>
      <c r="L233" s="18"/>
      <c r="M233" s="18"/>
      <c r="N233" s="18"/>
      <c r="O233" s="111"/>
      <c r="P233" s="111"/>
      <c r="Q233" s="111"/>
      <c r="R233" s="134"/>
      <c r="S233" s="89"/>
      <c r="T233" s="130"/>
      <c r="U233" s="166"/>
      <c r="V233" s="166"/>
      <c r="W233" s="21"/>
      <c r="X233" s="21"/>
      <c r="Y233" s="67"/>
      <c r="Z233" s="67"/>
      <c r="AA233" s="67"/>
      <c r="AB233" s="67"/>
      <c r="AC233" s="67"/>
      <c r="AD233" s="153"/>
      <c r="AE233" s="153"/>
      <c r="AF233" s="153"/>
      <c r="AG233" s="153"/>
      <c r="AH233" s="153"/>
      <c r="AI233" s="153" t="n">
        <v>0</v>
      </c>
      <c r="AJ233" s="124"/>
      <c r="AK233" s="137"/>
      <c r="AL233" s="121" t="n">
        <v>0.5</v>
      </c>
      <c r="AM233" s="150"/>
      <c r="AN233" s="150"/>
      <c r="AO233" s="150"/>
      <c r="AP233" s="153" t="s">
        <v>4</v>
      </c>
      <c r="AQ233" s="121" t="s">
        <v>4</v>
      </c>
      <c r="AR233" s="111"/>
      <c r="AS233" s="148"/>
      <c r="AT233" s="84"/>
      <c r="AU233" s="84"/>
      <c r="AV233" s="84"/>
      <c r="AW233" s="144"/>
      <c r="AX233" s="70"/>
      <c r="AY233" s="70"/>
      <c r="AZ233" t="n">
        <v>0.7</v>
      </c>
      <c r="BQ233" s="110"/>
    </row>
    <row r="234">
      <c r="A234" s="84"/>
      <c r="B234" s="84" t="s">
        <v>138</v>
      </c>
      <c r="C234" s="84"/>
      <c r="D234" s="142" t="s">
        <v>135</v>
      </c>
      <c r="E234" s="142"/>
      <c r="F234" s="94"/>
      <c r="G234" s="89" t="n">
        <v>0.05</v>
      </c>
      <c r="H234" s="89" t="n">
        <v>0</v>
      </c>
      <c r="I234" s="44"/>
      <c r="J234" s="44"/>
      <c r="K234" s="103" t="n">
        <f t="shared" ref="K234:K235" si="99">K$237*G234/G$237</f>
        <v>1.3814432989690724</v>
      </c>
      <c r="L234" s="166"/>
      <c r="M234" s="166" t="n">
        <f t="shared" ref="M234:M235" si="100">K234</f>
        <v>1.3814432989690724</v>
      </c>
      <c r="N234" s="166"/>
      <c r="O234" s="94"/>
      <c r="P234" s="94"/>
      <c r="Q234" s="94"/>
      <c r="R234" s="134"/>
      <c r="S234" s="89" t="n">
        <f>VLOOKUP($B234,Conversores_Dieta!$B$4:$J$164,Coefs!S$292,0)</f>
        <v>1</v>
      </c>
      <c r="T234" s="130" t="n">
        <f>VLOOKUP($B234,Conversores_Dieta!$B$4:$J$164,Coefs!T$292,0)</f>
        <v>4.8000000000000001E-4</v>
      </c>
      <c r="U234" s="166" t="n">
        <f>VLOOKUP($B234,Conversores_Dieta!$B$4:$J$164,Coefs!U$292,0)</f>
        <v>0</v>
      </c>
      <c r="V234" s="166" t="n">
        <f>VLOOKUP($B234,Conversores_Dieta!$B$4:$J$164,Coefs!V$292,0)</f>
        <v>24</v>
      </c>
      <c r="W234" s="21" t="n">
        <f>VLOOKUP($B234,Conversores_Dieta!$B$4:$J$164,Coefs!W$292,0)</f>
        <v>70</v>
      </c>
      <c r="X234" s="21" t="n">
        <f>VLOOKUP($B234,Conversores_Dieta!$B$4:$J$164,Coefs!X$292,0)</f>
        <v>0</v>
      </c>
      <c r="Y234" s="67"/>
      <c r="Z234" s="67"/>
      <c r="AA234" s="67"/>
      <c r="AB234" s="67"/>
      <c r="AC234" s="67"/>
      <c r="AD234" s="153"/>
      <c r="AE234" s="153"/>
      <c r="AF234" s="153"/>
      <c r="AG234" s="153"/>
      <c r="AH234" s="153"/>
      <c r="AI234" s="153" t="n">
        <v>0</v>
      </c>
      <c r="AJ234" s="71"/>
      <c r="AK234" s="67"/>
      <c r="AL234" s="121" t="n">
        <v>0.5</v>
      </c>
      <c r="AM234" s="153"/>
      <c r="AN234" s="153"/>
      <c r="AO234" s="153"/>
      <c r="AP234" s="153" t="s">
        <v>4</v>
      </c>
      <c r="AQ234" s="121" t="s">
        <v>4</v>
      </c>
      <c r="AR234" s="94" t="n">
        <v>0.98946499999999993</v>
      </c>
      <c r="AS234" s="148"/>
      <c r="AT234" s="84"/>
      <c r="AU234" s="84"/>
      <c r="AV234" s="84"/>
      <c r="AW234" s="5"/>
      <c r="AX234" s="84"/>
      <c r="AY234" s="84"/>
      <c r="AZ234" t="n">
        <v>0.7</v>
      </c>
      <c r="BA234" t="n">
        <v>4</v>
      </c>
      <c r="BB234" t="n">
        <v>0</v>
      </c>
      <c r="BC234" t="n">
        <v>0</v>
      </c>
      <c r="BD234" t="n">
        <v>0</v>
      </c>
      <c r="BE234" t="n">
        <v>0</v>
      </c>
      <c r="BF234" t="n">
        <v>0.1</v>
      </c>
      <c r="BG234" t="n">
        <v>0</v>
      </c>
      <c r="BH234" t="n">
        <v>96</v>
      </c>
      <c r="BI234" t="n">
        <v>1.77</v>
      </c>
      <c r="BJ234" t="n">
        <v>1.5</v>
      </c>
      <c r="BK234" t="n">
        <v>0</v>
      </c>
      <c r="BL234" t="n">
        <v>63</v>
      </c>
      <c r="BM234" t="n">
        <v>0</v>
      </c>
      <c r="BN234" t="n">
        <v>0</v>
      </c>
      <c r="BO234" t="n">
        <v>250</v>
      </c>
      <c r="BP234" t="n">
        <v>0</v>
      </c>
      <c r="BQ234" s="110"/>
    </row>
    <row r="235">
      <c r="A235" s="84"/>
      <c r="B235" s="1" t="s">
        <v>753</v>
      </c>
      <c r="C235" s="1"/>
      <c r="D235" s="142" t="s">
        <v>135</v>
      </c>
      <c r="E235" s="142"/>
      <c r="F235" s="94"/>
      <c r="G235" s="89" t="n">
        <v>0.4</v>
      </c>
      <c r="H235" s="89" t="n">
        <v>0</v>
      </c>
      <c r="I235" s="44"/>
      <c r="J235" s="44"/>
      <c r="K235" s="103" t="n">
        <f t="shared" si="99"/>
        <v>11.051546391752579</v>
      </c>
      <c r="L235" s="166"/>
      <c r="M235" s="166" t="n">
        <f t="shared" si="100"/>
        <v>11.051546391752579</v>
      </c>
      <c r="N235" s="166"/>
      <c r="O235" s="94"/>
      <c r="P235" s="94"/>
      <c r="Q235" s="94"/>
      <c r="R235" s="134"/>
      <c r="S235" s="89" t="n">
        <f>VLOOKUP($B235,Conversores_Dieta!$B$4:$J$164,Coefs!S$292,0)</f>
        <v>1</v>
      </c>
      <c r="T235" s="130" t="n">
        <f>VLOOKUP($B235,Conversores_Dieta!$B$4:$J$164,Coefs!T$292,0)</f>
        <v>0</v>
      </c>
      <c r="U235" s="166" t="n">
        <f>VLOOKUP($B235,Conversores_Dieta!$B$4:$J$164,Coefs!U$292,0)</f>
        <v>0</v>
      </c>
      <c r="V235" s="166" t="n">
        <f>VLOOKUP($B235,Conversores_Dieta!$B$4:$J$164,Coefs!V$292,0)</f>
        <v>0</v>
      </c>
      <c r="W235" s="21" t="n">
        <f>VLOOKUP($B235,Conversores_Dieta!$B$4:$J$164,Coefs!W$292,0)</f>
        <v>0</v>
      </c>
      <c r="X235" s="21" t="n">
        <f>VLOOKUP($B235,Conversores_Dieta!$B$4:$J$164,Coefs!X$292,0)</f>
        <v>0</v>
      </c>
      <c r="Y235" s="67"/>
      <c r="Z235" s="67"/>
      <c r="AA235" s="67"/>
      <c r="AB235" s="67"/>
      <c r="AC235" s="67"/>
      <c r="AD235" s="153"/>
      <c r="AE235" s="153"/>
      <c r="AF235" s="153"/>
      <c r="AG235" s="153"/>
      <c r="AH235" s="153"/>
      <c r="AI235" s="153" t="n">
        <v>0</v>
      </c>
      <c r="AJ235" s="71"/>
      <c r="AK235" s="67"/>
      <c r="AL235" s="121" t="n">
        <v>0.5</v>
      </c>
      <c r="AM235" s="153"/>
      <c r="AN235" s="153"/>
      <c r="AO235" s="153"/>
      <c r="AP235" s="153" t="s">
        <v>4</v>
      </c>
      <c r="AQ235" s="121" t="s">
        <v>4</v>
      </c>
      <c r="AR235" s="94" t="n">
        <v>0.91571999999999998</v>
      </c>
      <c r="AS235" s="148"/>
      <c r="AT235" s="84"/>
      <c r="AU235" s="84"/>
      <c r="AV235" s="84"/>
      <c r="AW235" s="5"/>
      <c r="AX235" s="84"/>
      <c r="AY235" s="84"/>
      <c r="AZ235" t="n">
        <v>0.7</v>
      </c>
      <c r="BA235" t="n">
        <v>0</v>
      </c>
      <c r="BB235" t="n">
        <v>0</v>
      </c>
      <c r="BC235" t="n">
        <v>0</v>
      </c>
      <c r="BD235" t="n">
        <v>0</v>
      </c>
      <c r="BE235" t="n">
        <v>0</v>
      </c>
      <c r="BF235" t="n">
        <v>0</v>
      </c>
      <c r="BG235" t="n">
        <v>0</v>
      </c>
      <c r="BH235" t="n">
        <v>0</v>
      </c>
      <c r="BI235" t="n">
        <v>1.48</v>
      </c>
      <c r="BJ235" t="n">
        <v>0</v>
      </c>
      <c r="BK235" t="n">
        <v>0</v>
      </c>
      <c r="BL235" t="n">
        <v>0</v>
      </c>
      <c r="BM235" t="n">
        <v>0</v>
      </c>
      <c r="BN235" t="n">
        <v>0</v>
      </c>
      <c r="BO235" t="n">
        <v>0</v>
      </c>
      <c r="BP235" t="n">
        <v>0</v>
      </c>
      <c r="BQ235" s="110"/>
    </row>
    <row r="236">
      <c r="A236" s="84"/>
      <c r="B236" s="1" t="s">
        <v>754</v>
      </c>
      <c r="C236" s="1" t="s">
        <v>136</v>
      </c>
      <c r="D236" s="142" t="s">
        <v>135</v>
      </c>
      <c r="E236" s="142"/>
      <c r="F236" s="94"/>
      <c r="G236" s="89" t="n">
        <v>0.10100000000000001</v>
      </c>
      <c r="H236" s="89" t="n">
        <v>6.0000000000000053E-3</v>
      </c>
      <c r="I236" s="94"/>
      <c r="J236" s="94"/>
      <c r="K236" s="103" t="n">
        <f>K$237*G236/G$237</f>
        <v>2.7905154639175263</v>
      </c>
      <c r="L236" s="94" t="n">
        <v>0</v>
      </c>
      <c r="M236" s="166" t="n">
        <f>K236</f>
        <v>2.7905154639175263</v>
      </c>
      <c r="N236" s="166"/>
      <c r="O236" s="94"/>
      <c r="P236" s="94"/>
      <c r="Q236" s="94"/>
      <c r="R236" s="134"/>
      <c r="S236" s="87" t="n">
        <f>VLOOKUP(C236,$B$3:$X$358,MATCH(S$2,$B$2:$X$2,0),0)</f>
        <v>1</v>
      </c>
      <c r="T236" s="15" t="n">
        <f t="shared" ref="T236:X237" si="101">VLOOKUP($C236,$B$3:$X$358,MATCH(T$2,$B$2:$X$2,0),0)*$G236/VLOOKUP($C236,$B$3:$X$358,MATCH($G$2,$B$2:$X$2,0),0)</f>
        <v>1.0631578947368419E-4</v>
      </c>
      <c r="U236" s="157" t="n">
        <f t="shared" si="101"/>
        <v>0</v>
      </c>
      <c r="V236" s="157" t="n">
        <f t="shared" si="101"/>
        <v>7.3092105263157885</v>
      </c>
      <c r="W236" s="132" t="n">
        <f t="shared" si="101"/>
        <v>57.809210526315788</v>
      </c>
      <c r="X236" s="132" t="n">
        <f t="shared" si="101"/>
        <v>0</v>
      </c>
      <c r="Y236" s="67"/>
      <c r="Z236" s="66"/>
      <c r="AA236" s="66"/>
      <c r="AB236" s="66"/>
      <c r="AC236" s="66"/>
      <c r="AD236" s="153"/>
      <c r="AE236" s="153"/>
      <c r="AF236" s="153"/>
      <c r="AG236" s="153"/>
      <c r="AH236" s="153"/>
      <c r="AI236" s="153" t="n">
        <v>0</v>
      </c>
      <c r="AJ236" s="71"/>
      <c r="AK236" s="67"/>
      <c r="AL236" s="121" t="n">
        <v>0.5</v>
      </c>
      <c r="AM236" s="153"/>
      <c r="AN236" s="153"/>
      <c r="AO236" s="153"/>
      <c r="AP236" s="153" t="s">
        <v>4</v>
      </c>
      <c r="AQ236" s="121" t="s">
        <v>4</v>
      </c>
      <c r="AR236" s="94" t="n">
        <v>0.97871930000000007</v>
      </c>
      <c r="AS236" s="148"/>
      <c r="AT236" s="84"/>
      <c r="AU236" s="84"/>
      <c r="AV236" s="84"/>
      <c r="AW236" s="5"/>
      <c r="AX236" s="84"/>
      <c r="AY236" s="84"/>
      <c r="AZ236" t="n">
        <v>0.7</v>
      </c>
      <c r="BA236" t="n">
        <v>4</v>
      </c>
      <c r="BB236" t="n">
        <v>0</v>
      </c>
      <c r="BC236" t="n">
        <v>0</v>
      </c>
      <c r="BD236" t="n">
        <v>0</v>
      </c>
      <c r="BE236" t="n">
        <v>0</v>
      </c>
      <c r="BF236" t="n">
        <v>0</v>
      </c>
      <c r="BG236" t="n">
        <v>0</v>
      </c>
      <c r="BH236" t="n">
        <v>96</v>
      </c>
      <c r="BI236" t="n">
        <v>1.77</v>
      </c>
      <c r="BJ236" t="n">
        <v>8.4</v>
      </c>
      <c r="BK236" t="n">
        <v>0</v>
      </c>
      <c r="BL236" t="n">
        <v>0</v>
      </c>
      <c r="BM236" t="n">
        <v>0</v>
      </c>
      <c r="BN236" t="n">
        <v>0</v>
      </c>
      <c r="BO236" t="n">
        <v>250</v>
      </c>
      <c r="BP236" t="n">
        <v>0</v>
      </c>
      <c r="BQ236" s="110"/>
    </row>
    <row r="237">
      <c r="A237" s="84"/>
      <c r="B237" s="1" t="s">
        <v>801</v>
      </c>
      <c r="C237" s="1" t="s">
        <v>572</v>
      </c>
      <c r="D237" s="142" t="s">
        <v>135</v>
      </c>
      <c r="E237" s="142"/>
      <c r="F237" s="94"/>
      <c r="G237" s="89" t="n">
        <v>0.97</v>
      </c>
      <c r="H237" s="89" t="n">
        <v>0</v>
      </c>
      <c r="I237" s="44"/>
      <c r="J237" s="44"/>
      <c r="K237" s="166" t="n">
        <v>26.8</v>
      </c>
      <c r="L237" s="166"/>
      <c r="M237" s="166" t="n">
        <f>K237</f>
        <v>26.8</v>
      </c>
      <c r="N237" s="166"/>
      <c r="O237" s="94"/>
      <c r="P237" s="94"/>
      <c r="Q237" s="94"/>
      <c r="R237" s="134"/>
      <c r="S237" s="87" t="n">
        <f>VLOOKUP(C237,$B$3:$X$358,MATCH(S$2,$B$2:$X$2,0),0)</f>
        <v>1</v>
      </c>
      <c r="T237" s="15" t="n">
        <f t="shared" si="101"/>
        <v>0</v>
      </c>
      <c r="U237" s="157" t="n">
        <f t="shared" si="101"/>
        <v>0</v>
      </c>
      <c r="V237" s="157" t="n">
        <f t="shared" si="101"/>
        <v>0</v>
      </c>
      <c r="W237" s="132" t="n">
        <f t="shared" si="101"/>
        <v>0</v>
      </c>
      <c r="X237" s="132" t="n">
        <f t="shared" si="101"/>
        <v>0</v>
      </c>
      <c r="Y237" s="67"/>
      <c r="Z237" s="66"/>
      <c r="AA237" s="66"/>
      <c r="AB237" s="66"/>
      <c r="AC237" s="66"/>
      <c r="AD237" s="153"/>
      <c r="AE237" s="153"/>
      <c r="AF237" s="153"/>
      <c r="AG237" s="153"/>
      <c r="AH237" s="153"/>
      <c r="AI237" s="153" t="n">
        <v>0</v>
      </c>
      <c r="AJ237" s="71"/>
      <c r="AK237" s="67"/>
      <c r="AL237" s="121" t="n">
        <v>0.5</v>
      </c>
      <c r="AM237" s="153"/>
      <c r="AN237" s="153"/>
      <c r="AO237" s="153"/>
      <c r="AP237" s="153" t="s">
        <v>4</v>
      </c>
      <c r="AQ237" s="121" t="s">
        <v>4</v>
      </c>
      <c r="AR237" s="94" t="n">
        <v>0.79562100000000002</v>
      </c>
      <c r="AS237" s="148"/>
      <c r="AT237" s="84"/>
      <c r="AU237" s="84"/>
      <c r="AV237" s="84"/>
      <c r="AW237" s="5"/>
      <c r="AX237" s="84"/>
      <c r="AY237" s="84"/>
      <c r="AZ237" t="n">
        <v>0.7</v>
      </c>
      <c r="BQ237" s="110"/>
    </row>
    <row r="238">
      <c r="A238" s="84"/>
      <c r="B238" s="1" t="s">
        <v>757</v>
      </c>
      <c r="C238" s="1"/>
      <c r="D238" s="142" t="s">
        <v>135</v>
      </c>
      <c r="E238" s="142"/>
      <c r="F238" s="94"/>
      <c r="G238" s="89" t="n">
        <v>0.97</v>
      </c>
      <c r="H238" s="89" t="n">
        <v>0</v>
      </c>
      <c r="I238" s="44"/>
      <c r="J238" s="44"/>
      <c r="K238" s="166" t="n">
        <v>26.8</v>
      </c>
      <c r="L238" s="166"/>
      <c r="M238" s="166" t="n">
        <f>K238</f>
        <v>26.8</v>
      </c>
      <c r="N238" s="166"/>
      <c r="O238" s="94"/>
      <c r="P238" s="94"/>
      <c r="Q238" s="94"/>
      <c r="R238" s="134"/>
      <c r="S238" s="87" t="n">
        <f>S237</f>
        <v>1</v>
      </c>
      <c r="T238" s="157" t="n">
        <f>T237</f>
        <v>0</v>
      </c>
      <c r="U238" s="157" t="n">
        <f t="shared" ref="U238:X238" si="102">U237</f>
        <v>0</v>
      </c>
      <c r="V238" s="157" t="n">
        <f t="shared" si="102"/>
        <v>0</v>
      </c>
      <c r="W238" s="157" t="n">
        <f t="shared" si="102"/>
        <v>0</v>
      </c>
      <c r="X238" s="157" t="n">
        <f t="shared" si="102"/>
        <v>0</v>
      </c>
      <c r="Y238" s="67"/>
      <c r="Z238" s="66"/>
      <c r="AA238" s="66"/>
      <c r="AB238" s="66"/>
      <c r="AC238" s="66"/>
      <c r="AD238" s="153"/>
      <c r="AE238" s="153"/>
      <c r="AF238" s="153"/>
      <c r="AG238" s="153"/>
      <c r="AH238" s="153"/>
      <c r="AI238" s="153" t="n">
        <v>0</v>
      </c>
      <c r="AJ238" s="71"/>
      <c r="AK238" s="67"/>
      <c r="AL238" s="121" t="n">
        <v>0.5</v>
      </c>
      <c r="AM238" s="153"/>
      <c r="AN238" s="153"/>
      <c r="AO238" s="153"/>
      <c r="AP238" s="153" t="s">
        <v>4</v>
      </c>
      <c r="AQ238" s="121" t="s">
        <v>4</v>
      </c>
      <c r="AR238" s="94" t="n">
        <v>0.79562100000000002</v>
      </c>
      <c r="AS238" s="148"/>
      <c r="AT238" s="84"/>
      <c r="AU238" s="84"/>
      <c r="AV238" s="84"/>
      <c r="AW238" s="5"/>
      <c r="AX238" s="84"/>
      <c r="AY238" s="84"/>
      <c r="AZ238" t="n">
        <v>0.7</v>
      </c>
      <c r="BQ238" s="110"/>
    </row>
    <row r="239">
      <c r="A239" s="84"/>
      <c r="B239" s="84" t="s">
        <v>136</v>
      </c>
      <c r="C239" s="84"/>
      <c r="D239" s="142" t="s">
        <v>135</v>
      </c>
      <c r="E239" s="142"/>
      <c r="F239" s="94"/>
      <c r="G239" s="89" t="n">
        <v>0.15200000000000002</v>
      </c>
      <c r="H239" s="89" t="n">
        <v>1.2000000000000011E-2</v>
      </c>
      <c r="I239" s="44"/>
      <c r="J239" s="44"/>
      <c r="K239" s="103" t="n">
        <f>K$237*G239/G$237</f>
        <v>4.1995876288659799</v>
      </c>
      <c r="L239" s="166" t="n">
        <v>0</v>
      </c>
      <c r="M239" s="157" t="n">
        <f t="shared" ref="M239:M242" si="103">K239</f>
        <v>4.1995876288659799</v>
      </c>
      <c r="N239" s="166"/>
      <c r="O239" s="94"/>
      <c r="P239" s="94"/>
      <c r="Q239" s="94"/>
      <c r="R239" s="134"/>
      <c r="S239" s="89" t="n">
        <f>VLOOKUP($B239,Conversores_Dieta!$B$4:$J$164,Coefs!S$292,0)</f>
        <v>1</v>
      </c>
      <c r="T239" s="130" t="n">
        <f>VLOOKUP($B239,Conversores_Dieta!$B$4:$J$164,Coefs!T$292,0)</f>
        <v>1.6000000000000001E-4</v>
      </c>
      <c r="U239" s="166" t="n">
        <f>VLOOKUP($B239,Conversores_Dieta!$B$4:$J$164,Coefs!U$292,0)</f>
        <v>0</v>
      </c>
      <c r="V239" s="166" t="n">
        <f>VLOOKUP($B239,Conversores_Dieta!$B$4:$J$164,Coefs!V$292,0)</f>
        <v>11</v>
      </c>
      <c r="W239" s="21" t="n">
        <f>VLOOKUP($B239,Conversores_Dieta!$B$4:$J$164,Coefs!W$292,0)</f>
        <v>87</v>
      </c>
      <c r="X239" s="21" t="n">
        <f>VLOOKUP($B239,Conversores_Dieta!$B$4:$J$164,Coefs!X$292,0)</f>
        <v>0</v>
      </c>
      <c r="Y239" s="67"/>
      <c r="Z239" s="67"/>
      <c r="AA239" s="67"/>
      <c r="AB239" s="67"/>
      <c r="AC239" s="67"/>
      <c r="AD239" s="153"/>
      <c r="AE239" s="153"/>
      <c r="AF239" s="153"/>
      <c r="AG239" s="153"/>
      <c r="AH239" s="153"/>
      <c r="AI239" s="153" t="n">
        <v>0</v>
      </c>
      <c r="AJ239" s="71"/>
      <c r="AK239" s="67"/>
      <c r="AL239" s="121" t="n">
        <v>0.5</v>
      </c>
      <c r="AM239" s="153"/>
      <c r="AN239" s="153"/>
      <c r="AO239" s="153"/>
      <c r="AP239" s="153" t="s">
        <v>4</v>
      </c>
      <c r="AQ239" s="121" t="s">
        <v>4</v>
      </c>
      <c r="AR239" s="94" t="n">
        <v>0.96797359999999999</v>
      </c>
      <c r="AS239" s="148"/>
      <c r="AT239" s="84"/>
      <c r="AU239" s="84"/>
      <c r="AV239" s="84"/>
      <c r="AW239" s="5"/>
      <c r="AX239" s="84"/>
      <c r="AY239" s="84"/>
      <c r="AZ239" t="n">
        <v>0.7</v>
      </c>
      <c r="BA239" t="n">
        <v>0</v>
      </c>
      <c r="BB239" t="n">
        <v>0</v>
      </c>
      <c r="BC239" t="n">
        <v>0</v>
      </c>
      <c r="BD239" t="n">
        <v>0</v>
      </c>
      <c r="BE239" t="n">
        <v>0</v>
      </c>
      <c r="BF239" t="n">
        <v>9</v>
      </c>
      <c r="BG239" t="n">
        <v>0.5</v>
      </c>
      <c r="BH239" t="n">
        <v>110</v>
      </c>
      <c r="BI239" t="n">
        <v>1.24</v>
      </c>
      <c r="BJ239" t="n">
        <v>0.1</v>
      </c>
      <c r="BK239" t="n">
        <v>0</v>
      </c>
      <c r="BL239" t="n">
        <v>10</v>
      </c>
      <c r="BM239" t="n">
        <v>0</v>
      </c>
      <c r="BN239" t="n">
        <v>0</v>
      </c>
      <c r="BO239" t="n">
        <v>2500</v>
      </c>
      <c r="BP239" t="n">
        <v>0</v>
      </c>
      <c r="BQ239" s="110"/>
    </row>
    <row r="240">
      <c r="A240" s="84"/>
      <c r="B240" s="84" t="s">
        <v>134</v>
      </c>
      <c r="C240" s="1" t="s">
        <v>136</v>
      </c>
      <c r="D240" s="142" t="e">
        <v>#N/A</v>
      </c>
      <c r="E240" s="142"/>
      <c r="F240" s="94"/>
      <c r="G240" s="89" t="n">
        <v>0.33200000000000002</v>
      </c>
      <c r="H240" s="89" t="n">
        <v>0.13200000000000001</v>
      </c>
      <c r="I240" s="44"/>
      <c r="J240" s="44"/>
      <c r="K240" s="103" t="n">
        <f t="shared" ref="K240:K242" si="104">K$237*G240/G$237</f>
        <v>9.1727835051546407</v>
      </c>
      <c r="L240" s="166" t="n">
        <v>0</v>
      </c>
      <c r="M240" s="157" t="n">
        <f t="shared" si="103"/>
        <v>9.1727835051546407</v>
      </c>
      <c r="N240" s="166"/>
      <c r="O240" s="94"/>
      <c r="P240" s="94"/>
      <c r="Q240" s="94"/>
      <c r="R240" s="134"/>
      <c r="S240" s="87" t="n">
        <f>VLOOKUP(C240,$B$3:$X$358,MATCH(S$2,$B$2:$X$2,0),0)</f>
        <v>1</v>
      </c>
      <c r="T240" s="15" t="n">
        <f t="shared" ref="T240:X242" si="105">VLOOKUP($C240,$B$3:$X$358,MATCH(T$2,$B$2:$X$2,0),0)*$G240/VLOOKUP($C240,$B$3:$X$358,MATCH($G$2,$B$2:$X$2,0),0)</f>
        <v>3.4947368421052628E-4</v>
      </c>
      <c r="U240" s="157" t="n">
        <f t="shared" si="105"/>
        <v>0</v>
      </c>
      <c r="V240" s="157" t="n">
        <f t="shared" si="105"/>
        <v>24.026315789473681</v>
      </c>
      <c r="W240" s="132" t="n">
        <f t="shared" si="105"/>
        <v>190.02631578947364</v>
      </c>
      <c r="X240" s="132" t="n">
        <f t="shared" si="105"/>
        <v>0</v>
      </c>
      <c r="Y240" s="67"/>
      <c r="Z240" s="66"/>
      <c r="AA240" s="66"/>
      <c r="AB240" s="66"/>
      <c r="AC240" s="66"/>
      <c r="AD240" s="153"/>
      <c r="AE240" s="153"/>
      <c r="AF240" s="153"/>
      <c r="AG240" s="153"/>
      <c r="AH240" s="153"/>
      <c r="AI240" s="153" t="n">
        <v>0</v>
      </c>
      <c r="AJ240" s="71"/>
      <c r="AK240" s="67"/>
      <c r="AL240" s="121" t="n">
        <v>0.5</v>
      </c>
      <c r="AM240" s="153"/>
      <c r="AN240" s="153"/>
      <c r="AO240" s="153"/>
      <c r="AP240" s="153" t="s">
        <v>4</v>
      </c>
      <c r="AQ240" s="121" t="s">
        <v>4</v>
      </c>
      <c r="AR240" s="94" t="n">
        <v>0.93004759999999997</v>
      </c>
      <c r="AS240" s="148"/>
      <c r="AT240" s="84"/>
      <c r="AU240" s="84"/>
      <c r="AV240" s="84"/>
      <c r="AW240" s="5"/>
      <c r="AX240" s="84"/>
      <c r="AY240" s="84"/>
      <c r="AZ240" t="n">
        <v>0.7</v>
      </c>
      <c r="BA240" s="156" t="n">
        <f>BA239</f>
        <v>0</v>
      </c>
      <c r="BB240" s="156" t="n">
        <f t="shared" ref="BB240:BP240" si="106">BB239</f>
        <v>0</v>
      </c>
      <c r="BC240" s="156" t="n">
        <f t="shared" si="106"/>
        <v>0</v>
      </c>
      <c r="BD240" s="156" t="n">
        <f t="shared" si="106"/>
        <v>0</v>
      </c>
      <c r="BE240" s="156" t="n">
        <f t="shared" si="106"/>
        <v>0</v>
      </c>
      <c r="BF240" s="156" t="n">
        <f t="shared" si="106"/>
        <v>9</v>
      </c>
      <c r="BG240" s="156" t="n">
        <f t="shared" si="106"/>
        <v>0.5</v>
      </c>
      <c r="BH240" s="156" t="n">
        <f t="shared" si="106"/>
        <v>110</v>
      </c>
      <c r="BI240" s="156" t="n">
        <f t="shared" si="106"/>
        <v>1.24</v>
      </c>
      <c r="BJ240" s="156" t="n">
        <f t="shared" si="106"/>
        <v>0.1</v>
      </c>
      <c r="BK240" s="156" t="n">
        <f t="shared" si="106"/>
        <v>0</v>
      </c>
      <c r="BL240" s="156" t="n">
        <f t="shared" si="106"/>
        <v>10</v>
      </c>
      <c r="BM240" s="156" t="n">
        <f t="shared" si="106"/>
        <v>0</v>
      </c>
      <c r="BN240" s="156" t="n">
        <f t="shared" si="106"/>
        <v>0</v>
      </c>
      <c r="BO240" s="156" t="n">
        <f t="shared" si="106"/>
        <v>2500</v>
      </c>
      <c r="BP240" s="156" t="n">
        <f t="shared" si="106"/>
        <v>0</v>
      </c>
      <c r="BQ240" s="110"/>
    </row>
    <row r="241">
      <c r="A241" s="84"/>
      <c r="B241" s="84" t="s">
        <v>133</v>
      </c>
      <c r="C241" s="1" t="s">
        <v>136</v>
      </c>
      <c r="D241" s="142" t="e">
        <v>#N/A</v>
      </c>
      <c r="E241" s="142"/>
      <c r="F241" s="94"/>
      <c r="G241" s="89" t="n">
        <v>0.23100000000000004</v>
      </c>
      <c r="H241" s="89" t="n">
        <v>3.1000000000000028E-2</v>
      </c>
      <c r="I241" s="44"/>
      <c r="J241" s="44"/>
      <c r="K241" s="103" t="n">
        <f t="shared" si="104"/>
        <v>6.3822680412371149</v>
      </c>
      <c r="L241" s="166" t="n">
        <v>0</v>
      </c>
      <c r="M241" s="157" t="n">
        <f t="shared" si="103"/>
        <v>6.3822680412371149</v>
      </c>
      <c r="N241" s="166"/>
      <c r="O241" s="94"/>
      <c r="P241" s="94"/>
      <c r="Q241" s="94"/>
      <c r="R241" s="134"/>
      <c r="S241" s="87" t="n">
        <f>VLOOKUP(C241,$B$3:$X$358,MATCH(S$2,$B$2:$X$2,0),0)</f>
        <v>1</v>
      </c>
      <c r="T241" s="15" t="n">
        <f t="shared" si="105"/>
        <v>2.4315789473684216E-4</v>
      </c>
      <c r="U241" s="157" t="n">
        <f t="shared" si="105"/>
        <v>0</v>
      </c>
      <c r="V241" s="157" t="n">
        <f t="shared" si="105"/>
        <v>16.717105263157894</v>
      </c>
      <c r="W241" s="132" t="n">
        <f t="shared" si="105"/>
        <v>132.21710526315792</v>
      </c>
      <c r="X241" s="132" t="n">
        <f t="shared" si="105"/>
        <v>0</v>
      </c>
      <c r="Y241" s="67"/>
      <c r="Z241" s="66"/>
      <c r="AA241" s="66"/>
      <c r="AB241" s="66"/>
      <c r="AC241" s="66"/>
      <c r="AD241" s="153"/>
      <c r="AE241" s="153"/>
      <c r="AF241" s="153"/>
      <c r="AG241" s="153"/>
      <c r="AH241" s="153"/>
      <c r="AI241" s="153" t="n">
        <v>0</v>
      </c>
      <c r="AJ241" s="71"/>
      <c r="AK241" s="67"/>
      <c r="AL241" s="121" t="n">
        <v>0.5</v>
      </c>
      <c r="AM241" s="153"/>
      <c r="AN241" s="153"/>
      <c r="AO241" s="153"/>
      <c r="AP241" s="153" t="s">
        <v>4</v>
      </c>
      <c r="AQ241" s="121" t="s">
        <v>4</v>
      </c>
      <c r="AR241" s="94" t="n">
        <v>0.9513282999999999</v>
      </c>
      <c r="AS241" s="148"/>
      <c r="AT241" s="84"/>
      <c r="AU241" s="84"/>
      <c r="AV241" s="84"/>
      <c r="AW241" s="5"/>
      <c r="AX241" s="84"/>
      <c r="AY241" s="84"/>
      <c r="AZ241" t="n">
        <v>0.7</v>
      </c>
      <c r="BA241" s="156" t="n">
        <f>BA239</f>
        <v>0</v>
      </c>
      <c r="BB241" s="156" t="n">
        <f t="shared" ref="BB241:BP241" si="107">BB239</f>
        <v>0</v>
      </c>
      <c r="BC241" s="156" t="n">
        <f t="shared" si="107"/>
        <v>0</v>
      </c>
      <c r="BD241" s="156" t="n">
        <f t="shared" si="107"/>
        <v>0</v>
      </c>
      <c r="BE241" s="156" t="n">
        <f t="shared" si="107"/>
        <v>0</v>
      </c>
      <c r="BF241" s="156" t="n">
        <f t="shared" si="107"/>
        <v>9</v>
      </c>
      <c r="BG241" s="156" t="n">
        <f t="shared" si="107"/>
        <v>0.5</v>
      </c>
      <c r="BH241" s="156" t="n">
        <f t="shared" si="107"/>
        <v>110</v>
      </c>
      <c r="BI241" s="156" t="n">
        <f t="shared" si="107"/>
        <v>1.24</v>
      </c>
      <c r="BJ241" s="156" t="n">
        <f t="shared" si="107"/>
        <v>0.1</v>
      </c>
      <c r="BK241" s="156" t="n">
        <f t="shared" si="107"/>
        <v>0</v>
      </c>
      <c r="BL241" s="156" t="n">
        <f t="shared" si="107"/>
        <v>10</v>
      </c>
      <c r="BM241" s="156" t="n">
        <f t="shared" si="107"/>
        <v>0</v>
      </c>
      <c r="BN241" s="156" t="n">
        <f t="shared" si="107"/>
        <v>0</v>
      </c>
      <c r="BO241" s="156" t="n">
        <f t="shared" si="107"/>
        <v>2500</v>
      </c>
      <c r="BP241" s="156" t="n">
        <f t="shared" si="107"/>
        <v>0</v>
      </c>
      <c r="BQ241" s="110"/>
    </row>
    <row r="242">
      <c r="A242" s="84"/>
      <c r="B242" s="84" t="s">
        <v>132</v>
      </c>
      <c r="C242" s="1" t="s">
        <v>136</v>
      </c>
      <c r="D242" s="142" t="e">
        <v>#N/A</v>
      </c>
      <c r="E242" s="142"/>
      <c r="F242" s="94"/>
      <c r="G242" s="89" t="n">
        <v>0.15000000000000002</v>
      </c>
      <c r="H242" s="89" t="n">
        <v>1.0000000000000009E-2</v>
      </c>
      <c r="I242" s="44"/>
      <c r="J242" s="44"/>
      <c r="K242" s="103" t="n">
        <f t="shared" si="104"/>
        <v>4.1443298969072169</v>
      </c>
      <c r="L242" s="166" t="n">
        <v>0</v>
      </c>
      <c r="M242" s="157" t="n">
        <f t="shared" si="103"/>
        <v>4.1443298969072169</v>
      </c>
      <c r="N242" s="166"/>
      <c r="O242" s="94"/>
      <c r="P242" s="94"/>
      <c r="Q242" s="94"/>
      <c r="R242" s="134"/>
      <c r="S242" s="87" t="n">
        <f>VLOOKUP(C242,$B$3:$X$358,MATCH(S$2,$B$2:$X$2,0),0)</f>
        <v>1</v>
      </c>
      <c r="T242" s="15" t="n">
        <f t="shared" si="105"/>
        <v>1.5789473684210527E-4</v>
      </c>
      <c r="U242" s="157" t="n">
        <f t="shared" si="105"/>
        <v>0</v>
      </c>
      <c r="V242" s="157" t="n">
        <f t="shared" si="105"/>
        <v>10.855263157894738</v>
      </c>
      <c r="W242" s="132" t="n">
        <f t="shared" si="105"/>
        <v>85.85526315789474</v>
      </c>
      <c r="X242" s="132" t="n">
        <f t="shared" si="105"/>
        <v>0</v>
      </c>
      <c r="Y242" s="67"/>
      <c r="Z242" s="66"/>
      <c r="AA242" s="66"/>
      <c r="AB242" s="66"/>
      <c r="AC242" s="66"/>
      <c r="AD242" s="153"/>
      <c r="AE242" s="153"/>
      <c r="AF242" s="153"/>
      <c r="AG242" s="153"/>
      <c r="AH242" s="153"/>
      <c r="AI242" s="153" t="n">
        <v>0</v>
      </c>
      <c r="AJ242" s="71"/>
      <c r="AK242" s="67"/>
      <c r="AL242" s="121" t="n">
        <v>0.5</v>
      </c>
      <c r="AM242" s="153"/>
      <c r="AN242" s="153"/>
      <c r="AO242" s="153"/>
      <c r="AP242" s="153" t="s">
        <v>4</v>
      </c>
      <c r="AQ242" s="121" t="s">
        <v>4</v>
      </c>
      <c r="AR242" s="94"/>
      <c r="AS242" s="148"/>
      <c r="AT242" s="84"/>
      <c r="AU242" s="84"/>
      <c r="AV242" s="84"/>
      <c r="AW242" s="5"/>
      <c r="AX242" s="84"/>
      <c r="AY242" s="84"/>
      <c r="AZ242" t="n">
        <v>0.7</v>
      </c>
      <c r="BA242" s="156" t="n">
        <f>BA239</f>
        <v>0</v>
      </c>
      <c r="BB242" s="156" t="n">
        <f t="shared" ref="BB242:BP242" si="108">BB239</f>
        <v>0</v>
      </c>
      <c r="BC242" s="156" t="n">
        <f t="shared" si="108"/>
        <v>0</v>
      </c>
      <c r="BD242" s="156" t="n">
        <f t="shared" si="108"/>
        <v>0</v>
      </c>
      <c r="BE242" s="156" t="n">
        <f t="shared" si="108"/>
        <v>0</v>
      </c>
      <c r="BF242" s="156" t="n">
        <f t="shared" si="108"/>
        <v>9</v>
      </c>
      <c r="BG242" s="156" t="n">
        <f t="shared" si="108"/>
        <v>0.5</v>
      </c>
      <c r="BH242" s="156" t="n">
        <f t="shared" si="108"/>
        <v>110</v>
      </c>
      <c r="BI242" s="156" t="n">
        <f t="shared" si="108"/>
        <v>1.24</v>
      </c>
      <c r="BJ242" s="156" t="n">
        <f t="shared" si="108"/>
        <v>0.1</v>
      </c>
      <c r="BK242" s="156" t="n">
        <f t="shared" si="108"/>
        <v>0</v>
      </c>
      <c r="BL242" s="156" t="n">
        <f t="shared" si="108"/>
        <v>10</v>
      </c>
      <c r="BM242" s="156" t="n">
        <f t="shared" si="108"/>
        <v>0</v>
      </c>
      <c r="BN242" s="156" t="n">
        <f t="shared" si="108"/>
        <v>0</v>
      </c>
      <c r="BO242" s="156" t="n">
        <f t="shared" si="108"/>
        <v>2500</v>
      </c>
      <c r="BP242" s="156" t="n">
        <f t="shared" si="108"/>
        <v>0</v>
      </c>
      <c r="BQ242" s="110"/>
    </row>
    <row r="243">
      <c r="A243" s="70"/>
      <c r="B243" s="70" t="s">
        <v>131</v>
      </c>
      <c r="C243" s="70"/>
      <c r="D243" s="142" t="e">
        <v>#N/A</v>
      </c>
      <c r="E243" s="68"/>
      <c r="F243" s="13"/>
      <c r="G243" s="46"/>
      <c r="H243" s="46"/>
      <c r="I243" s="70"/>
      <c r="J243" s="70"/>
      <c r="K243" s="24"/>
      <c r="L243" s="24"/>
      <c r="M243" s="24"/>
      <c r="N243" s="24"/>
      <c r="O243" s="13"/>
      <c r="P243" s="13"/>
      <c r="Q243" s="13"/>
      <c r="R243" s="13"/>
      <c r="S243" s="13"/>
      <c r="T243" s="31"/>
      <c r="U243" s="24"/>
      <c r="V243" s="24"/>
      <c r="W243" s="27"/>
      <c r="X243" s="27"/>
      <c r="Y243" s="27"/>
      <c r="Z243" s="27"/>
      <c r="AA243" s="27"/>
      <c r="AB243" s="27"/>
      <c r="AC243" s="27"/>
      <c r="AD243" s="27"/>
      <c r="AE243" s="27"/>
      <c r="AF243" s="27"/>
      <c r="AG243" s="27"/>
      <c r="AH243" s="27"/>
      <c r="AI243" s="27"/>
      <c r="AJ243" s="27"/>
      <c r="AK243" s="27"/>
      <c r="AL243" s="27"/>
      <c r="AM243" s="155"/>
      <c r="AN243" s="155"/>
      <c r="AO243" s="155"/>
      <c r="AP243" s="155"/>
      <c r="AQ243" s="155"/>
      <c r="AR243" s="155"/>
      <c r="AS243" s="155"/>
      <c r="AT243" s="84"/>
      <c r="AU243" s="84"/>
      <c r="AV243" s="84"/>
      <c r="AW243" s="144"/>
      <c r="AX243" s="70"/>
      <c r="AY243" s="70"/>
      <c r="AZ243" t="n">
        <v>0.7</v>
      </c>
      <c r="BQ243" s="110"/>
    </row>
    <row r="244">
      <c r="A244" s="84"/>
      <c r="B244" s="84" t="s">
        <v>130</v>
      </c>
      <c r="C244" s="84" t="s">
        <v>123</v>
      </c>
      <c r="D244" s="142" t="s">
        <v>122</v>
      </c>
      <c r="E244" s="142"/>
      <c r="F244" s="94"/>
      <c r="G244" s="89" t="n">
        <v>0.999</v>
      </c>
      <c r="H244" s="89"/>
      <c r="I244" s="44"/>
      <c r="J244" s="44"/>
      <c r="K244" s="166" t="n">
        <f>M244</f>
        <v>38.960999999999999</v>
      </c>
      <c r="L244" s="166"/>
      <c r="M244" s="166" t="n">
        <v>38.960999999999999</v>
      </c>
      <c r="N244" s="166"/>
      <c r="O244" s="94"/>
      <c r="P244" s="94"/>
      <c r="Q244" s="94"/>
      <c r="R244" s="134"/>
      <c r="S244" s="87" t="n">
        <f>VLOOKUP(C244,$B$3:$X$358,MATCH(S$2,$B$2:$X$2,0),0)</f>
        <v>1</v>
      </c>
      <c r="T244" s="15" t="n">
        <f t="shared" ref="T244:X248" si="109">VLOOKUP($C244,$B$3:$X$358,MATCH(T$2,$B$2:$X$2,0),0)*$G244/VLOOKUP($C244,$B$3:$X$358,MATCH($G$2,$B$2:$X$2,0),0)</f>
        <v>0</v>
      </c>
      <c r="U244" s="157" t="n">
        <f t="shared" si="109"/>
        <v>999.00000000000011</v>
      </c>
      <c r="V244" s="157" t="n">
        <f t="shared" si="109"/>
        <v>0</v>
      </c>
      <c r="W244" s="132" t="n">
        <f t="shared" si="109"/>
        <v>0</v>
      </c>
      <c r="X244" s="132" t="n">
        <f t="shared" si="109"/>
        <v>341.00000000000006</v>
      </c>
      <c r="Y244" s="67"/>
      <c r="Z244" s="66"/>
      <c r="AA244" s="66"/>
      <c r="AB244" s="66"/>
      <c r="AC244" s="66"/>
      <c r="AD244" s="153"/>
      <c r="AE244" s="153"/>
      <c r="AF244" s="153"/>
      <c r="AG244" s="153"/>
      <c r="AH244" s="153"/>
      <c r="AI244" s="153" t="n">
        <v>0</v>
      </c>
      <c r="AJ244" s="71" t="n">
        <v>0</v>
      </c>
      <c r="AK244" s="67" t="n">
        <v>0</v>
      </c>
      <c r="AL244" s="121" t="n">
        <v>0.5</v>
      </c>
      <c r="AM244" s="153"/>
      <c r="AN244" s="153"/>
      <c r="AO244" s="153"/>
      <c r="AP244" s="153" t="s">
        <v>4</v>
      </c>
      <c r="AQ244" s="121" t="s">
        <v>4</v>
      </c>
      <c r="AR244" s="94"/>
      <c r="AS244" s="148"/>
      <c r="AT244" s="84"/>
      <c r="AU244" s="84"/>
      <c r="AV244" s="84"/>
      <c r="AW244" s="5"/>
      <c r="AX244" s="84"/>
      <c r="AY244" s="84"/>
      <c r="AZ244" t="n">
        <v>0.7</v>
      </c>
      <c r="BA244" s="156" t="n">
        <f>BA$251</f>
        <v>0</v>
      </c>
      <c r="BB244" s="156" t="n">
        <f t="shared" ref="BB244:BP244" si="110">BB$251</f>
        <v>142.10000000000002</v>
      </c>
      <c r="BC244" s="156" t="n">
        <f t="shared" si="110"/>
        <v>782</v>
      </c>
      <c r="BD244" s="156" t="n">
        <f t="shared" si="110"/>
        <v>75</v>
      </c>
      <c r="BE244" s="83" t="n">
        <v>0</v>
      </c>
      <c r="BF244" s="156" t="n">
        <f t="shared" si="110"/>
        <v>0</v>
      </c>
      <c r="BG244" s="156" t="n">
        <f t="shared" si="110"/>
        <v>0</v>
      </c>
      <c r="BH244" s="156" t="n">
        <f t="shared" si="110"/>
        <v>0</v>
      </c>
      <c r="BI244" s="156" t="n">
        <v>4.96</v>
      </c>
      <c r="BJ244" s="156" t="n">
        <f t="shared" si="110"/>
        <v>0</v>
      </c>
      <c r="BK244" s="156" t="n">
        <f t="shared" si="110"/>
        <v>0</v>
      </c>
      <c r="BL244" s="156" t="n">
        <f t="shared" si="110"/>
        <v>0</v>
      </c>
      <c r="BM244" s="156" t="n">
        <f t="shared" si="110"/>
        <v>0</v>
      </c>
      <c r="BN244" s="156" t="n">
        <f t="shared" si="110"/>
        <v>246.9</v>
      </c>
      <c r="BO244" s="156" t="n">
        <f t="shared" si="110"/>
        <v>75</v>
      </c>
      <c r="BP244" s="156" t="n">
        <f t="shared" si="110"/>
        <v>8.5</v>
      </c>
      <c r="BQ244" s="110"/>
    </row>
    <row r="245">
      <c r="A245" s="84"/>
      <c r="B245" s="84" t="s">
        <v>129</v>
      </c>
      <c r="C245" s="84" t="s">
        <v>123</v>
      </c>
      <c r="D245" s="142" t="s">
        <v>122</v>
      </c>
      <c r="E245" s="142"/>
      <c r="F245" s="94"/>
      <c r="G245" s="89" t="n">
        <v>0.999</v>
      </c>
      <c r="H245" s="89"/>
      <c r="I245" s="44"/>
      <c r="J245" s="44"/>
      <c r="K245" s="166" t="n">
        <f t="shared" ref="K245:K252" si="111">M245</f>
        <v>38.960999999999999</v>
      </c>
      <c r="L245" s="166"/>
      <c r="M245" s="166" t="n">
        <v>38.960999999999999</v>
      </c>
      <c r="N245" s="166"/>
      <c r="O245" s="94"/>
      <c r="P245" s="94"/>
      <c r="Q245" s="94"/>
      <c r="R245" s="134"/>
      <c r="S245" s="87" t="n">
        <f>VLOOKUP(C245,$B$3:$X$358,MATCH(S$2,$B$2:$X$2,0),0)</f>
        <v>1</v>
      </c>
      <c r="T245" s="15" t="n">
        <f t="shared" si="109"/>
        <v>0</v>
      </c>
      <c r="U245" s="157" t="n">
        <f t="shared" si="109"/>
        <v>999.00000000000011</v>
      </c>
      <c r="V245" s="157" t="n">
        <f t="shared" si="109"/>
        <v>0</v>
      </c>
      <c r="W245" s="132" t="n">
        <f t="shared" si="109"/>
        <v>0</v>
      </c>
      <c r="X245" s="132" t="n">
        <f t="shared" si="109"/>
        <v>341.00000000000006</v>
      </c>
      <c r="Y245" s="67"/>
      <c r="Z245" s="66"/>
      <c r="AA245" s="66"/>
      <c r="AB245" s="66"/>
      <c r="AC245" s="66"/>
      <c r="AD245" s="153"/>
      <c r="AE245" s="153"/>
      <c r="AF245" s="153"/>
      <c r="AG245" s="153"/>
      <c r="AH245" s="153"/>
      <c r="AI245" s="153" t="n">
        <v>0</v>
      </c>
      <c r="AJ245" s="71" t="n">
        <v>0</v>
      </c>
      <c r="AK245" s="67" t="n">
        <v>0</v>
      </c>
      <c r="AL245" s="121" t="n">
        <v>0.5</v>
      </c>
      <c r="AM245" s="153"/>
      <c r="AN245" s="153"/>
      <c r="AO245" s="153"/>
      <c r="AP245" s="153" t="s">
        <v>4</v>
      </c>
      <c r="AQ245" s="121" t="s">
        <v>4</v>
      </c>
      <c r="AR245" s="94"/>
      <c r="AS245" s="148"/>
      <c r="AT245" s="84"/>
      <c r="AU245" s="84"/>
      <c r="AV245" s="84"/>
      <c r="AW245" s="5"/>
      <c r="AX245" s="84"/>
      <c r="AY245" s="84"/>
      <c r="AZ245" t="n">
        <v>0.7</v>
      </c>
      <c r="BA245" s="156" t="n">
        <f t="shared" ref="BA245:BP246" si="112">BA$251</f>
        <v>0</v>
      </c>
      <c r="BB245" s="156" t="n">
        <f t="shared" si="112"/>
        <v>142.10000000000002</v>
      </c>
      <c r="BC245" s="156" t="n">
        <f t="shared" si="112"/>
        <v>782</v>
      </c>
      <c r="BD245" s="156" t="n">
        <f t="shared" si="112"/>
        <v>75</v>
      </c>
      <c r="BE245" s="83" t="n">
        <v>1</v>
      </c>
      <c r="BF245" s="156" t="n">
        <f t="shared" si="112"/>
        <v>0</v>
      </c>
      <c r="BG245" s="156" t="n">
        <f t="shared" si="112"/>
        <v>0</v>
      </c>
      <c r="BH245" s="156" t="n">
        <f t="shared" si="112"/>
        <v>0</v>
      </c>
      <c r="BI245" s="156" t="n">
        <v>4.96</v>
      </c>
      <c r="BJ245" s="156" t="n">
        <f t="shared" si="112"/>
        <v>0</v>
      </c>
      <c r="BK245" s="156" t="n">
        <f t="shared" si="112"/>
        <v>0</v>
      </c>
      <c r="BL245" s="156" t="n">
        <f t="shared" si="112"/>
        <v>0</v>
      </c>
      <c r="BM245" s="156" t="n">
        <f t="shared" si="112"/>
        <v>0</v>
      </c>
      <c r="BN245" s="156" t="n">
        <f t="shared" si="112"/>
        <v>246.9</v>
      </c>
      <c r="BO245" s="156" t="n">
        <f t="shared" si="112"/>
        <v>75</v>
      </c>
      <c r="BP245" s="156" t="n">
        <f t="shared" si="112"/>
        <v>8.5</v>
      </c>
      <c r="BQ245" s="110"/>
    </row>
    <row r="246">
      <c r="A246" s="84"/>
      <c r="B246" s="84" t="s">
        <v>128</v>
      </c>
      <c r="C246" s="84" t="s">
        <v>123</v>
      </c>
      <c r="D246" s="142" t="s">
        <v>122</v>
      </c>
      <c r="E246" s="142"/>
      <c r="F246" s="94"/>
      <c r="G246" s="89" t="n">
        <v>0.999</v>
      </c>
      <c r="H246" s="89"/>
      <c r="I246" s="44"/>
      <c r="J246" s="44"/>
      <c r="K246" s="166" t="n">
        <f t="shared" si="111"/>
        <v>38.960999999999999</v>
      </c>
      <c r="L246" s="166"/>
      <c r="M246" s="166" t="n">
        <v>38.960999999999999</v>
      </c>
      <c r="N246" s="166"/>
      <c r="O246" s="94"/>
      <c r="P246" s="94"/>
      <c r="Q246" s="94"/>
      <c r="R246" s="134"/>
      <c r="S246" s="87" t="n">
        <f>VLOOKUP(C246,$B$3:$X$358,MATCH(S$2,$B$2:$X$2,0),0)</f>
        <v>1</v>
      </c>
      <c r="T246" s="15" t="n">
        <f t="shared" si="109"/>
        <v>0</v>
      </c>
      <c r="U246" s="157" t="n">
        <f t="shared" si="109"/>
        <v>999.00000000000011</v>
      </c>
      <c r="V246" s="157" t="n">
        <f t="shared" si="109"/>
        <v>0</v>
      </c>
      <c r="W246" s="132" t="n">
        <f t="shared" si="109"/>
        <v>0</v>
      </c>
      <c r="X246" s="132" t="n">
        <f t="shared" si="109"/>
        <v>341.00000000000006</v>
      </c>
      <c r="Y246" s="67"/>
      <c r="Z246" s="66"/>
      <c r="AA246" s="66"/>
      <c r="AB246" s="66"/>
      <c r="AC246" s="66"/>
      <c r="AD246" s="153"/>
      <c r="AE246" s="153"/>
      <c r="AF246" s="153"/>
      <c r="AG246" s="153"/>
      <c r="AH246" s="153"/>
      <c r="AI246" s="153" t="n">
        <v>0</v>
      </c>
      <c r="AJ246" s="71" t="n">
        <v>0</v>
      </c>
      <c r="AK246" s="67" t="n">
        <v>0</v>
      </c>
      <c r="AL246" s="121" t="n">
        <v>0.5</v>
      </c>
      <c r="AM246" s="153"/>
      <c r="AN246" s="153"/>
      <c r="AO246" s="153"/>
      <c r="AP246" s="153" t="s">
        <v>4</v>
      </c>
      <c r="AQ246" s="121" t="s">
        <v>4</v>
      </c>
      <c r="AR246" s="94"/>
      <c r="AS246" s="148"/>
      <c r="AT246" s="84"/>
      <c r="AU246" s="84"/>
      <c r="AV246" s="84"/>
      <c r="AW246" s="5"/>
      <c r="AX246" s="84"/>
      <c r="AY246" s="84"/>
      <c r="AZ246" t="n">
        <v>0.7</v>
      </c>
      <c r="BA246" s="156" t="n">
        <f t="shared" si="112"/>
        <v>0</v>
      </c>
      <c r="BB246" s="82" t="n">
        <v>499</v>
      </c>
      <c r="BC246" s="82" t="n">
        <v>392</v>
      </c>
      <c r="BD246" s="82" t="n">
        <v>105</v>
      </c>
      <c r="BE246" s="83" t="n">
        <v>0</v>
      </c>
      <c r="BF246" s="156" t="n">
        <f t="shared" si="112"/>
        <v>0</v>
      </c>
      <c r="BG246" s="156" t="n">
        <f t="shared" si="112"/>
        <v>0</v>
      </c>
      <c r="BH246" s="156" t="n">
        <f t="shared" si="112"/>
        <v>0</v>
      </c>
      <c r="BI246" s="156" t="n">
        <v>4.96</v>
      </c>
      <c r="BJ246" s="156" t="n">
        <f t="shared" si="112"/>
        <v>0</v>
      </c>
      <c r="BK246" s="156" t="n">
        <f t="shared" si="112"/>
        <v>0</v>
      </c>
      <c r="BL246" s="156" t="n">
        <f t="shared" si="112"/>
        <v>0</v>
      </c>
      <c r="BM246" s="156" t="n">
        <f t="shared" si="112"/>
        <v>0</v>
      </c>
      <c r="BN246" s="156" t="n">
        <v>331.2</v>
      </c>
      <c r="BO246" s="156" t="n">
        <f t="shared" si="112"/>
        <v>75</v>
      </c>
      <c r="BP246" s="156" t="n">
        <v>0</v>
      </c>
      <c r="BQ246" s="110"/>
    </row>
    <row r="247">
      <c r="A247" s="84"/>
      <c r="B247" s="84" t="s">
        <v>127</v>
      </c>
      <c r="C247" s="84" t="s">
        <v>123</v>
      </c>
      <c r="D247" s="142" t="s">
        <v>122</v>
      </c>
      <c r="E247" s="142"/>
      <c r="F247" s="94"/>
      <c r="G247" s="89" t="n">
        <v>0.999</v>
      </c>
      <c r="H247" s="89"/>
      <c r="I247" s="44"/>
      <c r="J247" s="44"/>
      <c r="K247" s="166" t="n">
        <f t="shared" si="111"/>
        <v>38.960999999999999</v>
      </c>
      <c r="L247" s="166"/>
      <c r="M247" s="166" t="n">
        <v>38.960999999999999</v>
      </c>
      <c r="N247" s="166"/>
      <c r="O247" s="94"/>
      <c r="P247" s="94"/>
      <c r="Q247" s="94"/>
      <c r="R247" s="134"/>
      <c r="S247" s="87" t="n">
        <f>VLOOKUP(C247,$B$3:$X$358,MATCH(S$2,$B$2:$X$2,0),0)</f>
        <v>1</v>
      </c>
      <c r="T247" s="15" t="n">
        <f t="shared" si="109"/>
        <v>0</v>
      </c>
      <c r="U247" s="157" t="n">
        <f t="shared" si="109"/>
        <v>999.00000000000011</v>
      </c>
      <c r="V247" s="157" t="n">
        <f t="shared" si="109"/>
        <v>0</v>
      </c>
      <c r="W247" s="132" t="n">
        <f t="shared" si="109"/>
        <v>0</v>
      </c>
      <c r="X247" s="132" t="n">
        <f t="shared" si="109"/>
        <v>341.00000000000006</v>
      </c>
      <c r="Y247" s="67"/>
      <c r="Z247" s="66"/>
      <c r="AA247" s="66"/>
      <c r="AB247" s="66"/>
      <c r="AC247" s="66"/>
      <c r="AD247" s="153"/>
      <c r="AE247" s="153"/>
      <c r="AF247" s="153"/>
      <c r="AG247" s="153"/>
      <c r="AH247" s="153"/>
      <c r="AI247" s="153" t="n">
        <v>0</v>
      </c>
      <c r="AJ247" s="71" t="n">
        <v>0</v>
      </c>
      <c r="AK247" s="67" t="n">
        <v>0</v>
      </c>
      <c r="AL247" s="121" t="n">
        <v>0.5</v>
      </c>
      <c r="AM247" s="153"/>
      <c r="AN247" s="153"/>
      <c r="AO247" s="153"/>
      <c r="AP247" s="153" t="s">
        <v>4</v>
      </c>
      <c r="AQ247" s="121" t="s">
        <v>4</v>
      </c>
      <c r="AR247" s="94"/>
      <c r="AS247" s="148"/>
      <c r="AT247" s="84"/>
      <c r="AU247" s="84"/>
      <c r="AV247" s="84"/>
      <c r="AW247" s="5"/>
      <c r="AX247" s="84"/>
      <c r="AY247" s="84"/>
      <c r="AZ247" t="n">
        <v>0.7</v>
      </c>
      <c r="BA247" t="n">
        <v>0</v>
      </c>
      <c r="BB247" t="n">
        <v>144</v>
      </c>
      <c r="BC247" t="n">
        <v>271.3</v>
      </c>
      <c r="BD247" t="n">
        <v>584.70000000000005</v>
      </c>
      <c r="BE247" t="n">
        <v>70</v>
      </c>
      <c r="BF247" t="n">
        <v>0</v>
      </c>
      <c r="BG247" t="n">
        <v>0</v>
      </c>
      <c r="BH247" t="n">
        <v>0</v>
      </c>
      <c r="BI247" t="n">
        <v>4.96</v>
      </c>
      <c r="BJ247" t="n">
        <v>0</v>
      </c>
      <c r="BK247" t="n">
        <v>0</v>
      </c>
      <c r="BL247" t="n">
        <v>0</v>
      </c>
      <c r="BM247" t="n">
        <v>0</v>
      </c>
      <c r="BN247" t="n">
        <v>167.5</v>
      </c>
      <c r="BO247" t="n">
        <v>0</v>
      </c>
      <c r="BP247" t="n">
        <v>3.5</v>
      </c>
      <c r="BQ247" s="110"/>
    </row>
    <row r="248">
      <c r="A248" s="84"/>
      <c r="B248" s="84" t="s">
        <v>126</v>
      </c>
      <c r="C248" s="84" t="s">
        <v>123</v>
      </c>
      <c r="D248" s="142" t="s">
        <v>122</v>
      </c>
      <c r="E248" s="142"/>
      <c r="F248" s="94"/>
      <c r="G248" s="89" t="n">
        <v>0.999</v>
      </c>
      <c r="H248" s="89"/>
      <c r="I248" s="44"/>
      <c r="J248" s="44"/>
      <c r="K248" s="166" t="n">
        <f t="shared" si="111"/>
        <v>38.960999999999999</v>
      </c>
      <c r="L248" s="166"/>
      <c r="M248" s="166" t="n">
        <v>38.960999999999999</v>
      </c>
      <c r="N248" s="166"/>
      <c r="O248" s="94"/>
      <c r="P248" s="94"/>
      <c r="Q248" s="94"/>
      <c r="R248" s="134"/>
      <c r="S248" s="87" t="n">
        <f>VLOOKUP(C248,$B$3:$X$358,MATCH(S$2,$B$2:$X$2,0),0)</f>
        <v>1</v>
      </c>
      <c r="T248" s="15" t="n">
        <f t="shared" si="109"/>
        <v>0</v>
      </c>
      <c r="U248" s="157" t="n">
        <f t="shared" si="109"/>
        <v>999.00000000000011</v>
      </c>
      <c r="V248" s="157" t="n">
        <f t="shared" si="109"/>
        <v>0</v>
      </c>
      <c r="W248" s="132" t="n">
        <f t="shared" si="109"/>
        <v>0</v>
      </c>
      <c r="X248" s="132" t="n">
        <f t="shared" si="109"/>
        <v>341.00000000000006</v>
      </c>
      <c r="Y248" s="67"/>
      <c r="Z248" s="66"/>
      <c r="AA248" s="66"/>
      <c r="AB248" s="66"/>
      <c r="AC248" s="66"/>
      <c r="AD248" s="153"/>
      <c r="AE248" s="153"/>
      <c r="AF248" s="153"/>
      <c r="AG248" s="153"/>
      <c r="AH248" s="153"/>
      <c r="AI248" s="153" t="n">
        <v>0</v>
      </c>
      <c r="AJ248" s="71" t="n">
        <v>0</v>
      </c>
      <c r="AK248" s="67" t="n">
        <v>0</v>
      </c>
      <c r="AL248" s="121" t="n">
        <v>0.5</v>
      </c>
      <c r="AM248" s="153"/>
      <c r="AN248" s="153"/>
      <c r="AO248" s="153"/>
      <c r="AP248" s="153" t="s">
        <v>4</v>
      </c>
      <c r="AQ248" s="121" t="s">
        <v>4</v>
      </c>
      <c r="AR248" s="94"/>
      <c r="AS248" s="148"/>
      <c r="AT248" s="84"/>
      <c r="AU248" s="84"/>
      <c r="AV248" s="84"/>
      <c r="AW248" s="5"/>
      <c r="AX248" s="84"/>
      <c r="AY248" s="84"/>
      <c r="AZ248" t="n">
        <v>0.7</v>
      </c>
      <c r="BA248" t="n">
        <v>0</v>
      </c>
      <c r="BB248" t="n">
        <v>106.19999999999999</v>
      </c>
      <c r="BC248" t="n">
        <v>253.79999999999998</v>
      </c>
      <c r="BD248" t="n">
        <v>635</v>
      </c>
      <c r="BE248" t="n">
        <v>1</v>
      </c>
      <c r="BF248" t="n">
        <v>0</v>
      </c>
      <c r="BG248" t="n">
        <v>0</v>
      </c>
      <c r="BH248" t="n">
        <v>0</v>
      </c>
      <c r="BI248" t="n">
        <v>4.96</v>
      </c>
      <c r="BJ248" t="n">
        <v>0</v>
      </c>
      <c r="BK248" t="n">
        <v>0</v>
      </c>
      <c r="BL248" t="n">
        <v>0</v>
      </c>
      <c r="BM248" t="n">
        <v>0</v>
      </c>
      <c r="BN248" t="n">
        <v>560</v>
      </c>
      <c r="BO248" t="n">
        <v>0</v>
      </c>
      <c r="BP248" t="n">
        <v>10</v>
      </c>
      <c r="BQ248" s="110"/>
    </row>
    <row r="249">
      <c r="A249" s="84"/>
      <c r="B249" s="84" t="s">
        <v>125</v>
      </c>
      <c r="C249" s="84"/>
      <c r="D249" s="142" t="s">
        <v>122</v>
      </c>
      <c r="E249" s="142"/>
      <c r="F249" s="94"/>
      <c r="G249" s="89" t="n">
        <v>0.999</v>
      </c>
      <c r="H249" s="89"/>
      <c r="I249" s="44"/>
      <c r="J249" s="44"/>
      <c r="K249" s="166" t="n">
        <f t="shared" si="111"/>
        <v>38.960999999999999</v>
      </c>
      <c r="L249" s="166"/>
      <c r="M249" s="166" t="n">
        <v>38.960999999999999</v>
      </c>
      <c r="N249" s="166"/>
      <c r="O249" s="94"/>
      <c r="P249" s="94"/>
      <c r="Q249" s="94"/>
      <c r="R249" s="134"/>
      <c r="S249" s="89" t="n">
        <f>VLOOKUP($B249,Conversores_Dieta!$B$4:$J$164,Coefs!S$292,0)</f>
        <v>1</v>
      </c>
      <c r="T249" s="130" t="n">
        <f>VLOOKUP($B249,Conversores_Dieta!$B$4:$J$164,Coefs!T$292,0)</f>
        <v>0</v>
      </c>
      <c r="U249" s="166" t="n">
        <f>VLOOKUP($B249,Conversores_Dieta!$B$4:$J$164,Coefs!U$292,0)</f>
        <v>999</v>
      </c>
      <c r="V249" s="166" t="n">
        <f>VLOOKUP($B249,Conversores_Dieta!$B$4:$J$164,Coefs!V$292,0)</f>
        <v>0</v>
      </c>
      <c r="W249" s="21" t="n">
        <f>VLOOKUP($B249,Conversores_Dieta!$B$4:$J$164,Coefs!W$292,0)</f>
        <v>0</v>
      </c>
      <c r="X249" s="21" t="n">
        <f>VLOOKUP($B249,Conversores_Dieta!$B$4:$J$164,Coefs!X$292,0)</f>
        <v>341</v>
      </c>
      <c r="Y249" s="67"/>
      <c r="Z249" s="67"/>
      <c r="AA249" s="67"/>
      <c r="AB249" s="67"/>
      <c r="AC249" s="67"/>
      <c r="AD249" s="153"/>
      <c r="AE249" s="153"/>
      <c r="AF249" s="153"/>
      <c r="AG249" s="153"/>
      <c r="AH249" s="153"/>
      <c r="AI249" s="153" t="n">
        <v>0</v>
      </c>
      <c r="AJ249" s="71" t="n">
        <v>0</v>
      </c>
      <c r="AK249" s="67" t="n">
        <v>0</v>
      </c>
      <c r="AL249" s="121" t="n">
        <v>0.5</v>
      </c>
      <c r="AM249" s="153"/>
      <c r="AN249" s="153"/>
      <c r="AO249" s="153"/>
      <c r="AP249" s="153" t="s">
        <v>4</v>
      </c>
      <c r="AQ249" s="121" t="s">
        <v>4</v>
      </c>
      <c r="AR249" s="94"/>
      <c r="AS249" s="148"/>
      <c r="AT249" s="84"/>
      <c r="AU249" s="84"/>
      <c r="AV249" s="84"/>
      <c r="AW249" s="5"/>
      <c r="AX249" s="84"/>
      <c r="AY249" s="84"/>
      <c r="AZ249" t="n">
        <v>0.7</v>
      </c>
      <c r="BA249" t="n">
        <v>0</v>
      </c>
      <c r="BB249" t="n">
        <v>170.6</v>
      </c>
      <c r="BC249" t="n">
        <v>710</v>
      </c>
      <c r="BD249" t="n">
        <v>119.3</v>
      </c>
      <c r="BE249" s="83" t="n">
        <v>10.3</v>
      </c>
      <c r="BF249" t="n">
        <v>0</v>
      </c>
      <c r="BG249" t="n">
        <v>0</v>
      </c>
      <c r="BH249" t="n">
        <v>0.1</v>
      </c>
      <c r="BI249" t="n">
        <v>4.96</v>
      </c>
      <c r="BJ249" t="n">
        <v>0</v>
      </c>
      <c r="BK249" t="n">
        <v>0</v>
      </c>
      <c r="BL249" t="n">
        <v>0</v>
      </c>
      <c r="BM249" t="n">
        <v>0</v>
      </c>
      <c r="BN249" t="n">
        <v>120</v>
      </c>
      <c r="BO249" t="n">
        <v>100</v>
      </c>
      <c r="BP249" t="n">
        <v>10</v>
      </c>
      <c r="BQ249" s="110"/>
    </row>
    <row r="250">
      <c r="A250" s="84"/>
      <c r="B250" s="84" t="s">
        <v>124</v>
      </c>
      <c r="C250" s="84" t="s">
        <v>123</v>
      </c>
      <c r="D250" s="142" t="s">
        <v>122</v>
      </c>
      <c r="E250" s="142"/>
      <c r="F250" s="94"/>
      <c r="G250" s="89" t="n">
        <v>0.999</v>
      </c>
      <c r="H250" s="89"/>
      <c r="I250" s="44"/>
      <c r="J250" s="44"/>
      <c r="K250" s="166" t="n">
        <f t="shared" si="111"/>
        <v>38.960999999999999</v>
      </c>
      <c r="L250" s="166"/>
      <c r="M250" s="166" t="n">
        <v>38.960999999999999</v>
      </c>
      <c r="N250" s="166"/>
      <c r="O250" s="94"/>
      <c r="P250" s="94"/>
      <c r="Q250" s="94"/>
      <c r="R250" s="134"/>
      <c r="S250" s="87" t="n">
        <f>VLOOKUP(C250,$B$3:$X$358,MATCH(S$2,$B$2:$X$2,0),0)</f>
        <v>1</v>
      </c>
      <c r="T250" s="15" t="n">
        <f>VLOOKUP($C250,$B$3:$X$358,MATCH(T$2,$B$2:$X$2,0),0)*$G250/VLOOKUP($C250,$B$3:$X$358,MATCH($G$2,$B$2:$X$2,0),0)</f>
        <v>0</v>
      </c>
      <c r="U250" s="157" t="n">
        <f>VLOOKUP($C250,$B$3:$X$358,MATCH(U$2,$B$2:$X$2,0),0)*$G250/VLOOKUP($C250,$B$3:$X$358,MATCH($G$2,$B$2:$X$2,0),0)</f>
        <v>999.00000000000011</v>
      </c>
      <c r="V250" s="157" t="n">
        <f>VLOOKUP($C250,$B$3:$X$358,MATCH(V$2,$B$2:$X$2,0),0)*$G250/VLOOKUP($C250,$B$3:$X$358,MATCH($G$2,$B$2:$X$2,0),0)</f>
        <v>0</v>
      </c>
      <c r="W250" s="132" t="n">
        <f>VLOOKUP($C250,$B$3:$X$358,MATCH(W$2,$B$2:$X$2,0),0)*$G250/VLOOKUP($C250,$B$3:$X$358,MATCH($G$2,$B$2:$X$2,0),0)</f>
        <v>0</v>
      </c>
      <c r="X250" s="132" t="n">
        <f>VLOOKUP($C250,$B$3:$X$358,MATCH(X$2,$B$2:$X$2,0),0)*$G250/VLOOKUP($C250,$B$3:$X$358,MATCH($G$2,$B$2:$X$2,0),0)</f>
        <v>341.00000000000006</v>
      </c>
      <c r="Y250" s="67"/>
      <c r="Z250" s="66"/>
      <c r="AA250" s="66"/>
      <c r="AB250" s="66"/>
      <c r="AC250" s="66"/>
      <c r="AD250" s="153"/>
      <c r="AE250" s="153"/>
      <c r="AF250" s="153"/>
      <c r="AG250" s="153"/>
      <c r="AH250" s="153"/>
      <c r="AI250" s="153" t="n">
        <v>0</v>
      </c>
      <c r="AJ250" s="71" t="n">
        <v>0</v>
      </c>
      <c r="AK250" s="67" t="n">
        <v>0</v>
      </c>
      <c r="AL250" s="121" t="n">
        <v>0.5</v>
      </c>
      <c r="AM250" s="153"/>
      <c r="AN250" s="153"/>
      <c r="AO250" s="153"/>
      <c r="AP250" s="153" t="s">
        <v>4</v>
      </c>
      <c r="AQ250" s="121" t="s">
        <v>4</v>
      </c>
      <c r="AR250" s="94"/>
      <c r="AS250" s="148"/>
      <c r="AT250" s="84"/>
      <c r="AU250" s="84"/>
      <c r="AV250" s="84"/>
      <c r="AW250" s="5"/>
      <c r="AX250" s="84"/>
      <c r="AY250" s="84"/>
      <c r="AZ250" t="n">
        <v>0.7</v>
      </c>
      <c r="BA250" t="n">
        <v>0</v>
      </c>
      <c r="BB250" t="n">
        <v>120</v>
      </c>
      <c r="BC250" t="n">
        <v>230</v>
      </c>
      <c r="BD250" t="n">
        <v>600</v>
      </c>
      <c r="BE250" t="n">
        <v>1</v>
      </c>
      <c r="BF250" t="n">
        <v>0</v>
      </c>
      <c r="BG250" t="n">
        <v>0</v>
      </c>
      <c r="BH250" t="n">
        <v>0</v>
      </c>
      <c r="BI250" t="n">
        <v>4.96</v>
      </c>
      <c r="BJ250" t="n">
        <v>0</v>
      </c>
      <c r="BK250" t="n">
        <v>0</v>
      </c>
      <c r="BL250" t="n">
        <v>0</v>
      </c>
      <c r="BM250" t="n">
        <v>0</v>
      </c>
      <c r="BN250" t="n">
        <v>140</v>
      </c>
      <c r="BO250" t="n">
        <v>0</v>
      </c>
      <c r="BP250" t="n">
        <v>3.5</v>
      </c>
      <c r="BQ250" s="110"/>
    </row>
    <row r="251">
      <c r="A251" s="84"/>
      <c r="B251" s="84" t="s">
        <v>123</v>
      </c>
      <c r="C251" s="84"/>
      <c r="D251" s="142" t="s">
        <v>122</v>
      </c>
      <c r="E251" s="142"/>
      <c r="F251" s="94"/>
      <c r="G251" s="89" t="n">
        <v>0.99899999999999989</v>
      </c>
      <c r="H251" s="89"/>
      <c r="I251" s="166"/>
      <c r="J251" s="166"/>
      <c r="K251" s="166" t="n">
        <f t="shared" si="111"/>
        <v>38.961000000000006</v>
      </c>
      <c r="L251" s="166"/>
      <c r="M251" s="166" t="n">
        <v>38.961000000000006</v>
      </c>
      <c r="N251" s="166"/>
      <c r="O251" s="94"/>
      <c r="P251" s="94"/>
      <c r="Q251" s="94"/>
      <c r="R251" s="134"/>
      <c r="S251" s="89" t="n">
        <f>VLOOKUP($B251,Conversores_Dieta!$B$4:$J$164,Coefs!S$292,0)</f>
        <v>1</v>
      </c>
      <c r="T251" s="130" t="n">
        <f>VLOOKUP($B251,Conversores_Dieta!$B$4:$J$164,Coefs!T$292,0)</f>
        <v>0</v>
      </c>
      <c r="U251" s="166" t="n">
        <f>VLOOKUP($B251,Conversores_Dieta!$B$4:$J$164,Coefs!U$292,0)</f>
        <v>999</v>
      </c>
      <c r="V251" s="166" t="n">
        <f>VLOOKUP($B251,Conversores_Dieta!$B$4:$J$164,Coefs!V$292,0)</f>
        <v>0</v>
      </c>
      <c r="W251" s="21" t="n">
        <f>VLOOKUP($B251,Conversores_Dieta!$B$4:$J$164,Coefs!W$292,0)</f>
        <v>0</v>
      </c>
      <c r="X251" s="21" t="n">
        <f>VLOOKUP($B251,Conversores_Dieta!$B$4:$J$164,Coefs!X$292,0)</f>
        <v>341</v>
      </c>
      <c r="Y251" s="67"/>
      <c r="Z251" s="67"/>
      <c r="AA251" s="67"/>
      <c r="AB251" s="67"/>
      <c r="AC251" s="67"/>
      <c r="AD251" s="153"/>
      <c r="AE251" s="153"/>
      <c r="AF251" s="153"/>
      <c r="AG251" s="153"/>
      <c r="AH251" s="153"/>
      <c r="AI251" s="153" t="n">
        <v>0</v>
      </c>
      <c r="AJ251" s="71" t="n">
        <v>0</v>
      </c>
      <c r="AK251" s="67" t="n">
        <v>0</v>
      </c>
      <c r="AL251" s="121" t="n">
        <v>0.5</v>
      </c>
      <c r="AM251" s="153"/>
      <c r="AN251" s="153"/>
      <c r="AO251" s="153"/>
      <c r="AP251" s="153" t="s">
        <v>4</v>
      </c>
      <c r="AQ251" s="121" t="s">
        <v>4</v>
      </c>
      <c r="AR251" s="94"/>
      <c r="AS251" s="148"/>
      <c r="AT251" s="84"/>
      <c r="AU251" s="84"/>
      <c r="AV251" s="84"/>
      <c r="AW251" s="5"/>
      <c r="AX251" s="84"/>
      <c r="AY251" s="84"/>
      <c r="AZ251" t="n">
        <v>0.7</v>
      </c>
      <c r="BA251" t="n">
        <v>0</v>
      </c>
      <c r="BB251" t="n">
        <v>142.10000000000002</v>
      </c>
      <c r="BC251" t="n">
        <v>782</v>
      </c>
      <c r="BD251" t="n">
        <v>75</v>
      </c>
      <c r="BE251" t="n">
        <v>18</v>
      </c>
      <c r="BF251" t="n">
        <v>0</v>
      </c>
      <c r="BG251" t="n">
        <v>0</v>
      </c>
      <c r="BH251" t="n">
        <v>0</v>
      </c>
      <c r="BI251" t="n">
        <v>371</v>
      </c>
      <c r="BJ251" t="n">
        <v>0</v>
      </c>
      <c r="BK251" t="n">
        <v>0</v>
      </c>
      <c r="BL251" t="n">
        <v>0</v>
      </c>
      <c r="BM251" t="n">
        <v>0</v>
      </c>
      <c r="BN251" t="n">
        <v>246.9</v>
      </c>
      <c r="BO251" t="n">
        <v>75</v>
      </c>
      <c r="BP251" t="n">
        <v>8.5</v>
      </c>
      <c r="BQ251" s="110"/>
    </row>
    <row r="252">
      <c r="A252" s="84"/>
      <c r="B252" s="84" t="s">
        <v>121</v>
      </c>
      <c r="C252" s="84"/>
      <c r="D252" s="142" t="e">
        <v>#N/A</v>
      </c>
      <c r="E252" s="142"/>
      <c r="F252" s="94"/>
      <c r="G252" s="89" t="n">
        <v>0.16500000000000004</v>
      </c>
      <c r="H252" s="89"/>
      <c r="I252" s="44"/>
      <c r="J252" s="44"/>
      <c r="K252" s="166" t="n">
        <f t="shared" si="111"/>
        <v>2.8290000000000011</v>
      </c>
      <c r="L252" s="166"/>
      <c r="M252" s="166" t="n">
        <v>2.8290000000000011</v>
      </c>
      <c r="N252" s="166"/>
      <c r="O252" s="94"/>
      <c r="P252" s="94"/>
      <c r="Q252" s="94"/>
      <c r="R252" s="94"/>
      <c r="S252" s="89"/>
      <c r="T252" s="130"/>
      <c r="U252" s="166"/>
      <c r="V252" s="166"/>
      <c r="W252" s="21"/>
      <c r="X252" s="21"/>
      <c r="Y252" s="67"/>
      <c r="Z252" s="67"/>
      <c r="AA252" s="67"/>
      <c r="AB252" s="67"/>
      <c r="AC252" s="67"/>
      <c r="AD252" s="153"/>
      <c r="AE252" s="153"/>
      <c r="AF252" s="153"/>
      <c r="AG252" s="153"/>
      <c r="AH252" s="153"/>
      <c r="AI252" s="153"/>
      <c r="AJ252" s="71"/>
      <c r="AK252" s="67"/>
      <c r="AL252" s="121" t="n">
        <v>0.5</v>
      </c>
      <c r="AM252" s="153"/>
      <c r="AN252" s="153"/>
      <c r="AO252" s="153"/>
      <c r="AP252" s="153" t="s">
        <v>4</v>
      </c>
      <c r="AQ252" s="121" t="s">
        <v>4</v>
      </c>
      <c r="AR252" s="94"/>
      <c r="AS252" s="148"/>
      <c r="AT252" s="84"/>
      <c r="AU252" s="84"/>
      <c r="AV252" s="84"/>
      <c r="AW252" s="5"/>
      <c r="AX252" s="84"/>
      <c r="AY252" s="84"/>
      <c r="AZ252" t="n">
        <v>0.7</v>
      </c>
      <c r="BA252" s="83"/>
      <c r="BB252" s="83"/>
      <c r="BC252" s="83"/>
      <c r="BD252" s="83"/>
      <c r="BE252" s="83"/>
      <c r="BF252" s="83"/>
      <c r="BG252" s="83"/>
      <c r="BH252" s="83"/>
      <c r="BI252" s="83"/>
      <c r="BJ252" s="83"/>
      <c r="BK252" s="83"/>
      <c r="BL252" s="83"/>
      <c r="BM252" s="83"/>
      <c r="BN252" s="83"/>
      <c r="BO252" s="83"/>
      <c r="BP252" s="83"/>
      <c r="BQ252" s="110"/>
    </row>
    <row r="253">
      <c r="A253" s="84"/>
      <c r="B253" s="70" t="s">
        <v>120</v>
      </c>
      <c r="C253" s="70"/>
      <c r="D253" s="142" t="e">
        <v>#N/A</v>
      </c>
      <c r="E253" s="151"/>
      <c r="F253" s="104"/>
      <c r="G253" s="140"/>
      <c r="H253" s="140"/>
      <c r="I253" s="84"/>
      <c r="J253" s="84"/>
      <c r="K253" s="119"/>
      <c r="L253" s="119"/>
      <c r="M253" s="119"/>
      <c r="N253" s="119"/>
      <c r="O253" s="104"/>
      <c r="P253" s="104"/>
      <c r="Q253" s="104"/>
      <c r="R253" s="104"/>
      <c r="S253" s="140"/>
      <c r="T253" s="37"/>
      <c r="U253" s="119"/>
      <c r="V253" s="119"/>
      <c r="W253" s="75"/>
      <c r="X253" s="75"/>
      <c r="Y253" s="75"/>
      <c r="Z253" s="75"/>
      <c r="AA253" s="75"/>
      <c r="AB253" s="75"/>
      <c r="AC253" s="75"/>
      <c r="AD253" s="75"/>
      <c r="AE253" s="75"/>
      <c r="AF253" s="75"/>
      <c r="AG253" s="75"/>
      <c r="AH253" s="75"/>
      <c r="AI253" s="75"/>
      <c r="AJ253" s="75"/>
      <c r="AK253" s="75"/>
      <c r="AL253" s="148"/>
      <c r="AM253" s="148"/>
      <c r="AN253" s="148"/>
      <c r="AO253" s="148"/>
      <c r="AP253" s="148"/>
      <c r="AQ253" s="148"/>
      <c r="AR253" s="148"/>
      <c r="AS253" s="148"/>
      <c r="AT253" s="84"/>
      <c r="AU253" s="84"/>
      <c r="AV253" s="84"/>
      <c r="AW253" s="5"/>
      <c r="AX253" s="84"/>
      <c r="AY253" s="84"/>
      <c r="AZ253" t="n">
        <v>0.7</v>
      </c>
      <c r="BA253" s="83"/>
      <c r="BB253" s="83"/>
      <c r="BC253" s="83"/>
      <c r="BD253" s="83"/>
      <c r="BE253" s="83"/>
      <c r="BF253" s="83"/>
      <c r="BG253" s="83"/>
      <c r="BH253" s="83"/>
      <c r="BI253" s="83"/>
      <c r="BJ253" s="83"/>
      <c r="BK253" s="83"/>
      <c r="BL253" s="83"/>
      <c r="BM253" s="83"/>
      <c r="BN253" s="83"/>
      <c r="BO253" s="83"/>
      <c r="BP253" s="83"/>
      <c r="BQ253" s="110"/>
    </row>
    <row r="254">
      <c r="A254" s="84"/>
      <c r="B254" s="84" t="s">
        <v>119</v>
      </c>
      <c r="C254" s="84"/>
      <c r="D254" s="142" t="e">
        <v>#N/A</v>
      </c>
      <c r="E254" s="142"/>
      <c r="F254" s="94"/>
      <c r="G254" s="89" t="n">
        <v>0.77</v>
      </c>
      <c r="H254" s="89"/>
      <c r="I254" s="44"/>
      <c r="J254" s="44"/>
      <c r="K254" s="166" t="n">
        <f>M254</f>
        <v>10.595000000000001</v>
      </c>
      <c r="L254" s="166"/>
      <c r="M254" s="166" t="n">
        <v>10.595000000000001</v>
      </c>
      <c r="N254" s="166"/>
      <c r="O254" s="94"/>
      <c r="P254" s="94"/>
      <c r="Q254" s="94"/>
      <c r="R254" s="94"/>
      <c r="S254" s="89"/>
      <c r="T254" s="130"/>
      <c r="U254" s="166"/>
      <c r="V254" s="166"/>
      <c r="W254" s="21"/>
      <c r="X254" s="21"/>
      <c r="Y254" s="67"/>
      <c r="Z254" s="67"/>
      <c r="AA254" s="67"/>
      <c r="AB254" s="67"/>
      <c r="AC254" s="67"/>
      <c r="AD254" s="153"/>
      <c r="AE254" s="153"/>
      <c r="AF254" s="153"/>
      <c r="AG254" s="153"/>
      <c r="AH254" s="153"/>
      <c r="AI254" s="153"/>
      <c r="AJ254" s="71"/>
      <c r="AK254" s="67"/>
      <c r="AL254" s="121" t="n">
        <v>0.5</v>
      </c>
      <c r="AM254" s="153"/>
      <c r="AN254" s="153"/>
      <c r="AO254" s="153"/>
      <c r="AP254" s="153" t="s">
        <v>4</v>
      </c>
      <c r="AQ254" s="121" t="s">
        <v>4</v>
      </c>
      <c r="AR254" s="94"/>
      <c r="AS254" s="148"/>
      <c r="AT254" s="84"/>
      <c r="AU254" s="84"/>
      <c r="AV254" s="84"/>
      <c r="AW254" s="5"/>
      <c r="AX254" s="84"/>
      <c r="AY254" s="84"/>
      <c r="AZ254" t="n">
        <v>0.7</v>
      </c>
      <c r="BA254" s="83"/>
      <c r="BB254" s="83"/>
      <c r="BC254" s="83"/>
      <c r="BD254" s="83"/>
      <c r="BE254" s="83"/>
      <c r="BF254" s="83"/>
      <c r="BG254" s="83"/>
      <c r="BH254" s="83"/>
      <c r="BI254" s="83"/>
      <c r="BJ254" s="83"/>
      <c r="BK254" s="83"/>
      <c r="BL254" s="83"/>
      <c r="BM254" s="83"/>
      <c r="BN254" s="83"/>
      <c r="BO254" s="83"/>
      <c r="BP254" s="83"/>
      <c r="BQ254" s="110"/>
    </row>
    <row r="255">
      <c r="A255" s="84"/>
      <c r="B255" s="84" t="s">
        <v>118</v>
      </c>
      <c r="C255" s="84"/>
      <c r="D255" s="142" t="e">
        <v>#N/A</v>
      </c>
      <c r="E255" s="142"/>
      <c r="F255" s="94"/>
      <c r="G255" s="89" t="n">
        <v>0.82299999999999995</v>
      </c>
      <c r="H255" s="89"/>
      <c r="I255" s="44"/>
      <c r="J255" s="44"/>
      <c r="K255" s="166" t="n">
        <f t="shared" ref="K255:K258" si="113">M255</f>
        <v>12.731999999999998</v>
      </c>
      <c r="L255" s="166"/>
      <c r="M255" s="166" t="n">
        <v>12.731999999999998</v>
      </c>
      <c r="N255" s="166"/>
      <c r="O255" s="94"/>
      <c r="P255" s="94"/>
      <c r="Q255" s="94"/>
      <c r="R255" s="94"/>
      <c r="S255" s="89"/>
      <c r="T255" s="130"/>
      <c r="U255" s="166"/>
      <c r="V255" s="166"/>
      <c r="W255" s="21"/>
      <c r="X255" s="21"/>
      <c r="Y255" s="67"/>
      <c r="Z255" s="67"/>
      <c r="AA255" s="67"/>
      <c r="AB255" s="67"/>
      <c r="AC255" s="67"/>
      <c r="AD255" s="153"/>
      <c r="AE255" s="153"/>
      <c r="AF255" s="153"/>
      <c r="AG255" s="153"/>
      <c r="AH255" s="153"/>
      <c r="AI255" s="153"/>
      <c r="AJ255" s="71"/>
      <c r="AK255" s="67"/>
      <c r="AL255" s="153" t="n">
        <v>0.41</v>
      </c>
      <c r="AM255" s="153"/>
      <c r="AN255" s="153"/>
      <c r="AO255" s="153"/>
      <c r="AP255" s="153" t="s">
        <v>4</v>
      </c>
      <c r="AQ255" s="121" t="s">
        <v>4</v>
      </c>
      <c r="AR255" s="94"/>
      <c r="AS255" s="148"/>
      <c r="AT255" s="84"/>
      <c r="AU255" s="84"/>
      <c r="AV255" s="84"/>
      <c r="AW255" s="5"/>
      <c r="AX255" s="84"/>
      <c r="AY255" s="84"/>
      <c r="AZ255" t="n">
        <v>0.7</v>
      </c>
      <c r="BA255" s="83"/>
      <c r="BB255" s="83"/>
      <c r="BC255" s="83"/>
      <c r="BD255" s="83"/>
      <c r="BE255" s="83"/>
      <c r="BF255" s="83"/>
      <c r="BG255" s="83"/>
      <c r="BH255" s="83"/>
      <c r="BI255" s="83"/>
      <c r="BJ255" s="83"/>
      <c r="BK255" s="83"/>
      <c r="BL255" s="83"/>
      <c r="BM255" s="83"/>
      <c r="BN255" s="83"/>
      <c r="BO255" s="83"/>
      <c r="BP255" s="83"/>
      <c r="BQ255" s="110"/>
    </row>
    <row r="256">
      <c r="A256" s="84"/>
      <c r="B256" s="84" t="s">
        <v>117</v>
      </c>
      <c r="C256" s="84"/>
      <c r="D256" s="142" t="e">
        <v>#N/A</v>
      </c>
      <c r="E256" s="142"/>
      <c r="F256" s="94"/>
      <c r="G256" s="89" t="n">
        <v>0.70500000000000007</v>
      </c>
      <c r="H256" s="89"/>
      <c r="I256" s="44"/>
      <c r="J256" s="44"/>
      <c r="K256" s="166" t="n">
        <f t="shared" si="113"/>
        <v>8.7379999999999995</v>
      </c>
      <c r="L256" s="166"/>
      <c r="M256" s="166" t="n">
        <v>8.7379999999999995</v>
      </c>
      <c r="N256" s="166"/>
      <c r="O256" s="94"/>
      <c r="P256" s="94"/>
      <c r="Q256" s="94"/>
      <c r="R256" s="94"/>
      <c r="S256" s="89"/>
      <c r="T256" s="130"/>
      <c r="U256" s="166"/>
      <c r="V256" s="166"/>
      <c r="W256" s="21"/>
      <c r="X256" s="21"/>
      <c r="Y256" s="67"/>
      <c r="Z256" s="67"/>
      <c r="AA256" s="67"/>
      <c r="AB256" s="67"/>
      <c r="AC256" s="67"/>
      <c r="AD256" s="153"/>
      <c r="AE256" s="153"/>
      <c r="AF256" s="153"/>
      <c r="AG256" s="153"/>
      <c r="AH256" s="153"/>
      <c r="AI256" s="153"/>
      <c r="AJ256" s="71"/>
      <c r="AK256" s="67"/>
      <c r="AL256" s="121" t="n">
        <v>0.5</v>
      </c>
      <c r="AM256" s="153"/>
      <c r="AN256" s="153"/>
      <c r="AO256" s="153"/>
      <c r="AP256" s="153" t="s">
        <v>4</v>
      </c>
      <c r="AQ256" s="121" t="s">
        <v>4</v>
      </c>
      <c r="AR256" s="94"/>
      <c r="AS256" s="148"/>
      <c r="AT256" s="84"/>
      <c r="AU256" s="84"/>
      <c r="AV256" s="84"/>
      <c r="AW256" s="5"/>
      <c r="AX256" s="84"/>
      <c r="AY256" s="84"/>
      <c r="AZ256" t="n">
        <v>0.7</v>
      </c>
      <c r="BA256" s="83"/>
      <c r="BB256" s="83"/>
      <c r="BC256" s="83"/>
      <c r="BD256" s="83"/>
      <c r="BE256" s="83"/>
      <c r="BF256" s="83"/>
      <c r="BG256" s="83"/>
      <c r="BH256" s="83"/>
      <c r="BI256" s="83"/>
      <c r="BJ256" s="83"/>
      <c r="BK256" s="83"/>
      <c r="BL256" s="83"/>
      <c r="BM256" s="83"/>
      <c r="BN256" s="83"/>
      <c r="BO256" s="83"/>
      <c r="BP256" s="83"/>
      <c r="BQ256" s="110"/>
    </row>
    <row r="257">
      <c r="A257" s="84"/>
      <c r="B257" s="84" t="s">
        <v>116</v>
      </c>
      <c r="C257" s="84"/>
      <c r="D257" s="142" t="e">
        <v>#N/A</v>
      </c>
      <c r="E257" s="142"/>
      <c r="F257" s="94"/>
      <c r="G257" s="89" t="n">
        <v>0.58400000000000007</v>
      </c>
      <c r="H257" s="89"/>
      <c r="I257" s="44"/>
      <c r="J257" s="44"/>
      <c r="K257" s="166" t="n">
        <f t="shared" si="113"/>
        <v>7.3289999999999997</v>
      </c>
      <c r="L257" s="166"/>
      <c r="M257" s="166" t="n">
        <v>7.3289999999999997</v>
      </c>
      <c r="N257" s="166"/>
      <c r="O257" s="94"/>
      <c r="P257" s="94"/>
      <c r="Q257" s="94"/>
      <c r="R257" s="94"/>
      <c r="S257" s="89"/>
      <c r="T257" s="130"/>
      <c r="U257" s="166"/>
      <c r="V257" s="166"/>
      <c r="W257" s="21"/>
      <c r="X257" s="21"/>
      <c r="Y257" s="67"/>
      <c r="Z257" s="67"/>
      <c r="AA257" s="67"/>
      <c r="AB257" s="67"/>
      <c r="AC257" s="67"/>
      <c r="AD257" s="153"/>
      <c r="AE257" s="153"/>
      <c r="AF257" s="153"/>
      <c r="AG257" s="153"/>
      <c r="AH257" s="153"/>
      <c r="AI257" s="153"/>
      <c r="AJ257" s="71"/>
      <c r="AK257" s="67"/>
      <c r="AL257" s="121" t="n">
        <v>0.5</v>
      </c>
      <c r="AM257" s="153"/>
      <c r="AN257" s="153"/>
      <c r="AO257" s="153"/>
      <c r="AP257" s="153" t="s">
        <v>4</v>
      </c>
      <c r="AQ257" s="121" t="s">
        <v>4</v>
      </c>
      <c r="AR257" s="94"/>
      <c r="AS257" s="148"/>
      <c r="AT257" s="84"/>
      <c r="AU257" s="84"/>
      <c r="AV257" s="84"/>
      <c r="AW257" s="5"/>
      <c r="AX257" s="84"/>
      <c r="AY257" s="84"/>
      <c r="AZ257" t="n">
        <v>0.7</v>
      </c>
      <c r="BA257" s="83"/>
      <c r="BB257" s="83"/>
      <c r="BC257" s="83"/>
      <c r="BD257" s="83"/>
      <c r="BE257" s="83"/>
      <c r="BF257" s="83"/>
      <c r="BG257" s="83"/>
      <c r="BH257" s="83"/>
      <c r="BI257" s="83"/>
      <c r="BJ257" s="83"/>
      <c r="BK257" s="83"/>
      <c r="BL257" s="83"/>
      <c r="BM257" s="83"/>
      <c r="BN257" s="83"/>
      <c r="BO257" s="83"/>
      <c r="BP257" s="83"/>
      <c r="BQ257" s="110"/>
    </row>
    <row r="258">
      <c r="A258" s="84"/>
      <c r="B258" s="84" t="s">
        <v>115</v>
      </c>
      <c r="C258" s="84"/>
      <c r="D258" s="142" t="e">
        <v>#N/A</v>
      </c>
      <c r="E258" s="142"/>
      <c r="F258" s="94"/>
      <c r="G258" s="89" t="n">
        <v>0.745</v>
      </c>
      <c r="H258" s="89"/>
      <c r="I258" s="44"/>
      <c r="J258" s="44"/>
      <c r="K258" s="166" t="n">
        <f t="shared" si="113"/>
        <v>11.659000000000001</v>
      </c>
      <c r="L258" s="166"/>
      <c r="M258" s="166" t="n">
        <v>11.659000000000001</v>
      </c>
      <c r="N258" s="166"/>
      <c r="O258" s="94"/>
      <c r="P258" s="94"/>
      <c r="Q258" s="94"/>
      <c r="R258" s="94"/>
      <c r="S258" s="89"/>
      <c r="T258" s="130"/>
      <c r="U258" s="166"/>
      <c r="V258" s="166"/>
      <c r="W258" s="21"/>
      <c r="X258" s="21"/>
      <c r="Y258" s="67"/>
      <c r="Z258" s="67"/>
      <c r="AA258" s="67"/>
      <c r="AB258" s="67"/>
      <c r="AC258" s="67"/>
      <c r="AD258" s="153"/>
      <c r="AE258" s="153"/>
      <c r="AF258" s="153"/>
      <c r="AG258" s="153"/>
      <c r="AH258" s="153"/>
      <c r="AI258" s="153"/>
      <c r="AJ258" s="71"/>
      <c r="AK258" s="67"/>
      <c r="AL258" s="121" t="n">
        <v>0.5</v>
      </c>
      <c r="AM258" s="153"/>
      <c r="AN258" s="153"/>
      <c r="AO258" s="153"/>
      <c r="AP258" s="153" t="s">
        <v>4</v>
      </c>
      <c r="AQ258" s="121" t="s">
        <v>4</v>
      </c>
      <c r="AR258" s="94"/>
      <c r="AS258" s="148"/>
      <c r="AT258" s="84"/>
      <c r="AU258" s="84"/>
      <c r="AV258" s="84"/>
      <c r="AW258" s="5"/>
      <c r="AX258" s="84"/>
      <c r="AY258" s="84"/>
      <c r="AZ258" t="n">
        <v>0.7</v>
      </c>
      <c r="BA258" s="83"/>
      <c r="BB258" s="83"/>
      <c r="BC258" s="83"/>
      <c r="BD258" s="83"/>
      <c r="BE258" s="83"/>
      <c r="BF258" s="83"/>
      <c r="BG258" s="83"/>
      <c r="BH258" s="83"/>
      <c r="BI258" s="83"/>
      <c r="BJ258" s="83"/>
      <c r="BK258" s="83"/>
      <c r="BL258" s="83"/>
      <c r="BM258" s="83"/>
      <c r="BN258" s="83"/>
      <c r="BO258" s="83"/>
      <c r="BP258" s="83"/>
      <c r="BQ258" s="110"/>
    </row>
    <row r="259">
      <c r="A259" s="84"/>
      <c r="B259" s="117" t="s">
        <v>114</v>
      </c>
      <c r="C259" s="117"/>
      <c r="D259" s="142" t="e">
        <v>#N/A</v>
      </c>
      <c r="E259" s="125"/>
      <c r="F259" s="123"/>
      <c r="G259" s="120"/>
      <c r="H259" s="120"/>
      <c r="I259" s="117"/>
      <c r="J259" s="117"/>
      <c r="K259" s="116"/>
      <c r="L259" s="116"/>
      <c r="M259" s="116"/>
      <c r="N259" s="116"/>
      <c r="O259" s="116"/>
      <c r="P259" s="116"/>
      <c r="Q259" s="116"/>
      <c r="R259" s="116"/>
      <c r="S259" s="120"/>
      <c r="T259" s="34"/>
      <c r="U259" s="116"/>
      <c r="V259" s="116"/>
      <c r="W259" s="25"/>
      <c r="X259" s="25"/>
      <c r="Y259" s="11"/>
      <c r="Z259" s="11"/>
      <c r="AA259" s="11"/>
      <c r="AB259" s="11"/>
      <c r="AC259" s="11"/>
      <c r="AD259" s="11"/>
      <c r="AE259" s="11"/>
      <c r="AF259" s="11"/>
      <c r="AG259" s="11"/>
      <c r="AH259" s="11"/>
      <c r="AI259" s="11"/>
      <c r="AJ259" s="34"/>
      <c r="AK259" s="116"/>
      <c r="AL259" s="116"/>
      <c r="AM259" s="116"/>
      <c r="AN259" s="116"/>
      <c r="AO259" s="116"/>
      <c r="AP259" s="116"/>
      <c r="AQ259" s="116"/>
      <c r="AR259" s="116"/>
      <c r="AS259" s="148"/>
      <c r="AT259" s="84"/>
      <c r="AU259" s="84"/>
      <c r="AV259" s="84"/>
      <c r="AW259" s="5"/>
      <c r="AX259" s="84"/>
      <c r="AY259" s="84"/>
      <c r="AZ259" t="n">
        <v>0.7</v>
      </c>
      <c r="BQ259" s="110"/>
    </row>
    <row r="260">
      <c r="A260" s="84"/>
      <c r="B260" s="84" t="s">
        <v>113</v>
      </c>
      <c r="C260" s="84"/>
      <c r="D260" s="142" t="s">
        <v>81</v>
      </c>
      <c r="E260" s="142"/>
      <c r="F260" s="94"/>
      <c r="G260" s="89" t="n">
        <v>0.91200000000000003</v>
      </c>
      <c r="H260" s="89"/>
      <c r="I260" s="44"/>
      <c r="J260" s="44"/>
      <c r="K260" s="166"/>
      <c r="L260" s="166"/>
      <c r="M260" s="166" t="n">
        <v>19.812495200000001</v>
      </c>
      <c r="N260" s="166"/>
      <c r="O260" s="94"/>
      <c r="P260" s="94"/>
      <c r="Q260" s="94"/>
      <c r="R260" s="134"/>
      <c r="S260" s="89"/>
      <c r="T260" s="130"/>
      <c r="U260" s="166"/>
      <c r="V260" s="166"/>
      <c r="W260" s="21"/>
      <c r="X260" s="21"/>
      <c r="Y260" s="153"/>
      <c r="Z260" s="153"/>
      <c r="AA260" s="153"/>
      <c r="AB260" s="153"/>
      <c r="AC260" s="153"/>
      <c r="AD260" s="153"/>
      <c r="AE260" s="153"/>
      <c r="AF260" s="153"/>
      <c r="AG260" s="153"/>
      <c r="AH260" s="153"/>
      <c r="AI260" s="153" t="n">
        <v>8.82211868533537E-2</v>
      </c>
      <c r="AJ260" s="71" t="n">
        <v>7.2339018510391428E-3</v>
      </c>
      <c r="AK260" s="67" t="n">
        <v>1.3049856016929283E-2</v>
      </c>
      <c r="AL260" s="121" t="n">
        <v>0.5</v>
      </c>
      <c r="AM260" s="153"/>
      <c r="AN260" s="153"/>
      <c r="AO260" s="153"/>
      <c r="AP260" s="153" t="s">
        <v>4</v>
      </c>
      <c r="AQ260" s="121" t="s">
        <v>4</v>
      </c>
      <c r="AR260" s="94"/>
      <c r="AS260" s="148"/>
      <c r="AT260" s="84"/>
      <c r="AU260" s="84"/>
      <c r="AV260" s="84"/>
      <c r="AW260" s="5"/>
      <c r="AX260" s="84"/>
      <c r="AY260" s="84"/>
      <c r="AZ260" t="n">
        <v>0.7</v>
      </c>
      <c r="BQ260" s="110"/>
    </row>
    <row r="261">
      <c r="A261" s="84"/>
      <c r="B261" s="84" t="s">
        <v>96</v>
      </c>
      <c r="C261" s="84"/>
      <c r="D261" s="142" t="e">
        <v>#N/A</v>
      </c>
      <c r="E261" s="142"/>
      <c r="F261" s="94"/>
      <c r="G261" s="89" t="n">
        <v>0.75249999999999995</v>
      </c>
      <c r="H261" s="89"/>
      <c r="I261" s="44"/>
      <c r="J261" s="44"/>
      <c r="K261" s="166"/>
      <c r="L261" s="166"/>
      <c r="M261" s="166" t="n">
        <v>16.136432800000001</v>
      </c>
      <c r="N261" s="166"/>
      <c r="O261" s="94"/>
      <c r="P261" s="94"/>
      <c r="Q261" s="94"/>
      <c r="R261" s="134"/>
      <c r="S261" s="89"/>
      <c r="T261" s="130"/>
      <c r="U261" s="166"/>
      <c r="V261" s="166"/>
      <c r="W261" s="21"/>
      <c r="X261" s="21"/>
      <c r="Y261" s="153"/>
      <c r="Z261" s="153"/>
      <c r="AA261" s="153"/>
      <c r="AB261" s="153"/>
      <c r="AC261" s="153"/>
      <c r="AD261" s="153"/>
      <c r="AE261" s="153"/>
      <c r="AF261" s="153"/>
      <c r="AG261" s="153"/>
      <c r="AH261" s="153"/>
      <c r="AI261" s="153" t="n">
        <v>1.8938775510204078E-2</v>
      </c>
      <c r="AJ261" s="71" t="n">
        <v>4.0816326530612241E-4</v>
      </c>
      <c r="AK261" s="67" t="n">
        <v>5.4421768707482991E-2</v>
      </c>
      <c r="AL261" s="121" t="n">
        <v>0.5</v>
      </c>
      <c r="AM261" s="153"/>
      <c r="AN261" s="153"/>
      <c r="AO261" s="153"/>
      <c r="AP261" s="153" t="s">
        <v>4</v>
      </c>
      <c r="AQ261" s="121" t="s">
        <v>4</v>
      </c>
      <c r="AR261" s="94" t="n">
        <v>1.4</v>
      </c>
      <c r="AS261" s="148"/>
      <c r="AT261" s="84"/>
      <c r="AU261" s="84"/>
      <c r="AV261" s="84"/>
      <c r="AW261" s="5"/>
      <c r="AX261" s="84"/>
      <c r="AY261" s="84"/>
      <c r="AZ261" t="n">
        <v>0.7</v>
      </c>
      <c r="BQ261" s="110"/>
    </row>
    <row r="262">
      <c r="A262" s="84"/>
      <c r="B262" s="84" t="s">
        <v>567</v>
      </c>
      <c r="C262" s="84"/>
      <c r="D262" s="142"/>
      <c r="E262" s="142"/>
      <c r="F262" s="94"/>
      <c r="G262" s="89" t="n">
        <v>0.89300000000000002</v>
      </c>
      <c r="H262" s="89"/>
      <c r="I262" s="44"/>
      <c r="J262" s="44"/>
      <c r="K262" s="166"/>
      <c r="L262" s="166"/>
      <c r="M262" s="157" t="n">
        <f>M261*G262/G261</f>
        <v>19.149281714817278</v>
      </c>
      <c r="N262" s="166"/>
      <c r="O262" s="94"/>
      <c r="P262" s="94"/>
      <c r="Q262" s="94"/>
      <c r="R262" s="134"/>
      <c r="S262" s="89"/>
      <c r="T262" s="130"/>
      <c r="U262" s="166"/>
      <c r="V262" s="166"/>
      <c r="W262" s="21"/>
      <c r="X262" s="21"/>
      <c r="Y262" s="153"/>
      <c r="Z262" s="153"/>
      <c r="AA262" s="153"/>
      <c r="AB262" s="153"/>
      <c r="AC262" s="153"/>
      <c r="AD262" s="153"/>
      <c r="AE262" s="153"/>
      <c r="AF262" s="153"/>
      <c r="AG262" s="153"/>
      <c r="AH262" s="153"/>
      <c r="AI262" s="153" t="n">
        <f>0.083/6.25</f>
        <v>1.328E-2</v>
      </c>
      <c r="AJ262" s="71" t="n">
        <v>1E-3</v>
      </c>
      <c r="AK262" s="67" t="n">
        <v>5.0000000000000001E-3</v>
      </c>
      <c r="AL262" s="121" t="n">
        <v>0.5</v>
      </c>
      <c r="AM262" s="153"/>
      <c r="AN262" s="153"/>
      <c r="AO262" s="153"/>
      <c r="AP262" s="153"/>
      <c r="AQ262" s="121"/>
      <c r="AR262" s="94"/>
      <c r="AS262" s="148"/>
      <c r="AT262" s="84"/>
      <c r="AU262" s="84"/>
      <c r="AV262" s="84"/>
      <c r="AW262" s="5"/>
      <c r="AX262" s="84"/>
      <c r="AY262" s="84"/>
      <c r="AZ262" t="n">
        <v>0.7</v>
      </c>
      <c r="BQ262" s="110"/>
    </row>
    <row r="263">
      <c r="A263" s="84"/>
      <c r="B263" s="84" t="s">
        <v>112</v>
      </c>
      <c r="C263" s="84"/>
      <c r="D263" s="142" t="e">
        <v>#N/A</v>
      </c>
      <c r="E263" s="142"/>
      <c r="F263" s="94"/>
      <c r="G263" s="89" t="n">
        <v>0.87</v>
      </c>
      <c r="H263" s="89"/>
      <c r="I263" s="44"/>
      <c r="J263" s="44"/>
      <c r="K263" s="166"/>
      <c r="L263" s="166"/>
      <c r="M263" s="157" t="n">
        <f>M$276</f>
        <v>19.3963964</v>
      </c>
      <c r="N263" s="166"/>
      <c r="O263" s="94"/>
      <c r="P263" s="94"/>
      <c r="Q263" s="94"/>
      <c r="R263" s="134"/>
      <c r="S263" s="89"/>
      <c r="T263" s="130"/>
      <c r="U263" s="166"/>
      <c r="V263" s="166"/>
      <c r="W263" s="21"/>
      <c r="X263" s="21"/>
      <c r="Y263" s="153"/>
      <c r="Z263" s="153"/>
      <c r="AA263" s="153"/>
      <c r="AB263" s="153"/>
      <c r="AC263" s="153"/>
      <c r="AD263" s="153"/>
      <c r="AE263" s="153"/>
      <c r="AF263" s="153"/>
      <c r="AG263" s="153"/>
      <c r="AH263" s="153"/>
      <c r="AI263" s="153"/>
      <c r="AJ263" s="71"/>
      <c r="AK263" s="67"/>
      <c r="AL263" s="121" t="n">
        <v>0.5</v>
      </c>
      <c r="AM263" s="153"/>
      <c r="AN263" s="153"/>
      <c r="AO263" s="153"/>
      <c r="AP263" s="153" t="s">
        <v>4</v>
      </c>
      <c r="AQ263" s="121" t="s">
        <v>4</v>
      </c>
      <c r="AR263" s="94"/>
      <c r="AS263" s="148"/>
      <c r="AT263" s="84"/>
      <c r="AU263" s="84"/>
      <c r="AV263" s="84"/>
      <c r="AW263" s="5"/>
      <c r="AX263" s="84"/>
      <c r="AY263" s="84"/>
      <c r="AZ263" t="n">
        <v>0.7</v>
      </c>
      <c r="BQ263" s="110"/>
    </row>
    <row r="264">
      <c r="A264" s="84"/>
      <c r="B264" s="84" t="s">
        <v>111</v>
      </c>
      <c r="C264" s="84"/>
      <c r="D264" s="142" t="e">
        <v>#N/A</v>
      </c>
      <c r="E264" s="142"/>
      <c r="F264" s="94"/>
      <c r="G264" s="89" t="n">
        <v>0.89200000000000002</v>
      </c>
      <c r="H264" s="89"/>
      <c r="I264" s="44"/>
      <c r="J264" s="44"/>
      <c r="K264" s="166"/>
      <c r="L264" s="166"/>
      <c r="M264" s="166" t="n">
        <v>19.714171199999999</v>
      </c>
      <c r="N264" s="166"/>
      <c r="O264" s="94"/>
      <c r="P264" s="94"/>
      <c r="Q264" s="94"/>
      <c r="R264" s="134"/>
      <c r="S264" s="89"/>
      <c r="T264" s="130"/>
      <c r="U264" s="166"/>
      <c r="V264" s="166"/>
      <c r="W264" s="21"/>
      <c r="X264" s="21"/>
      <c r="Y264" s="153"/>
      <c r="Z264" s="153"/>
      <c r="AA264" s="153"/>
      <c r="AB264" s="153"/>
      <c r="AC264" s="153"/>
      <c r="AD264" s="153"/>
      <c r="AE264" s="153"/>
      <c r="AF264" s="153"/>
      <c r="AG264" s="153"/>
      <c r="AH264" s="153"/>
      <c r="AI264" s="153" t="n">
        <v>6.0627802690582953E-2</v>
      </c>
      <c r="AJ264" s="71" t="n">
        <v>1.2331838565022422E-2</v>
      </c>
      <c r="AK264" s="67" t="n">
        <v>1.4237668161434977E-2</v>
      </c>
      <c r="AL264" s="121" t="n">
        <v>0.5</v>
      </c>
      <c r="AM264" s="153"/>
      <c r="AN264" s="153"/>
      <c r="AO264" s="153"/>
      <c r="AP264" s="153" t="s">
        <v>4</v>
      </c>
      <c r="AQ264" s="121" t="s">
        <v>4</v>
      </c>
      <c r="AR264" s="94"/>
      <c r="AS264" s="148"/>
      <c r="AT264" s="84"/>
      <c r="AU264" s="84"/>
      <c r="AV264" s="84"/>
      <c r="AW264" s="5"/>
      <c r="AX264" s="84"/>
      <c r="AY264" s="84"/>
      <c r="AZ264" t="n">
        <v>0.7</v>
      </c>
      <c r="BQ264" s="110"/>
    </row>
    <row r="265">
      <c r="A265" s="84"/>
      <c r="B265" s="84" t="s">
        <v>110</v>
      </c>
      <c r="C265" s="84"/>
      <c r="D265" s="142" t="e">
        <v>#N/A</v>
      </c>
      <c r="E265" s="142"/>
      <c r="F265" s="94"/>
      <c r="G265" s="89" t="n">
        <v>0.90900000000000003</v>
      </c>
      <c r="H265" s="89"/>
      <c r="I265" s="44"/>
      <c r="J265" s="44"/>
      <c r="K265" s="166"/>
      <c r="L265" s="166"/>
      <c r="M265" s="166" t="n">
        <v>19.352673600000003</v>
      </c>
      <c r="N265" s="166"/>
      <c r="O265" s="94"/>
      <c r="P265" s="94"/>
      <c r="Q265" s="94"/>
      <c r="R265" s="134"/>
      <c r="S265" s="89"/>
      <c r="T265" s="130"/>
      <c r="U265" s="166"/>
      <c r="V265" s="166"/>
      <c r="W265" s="21"/>
      <c r="X265" s="21"/>
      <c r="Y265" s="153"/>
      <c r="Z265" s="153"/>
      <c r="AA265" s="153"/>
      <c r="AB265" s="153"/>
      <c r="AC265" s="153"/>
      <c r="AD265" s="153"/>
      <c r="AE265" s="153"/>
      <c r="AF265" s="153"/>
      <c r="AG265" s="153"/>
      <c r="AH265" s="153"/>
      <c r="AI265" s="153" t="n">
        <v>3.7626373626373624E-2</v>
      </c>
      <c r="AJ265" s="71" t="n">
        <v>6.7032967032967031E-3</v>
      </c>
      <c r="AK265" s="67" t="n">
        <v>1.6483516483516484E-2</v>
      </c>
      <c r="AL265" s="121" t="n">
        <v>0.5</v>
      </c>
      <c r="AM265" s="153"/>
      <c r="AN265" s="153"/>
      <c r="AO265" s="153"/>
      <c r="AP265" s="153" t="s">
        <v>4</v>
      </c>
      <c r="AQ265" s="121" t="s">
        <v>4</v>
      </c>
      <c r="AR265" s="94"/>
      <c r="AS265" s="148"/>
      <c r="AT265" s="84"/>
      <c r="AU265" s="84"/>
      <c r="AV265" s="84"/>
      <c r="AW265" s="5"/>
      <c r="AX265" s="84"/>
      <c r="AY265" s="84"/>
      <c r="AZ265" t="n">
        <v>0.7</v>
      </c>
      <c r="BQ265" s="110"/>
    </row>
    <row r="266">
      <c r="A266" s="84"/>
      <c r="B266" s="84" t="s">
        <v>109</v>
      </c>
      <c r="C266" s="84"/>
      <c r="D266" s="142" t="s">
        <v>81</v>
      </c>
      <c r="E266" s="142"/>
      <c r="F266" s="94"/>
      <c r="G266" s="89" t="n">
        <v>0.91400000000000003</v>
      </c>
      <c r="H266" s="89"/>
      <c r="I266" s="44"/>
      <c r="J266" s="44"/>
      <c r="K266" s="166"/>
      <c r="L266" s="166"/>
      <c r="M266" s="166" t="n">
        <v>19.195773600000003</v>
      </c>
      <c r="N266" s="166"/>
      <c r="O266" s="94"/>
      <c r="P266" s="94"/>
      <c r="Q266" s="94"/>
      <c r="R266" s="134"/>
      <c r="S266" s="89"/>
      <c r="T266" s="130"/>
      <c r="U266" s="166"/>
      <c r="V266" s="166"/>
      <c r="W266" s="21"/>
      <c r="X266" s="21"/>
      <c r="Y266" s="153"/>
      <c r="Z266" s="153"/>
      <c r="AA266" s="153"/>
      <c r="AB266" s="153"/>
      <c r="AC266" s="153"/>
      <c r="AD266" s="153"/>
      <c r="AE266" s="153"/>
      <c r="AF266" s="153"/>
      <c r="AG266" s="153"/>
      <c r="AH266" s="153"/>
      <c r="AI266" s="153" t="n">
        <v>2.8913525498891354E-2</v>
      </c>
      <c r="AJ266" s="71" t="n">
        <v>6.5410199556541013E-3</v>
      </c>
      <c r="AK266" s="67" t="n">
        <v>6.873614190687361E-3</v>
      </c>
      <c r="AL266" s="121" t="n">
        <v>0.5</v>
      </c>
      <c r="AM266" s="153"/>
      <c r="AN266" s="153"/>
      <c r="AO266" s="153"/>
      <c r="AP266" s="153" t="s">
        <v>4</v>
      </c>
      <c r="AQ266" s="121" t="s">
        <v>4</v>
      </c>
      <c r="AR266" s="94"/>
      <c r="AS266" s="148"/>
      <c r="AT266" s="84"/>
      <c r="AU266" s="84"/>
      <c r="AV266" s="84"/>
      <c r="AW266" s="5"/>
      <c r="AX266" s="84"/>
      <c r="AY266" s="84"/>
      <c r="AZ266" t="n">
        <v>0.7</v>
      </c>
      <c r="BQ266" s="110"/>
    </row>
    <row r="267">
      <c r="A267" s="84"/>
      <c r="B267" s="84" t="s">
        <v>108</v>
      </c>
      <c r="C267" s="84"/>
      <c r="D267" s="142" t="e">
        <v>#N/A</v>
      </c>
      <c r="E267" s="142"/>
      <c r="F267" s="94"/>
      <c r="G267" s="89" t="n">
        <v>0.89</v>
      </c>
      <c r="H267" s="89"/>
      <c r="I267" s="44"/>
      <c r="J267" s="44"/>
      <c r="K267" s="166"/>
      <c r="L267" s="166"/>
      <c r="M267" s="166" t="n">
        <v>17.795388800000001</v>
      </c>
      <c r="N267" s="166"/>
      <c r="O267" s="94"/>
      <c r="P267" s="94"/>
      <c r="Q267" s="94"/>
      <c r="R267" s="134"/>
      <c r="S267" s="89"/>
      <c r="T267" s="130"/>
      <c r="U267" s="166"/>
      <c r="V267" s="166"/>
      <c r="W267" s="21"/>
      <c r="X267" s="21"/>
      <c r="Y267" s="153"/>
      <c r="Z267" s="153"/>
      <c r="AA267" s="153"/>
      <c r="AB267" s="153"/>
      <c r="AC267" s="153"/>
      <c r="AD267" s="153"/>
      <c r="AE267" s="153"/>
      <c r="AF267" s="153"/>
      <c r="AG267" s="153"/>
      <c r="AH267" s="153"/>
      <c r="AI267" s="153"/>
      <c r="AJ267" s="71"/>
      <c r="AK267" s="67"/>
      <c r="AL267" s="121" t="n">
        <v>0.5</v>
      </c>
      <c r="AM267" s="153"/>
      <c r="AN267" s="153"/>
      <c r="AO267" s="153"/>
      <c r="AP267" s="153" t="s">
        <v>4</v>
      </c>
      <c r="AQ267" s="121" t="s">
        <v>4</v>
      </c>
      <c r="AR267" s="94"/>
      <c r="AS267" s="148"/>
      <c r="AT267" s="84"/>
      <c r="AU267" s="84"/>
      <c r="AV267" s="84"/>
      <c r="AW267" s="5"/>
      <c r="AX267" s="84"/>
      <c r="AY267" s="84"/>
      <c r="AZ267" t="n">
        <v>0.7</v>
      </c>
      <c r="BQ267" s="110"/>
    </row>
    <row r="268">
      <c r="A268" s="84"/>
      <c r="B268" s="84" t="s">
        <v>107</v>
      </c>
      <c r="C268" s="84"/>
      <c r="D268" s="142" t="e">
        <v>#N/A</v>
      </c>
      <c r="E268" s="142"/>
      <c r="F268" s="94"/>
      <c r="G268" s="89" t="n">
        <v>0.92</v>
      </c>
      <c r="H268" s="89"/>
      <c r="I268" s="44"/>
      <c r="J268" s="44"/>
      <c r="K268" s="166"/>
      <c r="L268" s="166"/>
      <c r="M268" s="157" t="n">
        <f>M$276</f>
        <v>19.3963964</v>
      </c>
      <c r="N268" s="166"/>
      <c r="O268" s="94"/>
      <c r="P268" s="94"/>
      <c r="Q268" s="94"/>
      <c r="R268" s="134"/>
      <c r="S268" s="89"/>
      <c r="T268" s="130"/>
      <c r="U268" s="166"/>
      <c r="V268" s="166"/>
      <c r="W268" s="21"/>
      <c r="X268" s="21"/>
      <c r="Y268" s="153"/>
      <c r="Z268" s="153"/>
      <c r="AA268" s="153"/>
      <c r="AB268" s="153"/>
      <c r="AC268" s="153"/>
      <c r="AD268" s="153"/>
      <c r="AE268" s="153"/>
      <c r="AF268" s="153"/>
      <c r="AG268" s="153"/>
      <c r="AH268" s="153"/>
      <c r="AI268" s="153" t="n">
        <v>2.1213483146067417E-2</v>
      </c>
      <c r="AJ268" s="71" t="n">
        <v>1.6853932584269663E-3</v>
      </c>
      <c r="AK268" s="67" t="n">
        <v>1.4157303370786517E-2</v>
      </c>
      <c r="AL268" s="121" t="n">
        <v>0.5</v>
      </c>
      <c r="AM268" s="153"/>
      <c r="AN268" s="153"/>
      <c r="AO268" s="153"/>
      <c r="AP268" s="153" t="s">
        <v>4</v>
      </c>
      <c r="AQ268" s="121" t="s">
        <v>4</v>
      </c>
      <c r="AR268" s="94"/>
      <c r="AS268" s="148"/>
      <c r="AT268" s="84"/>
      <c r="AU268" s="84"/>
      <c r="AV268" s="84"/>
      <c r="AW268" s="5"/>
      <c r="AX268" s="84"/>
      <c r="AY268" s="84"/>
      <c r="AZ268" t="n">
        <v>0.7</v>
      </c>
      <c r="BQ268" s="110"/>
    </row>
    <row r="269">
      <c r="A269" s="84"/>
      <c r="B269" s="84" t="s">
        <v>106</v>
      </c>
      <c r="C269" s="84"/>
      <c r="D269" s="142" t="s">
        <v>81</v>
      </c>
      <c r="E269" s="142"/>
      <c r="F269" s="94"/>
      <c r="G269" s="89" t="n">
        <v>0.88</v>
      </c>
      <c r="H269" s="89"/>
      <c r="I269" s="44"/>
      <c r="J269" s="44"/>
      <c r="K269" s="166"/>
      <c r="L269" s="166"/>
      <c r="M269" s="166" t="n">
        <v>19.540744400000001</v>
      </c>
      <c r="N269" s="166"/>
      <c r="O269" s="94"/>
      <c r="P269" s="94"/>
      <c r="Q269" s="94"/>
      <c r="R269" s="134"/>
      <c r="S269" s="89"/>
      <c r="T269" s="130"/>
      <c r="U269" s="166"/>
      <c r="V269" s="166"/>
      <c r="W269" s="21"/>
      <c r="X269" s="21"/>
      <c r="Y269" s="153"/>
      <c r="Z269" s="153"/>
      <c r="AA269" s="153"/>
      <c r="AB269" s="153"/>
      <c r="AC269" s="153"/>
      <c r="AD269" s="153"/>
      <c r="AE269" s="153"/>
      <c r="AF269" s="153"/>
      <c r="AG269" s="153"/>
      <c r="AH269" s="153"/>
      <c r="AI269" s="153" t="n">
        <v>8.4090909090909091E-2</v>
      </c>
      <c r="AJ269" s="71" t="n">
        <v>7.1590909090909084E-3</v>
      </c>
      <c r="AK269" s="67" t="n">
        <v>2.5000000000000001E-2</v>
      </c>
      <c r="AL269" s="121" t="n">
        <v>0.5</v>
      </c>
      <c r="AM269" s="153"/>
      <c r="AN269" s="153"/>
      <c r="AO269" s="153"/>
      <c r="AP269" s="153" t="s">
        <v>4</v>
      </c>
      <c r="AQ269" s="121" t="s">
        <v>4</v>
      </c>
      <c r="AR269" s="94"/>
      <c r="AS269" s="148"/>
      <c r="AT269" s="84"/>
      <c r="AU269" s="84"/>
      <c r="AV269" s="84"/>
      <c r="AW269" s="5"/>
      <c r="AX269" s="84"/>
      <c r="AY269" s="84"/>
      <c r="AZ269" t="n">
        <v>0.7</v>
      </c>
      <c r="BQ269" s="110"/>
    </row>
    <row r="270">
      <c r="A270" s="84"/>
      <c r="B270" s="84" t="s">
        <v>105</v>
      </c>
      <c r="C270" s="84"/>
      <c r="D270" s="142" t="e">
        <v>#N/A</v>
      </c>
      <c r="E270" s="142"/>
      <c r="F270" s="94"/>
      <c r="G270" s="89" t="n">
        <v>0.90400000000000003</v>
      </c>
      <c r="H270" s="89"/>
      <c r="I270" s="44"/>
      <c r="J270" s="44"/>
      <c r="K270" s="166"/>
      <c r="L270" s="166"/>
      <c r="M270" s="157" t="n">
        <f>M$276</f>
        <v>19.3963964</v>
      </c>
      <c r="N270" s="166"/>
      <c r="O270" s="94"/>
      <c r="P270" s="94"/>
      <c r="Q270" s="94"/>
      <c r="R270" s="134"/>
      <c r="S270" s="89"/>
      <c r="T270" s="130"/>
      <c r="U270" s="166"/>
      <c r="V270" s="166"/>
      <c r="W270" s="21"/>
      <c r="X270" s="21"/>
      <c r="Y270" s="153"/>
      <c r="Z270" s="153"/>
      <c r="AA270" s="153"/>
      <c r="AB270" s="153"/>
      <c r="AC270" s="153"/>
      <c r="AD270" s="153"/>
      <c r="AE270" s="153"/>
      <c r="AF270" s="153"/>
      <c r="AG270" s="153"/>
      <c r="AH270" s="153"/>
      <c r="AI270" s="153" t="n">
        <v>1.1028446389496717E-2</v>
      </c>
      <c r="AJ270" s="71" t="n">
        <v>1.2035010940919036E-3</v>
      </c>
      <c r="AK270" s="67" t="n">
        <v>9.2997811816192544E-3</v>
      </c>
      <c r="AL270" s="121" t="n">
        <v>0.5</v>
      </c>
      <c r="AM270" s="153"/>
      <c r="AN270" s="153"/>
      <c r="AO270" s="153"/>
      <c r="AP270" s="153" t="s">
        <v>4</v>
      </c>
      <c r="AQ270" s="121" t="s">
        <v>4</v>
      </c>
      <c r="AR270" s="94"/>
      <c r="AS270" s="148"/>
      <c r="AT270" s="84"/>
      <c r="AU270" s="84"/>
      <c r="AV270" s="84"/>
      <c r="AW270" s="5"/>
      <c r="AX270" s="84"/>
      <c r="AY270" s="84"/>
      <c r="AZ270" t="n">
        <v>0.7</v>
      </c>
      <c r="BQ270" s="110"/>
    </row>
    <row r="271">
      <c r="A271" s="84"/>
      <c r="B271" s="84" t="s">
        <v>104</v>
      </c>
      <c r="C271" s="84"/>
      <c r="D271" s="142" t="s">
        <v>81</v>
      </c>
      <c r="E271" s="142"/>
      <c r="F271" s="94"/>
      <c r="G271" s="89" t="n">
        <v>0.89249999999999996</v>
      </c>
      <c r="H271" s="89"/>
      <c r="I271" s="44"/>
      <c r="J271" s="44"/>
      <c r="K271" s="166"/>
      <c r="L271" s="166"/>
      <c r="M271" s="166" t="n">
        <v>18.403533200000002</v>
      </c>
      <c r="N271" s="166"/>
      <c r="O271" s="94"/>
      <c r="P271" s="94"/>
      <c r="Q271" s="94"/>
      <c r="R271" s="134"/>
      <c r="S271" s="89"/>
      <c r="T271" s="130"/>
      <c r="U271" s="166"/>
      <c r="V271" s="166"/>
      <c r="W271" s="21"/>
      <c r="X271" s="21"/>
      <c r="Y271" s="153"/>
      <c r="Z271" s="153"/>
      <c r="AA271" s="153"/>
      <c r="AB271" s="153"/>
      <c r="AC271" s="153"/>
      <c r="AD271" s="153"/>
      <c r="AE271" s="153"/>
      <c r="AF271" s="153"/>
      <c r="AG271" s="153"/>
      <c r="AH271" s="153"/>
      <c r="AI271" s="153" t="n">
        <v>6.88E-2</v>
      </c>
      <c r="AJ271" s="71" t="n">
        <v>1.0555555555555556E-2</v>
      </c>
      <c r="AK271" s="67" t="n">
        <v>1.4444444444444446E-2</v>
      </c>
      <c r="AL271" s="121" t="n">
        <v>0.5</v>
      </c>
      <c r="AM271" s="153"/>
      <c r="AN271" s="153"/>
      <c r="AO271" s="153"/>
      <c r="AP271" s="153" t="s">
        <v>4</v>
      </c>
      <c r="AQ271" s="121" t="s">
        <v>4</v>
      </c>
      <c r="AR271" s="94"/>
      <c r="AS271" s="148"/>
      <c r="AT271" s="84"/>
      <c r="AU271" s="84"/>
      <c r="AV271" s="84"/>
      <c r="AW271" s="5"/>
      <c r="AX271" s="84"/>
      <c r="AY271" s="84"/>
      <c r="AZ271" t="n">
        <v>0.7</v>
      </c>
      <c r="BQ271" s="110"/>
    </row>
    <row r="272">
      <c r="A272" s="84"/>
      <c r="B272" s="84" t="s">
        <v>103</v>
      </c>
      <c r="C272" s="84"/>
      <c r="D272" s="142" t="e">
        <v>#N/A</v>
      </c>
      <c r="E272" s="142"/>
      <c r="F272" s="94"/>
      <c r="G272" s="89" t="n">
        <v>0.89050000000000007</v>
      </c>
      <c r="H272" s="89"/>
      <c r="I272" s="44"/>
      <c r="J272" s="44"/>
      <c r="K272" s="166"/>
      <c r="L272" s="166"/>
      <c r="M272" s="157" t="n">
        <f>M$276</f>
        <v>19.3963964</v>
      </c>
      <c r="N272" s="166"/>
      <c r="O272" s="94"/>
      <c r="P272" s="94"/>
      <c r="Q272" s="94"/>
      <c r="R272" s="134"/>
      <c r="S272" s="89"/>
      <c r="T272" s="130"/>
      <c r="U272" s="166"/>
      <c r="V272" s="166"/>
      <c r="W272" s="21"/>
      <c r="X272" s="21"/>
      <c r="Y272" s="153"/>
      <c r="Z272" s="153"/>
      <c r="AA272" s="153"/>
      <c r="AB272" s="153"/>
      <c r="AC272" s="153"/>
      <c r="AD272" s="153"/>
      <c r="AE272" s="153"/>
      <c r="AF272" s="153"/>
      <c r="AG272" s="153"/>
      <c r="AH272" s="153"/>
      <c r="AI272" s="153" t="n">
        <v>9.9781181619256008E-3</v>
      </c>
      <c r="AJ272" s="71" t="n">
        <v>2.1881838074398249E-3</v>
      </c>
      <c r="AK272" s="67" t="n">
        <v>1.1487964989059081E-2</v>
      </c>
      <c r="AL272" s="121" t="n">
        <v>0.5</v>
      </c>
      <c r="AM272" s="153"/>
      <c r="AN272" s="153"/>
      <c r="AO272" s="153"/>
      <c r="AP272" s="153" t="s">
        <v>4</v>
      </c>
      <c r="AQ272" s="121" t="s">
        <v>4</v>
      </c>
      <c r="AR272" s="94"/>
      <c r="AS272" s="148"/>
      <c r="AT272" s="84"/>
      <c r="AU272" s="84"/>
      <c r="AV272" s="84"/>
      <c r="AW272" s="5"/>
      <c r="AX272" s="84"/>
      <c r="AY272" s="84"/>
      <c r="AZ272" t="n">
        <v>0.7</v>
      </c>
      <c r="BQ272" s="110"/>
    </row>
    <row r="273">
      <c r="A273" s="84"/>
      <c r="B273" s="84" t="s">
        <v>102</v>
      </c>
      <c r="C273" s="84"/>
      <c r="D273" s="142" t="s">
        <v>81</v>
      </c>
      <c r="E273" s="142"/>
      <c r="F273" s="94"/>
      <c r="G273" s="89" t="n">
        <v>0.91</v>
      </c>
      <c r="H273" s="89"/>
      <c r="I273" s="44"/>
      <c r="J273" s="44"/>
      <c r="K273" s="166"/>
      <c r="L273" s="166"/>
      <c r="M273" s="166" t="n">
        <v>17.698319999999999</v>
      </c>
      <c r="N273" s="166"/>
      <c r="O273" s="94"/>
      <c r="P273" s="94"/>
      <c r="Q273" s="94"/>
      <c r="R273" s="134"/>
      <c r="S273" s="89"/>
      <c r="T273" s="130"/>
      <c r="U273" s="166"/>
      <c r="V273" s="166"/>
      <c r="W273" s="21"/>
      <c r="X273" s="21"/>
      <c r="Y273" s="153"/>
      <c r="Z273" s="153"/>
      <c r="AA273" s="153"/>
      <c r="AB273" s="153"/>
      <c r="AC273" s="153"/>
      <c r="AD273" s="153"/>
      <c r="AE273" s="153"/>
      <c r="AF273" s="153"/>
      <c r="AG273" s="153"/>
      <c r="AH273" s="153"/>
      <c r="AI273" s="153" t="n">
        <v>5.74534682896631E-2</v>
      </c>
      <c r="AJ273" s="71" t="n">
        <v>1.1612474310762263E-2</v>
      </c>
      <c r="AK273" s="67" t="n">
        <v>1.6525650895965738E-2</v>
      </c>
      <c r="AL273" s="121" t="n">
        <v>0.5</v>
      </c>
      <c r="AM273" s="153"/>
      <c r="AN273" s="153"/>
      <c r="AO273" s="153"/>
      <c r="AP273" s="153" t="s">
        <v>4</v>
      </c>
      <c r="AQ273" s="121" t="s">
        <v>4</v>
      </c>
      <c r="AR273" s="94"/>
      <c r="AS273" s="148"/>
      <c r="AT273" s="84"/>
      <c r="AU273" s="84"/>
      <c r="AV273" s="84"/>
      <c r="AW273" s="5"/>
      <c r="AX273" s="84"/>
      <c r="AY273" s="84"/>
      <c r="AZ273" t="n">
        <v>0.7</v>
      </c>
      <c r="BQ273" s="110"/>
    </row>
    <row r="274">
      <c r="A274" s="84"/>
      <c r="B274" s="84" t="s">
        <v>101</v>
      </c>
      <c r="C274" s="84"/>
      <c r="D274" s="142" t="e">
        <v>#N/A</v>
      </c>
      <c r="E274" s="142"/>
      <c r="F274" s="94"/>
      <c r="G274" s="89" t="n">
        <v>0.91</v>
      </c>
      <c r="H274" s="89"/>
      <c r="I274" s="44"/>
      <c r="J274" s="44"/>
      <c r="K274" s="166"/>
      <c r="L274" s="166"/>
      <c r="M274" s="166" t="n">
        <v>20.061024800000002</v>
      </c>
      <c r="N274" s="166"/>
      <c r="O274" s="94"/>
      <c r="P274" s="94"/>
      <c r="Q274" s="94"/>
      <c r="R274" s="134"/>
      <c r="S274" s="89"/>
      <c r="T274" s="130"/>
      <c r="U274" s="166"/>
      <c r="V274" s="166"/>
      <c r="W274" s="21"/>
      <c r="X274" s="21"/>
      <c r="Y274" s="153"/>
      <c r="Z274" s="153"/>
      <c r="AA274" s="153"/>
      <c r="AB274" s="153"/>
      <c r="AC274" s="153"/>
      <c r="AD274" s="153"/>
      <c r="AE274" s="153"/>
      <c r="AF274" s="153"/>
      <c r="AG274" s="153"/>
      <c r="AH274" s="153"/>
      <c r="AI274" s="153" t="n">
        <v>6.0782122905027929E-2</v>
      </c>
      <c r="AJ274" s="71" t="n">
        <v>9.0502793296089387E-3</v>
      </c>
      <c r="AK274" s="67" t="n">
        <v>1.452513966480447E-2</v>
      </c>
      <c r="AL274" s="121" t="n">
        <v>0.5</v>
      </c>
      <c r="AM274" s="153"/>
      <c r="AN274" s="153"/>
      <c r="AO274" s="153"/>
      <c r="AP274" s="153" t="s">
        <v>4</v>
      </c>
      <c r="AQ274" s="121" t="s">
        <v>4</v>
      </c>
      <c r="AR274" s="94"/>
      <c r="AS274" s="148"/>
      <c r="AT274" s="84"/>
      <c r="AU274" s="84"/>
      <c r="AV274" s="84"/>
      <c r="AW274" s="5"/>
      <c r="AX274" s="84"/>
      <c r="AY274" s="84"/>
      <c r="AZ274" t="n">
        <v>0.7</v>
      </c>
      <c r="BQ274" s="110"/>
    </row>
    <row r="275">
      <c r="A275" s="84"/>
      <c r="B275" s="84" t="s">
        <v>100</v>
      </c>
      <c r="C275" s="84"/>
      <c r="D275" s="142" t="e">
        <v>#N/A</v>
      </c>
      <c r="E275" s="142"/>
      <c r="F275" s="94"/>
      <c r="G275" s="89" t="n">
        <v>0.91149999999999998</v>
      </c>
      <c r="H275" s="89"/>
      <c r="I275" s="44"/>
      <c r="J275" s="44"/>
      <c r="K275" s="166"/>
      <c r="L275" s="166"/>
      <c r="M275" s="166" t="n">
        <v>16.873862800000001</v>
      </c>
      <c r="N275" s="166"/>
      <c r="O275" s="94"/>
      <c r="P275" s="94"/>
      <c r="Q275" s="94"/>
      <c r="R275" s="134"/>
      <c r="S275" s="89"/>
      <c r="T275" s="130"/>
      <c r="U275" s="166"/>
      <c r="V275" s="166"/>
      <c r="W275" s="21"/>
      <c r="X275" s="21"/>
      <c r="Y275" s="153"/>
      <c r="Z275" s="153"/>
      <c r="AA275" s="153"/>
      <c r="AB275" s="153"/>
      <c r="AC275" s="153"/>
      <c r="AD275" s="153"/>
      <c r="AE275" s="153"/>
      <c r="AF275" s="153"/>
      <c r="AG275" s="153"/>
      <c r="AH275" s="153"/>
      <c r="AI275" s="153" t="n">
        <v>2.78270624202595E-2</v>
      </c>
      <c r="AJ275" s="71" t="n">
        <v>2.8529043595483979E-3</v>
      </c>
      <c r="AK275" s="67" t="n">
        <v>2.3589947280999498E-2</v>
      </c>
      <c r="AL275" s="121" t="n">
        <v>0.5</v>
      </c>
      <c r="AM275" s="153"/>
      <c r="AN275" s="153"/>
      <c r="AO275" s="153"/>
      <c r="AP275" s="153" t="s">
        <v>4</v>
      </c>
      <c r="AQ275" s="121" t="s">
        <v>4</v>
      </c>
      <c r="AR275" s="94"/>
      <c r="AS275" s="148"/>
      <c r="AT275" s="84"/>
      <c r="AU275" s="84"/>
      <c r="AV275" s="84"/>
      <c r="AW275" s="5"/>
      <c r="AX275" s="84"/>
      <c r="AY275" s="84"/>
      <c r="AZ275" t="n">
        <v>0.7</v>
      </c>
      <c r="BQ275" s="110"/>
    </row>
    <row r="276">
      <c r="A276" s="84"/>
      <c r="B276" s="84" t="s">
        <v>99</v>
      </c>
      <c r="C276" s="84"/>
      <c r="D276" s="142" t="e">
        <v>#N/A</v>
      </c>
      <c r="E276" s="142"/>
      <c r="F276" s="94"/>
      <c r="G276" s="89" t="n">
        <v>0.88749999999999996</v>
      </c>
      <c r="H276" s="89"/>
      <c r="I276" s="44"/>
      <c r="J276" s="44"/>
      <c r="K276" s="166"/>
      <c r="L276" s="166"/>
      <c r="M276" s="166" t="n">
        <v>19.3963964</v>
      </c>
      <c r="N276" s="166"/>
      <c r="O276" s="94"/>
      <c r="P276" s="94"/>
      <c r="Q276" s="94"/>
      <c r="R276" s="134"/>
      <c r="S276" s="89"/>
      <c r="T276" s="130"/>
      <c r="U276" s="166"/>
      <c r="V276" s="166"/>
      <c r="W276" s="21"/>
      <c r="X276" s="21"/>
      <c r="Y276" s="153"/>
      <c r="Z276" s="153"/>
      <c r="AA276" s="153"/>
      <c r="AB276" s="153"/>
      <c r="AC276" s="153"/>
      <c r="AD276" s="153"/>
      <c r="AE276" s="153"/>
      <c r="AF276" s="153"/>
      <c r="AG276" s="153"/>
      <c r="AH276" s="153"/>
      <c r="AI276" s="153" t="n">
        <v>2.7548460661345496E-2</v>
      </c>
      <c r="AJ276" s="71" t="n">
        <v>1.1060433295324971E-2</v>
      </c>
      <c r="AK276" s="67" t="n">
        <v>1.3454960091220066E-2</v>
      </c>
      <c r="AL276" s="121" t="n">
        <v>0.5</v>
      </c>
      <c r="AM276" s="153"/>
      <c r="AN276" s="153"/>
      <c r="AO276" s="153"/>
      <c r="AP276" s="153" t="s">
        <v>4</v>
      </c>
      <c r="AQ276" s="121" t="s">
        <v>4</v>
      </c>
      <c r="AR276" s="94"/>
      <c r="AS276" s="148"/>
      <c r="AT276" s="84"/>
      <c r="AU276" s="84"/>
      <c r="AV276" s="84"/>
      <c r="AW276" s="5"/>
      <c r="AX276" s="84"/>
      <c r="AY276" s="84"/>
      <c r="AZ276" t="n">
        <v>0.7</v>
      </c>
      <c r="BQ276" s="110"/>
    </row>
    <row r="277">
      <c r="A277" s="84"/>
      <c r="B277" s="84" t="s">
        <v>98</v>
      </c>
      <c r="C277" s="84"/>
      <c r="D277" s="142" t="s">
        <v>97</v>
      </c>
      <c r="E277" s="142"/>
      <c r="F277" s="94"/>
      <c r="G277" s="89" t="n">
        <v>0.73699999999999999</v>
      </c>
      <c r="H277" s="89"/>
      <c r="I277" s="44"/>
      <c r="J277" s="44"/>
      <c r="K277" s="157"/>
      <c r="L277" s="157"/>
      <c r="M277" s="157" t="n">
        <v>16.136432800000001</v>
      </c>
      <c r="N277" s="166"/>
      <c r="O277" s="94"/>
      <c r="P277" s="94"/>
      <c r="Q277" s="94"/>
      <c r="R277" s="134"/>
      <c r="S277" s="89"/>
      <c r="T277" s="130"/>
      <c r="U277" s="166"/>
      <c r="V277" s="166"/>
      <c r="W277" s="21"/>
      <c r="X277" s="21"/>
      <c r="Y277" s="153"/>
      <c r="Z277" s="153"/>
      <c r="AA277" s="153"/>
      <c r="AB277" s="153"/>
      <c r="AC277" s="153"/>
      <c r="AD277" s="153"/>
      <c r="AE277" s="153"/>
      <c r="AF277" s="153"/>
      <c r="AG277" s="153"/>
      <c r="AH277" s="153"/>
      <c r="AI277" s="153" t="n">
        <v>9.3351424694708279E-3</v>
      </c>
      <c r="AJ277" s="71" t="n">
        <v>9.4979647218453196E-4</v>
      </c>
      <c r="AK277" s="67" t="n">
        <v>5.0203527815468114E-2</v>
      </c>
      <c r="AL277" s="121" t="n">
        <v>0.5</v>
      </c>
      <c r="AM277" s="153"/>
      <c r="AN277" s="153"/>
      <c r="AO277" s="153"/>
      <c r="AP277" s="153" t="s">
        <v>4</v>
      </c>
      <c r="AQ277" s="121" t="s">
        <v>4</v>
      </c>
      <c r="AR277" s="94" t="n">
        <v>1.4</v>
      </c>
      <c r="AS277" s="148"/>
      <c r="AT277" s="84"/>
      <c r="AU277" s="84"/>
      <c r="AV277" s="84"/>
      <c r="AW277" s="5"/>
      <c r="AX277" s="84"/>
      <c r="AY277" s="84"/>
      <c r="AZ277" t="n">
        <v>0.7</v>
      </c>
      <c r="BQ277" s="110"/>
    </row>
    <row r="278">
      <c r="A278" s="84"/>
      <c r="B278" s="84" t="s">
        <v>95</v>
      </c>
      <c r="C278" s="84"/>
      <c r="D278" s="142" t="e">
        <v>#N/A</v>
      </c>
      <c r="E278" s="142"/>
      <c r="F278" s="94"/>
      <c r="G278" s="89"/>
      <c r="H278" s="89"/>
      <c r="I278" s="44"/>
      <c r="J278" s="44"/>
      <c r="K278" s="157"/>
      <c r="L278" s="157"/>
      <c r="M278" s="157"/>
      <c r="N278" s="166"/>
      <c r="O278" s="94"/>
      <c r="P278" s="94"/>
      <c r="Q278" s="94"/>
      <c r="R278" s="134"/>
      <c r="S278" s="89"/>
      <c r="T278" s="130"/>
      <c r="U278" s="166"/>
      <c r="V278" s="166"/>
      <c r="W278" s="21"/>
      <c r="X278" s="21"/>
      <c r="Y278" s="153"/>
      <c r="Z278" s="153"/>
      <c r="AA278" s="153"/>
      <c r="AB278" s="153"/>
      <c r="AC278" s="153"/>
      <c r="AD278" s="153"/>
      <c r="AE278" s="153"/>
      <c r="AF278" s="153"/>
      <c r="AG278" s="153"/>
      <c r="AH278" s="153"/>
      <c r="AI278" s="153"/>
      <c r="AJ278" s="71"/>
      <c r="AK278" s="67"/>
      <c r="AL278" s="121"/>
      <c r="AM278" s="153"/>
      <c r="AN278" s="153"/>
      <c r="AO278" s="153"/>
      <c r="AP278" s="153"/>
      <c r="AQ278" s="121"/>
      <c r="AR278" s="94"/>
      <c r="AS278" s="148"/>
      <c r="AT278" s="84"/>
      <c r="AU278" s="84"/>
      <c r="AV278" s="84"/>
      <c r="AW278" s="5"/>
      <c r="AX278" s="84"/>
      <c r="AY278" s="84"/>
      <c r="AZ278" t="n">
        <v>0.7</v>
      </c>
      <c r="BQ278" s="110"/>
    </row>
    <row r="279">
      <c r="A279" s="84"/>
      <c r="B279" s="84" t="s">
        <v>94</v>
      </c>
      <c r="C279" s="84"/>
      <c r="D279" s="142" t="e">
        <v>#N/A</v>
      </c>
      <c r="E279" s="142"/>
      <c r="F279" s="94"/>
      <c r="G279" s="89" t="n">
        <v>0.88966666666666661</v>
      </c>
      <c r="H279" s="89"/>
      <c r="I279" s="44"/>
      <c r="J279" s="44"/>
      <c r="K279" s="166"/>
      <c r="L279" s="166"/>
      <c r="M279" s="166" t="n">
        <v>19.242494933333337</v>
      </c>
      <c r="N279" s="166"/>
      <c r="O279" s="94"/>
      <c r="P279" s="94"/>
      <c r="Q279" s="94"/>
      <c r="R279" s="134"/>
      <c r="S279" s="89"/>
      <c r="T279" s="130"/>
      <c r="U279" s="166"/>
      <c r="V279" s="166"/>
      <c r="W279" s="21"/>
      <c r="X279" s="21"/>
      <c r="Y279" s="153"/>
      <c r="Z279" s="153"/>
      <c r="AA279" s="153"/>
      <c r="AB279" s="153"/>
      <c r="AC279" s="153"/>
      <c r="AD279" s="153"/>
      <c r="AE279" s="153"/>
      <c r="AF279" s="153"/>
      <c r="AG279" s="153"/>
      <c r="AH279" s="153"/>
      <c r="AI279" s="153" t="n">
        <v>0.10714285714285714</v>
      </c>
      <c r="AJ279" s="71" t="n">
        <v>4.9107142857142856E-3</v>
      </c>
      <c r="AK279" s="67" t="n">
        <v>1.6741071428571425E-3</v>
      </c>
      <c r="AL279" s="121" t="n">
        <v>0.5</v>
      </c>
      <c r="AM279" s="153"/>
      <c r="AN279" s="153"/>
      <c r="AO279" s="153"/>
      <c r="AP279" s="153" t="s">
        <v>4</v>
      </c>
      <c r="AQ279" s="121" t="s">
        <v>4</v>
      </c>
      <c r="AR279" s="94"/>
      <c r="AS279" s="148"/>
      <c r="AT279" s="84"/>
      <c r="AU279" s="84"/>
      <c r="AV279" s="84"/>
      <c r="AW279" s="5"/>
      <c r="AX279" s="84"/>
      <c r="AY279" s="84"/>
      <c r="AZ279" t="n">
        <v>0.7</v>
      </c>
      <c r="BQ279" s="110"/>
    </row>
    <row r="280">
      <c r="A280" s="84"/>
      <c r="B280" s="84" t="s">
        <v>93</v>
      </c>
      <c r="C280" s="84"/>
      <c r="D280" s="142" t="e">
        <v>#N/A</v>
      </c>
      <c r="E280" s="142"/>
      <c r="F280" s="94"/>
      <c r="G280" s="89" t="n">
        <v>0.94</v>
      </c>
      <c r="H280" s="89"/>
      <c r="I280" s="44"/>
      <c r="J280" s="44"/>
      <c r="K280" s="166"/>
      <c r="L280" s="166"/>
      <c r="M280" s="157" t="n">
        <f>M$276</f>
        <v>19.3963964</v>
      </c>
      <c r="N280" s="166"/>
      <c r="O280" s="94"/>
      <c r="P280" s="94"/>
      <c r="Q280" s="94"/>
      <c r="R280" s="134"/>
      <c r="S280" s="89"/>
      <c r="T280" s="130"/>
      <c r="U280" s="166"/>
      <c r="V280" s="166"/>
      <c r="W280" s="21"/>
      <c r="X280" s="21"/>
      <c r="Y280" s="153"/>
      <c r="Z280" s="153"/>
      <c r="AA280" s="153"/>
      <c r="AB280" s="153"/>
      <c r="AC280" s="153"/>
      <c r="AD280" s="153"/>
      <c r="AE280" s="153"/>
      <c r="AF280" s="153"/>
      <c r="AG280" s="153"/>
      <c r="AH280" s="153"/>
      <c r="AI280" s="153"/>
      <c r="AJ280" s="71"/>
      <c r="AK280" s="67"/>
      <c r="AL280" s="121" t="n">
        <v>0.5</v>
      </c>
      <c r="AM280" s="153"/>
      <c r="AN280" s="153"/>
      <c r="AO280" s="153"/>
      <c r="AP280" s="153" t="s">
        <v>4</v>
      </c>
      <c r="AQ280" s="121" t="s">
        <v>4</v>
      </c>
      <c r="AR280" s="94"/>
      <c r="AS280" s="148"/>
      <c r="AT280" s="84"/>
      <c r="AU280" s="84"/>
      <c r="AV280" s="84"/>
      <c r="AW280" s="5"/>
      <c r="AX280" s="84"/>
      <c r="AY280" s="84"/>
      <c r="AZ280" t="n">
        <v>0.7</v>
      </c>
      <c r="BQ280" s="110"/>
    </row>
    <row r="281">
      <c r="A281" s="70"/>
      <c r="B281" s="70" t="s">
        <v>92</v>
      </c>
      <c r="C281" s="70"/>
      <c r="D281" s="142" t="e">
        <v>#N/A</v>
      </c>
      <c r="E281" s="133"/>
      <c r="F281" s="111"/>
      <c r="G281" s="122" t="n">
        <v>0.24299999999999999</v>
      </c>
      <c r="H281" s="122"/>
      <c r="I281" s="73"/>
      <c r="J281" s="73"/>
      <c r="K281" s="18"/>
      <c r="L281" s="18"/>
      <c r="M281" s="18"/>
      <c r="N281" s="18"/>
      <c r="O281" s="111"/>
      <c r="P281" s="111"/>
      <c r="Q281" s="111"/>
      <c r="R281" s="134"/>
      <c r="S281" s="122"/>
      <c r="T281" s="38"/>
      <c r="U281" s="18"/>
      <c r="V281" s="18"/>
      <c r="W281" s="26"/>
      <c r="X281" s="26"/>
      <c r="Y281" s="150"/>
      <c r="Z281" s="150"/>
      <c r="AA281" s="150"/>
      <c r="AB281" s="150"/>
      <c r="AC281" s="150"/>
      <c r="AD281" s="150"/>
      <c r="AE281" s="150"/>
      <c r="AF281" s="150"/>
      <c r="AG281" s="150"/>
      <c r="AH281" s="150"/>
      <c r="AI281" s="150" t="n">
        <v>5.0043900146628607E-2</v>
      </c>
      <c r="AJ281" s="124" t="n">
        <v>8.5856915075272801E-3</v>
      </c>
      <c r="AK281" s="137" t="n">
        <v>1.0732388339567592E-2</v>
      </c>
      <c r="AL281" s="150" t="n">
        <v>0.5</v>
      </c>
      <c r="AM281" s="150"/>
      <c r="AN281" s="150"/>
      <c r="AO281" s="150"/>
      <c r="AP281" s="153" t="s">
        <v>4</v>
      </c>
      <c r="AQ281" s="121" t="s">
        <v>4</v>
      </c>
      <c r="AR281" s="111"/>
      <c r="AS281" s="148"/>
      <c r="AT281" s="84"/>
      <c r="AU281" s="84"/>
      <c r="AV281" s="84"/>
      <c r="AW281" s="70"/>
      <c r="AX281" s="70"/>
      <c r="AY281" s="70"/>
      <c r="AZ281" t="n">
        <v>0.7</v>
      </c>
      <c r="BQ281" s="110"/>
    </row>
    <row r="282">
      <c r="A282" s="84"/>
      <c r="B282" s="84" t="s">
        <v>91</v>
      </c>
      <c r="C282" s="84"/>
      <c r="D282" s="142" t="e">
        <v>#N/A</v>
      </c>
      <c r="E282" s="142"/>
      <c r="F282" s="94"/>
      <c r="G282" s="89" t="n">
        <v>0.91900000000000004</v>
      </c>
      <c r="H282" s="89"/>
      <c r="I282" s="44"/>
      <c r="J282" s="44"/>
      <c r="K282" s="166"/>
      <c r="L282" s="166"/>
      <c r="M282" s="145" t="n">
        <f>G282*M$291/G$291</f>
        <v>19.55577257009363</v>
      </c>
      <c r="N282" s="166"/>
      <c r="O282" s="94"/>
      <c r="P282" s="94"/>
      <c r="Q282" s="94"/>
      <c r="R282" s="134"/>
      <c r="S282" s="89"/>
      <c r="T282" s="130"/>
      <c r="U282" s="166"/>
      <c r="V282" s="166"/>
      <c r="W282" s="21"/>
      <c r="X282" s="21"/>
      <c r="Y282" s="153"/>
      <c r="Z282" s="153"/>
      <c r="AA282" s="153"/>
      <c r="AB282" s="153"/>
      <c r="AC282" s="153"/>
      <c r="AD282" s="153"/>
      <c r="AE282" s="153"/>
      <c r="AF282" s="153"/>
      <c r="AG282" s="153"/>
      <c r="AH282" s="153"/>
      <c r="AI282" s="153" t="n">
        <v>4.3351468988030467E-2</v>
      </c>
      <c r="AJ282" s="71" t="n">
        <v>7.6169749727965173E-3</v>
      </c>
      <c r="AK282" s="67" t="n">
        <v>1.0337323177366702E-2</v>
      </c>
      <c r="AL282" s="121" t="n">
        <v>0.5</v>
      </c>
      <c r="AM282" s="153"/>
      <c r="AN282" s="153"/>
      <c r="AO282" s="153"/>
      <c r="AP282" s="153" t="s">
        <v>4</v>
      </c>
      <c r="AQ282" s="121" t="s">
        <v>4</v>
      </c>
      <c r="AR282" s="94"/>
      <c r="AS282" s="148"/>
      <c r="AT282" s="84"/>
      <c r="AU282" s="84"/>
      <c r="AV282" s="84"/>
      <c r="AW282" s="5"/>
      <c r="AX282" s="84"/>
      <c r="AY282" s="84"/>
      <c r="AZ282" t="n">
        <v>0.7</v>
      </c>
      <c r="BQ282" s="110"/>
    </row>
    <row r="283">
      <c r="A283" s="84"/>
      <c r="B283" s="84" t="s">
        <v>90</v>
      </c>
      <c r="C283" s="84"/>
      <c r="D283" s="142" t="e">
        <v>#N/A</v>
      </c>
      <c r="E283" s="142"/>
      <c r="F283" s="94"/>
      <c r="G283" s="89" t="n">
        <v>0.90100000000000002</v>
      </c>
      <c r="H283" s="89"/>
      <c r="I283" s="44"/>
      <c r="J283" s="44"/>
      <c r="K283" s="166"/>
      <c r="L283" s="166"/>
      <c r="M283" s="145" t="n">
        <f t="shared" ref="M283:M290" si="114">G283*M$291/G$291</f>
        <v>19.172743292333362</v>
      </c>
      <c r="N283" s="166"/>
      <c r="O283" s="94"/>
      <c r="P283" s="94"/>
      <c r="Q283" s="94"/>
      <c r="R283" s="134"/>
      <c r="S283" s="89"/>
      <c r="T283" s="130"/>
      <c r="U283" s="166"/>
      <c r="V283" s="166"/>
      <c r="W283" s="21"/>
      <c r="X283" s="21"/>
      <c r="Y283" s="153"/>
      <c r="Z283" s="153"/>
      <c r="AA283" s="153"/>
      <c r="AB283" s="153"/>
      <c r="AC283" s="153"/>
      <c r="AD283" s="153"/>
      <c r="AE283" s="153"/>
      <c r="AF283" s="153"/>
      <c r="AG283" s="153"/>
      <c r="AH283" s="153"/>
      <c r="AI283" s="153" t="n">
        <v>4.4543429844097995E-2</v>
      </c>
      <c r="AJ283" s="71" t="n">
        <v>8.6859688195991096E-3</v>
      </c>
      <c r="AK283" s="67" t="n">
        <v>1.1135857461024499E-2</v>
      </c>
      <c r="AL283" s="121" t="n">
        <v>0.5</v>
      </c>
      <c r="AM283" s="153"/>
      <c r="AN283" s="153"/>
      <c r="AO283" s="153"/>
      <c r="AP283" s="153" t="s">
        <v>4</v>
      </c>
      <c r="AQ283" s="121" t="s">
        <v>4</v>
      </c>
      <c r="AR283" s="94"/>
      <c r="AS283" s="148"/>
      <c r="AT283" s="84"/>
      <c r="AU283" s="84"/>
      <c r="AV283" s="84"/>
      <c r="AW283" s="5"/>
      <c r="AX283" s="84"/>
      <c r="AY283" s="84"/>
      <c r="AZ283" t="n">
        <v>0.7</v>
      </c>
      <c r="BQ283" s="110"/>
    </row>
    <row r="284">
      <c r="A284" s="84"/>
      <c r="B284" s="84" t="s">
        <v>89</v>
      </c>
      <c r="C284" s="84"/>
      <c r="D284" s="142" t="e">
        <v>#N/A</v>
      </c>
      <c r="E284" s="142"/>
      <c r="F284" s="94"/>
      <c r="G284" s="89" t="n">
        <v>0.89800000000000002</v>
      </c>
      <c r="H284" s="89"/>
      <c r="I284" s="44"/>
      <c r="J284" s="44"/>
      <c r="K284" s="166"/>
      <c r="L284" s="166"/>
      <c r="M284" s="145" t="n">
        <f t="shared" si="114"/>
        <v>19.108905079373319</v>
      </c>
      <c r="N284" s="166"/>
      <c r="O284" s="94"/>
      <c r="P284" s="94"/>
      <c r="Q284" s="94"/>
      <c r="R284" s="134"/>
      <c r="S284" s="89"/>
      <c r="T284" s="130"/>
      <c r="U284" s="166"/>
      <c r="V284" s="166"/>
      <c r="W284" s="21"/>
      <c r="X284" s="21"/>
      <c r="Y284" s="153"/>
      <c r="Z284" s="153"/>
      <c r="AA284" s="153"/>
      <c r="AB284" s="153"/>
      <c r="AC284" s="153"/>
      <c r="AD284" s="153"/>
      <c r="AE284" s="153"/>
      <c r="AF284" s="153"/>
      <c r="AG284" s="153"/>
      <c r="AH284" s="153"/>
      <c r="AI284" s="153" t="n">
        <v>5.3333333333333337E-2</v>
      </c>
      <c r="AJ284" s="71" t="n">
        <v>8.7196467991169976E-3</v>
      </c>
      <c r="AK284" s="67" t="n">
        <v>1.1368653421633554E-2</v>
      </c>
      <c r="AL284" s="121" t="n">
        <v>0.5</v>
      </c>
      <c r="AM284" s="153"/>
      <c r="AN284" s="153"/>
      <c r="AO284" s="153"/>
      <c r="AP284" s="153" t="s">
        <v>4</v>
      </c>
      <c r="AQ284" s="121" t="s">
        <v>4</v>
      </c>
      <c r="AR284" s="94"/>
      <c r="AS284" s="148"/>
      <c r="AT284" s="84"/>
      <c r="AU284" s="84"/>
      <c r="AV284" s="84"/>
      <c r="AW284" s="5"/>
      <c r="AX284" s="84"/>
      <c r="AY284" s="84"/>
      <c r="AZ284" t="n">
        <v>0.7</v>
      </c>
      <c r="BQ284" s="110"/>
    </row>
    <row r="285">
      <c r="A285" s="84"/>
      <c r="B285" s="84" t="s">
        <v>88</v>
      </c>
      <c r="C285" s="84"/>
      <c r="D285" s="142" t="e">
        <v>#N/A</v>
      </c>
      <c r="E285" s="142"/>
      <c r="F285" s="94"/>
      <c r="G285" s="89" t="n">
        <v>0.90600000000000003</v>
      </c>
      <c r="H285" s="89"/>
      <c r="I285" s="44"/>
      <c r="J285" s="44"/>
      <c r="K285" s="166"/>
      <c r="L285" s="166"/>
      <c r="M285" s="145" t="n">
        <f t="shared" si="114"/>
        <v>19.279140313933436</v>
      </c>
      <c r="N285" s="166"/>
      <c r="O285" s="94"/>
      <c r="P285" s="94"/>
      <c r="Q285" s="94"/>
      <c r="R285" s="134"/>
      <c r="S285" s="89"/>
      <c r="T285" s="130"/>
      <c r="U285" s="166"/>
      <c r="V285" s="166"/>
      <c r="W285" s="21"/>
      <c r="X285" s="21"/>
      <c r="Y285" s="153"/>
      <c r="Z285" s="153"/>
      <c r="AA285" s="153"/>
      <c r="AB285" s="153"/>
      <c r="AC285" s="153"/>
      <c r="AD285" s="153"/>
      <c r="AE285" s="153"/>
      <c r="AF285" s="153"/>
      <c r="AG285" s="153"/>
      <c r="AH285" s="153"/>
      <c r="AI285" s="153" t="n">
        <v>5.894736842105263E-2</v>
      </c>
      <c r="AJ285" s="71" t="n">
        <v>9.3201754385964907E-3</v>
      </c>
      <c r="AK285" s="67" t="n">
        <v>1.0087719298245614E-2</v>
      </c>
      <c r="AL285" s="121" t="n">
        <v>0.5</v>
      </c>
      <c r="AM285" s="153"/>
      <c r="AN285" s="153"/>
      <c r="AO285" s="153"/>
      <c r="AP285" s="153" t="s">
        <v>4</v>
      </c>
      <c r="AQ285" s="121" t="s">
        <v>4</v>
      </c>
      <c r="AR285" s="94"/>
      <c r="AS285" s="148"/>
      <c r="AT285" s="84"/>
      <c r="AU285" s="84"/>
      <c r="AV285" s="84"/>
      <c r="AW285" s="5"/>
      <c r="AX285" s="84"/>
      <c r="AY285" s="84"/>
      <c r="AZ285" t="n">
        <v>0.7</v>
      </c>
      <c r="BQ285" s="110"/>
    </row>
    <row r="286">
      <c r="A286" s="84"/>
      <c r="B286" s="84" t="s">
        <v>87</v>
      </c>
      <c r="C286" s="84"/>
      <c r="D286" s="142" t="e">
        <v>#N/A</v>
      </c>
      <c r="E286" s="142"/>
      <c r="F286" s="94"/>
      <c r="G286" s="89" t="n">
        <v>0.17500000000000004</v>
      </c>
      <c r="H286" s="89"/>
      <c r="I286" s="44"/>
      <c r="J286" s="44"/>
      <c r="K286" s="166"/>
      <c r="L286" s="166"/>
      <c r="M286" s="145" t="n">
        <f t="shared" si="114"/>
        <v>3.7238957560025963</v>
      </c>
      <c r="N286" s="166"/>
      <c r="O286" s="94"/>
      <c r="P286" s="94"/>
      <c r="Q286" s="94"/>
      <c r="R286" s="134"/>
      <c r="S286" s="89"/>
      <c r="T286" s="130"/>
      <c r="U286" s="166"/>
      <c r="V286" s="166"/>
      <c r="W286" s="21"/>
      <c r="X286" s="21"/>
      <c r="Y286" s="153"/>
      <c r="Z286" s="153"/>
      <c r="AA286" s="153"/>
      <c r="AB286" s="153"/>
      <c r="AC286" s="153"/>
      <c r="AD286" s="153"/>
      <c r="AE286" s="153"/>
      <c r="AF286" s="153"/>
      <c r="AG286" s="153"/>
      <c r="AH286" s="153"/>
      <c r="AI286" s="153" t="n">
        <v>1.0941704035874439E-2</v>
      </c>
      <c r="AJ286" s="71" t="n">
        <v>1.3452914798206277E-3</v>
      </c>
      <c r="AK286" s="67" t="n">
        <v>9.52914798206278E-3</v>
      </c>
      <c r="AL286" s="121" t="n">
        <v>0.5</v>
      </c>
      <c r="AM286" s="153"/>
      <c r="AN286" s="153"/>
      <c r="AO286" s="153"/>
      <c r="AP286" s="153" t="s">
        <v>4</v>
      </c>
      <c r="AQ286" s="121" t="s">
        <v>4</v>
      </c>
      <c r="AR286" s="94"/>
      <c r="AS286" s="148"/>
      <c r="AT286" s="84"/>
      <c r="AU286" s="84"/>
      <c r="AV286" s="84"/>
      <c r="AW286" s="5"/>
      <c r="AX286" s="84"/>
      <c r="AY286" s="84"/>
      <c r="AZ286" t="n">
        <v>0.7</v>
      </c>
      <c r="BQ286" s="110"/>
    </row>
    <row r="287">
      <c r="A287" s="84"/>
      <c r="B287" s="84" t="s">
        <v>86</v>
      </c>
      <c r="C287" s="84"/>
      <c r="D287" s="142" t="e">
        <v>#N/A</v>
      </c>
      <c r="E287" s="142"/>
      <c r="F287" s="94"/>
      <c r="G287" s="89" t="n">
        <v>0.91900000000000004</v>
      </c>
      <c r="H287" s="89"/>
      <c r="I287" s="44"/>
      <c r="J287" s="44"/>
      <c r="K287" s="166"/>
      <c r="L287" s="166"/>
      <c r="M287" s="145" t="n">
        <f t="shared" si="114"/>
        <v>19.55577257009363</v>
      </c>
      <c r="N287" s="166"/>
      <c r="O287" s="94"/>
      <c r="P287" s="94"/>
      <c r="Q287" s="94"/>
      <c r="R287" s="134"/>
      <c r="S287" s="89"/>
      <c r="T287" s="130"/>
      <c r="U287" s="166"/>
      <c r="V287" s="166"/>
      <c r="W287" s="21"/>
      <c r="X287" s="21"/>
      <c r="Y287" s="153"/>
      <c r="Z287" s="153"/>
      <c r="AA287" s="153"/>
      <c r="AB287" s="153"/>
      <c r="AC287" s="153"/>
      <c r="AD287" s="153"/>
      <c r="AE287" s="153"/>
      <c r="AF287" s="153"/>
      <c r="AG287" s="153"/>
      <c r="AH287" s="153"/>
      <c r="AI287" s="153" t="n">
        <v>2.2285092491838958E-2</v>
      </c>
      <c r="AJ287" s="71" t="n">
        <v>2.176278563656148E-3</v>
      </c>
      <c r="AK287" s="67" t="n">
        <v>1.5233949945593035E-2</v>
      </c>
      <c r="AL287" s="121" t="n">
        <v>0.5</v>
      </c>
      <c r="AM287" s="153"/>
      <c r="AN287" s="153"/>
      <c r="AO287" s="153"/>
      <c r="AP287" s="153" t="s">
        <v>4</v>
      </c>
      <c r="AQ287" s="121" t="s">
        <v>4</v>
      </c>
      <c r="AR287" s="94"/>
      <c r="AS287" s="148"/>
      <c r="AT287" s="84"/>
      <c r="AU287" s="84"/>
      <c r="AV287" s="84"/>
      <c r="AW287" s="5"/>
      <c r="AX287" s="84"/>
      <c r="AY287" s="84"/>
      <c r="AZ287" t="n">
        <v>0.7</v>
      </c>
      <c r="BQ287" s="110"/>
    </row>
    <row r="288">
      <c r="A288" s="84"/>
      <c r="B288" s="84" t="s">
        <v>85</v>
      </c>
      <c r="C288" s="84"/>
      <c r="D288" s="142" t="e">
        <v>#N/A</v>
      </c>
      <c r="E288" s="142"/>
      <c r="F288" s="94"/>
      <c r="G288" s="89" t="n">
        <v>0.877</v>
      </c>
      <c r="H288" s="89"/>
      <c r="I288" s="44"/>
      <c r="J288" s="44"/>
      <c r="K288" s="166"/>
      <c r="L288" s="166"/>
      <c r="M288" s="145" t="n">
        <f t="shared" si="114"/>
        <v>18.662037588653003</v>
      </c>
      <c r="N288" s="166"/>
      <c r="O288" s="94"/>
      <c r="P288" s="94"/>
      <c r="Q288" s="94"/>
      <c r="R288" s="134"/>
      <c r="S288" s="89"/>
      <c r="T288" s="130"/>
      <c r="U288" s="166"/>
      <c r="V288" s="166"/>
      <c r="W288" s="21"/>
      <c r="X288" s="21"/>
      <c r="Y288" s="153"/>
      <c r="Z288" s="153"/>
      <c r="AA288" s="153"/>
      <c r="AB288" s="153"/>
      <c r="AC288" s="153"/>
      <c r="AD288" s="153"/>
      <c r="AE288" s="153"/>
      <c r="AF288" s="153"/>
      <c r="AG288" s="153"/>
      <c r="AH288" s="153"/>
      <c r="AI288" s="153" t="n">
        <v>2.0433295324971491E-2</v>
      </c>
      <c r="AJ288" s="71" t="n">
        <v>1.4823261117445838E-3</v>
      </c>
      <c r="AK288" s="67" t="n">
        <v>1.9954389965792473E-2</v>
      </c>
      <c r="AL288" s="121" t="n">
        <v>0.5</v>
      </c>
      <c r="AM288" s="153"/>
      <c r="AN288" s="153"/>
      <c r="AO288" s="153"/>
      <c r="AP288" s="153" t="s">
        <v>4</v>
      </c>
      <c r="AQ288" s="121" t="s">
        <v>4</v>
      </c>
      <c r="AR288" s="94"/>
      <c r="AS288" s="148"/>
      <c r="AT288" s="84"/>
      <c r="AU288" s="84"/>
      <c r="AV288" s="84"/>
      <c r="AW288" s="5"/>
      <c r="AX288" s="84"/>
      <c r="AY288" s="84"/>
      <c r="AZ288" t="n">
        <v>0.7</v>
      </c>
      <c r="BQ288" s="110"/>
    </row>
    <row r="289">
      <c r="A289" s="84"/>
      <c r="B289" s="84" t="s">
        <v>84</v>
      </c>
      <c r="C289" s="84"/>
      <c r="D289" s="142" t="e">
        <v>#N/A</v>
      </c>
      <c r="E289" s="142"/>
      <c r="F289" s="94"/>
      <c r="G289" s="89" t="n">
        <v>0.91800000000000004</v>
      </c>
      <c r="H289" s="89"/>
      <c r="I289" s="44"/>
      <c r="J289" s="44"/>
      <c r="K289" s="166"/>
      <c r="L289" s="166"/>
      <c r="M289" s="145" t="n">
        <f t="shared" si="114"/>
        <v>19.534493165773615</v>
      </c>
      <c r="N289" s="166"/>
      <c r="O289" s="94"/>
      <c r="P289" s="94"/>
      <c r="Q289" s="94"/>
      <c r="R289" s="134"/>
      <c r="S289" s="89"/>
      <c r="T289" s="130"/>
      <c r="U289" s="166"/>
      <c r="V289" s="166"/>
      <c r="W289" s="21"/>
      <c r="X289" s="21"/>
      <c r="Y289" s="153"/>
      <c r="Z289" s="153"/>
      <c r="AA289" s="153"/>
      <c r="AB289" s="153"/>
      <c r="AC289" s="153"/>
      <c r="AD289" s="153"/>
      <c r="AE289" s="153"/>
      <c r="AF289" s="153"/>
      <c r="AG289" s="153"/>
      <c r="AH289" s="153"/>
      <c r="AI289" s="153" t="n">
        <v>1.952069716775599E-2</v>
      </c>
      <c r="AJ289" s="71" t="n">
        <v>1.6339869281045752E-3</v>
      </c>
      <c r="AK289" s="67" t="n">
        <v>1.2309368191721131E-2</v>
      </c>
      <c r="AL289" s="121" t="n">
        <v>0.5</v>
      </c>
      <c r="AM289" s="153"/>
      <c r="AN289" s="153"/>
      <c r="AO289" s="153"/>
      <c r="AP289" s="153" t="s">
        <v>4</v>
      </c>
      <c r="AQ289" s="121" t="n">
        <v>0.37</v>
      </c>
      <c r="AR289" s="94"/>
      <c r="AS289" s="148"/>
      <c r="AT289" s="84"/>
      <c r="AU289" s="84"/>
      <c r="AV289" s="84"/>
      <c r="AW289" s="5"/>
      <c r="AX289" s="84"/>
      <c r="AY289" s="84"/>
      <c r="AZ289" t="n">
        <v>0.7</v>
      </c>
      <c r="BQ289" s="110"/>
    </row>
    <row r="290">
      <c r="A290" s="84"/>
      <c r="B290" s="84" t="s">
        <v>83</v>
      </c>
      <c r="C290" s="84"/>
      <c r="D290" s="142" t="e">
        <v>#N/A</v>
      </c>
      <c r="E290" s="142"/>
      <c r="F290" s="94"/>
      <c r="G290" s="89" t="n">
        <v>0.91</v>
      </c>
      <c r="H290" s="89"/>
      <c r="I290" s="44"/>
      <c r="J290" s="44"/>
      <c r="K290" s="166"/>
      <c r="L290" s="166"/>
      <c r="M290" s="145" t="n">
        <f t="shared" si="114"/>
        <v>19.364257931213498</v>
      </c>
      <c r="N290" s="166"/>
      <c r="O290" s="94"/>
      <c r="P290" s="94"/>
      <c r="Q290" s="94"/>
      <c r="R290" s="134"/>
      <c r="S290" s="89"/>
      <c r="T290" s="130"/>
      <c r="U290" s="166"/>
      <c r="V290" s="166"/>
      <c r="W290" s="21"/>
      <c r="X290" s="21"/>
      <c r="Y290" s="153"/>
      <c r="Z290" s="153"/>
      <c r="AA290" s="153"/>
      <c r="AB290" s="153"/>
      <c r="AC290" s="153"/>
      <c r="AD290" s="153"/>
      <c r="AE290" s="153"/>
      <c r="AF290" s="153"/>
      <c r="AG290" s="153"/>
      <c r="AH290" s="153"/>
      <c r="AI290" s="153" t="n">
        <v>1.5824175824175824E-2</v>
      </c>
      <c r="AJ290" s="71" t="n">
        <v>8.7912087912087912E-4</v>
      </c>
      <c r="AK290" s="67" t="n">
        <v>9.450549450549451E-3</v>
      </c>
      <c r="AL290" s="121" t="n">
        <v>0.5</v>
      </c>
      <c r="AM290" s="153"/>
      <c r="AN290" s="153"/>
      <c r="AO290" s="153"/>
      <c r="AP290" s="153" t="s">
        <v>4</v>
      </c>
      <c r="AQ290" s="121" t="s">
        <v>4</v>
      </c>
      <c r="AR290" s="94"/>
      <c r="AS290" s="148"/>
      <c r="AT290" s="84"/>
      <c r="AU290" s="84"/>
      <c r="AV290" s="84"/>
      <c r="AW290" s="5"/>
      <c r="AX290" s="84"/>
      <c r="AY290" s="84"/>
      <c r="AZ290" t="n">
        <v>0.7</v>
      </c>
      <c r="BQ290" s="110"/>
    </row>
    <row r="291">
      <c r="A291" s="70"/>
      <c r="B291" s="70" t="s">
        <v>82</v>
      </c>
      <c r="C291" s="70"/>
      <c r="D291" s="142" t="s">
        <v>81</v>
      </c>
      <c r="E291" s="133"/>
      <c r="F291" s="111"/>
      <c r="G291" s="122" t="n">
        <v>0.8989166666666667</v>
      </c>
      <c r="H291" s="122"/>
      <c r="I291" s="18"/>
      <c r="J291" s="18"/>
      <c r="K291" s="18"/>
      <c r="L291" s="18"/>
      <c r="M291" s="18" t="n">
        <v>19.128411199999999</v>
      </c>
      <c r="N291" s="18"/>
      <c r="O291" s="111"/>
      <c r="P291" s="111"/>
      <c r="Q291" s="111"/>
      <c r="R291" s="134"/>
      <c r="S291" s="122"/>
      <c r="T291" s="38"/>
      <c r="U291" s="18"/>
      <c r="V291" s="18"/>
      <c r="W291" s="26"/>
      <c r="X291" s="26"/>
      <c r="Y291" s="150"/>
      <c r="Z291" s="150"/>
      <c r="AA291" s="150"/>
      <c r="AB291" s="150"/>
      <c r="AC291" s="150"/>
      <c r="AD291" s="150"/>
      <c r="AE291" s="150"/>
      <c r="AF291" s="150"/>
      <c r="AG291" s="150"/>
      <c r="AH291" s="150"/>
      <c r="AI291" s="150" t="n">
        <v>6.0814423619350223E-2</v>
      </c>
      <c r="AJ291" s="124" t="n">
        <v>8.8984321475037535E-3</v>
      </c>
      <c r="AK291" s="137" t="n">
        <v>1.5142486232222844E-2</v>
      </c>
      <c r="AL291" s="150" t="n">
        <v>0.5</v>
      </c>
      <c r="AM291" s="150"/>
      <c r="AN291" s="150"/>
      <c r="AO291" s="150"/>
      <c r="AP291" s="153" t="s">
        <v>4</v>
      </c>
      <c r="AQ291" s="121" t="s">
        <v>4</v>
      </c>
      <c r="AR291" s="111"/>
      <c r="AS291" s="148"/>
      <c r="AT291" s="84"/>
      <c r="AU291" s="84"/>
      <c r="AV291" s="84"/>
      <c r="AW291" s="70"/>
      <c r="AX291" s="70"/>
      <c r="AY291" s="70"/>
      <c r="AZ291" t="n">
        <v>0.7</v>
      </c>
      <c r="BQ291" s="110"/>
    </row>
    <row r="292">
      <c r="A292" s="70"/>
      <c r="B292" s="112" t="s">
        <v>80</v>
      </c>
      <c r="C292" s="112"/>
      <c r="D292" s="142"/>
      <c r="E292" s="115"/>
      <c r="F292" s="114"/>
      <c r="G292" s="113"/>
      <c r="H292" s="113"/>
      <c r="I292" s="112"/>
      <c r="J292" s="112"/>
      <c r="K292" s="109"/>
      <c r="L292" s="109"/>
      <c r="M292" s="10" t="n">
        <v>2</v>
      </c>
      <c r="N292" s="83"/>
      <c r="O292" s="83"/>
      <c r="P292" s="83"/>
      <c r="Q292" s="83"/>
      <c r="R292" s="134"/>
      <c r="S292" s="118" t="n">
        <v>4</v>
      </c>
      <c r="T292" s="118" t="n">
        <v>3</v>
      </c>
      <c r="U292" s="118" t="n">
        <v>5</v>
      </c>
      <c r="V292" s="118" t="n">
        <v>6</v>
      </c>
      <c r="W292" s="118" t="n">
        <v>7</v>
      </c>
      <c r="X292" s="118" t="n">
        <v>8</v>
      </c>
      <c r="Y292" s="12"/>
      <c r="Z292" s="12"/>
      <c r="AA292" s="12"/>
      <c r="AB292" s="12"/>
      <c r="AC292" s="12"/>
      <c r="AD292" s="12"/>
      <c r="AE292" s="12"/>
      <c r="AF292" s="12"/>
      <c r="AG292" s="12"/>
      <c r="AH292" s="12"/>
      <c r="AI292" s="12"/>
      <c r="AJ292" s="69"/>
      <c r="AK292" s="109"/>
      <c r="AL292" s="109"/>
      <c r="AM292" s="109"/>
      <c r="AN292" s="109"/>
      <c r="AO292" s="109"/>
      <c r="AP292" s="153" t="s">
        <v>4</v>
      </c>
      <c r="AQ292" s="121" t="s">
        <v>4</v>
      </c>
      <c r="AR292" s="109"/>
      <c r="AS292" s="148"/>
      <c r="AT292" s="84"/>
      <c r="AU292" s="84"/>
      <c r="AV292" s="84"/>
      <c r="AW292" s="144"/>
      <c r="AX292" s="70"/>
      <c r="AY292" s="70"/>
      <c r="AZ292" t="n">
        <v>0.7</v>
      </c>
      <c r="BQ292" s="110"/>
    </row>
    <row r="293">
      <c r="A293" s="70"/>
      <c r="B293" s="70" t="s">
        <v>79</v>
      </c>
      <c r="C293" s="70"/>
      <c r="D293" s="142"/>
      <c r="E293" s="68"/>
      <c r="F293" s="13"/>
      <c r="G293" s="46"/>
      <c r="H293" s="46"/>
      <c r="I293" s="70"/>
      <c r="J293" s="70"/>
      <c r="K293" s="24"/>
      <c r="L293" s="24"/>
      <c r="M293" s="24"/>
      <c r="N293" s="24"/>
      <c r="O293" s="13"/>
      <c r="P293" s="13"/>
      <c r="Q293" s="13"/>
      <c r="R293" s="13"/>
      <c r="S293" s="13"/>
      <c r="T293" s="13"/>
      <c r="U293" s="24"/>
      <c r="V293" s="24"/>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148"/>
      <c r="AT293" s="84"/>
      <c r="AU293" s="84"/>
      <c r="AV293" s="84"/>
      <c r="AW293" s="144"/>
      <c r="AX293" s="70"/>
      <c r="AY293" s="70"/>
      <c r="AZ293" t="n">
        <v>0.7</v>
      </c>
      <c r="BQ293" s="110"/>
    </row>
    <row r="294">
      <c r="A294" s="144"/>
      <c r="B294" s="5" t="s">
        <v>772</v>
      </c>
      <c r="C294" s="144"/>
      <c r="D294" s="131" t="s">
        <v>73</v>
      </c>
      <c r="E294" s="131"/>
      <c r="F294" s="103"/>
      <c r="G294" s="87" t="n">
        <f>G295</f>
        <v>0.11899999999999999</v>
      </c>
      <c r="H294" s="87"/>
      <c r="I294" s="95"/>
      <c r="J294" s="95"/>
      <c r="K294" s="157"/>
      <c r="L294" s="157"/>
      <c r="M294" s="157" t="n">
        <f>M295</f>
        <v>3.0129999999999999</v>
      </c>
      <c r="N294" s="157"/>
      <c r="O294" s="103"/>
      <c r="P294" s="103"/>
      <c r="Q294" s="103"/>
      <c r="R294" s="134"/>
      <c r="S294" s="87" t="n">
        <f>S295</f>
        <v>1</v>
      </c>
      <c r="T294" s="15" t="n">
        <f>T295</f>
        <v>5.28E-3</v>
      </c>
      <c r="U294" s="157" t="n">
        <f t="shared" ref="U294:AL294" si="115">U295</f>
        <v>36</v>
      </c>
      <c r="V294" s="157" t="n">
        <f t="shared" si="115"/>
        <v>50</v>
      </c>
      <c r="W294" s="157" t="n">
        <f t="shared" si="115"/>
        <v>1210</v>
      </c>
      <c r="X294" s="157" t="n">
        <f t="shared" si="115"/>
        <v>400</v>
      </c>
      <c r="Y294" s="66"/>
      <c r="Z294" s="66"/>
      <c r="AA294" s="66"/>
      <c r="AB294" s="66"/>
      <c r="AC294" s="66"/>
      <c r="AD294" s="150"/>
      <c r="AE294" s="150"/>
      <c r="AF294" s="150"/>
      <c r="AG294" s="150"/>
      <c r="AH294" s="150"/>
      <c r="AI294" s="157" t="n">
        <f t="shared" si="115"/>
        <v>5.7600000000000005E-2</v>
      </c>
      <c r="AJ294" s="15" t="n">
        <f t="shared" si="115"/>
        <v>1.0736842105263157E-2</v>
      </c>
      <c r="AK294" s="157" t="n">
        <f t="shared" si="115"/>
        <v>1.6315789473684211E-2</v>
      </c>
      <c r="AL294" s="157" t="n">
        <f t="shared" si="115"/>
        <v>0.5</v>
      </c>
      <c r="AM294" s="50"/>
      <c r="AN294" s="50"/>
      <c r="AO294" s="50"/>
      <c r="AP294" s="121"/>
      <c r="AQ294" s="121"/>
      <c r="AR294" s="121"/>
      <c r="AS294" s="152"/>
      <c r="AT294" s="5"/>
      <c r="AU294" s="5"/>
      <c r="AV294" s="5"/>
      <c r="AW294" s="144"/>
      <c r="AX294" s="144"/>
      <c r="AY294" s="144"/>
      <c r="BA294" s="156" t="n">
        <f>BA295</f>
        <v>0</v>
      </c>
      <c r="BB294" s="156" t="n">
        <f t="shared" ref="BB294:BP294" si="116">BB295</f>
        <v>23</v>
      </c>
      <c r="BC294" s="156" t="n">
        <f t="shared" si="116"/>
        <v>11</v>
      </c>
      <c r="BD294" s="156" t="n">
        <f t="shared" si="116"/>
        <v>1.3</v>
      </c>
      <c r="BE294" s="156" t="n">
        <f t="shared" si="116"/>
        <v>0.75</v>
      </c>
      <c r="BF294" s="156" t="n">
        <f t="shared" si="116"/>
        <v>0.89999999999999991</v>
      </c>
      <c r="BG294" s="156" t="n">
        <f t="shared" si="116"/>
        <v>3.8</v>
      </c>
      <c r="BH294" s="156" t="n">
        <f t="shared" si="116"/>
        <v>116</v>
      </c>
      <c r="BI294" s="156" t="n">
        <f t="shared" si="116"/>
        <v>0</v>
      </c>
      <c r="BJ294" s="156" t="n">
        <f t="shared" si="116"/>
        <v>3</v>
      </c>
      <c r="BK294" s="156" t="n">
        <f t="shared" si="116"/>
        <v>0.3</v>
      </c>
      <c r="BL294" s="156" t="n">
        <f t="shared" si="116"/>
        <v>55</v>
      </c>
      <c r="BM294" s="156" t="n">
        <f t="shared" si="116"/>
        <v>14</v>
      </c>
      <c r="BN294" s="156" t="n">
        <f t="shared" si="116"/>
        <v>1</v>
      </c>
      <c r="BO294" s="156" t="n">
        <f t="shared" si="116"/>
        <v>0</v>
      </c>
      <c r="BP294" s="156" t="n">
        <f t="shared" si="116"/>
        <v>0</v>
      </c>
      <c r="BQ294" s="110"/>
    </row>
    <row r="295">
      <c r="A295" s="84"/>
      <c r="B295" s="84" t="s">
        <v>78</v>
      </c>
      <c r="C295" s="84"/>
      <c r="D295" s="142" t="s">
        <v>73</v>
      </c>
      <c r="E295" s="142"/>
      <c r="F295" s="94"/>
      <c r="G295" s="89" t="n">
        <f>(SUM(U295:V295)/1000)+(T295*6.25)</f>
        <v>0.11899999999999999</v>
      </c>
      <c r="H295" s="89"/>
      <c r="I295" s="44"/>
      <c r="J295" s="44"/>
      <c r="K295" s="166"/>
      <c r="L295" s="166"/>
      <c r="M295" s="166" t="n">
        <v>3.0129999999999999</v>
      </c>
      <c r="N295" s="166"/>
      <c r="O295" s="94"/>
      <c r="P295" s="94"/>
      <c r="Q295" s="94"/>
      <c r="R295" s="134"/>
      <c r="S295" s="89" t="n">
        <v>1</v>
      </c>
      <c r="T295" s="130" t="n">
        <f>VLOOKUP($B295,Conversores_Dieta!$B$4:$J$164,Coefs!T$292,0)</f>
        <v>5.28E-3</v>
      </c>
      <c r="U295" s="166" t="n">
        <f>VLOOKUP($B295,Conversores_Dieta!$B$4:$J$164,Coefs!U$292,0)</f>
        <v>36</v>
      </c>
      <c r="V295" s="166" t="n">
        <f>VLOOKUP($B295,Conversores_Dieta!$B$4:$J$164,Coefs!V$292,0)</f>
        <v>50</v>
      </c>
      <c r="W295" s="21" t="n">
        <f>VLOOKUP($B295,Conversores_Dieta!$B$4:$J$164,Coefs!W$292,0)</f>
        <v>1210</v>
      </c>
      <c r="X295" s="21" t="n">
        <f>VLOOKUP($B295,Conversores_Dieta!$B$4:$J$164,Coefs!X$292,0)</f>
        <v>400</v>
      </c>
      <c r="Y295" s="66"/>
      <c r="Z295" s="66"/>
      <c r="AA295" s="66"/>
      <c r="AB295" s="66"/>
      <c r="AC295" s="66"/>
      <c r="AD295" s="150"/>
      <c r="AE295" s="150"/>
      <c r="AF295" s="150"/>
      <c r="AG295" s="150"/>
      <c r="AH295" s="150"/>
      <c r="AI295" s="153" t="n">
        <v>5.7600000000000005E-2</v>
      </c>
      <c r="AJ295" s="130" t="n">
        <v>1.0736842105263157E-2</v>
      </c>
      <c r="AK295" s="153" t="n">
        <v>1.6315789473684211E-2</v>
      </c>
      <c r="AL295" s="121" t="n">
        <v>0.5</v>
      </c>
      <c r="AM295" s="153"/>
      <c r="AN295" s="153"/>
      <c r="AO295" s="153"/>
      <c r="AP295" s="153" t="s">
        <v>4</v>
      </c>
      <c r="AQ295" s="121" t="s">
        <v>4</v>
      </c>
      <c r="AR295" s="94"/>
      <c r="AS295" s="148"/>
      <c r="AT295" s="84"/>
      <c r="AU295" s="84"/>
      <c r="AV295" s="84"/>
      <c r="AW295" s="5"/>
      <c r="AX295" s="84"/>
      <c r="AY295" s="84"/>
      <c r="AZ295" t="n">
        <v>0.7</v>
      </c>
      <c r="BA295" t="n">
        <v>0</v>
      </c>
      <c r="BB295" t="n">
        <v>23</v>
      </c>
      <c r="BC295" t="n">
        <v>11</v>
      </c>
      <c r="BD295" t="n">
        <v>1.3</v>
      </c>
      <c r="BE295" s="83" t="n">
        <v>0.75</v>
      </c>
      <c r="BF295" t="n">
        <v>0.89999999999999991</v>
      </c>
      <c r="BG295" t="n">
        <v>3.8</v>
      </c>
      <c r="BH295" t="n">
        <v>116</v>
      </c>
      <c r="BI295" t="n">
        <v>0</v>
      </c>
      <c r="BJ295" t="n">
        <v>3</v>
      </c>
      <c r="BK295" t="n">
        <v>0.3</v>
      </c>
      <c r="BL295" t="n">
        <v>55</v>
      </c>
      <c r="BM295" t="n">
        <v>14</v>
      </c>
      <c r="BN295" t="n">
        <v>1</v>
      </c>
      <c r="BO295" t="n">
        <v>0</v>
      </c>
      <c r="BP295" t="n">
        <v>0</v>
      </c>
      <c r="BQ295" s="110"/>
    </row>
    <row r="296">
      <c r="A296" s="84"/>
      <c r="B296" s="84" t="s">
        <v>77</v>
      </c>
      <c r="C296" s="84"/>
      <c r="D296" s="142" t="s">
        <v>73</v>
      </c>
      <c r="E296" s="142"/>
      <c r="F296" s="94"/>
      <c r="G296" s="89" t="n">
        <f>(SUM(U296:V296)/1000)+(T296*6.25)</f>
        <v>0.11800000000000001</v>
      </c>
      <c r="H296" s="89"/>
      <c r="I296" s="44"/>
      <c r="J296" s="44"/>
      <c r="K296" s="166"/>
      <c r="L296" s="166"/>
      <c r="M296" s="157" t="n">
        <v>3.0129999999999999</v>
      </c>
      <c r="N296" s="166"/>
      <c r="O296" s="94"/>
      <c r="P296" s="94"/>
      <c r="Q296" s="94"/>
      <c r="R296" s="134"/>
      <c r="S296" s="89" t="n">
        <v>1</v>
      </c>
      <c r="T296" s="130" t="n">
        <f>VLOOKUP($B296,Conversores_Dieta!$B$4:$J$164,Coefs!T$292,0)</f>
        <v>5.4400000000000004E-3</v>
      </c>
      <c r="U296" s="166" t="n">
        <f>VLOOKUP($B296,Conversores_Dieta!$B$4:$J$164,Coefs!U$292,0)</f>
        <v>39</v>
      </c>
      <c r="V296" s="166" t="n">
        <f>VLOOKUP($B296,Conversores_Dieta!$B$4:$J$164,Coefs!V$292,0)</f>
        <v>45</v>
      </c>
      <c r="W296" s="21" t="n">
        <f>VLOOKUP($B296,Conversores_Dieta!$B$4:$J$164,Coefs!W$292,0)</f>
        <v>1100</v>
      </c>
      <c r="X296" s="21" t="n">
        <f>VLOOKUP($B296,Conversores_Dieta!$B$4:$J$164,Coefs!X$292,0)</f>
        <v>400</v>
      </c>
      <c r="Y296" s="66"/>
      <c r="Z296" s="66"/>
      <c r="AA296" s="66"/>
      <c r="AB296" s="66"/>
      <c r="AC296" s="66"/>
      <c r="AD296" s="150"/>
      <c r="AE296" s="150"/>
      <c r="AF296" s="150"/>
      <c r="AG296" s="150"/>
      <c r="AH296" s="150"/>
      <c r="AI296" s="121" t="n">
        <v>5.7600000000000005E-2</v>
      </c>
      <c r="AJ296" s="15" t="n">
        <v>1.0736842105263157E-2</v>
      </c>
      <c r="AK296" s="121" t="n">
        <v>1.6315789473684211E-2</v>
      </c>
      <c r="AL296" s="121" t="n">
        <v>0.5</v>
      </c>
      <c r="AM296" s="153"/>
      <c r="AN296" s="153"/>
      <c r="AO296" s="153"/>
      <c r="AP296" s="153" t="s">
        <v>4</v>
      </c>
      <c r="AQ296" s="121" t="s">
        <v>4</v>
      </c>
      <c r="AR296" s="94"/>
      <c r="AS296" s="148"/>
      <c r="AT296" s="84"/>
      <c r="AU296" s="84"/>
      <c r="AV296" s="84"/>
      <c r="AW296" s="5"/>
      <c r="AX296" s="84"/>
      <c r="AY296" s="84"/>
      <c r="AZ296" t="n">
        <v>0.7</v>
      </c>
      <c r="BA296" s="156" t="n">
        <f>BA297</f>
        <v>0</v>
      </c>
      <c r="BB296" s="156" t="n">
        <f t="shared" ref="BB296:BP296" si="117">BB297</f>
        <v>41</v>
      </c>
      <c r="BC296" s="156" t="n">
        <f t="shared" si="117"/>
        <v>16</v>
      </c>
      <c r="BD296" s="156" t="n">
        <f t="shared" si="117"/>
        <v>3</v>
      </c>
      <c r="BE296" s="83" t="n">
        <v>0.4</v>
      </c>
      <c r="BF296" s="156" t="n">
        <f t="shared" si="117"/>
        <v>1</v>
      </c>
      <c r="BG296" s="156" t="n">
        <f t="shared" si="117"/>
        <v>5</v>
      </c>
      <c r="BH296" s="156" t="n">
        <f t="shared" si="117"/>
        <v>160</v>
      </c>
      <c r="BI296" s="156" t="n">
        <f t="shared" si="117"/>
        <v>0</v>
      </c>
      <c r="BJ296" s="156" t="n">
        <f t="shared" si="117"/>
        <v>5</v>
      </c>
      <c r="BK296" s="156" t="n">
        <f t="shared" si="117"/>
        <v>1.7999999999999998</v>
      </c>
      <c r="BL296" s="156" t="n">
        <f t="shared" si="117"/>
        <v>50</v>
      </c>
      <c r="BM296" s="156" t="n">
        <f t="shared" si="117"/>
        <v>40</v>
      </c>
      <c r="BN296" s="156" t="n">
        <f t="shared" si="117"/>
        <v>1.1000000000000001</v>
      </c>
      <c r="BO296" s="156" t="n">
        <f t="shared" si="117"/>
        <v>0</v>
      </c>
      <c r="BP296" s="156" t="n">
        <f t="shared" si="117"/>
        <v>0</v>
      </c>
      <c r="BQ296" s="110"/>
    </row>
    <row r="297">
      <c r="A297" s="84"/>
      <c r="B297" s="84" t="s">
        <v>755</v>
      </c>
      <c r="C297" s="84"/>
      <c r="D297" s="142" t="s">
        <v>73</v>
      </c>
      <c r="E297" s="142"/>
      <c r="F297" s="94"/>
      <c r="G297" s="89" t="n">
        <f>(SUM(U297:V297)/1000)+(T297*6.25)</f>
        <v>0.161</v>
      </c>
      <c r="H297" s="89"/>
      <c r="I297" s="44"/>
      <c r="J297" s="44"/>
      <c r="K297" s="166"/>
      <c r="L297" s="166"/>
      <c r="M297" s="157" t="n">
        <v>5</v>
      </c>
      <c r="N297" s="166"/>
      <c r="O297" s="94"/>
      <c r="P297" s="94"/>
      <c r="Q297" s="94"/>
      <c r="R297" s="134"/>
      <c r="S297" s="89" t="n">
        <v>1</v>
      </c>
      <c r="T297" s="130" t="n">
        <f>VLOOKUP($B297,Conversores_Dieta!$B$4:$J$164,Coefs!T$292,0)</f>
        <v>8.4799999999999997E-3</v>
      </c>
      <c r="U297" s="166" t="n">
        <f>VLOOKUP($B297,Conversores_Dieta!$B$4:$J$164,Coefs!U$292,0)</f>
        <v>65</v>
      </c>
      <c r="V297" s="166" t="n">
        <f>VLOOKUP($B297,Conversores_Dieta!$B$4:$J$164,Coefs!V$292,0)</f>
        <v>43</v>
      </c>
      <c r="W297" s="21" t="n">
        <f>VLOOKUP($B297,Conversores_Dieta!$B$4:$J$164,Coefs!W$292,0)</f>
        <v>2300</v>
      </c>
      <c r="X297" s="21" t="n">
        <f>VLOOKUP($B297,Conversores_Dieta!$B$4:$J$164,Coefs!X$292,0)</f>
        <v>475</v>
      </c>
      <c r="Y297" s="66"/>
      <c r="Z297" s="66"/>
      <c r="AA297" s="66"/>
      <c r="AB297" s="66"/>
      <c r="AC297" s="66"/>
      <c r="AD297" s="150"/>
      <c r="AE297" s="150"/>
      <c r="AF297" s="150"/>
      <c r="AG297" s="150"/>
      <c r="AH297" s="150"/>
      <c r="AI297" s="121" t="n">
        <f>T297/G297</f>
        <v>5.2670807453416145E-2</v>
      </c>
      <c r="AJ297" s="15" t="n">
        <f>AJ296</f>
        <v>1.0736842105263157E-2</v>
      </c>
      <c r="AK297" s="121" t="n">
        <f t="shared" ref="AK297:AL297" si="118">AK296</f>
        <v>1.6315789473684211E-2</v>
      </c>
      <c r="AL297" s="121" t="n">
        <f t="shared" si="118"/>
        <v>0.5</v>
      </c>
      <c r="AM297" s="153"/>
      <c r="AN297" s="153"/>
      <c r="AO297" s="153"/>
      <c r="AP297" s="153"/>
      <c r="AQ297" s="121"/>
      <c r="AR297" s="94"/>
      <c r="AS297" s="148"/>
      <c r="AT297" s="84"/>
      <c r="AU297" s="84"/>
      <c r="AV297" s="84"/>
      <c r="AW297" s="5"/>
      <c r="AX297" s="84"/>
      <c r="AY297" s="84"/>
      <c r="AZ297" t="n">
        <v>0.7</v>
      </c>
      <c r="BA297" t="n">
        <v>0</v>
      </c>
      <c r="BB297" t="n">
        <v>41</v>
      </c>
      <c r="BC297" t="n">
        <v>16</v>
      </c>
      <c r="BD297" t="n">
        <v>3</v>
      </c>
      <c r="BE297" s="156" t="n">
        <f>BE296</f>
        <v>0.4</v>
      </c>
      <c r="BF297" t="n">
        <v>1</v>
      </c>
      <c r="BG297" t="n">
        <v>5</v>
      </c>
      <c r="BH297" t="n">
        <v>160</v>
      </c>
      <c r="BI297" t="n">
        <v>0</v>
      </c>
      <c r="BJ297" t="n">
        <v>5</v>
      </c>
      <c r="BK297" t="n">
        <v>1.7999999999999998</v>
      </c>
      <c r="BL297" t="n">
        <v>50</v>
      </c>
      <c r="BM297" t="n">
        <v>40</v>
      </c>
      <c r="BN297" t="n">
        <v>1.1000000000000001</v>
      </c>
      <c r="BO297" t="n">
        <v>0</v>
      </c>
      <c r="BP297" t="n">
        <v>0</v>
      </c>
      <c r="BQ297" s="110"/>
    </row>
    <row r="298">
      <c r="A298" s="84"/>
      <c r="B298" s="84" t="s">
        <v>76</v>
      </c>
      <c r="C298" s="84"/>
      <c r="D298" s="142" t="s">
        <v>73</v>
      </c>
      <c r="E298" s="142"/>
      <c r="F298" s="94"/>
      <c r="G298" s="108" t="n">
        <v>0.8214285714285714</v>
      </c>
      <c r="H298" s="108"/>
      <c r="I298" s="105"/>
      <c r="J298" s="105"/>
      <c r="K298" s="105"/>
      <c r="L298" s="105"/>
      <c r="M298" s="105" t="n">
        <v>31.338160018050779</v>
      </c>
      <c r="N298" s="105"/>
      <c r="O298" s="103"/>
      <c r="P298" s="94"/>
      <c r="Q298" s="94"/>
      <c r="R298" s="134"/>
      <c r="S298" s="89" t="n">
        <v>1</v>
      </c>
      <c r="T298" s="130" t="n">
        <f>VLOOKUP($B298,Conversores_Dieta!$B$4:$J$164,Coefs!T$292,0)</f>
        <v>9.6000000000000002E-4</v>
      </c>
      <c r="U298" s="166" t="n">
        <f>VLOOKUP($B298,Conversores_Dieta!$B$4:$J$164,Coefs!U$292,0)</f>
        <v>830</v>
      </c>
      <c r="V298" s="166" t="n">
        <f>VLOOKUP($B298,Conversores_Dieta!$B$4:$J$164,Coefs!V$292,0)</f>
        <v>0</v>
      </c>
      <c r="W298" s="21" t="n">
        <f>VLOOKUP($B298,Conversores_Dieta!$B$4:$J$164,Coefs!W$292,0)</f>
        <v>150</v>
      </c>
      <c r="X298" s="21" t="n">
        <f>VLOOKUP($B298,Conversores_Dieta!$B$4:$J$164,Coefs!X$292,0)</f>
        <v>8280</v>
      </c>
      <c r="Y298" s="66"/>
      <c r="Z298" s="66"/>
      <c r="AA298" s="66"/>
      <c r="AB298" s="66"/>
      <c r="AC298" s="66"/>
      <c r="AD298" s="150"/>
      <c r="AE298" s="150"/>
      <c r="AF298" s="150"/>
      <c r="AG298" s="150"/>
      <c r="AH298" s="150"/>
      <c r="AI298" s="153" t="n">
        <v>0</v>
      </c>
      <c r="AJ298" s="130" t="n">
        <v>0</v>
      </c>
      <c r="AK298" s="153" t="n">
        <v>0</v>
      </c>
      <c r="AL298" s="121" t="n">
        <v>0.5</v>
      </c>
      <c r="AM298" s="153"/>
      <c r="AN298" s="153"/>
      <c r="AO298" s="153"/>
      <c r="AP298" s="153" t="s">
        <v>4</v>
      </c>
      <c r="AQ298" s="121" t="s">
        <v>4</v>
      </c>
      <c r="AR298" s="94"/>
      <c r="AS298" s="148"/>
      <c r="AT298" s="84"/>
      <c r="AU298" s="84"/>
      <c r="AV298" s="84"/>
      <c r="AW298" s="5"/>
      <c r="AX298" s="84"/>
      <c r="AY298" s="84"/>
      <c r="AZ298" t="n">
        <v>0.7</v>
      </c>
      <c r="BA298" t="n">
        <v>0</v>
      </c>
      <c r="BB298" t="n">
        <v>551.30000000000007</v>
      </c>
      <c r="BC298" t="n">
        <v>216.4</v>
      </c>
      <c r="BD298" t="n">
        <v>32.799999999999997</v>
      </c>
      <c r="BE298" t="n">
        <v>0.8</v>
      </c>
      <c r="BF298" t="n">
        <v>2</v>
      </c>
      <c r="BG298" t="n">
        <v>1</v>
      </c>
      <c r="BH298" t="n">
        <v>20</v>
      </c>
      <c r="BI298" t="n">
        <v>0</v>
      </c>
      <c r="BJ298" t="n">
        <v>0</v>
      </c>
      <c r="BK298" t="n">
        <v>7.6</v>
      </c>
      <c r="BL298" t="n">
        <v>0</v>
      </c>
      <c r="BM298" t="n">
        <v>0</v>
      </c>
      <c r="BN298" t="n">
        <v>20</v>
      </c>
      <c r="BO298" t="n">
        <v>0</v>
      </c>
      <c r="BP298" t="n">
        <v>0</v>
      </c>
      <c r="BQ298" s="110"/>
    </row>
    <row r="299">
      <c r="A299" s="84"/>
      <c r="B299" s="84" t="s">
        <v>74</v>
      </c>
      <c r="C299" s="84"/>
      <c r="D299" s="142" t="s">
        <v>73</v>
      </c>
      <c r="E299" s="142"/>
      <c r="F299" s="94"/>
      <c r="G299" s="89" t="n">
        <v>0.95550000000000002</v>
      </c>
      <c r="H299" s="89"/>
      <c r="I299" s="44"/>
      <c r="J299" s="44"/>
      <c r="K299" s="166"/>
      <c r="L299" s="166"/>
      <c r="M299" s="166" t="n">
        <v>16.336218800000001</v>
      </c>
      <c r="N299" s="18"/>
      <c r="O299" s="94"/>
      <c r="P299" s="94"/>
      <c r="Q299" s="94"/>
      <c r="R299" s="134"/>
      <c r="S299" s="89" t="n">
        <v>1</v>
      </c>
      <c r="T299" s="130"/>
      <c r="U299" s="166"/>
      <c r="V299" s="166"/>
      <c r="W299" s="21"/>
      <c r="X299" s="21"/>
      <c r="Y299" s="66"/>
      <c r="Z299" s="66"/>
      <c r="AA299" s="66"/>
      <c r="AB299" s="66"/>
      <c r="AC299" s="66"/>
      <c r="AD299" s="150"/>
      <c r="AE299" s="150"/>
      <c r="AF299" s="150"/>
      <c r="AG299" s="150"/>
      <c r="AH299" s="150"/>
      <c r="AI299" s="153" t="n">
        <v>2.6103285655928184E-2</v>
      </c>
      <c r="AJ299" s="130" t="n">
        <v>1.0067529330417279E-2</v>
      </c>
      <c r="AK299" s="153" t="n">
        <v>2.9802422597145828E-2</v>
      </c>
      <c r="AL299" s="121" t="n">
        <v>0.5</v>
      </c>
      <c r="AM299" s="153"/>
      <c r="AN299" s="153"/>
      <c r="AO299" s="153"/>
      <c r="AP299" s="153" t="s">
        <v>4</v>
      </c>
      <c r="AQ299" s="121" t="s">
        <v>4</v>
      </c>
      <c r="AR299" s="94"/>
      <c r="AS299" s="148"/>
      <c r="AT299" s="84"/>
      <c r="AU299" s="84"/>
      <c r="AV299" s="84"/>
      <c r="AW299" s="5"/>
      <c r="AX299" s="84"/>
      <c r="AY299" s="84"/>
      <c r="AZ299" t="n">
        <v>0.7</v>
      </c>
      <c r="BA299" s="156" t="n">
        <f>BA295</f>
        <v>0</v>
      </c>
      <c r="BB299" s="156" t="n">
        <f t="shared" ref="BB299:BP299" si="119">BB295</f>
        <v>23</v>
      </c>
      <c r="BC299" s="156" t="n">
        <f t="shared" si="119"/>
        <v>11</v>
      </c>
      <c r="BD299" s="156" t="n">
        <f t="shared" si="119"/>
        <v>1.3</v>
      </c>
      <c r="BE299" s="156" t="n">
        <f t="shared" si="119"/>
        <v>0.75</v>
      </c>
      <c r="BF299" s="156" t="n">
        <f t="shared" si="119"/>
        <v>0.89999999999999991</v>
      </c>
      <c r="BG299" s="156" t="n">
        <f t="shared" si="119"/>
        <v>3.8</v>
      </c>
      <c r="BH299" s="156" t="n">
        <f t="shared" si="119"/>
        <v>116</v>
      </c>
      <c r="BI299" s="156" t="n">
        <f t="shared" si="119"/>
        <v>0</v>
      </c>
      <c r="BJ299" s="156" t="n">
        <f t="shared" si="119"/>
        <v>3</v>
      </c>
      <c r="BK299" s="156" t="n">
        <f t="shared" si="119"/>
        <v>0.3</v>
      </c>
      <c r="BL299" s="156" t="n">
        <f t="shared" si="119"/>
        <v>55</v>
      </c>
      <c r="BM299" s="156" t="n">
        <f t="shared" si="119"/>
        <v>14</v>
      </c>
      <c r="BN299" s="156" t="n">
        <f t="shared" si="119"/>
        <v>1</v>
      </c>
      <c r="BO299" s="156" t="n">
        <f t="shared" si="119"/>
        <v>0</v>
      </c>
      <c r="BP299" s="156" t="n">
        <f t="shared" si="119"/>
        <v>0</v>
      </c>
      <c r="BQ299" s="110"/>
    </row>
    <row r="300">
      <c r="A300" s="70"/>
      <c r="B300" s="70" t="s">
        <v>72</v>
      </c>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c r="AB300" s="155"/>
      <c r="AC300" s="155"/>
      <c r="AD300" s="155"/>
      <c r="AE300" s="155"/>
      <c r="AF300" s="155"/>
      <c r="AG300" s="155"/>
      <c r="AH300" s="155"/>
      <c r="AI300" s="155"/>
      <c r="AJ300" s="155"/>
      <c r="AK300" s="155"/>
      <c r="AL300" s="155"/>
      <c r="AM300" s="155"/>
      <c r="AN300" s="155"/>
      <c r="AO300" s="155"/>
      <c r="AP300" s="155"/>
      <c r="AQ300" s="155"/>
      <c r="AR300" s="155"/>
      <c r="AS300" s="148"/>
      <c r="AT300" s="84"/>
      <c r="AU300" s="84"/>
      <c r="AV300" s="84"/>
      <c r="AW300" s="144"/>
      <c r="AX300" s="70"/>
      <c r="AY300" s="70"/>
      <c r="AZ300" t="n">
        <v>0.7</v>
      </c>
      <c r="BQ300" s="110"/>
    </row>
    <row r="301">
      <c r="A301" s="84"/>
      <c r="B301" s="84" t="s">
        <v>71</v>
      </c>
      <c r="C301" s="84" t="s">
        <v>69</v>
      </c>
      <c r="D301" s="142" t="s">
        <v>69</v>
      </c>
      <c r="E301" s="142"/>
      <c r="F301" s="94"/>
      <c r="G301" s="89" t="n">
        <v>0.28100000000000003</v>
      </c>
      <c r="H301" s="89"/>
      <c r="I301" s="44"/>
      <c r="J301" s="44"/>
      <c r="K301" s="166"/>
      <c r="L301" s="166"/>
      <c r="M301" s="166" t="n">
        <v>3.1548000000000003</v>
      </c>
      <c r="N301" s="166"/>
      <c r="O301" s="94"/>
      <c r="P301" s="94"/>
      <c r="Q301" s="94"/>
      <c r="R301" s="134"/>
      <c r="S301" s="87" t="n">
        <f>VLOOKUP(C301,$B$3:$X$358,MATCH(S$2,$B$2:$X$2,0),0)</f>
        <v>0.88</v>
      </c>
      <c r="T301" s="15" t="n">
        <f t="shared" ref="T301:X302" si="120">VLOOKUP($C301,$B$3:$X$358,MATCH(T$2,$B$2:$X$2,0),0)*$G301/VLOOKUP($C301,$B$3:$X$358,MATCH($G$2,$B$2:$X$2,0),0)</f>
        <v>2.3813559322033905E-2</v>
      </c>
      <c r="U301" s="157" t="n">
        <f t="shared" si="120"/>
        <v>132.16525423728817</v>
      </c>
      <c r="V301" s="157" t="n">
        <f t="shared" si="120"/>
        <v>0</v>
      </c>
      <c r="W301" s="132" t="n">
        <f t="shared" si="120"/>
        <v>678.68644067796617</v>
      </c>
      <c r="X301" s="132" t="n">
        <f t="shared" si="120"/>
        <v>2262.2881355932209</v>
      </c>
      <c r="Y301" s="66"/>
      <c r="Z301" s="66"/>
      <c r="AA301" s="66"/>
      <c r="AB301" s="66"/>
      <c r="AC301" s="66"/>
      <c r="AD301" s="171"/>
      <c r="AE301" s="171"/>
      <c r="AF301" s="171"/>
      <c r="AG301" s="171"/>
      <c r="AH301" s="171"/>
      <c r="AI301" s="121" t="n">
        <f>AI$303*$G301/$G$303</f>
        <v>9.5254237288135618E-2</v>
      </c>
      <c r="AJ301" s="15" t="n">
        <v>7.0212765957446809E-3</v>
      </c>
      <c r="AK301" s="121" t="n">
        <v>4.2553191489361703E-3</v>
      </c>
      <c r="AL301" s="121" t="n">
        <v>0.5</v>
      </c>
      <c r="AM301" s="153"/>
      <c r="AN301" s="153"/>
      <c r="AO301" s="153"/>
      <c r="AP301" s="153" t="s">
        <v>4</v>
      </c>
      <c r="AQ301" s="121" t="s">
        <v>4</v>
      </c>
      <c r="AR301" s="94"/>
      <c r="AS301" s="148"/>
      <c r="AT301" s="84"/>
      <c r="AU301" s="84"/>
      <c r="AV301" s="84"/>
      <c r="AW301" s="5"/>
      <c r="AX301" s="84"/>
      <c r="AY301" s="84"/>
      <c r="AZ301" t="n">
        <v>0.7</v>
      </c>
      <c r="BA301" t="n">
        <v>0</v>
      </c>
      <c r="BB301" t="n">
        <v>29</v>
      </c>
      <c r="BC301" t="n">
        <v>49</v>
      </c>
      <c r="BD301" t="n">
        <v>20</v>
      </c>
      <c r="BE301" s="156" t="n">
        <f>BE303</f>
        <v>0.3</v>
      </c>
      <c r="BF301" t="n">
        <v>29</v>
      </c>
      <c r="BG301" t="n">
        <v>0</v>
      </c>
      <c r="BH301" t="n">
        <v>0</v>
      </c>
      <c r="BI301" t="n">
        <v>0</v>
      </c>
      <c r="BJ301" t="n">
        <v>54</v>
      </c>
      <c r="BK301" t="n">
        <v>50</v>
      </c>
      <c r="BL301" t="n">
        <v>800</v>
      </c>
      <c r="BM301" t="n">
        <v>0</v>
      </c>
      <c r="BN301" t="n">
        <v>7.4</v>
      </c>
      <c r="BO301" t="n">
        <v>0</v>
      </c>
      <c r="BP301" t="n">
        <v>0</v>
      </c>
      <c r="BQ301" s="110"/>
    </row>
    <row r="302">
      <c r="A302" s="84"/>
      <c r="B302" s="84" t="s">
        <v>70</v>
      </c>
      <c r="C302" s="84" t="s">
        <v>69</v>
      </c>
      <c r="D302" s="142" t="s">
        <v>69</v>
      </c>
      <c r="E302" s="142"/>
      <c r="F302" s="94"/>
      <c r="G302" s="89" t="n">
        <v>0.247</v>
      </c>
      <c r="H302" s="89"/>
      <c r="I302" s="44"/>
      <c r="J302" s="44"/>
      <c r="K302" s="166"/>
      <c r="L302" s="166"/>
      <c r="M302" s="166" t="n">
        <v>2.4075919999999997</v>
      </c>
      <c r="N302" s="166"/>
      <c r="O302" s="94"/>
      <c r="P302" s="94"/>
      <c r="Q302" s="94"/>
      <c r="R302" s="134"/>
      <c r="S302" s="87" t="n">
        <f>VLOOKUP(C302,$B$3:$X$358,MATCH(S$2,$B$2:$X$2,0),0)</f>
        <v>0.88</v>
      </c>
      <c r="T302" s="15" t="n">
        <f t="shared" si="120"/>
        <v>2.0932203389830508E-2</v>
      </c>
      <c r="U302" s="157" t="n">
        <f t="shared" si="120"/>
        <v>116.17372881355932</v>
      </c>
      <c r="V302" s="157" t="n">
        <f t="shared" si="120"/>
        <v>0</v>
      </c>
      <c r="W302" s="132" t="n">
        <f t="shared" si="120"/>
        <v>596.56779661016947</v>
      </c>
      <c r="X302" s="132" t="n">
        <f t="shared" si="120"/>
        <v>1988.5593220338985</v>
      </c>
      <c r="Y302" s="66"/>
      <c r="Z302" s="66"/>
      <c r="AA302" s="66"/>
      <c r="AB302" s="66"/>
      <c r="AC302" s="66"/>
      <c r="AD302" s="171"/>
      <c r="AE302" s="171"/>
      <c r="AF302" s="171"/>
      <c r="AG302" s="171"/>
      <c r="AH302" s="171"/>
      <c r="AI302" s="121" t="n">
        <f>AI$303*$G302/$G$303</f>
        <v>8.3728813559322032E-2</v>
      </c>
      <c r="AJ302" s="15" t="n">
        <v>7.0212765957446809E-3</v>
      </c>
      <c r="AK302" s="121" t="n">
        <v>4.2553191489361703E-3</v>
      </c>
      <c r="AL302" s="121" t="n">
        <v>0.5</v>
      </c>
      <c r="AM302" s="153"/>
      <c r="AN302" s="153"/>
      <c r="AO302" s="153"/>
      <c r="AP302" s="153" t="s">
        <v>4</v>
      </c>
      <c r="AQ302" s="121" t="s">
        <v>4</v>
      </c>
      <c r="AR302" s="94"/>
      <c r="AS302" s="148"/>
      <c r="AT302" s="84"/>
      <c r="AU302" s="84"/>
      <c r="AV302" s="84"/>
      <c r="AW302" s="5"/>
      <c r="AX302" s="84"/>
      <c r="AY302" s="84"/>
      <c r="AZ302" t="n">
        <v>0.7</v>
      </c>
      <c r="BA302" s="156" t="n">
        <f>BA301</f>
        <v>0</v>
      </c>
      <c r="BB302" s="156" t="n">
        <f t="shared" ref="BB302:BP302" si="121">BB301</f>
        <v>29</v>
      </c>
      <c r="BC302" s="156" t="n">
        <f t="shared" si="121"/>
        <v>49</v>
      </c>
      <c r="BD302" s="156" t="n">
        <f t="shared" si="121"/>
        <v>20</v>
      </c>
      <c r="BE302" s="156" t="n">
        <f t="shared" si="121"/>
        <v>0.3</v>
      </c>
      <c r="BF302" s="156" t="n">
        <f t="shared" si="121"/>
        <v>29</v>
      </c>
      <c r="BG302" s="156" t="n">
        <f t="shared" si="121"/>
        <v>0</v>
      </c>
      <c r="BH302" s="156" t="n">
        <f t="shared" si="121"/>
        <v>0</v>
      </c>
      <c r="BI302" s="156" t="n">
        <f t="shared" si="121"/>
        <v>0</v>
      </c>
      <c r="BJ302" s="156" t="n">
        <f t="shared" si="121"/>
        <v>54</v>
      </c>
      <c r="BK302" s="156" t="n">
        <f t="shared" si="121"/>
        <v>50</v>
      </c>
      <c r="BL302" s="156" t="n">
        <f t="shared" si="121"/>
        <v>800</v>
      </c>
      <c r="BM302" s="156" t="n">
        <f t="shared" si="121"/>
        <v>0</v>
      </c>
      <c r="BN302" s="156" t="n">
        <f t="shared" si="121"/>
        <v>7.4</v>
      </c>
      <c r="BO302" s="156" t="n">
        <f t="shared" si="121"/>
        <v>0</v>
      </c>
      <c r="BP302" s="156" t="n">
        <f t="shared" si="121"/>
        <v>0</v>
      </c>
      <c r="BQ302" s="110"/>
    </row>
    <row r="303">
      <c r="A303" s="84"/>
      <c r="B303" s="84" t="s">
        <v>69</v>
      </c>
      <c r="C303" s="84"/>
      <c r="D303" s="142" t="s">
        <v>69</v>
      </c>
      <c r="E303" s="142"/>
      <c r="F303" s="94"/>
      <c r="G303" s="89" t="n">
        <v>0.23599999999999999</v>
      </c>
      <c r="H303" s="89"/>
      <c r="I303" s="44"/>
      <c r="J303" s="44"/>
      <c r="K303" s="166"/>
      <c r="L303" s="166"/>
      <c r="M303" s="166" t="n">
        <v>2.2466399999999997</v>
      </c>
      <c r="N303" s="166"/>
      <c r="O303" s="94"/>
      <c r="P303" s="94"/>
      <c r="Q303" s="94"/>
      <c r="R303" s="134"/>
      <c r="S303" s="89" t="n">
        <f>VLOOKUP($B303,Conversores_Dieta!$B$4:$J$164,Coefs!S$292,0)</f>
        <v>0.88</v>
      </c>
      <c r="T303" s="130" t="n">
        <f>VLOOKUP($B303,Conversores_Dieta!$B$4:$J$164,Coefs!T$292,0)</f>
        <v>0.02</v>
      </c>
      <c r="U303" s="166" t="n">
        <f>VLOOKUP($B303,Conversores_Dieta!$B$4:$J$164,Coefs!U$292,0)</f>
        <v>111</v>
      </c>
      <c r="V303" s="166" t="n">
        <f>VLOOKUP($B303,Conversores_Dieta!$B$4:$J$164,Coefs!V$292,0)</f>
        <v>0</v>
      </c>
      <c r="W303" s="21" t="n">
        <f>VLOOKUP($B303,Conversores_Dieta!$B$4:$J$164,Coefs!W$292,0)</f>
        <v>570</v>
      </c>
      <c r="X303" s="21" t="n">
        <f>VLOOKUP($B303,Conversores_Dieta!$B$4:$J$164,Coefs!X$292,0)</f>
        <v>1900</v>
      </c>
      <c r="Y303" s="67"/>
      <c r="Z303" s="67"/>
      <c r="AA303" s="67"/>
      <c r="AB303" s="67"/>
      <c r="AC303" s="67"/>
      <c r="AD303" s="171"/>
      <c r="AE303" s="171"/>
      <c r="AF303" s="171"/>
      <c r="AG303" s="171"/>
      <c r="AH303" s="171"/>
      <c r="AI303" s="153" t="n">
        <v>0.08</v>
      </c>
      <c r="AJ303" s="130" t="n">
        <v>7.0212765957446809E-3</v>
      </c>
      <c r="AK303" s="153" t="n">
        <v>4.2553191489361703E-3</v>
      </c>
      <c r="AL303" s="121" t="n">
        <v>0.5</v>
      </c>
      <c r="AM303" s="153"/>
      <c r="AN303" s="153"/>
      <c r="AO303" s="153"/>
      <c r="AP303" s="153" t="s">
        <v>4</v>
      </c>
      <c r="AQ303" s="121" t="s">
        <v>4</v>
      </c>
      <c r="AR303" s="94"/>
      <c r="AS303" s="148"/>
      <c r="AT303" s="84"/>
      <c r="AU303" s="84"/>
      <c r="AV303" s="84"/>
      <c r="AW303" s="5"/>
      <c r="AX303" s="84"/>
      <c r="AY303" s="84"/>
      <c r="AZ303" t="n">
        <v>0.7</v>
      </c>
      <c r="BA303" t="n">
        <v>0</v>
      </c>
      <c r="BB303" t="n">
        <v>31</v>
      </c>
      <c r="BC303" t="n">
        <v>39.700000000000003</v>
      </c>
      <c r="BD303" t="n">
        <v>17.399999999999999</v>
      </c>
      <c r="BE303" s="83" t="n">
        <v>0.3</v>
      </c>
      <c r="BF303" t="n">
        <v>19</v>
      </c>
      <c r="BG303" t="n">
        <v>13</v>
      </c>
      <c r="BH303" t="n">
        <v>120</v>
      </c>
      <c r="BI303" t="n">
        <v>0</v>
      </c>
      <c r="BJ303" t="n">
        <v>25</v>
      </c>
      <c r="BK303" t="n">
        <v>17.5</v>
      </c>
      <c r="BL303" t="n">
        <v>500</v>
      </c>
      <c r="BM303" t="n">
        <v>0</v>
      </c>
      <c r="BN303" t="n">
        <v>11.100000000000001</v>
      </c>
      <c r="BO303" t="n">
        <v>0</v>
      </c>
      <c r="BP303" t="n">
        <v>0</v>
      </c>
      <c r="BQ303" s="110"/>
    </row>
    <row r="304">
      <c r="A304" s="84"/>
      <c r="B304" s="84" t="s">
        <v>67</v>
      </c>
      <c r="C304" s="84"/>
      <c r="D304" s="142" t="s">
        <v>25</v>
      </c>
      <c r="E304" s="142"/>
      <c r="F304" s="94"/>
      <c r="G304" s="89" t="n">
        <v>0.78500000000000003</v>
      </c>
      <c r="H304" s="89"/>
      <c r="I304" s="44"/>
      <c r="J304" s="44"/>
      <c r="K304" s="166"/>
      <c r="L304" s="166"/>
      <c r="M304" s="166" t="n">
        <v>13.375</v>
      </c>
      <c r="N304" s="166"/>
      <c r="O304" s="94"/>
      <c r="P304" s="94"/>
      <c r="Q304" s="94"/>
      <c r="R304" s="134"/>
      <c r="S304" s="89" t="n">
        <v>1</v>
      </c>
      <c r="T304" s="130" t="n">
        <v>0</v>
      </c>
      <c r="U304" s="166" t="n">
        <v>0</v>
      </c>
      <c r="V304" s="166" t="n">
        <v>1000</v>
      </c>
      <c r="W304" s="21" t="n">
        <v>0</v>
      </c>
      <c r="X304" s="21" t="n">
        <v>0</v>
      </c>
      <c r="Y304" s="67"/>
      <c r="Z304" s="67"/>
      <c r="AA304" s="67"/>
      <c r="AB304" s="67"/>
      <c r="AC304" s="67"/>
      <c r="AD304" s="150"/>
      <c r="AE304" s="150"/>
      <c r="AF304" s="150"/>
      <c r="AG304" s="150"/>
      <c r="AH304" s="150"/>
      <c r="AI304" s="153" t="n">
        <v>0</v>
      </c>
      <c r="AJ304" s="130" t="n">
        <v>0</v>
      </c>
      <c r="AK304" s="153" t="n">
        <v>0</v>
      </c>
      <c r="AL304" s="121" t="n">
        <v>0.5</v>
      </c>
      <c r="AM304" s="153"/>
      <c r="AN304" s="153"/>
      <c r="AO304" s="153"/>
      <c r="AP304" s="153" t="s">
        <v>4</v>
      </c>
      <c r="AQ304" s="121" t="s">
        <v>4</v>
      </c>
      <c r="AR304" s="94" t="n">
        <v>1.4</v>
      </c>
      <c r="AS304" s="148"/>
      <c r="AT304" s="84"/>
      <c r="AU304" s="84"/>
      <c r="AV304" s="84"/>
      <c r="AW304" s="5"/>
      <c r="AX304" s="84"/>
      <c r="AY304" s="84"/>
      <c r="AZ304" t="n">
        <v>0.7</v>
      </c>
      <c r="BA304" t="n">
        <v>0</v>
      </c>
      <c r="BB304" t="n">
        <v>0</v>
      </c>
      <c r="BC304" t="n">
        <v>0</v>
      </c>
      <c r="BD304" t="n">
        <v>0</v>
      </c>
      <c r="BE304" t="n">
        <v>0</v>
      </c>
      <c r="BF304" t="n">
        <v>7</v>
      </c>
      <c r="BG304" t="n">
        <v>3</v>
      </c>
      <c r="BH304" t="n">
        <v>50</v>
      </c>
      <c r="BI304" t="n">
        <v>0</v>
      </c>
      <c r="BJ304" t="n">
        <v>0</v>
      </c>
      <c r="BK304" t="n">
        <v>0</v>
      </c>
      <c r="BL304" t="n">
        <v>50</v>
      </c>
      <c r="BM304" t="n">
        <v>20</v>
      </c>
      <c r="BN304" t="n">
        <v>0</v>
      </c>
      <c r="BO304" t="n">
        <v>0</v>
      </c>
      <c r="BP304" t="n">
        <v>0</v>
      </c>
      <c r="BQ304" s="110"/>
    </row>
    <row r="305">
      <c r="A305" s="84"/>
      <c r="B305" s="84" t="s">
        <v>577</v>
      </c>
      <c r="C305" s="84"/>
      <c r="D305" s="142" t="s">
        <v>25</v>
      </c>
      <c r="E305" s="142"/>
      <c r="F305" s="94"/>
      <c r="G305" s="89" t="n">
        <v>1</v>
      </c>
      <c r="H305" s="89"/>
      <c r="I305" s="44"/>
      <c r="J305" s="44"/>
      <c r="K305" s="166"/>
      <c r="L305" s="166"/>
      <c r="M305" s="157" t="n">
        <f>M304</f>
        <v>13.375</v>
      </c>
      <c r="N305" s="166"/>
      <c r="O305" s="94"/>
      <c r="P305" s="94"/>
      <c r="Q305" s="94"/>
      <c r="R305" s="134"/>
      <c r="S305" s="89"/>
      <c r="T305" s="130"/>
      <c r="U305" s="166"/>
      <c r="V305" s="166"/>
      <c r="W305" s="21"/>
      <c r="X305" s="21"/>
      <c r="Y305" s="67"/>
      <c r="Z305" s="67"/>
      <c r="AA305" s="67"/>
      <c r="AB305" s="67"/>
      <c r="AC305" s="67"/>
      <c r="AD305" s="150"/>
      <c r="AE305" s="150"/>
      <c r="AF305" s="150"/>
      <c r="AG305" s="150"/>
      <c r="AH305" s="150"/>
      <c r="AI305" s="121" t="n">
        <v>0</v>
      </c>
      <c r="AJ305" s="15" t="n">
        <v>0</v>
      </c>
      <c r="AK305" s="121" t="n">
        <v>0</v>
      </c>
      <c r="AL305" s="121" t="n">
        <v>0.5</v>
      </c>
      <c r="AM305" s="153"/>
      <c r="AN305" s="153"/>
      <c r="AO305" s="153"/>
      <c r="AP305" s="153"/>
      <c r="AQ305" s="121"/>
      <c r="AR305" s="94"/>
      <c r="AS305" s="148"/>
      <c r="AT305" s="84"/>
      <c r="AU305" s="84"/>
      <c r="AV305" s="84"/>
      <c r="AW305" s="5"/>
      <c r="AX305" s="84"/>
      <c r="AY305" s="84"/>
      <c r="AZ305" t="n">
        <v>0.7</v>
      </c>
      <c r="BQ305" s="110"/>
    </row>
    <row r="306">
      <c r="A306" s="84"/>
      <c r="B306" s="84" t="s">
        <v>578</v>
      </c>
      <c r="C306" s="84"/>
      <c r="D306" s="142" t="s">
        <v>25</v>
      </c>
      <c r="E306" s="142"/>
      <c r="F306" s="94"/>
      <c r="G306" s="89" t="n">
        <f>G347</f>
        <v>0.8</v>
      </c>
      <c r="H306" s="89"/>
      <c r="I306" s="44"/>
      <c r="J306" s="44"/>
      <c r="K306" s="166"/>
      <c r="L306" s="166"/>
      <c r="M306" s="157" t="n">
        <f>M305</f>
        <v>13.375</v>
      </c>
      <c r="N306" s="166"/>
      <c r="O306" s="94"/>
      <c r="P306" s="94"/>
      <c r="Q306" s="94"/>
      <c r="R306" s="134"/>
      <c r="S306" s="89"/>
      <c r="T306" s="130"/>
      <c r="U306" s="166"/>
      <c r="V306" s="166"/>
      <c r="W306" s="21"/>
      <c r="X306" s="150"/>
      <c r="Y306" s="150"/>
      <c r="Z306" s="150"/>
      <c r="AA306" s="150"/>
      <c r="AB306" s="150"/>
      <c r="AC306" s="150"/>
      <c r="AD306" s="150"/>
      <c r="AE306" s="150"/>
      <c r="AF306" s="150"/>
      <c r="AG306" s="150"/>
      <c r="AH306" s="150"/>
      <c r="AI306" s="121" t="n">
        <f>AI347</f>
        <v>0.18749999999999997</v>
      </c>
      <c r="AJ306" s="15" t="n">
        <v>0</v>
      </c>
      <c r="AK306" s="121" t="n">
        <v>0</v>
      </c>
      <c r="AL306" s="121" t="n">
        <v>0.5</v>
      </c>
      <c r="AM306" s="153"/>
      <c r="AN306" s="153"/>
      <c r="AO306" s="153"/>
      <c r="AP306" s="153"/>
      <c r="AQ306" s="121"/>
      <c r="AR306" s="94"/>
      <c r="AS306" s="148"/>
      <c r="AT306" s="84"/>
      <c r="AU306" s="84"/>
      <c r="AV306" s="84"/>
      <c r="AW306" s="5"/>
      <c r="AX306" s="84"/>
      <c r="AY306" s="84"/>
      <c r="AZ306" t="n">
        <v>0.7</v>
      </c>
      <c r="BQ306" s="110"/>
    </row>
    <row r="307">
      <c r="A307" s="70"/>
      <c r="B307" s="70" t="s">
        <v>33</v>
      </c>
      <c r="C307" s="70"/>
      <c r="D307" s="142"/>
      <c r="E307" s="68"/>
      <c r="F307" s="13"/>
      <c r="G307" s="46"/>
      <c r="H307" s="46"/>
      <c r="I307" s="70"/>
      <c r="J307" s="70"/>
      <c r="R307" s="134"/>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84"/>
      <c r="AU307" s="84"/>
      <c r="AV307" s="84"/>
      <c r="AW307" s="144"/>
      <c r="AX307" s="70"/>
      <c r="AY307" s="70"/>
      <c r="AZ307" t="n">
        <v>0.7</v>
      </c>
      <c r="BQ307" s="110"/>
    </row>
    <row r="308">
      <c r="A308" s="84"/>
      <c r="B308" s="84" t="s">
        <v>66</v>
      </c>
      <c r="C308" s="84"/>
      <c r="D308" s="142" t="s">
        <v>33</v>
      </c>
      <c r="E308" s="142"/>
      <c r="F308" s="94"/>
      <c r="G308" s="89" t="n">
        <v>0.246</v>
      </c>
      <c r="H308" s="89"/>
      <c r="I308" s="44"/>
      <c r="J308" s="44"/>
      <c r="K308" s="166"/>
      <c r="L308" s="166"/>
      <c r="M308" s="166" t="n">
        <v>4.1397999999999993</v>
      </c>
      <c r="N308" s="166"/>
      <c r="O308" s="94"/>
      <c r="P308" s="94"/>
      <c r="Q308" s="94"/>
      <c r="R308" s="134"/>
      <c r="S308" s="87" t="n">
        <f>S$322</f>
        <v>0.7</v>
      </c>
      <c r="T308" s="15" t="n">
        <f>T$322*$G308/$G$322</f>
        <v>2.0276363636363631E-2</v>
      </c>
      <c r="U308" s="157" t="n">
        <f t="shared" ref="U308:X309" si="122">U$322*$G308/$G$322</f>
        <v>58.808080808080803</v>
      </c>
      <c r="V308" s="157" t="n">
        <f t="shared" si="122"/>
        <v>0</v>
      </c>
      <c r="W308" s="132" t="n">
        <f t="shared" si="122"/>
        <v>107.67676767676767</v>
      </c>
      <c r="X308" s="132" t="n">
        <f t="shared" si="122"/>
        <v>0</v>
      </c>
      <c r="Y308" s="66"/>
      <c r="Z308" s="66"/>
      <c r="AA308" s="66"/>
      <c r="AB308" s="66"/>
      <c r="AC308" s="66"/>
      <c r="AD308" s="171"/>
      <c r="AE308" s="171"/>
      <c r="AF308" s="171"/>
      <c r="AG308" s="171"/>
      <c r="AH308" s="171"/>
      <c r="AI308" s="121" t="n">
        <f>AI$303*$G308/$G$303</f>
        <v>8.338983050847458E-2</v>
      </c>
      <c r="AJ308" s="15" t="n">
        <v>2.5906735751295335E-2</v>
      </c>
      <c r="AK308" s="121" t="n">
        <v>6.7357512953367879E-3</v>
      </c>
      <c r="AL308" s="121" t="n">
        <v>0.5</v>
      </c>
      <c r="AM308" s="153"/>
      <c r="AN308" s="153"/>
      <c r="AO308" s="153"/>
      <c r="AP308" s="153" t="s">
        <v>4</v>
      </c>
      <c r="AQ308" s="121" t="s">
        <v>4</v>
      </c>
      <c r="AR308" s="84"/>
      <c r="AS308" s="148"/>
      <c r="AT308" s="84"/>
      <c r="AU308" s="84"/>
      <c r="AV308" s="84"/>
      <c r="AW308" s="5"/>
      <c r="AX308" s="84"/>
      <c r="AY308" s="84"/>
      <c r="AZ308" t="n">
        <v>0.7</v>
      </c>
      <c r="BA308" s="156" t="n">
        <f>BA309</f>
        <v>0</v>
      </c>
      <c r="BB308" s="156" t="n">
        <f t="shared" ref="BB308:BP308" si="123">BB309</f>
        <v>20</v>
      </c>
      <c r="BC308" s="156" t="n">
        <f t="shared" si="123"/>
        <v>32</v>
      </c>
      <c r="BD308" s="156" t="n">
        <f t="shared" si="123"/>
        <v>10</v>
      </c>
      <c r="BE308" s="156" t="n">
        <f t="shared" si="123"/>
        <v>0.5</v>
      </c>
      <c r="BF308" s="156" t="n">
        <f t="shared" si="123"/>
        <v>20</v>
      </c>
      <c r="BG308" s="156" t="n">
        <f t="shared" si="123"/>
        <v>0</v>
      </c>
      <c r="BH308" s="156" t="n">
        <f t="shared" si="123"/>
        <v>0</v>
      </c>
      <c r="BI308" s="156" t="n">
        <f t="shared" si="123"/>
        <v>0</v>
      </c>
      <c r="BJ308" s="156" t="n">
        <f t="shared" si="123"/>
        <v>30</v>
      </c>
      <c r="BK308" s="156" t="n">
        <f t="shared" si="123"/>
        <v>10</v>
      </c>
      <c r="BL308" s="156" t="n">
        <f t="shared" si="123"/>
        <v>250</v>
      </c>
      <c r="BM308" s="156" t="n">
        <f t="shared" si="123"/>
        <v>30</v>
      </c>
      <c r="BN308" s="156" t="n">
        <f t="shared" si="123"/>
        <v>0.2</v>
      </c>
      <c r="BO308" s="156" t="n">
        <f t="shared" si="123"/>
        <v>0</v>
      </c>
      <c r="BP308" s="156" t="n">
        <f t="shared" si="123"/>
        <v>0</v>
      </c>
      <c r="BQ308" s="110"/>
    </row>
    <row r="309">
      <c r="A309" s="84"/>
      <c r="B309" s="84" t="s">
        <v>65</v>
      </c>
      <c r="C309" s="84"/>
      <c r="D309" s="142" t="s">
        <v>33</v>
      </c>
      <c r="E309" s="142"/>
      <c r="F309" s="94"/>
      <c r="G309" s="89" t="n">
        <v>0.36</v>
      </c>
      <c r="H309" s="89"/>
      <c r="I309" s="44"/>
      <c r="J309" s="44"/>
      <c r="K309" s="166"/>
      <c r="L309" s="166"/>
      <c r="M309" s="166" t="n">
        <v>9.3628</v>
      </c>
      <c r="N309" s="166"/>
      <c r="O309" s="94"/>
      <c r="P309" s="94"/>
      <c r="Q309" s="94"/>
      <c r="R309" s="134"/>
      <c r="S309" s="87" t="n">
        <f>S$322</f>
        <v>0.7</v>
      </c>
      <c r="T309" s="15" t="n">
        <f>T$322*$G309/$G$322</f>
        <v>2.9672727272727264E-2</v>
      </c>
      <c r="U309" s="157" t="n">
        <f t="shared" si="122"/>
        <v>86.060606060606048</v>
      </c>
      <c r="V309" s="157" t="n">
        <f t="shared" si="122"/>
        <v>0</v>
      </c>
      <c r="W309" s="132" t="n">
        <f t="shared" si="122"/>
        <v>157.57575757575754</v>
      </c>
      <c r="X309" s="132" t="n">
        <f t="shared" si="122"/>
        <v>0</v>
      </c>
      <c r="Y309" s="66"/>
      <c r="Z309" s="66"/>
      <c r="AA309" s="66"/>
      <c r="AB309" s="66"/>
      <c r="AC309" s="66"/>
      <c r="AD309" s="171"/>
      <c r="AE309" s="171"/>
      <c r="AF309" s="171"/>
      <c r="AG309" s="171"/>
      <c r="AH309" s="171"/>
      <c r="AI309" s="153" t="n">
        <f>0.01968/G309</f>
        <v>5.4666666666666669E-2</v>
      </c>
      <c r="AJ309" s="15" t="n">
        <v>2.5906735751295335E-2</v>
      </c>
      <c r="AK309" s="121" t="n">
        <v>6.7357512953367879E-3</v>
      </c>
      <c r="AL309" s="121" t="n">
        <v>0.5</v>
      </c>
      <c r="AM309" s="153"/>
      <c r="AN309" s="153"/>
      <c r="AO309" s="153"/>
      <c r="AP309" s="153" t="s">
        <v>4</v>
      </c>
      <c r="AQ309" s="121" t="s">
        <v>4</v>
      </c>
      <c r="AR309" s="84"/>
      <c r="AS309" s="148"/>
      <c r="AT309" s="84"/>
      <c r="AU309" s="84"/>
      <c r="AV309" s="84"/>
      <c r="AW309" s="5"/>
      <c r="AX309" s="84"/>
      <c r="AY309" s="84"/>
      <c r="AZ309" t="n">
        <v>0.7</v>
      </c>
      <c r="BA309" t="n">
        <v>0</v>
      </c>
      <c r="BB309" t="n">
        <v>20</v>
      </c>
      <c r="BC309" t="n">
        <v>32</v>
      </c>
      <c r="BD309" t="n">
        <v>10</v>
      </c>
      <c r="BE309" s="83" t="n">
        <f>BE322</f>
        <v>0.5</v>
      </c>
      <c r="BF309" t="n">
        <v>20</v>
      </c>
      <c r="BG309" t="n">
        <v>0</v>
      </c>
      <c r="BH309" t="n">
        <v>0</v>
      </c>
      <c r="BI309" t="n">
        <v>0</v>
      </c>
      <c r="BJ309" t="n">
        <v>30</v>
      </c>
      <c r="BK309" t="n">
        <v>10</v>
      </c>
      <c r="BL309" t="n">
        <v>250</v>
      </c>
      <c r="BM309" t="n">
        <v>30</v>
      </c>
      <c r="BN309" t="n">
        <v>0.2</v>
      </c>
      <c r="BO309" t="n">
        <v>0</v>
      </c>
      <c r="BP309" t="n">
        <v>0</v>
      </c>
      <c r="BQ309" s="110"/>
    </row>
    <row r="310">
      <c r="A310" s="84"/>
      <c r="B310" s="84" t="s">
        <v>64</v>
      </c>
      <c r="C310" s="84"/>
      <c r="D310" s="142" t="s">
        <v>33</v>
      </c>
      <c r="E310" s="142"/>
      <c r="F310" s="94"/>
      <c r="G310" s="89" t="n">
        <v>0.21699999999999997</v>
      </c>
      <c r="H310" s="89"/>
      <c r="I310" s="44"/>
      <c r="J310" s="44"/>
      <c r="K310" s="166"/>
      <c r="L310" s="166"/>
      <c r="M310" s="166" t="n">
        <v>4.3852899999999995</v>
      </c>
      <c r="N310" s="166"/>
      <c r="O310" s="94"/>
      <c r="P310" s="94"/>
      <c r="Q310" s="94"/>
      <c r="R310" s="134"/>
      <c r="S310" s="87" t="n">
        <f>S$312</f>
        <v>0.97882467392087635</v>
      </c>
      <c r="T310" s="15" t="n">
        <f>T$312*$G310/$G$312</f>
        <v>1.3538037135278513E-2</v>
      </c>
      <c r="U310" s="157" t="n">
        <f t="shared" ref="U310:X311" si="124">U$312*$G310/$G$312</f>
        <v>34.535809018567633</v>
      </c>
      <c r="V310" s="157" t="n">
        <f t="shared" si="124"/>
        <v>0</v>
      </c>
      <c r="W310" s="132" t="n">
        <f t="shared" si="124"/>
        <v>43.702967087306838</v>
      </c>
      <c r="X310" s="132" t="n">
        <f t="shared" si="124"/>
        <v>6.9683840348770927</v>
      </c>
      <c r="Y310" s="66"/>
      <c r="Z310" s="66"/>
      <c r="AA310" s="66"/>
      <c r="AB310" s="66"/>
      <c r="AC310" s="66"/>
      <c r="AD310" s="171"/>
      <c r="AE310" s="171"/>
      <c r="AF310" s="171"/>
      <c r="AG310" s="171"/>
      <c r="AH310" s="171"/>
      <c r="AI310" s="121" t="n">
        <f>0.0296/G310</f>
        <v>0.13640552995391708</v>
      </c>
      <c r="AJ310" s="130"/>
      <c r="AK310" s="153"/>
      <c r="AL310" s="121" t="n">
        <v>0.5</v>
      </c>
      <c r="AM310" s="153"/>
      <c r="AN310" s="153"/>
      <c r="AO310" s="153"/>
      <c r="AP310" s="153" t="s">
        <v>4</v>
      </c>
      <c r="AQ310" s="121" t="s">
        <v>4</v>
      </c>
      <c r="AR310" s="84"/>
      <c r="AS310" s="148"/>
      <c r="AT310" s="84"/>
      <c r="AU310" s="84"/>
      <c r="AV310" s="84"/>
      <c r="AW310" s="5"/>
      <c r="AX310" s="84"/>
      <c r="AY310" s="84"/>
      <c r="AZ310" t="n">
        <v>0.7</v>
      </c>
      <c r="BA310" s="156" t="n">
        <f>BA312</f>
        <v>0</v>
      </c>
      <c r="BB310" s="156" t="n">
        <f t="shared" ref="BB310:BP310" si="125">BB312</f>
        <v>21.9</v>
      </c>
      <c r="BC310" s="156" t="n">
        <f t="shared" si="125"/>
        <v>24</v>
      </c>
      <c r="BD310" s="156" t="n">
        <f t="shared" si="125"/>
        <v>3.5</v>
      </c>
      <c r="BE310" s="156" t="n">
        <f t="shared" si="125"/>
        <v>0.2</v>
      </c>
      <c r="BF310" s="156" t="n">
        <f t="shared" si="125"/>
        <v>21</v>
      </c>
      <c r="BG310" s="156" t="n">
        <f t="shared" si="125"/>
        <v>31</v>
      </c>
      <c r="BH310" s="156" t="n">
        <f t="shared" si="125"/>
        <v>223</v>
      </c>
      <c r="BI310" s="156" t="n">
        <f t="shared" si="125"/>
        <v>0</v>
      </c>
      <c r="BJ310" s="156" t="n">
        <f t="shared" si="125"/>
        <v>20</v>
      </c>
      <c r="BK310" s="156" t="n">
        <f t="shared" si="125"/>
        <v>0</v>
      </c>
      <c r="BL310" s="156" t="n">
        <f t="shared" si="125"/>
        <v>80</v>
      </c>
      <c r="BM310" s="156" t="n">
        <f t="shared" si="125"/>
        <v>0</v>
      </c>
      <c r="BN310" s="156" t="n">
        <f t="shared" si="125"/>
        <v>2</v>
      </c>
      <c r="BO310" s="156" t="n">
        <f t="shared" si="125"/>
        <v>0</v>
      </c>
      <c r="BP310" s="156" t="n">
        <f t="shared" si="125"/>
        <v>0</v>
      </c>
      <c r="BQ310" s="110"/>
    </row>
    <row r="311">
      <c r="A311" s="84"/>
      <c r="B311" s="84" t="s">
        <v>63</v>
      </c>
      <c r="C311" s="84"/>
      <c r="D311" s="142" t="s">
        <v>33</v>
      </c>
      <c r="E311" s="142"/>
      <c r="F311" s="94"/>
      <c r="G311" s="89" t="n">
        <v>0.26100000000000001</v>
      </c>
      <c r="H311" s="89"/>
      <c r="I311" s="44"/>
      <c r="J311" s="44"/>
      <c r="K311" s="166"/>
      <c r="L311" s="166"/>
      <c r="M311" s="166" t="n">
        <v>6.8670000000000009</v>
      </c>
      <c r="N311" s="166"/>
      <c r="O311" s="94"/>
      <c r="P311" s="94"/>
      <c r="Q311" s="94"/>
      <c r="R311" s="134"/>
      <c r="S311" s="87" t="n">
        <f>S$312</f>
        <v>0.97882467392087635</v>
      </c>
      <c r="T311" s="15" t="n">
        <f>T$312*$G311/$G$312</f>
        <v>1.6283076923076924E-2</v>
      </c>
      <c r="U311" s="157" t="n">
        <f t="shared" si="124"/>
        <v>41.53846153846154</v>
      </c>
      <c r="V311" s="157" t="n">
        <f t="shared" si="124"/>
        <v>0</v>
      </c>
      <c r="W311" s="132" t="n">
        <f t="shared" si="124"/>
        <v>52.564398201783796</v>
      </c>
      <c r="X311" s="132" t="n">
        <f t="shared" si="124"/>
        <v>8.381328263147104</v>
      </c>
      <c r="Y311" s="66"/>
      <c r="Z311" s="66"/>
      <c r="AA311" s="66"/>
      <c r="AB311" s="66"/>
      <c r="AC311" s="66"/>
      <c r="AD311" s="171"/>
      <c r="AE311" s="171"/>
      <c r="AF311" s="171"/>
      <c r="AG311" s="171"/>
      <c r="AH311" s="171"/>
      <c r="AI311" s="121" t="n">
        <f>0.0296/G311</f>
        <v>0.11340996168582376</v>
      </c>
      <c r="AJ311" s="130"/>
      <c r="AK311" s="153"/>
      <c r="AL311" s="121" t="n">
        <v>0.5</v>
      </c>
      <c r="AM311" s="153"/>
      <c r="AN311" s="153"/>
      <c r="AO311" s="153"/>
      <c r="AP311" s="153" t="s">
        <v>4</v>
      </c>
      <c r="AQ311" s="121" t="s">
        <v>4</v>
      </c>
      <c r="AR311" s="84"/>
      <c r="AS311" s="148"/>
      <c r="AT311" s="84"/>
      <c r="AU311" s="84"/>
      <c r="AV311" s="84"/>
      <c r="AW311" s="5"/>
      <c r="AX311" s="84"/>
      <c r="AY311" s="84"/>
      <c r="AZ311" t="n">
        <v>0.7</v>
      </c>
      <c r="BA311" s="156" t="n">
        <f>BA312</f>
        <v>0</v>
      </c>
      <c r="BB311" s="156" t="n">
        <f t="shared" ref="BB311:BP311" si="126">BB312</f>
        <v>21.9</v>
      </c>
      <c r="BC311" s="156" t="n">
        <f t="shared" si="126"/>
        <v>24</v>
      </c>
      <c r="BD311" s="156" t="n">
        <f t="shared" si="126"/>
        <v>3.5</v>
      </c>
      <c r="BE311" s="156" t="n">
        <f t="shared" si="126"/>
        <v>0.2</v>
      </c>
      <c r="BF311" s="156" t="n">
        <f t="shared" si="126"/>
        <v>21</v>
      </c>
      <c r="BG311" s="156" t="n">
        <f t="shared" si="126"/>
        <v>31</v>
      </c>
      <c r="BH311" s="156" t="n">
        <f t="shared" si="126"/>
        <v>223</v>
      </c>
      <c r="BI311" s="156" t="n">
        <f t="shared" si="126"/>
        <v>0</v>
      </c>
      <c r="BJ311" s="156" t="n">
        <f t="shared" si="126"/>
        <v>20</v>
      </c>
      <c r="BK311" s="156" t="n">
        <f t="shared" si="126"/>
        <v>0</v>
      </c>
      <c r="BL311" s="156" t="n">
        <f t="shared" si="126"/>
        <v>80</v>
      </c>
      <c r="BM311" s="156" t="n">
        <f t="shared" si="126"/>
        <v>0</v>
      </c>
      <c r="BN311" s="156" t="n">
        <f t="shared" si="126"/>
        <v>2</v>
      </c>
      <c r="BO311" s="156" t="n">
        <f t="shared" si="126"/>
        <v>0</v>
      </c>
      <c r="BP311" s="156" t="n">
        <f t="shared" si="126"/>
        <v>0</v>
      </c>
      <c r="BQ311" s="110"/>
    </row>
    <row r="312">
      <c r="A312" s="84"/>
      <c r="B312" s="84" t="s">
        <v>62</v>
      </c>
      <c r="C312" s="84"/>
      <c r="D312" s="142" t="s">
        <v>33</v>
      </c>
      <c r="E312" s="142"/>
      <c r="F312" s="94"/>
      <c r="G312" s="89" t="n">
        <v>0.377</v>
      </c>
      <c r="H312" s="89"/>
      <c r="I312" s="44"/>
      <c r="J312" s="44"/>
      <c r="K312" s="166"/>
      <c r="L312" s="166"/>
      <c r="M312" s="166" t="n">
        <v>11.429450000000001</v>
      </c>
      <c r="N312" s="166"/>
      <c r="O312" s="94"/>
      <c r="P312" s="94"/>
      <c r="Q312" s="94"/>
      <c r="R312" s="134"/>
      <c r="S312" s="89" t="n">
        <f>VLOOKUP($B312,Conversores_Dieta!$B$4:$J$164,Coefs!S$292,0)</f>
        <v>0.97882467392087635</v>
      </c>
      <c r="T312" s="130" t="n">
        <f>VLOOKUP($B312,Conversores_Dieta!$B$4:$J$164,Coefs!T$292,0)</f>
        <v>2.3519999999999999E-2</v>
      </c>
      <c r="U312" s="166" t="n">
        <f>VLOOKUP($B312,Conversores_Dieta!$B$4:$J$164,Coefs!U$292,0)</f>
        <v>60</v>
      </c>
      <c r="V312" s="166" t="n">
        <f>VLOOKUP($B312,Conversores_Dieta!$B$4:$J$164,Coefs!V$292,0)</f>
        <v>0</v>
      </c>
      <c r="W312" s="21" t="n">
        <f>VLOOKUP($B312,Conversores_Dieta!$B$4:$J$164,Coefs!W$292,0)</f>
        <v>75.926352958132156</v>
      </c>
      <c r="X312" s="21" t="n">
        <f>VLOOKUP($B312,Conversores_Dieta!$B$4:$J$164,Coefs!X$292,0)</f>
        <v>12.106363046768038</v>
      </c>
      <c r="Y312" s="67"/>
      <c r="Z312" s="67"/>
      <c r="AA312" s="67"/>
      <c r="AB312" s="67"/>
      <c r="AC312" s="67"/>
      <c r="AD312" s="171"/>
      <c r="AE312" s="171"/>
      <c r="AF312" s="171"/>
      <c r="AG312" s="171"/>
      <c r="AH312" s="171"/>
      <c r="AI312" s="153" t="n">
        <f>0.0296/G312</f>
        <v>7.8514588859416451E-2</v>
      </c>
      <c r="AJ312" s="130"/>
      <c r="AK312" s="153"/>
      <c r="AL312" s="121" t="n">
        <v>0.5</v>
      </c>
      <c r="AM312" s="153"/>
      <c r="AN312" s="153"/>
      <c r="AO312" s="153"/>
      <c r="AP312" s="153" t="s">
        <v>4</v>
      </c>
      <c r="AQ312" s="121" t="s">
        <v>4</v>
      </c>
      <c r="AR312" s="84"/>
      <c r="AS312" s="148"/>
      <c r="AT312" s="84"/>
      <c r="AU312" s="84"/>
      <c r="AV312" s="84"/>
      <c r="AW312" s="5"/>
      <c r="AX312" s="84"/>
      <c r="AY312" s="84"/>
      <c r="AZ312" t="n">
        <v>0.7</v>
      </c>
      <c r="BA312" t="n">
        <v>0</v>
      </c>
      <c r="BB312" t="n">
        <v>21.9</v>
      </c>
      <c r="BC312" t="n">
        <v>24</v>
      </c>
      <c r="BD312" t="n">
        <v>3.5</v>
      </c>
      <c r="BE312" s="83" t="n">
        <v>0.2</v>
      </c>
      <c r="BF312" t="n">
        <v>21</v>
      </c>
      <c r="BG312" t="n">
        <v>31</v>
      </c>
      <c r="BH312" t="n">
        <v>223</v>
      </c>
      <c r="BI312" t="n">
        <v>0</v>
      </c>
      <c r="BJ312" t="n">
        <v>20</v>
      </c>
      <c r="BK312" t="n">
        <v>0</v>
      </c>
      <c r="BL312" t="n">
        <v>80</v>
      </c>
      <c r="BM312" t="n">
        <v>0</v>
      </c>
      <c r="BN312" t="n">
        <v>2</v>
      </c>
      <c r="BO312" t="n">
        <v>0</v>
      </c>
      <c r="BP312" t="n">
        <v>0</v>
      </c>
      <c r="BQ312" s="110"/>
    </row>
    <row r="313">
      <c r="A313" s="84"/>
      <c r="B313" s="84" t="s">
        <v>61</v>
      </c>
      <c r="C313" s="84"/>
      <c r="D313" s="142" t="s">
        <v>33</v>
      </c>
      <c r="E313" s="142"/>
      <c r="F313" s="94"/>
      <c r="G313" s="89" t="n">
        <v>0.375</v>
      </c>
      <c r="H313" s="89"/>
      <c r="I313" s="44"/>
      <c r="J313" s="44"/>
      <c r="K313" s="166"/>
      <c r="L313" s="166"/>
      <c r="M313" s="166" t="n">
        <v>9.2858999999999998</v>
      </c>
      <c r="N313" s="166"/>
      <c r="O313" s="94"/>
      <c r="P313" s="94"/>
      <c r="Q313" s="94"/>
      <c r="R313" s="134"/>
      <c r="S313" s="87" t="n">
        <f>S$312</f>
        <v>0.97882467392087635</v>
      </c>
      <c r="T313" s="15" t="n">
        <f>T$312*$G313/$G$312</f>
        <v>2.3395225464190979E-2</v>
      </c>
      <c r="U313" s="157" t="n">
        <f>U$312*$G313/$G$312</f>
        <v>59.681697612732094</v>
      </c>
      <c r="V313" s="157" t="n">
        <f>V$312*$G313/$G$312</f>
        <v>0</v>
      </c>
      <c r="W313" s="132" t="n">
        <f>W$312*$G313/$G$312</f>
        <v>75.523560634746843</v>
      </c>
      <c r="X313" s="132" t="n">
        <f>X$312*$G313/$G$312</f>
        <v>12.042138309119402</v>
      </c>
      <c r="Y313" s="66"/>
      <c r="Z313" s="66"/>
      <c r="AA313" s="66"/>
      <c r="AB313" s="66"/>
      <c r="AC313" s="66"/>
      <c r="AD313" s="171"/>
      <c r="AE313" s="171"/>
      <c r="AF313" s="171"/>
      <c r="AG313" s="171"/>
      <c r="AH313" s="171"/>
      <c r="AI313" s="153" t="n">
        <f>0.0296/G313</f>
        <v>7.8933333333333341E-2</v>
      </c>
      <c r="AJ313" s="130"/>
      <c r="AK313" s="153"/>
      <c r="AL313" s="121" t="n">
        <v>0.5</v>
      </c>
      <c r="AM313" s="153"/>
      <c r="AN313" s="153"/>
      <c r="AO313" s="153"/>
      <c r="AP313" s="153" t="s">
        <v>4</v>
      </c>
      <c r="AQ313" s="121" t="s">
        <v>4</v>
      </c>
      <c r="AR313" s="84"/>
      <c r="AS313" s="148"/>
      <c r="AT313" s="84"/>
      <c r="AU313" s="84"/>
      <c r="AV313" s="84"/>
      <c r="AW313" s="5"/>
      <c r="AX313" s="84"/>
      <c r="AY313" s="84"/>
      <c r="AZ313" t="n">
        <v>0.7</v>
      </c>
      <c r="BA313" s="156" t="n">
        <f>BA312</f>
        <v>0</v>
      </c>
      <c r="BB313" s="156" t="n">
        <f t="shared" ref="BB313:BP313" si="127">BB312</f>
        <v>21.9</v>
      </c>
      <c r="BC313" s="156" t="n">
        <f t="shared" si="127"/>
        <v>24</v>
      </c>
      <c r="BD313" s="156" t="n">
        <f t="shared" si="127"/>
        <v>3.5</v>
      </c>
      <c r="BE313" s="156" t="n">
        <f t="shared" si="127"/>
        <v>0.2</v>
      </c>
      <c r="BF313" s="156" t="n">
        <f t="shared" si="127"/>
        <v>21</v>
      </c>
      <c r="BG313" s="156" t="n">
        <f t="shared" si="127"/>
        <v>31</v>
      </c>
      <c r="BH313" s="156" t="n">
        <f t="shared" si="127"/>
        <v>223</v>
      </c>
      <c r="BI313" s="156" t="n">
        <f t="shared" si="127"/>
        <v>0</v>
      </c>
      <c r="BJ313" s="156" t="n">
        <f t="shared" si="127"/>
        <v>20</v>
      </c>
      <c r="BK313" s="156" t="n">
        <f t="shared" si="127"/>
        <v>0</v>
      </c>
      <c r="BL313" s="156" t="n">
        <f t="shared" si="127"/>
        <v>80</v>
      </c>
      <c r="BM313" s="156" t="n">
        <f t="shared" si="127"/>
        <v>0</v>
      </c>
      <c r="BN313" s="156" t="n">
        <f t="shared" si="127"/>
        <v>2</v>
      </c>
      <c r="BO313" s="156" t="n">
        <f t="shared" si="127"/>
        <v>0</v>
      </c>
      <c r="BP313" s="156" t="n">
        <f t="shared" si="127"/>
        <v>0</v>
      </c>
      <c r="BQ313" s="110"/>
    </row>
    <row r="314">
      <c r="A314" s="84"/>
      <c r="B314" s="98" t="s">
        <v>60</v>
      </c>
      <c r="C314" s="98"/>
      <c r="D314" s="142" t="s">
        <v>33</v>
      </c>
      <c r="E314" s="102"/>
      <c r="F314" s="101"/>
      <c r="G314" s="99" t="n">
        <v>0.375</v>
      </c>
      <c r="H314" s="99"/>
      <c r="I314" s="98"/>
      <c r="J314" s="98"/>
      <c r="K314" s="96"/>
      <c r="L314" s="96"/>
      <c r="M314" s="96" t="n">
        <f>M318</f>
        <v>7.8560699999999999</v>
      </c>
      <c r="N314" s="96"/>
      <c r="O314" s="94"/>
      <c r="P314" s="94"/>
      <c r="Q314" s="94"/>
      <c r="R314" s="134"/>
      <c r="S314" s="89" t="n">
        <f>VLOOKUP($B314,Conversores_Dieta!$B$4:$J$164,Coefs!S$292,0)</f>
        <v>0.7</v>
      </c>
      <c r="T314" s="130" t="n">
        <f>VLOOKUP($B314,Conversores_Dieta!$B$4:$J$164,Coefs!T$292,0)</f>
        <v>2.1440000000000001E-2</v>
      </c>
      <c r="U314" s="166" t="n">
        <f>VLOOKUP($B314,Conversores_Dieta!$B$4:$J$164,Coefs!U$292,0)</f>
        <v>143</v>
      </c>
      <c r="V314" s="166" t="n">
        <f>VLOOKUP($B314,Conversores_Dieta!$B$4:$J$164,Coefs!V$292,0)</f>
        <v>0</v>
      </c>
      <c r="W314" s="21" t="n">
        <f>VLOOKUP($B314,Conversores_Dieta!$B$4:$J$164,Coefs!W$292,0)</f>
        <v>90</v>
      </c>
      <c r="X314" s="21" t="n">
        <f>VLOOKUP($B314,Conversores_Dieta!$B$4:$J$164,Coefs!X$292,0)</f>
        <v>0</v>
      </c>
      <c r="Y314" s="67"/>
      <c r="Z314" s="67"/>
      <c r="AA314" s="67"/>
      <c r="AB314" s="67"/>
      <c r="AC314" s="67"/>
      <c r="AD314" s="171"/>
      <c r="AE314" s="171"/>
      <c r="AF314" s="171"/>
      <c r="AG314" s="171"/>
      <c r="AH314" s="171"/>
      <c r="AI314" s="153" t="n">
        <f>0.024/G314</f>
        <v>6.4000000000000001E-2</v>
      </c>
      <c r="AJ314" s="130"/>
      <c r="AK314" s="153"/>
      <c r="AL314" s="121" t="n">
        <v>0.5</v>
      </c>
      <c r="AM314" s="153"/>
      <c r="AN314" s="153"/>
      <c r="AO314" s="153"/>
      <c r="AP314" s="153" t="s">
        <v>4</v>
      </c>
      <c r="AQ314" s="121" t="s">
        <v>4</v>
      </c>
      <c r="AR314" s="84"/>
      <c r="AS314" s="148"/>
      <c r="AT314" s="84"/>
      <c r="AU314" s="84"/>
      <c r="AV314" s="84"/>
      <c r="AW314" s="5"/>
      <c r="AX314" s="84"/>
      <c r="AY314" s="84"/>
      <c r="AZ314" t="n">
        <v>0.7</v>
      </c>
      <c r="BA314" t="n">
        <v>0</v>
      </c>
      <c r="BB314" t="n">
        <v>15</v>
      </c>
      <c r="BC314" t="n">
        <v>22</v>
      </c>
      <c r="BD314" t="n">
        <v>3</v>
      </c>
      <c r="BE314" s="83" t="n">
        <v>0.35</v>
      </c>
      <c r="BF314" t="n">
        <v>9</v>
      </c>
      <c r="BG314" t="n">
        <v>20</v>
      </c>
      <c r="BH314" t="n">
        <v>220</v>
      </c>
      <c r="BI314" t="n">
        <v>0</v>
      </c>
      <c r="BJ314" t="n">
        <v>20</v>
      </c>
      <c r="BK314" t="n">
        <v>4</v>
      </c>
      <c r="BL314" t="n">
        <v>50</v>
      </c>
      <c r="BM314" t="n">
        <v>0</v>
      </c>
      <c r="BN314" t="n">
        <v>0.89999999999999991</v>
      </c>
      <c r="BO314" t="n">
        <v>0</v>
      </c>
      <c r="BP314" t="n">
        <v>0</v>
      </c>
      <c r="BQ314" s="110"/>
    </row>
    <row r="315">
      <c r="A315" s="84"/>
      <c r="B315" s="84" t="s">
        <v>58</v>
      </c>
      <c r="C315" s="84" t="s">
        <v>55</v>
      </c>
      <c r="D315" s="142" t="s">
        <v>33</v>
      </c>
      <c r="E315" s="142"/>
      <c r="F315" s="94"/>
      <c r="G315" s="89" t="n">
        <v>0.35</v>
      </c>
      <c r="H315" s="89"/>
      <c r="I315" s="44"/>
      <c r="J315" s="44"/>
      <c r="K315" s="166"/>
      <c r="L315" s="166"/>
      <c r="M315" s="166" t="n">
        <v>5.3849999999999998</v>
      </c>
      <c r="N315" s="166"/>
      <c r="O315" s="94"/>
      <c r="P315" s="94"/>
      <c r="Q315" s="94"/>
      <c r="R315" s="134"/>
      <c r="S315" s="87" t="n">
        <f>VLOOKUP(C315,$B$3:$X$358,MATCH(S$2,$B$2:$X$2,0),0)</f>
        <v>0.62474226804123711</v>
      </c>
      <c r="T315" s="15" t="n">
        <f t="shared" ref="T315:X317" si="128">VLOOKUP($C315,$B$3:$X$358,MATCH(T$2,$B$2:$X$2,0),0)*$G315/VLOOKUP($C315,$B$3:$X$358,MATCH($G$2,$B$2:$X$2,0),0)</f>
        <v>1.8775646371976647E-2</v>
      </c>
      <c r="U315" s="157" t="n">
        <f t="shared" si="128"/>
        <v>176.02168473728108</v>
      </c>
      <c r="V315" s="157" t="n">
        <f t="shared" si="128"/>
        <v>0</v>
      </c>
      <c r="W315" s="132" t="n">
        <f t="shared" si="128"/>
        <v>70.870914765741205</v>
      </c>
      <c r="X315" s="132" t="n">
        <f t="shared" si="128"/>
        <v>35.751442353163718</v>
      </c>
      <c r="Y315" s="66"/>
      <c r="Z315" s="66"/>
      <c r="AA315" s="66"/>
      <c r="AB315" s="66"/>
      <c r="AC315" s="66"/>
      <c r="AD315" s="171"/>
      <c r="AE315" s="171"/>
      <c r="AF315" s="171"/>
      <c r="AG315" s="171"/>
      <c r="AH315" s="171"/>
      <c r="AI315" s="153" t="n">
        <f>0.024/G315</f>
        <v>6.8571428571428575E-2</v>
      </c>
      <c r="AJ315" s="130"/>
      <c r="AK315" s="153"/>
      <c r="AL315" s="121" t="n">
        <v>0.5</v>
      </c>
      <c r="AM315" s="153"/>
      <c r="AN315" s="153"/>
      <c r="AO315" s="153"/>
      <c r="AP315" s="153" t="s">
        <v>4</v>
      </c>
      <c r="AQ315" s="121" t="s">
        <v>4</v>
      </c>
      <c r="AR315" s="84"/>
      <c r="AS315" s="148"/>
      <c r="AT315" s="84"/>
      <c r="AU315" s="84"/>
      <c r="AV315" s="84"/>
      <c r="AW315" s="5"/>
      <c r="AX315" s="84"/>
      <c r="AY315" s="84"/>
      <c r="AZ315" t="n">
        <v>0.7</v>
      </c>
      <c r="BA315" s="156" t="n">
        <f>BA$314</f>
        <v>0</v>
      </c>
      <c r="BB315" s="156" t="n">
        <f t="shared" ref="BB315:BP315" si="129">BB$314</f>
        <v>15</v>
      </c>
      <c r="BC315" s="156" t="n">
        <f t="shared" si="129"/>
        <v>22</v>
      </c>
      <c r="BD315" s="156" t="n">
        <f t="shared" si="129"/>
        <v>3</v>
      </c>
      <c r="BE315" s="156" t="n">
        <f t="shared" si="129"/>
        <v>0.35</v>
      </c>
      <c r="BF315" s="156" t="n">
        <f t="shared" si="129"/>
        <v>9</v>
      </c>
      <c r="BG315" s="156" t="n">
        <f t="shared" si="129"/>
        <v>20</v>
      </c>
      <c r="BH315" s="156" t="n">
        <f t="shared" si="129"/>
        <v>220</v>
      </c>
      <c r="BI315" s="156" t="n">
        <f t="shared" si="129"/>
        <v>0</v>
      </c>
      <c r="BJ315" s="156" t="n">
        <f t="shared" si="129"/>
        <v>20</v>
      </c>
      <c r="BK315" s="156" t="n">
        <f t="shared" si="129"/>
        <v>4</v>
      </c>
      <c r="BL315" s="156" t="n">
        <f t="shared" si="129"/>
        <v>50</v>
      </c>
      <c r="BM315" s="156" t="n">
        <f t="shared" si="129"/>
        <v>0</v>
      </c>
      <c r="BN315" s="156" t="n">
        <f t="shared" si="129"/>
        <v>0.89999999999999991</v>
      </c>
      <c r="BO315" s="156" t="n">
        <f t="shared" si="129"/>
        <v>0</v>
      </c>
      <c r="BP315" s="156" t="n">
        <f t="shared" si="129"/>
        <v>0</v>
      </c>
      <c r="BQ315" s="110"/>
    </row>
    <row r="316">
      <c r="A316" s="84"/>
      <c r="B316" s="84" t="s">
        <v>57</v>
      </c>
      <c r="C316" s="84" t="s">
        <v>55</v>
      </c>
      <c r="D316" s="142" t="s">
        <v>33</v>
      </c>
      <c r="E316" s="142"/>
      <c r="F316" s="94"/>
      <c r="G316" s="89" t="n">
        <v>0.48299999999999998</v>
      </c>
      <c r="H316" s="89"/>
      <c r="I316" s="44"/>
      <c r="J316" s="44"/>
      <c r="K316" s="166"/>
      <c r="L316" s="166"/>
      <c r="M316" s="166" t="n">
        <v>9.9680099999999996</v>
      </c>
      <c r="N316" s="166"/>
      <c r="O316" s="94"/>
      <c r="P316" s="94"/>
      <c r="Q316" s="94"/>
      <c r="R316" s="134"/>
      <c r="S316" s="87" t="n">
        <f>VLOOKUP(C316,$B$3:$X$358,MATCH(S$2,$B$2:$X$2,0),0)</f>
        <v>0.62474226804123711</v>
      </c>
      <c r="T316" s="15" t="n">
        <f t="shared" si="128"/>
        <v>2.5910391993327776E-2</v>
      </c>
      <c r="U316" s="157" t="n">
        <f t="shared" si="128"/>
        <v>242.9099249374479</v>
      </c>
      <c r="V316" s="157" t="n">
        <f t="shared" si="128"/>
        <v>0</v>
      </c>
      <c r="W316" s="132" t="n">
        <f t="shared" si="128"/>
        <v>97.801862376722866</v>
      </c>
      <c r="X316" s="132" t="n">
        <f t="shared" si="128"/>
        <v>49.336990447365928</v>
      </c>
      <c r="Y316" s="66"/>
      <c r="Z316" s="66"/>
      <c r="AA316" s="66"/>
      <c r="AB316" s="66"/>
      <c r="AC316" s="66"/>
      <c r="AD316" s="171"/>
      <c r="AE316" s="171"/>
      <c r="AF316" s="171"/>
      <c r="AG316" s="171"/>
      <c r="AH316" s="171"/>
      <c r="AI316" s="153" t="n">
        <f>0.024/G316</f>
        <v>4.9689440993788823E-2</v>
      </c>
      <c r="AJ316" s="130"/>
      <c r="AK316" s="153"/>
      <c r="AL316" s="121" t="n">
        <v>0.5</v>
      </c>
      <c r="AM316" s="153"/>
      <c r="AN316" s="153"/>
      <c r="AO316" s="153"/>
      <c r="AP316" s="153" t="s">
        <v>4</v>
      </c>
      <c r="AQ316" s="121" t="s">
        <v>4</v>
      </c>
      <c r="AR316" s="84"/>
      <c r="AS316" s="148"/>
      <c r="AT316" s="84"/>
      <c r="AU316" s="84"/>
      <c r="AV316" s="84"/>
      <c r="AW316" s="5"/>
      <c r="AX316" s="84"/>
      <c r="AY316" s="84"/>
      <c r="AZ316" t="n">
        <v>0.7</v>
      </c>
      <c r="BA316" s="156" t="n">
        <f t="shared" ref="BA316:BP320" si="130">BA$314</f>
        <v>0</v>
      </c>
      <c r="BB316" s="156" t="n">
        <f t="shared" si="130"/>
        <v>15</v>
      </c>
      <c r="BC316" s="156" t="n">
        <f t="shared" si="130"/>
        <v>22</v>
      </c>
      <c r="BD316" s="156" t="n">
        <f t="shared" si="130"/>
        <v>3</v>
      </c>
      <c r="BE316" s="156" t="n">
        <f t="shared" si="130"/>
        <v>0.35</v>
      </c>
      <c r="BF316" s="156" t="n">
        <f t="shared" si="130"/>
        <v>9</v>
      </c>
      <c r="BG316" s="156" t="n">
        <f t="shared" si="130"/>
        <v>20</v>
      </c>
      <c r="BH316" s="156" t="n">
        <f t="shared" si="130"/>
        <v>220</v>
      </c>
      <c r="BI316" s="156" t="n">
        <f t="shared" si="130"/>
        <v>0</v>
      </c>
      <c r="BJ316" s="156" t="n">
        <f t="shared" si="130"/>
        <v>20</v>
      </c>
      <c r="BK316" s="156" t="n">
        <f t="shared" si="130"/>
        <v>4</v>
      </c>
      <c r="BL316" s="156" t="n">
        <f t="shared" si="130"/>
        <v>50</v>
      </c>
      <c r="BM316" s="156" t="n">
        <f t="shared" si="130"/>
        <v>0</v>
      </c>
      <c r="BN316" s="156" t="n">
        <f t="shared" si="130"/>
        <v>0.89999999999999991</v>
      </c>
      <c r="BO316" s="156" t="n">
        <f t="shared" si="130"/>
        <v>0</v>
      </c>
      <c r="BP316" s="156" t="n">
        <f t="shared" si="130"/>
        <v>0</v>
      </c>
      <c r="BQ316" s="110"/>
    </row>
    <row r="317">
      <c r="A317" s="84"/>
      <c r="B317" s="84" t="s">
        <v>56</v>
      </c>
      <c r="C317" s="84" t="s">
        <v>55</v>
      </c>
      <c r="D317" s="142" t="s">
        <v>33</v>
      </c>
      <c r="E317" s="142"/>
      <c r="F317" s="94"/>
      <c r="G317" s="89" t="n">
        <v>0.36599999999999999</v>
      </c>
      <c r="H317" s="89"/>
      <c r="I317" s="44"/>
      <c r="J317" s="44"/>
      <c r="K317" s="166"/>
      <c r="L317" s="166"/>
      <c r="M317" s="166" t="n">
        <v>8.2151999999999994</v>
      </c>
      <c r="N317" s="166"/>
      <c r="O317" s="94"/>
      <c r="P317" s="94"/>
      <c r="Q317" s="94"/>
      <c r="R317" s="134"/>
      <c r="S317" s="87" t="n">
        <f>VLOOKUP(C317,$B$3:$X$358,MATCH(S$2,$B$2:$X$2,0),0)</f>
        <v>0.62474226804123711</v>
      </c>
      <c r="T317" s="15" t="n">
        <f t="shared" si="128"/>
        <v>1.9633961634695583E-2</v>
      </c>
      <c r="U317" s="157" t="n">
        <f t="shared" si="128"/>
        <v>184.06839032527108</v>
      </c>
      <c r="V317" s="157" t="n">
        <f t="shared" si="128"/>
        <v>0</v>
      </c>
      <c r="W317" s="132" t="n">
        <f t="shared" si="128"/>
        <v>74.110728012175088</v>
      </c>
      <c r="X317" s="132" t="n">
        <f t="shared" si="128"/>
        <v>37.385794003594064</v>
      </c>
      <c r="Y317" s="66"/>
      <c r="Z317" s="66"/>
      <c r="AA317" s="66"/>
      <c r="AB317" s="66"/>
      <c r="AC317" s="66"/>
      <c r="AD317" s="171"/>
      <c r="AE317" s="171"/>
      <c r="AF317" s="171"/>
      <c r="AG317" s="171"/>
      <c r="AH317" s="171"/>
      <c r="AI317" s="153" t="n">
        <f>0.024/G317</f>
        <v>6.5573770491803282E-2</v>
      </c>
      <c r="AJ317" s="130"/>
      <c r="AK317" s="153"/>
      <c r="AL317" s="121" t="n">
        <v>0.5</v>
      </c>
      <c r="AM317" s="153"/>
      <c r="AN317" s="153"/>
      <c r="AO317" s="153"/>
      <c r="AP317" s="153" t="s">
        <v>4</v>
      </c>
      <c r="AQ317" s="121" t="s">
        <v>4</v>
      </c>
      <c r="AR317" s="84"/>
      <c r="AS317" s="148"/>
      <c r="AT317" s="84"/>
      <c r="AU317" s="84"/>
      <c r="AV317" s="84"/>
      <c r="AW317" s="5"/>
      <c r="AX317" s="84"/>
      <c r="AY317" s="84"/>
      <c r="AZ317" t="n">
        <v>0.7</v>
      </c>
      <c r="BA317" s="156" t="n">
        <f t="shared" si="130"/>
        <v>0</v>
      </c>
      <c r="BB317" s="156" t="n">
        <f t="shared" si="130"/>
        <v>15</v>
      </c>
      <c r="BC317" s="156" t="n">
        <f t="shared" si="130"/>
        <v>22</v>
      </c>
      <c r="BD317" s="156" t="n">
        <f t="shared" si="130"/>
        <v>3</v>
      </c>
      <c r="BE317" s="156" t="n">
        <f t="shared" si="130"/>
        <v>0.35</v>
      </c>
      <c r="BF317" s="156" t="n">
        <f t="shared" si="130"/>
        <v>9</v>
      </c>
      <c r="BG317" s="156" t="n">
        <f t="shared" si="130"/>
        <v>20</v>
      </c>
      <c r="BH317" s="156" t="n">
        <f t="shared" si="130"/>
        <v>220</v>
      </c>
      <c r="BI317" s="156" t="n">
        <f t="shared" si="130"/>
        <v>0</v>
      </c>
      <c r="BJ317" s="156" t="n">
        <f t="shared" si="130"/>
        <v>20</v>
      </c>
      <c r="BK317" s="156" t="n">
        <f t="shared" si="130"/>
        <v>4</v>
      </c>
      <c r="BL317" s="156" t="n">
        <f t="shared" si="130"/>
        <v>50</v>
      </c>
      <c r="BM317" s="156" t="n">
        <f t="shared" si="130"/>
        <v>0</v>
      </c>
      <c r="BN317" s="156" t="n">
        <f t="shared" si="130"/>
        <v>0.89999999999999991</v>
      </c>
      <c r="BO317" s="156" t="n">
        <f t="shared" si="130"/>
        <v>0</v>
      </c>
      <c r="BP317" s="156" t="n">
        <f t="shared" si="130"/>
        <v>0</v>
      </c>
      <c r="BQ317" s="110"/>
    </row>
    <row r="318">
      <c r="A318" s="84"/>
      <c r="B318" s="84" t="s">
        <v>55</v>
      </c>
      <c r="C318" s="84"/>
      <c r="D318" s="142" t="s">
        <v>33</v>
      </c>
      <c r="E318" s="142"/>
      <c r="F318" s="94"/>
      <c r="G318" s="89" t="n">
        <v>0.39966666666666661</v>
      </c>
      <c r="H318" s="89"/>
      <c r="I318" s="44"/>
      <c r="J318" s="44"/>
      <c r="K318" s="94"/>
      <c r="L318" s="94"/>
      <c r="M318" s="166" t="n">
        <v>7.8560699999999999</v>
      </c>
      <c r="N318" s="166"/>
      <c r="O318" s="94"/>
      <c r="P318" s="94"/>
      <c r="Q318" s="94"/>
      <c r="R318" s="134"/>
      <c r="S318" s="89" t="n">
        <f>VLOOKUP($B318,Conversores_Dieta!$B$4:$J$164,Coefs!S$292,0)</f>
        <v>0.62474226804123711</v>
      </c>
      <c r="T318" s="130" t="n">
        <f>VLOOKUP($B318,Conversores_Dieta!$B$4:$J$164,Coefs!T$292,0)</f>
        <v>2.1440000000000001E-2</v>
      </c>
      <c r="U318" s="166" t="n">
        <f>VLOOKUP($B318,Conversores_Dieta!$B$4:$J$164,Coefs!U$292,0)</f>
        <v>201</v>
      </c>
      <c r="V318" s="166" t="n">
        <f>VLOOKUP($B318,Conversores_Dieta!$B$4:$J$164,Coefs!V$292,0)</f>
        <v>0</v>
      </c>
      <c r="W318" s="21" t="n">
        <f>VLOOKUP($B318,Conversores_Dieta!$B$4:$J$164,Coefs!W$292,0)</f>
        <v>80.927835051546381</v>
      </c>
      <c r="X318" s="21" t="n">
        <f>VLOOKUP($B318,Conversores_Dieta!$B$4:$J$164,Coefs!X$292,0)</f>
        <v>40.824742268041234</v>
      </c>
      <c r="Y318" s="67"/>
      <c r="Z318" s="67"/>
      <c r="AA318" s="67"/>
      <c r="AB318" s="67"/>
      <c r="AC318" s="67"/>
      <c r="AD318" s="171"/>
      <c r="AE318" s="171"/>
      <c r="AF318" s="171"/>
      <c r="AG318" s="171"/>
      <c r="AH318" s="171"/>
      <c r="AI318" s="153" t="n">
        <f>0.024/G318</f>
        <v>6.005004170141786E-2</v>
      </c>
      <c r="AJ318" s="130"/>
      <c r="AK318" s="153"/>
      <c r="AL318" s="121" t="n">
        <v>0.5</v>
      </c>
      <c r="AM318" s="153"/>
      <c r="AN318" s="153"/>
      <c r="AO318" s="153"/>
      <c r="AP318" s="153" t="s">
        <v>4</v>
      </c>
      <c r="AQ318" s="121" t="s">
        <v>4</v>
      </c>
      <c r="AR318" s="84"/>
      <c r="AS318" s="148"/>
      <c r="AT318" s="84"/>
      <c r="AU318" s="84"/>
      <c r="AV318" s="84"/>
      <c r="AW318" s="5"/>
      <c r="AX318" s="84"/>
      <c r="AY318" s="84"/>
      <c r="AZ318" t="n">
        <v>0.7</v>
      </c>
      <c r="BA318" s="156" t="n">
        <f t="shared" si="130"/>
        <v>0</v>
      </c>
      <c r="BB318" s="156" t="n">
        <f t="shared" si="130"/>
        <v>15</v>
      </c>
      <c r="BC318" s="156" t="n">
        <f t="shared" si="130"/>
        <v>22</v>
      </c>
      <c r="BD318" s="156" t="n">
        <f t="shared" si="130"/>
        <v>3</v>
      </c>
      <c r="BE318" s="156" t="n">
        <f t="shared" si="130"/>
        <v>0.35</v>
      </c>
      <c r="BF318" s="156" t="n">
        <f t="shared" si="130"/>
        <v>9</v>
      </c>
      <c r="BG318" s="156" t="n">
        <f t="shared" si="130"/>
        <v>20</v>
      </c>
      <c r="BH318" s="156" t="n">
        <f t="shared" si="130"/>
        <v>220</v>
      </c>
      <c r="BI318" s="156" t="n">
        <f t="shared" si="130"/>
        <v>0</v>
      </c>
      <c r="BJ318" s="156" t="n">
        <f t="shared" si="130"/>
        <v>20</v>
      </c>
      <c r="BK318" s="156" t="n">
        <f t="shared" si="130"/>
        <v>4</v>
      </c>
      <c r="BL318" s="156" t="n">
        <f t="shared" si="130"/>
        <v>50</v>
      </c>
      <c r="BM318" s="156" t="n">
        <f t="shared" si="130"/>
        <v>0</v>
      </c>
      <c r="BN318" s="156" t="n">
        <f t="shared" si="130"/>
        <v>0.89999999999999991</v>
      </c>
      <c r="BO318" s="156" t="n">
        <f t="shared" si="130"/>
        <v>0</v>
      </c>
      <c r="BP318" s="156" t="n">
        <f t="shared" si="130"/>
        <v>0</v>
      </c>
      <c r="BQ318" s="110"/>
    </row>
    <row r="319">
      <c r="A319" s="84"/>
      <c r="B319" s="84" t="s">
        <v>54</v>
      </c>
      <c r="C319" s="84"/>
      <c r="D319" s="142" t="s">
        <v>33</v>
      </c>
      <c r="E319" s="142"/>
      <c r="F319" s="94"/>
      <c r="G319" s="89" t="n">
        <v>0.246</v>
      </c>
      <c r="H319" s="89"/>
      <c r="I319" s="44"/>
      <c r="J319" s="44"/>
      <c r="K319" s="166"/>
      <c r="L319" s="166"/>
      <c r="M319" s="166" t="n">
        <v>4.1397999999999993</v>
      </c>
      <c r="N319" s="166"/>
      <c r="O319" s="94"/>
      <c r="P319" s="94"/>
      <c r="Q319" s="94"/>
      <c r="R319" s="134"/>
      <c r="S319" s="87" t="n">
        <f>S$322</f>
        <v>0.7</v>
      </c>
      <c r="T319" s="15" t="n">
        <f>T$322*$G319/$G$322</f>
        <v>2.0276363636363631E-2</v>
      </c>
      <c r="U319" s="157" t="n">
        <f t="shared" ref="U319:X319" si="131">U$322*$G319/$G$322</f>
        <v>58.808080808080803</v>
      </c>
      <c r="V319" s="157" t="n">
        <f t="shared" si="131"/>
        <v>0</v>
      </c>
      <c r="W319" s="132" t="n">
        <f t="shared" si="131"/>
        <v>107.67676767676767</v>
      </c>
      <c r="X319" s="132" t="n">
        <f t="shared" si="131"/>
        <v>0</v>
      </c>
      <c r="Y319" s="66"/>
      <c r="Z319" s="66"/>
      <c r="AA319" s="66"/>
      <c r="AB319" s="66"/>
      <c r="AC319" s="66"/>
      <c r="AD319" s="171"/>
      <c r="AE319" s="171"/>
      <c r="AF319" s="171"/>
      <c r="AG319" s="171"/>
      <c r="AH319" s="171"/>
      <c r="AI319" s="153" t="n">
        <f>0.01968/G319</f>
        <v>0.08</v>
      </c>
      <c r="AJ319" s="15" t="n">
        <v>2.5906735751295335E-2</v>
      </c>
      <c r="AK319" s="121" t="n">
        <v>6.7357512953367879E-3</v>
      </c>
      <c r="AL319" s="121" t="n">
        <v>0.5</v>
      </c>
      <c r="AM319" s="153"/>
      <c r="AN319" s="153"/>
      <c r="AO319" s="153"/>
      <c r="AP319" s="153" t="s">
        <v>4</v>
      </c>
      <c r="AQ319" s="121" t="s">
        <v>4</v>
      </c>
      <c r="AR319" s="84"/>
      <c r="AS319" s="148"/>
      <c r="AT319" s="84"/>
      <c r="AU319" s="84"/>
      <c r="AV319" s="84"/>
      <c r="AW319" s="5"/>
      <c r="AX319" s="84"/>
      <c r="AY319" s="84"/>
      <c r="AZ319" t="n">
        <v>0.7</v>
      </c>
      <c r="BA319" s="156" t="n">
        <f t="shared" si="130"/>
        <v>0</v>
      </c>
      <c r="BB319" s="156" t="n">
        <f t="shared" si="130"/>
        <v>15</v>
      </c>
      <c r="BC319" s="156" t="n">
        <f t="shared" si="130"/>
        <v>22</v>
      </c>
      <c r="BD319" s="156" t="n">
        <f t="shared" si="130"/>
        <v>3</v>
      </c>
      <c r="BE319" s="156" t="n">
        <f t="shared" si="130"/>
        <v>0.35</v>
      </c>
      <c r="BF319" s="156" t="n">
        <f t="shared" si="130"/>
        <v>9</v>
      </c>
      <c r="BG319" s="156" t="n">
        <f t="shared" si="130"/>
        <v>20</v>
      </c>
      <c r="BH319" s="156" t="n">
        <f t="shared" si="130"/>
        <v>220</v>
      </c>
      <c r="BI319" s="156" t="n">
        <f t="shared" si="130"/>
        <v>0</v>
      </c>
      <c r="BJ319" s="156" t="n">
        <f t="shared" si="130"/>
        <v>20</v>
      </c>
      <c r="BK319" s="156" t="n">
        <f t="shared" si="130"/>
        <v>4</v>
      </c>
      <c r="BL319" s="156" t="n">
        <f t="shared" si="130"/>
        <v>50</v>
      </c>
      <c r="BM319" s="156" t="n">
        <f t="shared" si="130"/>
        <v>0</v>
      </c>
      <c r="BN319" s="156" t="n">
        <f t="shared" si="130"/>
        <v>0.89999999999999991</v>
      </c>
      <c r="BO319" s="156" t="n">
        <f t="shared" si="130"/>
        <v>0</v>
      </c>
      <c r="BP319" s="156" t="n">
        <f t="shared" si="130"/>
        <v>0</v>
      </c>
      <c r="BQ319" s="110"/>
    </row>
    <row r="320">
      <c r="A320" s="84"/>
      <c r="B320" s="84" t="s">
        <v>53</v>
      </c>
      <c r="C320" s="84" t="s">
        <v>32</v>
      </c>
      <c r="D320" s="142" t="s">
        <v>33</v>
      </c>
      <c r="E320" s="142"/>
      <c r="F320" s="94"/>
      <c r="G320" s="89" t="n">
        <v>0.21999999999999997</v>
      </c>
      <c r="H320" s="89"/>
      <c r="I320" s="44"/>
      <c r="J320" s="44"/>
      <c r="K320" s="166"/>
      <c r="L320" s="166"/>
      <c r="M320" s="166" t="n">
        <v>5.22</v>
      </c>
      <c r="N320" s="166"/>
      <c r="O320" s="94"/>
      <c r="P320" s="94"/>
      <c r="Q320" s="94"/>
      <c r="R320" s="134"/>
      <c r="S320" s="87" t="n">
        <f>VLOOKUP(C320,$B$3:$X$358,MATCH(S$2,$B$2:$X$2,0),0)</f>
        <v>0.98077253218884097</v>
      </c>
      <c r="T320" s="15" t="n">
        <f t="shared" ref="T320:X321" si="132">VLOOKUP($C320,$B$3:$X$358,MATCH(T$2,$B$2:$X$2,0),0)*$G320/VLOOKUP($C320,$B$3:$X$358,MATCH($G$2,$B$2:$X$2,0),0)</f>
        <v>9.8691588785046712E-3</v>
      </c>
      <c r="U320" s="157" t="n">
        <f t="shared" si="132"/>
        <v>88.205607476635507</v>
      </c>
      <c r="V320" s="157" t="n">
        <f t="shared" si="132"/>
        <v>0</v>
      </c>
      <c r="W320" s="132" t="n">
        <f t="shared" si="132"/>
        <v>39.219846777104792</v>
      </c>
      <c r="X320" s="132" t="n">
        <f t="shared" si="132"/>
        <v>2.9782198868878091</v>
      </c>
      <c r="Y320" s="66"/>
      <c r="Z320" s="66"/>
      <c r="AA320" s="66"/>
      <c r="AB320" s="66"/>
      <c r="AC320" s="66"/>
      <c r="AD320" s="171"/>
      <c r="AE320" s="171"/>
      <c r="AF320" s="171"/>
      <c r="AG320" s="171"/>
      <c r="AH320" s="171"/>
      <c r="AI320" s="153" t="n">
        <f>0.0248/G320</f>
        <v>0.11272727272727273</v>
      </c>
      <c r="AJ320" s="130"/>
      <c r="AK320" s="153"/>
      <c r="AL320" s="121" t="n">
        <v>0.5</v>
      </c>
      <c r="AM320" s="153"/>
      <c r="AN320" s="153"/>
      <c r="AO320" s="153"/>
      <c r="AP320" s="153" t="s">
        <v>4</v>
      </c>
      <c r="AQ320" s="121" t="s">
        <v>4</v>
      </c>
      <c r="AR320" s="84"/>
      <c r="AS320" s="148"/>
      <c r="AT320" s="84"/>
      <c r="AU320" s="84"/>
      <c r="AV320" s="84"/>
      <c r="AW320" s="5"/>
      <c r="AX320" s="84"/>
      <c r="AY320" s="84"/>
      <c r="AZ320" t="n">
        <v>0.7</v>
      </c>
      <c r="BA320" s="156" t="n">
        <f t="shared" si="130"/>
        <v>0</v>
      </c>
      <c r="BB320" s="156" t="n">
        <f t="shared" si="130"/>
        <v>15</v>
      </c>
      <c r="BC320" s="156" t="n">
        <f t="shared" si="130"/>
        <v>22</v>
      </c>
      <c r="BD320" s="156" t="n">
        <f t="shared" si="130"/>
        <v>3</v>
      </c>
      <c r="BE320" s="156" t="n">
        <f t="shared" si="130"/>
        <v>0.35</v>
      </c>
      <c r="BF320" s="156" t="n">
        <f t="shared" si="130"/>
        <v>9</v>
      </c>
      <c r="BG320" s="156" t="n">
        <f t="shared" si="130"/>
        <v>20</v>
      </c>
      <c r="BH320" s="156" t="n">
        <f t="shared" si="130"/>
        <v>220</v>
      </c>
      <c r="BI320" s="156" t="n">
        <f t="shared" si="130"/>
        <v>0</v>
      </c>
      <c r="BJ320" s="156" t="n">
        <f t="shared" si="130"/>
        <v>20</v>
      </c>
      <c r="BK320" s="156" t="n">
        <f t="shared" si="130"/>
        <v>4</v>
      </c>
      <c r="BL320" s="156" t="n">
        <f t="shared" si="130"/>
        <v>50</v>
      </c>
      <c r="BM320" s="156" t="n">
        <f t="shared" si="130"/>
        <v>0</v>
      </c>
      <c r="BN320" s="156" t="n">
        <f t="shared" si="130"/>
        <v>0.89999999999999991</v>
      </c>
      <c r="BO320" s="156" t="n">
        <f t="shared" si="130"/>
        <v>0</v>
      </c>
      <c r="BP320" s="156" t="n">
        <f t="shared" si="130"/>
        <v>0</v>
      </c>
      <c r="BQ320" s="110"/>
    </row>
    <row r="321">
      <c r="A321" s="84"/>
      <c r="B321" s="84" t="s">
        <v>52</v>
      </c>
      <c r="C321" s="84" t="s">
        <v>51</v>
      </c>
      <c r="D321" s="142" t="s">
        <v>33</v>
      </c>
      <c r="E321" s="142"/>
      <c r="F321" s="94"/>
      <c r="G321" s="89" t="n">
        <v>0.29700000000000004</v>
      </c>
      <c r="H321" s="89"/>
      <c r="I321" s="44"/>
      <c r="J321" s="44"/>
      <c r="K321" s="166"/>
      <c r="L321" s="166"/>
      <c r="M321" s="166" t="n">
        <v>5.8680999999999992</v>
      </c>
      <c r="N321" s="166"/>
      <c r="O321" s="94"/>
      <c r="P321" s="94"/>
      <c r="Q321" s="94"/>
      <c r="R321" s="134"/>
      <c r="S321" s="87" t="n">
        <f>VLOOKUP(C321,$B$3:$X$358,MATCH(S$2,$B$2:$X$2,0),0)</f>
        <v>0.7</v>
      </c>
      <c r="T321" s="15" t="n">
        <f t="shared" si="132"/>
        <v>2.4479999999999998E-2</v>
      </c>
      <c r="U321" s="157" t="n">
        <f t="shared" si="132"/>
        <v>71</v>
      </c>
      <c r="V321" s="157" t="n">
        <f t="shared" si="132"/>
        <v>0</v>
      </c>
      <c r="W321" s="132" t="n">
        <f t="shared" si="132"/>
        <v>130</v>
      </c>
      <c r="X321" s="132" t="n">
        <f t="shared" si="132"/>
        <v>0</v>
      </c>
      <c r="Y321" s="66"/>
      <c r="Z321" s="66"/>
      <c r="AA321" s="66"/>
      <c r="AB321" s="66"/>
      <c r="AC321" s="66"/>
      <c r="AD321" s="171"/>
      <c r="AE321" s="171"/>
      <c r="AF321" s="171"/>
      <c r="AG321" s="171"/>
      <c r="AH321" s="171"/>
      <c r="AI321" s="153" t="n">
        <f t="shared" ref="AI321:AI327" si="133">0.01968/G321</f>
        <v>6.6262626262626245E-2</v>
      </c>
      <c r="AJ321" s="15" t="n">
        <v>2.5906735751295335E-2</v>
      </c>
      <c r="AK321" s="121" t="n">
        <v>6.7357512953367879E-3</v>
      </c>
      <c r="AL321" s="121" t="n">
        <v>0.5</v>
      </c>
      <c r="AM321" s="153"/>
      <c r="AN321" s="153"/>
      <c r="AO321" s="153"/>
      <c r="AP321" s="153" t="s">
        <v>4</v>
      </c>
      <c r="AQ321" s="121" t="s">
        <v>4</v>
      </c>
      <c r="AR321" s="84"/>
      <c r="AS321" s="148"/>
      <c r="AT321" s="84"/>
      <c r="AU321" s="84"/>
      <c r="AV321" s="84"/>
      <c r="AW321" s="5"/>
      <c r="AX321" s="84"/>
      <c r="AY321" s="84"/>
      <c r="AZ321" t="n">
        <v>0.7</v>
      </c>
      <c r="BA321" s="156" t="n">
        <f>BA322</f>
        <v>0</v>
      </c>
      <c r="BB321" s="156" t="n">
        <f t="shared" ref="BB321:BP321" si="134">BB322</f>
        <v>26.6</v>
      </c>
      <c r="BC321" s="156" t="n">
        <f t="shared" si="134"/>
        <v>26.299999999999997</v>
      </c>
      <c r="BD321" s="156" t="n">
        <f t="shared" si="134"/>
        <v>43.7</v>
      </c>
      <c r="BE321" s="156" t="n">
        <f t="shared" si="134"/>
        <v>0.5</v>
      </c>
      <c r="BF321" s="156" t="n">
        <f t="shared" si="134"/>
        <v>7.4</v>
      </c>
      <c r="BG321" s="156" t="n">
        <f t="shared" si="134"/>
        <v>14</v>
      </c>
      <c r="BH321" s="156" t="n">
        <f t="shared" si="134"/>
        <v>224</v>
      </c>
      <c r="BI321" s="156" t="n">
        <f t="shared" si="134"/>
        <v>0</v>
      </c>
      <c r="BJ321" s="156" t="n">
        <f t="shared" si="134"/>
        <v>3.4000000000000004</v>
      </c>
      <c r="BK321" s="156" t="n">
        <f t="shared" si="134"/>
        <v>0</v>
      </c>
      <c r="BL321" s="156" t="n">
        <f t="shared" si="134"/>
        <v>40</v>
      </c>
      <c r="BM321" s="156" t="n">
        <f t="shared" si="134"/>
        <v>0</v>
      </c>
      <c r="BN321" s="156" t="n">
        <f t="shared" si="134"/>
        <v>1</v>
      </c>
      <c r="BO321" s="156" t="n">
        <f t="shared" si="134"/>
        <v>0</v>
      </c>
      <c r="BP321" s="156" t="n">
        <f t="shared" si="134"/>
        <v>0</v>
      </c>
      <c r="BQ321" s="110"/>
    </row>
    <row r="322">
      <c r="A322" s="84"/>
      <c r="B322" s="84" t="s">
        <v>51</v>
      </c>
      <c r="C322" s="84"/>
      <c r="D322" s="142" t="s">
        <v>33</v>
      </c>
      <c r="E322" s="142"/>
      <c r="F322" s="94"/>
      <c r="G322" s="89" t="n">
        <v>0.29700000000000004</v>
      </c>
      <c r="H322" s="89"/>
      <c r="I322" s="44"/>
      <c r="J322" s="44"/>
      <c r="K322" s="166"/>
      <c r="L322" s="166"/>
      <c r="M322" s="166" t="n">
        <v>5.8680999999999992</v>
      </c>
      <c r="N322" s="166"/>
      <c r="O322" s="94"/>
      <c r="P322" s="94"/>
      <c r="Q322" s="94"/>
      <c r="R322" s="134"/>
      <c r="S322" s="89" t="n">
        <f>VLOOKUP($B322,Conversores_Dieta!$B$4:$J$164,Coefs!S$292,0)</f>
        <v>0.7</v>
      </c>
      <c r="T322" s="130" t="n">
        <f>VLOOKUP($B322,Conversores_Dieta!$B$4:$J$164,Coefs!T$292,0)</f>
        <v>2.4479999999999998E-2</v>
      </c>
      <c r="U322" s="166" t="n">
        <f>VLOOKUP($B322,Conversores_Dieta!$B$4:$J$164,Coefs!U$292,0)</f>
        <v>71</v>
      </c>
      <c r="V322" s="166" t="n">
        <f>VLOOKUP($B322,Conversores_Dieta!$B$4:$J$164,Coefs!V$292,0)</f>
        <v>0</v>
      </c>
      <c r="W322" s="21" t="n">
        <f>VLOOKUP($B322,Conversores_Dieta!$B$4:$J$164,Coefs!W$292,0)</f>
        <v>130</v>
      </c>
      <c r="X322" s="21" t="n">
        <f>VLOOKUP($B322,Conversores_Dieta!$B$4:$J$164,Coefs!X$292,0)</f>
        <v>0</v>
      </c>
      <c r="Y322" s="67"/>
      <c r="Z322" s="67"/>
      <c r="AA322" s="67"/>
      <c r="AB322" s="67"/>
      <c r="AC322" s="67"/>
      <c r="AD322" s="171"/>
      <c r="AE322" s="171"/>
      <c r="AF322" s="171"/>
      <c r="AG322" s="171"/>
      <c r="AH322" s="171"/>
      <c r="AI322" s="153" t="n">
        <f t="shared" si="133"/>
        <v>6.6262626262626245E-2</v>
      </c>
      <c r="AJ322" s="130" t="n">
        <v>2.5906735751295335E-2</v>
      </c>
      <c r="AK322" s="153" t="n">
        <v>6.7357512953367879E-3</v>
      </c>
      <c r="AL322" s="121" t="n">
        <v>0.5</v>
      </c>
      <c r="AM322" s="153"/>
      <c r="AN322" s="153"/>
      <c r="AO322" s="153"/>
      <c r="AP322" s="153" t="s">
        <v>4</v>
      </c>
      <c r="AQ322" s="121" t="s">
        <v>4</v>
      </c>
      <c r="AR322" s="84"/>
      <c r="AS322" s="148"/>
      <c r="AT322" s="84"/>
      <c r="AU322" s="84"/>
      <c r="AV322" s="84"/>
      <c r="AW322" s="5"/>
      <c r="AX322" s="84"/>
      <c r="AY322" s="84"/>
      <c r="AZ322" t="n">
        <v>0.7</v>
      </c>
      <c r="BA322" t="n">
        <v>0</v>
      </c>
      <c r="BB322" t="n">
        <v>26.6</v>
      </c>
      <c r="BC322" t="n">
        <v>26.299999999999997</v>
      </c>
      <c r="BD322" t="n">
        <v>43.7</v>
      </c>
      <c r="BE322" s="83" t="n">
        <v>0.5</v>
      </c>
      <c r="BF322" t="n">
        <v>7.4</v>
      </c>
      <c r="BG322" t="n">
        <v>14</v>
      </c>
      <c r="BH322" t="n">
        <v>224</v>
      </c>
      <c r="BI322" t="n">
        <v>0</v>
      </c>
      <c r="BJ322" t="n">
        <v>3.4000000000000004</v>
      </c>
      <c r="BK322" t="n">
        <v>0</v>
      </c>
      <c r="BL322" t="n">
        <v>40</v>
      </c>
      <c r="BM322" t="n">
        <v>0</v>
      </c>
      <c r="BN322" t="n">
        <v>1</v>
      </c>
      <c r="BO322" t="n">
        <v>0</v>
      </c>
      <c r="BP322" t="n">
        <v>0</v>
      </c>
      <c r="BQ322" s="110"/>
    </row>
    <row r="323">
      <c r="A323" s="84"/>
      <c r="B323" s="84" t="s">
        <v>50</v>
      </c>
      <c r="C323" s="84" t="s">
        <v>51</v>
      </c>
      <c r="D323" s="142" t="s">
        <v>33</v>
      </c>
      <c r="E323" s="142"/>
      <c r="F323" s="94"/>
      <c r="G323" s="89" t="n">
        <v>0.246</v>
      </c>
      <c r="H323" s="89"/>
      <c r="I323" s="44"/>
      <c r="J323" s="44"/>
      <c r="K323" s="166"/>
      <c r="L323" s="166"/>
      <c r="M323" s="166" t="n">
        <v>6.1059999999999999</v>
      </c>
      <c r="N323" s="166"/>
      <c r="O323" s="94"/>
      <c r="P323" s="94"/>
      <c r="Q323" s="94"/>
      <c r="R323" s="134"/>
      <c r="S323" s="87" t="n">
        <f t="shared" ref="S323:S330" si="135">VLOOKUP(C323,$B$3:$X$358,MATCH(S$2,$B$2:$X$2,0),0)</f>
        <v>0.7</v>
      </c>
      <c r="T323" s="15" t="n">
        <f t="shared" ref="T323:X330" si="136">VLOOKUP($C323,$B$3:$X$358,MATCH(T$2,$B$2:$X$2,0),0)*$G323/VLOOKUP($C323,$B$3:$X$358,MATCH($G$2,$B$2:$X$2,0),0)</f>
        <v>2.0276363636363631E-2</v>
      </c>
      <c r="U323" s="157" t="n">
        <f t="shared" si="136"/>
        <v>58.808080808080803</v>
      </c>
      <c r="V323" s="157" t="n">
        <f t="shared" si="136"/>
        <v>0</v>
      </c>
      <c r="W323" s="132" t="n">
        <f t="shared" si="136"/>
        <v>107.67676767676767</v>
      </c>
      <c r="X323" s="132" t="n">
        <f t="shared" si="136"/>
        <v>0</v>
      </c>
      <c r="Y323" s="66"/>
      <c r="Z323" s="66"/>
      <c r="AA323" s="66"/>
      <c r="AB323" s="66"/>
      <c r="AC323" s="66"/>
      <c r="AD323" s="171"/>
      <c r="AE323" s="171"/>
      <c r="AF323" s="171"/>
      <c r="AG323" s="171"/>
      <c r="AH323" s="171"/>
      <c r="AI323" s="153" t="n">
        <f t="shared" si="133"/>
        <v>0.08</v>
      </c>
      <c r="AJ323" s="15" t="n">
        <v>2.5906735751295335E-2</v>
      </c>
      <c r="AK323" s="121" t="n">
        <v>6.7357512953367879E-3</v>
      </c>
      <c r="AL323" s="121" t="n">
        <v>0.5</v>
      </c>
      <c r="AM323" s="153"/>
      <c r="AN323" s="153"/>
      <c r="AO323" s="153"/>
      <c r="AP323" s="153" t="s">
        <v>4</v>
      </c>
      <c r="AQ323" s="121" t="s">
        <v>4</v>
      </c>
      <c r="AR323" s="84"/>
      <c r="AS323" s="148"/>
      <c r="AT323" s="84"/>
      <c r="AU323" s="84"/>
      <c r="AV323" s="84"/>
      <c r="AW323" s="5"/>
      <c r="AX323" s="84"/>
      <c r="AY323" s="84"/>
      <c r="AZ323" t="n">
        <v>0.7</v>
      </c>
      <c r="BA323" s="156" t="n">
        <f>BA$322</f>
        <v>0</v>
      </c>
      <c r="BB323" s="156" t="n">
        <f t="shared" ref="BB323:BP323" si="137">BB$322</f>
        <v>26.6</v>
      </c>
      <c r="BC323" s="156" t="n">
        <f t="shared" si="137"/>
        <v>26.299999999999997</v>
      </c>
      <c r="BD323" s="156" t="n">
        <f t="shared" si="137"/>
        <v>43.7</v>
      </c>
      <c r="BE323" s="156" t="n">
        <f t="shared" si="137"/>
        <v>0.5</v>
      </c>
      <c r="BF323" s="156" t="n">
        <f t="shared" si="137"/>
        <v>7.4</v>
      </c>
      <c r="BG323" s="156" t="n">
        <f t="shared" si="137"/>
        <v>14</v>
      </c>
      <c r="BH323" s="156" t="n">
        <f t="shared" si="137"/>
        <v>224</v>
      </c>
      <c r="BI323" s="156" t="n">
        <f t="shared" si="137"/>
        <v>0</v>
      </c>
      <c r="BJ323" s="156" t="n">
        <f t="shared" si="137"/>
        <v>3.4000000000000004</v>
      </c>
      <c r="BK323" s="156" t="n">
        <f t="shared" si="137"/>
        <v>0</v>
      </c>
      <c r="BL323" s="156" t="n">
        <f t="shared" si="137"/>
        <v>40</v>
      </c>
      <c r="BM323" s="156" t="n">
        <f t="shared" si="137"/>
        <v>0</v>
      </c>
      <c r="BN323" s="156" t="n">
        <f t="shared" si="137"/>
        <v>1</v>
      </c>
      <c r="BO323" s="156" t="n">
        <f t="shared" si="137"/>
        <v>0</v>
      </c>
      <c r="BP323" s="156" t="n">
        <f t="shared" si="137"/>
        <v>0</v>
      </c>
      <c r="BQ323" s="110"/>
    </row>
    <row r="324">
      <c r="A324" s="84"/>
      <c r="B324" s="84" t="s">
        <v>49</v>
      </c>
      <c r="C324" s="84" t="s">
        <v>51</v>
      </c>
      <c r="D324" s="142" t="s">
        <v>33</v>
      </c>
      <c r="E324" s="142"/>
      <c r="F324" s="94"/>
      <c r="G324" s="89" t="n">
        <v>0.24099999999999999</v>
      </c>
      <c r="H324" s="89"/>
      <c r="I324" s="44"/>
      <c r="J324" s="44"/>
      <c r="K324" s="166"/>
      <c r="L324" s="166"/>
      <c r="M324" s="166" t="n">
        <v>5.8949999999999996</v>
      </c>
      <c r="N324" s="166"/>
      <c r="O324" s="94"/>
      <c r="P324" s="94"/>
      <c r="Q324" s="94"/>
      <c r="R324" s="134"/>
      <c r="S324" s="87" t="n">
        <f t="shared" si="135"/>
        <v>0.7</v>
      </c>
      <c r="T324" s="15" t="n">
        <f t="shared" si="136"/>
        <v>1.986424242424242E-2</v>
      </c>
      <c r="U324" s="157" t="n">
        <f t="shared" si="136"/>
        <v>57.612794612794609</v>
      </c>
      <c r="V324" s="157" t="n">
        <f t="shared" si="136"/>
        <v>0</v>
      </c>
      <c r="W324" s="132" t="n">
        <f t="shared" si="136"/>
        <v>105.48821548821547</v>
      </c>
      <c r="X324" s="132" t="n">
        <f t="shared" si="136"/>
        <v>0</v>
      </c>
      <c r="Y324" s="66"/>
      <c r="Z324" s="66"/>
      <c r="AA324" s="66"/>
      <c r="AB324" s="66"/>
      <c r="AC324" s="66"/>
      <c r="AD324" s="171"/>
      <c r="AE324" s="171"/>
      <c r="AF324" s="171"/>
      <c r="AG324" s="171"/>
      <c r="AH324" s="171"/>
      <c r="AI324" s="153" t="n">
        <f t="shared" si="133"/>
        <v>8.1659751037344394E-2</v>
      </c>
      <c r="AJ324" s="15" t="n">
        <v>2.5906735751295335E-2</v>
      </c>
      <c r="AK324" s="121" t="n">
        <v>6.7357512953367879E-3</v>
      </c>
      <c r="AL324" s="121" t="n">
        <v>0.5</v>
      </c>
      <c r="AM324" s="153"/>
      <c r="AN324" s="153"/>
      <c r="AO324" s="153"/>
      <c r="AP324" s="153" t="s">
        <v>4</v>
      </c>
      <c r="AQ324" s="121" t="s">
        <v>4</v>
      </c>
      <c r="AR324" s="84"/>
      <c r="AS324" s="148"/>
      <c r="AT324" s="84"/>
      <c r="AU324" s="84"/>
      <c r="AV324" s="84"/>
      <c r="AW324" s="5"/>
      <c r="AX324" s="84"/>
      <c r="AY324" s="84"/>
      <c r="AZ324" t="n">
        <v>0.7</v>
      </c>
      <c r="BA324" s="156" t="n">
        <f t="shared" ref="BA324:BP326" si="138">BA$327</f>
        <v>0</v>
      </c>
      <c r="BB324" s="156" t="n">
        <f t="shared" si="138"/>
        <v>21.7</v>
      </c>
      <c r="BC324" s="156" t="n">
        <f t="shared" si="138"/>
        <v>29.900000000000002</v>
      </c>
      <c r="BD324" s="156" t="n">
        <f t="shared" si="138"/>
        <v>24.4</v>
      </c>
      <c r="BE324" s="156" t="n">
        <f t="shared" si="138"/>
        <v>0.5</v>
      </c>
      <c r="BF324" s="156" t="n">
        <f t="shared" si="138"/>
        <v>9.8000000000000007</v>
      </c>
      <c r="BG324" s="156" t="n">
        <f t="shared" si="138"/>
        <v>0</v>
      </c>
      <c r="BH324" s="156" t="n">
        <f t="shared" si="138"/>
        <v>0</v>
      </c>
      <c r="BI324" s="156" t="n">
        <f t="shared" si="138"/>
        <v>0</v>
      </c>
      <c r="BJ324" s="156" t="n">
        <f t="shared" si="138"/>
        <v>20</v>
      </c>
      <c r="BK324" s="156" t="n">
        <f t="shared" si="138"/>
        <v>0</v>
      </c>
      <c r="BL324" s="156" t="n">
        <f t="shared" si="138"/>
        <v>160</v>
      </c>
      <c r="BM324" s="156" t="n">
        <f t="shared" si="138"/>
        <v>0</v>
      </c>
      <c r="BN324" s="156" t="n">
        <f t="shared" si="138"/>
        <v>0</v>
      </c>
      <c r="BO324" s="156" t="n">
        <f t="shared" si="138"/>
        <v>0</v>
      </c>
      <c r="BP324" s="156" t="n">
        <f t="shared" si="138"/>
        <v>0</v>
      </c>
      <c r="BQ324" s="110"/>
    </row>
    <row r="325">
      <c r="A325" s="84"/>
      <c r="B325" s="84" t="s">
        <v>48</v>
      </c>
      <c r="C325" s="84" t="s">
        <v>51</v>
      </c>
      <c r="D325" s="142" t="s">
        <v>33</v>
      </c>
      <c r="E325" s="142"/>
      <c r="F325" s="94"/>
      <c r="G325" s="89" t="n">
        <v>0.27300000000000002</v>
      </c>
      <c r="H325" s="89"/>
      <c r="I325" s="44"/>
      <c r="J325" s="44"/>
      <c r="K325" s="166"/>
      <c r="L325" s="166"/>
      <c r="M325" s="166" t="n">
        <v>5.6294759999999995</v>
      </c>
      <c r="N325" s="166"/>
      <c r="O325" s="94"/>
      <c r="P325" s="94"/>
      <c r="Q325" s="94"/>
      <c r="R325" s="134"/>
      <c r="S325" s="87" t="n">
        <f t="shared" si="135"/>
        <v>0.7</v>
      </c>
      <c r="T325" s="15" t="n">
        <f t="shared" si="136"/>
        <v>2.2501818181818178E-2</v>
      </c>
      <c r="U325" s="157" t="n">
        <f t="shared" si="136"/>
        <v>65.262626262626256</v>
      </c>
      <c r="V325" s="157" t="n">
        <f t="shared" si="136"/>
        <v>0</v>
      </c>
      <c r="W325" s="132" t="n">
        <f t="shared" si="136"/>
        <v>119.49494949494948</v>
      </c>
      <c r="X325" s="132" t="n">
        <f t="shared" si="136"/>
        <v>0</v>
      </c>
      <c r="Y325" s="66"/>
      <c r="Z325" s="66"/>
      <c r="AA325" s="66"/>
      <c r="AB325" s="66"/>
      <c r="AC325" s="66"/>
      <c r="AD325" s="171"/>
      <c r="AE325" s="171"/>
      <c r="AF325" s="171"/>
      <c r="AG325" s="171"/>
      <c r="AH325" s="171"/>
      <c r="AI325" s="153" t="n">
        <f t="shared" si="133"/>
        <v>7.2087912087912084E-2</v>
      </c>
      <c r="AJ325" s="15" t="n">
        <v>2.5906735751295335E-2</v>
      </c>
      <c r="AK325" s="121" t="n">
        <v>6.7357512953367879E-3</v>
      </c>
      <c r="AL325" s="121" t="n">
        <v>0.5</v>
      </c>
      <c r="AM325" s="153"/>
      <c r="AN325" s="153"/>
      <c r="AO325" s="153"/>
      <c r="AP325" s="153" t="s">
        <v>4</v>
      </c>
      <c r="AQ325" s="121" t="s">
        <v>4</v>
      </c>
      <c r="AR325" s="84"/>
      <c r="AS325" s="148"/>
      <c r="AT325" s="84"/>
      <c r="AU325" s="84"/>
      <c r="AV325" s="84"/>
      <c r="AW325" s="5"/>
      <c r="AX325" s="84"/>
      <c r="AY325" s="84"/>
      <c r="AZ325" t="n">
        <v>0.7</v>
      </c>
      <c r="BA325" s="156" t="n">
        <f t="shared" si="138"/>
        <v>0</v>
      </c>
      <c r="BB325" s="156" t="n">
        <f t="shared" si="138"/>
        <v>21.7</v>
      </c>
      <c r="BC325" s="156" t="n">
        <f t="shared" si="138"/>
        <v>29.900000000000002</v>
      </c>
      <c r="BD325" s="156" t="n">
        <f t="shared" si="138"/>
        <v>24.4</v>
      </c>
      <c r="BE325" s="156" t="n">
        <f t="shared" si="138"/>
        <v>0.5</v>
      </c>
      <c r="BF325" s="156" t="n">
        <f t="shared" si="138"/>
        <v>9.8000000000000007</v>
      </c>
      <c r="BG325" s="156" t="n">
        <f t="shared" si="138"/>
        <v>0</v>
      </c>
      <c r="BH325" s="156" t="n">
        <f t="shared" si="138"/>
        <v>0</v>
      </c>
      <c r="BI325" s="156" t="n">
        <f t="shared" si="138"/>
        <v>0</v>
      </c>
      <c r="BJ325" s="156" t="n">
        <f t="shared" si="138"/>
        <v>20</v>
      </c>
      <c r="BK325" s="156" t="n">
        <f t="shared" si="138"/>
        <v>0</v>
      </c>
      <c r="BL325" s="156" t="n">
        <f t="shared" si="138"/>
        <v>160</v>
      </c>
      <c r="BM325" s="156" t="n">
        <f t="shared" si="138"/>
        <v>0</v>
      </c>
      <c r="BN325" s="156" t="n">
        <f t="shared" si="138"/>
        <v>0</v>
      </c>
      <c r="BO325" s="156" t="n">
        <f t="shared" si="138"/>
        <v>0</v>
      </c>
      <c r="BP325" s="156" t="n">
        <f t="shared" si="138"/>
        <v>0</v>
      </c>
      <c r="BQ325" s="110"/>
    </row>
    <row r="326">
      <c r="A326" s="84"/>
      <c r="B326" s="84" t="s">
        <v>47</v>
      </c>
      <c r="C326" s="84" t="s">
        <v>51</v>
      </c>
      <c r="D326" s="142" t="s">
        <v>33</v>
      </c>
      <c r="E326" s="142"/>
      <c r="F326" s="94"/>
      <c r="G326" s="89" t="n">
        <v>0.23299999999999998</v>
      </c>
      <c r="H326" s="89"/>
      <c r="I326" s="44"/>
      <c r="J326" s="44"/>
      <c r="K326" s="166"/>
      <c r="L326" s="166"/>
      <c r="M326" s="166" t="n">
        <v>5.5830000000000011</v>
      </c>
      <c r="N326" s="166"/>
      <c r="O326" s="94"/>
      <c r="P326" s="94"/>
      <c r="Q326" s="94"/>
      <c r="R326" s="134"/>
      <c r="S326" s="87" t="n">
        <f t="shared" si="135"/>
        <v>0.7</v>
      </c>
      <c r="T326" s="15" t="n">
        <f t="shared" si="136"/>
        <v>1.9204848484848477E-2</v>
      </c>
      <c r="U326" s="157" t="n">
        <f t="shared" si="136"/>
        <v>55.700336700336692</v>
      </c>
      <c r="V326" s="157" t="n">
        <f t="shared" si="136"/>
        <v>0</v>
      </c>
      <c r="W326" s="132" t="n">
        <f t="shared" si="136"/>
        <v>101.98653198653197</v>
      </c>
      <c r="X326" s="132" t="n">
        <f t="shared" si="136"/>
        <v>0</v>
      </c>
      <c r="Y326" s="66"/>
      <c r="Z326" s="66"/>
      <c r="AA326" s="66"/>
      <c r="AB326" s="66"/>
      <c r="AC326" s="66"/>
      <c r="AD326" s="171"/>
      <c r="AE326" s="171"/>
      <c r="AF326" s="171"/>
      <c r="AG326" s="171"/>
      <c r="AH326" s="171"/>
      <c r="AI326" s="153" t="n">
        <f t="shared" si="133"/>
        <v>8.446351931330473E-2</v>
      </c>
      <c r="AJ326" s="15" t="n">
        <v>2.5906735751295335E-2</v>
      </c>
      <c r="AK326" s="121" t="n">
        <v>6.7357512953367879E-3</v>
      </c>
      <c r="AL326" s="121" t="n">
        <v>0.5</v>
      </c>
      <c r="AM326" s="153"/>
      <c r="AN326" s="153"/>
      <c r="AO326" s="153"/>
      <c r="AP326" s="153" t="s">
        <v>4</v>
      </c>
      <c r="AQ326" s="121" t="s">
        <v>4</v>
      </c>
      <c r="AR326" s="84"/>
      <c r="AS326" s="148"/>
      <c r="AT326" s="84"/>
      <c r="AU326" s="84"/>
      <c r="AV326" s="84"/>
      <c r="AW326" s="5"/>
      <c r="AX326" s="84"/>
      <c r="AY326" s="84"/>
      <c r="AZ326" t="n">
        <v>0.7</v>
      </c>
      <c r="BA326" s="156" t="n">
        <f>BA$327</f>
        <v>0</v>
      </c>
      <c r="BB326" s="156" t="n">
        <f t="shared" si="138"/>
        <v>21.7</v>
      </c>
      <c r="BC326" s="156" t="n">
        <f t="shared" si="138"/>
        <v>29.900000000000002</v>
      </c>
      <c r="BD326" s="156" t="n">
        <f t="shared" si="138"/>
        <v>24.4</v>
      </c>
      <c r="BE326" s="156" t="n">
        <f t="shared" si="138"/>
        <v>0.5</v>
      </c>
      <c r="BF326" s="156" t="n">
        <f t="shared" si="138"/>
        <v>9.8000000000000007</v>
      </c>
      <c r="BG326" s="156" t="n">
        <f t="shared" si="138"/>
        <v>0</v>
      </c>
      <c r="BH326" s="156" t="n">
        <f t="shared" si="138"/>
        <v>0</v>
      </c>
      <c r="BI326" s="156" t="n">
        <f t="shared" si="138"/>
        <v>0</v>
      </c>
      <c r="BJ326" s="156" t="n">
        <f t="shared" si="138"/>
        <v>20</v>
      </c>
      <c r="BK326" s="156" t="n">
        <f t="shared" si="138"/>
        <v>0</v>
      </c>
      <c r="BL326" s="156" t="n">
        <f t="shared" si="138"/>
        <v>160</v>
      </c>
      <c r="BM326" s="156" t="n">
        <f t="shared" si="138"/>
        <v>0</v>
      </c>
      <c r="BN326" s="156" t="n">
        <f t="shared" si="138"/>
        <v>0</v>
      </c>
      <c r="BO326" s="156" t="n">
        <f t="shared" si="138"/>
        <v>0</v>
      </c>
      <c r="BP326" s="156" t="n">
        <f t="shared" si="138"/>
        <v>0</v>
      </c>
      <c r="BQ326" s="110"/>
    </row>
    <row r="327">
      <c r="A327" s="84"/>
      <c r="B327" s="84" t="s">
        <v>46</v>
      </c>
      <c r="C327" s="84" t="s">
        <v>51</v>
      </c>
      <c r="D327" s="142" t="s">
        <v>33</v>
      </c>
      <c r="E327" s="142"/>
      <c r="F327" s="94"/>
      <c r="G327" s="89" t="n">
        <v>0.24299999999999999</v>
      </c>
      <c r="H327" s="89"/>
      <c r="I327" s="44"/>
      <c r="J327" s="44"/>
      <c r="K327" s="166"/>
      <c r="L327" s="166"/>
      <c r="M327" s="166" t="n">
        <v>3.4046099999999999</v>
      </c>
      <c r="N327" s="166"/>
      <c r="O327" s="94"/>
      <c r="P327" s="94"/>
      <c r="Q327" s="94"/>
      <c r="R327" s="134"/>
      <c r="S327" s="87" t="n">
        <f t="shared" si="135"/>
        <v>0.7</v>
      </c>
      <c r="T327" s="15" t="n">
        <f t="shared" si="136"/>
        <v>2.0029090909090906E-2</v>
      </c>
      <c r="U327" s="157" t="n">
        <f t="shared" si="136"/>
        <v>58.090909090909086</v>
      </c>
      <c r="V327" s="157" t="n">
        <f t="shared" si="136"/>
        <v>0</v>
      </c>
      <c r="W327" s="132" t="n">
        <f t="shared" si="136"/>
        <v>106.36363636363635</v>
      </c>
      <c r="X327" s="132" t="n">
        <f t="shared" si="136"/>
        <v>0</v>
      </c>
      <c r="Y327" s="66"/>
      <c r="Z327" s="66"/>
      <c r="AA327" s="66"/>
      <c r="AB327" s="66"/>
      <c r="AC327" s="66"/>
      <c r="AD327" s="171"/>
      <c r="AE327" s="171"/>
      <c r="AF327" s="171"/>
      <c r="AG327" s="171"/>
      <c r="AH327" s="171"/>
      <c r="AI327" s="153" t="n">
        <f t="shared" si="133"/>
        <v>8.0987654320987659E-2</v>
      </c>
      <c r="AJ327" s="15" t="n">
        <v>2.5906735751295335E-2</v>
      </c>
      <c r="AK327" s="121" t="n">
        <v>6.7357512953367879E-3</v>
      </c>
      <c r="AL327" s="121" t="n">
        <v>0.5</v>
      </c>
      <c r="AM327" s="153"/>
      <c r="AN327" s="153"/>
      <c r="AO327" s="153"/>
      <c r="AP327" s="153" t="s">
        <v>4</v>
      </c>
      <c r="AQ327" s="121" t="s">
        <v>4</v>
      </c>
      <c r="AR327" s="84"/>
      <c r="AS327" s="148"/>
      <c r="AT327" s="84"/>
      <c r="AU327" s="84"/>
      <c r="AV327" s="84"/>
      <c r="AW327" s="5"/>
      <c r="AX327" s="84"/>
      <c r="AY327" s="84"/>
      <c r="AZ327" t="n">
        <v>0.7</v>
      </c>
      <c r="BA327" t="n">
        <v>0</v>
      </c>
      <c r="BB327" t="n">
        <v>21.7</v>
      </c>
      <c r="BC327" t="n">
        <v>29.900000000000002</v>
      </c>
      <c r="BD327" t="n">
        <v>24.4</v>
      </c>
      <c r="BE327" s="83" t="n">
        <f>BE322</f>
        <v>0.5</v>
      </c>
      <c r="BF327" t="n">
        <v>9.8000000000000007</v>
      </c>
      <c r="BG327" t="n">
        <v>0</v>
      </c>
      <c r="BH327" t="n">
        <v>0</v>
      </c>
      <c r="BI327" t="n">
        <v>0</v>
      </c>
      <c r="BJ327" t="n">
        <v>20</v>
      </c>
      <c r="BK327" t="n">
        <v>0</v>
      </c>
      <c r="BL327" t="n">
        <v>160</v>
      </c>
      <c r="BM327" t="n">
        <v>0</v>
      </c>
      <c r="BN327" t="n">
        <v>0</v>
      </c>
      <c r="BO327" t="n">
        <v>0</v>
      </c>
      <c r="BP327" t="n">
        <v>0</v>
      </c>
      <c r="BQ327" s="110"/>
    </row>
    <row r="328">
      <c r="A328" s="84"/>
      <c r="B328" s="84" t="s">
        <v>45</v>
      </c>
      <c r="C328" s="84" t="s">
        <v>32</v>
      </c>
      <c r="D328" s="142" t="s">
        <v>33</v>
      </c>
      <c r="E328" s="142"/>
      <c r="F328" s="94"/>
      <c r="G328" s="89" t="n">
        <v>0.27600000000000002</v>
      </c>
      <c r="H328" s="89"/>
      <c r="I328" s="44"/>
      <c r="J328" s="44"/>
      <c r="K328" s="166"/>
      <c r="L328" s="166"/>
      <c r="M328" s="166" t="n">
        <v>4.6045999999999996</v>
      </c>
      <c r="N328" s="166"/>
      <c r="O328" s="94"/>
      <c r="P328" s="94"/>
      <c r="Q328" s="94"/>
      <c r="R328" s="134"/>
      <c r="S328" s="87" t="n">
        <f t="shared" si="135"/>
        <v>0.98077253218884097</v>
      </c>
      <c r="T328" s="15" t="n">
        <f t="shared" si="136"/>
        <v>1.2381308411214955E-2</v>
      </c>
      <c r="U328" s="157" t="n">
        <f t="shared" si="136"/>
        <v>110.65794392523365</v>
      </c>
      <c r="V328" s="157" t="n">
        <f t="shared" si="136"/>
        <v>0</v>
      </c>
      <c r="W328" s="132" t="n">
        <f t="shared" si="136"/>
        <v>49.203080502186019</v>
      </c>
      <c r="X328" s="132" t="n">
        <f t="shared" si="136"/>
        <v>3.7363122217319797</v>
      </c>
      <c r="Y328" s="66"/>
      <c r="Z328" s="66"/>
      <c r="AA328" s="66"/>
      <c r="AB328" s="66"/>
      <c r="AC328" s="66"/>
      <c r="AD328" s="171"/>
      <c r="AE328" s="171"/>
      <c r="AF328" s="171"/>
      <c r="AG328" s="171"/>
      <c r="AH328" s="171"/>
      <c r="AI328" s="153" t="n">
        <f>0.027/G328</f>
        <v>9.7826086956521729E-2</v>
      </c>
      <c r="AJ328" s="130"/>
      <c r="AK328" s="153"/>
      <c r="AL328" s="121" t="n">
        <v>0.5</v>
      </c>
      <c r="AM328" s="153"/>
      <c r="AN328" s="153"/>
      <c r="AO328" s="153"/>
      <c r="AP328" s="153" t="s">
        <v>4</v>
      </c>
      <c r="AQ328" s="121" t="s">
        <v>4</v>
      </c>
      <c r="AR328" s="84"/>
      <c r="AS328" s="148"/>
      <c r="AT328" s="84"/>
      <c r="AU328" s="84"/>
      <c r="AV328" s="84"/>
      <c r="AW328" s="5"/>
      <c r="AX328" s="84"/>
      <c r="AY328" s="84"/>
      <c r="AZ328" t="n">
        <v>0.7</v>
      </c>
      <c r="BA328" s="156" t="n">
        <f>BA$331</f>
        <v>0</v>
      </c>
      <c r="BB328" s="156" t="n">
        <f t="shared" ref="BB328:BP328" si="139">BB$331</f>
        <v>74.3</v>
      </c>
      <c r="BC328" s="156" t="n">
        <f t="shared" si="139"/>
        <v>96.199999999999989</v>
      </c>
      <c r="BD328" s="156" t="n">
        <f t="shared" si="139"/>
        <v>35.099999999999994</v>
      </c>
      <c r="BE328" s="156" t="n">
        <f t="shared" si="139"/>
        <v>0.5</v>
      </c>
      <c r="BF328" s="156" t="n">
        <f t="shared" si="139"/>
        <v>13</v>
      </c>
      <c r="BG328" s="156" t="n">
        <f t="shared" si="139"/>
        <v>18</v>
      </c>
      <c r="BH328" s="156" t="n">
        <f t="shared" si="139"/>
        <v>180</v>
      </c>
      <c r="BI328" s="156" t="n">
        <f t="shared" si="139"/>
        <v>0</v>
      </c>
      <c r="BJ328" s="156" t="n">
        <f t="shared" si="139"/>
        <v>20</v>
      </c>
      <c r="BK328" s="156" t="n">
        <f t="shared" si="139"/>
        <v>0</v>
      </c>
      <c r="BL328" s="156" t="n">
        <f t="shared" si="139"/>
        <v>40</v>
      </c>
      <c r="BM328" s="156" t="n">
        <f t="shared" si="139"/>
        <v>0</v>
      </c>
      <c r="BN328" s="156" t="n">
        <f t="shared" si="139"/>
        <v>1</v>
      </c>
      <c r="BO328" s="156" t="n">
        <f t="shared" si="139"/>
        <v>0</v>
      </c>
      <c r="BP328" s="156" t="n">
        <f t="shared" si="139"/>
        <v>0</v>
      </c>
      <c r="BQ328" s="110"/>
    </row>
    <row r="329">
      <c r="A329" s="84"/>
      <c r="B329" s="84" t="s">
        <v>44</v>
      </c>
      <c r="C329" s="84" t="s">
        <v>32</v>
      </c>
      <c r="D329" s="142" t="s">
        <v>33</v>
      </c>
      <c r="E329" s="142"/>
      <c r="F329" s="94"/>
      <c r="G329" s="89" t="n">
        <v>0.22899999999999998</v>
      </c>
      <c r="H329" s="89"/>
      <c r="I329" s="44"/>
      <c r="J329" s="44"/>
      <c r="K329" s="166"/>
      <c r="L329" s="166"/>
      <c r="M329" s="166" t="n">
        <v>5.8109999999999999</v>
      </c>
      <c r="N329" s="166"/>
      <c r="O329" s="94"/>
      <c r="P329" s="94"/>
      <c r="Q329" s="94"/>
      <c r="R329" s="134"/>
      <c r="S329" s="87" t="n">
        <f t="shared" si="135"/>
        <v>0.98077253218884097</v>
      </c>
      <c r="T329" s="15" t="n">
        <f t="shared" si="136"/>
        <v>1.027289719626168E-2</v>
      </c>
      <c r="U329" s="157" t="n">
        <f t="shared" si="136"/>
        <v>91.814018691588785</v>
      </c>
      <c r="V329" s="157" t="n">
        <f t="shared" si="136"/>
        <v>0</v>
      </c>
      <c r="W329" s="132" t="n">
        <f t="shared" si="136"/>
        <v>40.824295054349989</v>
      </c>
      <c r="X329" s="132" t="n">
        <f t="shared" si="136"/>
        <v>3.1000561549877652</v>
      </c>
      <c r="Y329" s="66"/>
      <c r="Z329" s="66"/>
      <c r="AA329" s="66"/>
      <c r="AB329" s="66"/>
      <c r="AC329" s="66"/>
      <c r="AD329" s="171"/>
      <c r="AE329" s="171"/>
      <c r="AF329" s="171"/>
      <c r="AG329" s="171"/>
      <c r="AH329" s="171"/>
      <c r="AI329" s="121" t="n">
        <f>T329/G329</f>
        <v>4.4859813084112146E-2</v>
      </c>
      <c r="AJ329" s="130"/>
      <c r="AK329" s="153"/>
      <c r="AL329" s="121" t="n">
        <v>0.5</v>
      </c>
      <c r="AM329" s="153"/>
      <c r="AN329" s="153"/>
      <c r="AO329" s="153"/>
      <c r="AP329" s="153" t="s">
        <v>4</v>
      </c>
      <c r="AQ329" s="121" t="s">
        <v>4</v>
      </c>
      <c r="AR329" s="84"/>
      <c r="AS329" s="148"/>
      <c r="AT329" s="84"/>
      <c r="AU329" s="84"/>
      <c r="AV329" s="84"/>
      <c r="AW329" s="5"/>
      <c r="AX329" s="84"/>
      <c r="AY329" s="84"/>
      <c r="AZ329" t="n">
        <v>0.7</v>
      </c>
      <c r="BA329" s="156" t="n">
        <f t="shared" ref="BA329:BP338" si="140">BA$331</f>
        <v>0</v>
      </c>
      <c r="BB329" s="156" t="n">
        <f t="shared" si="140"/>
        <v>74.3</v>
      </c>
      <c r="BC329" s="156" t="n">
        <f t="shared" si="140"/>
        <v>96.199999999999989</v>
      </c>
      <c r="BD329" s="156" t="n">
        <f t="shared" si="140"/>
        <v>35.099999999999994</v>
      </c>
      <c r="BE329" s="156" t="n">
        <f t="shared" si="140"/>
        <v>0.5</v>
      </c>
      <c r="BF329" s="156" t="n">
        <f t="shared" si="140"/>
        <v>13</v>
      </c>
      <c r="BG329" s="156" t="n">
        <f t="shared" si="140"/>
        <v>18</v>
      </c>
      <c r="BH329" s="156" t="n">
        <f t="shared" si="140"/>
        <v>180</v>
      </c>
      <c r="BI329" s="156" t="n">
        <f t="shared" si="140"/>
        <v>0</v>
      </c>
      <c r="BJ329" s="156" t="n">
        <f t="shared" si="140"/>
        <v>20</v>
      </c>
      <c r="BK329" s="156" t="n">
        <f t="shared" si="140"/>
        <v>0</v>
      </c>
      <c r="BL329" s="156" t="n">
        <f t="shared" si="140"/>
        <v>40</v>
      </c>
      <c r="BM329" s="156" t="n">
        <f t="shared" si="140"/>
        <v>0</v>
      </c>
      <c r="BN329" s="156" t="n">
        <f t="shared" si="140"/>
        <v>1</v>
      </c>
      <c r="BO329" s="156" t="n">
        <f t="shared" si="140"/>
        <v>0</v>
      </c>
      <c r="BP329" s="156" t="n">
        <f t="shared" si="140"/>
        <v>0</v>
      </c>
      <c r="BQ329" s="110"/>
    </row>
    <row r="330">
      <c r="A330" s="84"/>
      <c r="B330" s="84" t="s">
        <v>43</v>
      </c>
      <c r="C330" s="84" t="s">
        <v>42</v>
      </c>
      <c r="D330" s="142" t="s">
        <v>33</v>
      </c>
      <c r="E330" s="142"/>
      <c r="F330" s="94"/>
      <c r="G330" s="89" t="n">
        <v>0.28300000000000003</v>
      </c>
      <c r="H330" s="89"/>
      <c r="I330" s="44"/>
      <c r="J330" s="44"/>
      <c r="K330" s="166"/>
      <c r="L330" s="166"/>
      <c r="M330" s="166" t="n">
        <v>7.8369999999999997</v>
      </c>
      <c r="N330" s="166"/>
      <c r="O330" s="94"/>
      <c r="P330" s="94"/>
      <c r="Q330" s="94"/>
      <c r="R330" s="134"/>
      <c r="S330" s="87" t="n">
        <f t="shared" si="135"/>
        <v>0.98077253218884097</v>
      </c>
      <c r="T330" s="15" t="n">
        <f t="shared" si="136"/>
        <v>1.1434343434343436E-2</v>
      </c>
      <c r="U330" s="157" t="n">
        <f t="shared" si="136"/>
        <v>102.19444444444444</v>
      </c>
      <c r="V330" s="157" t="n">
        <f t="shared" si="136"/>
        <v>0</v>
      </c>
      <c r="W330" s="132" t="n">
        <f t="shared" si="136"/>
        <v>45.439859973121763</v>
      </c>
      <c r="X330" s="132" t="n">
        <f t="shared" si="136"/>
        <v>3.4505462348809983</v>
      </c>
      <c r="Y330" s="66"/>
      <c r="Z330" s="66"/>
      <c r="AA330" s="66"/>
      <c r="AB330" s="66"/>
      <c r="AC330" s="66"/>
      <c r="AD330" s="171"/>
      <c r="AE330" s="171"/>
      <c r="AF330" s="171"/>
      <c r="AG330" s="171"/>
      <c r="AH330" s="171"/>
      <c r="AI330" s="121" t="n">
        <f t="shared" ref="AI330:AI338" si="141">0.02144/G330</f>
        <v>7.5759717314487621E-2</v>
      </c>
      <c r="AJ330" s="130"/>
      <c r="AK330" s="153"/>
      <c r="AL330" s="121" t="n">
        <v>0.5</v>
      </c>
      <c r="AM330" s="153"/>
      <c r="AN330" s="153"/>
      <c r="AO330" s="153"/>
      <c r="AP330" s="153" t="s">
        <v>4</v>
      </c>
      <c r="AQ330" s="121" t="s">
        <v>4</v>
      </c>
      <c r="AR330" s="84"/>
      <c r="AS330" s="148"/>
      <c r="AT330" s="84"/>
      <c r="AU330" s="84"/>
      <c r="AV330" s="84"/>
      <c r="AW330" s="5"/>
      <c r="AX330" s="84"/>
      <c r="AY330" s="84"/>
      <c r="AZ330" t="n">
        <v>0.7</v>
      </c>
      <c r="BA330" s="156" t="n">
        <f t="shared" si="140"/>
        <v>0</v>
      </c>
      <c r="BB330" s="156" t="n">
        <f t="shared" si="140"/>
        <v>74.3</v>
      </c>
      <c r="BC330" s="156" t="n">
        <f t="shared" si="140"/>
        <v>96.199999999999989</v>
      </c>
      <c r="BD330" s="156" t="n">
        <f t="shared" si="140"/>
        <v>35.099999999999994</v>
      </c>
      <c r="BE330" s="156" t="n">
        <f t="shared" si="140"/>
        <v>0.5</v>
      </c>
      <c r="BF330" s="156" t="n">
        <f t="shared" si="140"/>
        <v>13</v>
      </c>
      <c r="BG330" s="156" t="n">
        <f t="shared" si="140"/>
        <v>18</v>
      </c>
      <c r="BH330" s="156" t="n">
        <f t="shared" si="140"/>
        <v>180</v>
      </c>
      <c r="BI330" s="156" t="n">
        <f t="shared" si="140"/>
        <v>0</v>
      </c>
      <c r="BJ330" s="156" t="n">
        <f t="shared" si="140"/>
        <v>20</v>
      </c>
      <c r="BK330" s="156" t="n">
        <f t="shared" si="140"/>
        <v>0</v>
      </c>
      <c r="BL330" s="156" t="n">
        <f t="shared" si="140"/>
        <v>40</v>
      </c>
      <c r="BM330" s="156" t="n">
        <f t="shared" si="140"/>
        <v>0</v>
      </c>
      <c r="BN330" s="156" t="n">
        <f t="shared" si="140"/>
        <v>1</v>
      </c>
      <c r="BO330" s="156" t="n">
        <f t="shared" si="140"/>
        <v>0</v>
      </c>
      <c r="BP330" s="156" t="n">
        <f t="shared" si="140"/>
        <v>0</v>
      </c>
      <c r="BQ330" s="110"/>
    </row>
    <row r="331">
      <c r="A331" s="84"/>
      <c r="B331" s="84" t="s">
        <v>42</v>
      </c>
      <c r="C331" s="84"/>
      <c r="D331" s="142" t="s">
        <v>33</v>
      </c>
      <c r="E331" s="142"/>
      <c r="F331" s="94"/>
      <c r="G331" s="89" t="n">
        <v>0.39600000000000002</v>
      </c>
      <c r="H331" s="89"/>
      <c r="I331" s="44"/>
      <c r="J331" s="44"/>
      <c r="K331" s="166"/>
      <c r="L331" s="166"/>
      <c r="M331" s="166" t="n">
        <v>12.788</v>
      </c>
      <c r="N331" s="166"/>
      <c r="O331" s="94"/>
      <c r="P331" s="94"/>
      <c r="Q331" s="94"/>
      <c r="R331" s="134"/>
      <c r="S331" s="89" t="n">
        <f>VLOOKUP($B331,Conversores_Dieta!$B$4:$J$164,Coefs!S$292,0)</f>
        <v>0.98077253218884097</v>
      </c>
      <c r="T331" s="130" t="n">
        <f>VLOOKUP($B331,Conversores_Dieta!$B$4:$J$164,Coefs!T$292,0)</f>
        <v>1.6E-2</v>
      </c>
      <c r="U331" s="166" t="n">
        <f>VLOOKUP($B331,Conversores_Dieta!$B$4:$J$164,Coefs!U$292,0)</f>
        <v>143</v>
      </c>
      <c r="V331" s="166" t="n">
        <f>VLOOKUP($B331,Conversores_Dieta!$B$4:$J$164,Coefs!V$292,0)</f>
        <v>0</v>
      </c>
      <c r="W331" s="21" t="n">
        <f>VLOOKUP($B331,Conversores_Dieta!$B$4:$J$164,Coefs!W$292,0)</f>
        <v>63.583690987124442</v>
      </c>
      <c r="X331" s="21" t="n">
        <f>VLOOKUP($B331,Conversores_Dieta!$B$4:$J$164,Coefs!X$292,0)</f>
        <v>4.8283261802575099</v>
      </c>
      <c r="Y331" s="67"/>
      <c r="Z331" s="67"/>
      <c r="AA331" s="67"/>
      <c r="AB331" s="67"/>
      <c r="AC331" s="67"/>
      <c r="AD331" s="171"/>
      <c r="AE331" s="171"/>
      <c r="AF331" s="171"/>
      <c r="AG331" s="171"/>
      <c r="AH331" s="171"/>
      <c r="AI331" s="153" t="n">
        <f t="shared" si="141"/>
        <v>5.4141414141414143E-2</v>
      </c>
      <c r="AJ331" s="130"/>
      <c r="AK331" s="153"/>
      <c r="AL331" s="121" t="n">
        <v>0.5</v>
      </c>
      <c r="AM331" s="153"/>
      <c r="AN331" s="153"/>
      <c r="AO331" s="153"/>
      <c r="AP331" s="153" t="s">
        <v>4</v>
      </c>
      <c r="AQ331" s="121" t="s">
        <v>4</v>
      </c>
      <c r="AR331" s="84"/>
      <c r="AS331" s="148"/>
      <c r="AT331" s="84"/>
      <c r="AU331" s="84"/>
      <c r="AV331" s="84"/>
      <c r="AW331" s="5"/>
      <c r="AX331" s="84"/>
      <c r="AY331" s="84"/>
      <c r="AZ331" t="n">
        <v>0.7</v>
      </c>
      <c r="BA331" t="n">
        <v>0</v>
      </c>
      <c r="BB331" t="n">
        <v>74.3</v>
      </c>
      <c r="BC331" t="n">
        <v>96.199999999999989</v>
      </c>
      <c r="BD331" t="n">
        <v>35.099999999999994</v>
      </c>
      <c r="BE331" s="83" t="n">
        <v>0.5</v>
      </c>
      <c r="BF331" t="n">
        <v>13</v>
      </c>
      <c r="BG331" t="n">
        <v>18</v>
      </c>
      <c r="BH331" t="n">
        <v>180</v>
      </c>
      <c r="BI331" t="n">
        <v>0</v>
      </c>
      <c r="BJ331" t="n">
        <v>20</v>
      </c>
      <c r="BK331" t="n">
        <v>0</v>
      </c>
      <c r="BL331" t="n">
        <v>40</v>
      </c>
      <c r="BM331" t="n">
        <v>0</v>
      </c>
      <c r="BN331" t="n">
        <v>1</v>
      </c>
      <c r="BO331" t="n">
        <v>0</v>
      </c>
      <c r="BP331" t="n">
        <v>0</v>
      </c>
      <c r="BQ331" s="110"/>
    </row>
    <row r="332">
      <c r="A332" s="84"/>
      <c r="B332" s="84" t="s">
        <v>41</v>
      </c>
      <c r="C332" s="84" t="s">
        <v>42</v>
      </c>
      <c r="D332" s="142" t="s">
        <v>33</v>
      </c>
      <c r="E332" s="142"/>
      <c r="F332" s="94"/>
      <c r="G332" s="89" t="n">
        <v>0.44899999999999995</v>
      </c>
      <c r="H332" s="89"/>
      <c r="I332" s="44"/>
      <c r="J332" s="44"/>
      <c r="K332" s="166"/>
      <c r="L332" s="166"/>
      <c r="M332" s="166" t="n">
        <v>10.83384</v>
      </c>
      <c r="N332" s="166"/>
      <c r="O332" s="94"/>
      <c r="P332" s="94"/>
      <c r="Q332" s="94"/>
      <c r="R332" s="134"/>
      <c r="S332" s="87" t="n">
        <f>S$331</f>
        <v>0.98077253218884097</v>
      </c>
      <c r="T332" s="15" t="n">
        <f t="shared" ref="T332:T338" si="142">T$331*$G332/$G$331</f>
        <v>1.8141414141414139E-2</v>
      </c>
      <c r="U332" s="157" t="n">
        <f t="shared" ref="U332:X338" si="143">U$331*$G332/$G$331</f>
        <v>162.13888888888886</v>
      </c>
      <c r="V332" s="157" t="n">
        <f t="shared" si="143"/>
        <v>0</v>
      </c>
      <c r="W332" s="132" t="n">
        <f t="shared" si="143"/>
        <v>72.09362942732038</v>
      </c>
      <c r="X332" s="132" t="n">
        <f t="shared" si="143"/>
        <v>5.4745415528677315</v>
      </c>
      <c r="Y332" s="66"/>
      <c r="Z332" s="66"/>
      <c r="AA332" s="66"/>
      <c r="AB332" s="66"/>
      <c r="AC332" s="66"/>
      <c r="AD332" s="171"/>
      <c r="AE332" s="171"/>
      <c r="AF332" s="171"/>
      <c r="AG332" s="171"/>
      <c r="AH332" s="171"/>
      <c r="AI332" s="121" t="n">
        <f t="shared" si="141"/>
        <v>4.7750556792873058E-2</v>
      </c>
      <c r="AJ332" s="130"/>
      <c r="AK332" s="153"/>
      <c r="AL332" s="121" t="n">
        <v>0.5</v>
      </c>
      <c r="AM332" s="153"/>
      <c r="AN332" s="153"/>
      <c r="AO332" s="153"/>
      <c r="AP332" s="153" t="s">
        <v>4</v>
      </c>
      <c r="AQ332" s="121" t="s">
        <v>4</v>
      </c>
      <c r="AR332" s="84"/>
      <c r="AS332" s="148"/>
      <c r="AT332" s="84"/>
      <c r="AU332" s="84"/>
      <c r="AV332" s="84"/>
      <c r="AW332" s="5"/>
      <c r="AX332" s="84"/>
      <c r="AY332" s="84"/>
      <c r="AZ332" t="n">
        <v>0.7</v>
      </c>
      <c r="BA332" s="156" t="n">
        <f t="shared" si="140"/>
        <v>0</v>
      </c>
      <c r="BB332" s="156" t="n">
        <f t="shared" si="140"/>
        <v>74.3</v>
      </c>
      <c r="BC332" s="156" t="n">
        <f t="shared" si="140"/>
        <v>96.199999999999989</v>
      </c>
      <c r="BD332" s="156" t="n">
        <f t="shared" si="140"/>
        <v>35.099999999999994</v>
      </c>
      <c r="BE332" s="156" t="n">
        <f t="shared" si="140"/>
        <v>0.5</v>
      </c>
      <c r="BF332" s="156" t="n">
        <f t="shared" si="140"/>
        <v>13</v>
      </c>
      <c r="BG332" s="156" t="n">
        <f t="shared" si="140"/>
        <v>18</v>
      </c>
      <c r="BH332" s="156" t="n">
        <f t="shared" si="140"/>
        <v>180</v>
      </c>
      <c r="BI332" s="156" t="n">
        <f t="shared" si="140"/>
        <v>0</v>
      </c>
      <c r="BJ332" s="156" t="n">
        <f t="shared" si="140"/>
        <v>20</v>
      </c>
      <c r="BK332" s="156" t="n">
        <f t="shared" si="140"/>
        <v>0</v>
      </c>
      <c r="BL332" s="156" t="n">
        <f t="shared" si="140"/>
        <v>40</v>
      </c>
      <c r="BM332" s="156" t="n">
        <f t="shared" si="140"/>
        <v>0</v>
      </c>
      <c r="BN332" s="156" t="n">
        <f t="shared" si="140"/>
        <v>1</v>
      </c>
      <c r="BO332" s="156" t="n">
        <f t="shared" si="140"/>
        <v>0</v>
      </c>
      <c r="BP332" s="156" t="n">
        <f t="shared" si="140"/>
        <v>0</v>
      </c>
      <c r="BQ332" s="110"/>
    </row>
    <row r="333">
      <c r="A333" s="84"/>
      <c r="B333" s="84" t="s">
        <v>40</v>
      </c>
      <c r="C333" s="84" t="s">
        <v>42</v>
      </c>
      <c r="D333" s="142" t="s">
        <v>33</v>
      </c>
      <c r="E333" s="142"/>
      <c r="F333" s="94"/>
      <c r="G333" s="89" t="n">
        <v>0.22599999999999998</v>
      </c>
      <c r="H333" s="89"/>
      <c r="I333" s="44"/>
      <c r="J333" s="44"/>
      <c r="K333" s="166"/>
      <c r="L333" s="166"/>
      <c r="M333" s="166" t="n">
        <v>5.6335000000000006</v>
      </c>
      <c r="N333" s="166"/>
      <c r="O333" s="94"/>
      <c r="P333" s="94"/>
      <c r="Q333" s="94"/>
      <c r="R333" s="134"/>
      <c r="S333" s="87" t="n">
        <f t="shared" ref="S333:S338" si="144">S$331</f>
        <v>0.98077253218884097</v>
      </c>
      <c r="T333" s="15" t="n">
        <f t="shared" si="142"/>
        <v>9.1313131313131308E-3</v>
      </c>
      <c r="U333" s="157" t="n">
        <f t="shared" si="143"/>
        <v>81.6111111111111</v>
      </c>
      <c r="V333" s="157" t="n">
        <f t="shared" si="143"/>
        <v>0</v>
      </c>
      <c r="W333" s="132" t="n">
        <f t="shared" si="143"/>
        <v>36.287662028005357</v>
      </c>
      <c r="X333" s="132" t="n">
        <f t="shared" si="143"/>
        <v>2.7555598907530228</v>
      </c>
      <c r="Y333" s="66"/>
      <c r="Z333" s="66"/>
      <c r="AA333" s="66"/>
      <c r="AB333" s="66"/>
      <c r="AC333" s="66"/>
      <c r="AD333" s="171"/>
      <c r="AE333" s="171"/>
      <c r="AF333" s="171"/>
      <c r="AG333" s="171"/>
      <c r="AH333" s="171"/>
      <c r="AI333" s="121" t="n">
        <f t="shared" si="141"/>
        <v>9.4867256637168149E-2</v>
      </c>
      <c r="AJ333" s="130"/>
      <c r="AK333" s="153"/>
      <c r="AL333" s="121" t="n">
        <v>0.5</v>
      </c>
      <c r="AM333" s="153"/>
      <c r="AN333" s="153"/>
      <c r="AO333" s="153"/>
      <c r="AP333" s="153" t="s">
        <v>4</v>
      </c>
      <c r="AQ333" s="121" t="s">
        <v>4</v>
      </c>
      <c r="AR333" s="84"/>
      <c r="AS333" s="148"/>
      <c r="AT333" s="84"/>
      <c r="AU333" s="84"/>
      <c r="AV333" s="84"/>
      <c r="AW333" s="5"/>
      <c r="AX333" s="84"/>
      <c r="AY333" s="84"/>
      <c r="AZ333" t="n">
        <v>0.7</v>
      </c>
      <c r="BA333" s="156" t="n">
        <f t="shared" si="140"/>
        <v>0</v>
      </c>
      <c r="BB333" s="156" t="n">
        <f t="shared" si="140"/>
        <v>74.3</v>
      </c>
      <c r="BC333" s="156" t="n">
        <f t="shared" si="140"/>
        <v>96.199999999999989</v>
      </c>
      <c r="BD333" s="156" t="n">
        <f t="shared" si="140"/>
        <v>35.099999999999994</v>
      </c>
      <c r="BE333" s="156" t="n">
        <f t="shared" si="140"/>
        <v>0.5</v>
      </c>
      <c r="BF333" s="156" t="n">
        <f t="shared" si="140"/>
        <v>13</v>
      </c>
      <c r="BG333" s="156" t="n">
        <f t="shared" si="140"/>
        <v>18</v>
      </c>
      <c r="BH333" s="156" t="n">
        <f t="shared" si="140"/>
        <v>180</v>
      </c>
      <c r="BI333" s="156" t="n">
        <f t="shared" si="140"/>
        <v>0</v>
      </c>
      <c r="BJ333" s="156" t="n">
        <f t="shared" si="140"/>
        <v>20</v>
      </c>
      <c r="BK333" s="156" t="n">
        <f t="shared" si="140"/>
        <v>0</v>
      </c>
      <c r="BL333" s="156" t="n">
        <f t="shared" si="140"/>
        <v>40</v>
      </c>
      <c r="BM333" s="156" t="n">
        <f t="shared" si="140"/>
        <v>0</v>
      </c>
      <c r="BN333" s="156" t="n">
        <f t="shared" si="140"/>
        <v>1</v>
      </c>
      <c r="BO333" s="156" t="n">
        <f t="shared" si="140"/>
        <v>0</v>
      </c>
      <c r="BP333" s="156" t="n">
        <f t="shared" si="140"/>
        <v>0</v>
      </c>
      <c r="BQ333" s="110"/>
    </row>
    <row r="334">
      <c r="A334" s="84"/>
      <c r="B334" s="84" t="s">
        <v>39</v>
      </c>
      <c r="C334" s="84" t="s">
        <v>42</v>
      </c>
      <c r="D334" s="142" t="s">
        <v>33</v>
      </c>
      <c r="E334" s="142"/>
      <c r="F334" s="94"/>
      <c r="G334" s="89" t="n">
        <v>0.26800000000000002</v>
      </c>
      <c r="H334" s="89"/>
      <c r="I334" s="44"/>
      <c r="J334" s="44"/>
      <c r="K334" s="166"/>
      <c r="L334" s="166"/>
      <c r="M334" s="166" t="n">
        <v>7.5914999999999999</v>
      </c>
      <c r="N334" s="166"/>
      <c r="O334" s="94"/>
      <c r="P334" s="94"/>
      <c r="Q334" s="94"/>
      <c r="R334" s="134"/>
      <c r="S334" s="87" t="n">
        <f t="shared" si="144"/>
        <v>0.98077253218884097</v>
      </c>
      <c r="T334" s="15" t="n">
        <f t="shared" si="142"/>
        <v>1.0828282828282828E-2</v>
      </c>
      <c r="U334" s="157" t="n">
        <f t="shared" si="143"/>
        <v>96.777777777777786</v>
      </c>
      <c r="V334" s="157" t="n">
        <f t="shared" si="143"/>
        <v>0</v>
      </c>
      <c r="W334" s="132" t="n">
        <f t="shared" si="143"/>
        <v>43.031386829670076</v>
      </c>
      <c r="X334" s="132" t="n">
        <f t="shared" si="143"/>
        <v>3.2676550916894258</v>
      </c>
      <c r="Y334" s="66"/>
      <c r="Z334" s="66"/>
      <c r="AA334" s="66"/>
      <c r="AB334" s="66"/>
      <c r="AC334" s="66"/>
      <c r="AD334" s="171"/>
      <c r="AE334" s="171"/>
      <c r="AF334" s="171"/>
      <c r="AG334" s="171"/>
      <c r="AH334" s="171"/>
      <c r="AI334" s="121" t="n">
        <f t="shared" si="141"/>
        <v>0.08</v>
      </c>
      <c r="AJ334" s="130"/>
      <c r="AK334" s="153"/>
      <c r="AL334" s="121" t="n">
        <v>0.5</v>
      </c>
      <c r="AM334" s="153"/>
      <c r="AN334" s="153"/>
      <c r="AO334" s="153"/>
      <c r="AP334" s="153" t="s">
        <v>4</v>
      </c>
      <c r="AQ334" s="121" t="s">
        <v>4</v>
      </c>
      <c r="AR334" s="84"/>
      <c r="AS334" s="148"/>
      <c r="AT334" s="84"/>
      <c r="AU334" s="84"/>
      <c r="AV334" s="84"/>
      <c r="AW334" s="5"/>
      <c r="AX334" s="84"/>
      <c r="AY334" s="84"/>
      <c r="AZ334" t="n">
        <v>0.7</v>
      </c>
      <c r="BA334" s="156" t="n">
        <f t="shared" si="140"/>
        <v>0</v>
      </c>
      <c r="BB334" s="156" t="n">
        <f t="shared" si="140"/>
        <v>74.3</v>
      </c>
      <c r="BC334" s="156" t="n">
        <f t="shared" si="140"/>
        <v>96.199999999999989</v>
      </c>
      <c r="BD334" s="156" t="n">
        <f t="shared" si="140"/>
        <v>35.099999999999994</v>
      </c>
      <c r="BE334" s="156" t="n">
        <f t="shared" si="140"/>
        <v>0.5</v>
      </c>
      <c r="BF334" s="156" t="n">
        <f t="shared" si="140"/>
        <v>13</v>
      </c>
      <c r="BG334" s="156" t="n">
        <f t="shared" si="140"/>
        <v>18</v>
      </c>
      <c r="BH334" s="156" t="n">
        <f t="shared" si="140"/>
        <v>180</v>
      </c>
      <c r="BI334" s="156" t="n">
        <f t="shared" si="140"/>
        <v>0</v>
      </c>
      <c r="BJ334" s="156" t="n">
        <f t="shared" si="140"/>
        <v>20</v>
      </c>
      <c r="BK334" s="156" t="n">
        <f t="shared" si="140"/>
        <v>0</v>
      </c>
      <c r="BL334" s="156" t="n">
        <f t="shared" si="140"/>
        <v>40</v>
      </c>
      <c r="BM334" s="156" t="n">
        <f t="shared" si="140"/>
        <v>0</v>
      </c>
      <c r="BN334" s="156" t="n">
        <f t="shared" si="140"/>
        <v>1</v>
      </c>
      <c r="BO334" s="156" t="n">
        <f t="shared" si="140"/>
        <v>0</v>
      </c>
      <c r="BP334" s="156" t="n">
        <f t="shared" si="140"/>
        <v>0</v>
      </c>
      <c r="BQ334" s="110"/>
    </row>
    <row r="335">
      <c r="A335" s="84"/>
      <c r="B335" s="84" t="s">
        <v>38</v>
      </c>
      <c r="C335" s="84" t="s">
        <v>34</v>
      </c>
      <c r="D335" s="142" t="s">
        <v>33</v>
      </c>
      <c r="E335" s="142"/>
      <c r="F335" s="94"/>
      <c r="G335" s="89" t="n">
        <v>0.95</v>
      </c>
      <c r="H335" s="89"/>
      <c r="I335" s="44"/>
      <c r="J335" s="44"/>
      <c r="K335" s="166"/>
      <c r="L335" s="166"/>
      <c r="M335" s="166" t="n">
        <v>38.805</v>
      </c>
      <c r="N335" s="166"/>
      <c r="O335" s="94"/>
      <c r="P335" s="94"/>
      <c r="Q335" s="94"/>
      <c r="R335" s="134"/>
      <c r="S335" s="87" t="n">
        <f t="shared" si="144"/>
        <v>0.98077253218884097</v>
      </c>
      <c r="T335" s="15" t="n">
        <f t="shared" si="142"/>
        <v>3.8383838383838381E-2</v>
      </c>
      <c r="U335" s="157" t="n">
        <f t="shared" si="143"/>
        <v>343.05555555555554</v>
      </c>
      <c r="V335" s="157" t="n">
        <f t="shared" si="143"/>
        <v>0</v>
      </c>
      <c r="W335" s="132" t="n">
        <f t="shared" si="143"/>
        <v>152.53663241860662</v>
      </c>
      <c r="X335" s="132" t="n">
        <f t="shared" si="143"/>
        <v>11.583105735466248</v>
      </c>
      <c r="Y335" s="66"/>
      <c r="Z335" s="66"/>
      <c r="AA335" s="66"/>
      <c r="AB335" s="66"/>
      <c r="AC335" s="66"/>
      <c r="AD335" s="171"/>
      <c r="AE335" s="171"/>
      <c r="AF335" s="171"/>
      <c r="AG335" s="171"/>
      <c r="AH335" s="171"/>
      <c r="AI335" s="121" t="n">
        <f t="shared" si="141"/>
        <v>2.2568421052631581E-2</v>
      </c>
      <c r="AJ335" s="130"/>
      <c r="AK335" s="153"/>
      <c r="AL335" s="121" t="n">
        <v>0.5</v>
      </c>
      <c r="AM335" s="153"/>
      <c r="AN335" s="153"/>
      <c r="AO335" s="153"/>
      <c r="AP335" s="153" t="s">
        <v>4</v>
      </c>
      <c r="AQ335" s="121" t="s">
        <v>4</v>
      </c>
      <c r="AR335" s="84"/>
      <c r="AS335" s="148"/>
      <c r="AT335" s="84"/>
      <c r="AU335" s="84"/>
      <c r="AV335" s="84"/>
      <c r="AW335" s="5"/>
      <c r="AX335" s="84"/>
      <c r="AY335" s="84"/>
      <c r="AZ335" t="n">
        <v>0.7</v>
      </c>
      <c r="BA335" s="156" t="n">
        <f t="shared" si="140"/>
        <v>0</v>
      </c>
      <c r="BB335" s="156" t="n">
        <f t="shared" si="140"/>
        <v>74.3</v>
      </c>
      <c r="BC335" s="156" t="n">
        <f t="shared" si="140"/>
        <v>96.199999999999989</v>
      </c>
      <c r="BD335" s="156" t="n">
        <f t="shared" si="140"/>
        <v>35.099999999999994</v>
      </c>
      <c r="BE335" s="156" t="n">
        <f t="shared" si="140"/>
        <v>0.5</v>
      </c>
      <c r="BF335" s="156" t="n">
        <f t="shared" si="140"/>
        <v>13</v>
      </c>
      <c r="BG335" s="156" t="n">
        <f t="shared" si="140"/>
        <v>18</v>
      </c>
      <c r="BH335" s="156" t="n">
        <f t="shared" si="140"/>
        <v>180</v>
      </c>
      <c r="BI335" s="156" t="n">
        <f t="shared" si="140"/>
        <v>0</v>
      </c>
      <c r="BJ335" s="156" t="n">
        <f t="shared" si="140"/>
        <v>20</v>
      </c>
      <c r="BK335" s="156" t="n">
        <f t="shared" si="140"/>
        <v>0</v>
      </c>
      <c r="BL335" s="156" t="n">
        <f t="shared" si="140"/>
        <v>40</v>
      </c>
      <c r="BM335" s="156" t="n">
        <f t="shared" si="140"/>
        <v>0</v>
      </c>
      <c r="BN335" s="156" t="n">
        <f t="shared" si="140"/>
        <v>1</v>
      </c>
      <c r="BO335" s="156" t="n">
        <f t="shared" si="140"/>
        <v>0</v>
      </c>
      <c r="BP335" s="156" t="n">
        <f t="shared" si="140"/>
        <v>0</v>
      </c>
      <c r="BQ335" s="110"/>
    </row>
    <row r="336">
      <c r="A336" s="84"/>
      <c r="B336" s="84" t="s">
        <v>37</v>
      </c>
      <c r="C336" s="84" t="s">
        <v>42</v>
      </c>
      <c r="D336" s="142" t="s">
        <v>33</v>
      </c>
      <c r="E336" s="142"/>
      <c r="F336" s="94"/>
      <c r="G336" s="89" t="n">
        <v>0.50700000000000001</v>
      </c>
      <c r="H336" s="89"/>
      <c r="I336" s="44"/>
      <c r="J336" s="44"/>
      <c r="K336" s="166"/>
      <c r="L336" s="166"/>
      <c r="M336" s="166" t="n">
        <v>16.332999999999998</v>
      </c>
      <c r="N336" s="166"/>
      <c r="O336" s="94"/>
      <c r="P336" s="94"/>
      <c r="Q336" s="94"/>
      <c r="R336" s="134"/>
      <c r="S336" s="87" t="n">
        <f t="shared" si="144"/>
        <v>0.98077253218884097</v>
      </c>
      <c r="T336" s="15" t="n">
        <f t="shared" si="142"/>
        <v>2.0484848484848481E-2</v>
      </c>
      <c r="U336" s="157" t="n">
        <f t="shared" si="143"/>
        <v>183.08333333333334</v>
      </c>
      <c r="V336" s="157" t="n">
        <f t="shared" si="143"/>
        <v>0</v>
      </c>
      <c r="W336" s="132" t="n">
        <f t="shared" si="143"/>
        <v>81.40639224866689</v>
      </c>
      <c r="X336" s="132" t="n">
        <f t="shared" si="143"/>
        <v>6.1817206398751443</v>
      </c>
      <c r="Y336" s="66"/>
      <c r="Z336" s="66"/>
      <c r="AA336" s="66"/>
      <c r="AB336" s="66"/>
      <c r="AC336" s="66"/>
      <c r="AD336" s="171"/>
      <c r="AE336" s="171"/>
      <c r="AF336" s="171"/>
      <c r="AG336" s="171"/>
      <c r="AH336" s="171"/>
      <c r="AI336" s="121" t="n">
        <f t="shared" si="141"/>
        <v>4.2287968441814594E-2</v>
      </c>
      <c r="AJ336" s="130"/>
      <c r="AK336" s="153"/>
      <c r="AL336" s="121" t="n">
        <v>0.5</v>
      </c>
      <c r="AM336" s="153"/>
      <c r="AN336" s="153"/>
      <c r="AO336" s="153"/>
      <c r="AP336" s="153" t="s">
        <v>4</v>
      </c>
      <c r="AQ336" s="121" t="s">
        <v>4</v>
      </c>
      <c r="AR336" s="84"/>
      <c r="AS336" s="148"/>
      <c r="AT336" s="84"/>
      <c r="AU336" s="84"/>
      <c r="AV336" s="84"/>
      <c r="AW336" s="5"/>
      <c r="AX336" s="84"/>
      <c r="AY336" s="84"/>
      <c r="AZ336" t="n">
        <v>0.7</v>
      </c>
      <c r="BA336" s="156" t="n">
        <f t="shared" si="140"/>
        <v>0</v>
      </c>
      <c r="BB336" s="156" t="n">
        <f t="shared" si="140"/>
        <v>74.3</v>
      </c>
      <c r="BC336" s="156" t="n">
        <f t="shared" si="140"/>
        <v>96.199999999999989</v>
      </c>
      <c r="BD336" s="156" t="n">
        <f t="shared" si="140"/>
        <v>35.099999999999994</v>
      </c>
      <c r="BE336" s="156" t="n">
        <f t="shared" si="140"/>
        <v>0.5</v>
      </c>
      <c r="BF336" s="156" t="n">
        <f t="shared" si="140"/>
        <v>13</v>
      </c>
      <c r="BG336" s="156" t="n">
        <f t="shared" si="140"/>
        <v>18</v>
      </c>
      <c r="BH336" s="156" t="n">
        <f t="shared" si="140"/>
        <v>180</v>
      </c>
      <c r="BI336" s="156" t="n">
        <f t="shared" si="140"/>
        <v>0</v>
      </c>
      <c r="BJ336" s="156" t="n">
        <f t="shared" si="140"/>
        <v>20</v>
      </c>
      <c r="BK336" s="156" t="n">
        <f t="shared" si="140"/>
        <v>0</v>
      </c>
      <c r="BL336" s="156" t="n">
        <f t="shared" si="140"/>
        <v>40</v>
      </c>
      <c r="BM336" s="156" t="n">
        <f t="shared" si="140"/>
        <v>0</v>
      </c>
      <c r="BN336" s="156" t="n">
        <f t="shared" si="140"/>
        <v>1</v>
      </c>
      <c r="BO336" s="156" t="n">
        <f t="shared" si="140"/>
        <v>0</v>
      </c>
      <c r="BP336" s="156" t="n">
        <f t="shared" si="140"/>
        <v>0</v>
      </c>
      <c r="BQ336" s="110"/>
    </row>
    <row r="337">
      <c r="A337" s="84"/>
      <c r="B337" s="84" t="s">
        <v>36</v>
      </c>
      <c r="C337" s="160" t="s">
        <v>42</v>
      </c>
      <c r="D337" s="142" t="s">
        <v>33</v>
      </c>
      <c r="E337" s="142"/>
      <c r="F337" s="94"/>
      <c r="G337" s="89" t="n">
        <v>0.59099999999999997</v>
      </c>
      <c r="H337" s="89"/>
      <c r="I337" s="44"/>
      <c r="J337" s="44"/>
      <c r="K337" s="166"/>
      <c r="L337" s="166"/>
      <c r="M337" s="166" t="n">
        <v>18.523119999999999</v>
      </c>
      <c r="N337" s="166"/>
      <c r="O337" s="94"/>
      <c r="P337" s="94"/>
      <c r="Q337" s="94"/>
      <c r="R337" s="134"/>
      <c r="S337" s="87" t="n">
        <f t="shared" si="144"/>
        <v>0.98077253218884097</v>
      </c>
      <c r="T337" s="15" t="n">
        <f t="shared" si="142"/>
        <v>2.3878787878787874E-2</v>
      </c>
      <c r="U337" s="157" t="n">
        <f t="shared" si="143"/>
        <v>213.41666666666663</v>
      </c>
      <c r="V337" s="157" t="n">
        <f t="shared" si="143"/>
        <v>0</v>
      </c>
      <c r="W337" s="132" t="n">
        <f t="shared" si="143"/>
        <v>94.893841851996314</v>
      </c>
      <c r="X337" s="132" t="n">
        <f t="shared" si="143"/>
        <v>7.2059110417479495</v>
      </c>
      <c r="Y337" s="66"/>
      <c r="Z337" s="66"/>
      <c r="AA337" s="66"/>
      <c r="AB337" s="66"/>
      <c r="AC337" s="66"/>
      <c r="AD337" s="171"/>
      <c r="AE337" s="171"/>
      <c r="AF337" s="171"/>
      <c r="AG337" s="171"/>
      <c r="AH337" s="171"/>
      <c r="AI337" s="121" t="n">
        <f t="shared" si="141"/>
        <v>3.6277495769881561E-2</v>
      </c>
      <c r="AJ337" s="130"/>
      <c r="AK337" s="153"/>
      <c r="AL337" s="121" t="n">
        <v>0.5</v>
      </c>
      <c r="AM337" s="153"/>
      <c r="AN337" s="153"/>
      <c r="AO337" s="153"/>
      <c r="AP337" s="153" t="s">
        <v>4</v>
      </c>
      <c r="AQ337" s="121" t="s">
        <v>4</v>
      </c>
      <c r="AR337" s="84"/>
      <c r="AS337" s="148"/>
      <c r="AT337" s="84"/>
      <c r="AU337" s="84"/>
      <c r="AV337" s="84"/>
      <c r="AW337" s="5"/>
      <c r="AX337" s="84"/>
      <c r="AY337" s="84"/>
      <c r="AZ337" t="n">
        <v>0.7</v>
      </c>
      <c r="BA337" s="156" t="n">
        <f t="shared" si="140"/>
        <v>0</v>
      </c>
      <c r="BB337" s="156" t="n">
        <f t="shared" si="140"/>
        <v>74.3</v>
      </c>
      <c r="BC337" s="156" t="n">
        <f t="shared" si="140"/>
        <v>96.199999999999989</v>
      </c>
      <c r="BD337" s="156" t="n">
        <f t="shared" si="140"/>
        <v>35.099999999999994</v>
      </c>
      <c r="BE337" s="156" t="n">
        <f t="shared" si="140"/>
        <v>0.5</v>
      </c>
      <c r="BF337" s="156" t="n">
        <f t="shared" si="140"/>
        <v>13</v>
      </c>
      <c r="BG337" s="156" t="n">
        <f t="shared" si="140"/>
        <v>18</v>
      </c>
      <c r="BH337" s="156" t="n">
        <f t="shared" si="140"/>
        <v>180</v>
      </c>
      <c r="BI337" s="156" t="n">
        <f t="shared" si="140"/>
        <v>0</v>
      </c>
      <c r="BJ337" s="156" t="n">
        <f t="shared" si="140"/>
        <v>20</v>
      </c>
      <c r="BK337" s="156" t="n">
        <f t="shared" si="140"/>
        <v>0</v>
      </c>
      <c r="BL337" s="156" t="n">
        <f t="shared" si="140"/>
        <v>40</v>
      </c>
      <c r="BM337" s="156" t="n">
        <f t="shared" si="140"/>
        <v>0</v>
      </c>
      <c r="BN337" s="156" t="n">
        <f t="shared" si="140"/>
        <v>1</v>
      </c>
      <c r="BO337" s="156" t="n">
        <f t="shared" si="140"/>
        <v>0</v>
      </c>
      <c r="BP337" s="156" t="n">
        <f t="shared" si="140"/>
        <v>0</v>
      </c>
      <c r="BQ337" s="110"/>
    </row>
    <row r="338">
      <c r="A338" s="84"/>
      <c r="B338" s="84" t="s">
        <v>35</v>
      </c>
      <c r="C338" s="84" t="s">
        <v>42</v>
      </c>
      <c r="D338" s="142" t="s">
        <v>33</v>
      </c>
      <c r="E338" s="142"/>
      <c r="F338" s="94"/>
      <c r="G338" s="89" t="n">
        <v>0.26100000000000001</v>
      </c>
      <c r="H338" s="89"/>
      <c r="I338" s="44"/>
      <c r="J338" s="44"/>
      <c r="K338" s="166"/>
      <c r="L338" s="166"/>
      <c r="M338" s="166" t="n">
        <v>6.819</v>
      </c>
      <c r="N338" s="166"/>
      <c r="O338" s="94"/>
      <c r="P338" s="94"/>
      <c r="Q338" s="94"/>
      <c r="R338" s="134"/>
      <c r="S338" s="87" t="n">
        <f t="shared" si="144"/>
        <v>0.98077253218884097</v>
      </c>
      <c r="T338" s="15" t="n">
        <f t="shared" si="142"/>
        <v>1.0545454545454545E-2</v>
      </c>
      <c r="U338" s="157" t="n">
        <f t="shared" si="143"/>
        <v>94.25</v>
      </c>
      <c r="V338" s="157" t="n">
        <f t="shared" si="143"/>
        <v>0</v>
      </c>
      <c r="W338" s="132" t="n">
        <f t="shared" si="143"/>
        <v>41.907432696059296</v>
      </c>
      <c r="X338" s="132" t="n">
        <f t="shared" si="143"/>
        <v>3.1823058915333586</v>
      </c>
      <c r="Y338" s="66"/>
      <c r="Z338" s="66"/>
      <c r="AA338" s="66"/>
      <c r="AB338" s="66"/>
      <c r="AC338" s="66"/>
      <c r="AD338" s="171"/>
      <c r="AE338" s="171"/>
      <c r="AF338" s="171"/>
      <c r="AG338" s="171"/>
      <c r="AH338" s="171"/>
      <c r="AI338" s="121" t="n">
        <f t="shared" si="141"/>
        <v>8.2145593869731803E-2</v>
      </c>
      <c r="AJ338" s="130"/>
      <c r="AK338" s="153"/>
      <c r="AL338" s="121" t="n">
        <v>0.5</v>
      </c>
      <c r="AM338" s="153"/>
      <c r="AN338" s="153"/>
      <c r="AO338" s="153"/>
      <c r="AP338" s="153" t="s">
        <v>4</v>
      </c>
      <c r="AQ338" s="121" t="s">
        <v>4</v>
      </c>
      <c r="AR338" s="84"/>
      <c r="AS338" s="148"/>
      <c r="AT338" s="84"/>
      <c r="AU338" s="84"/>
      <c r="AV338" s="84"/>
      <c r="AW338" s="5"/>
      <c r="AX338" s="84"/>
      <c r="AY338" s="84"/>
      <c r="AZ338" t="n">
        <v>0.7</v>
      </c>
      <c r="BA338" s="156" t="n">
        <f t="shared" si="140"/>
        <v>0</v>
      </c>
      <c r="BB338" s="156" t="n">
        <f t="shared" si="140"/>
        <v>74.3</v>
      </c>
      <c r="BC338" s="156" t="n">
        <f t="shared" si="140"/>
        <v>96.199999999999989</v>
      </c>
      <c r="BD338" s="156" t="n">
        <f t="shared" si="140"/>
        <v>35.099999999999994</v>
      </c>
      <c r="BE338" s="156" t="n">
        <f t="shared" si="140"/>
        <v>0.5</v>
      </c>
      <c r="BF338" s="156" t="n">
        <f t="shared" si="140"/>
        <v>13</v>
      </c>
      <c r="BG338" s="156" t="n">
        <f t="shared" si="140"/>
        <v>18</v>
      </c>
      <c r="BH338" s="156" t="n">
        <f t="shared" si="140"/>
        <v>180</v>
      </c>
      <c r="BI338" s="156" t="n">
        <f t="shared" si="140"/>
        <v>0</v>
      </c>
      <c r="BJ338" s="156" t="n">
        <f t="shared" si="140"/>
        <v>20</v>
      </c>
      <c r="BK338" s="156" t="n">
        <f t="shared" si="140"/>
        <v>0</v>
      </c>
      <c r="BL338" s="156" t="n">
        <f t="shared" si="140"/>
        <v>40</v>
      </c>
      <c r="BM338" s="156" t="n">
        <f t="shared" si="140"/>
        <v>0</v>
      </c>
      <c r="BN338" s="156" t="n">
        <f t="shared" si="140"/>
        <v>1</v>
      </c>
      <c r="BO338" s="156" t="n">
        <f t="shared" si="140"/>
        <v>0</v>
      </c>
      <c r="BP338" s="156" t="n">
        <f t="shared" si="140"/>
        <v>0</v>
      </c>
      <c r="BQ338" s="110"/>
    </row>
    <row r="339">
      <c r="A339" s="84"/>
      <c r="B339" s="84" t="s">
        <v>34</v>
      </c>
      <c r="C339" s="84" t="str">
        <f>B346</f>
        <v>Fats, animals, raw</v>
      </c>
      <c r="D339" s="142" t="s">
        <v>33</v>
      </c>
      <c r="E339" s="142"/>
      <c r="F339" s="94"/>
      <c r="G339" s="89" t="n">
        <v>0.79400000000000004</v>
      </c>
      <c r="H339" s="89"/>
      <c r="I339" s="44"/>
      <c r="J339" s="44"/>
      <c r="K339" s="166"/>
      <c r="L339" s="166"/>
      <c r="M339" s="166" t="n">
        <v>29.622</v>
      </c>
      <c r="N339" s="166"/>
      <c r="O339" s="94"/>
      <c r="P339" s="94"/>
      <c r="Q339" s="94"/>
      <c r="R339" s="134"/>
      <c r="S339" s="87" t="n">
        <f>S346</f>
        <v>1</v>
      </c>
      <c r="T339" s="15" t="n">
        <f>T346</f>
        <v>0</v>
      </c>
      <c r="U339" s="157" t="n">
        <f t="shared" ref="U339:X339" si="145">U346</f>
        <v>784.40195470755737</v>
      </c>
      <c r="V339" s="157" t="n">
        <f t="shared" si="145"/>
        <v>0</v>
      </c>
      <c r="W339" s="132" t="n">
        <f t="shared" si="145"/>
        <v>0</v>
      </c>
      <c r="X339" s="132" t="n">
        <f t="shared" si="145"/>
        <v>0</v>
      </c>
      <c r="Y339" s="66"/>
      <c r="Z339" s="66"/>
      <c r="AA339" s="66"/>
      <c r="AB339" s="66"/>
      <c r="AC339" s="66"/>
      <c r="AD339" s="171"/>
      <c r="AE339" s="171"/>
      <c r="AF339" s="171"/>
      <c r="AG339" s="171"/>
      <c r="AH339" s="171"/>
      <c r="AI339" s="153" t="n">
        <v>0</v>
      </c>
      <c r="AJ339" s="130" t="n">
        <v>0</v>
      </c>
      <c r="AK339" s="153" t="n">
        <v>0</v>
      </c>
      <c r="AL339" s="121" t="n">
        <v>0.5</v>
      </c>
      <c r="AM339" s="153"/>
      <c r="AN339" s="153"/>
      <c r="AO339" s="153"/>
      <c r="AP339" s="153" t="s">
        <v>4</v>
      </c>
      <c r="AQ339" s="121" t="s">
        <v>4</v>
      </c>
      <c r="AR339" s="84"/>
      <c r="AS339" s="148"/>
      <c r="AT339" s="84"/>
      <c r="AU339" s="84"/>
      <c r="AV339" s="84"/>
      <c r="AW339" s="5"/>
      <c r="AX339" s="84"/>
      <c r="AY339" s="84"/>
      <c r="AZ339" t="n">
        <v>0.7</v>
      </c>
      <c r="BA339" s="156" t="n">
        <f>BA346</f>
        <v>0</v>
      </c>
      <c r="BB339" s="156" t="n">
        <f t="shared" ref="BB339:BP339" si="146">BB346</f>
        <v>392.29999999999995</v>
      </c>
      <c r="BC339" s="156" t="n">
        <f t="shared" si="146"/>
        <v>429.6</v>
      </c>
      <c r="BD339" s="156" t="n">
        <f t="shared" si="146"/>
        <v>155.6</v>
      </c>
      <c r="BE339" s="156" t="n">
        <f t="shared" si="146"/>
        <v>0.8</v>
      </c>
      <c r="BF339" s="156" t="n">
        <f t="shared" si="146"/>
        <v>1</v>
      </c>
      <c r="BG339" s="156" t="n">
        <f t="shared" si="146"/>
        <v>19</v>
      </c>
      <c r="BH339" s="156" t="n">
        <f t="shared" si="146"/>
        <v>250</v>
      </c>
      <c r="BI339" s="156" t="n">
        <f t="shared" si="146"/>
        <v>0</v>
      </c>
      <c r="BJ339" s="156" t="n">
        <f t="shared" si="146"/>
        <v>0</v>
      </c>
      <c r="BK339" s="156" t="n">
        <f t="shared" si="146"/>
        <v>0</v>
      </c>
      <c r="BL339" s="156" t="n">
        <f t="shared" si="146"/>
        <v>0</v>
      </c>
      <c r="BM339" s="156" t="n">
        <f t="shared" si="146"/>
        <v>0</v>
      </c>
      <c r="BN339" s="156" t="n">
        <f t="shared" si="146"/>
        <v>0</v>
      </c>
      <c r="BO339" s="156" t="n">
        <f t="shared" si="146"/>
        <v>0</v>
      </c>
      <c r="BP339" s="156" t="n">
        <f t="shared" si="146"/>
        <v>0</v>
      </c>
      <c r="BQ339" s="110"/>
    </row>
    <row r="340">
      <c r="A340" s="84"/>
      <c r="B340" s="84" t="s">
        <v>32</v>
      </c>
      <c r="C340" s="160" t="s">
        <v>42</v>
      </c>
      <c r="D340" s="142" t="s">
        <v>25</v>
      </c>
      <c r="E340" s="142"/>
      <c r="F340" s="94"/>
      <c r="G340" s="89" t="n">
        <v>0.35666666666666669</v>
      </c>
      <c r="H340" s="89"/>
      <c r="I340" s="89"/>
      <c r="J340" s="89"/>
      <c r="K340" s="166"/>
      <c r="L340" s="166"/>
      <c r="M340" s="166" t="n">
        <v>10.028516666666667</v>
      </c>
      <c r="N340" s="166"/>
      <c r="O340" s="94"/>
      <c r="P340" s="94"/>
      <c r="Q340" s="94"/>
      <c r="R340" s="134"/>
      <c r="S340" s="87" t="n">
        <f>S331</f>
        <v>0.98077253218884097</v>
      </c>
      <c r="T340" s="15" t="n">
        <f>T331</f>
        <v>1.6E-2</v>
      </c>
      <c r="U340" s="157" t="n">
        <f t="shared" ref="U340:X340" si="147">U331</f>
        <v>143</v>
      </c>
      <c r="V340" s="157" t="n">
        <f t="shared" si="147"/>
        <v>0</v>
      </c>
      <c r="W340" s="132" t="n">
        <f t="shared" si="147"/>
        <v>63.583690987124442</v>
      </c>
      <c r="X340" s="132" t="n">
        <f t="shared" si="147"/>
        <v>4.8283261802575099</v>
      </c>
      <c r="Y340" s="66"/>
      <c r="Z340" s="66"/>
      <c r="AA340" s="66"/>
      <c r="AB340" s="66"/>
      <c r="AC340" s="66"/>
      <c r="AD340" s="171"/>
      <c r="AE340" s="171"/>
      <c r="AF340" s="171"/>
      <c r="AG340" s="171"/>
      <c r="AH340" s="171"/>
      <c r="AI340" s="153" t="n">
        <v>8.4941373722057803E-2</v>
      </c>
      <c r="AJ340" s="130" t="n">
        <v>4.0410088648189166E-2</v>
      </c>
      <c r="AK340" s="153" t="n">
        <v>6.2415547271275655E-3</v>
      </c>
      <c r="AL340" s="121" t="n">
        <v>0.5</v>
      </c>
      <c r="AM340" s="153"/>
      <c r="AN340" s="153"/>
      <c r="AO340" s="153"/>
      <c r="AP340" s="153" t="s">
        <v>4</v>
      </c>
      <c r="AQ340" s="121" t="s">
        <v>4</v>
      </c>
      <c r="AR340" s="84"/>
      <c r="AS340" s="148"/>
      <c r="AT340" s="84"/>
      <c r="AU340" s="84"/>
      <c r="AV340" s="84"/>
      <c r="AW340" s="5"/>
      <c r="AX340" s="84"/>
      <c r="AY340" s="84"/>
      <c r="AZ340" t="n">
        <v>0.7</v>
      </c>
      <c r="BA340" t="n">
        <v>0</v>
      </c>
      <c r="BB340" t="n">
        <v>29.900000000000002</v>
      </c>
      <c r="BC340" t="n">
        <v>38.4</v>
      </c>
      <c r="BD340" t="n">
        <v>19.899999999999999</v>
      </c>
      <c r="BE340" t="n">
        <v>0.2</v>
      </c>
      <c r="BF340" t="n">
        <v>13.4</v>
      </c>
      <c r="BG340" t="n">
        <v>15.8</v>
      </c>
      <c r="BH340" t="n">
        <v>211.8</v>
      </c>
      <c r="BI340" t="n">
        <v>0</v>
      </c>
      <c r="BJ340" t="n">
        <v>18.899999999999999</v>
      </c>
      <c r="BK340" t="n">
        <v>2.3000000000000003</v>
      </c>
      <c r="BL340" t="n">
        <v>103.3</v>
      </c>
      <c r="BM340" t="n">
        <v>0</v>
      </c>
      <c r="BN340" t="n">
        <v>0.89999999999999991</v>
      </c>
      <c r="BO340" t="n">
        <v>0</v>
      </c>
      <c r="BP340" t="n">
        <v>0</v>
      </c>
      <c r="BQ340" s="110"/>
    </row>
    <row r="341">
      <c r="A341" s="70"/>
      <c r="B341" s="70" t="s">
        <v>31</v>
      </c>
      <c r="C341" s="70"/>
      <c r="D341" s="142"/>
      <c r="E341" s="68"/>
      <c r="F341" s="13"/>
      <c r="G341" s="46"/>
      <c r="H341" s="46"/>
      <c r="I341" s="46"/>
      <c r="J341" s="46"/>
      <c r="K341" s="24"/>
      <c r="L341" s="24"/>
      <c r="M341" s="24"/>
      <c r="N341" s="24"/>
      <c r="O341" s="13"/>
      <c r="P341" s="13"/>
      <c r="Q341" s="13"/>
      <c r="R341" s="134"/>
      <c r="S341" s="46"/>
      <c r="T341" s="31"/>
      <c r="U341" s="24"/>
      <c r="V341" s="24"/>
      <c r="W341" s="27"/>
      <c r="X341" s="27"/>
      <c r="Y341" s="27"/>
      <c r="Z341" s="27"/>
      <c r="AA341" s="27"/>
      <c r="AB341" s="27"/>
      <c r="AC341" s="27"/>
      <c r="AD341" s="27"/>
      <c r="AE341" s="27"/>
      <c r="AF341" s="27"/>
      <c r="AG341" s="27"/>
      <c r="AH341" s="27"/>
      <c r="AI341" s="155"/>
      <c r="AJ341" s="31"/>
      <c r="AK341" s="155"/>
      <c r="AL341" s="155"/>
      <c r="AM341" s="155"/>
      <c r="AN341" s="155"/>
      <c r="AO341" s="155"/>
      <c r="AP341" s="155"/>
      <c r="AQ341" s="155"/>
      <c r="AR341" s="84"/>
      <c r="AS341" s="148"/>
      <c r="AT341" s="84"/>
      <c r="AU341" s="84"/>
      <c r="AV341" s="84"/>
      <c r="AW341" s="144"/>
      <c r="AX341" s="70"/>
      <c r="AY341" s="70"/>
      <c r="AZ341" t="n">
        <v>0.7</v>
      </c>
      <c r="BQ341" s="110"/>
    </row>
    <row r="342">
      <c r="A342" s="84"/>
      <c r="B342" s="84" t="s">
        <v>30</v>
      </c>
      <c r="C342" s="84"/>
      <c r="D342" s="142" t="s">
        <v>25</v>
      </c>
      <c r="E342" s="142"/>
      <c r="F342" s="94"/>
      <c r="G342" s="89" t="n">
        <v>0.95199999999999996</v>
      </c>
      <c r="H342" s="89"/>
      <c r="I342" s="44"/>
      <c r="J342" s="44"/>
      <c r="K342" s="166"/>
      <c r="L342" s="166"/>
      <c r="M342" s="157" t="n">
        <f>M$343*$G342/$G$343</f>
        <v>14.652198879001926</v>
      </c>
      <c r="N342" s="157"/>
      <c r="O342" s="103"/>
      <c r="P342" s="103"/>
      <c r="Q342" s="103"/>
      <c r="R342" s="134"/>
      <c r="S342" s="89" t="n">
        <v>1</v>
      </c>
      <c r="T342" s="15" t="n">
        <f>T$331*$G342/$G$331</f>
        <v>3.8464646464646458E-2</v>
      </c>
      <c r="U342" s="157" t="n">
        <f t="shared" ref="U342:X342" si="148">U$331*$G342/$G$331</f>
        <v>343.77777777777777</v>
      </c>
      <c r="V342" s="157" t="n">
        <f t="shared" si="148"/>
        <v>0</v>
      </c>
      <c r="W342" s="132" t="n">
        <f t="shared" si="148"/>
        <v>152.85776217106684</v>
      </c>
      <c r="X342" s="132" t="n">
        <f t="shared" si="148"/>
        <v>11.607491221225125</v>
      </c>
      <c r="Y342" s="66"/>
      <c r="Z342" s="66"/>
      <c r="AA342" s="66"/>
      <c r="AB342" s="66"/>
      <c r="AC342" s="66"/>
      <c r="AD342" s="153"/>
      <c r="AE342" s="153"/>
      <c r="AF342" s="153"/>
      <c r="AG342" s="153"/>
      <c r="AH342" s="153"/>
      <c r="AI342" s="153" t="n">
        <v>0.15130434782608693</v>
      </c>
      <c r="AJ342" s="130" t="n">
        <v>2.2826086956521737E-3</v>
      </c>
      <c r="AK342" s="153" t="n">
        <v>2.717391304347826E-3</v>
      </c>
      <c r="AL342" s="121" t="n">
        <v>0.5</v>
      </c>
      <c r="AM342" s="153"/>
      <c r="AN342" s="153"/>
      <c r="AO342" s="153"/>
      <c r="AP342" s="153" t="s">
        <v>4</v>
      </c>
      <c r="AQ342" s="121" t="s">
        <v>4</v>
      </c>
      <c r="AR342" s="84"/>
      <c r="AS342" s="148"/>
      <c r="AT342" s="84"/>
      <c r="AU342" s="84"/>
      <c r="AV342" s="84"/>
      <c r="AW342" s="5"/>
      <c r="AX342" s="84"/>
      <c r="AY342" s="84"/>
      <c r="AZ342" t="n">
        <v>0.7</v>
      </c>
      <c r="BA342" s="156" t="n">
        <f>BA340</f>
        <v>0</v>
      </c>
      <c r="BB342" s="156" t="n">
        <f t="shared" ref="BB342:BP342" si="149">BB340</f>
        <v>29.900000000000002</v>
      </c>
      <c r="BC342" s="156" t="n">
        <f t="shared" si="149"/>
        <v>38.4</v>
      </c>
      <c r="BD342" s="156" t="n">
        <f t="shared" si="149"/>
        <v>19.899999999999999</v>
      </c>
      <c r="BE342" s="156" t="n">
        <f t="shared" si="149"/>
        <v>0.2</v>
      </c>
      <c r="BF342" s="156" t="n">
        <f t="shared" si="149"/>
        <v>13.4</v>
      </c>
      <c r="BG342" s="156" t="n">
        <f t="shared" si="149"/>
        <v>15.8</v>
      </c>
      <c r="BH342" s="156" t="n">
        <f t="shared" si="149"/>
        <v>211.8</v>
      </c>
      <c r="BI342" s="156" t="n">
        <f t="shared" si="149"/>
        <v>0</v>
      </c>
      <c r="BJ342" s="156" t="n">
        <f t="shared" si="149"/>
        <v>18.899999999999999</v>
      </c>
      <c r="BK342" s="156" t="n">
        <f t="shared" si="149"/>
        <v>2.3000000000000003</v>
      </c>
      <c r="BL342" s="156" t="n">
        <f t="shared" si="149"/>
        <v>103.3</v>
      </c>
      <c r="BM342" s="156" t="n">
        <f t="shared" si="149"/>
        <v>0</v>
      </c>
      <c r="BN342" s="156" t="n">
        <f t="shared" si="149"/>
        <v>0.89999999999999991</v>
      </c>
      <c r="BO342" s="156" t="n">
        <f t="shared" si="149"/>
        <v>0</v>
      </c>
      <c r="BP342" s="156" t="n">
        <f t="shared" si="149"/>
        <v>0</v>
      </c>
      <c r="BQ342" s="110"/>
    </row>
    <row r="343">
      <c r="A343" s="84"/>
      <c r="B343" s="84" t="s">
        <v>29</v>
      </c>
      <c r="C343" s="84"/>
      <c r="D343" s="142" t="s">
        <v>25</v>
      </c>
      <c r="E343" s="142"/>
      <c r="F343" s="94"/>
      <c r="G343" s="87" t="n">
        <v>0.3</v>
      </c>
      <c r="H343" s="89"/>
      <c r="I343" s="44"/>
      <c r="J343" s="44"/>
      <c r="K343" s="166"/>
      <c r="L343" s="166"/>
      <c r="M343" s="166" t="n">
        <f>VLOOKUP($B343,Conversores_Dieta!$B$4:$J$164,Coefs!M$292,0)</f>
        <v>4.6172895627106909</v>
      </c>
      <c r="N343" s="166"/>
      <c r="O343" s="94"/>
      <c r="P343" s="94"/>
      <c r="Q343" s="94"/>
      <c r="R343" s="134"/>
      <c r="S343" s="89" t="n">
        <f>VLOOKUP($B343,Conversores_Dieta!$B$4:$J$164,Coefs!S$292,0)</f>
        <v>1</v>
      </c>
      <c r="T343" s="130" t="n">
        <f>VLOOKUP($B343,Conversores_Dieta!$B$4:$J$164,Coefs!T$292,0)</f>
        <v>2.7609110814645409E-2</v>
      </c>
      <c r="U343" s="166" t="n">
        <f>VLOOKUP($B343,Conversores_Dieta!$B$4:$J$164,Coefs!U$292,0)</f>
        <v>37.380778434237556</v>
      </c>
      <c r="V343" s="166" t="n">
        <f>VLOOKUP($B343,Conversores_Dieta!$B$4:$J$164,Coefs!V$292,0)</f>
        <v>0</v>
      </c>
      <c r="W343" s="21" t="n">
        <f>VLOOKUP($B343,Conversores_Dieta!$B$4:$J$164,Coefs!W$292,0)</f>
        <v>0</v>
      </c>
      <c r="X343" s="21" t="n">
        <f>VLOOKUP($B343,Conversores_Dieta!$B$4:$J$164,Coefs!X$292,0)</f>
        <v>0</v>
      </c>
      <c r="Y343" s="67"/>
      <c r="Z343" s="67"/>
      <c r="AA343" s="67"/>
      <c r="AB343" s="67"/>
      <c r="AC343" s="67"/>
      <c r="AD343" s="153"/>
      <c r="AE343" s="153"/>
      <c r="AF343" s="153"/>
      <c r="AG343" s="153"/>
      <c r="AH343" s="153"/>
      <c r="AI343" s="121" t="n">
        <f>T343/G343</f>
        <v>9.2030369382151367E-2</v>
      </c>
      <c r="AJ343" s="130"/>
      <c r="AK343" s="153"/>
      <c r="AL343" s="121" t="n">
        <v>0.5</v>
      </c>
      <c r="AM343" s="153"/>
      <c r="AN343" s="153"/>
      <c r="AO343" s="153"/>
      <c r="AP343" s="153" t="s">
        <v>4</v>
      </c>
      <c r="AQ343" s="121" t="s">
        <v>4</v>
      </c>
      <c r="AR343" s="84"/>
      <c r="AS343" s="148"/>
      <c r="AT343" s="84"/>
      <c r="AU343" s="84"/>
      <c r="AV343" s="84"/>
      <c r="AW343" s="5"/>
      <c r="AX343" s="84"/>
      <c r="AY343" s="84"/>
      <c r="AZ343" t="n">
        <v>0.7</v>
      </c>
      <c r="BA343" t="n">
        <v>0</v>
      </c>
      <c r="BB343" t="n">
        <v>12</v>
      </c>
      <c r="BC343" t="n">
        <v>5.2</v>
      </c>
      <c r="BD343" t="n">
        <v>8.1000000000000014</v>
      </c>
      <c r="BE343" t="n">
        <v>0.70000000000000007</v>
      </c>
      <c r="BF343" t="n">
        <v>130</v>
      </c>
      <c r="BG343" t="n">
        <v>69</v>
      </c>
      <c r="BH343" t="n">
        <v>210</v>
      </c>
      <c r="BI343" t="n">
        <v>0</v>
      </c>
      <c r="BJ343" t="n">
        <v>250</v>
      </c>
      <c r="BK343" t="n">
        <v>22</v>
      </c>
      <c r="BL343" t="n">
        <v>2120</v>
      </c>
      <c r="BM343" t="n">
        <v>260</v>
      </c>
      <c r="BN343" t="n">
        <v>1.7000000000000002</v>
      </c>
      <c r="BO343" t="n">
        <v>0</v>
      </c>
      <c r="BP343" t="n">
        <v>0</v>
      </c>
      <c r="BQ343" s="110"/>
    </row>
    <row r="344">
      <c r="A344" s="84"/>
      <c r="B344" s="84" t="s">
        <v>28</v>
      </c>
      <c r="C344" s="84"/>
      <c r="D344" s="142" t="s">
        <v>25</v>
      </c>
      <c r="E344" s="142"/>
      <c r="F344" s="94"/>
      <c r="G344" s="87" t="n">
        <v>0.8</v>
      </c>
      <c r="H344" s="89"/>
      <c r="I344" s="44"/>
      <c r="J344" s="44"/>
      <c r="K344" s="166"/>
      <c r="L344" s="166"/>
      <c r="M344" s="157"/>
      <c r="N344" s="157"/>
      <c r="O344" s="103"/>
      <c r="P344" s="103"/>
      <c r="Q344" s="103"/>
      <c r="R344" s="134"/>
      <c r="S344" s="87"/>
      <c r="T344" s="15"/>
      <c r="U344" s="157"/>
      <c r="V344" s="157"/>
      <c r="W344" s="132"/>
      <c r="X344" s="132"/>
      <c r="Y344" s="132"/>
      <c r="Z344" s="132"/>
      <c r="AA344" s="132"/>
      <c r="AB344" s="132"/>
      <c r="AC344" s="132"/>
      <c r="AD344" s="132"/>
      <c r="AE344" s="153"/>
      <c r="AF344" s="153"/>
      <c r="AG344" s="153"/>
      <c r="AH344" s="153"/>
      <c r="AI344" s="153" t="n">
        <f>0.128/G344</f>
        <v>0.16</v>
      </c>
      <c r="AJ344" s="130"/>
      <c r="AK344" s="153"/>
      <c r="AL344" s="121" t="n">
        <v>0.5</v>
      </c>
      <c r="AM344" s="153"/>
      <c r="AN344" s="153"/>
      <c r="AO344" s="153"/>
      <c r="AP344" s="153" t="s">
        <v>4</v>
      </c>
      <c r="AQ344" s="121" t="s">
        <v>4</v>
      </c>
      <c r="AR344" s="84"/>
      <c r="AS344" s="148"/>
      <c r="AT344" s="84"/>
      <c r="AU344" s="84"/>
      <c r="AV344" s="84"/>
      <c r="AW344" s="5"/>
      <c r="AX344" s="84"/>
      <c r="AY344" s="84"/>
      <c r="AZ344" t="n">
        <v>0.7</v>
      </c>
      <c r="BQ344" s="110"/>
    </row>
    <row r="345">
      <c r="A345" s="84"/>
      <c r="B345" s="84" t="s">
        <v>27</v>
      </c>
      <c r="C345" s="84"/>
      <c r="D345" s="142" t="s">
        <v>25</v>
      </c>
      <c r="E345" s="142"/>
      <c r="F345" s="94"/>
      <c r="G345" s="87" t="n">
        <v>0.95</v>
      </c>
      <c r="H345" s="89"/>
      <c r="I345" s="44"/>
      <c r="J345" s="44"/>
      <c r="K345" s="166"/>
      <c r="L345" s="166"/>
      <c r="M345" s="157" t="n">
        <f>M$343*$G345/$G$343</f>
        <v>14.621416948583853</v>
      </c>
      <c r="N345" s="157"/>
      <c r="O345" s="103"/>
      <c r="P345" s="103"/>
      <c r="Q345" s="103"/>
      <c r="R345" s="134"/>
      <c r="S345" s="89" t="n">
        <v>1</v>
      </c>
      <c r="T345" s="15" t="n">
        <f>T$331*$G345/$G$331</f>
        <v>3.8383838383838381E-2</v>
      </c>
      <c r="U345" s="157" t="n">
        <f t="shared" ref="U345:X345" si="150">U$331*$G345/$G$331</f>
        <v>343.05555555555554</v>
      </c>
      <c r="V345" s="157" t="n">
        <f t="shared" si="150"/>
        <v>0</v>
      </c>
      <c r="W345" s="132" t="n">
        <f t="shared" si="150"/>
        <v>152.53663241860662</v>
      </c>
      <c r="X345" s="132" t="n">
        <f t="shared" si="150"/>
        <v>11.583105735466248</v>
      </c>
      <c r="Y345" s="66"/>
      <c r="Z345" s="66"/>
      <c r="AA345" s="66"/>
      <c r="AB345" s="66"/>
      <c r="AC345" s="66"/>
      <c r="AD345" s="153"/>
      <c r="AE345" s="153"/>
      <c r="AF345" s="153"/>
      <c r="AG345" s="153"/>
      <c r="AH345" s="153"/>
      <c r="AI345" s="153" t="n">
        <f>0.02192/G345</f>
        <v>2.3073684210526316E-2</v>
      </c>
      <c r="AJ345" s="15" t="n">
        <v>4.0410088648189166E-2</v>
      </c>
      <c r="AK345" s="121" t="n">
        <v>6.2415547271275655E-3</v>
      </c>
      <c r="AL345" s="121" t="n">
        <v>0.5</v>
      </c>
      <c r="AM345" s="153"/>
      <c r="AN345" s="153"/>
      <c r="AO345" s="153"/>
      <c r="AP345" s="153" t="s">
        <v>4</v>
      </c>
      <c r="AQ345" s="121" t="s">
        <v>4</v>
      </c>
      <c r="AR345" s="84"/>
      <c r="AS345" s="148"/>
      <c r="AT345" s="84"/>
      <c r="AU345" s="84"/>
      <c r="AV345" s="84"/>
      <c r="AW345" s="5"/>
      <c r="AX345" s="84"/>
      <c r="AY345" s="84"/>
      <c r="AZ345" t="n">
        <v>0.7</v>
      </c>
      <c r="BA345" s="156" t="n">
        <f>BA340</f>
        <v>0</v>
      </c>
      <c r="BB345" s="156" t="n">
        <f t="shared" ref="BB345:BP345" si="151">BB340</f>
        <v>29.900000000000002</v>
      </c>
      <c r="BC345" s="156" t="n">
        <f t="shared" si="151"/>
        <v>38.4</v>
      </c>
      <c r="BD345" s="156" t="n">
        <f t="shared" si="151"/>
        <v>19.899999999999999</v>
      </c>
      <c r="BE345" s="156" t="n">
        <f t="shared" si="151"/>
        <v>0.2</v>
      </c>
      <c r="BF345" s="156" t="n">
        <f t="shared" si="151"/>
        <v>13.4</v>
      </c>
      <c r="BG345" s="156" t="n">
        <f t="shared" si="151"/>
        <v>15.8</v>
      </c>
      <c r="BH345" s="156" t="n">
        <f t="shared" si="151"/>
        <v>211.8</v>
      </c>
      <c r="BI345" s="156" t="n">
        <f t="shared" si="151"/>
        <v>0</v>
      </c>
      <c r="BJ345" s="156" t="n">
        <f t="shared" si="151"/>
        <v>18.899999999999999</v>
      </c>
      <c r="BK345" s="156" t="n">
        <f t="shared" si="151"/>
        <v>2.3000000000000003</v>
      </c>
      <c r="BL345" s="156" t="n">
        <f t="shared" si="151"/>
        <v>103.3</v>
      </c>
      <c r="BM345" s="156" t="n">
        <f t="shared" si="151"/>
        <v>0</v>
      </c>
      <c r="BN345" s="156" t="n">
        <f t="shared" si="151"/>
        <v>0.89999999999999991</v>
      </c>
      <c r="BO345" s="156" t="n">
        <f t="shared" si="151"/>
        <v>0</v>
      </c>
      <c r="BP345" s="156" t="n">
        <f t="shared" si="151"/>
        <v>0</v>
      </c>
      <c r="BQ345" s="110"/>
    </row>
    <row r="346">
      <c r="A346" s="84"/>
      <c r="B346" s="84" t="s">
        <v>26</v>
      </c>
      <c r="C346" s="84"/>
      <c r="D346" s="142" t="s">
        <v>25</v>
      </c>
      <c r="E346" s="142"/>
      <c r="F346" s="94"/>
      <c r="G346" s="87" t="n">
        <v>0.8</v>
      </c>
      <c r="H346" s="87"/>
      <c r="I346" s="95"/>
      <c r="J346" s="95"/>
      <c r="K346" s="95"/>
      <c r="L346" s="95"/>
      <c r="M346" s="166" t="n">
        <f>VLOOKUP($B346,Conversores_Dieta!$B$4:$J$164,Coefs!M$292,0)</f>
        <v>29.357250350445558</v>
      </c>
      <c r="N346" s="166"/>
      <c r="O346" s="94"/>
      <c r="P346" s="94"/>
      <c r="Q346" s="94"/>
      <c r="R346" s="134"/>
      <c r="S346" s="89" t="n">
        <f>VLOOKUP($B346,Conversores_Dieta!$B$4:$J$164,Coefs!S$292,0)</f>
        <v>1</v>
      </c>
      <c r="T346" s="130" t="n">
        <f>VLOOKUP($B346,Conversores_Dieta!$B$4:$J$164,Coefs!T$292,0)</f>
        <v>0</v>
      </c>
      <c r="U346" s="166" t="n">
        <f>VLOOKUP($B346,Conversores_Dieta!$B$4:$J$164,Coefs!U$292,0)</f>
        <v>784.40195470755737</v>
      </c>
      <c r="V346" s="166" t="n">
        <f>VLOOKUP($B346,Conversores_Dieta!$B$4:$J$164,Coefs!V$292,0)</f>
        <v>0</v>
      </c>
      <c r="W346" s="21" t="n">
        <f>VLOOKUP($B346,Conversores_Dieta!$B$4:$J$164,Coefs!W$292,0)</f>
        <v>0</v>
      </c>
      <c r="X346" s="21" t="n">
        <f>VLOOKUP($B346,Conversores_Dieta!$B$4:$J$164,Coefs!X$292,0)</f>
        <v>0</v>
      </c>
      <c r="Y346" s="67"/>
      <c r="Z346" s="67"/>
      <c r="AA346" s="67"/>
      <c r="AB346" s="67"/>
      <c r="AC346" s="67"/>
      <c r="AD346" s="153"/>
      <c r="AE346" s="153"/>
      <c r="AF346" s="153"/>
      <c r="AG346" s="153"/>
      <c r="AH346" s="153"/>
      <c r="AI346" s="121" t="n">
        <f>T346/G346</f>
        <v>0</v>
      </c>
      <c r="AJ346" s="130" t="n">
        <v>0</v>
      </c>
      <c r="AK346" s="153" t="n">
        <v>0</v>
      </c>
      <c r="AL346" s="121" t="n">
        <v>0.5</v>
      </c>
      <c r="AM346" s="153"/>
      <c r="AN346" s="153"/>
      <c r="AO346" s="153"/>
      <c r="AP346" s="153" t="s">
        <v>4</v>
      </c>
      <c r="AQ346" s="121" t="s">
        <v>4</v>
      </c>
      <c r="AR346" s="84"/>
      <c r="AS346" s="148"/>
      <c r="AT346" s="84"/>
      <c r="AU346" s="84"/>
      <c r="AV346" s="84"/>
      <c r="AW346" s="5"/>
      <c r="AX346" s="84"/>
      <c r="AY346" s="84"/>
      <c r="AZ346" t="n">
        <v>0.7</v>
      </c>
      <c r="BA346" t="n">
        <v>0</v>
      </c>
      <c r="BB346" t="n">
        <v>392.29999999999995</v>
      </c>
      <c r="BC346" t="n">
        <v>429.6</v>
      </c>
      <c r="BD346" t="n">
        <v>155.6</v>
      </c>
      <c r="BE346" s="83" t="n">
        <v>0.8</v>
      </c>
      <c r="BF346" t="n">
        <v>1</v>
      </c>
      <c r="BG346" t="n">
        <v>19</v>
      </c>
      <c r="BH346" t="n">
        <v>250</v>
      </c>
      <c r="BI346" t="n">
        <v>0</v>
      </c>
      <c r="BJ346" t="n">
        <v>0</v>
      </c>
      <c r="BK346" t="n">
        <v>0</v>
      </c>
      <c r="BL346" t="n">
        <v>0</v>
      </c>
      <c r="BM346" t="n">
        <v>0</v>
      </c>
      <c r="BN346" t="n">
        <v>0</v>
      </c>
      <c r="BO346" t="n">
        <v>0</v>
      </c>
      <c r="BP346" t="n">
        <v>0</v>
      </c>
      <c r="BQ346" s="110"/>
    </row>
    <row r="347">
      <c r="A347" s="84"/>
      <c r="B347" s="84" t="s">
        <v>449</v>
      </c>
      <c r="C347" s="84"/>
      <c r="D347" s="142"/>
      <c r="E347" s="142"/>
      <c r="F347" s="94"/>
      <c r="G347" s="87" t="n">
        <f>G346</f>
        <v>0.8</v>
      </c>
      <c r="H347" s="87"/>
      <c r="I347" s="95"/>
      <c r="J347" s="95"/>
      <c r="K347" s="95"/>
      <c r="L347" s="95"/>
      <c r="M347" s="157"/>
      <c r="N347" s="166"/>
      <c r="O347" s="94"/>
      <c r="P347" s="94"/>
      <c r="Q347" s="94"/>
      <c r="R347" s="134"/>
      <c r="S347" s="89"/>
      <c r="T347" s="130"/>
      <c r="U347" s="166"/>
      <c r="V347" s="166"/>
      <c r="W347" s="21"/>
      <c r="X347" s="21"/>
      <c r="Y347" s="153"/>
      <c r="Z347" s="153"/>
      <c r="AA347" s="153"/>
      <c r="AB347" s="153"/>
      <c r="AC347" s="153"/>
      <c r="AD347" s="153"/>
      <c r="AE347" s="153"/>
      <c r="AF347" s="153"/>
      <c r="AG347" s="153"/>
      <c r="AH347" s="153"/>
      <c r="AI347" s="153" t="n">
        <f>0.15/G347</f>
        <v>0.18749999999999997</v>
      </c>
      <c r="AJ347" s="130"/>
      <c r="AK347" s="153"/>
      <c r="AL347" s="121"/>
      <c r="AM347" s="153"/>
      <c r="AN347" s="153"/>
      <c r="AO347" s="153"/>
      <c r="AP347" s="153"/>
      <c r="AQ347" s="121"/>
      <c r="AR347" s="84"/>
      <c r="AS347" s="148"/>
      <c r="AT347" s="84"/>
      <c r="AU347" s="84"/>
      <c r="AV347" s="84"/>
      <c r="AW347" s="5"/>
      <c r="AX347" s="84"/>
      <c r="AY347" s="84"/>
      <c r="AZ347" t="n">
        <v>0.7</v>
      </c>
      <c r="BQ347" s="110"/>
    </row>
    <row r="348">
      <c r="A348" s="70"/>
      <c r="B348" s="70" t="s">
        <v>24</v>
      </c>
      <c r="C348" s="70" t="s">
        <v>820</v>
      </c>
      <c r="D348" s="142"/>
      <c r="E348" s="68"/>
      <c r="F348" s="13"/>
      <c r="G348" s="93"/>
      <c r="H348" s="93"/>
      <c r="I348" s="144"/>
      <c r="J348" s="144"/>
      <c r="K348" s="144"/>
      <c r="L348" s="144"/>
      <c r="R348" s="134"/>
      <c r="S348" s="62"/>
      <c r="AI348" s="155"/>
      <c r="AJ348" s="155"/>
      <c r="AK348" s="155"/>
      <c r="AL348" s="155"/>
      <c r="AM348" s="155"/>
      <c r="AN348" s="155"/>
      <c r="AO348" s="155"/>
      <c r="AP348" s="155"/>
      <c r="AQ348" s="155"/>
      <c r="AR348" s="155"/>
      <c r="AS348" s="148"/>
      <c r="AT348" s="84"/>
      <c r="AU348" s="84"/>
      <c r="AV348" s="84"/>
      <c r="AW348" s="144"/>
      <c r="AX348" s="70"/>
      <c r="AY348" s="70"/>
      <c r="AZ348" t="n">
        <v>0.7</v>
      </c>
      <c r="BQ348" s="110"/>
    </row>
    <row r="349">
      <c r="A349" s="84"/>
      <c r="B349" s="91" t="s">
        <v>23</v>
      </c>
      <c r="C349" s="72" t="n">
        <v>0.6183333333333334</v>
      </c>
      <c r="D349" s="142" t="s">
        <v>13</v>
      </c>
      <c r="E349" s="142"/>
      <c r="F349" s="94"/>
      <c r="G349" s="87" t="n">
        <v>0.25</v>
      </c>
      <c r="H349" s="89"/>
      <c r="I349" s="44"/>
      <c r="J349" s="44"/>
      <c r="K349" s="166"/>
      <c r="L349" s="166"/>
      <c r="M349" s="166" t="n">
        <f>VLOOKUP($B349,Conversores_Dieta!$B$4:$J$164,Coefs!M$292,0)</f>
        <v>4.2221408136208218</v>
      </c>
      <c r="R349" s="134"/>
      <c r="S349" s="89" t="n">
        <f>VLOOKUP($B349,Conversores_Dieta!$B$4:$J$164,Coefs!S$292,0)</f>
        <v>0.63666666666666683</v>
      </c>
      <c r="T349" s="130" t="n">
        <f>VLOOKUP($B349,Conversores_Dieta!$B$4:$J$164,Coefs!T$292,0)</f>
        <v>2.7121333333333331E-2</v>
      </c>
      <c r="U349" s="166" t="n">
        <f>VLOOKUP($B349,Conversores_Dieta!$B$4:$J$164,Coefs!U$292,0)</f>
        <v>36.666666666666664</v>
      </c>
      <c r="V349" s="166" t="n">
        <f>VLOOKUP($B349,Conversores_Dieta!$B$4:$J$164,Coefs!V$292,0)</f>
        <v>0.29166666666666669</v>
      </c>
      <c r="W349" s="21" t="n">
        <f>VLOOKUP($B349,Conversores_Dieta!$B$4:$J$164,Coefs!W$292,0)</f>
        <v>652.25833333333333</v>
      </c>
      <c r="X349" s="21" t="n">
        <f>VLOOKUP($B349,Conversores_Dieta!$B$4:$J$164,Coefs!X$292,0)</f>
        <v>527.625</v>
      </c>
      <c r="Y349" s="66"/>
      <c r="Z349" s="66"/>
      <c r="AA349" s="66"/>
      <c r="AB349" s="66"/>
      <c r="AC349" s="66"/>
      <c r="AD349" s="171"/>
      <c r="AE349" s="171"/>
      <c r="AF349" s="171"/>
      <c r="AG349" s="171"/>
      <c r="AH349" s="171"/>
      <c r="AI349" s="121" t="n">
        <f t="shared" ref="AI349:AI358" si="152">T349/G349</f>
        <v>0.10848533333333332</v>
      </c>
      <c r="AJ349" s="15" t="n">
        <v>2.7989444395953307E-2</v>
      </c>
      <c r="AK349" s="121" t="n">
        <v>1.0076468543376831E-2</v>
      </c>
      <c r="AL349" s="121" t="n">
        <v>0.5</v>
      </c>
      <c r="AM349" s="153"/>
      <c r="AN349" s="153"/>
      <c r="AO349" s="153"/>
      <c r="AP349" s="153" t="s">
        <v>4</v>
      </c>
      <c r="AQ349" s="121" t="s">
        <v>4</v>
      </c>
      <c r="AR349" s="84"/>
      <c r="AS349" s="148"/>
      <c r="AT349" s="84"/>
      <c r="AU349" s="84"/>
      <c r="AV349" s="84"/>
      <c r="AW349" s="5"/>
      <c r="AX349" s="84"/>
      <c r="AY349" s="84"/>
      <c r="AZ349" t="n">
        <v>0.7</v>
      </c>
      <c r="BA349" t="n">
        <v>0</v>
      </c>
      <c r="BB349" t="n">
        <v>4.2</v>
      </c>
      <c r="BC349" t="n">
        <v>4.4000000000000004</v>
      </c>
      <c r="BD349" t="n">
        <v>7</v>
      </c>
      <c r="BE349" t="n">
        <v>4.4000000000000004</v>
      </c>
      <c r="BF349" t="n">
        <v>13.3</v>
      </c>
      <c r="BG349" t="n">
        <v>13.3</v>
      </c>
      <c r="BH349" t="n">
        <v>288.60000000000002</v>
      </c>
      <c r="BI349" t="n">
        <v>0</v>
      </c>
      <c r="BJ349" t="n">
        <v>33.1</v>
      </c>
      <c r="BK349" t="n">
        <v>70.400000000000006</v>
      </c>
      <c r="BL349" t="n">
        <v>139.1</v>
      </c>
      <c r="BM349" t="n">
        <v>0</v>
      </c>
      <c r="BN349" t="n">
        <v>20</v>
      </c>
      <c r="BO349" t="n">
        <v>0</v>
      </c>
      <c r="BP349" t="n">
        <v>0</v>
      </c>
      <c r="BQ349" s="110"/>
    </row>
    <row r="350">
      <c r="A350" s="84" t="s">
        <v>584</v>
      </c>
      <c r="B350" s="88" t="s">
        <v>22</v>
      </c>
      <c r="C350" s="72" t="n">
        <v>1</v>
      </c>
      <c r="D350" s="142" t="s">
        <v>13</v>
      </c>
      <c r="E350" s="142"/>
      <c r="F350" s="94"/>
      <c r="G350" s="87" t="n">
        <v>0.25</v>
      </c>
      <c r="H350" s="89"/>
      <c r="I350" s="44"/>
      <c r="J350" s="44"/>
      <c r="K350" s="166"/>
      <c r="L350" s="166"/>
      <c r="M350" s="166" t="n">
        <f>VLOOKUP($B350,Conversores_Dieta!$B$4:$J$164,Coefs!M$292,0)</f>
        <v>2.1352313167259789</v>
      </c>
      <c r="N350" s="166"/>
      <c r="O350" s="94"/>
      <c r="P350" s="94"/>
      <c r="Q350" s="94"/>
      <c r="R350" s="134"/>
      <c r="S350" s="89" t="n">
        <f>VLOOKUP($B350,Conversores_Dieta!$B$4:$J$164,Coefs!S$292,0)</f>
        <v>0.79</v>
      </c>
      <c r="T350" s="130" t="n">
        <f>VLOOKUP($B350,Conversores_Dieta!$B$4:$J$164,Coefs!T$292,0)</f>
        <v>1.6959999999999999E-2</v>
      </c>
      <c r="U350" s="166" t="n">
        <f>VLOOKUP($B350,Conversores_Dieta!$B$4:$J$164,Coefs!U$292,0)</f>
        <v>10</v>
      </c>
      <c r="V350" s="166" t="n">
        <f>VLOOKUP($B350,Conversores_Dieta!$B$4:$J$164,Coefs!V$292,0)</f>
        <v>0</v>
      </c>
      <c r="W350" s="21" t="n">
        <f>VLOOKUP($B350,Conversores_Dieta!$B$4:$J$164,Coefs!W$292,0)</f>
        <v>1440</v>
      </c>
      <c r="X350" s="21" t="n">
        <f>VLOOKUP($B350,Conversores_Dieta!$B$4:$J$164,Coefs!X$292,0)</f>
        <v>700</v>
      </c>
      <c r="Y350" s="66"/>
      <c r="Z350" s="66"/>
      <c r="AA350" s="66"/>
      <c r="AB350" s="66"/>
      <c r="AC350" s="66"/>
      <c r="AD350" s="171"/>
      <c r="AE350" s="171"/>
      <c r="AF350" s="171"/>
      <c r="AG350" s="171"/>
      <c r="AH350" s="171"/>
      <c r="AI350" s="121" t="n">
        <f t="shared" si="152"/>
        <v>6.7839999999999998E-2</v>
      </c>
      <c r="AJ350" s="15" t="n">
        <v>2.7989444395953307E-2</v>
      </c>
      <c r="AK350" s="121" t="n">
        <v>1.0076468543376831E-2</v>
      </c>
      <c r="AL350" s="121" t="n">
        <v>0.5</v>
      </c>
      <c r="AM350" s="153"/>
      <c r="AN350" s="153"/>
      <c r="AO350" s="153"/>
      <c r="AP350" s="153" t="s">
        <v>4</v>
      </c>
      <c r="AQ350" s="121" t="s">
        <v>4</v>
      </c>
      <c r="AR350" s="84"/>
      <c r="AS350" s="148"/>
      <c r="AT350" s="84"/>
      <c r="AU350" s="84"/>
      <c r="AV350" s="84"/>
      <c r="AW350" s="5"/>
      <c r="AX350" s="84"/>
      <c r="AY350" s="84"/>
      <c r="AZ350" t="n">
        <v>0.7</v>
      </c>
      <c r="BA350" t="n">
        <v>0</v>
      </c>
      <c r="BB350" t="n">
        <v>2.1</v>
      </c>
      <c r="BC350" t="n">
        <v>1.4000000000000001</v>
      </c>
      <c r="BD350" t="n">
        <v>3.5999999999999996</v>
      </c>
      <c r="BE350" t="n">
        <v>1.4000000000000001</v>
      </c>
      <c r="BF350" t="n">
        <v>12</v>
      </c>
      <c r="BG350" t="n">
        <v>17</v>
      </c>
      <c r="BH350" t="n">
        <v>280</v>
      </c>
      <c r="BI350" t="n">
        <v>0</v>
      </c>
      <c r="BJ350" t="n">
        <v>30</v>
      </c>
      <c r="BK350" t="n">
        <v>0</v>
      </c>
      <c r="BL350" t="n">
        <v>130</v>
      </c>
      <c r="BM350" t="n">
        <v>0</v>
      </c>
      <c r="BN350" t="n">
        <v>21</v>
      </c>
      <c r="BO350" t="n">
        <v>0</v>
      </c>
      <c r="BP350" t="n">
        <v>0</v>
      </c>
      <c r="BQ350" s="110"/>
    </row>
    <row r="351">
      <c r="A351" s="84"/>
      <c r="B351" s="88" t="s">
        <v>21</v>
      </c>
      <c r="C351" s="72" t="n">
        <v>1</v>
      </c>
      <c r="D351" s="142" t="s">
        <v>13</v>
      </c>
      <c r="E351" s="142"/>
      <c r="F351" s="94"/>
      <c r="G351" s="87" t="n">
        <v>0.25</v>
      </c>
      <c r="H351" s="89"/>
      <c r="I351" s="44"/>
      <c r="J351" s="44"/>
      <c r="K351" s="166"/>
      <c r="L351" s="166"/>
      <c r="M351" s="166" t="n">
        <f>VLOOKUP($B351,Conversores_Dieta!$B$4:$J$164,Coefs!M$292,0)</f>
        <v>3.8936571069709025</v>
      </c>
      <c r="N351" s="166"/>
      <c r="O351" s="94"/>
      <c r="P351" s="94"/>
      <c r="Q351" s="94"/>
      <c r="R351" s="134"/>
      <c r="S351" s="146" t="n">
        <f>AVERAGE(VLOOKUP($B351,Conversores_Dieta!$B$4:$J$164,Coefs!S$292,0),0.37)</f>
        <v>0.42</v>
      </c>
      <c r="T351" s="130" t="n">
        <f>VLOOKUP($B351,Conversores_Dieta!$B$4:$J$164,Coefs!T$292,0)</f>
        <v>3.2160000000000001E-2</v>
      </c>
      <c r="U351" s="166" t="n">
        <f>VLOOKUP($B351,Conversores_Dieta!$B$4:$J$164,Coefs!U$292,0)</f>
        <v>14</v>
      </c>
      <c r="V351" s="166" t="n">
        <f>VLOOKUP($B351,Conversores_Dieta!$B$4:$J$164,Coefs!V$292,0)</f>
        <v>0</v>
      </c>
      <c r="W351" s="21" t="n">
        <f>VLOOKUP($B351,Conversores_Dieta!$B$4:$J$164,Coefs!W$292,0)</f>
        <v>2200</v>
      </c>
      <c r="X351" s="21" t="n">
        <f>VLOOKUP($B351,Conversores_Dieta!$B$4:$J$164,Coefs!X$292,0)</f>
        <v>90</v>
      </c>
      <c r="Y351" s="66"/>
      <c r="Z351" s="66"/>
      <c r="AA351" s="66"/>
      <c r="AB351" s="66"/>
      <c r="AC351" s="66"/>
      <c r="AD351" s="171"/>
      <c r="AE351" s="171"/>
      <c r="AF351" s="171"/>
      <c r="AG351" s="171"/>
      <c r="AH351" s="171"/>
      <c r="AI351" s="121" t="n">
        <f>T351/G351</f>
        <v>0.12864</v>
      </c>
      <c r="AJ351" s="15" t="n">
        <v>2.7989444395953307E-2</v>
      </c>
      <c r="AK351" s="121" t="n">
        <v>1.0076468543376831E-2</v>
      </c>
      <c r="AL351" s="121" t="n">
        <v>0.5</v>
      </c>
      <c r="AM351" s="153"/>
      <c r="AN351" s="153"/>
      <c r="AO351" s="153"/>
      <c r="AP351" s="153" t="s">
        <v>4</v>
      </c>
      <c r="AQ351" s="121" t="s">
        <v>4</v>
      </c>
      <c r="AR351" s="84"/>
      <c r="AS351" s="148"/>
      <c r="AT351" s="84"/>
      <c r="AU351" s="84"/>
      <c r="AV351" s="84"/>
      <c r="AW351" s="5"/>
      <c r="AX351" s="84"/>
      <c r="AY351" s="84"/>
      <c r="AZ351" t="n">
        <v>0.7</v>
      </c>
      <c r="BA351" t="n">
        <v>0</v>
      </c>
      <c r="BB351" t="n">
        <v>2</v>
      </c>
      <c r="BC351" t="n">
        <v>1</v>
      </c>
      <c r="BD351" t="n">
        <v>2</v>
      </c>
      <c r="BE351" t="n">
        <v>1.9</v>
      </c>
      <c r="BF351" t="n">
        <v>5.2</v>
      </c>
      <c r="BG351" t="n">
        <v>15</v>
      </c>
      <c r="BH351" t="n">
        <v>340</v>
      </c>
      <c r="BI351" t="n">
        <v>0</v>
      </c>
      <c r="BJ351" t="n">
        <v>10</v>
      </c>
      <c r="BK351" t="n">
        <v>180</v>
      </c>
      <c r="BL351" t="n">
        <v>20</v>
      </c>
      <c r="BM351" t="n">
        <v>0</v>
      </c>
      <c r="BN351" t="n">
        <v>28.5</v>
      </c>
      <c r="BO351" t="n">
        <v>0</v>
      </c>
      <c r="BP351" t="n">
        <v>0</v>
      </c>
      <c r="BQ351" s="110"/>
    </row>
    <row r="352">
      <c r="A352" s="84"/>
      <c r="B352" s="88" t="s">
        <v>20</v>
      </c>
      <c r="C352" s="72" t="n">
        <v>0.56000000000000005</v>
      </c>
      <c r="D352" s="142" t="s">
        <v>13</v>
      </c>
      <c r="E352" s="142"/>
      <c r="F352" s="94"/>
      <c r="G352" s="87" t="n">
        <v>0.25</v>
      </c>
      <c r="H352" s="89"/>
      <c r="I352" s="44"/>
      <c r="J352" s="44"/>
      <c r="K352" s="166"/>
      <c r="L352" s="166"/>
      <c r="M352" s="166" t="n">
        <f>VLOOKUP($B352,Conversores_Dieta!$B$4:$J$164,Coefs!M$292,0)</f>
        <v>2.8888423696880889</v>
      </c>
      <c r="N352" s="166"/>
      <c r="O352" s="94"/>
      <c r="P352" s="94"/>
      <c r="Q352" s="94"/>
      <c r="R352" s="134"/>
      <c r="S352" s="146" t="n">
        <f>AVERAGE(VLOOKUP($B352,Conversores_Dieta!$B$4:$J$164,Coefs!S$292,0),0.6)</f>
        <v>0.67500000000000004</v>
      </c>
      <c r="T352" s="130" t="n">
        <f>VLOOKUP($B352,Conversores_Dieta!$B$4:$J$164,Coefs!T$292,0)</f>
        <v>2.5600000000000001E-2</v>
      </c>
      <c r="U352" s="166" t="n">
        <f>VLOOKUP($B352,Conversores_Dieta!$B$4:$J$164,Coefs!U$292,0)</f>
        <v>6</v>
      </c>
      <c r="V352" s="166" t="n">
        <f>VLOOKUP($B352,Conversores_Dieta!$B$4:$J$164,Coefs!V$292,0)</f>
        <v>0</v>
      </c>
      <c r="W352" s="21" t="n">
        <f>VLOOKUP($B352,Conversores_Dieta!$B$4:$J$164,Coefs!W$292,0)</f>
        <v>480</v>
      </c>
      <c r="X352" s="21" t="n">
        <f>VLOOKUP($B352,Conversores_Dieta!$B$4:$J$164,Coefs!X$292,0)</f>
        <v>0</v>
      </c>
      <c r="Y352" s="66"/>
      <c r="Z352" s="66"/>
      <c r="AA352" s="66"/>
      <c r="AB352" s="66"/>
      <c r="AC352" s="66"/>
      <c r="AD352" s="171"/>
      <c r="AE352" s="171"/>
      <c r="AF352" s="171"/>
      <c r="AG352" s="171"/>
      <c r="AH352" s="171"/>
      <c r="AI352" s="121" t="n">
        <f t="shared" si="152"/>
        <v>0.1024</v>
      </c>
      <c r="AJ352" s="15" t="n">
        <v>2.7989444395953307E-2</v>
      </c>
      <c r="AK352" s="121" t="n">
        <v>1.0076468543376831E-2</v>
      </c>
      <c r="AL352" s="121" t="n">
        <v>0.5</v>
      </c>
      <c r="AM352" s="153"/>
      <c r="AN352" s="153"/>
      <c r="AO352" s="153"/>
      <c r="AP352" s="153" t="s">
        <v>4</v>
      </c>
      <c r="AQ352" s="121" t="s">
        <v>4</v>
      </c>
      <c r="AR352" s="84"/>
      <c r="AS352" s="148"/>
      <c r="AT352" s="84"/>
      <c r="AU352" s="84"/>
      <c r="AV352" s="84"/>
      <c r="AW352" s="5"/>
      <c r="AX352" s="84"/>
      <c r="AY352" s="84"/>
      <c r="AZ352" t="n">
        <v>0.7</v>
      </c>
      <c r="BA352" t="n">
        <v>0</v>
      </c>
      <c r="BB352" t="n">
        <v>5.5</v>
      </c>
      <c r="BC352" t="n">
        <v>9.1</v>
      </c>
      <c r="BD352" t="n">
        <v>3.7</v>
      </c>
      <c r="BE352" s="80" t="n">
        <v>1.3</v>
      </c>
      <c r="BF352" t="n">
        <v>7</v>
      </c>
      <c r="BG352" t="n">
        <v>20</v>
      </c>
      <c r="BH352" t="n">
        <v>300</v>
      </c>
      <c r="BI352" t="n">
        <v>0</v>
      </c>
      <c r="BJ352" t="n">
        <v>10</v>
      </c>
      <c r="BK352" t="n">
        <v>220</v>
      </c>
      <c r="BL352" t="n">
        <v>130</v>
      </c>
      <c r="BM352" t="n">
        <v>0</v>
      </c>
      <c r="BN352" t="n">
        <v>41</v>
      </c>
      <c r="BO352" t="n">
        <v>0</v>
      </c>
      <c r="BP352" t="n">
        <v>0</v>
      </c>
      <c r="BQ352" s="110"/>
    </row>
    <row r="353">
      <c r="A353" s="84"/>
      <c r="B353" s="88" t="s">
        <v>19</v>
      </c>
      <c r="C353" s="72" t="n">
        <v>0.85</v>
      </c>
      <c r="D353" s="142" t="s">
        <v>13</v>
      </c>
      <c r="E353" s="142"/>
      <c r="F353" s="94"/>
      <c r="G353" s="87" t="n">
        <v>0.9</v>
      </c>
      <c r="H353" s="89"/>
      <c r="I353" s="44"/>
      <c r="J353" s="44"/>
      <c r="K353" s="166"/>
      <c r="L353" s="166"/>
      <c r="M353" s="157" t="n">
        <f>M$349*$G353/$G$349</f>
        <v>15.199706929034958</v>
      </c>
      <c r="N353" s="157"/>
      <c r="O353" s="103"/>
      <c r="P353" s="103"/>
      <c r="Q353" s="103"/>
      <c r="R353" s="134"/>
      <c r="S353" s="87" t="n">
        <v>1</v>
      </c>
      <c r="T353" s="15" t="n">
        <f t="shared" ref="T353:T355" si="153">T$349*$G353/$G$349</f>
        <v>9.7636799999999996E-2</v>
      </c>
      <c r="U353" s="157" t="n">
        <f t="shared" ref="U353:X355" si="154">U$349*$G353/$G$349</f>
        <v>132</v>
      </c>
      <c r="V353" s="157" t="n">
        <f t="shared" si="154"/>
        <v>1.05</v>
      </c>
      <c r="W353" s="132" t="n">
        <f t="shared" si="154"/>
        <v>2348.13</v>
      </c>
      <c r="X353" s="132" t="n">
        <f t="shared" si="154"/>
        <v>1899.45</v>
      </c>
      <c r="Y353" s="66"/>
      <c r="Z353" s="66"/>
      <c r="AA353" s="66"/>
      <c r="AB353" s="66"/>
      <c r="AC353" s="66"/>
      <c r="AD353" s="153"/>
      <c r="AE353" s="153"/>
      <c r="AF353" s="153"/>
      <c r="AG353" s="153"/>
      <c r="AH353" s="153"/>
      <c r="AI353" s="121" t="n">
        <f t="shared" si="152"/>
        <v>0.10848533333333332</v>
      </c>
      <c r="AJ353" s="15" t="n">
        <v>2.7989444395953307E-2</v>
      </c>
      <c r="AK353" s="121" t="n">
        <v>1.0076468543376831E-2</v>
      </c>
      <c r="AL353" s="121" t="n">
        <v>0.5</v>
      </c>
      <c r="AM353" s="153"/>
      <c r="AN353" s="153"/>
      <c r="AO353" s="153"/>
      <c r="AP353" s="153" t="s">
        <v>4</v>
      </c>
      <c r="AQ353" s="121" t="s">
        <v>4</v>
      </c>
      <c r="AR353" s="84"/>
      <c r="AS353" s="148"/>
      <c r="AT353" s="84"/>
      <c r="AU353" s="84"/>
      <c r="AV353" s="84"/>
      <c r="AW353" s="5"/>
      <c r="AX353" s="84"/>
      <c r="AY353" s="84"/>
      <c r="AZ353" t="n">
        <v>0.7</v>
      </c>
      <c r="BA353" t="n">
        <f>BA355</f>
        <v>0</v>
      </c>
      <c r="BB353" t="n">
        <f t="shared" ref="BB353:BP353" si="155">BB355</f>
        <v>1.7000000000000002</v>
      </c>
      <c r="BC353" t="n">
        <f t="shared" si="155"/>
        <v>1.7000000000000002</v>
      </c>
      <c r="BD353" t="n">
        <f t="shared" si="155"/>
        <v>3.3000000000000003</v>
      </c>
      <c r="BE353" t="n">
        <f t="shared" si="155"/>
        <v>4.6000000000000005</v>
      </c>
      <c r="BF353" t="n">
        <f t="shared" si="155"/>
        <v>1</v>
      </c>
      <c r="BG353" t="n">
        <f t="shared" si="155"/>
        <v>8</v>
      </c>
      <c r="BH353" t="n">
        <f t="shared" si="155"/>
        <v>260</v>
      </c>
      <c r="BI353" t="n">
        <f t="shared" si="155"/>
        <v>0</v>
      </c>
      <c r="BJ353" t="n">
        <f t="shared" si="155"/>
        <v>10</v>
      </c>
      <c r="BK353" t="n">
        <f t="shared" si="155"/>
        <v>0</v>
      </c>
      <c r="BL353" t="n">
        <f t="shared" si="155"/>
        <v>120</v>
      </c>
      <c r="BM353" t="n">
        <f t="shared" si="155"/>
        <v>0</v>
      </c>
      <c r="BN353" t="n">
        <f t="shared" si="155"/>
        <v>16</v>
      </c>
      <c r="BO353" t="n">
        <f t="shared" si="155"/>
        <v>0</v>
      </c>
      <c r="BP353" t="n">
        <f t="shared" si="155"/>
        <v>0</v>
      </c>
      <c r="BQ353" s="110"/>
    </row>
    <row r="354">
      <c r="A354" s="84"/>
      <c r="B354" s="88" t="s">
        <v>18</v>
      </c>
      <c r="C354" s="72" t="n">
        <v>0.85</v>
      </c>
      <c r="D354" s="142" t="s">
        <v>13</v>
      </c>
      <c r="E354" s="142"/>
      <c r="F354" s="94"/>
      <c r="G354" s="87" t="n">
        <v>0.25</v>
      </c>
      <c r="H354" s="89"/>
      <c r="I354" s="44"/>
      <c r="J354" s="44"/>
      <c r="K354" s="166"/>
      <c r="L354" s="166"/>
      <c r="M354" s="157" t="n">
        <f>M$349*$G354/$G$349</f>
        <v>4.2221408136208218</v>
      </c>
      <c r="N354" s="157"/>
      <c r="O354" s="103"/>
      <c r="P354" s="103"/>
      <c r="Q354" s="103"/>
      <c r="R354" s="134"/>
      <c r="S354" s="143" t="n">
        <v>0.6</v>
      </c>
      <c r="T354" s="15" t="n">
        <f t="shared" si="153"/>
        <v>2.7121333333333331E-2</v>
      </c>
      <c r="U354" s="157" t="n">
        <f t="shared" si="154"/>
        <v>36.666666666666664</v>
      </c>
      <c r="V354" s="157" t="n">
        <f t="shared" si="154"/>
        <v>0.29166666666666669</v>
      </c>
      <c r="W354" s="132" t="n">
        <f t="shared" si="154"/>
        <v>652.25833333333333</v>
      </c>
      <c r="X354" s="132" t="n">
        <f t="shared" si="154"/>
        <v>527.625</v>
      </c>
      <c r="Y354" s="66"/>
      <c r="Z354" s="66"/>
      <c r="AA354" s="66"/>
      <c r="AB354" s="66"/>
      <c r="AC354" s="66"/>
      <c r="AD354" s="171"/>
      <c r="AE354" s="171"/>
      <c r="AF354" s="171"/>
      <c r="AG354" s="171"/>
      <c r="AH354" s="171"/>
      <c r="AI354" s="121" t="n">
        <f t="shared" si="152"/>
        <v>0.10848533333333332</v>
      </c>
      <c r="AJ354" s="15" t="n">
        <v>2.7989444395953307E-2</v>
      </c>
      <c r="AK354" s="121" t="n">
        <v>1.0076468543376831E-2</v>
      </c>
      <c r="AL354" s="121" t="n">
        <v>0.5</v>
      </c>
      <c r="AM354" s="153"/>
      <c r="AN354" s="153"/>
      <c r="AO354" s="153"/>
      <c r="AP354" s="153" t="s">
        <v>4</v>
      </c>
      <c r="AQ354" s="121" t="s">
        <v>4</v>
      </c>
      <c r="AR354" s="84"/>
      <c r="AS354" s="148"/>
      <c r="AT354" s="84"/>
      <c r="AU354" s="84"/>
      <c r="AV354" s="84"/>
      <c r="AW354" s="5"/>
      <c r="AX354" s="84"/>
      <c r="AY354" s="84"/>
      <c r="AZ354" t="n">
        <v>0.7</v>
      </c>
      <c r="BA354" t="n">
        <v>0</v>
      </c>
      <c r="BB354" t="n">
        <v>4.3</v>
      </c>
      <c r="BC354" t="n">
        <v>7.4</v>
      </c>
      <c r="BD354" t="n">
        <v>18.3</v>
      </c>
      <c r="BE354" t="n">
        <v>9.2000000000000011</v>
      </c>
      <c r="BF354" t="n">
        <v>10</v>
      </c>
      <c r="BG354" t="n">
        <v>8</v>
      </c>
      <c r="BH354" t="n">
        <v>280</v>
      </c>
      <c r="BI354" t="n">
        <v>0</v>
      </c>
      <c r="BJ354" t="n">
        <v>52</v>
      </c>
      <c r="BK354" t="n">
        <v>21</v>
      </c>
      <c r="BL354" t="n">
        <v>94</v>
      </c>
      <c r="BM354" t="n">
        <v>0</v>
      </c>
      <c r="BN354" t="n">
        <v>15</v>
      </c>
      <c r="BO354" t="n">
        <v>0</v>
      </c>
      <c r="BP354" t="n">
        <v>0</v>
      </c>
      <c r="BQ354" s="110"/>
    </row>
    <row r="355">
      <c r="A355" s="70"/>
      <c r="B355" s="90" t="s">
        <v>17</v>
      </c>
      <c r="C355" s="72" t="n">
        <v>0.63</v>
      </c>
      <c r="D355" s="142" t="s">
        <v>13</v>
      </c>
      <c r="E355" s="133"/>
      <c r="F355" s="111"/>
      <c r="G355" s="122" t="n">
        <v>0.25</v>
      </c>
      <c r="H355" s="122"/>
      <c r="I355" s="73"/>
      <c r="J355" s="73"/>
      <c r="K355" s="18"/>
      <c r="L355" s="18"/>
      <c r="M355" s="157" t="n">
        <f>M$349*$G355/$G$349</f>
        <v>4.2221408136208218</v>
      </c>
      <c r="N355" s="157"/>
      <c r="O355" s="103"/>
      <c r="P355" s="103"/>
      <c r="Q355" s="103"/>
      <c r="R355" s="134"/>
      <c r="S355" s="143" t="n">
        <v>0.85</v>
      </c>
      <c r="T355" s="15" t="n">
        <f t="shared" si="153"/>
        <v>2.7121333333333331E-2</v>
      </c>
      <c r="U355" s="157" t="n">
        <f t="shared" si="154"/>
        <v>36.666666666666664</v>
      </c>
      <c r="V355" s="157" t="n">
        <f t="shared" si="154"/>
        <v>0.29166666666666669</v>
      </c>
      <c r="W355" s="132" t="n">
        <f t="shared" si="154"/>
        <v>652.25833333333333</v>
      </c>
      <c r="X355" s="132" t="n">
        <f t="shared" si="154"/>
        <v>527.625</v>
      </c>
      <c r="Y355" s="66"/>
      <c r="Z355" s="66"/>
      <c r="AA355" s="66"/>
      <c r="AB355" s="66"/>
      <c r="AC355" s="66"/>
      <c r="AD355" s="171"/>
      <c r="AE355" s="171"/>
      <c r="AF355" s="171"/>
      <c r="AG355" s="171"/>
      <c r="AH355" s="171"/>
      <c r="AI355" s="121" t="n">
        <f t="shared" si="152"/>
        <v>0.10848533333333332</v>
      </c>
      <c r="AJ355" s="38" t="n">
        <v>2.7989444395953307E-2</v>
      </c>
      <c r="AK355" s="150" t="n">
        <v>1.0076468543376831E-2</v>
      </c>
      <c r="AL355" s="150" t="n">
        <v>0.5</v>
      </c>
      <c r="AM355" s="150"/>
      <c r="AN355" s="150"/>
      <c r="AO355" s="150"/>
      <c r="AP355" s="153" t="s">
        <v>4</v>
      </c>
      <c r="AQ355" s="121" t="s">
        <v>4</v>
      </c>
      <c r="AR355" s="84"/>
      <c r="AS355" s="148"/>
      <c r="AT355" s="84"/>
      <c r="AU355" s="84"/>
      <c r="AV355" s="84"/>
      <c r="AW355" s="70"/>
      <c r="AX355" s="70"/>
      <c r="AY355" s="70"/>
      <c r="AZ355" t="n">
        <v>0.7</v>
      </c>
      <c r="BA355" t="n">
        <v>0</v>
      </c>
      <c r="BB355" t="n">
        <v>1.7000000000000002</v>
      </c>
      <c r="BC355" t="n">
        <v>1.7000000000000002</v>
      </c>
      <c r="BD355" t="n">
        <v>3.3000000000000003</v>
      </c>
      <c r="BE355" t="n">
        <v>4.6000000000000005</v>
      </c>
      <c r="BF355" t="n">
        <v>1</v>
      </c>
      <c r="BG355" t="n">
        <v>8</v>
      </c>
      <c r="BH355" t="n">
        <v>260</v>
      </c>
      <c r="BI355" t="n">
        <v>0</v>
      </c>
      <c r="BJ355" t="n">
        <v>10</v>
      </c>
      <c r="BK355" t="n">
        <v>0</v>
      </c>
      <c r="BL355" t="n">
        <v>120</v>
      </c>
      <c r="BM355" t="n">
        <v>0</v>
      </c>
      <c r="BN355" t="n">
        <v>16</v>
      </c>
      <c r="BO355" t="n">
        <v>0</v>
      </c>
      <c r="BP355" t="n">
        <v>0</v>
      </c>
      <c r="BQ355" s="110"/>
    </row>
    <row r="356">
      <c r="A356" s="84"/>
      <c r="B356" s="88" t="s">
        <v>16</v>
      </c>
      <c r="C356" s="72" t="n">
        <v>0.14000000000000001</v>
      </c>
      <c r="D356" s="142" t="s">
        <v>13</v>
      </c>
      <c r="E356" s="142"/>
      <c r="F356" s="94"/>
      <c r="G356" s="87" t="n">
        <v>0.25</v>
      </c>
      <c r="H356" s="89"/>
      <c r="I356" s="44"/>
      <c r="J356" s="44"/>
      <c r="K356" s="166"/>
      <c r="L356" s="166"/>
      <c r="M356" s="166" t="n">
        <f>VLOOKUP($B356,Conversores_Dieta!$B$4:$J$164,Coefs!M$292,0)</f>
        <v>2.5120368432070337</v>
      </c>
      <c r="N356" s="166" t="n">
        <v>1.728E-2</v>
      </c>
      <c r="O356" s="94"/>
      <c r="P356" s="94"/>
      <c r="Q356" s="94"/>
      <c r="R356" s="134"/>
      <c r="S356" s="146" t="n">
        <f>AVERAGE(VLOOKUP($B356,Conversores_Dieta!$B$4:$J$164,Coefs!S$292,0),0.23)</f>
        <v>0.24</v>
      </c>
      <c r="T356" s="130" t="n">
        <f>VLOOKUP($B356,Conversores_Dieta!$B$4:$J$164,Coefs!T$292,0)</f>
        <v>1.728E-2</v>
      </c>
      <c r="U356" s="166" t="n">
        <f>VLOOKUP($B356,Conversores_Dieta!$B$4:$J$164,Coefs!U$292,0)</f>
        <v>19</v>
      </c>
      <c r="V356" s="166" t="n">
        <f>VLOOKUP($B356,Conversores_Dieta!$B$4:$J$164,Coefs!V$292,0)</f>
        <v>0</v>
      </c>
      <c r="W356" s="21" t="n">
        <f>VLOOKUP($B356,Conversores_Dieta!$B$4:$J$164,Coefs!W$292,0)</f>
        <v>800</v>
      </c>
      <c r="X356" s="21" t="n">
        <f>VLOOKUP($B356,Conversores_Dieta!$B$4:$J$164,Coefs!X$292,0)</f>
        <v>0</v>
      </c>
      <c r="Y356" s="66"/>
      <c r="Z356" s="66"/>
      <c r="AA356" s="66"/>
      <c r="AB356" s="66"/>
      <c r="AC356" s="66"/>
      <c r="AD356" s="171"/>
      <c r="AE356" s="171"/>
      <c r="AF356" s="171"/>
      <c r="AG356" s="171"/>
      <c r="AH356" s="171"/>
      <c r="AI356" s="121" t="n">
        <f t="shared" si="152"/>
        <v>6.9120000000000001E-2</v>
      </c>
      <c r="AJ356" s="15" t="n">
        <v>2.7989444395953307E-2</v>
      </c>
      <c r="AK356" s="121" t="n">
        <v>1.0076468543376831E-2</v>
      </c>
      <c r="AL356" s="121" t="n">
        <v>0.5</v>
      </c>
      <c r="AM356" s="153"/>
      <c r="AN356" s="153"/>
      <c r="AO356" s="153"/>
      <c r="AP356" s="153" t="s">
        <v>4</v>
      </c>
      <c r="AQ356" s="121" t="s">
        <v>4</v>
      </c>
      <c r="AR356" s="84"/>
      <c r="AS356" s="148"/>
      <c r="AT356" s="84"/>
      <c r="AU356" s="84"/>
      <c r="AV356" s="84"/>
      <c r="AW356" s="5"/>
      <c r="AX356" s="84"/>
      <c r="AY356" s="84"/>
      <c r="AZ356" t="n">
        <v>0.7</v>
      </c>
      <c r="BA356" t="n">
        <v>0</v>
      </c>
      <c r="BB356" t="n">
        <v>4.0999999999999996</v>
      </c>
      <c r="BC356" t="n">
        <v>3.5</v>
      </c>
      <c r="BD356" t="n">
        <v>5.2</v>
      </c>
      <c r="BE356" t="n">
        <v>7</v>
      </c>
      <c r="BF356" t="n">
        <v>45</v>
      </c>
      <c r="BG356" t="n">
        <v>18</v>
      </c>
      <c r="BH356" t="n">
        <v>230</v>
      </c>
      <c r="BI356" t="n">
        <v>0</v>
      </c>
      <c r="BJ356" t="n">
        <v>80</v>
      </c>
      <c r="BK356" t="n">
        <v>0</v>
      </c>
      <c r="BL356" t="n">
        <v>330</v>
      </c>
      <c r="BM356" t="n">
        <v>0</v>
      </c>
      <c r="BN356" t="n">
        <v>9</v>
      </c>
      <c r="BO356" t="n">
        <v>0</v>
      </c>
      <c r="BP356" t="n">
        <v>0</v>
      </c>
      <c r="BQ356" s="110"/>
    </row>
    <row r="357">
      <c r="A357" s="84"/>
      <c r="B357" s="88" t="s">
        <v>15</v>
      </c>
      <c r="C357" s="72" t="n">
        <v>0.68</v>
      </c>
      <c r="D357" s="142" t="s">
        <v>13</v>
      </c>
      <c r="E357" s="142"/>
      <c r="F357" s="94"/>
      <c r="G357" s="87" t="n">
        <v>0.25</v>
      </c>
      <c r="H357" s="89"/>
      <c r="I357" s="44"/>
      <c r="J357" s="44"/>
      <c r="K357" s="166"/>
      <c r="L357" s="166"/>
      <c r="M357" s="166" t="n">
        <f>VLOOKUP($B357,Conversores_Dieta!$B$4:$J$164,Coefs!M$292,0)</f>
        <v>3.2656478961691437</v>
      </c>
      <c r="N357" s="166"/>
      <c r="O357" s="94"/>
      <c r="P357" s="94"/>
      <c r="Q357" s="94"/>
      <c r="R357" s="134"/>
      <c r="S357" s="146" t="n">
        <f>AVERAGE(VLOOKUP($B357,Conversores_Dieta!$B$4:$J$164,Coefs!S$292,0),0.83)</f>
        <v>0.69</v>
      </c>
      <c r="T357" s="130" t="n">
        <f>VLOOKUP($B357,Conversores_Dieta!$B$4:$J$164,Coefs!T$292,0)</f>
        <v>2.64E-2</v>
      </c>
      <c r="U357" s="166" t="n">
        <f>VLOOKUP($B357,Conversores_Dieta!$B$4:$J$164,Coefs!U$292,0)</f>
        <v>13</v>
      </c>
      <c r="V357" s="166" t="n">
        <f>VLOOKUP($B357,Conversores_Dieta!$B$4:$J$164,Coefs!V$292,0)</f>
        <v>0</v>
      </c>
      <c r="W357" s="21" t="n">
        <f>VLOOKUP($B357,Conversores_Dieta!$B$4:$J$164,Coefs!W$292,0)</f>
        <v>30</v>
      </c>
      <c r="X357" s="21" t="n">
        <f>VLOOKUP($B357,Conversores_Dieta!$B$4:$J$164,Coefs!X$292,0)</f>
        <v>0</v>
      </c>
      <c r="Y357" s="66"/>
      <c r="Z357" s="66"/>
      <c r="AA357" s="66"/>
      <c r="AB357" s="66"/>
      <c r="AC357" s="66"/>
      <c r="AD357" s="171"/>
      <c r="AE357" s="171"/>
      <c r="AF357" s="171"/>
      <c r="AG357" s="171"/>
      <c r="AH357" s="171"/>
      <c r="AI357" s="121" t="n">
        <f t="shared" si="152"/>
        <v>0.1056</v>
      </c>
      <c r="AJ357" s="15" t="n">
        <v>2.7989444395953307E-2</v>
      </c>
      <c r="AK357" s="121" t="n">
        <v>1.0076468543376831E-2</v>
      </c>
      <c r="AL357" s="121" t="n">
        <v>0.5</v>
      </c>
      <c r="AM357" s="153"/>
      <c r="AN357" s="153"/>
      <c r="AO357" s="153"/>
      <c r="AP357" s="153" t="s">
        <v>4</v>
      </c>
      <c r="AQ357" s="121" t="s">
        <v>4</v>
      </c>
      <c r="AR357" s="84"/>
      <c r="AS357" s="148"/>
      <c r="AT357" s="84"/>
      <c r="AU357" s="84"/>
      <c r="AV357" s="84"/>
      <c r="AW357" s="5"/>
      <c r="AX357" s="84"/>
      <c r="AY357" s="84"/>
      <c r="AZ357" t="n">
        <v>0.7</v>
      </c>
      <c r="BA357" t="n">
        <v>0</v>
      </c>
      <c r="BB357" t="n">
        <v>9.6</v>
      </c>
      <c r="BC357" t="n">
        <v>6.5</v>
      </c>
      <c r="BD357" t="n">
        <v>13.200000000000001</v>
      </c>
      <c r="BE357" t="n">
        <v>6.5</v>
      </c>
      <c r="BF357" t="n">
        <v>13</v>
      </c>
      <c r="BG357" t="n">
        <v>7</v>
      </c>
      <c r="BH357" t="n">
        <v>330</v>
      </c>
      <c r="BI357" t="n">
        <v>0</v>
      </c>
      <c r="BJ357" t="n">
        <v>40</v>
      </c>
      <c r="BK357" t="n">
        <v>72</v>
      </c>
      <c r="BL357" t="n">
        <v>150</v>
      </c>
      <c r="BM357" t="n">
        <v>0</v>
      </c>
      <c r="BN357" t="n">
        <v>10</v>
      </c>
      <c r="BO357" t="n">
        <v>0</v>
      </c>
      <c r="BP357" t="n">
        <v>0</v>
      </c>
      <c r="BQ357" s="110"/>
    </row>
    <row r="358">
      <c r="A358" s="84"/>
      <c r="B358" s="88" t="s">
        <v>14</v>
      </c>
      <c r="C358" s="76" t="n">
        <v>1</v>
      </c>
      <c r="D358" s="142" t="s">
        <v>13</v>
      </c>
      <c r="E358" s="142"/>
      <c r="F358" s="94"/>
      <c r="G358" s="87" t="n">
        <v>0.98</v>
      </c>
      <c r="H358" s="89"/>
      <c r="I358" s="44"/>
      <c r="J358" s="44"/>
      <c r="K358" s="166"/>
      <c r="L358" s="166"/>
      <c r="M358" s="157" t="n">
        <f>M346</f>
        <v>29.357250350445558</v>
      </c>
      <c r="N358" s="166"/>
      <c r="O358" s="94"/>
      <c r="P358" s="94"/>
      <c r="Q358" s="94"/>
      <c r="R358" s="134"/>
      <c r="S358" s="87" t="n">
        <f>S346</f>
        <v>1</v>
      </c>
      <c r="T358" s="15" t="n">
        <f>T346</f>
        <v>0</v>
      </c>
      <c r="U358" s="157" t="n">
        <f t="shared" ref="U358:X358" si="156">U346</f>
        <v>784.40195470755737</v>
      </c>
      <c r="V358" s="157" t="n">
        <f t="shared" si="156"/>
        <v>0</v>
      </c>
      <c r="W358" s="132" t="n">
        <f t="shared" si="156"/>
        <v>0</v>
      </c>
      <c r="X358" s="132" t="n">
        <f t="shared" si="156"/>
        <v>0</v>
      </c>
      <c r="Y358" s="66"/>
      <c r="Z358" s="66"/>
      <c r="AA358" s="66"/>
      <c r="AB358" s="66"/>
      <c r="AC358" s="66"/>
      <c r="AD358" s="153"/>
      <c r="AE358" s="153"/>
      <c r="AF358" s="153"/>
      <c r="AG358" s="153"/>
      <c r="AH358" s="153"/>
      <c r="AI358" s="121" t="n">
        <f t="shared" si="152"/>
        <v>0</v>
      </c>
      <c r="AJ358" s="130" t="n">
        <v>0</v>
      </c>
      <c r="AK358" s="153" t="n">
        <v>0</v>
      </c>
      <c r="AL358" s="121" t="n">
        <v>0.5</v>
      </c>
      <c r="AM358" s="153"/>
      <c r="AN358" s="153"/>
      <c r="AO358" s="153"/>
      <c r="AP358" s="153" t="s">
        <v>4</v>
      </c>
      <c r="AQ358" s="121" t="s">
        <v>4</v>
      </c>
      <c r="AR358" s="84"/>
      <c r="AS358" s="148"/>
      <c r="AT358" s="84"/>
      <c r="AU358" s="84"/>
      <c r="AV358" s="84"/>
      <c r="AW358" s="5"/>
      <c r="AX358" s="84"/>
      <c r="AY358" s="84"/>
      <c r="AZ358" t="n">
        <v>0.7</v>
      </c>
      <c r="BQ358" s="110"/>
    </row>
    <row r="359">
      <c r="A359" s="70"/>
      <c r="B359" s="79" t="s">
        <v>12</v>
      </c>
      <c r="C359" s="79"/>
      <c r="D359" s="142"/>
      <c r="E359" s="68"/>
      <c r="F359" s="13"/>
      <c r="G359" s="46"/>
      <c r="H359" s="46"/>
      <c r="I359" s="70"/>
      <c r="J359" s="70"/>
      <c r="K359" s="24"/>
      <c r="L359" s="24"/>
      <c r="M359" s="24"/>
      <c r="N359" s="24"/>
      <c r="O359" s="13"/>
      <c r="P359" s="13"/>
      <c r="Q359" s="13"/>
      <c r="R359" s="134"/>
      <c r="S359" s="46"/>
      <c r="T359" s="31"/>
      <c r="U359" s="24"/>
      <c r="V359" s="24"/>
      <c r="W359" s="27"/>
      <c r="X359" s="27"/>
      <c r="Y359" s="155"/>
      <c r="Z359" s="155"/>
      <c r="AA359" s="155"/>
      <c r="AB359" s="155"/>
      <c r="AC359" s="155"/>
      <c r="AD359" s="155"/>
      <c r="AE359" s="155"/>
      <c r="AF359" s="155"/>
      <c r="AG359" s="155"/>
      <c r="AH359" s="155"/>
      <c r="AI359" s="155"/>
      <c r="AJ359" s="31"/>
      <c r="AK359" s="155"/>
      <c r="AL359" s="155"/>
      <c r="AM359" s="155"/>
      <c r="AN359" s="155"/>
      <c r="AO359" s="155"/>
      <c r="AP359" s="153" t="s">
        <v>4</v>
      </c>
      <c r="AQ359" s="121" t="s">
        <v>4</v>
      </c>
      <c r="AR359" s="84"/>
      <c r="AS359" s="148"/>
      <c r="AT359" s="84"/>
      <c r="AU359" s="84"/>
      <c r="AV359" s="84"/>
      <c r="AW359" s="144"/>
      <c r="AX359" s="70"/>
      <c r="AY359" s="70"/>
      <c r="AZ359" t="n">
        <v>0.7</v>
      </c>
      <c r="BQ359" s="155"/>
    </row>
    <row r="360">
      <c r="A360" s="84"/>
      <c r="B360" s="44" t="s">
        <v>433</v>
      </c>
      <c r="C360" s="44"/>
      <c r="D360" s="142" t="s">
        <v>443</v>
      </c>
      <c r="E360" s="142"/>
      <c r="F360" s="94"/>
      <c r="G360" s="89"/>
      <c r="H360" s="153" t="n">
        <v>0.39500000000000002</v>
      </c>
      <c r="I360" s="44"/>
      <c r="J360" s="44"/>
      <c r="K360" s="166"/>
      <c r="L360" s="166"/>
      <c r="M360" s="166"/>
      <c r="N360" s="166"/>
      <c r="O360" s="94"/>
      <c r="P360" s="94"/>
      <c r="Q360" s="94"/>
      <c r="R360" s="134"/>
      <c r="S360" s="89"/>
      <c r="T360" s="130"/>
      <c r="U360" s="166"/>
      <c r="V360" s="166"/>
      <c r="W360" s="21"/>
      <c r="X360" s="21"/>
      <c r="Y360" s="153"/>
      <c r="Z360" s="153"/>
      <c r="AA360" s="153"/>
      <c r="AB360" s="153"/>
      <c r="AC360" s="153"/>
      <c r="AD360" s="153"/>
      <c r="AE360" s="153"/>
      <c r="AF360" s="153"/>
      <c r="AG360" s="153"/>
      <c r="AH360" s="153"/>
      <c r="AI360" s="153"/>
      <c r="AJ360" s="130"/>
      <c r="AK360" s="153"/>
      <c r="AL360" s="153"/>
      <c r="AM360" s="39" t="n">
        <v>2.1579855816421762E-2</v>
      </c>
      <c r="AN360" s="39"/>
      <c r="AO360" s="39"/>
      <c r="AP360" s="121" t="n">
        <f>AW360*AM360</f>
        <v>0.43511882653467582</v>
      </c>
      <c r="AQ360" s="121" t="n">
        <v>0.25433636363636369</v>
      </c>
      <c r="AR360" s="84"/>
      <c r="AS360" s="148"/>
      <c r="AT360" s="84"/>
      <c r="AU360" s="84"/>
      <c r="AV360" s="84"/>
      <c r="AW360" s="166" t="n">
        <v>20.163194334392198</v>
      </c>
      <c r="AX360" s="84"/>
      <c r="AY360" s="84"/>
      <c r="AZ360" t="n">
        <v>0.7</v>
      </c>
      <c r="BQ360" s="153"/>
    </row>
    <row r="361">
      <c r="A361" s="84"/>
      <c r="B361" s="44" t="s">
        <v>434</v>
      </c>
      <c r="C361" s="44"/>
      <c r="D361" s="142" t="s">
        <v>443</v>
      </c>
      <c r="E361" s="142"/>
      <c r="F361" s="94"/>
      <c r="G361" s="89"/>
      <c r="H361" s="121" t="n">
        <v>0.38750000000000001</v>
      </c>
      <c r="I361" s="44"/>
      <c r="J361" s="44"/>
      <c r="K361" s="166"/>
      <c r="L361" s="166"/>
      <c r="M361" s="166"/>
      <c r="N361" s="166"/>
      <c r="O361" s="94"/>
      <c r="P361" s="94"/>
      <c r="Q361" s="94"/>
      <c r="R361" s="134"/>
      <c r="S361" s="89"/>
      <c r="T361" s="130"/>
      <c r="U361" s="166"/>
      <c r="V361" s="166"/>
      <c r="W361" s="21"/>
      <c r="X361" s="21"/>
      <c r="Y361" s="153"/>
      <c r="Z361" s="153"/>
      <c r="AA361" s="153"/>
      <c r="AB361" s="153"/>
      <c r="AC361" s="153"/>
      <c r="AD361" s="153"/>
      <c r="AE361" s="153"/>
      <c r="AF361" s="153"/>
      <c r="AG361" s="153"/>
      <c r="AH361" s="153"/>
      <c r="AI361" s="153"/>
      <c r="AJ361" s="130"/>
      <c r="AK361" s="153"/>
      <c r="AL361" s="153"/>
      <c r="AM361" s="39" t="n">
        <v>2.0568624209490259E-2</v>
      </c>
      <c r="AN361" s="153"/>
      <c r="AO361" s="39"/>
      <c r="AP361" s="121" t="n">
        <f t="shared" ref="AP361:AP394" si="157">AW361*AM361</f>
        <v>0.43624453029429611</v>
      </c>
      <c r="AQ361" s="121" t="n">
        <v>0.25433636363636369</v>
      </c>
      <c r="AR361" s="84"/>
      <c r="AS361" s="148"/>
      <c r="AT361" s="84"/>
      <c r="AU361" s="84"/>
      <c r="AV361" s="84"/>
      <c r="AW361" s="166" t="n">
        <v>21.209222641785399</v>
      </c>
      <c r="AX361" s="84"/>
      <c r="AY361" s="84"/>
      <c r="AZ361" t="n">
        <v>0.7</v>
      </c>
      <c r="BQ361" s="153"/>
    </row>
    <row r="362">
      <c r="A362" s="84"/>
      <c r="B362" s="44" t="s">
        <v>435</v>
      </c>
      <c r="C362" s="44"/>
      <c r="D362" s="142" t="s">
        <v>443</v>
      </c>
      <c r="E362" s="142"/>
      <c r="F362" s="94"/>
      <c r="G362" s="89"/>
      <c r="H362" s="153" t="n">
        <v>0.38</v>
      </c>
      <c r="I362" s="44"/>
      <c r="J362" s="44"/>
      <c r="K362" s="166"/>
      <c r="L362" s="166"/>
      <c r="M362" s="166"/>
      <c r="N362" s="166"/>
      <c r="O362" s="94"/>
      <c r="P362" s="94"/>
      <c r="Q362" s="94"/>
      <c r="R362" s="134"/>
      <c r="S362" s="89"/>
      <c r="T362" s="130"/>
      <c r="U362" s="166"/>
      <c r="V362" s="166"/>
      <c r="W362" s="21"/>
      <c r="X362" s="21"/>
      <c r="Y362" s="153"/>
      <c r="Z362" s="153"/>
      <c r="AA362" s="153"/>
      <c r="AB362" s="153"/>
      <c r="AC362" s="153"/>
      <c r="AD362" s="153"/>
      <c r="AE362" s="153"/>
      <c r="AF362" s="153"/>
      <c r="AG362" s="153"/>
      <c r="AH362" s="153"/>
      <c r="AI362" s="153"/>
      <c r="AJ362" s="130"/>
      <c r="AK362" s="153"/>
      <c r="AL362" s="153"/>
      <c r="AM362" s="39" t="n">
        <v>9.9000000000000008E-3</v>
      </c>
      <c r="AN362" s="153" t="n">
        <v>2.2000000000000001E-3</v>
      </c>
      <c r="AO362" s="153" t="n">
        <v>3.0999999999999999E-3</v>
      </c>
      <c r="AP362" s="121" t="n">
        <f t="shared" si="157"/>
        <v>0.46980000000000005</v>
      </c>
      <c r="AQ362" s="121" t="n">
        <v>0.25433636363636369</v>
      </c>
      <c r="AR362" s="84"/>
      <c r="AS362" s="148"/>
      <c r="AT362" s="84"/>
      <c r="AU362" s="84"/>
      <c r="AV362" s="84"/>
      <c r="AW362" s="166" t="n">
        <v>47.454545454545453</v>
      </c>
      <c r="AX362" s="84"/>
      <c r="AY362" s="84"/>
      <c r="AZ362" t="n">
        <v>0.7</v>
      </c>
      <c r="BQ362" s="153"/>
    </row>
    <row r="363">
      <c r="A363" s="5"/>
      <c r="B363" s="95" t="s">
        <v>436</v>
      </c>
      <c r="C363" s="95"/>
      <c r="D363" s="131" t="s">
        <v>443</v>
      </c>
      <c r="E363" s="131"/>
      <c r="F363" s="103"/>
      <c r="G363" s="87"/>
      <c r="H363" s="121"/>
      <c r="I363" s="95"/>
      <c r="J363" s="95"/>
      <c r="K363" s="157"/>
      <c r="L363" s="157"/>
      <c r="M363" s="157"/>
      <c r="N363" s="157"/>
      <c r="O363" s="103"/>
      <c r="P363" s="103"/>
      <c r="Q363" s="103"/>
      <c r="R363" s="134"/>
      <c r="S363" s="87"/>
      <c r="T363" s="15"/>
      <c r="U363" s="157"/>
      <c r="V363" s="157"/>
      <c r="W363" s="132"/>
      <c r="X363" s="132"/>
      <c r="Y363" s="121"/>
      <c r="Z363" s="121"/>
      <c r="AA363" s="121"/>
      <c r="AB363" s="121"/>
      <c r="AC363" s="121"/>
      <c r="AD363" s="121"/>
      <c r="AE363" s="121"/>
      <c r="AF363" s="121"/>
      <c r="AG363" s="121"/>
      <c r="AH363" s="121"/>
      <c r="AI363" s="121"/>
      <c r="AJ363" s="15"/>
      <c r="AK363" s="121"/>
      <c r="AL363" s="121"/>
      <c r="AM363" s="121" t="n">
        <f>AM362</f>
        <v>9.9000000000000008E-3</v>
      </c>
      <c r="AN363" s="121" t="n">
        <f>AN362</f>
        <v>2.2000000000000001E-3</v>
      </c>
      <c r="AO363" s="121" t="n">
        <f>AO362</f>
        <v>3.0999999999999999E-3</v>
      </c>
      <c r="AP363" s="121" t="n">
        <f t="shared" si="157"/>
        <v>0.46980000000000005</v>
      </c>
      <c r="AQ363" s="121" t="n">
        <f>AQ362</f>
        <v>0.25433636363636369</v>
      </c>
      <c r="AR363" s="5"/>
      <c r="AS363" s="152"/>
      <c r="AT363" s="5"/>
      <c r="AU363" s="5"/>
      <c r="AV363" s="5"/>
      <c r="AW363" s="157" t="n">
        <f>AW362</f>
        <v>47.454545454545453</v>
      </c>
      <c r="AX363" s="5"/>
      <c r="AY363" s="5"/>
      <c r="AZ363" t="n">
        <v>0.7</v>
      </c>
      <c r="BA363"/>
      <c r="BB363"/>
      <c r="BC363"/>
      <c r="BD363"/>
      <c r="BE363"/>
      <c r="BF363"/>
      <c r="BG363"/>
      <c r="BH363"/>
      <c r="BI363"/>
      <c r="BJ363"/>
      <c r="BK363"/>
      <c r="BL363"/>
      <c r="BM363"/>
      <c r="BN363"/>
      <c r="BO363"/>
      <c r="BP363"/>
      <c r="BQ363" s="121"/>
    </row>
    <row r="364">
      <c r="A364" s="5"/>
      <c r="B364" s="95" t="s">
        <v>437</v>
      </c>
      <c r="C364" s="95"/>
      <c r="D364" s="131" t="s">
        <v>443</v>
      </c>
      <c r="E364" s="131"/>
      <c r="F364" s="103"/>
      <c r="G364" s="87"/>
      <c r="H364" s="121"/>
      <c r="I364" s="95"/>
      <c r="J364" s="95"/>
      <c r="K364" s="157"/>
      <c r="L364" s="157"/>
      <c r="M364" s="157"/>
      <c r="N364" s="157"/>
      <c r="O364" s="103"/>
      <c r="P364" s="103"/>
      <c r="Q364" s="103"/>
      <c r="R364" s="134"/>
      <c r="S364" s="87"/>
      <c r="T364" s="15"/>
      <c r="U364" s="157"/>
      <c r="V364" s="157"/>
      <c r="W364" s="132"/>
      <c r="X364" s="132"/>
      <c r="Y364" s="121"/>
      <c r="Z364" s="121"/>
      <c r="AA364" s="121"/>
      <c r="AB364" s="121"/>
      <c r="AC364" s="121"/>
      <c r="AD364" s="121"/>
      <c r="AE364" s="121"/>
      <c r="AF364" s="121"/>
      <c r="AG364" s="121"/>
      <c r="AH364" s="121"/>
      <c r="AI364" s="121"/>
      <c r="AJ364" s="15"/>
      <c r="AK364" s="121"/>
      <c r="AL364" s="121"/>
      <c r="AM364" s="121" t="n">
        <f>AM361</f>
        <v>2.0568624209490259E-2</v>
      </c>
      <c r="AN364" s="121"/>
      <c r="AO364" s="121"/>
      <c r="AP364" s="121" t="n">
        <f t="shared" si="157"/>
        <v>0.43624453029429611</v>
      </c>
      <c r="AQ364" s="121" t="n">
        <f>AQ361</f>
        <v>0.25433636363636369</v>
      </c>
      <c r="AR364" s="5"/>
      <c r="AS364" s="152"/>
      <c r="AT364" s="5"/>
      <c r="AU364" s="5"/>
      <c r="AV364" s="5"/>
      <c r="AW364" s="157" t="n">
        <f>AW361</f>
        <v>21.209222641785399</v>
      </c>
      <c r="AX364" s="5"/>
      <c r="AY364" s="5"/>
      <c r="AZ364" t="n">
        <v>0.7</v>
      </c>
      <c r="BA364"/>
      <c r="BB364"/>
      <c r="BC364"/>
      <c r="BD364"/>
      <c r="BE364"/>
      <c r="BF364"/>
      <c r="BG364"/>
      <c r="BH364"/>
      <c r="BI364"/>
      <c r="BJ364"/>
      <c r="BK364"/>
      <c r="BL364"/>
      <c r="BM364"/>
      <c r="BN364"/>
      <c r="BO364"/>
      <c r="BP364"/>
      <c r="BQ364" s="121"/>
    </row>
    <row r="365">
      <c r="A365" s="5"/>
      <c r="B365" s="95" t="s">
        <v>438</v>
      </c>
      <c r="C365" s="95"/>
      <c r="D365" s="131" t="s">
        <v>443</v>
      </c>
      <c r="E365" s="131"/>
      <c r="F365" s="103"/>
      <c r="G365" s="87"/>
      <c r="H365" s="121"/>
      <c r="I365" s="95"/>
      <c r="J365" s="95"/>
      <c r="K365" s="157"/>
      <c r="L365" s="157"/>
      <c r="M365" s="157"/>
      <c r="N365" s="157"/>
      <c r="O365" s="103"/>
      <c r="P365" s="103"/>
      <c r="Q365" s="103"/>
      <c r="R365" s="134"/>
      <c r="S365" s="87"/>
      <c r="T365" s="15"/>
      <c r="U365" s="157"/>
      <c r="V365" s="157"/>
      <c r="W365" s="132"/>
      <c r="X365" s="132"/>
      <c r="Y365" s="121"/>
      <c r="Z365" s="121"/>
      <c r="AA365" s="121"/>
      <c r="AB365" s="121"/>
      <c r="AC365" s="121"/>
      <c r="AD365" s="121"/>
      <c r="AE365" s="121"/>
      <c r="AF365" s="121"/>
      <c r="AG365" s="121"/>
      <c r="AH365" s="121"/>
      <c r="AI365" s="121"/>
      <c r="AJ365" s="15"/>
      <c r="AK365" s="121"/>
      <c r="AL365" s="121"/>
      <c r="AM365" s="121" t="n">
        <f>AM368</f>
        <v>2.0568624209490259E-2</v>
      </c>
      <c r="AN365" s="121"/>
      <c r="AO365" s="121" t="n">
        <f>AO368</f>
        <v>3.0999999999999999E-3</v>
      </c>
      <c r="AP365" s="121" t="n">
        <f t="shared" si="157"/>
        <v>0.43624453029429611</v>
      </c>
      <c r="AQ365" s="121" t="n">
        <f>AQ368</f>
        <v>0.25433636363636369</v>
      </c>
      <c r="AR365" s="5"/>
      <c r="AS365" s="152"/>
      <c r="AT365" s="5"/>
      <c r="AU365" s="5"/>
      <c r="AV365" s="5"/>
      <c r="AW365" s="157" t="n">
        <f>AW368</f>
        <v>21.209222641785399</v>
      </c>
      <c r="AX365" s="5"/>
      <c r="AY365" s="5"/>
      <c r="AZ365" t="n">
        <v>0.7</v>
      </c>
      <c r="BA365"/>
      <c r="BB365"/>
      <c r="BC365"/>
      <c r="BD365"/>
      <c r="BE365"/>
      <c r="BF365"/>
      <c r="BG365"/>
      <c r="BH365"/>
      <c r="BI365"/>
      <c r="BJ365"/>
      <c r="BK365"/>
      <c r="BL365"/>
      <c r="BM365"/>
      <c r="BN365"/>
      <c r="BO365"/>
      <c r="BP365"/>
      <c r="BQ365" s="121"/>
    </row>
    <row r="366">
      <c r="A366" s="84"/>
      <c r="B366" s="44" t="s">
        <v>440</v>
      </c>
      <c r="C366" s="44"/>
      <c r="D366" s="142" t="s">
        <v>443</v>
      </c>
      <c r="E366" s="142"/>
      <c r="F366" s="94"/>
      <c r="G366" s="89"/>
      <c r="H366" s="153" t="n">
        <v>0.75</v>
      </c>
      <c r="I366" s="44"/>
      <c r="J366" s="44"/>
      <c r="K366" s="166"/>
      <c r="L366" s="166"/>
      <c r="M366" s="166"/>
      <c r="N366" s="166"/>
      <c r="O366" s="94"/>
      <c r="P366" s="94"/>
      <c r="Q366" s="94"/>
      <c r="R366" s="134"/>
      <c r="S366" s="89"/>
      <c r="T366" s="130"/>
      <c r="U366" s="166"/>
      <c r="V366" s="166"/>
      <c r="W366" s="21"/>
      <c r="X366" s="21"/>
      <c r="Y366" s="153"/>
      <c r="Z366" s="153"/>
      <c r="AA366" s="153"/>
      <c r="AB366" s="153"/>
      <c r="AC366" s="153"/>
      <c r="AD366" s="153"/>
      <c r="AE366" s="153"/>
      <c r="AF366" s="153"/>
      <c r="AG366" s="153"/>
      <c r="AH366" s="153"/>
      <c r="AI366" s="153"/>
      <c r="AJ366" s="130"/>
      <c r="AK366" s="153"/>
      <c r="AL366" s="153"/>
      <c r="AM366" s="39" t="n">
        <v>4.4754401154401151E-2</v>
      </c>
      <c r="AN366" s="153" t="n">
        <v>1.1899999999999999E-2</v>
      </c>
      <c r="AO366" s="153" t="n">
        <v>1.3999999999999999E-2</v>
      </c>
      <c r="AP366" s="121" t="n">
        <f t="shared" si="157"/>
        <v>0.38338759727636151</v>
      </c>
      <c r="AQ366" s="121" t="n">
        <v>0.25433636363636369</v>
      </c>
      <c r="AR366" s="84"/>
      <c r="AS366" s="148"/>
      <c r="AT366" s="84"/>
      <c r="AU366" s="84"/>
      <c r="AV366" s="84"/>
      <c r="AW366" s="166" t="n">
        <v>8.5664780979570576</v>
      </c>
      <c r="AX366" s="84"/>
      <c r="AY366" s="84"/>
      <c r="AZ366" t="n">
        <v>0.7</v>
      </c>
      <c r="BQ366" s="153"/>
    </row>
    <row r="367">
      <c r="A367" s="84"/>
      <c r="B367" s="44" t="s">
        <v>441</v>
      </c>
      <c r="C367" s="44"/>
      <c r="D367" s="142" t="s">
        <v>443</v>
      </c>
      <c r="E367" s="142"/>
      <c r="F367" s="94"/>
      <c r="G367" s="89"/>
      <c r="H367" s="153"/>
      <c r="I367" s="44"/>
      <c r="J367" s="44"/>
      <c r="K367" s="166"/>
      <c r="L367" s="166"/>
      <c r="M367" s="166"/>
      <c r="N367" s="166"/>
      <c r="O367" s="94"/>
      <c r="P367" s="94"/>
      <c r="Q367" s="94"/>
      <c r="R367" s="134"/>
      <c r="S367" s="89"/>
      <c r="T367" s="130"/>
      <c r="U367" s="166"/>
      <c r="V367" s="166"/>
      <c r="W367" s="21"/>
      <c r="X367" s="21"/>
      <c r="Y367" s="153"/>
      <c r="Z367" s="153"/>
      <c r="AA367" s="153"/>
      <c r="AB367" s="153"/>
      <c r="AC367" s="153"/>
      <c r="AD367" s="153"/>
      <c r="AE367" s="153"/>
      <c r="AF367" s="153"/>
      <c r="AG367" s="153"/>
      <c r="AH367" s="153"/>
      <c r="AI367" s="153"/>
      <c r="AJ367" s="130"/>
      <c r="AK367" s="153"/>
      <c r="AL367" s="153"/>
      <c r="AM367" s="39" t="n">
        <v>3.0120000000000001E-2</v>
      </c>
      <c r="AN367" s="153"/>
      <c r="AO367" s="153"/>
      <c r="AP367" s="121" t="n">
        <f t="shared" si="157"/>
        <v>0.39828862190006187</v>
      </c>
      <c r="AQ367" s="121" t="n">
        <v>0.25433636363636369</v>
      </c>
      <c r="AR367" s="84"/>
      <c r="AS367" s="148"/>
      <c r="AT367" s="84"/>
      <c r="AU367" s="84"/>
      <c r="AV367" s="84"/>
      <c r="AW367" s="166" t="n">
        <v>13.223393821383196</v>
      </c>
      <c r="AX367" s="84"/>
      <c r="AY367" s="84"/>
      <c r="AZ367" t="n">
        <v>0.7</v>
      </c>
      <c r="BQ367" s="153"/>
    </row>
    <row r="368">
      <c r="A368" s="70"/>
      <c r="B368" s="73" t="s">
        <v>439</v>
      </c>
      <c r="C368" s="73"/>
      <c r="D368" s="142" t="s">
        <v>443</v>
      </c>
      <c r="E368" s="133"/>
      <c r="F368" s="111"/>
      <c r="G368" s="122"/>
      <c r="H368" s="150" t="n">
        <v>0.38750000000000001</v>
      </c>
      <c r="I368" s="73"/>
      <c r="J368" s="73"/>
      <c r="K368" s="18"/>
      <c r="L368" s="18"/>
      <c r="M368" s="18"/>
      <c r="N368" s="18"/>
      <c r="O368" s="111"/>
      <c r="P368" s="111"/>
      <c r="Q368" s="111"/>
      <c r="R368" s="134"/>
      <c r="S368" s="122"/>
      <c r="T368" s="38"/>
      <c r="U368" s="18"/>
      <c r="V368" s="18"/>
      <c r="W368" s="26"/>
      <c r="X368" s="26"/>
      <c r="Y368" s="150"/>
      <c r="Z368" s="150"/>
      <c r="AA368" s="150"/>
      <c r="AB368" s="150"/>
      <c r="AC368" s="150"/>
      <c r="AD368" s="150"/>
      <c r="AE368" s="150"/>
      <c r="AF368" s="150"/>
      <c r="AG368" s="150"/>
      <c r="AH368" s="150"/>
      <c r="AI368" s="150"/>
      <c r="AJ368" s="38"/>
      <c r="AK368" s="150"/>
      <c r="AL368" s="150"/>
      <c r="AM368" s="39" t="n">
        <v>2.0568624209490259E-2</v>
      </c>
      <c r="AN368" s="150"/>
      <c r="AO368" s="150" t="n">
        <v>3.0999999999999999E-3</v>
      </c>
      <c r="AP368" s="121" t="n">
        <f t="shared" si="157"/>
        <v>0.43624453029429611</v>
      </c>
      <c r="AQ368" s="153" t="n">
        <v>0.25433636363636369</v>
      </c>
      <c r="AR368" s="84"/>
      <c r="AS368" s="148"/>
      <c r="AT368" s="84"/>
      <c r="AU368" s="84"/>
      <c r="AV368" s="84"/>
      <c r="AW368" s="166" t="n">
        <v>21.209222641785399</v>
      </c>
      <c r="AX368" s="70"/>
      <c r="AY368" s="70"/>
      <c r="AZ368" t="n">
        <v>0.7</v>
      </c>
      <c r="BQ368" s="150"/>
    </row>
    <row r="369">
      <c r="A369" s="84"/>
      <c r="B369" s="44" t="s">
        <v>433</v>
      </c>
      <c r="C369" s="44"/>
      <c r="D369" s="142" t="s">
        <v>442</v>
      </c>
      <c r="E369" s="142"/>
      <c r="F369" s="94"/>
      <c r="G369" s="89"/>
      <c r="H369" s="153"/>
      <c r="I369" s="44"/>
      <c r="J369" s="44"/>
      <c r="K369" s="166"/>
      <c r="L369" s="166"/>
      <c r="M369" s="166"/>
      <c r="N369" s="166"/>
      <c r="O369" s="94"/>
      <c r="P369" s="94"/>
      <c r="Q369" s="94"/>
      <c r="R369" s="134"/>
      <c r="S369" s="89"/>
      <c r="T369" s="130"/>
      <c r="U369" s="166"/>
      <c r="V369" s="166"/>
      <c r="W369" s="21"/>
      <c r="X369" s="21"/>
      <c r="Y369" s="153"/>
      <c r="Z369" s="153"/>
      <c r="AA369" s="153"/>
      <c r="AB369" s="153"/>
      <c r="AC369" s="153"/>
      <c r="AD369" s="153"/>
      <c r="AE369" s="153"/>
      <c r="AF369" s="153"/>
      <c r="AG369" s="153"/>
      <c r="AH369" s="153"/>
      <c r="AI369" s="153"/>
      <c r="AJ369" s="130"/>
      <c r="AK369" s="153"/>
      <c r="AL369" s="153"/>
      <c r="AM369" s="39" t="n">
        <v>5.4187069055958437E-2</v>
      </c>
      <c r="AN369" s="39" t="n">
        <v>1.2977303070761014E-2</v>
      </c>
      <c r="AO369" s="39" t="n">
        <v>1.3364485981308408E-2</v>
      </c>
      <c r="AP369" s="121" t="n">
        <f t="shared" si="157"/>
        <v>0.38441008293089723</v>
      </c>
      <c r="AQ369" s="121" t="n">
        <v>0.25433636363636369</v>
      </c>
      <c r="AR369" s="84"/>
      <c r="AS369" s="148"/>
      <c r="AT369" s="84"/>
      <c r="AU369" s="84"/>
      <c r="AV369" s="84"/>
      <c r="AW369" s="166" t="n">
        <v>7.0941294598148659</v>
      </c>
      <c r="AX369" s="84"/>
      <c r="AY369" s="84"/>
      <c r="AZ369" t="n">
        <v>0.7</v>
      </c>
      <c r="BQ369" s="153"/>
    </row>
    <row r="370">
      <c r="A370" s="5"/>
      <c r="B370" s="95" t="str">
        <f>B361</f>
        <v>Sheep</v>
      </c>
      <c r="C370" s="95"/>
      <c r="D370" s="131" t="s">
        <v>442</v>
      </c>
      <c r="E370" s="131"/>
      <c r="F370" s="103"/>
      <c r="G370" s="87"/>
      <c r="H370" s="121"/>
      <c r="I370" s="95"/>
      <c r="J370" s="95"/>
      <c r="K370" s="157"/>
      <c r="L370" s="157"/>
      <c r="M370" s="157"/>
      <c r="N370" s="157"/>
      <c r="O370" s="103"/>
      <c r="P370" s="103"/>
      <c r="Q370" s="103"/>
      <c r="R370" s="134"/>
      <c r="S370" s="87"/>
      <c r="T370" s="15"/>
      <c r="U370" s="157"/>
      <c r="V370" s="157"/>
      <c r="W370" s="132"/>
      <c r="X370" s="132"/>
      <c r="Y370" s="121"/>
      <c r="Z370" s="121"/>
      <c r="AA370" s="121"/>
      <c r="AB370" s="121"/>
      <c r="AC370" s="121"/>
      <c r="AD370" s="121"/>
      <c r="AE370" s="121"/>
      <c r="AF370" s="121"/>
      <c r="AG370" s="121"/>
      <c r="AH370" s="121"/>
      <c r="AI370" s="121"/>
      <c r="AJ370" s="15"/>
      <c r="AK370" s="121"/>
      <c r="AL370" s="121"/>
      <c r="AM370" s="121" t="n">
        <f>AM$369</f>
        <v>5.4187069055958437E-2</v>
      </c>
      <c r="AN370" s="121" t="n">
        <f>AN$369</f>
        <v>1.2977303070761014E-2</v>
      </c>
      <c r="AO370" s="121" t="n">
        <f>AO$369</f>
        <v>1.3364485981308408E-2</v>
      </c>
      <c r="AP370" s="121" t="n">
        <f>AP$369</f>
        <v>0.38441008293089723</v>
      </c>
      <c r="AQ370" s="121" t="n">
        <f>AQ$369</f>
        <v>0.25433636363636369</v>
      </c>
      <c r="AR370" s="5"/>
      <c r="AS370" s="152"/>
      <c r="AT370" s="5"/>
      <c r="AU370" s="5"/>
      <c r="AV370" s="5"/>
      <c r="AW370" s="157" t="n">
        <f t="shared" ref="AW370:AW375" si="158">AW$369</f>
        <v>7.0941294598148659</v>
      </c>
      <c r="AX370" s="5"/>
      <c r="AY370" s="5"/>
      <c r="AZ370" t="n">
        <v>0.7</v>
      </c>
      <c r="BA370"/>
      <c r="BB370"/>
      <c r="BC370"/>
      <c r="BD370"/>
      <c r="BE370"/>
      <c r="BF370"/>
      <c r="BG370"/>
      <c r="BH370"/>
      <c r="BI370"/>
      <c r="BJ370"/>
      <c r="BK370"/>
      <c r="BL370"/>
      <c r="BM370"/>
      <c r="BN370"/>
      <c r="BO370"/>
      <c r="BP370"/>
      <c r="BQ370" s="121"/>
    </row>
    <row r="371">
      <c r="A371" s="5"/>
      <c r="B371" s="95" t="str">
        <f>B362</f>
        <v>Donkeys_mules</v>
      </c>
      <c r="C371" s="95"/>
      <c r="D371" s="131" t="s">
        <v>442</v>
      </c>
      <c r="E371" s="131"/>
      <c r="F371" s="103"/>
      <c r="G371" s="87"/>
      <c r="H371" s="121"/>
      <c r="I371" s="95"/>
      <c r="J371" s="95"/>
      <c r="K371" s="157"/>
      <c r="L371" s="157"/>
      <c r="M371" s="157"/>
      <c r="N371" s="157"/>
      <c r="O371" s="103"/>
      <c r="P371" s="103"/>
      <c r="Q371" s="103"/>
      <c r="R371" s="134"/>
      <c r="S371" s="87"/>
      <c r="T371" s="15"/>
      <c r="U371" s="157"/>
      <c r="V371" s="157"/>
      <c r="W371" s="132"/>
      <c r="X371" s="132"/>
      <c r="Y371" s="121"/>
      <c r="Z371" s="121"/>
      <c r="AA371" s="121"/>
      <c r="AB371" s="121"/>
      <c r="AC371" s="121"/>
      <c r="AD371" s="121"/>
      <c r="AE371" s="121"/>
      <c r="AF371" s="121"/>
      <c r="AG371" s="121"/>
      <c r="AH371" s="121"/>
      <c r="AI371" s="121"/>
      <c r="AJ371" s="15"/>
      <c r="AK371" s="121"/>
      <c r="AL371" s="121"/>
      <c r="AM371" s="121" t="n">
        <f t="shared" ref="AM371:AQ375" si="159">AM$369</f>
        <v>5.4187069055958437E-2</v>
      </c>
      <c r="AN371" s="121" t="n">
        <f t="shared" si="159"/>
        <v>1.2977303070761014E-2</v>
      </c>
      <c r="AO371" s="121" t="n">
        <f t="shared" si="159"/>
        <v>1.3364485981308408E-2</v>
      </c>
      <c r="AP371" s="121" t="n">
        <f t="shared" si="159"/>
        <v>0.38441008293089723</v>
      </c>
      <c r="AQ371" s="121" t="n">
        <f t="shared" si="159"/>
        <v>0.25433636363636369</v>
      </c>
      <c r="AR371" s="5"/>
      <c r="AS371" s="152"/>
      <c r="AT371" s="5"/>
      <c r="AU371" s="5"/>
      <c r="AV371" s="5"/>
      <c r="AW371" s="157" t="n">
        <f t="shared" si="158"/>
        <v>7.0941294598148659</v>
      </c>
      <c r="AX371" s="5"/>
      <c r="AY371" s="5"/>
      <c r="AZ371" t="n">
        <v>0.7</v>
      </c>
      <c r="BA371"/>
      <c r="BB371"/>
      <c r="BC371"/>
      <c r="BD371"/>
      <c r="BE371"/>
      <c r="BF371"/>
      <c r="BG371"/>
      <c r="BH371"/>
      <c r="BI371"/>
      <c r="BJ371"/>
      <c r="BK371"/>
      <c r="BL371"/>
      <c r="BM371"/>
      <c r="BN371"/>
      <c r="BO371"/>
      <c r="BP371"/>
      <c r="BQ371" s="121"/>
    </row>
    <row r="372">
      <c r="A372" s="5"/>
      <c r="B372" s="95" t="str">
        <f>B363</f>
        <v>Horses</v>
      </c>
      <c r="C372" s="95"/>
      <c r="D372" s="131" t="s">
        <v>442</v>
      </c>
      <c r="E372" s="131"/>
      <c r="F372" s="103"/>
      <c r="G372" s="87"/>
      <c r="H372" s="121"/>
      <c r="I372" s="95"/>
      <c r="J372" s="95"/>
      <c r="K372" s="157"/>
      <c r="L372" s="157"/>
      <c r="M372" s="157"/>
      <c r="N372" s="157"/>
      <c r="O372" s="103"/>
      <c r="P372" s="103"/>
      <c r="Q372" s="103"/>
      <c r="R372" s="134"/>
      <c r="S372" s="87"/>
      <c r="T372" s="15"/>
      <c r="U372" s="157"/>
      <c r="V372" s="157"/>
      <c r="W372" s="132"/>
      <c r="X372" s="132"/>
      <c r="Y372" s="121"/>
      <c r="Z372" s="121"/>
      <c r="AA372" s="121"/>
      <c r="AB372" s="121"/>
      <c r="AC372" s="121"/>
      <c r="AD372" s="121"/>
      <c r="AE372" s="121"/>
      <c r="AF372" s="121"/>
      <c r="AG372" s="121"/>
      <c r="AH372" s="121"/>
      <c r="AI372" s="121"/>
      <c r="AJ372" s="15"/>
      <c r="AK372" s="121"/>
      <c r="AL372" s="121"/>
      <c r="AM372" s="121" t="n">
        <f t="shared" si="159"/>
        <v>5.4187069055958437E-2</v>
      </c>
      <c r="AN372" s="121" t="n">
        <f t="shared" si="159"/>
        <v>1.2977303070761014E-2</v>
      </c>
      <c r="AO372" s="121" t="n">
        <f t="shared" si="159"/>
        <v>1.3364485981308408E-2</v>
      </c>
      <c r="AP372" s="121" t="n">
        <f t="shared" si="159"/>
        <v>0.38441008293089723</v>
      </c>
      <c r="AQ372" s="121" t="n">
        <f t="shared" si="159"/>
        <v>0.25433636363636369</v>
      </c>
      <c r="AR372" s="5"/>
      <c r="AS372" s="152"/>
      <c r="AT372" s="5"/>
      <c r="AU372" s="5"/>
      <c r="AV372" s="5"/>
      <c r="AW372" s="157" t="n">
        <f t="shared" si="158"/>
        <v>7.0941294598148659</v>
      </c>
      <c r="AX372" s="5"/>
      <c r="AY372" s="5"/>
      <c r="AZ372" t="n">
        <v>0.7</v>
      </c>
      <c r="BA372"/>
      <c r="BB372"/>
      <c r="BC372"/>
      <c r="BD372"/>
      <c r="BE372"/>
      <c r="BF372"/>
      <c r="BG372"/>
      <c r="BH372"/>
      <c r="BI372"/>
      <c r="BJ372"/>
      <c r="BK372"/>
      <c r="BL372"/>
      <c r="BM372"/>
      <c r="BN372"/>
      <c r="BO372"/>
      <c r="BP372"/>
      <c r="BQ372" s="121"/>
    </row>
    <row r="373">
      <c r="A373" s="5"/>
      <c r="B373" s="95" t="str">
        <f>B364</f>
        <v>Goats</v>
      </c>
      <c r="C373" s="95"/>
      <c r="D373" s="131" t="s">
        <v>442</v>
      </c>
      <c r="E373" s="131"/>
      <c r="F373" s="103"/>
      <c r="G373" s="87"/>
      <c r="H373" s="121"/>
      <c r="I373" s="95"/>
      <c r="J373" s="95"/>
      <c r="K373" s="157"/>
      <c r="L373" s="157"/>
      <c r="M373" s="157"/>
      <c r="N373" s="157"/>
      <c r="O373" s="103"/>
      <c r="P373" s="103"/>
      <c r="Q373" s="103"/>
      <c r="R373" s="134"/>
      <c r="S373" s="87"/>
      <c r="T373" s="15"/>
      <c r="U373" s="157"/>
      <c r="V373" s="157"/>
      <c r="W373" s="132"/>
      <c r="X373" s="132"/>
      <c r="Y373" s="121"/>
      <c r="Z373" s="121"/>
      <c r="AA373" s="121"/>
      <c r="AB373" s="121"/>
      <c r="AC373" s="121"/>
      <c r="AD373" s="121"/>
      <c r="AE373" s="121"/>
      <c r="AF373" s="121"/>
      <c r="AG373" s="121"/>
      <c r="AH373" s="121"/>
      <c r="AI373" s="121"/>
      <c r="AJ373" s="15"/>
      <c r="AK373" s="121"/>
      <c r="AL373" s="121"/>
      <c r="AM373" s="121" t="n">
        <f t="shared" si="159"/>
        <v>5.4187069055958437E-2</v>
      </c>
      <c r="AN373" s="121" t="n">
        <f t="shared" si="159"/>
        <v>1.2977303070761014E-2</v>
      </c>
      <c r="AO373" s="121" t="n">
        <f t="shared" si="159"/>
        <v>1.3364485981308408E-2</v>
      </c>
      <c r="AP373" s="121" t="n">
        <f t="shared" si="159"/>
        <v>0.38441008293089723</v>
      </c>
      <c r="AQ373" s="121" t="n">
        <f t="shared" si="159"/>
        <v>0.25433636363636369</v>
      </c>
      <c r="AR373" s="5"/>
      <c r="AS373" s="152"/>
      <c r="AT373" s="5"/>
      <c r="AU373" s="5"/>
      <c r="AV373" s="5"/>
      <c r="AW373" s="157" t="n">
        <f t="shared" si="158"/>
        <v>7.0941294598148659</v>
      </c>
      <c r="AX373" s="5"/>
      <c r="AY373" s="5"/>
      <c r="AZ373" t="n">
        <v>0.7</v>
      </c>
      <c r="BA373"/>
      <c r="BB373"/>
      <c r="BC373"/>
      <c r="BD373"/>
      <c r="BE373"/>
      <c r="BF373"/>
      <c r="BG373"/>
      <c r="BH373"/>
      <c r="BI373"/>
      <c r="BJ373"/>
      <c r="BK373"/>
      <c r="BL373"/>
      <c r="BM373"/>
      <c r="BN373"/>
      <c r="BO373"/>
      <c r="BP373"/>
      <c r="BQ373" s="121"/>
    </row>
    <row r="374">
      <c r="A374" s="5"/>
      <c r="B374" s="95" t="s">
        <v>438</v>
      </c>
      <c r="C374" s="95"/>
      <c r="D374" s="131" t="s">
        <v>442</v>
      </c>
      <c r="E374" s="131"/>
      <c r="F374" s="103"/>
      <c r="G374" s="87"/>
      <c r="H374" s="121"/>
      <c r="I374" s="95"/>
      <c r="J374" s="95"/>
      <c r="K374" s="157"/>
      <c r="L374" s="157"/>
      <c r="M374" s="157"/>
      <c r="N374" s="157"/>
      <c r="O374" s="103"/>
      <c r="P374" s="103"/>
      <c r="Q374" s="103"/>
      <c r="R374" s="134"/>
      <c r="S374" s="87"/>
      <c r="T374" s="15"/>
      <c r="U374" s="157"/>
      <c r="V374" s="157"/>
      <c r="W374" s="132"/>
      <c r="X374" s="132"/>
      <c r="Y374" s="121"/>
      <c r="Z374" s="121"/>
      <c r="AA374" s="121"/>
      <c r="AB374" s="121"/>
      <c r="AC374" s="121"/>
      <c r="AD374" s="121"/>
      <c r="AE374" s="121"/>
      <c r="AF374" s="121"/>
      <c r="AG374" s="121"/>
      <c r="AH374" s="121"/>
      <c r="AI374" s="121"/>
      <c r="AJ374" s="15"/>
      <c r="AK374" s="121"/>
      <c r="AL374" s="121"/>
      <c r="AM374" s="121" t="n">
        <f t="shared" si="159"/>
        <v>5.4187069055958437E-2</v>
      </c>
      <c r="AN374" s="121" t="n">
        <f t="shared" si="159"/>
        <v>1.2977303070761014E-2</v>
      </c>
      <c r="AO374" s="121" t="n">
        <f t="shared" si="159"/>
        <v>1.3364485981308408E-2</v>
      </c>
      <c r="AP374" s="121" t="n">
        <f t="shared" si="159"/>
        <v>0.38441008293089723</v>
      </c>
      <c r="AQ374" s="121" t="n">
        <f t="shared" si="159"/>
        <v>0.25433636363636369</v>
      </c>
      <c r="AR374" s="5"/>
      <c r="AS374" s="152"/>
      <c r="AT374" s="5"/>
      <c r="AU374" s="5"/>
      <c r="AV374" s="5"/>
      <c r="AW374" s="157" t="n">
        <f t="shared" si="158"/>
        <v>7.0941294598148659</v>
      </c>
      <c r="AX374" s="5"/>
      <c r="AY374" s="5"/>
      <c r="AZ374" t="n">
        <v>0.7</v>
      </c>
      <c r="BA374"/>
      <c r="BB374"/>
      <c r="BC374"/>
      <c r="BD374"/>
      <c r="BE374"/>
      <c r="BF374"/>
      <c r="BG374"/>
      <c r="BH374"/>
      <c r="BI374"/>
      <c r="BJ374"/>
      <c r="BK374"/>
      <c r="BL374"/>
      <c r="BM374"/>
      <c r="BN374"/>
      <c r="BO374"/>
      <c r="BP374"/>
      <c r="BQ374" s="121"/>
    </row>
    <row r="375">
      <c r="A375" s="5"/>
      <c r="B375" s="95" t="s">
        <v>440</v>
      </c>
      <c r="C375" s="95"/>
      <c r="D375" s="131" t="s">
        <v>442</v>
      </c>
      <c r="E375" s="131"/>
      <c r="F375" s="103"/>
      <c r="G375" s="87"/>
      <c r="H375" s="121"/>
      <c r="I375" s="95"/>
      <c r="J375" s="95"/>
      <c r="K375" s="157"/>
      <c r="L375" s="157"/>
      <c r="M375" s="157"/>
      <c r="N375" s="157"/>
      <c r="O375" s="103"/>
      <c r="P375" s="103"/>
      <c r="Q375" s="103"/>
      <c r="R375" s="103"/>
      <c r="S375" s="87"/>
      <c r="T375" s="15"/>
      <c r="U375" s="157"/>
      <c r="V375" s="157"/>
      <c r="W375" s="132"/>
      <c r="X375" s="132"/>
      <c r="Y375" s="121"/>
      <c r="Z375" s="121"/>
      <c r="AA375" s="121"/>
      <c r="AB375" s="121"/>
      <c r="AC375" s="121"/>
      <c r="AD375" s="121"/>
      <c r="AE375" s="121"/>
      <c r="AF375" s="121"/>
      <c r="AG375" s="121"/>
      <c r="AH375" s="121"/>
      <c r="AI375" s="121"/>
      <c r="AJ375" s="15"/>
      <c r="AK375" s="121"/>
      <c r="AL375" s="121"/>
      <c r="AM375" s="121" t="n">
        <f t="shared" si="159"/>
        <v>5.4187069055958437E-2</v>
      </c>
      <c r="AN375" s="121" t="n">
        <f t="shared" si="159"/>
        <v>1.2977303070761014E-2</v>
      </c>
      <c r="AO375" s="121" t="n">
        <f t="shared" si="159"/>
        <v>1.3364485981308408E-2</v>
      </c>
      <c r="AP375" s="121" t="n">
        <f t="shared" si="159"/>
        <v>0.38441008293089723</v>
      </c>
      <c r="AQ375" s="121" t="n">
        <f t="shared" si="159"/>
        <v>0.25433636363636369</v>
      </c>
      <c r="AR375" s="5"/>
      <c r="AS375" s="152"/>
      <c r="AT375" s="5"/>
      <c r="AU375" s="5"/>
      <c r="AV375" s="5"/>
      <c r="AW375" s="157" t="n">
        <f t="shared" si="158"/>
        <v>7.0941294598148659</v>
      </c>
      <c r="AX375" s="5"/>
      <c r="AY375" s="5"/>
      <c r="AZ375" t="n">
        <v>0.7</v>
      </c>
      <c r="BA375"/>
      <c r="BB375"/>
      <c r="BC375"/>
      <c r="BD375"/>
      <c r="BE375"/>
      <c r="BF375"/>
      <c r="BG375"/>
      <c r="BH375"/>
      <c r="BI375"/>
      <c r="BJ375"/>
      <c r="BK375"/>
      <c r="BL375"/>
      <c r="BM375"/>
      <c r="BN375"/>
      <c r="BO375"/>
      <c r="BP375"/>
      <c r="BQ375" s="121"/>
    </row>
    <row r="376">
      <c r="A376" s="84"/>
      <c r="B376" s="44" t="s">
        <v>441</v>
      </c>
      <c r="C376" s="44"/>
      <c r="D376" s="142" t="s">
        <v>442</v>
      </c>
      <c r="E376" s="142"/>
      <c r="F376" s="94"/>
      <c r="G376" s="89"/>
      <c r="H376" s="153" t="n">
        <v>4.9299999999999997E-2</v>
      </c>
      <c r="I376" s="44"/>
      <c r="J376" s="44"/>
      <c r="K376" s="166"/>
      <c r="L376" s="166"/>
      <c r="M376" s="166"/>
      <c r="N376" s="166"/>
      <c r="O376" s="94"/>
      <c r="P376" s="94"/>
      <c r="Q376" s="94"/>
      <c r="R376" s="94"/>
      <c r="S376" s="89"/>
      <c r="T376" s="130"/>
      <c r="U376" s="166"/>
      <c r="V376" s="166"/>
      <c r="W376" s="21"/>
      <c r="X376" s="21"/>
      <c r="Y376" s="153"/>
      <c r="Z376" s="153"/>
      <c r="AA376" s="153"/>
      <c r="AB376" s="153"/>
      <c r="AC376" s="153"/>
      <c r="AD376" s="153"/>
      <c r="AE376" s="153"/>
      <c r="AF376" s="153"/>
      <c r="AG376" s="153"/>
      <c r="AH376" s="153"/>
      <c r="AI376" s="153"/>
      <c r="AJ376" s="130"/>
      <c r="AK376" s="153"/>
      <c r="AL376" s="153"/>
      <c r="AM376" s="39" t="n">
        <v>9.7160243407707916E-2</v>
      </c>
      <c r="AN376" s="153" t="n">
        <v>1.7444219066937119E-2</v>
      </c>
      <c r="AO376" s="153" t="n">
        <v>3.3671399594320486E-2</v>
      </c>
      <c r="AP376" s="121" t="n">
        <f t="shared" si="157"/>
        <v>0.40973630831643004</v>
      </c>
      <c r="AQ376" s="121" t="n">
        <v>0.25433636363636369</v>
      </c>
      <c r="AR376" s="84"/>
      <c r="AS376" s="148"/>
      <c r="AT376" s="84"/>
      <c r="AU376" s="84"/>
      <c r="AV376" s="84"/>
      <c r="AW376" s="166" t="n">
        <v>4.2171189979123174</v>
      </c>
      <c r="AX376" s="84"/>
      <c r="AY376" s="84"/>
      <c r="AZ376" t="n">
        <v>0.7</v>
      </c>
      <c r="BQ376" s="153"/>
    </row>
    <row r="377">
      <c r="A377" s="70"/>
      <c r="B377" s="73" t="s">
        <v>439</v>
      </c>
      <c r="C377" s="73"/>
      <c r="D377" s="142" t="s">
        <v>442</v>
      </c>
      <c r="E377" s="133"/>
      <c r="F377" s="111"/>
      <c r="G377" s="122"/>
      <c r="H377" s="150"/>
      <c r="I377" s="73"/>
      <c r="J377" s="73"/>
      <c r="K377" s="18"/>
      <c r="L377" s="18"/>
      <c r="M377" s="18"/>
      <c r="N377" s="18"/>
      <c r="O377" s="111"/>
      <c r="P377" s="111"/>
      <c r="Q377" s="111"/>
      <c r="R377" s="111"/>
      <c r="S377" s="122"/>
      <c r="T377" s="38"/>
      <c r="U377" s="18"/>
      <c r="V377" s="18"/>
      <c r="W377" s="26"/>
      <c r="X377" s="26"/>
      <c r="Y377" s="150"/>
      <c r="Z377" s="150"/>
      <c r="AA377" s="150"/>
      <c r="AB377" s="150"/>
      <c r="AC377" s="150"/>
      <c r="AD377" s="150"/>
      <c r="AE377" s="150"/>
      <c r="AF377" s="150"/>
      <c r="AG377" s="150"/>
      <c r="AH377" s="150"/>
      <c r="AI377" s="150"/>
      <c r="AJ377" s="38"/>
      <c r="AK377" s="150"/>
      <c r="AL377" s="150"/>
      <c r="AM377" s="39" t="n">
        <v>5.848438649113339E-2</v>
      </c>
      <c r="AN377" s="150" t="n">
        <v>1.5210761068849067E-2</v>
      </c>
      <c r="AO377" s="150" t="n">
        <v>2.3517942787814446E-2</v>
      </c>
      <c r="AP377" s="121" t="n">
        <f t="shared" si="157"/>
        <v>0.39620023228006546</v>
      </c>
      <c r="AQ377" s="153" t="n">
        <v>0.25433636363636369</v>
      </c>
      <c r="AR377" s="84"/>
      <c r="AS377" s="148"/>
      <c r="AT377" s="84"/>
      <c r="AU377" s="84"/>
      <c r="AV377" s="84"/>
      <c r="AW377" s="166" t="n">
        <v>6.7744616307145833</v>
      </c>
      <c r="AX377" s="70"/>
      <c r="AY377" s="70"/>
      <c r="AZ377" t="n">
        <v>0.7</v>
      </c>
      <c r="BQ377" s="150"/>
    </row>
    <row r="378">
      <c r="A378" s="84"/>
      <c r="B378" s="44" t="str">
        <f t="shared" ref="B378:B383" si="160">B360</f>
        <v>Cattle</v>
      </c>
      <c r="C378" s="44"/>
      <c r="D378" s="142" t="s">
        <v>11</v>
      </c>
      <c r="E378" s="86"/>
      <c r="F378" s="86"/>
      <c r="G378" s="168"/>
      <c r="H378" s="39" t="n">
        <v>0.1565</v>
      </c>
      <c r="I378" s="86"/>
      <c r="J378" s="86"/>
      <c r="K378" s="86"/>
      <c r="L378" s="86"/>
      <c r="M378" s="86"/>
      <c r="N378" s="86"/>
      <c r="O378" s="86"/>
      <c r="P378" s="86"/>
      <c r="Q378" s="86"/>
      <c r="R378" s="53"/>
      <c r="S378" s="168"/>
      <c r="T378" s="41"/>
      <c r="U378" s="17"/>
      <c r="V378" s="17"/>
      <c r="W378" s="28"/>
      <c r="X378" s="28"/>
      <c r="Y378" s="39"/>
      <c r="Z378" s="39"/>
      <c r="AA378" s="39"/>
      <c r="AB378" s="39"/>
      <c r="AC378" s="39"/>
      <c r="AD378" s="39"/>
      <c r="AE378" s="39"/>
      <c r="AF378" s="39"/>
      <c r="AG378" s="39"/>
      <c r="AH378" s="39"/>
      <c r="AI378" s="39"/>
      <c r="AJ378" s="41"/>
      <c r="AK378" s="86"/>
      <c r="AL378" s="86"/>
      <c r="AM378" s="39" t="n">
        <v>2.3129411764705884E-2</v>
      </c>
      <c r="AN378" s="39" t="n">
        <v>5.6999999999999993E-3</v>
      </c>
      <c r="AO378" s="39" t="n">
        <v>1.7399999999999999E-2</v>
      </c>
      <c r="AP378" s="121" t="n">
        <f t="shared" si="157"/>
        <v>0.44097110397964762</v>
      </c>
      <c r="AQ378" s="121" t="n">
        <v>0.25433636363636369</v>
      </c>
      <c r="AR378" s="84"/>
      <c r="AS378" s="148"/>
      <c r="AT378" s="84"/>
      <c r="AU378" s="84"/>
      <c r="AV378" s="84"/>
      <c r="AW378" s="166" t="n">
        <v>19.065383437573775</v>
      </c>
      <c r="AX378" s="84"/>
      <c r="AY378" s="84"/>
      <c r="AZ378" t="n">
        <v>0.7</v>
      </c>
      <c r="BQ378" s="39"/>
    </row>
    <row r="379">
      <c r="A379" s="84"/>
      <c r="B379" s="44" t="str">
        <f t="shared" si="160"/>
        <v>Sheep</v>
      </c>
      <c r="C379" s="44"/>
      <c r="D379" s="142" t="s">
        <v>11</v>
      </c>
      <c r="E379" s="86"/>
      <c r="F379" s="86"/>
      <c r="G379" s="168"/>
      <c r="H379" s="39"/>
      <c r="I379" s="86"/>
      <c r="J379" s="86"/>
      <c r="K379" s="86"/>
      <c r="L379" s="86"/>
      <c r="M379" s="86"/>
      <c r="N379" s="86"/>
      <c r="O379" s="86"/>
      <c r="P379" s="86"/>
      <c r="Q379" s="86"/>
      <c r="R379" s="53"/>
      <c r="S379" s="168"/>
      <c r="T379" s="41"/>
      <c r="U379" s="17"/>
      <c r="V379" s="17"/>
      <c r="W379" s="28"/>
      <c r="X379" s="28"/>
      <c r="Y379" s="39"/>
      <c r="Z379" s="39"/>
      <c r="AA379" s="39"/>
      <c r="AB379" s="39"/>
      <c r="AC379" s="39"/>
      <c r="AD379" s="39"/>
      <c r="AE379" s="39"/>
      <c r="AF379" s="39"/>
      <c r="AG379" s="39"/>
      <c r="AH379" s="39"/>
      <c r="AI379" s="39"/>
      <c r="AJ379" s="41"/>
      <c r="AK379" s="86"/>
      <c r="AL379" s="86"/>
      <c r="AM379" s="39" t="n">
        <v>1.6500000000000001E-2</v>
      </c>
      <c r="AN379" s="39" t="n">
        <v>6.1599999999999997E-3</v>
      </c>
      <c r="AO379" s="39"/>
      <c r="AP379" s="121" t="n">
        <f t="shared" si="157"/>
        <v>0.20466769877314162</v>
      </c>
      <c r="AQ379" s="121" t="n">
        <v>0.25433636363636369</v>
      </c>
      <c r="AR379" s="84"/>
      <c r="AS379" s="148"/>
      <c r="AT379" s="84"/>
      <c r="AU379" s="84"/>
      <c r="AV379" s="84"/>
      <c r="AW379" s="166" t="n">
        <v>12.404102955947977</v>
      </c>
      <c r="AX379" s="84"/>
      <c r="AY379" s="84"/>
      <c r="AZ379" t="n">
        <v>0.7</v>
      </c>
      <c r="BQ379" s="39"/>
    </row>
    <row r="380">
      <c r="A380" s="84"/>
      <c r="B380" s="44" t="str">
        <f t="shared" si="160"/>
        <v>Donkeys_mules</v>
      </c>
      <c r="C380" s="44"/>
      <c r="D380" s="142" t="s">
        <v>11</v>
      </c>
      <c r="E380" s="86"/>
      <c r="F380" s="86"/>
      <c r="G380" s="168"/>
      <c r="H380" s="39" t="n">
        <v>0.23</v>
      </c>
      <c r="I380" s="86"/>
      <c r="J380" s="86"/>
      <c r="K380" s="86"/>
      <c r="L380" s="86"/>
      <c r="M380" s="86"/>
      <c r="N380" s="86"/>
      <c r="O380" s="86"/>
      <c r="P380" s="86"/>
      <c r="Q380" s="86"/>
      <c r="R380" s="53"/>
      <c r="S380" s="168"/>
      <c r="T380" s="41"/>
      <c r="U380" s="17"/>
      <c r="V380" s="17"/>
      <c r="W380" s="28"/>
      <c r="X380" s="28"/>
      <c r="Y380" s="39"/>
      <c r="Z380" s="39"/>
      <c r="AA380" s="39"/>
      <c r="AB380" s="39"/>
      <c r="AC380" s="39"/>
      <c r="AD380" s="39"/>
      <c r="AE380" s="39"/>
      <c r="AF380" s="39"/>
      <c r="AG380" s="39"/>
      <c r="AH380" s="39"/>
      <c r="AI380" s="39"/>
      <c r="AJ380" s="41"/>
      <c r="AK380" s="86"/>
      <c r="AL380" s="86"/>
      <c r="AM380" s="39" t="n">
        <v>1.72E-2</v>
      </c>
      <c r="AN380" s="153" t="n">
        <v>1.1299999999999999E-2</v>
      </c>
      <c r="AO380" s="153" t="n">
        <v>1.2999999999999999E-2</v>
      </c>
      <c r="AP380" s="121" t="n">
        <f t="shared" si="157"/>
        <v>0.2500658298673829</v>
      </c>
      <c r="AQ380" s="121" t="n">
        <v>0.25433636363636369</v>
      </c>
      <c r="AR380" s="84"/>
      <c r="AS380" s="148"/>
      <c r="AT380" s="84"/>
      <c r="AU380" s="84"/>
      <c r="AV380" s="84"/>
      <c r="AW380" s="166" t="n">
        <v>14.538711038801331</v>
      </c>
      <c r="AX380" s="84"/>
      <c r="AY380" s="84"/>
      <c r="AZ380" t="n">
        <v>0.7</v>
      </c>
      <c r="BQ380" s="39"/>
    </row>
    <row r="381">
      <c r="A381" s="84"/>
      <c r="B381" s="95" t="str">
        <f t="shared" si="160"/>
        <v>Horses</v>
      </c>
      <c r="C381" s="95"/>
      <c r="D381" s="131" t="s">
        <v>11</v>
      </c>
      <c r="E381" s="86"/>
      <c r="F381" s="86"/>
      <c r="G381" s="168"/>
      <c r="H381" s="39"/>
      <c r="I381" s="86"/>
      <c r="J381" s="86"/>
      <c r="K381" s="86"/>
      <c r="L381" s="86"/>
      <c r="M381" s="86"/>
      <c r="N381" s="86"/>
      <c r="O381" s="86"/>
      <c r="P381" s="86"/>
      <c r="Q381" s="86"/>
      <c r="R381" s="53"/>
      <c r="S381" s="168"/>
      <c r="T381" s="41"/>
      <c r="U381" s="17"/>
      <c r="V381" s="17"/>
      <c r="W381" s="28"/>
      <c r="X381" s="28"/>
      <c r="Y381" s="39"/>
      <c r="Z381" s="39"/>
      <c r="AA381" s="39"/>
      <c r="AB381" s="39"/>
      <c r="AC381" s="39"/>
      <c r="AD381" s="39"/>
      <c r="AE381" s="39"/>
      <c r="AF381" s="39"/>
      <c r="AG381" s="39"/>
      <c r="AH381" s="39"/>
      <c r="AI381" s="39"/>
      <c r="AJ381" s="41"/>
      <c r="AK381" s="86"/>
      <c r="AL381" s="86"/>
      <c r="AM381" s="121" t="n">
        <f>AM380</f>
        <v>1.72E-2</v>
      </c>
      <c r="AN381" s="121" t="n">
        <f>AN380</f>
        <v>1.1299999999999999E-2</v>
      </c>
      <c r="AO381" s="121" t="n">
        <f>AO380</f>
        <v>1.2999999999999999E-2</v>
      </c>
      <c r="AP381" s="121" t="n">
        <f>AP380</f>
        <v>0.2500658298673829</v>
      </c>
      <c r="AQ381" s="121" t="n">
        <f>AQ380</f>
        <v>0.25433636363636369</v>
      </c>
      <c r="AR381" s="84"/>
      <c r="AS381" s="148"/>
      <c r="AT381" s="84"/>
      <c r="AU381" s="84"/>
      <c r="AV381" s="84"/>
      <c r="AW381" s="157" t="n">
        <f>AW380</f>
        <v>14.538711038801331</v>
      </c>
      <c r="AX381" s="84"/>
      <c r="AY381" s="84"/>
      <c r="AZ381" t="n">
        <v>0.7</v>
      </c>
      <c r="BQ381" s="39"/>
    </row>
    <row r="382">
      <c r="A382" s="84"/>
      <c r="B382" s="95" t="str">
        <f t="shared" si="160"/>
        <v>Goats</v>
      </c>
      <c r="C382" s="95"/>
      <c r="D382" s="131" t="s">
        <v>11</v>
      </c>
      <c r="E382" s="86"/>
      <c r="F382" s="86"/>
      <c r="G382" s="168"/>
      <c r="H382" s="39"/>
      <c r="I382" s="86"/>
      <c r="J382" s="86"/>
      <c r="K382" s="86"/>
      <c r="L382" s="86"/>
      <c r="M382" s="86"/>
      <c r="N382" s="86"/>
      <c r="O382" s="86"/>
      <c r="P382" s="86"/>
      <c r="Q382" s="86"/>
      <c r="R382" s="53"/>
      <c r="S382" s="168"/>
      <c r="T382" s="41"/>
      <c r="U382" s="17"/>
      <c r="V382" s="17"/>
      <c r="W382" s="28"/>
      <c r="X382" s="28"/>
      <c r="Y382" s="39"/>
      <c r="Z382" s="39"/>
      <c r="AA382" s="39"/>
      <c r="AB382" s="39"/>
      <c r="AC382" s="39"/>
      <c r="AD382" s="39"/>
      <c r="AE382" s="39"/>
      <c r="AF382" s="39"/>
      <c r="AG382" s="39"/>
      <c r="AH382" s="39"/>
      <c r="AI382" s="39"/>
      <c r="AJ382" s="41"/>
      <c r="AK382" s="86"/>
      <c r="AL382" s="86"/>
      <c r="AM382" s="121" t="n">
        <f>AM379</f>
        <v>1.6500000000000001E-2</v>
      </c>
      <c r="AN382" s="121" t="n">
        <f>AN379</f>
        <v>6.1599999999999997E-3</v>
      </c>
      <c r="AO382" s="121"/>
      <c r="AP382" s="121" t="n">
        <f>AP379</f>
        <v>0.20466769877314162</v>
      </c>
      <c r="AQ382" s="121" t="n">
        <f>AQ379</f>
        <v>0.25433636363636369</v>
      </c>
      <c r="AR382" s="84"/>
      <c r="AS382" s="148"/>
      <c r="AT382" s="84"/>
      <c r="AU382" s="84"/>
      <c r="AV382" s="84"/>
      <c r="AW382" s="157" t="n">
        <f>AW379</f>
        <v>12.404102955947977</v>
      </c>
      <c r="AX382" s="84"/>
      <c r="AY382" s="84"/>
      <c r="AZ382" t="n">
        <v>0.7</v>
      </c>
      <c r="BQ382" s="39"/>
    </row>
    <row r="383">
      <c r="A383" s="84"/>
      <c r="B383" s="95" t="str">
        <f t="shared" si="160"/>
        <v>Rabbits</v>
      </c>
      <c r="C383" s="95"/>
      <c r="D383" s="131" t="s">
        <v>11</v>
      </c>
      <c r="E383" s="86"/>
      <c r="F383" s="86"/>
      <c r="G383" s="168"/>
      <c r="H383" s="39"/>
      <c r="I383" s="86"/>
      <c r="J383" s="86"/>
      <c r="K383" s="86"/>
      <c r="L383" s="86"/>
      <c r="M383" s="86"/>
      <c r="N383" s="86"/>
      <c r="O383" s="86"/>
      <c r="P383" s="86"/>
      <c r="Q383" s="86"/>
      <c r="R383" s="53"/>
      <c r="S383" s="168"/>
      <c r="T383" s="41"/>
      <c r="U383" s="17"/>
      <c r="V383" s="17"/>
      <c r="W383" s="28"/>
      <c r="X383" s="28"/>
      <c r="Y383" s="39"/>
      <c r="Z383" s="39"/>
      <c r="AA383" s="39"/>
      <c r="AB383" s="39"/>
      <c r="AC383" s="39"/>
      <c r="AD383" s="39"/>
      <c r="AE383" s="39"/>
      <c r="AF383" s="39"/>
      <c r="AG383" s="39"/>
      <c r="AH383" s="39"/>
      <c r="AI383" s="39"/>
      <c r="AJ383" s="41"/>
      <c r="AK383" s="86"/>
      <c r="AL383" s="86"/>
      <c r="AM383" s="121" t="n">
        <f>AM386</f>
        <v>2.5335714285714295E-2</v>
      </c>
      <c r="AN383" s="121" t="n">
        <f>AN386</f>
        <v>1.129E-2</v>
      </c>
      <c r="AO383" s="121" t="n">
        <f>AO386</f>
        <v>1.5733333333333332E-2</v>
      </c>
      <c r="AP383" s="121" t="n">
        <f>AP386</f>
        <v>0.36834862896163101</v>
      </c>
      <c r="AQ383" s="121" t="n">
        <f>AQ386</f>
        <v>0.25433636363636369</v>
      </c>
      <c r="AR383" s="84"/>
      <c r="AS383" s="148"/>
      <c r="AT383" s="84"/>
      <c r="AU383" s="84"/>
      <c r="AV383" s="84"/>
      <c r="AW383" s="157" t="n">
        <f>AW386</f>
        <v>14.538711038801331</v>
      </c>
      <c r="AX383" s="84"/>
      <c r="AY383" s="84"/>
      <c r="AZ383" t="n">
        <v>0.7</v>
      </c>
      <c r="BQ383" s="39"/>
    </row>
    <row r="384">
      <c r="A384" s="84"/>
      <c r="B384" s="44" t="s">
        <v>440</v>
      </c>
      <c r="C384" s="44"/>
      <c r="D384" s="142" t="s">
        <v>11</v>
      </c>
      <c r="E384" s="86"/>
      <c r="F384" s="86"/>
      <c r="G384" s="168"/>
      <c r="H384" s="39" t="n">
        <v>0.59</v>
      </c>
      <c r="I384" s="86"/>
      <c r="J384" s="86"/>
      <c r="K384" s="86"/>
      <c r="L384" s="86"/>
      <c r="M384" s="86"/>
      <c r="N384" s="86"/>
      <c r="O384" s="86"/>
      <c r="P384" s="86"/>
      <c r="Q384" s="86"/>
      <c r="R384" s="53"/>
      <c r="S384" s="168"/>
      <c r="T384" s="41"/>
      <c r="U384" s="17"/>
      <c r="V384" s="17"/>
      <c r="W384" s="28"/>
      <c r="X384" s="28"/>
      <c r="Y384" s="39"/>
      <c r="Z384" s="39"/>
      <c r="AA384" s="39"/>
      <c r="AB384" s="39"/>
      <c r="AC384" s="39"/>
      <c r="AD384" s="39"/>
      <c r="AE384" s="39"/>
      <c r="AF384" s="39"/>
      <c r="AG384" s="39"/>
      <c r="AH384" s="39"/>
      <c r="AI384" s="39"/>
      <c r="AJ384" s="41"/>
      <c r="AK384" s="86"/>
      <c r="AL384" s="86"/>
      <c r="AM384" s="39" t="n">
        <v>5.5266666666666665E-2</v>
      </c>
      <c r="AN384" s="153" t="n">
        <v>2.1999999999999999E-2</v>
      </c>
      <c r="AO384" s="153" t="n">
        <v>1.6799999999999999E-2</v>
      </c>
      <c r="AP384" s="121" t="n">
        <f t="shared" si="157"/>
        <v>0.37994322950757342</v>
      </c>
      <c r="AQ384" s="121" t="n">
        <v>0.25433636363636369</v>
      </c>
      <c r="AR384" s="84"/>
      <c r="AS384" s="148"/>
      <c r="AT384" s="84"/>
      <c r="AU384" s="84"/>
      <c r="AV384" s="84"/>
      <c r="AW384" s="166" t="n">
        <v>6.8747267100284697</v>
      </c>
      <c r="AX384" s="84"/>
      <c r="AY384" s="84"/>
      <c r="AZ384" t="n">
        <v>0.7</v>
      </c>
      <c r="BQ384" s="39"/>
    </row>
    <row r="385">
      <c r="A385" s="84"/>
      <c r="B385" s="44" t="s">
        <v>441</v>
      </c>
      <c r="C385" s="44"/>
      <c r="D385" s="142" t="s">
        <v>11</v>
      </c>
      <c r="E385" s="86"/>
      <c r="F385" s="86"/>
      <c r="G385" s="168"/>
      <c r="H385" s="39"/>
      <c r="I385" s="86"/>
      <c r="J385" s="86"/>
      <c r="K385" s="86"/>
      <c r="L385" s="86"/>
      <c r="M385" s="86"/>
      <c r="N385" s="86"/>
      <c r="O385" s="86"/>
      <c r="P385" s="86"/>
      <c r="Q385" s="86"/>
      <c r="R385" s="53"/>
      <c r="S385" s="168"/>
      <c r="T385" s="41"/>
      <c r="U385" s="17"/>
      <c r="V385" s="17"/>
      <c r="W385" s="28"/>
      <c r="X385" s="28"/>
      <c r="Y385" s="39"/>
      <c r="Z385" s="39"/>
      <c r="AA385" s="39"/>
      <c r="AB385" s="39"/>
      <c r="AC385" s="39"/>
      <c r="AD385" s="39"/>
      <c r="AE385" s="39"/>
      <c r="AF385" s="39"/>
      <c r="AG385" s="39"/>
      <c r="AH385" s="39"/>
      <c r="AI385" s="39"/>
      <c r="AJ385" s="41"/>
      <c r="AK385" s="86"/>
      <c r="AL385" s="86"/>
      <c r="AM385" s="39" t="n">
        <v>3.4200000000000001E-2</v>
      </c>
      <c r="AN385" s="39"/>
      <c r="AO385" s="39"/>
      <c r="AP385" s="121" t="n">
        <f t="shared" si="157"/>
        <v>0.31106522233736489</v>
      </c>
      <c r="AQ385" s="121" t="n">
        <v>0.25433636363636369</v>
      </c>
      <c r="AR385" s="84"/>
      <c r="AS385" s="148"/>
      <c r="AT385" s="84"/>
      <c r="AU385" s="84"/>
      <c r="AV385" s="84"/>
      <c r="AW385" s="166" t="n">
        <v>9.0954743373498506</v>
      </c>
      <c r="AX385" s="84"/>
      <c r="AY385" s="84"/>
      <c r="AZ385" t="n">
        <v>0.7</v>
      </c>
      <c r="BQ385" s="39"/>
    </row>
    <row r="386">
      <c r="A386" s="70"/>
      <c r="B386" s="73" t="s">
        <v>439</v>
      </c>
      <c r="C386" s="73"/>
      <c r="D386" s="142" t="s">
        <v>11</v>
      </c>
      <c r="E386" s="73"/>
      <c r="F386" s="73"/>
      <c r="G386" s="122"/>
      <c r="H386" s="150"/>
      <c r="I386" s="73"/>
      <c r="J386" s="73"/>
      <c r="K386" s="73"/>
      <c r="L386" s="73"/>
      <c r="M386" s="73"/>
      <c r="N386" s="73"/>
      <c r="O386" s="73"/>
      <c r="P386" s="73"/>
      <c r="Q386" s="73"/>
      <c r="R386" s="94"/>
      <c r="S386" s="122"/>
      <c r="T386" s="38"/>
      <c r="U386" s="18"/>
      <c r="V386" s="18"/>
      <c r="W386" s="26"/>
      <c r="X386" s="26"/>
      <c r="Y386" s="150"/>
      <c r="Z386" s="150"/>
      <c r="AA386" s="150"/>
      <c r="AB386" s="150"/>
      <c r="AC386" s="150"/>
      <c r="AD386" s="150"/>
      <c r="AE386" s="150"/>
      <c r="AF386" s="150"/>
      <c r="AG386" s="150"/>
      <c r="AH386" s="150"/>
      <c r="AI386" s="150"/>
      <c r="AJ386" s="38"/>
      <c r="AK386" s="73"/>
      <c r="AL386" s="73"/>
      <c r="AM386" s="39" t="n">
        <v>2.5335714285714295E-2</v>
      </c>
      <c r="AN386" s="150" t="n">
        <v>1.129E-2</v>
      </c>
      <c r="AO386" s="150" t="n">
        <v>1.5733333333333332E-2</v>
      </c>
      <c r="AP386" s="121" t="n">
        <f t="shared" si="157"/>
        <v>0.36834862896163101</v>
      </c>
      <c r="AQ386" s="153" t="n">
        <v>0.25433636363636369</v>
      </c>
      <c r="AR386" s="84"/>
      <c r="AS386" s="148"/>
      <c r="AT386" s="84"/>
      <c r="AU386" s="84"/>
      <c r="AV386" s="84"/>
      <c r="AW386" s="166" t="n">
        <v>14.538711038801331</v>
      </c>
      <c r="AX386" s="70"/>
      <c r="AY386" s="70"/>
      <c r="AZ386" t="n">
        <v>0.7</v>
      </c>
      <c r="BQ386" s="150"/>
    </row>
    <row r="387">
      <c r="A387" s="84"/>
      <c r="B387" s="44" t="s">
        <v>10</v>
      </c>
      <c r="C387" s="44"/>
      <c r="D387" s="142" t="s">
        <v>8</v>
      </c>
      <c r="E387" s="142"/>
      <c r="F387" s="94"/>
      <c r="G387" s="89"/>
      <c r="H387" s="153" t="n">
        <v>0.26600000000000001</v>
      </c>
      <c r="I387" s="44"/>
      <c r="J387" s="44"/>
      <c r="K387" s="166"/>
      <c r="L387" s="166"/>
      <c r="M387" s="166"/>
      <c r="N387" s="166"/>
      <c r="O387" s="94"/>
      <c r="P387" s="94"/>
      <c r="Q387" s="94"/>
      <c r="R387" s="94"/>
      <c r="S387" s="89"/>
      <c r="T387" s="130"/>
      <c r="U387" s="166"/>
      <c r="V387" s="166"/>
      <c r="W387" s="21"/>
      <c r="X387" s="21"/>
      <c r="Y387" s="153"/>
      <c r="Z387" s="153"/>
      <c r="AA387" s="153"/>
      <c r="AB387" s="153"/>
      <c r="AC387" s="153"/>
      <c r="AD387" s="153"/>
      <c r="AE387" s="153"/>
      <c r="AF387" s="153"/>
      <c r="AG387" s="153"/>
      <c r="AH387" s="153"/>
      <c r="AI387" s="153"/>
      <c r="AJ387" s="130"/>
      <c r="AK387" s="153"/>
      <c r="AL387" s="153"/>
      <c r="AM387" s="39" t="n">
        <v>4.3823809523809522E-2</v>
      </c>
      <c r="AN387" s="153"/>
      <c r="AO387" s="39" t="n">
        <v>0.29099999999999998</v>
      </c>
      <c r="AP387" s="121" t="n">
        <f t="shared" si="157"/>
        <v>0.32194406011085441</v>
      </c>
      <c r="AQ387" s="121" t="n">
        <v>0.25433636363636369</v>
      </c>
      <c r="AR387" s="84"/>
      <c r="AS387" s="148"/>
      <c r="AT387" s="84"/>
      <c r="AU387" s="84"/>
      <c r="AV387" s="84"/>
      <c r="AW387" s="166" t="n">
        <v>7.346327569627233</v>
      </c>
      <c r="AX387" s="84"/>
      <c r="AY387" s="84"/>
      <c r="AZ387" t="n">
        <v>0.7</v>
      </c>
      <c r="BQ387" s="153"/>
    </row>
    <row r="388">
      <c r="A388" s="84"/>
      <c r="B388" s="44" t="s">
        <v>9</v>
      </c>
      <c r="C388" s="44"/>
      <c r="D388" s="142" t="s">
        <v>8</v>
      </c>
      <c r="E388" s="142"/>
      <c r="F388" s="94"/>
      <c r="G388" s="89"/>
      <c r="H388" s="153" t="n">
        <v>0.46899999999999997</v>
      </c>
      <c r="I388" s="44"/>
      <c r="J388" s="44"/>
      <c r="K388" s="166"/>
      <c r="L388" s="166"/>
      <c r="M388" s="166"/>
      <c r="N388" s="166"/>
      <c r="O388" s="94"/>
      <c r="P388" s="94"/>
      <c r="Q388" s="94"/>
      <c r="R388" s="94"/>
      <c r="S388" s="89"/>
      <c r="T388" s="130"/>
      <c r="U388" s="166"/>
      <c r="V388" s="166"/>
      <c r="W388" s="21"/>
      <c r="X388" s="21"/>
      <c r="Y388" s="153"/>
      <c r="Z388" s="153"/>
      <c r="AA388" s="153"/>
      <c r="AB388" s="153"/>
      <c r="AC388" s="153"/>
      <c r="AD388" s="153"/>
      <c r="AE388" s="153"/>
      <c r="AF388" s="153"/>
      <c r="AG388" s="153"/>
      <c r="AH388" s="153"/>
      <c r="AI388" s="153"/>
      <c r="AJ388" s="130"/>
      <c r="AK388" s="153"/>
      <c r="AL388" s="153"/>
      <c r="AM388" s="39" t="n">
        <f>0.0173/0.469</f>
        <v>3.6886993603411515E-2</v>
      </c>
      <c r="AN388" s="153"/>
      <c r="AO388" s="39" t="n">
        <v>9.5000000000000001E-2</v>
      </c>
      <c r="AP388" s="121" t="n">
        <f>0.5*0.258/0.469</f>
        <v>0.27505330490405122</v>
      </c>
      <c r="AQ388" s="121" t="n">
        <v>0.38600000000000001</v>
      </c>
      <c r="AR388" s="84"/>
      <c r="AS388" s="148"/>
      <c r="AT388" s="84"/>
      <c r="AU388" s="84"/>
      <c r="AV388" s="84"/>
      <c r="AW388" s="166" t="n">
        <f>AP388/AM388</f>
        <v>7.4566473988439315</v>
      </c>
      <c r="AX388" s="84"/>
      <c r="AY388" s="84"/>
      <c r="AZ388" t="n">
        <v>0.7</v>
      </c>
      <c r="BQ388" s="153"/>
    </row>
    <row r="389">
      <c r="A389" s="84"/>
      <c r="B389" s="44" t="s">
        <v>8</v>
      </c>
      <c r="C389" s="44"/>
      <c r="D389" s="142" t="s">
        <v>8</v>
      </c>
      <c r="E389" s="142"/>
      <c r="F389" s="94"/>
      <c r="G389" s="89"/>
      <c r="H389" s="153" t="n">
        <f>AVERAGE(H387:H388)</f>
        <v>0.36749999999999999</v>
      </c>
      <c r="I389" s="44"/>
      <c r="J389" s="44"/>
      <c r="K389" s="166"/>
      <c r="L389" s="166"/>
      <c r="M389" s="166"/>
      <c r="N389" s="166"/>
      <c r="O389" s="94"/>
      <c r="P389" s="94"/>
      <c r="Q389" s="94"/>
      <c r="R389" s="94"/>
      <c r="S389" s="89"/>
      <c r="T389" s="130"/>
      <c r="U389" s="166"/>
      <c r="V389" s="166"/>
      <c r="W389" s="21"/>
      <c r="X389" s="21"/>
      <c r="Y389" s="153"/>
      <c r="Z389" s="153"/>
      <c r="AA389" s="153"/>
      <c r="AB389" s="153"/>
      <c r="AC389" s="153"/>
      <c r="AD389" s="153"/>
      <c r="AE389" s="153"/>
      <c r="AF389" s="153"/>
      <c r="AG389" s="153"/>
      <c r="AH389" s="153"/>
      <c r="AI389" s="153"/>
      <c r="AJ389" s="130"/>
      <c r="AK389" s="153"/>
      <c r="AL389" s="153"/>
      <c r="AM389" s="136" t="n">
        <f>AVERAGE(AM387:AM388)</f>
        <v>4.0355401563610518E-2</v>
      </c>
      <c r="AN389" s="136"/>
      <c r="AO389" s="136" t="n">
        <f>AVERAGE(AO387:AO388)</f>
        <v>0.193</v>
      </c>
      <c r="AP389" s="136" t="n">
        <f>AVERAGE(AP387:AP388)</f>
        <v>0.29849868250745282</v>
      </c>
      <c r="AQ389" s="136" t="n">
        <f>AVERAGE(AQ387:AQ388)</f>
        <v>0.32016818181818185</v>
      </c>
      <c r="AR389" s="160"/>
      <c r="AS389" s="161"/>
      <c r="AT389" s="160"/>
      <c r="AU389" s="160"/>
      <c r="AV389" s="160"/>
      <c r="AW389" s="162" t="n">
        <f>AP389/AM389</f>
        <v>7.3967466792999677</v>
      </c>
      <c r="AX389" s="84"/>
      <c r="AY389" s="84"/>
      <c r="AZ389" t="n">
        <v>0.7</v>
      </c>
      <c r="BQ389" s="153"/>
    </row>
    <row r="390">
      <c r="A390" s="84"/>
      <c r="B390" s="44" t="s">
        <v>7</v>
      </c>
      <c r="C390" s="44"/>
      <c r="D390" s="142" t="s">
        <v>7</v>
      </c>
      <c r="E390" s="142"/>
      <c r="F390" s="94"/>
      <c r="G390" s="89"/>
      <c r="H390" s="153"/>
      <c r="I390" s="44"/>
      <c r="J390" s="44"/>
      <c r="K390" s="166"/>
      <c r="L390" s="166"/>
      <c r="M390" s="166"/>
      <c r="N390" s="166"/>
      <c r="O390" s="94"/>
      <c r="P390" s="94"/>
      <c r="Q390" s="94"/>
      <c r="R390" s="94"/>
      <c r="S390" s="89"/>
      <c r="T390" s="130"/>
      <c r="U390" s="166"/>
      <c r="V390" s="166"/>
      <c r="W390" s="21"/>
      <c r="X390" s="21"/>
      <c r="Y390" s="153"/>
      <c r="Z390" s="153"/>
      <c r="AA390" s="153"/>
      <c r="AB390" s="153"/>
      <c r="AC390" s="153"/>
      <c r="AD390" s="153"/>
      <c r="AE390" s="153"/>
      <c r="AF390" s="153"/>
      <c r="AG390" s="153"/>
      <c r="AH390" s="153"/>
      <c r="AI390" s="153"/>
      <c r="AJ390" s="130"/>
      <c r="AK390" s="153"/>
      <c r="AL390" s="153"/>
      <c r="AM390" s="39" t="n">
        <v>2.5335714285714295E-2</v>
      </c>
      <c r="AN390" s="153"/>
      <c r="AO390" s="39"/>
      <c r="AP390" s="121" t="n">
        <f t="shared" si="157"/>
        <v>0.36834862896163101</v>
      </c>
      <c r="AQ390" s="153" t="n">
        <v>0.38600000000000001</v>
      </c>
      <c r="AR390" s="84"/>
      <c r="AS390" s="148"/>
      <c r="AT390" s="84"/>
      <c r="AU390" s="84"/>
      <c r="AV390" s="84"/>
      <c r="AW390" s="166" t="n">
        <v>14.538711038801331</v>
      </c>
      <c r="AX390" s="84"/>
      <c r="AY390" s="84"/>
      <c r="AZ390" t="n">
        <v>0.7</v>
      </c>
      <c r="BQ390" s="153"/>
    </row>
    <row r="391">
      <c r="A391" s="1"/>
      <c r="B391" s="163" t="s">
        <v>6</v>
      </c>
      <c r="C391" s="163"/>
      <c r="D391" s="142" t="s">
        <v>6</v>
      </c>
      <c r="E391" s="142"/>
      <c r="F391" s="94"/>
      <c r="G391" s="89"/>
      <c r="H391" s="89"/>
      <c r="I391" s="44"/>
      <c r="J391" s="44"/>
      <c r="K391" s="166"/>
      <c r="L391" s="166"/>
      <c r="M391" s="166"/>
      <c r="N391" s="166"/>
      <c r="O391" s="94"/>
      <c r="P391" s="94"/>
      <c r="Q391" s="94"/>
      <c r="R391" s="94"/>
      <c r="S391" s="89"/>
      <c r="T391" s="130"/>
      <c r="U391" s="166"/>
      <c r="V391" s="166"/>
      <c r="W391" s="21"/>
      <c r="X391" s="21"/>
      <c r="Y391" s="153"/>
      <c r="Z391" s="153"/>
      <c r="AA391" s="153"/>
      <c r="AB391" s="153"/>
      <c r="AC391" s="153"/>
      <c r="AD391" s="153"/>
      <c r="AE391" s="153"/>
      <c r="AF391" s="153"/>
      <c r="AG391" s="153"/>
      <c r="AH391" s="153"/>
      <c r="AI391" s="153"/>
      <c r="AJ391" s="130"/>
      <c r="AK391" s="153"/>
      <c r="AL391" s="153"/>
      <c r="AM391" s="39" t="n">
        <v>1.7599999999999998E-2</v>
      </c>
      <c r="AN391" s="16"/>
      <c r="AO391" s="6"/>
      <c r="AP391" s="121" t="n">
        <f t="shared" si="157"/>
        <v>0.2585503999999999</v>
      </c>
      <c r="AQ391" s="121" t="n">
        <v>0.71</v>
      </c>
      <c r="AR391" s="84"/>
      <c r="AS391" s="148"/>
      <c r="AT391" s="84"/>
      <c r="AU391" s="84"/>
      <c r="AV391" s="84"/>
      <c r="AW391" s="166" t="n">
        <v>14.690363636363633</v>
      </c>
      <c r="AX391" s="1"/>
      <c r="AY391" s="1"/>
      <c r="AZ391" t="n">
        <v>0.7</v>
      </c>
      <c r="BQ391" s="153"/>
    </row>
    <row r="392">
      <c r="A392" s="1"/>
      <c r="B392" s="54" t="s">
        <v>5</v>
      </c>
      <c r="C392" s="54"/>
      <c r="D392" s="142" t="s">
        <v>2</v>
      </c>
      <c r="E392" s="142"/>
      <c r="F392" s="94"/>
      <c r="G392" s="89"/>
      <c r="H392" s="89"/>
      <c r="I392" s="44"/>
      <c r="J392" s="44"/>
      <c r="K392" s="166"/>
      <c r="L392" s="166"/>
      <c r="M392" s="166"/>
      <c r="N392" s="166"/>
      <c r="O392" s="94"/>
      <c r="P392" s="94"/>
      <c r="Q392" s="94"/>
      <c r="R392" s="94"/>
      <c r="S392" s="89"/>
      <c r="T392" s="130"/>
      <c r="U392" s="166"/>
      <c r="V392" s="166"/>
      <c r="W392" s="21"/>
      <c r="X392" s="21"/>
      <c r="Y392" s="153"/>
      <c r="Z392" s="153"/>
      <c r="AA392" s="153"/>
      <c r="AB392" s="153"/>
      <c r="AC392" s="153"/>
      <c r="AD392" s="153"/>
      <c r="AE392" s="153"/>
      <c r="AF392" s="153"/>
      <c r="AG392" s="153"/>
      <c r="AH392" s="153"/>
      <c r="AI392" s="153"/>
      <c r="AJ392" s="130"/>
      <c r="AK392" s="153"/>
      <c r="AL392" s="153"/>
      <c r="AM392" s="39" t="n">
        <v>4.3999999999999997E-2</v>
      </c>
      <c r="AN392" s="16"/>
      <c r="AO392" s="6"/>
      <c r="AP392" s="121" t="n">
        <f t="shared" si="157"/>
        <v>0.37900000000000006</v>
      </c>
      <c r="AQ392" s="121" t="s">
        <v>4</v>
      </c>
      <c r="AR392" s="84"/>
      <c r="AS392" s="148"/>
      <c r="AT392" s="84"/>
      <c r="AU392" s="84"/>
      <c r="AV392" s="84"/>
      <c r="AW392" s="166" t="n">
        <v>8.6136363636363651</v>
      </c>
      <c r="AX392" s="1"/>
      <c r="AY392" s="1"/>
      <c r="AZ392" t="n">
        <v>0.7</v>
      </c>
      <c r="BQ392" s="153"/>
    </row>
    <row r="393">
      <c r="A393" s="164"/>
      <c r="B393" s="167" t="s">
        <v>3</v>
      </c>
      <c r="C393" s="167"/>
      <c r="D393" s="142" t="s">
        <v>2</v>
      </c>
      <c r="E393" s="167"/>
      <c r="F393" s="167"/>
      <c r="G393" s="169"/>
      <c r="H393" s="167"/>
      <c r="I393" s="164"/>
      <c r="J393" s="164"/>
      <c r="K393" s="164"/>
      <c r="L393" s="164"/>
      <c r="M393" s="164"/>
      <c r="N393" s="164"/>
      <c r="O393" s="164"/>
      <c r="P393" s="164"/>
      <c r="Q393" s="164"/>
      <c r="R393" s="164"/>
      <c r="S393" s="64"/>
      <c r="T393" s="42"/>
      <c r="U393" s="19"/>
      <c r="V393" s="19"/>
      <c r="W393" s="30"/>
      <c r="X393" s="30"/>
      <c r="Y393" s="149"/>
      <c r="Z393" s="149"/>
      <c r="AA393" s="149"/>
      <c r="AB393" s="149"/>
      <c r="AC393" s="149"/>
      <c r="AD393" s="149"/>
      <c r="AE393" s="149"/>
      <c r="AF393" s="149"/>
      <c r="AG393" s="149"/>
      <c r="AH393" s="149"/>
      <c r="AI393" s="149"/>
      <c r="AJ393" s="42"/>
      <c r="AK393" s="164"/>
      <c r="AL393" s="164"/>
      <c r="AM393" s="39" t="n">
        <v>0.05</v>
      </c>
      <c r="AN393" s="164"/>
      <c r="AO393" s="164"/>
      <c r="AP393" s="121" t="n">
        <f t="shared" si="157"/>
        <v>0.38800000000000001</v>
      </c>
      <c r="AQ393" s="164"/>
      <c r="AR393" s="164"/>
      <c r="AS393" s="149"/>
      <c r="AT393" s="164"/>
      <c r="AU393" s="164"/>
      <c r="AV393" s="164"/>
      <c r="AW393" s="166" t="n">
        <v>7.76</v>
      </c>
      <c r="AX393" s="164"/>
      <c r="AY393" s="164"/>
      <c r="AZ393" t="n">
        <v>0.7</v>
      </c>
      <c r="BQ393" s="149"/>
    </row>
    <row r="394">
      <c r="A394" s="1"/>
      <c r="B394" s="163" t="s">
        <v>1</v>
      </c>
      <c r="C394" s="163"/>
      <c r="D394" s="142" t="s">
        <v>1</v>
      </c>
      <c r="E394" s="142"/>
      <c r="F394" s="94"/>
      <c r="G394" s="89"/>
      <c r="H394" s="89"/>
      <c r="I394" s="84"/>
      <c r="J394" s="84"/>
      <c r="K394" s="119"/>
      <c r="L394" s="119"/>
      <c r="M394" s="119"/>
      <c r="N394" s="119"/>
      <c r="O394" s="104"/>
      <c r="P394" s="104"/>
      <c r="Q394" s="104"/>
      <c r="R394" s="104"/>
      <c r="S394" s="140"/>
      <c r="T394" s="37"/>
      <c r="U394" s="119"/>
      <c r="V394" s="119"/>
      <c r="W394" s="75"/>
      <c r="X394" s="75"/>
      <c r="Y394" s="148"/>
      <c r="Z394" s="148"/>
      <c r="AA394" s="148"/>
      <c r="AB394" s="148"/>
      <c r="AC394" s="148"/>
      <c r="AD394" s="148"/>
      <c r="AE394" s="148"/>
      <c r="AF394" s="148"/>
      <c r="AG394" s="148"/>
      <c r="AH394" s="148"/>
      <c r="AI394" s="148"/>
      <c r="AJ394" s="37"/>
      <c r="AK394" s="148"/>
      <c r="AL394" s="148"/>
      <c r="AM394" s="39" t="n">
        <v>4.1000000000000003E-3</v>
      </c>
      <c r="AN394" s="2"/>
      <c r="AO394" s="84"/>
      <c r="AP394" s="121" t="n">
        <f t="shared" si="157"/>
        <v>0.59699999999999998</v>
      </c>
      <c r="AQ394" s="84"/>
      <c r="AR394" s="84"/>
      <c r="AS394" s="148"/>
      <c r="AT394" s="84"/>
      <c r="AU394" s="84"/>
      <c r="AV394" s="84"/>
      <c r="AW394" s="166" t="n">
        <v>145.60975609756096</v>
      </c>
      <c r="AX394" s="1"/>
      <c r="AY394" s="1"/>
      <c r="AZ394" t="n">
        <v>0.7</v>
      </c>
      <c r="BQ394" s="148"/>
    </row>
    <row r="395">
      <c r="A395" s="1"/>
      <c r="B395" s="1" t="s">
        <v>0</v>
      </c>
      <c r="C395" s="1"/>
      <c r="D395" s="151"/>
      <c r="E395" s="151"/>
      <c r="F395" s="104"/>
      <c r="G395" s="140" t="n">
        <v>1</v>
      </c>
      <c r="H395" s="140"/>
      <c r="I395" s="84"/>
      <c r="J395" s="84"/>
      <c r="K395" s="119"/>
      <c r="L395" s="119"/>
      <c r="M395" s="162" t="n">
        <v>16.600000000000001</v>
      </c>
      <c r="N395" s="119"/>
      <c r="O395" s="104"/>
      <c r="P395" s="104"/>
      <c r="Q395" s="104"/>
      <c r="R395" s="104"/>
      <c r="S395" s="140"/>
      <c r="T395" s="37"/>
      <c r="U395" s="119"/>
      <c r="V395" s="119"/>
      <c r="W395" s="75"/>
      <c r="X395" s="75"/>
      <c r="Y395" s="148"/>
      <c r="Z395" s="148"/>
      <c r="AA395" s="148"/>
      <c r="AB395" s="148"/>
      <c r="AC395" s="148"/>
      <c r="AD395" s="148"/>
      <c r="AE395" s="148"/>
      <c r="AF395" s="148"/>
      <c r="AG395" s="148"/>
      <c r="AH395" s="148"/>
      <c r="AI395" s="148"/>
      <c r="AJ395" s="37"/>
      <c r="AK395" s="148"/>
      <c r="AL395" s="148" t="n">
        <v>0.57999999999999996</v>
      </c>
      <c r="AM395" s="2"/>
      <c r="AN395" s="2"/>
      <c r="AO395" s="84"/>
      <c r="AP395" s="148"/>
      <c r="AQ395" s="84"/>
      <c r="AR395" s="84"/>
      <c r="AS395" s="148"/>
      <c r="AT395" s="84"/>
      <c r="AU395" s="84"/>
      <c r="AV395" s="84"/>
      <c r="AW395" s="5"/>
      <c r="AX395" s="1"/>
      <c r="AY395" s="1"/>
      <c r="AZ395" t="n">
        <v>0.7</v>
      </c>
      <c r="BQ395" s="148"/>
    </row>
    <row r="396">
      <c r="B396" t="s">
        <v>773</v>
      </c>
      <c r="G396" s="52" t="n">
        <v>0.98</v>
      </c>
      <c r="T396" s="40" t="n">
        <f>AI396*G396</f>
        <v>0</v>
      </c>
      <c r="AI396" s="170" t="n">
        <v>0</v>
      </c>
    </row>
    <row r="397">
      <c r="B397" t="s">
        <v>774</v>
      </c>
      <c r="G397" s="170" t="n">
        <v>0.98</v>
      </c>
      <c r="T397" s="40" t="n">
        <v>0.19750000000000001</v>
      </c>
      <c r="AI397" s="170" t="n">
        <f>T397/G397</f>
        <v>0.20153061224489796</v>
      </c>
    </row>
    <row r="398">
      <c r="B398" t="s">
        <v>775</v>
      </c>
      <c r="G398" s="52" t="n">
        <v>0.98</v>
      </c>
      <c r="T398" s="40" t="n">
        <f t="shared" ref="T396:T406" si="161">AI398*G398</f>
        <v>0</v>
      </c>
      <c r="AI398" s="170" t="n">
        <v>0</v>
      </c>
    </row>
    <row r="399">
      <c r="B399" t="s">
        <v>776</v>
      </c>
      <c r="G399" s="52" t="n">
        <v>0.98</v>
      </c>
      <c r="T399" s="40" t="n">
        <f t="shared" si="161"/>
        <v>0</v>
      </c>
      <c r="AI399" s="170" t="n">
        <v>0</v>
      </c>
    </row>
    <row r="400">
      <c r="B400" t="s">
        <v>777</v>
      </c>
      <c r="G400" s="52" t="n">
        <v>0.98</v>
      </c>
      <c r="T400" s="40" t="n">
        <f t="shared" si="161"/>
        <v>0</v>
      </c>
      <c r="AI400" s="170" t="n">
        <v>0</v>
      </c>
    </row>
    <row r="401">
      <c r="B401" t="s">
        <v>778</v>
      </c>
      <c r="G401" s="52" t="n">
        <v>0.98</v>
      </c>
      <c r="T401" s="40" t="n">
        <f t="shared" si="161"/>
        <v>0</v>
      </c>
      <c r="AI401" s="170" t="n">
        <v>0</v>
      </c>
    </row>
    <row r="402">
      <c r="B402" t="s">
        <v>779</v>
      </c>
      <c r="G402" s="52" t="n">
        <v>0.98</v>
      </c>
      <c r="T402" s="40" t="n">
        <f t="shared" si="161"/>
        <v>0</v>
      </c>
      <c r="AI402" s="170" t="n">
        <v>0</v>
      </c>
    </row>
    <row r="403">
      <c r="B403" t="s">
        <v>780</v>
      </c>
      <c r="G403" s="170" t="n">
        <f>1-(VLOOKUP(B403,[2]Feedstuff_FEDNA!$E$2:$I$182,4,0)/100)</f>
        <v>0.99399999999999999</v>
      </c>
      <c r="T403" s="40" t="n">
        <f t="shared" si="161"/>
        <v>0.13438879999999997</v>
      </c>
      <c r="AI403" s="170" t="n">
        <f>VLOOKUP(B403,[2]Feedstuff_FEDNA!$E$2:$I$182,5,0)/(6.25*100)</f>
        <v>0.13519999999999999</v>
      </c>
    </row>
    <row r="404">
      <c r="B404" t="s">
        <v>781</v>
      </c>
      <c r="G404" s="170" t="n">
        <f>1-(VLOOKUP(B404,[2]Feedstuff_FEDNA!$E$2:$I$182,4,0)/100)</f>
        <v>0.99</v>
      </c>
      <c r="T404" s="40" t="n">
        <f t="shared" si="161"/>
        <v>0.45540000000000003</v>
      </c>
      <c r="AI404" s="170" t="n">
        <f>VLOOKUP(B404,[2]Feedstuff_FEDNA!$E$2:$I$182,5,0)/(6.25*100)</f>
        <v>0.46</v>
      </c>
    </row>
    <row r="405">
      <c r="B405" t="s">
        <v>782</v>
      </c>
      <c r="G405" s="52" t="n">
        <v>0.98</v>
      </c>
      <c r="T405" s="40" t="n">
        <f t="shared" si="161"/>
        <v>0</v>
      </c>
      <c r="AI405" s="170" t="n">
        <v>0</v>
      </c>
    </row>
    <row r="406">
      <c r="B406" t="s">
        <v>783</v>
      </c>
      <c r="G406" s="52" t="n">
        <v>0.98</v>
      </c>
      <c r="T406" s="40" t="n">
        <f t="shared" si="161"/>
        <v>0</v>
      </c>
      <c r="AI406" s="170" t="n">
        <v>0</v>
      </c>
    </row>
    <row r="407">
      <c r="B407" t="s">
        <v>784</v>
      </c>
      <c r="G407" s="52" t="n">
        <f>G$411</f>
        <v>0.995</v>
      </c>
      <c r="T407" s="85" t="n">
        <f>1/6.25</f>
        <v>0.16</v>
      </c>
      <c r="AI407" s="52" t="n">
        <f>AI$411</f>
        <v>0.11600000000000001</v>
      </c>
    </row>
    <row r="408">
      <c r="B408" t="s">
        <v>785</v>
      </c>
      <c r="G408" s="52" t="n">
        <v>0.98</v>
      </c>
      <c r="T408" s="40" t="n">
        <f t="shared" ref="T408:T419" si="162">AI408*G408</f>
        <v>0</v>
      </c>
      <c r="AI408" s="170" t="n">
        <v>0</v>
      </c>
    </row>
    <row r="409">
      <c r="B409" t="s">
        <v>786</v>
      </c>
      <c r="G409" s="52" t="n">
        <v>0.98</v>
      </c>
      <c r="T409" s="40" t="n">
        <f t="shared" si="162"/>
        <v>0</v>
      </c>
      <c r="AI409" s="170" t="n">
        <v>0</v>
      </c>
    </row>
    <row r="410">
      <c r="B410" t="s">
        <v>787</v>
      </c>
      <c r="G410" s="170" t="n">
        <v>0.98</v>
      </c>
      <c r="T410" s="40" t="n">
        <v>0.112</v>
      </c>
      <c r="AI410" s="170" t="n">
        <f>T410/G410</f>
        <v>0.1142857142857143</v>
      </c>
    </row>
    <row r="411">
      <c r="B411" t="s">
        <v>788</v>
      </c>
      <c r="G411" s="170" t="n">
        <f>1-(VLOOKUP(B411,[2]Feedstuff_FEDNA!$E$2:$I$182,4,0)/100)</f>
        <v>0.995</v>
      </c>
      <c r="T411" s="40" t="n">
        <f>AI411*G411</f>
        <v>0.11542000000000001</v>
      </c>
      <c r="AI411" s="170" t="n">
        <f>VLOOKUP(B411,[2]Feedstuff_FEDNA!$E$2:$I$182,5,0)/(6.25*100)</f>
        <v>0.11600000000000001</v>
      </c>
    </row>
    <row r="412">
      <c r="B412" t="s">
        <v>789</v>
      </c>
      <c r="G412" s="52" t="n">
        <v>0.98</v>
      </c>
      <c r="T412" s="40" t="n">
        <f t="shared" si="162"/>
        <v>0</v>
      </c>
      <c r="AI412" s="170" t="n">
        <v>0</v>
      </c>
    </row>
    <row r="413">
      <c r="B413" t="s">
        <v>790</v>
      </c>
      <c r="G413" s="52" t="n">
        <v>0.98</v>
      </c>
      <c r="T413" s="40" t="n">
        <f t="shared" si="162"/>
        <v>0</v>
      </c>
      <c r="AI413" s="170" t="n">
        <v>0</v>
      </c>
    </row>
    <row r="414">
      <c r="B414" t="s">
        <v>791</v>
      </c>
      <c r="G414" s="170" t="n">
        <f>1-(VLOOKUP(B414,[2]Feedstuff_FEDNA!$E$2:$I$182,4,0)/100)</f>
        <v>0.99</v>
      </c>
      <c r="T414" s="40" t="n">
        <f t="shared" si="162"/>
        <v>0.11468160000000001</v>
      </c>
      <c r="AI414" s="170" t="n">
        <f>VLOOKUP(B414,[2]Feedstuff_FEDNA!$E$2:$I$182,5,0)/(6.25*100)</f>
        <v>0.11584000000000001</v>
      </c>
    </row>
    <row r="415">
      <c r="B415" t="s">
        <v>792</v>
      </c>
      <c r="G415" s="170" t="n">
        <f>1-(VLOOKUP(B415,[2]Feedstuff_FEDNA!$E$2:$I$182,4,0)/100)</f>
        <v>0.91800000000000004</v>
      </c>
      <c r="T415" s="40" t="n">
        <f t="shared" si="162"/>
        <v>6.7564800000000008E-2</v>
      </c>
      <c r="AI415" s="170" t="n">
        <f>VLOOKUP(B415,[2]Feedstuff_FEDNA!$E$2:$I$182,5,0)/(6.25*100)</f>
        <v>7.3599999999999999E-2</v>
      </c>
    </row>
    <row r="416">
      <c r="B416" t="s">
        <v>793</v>
      </c>
      <c r="G416" s="52" t="n">
        <v>0.98</v>
      </c>
      <c r="T416" s="40" t="n">
        <f t="shared" si="162"/>
        <v>0</v>
      </c>
      <c r="AI416" s="170" t="n">
        <v>0</v>
      </c>
    </row>
    <row r="417">
      <c r="B417" t="s">
        <v>794</v>
      </c>
      <c r="G417" s="52" t="n">
        <v>0.98</v>
      </c>
      <c r="T417" s="40" t="n">
        <f t="shared" si="162"/>
        <v>0</v>
      </c>
      <c r="AI417" s="170" t="n">
        <v>0</v>
      </c>
    </row>
    <row r="418">
      <c r="B418" t="s">
        <v>795</v>
      </c>
      <c r="G418" s="52" t="n">
        <v>0.98</v>
      </c>
      <c r="T418" s="40" t="n">
        <f t="shared" si="162"/>
        <v>0</v>
      </c>
      <c r="AI418" s="170" t="n">
        <v>0</v>
      </c>
    </row>
    <row r="419">
      <c r="B419" t="s">
        <v>796</v>
      </c>
      <c r="G419" s="170" t="n">
        <f>1-(VLOOKUP(B419,[2]Feedstuff_FEDNA!$E$2:$I$182,4,0)/100)</f>
        <v>0.98</v>
      </c>
      <c r="T419" s="40" t="n">
        <f t="shared" si="162"/>
        <v>0</v>
      </c>
      <c r="AI419" s="170" t="n">
        <f>VLOOKUP(B419,[2]Feedstuff_FEDNA!$E$2:$I$182,5,0)/(6.25*100)</f>
        <v>0</v>
      </c>
    </row>
    <row r="420">
      <c r="B420" t="s">
        <v>797</v>
      </c>
      <c r="G420" s="52" t="n">
        <f>G$411</f>
        <v>0.995</v>
      </c>
      <c r="T420" s="52" t="n">
        <f>1/6.25</f>
        <v>0.16</v>
      </c>
      <c r="AI420" s="52" t="n">
        <f>AI$411</f>
        <v>0.11600000000000001</v>
      </c>
    </row>
    <row r="421">
      <c r="B421" t="s">
        <v>798</v>
      </c>
      <c r="G421" s="170" t="n">
        <f>1-(VLOOKUP(B421,[2]Feedstuff_FEDNA!$E$2:$I$182,4,0)/100)</f>
        <v>0.998</v>
      </c>
      <c r="T421" s="40" t="n">
        <f>AI421*G421</f>
        <v>0</v>
      </c>
      <c r="AI421" s="170" t="n">
        <f>VLOOKUP(B421,[2]Feedstuff_FEDNA!$E$2:$I$182,5,0)/(6.25*100)</f>
        <v>0</v>
      </c>
    </row>
    <row r="422">
      <c r="B422" t="s">
        <v>799</v>
      </c>
      <c r="G422" s="52" t="n">
        <v>0.98</v>
      </c>
      <c r="T422" s="40" t="n">
        <f>AI422*G422</f>
        <v>0</v>
      </c>
      <c r="AI422" s="170" t="n">
        <v>0</v>
      </c>
    </row>
    <row r="423">
      <c r="B423" t="s">
        <v>800</v>
      </c>
      <c r="G423" s="52" t="n">
        <v>0.98</v>
      </c>
      <c r="T423" s="40" t="n">
        <f>AI423*G423</f>
        <v>0</v>
      </c>
      <c r="AI423" s="170" t="n">
        <v>0</v>
      </c>
    </row>
  </sheetData>
  <pageMargins left="0.7" right="0.7" top="0.75" bottom="0.75" header="0.3" footer="0.3"/>
  <pageSetup paperSize="9" orientation="portrait" horizontalDpi="1200" verticalDpi="1200" r:id="rId2"/>
  <legacyDrawing r:id="rIdvml"/>
  <extLst>
    <ext xmlns:x14="http://schemas.microsoft.com/office/spreadsheetml/2009/9/main" uri="{78C0D931-6437-407d-A8EE-F0AAD7539E65}">
      <x14:conditionalFormattings>
        <x14:conditionalFormatting xmlns:xm="http://schemas.microsoft.com/office/excel/2006/main">
          <x14:cfRule type="expression" priority="3" id="{E5350F2C-ED92-4979-A836-6F24B835CBED}">
            <xm:f>'C:\Users\Asus\Documents\Coeficientes\[Biomass.xlsx]C'!#REF!=""</xm:f>
            <x14:dxf>
              <font>
                <color rgb="FFFF0000"/>
              </font>
            </x14:dxf>
          </x14:cfRule>
          <xm:sqref>AP3:AP12 AP17:AP51 AP53:AP76 AP79 AP81:AP90 AP92:AP101 AP105:AP107 AP116:AP148 AP161:AP172 AP174:AP214 AP216:AP223 AP226:AP228 AP244:AP252 AP254:AP258 AP260:AP292 AP294:AP299 AP301:AP306 AP308:AP340 AP342:AP347 AP349:AP369 AW360:AW362 AP376:AP380 AW376:AW380 AP384:AP388 AW384:AW394 AP390:AP394</xm:sqref>
        </x14:conditionalFormatting>
        <x14:conditionalFormatting xmlns:xm="http://schemas.microsoft.com/office/excel/2006/main">
          <x14:cfRule type="expression" priority="1" id="{41EE6D22-2307-4D7A-AB52-101B7F36B70F}">
            <xm:f>'C:\Users\Asus\Documents\Coeficientes\[Biomass.xlsx]C'!#REF!=""</xm:f>
            <x14:dxf>
              <font>
                <color rgb="FFFF0000"/>
              </font>
            </x14:dxf>
          </x14:cfRule>
          <xm:sqref>AP231:AP242</xm:sqref>
        </x14:conditionalFormatting>
        <x14:conditionalFormatting xmlns:xm="http://schemas.microsoft.com/office/excel/2006/main">
          <x14:cfRule type="expression" priority="2" id="{032E4135-B28E-46C0-A076-89018E041BE8}">
            <xm:f>'C:\Users\Asus\Documents\Coeficientes\[Biomass.xlsx]C'!#REF!=""</xm:f>
            <x14:dxf>
              <font>
                <color rgb="FFFF0000"/>
              </font>
            </x14:dxf>
          </x14:cfRule>
          <xm:sqref>AW366:AW369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pane xSplit="1" ySplit="1" topLeftCell="B308" activePane="bottomRight" state="frozen"/>
      <selection sqref="A1:XFD1048576"/>
      <selection pane="topRight" sqref="A1:XFD1048576"/>
      <selection pane="bottomLeft" sqref="A1:XFD1048576"/>
      <selection pane="bottomRight" activeCell="A369" sqref="A369"/>
    </sheetView>
  </sheetViews>
  <sheetFormatPr defaultRowHeight="15.0" baseColWidth="10"/>
  <cols>
    <col min="1" max="1" width="21" hidden="0" customWidth="1"/>
    <col min="3" max="3" width="18.06640625" hidden="0" customWidth="1"/>
    <col min="11" max="11" width="19.19921875" hidden="0" customWidth="1"/>
    <col min="19" max="19" width="29.796875" hidden="0" customWidth="1"/>
    <col min="22" max="22" width="24.19921875" hidden="0" customWidth="1"/>
    <col min="23" max="23" width="35.53125" hidden="0" customWidth="1"/>
  </cols>
  <sheetData>
    <row r="1" ht="65.650000000000006" customHeight="1">
      <c r="A1" s="9" t="s">
        <v>399</v>
      </c>
      <c r="B1" s="9" t="s">
        <v>407</v>
      </c>
      <c r="C1" s="29" t="s">
        <v>430</v>
      </c>
      <c r="D1" s="74" t="s">
        <v>429</v>
      </c>
      <c r="E1" s="74" t="s">
        <v>428</v>
      </c>
      <c r="F1" s="29" t="s">
        <v>406</v>
      </c>
      <c r="G1" s="29" t="s">
        <v>405</v>
      </c>
      <c r="H1" s="58" t="s">
        <v>404</v>
      </c>
      <c r="I1" s="58" t="s">
        <v>408</v>
      </c>
      <c r="J1" s="58" t="s">
        <v>409</v>
      </c>
      <c r="K1" s="58" t="s">
        <v>401</v>
      </c>
      <c r="L1" s="29" t="s">
        <v>410</v>
      </c>
      <c r="M1" s="29" t="s">
        <v>402</v>
      </c>
      <c r="N1" s="29" t="s">
        <v>403</v>
      </c>
      <c r="O1" s="43" t="s">
        <v>411</v>
      </c>
      <c r="P1" s="43" t="s">
        <v>412</v>
      </c>
      <c r="Q1" s="43" t="s">
        <v>413</v>
      </c>
      <c r="R1" s="43" t="s">
        <v>414</v>
      </c>
      <c r="S1" s="43" t="s">
        <v>415</v>
      </c>
      <c r="T1" s="43" t="s">
        <v>416</v>
      </c>
      <c r="U1" s="43" t="s">
        <v>417</v>
      </c>
      <c r="V1" s="43" t="s">
        <v>418</v>
      </c>
      <c r="W1" s="43" t="s">
        <v>419</v>
      </c>
      <c r="X1" s="29" t="s">
        <v>420</v>
      </c>
      <c r="Y1" s="43" t="s">
        <v>421</v>
      </c>
      <c r="Z1" s="29" t="s">
        <v>422</v>
      </c>
      <c r="AA1" s="29" t="s">
        <v>423</v>
      </c>
      <c r="AB1" s="29" t="s">
        <v>424</v>
      </c>
      <c r="AC1" s="29" t="s">
        <v>426</v>
      </c>
      <c r="AD1" s="14" t="s">
        <v>425</v>
      </c>
      <c r="AE1" s="14" t="s">
        <v>427</v>
      </c>
      <c r="AF1" s="29" t="s">
        <v>762</v>
      </c>
      <c r="AG1" s="29" t="s">
        <v>764</v>
      </c>
    </row>
    <row r="2">
      <c r="A2" s="177" t="s">
        <v>383</v>
      </c>
      <c r="B2" s="178" t="s">
        <v>450</v>
      </c>
      <c r="C2" s="51" t="s">
        <v>451</v>
      </c>
      <c r="D2" s="178" t="s">
        <v>450</v>
      </c>
      <c r="E2" s="178" t="s">
        <v>450</v>
      </c>
      <c r="F2" s="179"/>
      <c r="G2" s="179"/>
      <c r="H2" s="180"/>
      <c r="I2" s="180"/>
      <c r="J2" s="178" t="s">
        <v>450</v>
      </c>
      <c r="K2" s="178" t="s">
        <v>450</v>
      </c>
      <c r="L2" s="178" t="s">
        <v>450</v>
      </c>
      <c r="M2" s="178"/>
      <c r="N2" s="178"/>
      <c r="O2" s="51" t="s">
        <v>452</v>
      </c>
      <c r="P2" s="51" t="s">
        <v>452</v>
      </c>
      <c r="Q2" s="51" t="s">
        <v>452</v>
      </c>
      <c r="R2" s="51" t="s">
        <v>453</v>
      </c>
      <c r="S2" s="51" t="s">
        <v>563</v>
      </c>
      <c r="T2" s="51" t="s">
        <v>455</v>
      </c>
      <c r="U2" s="51" t="s">
        <v>455</v>
      </c>
      <c r="V2" s="51" t="str">
        <f>IF([1]C!G5="","",[1]C!G5)</f>
        <v>Carranca et al. (2009), ECN (2017) (2)</v>
      </c>
      <c r="W2" s="51" t="str">
        <f>IF([1]Humus!G5="","",[1]Humus!G5)</f>
        <v>Cereals average</v>
      </c>
      <c r="X2" s="51"/>
      <c r="Y2" s="51" t="str">
        <f>IF([1]C!BF5="","",[1]C!BF5)</f>
        <v>Redin et al. (2014), Carranca et al. (2009)</v>
      </c>
      <c r="Z2" s="51" t="str">
        <f>IF([1]Humus!AK5="","",[1]Humus!AK5)</f>
        <v>Herbaceous average</v>
      </c>
      <c r="AA2" s="51" t="s">
        <v>456</v>
      </c>
      <c r="AD2" s="35" t="s">
        <v>454</v>
      </c>
      <c r="AF2" t="s">
        <v>763</v>
      </c>
    </row>
    <row r="3">
      <c r="A3" s="177" t="s">
        <v>382</v>
      </c>
      <c r="B3" s="178" t="s">
        <v>450</v>
      </c>
      <c r="C3" s="51" t="s">
        <v>451</v>
      </c>
      <c r="D3" s="178" t="s">
        <v>450</v>
      </c>
      <c r="E3" s="178" t="s">
        <v>450</v>
      </c>
      <c r="F3" s="179"/>
      <c r="G3" s="179"/>
      <c r="H3" s="180"/>
      <c r="I3" s="180"/>
      <c r="J3" s="178" t="s">
        <v>450</v>
      </c>
      <c r="K3" s="178" t="s">
        <v>450</v>
      </c>
      <c r="L3" s="178" t="s">
        <v>450</v>
      </c>
      <c r="M3" s="178"/>
      <c r="N3" s="178"/>
      <c r="O3" s="51" t="s">
        <v>452</v>
      </c>
      <c r="P3" s="51" t="s">
        <v>452</v>
      </c>
      <c r="Q3" s="51" t="s">
        <v>452</v>
      </c>
      <c r="R3" s="51" t="s">
        <v>453</v>
      </c>
      <c r="S3" s="51" t="s">
        <v>563</v>
      </c>
      <c r="T3" s="51" t="s">
        <v>455</v>
      </c>
      <c r="U3" s="51" t="s">
        <v>455</v>
      </c>
      <c r="V3" s="51" t="str">
        <f>IF([1]C!G6="","",[1]C!G6)</f>
        <v>Nourbakhsh (2006), Parikh et al. (2007), Henriksen et al. (1999), ECN (2017) (10)</v>
      </c>
      <c r="W3" s="51" t="str">
        <f>IF([1]Humus!G6="","",[1]Humus!G6)</f>
        <v>Cereals average</v>
      </c>
      <c r="X3" s="51"/>
      <c r="Y3" s="51" t="str">
        <f>IF([1]C!BF6="","",[1]C!BF6)</f>
        <v>Redin et al. (2014)</v>
      </c>
      <c r="Z3" s="51" t="str">
        <f>IF([1]Humus!AK6="","",[1]Humus!AK6)</f>
        <v>Herbaceous average</v>
      </c>
      <c r="AA3" s="51" t="s">
        <v>456</v>
      </c>
      <c r="AD3" s="35" t="s">
        <v>454</v>
      </c>
      <c r="AF3" t="s">
        <v>763</v>
      </c>
    </row>
    <row r="4">
      <c r="A4" s="177" t="s">
        <v>381</v>
      </c>
      <c r="B4" s="178"/>
      <c r="C4" s="51" t="s">
        <v>453</v>
      </c>
      <c r="D4" s="178" t="s">
        <v>450</v>
      </c>
      <c r="E4" s="178" t="s">
        <v>450</v>
      </c>
      <c r="F4" s="179"/>
      <c r="G4" s="179"/>
      <c r="H4" s="180"/>
      <c r="I4" s="180"/>
      <c r="J4" s="178" t="s">
        <v>450</v>
      </c>
      <c r="K4" s="178" t="s">
        <v>450</v>
      </c>
      <c r="L4" s="178" t="s">
        <v>450</v>
      </c>
      <c r="M4" s="178"/>
      <c r="N4" s="178"/>
      <c r="O4" s="51" t="s">
        <v>452</v>
      </c>
      <c r="P4" s="51" t="s">
        <v>452</v>
      </c>
      <c r="Q4" s="51" t="s">
        <v>452</v>
      </c>
      <c r="R4" s="51" t="s">
        <v>453</v>
      </c>
      <c r="S4" s="51" t="s">
        <v>563</v>
      </c>
      <c r="T4" s="51" t="s">
        <v>455</v>
      </c>
      <c r="U4" s="51" t="s">
        <v>455</v>
      </c>
      <c r="V4" s="51" t="str">
        <f>IF([1]C!G7="","",[1]C!G7)</f>
        <v>Parikh et al. (2007), Wang et al.(2017), Chen et al (2015), Lou et al (2007), Su et al (2016), Levi-Minzi et al. (1990), ECN (2017) (8)</v>
      </c>
      <c r="W4" s="51" t="str">
        <f>IF([1]Humus!G7="","",[1]Humus!G7)</f>
        <v>Cereals average</v>
      </c>
      <c r="X4" s="51"/>
      <c r="Y4" s="51" t="str">
        <f>IF([1]C!BF7="","",[1]C!BF7)</f>
        <v>Lou et al. (2007)</v>
      </c>
      <c r="Z4" s="51" t="str">
        <f>IF([1]Humus!AK7="","",[1]Humus!AK7)</f>
        <v>Herbaceous average</v>
      </c>
      <c r="AA4" s="51" t="s">
        <v>456</v>
      </c>
      <c r="AD4" s="35" t="s">
        <v>454</v>
      </c>
      <c r="AF4" t="s">
        <v>763</v>
      </c>
    </row>
    <row r="5">
      <c r="A5" s="177" t="s">
        <v>380</v>
      </c>
      <c r="B5" s="178"/>
      <c r="C5" s="51" t="s">
        <v>453</v>
      </c>
      <c r="D5" s="178" t="s">
        <v>450</v>
      </c>
      <c r="E5" s="178" t="s">
        <v>450</v>
      </c>
      <c r="F5" s="179"/>
      <c r="G5" s="179"/>
      <c r="H5" s="180"/>
      <c r="I5" s="180"/>
      <c r="J5" s="178" t="s">
        <v>450</v>
      </c>
      <c r="K5" s="178" t="s">
        <v>450</v>
      </c>
      <c r="L5" s="178" t="s">
        <v>450</v>
      </c>
      <c r="M5" s="178"/>
      <c r="N5" s="178"/>
      <c r="O5" s="51" t="s">
        <v>452</v>
      </c>
      <c r="P5" s="51" t="s">
        <v>452</v>
      </c>
      <c r="Q5" s="51" t="s">
        <v>452</v>
      </c>
      <c r="R5" s="51" t="s">
        <v>453</v>
      </c>
      <c r="S5" s="51" t="s">
        <v>563</v>
      </c>
      <c r="T5" s="51" t="s">
        <v>455</v>
      </c>
      <c r="U5" s="51" t="s">
        <v>455</v>
      </c>
      <c r="V5" s="51" t="str">
        <f>IF([1]C!G8="","",[1]C!G8)</f>
        <v>Summer cereals</v>
      </c>
      <c r="W5" s="51" t="str">
        <f>IF([1]Humus!G8="","",[1]Humus!G8)</f>
        <v>Cereals average</v>
      </c>
      <c r="X5" s="51"/>
      <c r="Y5" s="51" t="str">
        <f>IF([1]C!BF8="","",[1]C!BF8)</f>
        <v>Redin et al. (2014)</v>
      </c>
      <c r="Z5" s="51" t="str">
        <f>IF([1]Humus!AK8="","",[1]Humus!AK8)</f>
        <v>Herbaceous average</v>
      </c>
      <c r="AA5" s="51" t="s">
        <v>456</v>
      </c>
      <c r="AD5" s="35" t="s">
        <v>454</v>
      </c>
      <c r="AF5" t="s">
        <v>763</v>
      </c>
    </row>
    <row r="6">
      <c r="A6" s="177" t="s">
        <v>379</v>
      </c>
      <c r="B6" s="178"/>
      <c r="C6" s="51" t="s">
        <v>453</v>
      </c>
      <c r="D6" s="178" t="s">
        <v>450</v>
      </c>
      <c r="E6" s="178" t="s">
        <v>450</v>
      </c>
      <c r="F6" s="179"/>
      <c r="G6" s="179"/>
      <c r="H6" s="180"/>
      <c r="I6" s="180"/>
      <c r="J6" s="178" t="s">
        <v>450</v>
      </c>
      <c r="K6" s="178" t="s">
        <v>450</v>
      </c>
      <c r="L6" s="178" t="s">
        <v>450</v>
      </c>
      <c r="M6" s="178"/>
      <c r="N6" s="178"/>
      <c r="O6" s="51" t="s">
        <v>452</v>
      </c>
      <c r="P6" s="51" t="s">
        <v>452</v>
      </c>
      <c r="Q6" s="51" t="s">
        <v>452</v>
      </c>
      <c r="R6" s="51" t="s">
        <v>453</v>
      </c>
      <c r="S6" s="51" t="s">
        <v>563</v>
      </c>
      <c r="T6" s="51" t="s">
        <v>455</v>
      </c>
      <c r="U6" s="51" t="s">
        <v>455</v>
      </c>
      <c r="V6" s="51" t="str">
        <f>IF([1]C!G9="","",[1]C!G9)</f>
        <v>Parikh et al. (2007), ECN (2017) (4)</v>
      </c>
      <c r="W6" s="51" t="str">
        <f>IF([1]Humus!G9="","",[1]Humus!G9)</f>
        <v>Cereals average</v>
      </c>
      <c r="X6" s="51"/>
      <c r="Y6" s="51" t="str">
        <f>IF([1]C!BF9="","",[1]C!BF9)</f>
        <v>Redin et al. (2014)</v>
      </c>
      <c r="Z6" s="51" t="str">
        <f>IF([1]Humus!AK9="","",[1]Humus!AK9)</f>
        <v>Herbaceous average</v>
      </c>
      <c r="AA6" s="51" t="s">
        <v>456</v>
      </c>
      <c r="AD6" s="35" t="s">
        <v>454</v>
      </c>
      <c r="AF6" t="s">
        <v>763</v>
      </c>
    </row>
    <row r="7">
      <c r="A7" s="177" t="s">
        <v>378</v>
      </c>
      <c r="B7" s="178"/>
      <c r="C7" s="51" t="s">
        <v>451</v>
      </c>
      <c r="D7" s="178" t="s">
        <v>450</v>
      </c>
      <c r="E7" s="178" t="s">
        <v>450</v>
      </c>
      <c r="F7" s="179"/>
      <c r="G7" s="179"/>
      <c r="H7" s="180"/>
      <c r="I7" s="180"/>
      <c r="J7" s="178" t="s">
        <v>450</v>
      </c>
      <c r="K7" s="178" t="s">
        <v>450</v>
      </c>
      <c r="L7" s="178" t="s">
        <v>450</v>
      </c>
      <c r="M7" s="178"/>
      <c r="N7" s="178"/>
      <c r="O7" s="35" t="s">
        <v>576</v>
      </c>
      <c r="P7" s="63" t="s">
        <v>457</v>
      </c>
      <c r="Q7" s="63" t="s">
        <v>457</v>
      </c>
      <c r="R7" s="51" t="s">
        <v>453</v>
      </c>
      <c r="S7" s="51" t="s">
        <v>563</v>
      </c>
      <c r="T7" s="51" t="s">
        <v>455</v>
      </c>
      <c r="U7" s="51" t="s">
        <v>455</v>
      </c>
      <c r="V7" s="51" t="str">
        <f>IF([1]C!G10="","",[1]C!G10)</f>
        <v>ECN (2017) (10)</v>
      </c>
      <c r="W7" s="51" t="str">
        <f>IF([1]Humus!G10="","",[1]Humus!G10)</f>
        <v>Cereals average</v>
      </c>
      <c r="X7" s="51"/>
      <c r="Y7" s="51" t="str">
        <f>IF([1]C!BF10="","",[1]C!BF10)</f>
        <v>Redin et al. (2014)</v>
      </c>
      <c r="Z7" s="51" t="str">
        <f>IF([1]Humus!AK10="","",[1]Humus!AK10)</f>
        <v>Herbaceous average</v>
      </c>
      <c r="AA7" s="51" t="s">
        <v>456</v>
      </c>
      <c r="AD7" s="35" t="s">
        <v>454</v>
      </c>
      <c r="AF7" t="s">
        <v>763</v>
      </c>
    </row>
    <row r="8">
      <c r="A8" s="177" t="s">
        <v>377</v>
      </c>
      <c r="B8" s="178" t="s">
        <v>450</v>
      </c>
      <c r="C8" s="51" t="s">
        <v>451</v>
      </c>
      <c r="D8" s="178" t="s">
        <v>450</v>
      </c>
      <c r="E8" s="178" t="s">
        <v>450</v>
      </c>
      <c r="F8" s="179"/>
      <c r="G8" s="179"/>
      <c r="H8" s="180"/>
      <c r="I8" s="180"/>
      <c r="J8" s="178" t="s">
        <v>450</v>
      </c>
      <c r="K8" s="178" t="s">
        <v>450</v>
      </c>
      <c r="L8" s="178" t="s">
        <v>450</v>
      </c>
      <c r="M8" s="178"/>
      <c r="N8" s="178"/>
      <c r="O8" s="51" t="s">
        <v>452</v>
      </c>
      <c r="P8" s="51" t="s">
        <v>452</v>
      </c>
      <c r="Q8" s="51" t="s">
        <v>452</v>
      </c>
      <c r="R8" s="51" t="s">
        <v>453</v>
      </c>
      <c r="S8" s="51" t="s">
        <v>563</v>
      </c>
      <c r="T8" s="51" t="s">
        <v>455</v>
      </c>
      <c r="U8" s="51" t="s">
        <v>455</v>
      </c>
      <c r="V8" s="51" t="str">
        <f>IF([1]C!G11="","",[1]C!G11)</f>
        <v>Rahn and Lillywhite (2002), Boiffin et al. (1986), Mondini et al. (2017), Nourbakhsh (2006), Parikh et al. (2007), Hadas et al. (2004), Huang et al. (2004), Raiesi (2006), Wang et al.(2017), Bremer et al. (1991), Triberti et al. (2008), Cayuela et al. (2009), Aita et aL (2012), Havstad et al (2009), Chen et al (2015), Gan et al. (2009) (2), Henriksen et al. (1999), ECN (2017) (21), Sarrantonio (2003)</v>
      </c>
      <c r="W8" s="51" t="str">
        <f>IF([1]Humus!G11="","",[1]Humus!G11)</f>
        <v>Delas and Molot (1983), Thomsen and Christensen (2004)</v>
      </c>
      <c r="X8" s="51"/>
      <c r="Y8" s="51" t="str">
        <f>IF([1]C!BF11="","",[1]C!BF11)</f>
        <v>Redin et al. (2014)</v>
      </c>
      <c r="Z8" s="51" t="str">
        <f>IF([1]Humus!AK11="","",[1]Humus!AK11)</f>
        <v>Herbaceous average</v>
      </c>
      <c r="AA8" s="51" t="s">
        <v>456</v>
      </c>
      <c r="AD8" s="35" t="s">
        <v>454</v>
      </c>
      <c r="AF8" t="s">
        <v>763</v>
      </c>
    </row>
    <row r="9">
      <c r="A9" s="177" t="s">
        <v>376</v>
      </c>
      <c r="B9" s="178" t="s">
        <v>450</v>
      </c>
      <c r="C9" s="51" t="s">
        <v>451</v>
      </c>
      <c r="D9" s="178" t="s">
        <v>450</v>
      </c>
      <c r="E9" s="178" t="s">
        <v>450</v>
      </c>
      <c r="F9" s="179"/>
      <c r="G9" s="179"/>
      <c r="H9" s="180"/>
      <c r="I9" s="180"/>
      <c r="J9" s="178" t="s">
        <v>450</v>
      </c>
      <c r="K9" s="178" t="s">
        <v>450</v>
      </c>
      <c r="L9" s="178" t="s">
        <v>450</v>
      </c>
      <c r="M9" s="178"/>
      <c r="N9" s="178"/>
      <c r="O9" s="51" t="s">
        <v>452</v>
      </c>
      <c r="P9" s="51" t="s">
        <v>452</v>
      </c>
      <c r="Q9" s="51" t="s">
        <v>452</v>
      </c>
      <c r="R9" s="51" t="s">
        <v>453</v>
      </c>
      <c r="S9" s="51" t="s">
        <v>563</v>
      </c>
      <c r="T9" s="51" t="s">
        <v>455</v>
      </c>
      <c r="U9" s="51" t="s">
        <v>455</v>
      </c>
      <c r="V9" s="51" t="str">
        <f>IF([1]C!G12="","",[1]C!G12)</f>
        <v>Boiffin et al. (1986), Nourbakhsh (2006), Paula et al. (2011), Abro et al. (2011), Hadas et al. (2004), Li et al. (2013), Potthoff et al. (2005), Wang et al.(2017),  Triberti et al. (2008), Chen et al (2015), Johnson et al (2007), Delas and Molot (1983), ECN (2017) (6)</v>
      </c>
      <c r="W9" s="51" t="str">
        <f>IF([1]Humus!G12="","",[1]Humus!G12)</f>
        <v>Boiffin et al. (1986), Barber 1979, Plenet et al. 1993, Delas and Molot (1983), Thomsen and Christensen (2010)</v>
      </c>
      <c r="X9" s="51"/>
      <c r="Y9" s="51" t="str">
        <f>IF([1]C!BF12="","",[1]C!BF12)</f>
        <v>Redin et al. (2014), Johnson et al. (2007)</v>
      </c>
      <c r="Z9" s="51" t="str">
        <f>IF([1]Humus!AK12="","",[1]Humus!AK12)</f>
        <v>Bolinder et al. (1999), Barber (1979) (2), Plenet et al. (1993) (2)</v>
      </c>
      <c r="AA9" s="51" t="s">
        <v>456</v>
      </c>
      <c r="AD9" s="35" t="s">
        <v>454</v>
      </c>
      <c r="AF9" t="s">
        <v>763</v>
      </c>
    </row>
    <row r="10">
      <c r="A10" s="177" t="s">
        <v>375</v>
      </c>
      <c r="B10" s="178"/>
      <c r="C10" s="181" t="s">
        <v>458</v>
      </c>
      <c r="D10" s="178" t="s">
        <v>450</v>
      </c>
      <c r="E10" s="178" t="s">
        <v>450</v>
      </c>
      <c r="F10" s="179"/>
      <c r="G10" s="179"/>
      <c r="H10" s="180"/>
      <c r="I10" s="180"/>
      <c r="J10" s="178" t="s">
        <v>450</v>
      </c>
      <c r="K10" s="178" t="s">
        <v>450</v>
      </c>
      <c r="L10" s="178" t="s">
        <v>450</v>
      </c>
      <c r="M10" s="178"/>
      <c r="N10" s="178"/>
      <c r="O10" s="181" t="s">
        <v>459</v>
      </c>
      <c r="P10" s="181" t="s">
        <v>459</v>
      </c>
      <c r="Q10" s="181" t="s">
        <v>459</v>
      </c>
      <c r="R10" s="181" t="s">
        <v>458</v>
      </c>
      <c r="S10" s="51" t="s">
        <v>564</v>
      </c>
      <c r="T10" s="181" t="s">
        <v>459</v>
      </c>
      <c r="U10" s="181" t="s">
        <v>459</v>
      </c>
      <c r="V10" s="51" t="str">
        <f>IF([1]C!G13="","",[1]C!G13)</f>
        <v>Average of available data</v>
      </c>
      <c r="W10" s="51" t="str">
        <f>IF([1]Humus!G13="","",[1]Humus!G13)</f>
        <v>Katterer et al. (2011), Andren and Katterer (1997), Boiffin et al. (1986)</v>
      </c>
      <c r="X10" s="51"/>
      <c r="Y10" s="51" t="str">
        <f>IF([1]C!BF13="","",[1]C!BF13)</f>
        <v>Average of available data</v>
      </c>
      <c r="Z10" s="51" t="str">
        <f>IF([1]Humus!AK13="","",[1]Humus!AK13)</f>
        <v>Herbaceous average</v>
      </c>
      <c r="AA10" s="51" t="s">
        <v>456</v>
      </c>
      <c r="AD10" s="35" t="s">
        <v>454</v>
      </c>
      <c r="AF10" t="s">
        <v>763</v>
      </c>
    </row>
    <row r="11">
      <c r="A11" s="177" t="s">
        <v>374</v>
      </c>
      <c r="B11" s="178"/>
      <c r="C11" s="181" t="s">
        <v>460</v>
      </c>
      <c r="D11" s="181" t="s">
        <v>461</v>
      </c>
      <c r="E11" s="181" t="s">
        <v>461</v>
      </c>
      <c r="F11" s="63"/>
      <c r="G11" s="63"/>
      <c r="H11" s="182"/>
      <c r="I11" s="182"/>
      <c r="J11" s="181" t="s">
        <v>461</v>
      </c>
      <c r="K11" s="181" t="s">
        <v>461</v>
      </c>
      <c r="L11" s="178" t="s">
        <v>450</v>
      </c>
      <c r="M11" s="178"/>
      <c r="N11" s="178"/>
      <c r="O11" s="181" t="s">
        <v>461</v>
      </c>
      <c r="P11" s="181" t="s">
        <v>461</v>
      </c>
      <c r="Q11" s="181" t="s">
        <v>461</v>
      </c>
      <c r="R11" s="181" t="s">
        <v>460</v>
      </c>
      <c r="S11" s="51" t="s">
        <v>564</v>
      </c>
      <c r="T11" s="181" t="s">
        <v>461</v>
      </c>
      <c r="U11" s="181" t="s">
        <v>461</v>
      </c>
      <c r="V11" s="51" t="str">
        <f>IF([1]C!G14="","",[1]C!G14)</f>
        <v>Average of available data</v>
      </c>
      <c r="W11" s="51" t="str">
        <f>IF([1]Humus!G14="","",[1]Humus!G14)</f>
        <v>Cereals average</v>
      </c>
      <c r="X11" s="51"/>
      <c r="Y11" s="51" t="str">
        <f>IF([1]C!BF14="","",[1]C!BF14)</f>
        <v>Average of available data</v>
      </c>
      <c r="Z11" s="51" t="str">
        <f>IF([1]Humus!AK14="","",[1]Humus!AK14)</f>
        <v>Herbaceous average</v>
      </c>
      <c r="AA11" s="51" t="s">
        <v>456</v>
      </c>
      <c r="AD11" s="35" t="s">
        <v>454</v>
      </c>
      <c r="AF11" t="s">
        <v>763</v>
      </c>
    </row>
    <row r="12">
      <c r="A12" s="44" t="s">
        <v>373</v>
      </c>
      <c r="B12" s="178"/>
      <c r="C12" s="181" t="s">
        <v>375</v>
      </c>
      <c r="D12" s="181" t="s">
        <v>375</v>
      </c>
      <c r="E12" s="181" t="s">
        <v>375</v>
      </c>
      <c r="F12" s="181" t="s">
        <v>375</v>
      </c>
      <c r="G12" s="181" t="s">
        <v>375</v>
      </c>
      <c r="H12" s="181" t="s">
        <v>375</v>
      </c>
      <c r="I12" s="181" t="s">
        <v>375</v>
      </c>
      <c r="J12" s="181" t="s">
        <v>375</v>
      </c>
      <c r="K12" s="181" t="s">
        <v>375</v>
      </c>
      <c r="L12" s="181" t="s">
        <v>375</v>
      </c>
      <c r="M12" s="181" t="s">
        <v>375</v>
      </c>
      <c r="N12" s="181" t="s">
        <v>375</v>
      </c>
      <c r="O12" s="181" t="s">
        <v>375</v>
      </c>
      <c r="P12" s="181" t="s">
        <v>375</v>
      </c>
      <c r="Q12" s="181" t="s">
        <v>375</v>
      </c>
      <c r="R12" s="181" t="s">
        <v>375</v>
      </c>
      <c r="S12" s="51" t="s">
        <v>564</v>
      </c>
      <c r="T12" s="181" t="s">
        <v>375</v>
      </c>
      <c r="U12" s="181" t="s">
        <v>375</v>
      </c>
      <c r="V12" s="181" t="s">
        <v>375</v>
      </c>
      <c r="W12" s="181" t="s">
        <v>375</v>
      </c>
      <c r="X12" s="181" t="s">
        <v>375</v>
      </c>
      <c r="Y12" s="51" t="str">
        <f>IF([1]C!BF15="","",[1]C!BF15)</f>
      </c>
      <c r="Z12" s="51" t="str">
        <f>IF([1]Humus!AK15="","",[1]Humus!AK15)</f>
      </c>
      <c r="AA12" s="51" t="s">
        <v>456</v>
      </c>
      <c r="AB12" s="181"/>
      <c r="AC12" s="181" t="s">
        <v>375</v>
      </c>
      <c r="AD12" s="181" t="s">
        <v>375</v>
      </c>
      <c r="AF12" t="s">
        <v>763</v>
      </c>
    </row>
    <row r="13">
      <c r="A13" s="44" t="s">
        <v>372</v>
      </c>
      <c r="B13" s="178"/>
      <c r="C13" s="181" t="s">
        <v>375</v>
      </c>
      <c r="D13" s="181" t="s">
        <v>375</v>
      </c>
      <c r="E13" s="181" t="s">
        <v>375</v>
      </c>
      <c r="F13" s="181" t="s">
        <v>375</v>
      </c>
      <c r="G13" s="181" t="s">
        <v>375</v>
      </c>
      <c r="H13" s="181" t="s">
        <v>375</v>
      </c>
      <c r="I13" s="181" t="s">
        <v>375</v>
      </c>
      <c r="J13" s="181" t="s">
        <v>375</v>
      </c>
      <c r="K13" s="181" t="s">
        <v>375</v>
      </c>
      <c r="L13" s="181" t="s">
        <v>375</v>
      </c>
      <c r="M13" s="181" t="s">
        <v>375</v>
      </c>
      <c r="N13" s="181" t="s">
        <v>375</v>
      </c>
      <c r="O13" s="181" t="s">
        <v>375</v>
      </c>
      <c r="P13" s="181" t="s">
        <v>375</v>
      </c>
      <c r="Q13" s="181" t="s">
        <v>375</v>
      </c>
      <c r="R13" s="181" t="s">
        <v>375</v>
      </c>
      <c r="S13" s="51" t="s">
        <v>564</v>
      </c>
      <c r="T13" s="181" t="s">
        <v>375</v>
      </c>
      <c r="U13" s="181" t="s">
        <v>375</v>
      </c>
      <c r="V13" s="181" t="s">
        <v>375</v>
      </c>
      <c r="W13" s="181" t="s">
        <v>375</v>
      </c>
      <c r="X13" s="181" t="s">
        <v>375</v>
      </c>
      <c r="Y13" s="51" t="str">
        <f>IF([1]C!BF16="","",[1]C!BF16)</f>
        <v>Modern varieties</v>
      </c>
      <c r="Z13" s="51" t="str">
        <f>IF([1]Humus!AK16="","",[1]Humus!AK16)</f>
        <v>Herbaceous average</v>
      </c>
      <c r="AA13" s="51" t="s">
        <v>456</v>
      </c>
      <c r="AB13" s="181"/>
      <c r="AC13" s="181" t="s">
        <v>375</v>
      </c>
      <c r="AD13" s="181" t="s">
        <v>375</v>
      </c>
      <c r="AF13" t="s">
        <v>763</v>
      </c>
    </row>
    <row r="14">
      <c r="A14" s="44" t="s">
        <v>371</v>
      </c>
      <c r="B14" s="178"/>
      <c r="C14" s="181" t="s">
        <v>375</v>
      </c>
      <c r="D14" s="181" t="s">
        <v>375</v>
      </c>
      <c r="E14" s="181" t="s">
        <v>375</v>
      </c>
      <c r="F14" s="181" t="s">
        <v>375</v>
      </c>
      <c r="G14" s="181" t="s">
        <v>375</v>
      </c>
      <c r="H14" s="181" t="s">
        <v>375</v>
      </c>
      <c r="I14" s="181" t="s">
        <v>375</v>
      </c>
      <c r="J14" s="181" t="s">
        <v>375</v>
      </c>
      <c r="K14" s="181" t="s">
        <v>375</v>
      </c>
      <c r="L14" s="181" t="s">
        <v>375</v>
      </c>
      <c r="M14" s="181" t="s">
        <v>375</v>
      </c>
      <c r="N14" s="181" t="s">
        <v>375</v>
      </c>
      <c r="O14" s="181" t="s">
        <v>375</v>
      </c>
      <c r="P14" s="181" t="s">
        <v>375</v>
      </c>
      <c r="Q14" s="181" t="s">
        <v>375</v>
      </c>
      <c r="R14" s="181" t="s">
        <v>375</v>
      </c>
      <c r="S14" s="51" t="s">
        <v>564</v>
      </c>
      <c r="T14" s="181" t="s">
        <v>375</v>
      </c>
      <c r="U14" s="181" t="s">
        <v>375</v>
      </c>
      <c r="V14" s="181" t="s">
        <v>375</v>
      </c>
      <c r="W14" s="181" t="s">
        <v>375</v>
      </c>
      <c r="X14" s="181" t="s">
        <v>375</v>
      </c>
      <c r="Y14" s="51" t="str">
        <f>IF([1]C!BF17="","",[1]C!BF17)</f>
        <v>Modern varieties</v>
      </c>
      <c r="Z14" s="51" t="str">
        <f>IF([1]Humus!AK17="","",[1]Humus!AK17)</f>
        <v>Herbaceous average</v>
      </c>
      <c r="AA14" s="51" t="s">
        <v>456</v>
      </c>
      <c r="AB14" s="181"/>
      <c r="AC14" s="181" t="s">
        <v>375</v>
      </c>
      <c r="AD14" s="181" t="s">
        <v>375</v>
      </c>
      <c r="AF14" t="s">
        <v>763</v>
      </c>
    </row>
    <row r="15">
      <c r="A15" s="44" t="s">
        <v>370</v>
      </c>
      <c r="B15" s="178"/>
      <c r="C15" s="181" t="s">
        <v>375</v>
      </c>
      <c r="D15" s="181" t="s">
        <v>375</v>
      </c>
      <c r="E15" s="181" t="s">
        <v>375</v>
      </c>
      <c r="F15" s="181" t="s">
        <v>375</v>
      </c>
      <c r="G15" s="181" t="s">
        <v>375</v>
      </c>
      <c r="H15" s="181" t="s">
        <v>375</v>
      </c>
      <c r="I15" s="181" t="s">
        <v>375</v>
      </c>
      <c r="J15" s="181" t="s">
        <v>375</v>
      </c>
      <c r="K15" s="181" t="s">
        <v>375</v>
      </c>
      <c r="L15" s="181" t="s">
        <v>375</v>
      </c>
      <c r="M15" s="181" t="s">
        <v>375</v>
      </c>
      <c r="N15" s="181" t="s">
        <v>375</v>
      </c>
      <c r="O15" s="181" t="s">
        <v>375</v>
      </c>
      <c r="P15" s="181" t="s">
        <v>375</v>
      </c>
      <c r="Q15" s="181" t="s">
        <v>375</v>
      </c>
      <c r="R15" s="181" t="s">
        <v>375</v>
      </c>
      <c r="S15" s="51" t="s">
        <v>564</v>
      </c>
      <c r="T15" s="181" t="s">
        <v>375</v>
      </c>
      <c r="U15" s="181" t="s">
        <v>375</v>
      </c>
      <c r="V15" s="181" t="s">
        <v>375</v>
      </c>
      <c r="W15" s="181" t="s">
        <v>375</v>
      </c>
      <c r="X15" s="181" t="s">
        <v>375</v>
      </c>
      <c r="Y15" s="51" t="str">
        <f>IF([1]C!BF18="","",[1]C!BF18)</f>
        <v>Modern varieties</v>
      </c>
      <c r="Z15" s="51" t="str">
        <f>IF([1]Humus!AK18="","",[1]Humus!AK18)</f>
        <v>Herbaceous average</v>
      </c>
      <c r="AA15" s="51" t="s">
        <v>456</v>
      </c>
      <c r="AB15" s="181"/>
      <c r="AC15" s="181" t="s">
        <v>375</v>
      </c>
      <c r="AD15" s="181" t="s">
        <v>375</v>
      </c>
      <c r="AF15" t="s">
        <v>763</v>
      </c>
    </row>
    <row r="16">
      <c r="A16" s="177" t="s">
        <v>431</v>
      </c>
      <c r="B16" s="178"/>
      <c r="C16" s="63" t="s">
        <v>462</v>
      </c>
      <c r="D16" s="63" t="s">
        <v>463</v>
      </c>
      <c r="E16" s="63" t="s">
        <v>463</v>
      </c>
      <c r="F16" s="179"/>
      <c r="G16" s="179"/>
      <c r="H16" s="180"/>
      <c r="I16" s="180"/>
      <c r="J16" s="63" t="s">
        <v>463</v>
      </c>
      <c r="K16" s="63" t="s">
        <v>463</v>
      </c>
      <c r="L16" s="178" t="s">
        <v>450</v>
      </c>
      <c r="M16" s="178"/>
      <c r="N16" s="178"/>
      <c r="O16" s="63" t="s">
        <v>463</v>
      </c>
      <c r="P16" s="63" t="s">
        <v>463</v>
      </c>
      <c r="Q16" s="63" t="s">
        <v>463</v>
      </c>
      <c r="R16" s="63" t="s">
        <v>463</v>
      </c>
      <c r="S16" s="63" t="s">
        <v>463</v>
      </c>
      <c r="T16" s="63" t="s">
        <v>463</v>
      </c>
      <c r="U16" s="63" t="s">
        <v>463</v>
      </c>
      <c r="V16" s="51" t="str">
        <f>IF([1]C!G16="","",[1]C!G16)</f>
        <v>Modern varieties</v>
      </c>
      <c r="W16" s="51" t="str">
        <f>IF([1]Humus!G16="","",[1]Humus!G16)</f>
        <v>Modern varieties</v>
      </c>
      <c r="X16" s="51"/>
      <c r="Y16" s="51" t="str">
        <f>IF([1]C!BF16="","",[1]C!BF16)</f>
        <v>Modern varieties</v>
      </c>
      <c r="Z16" s="51" t="str">
        <f>IF([1]Humus!AK16="","",[1]Humus!AK16)</f>
        <v>Herbaceous average</v>
      </c>
      <c r="AA16" s="51" t="s">
        <v>456</v>
      </c>
      <c r="AD16" s="63" t="s">
        <v>463</v>
      </c>
      <c r="AF16" t="s">
        <v>763</v>
      </c>
    </row>
    <row r="17">
      <c r="A17" s="177" t="s">
        <v>368</v>
      </c>
      <c r="B17" s="178"/>
      <c r="C17" s="63" t="s">
        <v>462</v>
      </c>
      <c r="D17" s="63" t="s">
        <v>463</v>
      </c>
      <c r="E17" s="63" t="s">
        <v>463</v>
      </c>
      <c r="F17" s="179"/>
      <c r="G17" s="179"/>
      <c r="H17" s="180"/>
      <c r="I17" s="180"/>
      <c r="J17" s="63" t="s">
        <v>463</v>
      </c>
      <c r="K17" s="63" t="s">
        <v>463</v>
      </c>
      <c r="L17" s="178" t="s">
        <v>450</v>
      </c>
      <c r="M17" s="178"/>
      <c r="N17" s="178"/>
      <c r="O17" s="63" t="s">
        <v>463</v>
      </c>
      <c r="P17" s="63" t="s">
        <v>463</v>
      </c>
      <c r="Q17" s="63" t="s">
        <v>463</v>
      </c>
      <c r="R17" s="63" t="s">
        <v>463</v>
      </c>
      <c r="S17" s="63" t="s">
        <v>463</v>
      </c>
      <c r="T17" s="63" t="s">
        <v>463</v>
      </c>
      <c r="U17" s="63" t="s">
        <v>463</v>
      </c>
      <c r="V17" s="51" t="str">
        <f>IF([1]C!G17="","",[1]C!G17)</f>
        <v>Modern varieties</v>
      </c>
      <c r="W17" s="51" t="str">
        <f>IF([1]Humus!G17="","",[1]Humus!G17)</f>
        <v>Modern varieties</v>
      </c>
      <c r="X17" s="51"/>
      <c r="Y17" s="51" t="str">
        <f>IF([1]C!BF17="","",[1]C!BF17)</f>
        <v>Modern varieties</v>
      </c>
      <c r="Z17" s="51" t="str">
        <f>IF([1]Humus!AK17="","",[1]Humus!AK17)</f>
        <v>Herbaceous average</v>
      </c>
      <c r="AA17" s="51" t="s">
        <v>456</v>
      </c>
      <c r="AD17" s="63" t="s">
        <v>463</v>
      </c>
      <c r="AF17" t="s">
        <v>763</v>
      </c>
    </row>
    <row r="18">
      <c r="A18" s="177" t="s">
        <v>367</v>
      </c>
      <c r="B18" s="178"/>
      <c r="C18" s="63" t="s">
        <v>462</v>
      </c>
      <c r="D18" s="63" t="s">
        <v>463</v>
      </c>
      <c r="E18" s="63" t="s">
        <v>463</v>
      </c>
      <c r="F18" s="179"/>
      <c r="G18" s="179"/>
      <c r="H18" s="180"/>
      <c r="I18" s="180"/>
      <c r="J18" s="63" t="s">
        <v>463</v>
      </c>
      <c r="K18" s="63" t="s">
        <v>463</v>
      </c>
      <c r="L18" s="178" t="s">
        <v>450</v>
      </c>
      <c r="M18" s="178"/>
      <c r="N18" s="178"/>
      <c r="O18" s="63" t="s">
        <v>463</v>
      </c>
      <c r="P18" s="63" t="s">
        <v>463</v>
      </c>
      <c r="Q18" s="63" t="s">
        <v>463</v>
      </c>
      <c r="R18" s="63" t="s">
        <v>463</v>
      </c>
      <c r="S18" s="63" t="s">
        <v>463</v>
      </c>
      <c r="T18" s="63" t="s">
        <v>463</v>
      </c>
      <c r="U18" s="63" t="s">
        <v>463</v>
      </c>
      <c r="V18" s="51" t="str">
        <f>IF([1]C!G18="","",[1]C!G18)</f>
        <v>Modern varieties</v>
      </c>
      <c r="W18" s="51" t="str">
        <f>IF([1]Humus!G18="","",[1]Humus!G18)</f>
        <v>Modern varieties</v>
      </c>
      <c r="X18" s="51"/>
      <c r="Y18" s="51" t="str">
        <f>IF([1]C!BF18="","",[1]C!BF18)</f>
        <v>Modern varieties</v>
      </c>
      <c r="Z18" s="51" t="str">
        <f>IF([1]Humus!AK18="","",[1]Humus!AK18)</f>
        <v>Herbaceous average</v>
      </c>
      <c r="AA18" s="51" t="s">
        <v>456</v>
      </c>
      <c r="AD18" s="63" t="s">
        <v>463</v>
      </c>
      <c r="AF18" t="s">
        <v>763</v>
      </c>
    </row>
    <row r="19">
      <c r="A19" s="177" t="s">
        <v>366</v>
      </c>
      <c r="B19" s="178" t="s">
        <v>450</v>
      </c>
      <c r="C19" s="51" t="s">
        <v>464</v>
      </c>
      <c r="D19" s="63" t="s">
        <v>463</v>
      </c>
      <c r="E19" s="63" t="s">
        <v>463</v>
      </c>
      <c r="F19" s="179"/>
      <c r="G19" s="179"/>
      <c r="H19" s="180"/>
      <c r="I19" s="180"/>
      <c r="J19" s="63" t="s">
        <v>463</v>
      </c>
      <c r="K19" s="63" t="s">
        <v>463</v>
      </c>
      <c r="L19" s="178" t="s">
        <v>450</v>
      </c>
      <c r="M19" s="178"/>
      <c r="N19" s="178"/>
      <c r="O19" s="63" t="s">
        <v>463</v>
      </c>
      <c r="P19" s="63" t="s">
        <v>463</v>
      </c>
      <c r="Q19" s="63" t="s">
        <v>463</v>
      </c>
      <c r="R19" s="63" t="s">
        <v>463</v>
      </c>
      <c r="S19" s="63" t="s">
        <v>463</v>
      </c>
      <c r="T19" s="63" t="s">
        <v>463</v>
      </c>
      <c r="U19" s="63" t="s">
        <v>463</v>
      </c>
      <c r="V19" s="51" t="str">
        <f>IF([1]C!G19="","",[1]C!G19)</f>
        <v>Modern varieties</v>
      </c>
      <c r="W19" s="51" t="str">
        <f>IF([1]Humus!G19="","",[1]Humus!G19)</f>
        <v>Modern varieties</v>
      </c>
      <c r="X19" s="51"/>
      <c r="Y19" s="51" t="str">
        <f>IF([1]C!BF19="","",[1]C!BF19)</f>
        <v>Modern varieties</v>
      </c>
      <c r="Z19" s="51" t="str">
        <f>IF([1]Humus!AK19="","",[1]Humus!AK19)</f>
        <v>Herbaceous average</v>
      </c>
      <c r="AA19" s="51" t="s">
        <v>456</v>
      </c>
      <c r="AD19" s="63" t="s">
        <v>463</v>
      </c>
      <c r="AF19" t="s">
        <v>763</v>
      </c>
    </row>
    <row r="20">
      <c r="A20" s="177" t="s">
        <v>365</v>
      </c>
      <c r="B20" s="178"/>
      <c r="C20" s="63" t="s">
        <v>462</v>
      </c>
      <c r="D20" s="63" t="s">
        <v>463</v>
      </c>
      <c r="E20" s="63" t="s">
        <v>463</v>
      </c>
      <c r="F20" s="179"/>
      <c r="G20" s="179"/>
      <c r="H20" s="180"/>
      <c r="I20" s="180"/>
      <c r="J20" s="63" t="s">
        <v>463</v>
      </c>
      <c r="K20" s="63" t="s">
        <v>463</v>
      </c>
      <c r="L20" s="178" t="s">
        <v>450</v>
      </c>
      <c r="M20" s="178"/>
      <c r="N20" s="178"/>
      <c r="O20" s="63" t="s">
        <v>463</v>
      </c>
      <c r="P20" s="63" t="s">
        <v>463</v>
      </c>
      <c r="Q20" s="63" t="s">
        <v>463</v>
      </c>
      <c r="R20" s="63" t="s">
        <v>463</v>
      </c>
      <c r="S20" s="63" t="s">
        <v>463</v>
      </c>
      <c r="T20" s="63" t="s">
        <v>463</v>
      </c>
      <c r="U20" s="63" t="s">
        <v>463</v>
      </c>
      <c r="V20" s="51" t="str">
        <f>IF([1]C!G20="","",[1]C!G20)</f>
        <v>Dos Santos et al. (2012)</v>
      </c>
      <c r="W20" s="51" t="str">
        <f>IF([1]Humus!G20="","",[1]Humus!G20)</f>
        <v>Modern varieties</v>
      </c>
      <c r="X20" s="51"/>
      <c r="Y20" s="51" t="str">
        <f>IF([1]C!BF20="","",[1]C!BF20)</f>
        <v>Modern varieties</v>
      </c>
      <c r="Z20" s="51" t="str">
        <f>IF([1]Humus!AK20="","",[1]Humus!AK20)</f>
        <v>Herbaceous average</v>
      </c>
      <c r="AA20" s="51" t="s">
        <v>456</v>
      </c>
      <c r="AD20" s="63" t="s">
        <v>463</v>
      </c>
      <c r="AF20" t="s">
        <v>763</v>
      </c>
    </row>
    <row r="21">
      <c r="A21" s="177" t="s">
        <v>363</v>
      </c>
      <c r="B21" s="178"/>
      <c r="C21" s="51" t="s">
        <v>465</v>
      </c>
      <c r="D21" s="63" t="s">
        <v>466</v>
      </c>
      <c r="E21" s="63" t="s">
        <v>466</v>
      </c>
      <c r="F21" s="179"/>
      <c r="G21" s="179"/>
      <c r="H21" s="180"/>
      <c r="I21" s="180"/>
      <c r="J21" s="63" t="s">
        <v>466</v>
      </c>
      <c r="K21" s="63" t="s">
        <v>466</v>
      </c>
      <c r="L21" s="178" t="s">
        <v>450</v>
      </c>
      <c r="M21" s="178"/>
      <c r="N21" s="178"/>
      <c r="O21" s="63" t="s">
        <v>466</v>
      </c>
      <c r="P21" s="63" t="s">
        <v>466</v>
      </c>
      <c r="Q21" s="63" t="s">
        <v>466</v>
      </c>
      <c r="R21" s="51" t="s">
        <v>453</v>
      </c>
      <c r="S21" s="51" t="s">
        <v>563</v>
      </c>
      <c r="T21" s="63" t="s">
        <v>360</v>
      </c>
      <c r="U21" s="63" t="s">
        <v>360</v>
      </c>
      <c r="V21" s="51" t="str">
        <f>IF([1]C!G22="","",[1]C!G22)</f>
        <v>Legumes average</v>
      </c>
      <c r="W21" s="51" t="str">
        <f>IF([1]Humus!G22="","",[1]Humus!G22)</f>
        <v>Legumes , other</v>
      </c>
      <c r="X21" s="51"/>
      <c r="Y21" s="51" t="str">
        <f>IF([1]C!BF22="","",[1]C!BF22)</f>
        <v>Legumes</v>
      </c>
      <c r="Z21" s="51" t="str">
        <f>IF([1]Humus!AK22="","",[1]Humus!AK22)</f>
        <v>Herbaceous average</v>
      </c>
      <c r="AA21" s="51" t="s">
        <v>456</v>
      </c>
      <c r="AD21" s="51" t="s">
        <v>466</v>
      </c>
      <c r="AF21" t="s">
        <v>763</v>
      </c>
    </row>
    <row r="22">
      <c r="A22" s="177" t="s">
        <v>362</v>
      </c>
      <c r="B22" s="178"/>
      <c r="C22" s="51" t="s">
        <v>465</v>
      </c>
      <c r="D22" s="178" t="s">
        <v>450</v>
      </c>
      <c r="E22" s="178" t="s">
        <v>450</v>
      </c>
      <c r="F22" s="179"/>
      <c r="G22" s="179"/>
      <c r="H22" s="180"/>
      <c r="I22" s="180"/>
      <c r="J22" s="178" t="s">
        <v>450</v>
      </c>
      <c r="K22" s="178" t="s">
        <v>450</v>
      </c>
      <c r="L22" s="178" t="s">
        <v>450</v>
      </c>
      <c r="M22" s="178"/>
      <c r="N22" s="178"/>
      <c r="O22" s="63" t="s">
        <v>466</v>
      </c>
      <c r="P22" s="63" t="s">
        <v>466</v>
      </c>
      <c r="Q22" s="63" t="s">
        <v>466</v>
      </c>
      <c r="R22" s="51" t="s">
        <v>453</v>
      </c>
      <c r="S22" s="51" t="s">
        <v>565</v>
      </c>
      <c r="T22" s="63" t="s">
        <v>360</v>
      </c>
      <c r="U22" s="63" t="s">
        <v>360</v>
      </c>
      <c r="V22" s="51" t="str">
        <f>IF([1]C!G23="","",[1]C!G23)</f>
        <v>O Danga et al. (2013)</v>
      </c>
      <c r="W22" s="51" t="str">
        <f>IF([1]Humus!G23="","",[1]Humus!G23)</f>
        <v>Legumes , other</v>
      </c>
      <c r="X22" s="51"/>
      <c r="Y22" s="51" t="str">
        <f>IF([1]C!BF23="","",[1]C!BF23)</f>
        <v>Gan et al. (2009)</v>
      </c>
      <c r="Z22" s="51" t="str">
        <f>IF([1]Humus!AK23="","",[1]Humus!AK23)</f>
        <v>Herbaceous average</v>
      </c>
      <c r="AA22" s="51" t="s">
        <v>456</v>
      </c>
      <c r="AD22" s="51" t="s">
        <v>466</v>
      </c>
      <c r="AF22" t="s">
        <v>763</v>
      </c>
    </row>
    <row r="23">
      <c r="A23" s="177" t="s">
        <v>361</v>
      </c>
      <c r="B23" s="178" t="s">
        <v>450</v>
      </c>
      <c r="C23" s="51" t="s">
        <v>451</v>
      </c>
      <c r="D23" s="178" t="s">
        <v>450</v>
      </c>
      <c r="E23" s="178" t="s">
        <v>450</v>
      </c>
      <c r="F23" s="179"/>
      <c r="G23" s="179"/>
      <c r="H23" s="180"/>
      <c r="I23" s="180"/>
      <c r="J23" s="178" t="s">
        <v>450</v>
      </c>
      <c r="K23" s="178" t="s">
        <v>450</v>
      </c>
      <c r="L23" s="178" t="s">
        <v>450</v>
      </c>
      <c r="M23" s="178"/>
      <c r="N23" s="178"/>
      <c r="O23" s="35" t="s">
        <v>576</v>
      </c>
      <c r="P23" s="51" t="s">
        <v>452</v>
      </c>
      <c r="Q23" s="51" t="s">
        <v>452</v>
      </c>
      <c r="R23" s="51" t="s">
        <v>453</v>
      </c>
      <c r="S23" s="51" t="s">
        <v>563</v>
      </c>
      <c r="T23" s="63" t="s">
        <v>360</v>
      </c>
      <c r="U23" s="63" t="s">
        <v>360</v>
      </c>
      <c r="V23" s="51" t="str">
        <f>IF([1]C!G24="","",[1]C!G24)</f>
        <v>Frankerberger and Abdelmagid (1985), Paula et al. (2011), Li et al. (2013), Wang et al.(2017), Johnson et al (2007)</v>
      </c>
      <c r="W23" s="51" t="str">
        <f>IF([1]Humus!G24="","",[1]Humus!G24)</f>
        <v>Legumes , other</v>
      </c>
      <c r="X23" s="51"/>
      <c r="Y23" s="51" t="str">
        <f>IF([1]C!BF24="","",[1]C!BF24)</f>
        <v>Redin et al. (2014), Johnson et al. (2007)</v>
      </c>
      <c r="Z23" s="51" t="str">
        <f>IF([1]Humus!AK24="","",[1]Humus!AK24)</f>
        <v>Herbaceous average</v>
      </c>
      <c r="AA23" s="51" t="s">
        <v>456</v>
      </c>
      <c r="AD23" s="35" t="s">
        <v>454</v>
      </c>
      <c r="AF23" t="s">
        <v>763</v>
      </c>
    </row>
    <row r="24">
      <c r="A24" s="177" t="s">
        <v>360</v>
      </c>
      <c r="B24" s="178"/>
      <c r="C24" s="63" t="s">
        <v>466</v>
      </c>
      <c r="D24" s="178" t="s">
        <v>450</v>
      </c>
      <c r="E24" s="178" t="s">
        <v>450</v>
      </c>
      <c r="F24" s="179"/>
      <c r="G24" s="179"/>
      <c r="H24" s="180"/>
      <c r="I24" s="180"/>
      <c r="J24" s="178" t="s">
        <v>450</v>
      </c>
      <c r="K24" s="178" t="s">
        <v>450</v>
      </c>
      <c r="L24" s="178" t="s">
        <v>450</v>
      </c>
      <c r="M24" s="178"/>
      <c r="N24" s="178"/>
      <c r="O24" s="51" t="s">
        <v>452</v>
      </c>
      <c r="P24" s="51" t="s">
        <v>452</v>
      </c>
      <c r="Q24" s="51" t="s">
        <v>452</v>
      </c>
      <c r="R24" s="51" t="s">
        <v>453</v>
      </c>
      <c r="S24" s="51" t="s">
        <v>561</v>
      </c>
      <c r="T24" s="51" t="s">
        <v>452</v>
      </c>
      <c r="U24" s="51" t="s">
        <v>452</v>
      </c>
      <c r="V24" s="51" t="str">
        <f>IF([1]C!G25="","",[1]C!G25)</f>
        <v>Bremer et al. (1991)</v>
      </c>
      <c r="W24" s="51" t="str">
        <f>IF([1]Humus!G25="","",[1]Humus!G25)</f>
        <v>Legumes , other</v>
      </c>
      <c r="X24" s="51"/>
      <c r="Y24" s="51" t="str">
        <f>IF([1]C!BF25="","",[1]C!BF25)</f>
        <v>Gan et al. (2009)</v>
      </c>
      <c r="Z24" s="51" t="str">
        <f>IF([1]Humus!AK25="","",[1]Humus!AK25)</f>
        <v>Herbaceous average</v>
      </c>
      <c r="AA24" s="51" t="s">
        <v>456</v>
      </c>
      <c r="AD24" s="51" t="s">
        <v>466</v>
      </c>
      <c r="AF24" t="s">
        <v>763</v>
      </c>
    </row>
    <row r="25">
      <c r="A25" s="177" t="s">
        <v>359</v>
      </c>
      <c r="B25" s="178"/>
      <c r="C25" s="63" t="s">
        <v>466</v>
      </c>
      <c r="D25" s="63" t="s">
        <v>466</v>
      </c>
      <c r="E25" s="63" t="s">
        <v>466</v>
      </c>
      <c r="F25" s="179"/>
      <c r="G25" s="179"/>
      <c r="H25" s="180"/>
      <c r="I25" s="180"/>
      <c r="J25" s="63" t="s">
        <v>466</v>
      </c>
      <c r="K25" s="63" t="s">
        <v>466</v>
      </c>
      <c r="L25" s="178" t="s">
        <v>450</v>
      </c>
      <c r="M25" s="178"/>
      <c r="N25" s="178"/>
      <c r="O25" s="51" t="s">
        <v>452</v>
      </c>
      <c r="P25" s="51" t="s">
        <v>452</v>
      </c>
      <c r="Q25" s="51" t="s">
        <v>452</v>
      </c>
      <c r="R25" s="63" t="s">
        <v>466</v>
      </c>
      <c r="S25" s="51" t="s">
        <v>565</v>
      </c>
      <c r="T25" s="63" t="s">
        <v>360</v>
      </c>
      <c r="U25" s="63" t="s">
        <v>360</v>
      </c>
      <c r="V25" s="51" t="str">
        <f>IF([1]C!G26="","",[1]C!G26)</f>
        <v>Carranca et al. (2009) (average of stems and pod valves)</v>
      </c>
      <c r="W25" s="51" t="str">
        <f>IF([1]Humus!G26="","",[1]Humus!G26)</f>
        <v>Legumes , other</v>
      </c>
      <c r="X25" s="51"/>
      <c r="Y25" s="51" t="str">
        <f>IF([1]C!BF26="","",[1]C!BF26)</f>
        <v>Carranca et al. (2009)</v>
      </c>
      <c r="Z25" s="51" t="str">
        <f>IF([1]Humus!AK26="","",[1]Humus!AK26)</f>
        <v>Herbaceous average</v>
      </c>
      <c r="AA25" s="51" t="s">
        <v>456</v>
      </c>
      <c r="AD25" s="51" t="s">
        <v>466</v>
      </c>
      <c r="AF25" t="s">
        <v>763</v>
      </c>
    </row>
    <row r="26">
      <c r="A26" s="177" t="s">
        <v>314</v>
      </c>
      <c r="B26" s="178" t="s">
        <v>450</v>
      </c>
      <c r="C26" s="51" t="s">
        <v>451</v>
      </c>
      <c r="D26" s="178" t="s">
        <v>450</v>
      </c>
      <c r="E26" s="178" t="s">
        <v>450</v>
      </c>
      <c r="F26" s="179"/>
      <c r="G26" s="179"/>
      <c r="H26" s="178" t="s">
        <v>450</v>
      </c>
      <c r="I26" s="178" t="s">
        <v>450</v>
      </c>
      <c r="J26" s="178" t="s">
        <v>450</v>
      </c>
      <c r="K26" s="178" t="s">
        <v>450</v>
      </c>
      <c r="L26" s="178" t="s">
        <v>450</v>
      </c>
      <c r="M26" s="178"/>
      <c r="N26" s="178"/>
      <c r="O26" s="63" t="s">
        <v>466</v>
      </c>
      <c r="P26" s="63" t="s">
        <v>466</v>
      </c>
      <c r="Q26" s="63" t="s">
        <v>466</v>
      </c>
      <c r="R26" s="51" t="s">
        <v>453</v>
      </c>
      <c r="S26" s="51" t="s">
        <v>565</v>
      </c>
      <c r="T26" s="63" t="s">
        <v>360</v>
      </c>
      <c r="U26" s="63" t="s">
        <v>360</v>
      </c>
      <c r="V26" s="51" t="str">
        <f>IF([1]C!G27="","",[1]C!G27)</f>
        <v>Legumes average</v>
      </c>
      <c r="W26" s="51" t="str">
        <f>IF([1]Humus!G27="","",[1]Humus!G27)</f>
        <v>Legumes , other</v>
      </c>
      <c r="X26" s="51"/>
      <c r="Y26" s="51" t="str">
        <f>IF([1]C!BF27="","",[1]C!BF27)</f>
        <v>Legumes</v>
      </c>
      <c r="Z26" s="51" t="str">
        <f>IF([1]Humus!AK27="","",[1]Humus!AK27)</f>
        <v>Herbaceous average</v>
      </c>
      <c r="AA26" s="51" t="s">
        <v>456</v>
      </c>
      <c r="AD26" s="51" t="s">
        <v>466</v>
      </c>
      <c r="AF26" t="s">
        <v>763</v>
      </c>
    </row>
    <row r="27">
      <c r="A27" s="177" t="s">
        <v>358</v>
      </c>
      <c r="B27" s="178"/>
      <c r="C27" s="51" t="s">
        <v>465</v>
      </c>
      <c r="D27" s="63" t="s">
        <v>466</v>
      </c>
      <c r="E27" s="63" t="s">
        <v>466</v>
      </c>
      <c r="F27" s="179"/>
      <c r="G27" s="179"/>
      <c r="H27" s="180"/>
      <c r="I27" s="180"/>
      <c r="J27" s="178" t="s">
        <v>450</v>
      </c>
      <c r="K27" s="63" t="s">
        <v>466</v>
      </c>
      <c r="L27" s="63" t="s">
        <v>466</v>
      </c>
      <c r="M27" s="63"/>
      <c r="N27" s="63"/>
      <c r="O27" s="51" t="s">
        <v>452</v>
      </c>
      <c r="P27" s="51" t="s">
        <v>452</v>
      </c>
      <c r="Q27" s="51" t="s">
        <v>452</v>
      </c>
      <c r="R27" s="51" t="s">
        <v>453</v>
      </c>
      <c r="S27" s="51" t="s">
        <v>565</v>
      </c>
      <c r="T27" s="63" t="s">
        <v>360</v>
      </c>
      <c r="U27" s="63" t="s">
        <v>360</v>
      </c>
      <c r="V27" s="51" t="str">
        <f>IF([1]C!G28="","",[1]C!G28)</f>
        <v>Henriksen et al. (1999)</v>
      </c>
      <c r="W27" s="51" t="str">
        <f>IF([1]Humus!G28="","",[1]Humus!G28)</f>
        <v>Boiffin et al. (1986) (8%. Excluido por ser igual para todas las legumbres)</v>
      </c>
      <c r="X27" s="51"/>
      <c r="Y27" s="51" t="str">
        <f>IF([1]C!BF28="","",[1]C!BF28)</f>
        <v>Redin et al. (2014), Gan et al. (2009)</v>
      </c>
      <c r="Z27" s="51" t="str">
        <f>IF([1]Humus!AK28="","",[1]Humus!AK28)</f>
        <v>Herbaceous average</v>
      </c>
      <c r="AA27" s="51" t="s">
        <v>456</v>
      </c>
      <c r="AD27" s="51" t="s">
        <v>466</v>
      </c>
      <c r="AF27" t="s">
        <v>763</v>
      </c>
    </row>
    <row r="28">
      <c r="A28" s="177" t="s">
        <v>357</v>
      </c>
      <c r="B28" s="178"/>
      <c r="C28" s="51" t="s">
        <v>451</v>
      </c>
      <c r="D28" s="178" t="s">
        <v>450</v>
      </c>
      <c r="E28" s="178" t="s">
        <v>450</v>
      </c>
      <c r="F28" s="179"/>
      <c r="G28" s="179"/>
      <c r="H28" s="180"/>
      <c r="I28" s="180"/>
      <c r="J28" s="63" t="s">
        <v>466</v>
      </c>
      <c r="K28" s="63" t="s">
        <v>466</v>
      </c>
      <c r="L28" s="178" t="s">
        <v>450</v>
      </c>
      <c r="M28" s="178"/>
      <c r="N28" s="178"/>
      <c r="O28" s="51" t="s">
        <v>452</v>
      </c>
      <c r="P28" s="51" t="s">
        <v>452</v>
      </c>
      <c r="Q28" s="51" t="s">
        <v>452</v>
      </c>
      <c r="R28" s="51" t="s">
        <v>453</v>
      </c>
      <c r="S28" s="51" t="s">
        <v>565</v>
      </c>
      <c r="T28" s="35" t="s">
        <v>467</v>
      </c>
      <c r="U28" s="63" t="s">
        <v>360</v>
      </c>
      <c r="V28" s="51" t="str">
        <f>IF([1]C!G29="","",[1]C!G29)</f>
        <v>Legumes average</v>
      </c>
      <c r="W28" s="51" t="str">
        <f>IF([1]Humus!G29="","",[1]Humus!G29)</f>
        <v>Boiffin et al. (1986) (8%. Excluido por ser igual para todas las legumbres)</v>
      </c>
      <c r="X28" s="51"/>
      <c r="Y28" s="51" t="str">
        <f>IF([1]C!BF29="","",[1]C!BF29)</f>
        <v>Legumes</v>
      </c>
      <c r="Z28" s="51" t="str">
        <f>IF([1]Humus!AK29="","",[1]Humus!AK29)</f>
        <v>Herbaceous average</v>
      </c>
      <c r="AA28" s="51" t="s">
        <v>456</v>
      </c>
      <c r="AD28" s="51" t="s">
        <v>466</v>
      </c>
      <c r="AF28" t="s">
        <v>763</v>
      </c>
    </row>
    <row r="29">
      <c r="A29" s="177" t="s">
        <v>356</v>
      </c>
      <c r="B29" s="178"/>
      <c r="C29" s="63" t="s">
        <v>466</v>
      </c>
      <c r="D29" s="178" t="s">
        <v>450</v>
      </c>
      <c r="E29" s="178" t="s">
        <v>450</v>
      </c>
      <c r="F29" s="179"/>
      <c r="G29" s="179"/>
      <c r="H29" s="180"/>
      <c r="I29" s="180"/>
      <c r="J29" s="178" t="s">
        <v>450</v>
      </c>
      <c r="K29" s="178" t="s">
        <v>450</v>
      </c>
      <c r="L29" s="178" t="s">
        <v>450</v>
      </c>
      <c r="M29" s="178"/>
      <c r="N29" s="178"/>
      <c r="O29" s="51" t="s">
        <v>452</v>
      </c>
      <c r="P29" s="51" t="s">
        <v>452</v>
      </c>
      <c r="Q29" s="51" t="s">
        <v>452</v>
      </c>
      <c r="R29" s="51" t="s">
        <v>453</v>
      </c>
      <c r="S29" s="51" t="s">
        <v>565</v>
      </c>
      <c r="T29" s="63" t="s">
        <v>360</v>
      </c>
      <c r="U29" s="63" t="s">
        <v>360</v>
      </c>
      <c r="V29" s="51" t="str">
        <f>IF([1]C!G30="","",[1]C!G30)</f>
        <v>Sarrantonio (2003)</v>
      </c>
      <c r="W29" s="51" t="str">
        <f>IF([1]Humus!G30="","",[1]Humus!G30)</f>
        <v>Legumes , other</v>
      </c>
      <c r="X29" s="51"/>
      <c r="Y29" s="51" t="str">
        <f>IF([1]C!BF30="","",[1]C!BF30)</f>
        <v>Redin et al. (2014)</v>
      </c>
      <c r="Z29" s="51" t="str">
        <f>IF([1]Humus!AK30="","",[1]Humus!AK30)</f>
        <v>Herbaceous average</v>
      </c>
      <c r="AA29" s="51" t="s">
        <v>456</v>
      </c>
      <c r="AD29" s="51" t="s">
        <v>466</v>
      </c>
      <c r="AF29" t="s">
        <v>763</v>
      </c>
    </row>
    <row r="30">
      <c r="A30" s="177" t="s">
        <v>355</v>
      </c>
      <c r="B30" s="178"/>
      <c r="C30" s="63" t="s">
        <v>466</v>
      </c>
      <c r="D30" s="178" t="s">
        <v>450</v>
      </c>
      <c r="E30" s="178" t="s">
        <v>450</v>
      </c>
      <c r="F30" s="179"/>
      <c r="G30" s="179"/>
      <c r="H30" s="180"/>
      <c r="I30" s="180"/>
      <c r="J30" s="63" t="s">
        <v>466</v>
      </c>
      <c r="K30" s="63" t="s">
        <v>466</v>
      </c>
      <c r="L30" s="63" t="s">
        <v>466</v>
      </c>
      <c r="M30" s="63"/>
      <c r="N30" s="63"/>
      <c r="O30" s="63" t="s">
        <v>466</v>
      </c>
      <c r="P30" s="63" t="s">
        <v>466</v>
      </c>
      <c r="Q30" s="63" t="s">
        <v>466</v>
      </c>
      <c r="R30" s="51" t="s">
        <v>453</v>
      </c>
      <c r="S30" s="51" t="s">
        <v>565</v>
      </c>
      <c r="T30" s="35" t="s">
        <v>467</v>
      </c>
      <c r="U30" s="63" t="s">
        <v>360</v>
      </c>
      <c r="V30" s="51" t="str">
        <f>IF([1]C!G31="","",[1]C!G31)</f>
        <v>Paula et al. (2011), ECN (2017)</v>
      </c>
      <c r="W30" s="51" t="str">
        <f>IF([1]Humus!G31="","",[1]Humus!G31)</f>
        <v>Boiffin et al. (1986) (8%. Excluido por ser igual para todas las legumbres)</v>
      </c>
      <c r="X30" s="63"/>
      <c r="Y30" s="51" t="str">
        <f>IF([1]C!BF31="","",[1]C!BF31)</f>
        <v>Redin et al. (2014)</v>
      </c>
      <c r="Z30" s="51" t="str">
        <f>IF([1]Humus!AK31="","",[1]Humus!AK31)</f>
        <v>Herbaceous average</v>
      </c>
      <c r="AA30" s="51" t="s">
        <v>456</v>
      </c>
      <c r="AD30" s="35" t="s">
        <v>454</v>
      </c>
      <c r="AF30" t="s">
        <v>763</v>
      </c>
    </row>
    <row r="31">
      <c r="A31" s="177" t="s">
        <v>354</v>
      </c>
      <c r="B31" s="178"/>
      <c r="C31" s="63" t="s">
        <v>468</v>
      </c>
      <c r="D31" s="178" t="s">
        <v>450</v>
      </c>
      <c r="E31" s="178" t="s">
        <v>450</v>
      </c>
      <c r="F31" s="179"/>
      <c r="G31" s="179"/>
      <c r="H31" s="180"/>
      <c r="I31" s="180"/>
      <c r="J31" s="178" t="s">
        <v>450</v>
      </c>
      <c r="K31" s="178" t="s">
        <v>450</v>
      </c>
      <c r="L31" s="178" t="s">
        <v>450</v>
      </c>
      <c r="M31" s="178"/>
      <c r="N31" s="178"/>
      <c r="O31" s="51" t="s">
        <v>452</v>
      </c>
      <c r="P31" s="51" t="s">
        <v>452</v>
      </c>
      <c r="Q31" s="51" t="s">
        <v>452</v>
      </c>
      <c r="R31" s="63" t="s">
        <v>469</v>
      </c>
      <c r="S31" s="51" t="s">
        <v>565</v>
      </c>
      <c r="T31" s="63" t="s">
        <v>360</v>
      </c>
      <c r="U31" s="63" t="s">
        <v>360</v>
      </c>
      <c r="V31" s="51" t="str">
        <f>IF([1]C!G32="","",[1]C!G32)</f>
        <v>Average of available data</v>
      </c>
      <c r="W31" s="51" t="str">
        <f>IF([1]Humus!G32="","",[1]Humus!G32)</f>
        <v>Boiffin et al. (1986)</v>
      </c>
      <c r="X31" s="51"/>
      <c r="Y31" s="51" t="str">
        <f>IF([1]C!BF32="","",[1]C!BF32)</f>
        <v>Average of available data</v>
      </c>
      <c r="Z31" s="51" t="str">
        <f>IF([1]Humus!AK32="","",[1]Humus!AK32)</f>
        <v>Herbaceous average</v>
      </c>
      <c r="AA31" s="51" t="s">
        <v>456</v>
      </c>
      <c r="AD31" s="35" t="s">
        <v>454</v>
      </c>
      <c r="AF31" t="s">
        <v>763</v>
      </c>
    </row>
    <row r="32">
      <c r="A32" s="177" t="s">
        <v>352</v>
      </c>
      <c r="B32" s="178"/>
      <c r="C32" s="63" t="s">
        <v>470</v>
      </c>
      <c r="D32" s="183" t="s">
        <v>470</v>
      </c>
      <c r="E32" s="183" t="s">
        <v>470</v>
      </c>
      <c r="F32" s="182"/>
      <c r="G32" s="182"/>
      <c r="H32" s="183" t="s">
        <v>470</v>
      </c>
      <c r="I32" s="183" t="s">
        <v>470</v>
      </c>
      <c r="J32" s="183" t="s">
        <v>470</v>
      </c>
      <c r="K32" s="183" t="s">
        <v>470</v>
      </c>
      <c r="L32" s="178" t="s">
        <v>450</v>
      </c>
      <c r="M32" s="178"/>
      <c r="N32" s="178"/>
      <c r="O32" s="184" t="s">
        <v>470</v>
      </c>
      <c r="P32" s="184" t="s">
        <v>470</v>
      </c>
      <c r="Q32" s="184" t="s">
        <v>470</v>
      </c>
      <c r="R32" s="184" t="s">
        <v>470</v>
      </c>
      <c r="S32" s="35" t="s">
        <v>566</v>
      </c>
      <c r="T32" s="51"/>
      <c r="U32" s="51"/>
      <c r="V32" s="51" t="str">
        <f>IF([1]C!G34="","",[1]C!G34)</f>
        <v>Roots average</v>
      </c>
      <c r="W32" s="51" t="str">
        <f>IF([1]Humus!G34="","",[1]Humus!G34)</f>
        <v>Roots, other</v>
      </c>
      <c r="X32" s="51"/>
      <c r="Y32" s="51" t="str">
        <f>IF([1]C!BF34="","",[1]C!BF34)</f>
        <v>Plant average</v>
      </c>
      <c r="Z32" s="51" t="str">
        <f>IF([1]Humus!AK34="","",[1]Humus!AK34)</f>
        <v>Herbaceous average</v>
      </c>
      <c r="AA32" s="51" t="s">
        <v>456</v>
      </c>
      <c r="AD32" s="184" t="s">
        <v>471</v>
      </c>
      <c r="AF32" t="s">
        <v>763</v>
      </c>
    </row>
    <row r="33">
      <c r="A33" s="177" t="s">
        <v>351</v>
      </c>
      <c r="B33" s="178"/>
      <c r="C33" s="63" t="s">
        <v>470</v>
      </c>
      <c r="D33" s="178" t="s">
        <v>450</v>
      </c>
      <c r="E33" s="183" t="s">
        <v>470</v>
      </c>
      <c r="F33" s="182"/>
      <c r="G33" s="182"/>
      <c r="H33" s="178" t="s">
        <v>450</v>
      </c>
      <c r="I33" s="178" t="s">
        <v>450</v>
      </c>
      <c r="J33" s="178" t="s">
        <v>450</v>
      </c>
      <c r="K33" s="183" t="s">
        <v>470</v>
      </c>
      <c r="L33" s="178" t="s">
        <v>450</v>
      </c>
      <c r="M33" s="178"/>
      <c r="N33" s="178"/>
      <c r="O33" s="51" t="s">
        <v>452</v>
      </c>
      <c r="P33" s="51" t="s">
        <v>452</v>
      </c>
      <c r="Q33" s="51" t="s">
        <v>452</v>
      </c>
      <c r="R33" s="51" t="s">
        <v>453</v>
      </c>
      <c r="S33" s="35" t="s">
        <v>566</v>
      </c>
      <c r="T33" s="51"/>
      <c r="U33" s="51"/>
      <c r="V33" s="51" t="str">
        <f>IF([1]C!G35="","",[1]C!G35)</f>
        <v>Roots average</v>
      </c>
      <c r="W33" s="51" t="str">
        <f>IF([1]Humus!G35="","",[1]Humus!G35)</f>
        <v>Roots, other</v>
      </c>
      <c r="X33" s="51"/>
      <c r="Y33" s="51" t="str">
        <f>IF([1]C!BF35="","",[1]C!BF35)</f>
        <v>Plant average</v>
      </c>
      <c r="Z33" s="51" t="str">
        <f>IF([1]Humus!AK35="","",[1]Humus!AK35)</f>
        <v>Herbaceous average</v>
      </c>
      <c r="AA33" s="51" t="s">
        <v>456</v>
      </c>
      <c r="AD33" s="35" t="s">
        <v>454</v>
      </c>
      <c r="AF33" t="s">
        <v>763</v>
      </c>
    </row>
    <row r="34">
      <c r="A34" s="177" t="s">
        <v>350</v>
      </c>
      <c r="B34" s="178"/>
      <c r="C34" s="51" t="s">
        <v>465</v>
      </c>
      <c r="D34" s="178" t="s">
        <v>450</v>
      </c>
      <c r="E34" s="178" t="s">
        <v>450</v>
      </c>
      <c r="F34" s="182"/>
      <c r="G34" s="182"/>
      <c r="H34" s="178" t="s">
        <v>450</v>
      </c>
      <c r="I34" s="178" t="s">
        <v>450</v>
      </c>
      <c r="J34" s="178" t="s">
        <v>450</v>
      </c>
      <c r="K34" s="178" t="s">
        <v>450</v>
      </c>
      <c r="L34" s="178" t="s">
        <v>450</v>
      </c>
      <c r="M34" s="178"/>
      <c r="N34" s="178"/>
      <c r="O34" s="51" t="s">
        <v>452</v>
      </c>
      <c r="P34" s="51" t="s">
        <v>452</v>
      </c>
      <c r="Q34" s="51" t="s">
        <v>452</v>
      </c>
      <c r="R34" s="51" t="s">
        <v>453</v>
      </c>
      <c r="S34" s="35" t="s">
        <v>566</v>
      </c>
      <c r="T34" s="51"/>
      <c r="U34" s="51"/>
      <c r="V34" s="51" t="str">
        <f>IF([1]C!G36="","",[1]C!G36)</f>
        <v>Huang et al. (2004), Henriksen et al. (1999)</v>
      </c>
      <c r="W34" s="51" t="str">
        <f>IF([1]Humus!G36="","",[1]Humus!G36)</f>
        <v>Vleeshowers and Verhagen (2002)</v>
      </c>
      <c r="X34" s="51"/>
      <c r="Y34" s="51" t="str">
        <f>IF([1]C!BF36="","",[1]C!BF36)</f>
        <v>Plant average</v>
      </c>
      <c r="Z34" s="51" t="str">
        <f>IF([1]Humus!AK36="","",[1]Humus!AK36)</f>
        <v>Herbaceous average</v>
      </c>
      <c r="AA34" s="51" t="s">
        <v>456</v>
      </c>
      <c r="AD34" s="35" t="s">
        <v>454</v>
      </c>
      <c r="AF34" t="s">
        <v>763</v>
      </c>
    </row>
    <row r="35">
      <c r="A35" s="177" t="s">
        <v>349</v>
      </c>
      <c r="B35" s="178"/>
      <c r="C35" s="63" t="s">
        <v>470</v>
      </c>
      <c r="D35" s="178" t="s">
        <v>450</v>
      </c>
      <c r="E35" s="178" t="s">
        <v>450</v>
      </c>
      <c r="F35" s="182"/>
      <c r="G35" s="182"/>
      <c r="H35" s="183" t="s">
        <v>470</v>
      </c>
      <c r="I35" s="183" t="s">
        <v>470</v>
      </c>
      <c r="J35" s="178" t="s">
        <v>472</v>
      </c>
      <c r="K35" s="183" t="s">
        <v>470</v>
      </c>
      <c r="L35" s="184" t="s">
        <v>470</v>
      </c>
      <c r="M35" s="184"/>
      <c r="N35" s="184"/>
      <c r="O35" s="51" t="s">
        <v>452</v>
      </c>
      <c r="P35" s="51" t="s">
        <v>452</v>
      </c>
      <c r="Q35" s="51" t="s">
        <v>452</v>
      </c>
      <c r="R35" s="51" t="s">
        <v>453</v>
      </c>
      <c r="S35" s="35" t="s">
        <v>566</v>
      </c>
      <c r="T35" s="182"/>
      <c r="U35" s="182"/>
      <c r="V35" s="51" t="str">
        <f>IF([1]C!G37="","",[1]C!G37)</f>
        <v>Roots average</v>
      </c>
      <c r="W35" s="51" t="str">
        <f>IF([1]Humus!G37="","",[1]Humus!G37)</f>
        <v>Roots, other</v>
      </c>
      <c r="X35" s="182"/>
      <c r="Y35" s="51" t="str">
        <f>IF([1]C!BF37="","",[1]C!BF37)</f>
        <v>Plant average</v>
      </c>
      <c r="Z35" s="51" t="str">
        <f>IF([1]Humus!AK37="","",[1]Humus!AK37)</f>
        <v>Herbaceous average</v>
      </c>
      <c r="AA35" s="51" t="s">
        <v>456</v>
      </c>
      <c r="AD35" s="184" t="s">
        <v>471</v>
      </c>
      <c r="AF35" t="s">
        <v>763</v>
      </c>
    </row>
    <row r="36">
      <c r="A36" s="177" t="s">
        <v>348</v>
      </c>
      <c r="B36" s="178"/>
      <c r="C36" s="63" t="s">
        <v>350</v>
      </c>
      <c r="D36" s="183" t="s">
        <v>473</v>
      </c>
      <c r="E36" s="183" t="s">
        <v>474</v>
      </c>
      <c r="F36" s="183" t="s">
        <v>474</v>
      </c>
      <c r="G36" s="183"/>
      <c r="H36" s="183" t="s">
        <v>474</v>
      </c>
      <c r="I36" s="183" t="s">
        <v>474</v>
      </c>
      <c r="J36" s="183" t="s">
        <v>473</v>
      </c>
      <c r="K36" s="178" t="s">
        <v>350</v>
      </c>
      <c r="L36" s="178" t="s">
        <v>475</v>
      </c>
      <c r="M36" s="178"/>
      <c r="N36" s="178"/>
      <c r="O36" s="183" t="s">
        <v>473</v>
      </c>
      <c r="P36" s="183" t="s">
        <v>473</v>
      </c>
      <c r="Q36" s="183" t="s">
        <v>473</v>
      </c>
      <c r="R36" s="183" t="s">
        <v>473</v>
      </c>
      <c r="S36" s="35" t="s">
        <v>566</v>
      </c>
      <c r="T36" s="51"/>
      <c r="U36" s="51"/>
      <c r="V36" s="51" t="str">
        <f>IF([1]C!G38="","",[1]C!G38)</f>
        <v>Average of available data</v>
      </c>
      <c r="W36" s="51" t="str">
        <f>IF([1]Humus!G38="","",[1]Humus!G38)</f>
        <v>Herbaceous average</v>
      </c>
      <c r="X36" s="51"/>
      <c r="Y36" s="51" t="str">
        <f>IF([1]C!BF38="","",[1]C!BF38)</f>
        <v>Plant average</v>
      </c>
      <c r="Z36" s="51" t="str">
        <f>IF([1]Humus!AK38="","",[1]Humus!AK38)</f>
        <v>Herbaceous average</v>
      </c>
      <c r="AA36" s="51" t="s">
        <v>456</v>
      </c>
      <c r="AD36" s="35" t="s">
        <v>454</v>
      </c>
      <c r="AF36" t="s">
        <v>763</v>
      </c>
    </row>
    <row r="37">
      <c r="A37" s="177" t="s">
        <v>347</v>
      </c>
      <c r="B37" s="178"/>
      <c r="C37" s="63" t="s">
        <v>476</v>
      </c>
      <c r="D37" s="63" t="s">
        <v>476</v>
      </c>
      <c r="E37" s="63" t="s">
        <v>476</v>
      </c>
      <c r="F37" s="63" t="s">
        <v>476</v>
      </c>
      <c r="G37" s="63" t="s">
        <v>476</v>
      </c>
      <c r="H37" s="63" t="s">
        <v>476</v>
      </c>
      <c r="I37" s="63" t="s">
        <v>476</v>
      </c>
      <c r="J37" s="63" t="s">
        <v>476</v>
      </c>
      <c r="K37" s="63" t="s">
        <v>476</v>
      </c>
      <c r="L37" s="63" t="s">
        <v>476</v>
      </c>
      <c r="M37" s="63" t="s">
        <v>476</v>
      </c>
      <c r="N37" s="63"/>
      <c r="O37" s="63" t="s">
        <v>476</v>
      </c>
      <c r="P37" s="63" t="s">
        <v>476</v>
      </c>
      <c r="Q37" s="63" t="s">
        <v>476</v>
      </c>
      <c r="R37" s="63" t="s">
        <v>476</v>
      </c>
      <c r="S37" s="35" t="s">
        <v>566</v>
      </c>
      <c r="T37" s="63" t="s">
        <v>476</v>
      </c>
      <c r="U37" s="63" t="s">
        <v>476</v>
      </c>
      <c r="V37" s="51" t="str">
        <f>IF([1]C!G39="","",[1]C!G39)</f>
        <v>Roots average</v>
      </c>
      <c r="W37" s="51" t="str">
        <f>IF([1]Humus!G39="","",[1]Humus!G39)</f>
        <v>"Roots, average" transformed to dry equivalents</v>
      </c>
      <c r="X37" s="63" t="s">
        <v>476</v>
      </c>
      <c r="Y37" s="51" t="str">
        <f>IF([1]C!BF39="","",[1]C!BF39)</f>
        <v>Plant average</v>
      </c>
      <c r="Z37" s="51" t="str">
        <f>IF([1]Humus!AK39="","",[1]Humus!AK39)</f>
        <v>Herbaceous average</v>
      </c>
      <c r="AA37" s="51" t="s">
        <v>456</v>
      </c>
      <c r="AD37" s="35" t="s">
        <v>454</v>
      </c>
      <c r="AF37" t="s">
        <v>763</v>
      </c>
    </row>
    <row r="38">
      <c r="A38" s="177" t="s">
        <v>346</v>
      </c>
      <c r="B38" s="178"/>
      <c r="C38" s="63" t="s">
        <v>477</v>
      </c>
      <c r="D38" s="178" t="s">
        <v>450</v>
      </c>
      <c r="E38" s="178" t="s">
        <v>450</v>
      </c>
      <c r="F38" s="179"/>
      <c r="G38" s="179"/>
      <c r="H38" s="178" t="s">
        <v>450</v>
      </c>
      <c r="I38" s="178" t="s">
        <v>450</v>
      </c>
      <c r="J38" s="178" t="s">
        <v>450</v>
      </c>
      <c r="K38" s="178" t="s">
        <v>450</v>
      </c>
      <c r="L38" s="178" t="s">
        <v>450</v>
      </c>
      <c r="M38" s="178"/>
      <c r="N38" s="178"/>
      <c r="O38" s="35" t="s">
        <v>766</v>
      </c>
      <c r="P38" s="35"/>
      <c r="Q38" s="35"/>
      <c r="R38" s="51" t="s">
        <v>453</v>
      </c>
      <c r="S38" s="184" t="s">
        <v>478</v>
      </c>
      <c r="T38" s="35"/>
      <c r="U38" s="35"/>
      <c r="V38" s="51" t="str">
        <f>IF([1]C!G41="","",[1]C!G41)</f>
        <v>Rahn and Lillywhite (2002)</v>
      </c>
      <c r="W38" s="51" t="str">
        <f>IF([1]Humus!G41="","",[1]Humus!G41)</f>
        <v>Vegetables, other</v>
      </c>
      <c r="X38" s="51"/>
      <c r="Y38" s="51" t="str">
        <f>IF([1]C!BF41="","",[1]C!BF41)</f>
        <v>Plant average</v>
      </c>
      <c r="Z38" s="51" t="str">
        <f>IF([1]Humus!AK41="","",[1]Humus!AK41)</f>
        <v>Herbaceous average</v>
      </c>
      <c r="AA38" s="51" t="s">
        <v>456</v>
      </c>
      <c r="AF38" t="s">
        <v>763</v>
      </c>
    </row>
    <row r="39">
      <c r="A39" s="177" t="s">
        <v>345</v>
      </c>
      <c r="B39" s="178"/>
      <c r="C39" s="63" t="s">
        <v>477</v>
      </c>
      <c r="D39" s="178" t="s">
        <v>450</v>
      </c>
      <c r="E39" s="178" t="s">
        <v>450</v>
      </c>
      <c r="F39" s="179"/>
      <c r="G39" s="179"/>
      <c r="H39" s="178" t="s">
        <v>450</v>
      </c>
      <c r="I39" s="178" t="s">
        <v>450</v>
      </c>
      <c r="J39" s="178" t="s">
        <v>450</v>
      </c>
      <c r="K39" s="178" t="s">
        <v>450</v>
      </c>
      <c r="L39" s="178" t="s">
        <v>450</v>
      </c>
      <c r="M39" s="178"/>
      <c r="N39" s="178"/>
      <c r="O39" s="35" t="s">
        <v>766</v>
      </c>
      <c r="P39" s="35"/>
      <c r="Q39" s="35"/>
      <c r="R39" s="51" t="s">
        <v>453</v>
      </c>
      <c r="S39" s="35" t="s">
        <v>479</v>
      </c>
      <c r="T39" s="35"/>
      <c r="U39" s="35"/>
      <c r="V39" s="51" t="str">
        <f>IF([1]C!G42="","",[1]C!G42)</f>
        <v>Rahn and Lillywhite (2002)</v>
      </c>
      <c r="W39" s="51" t="str">
        <f>IF([1]Humus!G42="","",[1]Humus!G42)</f>
        <v>Vegetables, other</v>
      </c>
      <c r="X39" s="51"/>
      <c r="Y39" s="51" t="str">
        <f>IF([1]C!BF42="","",[1]C!BF42)</f>
        <v>Plant average</v>
      </c>
      <c r="Z39" s="51" t="str">
        <f>IF([1]Humus!AK42="","",[1]Humus!AK42)</f>
        <v>Herbaceous average</v>
      </c>
      <c r="AA39" s="51" t="s">
        <v>456</v>
      </c>
      <c r="AF39" t="s">
        <v>763</v>
      </c>
    </row>
    <row r="40">
      <c r="A40" s="177" t="s">
        <v>344</v>
      </c>
      <c r="B40" s="178"/>
      <c r="C40" s="63" t="s">
        <v>477</v>
      </c>
      <c r="D40" s="178" t="s">
        <v>450</v>
      </c>
      <c r="E40" s="178" t="s">
        <v>450</v>
      </c>
      <c r="F40" s="179"/>
      <c r="G40" s="179"/>
      <c r="H40" s="178" t="s">
        <v>450</v>
      </c>
      <c r="I40" s="178" t="s">
        <v>450</v>
      </c>
      <c r="J40" s="178" t="s">
        <v>450</v>
      </c>
      <c r="K40" s="178" t="s">
        <v>450</v>
      </c>
      <c r="L40" s="178" t="s">
        <v>450</v>
      </c>
      <c r="M40" s="178"/>
      <c r="N40" s="178"/>
      <c r="O40" s="35" t="s">
        <v>766</v>
      </c>
      <c r="P40" s="35"/>
      <c r="Q40" s="35"/>
      <c r="R40" s="51" t="s">
        <v>453</v>
      </c>
      <c r="S40" s="184" t="s">
        <v>478</v>
      </c>
      <c r="T40" s="35"/>
      <c r="U40" s="35"/>
      <c r="V40" s="51" t="str">
        <f>IF([1]C!G43="","",[1]C!G43)</f>
        <v>Vegetables average</v>
      </c>
      <c r="W40" s="51" t="str">
        <f>IF([1]Humus!G43="","",[1]Humus!G43)</f>
        <v>Vegetables, other</v>
      </c>
      <c r="X40" s="51"/>
      <c r="Y40" s="51" t="str">
        <f>IF([1]C!BF43="","",[1]C!BF43)</f>
        <v>Plant average</v>
      </c>
      <c r="Z40" s="51" t="str">
        <f>IF([1]Humus!AK43="","",[1]Humus!AK43)</f>
        <v>Herbaceous average</v>
      </c>
      <c r="AA40" s="51" t="s">
        <v>456</v>
      </c>
      <c r="AF40" t="s">
        <v>763</v>
      </c>
    </row>
    <row r="41">
      <c r="A41" s="177" t="s">
        <v>343</v>
      </c>
      <c r="B41" s="178"/>
      <c r="C41" s="63" t="s">
        <v>477</v>
      </c>
      <c r="D41" s="178" t="s">
        <v>450</v>
      </c>
      <c r="E41" s="178" t="s">
        <v>450</v>
      </c>
      <c r="F41" s="179"/>
      <c r="G41" s="179"/>
      <c r="H41" s="178" t="s">
        <v>450</v>
      </c>
      <c r="I41" s="178" t="s">
        <v>450</v>
      </c>
      <c r="J41" s="178" t="s">
        <v>450</v>
      </c>
      <c r="K41" s="178" t="s">
        <v>450</v>
      </c>
      <c r="L41" s="178" t="s">
        <v>450</v>
      </c>
      <c r="M41" s="178"/>
      <c r="N41" s="178"/>
      <c r="O41" s="35" t="s">
        <v>766</v>
      </c>
      <c r="P41" s="35"/>
      <c r="Q41" s="35"/>
      <c r="R41" s="184" t="s">
        <v>478</v>
      </c>
      <c r="S41" s="184" t="s">
        <v>478</v>
      </c>
      <c r="T41" s="35"/>
      <c r="U41" s="35"/>
      <c r="V41" s="51" t="str">
        <f>IF([1]C!G44="","",[1]C!G44)</f>
        <v>Vegetables average</v>
      </c>
      <c r="W41" s="51" t="str">
        <f>IF([1]Humus!G44="","",[1]Humus!G44)</f>
        <v>Vegetables, other</v>
      </c>
      <c r="X41" s="51"/>
      <c r="Y41" s="51" t="str">
        <f>IF([1]C!BF44="","",[1]C!BF44)</f>
        <v>Plant average</v>
      </c>
      <c r="Z41" s="51" t="str">
        <f>IF([1]Humus!AK44="","",[1]Humus!AK44)</f>
        <v>Herbaceous average</v>
      </c>
      <c r="AA41" s="51" t="s">
        <v>456</v>
      </c>
      <c r="AF41" t="s">
        <v>763</v>
      </c>
    </row>
    <row r="42">
      <c r="A42" s="177" t="s">
        <v>342</v>
      </c>
      <c r="B42" s="178"/>
      <c r="C42" s="63" t="s">
        <v>477</v>
      </c>
      <c r="D42" s="178" t="s">
        <v>450</v>
      </c>
      <c r="E42" s="178" t="s">
        <v>450</v>
      </c>
      <c r="F42" s="179"/>
      <c r="G42" s="179"/>
      <c r="H42" s="178" t="s">
        <v>450</v>
      </c>
      <c r="I42" s="178" t="s">
        <v>450</v>
      </c>
      <c r="J42" s="178" t="s">
        <v>450</v>
      </c>
      <c r="K42" s="178" t="s">
        <v>450</v>
      </c>
      <c r="L42" s="178" t="s">
        <v>450</v>
      </c>
      <c r="M42" s="178"/>
      <c r="N42" s="178"/>
      <c r="O42" s="35" t="s">
        <v>766</v>
      </c>
      <c r="P42" s="35"/>
      <c r="Q42" s="35"/>
      <c r="R42" s="51" t="s">
        <v>453</v>
      </c>
      <c r="S42" s="184" t="s">
        <v>478</v>
      </c>
      <c r="T42" s="35"/>
      <c r="U42" s="35"/>
      <c r="V42" s="51" t="str">
        <f>IF([1]C!G45="","",[1]C!G45)</f>
        <v>Vegetables average</v>
      </c>
      <c r="W42" s="51" t="str">
        <f>IF([1]Humus!G45="","",[1]Humus!G45)</f>
        <v>Vegetables, other</v>
      </c>
      <c r="X42" s="51"/>
      <c r="Y42" s="51" t="str">
        <f>IF([1]C!BF45="","",[1]C!BF45)</f>
        <v>Plant average</v>
      </c>
      <c r="Z42" s="51" t="str">
        <f>IF([1]Humus!AK45="","",[1]Humus!AK45)</f>
        <v>Herbaceous average</v>
      </c>
      <c r="AA42" s="51" t="s">
        <v>456</v>
      </c>
      <c r="AF42" t="s">
        <v>763</v>
      </c>
    </row>
    <row r="43">
      <c r="A43" s="177" t="s">
        <v>341</v>
      </c>
      <c r="B43" s="178"/>
      <c r="C43" s="63" t="s">
        <v>477</v>
      </c>
      <c r="D43" s="178" t="s">
        <v>450</v>
      </c>
      <c r="E43" s="178" t="s">
        <v>450</v>
      </c>
      <c r="F43" s="179"/>
      <c r="G43" s="179"/>
      <c r="H43" s="178" t="s">
        <v>450</v>
      </c>
      <c r="I43" s="178" t="s">
        <v>450</v>
      </c>
      <c r="J43" s="178" t="s">
        <v>450</v>
      </c>
      <c r="K43" s="178" t="s">
        <v>450</v>
      </c>
      <c r="L43" s="178" t="s">
        <v>450</v>
      </c>
      <c r="M43" s="178"/>
      <c r="N43" s="178"/>
      <c r="O43" s="35" t="s">
        <v>766</v>
      </c>
      <c r="P43" s="35"/>
      <c r="Q43" s="35"/>
      <c r="R43" s="184" t="s">
        <v>478</v>
      </c>
      <c r="S43" s="35" t="s">
        <v>479</v>
      </c>
      <c r="T43" s="35"/>
      <c r="U43" s="35"/>
      <c r="V43" s="51" t="str">
        <f>IF([1]C!G46="","",[1]C!G46)</f>
        <v>Rahn and Lillywhite (2002)</v>
      </c>
      <c r="W43" s="51" t="str">
        <f>IF([1]Humus!G46="","",[1]Humus!G46)</f>
        <v>Vegetables, other</v>
      </c>
      <c r="X43" s="51"/>
      <c r="Y43" s="51" t="str">
        <f>IF([1]C!BF46="","",[1]C!BF46)</f>
        <v>Plant average</v>
      </c>
      <c r="Z43" s="51" t="str">
        <f>IF([1]Humus!AK46="","",[1]Humus!AK46)</f>
        <v>Herbaceous average</v>
      </c>
      <c r="AA43" s="51" t="s">
        <v>456</v>
      </c>
      <c r="AF43" t="s">
        <v>763</v>
      </c>
    </row>
    <row r="44">
      <c r="A44" s="177" t="s">
        <v>340</v>
      </c>
      <c r="B44" s="178"/>
      <c r="C44" s="63" t="s">
        <v>477</v>
      </c>
      <c r="D44" s="178" t="s">
        <v>450</v>
      </c>
      <c r="E44" s="178" t="s">
        <v>450</v>
      </c>
      <c r="F44" s="179"/>
      <c r="G44" s="179"/>
      <c r="H44" s="178" t="s">
        <v>450</v>
      </c>
      <c r="I44" s="178" t="s">
        <v>450</v>
      </c>
      <c r="J44" s="178" t="s">
        <v>450</v>
      </c>
      <c r="K44" s="178" t="s">
        <v>450</v>
      </c>
      <c r="L44" s="178" t="s">
        <v>450</v>
      </c>
      <c r="M44" s="178"/>
      <c r="N44" s="178"/>
      <c r="O44" s="35" t="s">
        <v>766</v>
      </c>
      <c r="P44" s="35"/>
      <c r="Q44" s="35"/>
      <c r="R44" s="184" t="s">
        <v>478</v>
      </c>
      <c r="S44" s="184" t="s">
        <v>478</v>
      </c>
      <c r="T44" s="35"/>
      <c r="U44" s="35"/>
      <c r="V44" s="51" t="str">
        <f>IF([1]C!G47="","",[1]C!G47)</f>
        <v>Vegetables average</v>
      </c>
      <c r="W44" s="51" t="str">
        <f>IF([1]Humus!G47="","",[1]Humus!G47)</f>
        <v>Vegetables, other</v>
      </c>
      <c r="X44" s="51"/>
      <c r="Y44" s="51" t="str">
        <f>IF([1]C!BF47="","",[1]C!BF47)</f>
        <v>Plant average</v>
      </c>
      <c r="Z44" s="51" t="str">
        <f>IF([1]Humus!AK47="","",[1]Humus!AK47)</f>
        <v>Herbaceous average</v>
      </c>
      <c r="AA44" s="51" t="s">
        <v>456</v>
      </c>
      <c r="AF44" t="s">
        <v>763</v>
      </c>
    </row>
    <row r="45">
      <c r="A45" s="177" t="s">
        <v>339</v>
      </c>
      <c r="B45" s="178"/>
      <c r="C45" s="63" t="s">
        <v>477</v>
      </c>
      <c r="D45" s="178" t="s">
        <v>450</v>
      </c>
      <c r="E45" s="178" t="s">
        <v>450</v>
      </c>
      <c r="F45" s="179"/>
      <c r="G45" s="179"/>
      <c r="H45" s="178" t="s">
        <v>450</v>
      </c>
      <c r="I45" s="178" t="s">
        <v>450</v>
      </c>
      <c r="J45" s="178" t="s">
        <v>450</v>
      </c>
      <c r="K45" s="178" t="s">
        <v>450</v>
      </c>
      <c r="L45" s="178" t="s">
        <v>450</v>
      </c>
      <c r="M45" s="178"/>
      <c r="N45" s="178"/>
      <c r="O45" s="35" t="s">
        <v>766</v>
      </c>
      <c r="P45" s="35"/>
      <c r="Q45" s="35"/>
      <c r="R45" s="184" t="s">
        <v>478</v>
      </c>
      <c r="S45" s="184" t="s">
        <v>478</v>
      </c>
      <c r="T45" s="35"/>
      <c r="U45" s="35"/>
      <c r="V45" s="51" t="str">
        <f>IF([1]C!G48="","",[1]C!G48)</f>
        <v>Vegetables average</v>
      </c>
      <c r="W45" s="51" t="str">
        <f>IF([1]Humus!G48="","",[1]Humus!G48)</f>
        <v>Vegetables, other</v>
      </c>
      <c r="X45" s="51"/>
      <c r="Y45" s="51" t="str">
        <f>IF([1]C!BF48="","",[1]C!BF48)</f>
        <v>Plant average</v>
      </c>
      <c r="Z45" s="51" t="str">
        <f>IF([1]Humus!AK48="","",[1]Humus!AK48)</f>
        <v>Herbaceous average</v>
      </c>
      <c r="AA45" s="51" t="s">
        <v>456</v>
      </c>
      <c r="AF45" t="s">
        <v>763</v>
      </c>
    </row>
    <row r="46">
      <c r="A46" s="177" t="s">
        <v>338</v>
      </c>
      <c r="B46" s="178"/>
      <c r="C46" s="63" t="s">
        <v>477</v>
      </c>
      <c r="D46" s="178" t="s">
        <v>450</v>
      </c>
      <c r="E46" s="178" t="s">
        <v>450</v>
      </c>
      <c r="F46" s="179"/>
      <c r="G46" s="179"/>
      <c r="H46" s="178" t="s">
        <v>450</v>
      </c>
      <c r="I46" s="178" t="s">
        <v>450</v>
      </c>
      <c r="J46" s="178" t="s">
        <v>450</v>
      </c>
      <c r="K46" s="178" t="s">
        <v>450</v>
      </c>
      <c r="L46" s="178" t="s">
        <v>450</v>
      </c>
      <c r="M46" s="178"/>
      <c r="N46" s="178"/>
      <c r="O46" s="35" t="s">
        <v>766</v>
      </c>
      <c r="P46" s="35"/>
      <c r="Q46" s="35"/>
      <c r="R46" s="51" t="s">
        <v>453</v>
      </c>
      <c r="S46" s="35" t="s">
        <v>479</v>
      </c>
      <c r="T46" s="35"/>
      <c r="U46" s="35"/>
      <c r="V46" s="51" t="str">
        <f>IF([1]C!G49="","",[1]C!G49)</f>
        <v>Rahn and Lillywhite (2002), Henriksen et al. (1999), ECN (2017)</v>
      </c>
      <c r="W46" s="51" t="str">
        <f>IF([1]Humus!G49="","",[1]Humus!G49)</f>
      </c>
      <c r="X46" s="51"/>
      <c r="Y46" s="51" t="str">
        <f>IF([1]C!BF49="","",[1]C!BF49)</f>
        <v>Plant average</v>
      </c>
      <c r="Z46" s="51" t="str">
        <f>IF([1]Humus!AK49="","",[1]Humus!AK49)</f>
        <v>Herbaceous average</v>
      </c>
      <c r="AA46" s="51" t="s">
        <v>456</v>
      </c>
      <c r="AF46" t="s">
        <v>763</v>
      </c>
    </row>
    <row r="47">
      <c r="A47" s="177" t="s">
        <v>337</v>
      </c>
      <c r="B47" s="178"/>
      <c r="C47" s="63" t="s">
        <v>477</v>
      </c>
      <c r="D47" s="178" t="s">
        <v>450</v>
      </c>
      <c r="E47" s="178" t="s">
        <v>450</v>
      </c>
      <c r="F47" s="179"/>
      <c r="G47" s="179"/>
      <c r="H47" s="178" t="s">
        <v>450</v>
      </c>
      <c r="I47" s="178" t="s">
        <v>450</v>
      </c>
      <c r="J47" s="178" t="s">
        <v>450</v>
      </c>
      <c r="K47" s="178" t="s">
        <v>450</v>
      </c>
      <c r="L47" s="178" t="s">
        <v>450</v>
      </c>
      <c r="M47" s="178"/>
      <c r="N47" s="178"/>
      <c r="O47" s="35" t="s">
        <v>766</v>
      </c>
      <c r="P47" s="35"/>
      <c r="Q47" s="35"/>
      <c r="R47" s="51" t="s">
        <v>453</v>
      </c>
      <c r="S47" s="184" t="s">
        <v>478</v>
      </c>
      <c r="T47" s="35"/>
      <c r="U47" s="35"/>
      <c r="V47" s="51" t="str">
        <f>IF([1]C!G50="","",[1]C!G50)</f>
        <v>Vegetables average</v>
      </c>
      <c r="W47" s="51" t="str">
        <f>IF([1]Humus!G50="","",[1]Humus!G50)</f>
        <v>Vegetables, other</v>
      </c>
      <c r="X47" s="51"/>
      <c r="Y47" s="51" t="str">
        <f>IF([1]C!BF50="","",[1]C!BF50)</f>
        <v>Plant average</v>
      </c>
      <c r="Z47" s="51" t="str">
        <f>IF([1]Humus!AK50="","",[1]Humus!AK50)</f>
        <v>Herbaceous average</v>
      </c>
      <c r="AA47" s="51" t="s">
        <v>456</v>
      </c>
      <c r="AF47" t="s">
        <v>763</v>
      </c>
    </row>
    <row r="48">
      <c r="A48" s="177" t="s">
        <v>336</v>
      </c>
      <c r="B48" s="178"/>
      <c r="C48" s="63" t="s">
        <v>477</v>
      </c>
      <c r="D48" s="178" t="s">
        <v>450</v>
      </c>
      <c r="E48" s="178" t="s">
        <v>450</v>
      </c>
      <c r="F48" s="179"/>
      <c r="G48" s="179"/>
      <c r="H48" s="178" t="s">
        <v>450</v>
      </c>
      <c r="I48" s="178" t="s">
        <v>450</v>
      </c>
      <c r="J48" s="178" t="s">
        <v>450</v>
      </c>
      <c r="K48" s="178" t="s">
        <v>450</v>
      </c>
      <c r="L48" s="178" t="s">
        <v>450</v>
      </c>
      <c r="M48" s="178"/>
      <c r="N48" s="178"/>
      <c r="O48" s="35" t="s">
        <v>766</v>
      </c>
      <c r="P48" s="35"/>
      <c r="Q48" s="35"/>
      <c r="R48" s="51" t="s">
        <v>453</v>
      </c>
      <c r="S48" s="35" t="s">
        <v>479</v>
      </c>
      <c r="T48" s="35"/>
      <c r="U48" s="35"/>
      <c r="V48" s="51" t="str">
        <f>IF([1]C!G51="","",[1]C!G51)</f>
        <v>Rahn and Lillywhite (2002)</v>
      </c>
      <c r="W48" s="51" t="str">
        <f>IF([1]Humus!G51="","",[1]Humus!G51)</f>
        <v>Vegetables, other</v>
      </c>
      <c r="X48" s="51"/>
      <c r="Y48" s="51" t="str">
        <f>IF([1]C!BF51="","",[1]C!BF51)</f>
        <v>Plant average</v>
      </c>
      <c r="Z48" s="51" t="str">
        <f>IF([1]Humus!AK51="","",[1]Humus!AK51)</f>
        <v>Herbaceous average</v>
      </c>
      <c r="AA48" s="51" t="s">
        <v>456</v>
      </c>
      <c r="AF48" t="s">
        <v>763</v>
      </c>
    </row>
    <row r="49">
      <c r="A49" s="177" t="s">
        <v>335</v>
      </c>
      <c r="B49" s="178"/>
      <c r="C49" s="63" t="s">
        <v>477</v>
      </c>
      <c r="D49" s="178" t="s">
        <v>450</v>
      </c>
      <c r="E49" s="178" t="s">
        <v>450</v>
      </c>
      <c r="F49" s="179"/>
      <c r="G49" s="179"/>
      <c r="H49" s="178" t="s">
        <v>450</v>
      </c>
      <c r="I49" s="178" t="s">
        <v>450</v>
      </c>
      <c r="J49" s="178" t="s">
        <v>450</v>
      </c>
      <c r="K49" s="178" t="s">
        <v>450</v>
      </c>
      <c r="L49" s="178" t="s">
        <v>450</v>
      </c>
      <c r="M49" s="178"/>
      <c r="N49" s="178"/>
      <c r="O49" s="35" t="s">
        <v>766</v>
      </c>
      <c r="P49" s="35"/>
      <c r="Q49" s="35"/>
      <c r="R49" s="51" t="s">
        <v>453</v>
      </c>
      <c r="S49" s="184" t="s">
        <v>478</v>
      </c>
      <c r="T49" s="35"/>
      <c r="U49" s="35"/>
      <c r="V49" s="51" t="str">
        <f>IF([1]C!G52="","",[1]C!G52)</f>
        <v>Vegetables average</v>
      </c>
      <c r="W49" s="51" t="str">
        <f>IF([1]Humus!G52="","",[1]Humus!G52)</f>
        <v>Vegetables, other</v>
      </c>
      <c r="X49" s="51"/>
      <c r="Y49" s="51" t="str">
        <f>IF([1]C!BF52="","",[1]C!BF52)</f>
        <v>Plant average</v>
      </c>
      <c r="Z49" s="51" t="str">
        <f>IF([1]Humus!AK52="","",[1]Humus!AK52)</f>
        <v>Herbaceous average</v>
      </c>
      <c r="AA49" s="51" t="s">
        <v>456</v>
      </c>
      <c r="AF49" t="s">
        <v>763</v>
      </c>
    </row>
    <row r="50">
      <c r="A50" s="44" t="s">
        <v>334</v>
      </c>
      <c r="B50" s="178"/>
      <c r="C50" s="63" t="s">
        <v>335</v>
      </c>
      <c r="D50" s="63" t="s">
        <v>335</v>
      </c>
      <c r="E50" s="63" t="s">
        <v>335</v>
      </c>
      <c r="F50" s="63" t="s">
        <v>335</v>
      </c>
      <c r="G50" s="63" t="s">
        <v>335</v>
      </c>
      <c r="H50" s="63" t="s">
        <v>335</v>
      </c>
      <c r="I50" s="63" t="s">
        <v>335</v>
      </c>
      <c r="J50" s="63" t="s">
        <v>335</v>
      </c>
      <c r="K50" s="63" t="s">
        <v>335</v>
      </c>
      <c r="L50" s="63" t="s">
        <v>335</v>
      </c>
      <c r="M50" s="63" t="s">
        <v>335</v>
      </c>
      <c r="N50" s="63"/>
      <c r="O50" s="63" t="s">
        <v>335</v>
      </c>
      <c r="P50" s="63" t="s">
        <v>335</v>
      </c>
      <c r="Q50" s="63" t="s">
        <v>335</v>
      </c>
      <c r="R50" s="63" t="s">
        <v>335</v>
      </c>
      <c r="S50" s="63" t="s">
        <v>335</v>
      </c>
      <c r="T50" s="63" t="s">
        <v>335</v>
      </c>
      <c r="U50" s="63" t="s">
        <v>335</v>
      </c>
      <c r="V50" s="63" t="s">
        <v>335</v>
      </c>
      <c r="W50" s="63" t="s">
        <v>335</v>
      </c>
      <c r="X50" s="63" t="s">
        <v>335</v>
      </c>
      <c r="Y50" s="51" t="str">
        <f>IF([1]C!BF53="","",[1]C!BF53)</f>
        <v>Plant average</v>
      </c>
      <c r="Z50" s="51" t="str">
        <f>IF([1]Humus!AK53="","",[1]Humus!AK53)</f>
        <v>Herbaceous average</v>
      </c>
      <c r="AA50" s="51" t="s">
        <v>456</v>
      </c>
      <c r="AF50" t="s">
        <v>763</v>
      </c>
    </row>
    <row r="51">
      <c r="A51" s="177" t="s">
        <v>333</v>
      </c>
      <c r="B51" s="178"/>
      <c r="C51" s="63" t="s">
        <v>477</v>
      </c>
      <c r="D51" s="178" t="s">
        <v>450</v>
      </c>
      <c r="E51" s="178" t="s">
        <v>450</v>
      </c>
      <c r="F51" s="179"/>
      <c r="G51" s="179"/>
      <c r="H51" s="180"/>
      <c r="I51" s="180"/>
      <c r="J51" s="178" t="s">
        <v>450</v>
      </c>
      <c r="K51" s="178" t="s">
        <v>450</v>
      </c>
      <c r="L51" s="178" t="s">
        <v>450</v>
      </c>
      <c r="M51" s="178"/>
      <c r="N51" s="178"/>
      <c r="O51" s="35" t="s">
        <v>766</v>
      </c>
      <c r="P51" s="35"/>
      <c r="Q51" s="35"/>
      <c r="R51" s="184" t="s">
        <v>478</v>
      </c>
      <c r="S51" s="184" t="s">
        <v>478</v>
      </c>
      <c r="T51" s="35"/>
      <c r="U51" s="35"/>
      <c r="V51" s="51" t="str">
        <f>IF([1]C!G53="","",[1]C!G53)</f>
        <v>ECN (2017)</v>
      </c>
      <c r="W51" s="51" t="str">
        <f>IF([1]Humus!G53="","",[1]Humus!G53)</f>
        <v>Vegetables, other</v>
      </c>
      <c r="X51" s="51"/>
      <c r="Y51" s="51" t="str">
        <f>IF([1]C!BF53="","",[1]C!BF53)</f>
        <v>Plant average</v>
      </c>
      <c r="Z51" s="51" t="str">
        <f>IF([1]Humus!AK53="","",[1]Humus!AK53)</f>
        <v>Herbaceous average</v>
      </c>
      <c r="AA51" s="51" t="s">
        <v>456</v>
      </c>
      <c r="AF51" t="s">
        <v>763</v>
      </c>
    </row>
    <row r="52">
      <c r="A52" s="177" t="s">
        <v>332</v>
      </c>
      <c r="B52" s="178"/>
      <c r="C52" s="63" t="s">
        <v>477</v>
      </c>
      <c r="D52" s="178" t="s">
        <v>450</v>
      </c>
      <c r="E52" s="178" t="s">
        <v>450</v>
      </c>
      <c r="F52" s="179"/>
      <c r="G52" s="179"/>
      <c r="H52" s="178" t="s">
        <v>450</v>
      </c>
      <c r="I52" s="178" t="s">
        <v>450</v>
      </c>
      <c r="J52" s="178" t="s">
        <v>450</v>
      </c>
      <c r="K52" s="178" t="s">
        <v>450</v>
      </c>
      <c r="L52" s="178" t="s">
        <v>450</v>
      </c>
      <c r="M52" s="178"/>
      <c r="N52" s="178"/>
      <c r="O52" s="35" t="s">
        <v>766</v>
      </c>
      <c r="P52" s="35"/>
      <c r="Q52" s="35"/>
      <c r="R52" s="184" t="s">
        <v>478</v>
      </c>
      <c r="S52" s="184" t="s">
        <v>478</v>
      </c>
      <c r="T52" s="35"/>
      <c r="U52" s="35"/>
      <c r="V52" s="51" t="str">
        <f>IF([1]C!G54="","",[1]C!G54)</f>
        <v>Vegetables average</v>
      </c>
      <c r="W52" s="51" t="str">
        <f>IF([1]Humus!G54="","",[1]Humus!G54)</f>
        <v>Vegetables, other</v>
      </c>
      <c r="X52" s="51"/>
      <c r="Y52" s="51" t="str">
        <f>IF([1]C!BF54="","",[1]C!BF54)</f>
        <v>Plant average</v>
      </c>
      <c r="Z52" s="51" t="str">
        <f>IF([1]Humus!AK54="","",[1]Humus!AK54)</f>
        <v>Herbaceous average</v>
      </c>
      <c r="AA52" s="51" t="s">
        <v>456</v>
      </c>
      <c r="AF52" t="s">
        <v>763</v>
      </c>
    </row>
    <row r="53">
      <c r="A53" s="177" t="s">
        <v>331</v>
      </c>
      <c r="B53" s="178"/>
      <c r="C53" s="63" t="s">
        <v>477</v>
      </c>
      <c r="D53" s="183" t="s">
        <v>307</v>
      </c>
      <c r="E53" s="178" t="s">
        <v>450</v>
      </c>
      <c r="F53" s="179"/>
      <c r="G53" s="179"/>
      <c r="H53" s="180"/>
      <c r="I53" s="180"/>
      <c r="J53" s="178" t="s">
        <v>450</v>
      </c>
      <c r="K53" s="178" t="s">
        <v>450</v>
      </c>
      <c r="L53" s="178" t="s">
        <v>450</v>
      </c>
      <c r="M53" s="178"/>
      <c r="N53" s="178"/>
      <c r="O53" s="35" t="s">
        <v>766</v>
      </c>
      <c r="P53" s="35"/>
      <c r="Q53" s="35"/>
      <c r="R53" s="184" t="s">
        <v>478</v>
      </c>
      <c r="S53" s="184" t="s">
        <v>478</v>
      </c>
      <c r="T53" s="35"/>
      <c r="U53" s="35"/>
      <c r="V53" s="51" t="str">
        <f>IF([1]C!G55="","",[1]C!G55)</f>
        <v>Vegetables average</v>
      </c>
      <c r="W53" s="51" t="str">
        <f>IF([1]Humus!G55="","",[1]Humus!G55)</f>
        <v>Vegetables, other</v>
      </c>
      <c r="X53" s="51"/>
      <c r="Y53" s="51" t="str">
        <f>IF([1]C!BF55="","",[1]C!BF55)</f>
        <v>Plant average</v>
      </c>
      <c r="Z53" s="51" t="str">
        <f>IF([1]Humus!AK55="","",[1]Humus!AK55)</f>
        <v>Herbaceous average</v>
      </c>
      <c r="AA53" s="51" t="s">
        <v>456</v>
      </c>
      <c r="AF53" t="s">
        <v>763</v>
      </c>
    </row>
    <row r="54">
      <c r="A54" s="177" t="s">
        <v>329</v>
      </c>
      <c r="B54" s="178"/>
      <c r="C54" s="63" t="s">
        <v>477</v>
      </c>
      <c r="D54" s="178" t="s">
        <v>450</v>
      </c>
      <c r="E54" s="178" t="s">
        <v>450</v>
      </c>
      <c r="F54" s="179"/>
      <c r="G54" s="179"/>
      <c r="H54" s="178" t="s">
        <v>450</v>
      </c>
      <c r="I54" s="178" t="s">
        <v>450</v>
      </c>
      <c r="J54" s="178" t="s">
        <v>450</v>
      </c>
      <c r="K54" s="178" t="s">
        <v>450</v>
      </c>
      <c r="L54" s="178" t="s">
        <v>450</v>
      </c>
      <c r="M54" s="178"/>
      <c r="N54" s="178"/>
      <c r="O54" s="35" t="s">
        <v>766</v>
      </c>
      <c r="P54" s="35"/>
      <c r="Q54" s="35"/>
      <c r="R54" s="184" t="s">
        <v>478</v>
      </c>
      <c r="S54" s="184" t="s">
        <v>478</v>
      </c>
      <c r="T54" s="35"/>
      <c r="U54" s="35"/>
      <c r="V54" s="51" t="str">
        <f>IF([1]C!G56="","",[1]C!G56)</f>
        <v>Vegetables average</v>
      </c>
      <c r="W54" s="51" t="str">
        <f>IF([1]Humus!G56="","",[1]Humus!G56)</f>
        <v>Vegetables, other</v>
      </c>
      <c r="X54" s="51"/>
      <c r="Y54" s="51" t="str">
        <f>IF([1]C!BF56="","",[1]C!BF56)</f>
        <v>Plant average</v>
      </c>
      <c r="Z54" s="51" t="str">
        <f>IF([1]Humus!AK56="","",[1]Humus!AK56)</f>
        <v>Herbaceous average</v>
      </c>
      <c r="AA54" s="51" t="s">
        <v>456</v>
      </c>
      <c r="AF54" t="s">
        <v>763</v>
      </c>
    </row>
    <row r="55">
      <c r="A55" s="177" t="s">
        <v>328</v>
      </c>
      <c r="B55" s="178"/>
      <c r="C55" s="63" t="s">
        <v>477</v>
      </c>
      <c r="D55" s="178" t="s">
        <v>450</v>
      </c>
      <c r="E55" s="178" t="s">
        <v>450</v>
      </c>
      <c r="F55" s="179"/>
      <c r="G55" s="179"/>
      <c r="H55" s="178" t="s">
        <v>450</v>
      </c>
      <c r="I55" s="178" t="s">
        <v>450</v>
      </c>
      <c r="J55" s="178" t="s">
        <v>450</v>
      </c>
      <c r="K55" s="178" t="s">
        <v>450</v>
      </c>
      <c r="L55" s="178" t="s">
        <v>450</v>
      </c>
      <c r="M55" s="178"/>
      <c r="N55" s="178"/>
      <c r="O55" s="35" t="s">
        <v>766</v>
      </c>
      <c r="P55" s="35"/>
      <c r="Q55" s="35"/>
      <c r="R55" s="51" t="s">
        <v>453</v>
      </c>
      <c r="S55" s="184" t="s">
        <v>478</v>
      </c>
      <c r="T55" s="35"/>
      <c r="U55" s="35"/>
      <c r="V55" s="51" t="str">
        <f>IF([1]C!G57="","",[1]C!G57)</f>
        <v>ECN (2017)</v>
      </c>
      <c r="W55" s="51" t="str">
        <f>IF([1]Humus!G57="","",[1]Humus!G57)</f>
        <v>Vegetables, other</v>
      </c>
      <c r="X55" s="51"/>
      <c r="Y55" s="51" t="str">
        <f>IF([1]C!BF57="","",[1]C!BF57)</f>
        <v>Plant average</v>
      </c>
      <c r="Z55" s="51" t="str">
        <f>IF([1]Humus!AK57="","",[1]Humus!AK57)</f>
        <v>Herbaceous average</v>
      </c>
      <c r="AA55" s="51" t="s">
        <v>456</v>
      </c>
      <c r="AF55" t="s">
        <v>763</v>
      </c>
    </row>
    <row r="56">
      <c r="A56" s="177" t="s">
        <v>327</v>
      </c>
      <c r="B56" s="178"/>
      <c r="C56" s="63" t="s">
        <v>477</v>
      </c>
      <c r="D56" s="178" t="s">
        <v>450</v>
      </c>
      <c r="E56" s="178" t="s">
        <v>450</v>
      </c>
      <c r="F56" s="179"/>
      <c r="G56" s="179"/>
      <c r="H56" s="178" t="s">
        <v>450</v>
      </c>
      <c r="I56" s="178" t="s">
        <v>450</v>
      </c>
      <c r="J56" s="178" t="s">
        <v>450</v>
      </c>
      <c r="K56" s="178" t="s">
        <v>450</v>
      </c>
      <c r="L56" s="178" t="s">
        <v>450</v>
      </c>
      <c r="M56" s="178"/>
      <c r="N56" s="178"/>
      <c r="O56" s="35" t="s">
        <v>766</v>
      </c>
      <c r="P56" s="35"/>
      <c r="Q56" s="35"/>
      <c r="R56" s="51" t="s">
        <v>453</v>
      </c>
      <c r="S56" s="184" t="s">
        <v>478</v>
      </c>
      <c r="T56" s="35"/>
      <c r="U56" s="35"/>
      <c r="V56" s="51" t="str">
        <f>IF([1]C!G58="","",[1]C!G58)</f>
        <v>ECN (2017)</v>
      </c>
      <c r="W56" s="51" t="str">
        <f>IF([1]Humus!G58="","",[1]Humus!G58)</f>
        <v>Vegetables, other</v>
      </c>
      <c r="X56" s="51"/>
      <c r="Y56" s="51" t="str">
        <f>IF([1]C!BF58="","",[1]C!BF58)</f>
        <v>Plant average</v>
      </c>
      <c r="Z56" s="51" t="str">
        <f>IF([1]Humus!AK58="","",[1]Humus!AK58)</f>
        <v>Herbaceous average</v>
      </c>
      <c r="AA56" s="51" t="s">
        <v>456</v>
      </c>
      <c r="AF56" t="s">
        <v>763</v>
      </c>
    </row>
    <row r="57">
      <c r="A57" s="177" t="s">
        <v>326</v>
      </c>
      <c r="B57" s="178"/>
      <c r="C57" s="63" t="s">
        <v>477</v>
      </c>
      <c r="D57" s="183" t="s">
        <v>325</v>
      </c>
      <c r="E57" s="178" t="s">
        <v>450</v>
      </c>
      <c r="F57" s="179"/>
      <c r="G57" s="179"/>
      <c r="H57" s="180"/>
      <c r="I57" s="180"/>
      <c r="J57" s="178" t="s">
        <v>450</v>
      </c>
      <c r="K57" s="178" t="s">
        <v>450</v>
      </c>
      <c r="L57" s="178" t="s">
        <v>450</v>
      </c>
      <c r="M57" s="178"/>
      <c r="N57" s="178"/>
      <c r="O57" s="35" t="s">
        <v>766</v>
      </c>
      <c r="P57" s="35"/>
      <c r="Q57" s="35"/>
      <c r="R57" s="51" t="s">
        <v>453</v>
      </c>
      <c r="S57" s="184" t="s">
        <v>478</v>
      </c>
      <c r="T57" s="35"/>
      <c r="U57" s="35"/>
      <c r="V57" s="51" t="str">
        <f>IF([1]C!G59="","",[1]C!G59)</f>
        <v>Vegetables average</v>
      </c>
      <c r="W57" s="51" t="str">
        <f>IF([1]Humus!G59="","",[1]Humus!G59)</f>
        <v>Vegetables, other</v>
      </c>
      <c r="X57" s="51"/>
      <c r="Y57" s="51" t="str">
        <f>IF([1]C!BF59="","",[1]C!BF59)</f>
        <v>Plant average</v>
      </c>
      <c r="Z57" s="51" t="str">
        <f>IF([1]Humus!AK59="","",[1]Humus!AK59)</f>
        <v>Herbaceous average</v>
      </c>
      <c r="AA57" s="51" t="s">
        <v>456</v>
      </c>
      <c r="AF57" t="s">
        <v>763</v>
      </c>
    </row>
    <row r="58">
      <c r="A58" s="177" t="s">
        <v>325</v>
      </c>
      <c r="B58" s="178"/>
      <c r="C58" s="63" t="s">
        <v>477</v>
      </c>
      <c r="D58" s="178" t="s">
        <v>450</v>
      </c>
      <c r="E58" s="178" t="s">
        <v>450</v>
      </c>
      <c r="F58" s="178"/>
      <c r="G58" s="178"/>
      <c r="H58" s="178" t="s">
        <v>450</v>
      </c>
      <c r="I58" s="178" t="s">
        <v>450</v>
      </c>
      <c r="J58" s="178" t="s">
        <v>450</v>
      </c>
      <c r="K58" s="178" t="s">
        <v>450</v>
      </c>
      <c r="L58" s="178" t="s">
        <v>450</v>
      </c>
      <c r="M58" s="178"/>
      <c r="N58" s="178"/>
      <c r="O58" s="35" t="s">
        <v>766</v>
      </c>
      <c r="P58" s="35"/>
      <c r="Q58" s="35"/>
      <c r="R58" s="51" t="s">
        <v>453</v>
      </c>
      <c r="S58" s="184" t="s">
        <v>478</v>
      </c>
      <c r="T58" s="35"/>
      <c r="U58" s="35"/>
      <c r="V58" s="51" t="str">
        <f>IF([1]C!G60="","",[1]C!G60)</f>
        <v>ECN (2017)</v>
      </c>
      <c r="W58" s="51" t="str">
        <f>IF([1]Humus!G60="","",[1]Humus!G60)</f>
        <v>Vegetables, other</v>
      </c>
      <c r="X58" s="51"/>
      <c r="Y58" s="51" t="str">
        <f>IF([1]C!BF60="","",[1]C!BF60)</f>
        <v>Plant average</v>
      </c>
      <c r="Z58" s="51" t="str">
        <f>IF([1]Humus!AK60="","",[1]Humus!AK60)</f>
        <v>Herbaceous average</v>
      </c>
      <c r="AA58" s="51" t="s">
        <v>456</v>
      </c>
      <c r="AF58" t="s">
        <v>763</v>
      </c>
    </row>
    <row r="59">
      <c r="A59" s="177" t="s">
        <v>324</v>
      </c>
      <c r="B59" s="178"/>
      <c r="C59" s="63" t="s">
        <v>477</v>
      </c>
      <c r="D59" s="178" t="s">
        <v>450</v>
      </c>
      <c r="E59" s="178" t="s">
        <v>450</v>
      </c>
      <c r="F59" s="178"/>
      <c r="G59" s="178"/>
      <c r="H59" s="178" t="s">
        <v>450</v>
      </c>
      <c r="I59" s="178" t="s">
        <v>450</v>
      </c>
      <c r="J59" s="178" t="s">
        <v>450</v>
      </c>
      <c r="K59" s="178" t="s">
        <v>450</v>
      </c>
      <c r="L59" s="178" t="s">
        <v>450</v>
      </c>
      <c r="M59" s="178"/>
      <c r="N59" s="178"/>
      <c r="O59" s="35" t="s">
        <v>766</v>
      </c>
      <c r="P59" s="35"/>
      <c r="Q59" s="35"/>
      <c r="R59" s="184" t="s">
        <v>478</v>
      </c>
      <c r="S59" s="184" t="s">
        <v>478</v>
      </c>
      <c r="T59" s="35"/>
      <c r="U59" s="35"/>
      <c r="V59" s="51" t="str">
        <f>IF([1]C!G61="","",[1]C!G61)</f>
        <v>Vegetables average</v>
      </c>
      <c r="W59" s="51" t="str">
        <f>IF([1]Humus!G61="","",[1]Humus!G61)</f>
        <v>Vegetables, other</v>
      </c>
      <c r="X59" s="51"/>
      <c r="Y59" s="51" t="str">
        <f>IF([1]C!BF61="","",[1]C!BF61)</f>
        <v>Plant average</v>
      </c>
      <c r="Z59" s="51" t="str">
        <f>IF([1]Humus!AK61="","",[1]Humus!AK61)</f>
        <v>Herbaceous average</v>
      </c>
      <c r="AA59" s="51" t="s">
        <v>456</v>
      </c>
      <c r="AF59" t="s">
        <v>763</v>
      </c>
    </row>
    <row r="60">
      <c r="A60" s="177" t="s">
        <v>323</v>
      </c>
      <c r="B60" s="178"/>
      <c r="C60" s="63" t="s">
        <v>477</v>
      </c>
      <c r="D60" s="178" t="s">
        <v>450</v>
      </c>
      <c r="E60" s="178" t="s">
        <v>450</v>
      </c>
      <c r="F60" s="178"/>
      <c r="G60" s="178"/>
      <c r="H60" s="178" t="s">
        <v>450</v>
      </c>
      <c r="I60" s="178" t="s">
        <v>450</v>
      </c>
      <c r="J60" s="178" t="s">
        <v>450</v>
      </c>
      <c r="K60" s="178" t="s">
        <v>450</v>
      </c>
      <c r="L60" s="178" t="s">
        <v>450</v>
      </c>
      <c r="M60" s="178"/>
      <c r="N60" s="178"/>
      <c r="O60" s="35" t="s">
        <v>766</v>
      </c>
      <c r="P60" s="35"/>
      <c r="Q60" s="35"/>
      <c r="R60" s="184" t="s">
        <v>478</v>
      </c>
      <c r="S60" s="184" t="s">
        <v>478</v>
      </c>
      <c r="T60" s="35"/>
      <c r="U60" s="35"/>
      <c r="V60" s="51" t="str">
        <f>IF([1]C!G62="","",[1]C!G62)</f>
        <v>ECN (2017)</v>
      </c>
      <c r="W60" s="51" t="str">
        <f>IF([1]Humus!G62="","",[1]Humus!G62)</f>
        <v>Vegetables, other</v>
      </c>
      <c r="X60" s="51"/>
      <c r="Y60" s="51" t="str">
        <f>IF([1]C!BF62="","",[1]C!BF62)</f>
        <v>Plant average</v>
      </c>
      <c r="Z60" s="51" t="str">
        <f>IF([1]Humus!AK62="","",[1]Humus!AK62)</f>
        <v>Herbaceous average</v>
      </c>
      <c r="AA60" s="51" t="s">
        <v>456</v>
      </c>
      <c r="AF60" t="s">
        <v>763</v>
      </c>
    </row>
    <row r="61">
      <c r="A61" s="177" t="s">
        <v>322</v>
      </c>
      <c r="B61" s="178"/>
      <c r="C61" s="63" t="s">
        <v>477</v>
      </c>
      <c r="D61" s="178" t="s">
        <v>450</v>
      </c>
      <c r="E61" s="178" t="s">
        <v>450</v>
      </c>
      <c r="F61" s="178"/>
      <c r="G61" s="178"/>
      <c r="H61" s="178" t="s">
        <v>450</v>
      </c>
      <c r="I61" s="178" t="s">
        <v>450</v>
      </c>
      <c r="J61" s="178" t="s">
        <v>450</v>
      </c>
      <c r="K61" s="178" t="s">
        <v>450</v>
      </c>
      <c r="L61" s="178" t="s">
        <v>450</v>
      </c>
      <c r="M61" s="178"/>
      <c r="N61" s="178"/>
      <c r="O61" s="35" t="s">
        <v>766</v>
      </c>
      <c r="P61" s="35"/>
      <c r="Q61" s="35"/>
      <c r="R61" s="184" t="s">
        <v>478</v>
      </c>
      <c r="S61" s="184" t="s">
        <v>478</v>
      </c>
      <c r="T61" s="35"/>
      <c r="U61" s="35"/>
      <c r="V61" s="51" t="str">
        <f>IF([1]C!G63="","",[1]C!G63)</f>
        <v>Vegetables average</v>
      </c>
      <c r="W61" s="51" t="str">
        <f>IF([1]Humus!G63="","",[1]Humus!G63)</f>
        <v>Vegetables, other</v>
      </c>
      <c r="X61" s="51"/>
      <c r="Y61" s="51" t="str">
        <f>IF([1]C!BF63="","",[1]C!BF63)</f>
        <v>Plant average</v>
      </c>
      <c r="Z61" s="51" t="str">
        <f>IF([1]Humus!AK63="","",[1]Humus!AK63)</f>
        <v>Herbaceous average</v>
      </c>
      <c r="AA61" s="51" t="s">
        <v>456</v>
      </c>
      <c r="AF61" t="s">
        <v>763</v>
      </c>
    </row>
    <row r="62">
      <c r="A62" s="177" t="s">
        <v>321</v>
      </c>
      <c r="B62" s="178"/>
      <c r="C62" s="63" t="s">
        <v>477</v>
      </c>
      <c r="D62" s="178" t="s">
        <v>450</v>
      </c>
      <c r="E62" s="178" t="s">
        <v>450</v>
      </c>
      <c r="F62" s="178"/>
      <c r="G62" s="178"/>
      <c r="H62" s="178" t="s">
        <v>450</v>
      </c>
      <c r="I62" s="178" t="s">
        <v>450</v>
      </c>
      <c r="J62" s="178" t="s">
        <v>450</v>
      </c>
      <c r="K62" s="178" t="s">
        <v>450</v>
      </c>
      <c r="L62" s="178" t="s">
        <v>450</v>
      </c>
      <c r="M62" s="178"/>
      <c r="N62" s="178"/>
      <c r="O62" s="35" t="s">
        <v>766</v>
      </c>
      <c r="P62" s="35"/>
      <c r="Q62" s="35"/>
      <c r="R62" s="184" t="s">
        <v>478</v>
      </c>
      <c r="S62" s="184" t="s">
        <v>478</v>
      </c>
      <c r="T62" s="35"/>
      <c r="U62" s="35"/>
      <c r="V62" s="51" t="str">
        <f>IF([1]C!G64="","",[1]C!G64)</f>
        <v>Vegetables average</v>
      </c>
      <c r="W62" s="51" t="str">
        <f>IF([1]Humus!G64="","",[1]Humus!G64)</f>
        <v>Vegetables, other</v>
      </c>
      <c r="X62" s="51"/>
      <c r="Y62" s="51" t="str">
        <f>IF([1]C!BF64="","",[1]C!BF64)</f>
        <v>Plant average</v>
      </c>
      <c r="Z62" s="51" t="str">
        <f>IF([1]Humus!AK64="","",[1]Humus!AK64)</f>
        <v>Herbaceous average</v>
      </c>
      <c r="AA62" s="51" t="s">
        <v>456</v>
      </c>
      <c r="AF62" t="s">
        <v>763</v>
      </c>
    </row>
    <row r="63">
      <c r="A63" s="177" t="s">
        <v>320</v>
      </c>
      <c r="B63" s="178"/>
      <c r="C63" s="63" t="s">
        <v>477</v>
      </c>
      <c r="D63" s="178" t="s">
        <v>450</v>
      </c>
      <c r="E63" s="178" t="s">
        <v>450</v>
      </c>
      <c r="F63" s="178"/>
      <c r="G63" s="178"/>
      <c r="H63" s="178" t="s">
        <v>450</v>
      </c>
      <c r="I63" s="178" t="s">
        <v>450</v>
      </c>
      <c r="J63" s="178" t="s">
        <v>450</v>
      </c>
      <c r="K63" s="178" t="s">
        <v>450</v>
      </c>
      <c r="L63" s="178" t="s">
        <v>450</v>
      </c>
      <c r="M63" s="178"/>
      <c r="N63" s="178"/>
      <c r="O63" s="35" t="s">
        <v>766</v>
      </c>
      <c r="P63" s="35"/>
      <c r="Q63" s="35"/>
      <c r="R63" s="184" t="s">
        <v>478</v>
      </c>
      <c r="S63" s="35" t="s">
        <v>479</v>
      </c>
      <c r="T63" s="35"/>
      <c r="U63" s="35"/>
      <c r="V63" s="51" t="str">
        <f>IF([1]C!G65="","",[1]C!G65)</f>
        <v>Rahn and Lillywhite (2002)</v>
      </c>
      <c r="W63" s="51" t="str">
        <f>IF([1]Humus!G65="","",[1]Humus!G65)</f>
        <v>Vegetables, other</v>
      </c>
      <c r="X63" s="51"/>
      <c r="Y63" s="51" t="str">
        <f>IF([1]C!BF65="","",[1]C!BF65)</f>
        <v>Plant average</v>
      </c>
      <c r="Z63" s="51" t="str">
        <f>IF([1]Humus!AK65="","",[1]Humus!AK65)</f>
        <v>Herbaceous average</v>
      </c>
      <c r="AA63" s="51" t="s">
        <v>456</v>
      </c>
      <c r="AF63" t="s">
        <v>763</v>
      </c>
    </row>
    <row r="64">
      <c r="A64" s="177" t="s">
        <v>319</v>
      </c>
      <c r="B64" s="178"/>
      <c r="C64" s="63" t="s">
        <v>477</v>
      </c>
      <c r="D64" s="178" t="s">
        <v>450</v>
      </c>
      <c r="E64" s="178" t="s">
        <v>450</v>
      </c>
      <c r="F64" s="178"/>
      <c r="G64" s="178"/>
      <c r="H64" s="178" t="s">
        <v>450</v>
      </c>
      <c r="I64" s="178" t="s">
        <v>450</v>
      </c>
      <c r="J64" s="178" t="s">
        <v>450</v>
      </c>
      <c r="K64" s="178" t="s">
        <v>450</v>
      </c>
      <c r="L64" s="178" t="s">
        <v>450</v>
      </c>
      <c r="M64" s="178"/>
      <c r="N64" s="178"/>
      <c r="O64" s="35" t="s">
        <v>766</v>
      </c>
      <c r="P64" s="35"/>
      <c r="Q64" s="35"/>
      <c r="R64" s="184" t="s">
        <v>478</v>
      </c>
      <c r="S64" s="184" t="s">
        <v>478</v>
      </c>
      <c r="T64" s="35"/>
      <c r="U64" s="35"/>
      <c r="V64" s="51" t="str">
        <f>IF([1]C!G66="","",[1]C!G66)</f>
        <v>Vegetables average</v>
      </c>
      <c r="W64" s="51" t="str">
        <f>IF([1]Humus!G66="","",[1]Humus!G66)</f>
        <v>Vegetables, other</v>
      </c>
      <c r="X64" s="51"/>
      <c r="Y64" s="51" t="str">
        <f>IF([1]C!BF66="","",[1]C!BF66)</f>
        <v>Plant average</v>
      </c>
      <c r="Z64" s="51" t="str">
        <f>IF([1]Humus!AK66="","",[1]Humus!AK66)</f>
        <v>Herbaceous average</v>
      </c>
      <c r="AA64" s="51" t="s">
        <v>456</v>
      </c>
      <c r="AF64" t="s">
        <v>763</v>
      </c>
    </row>
    <row r="65">
      <c r="A65" s="177" t="s">
        <v>318</v>
      </c>
      <c r="B65" s="178"/>
      <c r="C65" s="63" t="s">
        <v>477</v>
      </c>
      <c r="D65" s="178" t="s">
        <v>450</v>
      </c>
      <c r="E65" s="178" t="s">
        <v>450</v>
      </c>
      <c r="F65" s="178"/>
      <c r="G65" s="178"/>
      <c r="H65" s="178" t="s">
        <v>450</v>
      </c>
      <c r="I65" s="178" t="s">
        <v>450</v>
      </c>
      <c r="J65" s="178" t="s">
        <v>450</v>
      </c>
      <c r="K65" s="178" t="s">
        <v>450</v>
      </c>
      <c r="L65" s="178" t="s">
        <v>450</v>
      </c>
      <c r="M65" s="178"/>
      <c r="N65" s="178"/>
      <c r="O65" s="35" t="s">
        <v>766</v>
      </c>
      <c r="P65" s="35"/>
      <c r="Q65" s="35"/>
      <c r="R65" s="51" t="s">
        <v>453</v>
      </c>
      <c r="S65" s="35" t="s">
        <v>479</v>
      </c>
      <c r="T65" s="35"/>
      <c r="U65" s="35"/>
      <c r="V65" s="51" t="str">
        <f>IF([1]C!G67="","",[1]C!G67)</f>
        <v>Rahn and Lillywhite (2002)</v>
      </c>
      <c r="W65" s="51" t="str">
        <f>IF([1]Humus!G67="","",[1]Humus!G67)</f>
        <v>Vegetables, other</v>
      </c>
      <c r="X65" s="51"/>
      <c r="Y65" s="51" t="str">
        <f>IF([1]C!BF67="","",[1]C!BF67)</f>
        <v>Plant average</v>
      </c>
      <c r="Z65" s="51" t="str">
        <f>IF([1]Humus!AK67="","",[1]Humus!AK67)</f>
        <v>Herbaceous average</v>
      </c>
      <c r="AA65" s="51" t="s">
        <v>456</v>
      </c>
      <c r="AF65" t="s">
        <v>763</v>
      </c>
    </row>
    <row r="66">
      <c r="A66" s="177" t="s">
        <v>317</v>
      </c>
      <c r="B66" s="178"/>
      <c r="C66" s="63" t="s">
        <v>477</v>
      </c>
      <c r="D66" s="178" t="s">
        <v>450</v>
      </c>
      <c r="E66" s="178" t="s">
        <v>450</v>
      </c>
      <c r="F66" s="178"/>
      <c r="G66" s="178"/>
      <c r="H66" s="178" t="s">
        <v>450</v>
      </c>
      <c r="I66" s="178" t="s">
        <v>450</v>
      </c>
      <c r="J66" s="178" t="s">
        <v>450</v>
      </c>
      <c r="K66" s="182" t="s">
        <v>478</v>
      </c>
      <c r="L66" s="178" t="s">
        <v>450</v>
      </c>
      <c r="M66" s="178"/>
      <c r="N66" s="178"/>
      <c r="O66" s="35" t="s">
        <v>766</v>
      </c>
      <c r="P66" s="35"/>
      <c r="Q66" s="35"/>
      <c r="R66" s="184" t="s">
        <v>478</v>
      </c>
      <c r="S66" s="184" t="s">
        <v>478</v>
      </c>
      <c r="T66" s="35"/>
      <c r="U66" s="35"/>
      <c r="V66" s="51" t="str">
        <f>IF([1]C!G68="","",[1]C!G68)</f>
        <v>Vegetables average</v>
      </c>
      <c r="W66" s="51" t="str">
        <f>IF([1]Humus!G68="","",[1]Humus!G68)</f>
        <v>Vegetables, other</v>
      </c>
      <c r="X66" s="51"/>
      <c r="Y66" s="51" t="str">
        <f>IF([1]C!BF68="","",[1]C!BF68)</f>
        <v>Plant average</v>
      </c>
      <c r="Z66" s="51" t="str">
        <f>IF([1]Humus!AK68="","",[1]Humus!AK68)</f>
        <v>Herbaceous average</v>
      </c>
      <c r="AA66" s="51" t="s">
        <v>456</v>
      </c>
      <c r="AF66" t="s">
        <v>763</v>
      </c>
    </row>
    <row r="67">
      <c r="A67" s="177" t="s">
        <v>316</v>
      </c>
      <c r="B67" s="178"/>
      <c r="C67" s="63" t="s">
        <v>477</v>
      </c>
      <c r="D67" s="178" t="s">
        <v>450</v>
      </c>
      <c r="E67" s="178" t="s">
        <v>450</v>
      </c>
      <c r="F67" s="178"/>
      <c r="G67" s="178"/>
      <c r="H67" s="178" t="s">
        <v>450</v>
      </c>
      <c r="I67" s="178" t="s">
        <v>450</v>
      </c>
      <c r="J67" s="178" t="s">
        <v>450</v>
      </c>
      <c r="K67" s="182" t="s">
        <v>478</v>
      </c>
      <c r="L67" s="178" t="s">
        <v>450</v>
      </c>
      <c r="M67" s="178"/>
      <c r="N67" s="178"/>
      <c r="O67" s="35" t="s">
        <v>766</v>
      </c>
      <c r="P67" s="35"/>
      <c r="Q67" s="35"/>
      <c r="R67" s="184" t="s">
        <v>478</v>
      </c>
      <c r="S67" s="184" t="s">
        <v>478</v>
      </c>
      <c r="T67" s="35"/>
      <c r="U67" s="35"/>
      <c r="V67" s="51" t="str">
        <f>IF([1]C!G69="","",[1]C!G69)</f>
        <v>Vegetables average</v>
      </c>
      <c r="W67" s="51" t="str">
        <f>IF([1]Humus!G69="","",[1]Humus!G69)</f>
        <v>Vegetables, other</v>
      </c>
      <c r="X67" s="51"/>
      <c r="Y67" s="51" t="str">
        <f>IF([1]C!BF69="","",[1]C!BF69)</f>
        <v>Plant average</v>
      </c>
      <c r="Z67" s="51" t="str">
        <f>IF([1]Humus!AK69="","",[1]Humus!AK69)</f>
        <v>Herbaceous average</v>
      </c>
      <c r="AA67" s="51" t="s">
        <v>456</v>
      </c>
      <c r="AF67" t="s">
        <v>763</v>
      </c>
    </row>
    <row r="68">
      <c r="A68" s="177" t="s">
        <v>315</v>
      </c>
      <c r="B68" s="178"/>
      <c r="C68" s="63" t="s">
        <v>477</v>
      </c>
      <c r="D68" s="178" t="s">
        <v>450</v>
      </c>
      <c r="E68" s="178" t="s">
        <v>450</v>
      </c>
      <c r="F68" s="178"/>
      <c r="G68" s="178"/>
      <c r="H68" s="178" t="s">
        <v>450</v>
      </c>
      <c r="I68" s="178" t="s">
        <v>450</v>
      </c>
      <c r="J68" s="178" t="s">
        <v>450</v>
      </c>
      <c r="K68" s="178" t="s">
        <v>450</v>
      </c>
      <c r="L68" s="178" t="s">
        <v>450</v>
      </c>
      <c r="M68" s="178"/>
      <c r="N68" s="178"/>
      <c r="O68" s="35" t="s">
        <v>766</v>
      </c>
      <c r="P68" s="35"/>
      <c r="Q68" s="35"/>
      <c r="R68" s="184" t="s">
        <v>478</v>
      </c>
      <c r="S68" s="184" t="s">
        <v>478</v>
      </c>
      <c r="T68" s="35"/>
      <c r="U68" s="35"/>
      <c r="V68" s="51" t="str">
        <f>IF([1]C!G70="","",[1]C!G70)</f>
        <v>Vegetables average</v>
      </c>
      <c r="W68" s="51" t="str">
        <f>IF([1]Humus!G70="","",[1]Humus!G70)</f>
        <v>Vegetables, other</v>
      </c>
      <c r="X68" s="51"/>
      <c r="Y68" s="51" t="str">
        <f>IF([1]C!BF70="","",[1]C!BF70)</f>
        <v>Plant average</v>
      </c>
      <c r="Z68" s="51" t="str">
        <f>IF([1]Humus!AK70="","",[1]Humus!AK70)</f>
        <v>Herbaceous average</v>
      </c>
      <c r="AA68" s="51" t="s">
        <v>456</v>
      </c>
      <c r="AF68" t="s">
        <v>763</v>
      </c>
    </row>
    <row r="69">
      <c r="A69" s="177" t="s">
        <v>314</v>
      </c>
      <c r="B69" s="178" t="s">
        <v>450</v>
      </c>
      <c r="C69" s="51" t="s">
        <v>451</v>
      </c>
      <c r="D69" s="178" t="s">
        <v>450</v>
      </c>
      <c r="E69" s="178" t="s">
        <v>450</v>
      </c>
      <c r="F69" s="178"/>
      <c r="G69" s="178"/>
      <c r="H69" s="178" t="s">
        <v>450</v>
      </c>
      <c r="I69" s="178" t="s">
        <v>450</v>
      </c>
      <c r="J69" s="178" t="s">
        <v>450</v>
      </c>
      <c r="K69" s="178" t="s">
        <v>450</v>
      </c>
      <c r="L69" s="178" t="s">
        <v>450</v>
      </c>
      <c r="M69" s="178"/>
      <c r="N69" s="178"/>
      <c r="O69" s="35" t="s">
        <v>766</v>
      </c>
      <c r="P69" s="35"/>
      <c r="Q69" s="35"/>
      <c r="R69" s="184" t="s">
        <v>478</v>
      </c>
      <c r="S69" s="184" t="s">
        <v>478</v>
      </c>
      <c r="T69" s="35"/>
      <c r="U69" s="35"/>
      <c r="V69" s="51" t="str">
        <f>IF([1]C!G71="","",[1]C!G71)</f>
        <v>Vegetables average</v>
      </c>
      <c r="W69" s="51" t="str">
        <f>IF([1]Humus!G71="","",[1]Humus!G71)</f>
        <v>Vegetables, other</v>
      </c>
      <c r="X69" s="51"/>
      <c r="Y69" s="51" t="str">
        <f>IF([1]C!BF71="","",[1]C!BF71)</f>
        <v>Plant average</v>
      </c>
      <c r="Z69" s="51" t="str">
        <f>IF([1]Humus!AK71="","",[1]Humus!AK71)</f>
        <v>Herbaceous average</v>
      </c>
      <c r="AA69" s="51" t="s">
        <v>456</v>
      </c>
      <c r="AF69" t="s">
        <v>763</v>
      </c>
    </row>
    <row r="70">
      <c r="A70" s="177" t="s">
        <v>313</v>
      </c>
      <c r="B70" s="178"/>
      <c r="C70" s="63" t="s">
        <v>477</v>
      </c>
      <c r="D70" s="178" t="s">
        <v>450</v>
      </c>
      <c r="E70" s="178" t="s">
        <v>450</v>
      </c>
      <c r="F70" s="178"/>
      <c r="G70" s="178"/>
      <c r="H70" s="178" t="s">
        <v>450</v>
      </c>
      <c r="I70" s="178" t="s">
        <v>450</v>
      </c>
      <c r="J70" s="178" t="s">
        <v>450</v>
      </c>
      <c r="K70" s="178" t="s">
        <v>450</v>
      </c>
      <c r="L70" s="178" t="s">
        <v>450</v>
      </c>
      <c r="M70" s="178"/>
      <c r="N70" s="178"/>
      <c r="O70" s="35" t="s">
        <v>766</v>
      </c>
      <c r="P70" s="35"/>
      <c r="Q70" s="35"/>
      <c r="R70" s="184" t="s">
        <v>478</v>
      </c>
      <c r="S70" s="184" t="s">
        <v>478</v>
      </c>
      <c r="T70" s="35"/>
      <c r="U70" s="35"/>
      <c r="V70" s="51" t="str">
        <f>IF([1]C!G72="","",[1]C!G72)</f>
        <v>Vegetables average</v>
      </c>
      <c r="W70" s="51" t="str">
        <f>IF([1]Humus!G72="","",[1]Humus!G72)</f>
        <v>Vegetables, other</v>
      </c>
      <c r="X70" s="51"/>
      <c r="Y70" s="51" t="str">
        <f>IF([1]C!BF72="","",[1]C!BF72)</f>
        <v>Plant average</v>
      </c>
      <c r="Z70" s="51" t="str">
        <f>IF([1]Humus!AK72="","",[1]Humus!AK72)</f>
        <v>Herbaceous average</v>
      </c>
      <c r="AA70" s="51" t="s">
        <v>456</v>
      </c>
      <c r="AF70" t="s">
        <v>763</v>
      </c>
    </row>
    <row r="71">
      <c r="A71" s="177" t="s">
        <v>312</v>
      </c>
      <c r="B71" s="178"/>
      <c r="C71" s="51" t="s">
        <v>465</v>
      </c>
      <c r="D71" s="178" t="s">
        <v>450</v>
      </c>
      <c r="E71" s="178" t="s">
        <v>450</v>
      </c>
      <c r="F71" s="178"/>
      <c r="G71" s="178"/>
      <c r="H71" s="178" t="s">
        <v>450</v>
      </c>
      <c r="I71" s="178" t="s">
        <v>450</v>
      </c>
      <c r="J71" s="178" t="s">
        <v>450</v>
      </c>
      <c r="K71" s="178" t="s">
        <v>450</v>
      </c>
      <c r="L71" s="178" t="s">
        <v>450</v>
      </c>
      <c r="M71" s="178"/>
      <c r="N71" s="178"/>
      <c r="O71" s="35" t="s">
        <v>766</v>
      </c>
      <c r="P71" s="35"/>
      <c r="Q71" s="35"/>
      <c r="R71" s="51" t="s">
        <v>453</v>
      </c>
      <c r="S71" s="184" t="s">
        <v>478</v>
      </c>
      <c r="T71" s="35"/>
      <c r="U71" s="35"/>
      <c r="V71" s="51" t="str">
        <f>IF([1]C!G73="","",[1]C!G73)</f>
        <v>ECN (2017) (2)</v>
      </c>
      <c r="W71" s="51" t="str">
        <f>IF([1]Humus!G73="","",[1]Humus!G73)</f>
        <v>Vegetables, other</v>
      </c>
      <c r="X71" s="51"/>
      <c r="Y71" s="51" t="str">
        <f>IF([1]C!BF73="","",[1]C!BF73)</f>
        <v>Plant average</v>
      </c>
      <c r="Z71" s="51" t="str">
        <f>IF([1]Humus!AK73="","",[1]Humus!AK73)</f>
        <v>Herbaceous average</v>
      </c>
      <c r="AA71" s="51" t="s">
        <v>456</v>
      </c>
      <c r="AF71" t="s">
        <v>763</v>
      </c>
    </row>
    <row r="72">
      <c r="A72" s="177" t="s">
        <v>311</v>
      </c>
      <c r="B72" s="178"/>
      <c r="C72" s="63" t="s">
        <v>477</v>
      </c>
      <c r="D72" s="178" t="s">
        <v>450</v>
      </c>
      <c r="E72" s="178" t="s">
        <v>450</v>
      </c>
      <c r="F72" s="178"/>
      <c r="G72" s="178"/>
      <c r="H72" s="178" t="s">
        <v>450</v>
      </c>
      <c r="I72" s="178" t="s">
        <v>450</v>
      </c>
      <c r="J72" s="178" t="s">
        <v>450</v>
      </c>
      <c r="K72" s="178" t="s">
        <v>450</v>
      </c>
      <c r="L72" s="178" t="s">
        <v>450</v>
      </c>
      <c r="M72" s="178"/>
      <c r="N72" s="178"/>
      <c r="O72" s="35" t="s">
        <v>766</v>
      </c>
      <c r="P72" s="35"/>
      <c r="Q72" s="35"/>
      <c r="R72" s="51" t="s">
        <v>453</v>
      </c>
      <c r="S72" s="184" t="s">
        <v>478</v>
      </c>
      <c r="T72" s="35"/>
      <c r="U72" s="35"/>
      <c r="V72" s="51" t="str">
        <f>IF([1]C!G74="","",[1]C!G74)</f>
        <v>ECN (2017)</v>
      </c>
      <c r="W72" s="51" t="str">
        <f>IF([1]Humus!G74="","",[1]Humus!G74)</f>
        <v>Vegetables, other</v>
      </c>
      <c r="X72" s="51"/>
      <c r="Y72" s="51" t="str">
        <f>IF([1]C!BF74="","",[1]C!BF74)</f>
        <v>Plant average</v>
      </c>
      <c r="Z72" s="51" t="str">
        <f>IF([1]Humus!AK74="","",[1]Humus!AK74)</f>
        <v>Herbaceous average</v>
      </c>
      <c r="AA72" s="51" t="s">
        <v>456</v>
      </c>
      <c r="AF72" t="s">
        <v>763</v>
      </c>
    </row>
    <row r="73">
      <c r="A73" s="177" t="s">
        <v>310</v>
      </c>
      <c r="B73" s="178"/>
      <c r="C73" s="63" t="s">
        <v>477</v>
      </c>
      <c r="D73" s="178" t="s">
        <v>450</v>
      </c>
      <c r="E73" s="178" t="s">
        <v>450</v>
      </c>
      <c r="F73" s="178"/>
      <c r="G73" s="178"/>
      <c r="H73" s="178" t="s">
        <v>450</v>
      </c>
      <c r="I73" s="178" t="s">
        <v>450</v>
      </c>
      <c r="J73" s="178" t="s">
        <v>450</v>
      </c>
      <c r="K73" s="178" t="s">
        <v>450</v>
      </c>
      <c r="L73" s="178" t="s">
        <v>450</v>
      </c>
      <c r="M73" s="178"/>
      <c r="N73" s="178"/>
      <c r="O73" s="35" t="s">
        <v>766</v>
      </c>
      <c r="P73" s="35"/>
      <c r="Q73" s="35"/>
      <c r="R73" s="184" t="s">
        <v>478</v>
      </c>
      <c r="S73" s="184" t="s">
        <v>478</v>
      </c>
      <c r="T73" s="35"/>
      <c r="U73" s="35"/>
      <c r="V73" s="51" t="str">
        <f>IF([1]C!G75="","",[1]C!G75)</f>
        <v>Vegetables average</v>
      </c>
      <c r="W73" s="51" t="str">
        <f>IF([1]Humus!G75="","",[1]Humus!G75)</f>
        <v>Vegetables, other</v>
      </c>
      <c r="X73" s="51"/>
      <c r="Y73" s="51" t="str">
        <f>IF([1]C!BF75="","",[1]C!BF75)</f>
        <v>Plant average</v>
      </c>
      <c r="Z73" s="51" t="str">
        <f>IF([1]Humus!AK75="","",[1]Humus!AK75)</f>
        <v>Herbaceous average</v>
      </c>
      <c r="AA73" s="51" t="s">
        <v>456</v>
      </c>
      <c r="AF73" t="s">
        <v>763</v>
      </c>
    </row>
    <row r="74">
      <c r="A74" s="177" t="s">
        <v>309</v>
      </c>
      <c r="B74" s="178"/>
      <c r="C74" s="63" t="s">
        <v>477</v>
      </c>
      <c r="D74" s="178" t="s">
        <v>450</v>
      </c>
      <c r="E74" s="178" t="s">
        <v>450</v>
      </c>
      <c r="F74" s="178"/>
      <c r="G74" s="178"/>
      <c r="H74" s="178" t="s">
        <v>450</v>
      </c>
      <c r="I74" s="178" t="s">
        <v>450</v>
      </c>
      <c r="J74" s="178" t="s">
        <v>450</v>
      </c>
      <c r="K74" s="178" t="s">
        <v>450</v>
      </c>
      <c r="L74" s="178" t="s">
        <v>450</v>
      </c>
      <c r="M74" s="178"/>
      <c r="N74" s="178"/>
      <c r="O74" s="35" t="s">
        <v>766</v>
      </c>
      <c r="P74" s="35"/>
      <c r="Q74" s="35"/>
      <c r="R74" s="184" t="s">
        <v>478</v>
      </c>
      <c r="S74" s="35" t="s">
        <v>479</v>
      </c>
      <c r="T74" s="35"/>
      <c r="U74" s="35"/>
      <c r="V74" s="51" t="str">
        <f>IF([1]C!G76="","",[1]C!G76)</f>
        <v>Rahn and Lillywhite (2002)</v>
      </c>
      <c r="W74" s="51" t="str">
        <f>IF([1]Humus!G76="","",[1]Humus!G76)</f>
        <v>Vegetables, other</v>
      </c>
      <c r="X74" s="51"/>
      <c r="Y74" s="51" t="str">
        <f>IF([1]C!BF76="","",[1]C!BF76)</f>
        <v>Plant average</v>
      </c>
      <c r="Z74" s="51" t="str">
        <f>IF([1]Humus!AK76="","",[1]Humus!AK76)</f>
        <v>Herbaceous average</v>
      </c>
      <c r="AA74" s="51" t="s">
        <v>456</v>
      </c>
      <c r="AF74" t="s">
        <v>763</v>
      </c>
    </row>
    <row r="75">
      <c r="A75" s="177" t="s">
        <v>546</v>
      </c>
      <c r="B75" s="178"/>
      <c r="C75" s="63" t="s">
        <v>547</v>
      </c>
      <c r="D75" s="63" t="s">
        <v>547</v>
      </c>
      <c r="E75" s="63" t="s">
        <v>547</v>
      </c>
      <c r="F75" s="63" t="s">
        <v>547</v>
      </c>
      <c r="G75" s="63"/>
      <c r="H75" s="63" t="s">
        <v>547</v>
      </c>
      <c r="I75" s="63" t="s">
        <v>547</v>
      </c>
      <c r="J75" s="63" t="s">
        <v>547</v>
      </c>
      <c r="K75" s="63" t="s">
        <v>547</v>
      </c>
      <c r="L75" s="63" t="s">
        <v>547</v>
      </c>
      <c r="M75" s="63" t="s">
        <v>547</v>
      </c>
      <c r="N75" s="63"/>
      <c r="O75" s="63" t="s">
        <v>547</v>
      </c>
      <c r="P75" s="63" t="s">
        <v>547</v>
      </c>
      <c r="Q75" s="63" t="s">
        <v>547</v>
      </c>
      <c r="R75" s="63" t="s">
        <v>547</v>
      </c>
      <c r="S75" s="63" t="s">
        <v>547</v>
      </c>
      <c r="T75" s="63" t="s">
        <v>547</v>
      </c>
      <c r="U75" s="63" t="s">
        <v>547</v>
      </c>
      <c r="V75" s="63" t="s">
        <v>547</v>
      </c>
      <c r="W75" s="63" t="s">
        <v>547</v>
      </c>
      <c r="X75" s="51"/>
      <c r="Y75" s="51" t="str">
        <f>IF([1]C!BF77="","",[1]C!BF77)</f>
        <v>Plant average</v>
      </c>
      <c r="Z75" s="51" t="str">
        <f>IF([1]Humus!AK77="","",[1]Humus!AK77)</f>
        <v>Herbaceous average</v>
      </c>
      <c r="AA75" s="51" t="s">
        <v>456</v>
      </c>
      <c r="AF75" t="s">
        <v>763</v>
      </c>
    </row>
    <row r="76">
      <c r="A76" s="177" t="s">
        <v>308</v>
      </c>
      <c r="B76" s="178"/>
      <c r="C76" s="63" t="s">
        <v>548</v>
      </c>
      <c r="D76" s="63" t="s">
        <v>548</v>
      </c>
      <c r="E76" s="63" t="s">
        <v>548</v>
      </c>
      <c r="F76" s="63" t="s">
        <v>548</v>
      </c>
      <c r="G76" s="63"/>
      <c r="H76" s="63" t="s">
        <v>548</v>
      </c>
      <c r="I76" s="63" t="s">
        <v>548</v>
      </c>
      <c r="J76" s="63" t="s">
        <v>548</v>
      </c>
      <c r="K76" s="63" t="s">
        <v>548</v>
      </c>
      <c r="L76" s="63" t="s">
        <v>548</v>
      </c>
      <c r="M76" s="63" t="s">
        <v>548</v>
      </c>
      <c r="N76" s="63"/>
      <c r="O76" s="63" t="s">
        <v>548</v>
      </c>
      <c r="P76" s="63" t="s">
        <v>548</v>
      </c>
      <c r="Q76" s="63" t="s">
        <v>548</v>
      </c>
      <c r="R76" s="63" t="s">
        <v>548</v>
      </c>
      <c r="S76" s="63" t="s">
        <v>548</v>
      </c>
      <c r="T76" s="63" t="s">
        <v>548</v>
      </c>
      <c r="U76" s="63" t="s">
        <v>548</v>
      </c>
      <c r="V76" s="63" t="s">
        <v>548</v>
      </c>
      <c r="W76" s="63" t="s">
        <v>548</v>
      </c>
      <c r="X76" s="51"/>
      <c r="Y76" s="51" t="str">
        <f>IF([1]C!BF78="","",[1]C!BF78)</f>
      </c>
      <c r="Z76" s="51" t="str">
        <f>IF([1]Humus!AK78="","",[1]Humus!AK78)</f>
      </c>
      <c r="AA76" s="51" t="s">
        <v>456</v>
      </c>
      <c r="AF76" t="s">
        <v>763</v>
      </c>
    </row>
    <row r="77">
      <c r="A77" s="177" t="s">
        <v>307</v>
      </c>
      <c r="B77" s="178"/>
      <c r="C77" s="63" t="s">
        <v>477</v>
      </c>
      <c r="D77" s="183" t="s">
        <v>478</v>
      </c>
      <c r="E77" s="183" t="s">
        <v>478</v>
      </c>
      <c r="F77" s="183" t="s">
        <v>478</v>
      </c>
      <c r="G77" s="183"/>
      <c r="H77" s="183" t="s">
        <v>478</v>
      </c>
      <c r="I77" s="183" t="s">
        <v>478</v>
      </c>
      <c r="J77" s="183" t="s">
        <v>478</v>
      </c>
      <c r="K77" s="183" t="s">
        <v>478</v>
      </c>
      <c r="L77" s="183" t="s">
        <v>478</v>
      </c>
      <c r="M77" s="183"/>
      <c r="N77" s="183"/>
      <c r="O77" s="35" t="s">
        <v>576</v>
      </c>
      <c r="P77" s="184"/>
      <c r="Q77" s="184"/>
      <c r="R77" s="184" t="s">
        <v>480</v>
      </c>
      <c r="S77" s="184" t="s">
        <v>481</v>
      </c>
      <c r="T77" s="184"/>
      <c r="U77" s="184"/>
      <c r="V77" s="51" t="str">
        <f>IF([1]C!G77="","",[1]C!G77)</f>
        <v>Average of available data, Henriksen et al. (1999) (kale)</v>
      </c>
      <c r="W77" s="51" t="str">
        <f>IF([1]Humus!G77="","",[1]Humus!G77)</f>
        <v>Herbaceous average</v>
      </c>
      <c r="X77" s="63"/>
      <c r="Y77" s="51" t="str">
        <f>IF([1]C!BF77="","",[1]C!BF77)</f>
        <v>Plant average</v>
      </c>
      <c r="Z77" s="51" t="str">
        <f>IF([1]Humus!AK77="","",[1]Humus!AK77)</f>
        <v>Herbaceous average</v>
      </c>
      <c r="AA77" s="51" t="s">
        <v>456</v>
      </c>
      <c r="AF77" t="s">
        <v>763</v>
      </c>
    </row>
    <row r="78">
      <c r="A78" s="51" t="s">
        <v>304</v>
      </c>
      <c r="B78" s="178"/>
      <c r="C78" s="178" t="s">
        <v>465</v>
      </c>
      <c r="D78" s="178" t="s">
        <v>450</v>
      </c>
      <c r="E78" s="178" t="s">
        <v>450</v>
      </c>
      <c r="F78" s="179"/>
      <c r="G78" s="179"/>
      <c r="H78" s="180"/>
      <c r="I78" s="180"/>
      <c r="J78" s="182" t="s">
        <v>482</v>
      </c>
      <c r="K78" s="180"/>
      <c r="L78" s="178" t="s">
        <v>450</v>
      </c>
      <c r="M78" s="51"/>
      <c r="N78" s="51"/>
      <c r="O78" s="35" t="s">
        <v>576</v>
      </c>
      <c r="P78" s="35"/>
      <c r="Q78" s="35"/>
      <c r="R78" s="51"/>
      <c r="S78" s="35" t="s">
        <v>479</v>
      </c>
      <c r="T78" s="35"/>
      <c r="U78" s="35"/>
      <c r="V78" s="51" t="str">
        <f>IF([1]C!G79="","",[1]C!G79)</f>
        <v>Rahn and Lillywhite (2002), Boiffin et al. (1986)</v>
      </c>
      <c r="W78" s="51" t="str">
        <f>IF([1]Humus!G79="","",[1]Humus!G79)</f>
        <v>Boiffin et al. (1986)</v>
      </c>
      <c r="X78" s="51"/>
      <c r="Y78" s="51" t="str">
        <f>IF([1]C!BF79="","",[1]C!BF79)</f>
        <v>Plant average</v>
      </c>
      <c r="Z78" s="51" t="str">
        <f>IF([1]Humus!AK79="","",[1]Humus!AK79)</f>
        <v>Herbaceous average</v>
      </c>
      <c r="AA78" s="51" t="s">
        <v>456</v>
      </c>
      <c r="AD78" s="156" t="s">
        <v>470</v>
      </c>
      <c r="AF78" t="s">
        <v>763</v>
      </c>
    </row>
    <row r="79">
      <c r="A79" s="177" t="s">
        <v>302</v>
      </c>
      <c r="B79" s="178"/>
      <c r="C79" s="51" t="s">
        <v>453</v>
      </c>
      <c r="D79" s="178" t="s">
        <v>450</v>
      </c>
      <c r="E79" s="178" t="s">
        <v>450</v>
      </c>
      <c r="F79" s="179"/>
      <c r="G79" s="179"/>
      <c r="H79" s="180"/>
      <c r="I79" s="180"/>
      <c r="J79" s="180" t="n">
        <v>27.326540800000004</v>
      </c>
      <c r="K79" s="180"/>
      <c r="L79" s="178" t="s">
        <v>450</v>
      </c>
      <c r="M79" s="51"/>
      <c r="N79" s="51"/>
      <c r="O79" s="35" t="s">
        <v>576</v>
      </c>
      <c r="P79" s="35" t="n">
        <v>6.5789473684210523E-3</v>
      </c>
      <c r="Q79" s="35" t="n">
        <v>8.6622807017543869E-3</v>
      </c>
      <c r="R79" s="51"/>
      <c r="S79" s="63" t="s">
        <v>553</v>
      </c>
      <c r="T79" s="51"/>
      <c r="U79" s="51"/>
      <c r="V79" s="51" t="str">
        <f>IF([1]C!G80="","",[1]C!G80)</f>
        <v>Boiffin et al. (1986), Hadas et al. (2004), Henriksen et al. (1999), ECN (2017) (8)</v>
      </c>
      <c r="W79" s="51" t="str">
        <f>IF([1]Humus!G80="","",[1]Humus!G80)</f>
        <v>Boiffin et al. (1986)</v>
      </c>
      <c r="X79" s="51"/>
      <c r="Y79" s="51" t="str">
        <f>IF([1]C!BF80="","",[1]C!BF80)</f>
        <v>Redin et al. (2014), Gan et al. (2009)</v>
      </c>
      <c r="Z79" s="51" t="str">
        <f>IF([1]Humus!AK80="","",[1]Humus!AK80)</f>
        <v>Herbaceous average</v>
      </c>
      <c r="AA79" s="51" t="s">
        <v>456</v>
      </c>
      <c r="AD79" s="63" t="s">
        <v>483</v>
      </c>
      <c r="AF79" t="s">
        <v>763</v>
      </c>
    </row>
    <row r="80">
      <c r="A80" s="177" t="s">
        <v>301</v>
      </c>
      <c r="B80" s="178"/>
      <c r="C80" s="63" t="n">
        <v>0.2101117854410646</v>
      </c>
      <c r="D80" s="178" t="s">
        <v>450</v>
      </c>
      <c r="E80" s="178" t="s">
        <v>450</v>
      </c>
      <c r="F80" s="179"/>
      <c r="G80" s="179"/>
      <c r="H80" s="180"/>
      <c r="I80" s="180"/>
      <c r="J80" s="180"/>
      <c r="K80" s="180"/>
      <c r="L80" s="178" t="s">
        <v>450</v>
      </c>
      <c r="M80" s="51"/>
      <c r="N80" s="51"/>
      <c r="O80" s="35"/>
      <c r="P80" s="35"/>
      <c r="Q80" s="35"/>
      <c r="R80" s="51"/>
      <c r="S80" s="63" t="s">
        <v>553</v>
      </c>
      <c r="T80" s="51"/>
      <c r="U80" s="51"/>
      <c r="V80" s="51" t="str">
        <f>IF([1]C!G81="","",[1]C!G81)</f>
        <v>Herbaceous average</v>
      </c>
      <c r="W80" s="51" t="str">
        <f>IF([1]Humus!G81="","",[1]Humus!G81)</f>
        <v>Oilseeds, other</v>
      </c>
      <c r="X80" s="51"/>
      <c r="Y80" s="51" t="str">
        <f>IF([1]C!BF81="","",[1]C!BF81)</f>
        <v>Gan et al. (2009)</v>
      </c>
      <c r="Z80" s="51" t="str">
        <f>IF([1]Humus!AK81="","",[1]Humus!AK81)</f>
        <v>Herbaceous average</v>
      </c>
      <c r="AA80" s="51" t="s">
        <v>456</v>
      </c>
      <c r="AD80" s="63" t="s">
        <v>483</v>
      </c>
      <c r="AF80" t="s">
        <v>763</v>
      </c>
    </row>
    <row r="81">
      <c r="A81" s="177" t="s">
        <v>300</v>
      </c>
      <c r="B81" s="178"/>
      <c r="C81" s="63" t="n">
        <v>0.2101117854410646</v>
      </c>
      <c r="D81" s="178" t="s">
        <v>450</v>
      </c>
      <c r="E81" s="178" t="s">
        <v>450</v>
      </c>
      <c r="F81" s="183"/>
      <c r="G81" s="183"/>
      <c r="H81" s="183"/>
      <c r="I81" s="183"/>
      <c r="J81" s="182" t="s">
        <v>484</v>
      </c>
      <c r="K81" s="180"/>
      <c r="L81" s="178" t="s">
        <v>450</v>
      </c>
      <c r="M81" s="51"/>
      <c r="N81" s="51"/>
      <c r="O81" s="35" t="s">
        <v>766</v>
      </c>
      <c r="P81" s="35"/>
      <c r="Q81" s="35"/>
      <c r="R81" s="51"/>
      <c r="S81" s="63" t="s">
        <v>553</v>
      </c>
      <c r="T81" s="51"/>
      <c r="U81" s="51"/>
      <c r="V81" s="51" t="str">
        <f>IF([1]C!G82="","",[1]C!G82)</f>
        <v>Herbaceous average</v>
      </c>
      <c r="W81" s="51" t="str">
        <f>IF([1]Humus!G82="","",[1]Humus!G82)</f>
        <v>Fiber, other</v>
      </c>
      <c r="X81" s="51"/>
      <c r="Y81" s="51" t="str">
        <f>IF([1]C!BF82="","",[1]C!BF82)</f>
        <v>Plant average</v>
      </c>
      <c r="Z81" s="51" t="str">
        <f>IF([1]Humus!AK82="","",[1]Humus!AK82)</f>
        <v>Herbaceous average</v>
      </c>
      <c r="AA81" s="51" t="s">
        <v>456</v>
      </c>
      <c r="AD81" s="63" t="s">
        <v>483</v>
      </c>
      <c r="AF81" t="s">
        <v>763</v>
      </c>
    </row>
    <row r="82">
      <c r="A82" s="177" t="s">
        <v>299</v>
      </c>
      <c r="B82" s="178"/>
      <c r="C82" s="63" t="n">
        <v>0.2101117854410646</v>
      </c>
      <c r="D82" s="178" t="s">
        <v>450</v>
      </c>
      <c r="E82" s="185"/>
      <c r="F82" s="179"/>
      <c r="G82" s="179"/>
      <c r="H82" s="180"/>
      <c r="I82" s="180"/>
      <c r="J82" s="180" t="n">
        <v>1.7360000000000002</v>
      </c>
      <c r="K82" s="180"/>
      <c r="L82" s="178" t="s">
        <v>450</v>
      </c>
      <c r="M82" s="51"/>
      <c r="N82" s="51"/>
      <c r="O82" s="35"/>
      <c r="P82" s="35"/>
      <c r="Q82" s="35"/>
      <c r="R82" s="51"/>
      <c r="S82" s="63" t="s">
        <v>553</v>
      </c>
      <c r="T82" s="51"/>
      <c r="U82" s="51"/>
      <c r="V82" s="51" t="str">
        <f>IF([1]C!G83="","",[1]C!G83)</f>
        <v>Herbaceous average</v>
      </c>
      <c r="W82" s="51" t="str">
        <f>IF([1]Humus!G83="","",[1]Humus!G83)</f>
        <v>Spices, other</v>
      </c>
      <c r="X82" s="51"/>
      <c r="Y82" s="51" t="str">
        <f>IF([1]C!BF83="","",[1]C!BF83)</f>
        <v>Plant average</v>
      </c>
      <c r="Z82" s="51" t="str">
        <f>IF([1]Humus!AK83="","",[1]Humus!AK83)</f>
        <v>Herbaceous average</v>
      </c>
      <c r="AA82" s="51" t="s">
        <v>456</v>
      </c>
      <c r="AD82" s="63" t="s">
        <v>483</v>
      </c>
      <c r="AF82" t="s">
        <v>763</v>
      </c>
    </row>
    <row r="83">
      <c r="A83" s="177" t="s">
        <v>298</v>
      </c>
      <c r="B83" s="178"/>
      <c r="C83" s="178" t="s">
        <v>465</v>
      </c>
      <c r="D83" s="178" t="s">
        <v>450</v>
      </c>
      <c r="E83" s="178" t="s">
        <v>450</v>
      </c>
      <c r="F83" s="179"/>
      <c r="G83" s="179"/>
      <c r="H83" s="180"/>
      <c r="I83" s="180"/>
      <c r="J83" s="180"/>
      <c r="K83" s="180"/>
      <c r="L83" s="178" t="s">
        <v>450</v>
      </c>
      <c r="M83" s="51"/>
      <c r="N83" s="51"/>
      <c r="O83" s="35" t="s">
        <v>576</v>
      </c>
      <c r="P83" s="35"/>
      <c r="Q83" s="35"/>
      <c r="R83" s="51"/>
      <c r="S83" s="63" t="s">
        <v>553</v>
      </c>
      <c r="T83" s="51"/>
      <c r="U83" s="51"/>
      <c r="V83" s="51" t="str">
        <f>IF([1]C!G84="","",[1]C!G84)</f>
        <v>Herbaceous average</v>
      </c>
      <c r="W83" s="51" t="str">
        <f>IF([1]Humus!G84="","",[1]Humus!G84)</f>
        <v>Oilseeds, other</v>
      </c>
      <c r="X83" s="51"/>
      <c r="Y83" s="51" t="str">
        <f>IF([1]C!BF84="","",[1]C!BF84)</f>
        <v>Plant average</v>
      </c>
      <c r="Z83" s="51" t="str">
        <f>IF([1]Humus!AK84="","",[1]Humus!AK84)</f>
        <v>Herbaceous average</v>
      </c>
      <c r="AA83" s="51" t="s">
        <v>456</v>
      </c>
      <c r="AD83" s="63" t="s">
        <v>483</v>
      </c>
      <c r="AF83" t="s">
        <v>763</v>
      </c>
    </row>
    <row r="84">
      <c r="A84" s="177" t="s">
        <v>297</v>
      </c>
      <c r="B84" s="178"/>
      <c r="C84" s="63" t="n">
        <v>0.2101117854410646</v>
      </c>
      <c r="D84" s="185"/>
      <c r="E84" s="185"/>
      <c r="F84" s="179"/>
      <c r="G84" s="179"/>
      <c r="H84" s="180"/>
      <c r="I84" s="180"/>
      <c r="J84" s="180" t="n">
        <v>15.378</v>
      </c>
      <c r="K84" s="180"/>
      <c r="L84" s="178" t="s">
        <v>450</v>
      </c>
      <c r="M84" s="51"/>
      <c r="N84" s="51"/>
      <c r="O84" s="35"/>
      <c r="P84" s="35"/>
      <c r="Q84" s="35"/>
      <c r="R84" s="51"/>
      <c r="S84" s="63" t="s">
        <v>553</v>
      </c>
      <c r="T84" s="51"/>
      <c r="U84" s="51"/>
      <c r="V84" s="51" t="str">
        <f>IF([1]C!G85="","",[1]C!G85)</f>
        <v>Herbaceous average</v>
      </c>
      <c r="W84" s="51" t="str">
        <f>IF([1]Humus!G85="","",[1]Humus!G85)</f>
        <v>Spices, other</v>
      </c>
      <c r="X84" s="51"/>
      <c r="Y84" s="51" t="str">
        <f>IF([1]C!BF85="","",[1]C!BF85)</f>
        <v>Plant average</v>
      </c>
      <c r="Z84" s="51" t="str">
        <f>IF([1]Humus!AK85="","",[1]Humus!AK85)</f>
        <v>Herbaceous average</v>
      </c>
      <c r="AA84" s="51" t="s">
        <v>456</v>
      </c>
      <c r="AD84" s="63" t="s">
        <v>483</v>
      </c>
      <c r="AF84" t="s">
        <v>763</v>
      </c>
    </row>
    <row r="85">
      <c r="A85" s="177" t="s">
        <v>296</v>
      </c>
      <c r="B85" s="178"/>
      <c r="C85" s="63" t="n">
        <v>0.2101117854410646</v>
      </c>
      <c r="D85" s="185"/>
      <c r="E85" s="185"/>
      <c r="F85" s="179"/>
      <c r="G85" s="179"/>
      <c r="H85" s="180"/>
      <c r="I85" s="180"/>
      <c r="J85" s="180" t="n">
        <v>18.91</v>
      </c>
      <c r="K85" s="180"/>
      <c r="L85" s="178" t="s">
        <v>450</v>
      </c>
      <c r="M85" s="51"/>
      <c r="N85" s="51"/>
      <c r="O85" s="35"/>
      <c r="P85" s="35"/>
      <c r="Q85" s="35"/>
      <c r="R85" s="51"/>
      <c r="S85" s="63" t="s">
        <v>553</v>
      </c>
      <c r="T85" s="51"/>
      <c r="U85" s="51"/>
      <c r="V85" s="51" t="str">
        <f>IF([1]C!G86="","",[1]C!G86)</f>
        <v>Herbaceous average</v>
      </c>
      <c r="W85" s="51" t="str">
        <f>IF([1]Humus!G86="","",[1]Humus!G86)</f>
        <v>Spices, other</v>
      </c>
      <c r="X85" s="51"/>
      <c r="Y85" s="51" t="str">
        <f>IF([1]C!BF86="","",[1]C!BF86)</f>
        <v>Plant average</v>
      </c>
      <c r="Z85" s="51" t="str">
        <f>IF([1]Humus!AK86="","",[1]Humus!AK86)</f>
        <v>Herbaceous average</v>
      </c>
      <c r="AA85" s="51" t="s">
        <v>456</v>
      </c>
      <c r="AD85" s="63" t="s">
        <v>483</v>
      </c>
      <c r="AF85" t="s">
        <v>763</v>
      </c>
    </row>
    <row r="86">
      <c r="A86" s="177" t="s">
        <v>295</v>
      </c>
      <c r="B86" s="178"/>
      <c r="C86" s="63" t="n">
        <v>0.2101117854410646</v>
      </c>
      <c r="D86" s="178" t="s">
        <v>450</v>
      </c>
      <c r="E86" s="178" t="s">
        <v>450</v>
      </c>
      <c r="F86" s="179"/>
      <c r="G86" s="179"/>
      <c r="H86" s="180"/>
      <c r="I86" s="180"/>
      <c r="J86" s="180" t="n">
        <v>15.815520000000001</v>
      </c>
      <c r="K86" s="180" t="n">
        <v>15.815520000000001</v>
      </c>
      <c r="L86" s="178" t="s">
        <v>450</v>
      </c>
      <c r="M86" s="51"/>
      <c r="N86" s="51"/>
      <c r="O86" s="35" t="s">
        <v>758</v>
      </c>
      <c r="P86" s="35"/>
      <c r="Q86" s="35"/>
      <c r="R86" s="51"/>
      <c r="S86" s="63" t="s">
        <v>553</v>
      </c>
      <c r="T86" s="51"/>
      <c r="U86" s="51"/>
      <c r="V86" s="51" t="str">
        <f>IF([1]C!G87="","",[1]C!G87)</f>
        <v>Mondini et al. (2017), Parikh et al. (2007), ECN (2017) (6)</v>
      </c>
      <c r="W86" s="51" t="str">
        <f>IF([1]Humus!G87="","",[1]Humus!G87)</f>
        <v>Fiber, other</v>
      </c>
      <c r="X86" s="51"/>
      <c r="Y86" s="51" t="str">
        <f>IF([1]C!BF87="","",[1]C!BF87)</f>
        <v>Plant average</v>
      </c>
      <c r="Z86" s="51" t="str">
        <f>IF([1]Humus!AK87="","",[1]Humus!AK87)</f>
        <v>Herbaceous average</v>
      </c>
      <c r="AA86" s="51" t="s">
        <v>456</v>
      </c>
      <c r="AD86" s="63" t="s">
        <v>483</v>
      </c>
      <c r="AF86" t="s">
        <v>763</v>
      </c>
    </row>
    <row r="87">
      <c r="A87" s="177" t="s">
        <v>294</v>
      </c>
      <c r="B87" s="178"/>
      <c r="C87" s="178" t="s">
        <v>465</v>
      </c>
      <c r="D87" s="178" t="s">
        <v>450</v>
      </c>
      <c r="E87" s="178" t="s">
        <v>450</v>
      </c>
      <c r="F87" s="179"/>
      <c r="G87" s="179"/>
      <c r="H87" s="180"/>
      <c r="I87" s="180"/>
      <c r="J87" s="180" t="n">
        <v>22.2262448</v>
      </c>
      <c r="K87" s="180"/>
      <c r="L87" s="178" t="s">
        <v>450</v>
      </c>
      <c r="M87" s="51"/>
      <c r="N87" s="51"/>
      <c r="O87" s="35" t="s">
        <v>576</v>
      </c>
      <c r="P87" s="35" t="n">
        <v>5.7608695652173912E-3</v>
      </c>
      <c r="Q87" s="35" t="n">
        <v>1.0326086956521738E-2</v>
      </c>
      <c r="R87" s="51"/>
      <c r="S87" s="63" t="s">
        <v>553</v>
      </c>
      <c r="T87" s="51"/>
      <c r="U87" s="51"/>
      <c r="V87" s="51" t="str">
        <f>IF([1]C!G88="","",[1]C!G88)</f>
        <v>Mondini et al. (2017), Parikh et al. (2007), ECN (2017) (6)</v>
      </c>
      <c r="W87" s="51" t="str">
        <f>IF([1]Humus!G88="","",[1]Humus!G88)</f>
        <v>Oilseeds, other</v>
      </c>
      <c r="X87" s="51"/>
      <c r="Y87" s="51" t="str">
        <f>IF([1]C!BF88="","",[1]C!BF88)</f>
        <v>Plant average</v>
      </c>
      <c r="Z87" s="51" t="str">
        <f>IF([1]Humus!AK88="","",[1]Humus!AK88)</f>
        <v>Herbaceous average</v>
      </c>
      <c r="AA87" s="51" t="s">
        <v>456</v>
      </c>
      <c r="AD87" s="63" t="s">
        <v>483</v>
      </c>
      <c r="AF87" t="s">
        <v>763</v>
      </c>
    </row>
    <row r="88">
      <c r="A88" s="177" t="s">
        <v>293</v>
      </c>
      <c r="B88" s="178"/>
      <c r="C88" s="178" t="n">
        <f>C86</f>
        <v>0.2101117854410646</v>
      </c>
      <c r="D88" s="178" t="str">
        <f t="shared" ref="D88:W88" si="0">D86</f>
        <v>Guzmán et al. 2014</v>
      </c>
      <c r="E88" s="178" t="str">
        <f t="shared" si="0"/>
        <v>Guzmán et al. 2014</v>
      </c>
      <c r="F88" s="178" t="n">
        <f t="shared" si="0"/>
        <v>0</v>
      </c>
      <c r="G88" s="178"/>
      <c r="H88" s="178" t="n">
        <f t="shared" si="0"/>
        <v>0</v>
      </c>
      <c r="I88" s="178" t="n">
        <f t="shared" si="0"/>
        <v>0</v>
      </c>
      <c r="J88" s="178" t="n">
        <f t="shared" si="0"/>
        <v>15.815520000000001</v>
      </c>
      <c r="K88" s="178" t="n">
        <f t="shared" si="0"/>
        <v>15.815520000000001</v>
      </c>
      <c r="L88" s="178" t="str">
        <f t="shared" si="0"/>
        <v>Guzmán et al. 2014</v>
      </c>
      <c r="M88" s="178" t="n">
        <f t="shared" si="0"/>
        <v>0</v>
      </c>
      <c r="N88" s="178" t="n">
        <f t="shared" si="0"/>
        <v>0</v>
      </c>
      <c r="O88" s="178" t="str">
        <f t="shared" si="0"/>
        <v>Lassaletta et al., 2014 (from McDougal, 1993)</v>
      </c>
      <c r="P88" s="178" t="n">
        <f t="shared" si="0"/>
        <v>0</v>
      </c>
      <c r="Q88" s="178" t="n">
        <f t="shared" si="0"/>
        <v>0</v>
      </c>
      <c r="R88" s="178" t="n">
        <f t="shared" si="0"/>
        <v>0</v>
      </c>
      <c r="S88" s="178" t="str">
        <f t="shared" si="0"/>
        <v>"Generic", IPCC (2019)</v>
      </c>
      <c r="T88" s="178" t="n">
        <f t="shared" si="0"/>
        <v>0</v>
      </c>
      <c r="U88" s="178" t="n">
        <f t="shared" si="0"/>
        <v>0</v>
      </c>
      <c r="V88" s="178" t="str">
        <f t="shared" si="0"/>
        <v>Mondini et al. (2017), Parikh et al. (2007), ECN (2017) (6)</v>
      </c>
      <c r="W88" s="178" t="str">
        <f t="shared" si="0"/>
        <v>Fiber, other</v>
      </c>
      <c r="X88" s="51"/>
      <c r="Y88" s="51" t="str">
        <f>IF([1]C!BF89="","",[1]C!BF89)</f>
        <v>Redin et al. (2014)</v>
      </c>
      <c r="Z88" s="51" t="str">
        <f>IF([1]Humus!AK89="","",[1]Humus!AK89)</f>
        <v>Herbaceous average</v>
      </c>
      <c r="AA88" s="51" t="s">
        <v>456</v>
      </c>
      <c r="AD88" s="63" t="s">
        <v>483</v>
      </c>
      <c r="AF88" t="s">
        <v>763</v>
      </c>
    </row>
    <row r="89">
      <c r="A89" s="177" t="s">
        <v>292</v>
      </c>
      <c r="B89" s="178"/>
      <c r="C89" s="178" t="s">
        <v>465</v>
      </c>
      <c r="D89" s="178" t="s">
        <v>450</v>
      </c>
      <c r="E89" s="178" t="s">
        <v>450</v>
      </c>
      <c r="F89" s="179"/>
      <c r="G89" s="179"/>
      <c r="H89" s="180" t="n">
        <v>26.38</v>
      </c>
      <c r="I89" s="180" t="n">
        <v>0</v>
      </c>
      <c r="J89" s="180" t="n">
        <v>26.38</v>
      </c>
      <c r="K89" s="180"/>
      <c r="L89" s="178" t="s">
        <v>450</v>
      </c>
      <c r="M89" s="51"/>
      <c r="N89" s="51"/>
      <c r="O89" s="35" t="s">
        <v>576</v>
      </c>
      <c r="P89" s="35" t="n">
        <v>5.372403092352979E-3</v>
      </c>
      <c r="Q89" s="35" t="n">
        <v>8.9361803261434197E-3</v>
      </c>
      <c r="R89" s="51"/>
      <c r="S89" s="63" t="s">
        <v>553</v>
      </c>
      <c r="T89" s="51"/>
      <c r="U89" s="51"/>
      <c r="V89" s="51" t="str">
        <f>IF([1]C!G89="","",[1]C!G89)</f>
        <v>ECN (2017) (6)</v>
      </c>
      <c r="W89" s="51" t="str">
        <f>IF([1]Humus!G89="","",[1]Humus!G89)</f>
        <v>Oilseeds, other</v>
      </c>
      <c r="X89" s="51"/>
      <c r="Y89" s="51" t="str">
        <f>IF([1]C!BF89="","",[1]C!BF89)</f>
        <v>Redin et al. (2014)</v>
      </c>
      <c r="Z89" s="51" t="str">
        <f>IF([1]Humus!AK89="","",[1]Humus!AK89)</f>
        <v>Herbaceous average</v>
      </c>
      <c r="AA89" s="51" t="s">
        <v>456</v>
      </c>
      <c r="AD89" s="63" t="s">
        <v>483</v>
      </c>
      <c r="AF89" t="s">
        <v>763</v>
      </c>
    </row>
    <row r="90">
      <c r="A90" s="177" t="s">
        <v>291</v>
      </c>
      <c r="B90" s="178"/>
      <c r="C90" s="63" t="n">
        <v>0.2101117854410646</v>
      </c>
      <c r="D90" s="185"/>
      <c r="E90" s="185"/>
      <c r="F90" s="179"/>
      <c r="G90" s="179"/>
      <c r="H90" s="180"/>
      <c r="I90" s="180"/>
      <c r="J90" s="180"/>
      <c r="K90" s="180"/>
      <c r="L90" s="178" t="s">
        <v>450</v>
      </c>
      <c r="M90" s="51"/>
      <c r="N90" s="51"/>
      <c r="O90" s="35"/>
      <c r="P90" s="35"/>
      <c r="Q90" s="35"/>
      <c r="R90" s="51"/>
      <c r="S90" s="63" t="s">
        <v>553</v>
      </c>
      <c r="T90" s="51"/>
      <c r="U90" s="51"/>
      <c r="V90" s="51" t="str">
        <f>IF([1]C!G90="","",[1]C!G90)</f>
        <v>Herbaceous average</v>
      </c>
      <c r="W90" s="51" t="str">
        <f>IF([1]Humus!G90="","",[1]Humus!G90)</f>
        <v>Spices, other</v>
      </c>
      <c r="X90" s="51"/>
      <c r="Y90" s="51" t="str">
        <f>IF([1]C!BF90="","",[1]C!BF90)</f>
        <v>Plant average</v>
      </c>
      <c r="Z90" s="51" t="str">
        <f>IF([1]Humus!AK90="","",[1]Humus!AK90)</f>
        <v>Herbaceous average</v>
      </c>
      <c r="AA90" s="51" t="s">
        <v>456</v>
      </c>
      <c r="AD90" s="63" t="s">
        <v>483</v>
      </c>
      <c r="AF90" t="s">
        <v>763</v>
      </c>
    </row>
    <row r="91">
      <c r="A91" s="177" t="s">
        <v>290</v>
      </c>
      <c r="B91" s="178"/>
      <c r="C91" s="63" t="n">
        <v>0.2101117854410646</v>
      </c>
      <c r="D91" s="185"/>
      <c r="E91" s="185"/>
      <c r="F91" s="179"/>
      <c r="G91" s="179"/>
      <c r="H91" s="180"/>
      <c r="I91" s="180"/>
      <c r="J91" s="180"/>
      <c r="K91" s="180"/>
      <c r="L91" s="178" t="s">
        <v>450</v>
      </c>
      <c r="M91" s="51"/>
      <c r="N91" s="51"/>
      <c r="O91" s="35" t="s">
        <v>766</v>
      </c>
      <c r="P91" s="35" t="n">
        <v>6.7254685777287755E-3</v>
      </c>
      <c r="Q91" s="35" t="n">
        <v>9.371554575523704E-3</v>
      </c>
      <c r="R91" s="51"/>
      <c r="S91" s="63" t="s">
        <v>553</v>
      </c>
      <c r="T91" s="51"/>
      <c r="U91" s="51"/>
      <c r="V91" s="51" t="str">
        <f>IF([1]C!G91="","",[1]C!G91)</f>
        <v>ECN (2017)</v>
      </c>
      <c r="W91" s="51" t="str">
        <f>IF([1]Humus!G91="","",[1]Humus!G91)</f>
        <v>Oilseeds, other</v>
      </c>
      <c r="X91" s="51"/>
      <c r="Y91" s="51" t="str">
        <f>IF([1]C!BF91="","",[1]C!BF91)</f>
        <v>Plant average</v>
      </c>
      <c r="Z91" s="51" t="str">
        <f>IF([1]Humus!AK91="","",[1]Humus!AK91)</f>
        <v>Herbaceous average</v>
      </c>
      <c r="AA91" s="51" t="s">
        <v>456</v>
      </c>
      <c r="AD91" s="63" t="s">
        <v>483</v>
      </c>
      <c r="AF91" t="s">
        <v>763</v>
      </c>
    </row>
    <row r="92">
      <c r="A92" s="51" t="s">
        <v>289</v>
      </c>
      <c r="B92" s="178"/>
      <c r="C92" s="178" t="s">
        <v>465</v>
      </c>
      <c r="D92" s="178" t="s">
        <v>450</v>
      </c>
      <c r="E92" s="178" t="s">
        <v>450</v>
      </c>
      <c r="F92" s="179"/>
      <c r="G92" s="179"/>
      <c r="H92" s="180"/>
      <c r="I92" s="180"/>
      <c r="J92" s="180" t="n">
        <v>14.962</v>
      </c>
      <c r="K92" s="180"/>
      <c r="L92" s="178" t="s">
        <v>450</v>
      </c>
      <c r="M92" s="51"/>
      <c r="N92" s="51"/>
      <c r="O92" s="35" t="s">
        <v>760</v>
      </c>
      <c r="P92" s="35"/>
      <c r="Q92" s="35"/>
      <c r="R92" s="51"/>
      <c r="S92" s="63" t="s">
        <v>553</v>
      </c>
      <c r="T92" s="51"/>
      <c r="U92" s="51"/>
      <c r="V92" s="51" t="str">
        <f>IF([1]C!G92="","",[1]C!G92)</f>
        <v>Hadas et al. (2004), ECN (2017)</v>
      </c>
      <c r="W92" s="51" t="str">
        <f>IF([1]Humus!G92="","",[1]Humus!G92)</f>
        <v>Spices, other</v>
      </c>
      <c r="X92" s="51"/>
      <c r="Y92" s="51" t="str">
        <f>IF([1]C!BF92="","",[1]C!BF92)</f>
        <v>Plant average</v>
      </c>
      <c r="Z92" s="51" t="str">
        <f>IF([1]Humus!AK92="","",[1]Humus!AK92)</f>
        <v>Herbaceous average</v>
      </c>
      <c r="AA92" s="51" t="s">
        <v>456</v>
      </c>
      <c r="AF92" t="s">
        <v>763</v>
      </c>
    </row>
    <row r="93">
      <c r="A93" s="177" t="s">
        <v>288</v>
      </c>
      <c r="B93" s="178"/>
      <c r="C93" s="63" t="n">
        <v>0.2101117854410646</v>
      </c>
      <c r="D93" s="185"/>
      <c r="E93" s="185"/>
      <c r="F93" s="179"/>
      <c r="G93" s="179"/>
      <c r="H93" s="180"/>
      <c r="I93" s="180"/>
      <c r="J93" s="180"/>
      <c r="K93" s="180"/>
      <c r="L93" s="178" t="s">
        <v>450</v>
      </c>
      <c r="M93" s="51"/>
      <c r="N93" s="51"/>
      <c r="O93" s="35"/>
      <c r="P93" s="35"/>
      <c r="Q93" s="35"/>
      <c r="R93" s="51"/>
      <c r="S93" s="63" t="s">
        <v>553</v>
      </c>
      <c r="T93" s="51"/>
      <c r="U93" s="51"/>
      <c r="V93" s="51" t="str">
        <f>IF([1]C!G93="","",[1]C!G93)</f>
        <v>Herbaceous average</v>
      </c>
      <c r="W93" s="51" t="str">
        <f>IF([1]Humus!G93="","",[1]Humus!G93)</f>
        <v>Spices, other</v>
      </c>
      <c r="X93" s="51"/>
      <c r="Y93" s="51" t="str">
        <f>IF([1]C!BF93="","",[1]C!BF93)</f>
        <v>Plant average</v>
      </c>
      <c r="Z93" s="51" t="str">
        <f>IF([1]Humus!AK93="","",[1]Humus!AK93)</f>
        <v>Herbaceous average</v>
      </c>
      <c r="AA93" s="51" t="s">
        <v>456</v>
      </c>
      <c r="AF93" t="s">
        <v>763</v>
      </c>
    </row>
    <row r="94">
      <c r="A94" s="51" t="s">
        <v>287</v>
      </c>
      <c r="B94" s="178"/>
      <c r="C94" s="63" t="n">
        <v>0.2101117854410646</v>
      </c>
      <c r="D94" s="185"/>
      <c r="E94" s="185"/>
      <c r="F94" s="179"/>
      <c r="G94" s="179"/>
      <c r="H94" s="180"/>
      <c r="I94" s="180"/>
      <c r="J94" s="180"/>
      <c r="K94" s="180"/>
      <c r="L94" s="178" t="s">
        <v>450</v>
      </c>
      <c r="M94" s="51"/>
      <c r="N94" s="51"/>
      <c r="O94" s="35"/>
      <c r="P94" s="35"/>
      <c r="Q94" s="35"/>
      <c r="R94" s="51"/>
      <c r="S94" s="63" t="s">
        <v>553</v>
      </c>
      <c r="T94" s="51"/>
      <c r="U94" s="51"/>
      <c r="V94" s="51" t="str">
        <f>IF([1]C!G94="","",[1]C!G94)</f>
        <v>Herbaceous average</v>
      </c>
      <c r="W94" s="51" t="str">
        <f>IF([1]Humus!G94="","",[1]Humus!G94)</f>
        <v>Oilseeds, other</v>
      </c>
      <c r="X94" s="51"/>
      <c r="Y94" s="51" t="str">
        <f>IF([1]C!BF94="","",[1]C!BF94)</f>
        <v>Plant average</v>
      </c>
      <c r="Z94" s="51" t="str">
        <f>IF([1]Humus!AK94="","",[1]Humus!AK94)</f>
        <v>Herbaceous average</v>
      </c>
      <c r="AA94" s="51" t="s">
        <v>456</v>
      </c>
      <c r="AF94" t="s">
        <v>763</v>
      </c>
    </row>
    <row r="95">
      <c r="A95" s="177" t="s">
        <v>286</v>
      </c>
      <c r="B95" s="178"/>
      <c r="C95" s="63" t="n">
        <v>0.2101117854410646</v>
      </c>
      <c r="D95" s="185"/>
      <c r="E95" s="185"/>
      <c r="F95" s="179"/>
      <c r="G95" s="179"/>
      <c r="H95" s="180"/>
      <c r="I95" s="180"/>
      <c r="J95" s="180"/>
      <c r="K95" s="180"/>
      <c r="L95" s="178" t="s">
        <v>450</v>
      </c>
      <c r="M95" s="51"/>
      <c r="N95" s="51"/>
      <c r="O95" s="35"/>
      <c r="P95" s="35"/>
      <c r="Q95" s="35"/>
      <c r="R95" s="51"/>
      <c r="S95" s="63" t="s">
        <v>553</v>
      </c>
      <c r="T95" s="51"/>
      <c r="U95" s="51"/>
      <c r="V95" s="51" t="str">
        <f>IF([1]C!G95="","",[1]C!G95)</f>
        <v>Herbaceous average</v>
      </c>
      <c r="W95" s="51" t="str">
        <f>IF([1]Humus!G95="","",[1]Humus!G95)</f>
        <v>Oilseeds, other</v>
      </c>
      <c r="X95" s="51"/>
      <c r="Y95" s="51" t="str">
        <f>IF([1]C!BF95="","",[1]C!BF95)</f>
        <v>Plant average</v>
      </c>
      <c r="Z95" s="51" t="str">
        <f>IF([1]Humus!AK95="","",[1]Humus!AK95)</f>
        <v>Herbaceous average</v>
      </c>
      <c r="AA95" s="51" t="s">
        <v>456</v>
      </c>
      <c r="AF95" t="s">
        <v>763</v>
      </c>
    </row>
    <row r="96">
      <c r="A96" s="177" t="s">
        <v>285</v>
      </c>
      <c r="B96" s="178"/>
      <c r="C96" s="178" t="s">
        <v>485</v>
      </c>
      <c r="D96" s="178" t="s">
        <v>450</v>
      </c>
      <c r="E96" s="178" t="s">
        <v>450</v>
      </c>
      <c r="F96" s="179"/>
      <c r="G96" s="179"/>
      <c r="H96" s="180"/>
      <c r="I96" s="180"/>
      <c r="J96" s="180" t="n">
        <v>5.0168341968911916</v>
      </c>
      <c r="K96" s="180"/>
      <c r="L96" s="178" t="s">
        <v>450</v>
      </c>
      <c r="M96" s="51"/>
      <c r="N96" s="51"/>
      <c r="O96" s="35" t="s">
        <v>576</v>
      </c>
      <c r="P96" s="35"/>
      <c r="Q96" s="35"/>
      <c r="R96" s="51"/>
      <c r="S96" s="63" t="s">
        <v>553</v>
      </c>
      <c r="T96" s="51"/>
      <c r="U96" s="51"/>
      <c r="V96" s="51" t="str">
        <f>IF([1]C!G96="","",[1]C!G96)</f>
        <v>Paula et al. (2011), Huang et al. (2004), Carvalho et al. (2013), ECN (2017 (leaves)</v>
      </c>
      <c r="W96" s="51" t="str">
        <f>IF([1]Humus!G96="","",[1]Humus!G96)</f>
        <v>Herbaceous average</v>
      </c>
      <c r="X96" s="51"/>
      <c r="Y96" s="51" t="str">
        <f>IF([1]C!BF96="","",[1]C!BF96)</f>
        <v>Nunes Carvalho et al. (2013)</v>
      </c>
      <c r="Z96" s="51" t="str">
        <f>IF([1]Humus!AK96="","",[1]Humus!AK96)</f>
        <v>Herbaceous average</v>
      </c>
      <c r="AA96" s="51" t="s">
        <v>456</v>
      </c>
      <c r="AF96" t="s">
        <v>763</v>
      </c>
    </row>
    <row r="97">
      <c r="A97" s="177" t="s">
        <v>284</v>
      </c>
      <c r="B97" s="178"/>
      <c r="C97" s="51"/>
      <c r="D97" s="178" t="s">
        <v>450</v>
      </c>
      <c r="E97" s="178"/>
      <c r="F97" s="179"/>
      <c r="G97" s="179"/>
      <c r="H97" s="180"/>
      <c r="I97" s="180"/>
      <c r="J97" s="180"/>
      <c r="K97" s="180"/>
      <c r="L97" s="51"/>
      <c r="M97" s="51"/>
      <c r="N97" s="51"/>
      <c r="O97" s="35" t="s">
        <v>761</v>
      </c>
      <c r="P97" s="35"/>
      <c r="Q97" s="35"/>
      <c r="R97" s="51"/>
      <c r="S97" s="63" t="s">
        <v>553</v>
      </c>
      <c r="T97" s="51"/>
      <c r="U97" s="51"/>
      <c r="V97" s="51" t="str">
        <f>IF([1]C!G97="","",[1]C!G97)</f>
        <v>Herbaceous average</v>
      </c>
      <c r="W97" s="51" t="str">
        <f>IF([1]Humus!G97="","",[1]Humus!G97)</f>
        <v>Fiber, other</v>
      </c>
      <c r="X97" s="51"/>
      <c r="Y97" s="51" t="str">
        <f>IF([1]C!BF97="","",[1]C!BF97)</f>
        <v>Plant average</v>
      </c>
      <c r="Z97" s="51" t="str">
        <f>IF([1]Humus!AK97="","",[1]Humus!AK97)</f>
        <v>Herbaceous average</v>
      </c>
      <c r="AA97" s="51" t="s">
        <v>456</v>
      </c>
      <c r="AF97" t="s">
        <v>763</v>
      </c>
    </row>
    <row r="98">
      <c r="A98" s="177" t="s">
        <v>283</v>
      </c>
      <c r="B98" s="178"/>
      <c r="C98" s="51"/>
      <c r="D98" s="183" t="s">
        <v>486</v>
      </c>
      <c r="E98" s="183" t="s">
        <v>486</v>
      </c>
      <c r="F98" s="179"/>
      <c r="G98" s="179"/>
      <c r="H98" s="180"/>
      <c r="I98" s="180"/>
      <c r="J98" s="180"/>
      <c r="K98" s="180"/>
      <c r="L98" s="51"/>
      <c r="M98" s="51"/>
      <c r="N98" s="51"/>
      <c r="O98" s="35" t="s">
        <v>576</v>
      </c>
      <c r="P98" s="35"/>
      <c r="Q98" s="35"/>
      <c r="R98" s="51"/>
      <c r="S98" s="63" t="s">
        <v>553</v>
      </c>
      <c r="T98" s="51"/>
      <c r="U98" s="51"/>
      <c r="V98" s="51" t="str">
        <f>IF([1]C!G98="","",[1]C!G98)</f>
        <v>Parikh et al. (2007)</v>
      </c>
      <c r="W98" s="51" t="str">
        <f>IF([1]Humus!G98="","",[1]Humus!G98)</f>
        <v>Spices, other</v>
      </c>
      <c r="X98" s="51"/>
      <c r="Y98" s="51" t="str">
        <f>IF([1]C!BF98="","",[1]C!BF98)</f>
        <v>Plant average</v>
      </c>
      <c r="Z98" s="51" t="str">
        <f>IF([1]Humus!AK98="","",[1]Humus!AK98)</f>
        <v>Herbaceous average</v>
      </c>
      <c r="AA98" s="51" t="s">
        <v>456</v>
      </c>
      <c r="AF98" s="83" t="s">
        <v>763</v>
      </c>
    </row>
    <row r="99">
      <c r="A99" s="186" t="s">
        <v>487</v>
      </c>
      <c r="B99" s="187"/>
      <c r="C99" s="63" t="s">
        <v>488</v>
      </c>
      <c r="D99" s="63" t="s">
        <v>488</v>
      </c>
      <c r="E99" s="63" t="s">
        <v>488</v>
      </c>
      <c r="F99" s="63" t="s">
        <v>488</v>
      </c>
      <c r="G99" s="63"/>
      <c r="H99" s="63" t="s">
        <v>488</v>
      </c>
      <c r="I99" s="63" t="s">
        <v>488</v>
      </c>
      <c r="J99" s="63" t="s">
        <v>488</v>
      </c>
      <c r="K99" s="63" t="s">
        <v>488</v>
      </c>
      <c r="L99" s="63" t="s">
        <v>488</v>
      </c>
      <c r="M99" s="63" t="s">
        <v>488</v>
      </c>
      <c r="N99" s="63"/>
      <c r="O99" s="63" t="s">
        <v>488</v>
      </c>
      <c r="P99" s="63"/>
      <c r="Q99" s="63"/>
      <c r="R99" s="63" t="s">
        <v>488</v>
      </c>
      <c r="S99" s="63" t="s">
        <v>553</v>
      </c>
      <c r="T99" s="63"/>
      <c r="U99" s="63"/>
      <c r="V99" s="51" t="str">
        <f>IF([1]C!G99="","",[1]C!G99)</f>
        <v>Chen et al. (2015)</v>
      </c>
      <c r="W99" s="51" t="str">
        <f>IF([1]Humus!G99="","",[1]Humus!G99)</f>
        <v>Oilseeds, other</v>
      </c>
      <c r="X99" s="188"/>
      <c r="Y99" s="51" t="str">
        <f>IF([1]C!BF99="","",[1]C!BF99)</f>
        <v>Plant average</v>
      </c>
      <c r="Z99" s="51" t="str">
        <f>IF([1]Humus!AK99="","",[1]Humus!AK99)</f>
        <v>Herbaceous average</v>
      </c>
      <c r="AA99" s="51" t="s">
        <v>456</v>
      </c>
      <c r="AF99" t="s">
        <v>763</v>
      </c>
      <c r="AG99" s="83"/>
    </row>
    <row r="100">
      <c r="A100" s="186" t="s">
        <v>305</v>
      </c>
      <c r="B100" s="187"/>
      <c r="C100" s="63" t="s">
        <v>549</v>
      </c>
      <c r="D100" s="63" t="s">
        <v>549</v>
      </c>
      <c r="E100" s="63" t="s">
        <v>549</v>
      </c>
      <c r="F100" s="63" t="s">
        <v>549</v>
      </c>
      <c r="G100" s="63"/>
      <c r="H100" s="63" t="s">
        <v>549</v>
      </c>
      <c r="I100" s="63" t="s">
        <v>549</v>
      </c>
      <c r="J100" s="63" t="s">
        <v>549</v>
      </c>
      <c r="K100" s="63" t="s">
        <v>549</v>
      </c>
      <c r="L100" s="63" t="s">
        <v>549</v>
      </c>
      <c r="M100" s="63" t="s">
        <v>549</v>
      </c>
      <c r="N100" s="63"/>
      <c r="O100" s="63" t="s">
        <v>549</v>
      </c>
      <c r="P100" s="63"/>
      <c r="Q100" s="63"/>
      <c r="R100" s="63" t="s">
        <v>549</v>
      </c>
      <c r="S100" s="63" t="s">
        <v>553</v>
      </c>
      <c r="T100" s="63"/>
      <c r="U100" s="63"/>
      <c r="V100" s="63" t="s">
        <v>549</v>
      </c>
      <c r="W100" s="63" t="s">
        <v>549</v>
      </c>
      <c r="X100" s="63"/>
      <c r="Y100" s="51" t="str">
        <f>IF([1]C!BF100="","",[1]C!BF100)</f>
        <v>Plant average</v>
      </c>
      <c r="Z100" s="51" t="str">
        <f>IF([1]Humus!AK100="","",[1]Humus!AK100)</f>
        <v>Herbaceous average</v>
      </c>
      <c r="AA100" s="51" t="s">
        <v>456</v>
      </c>
      <c r="AF100" t="s">
        <v>763</v>
      </c>
      <c r="AG100" s="83"/>
    </row>
    <row r="101">
      <c r="A101" s="44" t="s">
        <v>281</v>
      </c>
      <c r="B101" s="187"/>
      <c r="C101" s="63" t="s">
        <v>551</v>
      </c>
      <c r="D101" s="63" t="s">
        <v>551</v>
      </c>
      <c r="E101" s="63" t="s">
        <v>551</v>
      </c>
      <c r="F101" s="63" t="s">
        <v>551</v>
      </c>
      <c r="G101" s="63"/>
      <c r="H101" s="63" t="s">
        <v>551</v>
      </c>
      <c r="I101" s="63" t="s">
        <v>551</v>
      </c>
      <c r="J101" s="63" t="s">
        <v>551</v>
      </c>
      <c r="K101" s="63" t="s">
        <v>551</v>
      </c>
      <c r="L101" s="63" t="s">
        <v>551</v>
      </c>
      <c r="M101" s="63" t="s">
        <v>551</v>
      </c>
      <c r="N101" s="63" t="s">
        <v>551</v>
      </c>
      <c r="O101" s="63" t="s">
        <v>551</v>
      </c>
      <c r="P101" s="63"/>
      <c r="Q101" s="63"/>
      <c r="R101" s="63" t="s">
        <v>551</v>
      </c>
      <c r="S101" s="63" t="s">
        <v>553</v>
      </c>
      <c r="T101" s="63"/>
      <c r="U101" s="63"/>
      <c r="V101" s="63" t="s">
        <v>551</v>
      </c>
      <c r="W101" s="63" t="s">
        <v>551</v>
      </c>
      <c r="X101" s="63"/>
      <c r="Y101" s="51" t="str">
        <f>IF([1]C!BF101="","",[1]C!BF101)</f>
        <v>Plant average</v>
      </c>
      <c r="Z101" s="51" t="str">
        <f>IF([1]Humus!AK101="","",[1]Humus!AK101)</f>
        <v>Herbaceous average</v>
      </c>
      <c r="AA101" s="51" t="s">
        <v>456</v>
      </c>
      <c r="AF101" t="s">
        <v>763</v>
      </c>
      <c r="AG101" s="83"/>
    </row>
    <row r="102">
      <c r="A102" s="44" t="s">
        <v>280</v>
      </c>
      <c r="B102" s="187"/>
      <c r="C102" s="63" t="s">
        <v>551</v>
      </c>
      <c r="D102" s="63" t="s">
        <v>551</v>
      </c>
      <c r="E102" s="63" t="s">
        <v>551</v>
      </c>
      <c r="F102" s="63" t="s">
        <v>551</v>
      </c>
      <c r="G102" s="63"/>
      <c r="H102" s="63" t="s">
        <v>551</v>
      </c>
      <c r="I102" s="63" t="s">
        <v>551</v>
      </c>
      <c r="J102" s="63" t="s">
        <v>551</v>
      </c>
      <c r="K102" s="63" t="s">
        <v>551</v>
      </c>
      <c r="L102" s="63" t="s">
        <v>551</v>
      </c>
      <c r="M102" s="63" t="s">
        <v>551</v>
      </c>
      <c r="N102" s="63" t="s">
        <v>551</v>
      </c>
      <c r="O102" s="63" t="s">
        <v>551</v>
      </c>
      <c r="P102" s="63"/>
      <c r="Q102" s="63"/>
      <c r="R102" s="63" t="s">
        <v>551</v>
      </c>
      <c r="S102" s="63" t="s">
        <v>553</v>
      </c>
      <c r="T102" s="63"/>
      <c r="U102" s="63"/>
      <c r="V102" s="63" t="s">
        <v>551</v>
      </c>
      <c r="W102" s="63" t="s">
        <v>551</v>
      </c>
      <c r="X102" s="63"/>
      <c r="Y102" s="51" t="str">
        <f>IF([1]C!BF102="","",[1]C!BF102)</f>
        <v>Plant average</v>
      </c>
      <c r="Z102" s="51" t="str">
        <f>IF([1]Humus!AK102="","",[1]Humus!AK102)</f>
        <v>Herbaceous average</v>
      </c>
      <c r="AA102" s="51" t="s">
        <v>456</v>
      </c>
      <c r="AF102" t="s">
        <v>763</v>
      </c>
      <c r="AG102" s="83"/>
    </row>
    <row r="103">
      <c r="A103" s="44" t="str">
        <f>Coefs!B111</f>
        <v>Giant reed</v>
      </c>
      <c r="B103" s="187"/>
      <c r="C103" s="63" t="s">
        <v>551</v>
      </c>
      <c r="D103" s="63" t="s">
        <v>551</v>
      </c>
      <c r="E103" s="63" t="s">
        <v>551</v>
      </c>
      <c r="F103" s="63" t="s">
        <v>551</v>
      </c>
      <c r="G103" s="63"/>
      <c r="H103" s="63" t="s">
        <v>551</v>
      </c>
      <c r="I103" s="63" t="s">
        <v>551</v>
      </c>
      <c r="J103" s="63" t="s">
        <v>551</v>
      </c>
      <c r="K103" s="63" t="s">
        <v>551</v>
      </c>
      <c r="L103" s="63" t="s">
        <v>551</v>
      </c>
      <c r="M103" s="63" t="s">
        <v>551</v>
      </c>
      <c r="N103" s="63" t="s">
        <v>551</v>
      </c>
      <c r="O103" s="51" t="s">
        <v>759</v>
      </c>
      <c r="P103" s="63"/>
      <c r="Q103" s="63"/>
      <c r="R103" s="63" t="s">
        <v>551</v>
      </c>
      <c r="S103" s="63" t="s">
        <v>553</v>
      </c>
      <c r="T103" s="63"/>
      <c r="U103" s="63"/>
      <c r="V103" s="63" t="s">
        <v>551</v>
      </c>
      <c r="W103" s="63" t="s">
        <v>551</v>
      </c>
      <c r="X103" s="63"/>
      <c r="Y103" s="51" t="str">
        <f>IF([1]C!BF103="","",[1]C!BF103)</f>
      </c>
      <c r="Z103" s="51" t="str">
        <f>IF([1]Humus!AK103="","",[1]Humus!AK103)</f>
      </c>
      <c r="AA103" s="51" t="s">
        <v>456</v>
      </c>
      <c r="AF103" t="s">
        <v>763</v>
      </c>
      <c r="AG103" s="83"/>
    </row>
    <row r="104">
      <c r="A104" s="44" t="str">
        <f>Coefs!B112</f>
        <v>Esparto grass</v>
      </c>
      <c r="B104" s="187"/>
      <c r="C104" s="63" t="s">
        <v>551</v>
      </c>
      <c r="D104" s="63" t="s">
        <v>551</v>
      </c>
      <c r="E104" s="63" t="s">
        <v>551</v>
      </c>
      <c r="F104" s="63" t="s">
        <v>551</v>
      </c>
      <c r="G104" s="63"/>
      <c r="H104" s="63" t="s">
        <v>551</v>
      </c>
      <c r="I104" s="63" t="s">
        <v>551</v>
      </c>
      <c r="J104" s="63" t="s">
        <v>551</v>
      </c>
      <c r="K104" s="63" t="s">
        <v>551</v>
      </c>
      <c r="L104" s="63" t="s">
        <v>551</v>
      </c>
      <c r="M104" s="63" t="s">
        <v>551</v>
      </c>
      <c r="N104" s="63" t="s">
        <v>551</v>
      </c>
      <c r="O104" s="51" t="s">
        <v>759</v>
      </c>
      <c r="P104" s="63"/>
      <c r="Q104" s="63"/>
      <c r="R104" s="63" t="s">
        <v>551</v>
      </c>
      <c r="S104" s="63" t="s">
        <v>553</v>
      </c>
      <c r="T104" s="63"/>
      <c r="U104" s="63"/>
      <c r="V104" s="63" t="s">
        <v>551</v>
      </c>
      <c r="W104" s="63" t="s">
        <v>551</v>
      </c>
      <c r="X104" s="63"/>
      <c r="Y104" s="51" t="str">
        <f>IF([1]C!BF104="","",[1]C!BF104)</f>
        <v>Wood average</v>
      </c>
      <c r="Z104" s="51" t="str">
        <f>IF([1]Humus!AK104="","",[1]Humus!AK104)</f>
        <v>Herbaceous average</v>
      </c>
      <c r="AA104" s="51" t="s">
        <v>456</v>
      </c>
      <c r="AF104" t="s">
        <v>763</v>
      </c>
      <c r="AG104" s="83"/>
    </row>
    <row r="105">
      <c r="A105" s="44" t="str">
        <f>Coefs!B113</f>
        <v>Crack willow</v>
      </c>
      <c r="B105" s="187"/>
      <c r="C105" s="63" t="s">
        <v>551</v>
      </c>
      <c r="D105" s="63" t="s">
        <v>551</v>
      </c>
      <c r="E105" s="63" t="s">
        <v>551</v>
      </c>
      <c r="F105" s="63" t="s">
        <v>551</v>
      </c>
      <c r="G105" s="63"/>
      <c r="H105" s="63" t="s">
        <v>551</v>
      </c>
      <c r="I105" s="63" t="s">
        <v>551</v>
      </c>
      <c r="J105" s="63" t="s">
        <v>551</v>
      </c>
      <c r="K105" s="63" t="s">
        <v>551</v>
      </c>
      <c r="L105" s="63" t="s">
        <v>551</v>
      </c>
      <c r="M105" s="63" t="s">
        <v>551</v>
      </c>
      <c r="N105" s="63" t="s">
        <v>551</v>
      </c>
      <c r="O105" s="51" t="s">
        <v>759</v>
      </c>
      <c r="P105" s="63"/>
      <c r="Q105" s="63"/>
      <c r="R105" s="63" t="s">
        <v>551</v>
      </c>
      <c r="S105" s="63" t="s">
        <v>553</v>
      </c>
      <c r="T105" s="63"/>
      <c r="U105" s="63"/>
      <c r="V105" s="63" t="s">
        <v>551</v>
      </c>
      <c r="W105" s="63" t="s">
        <v>551</v>
      </c>
      <c r="X105" s="63"/>
      <c r="Y105" s="51" t="str">
        <f>IF([1]C!BF105="","",[1]C!BF105)</f>
        <v>Wood average</v>
      </c>
      <c r="Z105" s="51" t="str">
        <f>IF([1]Humus!AK105="","",[1]Humus!AK105)</f>
        <v>Herbaceous average</v>
      </c>
      <c r="AA105" s="51" t="s">
        <v>456</v>
      </c>
      <c r="AF105" t="s">
        <v>763</v>
      </c>
      <c r="AG105" s="83"/>
    </row>
    <row r="106">
      <c r="A106" s="44" t="str">
        <f>Coefs!B114</f>
        <v>Flowers</v>
      </c>
      <c r="B106" s="187"/>
      <c r="C106" s="63" t="s">
        <v>552</v>
      </c>
      <c r="D106" s="63" t="s">
        <v>552</v>
      </c>
      <c r="E106" s="63" t="s">
        <v>552</v>
      </c>
      <c r="F106" s="63" t="s">
        <v>552</v>
      </c>
      <c r="G106" s="63"/>
      <c r="H106" s="63" t="s">
        <v>552</v>
      </c>
      <c r="I106" s="63" t="s">
        <v>552</v>
      </c>
      <c r="J106" s="63" t="s">
        <v>552</v>
      </c>
      <c r="K106" s="63" t="s">
        <v>552</v>
      </c>
      <c r="L106" s="63" t="s">
        <v>552</v>
      </c>
      <c r="M106" s="63" t="s">
        <v>552</v>
      </c>
      <c r="N106" s="63" t="s">
        <v>552</v>
      </c>
      <c r="O106" s="63" t="s">
        <v>552</v>
      </c>
      <c r="P106" s="63" t="s">
        <v>552</v>
      </c>
      <c r="Q106" s="63" t="s">
        <v>552</v>
      </c>
      <c r="R106" s="63" t="s">
        <v>552</v>
      </c>
      <c r="S106" s="63" t="s">
        <v>553</v>
      </c>
      <c r="T106" s="63" t="s">
        <v>552</v>
      </c>
      <c r="U106" s="63" t="s">
        <v>552</v>
      </c>
      <c r="V106" s="63" t="s">
        <v>552</v>
      </c>
      <c r="W106" s="63" t="s">
        <v>552</v>
      </c>
      <c r="X106" s="63"/>
      <c r="Y106" s="51" t="str">
        <f>IF([1]C!BF106="","",[1]C!BF106)</f>
        <v>Wood average</v>
      </c>
      <c r="Z106" s="51" t="str">
        <f>IF([1]Humus!AK106="","",[1]Humus!AK106)</f>
        <v>Herbaceous average</v>
      </c>
      <c r="AA106" s="51" t="s">
        <v>456</v>
      </c>
      <c r="AF106" t="s">
        <v>763</v>
      </c>
      <c r="AG106" s="193"/>
    </row>
    <row r="107">
      <c r="A107" s="189" t="s">
        <v>279</v>
      </c>
      <c r="B107" s="118"/>
      <c r="C107" s="63" t="s">
        <v>550</v>
      </c>
      <c r="D107" s="63" t="s">
        <v>550</v>
      </c>
      <c r="E107" s="63" t="s">
        <v>550</v>
      </c>
      <c r="F107" s="63" t="s">
        <v>550</v>
      </c>
      <c r="G107" s="63"/>
      <c r="H107" s="63" t="s">
        <v>550</v>
      </c>
      <c r="I107" s="63" t="s">
        <v>550</v>
      </c>
      <c r="J107" s="63" t="s">
        <v>550</v>
      </c>
      <c r="K107" s="63" t="s">
        <v>550</v>
      </c>
      <c r="L107" s="63" t="s">
        <v>550</v>
      </c>
      <c r="M107" s="63" t="s">
        <v>550</v>
      </c>
      <c r="N107" s="63" t="s">
        <v>550</v>
      </c>
      <c r="O107" s="51" t="s">
        <v>759</v>
      </c>
      <c r="P107" s="63" t="s">
        <v>550</v>
      </c>
      <c r="Q107" s="63" t="s">
        <v>550</v>
      </c>
      <c r="R107" s="63" t="s">
        <v>550</v>
      </c>
      <c r="S107" s="63" t="s">
        <v>553</v>
      </c>
      <c r="T107" s="63" t="s">
        <v>550</v>
      </c>
      <c r="U107" s="63" t="s">
        <v>550</v>
      </c>
      <c r="V107" s="51" t="str">
        <f>IF([1]C!G100="","",[1]C!G100)</f>
        <v>Average of available data</v>
      </c>
      <c r="W107" s="51" t="str">
        <f>IF([1]Humus!G100="","",[1]Humus!G100)</f>
        <v>Herbaceous average</v>
      </c>
      <c r="X107" s="192"/>
      <c r="Y107" s="51" t="str">
        <f>IF([1]C!BF100="","",[1]C!BF100)</f>
        <v>Plant average</v>
      </c>
      <c r="Z107" s="51" t="str">
        <f>IF([1]Humus!AK100="","",[1]Humus!AK100)</f>
        <v>Herbaceous average</v>
      </c>
      <c r="AA107" s="51" t="s">
        <v>456</v>
      </c>
      <c r="AF107" t="s">
        <v>763</v>
      </c>
      <c r="AG107" s="193"/>
    </row>
    <row r="108">
      <c r="A108" s="189" t="s">
        <v>277</v>
      </c>
      <c r="B108" s="118"/>
      <c r="C108" s="192"/>
      <c r="D108" s="194" t="n">
        <v>0.9</v>
      </c>
      <c r="E108" s="194"/>
      <c r="F108" s="195"/>
      <c r="G108" s="195"/>
      <c r="H108" s="196"/>
      <c r="I108" s="197"/>
      <c r="J108" s="197" t="n">
        <v>17.143999999999998</v>
      </c>
      <c r="K108" s="197" t="e">
        <v>#DIV/0!</v>
      </c>
      <c r="L108" s="197" t="n">
        <v>0.25</v>
      </c>
      <c r="M108" s="197"/>
      <c r="N108" s="197"/>
      <c r="O108" s="198"/>
      <c r="P108" s="191"/>
      <c r="Q108" s="191"/>
      <c r="R108" s="192"/>
      <c r="S108" s="63" t="s">
        <v>553</v>
      </c>
      <c r="T108" s="192"/>
      <c r="U108" s="192"/>
      <c r="V108" s="51" t="str">
        <f>IF([1]C!G101="","",[1]C!G101)</f>
        <v>Average of available data</v>
      </c>
      <c r="W108" s="51" t="str">
        <f>IF([1]Humus!G101="","",[1]Humus!G101)</f>
        <v>Herbaceous average</v>
      </c>
      <c r="X108" s="192"/>
      <c r="Y108" s="51" t="str">
        <f>IF([1]C!BF101="","",[1]C!BF101)</f>
        <v>Plant average</v>
      </c>
      <c r="Z108" s="51" t="str">
        <f>IF([1]Humus!AK101="","",[1]Humus!AK101)</f>
        <v>Herbaceous average</v>
      </c>
      <c r="AA108" s="51" t="s">
        <v>456</v>
      </c>
      <c r="AF108" t="s">
        <v>763</v>
      </c>
      <c r="AG108" s="193"/>
    </row>
    <row r="109">
      <c r="A109" s="189" t="s">
        <v>276</v>
      </c>
      <c r="B109" s="118"/>
      <c r="C109" s="192" t="n">
        <v>0.21011178544106462</v>
      </c>
      <c r="D109" s="192" t="n">
        <v>0.91991666666666672</v>
      </c>
      <c r="E109" s="192" t="n">
        <v>0.96249999999999991</v>
      </c>
      <c r="F109" s="192"/>
      <c r="G109" s="192"/>
      <c r="H109" s="192" t="n">
        <v>26.38</v>
      </c>
      <c r="I109" s="192" t="n">
        <v>0</v>
      </c>
      <c r="J109" s="192" t="n">
        <v>25.310928533333335</v>
      </c>
      <c r="K109" s="192" t="e">
        <v>#DIV/0!</v>
      </c>
      <c r="L109" s="192" t="n">
        <v>0.30103346630095612</v>
      </c>
      <c r="M109" s="192"/>
      <c r="N109" s="192"/>
      <c r="O109" s="191"/>
      <c r="P109" s="191"/>
      <c r="Q109" s="191"/>
      <c r="R109" s="192"/>
      <c r="S109" s="63" t="s">
        <v>553</v>
      </c>
      <c r="T109" s="192"/>
      <c r="U109" s="192"/>
      <c r="V109" s="51" t="str">
        <f>IF([1]C!G102="","",[1]C!G102)</f>
        <v>Average of available data</v>
      </c>
      <c r="W109" s="51" t="str">
        <f>IF([1]Humus!G102="","",[1]Humus!G102)</f>
        <v>Average of available data</v>
      </c>
      <c r="X109" s="192"/>
      <c r="Y109" s="51" t="str">
        <f>IF([1]C!BF102="","",[1]C!BF102)</f>
        <v>Plant average</v>
      </c>
      <c r="Z109" s="51" t="str">
        <f>IF([1]Humus!AK102="","",[1]Humus!AK102)</f>
        <v>Herbaceous average</v>
      </c>
      <c r="AA109" s="51" t="s">
        <v>456</v>
      </c>
      <c r="AF109" t="s">
        <v>763</v>
      </c>
      <c r="AG109"/>
    </row>
    <row r="110">
      <c r="A110" s="177" t="str">
        <f>[1]All!B104</f>
        <v>Cocoa beans</v>
      </c>
      <c r="B110" s="178"/>
      <c r="C110" s="183" t="s">
        <v>489</v>
      </c>
      <c r="D110" s="183" t="s">
        <v>490</v>
      </c>
      <c r="E110" s="183" t="s">
        <v>490</v>
      </c>
      <c r="F110" s="63"/>
      <c r="G110" s="63"/>
      <c r="H110" s="182" t="s">
        <v>491</v>
      </c>
      <c r="I110" s="182"/>
      <c r="J110" s="182" t="s">
        <v>491</v>
      </c>
      <c r="K110" s="180" t="s">
        <v>465</v>
      </c>
      <c r="L110" s="183" t="s">
        <v>490</v>
      </c>
      <c r="M110" s="63"/>
      <c r="N110" s="63"/>
      <c r="O110" s="35" t="s">
        <v>576</v>
      </c>
      <c r="P110" s="184"/>
      <c r="Q110" s="184"/>
      <c r="R110" s="63" t="s">
        <v>492</v>
      </c>
      <c r="S110" s="63" t="s">
        <v>489</v>
      </c>
      <c r="T110" s="63"/>
      <c r="U110" s="63"/>
      <c r="V110" s="51" t="str">
        <f>IF([1]C!G104="","",[1]C!G104)</f>
        <v>Treenuts average</v>
      </c>
      <c r="W110" s="51" t="str">
        <f>IF([1]Humus!G104="","",[1]Humus!G104)</f>
        <v>Fruits average</v>
      </c>
      <c r="X110" s="63"/>
      <c r="Y110" s="51" t="str">
        <f>IF([1]C!BF104="","",[1]C!BF104)</f>
        <v>Wood average</v>
      </c>
      <c r="Z110" s="51" t="str">
        <f>IF([1]Humus!AK104="","",[1]Humus!AK104)</f>
        <v>Herbaceous average</v>
      </c>
      <c r="AA110" s="51" t="s">
        <v>456</v>
      </c>
      <c r="AF110" t="s">
        <v>763</v>
      </c>
    </row>
    <row r="111">
      <c r="A111" s="177" t="str">
        <f>[1]All!B105</f>
        <v>Coffee</v>
      </c>
      <c r="B111" s="178"/>
      <c r="C111" s="51" t="s">
        <v>765</v>
      </c>
      <c r="D111" s="183" t="s">
        <v>490</v>
      </c>
      <c r="E111" s="183" t="s">
        <v>490</v>
      </c>
      <c r="F111" s="63"/>
      <c r="G111" s="63"/>
      <c r="H111" s="182" t="s">
        <v>491</v>
      </c>
      <c r="I111" s="182"/>
      <c r="J111" s="182" t="s">
        <v>491</v>
      </c>
      <c r="K111" s="180" t="s">
        <v>465</v>
      </c>
      <c r="L111" s="183" t="s">
        <v>490</v>
      </c>
      <c r="M111" s="63"/>
      <c r="N111" s="63"/>
      <c r="O111" s="35" t="s">
        <v>576</v>
      </c>
      <c r="P111" s="184"/>
      <c r="Q111" s="184"/>
      <c r="R111" s="63" t="s">
        <v>492</v>
      </c>
      <c r="S111" s="63" t="s">
        <v>489</v>
      </c>
      <c r="T111" s="63"/>
      <c r="U111" s="63"/>
      <c r="V111" s="51" t="str">
        <f>IF([1]C!G105="","",[1]C!G105)</f>
        <v>Paula et al. (2011)</v>
      </c>
      <c r="W111" s="51" t="str">
        <f>IF([1]Humus!G105="","",[1]Humus!G105)</f>
        <v>Fruits average</v>
      </c>
      <c r="X111" s="63"/>
      <c r="Y111" s="51" t="str">
        <f>IF([1]C!BF105="","",[1]C!BF105)</f>
        <v>Wood average</v>
      </c>
      <c r="Z111" s="51" t="str">
        <f>IF([1]Humus!AK105="","",[1]Humus!AK105)</f>
        <v>Herbaceous average</v>
      </c>
      <c r="AA111" s="51" t="s">
        <v>456</v>
      </c>
      <c r="AF111" t="s">
        <v>763</v>
      </c>
    </row>
    <row r="112">
      <c r="A112" s="177" t="str">
        <f>[1]All!B106</f>
        <v>Coconut</v>
      </c>
      <c r="B112" s="178"/>
      <c r="C112" s="183" t="s">
        <v>489</v>
      </c>
      <c r="D112" s="180" t="s">
        <v>465</v>
      </c>
      <c r="E112" s="183" t="s">
        <v>493</v>
      </c>
      <c r="F112" s="63"/>
      <c r="G112" s="63"/>
      <c r="H112" s="178" t="s">
        <v>450</v>
      </c>
      <c r="I112" s="178" t="s">
        <v>450</v>
      </c>
      <c r="J112" s="178" t="s">
        <v>450</v>
      </c>
      <c r="K112" s="180" t="s">
        <v>465</v>
      </c>
      <c r="L112" s="180" t="s">
        <v>465</v>
      </c>
      <c r="M112" s="63"/>
      <c r="N112" s="63"/>
      <c r="O112" s="35" t="s">
        <v>576</v>
      </c>
      <c r="P112" s="184"/>
      <c r="Q112" s="184"/>
      <c r="R112" s="51" t="s">
        <v>453</v>
      </c>
      <c r="S112" s="63" t="s">
        <v>489</v>
      </c>
      <c r="T112" s="63"/>
      <c r="U112" s="63"/>
      <c r="V112" s="51" t="str">
        <f>IF([1]C!G106="","",[1]C!G106)</f>
        <v>Fruits average</v>
      </c>
      <c r="W112" s="51" t="str">
        <f>IF([1]Humus!G106="","",[1]Humus!G106)</f>
        <v>Fruits average</v>
      </c>
      <c r="X112" s="63"/>
      <c r="Y112" s="51" t="str">
        <f>IF([1]C!BF106="","",[1]C!BF106)</f>
        <v>Wood average</v>
      </c>
      <c r="Z112" s="51" t="str">
        <f>IF([1]Humus!AK106="","",[1]Humus!AK106)</f>
        <v>Herbaceous average</v>
      </c>
      <c r="AA112" s="51" t="s">
        <v>456</v>
      </c>
      <c r="AF112" t="s">
        <v>763</v>
      </c>
    </row>
    <row r="113">
      <c r="A113" s="177" t="str">
        <f>[1]All!B107</f>
        <v>Pineapple</v>
      </c>
      <c r="B113" s="178"/>
      <c r="C113" s="51" t="s">
        <v>494</v>
      </c>
      <c r="D113" s="180" t="s">
        <v>465</v>
      </c>
      <c r="E113" s="183"/>
      <c r="F113" s="63"/>
      <c r="G113" s="63"/>
      <c r="H113" s="178"/>
      <c r="I113" s="178"/>
      <c r="J113" s="178" t="s">
        <v>450</v>
      </c>
      <c r="K113" s="180" t="s">
        <v>465</v>
      </c>
      <c r="L113" s="180" t="s">
        <v>465</v>
      </c>
      <c r="M113" s="63"/>
      <c r="N113" s="63"/>
      <c r="O113" s="35" t="s">
        <v>576</v>
      </c>
      <c r="P113" s="184"/>
      <c r="Q113" s="184"/>
      <c r="R113" s="51" t="s">
        <v>453</v>
      </c>
      <c r="S113" s="63" t="s">
        <v>489</v>
      </c>
      <c r="T113" s="63"/>
      <c r="U113" s="63"/>
      <c r="V113" s="51" t="str">
        <f>IF([1]C!G107="","",[1]C!G107)</f>
        <v>Fruits average</v>
      </c>
      <c r="W113" s="51" t="str">
        <f>IF([1]Humus!G107="","",[1]Humus!G107)</f>
        <v>Fruits average</v>
      </c>
      <c r="X113" s="63"/>
      <c r="Y113" s="51" t="str">
        <f>IF([1]C!BF107="","",[1]C!BF107)</f>
        <v>Wood average</v>
      </c>
      <c r="Z113" s="51" t="str">
        <f>IF([1]Humus!AK107="","",[1]Humus!AK107)</f>
        <v>Herbaceous average</v>
      </c>
      <c r="AA113" s="51" t="s">
        <v>456</v>
      </c>
      <c r="AF113" t="s">
        <v>763</v>
      </c>
    </row>
    <row r="114">
      <c r="A114" s="177" t="str">
        <f>[1]All!B108</f>
        <v>Dates</v>
      </c>
      <c r="B114" s="178"/>
      <c r="C114" s="183" t="s">
        <v>489</v>
      </c>
      <c r="D114" s="180" t="s">
        <v>465</v>
      </c>
      <c r="E114" s="183"/>
      <c r="F114" s="63"/>
      <c r="G114" s="63"/>
      <c r="H114" s="178"/>
      <c r="I114" s="178"/>
      <c r="J114" s="178" t="s">
        <v>450</v>
      </c>
      <c r="K114" s="180" t="s">
        <v>465</v>
      </c>
      <c r="L114" s="180" t="s">
        <v>465</v>
      </c>
      <c r="M114" s="63"/>
      <c r="N114" s="63"/>
      <c r="O114" s="184"/>
      <c r="P114" s="184"/>
      <c r="Q114" s="184"/>
      <c r="R114" s="51" t="s">
        <v>453</v>
      </c>
      <c r="S114" s="63" t="s">
        <v>489</v>
      </c>
      <c r="T114" s="63"/>
      <c r="U114" s="63"/>
      <c r="V114" s="51" t="str">
        <f>IF([1]C!G108="","",[1]C!G108)</f>
        <v>Fruits average</v>
      </c>
      <c r="W114" s="51" t="str">
        <f>IF([1]Humus!G108="","",[1]Humus!G108)</f>
        <v>Fruits average</v>
      </c>
      <c r="X114" s="63"/>
      <c r="Y114" s="51" t="str">
        <f>IF([1]C!BF108="","",[1]C!BF108)</f>
        <v>Wood average</v>
      </c>
      <c r="Z114" s="51" t="str">
        <f>IF([1]Humus!AK108="","",[1]Humus!AK108)</f>
        <v>Herbaceous average</v>
      </c>
      <c r="AA114" s="51" t="s">
        <v>456</v>
      </c>
      <c r="AF114" t="s">
        <v>763</v>
      </c>
    </row>
    <row r="115">
      <c r="A115" s="177" t="str">
        <f>[1]All!B109</f>
        <v>Carob</v>
      </c>
      <c r="B115" s="178"/>
      <c r="C115" s="183" t="s">
        <v>489</v>
      </c>
      <c r="D115" s="183" t="s">
        <v>490</v>
      </c>
      <c r="E115" s="183" t="s">
        <v>490</v>
      </c>
      <c r="F115" s="63"/>
      <c r="G115" s="63"/>
      <c r="H115" s="182" t="s">
        <v>491</v>
      </c>
      <c r="I115" s="182" t="s">
        <v>491</v>
      </c>
      <c r="J115" s="178" t="s">
        <v>450</v>
      </c>
      <c r="K115" s="182" t="str">
        <f>K$142</f>
        <v>Average of fruit trees with available data</v>
      </c>
      <c r="L115" s="63" t="n">
        <v>0.36816497502819395</v>
      </c>
      <c r="M115" s="63"/>
      <c r="N115" s="63"/>
      <c r="O115" s="184" t="n">
        <v>8.4805653710247342E-3</v>
      </c>
      <c r="P115" s="184" t="n">
        <v>1.2956419316843347E-3</v>
      </c>
      <c r="Q115" s="184" t="n">
        <v>8.8339222614840993E-3</v>
      </c>
      <c r="R115" s="63" t="s">
        <v>492</v>
      </c>
      <c r="S115" s="63" t="s">
        <v>489</v>
      </c>
      <c r="T115" s="63"/>
      <c r="U115" s="63"/>
      <c r="V115" s="51" t="str">
        <f>IF([1]C!G109="","",[1]C!G109)</f>
        <v>Treenuts average</v>
      </c>
      <c r="W115" s="51" t="str">
        <f>IF([1]Humus!G109="","",[1]Humus!G109)</f>
        <v>Fruits average</v>
      </c>
      <c r="X115" s="63"/>
      <c r="Y115" s="51" t="str">
        <f>IF([1]C!BF109="","",[1]C!BF109)</f>
        <v>Wood average</v>
      </c>
      <c r="Z115" s="51" t="str">
        <f>IF([1]Humus!AK109="","",[1]Humus!AK109)</f>
        <v>Herbaceous average</v>
      </c>
      <c r="AA115" s="51" t="s">
        <v>456</v>
      </c>
      <c r="AF115" t="s">
        <v>763</v>
      </c>
    </row>
    <row r="116">
      <c r="A116" s="177" t="s">
        <v>265</v>
      </c>
      <c r="B116" s="178"/>
      <c r="C116" s="51" t="s">
        <v>451</v>
      </c>
      <c r="D116" s="178" t="s">
        <v>450</v>
      </c>
      <c r="E116" s="183" t="s">
        <v>489</v>
      </c>
      <c r="F116" s="179"/>
      <c r="G116" s="179"/>
      <c r="H116" s="178" t="s">
        <v>450</v>
      </c>
      <c r="I116" s="178" t="s">
        <v>450</v>
      </c>
      <c r="J116" s="178" t="s">
        <v>450</v>
      </c>
      <c r="K116" s="182" t="str">
        <f>K$142</f>
        <v>Average of fruit trees with available data</v>
      </c>
      <c r="L116" s="178" t="s">
        <v>450</v>
      </c>
      <c r="M116" s="178"/>
      <c r="N116" s="178"/>
      <c r="O116" s="35" t="s">
        <v>576</v>
      </c>
      <c r="P116" s="35"/>
      <c r="Q116" s="35"/>
      <c r="R116" s="63" t="s">
        <v>492</v>
      </c>
      <c r="S116" s="63" t="s">
        <v>489</v>
      </c>
      <c r="T116" s="51"/>
      <c r="U116" s="51"/>
      <c r="V116" s="51" t="str">
        <f>IF([1]C!G110="","",[1]C!G110)</f>
        <v>Fruits average</v>
      </c>
      <c r="W116" s="51" t="str">
        <f>IF([1]Humus!G110="","",[1]Humus!G110)</f>
        <v>Fruits average</v>
      </c>
      <c r="X116" s="51"/>
      <c r="Y116" s="51" t="str">
        <f>IF([1]C!BF110="","",[1]C!BF110)</f>
        <v>Wood average</v>
      </c>
      <c r="Z116" s="51" t="str">
        <f>IF([1]Humus!AK110="","",[1]Humus!AK110)</f>
        <v>Herbaceous average</v>
      </c>
      <c r="AA116" s="51" t="s">
        <v>456</v>
      </c>
      <c r="AF116" t="s">
        <v>763</v>
      </c>
    </row>
    <row r="117">
      <c r="A117" s="177" t="s">
        <v>264</v>
      </c>
      <c r="B117" s="178"/>
      <c r="C117" s="183" t="s">
        <v>489</v>
      </c>
      <c r="D117" s="183" t="s">
        <v>489</v>
      </c>
      <c r="E117" s="183" t="s">
        <v>489</v>
      </c>
      <c r="F117" s="179"/>
      <c r="G117" s="179"/>
      <c r="H117" s="178" t="s">
        <v>450</v>
      </c>
      <c r="I117" s="178" t="s">
        <v>450</v>
      </c>
      <c r="J117" s="178" t="s">
        <v>450</v>
      </c>
      <c r="K117" s="182" t="str">
        <f>K$142</f>
        <v>Average of fruit trees with available data</v>
      </c>
      <c r="L117" s="178" t="s">
        <v>450</v>
      </c>
      <c r="M117" s="178"/>
      <c r="N117" s="178"/>
      <c r="O117" s="35" t="s">
        <v>576</v>
      </c>
      <c r="P117" s="35"/>
      <c r="Q117" s="35"/>
      <c r="R117" s="63" t="s">
        <v>492</v>
      </c>
      <c r="S117" s="63" t="s">
        <v>489</v>
      </c>
      <c r="T117" s="51"/>
      <c r="U117" s="51"/>
      <c r="V117" s="51" t="str">
        <f>IF([1]C!G111="","",[1]C!G111)</f>
        <v>Fruits average</v>
      </c>
      <c r="W117" s="51" t="str">
        <f>IF([1]Humus!G111="","",[1]Humus!G111)</f>
        <v>Fruits average</v>
      </c>
      <c r="X117" s="51"/>
      <c r="Y117" s="51" t="str">
        <f>IF([1]C!BF111="","",[1]C!BF111)</f>
        <v>Wood average</v>
      </c>
      <c r="Z117" s="51" t="str">
        <f>IF([1]Humus!AK111="","",[1]Humus!AK111)</f>
        <v>Herbaceous average</v>
      </c>
      <c r="AA117" s="51" t="s">
        <v>456</v>
      </c>
      <c r="AF117" t="s">
        <v>763</v>
      </c>
    </row>
    <row r="118">
      <c r="A118" s="177" t="s">
        <v>263</v>
      </c>
      <c r="B118" s="178"/>
      <c r="C118" s="185" t="s">
        <v>495</v>
      </c>
      <c r="D118" s="183" t="s">
        <v>496</v>
      </c>
      <c r="E118" s="178" t="s">
        <v>450</v>
      </c>
      <c r="F118" s="179"/>
      <c r="G118" s="179"/>
      <c r="H118" s="178" t="s">
        <v>450</v>
      </c>
      <c r="I118" s="178" t="s">
        <v>450</v>
      </c>
      <c r="J118" s="178" t="s">
        <v>450</v>
      </c>
      <c r="K118" s="178" t="s">
        <v>450</v>
      </c>
      <c r="L118" s="178" t="s">
        <v>450</v>
      </c>
      <c r="M118" s="178"/>
      <c r="N118" s="178"/>
      <c r="O118" s="35"/>
      <c r="P118" s="35"/>
      <c r="Q118" s="35"/>
      <c r="R118" s="63" t="s">
        <v>492</v>
      </c>
      <c r="S118" s="63" t="s">
        <v>489</v>
      </c>
      <c r="T118" s="51"/>
      <c r="U118" s="51"/>
      <c r="V118" s="51" t="str">
        <f>IF([1]C!G112="","",[1]C!G112)</f>
        <v>Citrus average</v>
      </c>
      <c r="W118" s="51" t="str">
        <f>IF([1]Humus!G112="","",[1]Humus!G112)</f>
        <v>Fruits average</v>
      </c>
      <c r="X118" s="51"/>
      <c r="Y118" s="51" t="str">
        <f>IF([1]C!BF112="","",[1]C!BF112)</f>
        <v>Wood average</v>
      </c>
      <c r="Z118" s="51" t="str">
        <f>IF([1]Humus!AK112="","",[1]Humus!AK112)</f>
        <v>Herbaceous average</v>
      </c>
      <c r="AA118" s="51" t="s">
        <v>456</v>
      </c>
      <c r="AF118" t="s">
        <v>763</v>
      </c>
    </row>
    <row r="119">
      <c r="A119" s="177" t="s">
        <v>262</v>
      </c>
      <c r="B119" s="178"/>
      <c r="C119" s="185" t="s">
        <v>495</v>
      </c>
      <c r="D119" s="183" t="s">
        <v>496</v>
      </c>
      <c r="E119" s="178" t="s">
        <v>450</v>
      </c>
      <c r="F119" s="179"/>
      <c r="G119" s="179"/>
      <c r="H119" s="178" t="s">
        <v>450</v>
      </c>
      <c r="I119" s="178" t="s">
        <v>450</v>
      </c>
      <c r="J119" s="178" t="s">
        <v>450</v>
      </c>
      <c r="K119" s="178" t="s">
        <v>450</v>
      </c>
      <c r="L119" s="178" t="s">
        <v>450</v>
      </c>
      <c r="M119" s="178"/>
      <c r="N119" s="178"/>
      <c r="O119" s="35"/>
      <c r="P119" s="35"/>
      <c r="Q119" s="35"/>
      <c r="R119" s="63" t="s">
        <v>492</v>
      </c>
      <c r="S119" s="63" t="s">
        <v>489</v>
      </c>
      <c r="T119" s="51"/>
      <c r="U119" s="51"/>
      <c r="V119" s="51" t="str">
        <f>IF([1]C!G113="","",[1]C!G113)</f>
        <v>Citrus average</v>
      </c>
      <c r="W119" s="51" t="str">
        <f>IF([1]Humus!G113="","",[1]Humus!G113)</f>
        <v>Fruits average</v>
      </c>
      <c r="X119" s="51"/>
      <c r="Y119" s="51" t="str">
        <f>IF([1]C!BF113="","",[1]C!BF113)</f>
        <v>Wood average</v>
      </c>
      <c r="Z119" s="51" t="str">
        <f>IF([1]Humus!AK113="","",[1]Humus!AK113)</f>
        <v>Herbaceous average</v>
      </c>
      <c r="AA119" s="51" t="s">
        <v>456</v>
      </c>
      <c r="AF119" t="s">
        <v>763</v>
      </c>
    </row>
    <row r="120">
      <c r="A120" s="177" t="s">
        <v>261</v>
      </c>
      <c r="B120" s="178"/>
      <c r="C120" s="185" t="s">
        <v>495</v>
      </c>
      <c r="D120" s="178" t="s">
        <v>450</v>
      </c>
      <c r="E120" s="178" t="s">
        <v>450</v>
      </c>
      <c r="F120" s="179"/>
      <c r="G120" s="179"/>
      <c r="H120" s="178" t="s">
        <v>450</v>
      </c>
      <c r="I120" s="178" t="s">
        <v>450</v>
      </c>
      <c r="J120" s="178" t="s">
        <v>450</v>
      </c>
      <c r="K120" s="178" t="s">
        <v>450</v>
      </c>
      <c r="L120" s="214" t="s">
        <v>767</v>
      </c>
      <c r="M120" s="178"/>
      <c r="N120" s="178"/>
      <c r="O120" s="35"/>
      <c r="P120" s="35"/>
      <c r="Q120" s="35"/>
      <c r="R120" s="63" t="s">
        <v>492</v>
      </c>
      <c r="S120" s="63" t="s">
        <v>489</v>
      </c>
      <c r="T120" s="51"/>
      <c r="U120" s="51"/>
      <c r="V120" s="51" t="str">
        <f>IF([1]C!G114="","",[1]C!G114)</f>
        <v>Kimball et al. (2007), ECN (2017)</v>
      </c>
      <c r="W120" s="51" t="str">
        <f>IF([1]Humus!G114="","",[1]Humus!G114)</f>
        <v>Fruits average</v>
      </c>
      <c r="X120" s="51"/>
      <c r="Y120" s="51" t="str">
        <f>IF([1]C!BF114="","",[1]C!BF114)</f>
        <v>Kimball et al. (2007)</v>
      </c>
      <c r="Z120" s="51" t="str">
        <f>IF([1]Humus!AK114="","",[1]Humus!AK114)</f>
        <v>Herbaceous average</v>
      </c>
      <c r="AA120" s="51" t="s">
        <v>456</v>
      </c>
      <c r="AF120" t="s">
        <v>763</v>
      </c>
    </row>
    <row r="121">
      <c r="A121" s="177" t="s">
        <v>260</v>
      </c>
      <c r="B121" s="178"/>
      <c r="C121" s="183" t="s">
        <v>489</v>
      </c>
      <c r="D121" s="178" t="s">
        <v>450</v>
      </c>
      <c r="E121" s="178" t="s">
        <v>450</v>
      </c>
      <c r="F121" s="179"/>
      <c r="G121" s="179"/>
      <c r="H121" s="182" t="s">
        <v>491</v>
      </c>
      <c r="I121" s="182" t="s">
        <v>491</v>
      </c>
      <c r="J121" s="178" t="s">
        <v>450</v>
      </c>
      <c r="K121" s="183" t="s">
        <v>490</v>
      </c>
      <c r="L121" s="63" t="n">
        <v>0.36816497502819395</v>
      </c>
      <c r="M121" s="63"/>
      <c r="N121" s="178"/>
      <c r="O121" s="35"/>
      <c r="P121" s="35"/>
      <c r="Q121" s="35"/>
      <c r="R121" s="63" t="s">
        <v>492</v>
      </c>
      <c r="S121" s="199" t="s">
        <v>497</v>
      </c>
      <c r="T121" s="154"/>
      <c r="U121" s="177"/>
      <c r="V121" s="51" t="str">
        <f>IF([1]C!G115="","",[1]C!G115)</f>
        <v>Bilandzija et al. (2012)</v>
      </c>
      <c r="W121" s="51" t="str">
        <f>IF([1]Humus!G115="","",[1]Humus!G115)</f>
        <v>Fruits average</v>
      </c>
      <c r="X121" s="51"/>
      <c r="Y121" s="51" t="str">
        <f>IF([1]C!BF115="","",[1]C!BF115)</f>
        <v>Wood average</v>
      </c>
      <c r="Z121" s="51" t="str">
        <f>IF([1]Humus!AK115="","",[1]Humus!AK115)</f>
        <v>Herbaceous average</v>
      </c>
      <c r="AA121" s="51" t="s">
        <v>456</v>
      </c>
      <c r="AF121" t="s">
        <v>763</v>
      </c>
    </row>
    <row r="122">
      <c r="A122" s="177" t="s">
        <v>259</v>
      </c>
      <c r="B122" s="178"/>
      <c r="C122" s="185" t="s">
        <v>453</v>
      </c>
      <c r="D122" s="185" t="s">
        <v>453</v>
      </c>
      <c r="E122" s="183" t="s">
        <v>498</v>
      </c>
      <c r="F122" s="179"/>
      <c r="G122" s="179"/>
      <c r="H122" s="182" t="s">
        <v>491</v>
      </c>
      <c r="I122" s="182"/>
      <c r="J122" s="182" t="s">
        <v>491</v>
      </c>
      <c r="K122" s="51" t="s">
        <v>465</v>
      </c>
      <c r="L122" s="178" t="s">
        <v>450</v>
      </c>
      <c r="M122" s="178"/>
      <c r="N122" s="178"/>
      <c r="O122" s="35" t="s">
        <v>576</v>
      </c>
      <c r="P122" s="35"/>
      <c r="Q122" s="35"/>
      <c r="R122" s="51" t="s">
        <v>453</v>
      </c>
      <c r="S122" s="63" t="s">
        <v>489</v>
      </c>
      <c r="T122" s="35"/>
      <c r="U122" s="35"/>
      <c r="V122" s="51" t="str">
        <f>IF([1]C!G116="","",[1]C!G116)</f>
        <v>Fruits average</v>
      </c>
      <c r="W122" s="51" t="str">
        <f>IF([1]Humus!G116="","",[1]Humus!G116)</f>
        <v>Fruits average</v>
      </c>
      <c r="X122" s="51"/>
      <c r="Y122" s="51" t="str">
        <f>IF([1]C!BF116="","",[1]C!BF116)</f>
        <v>Wood average</v>
      </c>
      <c r="Z122" s="51" t="str">
        <f>IF([1]Humus!AK116="","",[1]Humus!AK116)</f>
        <v>Herbaceous average</v>
      </c>
      <c r="AA122" s="51" t="s">
        <v>456</v>
      </c>
      <c r="AF122" t="s">
        <v>763</v>
      </c>
    </row>
    <row r="123">
      <c r="A123" s="177" t="s">
        <v>258</v>
      </c>
      <c r="B123" s="178"/>
      <c r="C123" s="183" t="s">
        <v>489</v>
      </c>
      <c r="D123" s="178" t="s">
        <v>450</v>
      </c>
      <c r="E123" s="178" t="s">
        <v>450</v>
      </c>
      <c r="F123" s="179"/>
      <c r="G123" s="179"/>
      <c r="H123" s="178" t="s">
        <v>450</v>
      </c>
      <c r="I123" s="178" t="s">
        <v>450</v>
      </c>
      <c r="J123" s="178" t="s">
        <v>450</v>
      </c>
      <c r="K123" s="182" t="str">
        <f>K$142</f>
        <v>Average of fruit trees with available data</v>
      </c>
      <c r="L123" s="178" t="s">
        <v>450</v>
      </c>
      <c r="M123" s="178"/>
      <c r="N123" s="178"/>
      <c r="O123" s="35"/>
      <c r="P123" s="35"/>
      <c r="Q123" s="35"/>
      <c r="R123" s="63" t="s">
        <v>492</v>
      </c>
      <c r="S123" s="199" t="s">
        <v>497</v>
      </c>
      <c r="T123" s="154"/>
      <c r="U123" s="177"/>
      <c r="V123" s="51" t="str">
        <f>IF([1]C!G117="","",[1]C!G117)</f>
        <v>Bilandzija et al. (2012)</v>
      </c>
      <c r="W123" s="51" t="str">
        <f>IF([1]Humus!G117="","",[1]Humus!G117)</f>
        <v>Fruits average</v>
      </c>
      <c r="X123" s="51"/>
      <c r="Y123" s="51" t="str">
        <f>IF([1]C!BF117="","",[1]C!BF117)</f>
        <v>Wood average</v>
      </c>
      <c r="Z123" s="51" t="str">
        <f>IF([1]Humus!AK117="","",[1]Humus!AK117)</f>
        <v>Herbaceous average</v>
      </c>
      <c r="AA123" s="51" t="s">
        <v>456</v>
      </c>
      <c r="AF123" t="s">
        <v>763</v>
      </c>
    </row>
    <row r="124">
      <c r="A124" s="177" t="s">
        <v>257</v>
      </c>
      <c r="B124" s="178"/>
      <c r="C124" s="183" t="s">
        <v>489</v>
      </c>
      <c r="D124" s="178" t="s">
        <v>450</v>
      </c>
      <c r="E124" s="178" t="s">
        <v>450</v>
      </c>
      <c r="F124" s="179"/>
      <c r="G124" s="179"/>
      <c r="H124" s="178" t="s">
        <v>450</v>
      </c>
      <c r="I124" s="178" t="s">
        <v>450</v>
      </c>
      <c r="J124" s="178" t="s">
        <v>450</v>
      </c>
      <c r="K124" s="183" t="s">
        <v>490</v>
      </c>
      <c r="L124" s="178" t="s">
        <v>450</v>
      </c>
      <c r="M124" s="178"/>
      <c r="N124" s="178"/>
      <c r="O124" s="35"/>
      <c r="P124" s="35"/>
      <c r="Q124" s="35"/>
      <c r="R124" s="63" t="s">
        <v>492</v>
      </c>
      <c r="S124" s="199" t="s">
        <v>497</v>
      </c>
      <c r="T124" s="154"/>
      <c r="U124" s="177"/>
      <c r="V124" s="51" t="str">
        <f>IF([1]C!G118="","",[1]C!G118)</f>
        <v>Bilandzija et al. (2012), ECN (2017) (2)</v>
      </c>
      <c r="W124" s="51" t="str">
        <f>IF([1]Humus!G118="","",[1]Humus!G118)</f>
        <v>Fruits average</v>
      </c>
      <c r="X124" s="51"/>
      <c r="Y124" s="51" t="str">
        <f>IF([1]C!BF118="","",[1]C!BF118)</f>
        <v>Wood average</v>
      </c>
      <c r="Z124" s="51" t="str">
        <f>IF([1]Humus!AK118="","",[1]Humus!AK118)</f>
        <v>Herbaceous average</v>
      </c>
      <c r="AA124" s="51" t="s">
        <v>456</v>
      </c>
      <c r="AF124" t="s">
        <v>763</v>
      </c>
    </row>
    <row r="125">
      <c r="A125" s="177" t="s">
        <v>256</v>
      </c>
      <c r="B125" s="178"/>
      <c r="C125" s="183" t="s">
        <v>489</v>
      </c>
      <c r="D125" s="178" t="s">
        <v>450</v>
      </c>
      <c r="E125" s="183" t="s">
        <v>490</v>
      </c>
      <c r="F125" s="179"/>
      <c r="G125" s="179"/>
      <c r="H125" s="178" t="s">
        <v>450</v>
      </c>
      <c r="I125" s="178" t="s">
        <v>450</v>
      </c>
      <c r="J125" s="178" t="s">
        <v>450</v>
      </c>
      <c r="K125" s="183" t="s">
        <v>490</v>
      </c>
      <c r="L125" s="63" t="n">
        <v>0.36816497502819395</v>
      </c>
      <c r="M125" s="63"/>
      <c r="N125" s="63"/>
      <c r="O125" s="35"/>
      <c r="P125" s="35"/>
      <c r="Q125" s="35"/>
      <c r="R125" s="63" t="s">
        <v>492</v>
      </c>
      <c r="S125" s="63" t="s">
        <v>489</v>
      </c>
      <c r="T125" s="35"/>
      <c r="U125" s="35"/>
      <c r="V125" s="51" t="str">
        <f>IF([1]C!G119="","",[1]C!G119)</f>
        <v>Treenuts average</v>
      </c>
      <c r="W125" s="51" t="str">
        <f>IF([1]Humus!G119="","",[1]Humus!G119)</f>
        <v>Fruits average</v>
      </c>
      <c r="X125" s="51"/>
      <c r="Y125" s="51" t="str">
        <f>IF([1]C!BF119="","",[1]C!BF119)</f>
        <v>Wood average</v>
      </c>
      <c r="Z125" s="51" t="str">
        <f>IF([1]Humus!AK119="","",[1]Humus!AK119)</f>
        <v>Herbaceous average</v>
      </c>
      <c r="AA125" s="51" t="s">
        <v>456</v>
      </c>
      <c r="AF125" t="s">
        <v>763</v>
      </c>
    </row>
    <row r="126">
      <c r="A126" s="177" t="s">
        <v>255</v>
      </c>
      <c r="B126" s="178"/>
      <c r="C126" s="183" t="s">
        <v>489</v>
      </c>
      <c r="D126" s="178" t="s">
        <v>450</v>
      </c>
      <c r="E126" s="178" t="s">
        <v>450</v>
      </c>
      <c r="F126" s="179"/>
      <c r="G126" s="179"/>
      <c r="H126" s="178" t="s">
        <v>450</v>
      </c>
      <c r="I126" s="178" t="s">
        <v>450</v>
      </c>
      <c r="J126" s="178" t="s">
        <v>450</v>
      </c>
      <c r="K126" s="178" t="s">
        <v>450</v>
      </c>
      <c r="L126" s="214" t="s">
        <v>767</v>
      </c>
      <c r="M126" s="178"/>
      <c r="N126" s="178"/>
      <c r="O126" s="35"/>
      <c r="P126" s="35"/>
      <c r="Q126" s="35"/>
      <c r="R126" s="63" t="s">
        <v>492</v>
      </c>
      <c r="S126" s="199" t="s">
        <v>497</v>
      </c>
      <c r="T126" s="154"/>
      <c r="U126" s="177"/>
      <c r="V126" s="51" t="str">
        <f>IF([1]C!G120="","",[1]C!G120)</f>
        <v>Bilandzija et al. (2012), Zanotelli et al. (2013)</v>
      </c>
      <c r="W126" s="51" t="str">
        <f>IF([1]Humus!G120="","",[1]Humus!G120)</f>
        <v>Fruits average</v>
      </c>
      <c r="X126" s="51"/>
      <c r="Y126" s="51" t="str">
        <f>IF([1]C!BF120="","",[1]C!BF120)</f>
        <v>Zanotelli et al. (2013)</v>
      </c>
      <c r="Z126" s="51" t="str">
        <f>IF([1]Humus!AK120="","",[1]Humus!AK120)</f>
        <v>Herbaceous average</v>
      </c>
      <c r="AA126" s="51" t="s">
        <v>456</v>
      </c>
      <c r="AF126" t="s">
        <v>763</v>
      </c>
    </row>
    <row r="127">
      <c r="A127" s="177" t="s">
        <v>254</v>
      </c>
      <c r="B127" s="178"/>
      <c r="C127" s="51" t="s">
        <v>465</v>
      </c>
      <c r="D127" s="178" t="s">
        <v>450</v>
      </c>
      <c r="E127" s="183" t="s">
        <v>498</v>
      </c>
      <c r="F127" s="179"/>
      <c r="G127" s="179"/>
      <c r="H127" s="178" t="s">
        <v>450</v>
      </c>
      <c r="I127" s="178" t="s">
        <v>450</v>
      </c>
      <c r="J127" s="178" t="s">
        <v>450</v>
      </c>
      <c r="K127" s="182" t="str">
        <f>K$142</f>
        <v>Average of fruit trees with available data</v>
      </c>
      <c r="L127" s="178" t="s">
        <v>450</v>
      </c>
      <c r="M127" s="178"/>
      <c r="N127" s="178"/>
      <c r="O127" s="35"/>
      <c r="P127" s="35"/>
      <c r="Q127" s="35"/>
      <c r="R127" s="63" t="s">
        <v>492</v>
      </c>
      <c r="S127" s="63" t="s">
        <v>489</v>
      </c>
      <c r="T127" s="35"/>
      <c r="U127" s="35"/>
      <c r="V127" s="51" t="str">
        <f>IF([1]C!G121="","",[1]C!G121)</f>
        <v>Fruits average</v>
      </c>
      <c r="W127" s="51" t="str">
        <f>IF([1]Humus!G121="","",[1]Humus!G121)</f>
        <v>Fruits average</v>
      </c>
      <c r="X127" s="51"/>
      <c r="Y127" s="51" t="str">
        <f>IF([1]C!BF121="","",[1]C!BF121)</f>
        <v>Wood average</v>
      </c>
      <c r="Z127" s="51" t="str">
        <f>IF([1]Humus!AK121="","",[1]Humus!AK121)</f>
        <v>Herbaceous average</v>
      </c>
      <c r="AA127" s="51" t="s">
        <v>456</v>
      </c>
      <c r="AF127" t="s">
        <v>763</v>
      </c>
    </row>
    <row r="128">
      <c r="A128" s="177" t="s">
        <v>253</v>
      </c>
      <c r="B128" s="178" t="n">
        <v>3604.4444444444439</v>
      </c>
      <c r="C128" s="51" t="s">
        <v>451</v>
      </c>
      <c r="D128" s="178" t="s">
        <v>450</v>
      </c>
      <c r="E128" s="178" t="s">
        <v>450</v>
      </c>
      <c r="F128" s="179"/>
      <c r="G128" s="179"/>
      <c r="H128" s="178" t="s">
        <v>450</v>
      </c>
      <c r="I128" s="180"/>
      <c r="J128" s="178" t="s">
        <v>450</v>
      </c>
      <c r="K128" s="178" t="s">
        <v>450</v>
      </c>
      <c r="L128" s="214" t="s">
        <v>767</v>
      </c>
      <c r="M128" s="178"/>
      <c r="N128" s="178"/>
      <c r="O128" s="35" t="s">
        <v>576</v>
      </c>
      <c r="P128" s="35"/>
      <c r="Q128" s="35"/>
      <c r="R128" s="63" t="s">
        <v>492</v>
      </c>
      <c r="S128" s="199" t="s">
        <v>499</v>
      </c>
      <c r="T128" s="154"/>
      <c r="U128" s="177"/>
      <c r="V128" s="51" t="str">
        <f>IF([1]C!G122="","",[1]C!G122)</f>
        <v>Bilandzija et al. (2012), Gómez-Muñoz et al. (2016), ECN (2017) (2)</v>
      </c>
      <c r="W128" s="51" t="str">
        <f>IF([1]Humus!G122="","",[1]Humus!G122)</f>
        <v>Fruits average</v>
      </c>
      <c r="X128" s="51"/>
      <c r="Y128" s="51" t="str">
        <f>IF([1]C!BF122="","",[1]C!BF122)</f>
        <v>Wood average</v>
      </c>
      <c r="Z128" s="51" t="str">
        <f>IF([1]Humus!AK122="","",[1]Humus!AK122)</f>
        <v>Herbaceous average</v>
      </c>
      <c r="AA128" s="51" t="s">
        <v>456</v>
      </c>
      <c r="AF128" t="s">
        <v>763</v>
      </c>
    </row>
    <row r="129">
      <c r="A129" s="177" t="s">
        <v>252</v>
      </c>
      <c r="B129" s="178" t="n">
        <v>0</v>
      </c>
      <c r="C129" s="51" t="s">
        <v>451</v>
      </c>
      <c r="D129" s="185" t="s">
        <v>500</v>
      </c>
      <c r="E129" s="183" t="s">
        <v>489</v>
      </c>
      <c r="F129" s="179"/>
      <c r="G129" s="179"/>
      <c r="H129" s="178" t="s">
        <v>450</v>
      </c>
      <c r="I129" s="178" t="s">
        <v>450</v>
      </c>
      <c r="J129" s="178" t="s">
        <v>450</v>
      </c>
      <c r="K129" s="182" t="str">
        <f>K$142</f>
        <v>Average of fruit trees with available data</v>
      </c>
      <c r="L129" s="178" t="s">
        <v>450</v>
      </c>
      <c r="M129" s="178"/>
      <c r="N129" s="178"/>
      <c r="O129" s="35"/>
      <c r="P129" s="35"/>
      <c r="Q129" s="35"/>
      <c r="R129" s="63" t="s">
        <v>492</v>
      </c>
      <c r="S129" s="63" t="s">
        <v>489</v>
      </c>
      <c r="T129" s="35"/>
      <c r="U129" s="35"/>
      <c r="V129" s="51" t="str">
        <f>IF([1]C!G123="","",[1]C!G123)</f>
        <v>Fruits average</v>
      </c>
      <c r="W129" s="51" t="str">
        <f>IF([1]Humus!G123="","",[1]Humus!G123)</f>
        <v>Fruits average</v>
      </c>
      <c r="X129" s="51"/>
      <c r="Y129" s="51" t="str">
        <f>IF([1]C!BF123="","",[1]C!BF123)</f>
        <v>Wood average</v>
      </c>
      <c r="Z129" s="51" t="str">
        <f>IF([1]Humus!AK123="","",[1]Humus!AK123)</f>
        <v>Herbaceous average</v>
      </c>
      <c r="AA129" s="51" t="s">
        <v>456</v>
      </c>
      <c r="AF129" t="s">
        <v>763</v>
      </c>
    </row>
    <row r="130">
      <c r="A130" s="44" t="s">
        <v>251</v>
      </c>
      <c r="B130" s="178"/>
      <c r="C130" s="183" t="s">
        <v>489</v>
      </c>
      <c r="D130" s="183" t="s">
        <v>490</v>
      </c>
      <c r="E130" s="183" t="s">
        <v>490</v>
      </c>
      <c r="F130" s="179"/>
      <c r="G130" s="179"/>
      <c r="H130" s="178" t="s">
        <v>450</v>
      </c>
      <c r="I130" s="178" t="s">
        <v>450</v>
      </c>
      <c r="J130" s="178" t="s">
        <v>450</v>
      </c>
      <c r="K130" s="183" t="s">
        <v>490</v>
      </c>
      <c r="L130" s="178" t="s">
        <v>450</v>
      </c>
      <c r="M130" s="178"/>
      <c r="N130" s="178"/>
      <c r="O130" s="35" t="s">
        <v>576</v>
      </c>
      <c r="P130" s="35"/>
      <c r="Q130" s="35"/>
      <c r="R130" s="63" t="s">
        <v>492</v>
      </c>
      <c r="S130" s="63" t="s">
        <v>489</v>
      </c>
      <c r="T130" s="35"/>
      <c r="U130" s="35"/>
      <c r="V130" s="51" t="str">
        <f>IF([1]C!G124="","",[1]C!G124)</f>
        <v>Fruits average</v>
      </c>
      <c r="W130" s="51" t="str">
        <f>IF([1]Humus!G124="","",[1]Humus!G124)</f>
        <v>Fruits average</v>
      </c>
      <c r="X130" s="51"/>
      <c r="Y130" s="51" t="str">
        <f>IF([1]C!BF124="","",[1]C!BF124)</f>
        <v>Wood average</v>
      </c>
      <c r="Z130" s="51" t="str">
        <f>IF([1]Humus!AK124="","",[1]Humus!AK124)</f>
        <v>Herbaceous average</v>
      </c>
      <c r="AA130" s="51" t="s">
        <v>456</v>
      </c>
      <c r="AF130" t="s">
        <v>763</v>
      </c>
    </row>
    <row r="131">
      <c r="A131" s="177" t="s">
        <v>250</v>
      </c>
      <c r="B131" s="178"/>
      <c r="C131" s="183" t="s">
        <v>489</v>
      </c>
      <c r="D131" s="178" t="s">
        <v>450</v>
      </c>
      <c r="E131" s="178" t="s">
        <v>450</v>
      </c>
      <c r="F131" s="179"/>
      <c r="G131" s="179"/>
      <c r="H131" s="178" t="s">
        <v>450</v>
      </c>
      <c r="I131" s="178" t="s">
        <v>450</v>
      </c>
      <c r="J131" s="178" t="s">
        <v>450</v>
      </c>
      <c r="K131" s="178" t="s">
        <v>450</v>
      </c>
      <c r="L131" s="214" t="s">
        <v>767</v>
      </c>
      <c r="M131" s="178"/>
      <c r="N131" s="178"/>
      <c r="O131" s="35" t="s">
        <v>576</v>
      </c>
      <c r="P131" s="35"/>
      <c r="Q131" s="35"/>
      <c r="R131" s="63" t="s">
        <v>492</v>
      </c>
      <c r="S131" s="199" t="s">
        <v>497</v>
      </c>
      <c r="T131" s="154"/>
      <c r="U131" s="177"/>
      <c r="V131" s="51" t="str">
        <f>IF([1]C!G125="","",[1]C!G125)</f>
        <v>Bilandzija et al. (2012)</v>
      </c>
      <c r="W131" s="51" t="str">
        <f>IF([1]Humus!G125="","",[1]Humus!G125)</f>
        <v>Fruits average</v>
      </c>
      <c r="X131" s="51" t="s">
        <v>501</v>
      </c>
      <c r="Y131" s="51" t="str">
        <f>IF([1]C!BF125="","",[1]C!BF125)</f>
        <v>Wood average</v>
      </c>
      <c r="Z131" s="51" t="str">
        <f>IF([1]Humus!AK125="","",[1]Humus!AK125)</f>
        <v>Herbaceous average</v>
      </c>
      <c r="AA131" s="51" t="s">
        <v>456</v>
      </c>
      <c r="AF131" t="s">
        <v>763</v>
      </c>
    </row>
    <row r="132">
      <c r="A132" s="177" t="s">
        <v>249</v>
      </c>
      <c r="B132" s="178"/>
      <c r="C132" s="183" t="s">
        <v>489</v>
      </c>
      <c r="D132" s="178" t="s">
        <v>450</v>
      </c>
      <c r="E132" s="178" t="s">
        <v>450</v>
      </c>
      <c r="F132" s="179"/>
      <c r="G132" s="179"/>
      <c r="H132" s="178" t="s">
        <v>450</v>
      </c>
      <c r="I132" s="178" t="s">
        <v>450</v>
      </c>
      <c r="J132" s="178" t="s">
        <v>450</v>
      </c>
      <c r="K132" s="178" t="s">
        <v>450</v>
      </c>
      <c r="L132" s="214" t="s">
        <v>767</v>
      </c>
      <c r="M132" s="178"/>
      <c r="N132" s="178"/>
      <c r="O132" s="35" t="s">
        <v>576</v>
      </c>
      <c r="P132" s="35"/>
      <c r="Q132" s="35"/>
      <c r="R132" s="63" t="s">
        <v>492</v>
      </c>
      <c r="S132" s="199" t="s">
        <v>497</v>
      </c>
      <c r="T132" s="154"/>
      <c r="U132" s="177"/>
      <c r="V132" s="51" t="str">
        <f>IF([1]C!G126="","",[1]C!G126)</f>
        <v>Bilandzija et al. (2012)</v>
      </c>
      <c r="W132" s="51" t="str">
        <f>IF([1]Humus!G126="","",[1]Humus!G126)</f>
        <v>Fruits average</v>
      </c>
      <c r="X132" s="51" t="s">
        <v>501</v>
      </c>
      <c r="Y132" s="51" t="str">
        <f>IF([1]C!BF126="","",[1]C!BF126)</f>
        <v>Wood average</v>
      </c>
      <c r="Z132" s="51" t="str">
        <f>IF([1]Humus!AK126="","",[1]Humus!AK126)</f>
        <v>Herbaceous average</v>
      </c>
      <c r="AA132" s="51" t="s">
        <v>456</v>
      </c>
      <c r="AF132" t="s">
        <v>763</v>
      </c>
    </row>
    <row r="133">
      <c r="A133" s="177" t="s">
        <v>248</v>
      </c>
      <c r="B133" s="178"/>
      <c r="C133" s="183" t="s">
        <v>489</v>
      </c>
      <c r="D133" s="178" t="s">
        <v>450</v>
      </c>
      <c r="E133" s="178" t="s">
        <v>450</v>
      </c>
      <c r="F133" s="179"/>
      <c r="G133" s="179"/>
      <c r="H133" s="178" t="s">
        <v>450</v>
      </c>
      <c r="I133" s="178" t="s">
        <v>450</v>
      </c>
      <c r="J133" s="178" t="s">
        <v>450</v>
      </c>
      <c r="K133" s="178" t="s">
        <v>450</v>
      </c>
      <c r="L133" s="178" t="s">
        <v>450</v>
      </c>
      <c r="M133" s="178"/>
      <c r="N133" s="178"/>
      <c r="O133" s="35" t="s">
        <v>576</v>
      </c>
      <c r="P133" s="35"/>
      <c r="Q133" s="35"/>
      <c r="R133" s="63" t="s">
        <v>492</v>
      </c>
      <c r="S133" s="199" t="s">
        <v>497</v>
      </c>
      <c r="T133" s="154"/>
      <c r="U133" s="177"/>
      <c r="V133" s="51" t="str">
        <f>IF([1]C!G127="","",[1]C!G127)</f>
        <v>Bilandzija et al. (2012), ECN (2017) (2)</v>
      </c>
      <c r="W133" s="51" t="str">
        <f>IF([1]Humus!G127="","",[1]Humus!G127)</f>
        <v>Fruits average</v>
      </c>
      <c r="X133" s="51" t="s">
        <v>501</v>
      </c>
      <c r="Y133" s="51" t="str">
        <f>IF([1]C!BF127="","",[1]C!BF127)</f>
        <v>Wood average</v>
      </c>
      <c r="Z133" s="51" t="str">
        <f>IF([1]Humus!AK127="","",[1]Humus!AK127)</f>
        <v>Herbaceous average</v>
      </c>
      <c r="AA133" s="51" t="s">
        <v>456</v>
      </c>
      <c r="AF133" t="s">
        <v>763</v>
      </c>
    </row>
    <row r="134">
      <c r="A134" s="177" t="s">
        <v>247</v>
      </c>
      <c r="B134" s="178"/>
      <c r="C134" s="183" t="s">
        <v>489</v>
      </c>
      <c r="D134" s="178" t="s">
        <v>450</v>
      </c>
      <c r="E134" s="178" t="s">
        <v>450</v>
      </c>
      <c r="F134" s="179"/>
      <c r="G134" s="179"/>
      <c r="H134" s="178" t="s">
        <v>450</v>
      </c>
      <c r="I134" s="178" t="s">
        <v>450</v>
      </c>
      <c r="J134" s="178" t="s">
        <v>450</v>
      </c>
      <c r="K134" s="178" t="s">
        <v>450</v>
      </c>
      <c r="L134" s="178" t="s">
        <v>450</v>
      </c>
      <c r="M134" s="178"/>
      <c r="N134" s="178"/>
      <c r="O134" s="35" t="s">
        <v>576</v>
      </c>
      <c r="P134" s="35"/>
      <c r="Q134" s="35"/>
      <c r="R134" s="63" t="s">
        <v>492</v>
      </c>
      <c r="S134" s="199" t="s">
        <v>497</v>
      </c>
      <c r="T134" s="154"/>
      <c r="U134" s="177"/>
      <c r="V134" s="51" t="str">
        <f>IF([1]C!G128="","",[1]C!G128)</f>
        <v>Bilandzija et al. (2012)</v>
      </c>
      <c r="W134" s="51" t="str">
        <f>IF([1]Humus!G128="","",[1]Humus!G128)</f>
        <v>Sofo et al. (2005)</v>
      </c>
      <c r="X134" s="51" t="s">
        <v>501</v>
      </c>
      <c r="Y134" s="51" t="str">
        <f>IF([1]C!BF128="","",[1]C!BF128)</f>
        <v>Wood average</v>
      </c>
      <c r="Z134" s="51" t="str">
        <f>IF([1]Humus!AK128="","",[1]Humus!AK128)</f>
        <v>Herbaceous average</v>
      </c>
      <c r="AA134" s="51" t="s">
        <v>456</v>
      </c>
      <c r="AF134" t="s">
        <v>763</v>
      </c>
    </row>
    <row r="135">
      <c r="A135" s="177" t="s">
        <v>246</v>
      </c>
      <c r="B135" s="178"/>
      <c r="C135" s="183" t="s">
        <v>489</v>
      </c>
      <c r="D135" s="178" t="s">
        <v>450</v>
      </c>
      <c r="E135" s="183" t="s">
        <v>489</v>
      </c>
      <c r="F135" s="179"/>
      <c r="G135" s="179"/>
      <c r="H135" s="178" t="s">
        <v>450</v>
      </c>
      <c r="I135" s="178" t="s">
        <v>450</v>
      </c>
      <c r="J135" s="178" t="s">
        <v>450</v>
      </c>
      <c r="K135" s="182" t="str">
        <f>K$142</f>
        <v>Average of fruit trees with available data</v>
      </c>
      <c r="L135" s="178" t="s">
        <v>450</v>
      </c>
      <c r="M135" s="178"/>
      <c r="N135" s="178"/>
      <c r="O135" s="35" t="s">
        <v>576</v>
      </c>
      <c r="P135" s="35"/>
      <c r="Q135" s="35"/>
      <c r="R135" s="63" t="s">
        <v>492</v>
      </c>
      <c r="S135" s="63" t="s">
        <v>489</v>
      </c>
      <c r="T135" s="35"/>
      <c r="U135" s="35"/>
      <c r="V135" s="51" t="str">
        <f>IF([1]C!G129="","",[1]C!G129)</f>
        <v>Fruits average</v>
      </c>
      <c r="W135" s="51" t="str">
        <f>IF([1]Humus!G129="","",[1]Humus!G129)</f>
        <v>Fruits average</v>
      </c>
      <c r="X135" s="51"/>
      <c r="Y135" s="51" t="str">
        <f>IF([1]C!BF129="","",[1]C!BF129)</f>
        <v>Wood average</v>
      </c>
      <c r="Z135" s="51" t="str">
        <f>IF([1]Humus!AK129="","",[1]Humus!AK129)</f>
        <v>Herbaceous average</v>
      </c>
      <c r="AA135" s="51" t="s">
        <v>456</v>
      </c>
      <c r="AF135" t="s">
        <v>763</v>
      </c>
    </row>
    <row r="136">
      <c r="A136" s="177" t="s">
        <v>245</v>
      </c>
      <c r="B136" s="178"/>
      <c r="C136" s="183" t="s">
        <v>489</v>
      </c>
      <c r="D136" s="178" t="s">
        <v>450</v>
      </c>
      <c r="E136" s="178" t="s">
        <v>450</v>
      </c>
      <c r="F136" s="179"/>
      <c r="G136" s="179"/>
      <c r="H136" s="178" t="s">
        <v>450</v>
      </c>
      <c r="I136" s="178" t="s">
        <v>450</v>
      </c>
      <c r="J136" s="178" t="s">
        <v>450</v>
      </c>
      <c r="K136" s="180" t="n">
        <f>VLOOKUP($A136,'[1]A1.5 Gross energy'!$B$400:$E$420,4,0)</f>
        <v>12.8196846</v>
      </c>
      <c r="L136" s="178" t="s">
        <v>450</v>
      </c>
      <c r="M136" s="178"/>
      <c r="N136" s="178"/>
      <c r="O136" s="35" t="s">
        <v>576</v>
      </c>
      <c r="P136" s="35"/>
      <c r="Q136" s="35"/>
      <c r="R136" s="63" t="s">
        <v>492</v>
      </c>
      <c r="S136" s="199" t="s">
        <v>497</v>
      </c>
      <c r="T136" s="154"/>
      <c r="U136" s="177"/>
      <c r="V136" s="51" t="str">
        <f>IF([1]C!G130="","",[1]C!G130)</f>
        <v>Bilandzija et al. (2012)</v>
      </c>
      <c r="W136" s="51" t="str">
        <f>IF([1]Humus!G130="","",[1]Humus!G130)</f>
        <v>Fruits average</v>
      </c>
      <c r="X136" s="51"/>
      <c r="Y136" s="51" t="str">
        <f>IF([1]C!BF130="","",[1]C!BF130)</f>
        <v>Wood average</v>
      </c>
      <c r="Z136" s="51" t="str">
        <f>IF([1]Humus!AK130="","",[1]Humus!AK130)</f>
        <v>Herbaceous average</v>
      </c>
      <c r="AA136" s="51" t="s">
        <v>456</v>
      </c>
      <c r="AF136" t="s">
        <v>763</v>
      </c>
    </row>
    <row r="137">
      <c r="A137" s="177" t="s">
        <v>244</v>
      </c>
      <c r="B137" s="178"/>
      <c r="C137" s="183" t="s">
        <v>489</v>
      </c>
      <c r="D137" s="183" t="s">
        <v>489</v>
      </c>
      <c r="E137" s="183" t="s">
        <v>489</v>
      </c>
      <c r="F137" s="179"/>
      <c r="G137" s="179"/>
      <c r="H137" s="178" t="s">
        <v>450</v>
      </c>
      <c r="I137" s="178" t="s">
        <v>450</v>
      </c>
      <c r="J137" s="178" t="s">
        <v>450</v>
      </c>
      <c r="K137" s="182" t="str">
        <f>K$142</f>
        <v>Average of fruit trees with available data</v>
      </c>
      <c r="L137" s="63" t="n">
        <v>0.72086278066838816</v>
      </c>
      <c r="M137" s="63"/>
      <c r="N137" s="63"/>
      <c r="O137" s="35" t="s">
        <v>576</v>
      </c>
      <c r="P137" s="35"/>
      <c r="Q137" s="35"/>
      <c r="R137" s="63" t="s">
        <v>492</v>
      </c>
      <c r="S137" s="199" t="s">
        <v>497</v>
      </c>
      <c r="T137" s="154"/>
      <c r="U137" s="177"/>
      <c r="V137" s="51" t="str">
        <f>IF([1]C!G131="","",[1]C!G131)</f>
        <v>Bilandzija et al. (2012)</v>
      </c>
      <c r="W137" s="51" t="str">
        <f>IF([1]Humus!G131="","",[1]Humus!G131)</f>
        <v>Fruits average</v>
      </c>
      <c r="X137" s="51" t="s">
        <v>501</v>
      </c>
      <c r="Y137" s="51" t="str">
        <f>IF([1]C!BF131="","",[1]C!BF131)</f>
        <v>Wood average</v>
      </c>
      <c r="Z137" s="51" t="str">
        <f>IF([1]Humus!AK131="","",[1]Humus!AK131)</f>
        <v>Herbaceous average</v>
      </c>
      <c r="AA137" s="51" t="s">
        <v>456</v>
      </c>
      <c r="AF137" t="s">
        <v>763</v>
      </c>
    </row>
    <row r="138">
      <c r="A138" s="177" t="s">
        <v>243</v>
      </c>
      <c r="B138" s="178" t="s">
        <v>450</v>
      </c>
      <c r="C138" s="51" t="s">
        <v>451</v>
      </c>
      <c r="D138" s="178" t="s">
        <v>450</v>
      </c>
      <c r="E138" s="183" t="s">
        <v>490</v>
      </c>
      <c r="F138" s="179"/>
      <c r="G138" s="179"/>
      <c r="H138" s="182" t="s">
        <v>491</v>
      </c>
      <c r="I138" s="182" t="s">
        <v>491</v>
      </c>
      <c r="J138" s="178" t="s">
        <v>450</v>
      </c>
      <c r="K138" s="183" t="s">
        <v>490</v>
      </c>
      <c r="L138" s="178" t="s">
        <v>450</v>
      </c>
      <c r="M138" s="178"/>
      <c r="N138" s="178"/>
      <c r="O138" s="178" t="s">
        <v>452</v>
      </c>
      <c r="P138" s="178" t="s">
        <v>452</v>
      </c>
      <c r="Q138" s="178" t="s">
        <v>452</v>
      </c>
      <c r="R138" s="63" t="s">
        <v>492</v>
      </c>
      <c r="S138" s="63" t="s">
        <v>489</v>
      </c>
      <c r="T138" s="35"/>
      <c r="U138" s="35"/>
      <c r="V138" s="51" t="str">
        <f>IF([1]C!G132="","",[1]C!G132)</f>
        <v>Broad-leave tree</v>
      </c>
      <c r="W138" s="51" t="str">
        <f>IF([1]Humus!G132="","",[1]Humus!G132)</f>
        <v>Fruits average</v>
      </c>
      <c r="X138" s="51" t="s">
        <v>501</v>
      </c>
      <c r="Y138" s="51" t="str">
        <f>IF([1]C!BF132="","",[1]C!BF132)</f>
        <v>Wood average</v>
      </c>
      <c r="Z138" s="51" t="str">
        <f>IF([1]Humus!AK132="","",[1]Humus!AK132)</f>
        <v>Herbaceous average</v>
      </c>
      <c r="AA138" s="51" t="s">
        <v>456</v>
      </c>
      <c r="AF138" t="s">
        <v>763</v>
      </c>
    </row>
    <row r="139">
      <c r="A139" s="177" t="s">
        <v>242</v>
      </c>
      <c r="B139" s="178"/>
      <c r="C139" s="183" t="s">
        <v>489</v>
      </c>
      <c r="D139" s="178" t="s">
        <v>450</v>
      </c>
      <c r="E139" s="178" t="s">
        <v>450</v>
      </c>
      <c r="F139" s="179"/>
      <c r="G139" s="179"/>
      <c r="H139" s="178" t="s">
        <v>450</v>
      </c>
      <c r="I139" s="178" t="s">
        <v>450</v>
      </c>
      <c r="J139" s="178" t="s">
        <v>450</v>
      </c>
      <c r="K139" s="178" t="s">
        <v>450</v>
      </c>
      <c r="L139" s="214" t="s">
        <v>767</v>
      </c>
      <c r="M139" s="178"/>
      <c r="N139" s="178"/>
      <c r="O139" s="35" t="s">
        <v>576</v>
      </c>
      <c r="P139" s="35"/>
      <c r="Q139" s="35"/>
      <c r="R139" s="63" t="s">
        <v>492</v>
      </c>
      <c r="S139" s="199" t="s">
        <v>497</v>
      </c>
      <c r="T139" s="154"/>
      <c r="U139" s="177"/>
      <c r="V139" s="51" t="str">
        <f>IF([1]C!G133="","",[1]C!G133)</f>
        <v>Bilandzija et al. (2012), Grechi et al. (2007) (3) (average of main and lateral stem), ECN (2017) (7)</v>
      </c>
      <c r="W139" s="51" t="str">
        <f>IF([1]Humus!G133="","",[1]Humus!G133)</f>
        <v>Fruits average</v>
      </c>
      <c r="X139" s="51"/>
      <c r="Y139" s="51" t="str">
        <f>IF([1]C!BF133="","",[1]C!BF133)</f>
        <v>Grechi et al. (2007)</v>
      </c>
      <c r="Z139" s="51" t="str">
        <f>IF([1]Humus!AK133="","",[1]Humus!AK133)</f>
        <v>Herbaceous average</v>
      </c>
      <c r="AA139" s="51" t="s">
        <v>456</v>
      </c>
      <c r="AF139" t="s">
        <v>763</v>
      </c>
    </row>
    <row r="140">
      <c r="A140" s="177" t="s">
        <v>241</v>
      </c>
      <c r="B140" s="178"/>
      <c r="C140" s="185" t="s">
        <v>502</v>
      </c>
      <c r="D140" s="183" t="s">
        <v>503</v>
      </c>
      <c r="E140" s="183" t="s">
        <v>503</v>
      </c>
      <c r="F140" s="183"/>
      <c r="G140" s="183"/>
      <c r="H140" s="183" t="s">
        <v>503</v>
      </c>
      <c r="I140" s="183" t="s">
        <v>503</v>
      </c>
      <c r="J140" s="183" t="s">
        <v>504</v>
      </c>
      <c r="K140" s="183" t="s">
        <v>503</v>
      </c>
      <c r="L140" s="183" t="s">
        <v>503</v>
      </c>
      <c r="M140" s="183"/>
      <c r="N140" s="183"/>
      <c r="O140" s="183"/>
      <c r="P140" s="183"/>
      <c r="Q140" s="183"/>
      <c r="R140" s="183" t="s">
        <v>503</v>
      </c>
      <c r="S140" s="183" t="s">
        <v>489</v>
      </c>
      <c r="T140" s="183"/>
      <c r="U140" s="183"/>
      <c r="V140" s="51" t="str">
        <f>IF([1]C!G134="","",[1]C!G134)</f>
      </c>
      <c r="W140" s="51" t="str">
        <f>IF([1]Humus!G134="","",[1]Humus!G134)</f>
        <v>Fruits average</v>
      </c>
      <c r="X140" s="183"/>
      <c r="Y140" s="51" t="str">
        <f>IF([1]C!BF134="","",[1]C!BF134)</f>
      </c>
      <c r="Z140" s="51" t="str">
        <f>IF([1]Humus!AK134="","",[1]Humus!AK134)</f>
        <v>Herbaceous average</v>
      </c>
      <c r="AA140" s="51" t="s">
        <v>456</v>
      </c>
      <c r="AF140" t="s">
        <v>763</v>
      </c>
    </row>
    <row r="141">
      <c r="A141" s="177" t="s">
        <v>240</v>
      </c>
      <c r="B141" s="178"/>
      <c r="C141" s="183" t="s">
        <v>489</v>
      </c>
      <c r="D141" s="183" t="s">
        <v>505</v>
      </c>
      <c r="E141" s="183" t="s">
        <v>505</v>
      </c>
      <c r="F141" s="181"/>
      <c r="G141" s="181"/>
      <c r="H141" s="183" t="s">
        <v>505</v>
      </c>
      <c r="I141" s="183" t="s">
        <v>505</v>
      </c>
      <c r="J141" s="183" t="s">
        <v>505</v>
      </c>
      <c r="K141" s="183" t="s">
        <v>505</v>
      </c>
      <c r="L141" s="183" t="s">
        <v>505</v>
      </c>
      <c r="M141" s="63"/>
      <c r="N141" s="63"/>
      <c r="O141" s="35"/>
      <c r="P141" s="35"/>
      <c r="Q141" s="35"/>
      <c r="R141" s="63" t="s">
        <v>492</v>
      </c>
      <c r="S141" s="183" t="s">
        <v>489</v>
      </c>
      <c r="T141" s="51"/>
      <c r="U141" s="51"/>
      <c r="V141" s="51" t="str">
        <f>IF([1]C!G135="","",[1]C!G135)</f>
      </c>
      <c r="W141" s="51" t="str">
        <f>IF([1]Humus!G135="","",[1]Humus!G135)</f>
        <v>Fruits average</v>
      </c>
      <c r="X141" s="51"/>
      <c r="Y141" s="51" t="str">
        <f>IF([1]C!BF135="","",[1]C!BF135)</f>
      </c>
      <c r="Z141" s="51" t="str">
        <f>IF([1]Humus!AK135="","",[1]Humus!AK135)</f>
        <v>Herbaceous average</v>
      </c>
      <c r="AA141" s="51" t="s">
        <v>456</v>
      </c>
      <c r="AF141" t="s">
        <v>763</v>
      </c>
    </row>
    <row r="142">
      <c r="A142" s="177" t="s">
        <v>227</v>
      </c>
      <c r="B142" s="178"/>
      <c r="C142" s="183" t="s">
        <v>506</v>
      </c>
      <c r="D142" s="183" t="s">
        <v>506</v>
      </c>
      <c r="E142" s="183" t="s">
        <v>506</v>
      </c>
      <c r="F142" s="63"/>
      <c r="G142" s="63"/>
      <c r="H142" s="183" t="s">
        <v>506</v>
      </c>
      <c r="I142" s="183" t="s">
        <v>506</v>
      </c>
      <c r="J142" s="183" t="s">
        <v>506</v>
      </c>
      <c r="K142" s="183" t="s">
        <v>506</v>
      </c>
      <c r="L142" s="183" t="s">
        <v>506</v>
      </c>
      <c r="M142" s="63"/>
      <c r="N142" s="63"/>
      <c r="O142" s="184"/>
      <c r="P142" s="184"/>
      <c r="Q142" s="184"/>
      <c r="R142" s="183" t="s">
        <v>506</v>
      </c>
      <c r="S142" s="183" t="s">
        <v>489</v>
      </c>
      <c r="T142" s="63"/>
      <c r="U142" s="63"/>
      <c r="V142" s="51" t="str">
        <f>IF([1]C!G136="","",[1]C!G136)</f>
        <v>Average of available data, Parikh et al. (2007) mango, orchard</v>
      </c>
      <c r="W142" s="51" t="str">
        <f>IF([1]Humus!G136="","",[1]Humus!G136)</f>
        <v>Average of available data, Bosco et al. (2012) (from Fregoni 1989)</v>
      </c>
      <c r="X142" s="63"/>
      <c r="Y142" s="51" t="str">
        <f>IF([1]C!BF136="","",[1]C!BF136)</f>
        <v>Fruits, other</v>
      </c>
      <c r="Z142" s="51" t="str">
        <f>IF([1]Humus!AK136="","",[1]Humus!AK136)</f>
        <v>Herbaceous average</v>
      </c>
      <c r="AA142" s="51" t="s">
        <v>456</v>
      </c>
      <c r="AF142" t="s">
        <v>763</v>
      </c>
    </row>
    <row r="143">
      <c r="A143" s="178" t="s">
        <v>238</v>
      </c>
      <c r="B143" s="178"/>
      <c r="C143" s="183" t="s">
        <v>504</v>
      </c>
      <c r="D143" s="183" t="s">
        <v>504</v>
      </c>
      <c r="E143" s="183" t="s">
        <v>504</v>
      </c>
      <c r="F143" s="183" t="s">
        <v>504</v>
      </c>
      <c r="G143" s="183"/>
      <c r="H143" s="183" t="s">
        <v>504</v>
      </c>
      <c r="I143" s="183" t="s">
        <v>504</v>
      </c>
      <c r="J143" s="183" t="s">
        <v>504</v>
      </c>
      <c r="K143" s="183" t="s">
        <v>504</v>
      </c>
      <c r="L143" s="183" t="s">
        <v>504</v>
      </c>
      <c r="M143" s="183" t="s">
        <v>504</v>
      </c>
      <c r="N143" s="183" t="s">
        <v>504</v>
      </c>
      <c r="O143" s="35" t="s">
        <v>576</v>
      </c>
      <c r="P143" s="183"/>
      <c r="Q143" s="183"/>
      <c r="R143" s="183" t="s">
        <v>504</v>
      </c>
      <c r="S143" s="63" t="s">
        <v>489</v>
      </c>
      <c r="T143" s="183"/>
      <c r="U143" s="183"/>
      <c r="V143" s="183" t="s">
        <v>504</v>
      </c>
      <c r="W143" s="183" t="s">
        <v>504</v>
      </c>
      <c r="X143" s="51"/>
      <c r="Y143" s="51"/>
      <c r="Z143" s="51"/>
      <c r="AA143" s="51"/>
      <c r="AF143" t="s">
        <v>763</v>
      </c>
    </row>
    <row r="144">
      <c r="A144" s="178" t="s">
        <v>237</v>
      </c>
      <c r="B144" s="178"/>
      <c r="C144" s="183" t="s">
        <v>489</v>
      </c>
      <c r="D144" s="183" t="s">
        <v>489</v>
      </c>
      <c r="E144" s="183" t="s">
        <v>489</v>
      </c>
      <c r="F144" s="183" t="s">
        <v>489</v>
      </c>
      <c r="G144" s="183"/>
      <c r="H144" s="183" t="s">
        <v>489</v>
      </c>
      <c r="I144" s="183" t="s">
        <v>489</v>
      </c>
      <c r="J144" s="183" t="s">
        <v>489</v>
      </c>
      <c r="K144" s="183" t="s">
        <v>489</v>
      </c>
      <c r="L144" s="183" t="s">
        <v>489</v>
      </c>
      <c r="M144" s="183" t="s">
        <v>489</v>
      </c>
      <c r="N144" s="183" t="s">
        <v>489</v>
      </c>
      <c r="O144" s="35" t="s">
        <v>576</v>
      </c>
      <c r="P144" s="183"/>
      <c r="Q144" s="183"/>
      <c r="R144" s="183" t="s">
        <v>489</v>
      </c>
      <c r="S144" s="183" t="s">
        <v>489</v>
      </c>
      <c r="T144" s="183"/>
      <c r="U144" s="183"/>
      <c r="V144" s="183" t="s">
        <v>489</v>
      </c>
      <c r="W144" s="183" t="s">
        <v>489</v>
      </c>
      <c r="X144" s="51"/>
      <c r="Y144" s="51"/>
      <c r="Z144" s="51"/>
      <c r="AA144" s="51"/>
      <c r="AF144" t="s">
        <v>763</v>
      </c>
    </row>
    <row r="145">
      <c r="A145" s="178" t="s">
        <v>236</v>
      </c>
      <c r="B145" s="178"/>
      <c r="C145" s="183" t="s">
        <v>489</v>
      </c>
      <c r="D145" s="183" t="s">
        <v>489</v>
      </c>
      <c r="E145" s="183" t="s">
        <v>489</v>
      </c>
      <c r="F145" s="183" t="s">
        <v>489</v>
      </c>
      <c r="G145" s="183"/>
      <c r="H145" s="183" t="s">
        <v>489</v>
      </c>
      <c r="I145" s="183" t="s">
        <v>489</v>
      </c>
      <c r="J145" s="183" t="s">
        <v>489</v>
      </c>
      <c r="K145" s="183" t="s">
        <v>489</v>
      </c>
      <c r="L145" s="183" t="s">
        <v>489</v>
      </c>
      <c r="M145" s="183" t="s">
        <v>489</v>
      </c>
      <c r="N145" s="183" t="s">
        <v>489</v>
      </c>
      <c r="O145" s="107"/>
      <c r="P145" s="183"/>
      <c r="Q145" s="183"/>
      <c r="R145" s="183" t="s">
        <v>489</v>
      </c>
      <c r="S145" s="183" t="s">
        <v>489</v>
      </c>
      <c r="T145" s="183"/>
      <c r="U145" s="183"/>
      <c r="V145" s="183" t="s">
        <v>489</v>
      </c>
      <c r="W145" s="183" t="s">
        <v>489</v>
      </c>
      <c r="X145" s="51"/>
      <c r="Y145" s="51"/>
      <c r="Z145" s="51"/>
      <c r="AA145" s="51"/>
      <c r="AF145" t="s">
        <v>763</v>
      </c>
    </row>
    <row r="146">
      <c r="A146" s="178" t="s">
        <v>235</v>
      </c>
      <c r="B146" s="178"/>
      <c r="C146" s="183" t="s">
        <v>489</v>
      </c>
      <c r="D146" s="183" t="s">
        <v>489</v>
      </c>
      <c r="E146" s="183" t="s">
        <v>489</v>
      </c>
      <c r="F146" s="183" t="s">
        <v>489</v>
      </c>
      <c r="G146" s="183"/>
      <c r="H146" s="183" t="s">
        <v>489</v>
      </c>
      <c r="I146" s="183" t="s">
        <v>489</v>
      </c>
      <c r="J146" s="183" t="s">
        <v>489</v>
      </c>
      <c r="K146" s="183" t="s">
        <v>489</v>
      </c>
      <c r="L146" s="183" t="s">
        <v>489</v>
      </c>
      <c r="M146" s="183" t="s">
        <v>489</v>
      </c>
      <c r="N146" s="183" t="s">
        <v>489</v>
      </c>
      <c r="O146" s="35" t="s">
        <v>576</v>
      </c>
      <c r="P146" s="183"/>
      <c r="Q146" s="183"/>
      <c r="R146" s="183" t="s">
        <v>489</v>
      </c>
      <c r="S146" s="183" t="s">
        <v>489</v>
      </c>
      <c r="T146" s="183"/>
      <c r="U146" s="183"/>
      <c r="V146" s="183" t="s">
        <v>489</v>
      </c>
      <c r="W146" s="183" t="s">
        <v>489</v>
      </c>
      <c r="X146" s="51"/>
      <c r="Y146" s="51"/>
      <c r="Z146" s="51"/>
      <c r="AA146" s="51"/>
      <c r="AF146" t="s">
        <v>763</v>
      </c>
    </row>
    <row r="147">
      <c r="A147" s="178" t="s">
        <v>234</v>
      </c>
      <c r="B147" s="178"/>
      <c r="C147" s="183" t="s">
        <v>489</v>
      </c>
      <c r="D147" s="183" t="s">
        <v>489</v>
      </c>
      <c r="E147" s="183" t="s">
        <v>489</v>
      </c>
      <c r="F147" s="183" t="s">
        <v>489</v>
      </c>
      <c r="G147" s="183"/>
      <c r="H147" s="183" t="s">
        <v>489</v>
      </c>
      <c r="I147" s="183" t="s">
        <v>489</v>
      </c>
      <c r="J147" s="183" t="s">
        <v>489</v>
      </c>
      <c r="K147" s="183" t="s">
        <v>489</v>
      </c>
      <c r="L147" s="183" t="s">
        <v>489</v>
      </c>
      <c r="M147" s="183" t="s">
        <v>489</v>
      </c>
      <c r="N147" s="183" t="s">
        <v>489</v>
      </c>
      <c r="O147" s="35" t="s">
        <v>576</v>
      </c>
      <c r="P147" s="183"/>
      <c r="Q147" s="183"/>
      <c r="R147" s="183" t="s">
        <v>489</v>
      </c>
      <c r="S147" s="183" t="s">
        <v>489</v>
      </c>
      <c r="T147" s="183"/>
      <c r="U147" s="183"/>
      <c r="V147" s="183" t="s">
        <v>489</v>
      </c>
      <c r="W147" s="183" t="s">
        <v>489</v>
      </c>
      <c r="X147" s="51"/>
      <c r="Y147" s="51"/>
      <c r="Z147" s="51"/>
      <c r="AA147" s="51"/>
      <c r="AF147" t="s">
        <v>763</v>
      </c>
    </row>
    <row r="148">
      <c r="A148" s="178" t="s">
        <v>233</v>
      </c>
      <c r="B148" s="178"/>
      <c r="C148" s="183" t="s">
        <v>489</v>
      </c>
      <c r="D148" s="183" t="s">
        <v>489</v>
      </c>
      <c r="E148" s="183" t="s">
        <v>489</v>
      </c>
      <c r="F148" s="183" t="s">
        <v>489</v>
      </c>
      <c r="G148" s="183"/>
      <c r="H148" s="183" t="s">
        <v>489</v>
      </c>
      <c r="I148" s="183" t="s">
        <v>489</v>
      </c>
      <c r="J148" s="183" t="s">
        <v>489</v>
      </c>
      <c r="K148" s="183" t="s">
        <v>489</v>
      </c>
      <c r="L148" s="183" t="s">
        <v>489</v>
      </c>
      <c r="M148" s="183" t="s">
        <v>489</v>
      </c>
      <c r="N148" s="183" t="s">
        <v>489</v>
      </c>
      <c r="O148" s="107"/>
      <c r="P148" s="183"/>
      <c r="Q148" s="183"/>
      <c r="R148" s="183" t="s">
        <v>489</v>
      </c>
      <c r="S148" s="183" t="s">
        <v>489</v>
      </c>
      <c r="T148" s="183"/>
      <c r="U148" s="183"/>
      <c r="V148" s="183" t="s">
        <v>489</v>
      </c>
      <c r="W148" s="183" t="s">
        <v>489</v>
      </c>
      <c r="X148" s="51"/>
      <c r="Y148" s="51"/>
      <c r="Z148" s="51"/>
      <c r="AA148" s="51"/>
      <c r="AF148" t="s">
        <v>763</v>
      </c>
    </row>
    <row r="149">
      <c r="A149" s="178" t="s">
        <v>232</v>
      </c>
      <c r="B149" s="178"/>
      <c r="C149" s="183" t="s">
        <v>489</v>
      </c>
      <c r="D149" s="183" t="s">
        <v>489</v>
      </c>
      <c r="E149" s="183" t="s">
        <v>489</v>
      </c>
      <c r="F149" s="183" t="s">
        <v>489</v>
      </c>
      <c r="G149" s="183"/>
      <c r="H149" s="183" t="s">
        <v>489</v>
      </c>
      <c r="I149" s="183" t="s">
        <v>489</v>
      </c>
      <c r="J149" s="183" t="s">
        <v>489</v>
      </c>
      <c r="K149" s="183" t="s">
        <v>489</v>
      </c>
      <c r="L149" s="183" t="s">
        <v>489</v>
      </c>
      <c r="M149" s="183" t="s">
        <v>489</v>
      </c>
      <c r="N149" s="183" t="s">
        <v>489</v>
      </c>
      <c r="O149" s="35" t="s">
        <v>576</v>
      </c>
      <c r="P149" s="183"/>
      <c r="Q149" s="183"/>
      <c r="R149" s="183" t="s">
        <v>489</v>
      </c>
      <c r="S149" s="183" t="s">
        <v>489</v>
      </c>
      <c r="T149" s="183"/>
      <c r="U149" s="183"/>
      <c r="V149" s="183" t="s">
        <v>489</v>
      </c>
      <c r="W149" s="183" t="s">
        <v>489</v>
      </c>
      <c r="X149" s="51"/>
      <c r="Y149" s="51"/>
      <c r="Z149" s="51"/>
      <c r="AA149" s="51"/>
      <c r="AF149" t="s">
        <v>763</v>
      </c>
    </row>
    <row r="150">
      <c r="A150" s="178" t="s">
        <v>231</v>
      </c>
      <c r="B150" s="178"/>
      <c r="C150" s="183" t="s">
        <v>489</v>
      </c>
      <c r="D150" s="183" t="s">
        <v>489</v>
      </c>
      <c r="E150" s="183" t="s">
        <v>489</v>
      </c>
      <c r="F150" s="183" t="s">
        <v>489</v>
      </c>
      <c r="G150" s="183"/>
      <c r="H150" s="183" t="s">
        <v>489</v>
      </c>
      <c r="I150" s="183" t="s">
        <v>489</v>
      </c>
      <c r="J150" s="183" t="s">
        <v>489</v>
      </c>
      <c r="K150" s="183" t="s">
        <v>489</v>
      </c>
      <c r="L150" s="183" t="s">
        <v>489</v>
      </c>
      <c r="M150" s="183" t="s">
        <v>489</v>
      </c>
      <c r="N150" s="183" t="s">
        <v>489</v>
      </c>
      <c r="O150" s="107"/>
      <c r="P150" s="183"/>
      <c r="Q150" s="183"/>
      <c r="R150" s="183" t="s">
        <v>489</v>
      </c>
      <c r="S150" s="183" t="s">
        <v>489</v>
      </c>
      <c r="T150" s="183"/>
      <c r="U150" s="183"/>
      <c r="V150" s="183" t="s">
        <v>489</v>
      </c>
      <c r="W150" s="183" t="s">
        <v>489</v>
      </c>
      <c r="X150" s="51"/>
      <c r="Y150" s="51"/>
      <c r="Z150" s="51"/>
      <c r="AA150" s="51"/>
      <c r="AF150" t="s">
        <v>763</v>
      </c>
    </row>
    <row r="151">
      <c r="A151" s="178" t="s">
        <v>230</v>
      </c>
      <c r="B151" s="178"/>
      <c r="C151" s="183" t="s">
        <v>489</v>
      </c>
      <c r="D151" s="183" t="s">
        <v>489</v>
      </c>
      <c r="E151" s="183" t="s">
        <v>489</v>
      </c>
      <c r="F151" s="183" t="s">
        <v>489</v>
      </c>
      <c r="G151" s="183"/>
      <c r="H151" s="183" t="s">
        <v>489</v>
      </c>
      <c r="I151" s="183" t="s">
        <v>489</v>
      </c>
      <c r="J151" s="183" t="s">
        <v>489</v>
      </c>
      <c r="K151" s="183" t="s">
        <v>489</v>
      </c>
      <c r="L151" s="183" t="s">
        <v>489</v>
      </c>
      <c r="M151" s="183" t="s">
        <v>489</v>
      </c>
      <c r="N151" s="183" t="s">
        <v>489</v>
      </c>
      <c r="O151" s="107"/>
      <c r="P151" s="183"/>
      <c r="Q151" s="183"/>
      <c r="R151" s="183" t="s">
        <v>489</v>
      </c>
      <c r="S151" s="183" t="s">
        <v>489</v>
      </c>
      <c r="T151" s="183"/>
      <c r="U151" s="183"/>
      <c r="V151" s="183" t="s">
        <v>489</v>
      </c>
      <c r="W151" s="183" t="s">
        <v>489</v>
      </c>
      <c r="X151" s="51"/>
      <c r="Y151" s="51"/>
      <c r="Z151" s="51"/>
      <c r="AA151" s="51"/>
      <c r="AF151" t="s">
        <v>763</v>
      </c>
    </row>
    <row r="152">
      <c r="A152" s="178" t="s">
        <v>229</v>
      </c>
      <c r="B152" s="178"/>
      <c r="C152" s="183" t="s">
        <v>489</v>
      </c>
      <c r="D152" s="183" t="s">
        <v>489</v>
      </c>
      <c r="E152" s="183" t="s">
        <v>489</v>
      </c>
      <c r="F152" s="183" t="s">
        <v>489</v>
      </c>
      <c r="G152" s="183"/>
      <c r="H152" s="183" t="s">
        <v>489</v>
      </c>
      <c r="I152" s="183" t="s">
        <v>489</v>
      </c>
      <c r="J152" s="183" t="s">
        <v>489</v>
      </c>
      <c r="K152" s="183" t="s">
        <v>489</v>
      </c>
      <c r="L152" s="183" t="s">
        <v>489</v>
      </c>
      <c r="M152" s="183" t="s">
        <v>489</v>
      </c>
      <c r="N152" s="183" t="s">
        <v>489</v>
      </c>
      <c r="O152" s="35" t="s">
        <v>576</v>
      </c>
      <c r="P152" s="183"/>
      <c r="Q152" s="183"/>
      <c r="R152" s="183" t="s">
        <v>489</v>
      </c>
      <c r="S152" s="183" t="s">
        <v>489</v>
      </c>
      <c r="T152" s="183"/>
      <c r="U152" s="183"/>
      <c r="V152" s="183" t="s">
        <v>489</v>
      </c>
      <c r="W152" s="183" t="s">
        <v>489</v>
      </c>
      <c r="X152" s="51"/>
      <c r="Y152" s="51"/>
      <c r="Z152" s="51"/>
      <c r="AA152" s="51"/>
      <c r="AF152" t="s">
        <v>763</v>
      </c>
    </row>
    <row r="153">
      <c r="A153" s="178" t="s">
        <v>228</v>
      </c>
      <c r="B153" s="178"/>
      <c r="C153" s="183" t="s">
        <v>489</v>
      </c>
      <c r="D153" s="183" t="s">
        <v>489</v>
      </c>
      <c r="E153" s="183" t="s">
        <v>489</v>
      </c>
      <c r="F153" s="183" t="s">
        <v>489</v>
      </c>
      <c r="G153" s="183"/>
      <c r="H153" s="183" t="s">
        <v>489</v>
      </c>
      <c r="I153" s="183" t="s">
        <v>489</v>
      </c>
      <c r="J153" s="183" t="s">
        <v>489</v>
      </c>
      <c r="K153" s="183" t="s">
        <v>489</v>
      </c>
      <c r="L153" s="183" t="s">
        <v>489</v>
      </c>
      <c r="M153" s="183" t="s">
        <v>489</v>
      </c>
      <c r="N153" s="183" t="s">
        <v>489</v>
      </c>
      <c r="O153" s="107"/>
      <c r="P153" s="183"/>
      <c r="Q153" s="183"/>
      <c r="R153" s="183" t="s">
        <v>489</v>
      </c>
      <c r="S153" s="183" t="s">
        <v>489</v>
      </c>
      <c r="T153" s="183"/>
      <c r="U153" s="183"/>
      <c r="V153" s="183" t="s">
        <v>489</v>
      </c>
      <c r="W153" s="183" t="s">
        <v>489</v>
      </c>
      <c r="X153" s="51"/>
      <c r="Y153" s="51"/>
      <c r="Z153" s="51"/>
      <c r="AA153" s="51"/>
      <c r="AF153" t="s">
        <v>763</v>
      </c>
    </row>
    <row r="154">
      <c r="A154" s="178" t="s">
        <v>398</v>
      </c>
      <c r="B154" s="178"/>
      <c r="C154" s="183" t="s">
        <v>489</v>
      </c>
      <c r="D154" s="183" t="s">
        <v>489</v>
      </c>
      <c r="E154" s="183" t="s">
        <v>489</v>
      </c>
      <c r="F154" s="183" t="s">
        <v>489</v>
      </c>
      <c r="G154" s="183"/>
      <c r="H154" s="183" t="s">
        <v>489</v>
      </c>
      <c r="I154" s="183" t="s">
        <v>489</v>
      </c>
      <c r="J154" s="183" t="s">
        <v>489</v>
      </c>
      <c r="K154" s="183" t="s">
        <v>489</v>
      </c>
      <c r="L154" s="183" t="s">
        <v>489</v>
      </c>
      <c r="M154" s="183" t="s">
        <v>489</v>
      </c>
      <c r="N154" s="183" t="s">
        <v>489</v>
      </c>
      <c r="O154" s="107"/>
      <c r="P154" s="183"/>
      <c r="Q154" s="183"/>
      <c r="R154" s="183" t="s">
        <v>489</v>
      </c>
      <c r="S154" s="183" t="s">
        <v>489</v>
      </c>
      <c r="T154" s="183"/>
      <c r="U154" s="183"/>
      <c r="V154" s="183" t="s">
        <v>489</v>
      </c>
      <c r="W154" s="183" t="s">
        <v>489</v>
      </c>
      <c r="X154" s="51"/>
      <c r="Y154" s="51"/>
      <c r="Z154" s="51"/>
      <c r="AA154" s="51"/>
      <c r="AF154" t="s">
        <v>763</v>
      </c>
    </row>
    <row r="155" ht="14" customHeight="1">
      <c r="A155" s="177" t="str">
        <f>[1]All!B138</f>
        <v>European beech</v>
      </c>
      <c r="B155" s="178"/>
      <c r="C155" s="51"/>
      <c r="D155" s="200" t="s">
        <v>215</v>
      </c>
      <c r="E155" s="185"/>
      <c r="F155" s="179"/>
      <c r="G155" s="179"/>
      <c r="H155" s="180"/>
      <c r="I155" s="180"/>
      <c r="J155" s="178" t="s">
        <v>450</v>
      </c>
      <c r="K155" s="180"/>
      <c r="L155" s="51"/>
      <c r="M155" s="51"/>
      <c r="N155" s="51"/>
      <c r="O155" s="35"/>
      <c r="P155" s="35"/>
      <c r="Q155" s="184"/>
      <c r="R155" s="184" t="s">
        <v>507</v>
      </c>
      <c r="S155" s="224" t="s">
        <v>802</v>
      </c>
      <c r="T155" s="51"/>
      <c r="U155" s="51"/>
      <c r="V155" s="51" t="str">
        <f>IF([1]C!G138="","",[1]C!G138)</f>
        <v>Ono et al. (2009), Parikh et al. (2007)</v>
      </c>
      <c r="W155" s="51" t="str">
        <f>IF([1]Humus!G138="","",[1]Humus!G138)</f>
      </c>
      <c r="X155" s="185" t="s">
        <v>508</v>
      </c>
      <c r="Y155" s="51" t="str">
        <f>IF([1]C!BF138="","",[1]C!BF138)</f>
        <v>Wood average</v>
      </c>
      <c r="Z155" s="51" t="str">
        <f>IF([1]Humus!AK138="","",[1]Humus!AK138)</f>
        <v>Woody average</v>
      </c>
      <c r="AA155" s="51" t="s">
        <v>456</v>
      </c>
      <c r="AF155" t="s">
        <v>763</v>
      </c>
    </row>
    <row r="156">
      <c r="A156" s="177" t="str">
        <f>[1]All!B139</f>
        <v>Spruce</v>
      </c>
      <c r="B156" s="178"/>
      <c r="C156" s="51"/>
      <c r="D156" s="200" t="s">
        <v>215</v>
      </c>
      <c r="E156" s="185"/>
      <c r="F156" s="179"/>
      <c r="G156" s="179"/>
      <c r="H156" s="180"/>
      <c r="I156" s="180"/>
      <c r="J156" s="178" t="s">
        <v>450</v>
      </c>
      <c r="K156" s="180"/>
      <c r="L156" s="51"/>
      <c r="M156" s="51"/>
      <c r="N156" s="51"/>
      <c r="O156" s="35"/>
      <c r="P156" s="35"/>
      <c r="Q156" s="184"/>
      <c r="R156" s="184" t="s">
        <v>221</v>
      </c>
      <c r="S156" s="183" t="s">
        <v>489</v>
      </c>
      <c r="T156" s="51"/>
      <c r="U156" s="51"/>
      <c r="V156" s="51" t="str">
        <f>IF([1]C!G139="","",[1]C!G139)</f>
        <v>Parikh et al. (2007)</v>
      </c>
      <c r="W156" s="51" t="str">
        <f>IF([1]Humus!G139="","",[1]Humus!G139)</f>
      </c>
      <c r="X156" s="185" t="s">
        <v>508</v>
      </c>
      <c r="Y156" s="51" t="str">
        <f>IF([1]C!BF139="","",[1]C!BF139)</f>
        <v>Wood average</v>
      </c>
      <c r="Z156" s="51" t="str">
        <f>IF([1]Humus!AK139="","",[1]Humus!AK139)</f>
        <v>Woody average</v>
      </c>
      <c r="AA156" s="51" t="s">
        <v>456</v>
      </c>
      <c r="AF156" t="s">
        <v>763</v>
      </c>
    </row>
    <row r="157">
      <c r="A157" s="177" t="str">
        <f>[1]All!B140</f>
        <v>Poplar</v>
      </c>
      <c r="B157" s="178"/>
      <c r="C157" s="51" t="s">
        <v>451</v>
      </c>
      <c r="D157" s="200" t="s">
        <v>215</v>
      </c>
      <c r="E157" s="185"/>
      <c r="F157" s="179"/>
      <c r="G157" s="179"/>
      <c r="H157" s="180"/>
      <c r="I157" s="180"/>
      <c r="J157" s="178" t="s">
        <v>450</v>
      </c>
      <c r="K157" s="180"/>
      <c r="L157" s="51"/>
      <c r="M157" s="51"/>
      <c r="N157" s="51"/>
      <c r="O157" s="35"/>
      <c r="P157" s="35"/>
      <c r="Q157" s="184"/>
      <c r="R157" s="184" t="s">
        <v>507</v>
      </c>
      <c r="S157" s="183" t="s">
        <v>489</v>
      </c>
      <c r="T157" s="51"/>
      <c r="U157" s="51"/>
      <c r="V157" s="51" t="str">
        <f>IF([1]C!G140="","",[1]C!G140)</f>
        <v>Parikh et al. (2007)</v>
      </c>
      <c r="W157" s="51" t="str">
        <f>IF([1]Humus!G140="","",[1]Humus!G140)</f>
      </c>
      <c r="X157" s="185" t="s">
        <v>508</v>
      </c>
      <c r="Y157" s="51" t="str">
        <f>IF([1]C!BF140="","",[1]C!BF140)</f>
        <v>Wood average</v>
      </c>
      <c r="Z157" s="51" t="str">
        <f>IF([1]Humus!AK140="","",[1]Humus!AK140)</f>
        <v>Woody average</v>
      </c>
      <c r="AA157" s="51" t="s">
        <v>456</v>
      </c>
      <c r="AF157" t="s">
        <v>763</v>
      </c>
    </row>
    <row r="158">
      <c r="A158" s="177" t="str">
        <f>[1]All!B141</f>
        <v>Willow, Sallow</v>
      </c>
      <c r="B158" s="178"/>
      <c r="C158" s="51" t="s">
        <v>451</v>
      </c>
      <c r="D158" s="200" t="s">
        <v>215</v>
      </c>
      <c r="E158" s="185"/>
      <c r="F158" s="179"/>
      <c r="G158" s="179"/>
      <c r="H158" s="180"/>
      <c r="I158" s="180"/>
      <c r="J158" s="178" t="s">
        <v>450</v>
      </c>
      <c r="K158" s="180"/>
      <c r="L158" s="51"/>
      <c r="M158" s="51"/>
      <c r="N158" s="51"/>
      <c r="O158" s="35"/>
      <c r="P158" s="35"/>
      <c r="Q158" s="184"/>
      <c r="R158" s="184" t="s">
        <v>507</v>
      </c>
      <c r="S158" s="183" t="s">
        <v>489</v>
      </c>
      <c r="T158" s="51"/>
      <c r="U158" s="51"/>
      <c r="V158" s="51" t="str">
        <f>IF([1]C!G141="","",[1]C!G141)</f>
        <v>Wood average</v>
      </c>
      <c r="W158" s="51" t="str">
        <f>IF([1]Humus!G141="","",[1]Humus!G141)</f>
      </c>
      <c r="X158" s="185" t="s">
        <v>508</v>
      </c>
      <c r="Y158" s="51" t="str">
        <f>IF([1]C!BF141="","",[1]C!BF141)</f>
        <v>Wood average</v>
      </c>
      <c r="Z158" s="51" t="str">
        <f>IF([1]Humus!AK141="","",[1]Humus!AK141)</f>
        <v>Woody average</v>
      </c>
      <c r="AA158" s="51" t="s">
        <v>456</v>
      </c>
      <c r="AF158" t="s">
        <v>763</v>
      </c>
    </row>
    <row r="159">
      <c r="A159" s="177" t="str">
        <f>[1]All!B142</f>
        <v>Eucalyptus</v>
      </c>
      <c r="B159" s="178"/>
      <c r="C159" s="51" t="s">
        <v>451</v>
      </c>
      <c r="D159" s="200" t="s">
        <v>215</v>
      </c>
      <c r="E159" s="185"/>
      <c r="F159" s="179"/>
      <c r="G159" s="179"/>
      <c r="H159" s="180"/>
      <c r="I159" s="180"/>
      <c r="J159" s="200"/>
      <c r="K159" s="180"/>
      <c r="L159" s="51"/>
      <c r="M159" s="51"/>
      <c r="N159" s="51"/>
      <c r="O159" s="35"/>
      <c r="P159" s="35"/>
      <c r="Q159" s="184"/>
      <c r="R159" s="184" t="s">
        <v>507</v>
      </c>
      <c r="S159" s="183" t="s">
        <v>489</v>
      </c>
      <c r="T159" s="51"/>
      <c r="U159" s="51"/>
      <c r="V159" s="51" t="str">
        <f>IF([1]C!G142="","",[1]C!G142)</f>
        <v>Parikh et al. (2007)</v>
      </c>
      <c r="W159" s="51" t="str">
        <f>IF([1]Humus!G142="","",[1]Humus!G142)</f>
      </c>
      <c r="X159" s="185"/>
      <c r="Y159" s="51" t="str">
        <f>IF([1]C!BF142="","",[1]C!BF142)</f>
        <v>Australian forests. Gifford (2000)</v>
      </c>
      <c r="Z159" s="51" t="str">
        <f>IF([1]Humus!AK142="","",[1]Humus!AK142)</f>
        <v>Woody average</v>
      </c>
      <c r="AA159" s="51" t="s">
        <v>456</v>
      </c>
      <c r="AF159" t="s">
        <v>763</v>
      </c>
    </row>
    <row r="160" ht="15" customHeight="1">
      <c r="A160" s="177" t="str">
        <f>[1]All!B143</f>
        <v>Conifers</v>
      </c>
      <c r="B160" s="178"/>
      <c r="C160" s="51" t="s">
        <v>509</v>
      </c>
      <c r="D160" s="200" t="s">
        <v>215</v>
      </c>
      <c r="E160" s="185"/>
      <c r="F160" s="179"/>
      <c r="G160" s="179"/>
      <c r="H160" s="180"/>
      <c r="I160" s="180"/>
      <c r="J160" s="178" t="s">
        <v>450</v>
      </c>
      <c r="K160" s="180"/>
      <c r="L160" s="51"/>
      <c r="M160" s="51"/>
      <c r="N160" s="51"/>
      <c r="O160" s="35"/>
      <c r="P160" s="35"/>
      <c r="Q160" s="184"/>
      <c r="R160" s="35" t="s">
        <v>510</v>
      </c>
      <c r="S160" s="225" t="s">
        <v>819</v>
      </c>
      <c r="T160" s="51"/>
      <c r="U160" s="51"/>
      <c r="V160" s="51" t="str">
        <f>IF([1]C!G143="","",[1]C!G143)</f>
        <v>Parikh et al. (2007) (Loblolly pine, red wood)</v>
      </c>
      <c r="W160" s="51" t="str">
        <f>IF([1]Humus!G143="","",[1]Humus!G143)</f>
        <v>Zhou et al. (2016)</v>
      </c>
      <c r="X160" s="185" t="s">
        <v>508</v>
      </c>
      <c r="Y160" s="51" t="str">
        <f>IF([1]C!BF143="","",[1]C!BF143)</f>
        <v>Wood average</v>
      </c>
      <c r="Z160" s="51" t="str">
        <f>IF([1]Humus!AK143="","",[1]Humus!AK143)</f>
        <v>Zhou et al. (2016)</v>
      </c>
      <c r="AA160" s="51" t="s">
        <v>456</v>
      </c>
      <c r="AF160" t="s">
        <v>763</v>
      </c>
    </row>
    <row r="161">
      <c r="A161" s="177" t="str">
        <f>[1]All!B144</f>
        <v>Bark (conifers)</v>
      </c>
      <c r="B161" s="178"/>
      <c r="C161" s="51"/>
      <c r="D161" s="200" t="s">
        <v>215</v>
      </c>
      <c r="E161" s="185"/>
      <c r="F161" s="179"/>
      <c r="G161" s="179"/>
      <c r="H161" s="180"/>
      <c r="I161" s="180"/>
      <c r="J161" s="178" t="s">
        <v>450</v>
      </c>
      <c r="K161" s="180"/>
      <c r="L161" s="51"/>
      <c r="M161" s="51"/>
      <c r="N161" s="51"/>
      <c r="O161" s="35"/>
      <c r="P161" s="35"/>
      <c r="Q161" s="184"/>
      <c r="R161" s="184" t="s">
        <v>215</v>
      </c>
      <c r="S161" s="183" t="s">
        <v>489</v>
      </c>
      <c r="T161" s="51"/>
      <c r="U161" s="51"/>
      <c r="V161" s="51" t="str">
        <f>IF([1]C!G144="","",[1]C!G144)</f>
        <v>Parikh et al. (2007), Delas and Molot (1983)</v>
      </c>
      <c r="W161" s="51" t="str">
        <f>IF([1]Humus!G144="","",[1]Humus!G144)</f>
        <v>Zhou et al. (2016), Delas and Molot (1983)</v>
      </c>
      <c r="X161" s="51"/>
      <c r="Y161" s="51" t="str">
        <f>IF([1]C!BF144="","",[1]C!BF144)</f>
        <v>Wood average</v>
      </c>
      <c r="Z161" s="51" t="str">
        <f>IF([1]Humus!AK144="","",[1]Humus!AK144)</f>
        <v>Zhou et al. (2016)</v>
      </c>
      <c r="AA161" s="51" t="s">
        <v>456</v>
      </c>
      <c r="AF161" t="s">
        <v>763</v>
      </c>
    </row>
    <row r="162">
      <c r="A162" s="177" t="str">
        <f>[1]All!B145</f>
        <v>Bark (broad-leaved tree)</v>
      </c>
      <c r="B162" s="178"/>
      <c r="C162" s="51"/>
      <c r="D162" s="200" t="s">
        <v>215</v>
      </c>
      <c r="E162" s="185"/>
      <c r="F162" s="179"/>
      <c r="G162" s="179"/>
      <c r="H162" s="180"/>
      <c r="I162" s="180"/>
      <c r="J162" s="178" t="s">
        <v>450</v>
      </c>
      <c r="K162" s="180"/>
      <c r="L162" s="51"/>
      <c r="M162" s="51"/>
      <c r="N162" s="51"/>
      <c r="O162" s="35"/>
      <c r="P162" s="35"/>
      <c r="Q162" s="184"/>
      <c r="R162" s="184" t="s">
        <v>215</v>
      </c>
      <c r="S162" s="183" t="s">
        <v>489</v>
      </c>
      <c r="T162" s="51"/>
      <c r="U162" s="51"/>
      <c r="V162" s="51" t="str">
        <f>IF([1]C!G145="","",[1]C!G145)</f>
        <v>Parikh et al. (2007)</v>
      </c>
      <c r="W162" s="51" t="str">
        <f>IF([1]Humus!G145="","",[1]Humus!G145)</f>
      </c>
      <c r="X162" s="51"/>
      <c r="Y162" s="51" t="str">
        <f>IF([1]C!BF145="","",[1]C!BF145)</f>
        <v>Wood average</v>
      </c>
      <c r="Z162" s="51" t="str">
        <f>IF([1]Humus!AK145="","",[1]Humus!AK145)</f>
        <v>Woody average</v>
      </c>
      <c r="AA162" s="51" t="s">
        <v>456</v>
      </c>
      <c r="AF162" t="s">
        <v>763</v>
      </c>
    </row>
    <row r="163">
      <c r="A163" s="177" t="str">
        <f>[1]All!B146</f>
        <v>Broad-leaved tree</v>
      </c>
      <c r="B163" s="178"/>
      <c r="C163" s="51" t="s">
        <v>509</v>
      </c>
      <c r="D163" s="200" t="s">
        <v>215</v>
      </c>
      <c r="E163" s="185"/>
      <c r="F163" s="179"/>
      <c r="G163" s="179"/>
      <c r="H163" s="180"/>
      <c r="I163" s="180"/>
      <c r="J163" s="178" t="s">
        <v>450</v>
      </c>
      <c r="K163" s="180"/>
      <c r="L163" s="51"/>
      <c r="M163" s="51"/>
      <c r="N163" s="51"/>
      <c r="O163" s="35"/>
      <c r="P163" s="35"/>
      <c r="Q163" s="184"/>
      <c r="R163" s="35" t="s">
        <v>510</v>
      </c>
      <c r="S163" s="183" t="s">
        <v>489</v>
      </c>
      <c r="T163" s="51"/>
      <c r="U163" s="51"/>
      <c r="V163" s="51" t="str">
        <f>IF([1]C!G146="","",[1]C!G146)</f>
        <v>Parikh et al. (2007) (Canyon live oak, Alabama oak)</v>
      </c>
      <c r="W163" s="51" t="str">
        <f>IF([1]Humus!G146="","",[1]Humus!G146)</f>
      </c>
      <c r="X163" s="185" t="s">
        <v>511</v>
      </c>
      <c r="Y163" s="51" t="str">
        <f>IF([1]C!BF146="","",[1]C!BF146)</f>
        <v>Wood average</v>
      </c>
      <c r="Z163" s="51" t="str">
        <f>IF([1]Humus!AK146="","",[1]Humus!AK146)</f>
        <v>Woody average</v>
      </c>
      <c r="AA163" s="51" t="s">
        <v>456</v>
      </c>
      <c r="AF163" t="s">
        <v>763</v>
      </c>
    </row>
    <row r="164">
      <c r="A164" s="177" t="str">
        <f>[1]All!B147</f>
        <v>Temperate wood</v>
      </c>
      <c r="B164" s="178"/>
      <c r="C164" s="182" t="s">
        <v>512</v>
      </c>
      <c r="D164" s="200" t="s">
        <v>215</v>
      </c>
      <c r="E164" s="185"/>
      <c r="F164" s="179"/>
      <c r="G164" s="179"/>
      <c r="H164" s="180"/>
      <c r="I164" s="180"/>
      <c r="J164" s="182" t="s">
        <v>512</v>
      </c>
      <c r="K164" s="180"/>
      <c r="L164" s="51"/>
      <c r="M164" s="51"/>
      <c r="N164" s="51"/>
      <c r="O164" s="35"/>
      <c r="P164" s="35"/>
      <c r="Q164" s="35"/>
      <c r="R164" s="182" t="s">
        <v>512</v>
      </c>
      <c r="S164" s="183" t="s">
        <v>489</v>
      </c>
      <c r="T164" s="51"/>
      <c r="U164" s="51"/>
      <c r="V164" s="51" t="str">
        <f>IF([1]C!G147="","",[1]C!G147)</f>
        <v>Wood average</v>
      </c>
      <c r="W164" s="51" t="str">
        <f>IF([1]Humus!G147="","",[1]Humus!G147)</f>
      </c>
      <c r="X164" s="185" t="s">
        <v>508</v>
      </c>
      <c r="Y164" s="51" t="str">
        <f>IF([1]C!BF147="","",[1]C!BF147)</f>
        <v>Wood average</v>
      </c>
      <c r="Z164" s="51" t="str">
        <f>IF([1]Humus!AK147="","",[1]Humus!AK147)</f>
        <v>Woody average</v>
      </c>
      <c r="AA164" s="51" t="s">
        <v>456</v>
      </c>
      <c r="AF164" t="s">
        <v>763</v>
      </c>
    </row>
    <row r="165">
      <c r="A165" s="177" t="str">
        <f>[1]All!B148</f>
        <v>Tropical wood</v>
      </c>
      <c r="B165" s="178"/>
      <c r="C165" s="51" t="s">
        <v>513</v>
      </c>
      <c r="D165" s="200" t="s">
        <v>215</v>
      </c>
      <c r="E165" s="185"/>
      <c r="F165" s="179"/>
      <c r="G165" s="179"/>
      <c r="H165" s="180"/>
      <c r="I165" s="180"/>
      <c r="J165" s="182" t="s">
        <v>514</v>
      </c>
      <c r="K165" s="180"/>
      <c r="L165" s="51"/>
      <c r="M165" s="51"/>
      <c r="N165" s="51"/>
      <c r="O165" s="35"/>
      <c r="P165" s="35"/>
      <c r="Q165" s="35"/>
      <c r="R165" s="35" t="s">
        <v>510</v>
      </c>
      <c r="S165" s="183" t="s">
        <v>489</v>
      </c>
      <c r="T165" s="51"/>
      <c r="U165" s="51"/>
      <c r="V165" s="51" t="str">
        <f>IF([1]C!G148="","",[1]C!G148)</f>
        <v>Parikh et al. (2007) Subabul, babul</v>
      </c>
      <c r="W165" s="51" t="str">
        <f>IF([1]Humus!G148="","",[1]Humus!G148)</f>
      </c>
      <c r="X165" s="185" t="s">
        <v>515</v>
      </c>
      <c r="Y165" s="51" t="str">
        <f>IF([1]C!BF148="","",[1]C!BF148)</f>
        <v>Wood average</v>
      </c>
      <c r="Z165" s="51" t="str">
        <f>IF([1]Humus!AK148="","",[1]Humus!AK148)</f>
        <v>Woody average</v>
      </c>
      <c r="AA165" s="51" t="s">
        <v>456</v>
      </c>
      <c r="AF165" t="s">
        <v>763</v>
      </c>
    </row>
    <row r="166">
      <c r="A166" s="177" t="str">
        <f>[1]All!B149</f>
        <v>Average wood</v>
      </c>
      <c r="B166" s="178"/>
      <c r="C166" s="63" t="s">
        <v>516</v>
      </c>
      <c r="D166" s="178" t="s">
        <v>450</v>
      </c>
      <c r="E166" s="185"/>
      <c r="F166" s="179"/>
      <c r="G166" s="179"/>
      <c r="H166" s="180"/>
      <c r="I166" s="180"/>
      <c r="J166" s="182" t="s">
        <v>514</v>
      </c>
      <c r="K166" s="180"/>
      <c r="L166" s="51"/>
      <c r="M166" s="51"/>
      <c r="N166" s="51"/>
      <c r="O166" s="35"/>
      <c r="P166" s="35"/>
      <c r="Q166" s="184"/>
      <c r="R166" s="63" t="s">
        <v>516</v>
      </c>
      <c r="S166" s="183" t="s">
        <v>489</v>
      </c>
      <c r="T166" s="51"/>
      <c r="U166" s="51"/>
      <c r="V166" s="51" t="str">
        <f>IF([1]C!G149="","",[1]C!G149)</f>
        <v>Average of available data. Includes crop tree categories. Paula et al. (2011) (2), Parikh et al. (2007) (chips)</v>
      </c>
      <c r="W166" s="51" t="str">
        <f>IF([1]Humus!G149="","",[1]Humus!G149)</f>
        <v>Average of available data, , Polglase et al. (2000) (average of range limits)</v>
      </c>
      <c r="X166" s="63" t="s">
        <v>517</v>
      </c>
      <c r="Y166" s="51" t="str">
        <f>IF([1]C!BF149="","",[1]C!BF149)</f>
        <v>Average of available data</v>
      </c>
      <c r="Z166" s="51" t="str">
        <f>IF([1]Humus!AK149="","",[1]Humus!AK149)</f>
        <v>Average of available data</v>
      </c>
      <c r="AA166" s="51" t="s">
        <v>456</v>
      </c>
      <c r="AF166" t="s">
        <v>763</v>
      </c>
    </row>
    <row r="167">
      <c r="A167" s="44" t="str">
        <f>Coefs!B173</f>
        <v>Holm oak forest</v>
      </c>
      <c r="B167" s="178"/>
      <c r="C167" s="63" t="s">
        <v>771</v>
      </c>
      <c r="D167" s="178"/>
      <c r="E167" s="185"/>
      <c r="F167" s="179"/>
      <c r="G167" s="179"/>
      <c r="H167" s="180"/>
      <c r="I167" s="180"/>
      <c r="J167" s="182"/>
      <c r="K167" s="180"/>
      <c r="L167" s="51"/>
      <c r="M167" s="51"/>
      <c r="N167" s="51"/>
      <c r="O167" s="35"/>
      <c r="P167" s="35"/>
      <c r="Q167" s="184"/>
      <c r="R167" s="63"/>
      <c r="S167" s="183"/>
      <c r="T167" s="51"/>
      <c r="U167" s="51"/>
      <c r="V167" s="51"/>
      <c r="W167" s="51"/>
      <c r="X167" s="63"/>
      <c r="Y167" s="51"/>
      <c r="Z167" s="51"/>
      <c r="AA167" s="51"/>
    </row>
    <row r="168">
      <c r="A168" s="44" t="str">
        <f>Coefs!B174</f>
        <v>Mediterranean shrubland</v>
      </c>
      <c r="B168" s="178"/>
      <c r="C168" s="51" t="s">
        <v>451</v>
      </c>
      <c r="D168" s="178"/>
      <c r="E168" s="185"/>
      <c r="F168" s="179"/>
      <c r="G168" s="179"/>
      <c r="H168" s="180"/>
      <c r="I168" s="180"/>
      <c r="J168" s="182"/>
      <c r="K168" s="180"/>
      <c r="L168" s="51"/>
      <c r="M168" s="51"/>
      <c r="N168" s="51"/>
      <c r="O168" s="35"/>
      <c r="P168" s="35"/>
      <c r="Q168" s="184"/>
      <c r="R168" s="184" t="str">
        <f>R166</f>
        <v>Average of tropical and temperate wood</v>
      </c>
      <c r="S168" s="185" t="s">
        <v>818</v>
      </c>
      <c r="T168" s="51"/>
      <c r="U168" s="51"/>
      <c r="V168" s="51" t="str">
        <f>IF([1]C!G150="","",[1]C!G150)</f>
        <v>Parikh et al. (2007) Madrone</v>
      </c>
      <c r="W168" s="51" t="str">
        <f>IF([1]Humus!G150="","",[1]Humus!G150)</f>
      </c>
      <c r="X168" s="63"/>
      <c r="Y168" s="51" t="str">
        <f>IF([1]C!BF150="","",[1]C!BF150)</f>
        <v>Wood average</v>
      </c>
      <c r="Z168" s="51" t="str">
        <f>IF([1]Humus!AK150="","",[1]Humus!AK150)</f>
        <v>Woody average</v>
      </c>
      <c r="AA168" s="51" t="s">
        <v>456</v>
      </c>
      <c r="AF168" t="s">
        <v>763</v>
      </c>
    </row>
    <row r="169">
      <c r="A169" s="44" t="s">
        <v>213</v>
      </c>
      <c r="B169" s="178"/>
      <c r="C169" s="51" t="s">
        <v>509</v>
      </c>
      <c r="D169" s="178"/>
      <c r="E169" s="185"/>
      <c r="F169" s="179"/>
      <c r="G169" s="179"/>
      <c r="H169" s="180"/>
      <c r="I169" s="180"/>
      <c r="J169" s="182"/>
      <c r="K169" s="180"/>
      <c r="L169" s="51"/>
      <c r="M169" s="51"/>
      <c r="N169" s="51"/>
      <c r="O169" s="35"/>
      <c r="P169" s="35"/>
      <c r="Q169" s="184"/>
      <c r="R169" s="184" t="str">
        <f>R166</f>
        <v>Average of tropical and temperate wood</v>
      </c>
      <c r="S169" s="183" t="s">
        <v>489</v>
      </c>
      <c r="T169" s="51"/>
      <c r="U169" s="51"/>
      <c r="V169" s="51" t="str">
        <f>IF([1]C!G151="","",[1]C!G151)</f>
        <v>Wood average</v>
      </c>
      <c r="W169" s="51" t="str">
        <f>IF([1]Humus!G151="","",[1]Humus!G151)</f>
      </c>
      <c r="X169" s="63"/>
      <c r="Y169" s="51" t="str">
        <f>IF([1]C!BF151="","",[1]C!BF151)</f>
        <v>Wood average</v>
      </c>
      <c r="Z169" s="51" t="str">
        <f>IF([1]Humus!AK151="","",[1]Humus!AK151)</f>
        <v>Woody average</v>
      </c>
      <c r="AA169" s="51" t="s">
        <v>456</v>
      </c>
      <c r="AF169" t="s">
        <v>763</v>
      </c>
    </row>
    <row r="170">
      <c r="A170" s="177" t="s">
        <v>212</v>
      </c>
      <c r="B170" s="178"/>
      <c r="C170" s="51" t="s">
        <v>509</v>
      </c>
      <c r="D170" s="178"/>
      <c r="E170" s="185"/>
      <c r="F170" s="179"/>
      <c r="G170" s="179"/>
      <c r="H170" s="180"/>
      <c r="I170" s="180"/>
      <c r="J170" s="182"/>
      <c r="K170" s="180"/>
      <c r="L170" s="51"/>
      <c r="M170" s="51"/>
      <c r="N170" s="51"/>
      <c r="O170" s="35"/>
      <c r="P170" s="35"/>
      <c r="Q170" s="184"/>
      <c r="R170" s="184" t="str">
        <f>R166</f>
        <v>Average of tropical and temperate wood</v>
      </c>
      <c r="S170" s="183" t="s">
        <v>489</v>
      </c>
      <c r="T170" s="51"/>
      <c r="U170" s="51"/>
      <c r="V170" s="51" t="str">
        <f>IF([1]C!G152="","",[1]C!G152)</f>
        <v>Wood average</v>
      </c>
      <c r="W170" s="51" t="str">
        <f>IF([1]Humus!G152="","",[1]Humus!G152)</f>
      </c>
      <c r="X170" s="63"/>
      <c r="Y170" s="51" t="str">
        <f>IF([1]C!BF152="","",[1]C!BF152)</f>
        <v>Wood average</v>
      </c>
      <c r="Z170" s="51" t="str">
        <f>IF([1]Humus!AK152="","",[1]Humus!AK152)</f>
        <v>Woody average</v>
      </c>
      <c r="AA170" s="51" t="s">
        <v>456</v>
      </c>
      <c r="AF170" t="s">
        <v>763</v>
      </c>
    </row>
    <row r="171">
      <c r="A171" s="177" t="str">
        <f>[1]All!B153</f>
        <v>Paper</v>
      </c>
      <c r="B171" s="178"/>
      <c r="C171" s="51"/>
      <c r="D171" s="185" t="s">
        <v>515</v>
      </c>
      <c r="E171" s="185"/>
      <c r="F171" s="179"/>
      <c r="G171" s="179"/>
      <c r="H171" s="180"/>
      <c r="I171" s="180"/>
      <c r="J171" s="182" t="s">
        <v>518</v>
      </c>
      <c r="K171" s="180"/>
      <c r="L171" s="51"/>
      <c r="M171" s="51"/>
      <c r="N171" s="51"/>
      <c r="O171" s="35"/>
      <c r="P171" s="35"/>
      <c r="Q171" s="35"/>
      <c r="R171" s="185" t="s">
        <v>515</v>
      </c>
      <c r="S171" s="183" t="s">
        <v>489</v>
      </c>
      <c r="T171" s="51"/>
      <c r="U171" s="51"/>
      <c r="V171" s="51" t="str">
        <f>IF([1]C!G153="","",[1]C!G153)</f>
        <v>Wood average</v>
      </c>
      <c r="W171" s="51" t="str">
        <f>IF([1]Humus!G153="","",[1]Humus!G153)</f>
      </c>
      <c r="X171" s="51"/>
      <c r="Y171" s="51" t="str">
        <f>IF([1]C!BF153="","",[1]C!BF153)</f>
      </c>
      <c r="Z171" s="51" t="str">
        <f>IF([1]Humus!AK153="","",[1]Humus!AK153)</f>
        <v>Woody average</v>
      </c>
      <c r="AA171" s="51" t="s">
        <v>456</v>
      </c>
      <c r="AF171" t="s">
        <v>763</v>
      </c>
    </row>
    <row r="172">
      <c r="A172" s="177" t="str">
        <f>[1]All!B154</f>
        <v>Charcoal</v>
      </c>
      <c r="B172" s="178"/>
      <c r="C172" s="51"/>
      <c r="D172" s="185" t="s">
        <v>515</v>
      </c>
      <c r="E172" s="185"/>
      <c r="F172" s="179"/>
      <c r="G172" s="179"/>
      <c r="H172" s="180"/>
      <c r="I172" s="180"/>
      <c r="J172" s="182" t="s">
        <v>518</v>
      </c>
      <c r="K172" s="180"/>
      <c r="L172" s="51"/>
      <c r="M172" s="51"/>
      <c r="N172" s="51"/>
      <c r="O172" s="35" t="s">
        <v>519</v>
      </c>
      <c r="P172" s="35"/>
      <c r="Q172" s="35"/>
      <c r="R172" s="185" t="s">
        <v>520</v>
      </c>
      <c r="S172" s="183" t="s">
        <v>489</v>
      </c>
      <c r="T172" s="51"/>
      <c r="U172" s="51"/>
      <c r="V172" s="51" t="str">
        <f>IF([1]C!G154="","",[1]C!G154)</f>
        <v>Wood average</v>
      </c>
      <c r="W172" s="51" t="str">
        <f>IF([1]Humus!G154="","",[1]Humus!G154)</f>
      </c>
      <c r="X172" s="51"/>
      <c r="Y172" s="51" t="str">
        <f>IF([1]C!BF154="","",[1]C!BF154)</f>
      </c>
      <c r="Z172" s="51" t="str">
        <f>IF([1]Humus!AK154="","",[1]Humus!AK154)</f>
        <v>Woody average</v>
      </c>
      <c r="AA172" s="51" t="s">
        <v>456</v>
      </c>
      <c r="AF172" t="s">
        <v>763</v>
      </c>
    </row>
    <row r="173">
      <c r="A173" s="177" t="s">
        <v>209</v>
      </c>
      <c r="B173" s="181"/>
      <c r="C173" s="51" t="s">
        <v>555</v>
      </c>
      <c r="D173" s="178" t="s">
        <v>450</v>
      </c>
      <c r="E173" s="185"/>
      <c r="F173" s="179"/>
      <c r="G173" s="179"/>
      <c r="H173" s="180"/>
      <c r="I173" s="180"/>
      <c r="J173" s="178" t="s">
        <v>450</v>
      </c>
      <c r="K173" s="180"/>
      <c r="L173" s="63" t="s">
        <v>521</v>
      </c>
      <c r="M173" s="63" t="s">
        <v>521</v>
      </c>
      <c r="N173" s="63" t="s">
        <v>521</v>
      </c>
      <c r="O173" s="51" t="s">
        <v>452</v>
      </c>
      <c r="P173" s="51" t="s">
        <v>452</v>
      </c>
      <c r="Q173" s="35"/>
      <c r="R173" s="51"/>
      <c r="S173" s="51" t="s">
        <v>498</v>
      </c>
      <c r="T173" s="51"/>
      <c r="U173" s="51"/>
      <c r="V173" s="51" t="str">
        <f>IF([1]C!G156="","",[1]C!G156)</f>
        <v>Grass average</v>
      </c>
      <c r="W173" s="51" t="str">
        <f>IF([1]Humus!G156="","",[1]Humus!G156)</f>
        <v>Herbaceous average</v>
      </c>
      <c r="X173" s="51"/>
      <c r="Y173" s="51" t="str">
        <f>IF([1]C!BF156="","",[1]C!BF156)</f>
        <v>Plant average</v>
      </c>
      <c r="Z173" s="51" t="str">
        <f>IF([1]Humus!AK156="","",[1]Humus!AK156)</f>
        <v>Herbaceous average</v>
      </c>
      <c r="AA173" s="51" t="s">
        <v>456</v>
      </c>
      <c r="AD173" t="s">
        <v>522</v>
      </c>
      <c r="AF173" t="s">
        <v>763</v>
      </c>
    </row>
    <row r="174">
      <c r="A174" s="177" t="s">
        <v>207</v>
      </c>
      <c r="B174" s="200"/>
      <c r="C174" s="51" t="s">
        <v>555</v>
      </c>
      <c r="D174" s="178" t="s">
        <v>450</v>
      </c>
      <c r="E174" s="185"/>
      <c r="F174" s="179"/>
      <c r="G174" s="179"/>
      <c r="H174" s="180"/>
      <c r="I174" s="180"/>
      <c r="J174" s="200" t="s">
        <v>304</v>
      </c>
      <c r="K174" s="180"/>
      <c r="L174" s="63" t="s">
        <v>521</v>
      </c>
      <c r="M174" s="63" t="s">
        <v>521</v>
      </c>
      <c r="N174" s="63" t="s">
        <v>521</v>
      </c>
      <c r="O174" s="51" t="s">
        <v>555</v>
      </c>
      <c r="P174" s="35"/>
      <c r="Q174" s="35"/>
      <c r="R174" s="51"/>
      <c r="S174" s="51" t="s">
        <v>498</v>
      </c>
      <c r="T174" s="51"/>
      <c r="U174" s="51"/>
      <c r="V174" s="51" t="str">
        <f>IF([1]C!G157="","",[1]C!G157)</f>
        <v>Grass average</v>
      </c>
      <c r="W174" s="51" t="str">
        <f>IF([1]Humus!G157="","",[1]Humus!G157)</f>
        <v>Herbaceous average</v>
      </c>
      <c r="X174" s="51"/>
      <c r="Y174" s="51" t="str">
        <f>IF([1]C!BF157="","",[1]C!BF157)</f>
        <v>Plant average</v>
      </c>
      <c r="Z174" s="51" t="str">
        <f>IF([1]Humus!AK157="","",[1]Humus!AK157)</f>
        <v>Herbaceous average</v>
      </c>
      <c r="AA174" s="51" t="s">
        <v>456</v>
      </c>
      <c r="AD174" t="s">
        <v>522</v>
      </c>
      <c r="AF174" t="s">
        <v>763</v>
      </c>
    </row>
    <row r="175">
      <c r="A175" s="177" t="s">
        <v>206</v>
      </c>
      <c r="B175" s="178"/>
      <c r="C175" s="51" t="s">
        <v>555</v>
      </c>
      <c r="D175" s="178" t="s">
        <v>450</v>
      </c>
      <c r="E175" s="185"/>
      <c r="F175" s="179"/>
      <c r="G175" s="179"/>
      <c r="H175" s="180"/>
      <c r="I175" s="180"/>
      <c r="J175" s="178" t="s">
        <v>450</v>
      </c>
      <c r="K175" s="180"/>
      <c r="L175" s="63" t="s">
        <v>521</v>
      </c>
      <c r="M175" s="63" t="s">
        <v>521</v>
      </c>
      <c r="N175" s="63" t="s">
        <v>521</v>
      </c>
      <c r="O175" s="51" t="s">
        <v>555</v>
      </c>
      <c r="P175" s="35"/>
      <c r="Q175" s="35"/>
      <c r="R175" s="51"/>
      <c r="S175" s="51" t="s">
        <v>498</v>
      </c>
      <c r="T175" s="51"/>
      <c r="U175" s="51"/>
      <c r="V175" s="51" t="str">
        <f>IF([1]C!G158="","",[1]C!G158)</f>
        <v>Grass average</v>
      </c>
      <c r="W175" s="51" t="str">
        <f>IF([1]Humus!G158="","",[1]Humus!G158)</f>
        <v>Herbaceous average</v>
      </c>
      <c r="X175" s="51"/>
      <c r="Y175" s="51" t="str">
        <f>IF([1]C!BF158="","",[1]C!BF158)</f>
        <v>Plant average</v>
      </c>
      <c r="Z175" s="51" t="str">
        <f>IF([1]Humus!AK158="","",[1]Humus!AK158)</f>
        <v>Herbaceous average</v>
      </c>
      <c r="AA175" s="51" t="s">
        <v>456</v>
      </c>
      <c r="AD175" t="s">
        <v>522</v>
      </c>
      <c r="AF175" t="s">
        <v>763</v>
      </c>
    </row>
    <row r="176">
      <c r="A176" s="177" t="s">
        <v>204</v>
      </c>
      <c r="B176" s="178"/>
      <c r="C176" s="51" t="s">
        <v>555</v>
      </c>
      <c r="D176" s="178" t="s">
        <v>450</v>
      </c>
      <c r="E176" s="185"/>
      <c r="F176" s="179"/>
      <c r="G176" s="179"/>
      <c r="H176" s="180"/>
      <c r="I176" s="180"/>
      <c r="J176" s="178" t="s">
        <v>450</v>
      </c>
      <c r="K176" s="180"/>
      <c r="L176" s="63" t="s">
        <v>521</v>
      </c>
      <c r="M176" s="63" t="s">
        <v>521</v>
      </c>
      <c r="N176" s="63" t="s">
        <v>521</v>
      </c>
      <c r="O176" s="51" t="s">
        <v>555</v>
      </c>
      <c r="P176" s="35"/>
      <c r="Q176" s="35"/>
      <c r="R176" s="51"/>
      <c r="S176" s="51" t="s">
        <v>498</v>
      </c>
      <c r="T176" s="51"/>
      <c r="U176" s="51"/>
      <c r="V176" s="51" t="str">
        <f>IF([1]C!G159="","",[1]C!G159)</f>
        <v>Grass average</v>
      </c>
      <c r="W176" s="51" t="str">
        <f>IF([1]Humus!G159="","",[1]Humus!G159)</f>
        <v>Herbaceous average</v>
      </c>
      <c r="X176" s="51"/>
      <c r="Y176" s="51" t="str">
        <f>IF([1]C!BF159="","",[1]C!BF159)</f>
        <v>Plant average</v>
      </c>
      <c r="Z176" s="51" t="str">
        <f>IF([1]Humus!AK159="","",[1]Humus!AK159)</f>
        <v>Herbaceous average</v>
      </c>
      <c r="AA176" s="51" t="s">
        <v>456</v>
      </c>
      <c r="AD176" t="s">
        <v>522</v>
      </c>
      <c r="AF176" t="s">
        <v>763</v>
      </c>
    </row>
    <row r="177">
      <c r="A177" s="177" t="s">
        <v>202</v>
      </c>
      <c r="B177" s="178"/>
      <c r="C177" s="51" t="s">
        <v>555</v>
      </c>
      <c r="D177" s="178" t="s">
        <v>450</v>
      </c>
      <c r="E177" s="185"/>
      <c r="F177" s="179"/>
      <c r="G177" s="179"/>
      <c r="H177" s="180"/>
      <c r="I177" s="180"/>
      <c r="J177" s="178" t="s">
        <v>450</v>
      </c>
      <c r="K177" s="180"/>
      <c r="L177" s="63" t="s">
        <v>521</v>
      </c>
      <c r="M177" s="63" t="s">
        <v>521</v>
      </c>
      <c r="N177" s="63" t="s">
        <v>521</v>
      </c>
      <c r="O177" s="51" t="s">
        <v>555</v>
      </c>
      <c r="P177" s="35"/>
      <c r="Q177" s="35"/>
      <c r="R177" s="51"/>
      <c r="S177" s="51" t="s">
        <v>498</v>
      </c>
      <c r="T177" s="51"/>
      <c r="U177" s="51"/>
      <c r="V177" s="51" t="str">
        <f>IF([1]C!G160="","",[1]C!G160)</f>
        <v>Grass average</v>
      </c>
      <c r="W177" s="51" t="str">
        <f>IF([1]Humus!G160="","",[1]Humus!G160)</f>
        <v>Herbaceous average</v>
      </c>
      <c r="X177" s="51"/>
      <c r="Y177" s="51" t="str">
        <f>IF([1]C!BF160="","",[1]C!BF160)</f>
        <v>Plant average</v>
      </c>
      <c r="Z177" s="51" t="str">
        <f>IF([1]Humus!AK160="","",[1]Humus!AK160)</f>
        <v>Herbaceous average</v>
      </c>
      <c r="AA177" s="51" t="s">
        <v>456</v>
      </c>
      <c r="AD177" t="s">
        <v>522</v>
      </c>
      <c r="AF177" t="s">
        <v>763</v>
      </c>
    </row>
    <row r="178">
      <c r="A178" s="177" t="s">
        <v>200</v>
      </c>
      <c r="B178" s="178"/>
      <c r="C178" s="51" t="s">
        <v>555</v>
      </c>
      <c r="D178" s="178" t="s">
        <v>450</v>
      </c>
      <c r="E178" s="185"/>
      <c r="F178" s="179"/>
      <c r="G178" s="179"/>
      <c r="H178" s="180"/>
      <c r="I178" s="180"/>
      <c r="J178" s="178" t="s">
        <v>450</v>
      </c>
      <c r="K178" s="180"/>
      <c r="L178" s="63" t="s">
        <v>521</v>
      </c>
      <c r="M178" s="63" t="s">
        <v>521</v>
      </c>
      <c r="N178" s="63" t="s">
        <v>521</v>
      </c>
      <c r="O178" s="51" t="s">
        <v>555</v>
      </c>
      <c r="P178" s="35"/>
      <c r="Q178" s="35"/>
      <c r="R178" s="51"/>
      <c r="S178" s="51" t="s">
        <v>498</v>
      </c>
      <c r="T178" s="51"/>
      <c r="U178" s="51"/>
      <c r="V178" s="51" t="str">
        <f>IF([1]C!G161="","",[1]C!G161)</f>
        <v>Grass average</v>
      </c>
      <c r="W178" s="51" t="str">
        <f>IF([1]Humus!G161="","",[1]Humus!G161)</f>
        <v>Herbaceous average</v>
      </c>
      <c r="X178" s="51"/>
      <c r="Y178" s="51" t="str">
        <f>IF([1]C!BF161="","",[1]C!BF161)</f>
        <v>Plant average</v>
      </c>
      <c r="Z178" s="51" t="str">
        <f>IF([1]Humus!AK161="","",[1]Humus!AK161)</f>
        <v>Herbaceous average</v>
      </c>
      <c r="AA178" s="51" t="s">
        <v>456</v>
      </c>
      <c r="AD178" t="s">
        <v>522</v>
      </c>
      <c r="AF178" t="s">
        <v>763</v>
      </c>
    </row>
    <row r="179">
      <c r="A179" s="177" t="s">
        <v>199</v>
      </c>
      <c r="B179" s="178"/>
      <c r="C179" s="51" t="s">
        <v>555</v>
      </c>
      <c r="D179" s="178" t="s">
        <v>450</v>
      </c>
      <c r="E179" s="185"/>
      <c r="F179" s="179"/>
      <c r="G179" s="179"/>
      <c r="H179" s="180"/>
      <c r="I179" s="180"/>
      <c r="J179" s="178" t="s">
        <v>450</v>
      </c>
      <c r="K179" s="180"/>
      <c r="L179" s="63" t="s">
        <v>521</v>
      </c>
      <c r="M179" s="63" t="s">
        <v>521</v>
      </c>
      <c r="N179" s="63" t="s">
        <v>521</v>
      </c>
      <c r="O179" s="51" t="s">
        <v>555</v>
      </c>
      <c r="P179" s="35"/>
      <c r="Q179" s="35"/>
      <c r="R179" s="51"/>
      <c r="S179" s="51" t="s">
        <v>498</v>
      </c>
      <c r="T179" s="51"/>
      <c r="U179" s="51"/>
      <c r="V179" s="51" t="str">
        <f>IF([1]C!G162="","",[1]C!G162)</f>
        <v>Grass average</v>
      </c>
      <c r="W179" s="51" t="str">
        <f>IF([1]Humus!G162="","",[1]Humus!G162)</f>
        <v>Herbaceous average</v>
      </c>
      <c r="X179" s="51"/>
      <c r="Y179" s="51" t="str">
        <f>IF([1]C!BF162="","",[1]C!BF162)</f>
        <v>Plant average</v>
      </c>
      <c r="Z179" s="51" t="str">
        <f>IF([1]Humus!AK162="","",[1]Humus!AK162)</f>
        <v>Herbaceous average</v>
      </c>
      <c r="AA179" s="51" t="s">
        <v>456</v>
      </c>
      <c r="AD179" t="s">
        <v>522</v>
      </c>
      <c r="AF179" t="s">
        <v>763</v>
      </c>
    </row>
    <row r="180">
      <c r="A180" s="177" t="s">
        <v>197</v>
      </c>
      <c r="B180" s="178"/>
      <c r="C180" s="51" t="s">
        <v>555</v>
      </c>
      <c r="D180" s="178" t="s">
        <v>450</v>
      </c>
      <c r="E180" s="185"/>
      <c r="F180" s="179"/>
      <c r="G180" s="179"/>
      <c r="H180" s="180"/>
      <c r="I180" s="180"/>
      <c r="J180" s="178" t="s">
        <v>450</v>
      </c>
      <c r="K180" s="180"/>
      <c r="L180" s="63" t="s">
        <v>521</v>
      </c>
      <c r="M180" s="63" t="s">
        <v>521</v>
      </c>
      <c r="N180" s="63" t="s">
        <v>521</v>
      </c>
      <c r="O180" s="51" t="s">
        <v>555</v>
      </c>
      <c r="P180" s="35"/>
      <c r="Q180" s="35"/>
      <c r="R180" s="51"/>
      <c r="S180" s="51" t="s">
        <v>498</v>
      </c>
      <c r="T180" s="51"/>
      <c r="U180" s="51"/>
      <c r="V180" s="51" t="str">
        <f>IF([1]C!G163="","",[1]C!G163)</f>
        <v>Grass average</v>
      </c>
      <c r="W180" s="51" t="str">
        <f>IF([1]Humus!G163="","",[1]Humus!G163)</f>
        <v>Herbaceous average</v>
      </c>
      <c r="X180" s="51"/>
      <c r="Y180" s="51" t="str">
        <f>IF([1]C!BF163="","",[1]C!BF163)</f>
        <v>Plant average</v>
      </c>
      <c r="Z180" s="51" t="str">
        <f>IF([1]Humus!AK163="","",[1]Humus!AK163)</f>
        <v>Herbaceous average</v>
      </c>
      <c r="AA180" s="51" t="s">
        <v>456</v>
      </c>
      <c r="AD180" t="s">
        <v>522</v>
      </c>
      <c r="AF180" t="s">
        <v>763</v>
      </c>
    </row>
    <row r="181">
      <c r="A181" s="177" t="s">
        <v>195</v>
      </c>
      <c r="B181" s="181"/>
      <c r="C181" s="51" t="s">
        <v>556</v>
      </c>
      <c r="D181" s="178" t="s">
        <v>450</v>
      </c>
      <c r="E181" s="185"/>
      <c r="F181" s="179"/>
      <c r="G181" s="179"/>
      <c r="H181" s="180"/>
      <c r="I181" s="180"/>
      <c r="J181" s="178" t="s">
        <v>450</v>
      </c>
      <c r="K181" s="180"/>
      <c r="L181" s="63" t="s">
        <v>521</v>
      </c>
      <c r="M181" s="63" t="s">
        <v>521</v>
      </c>
      <c r="N181" s="63" t="s">
        <v>521</v>
      </c>
      <c r="O181" s="51" t="s">
        <v>556</v>
      </c>
      <c r="P181" s="35"/>
      <c r="Q181" s="35"/>
      <c r="R181" s="51"/>
      <c r="S181" s="51" t="s">
        <v>498</v>
      </c>
      <c r="T181" s="51"/>
      <c r="U181" s="51"/>
      <c r="V181" s="51" t="str">
        <f>IF([1]C!G164="","",[1]C!G164)</f>
        <v>Grass average</v>
      </c>
      <c r="W181" s="51" t="str">
        <f>IF([1]Humus!G164="","",[1]Humus!G164)</f>
        <v>Herbaceous average</v>
      </c>
      <c r="X181" s="51"/>
      <c r="Y181" s="51" t="str">
        <f>IF([1]C!BF164="","",[1]C!BF164)</f>
        <v>Plant average</v>
      </c>
      <c r="Z181" s="51" t="str">
        <f>IF([1]Humus!AK164="","",[1]Humus!AK164)</f>
        <v>Herbaceous average</v>
      </c>
      <c r="AA181" s="51" t="s">
        <v>456</v>
      </c>
      <c r="AD181" t="s">
        <v>522</v>
      </c>
      <c r="AF181" t="s">
        <v>763</v>
      </c>
    </row>
    <row r="182">
      <c r="A182" s="177" t="s">
        <v>194</v>
      </c>
      <c r="B182" s="178"/>
      <c r="C182" s="51" t="s">
        <v>555</v>
      </c>
      <c r="D182" s="178" t="s">
        <v>450</v>
      </c>
      <c r="E182" s="185"/>
      <c r="F182" s="179"/>
      <c r="G182" s="179"/>
      <c r="H182" s="180"/>
      <c r="I182" s="180"/>
      <c r="J182" s="178" t="s">
        <v>450</v>
      </c>
      <c r="K182" s="180"/>
      <c r="L182" s="63" t="s">
        <v>521</v>
      </c>
      <c r="M182" s="63" t="s">
        <v>521</v>
      </c>
      <c r="N182" s="63" t="s">
        <v>521</v>
      </c>
      <c r="O182" s="51" t="s">
        <v>555</v>
      </c>
      <c r="P182" s="35"/>
      <c r="Q182" s="35"/>
      <c r="R182" s="51"/>
      <c r="S182" s="51" t="s">
        <v>498</v>
      </c>
      <c r="T182" s="51"/>
      <c r="U182" s="51"/>
      <c r="V182" s="51" t="str">
        <f>IF([1]C!G165="","",[1]C!G165)</f>
        <v>Grass average</v>
      </c>
      <c r="W182" s="51" t="str">
        <f>IF([1]Humus!G165="","",[1]Humus!G165)</f>
        <v>Herbaceous average</v>
      </c>
      <c r="X182" s="51"/>
      <c r="Y182" s="51" t="str">
        <f>IF([1]C!BF165="","",[1]C!BF165)</f>
        <v>Plant average</v>
      </c>
      <c r="Z182" s="51" t="str">
        <f>IF([1]Humus!AK165="","",[1]Humus!AK165)</f>
        <v>Herbaceous average</v>
      </c>
      <c r="AA182" s="51" t="s">
        <v>456</v>
      </c>
      <c r="AD182" t="s">
        <v>522</v>
      </c>
      <c r="AF182" t="s">
        <v>763</v>
      </c>
    </row>
    <row r="183">
      <c r="A183" s="177" t="s">
        <v>193</v>
      </c>
      <c r="B183" s="181"/>
      <c r="C183" s="51" t="s">
        <v>555</v>
      </c>
      <c r="D183" s="178" t="s">
        <v>450</v>
      </c>
      <c r="E183" s="185"/>
      <c r="F183" s="179"/>
      <c r="G183" s="179"/>
      <c r="H183" s="180"/>
      <c r="I183" s="180"/>
      <c r="J183" s="178" t="s">
        <v>450</v>
      </c>
      <c r="K183" s="180"/>
      <c r="L183" s="63" t="s">
        <v>521</v>
      </c>
      <c r="M183" s="63" t="s">
        <v>521</v>
      </c>
      <c r="N183" s="63" t="s">
        <v>521</v>
      </c>
      <c r="O183" s="51" t="s">
        <v>452</v>
      </c>
      <c r="P183" s="51" t="s">
        <v>452</v>
      </c>
      <c r="Q183" s="35"/>
      <c r="R183" s="51"/>
      <c r="S183" s="51" t="s">
        <v>498</v>
      </c>
      <c r="T183" s="51"/>
      <c r="U183" s="51"/>
      <c r="V183" s="51" t="str">
        <f>IF([1]C!G166="","",[1]C!G166)</f>
        <v>Grass average</v>
      </c>
      <c r="W183" s="51" t="str">
        <f>IF([1]Humus!G166="","",[1]Humus!G166)</f>
        <v>Herbaceous average</v>
      </c>
      <c r="X183" s="51"/>
      <c r="Y183" s="51" t="str">
        <f>IF([1]C!BF166="","",[1]C!BF166)</f>
        <v>Plant average</v>
      </c>
      <c r="Z183" s="51" t="str">
        <f>IF([1]Humus!AK166="","",[1]Humus!AK166)</f>
        <v>Herbaceous average</v>
      </c>
      <c r="AA183" s="51" t="s">
        <v>456</v>
      </c>
      <c r="AD183" t="s">
        <v>522</v>
      </c>
      <c r="AF183" t="s">
        <v>763</v>
      </c>
    </row>
    <row r="184">
      <c r="A184" s="177" t="s">
        <v>192</v>
      </c>
      <c r="B184" s="178" t="s">
        <v>450</v>
      </c>
      <c r="C184" s="51" t="s">
        <v>557</v>
      </c>
      <c r="D184" s="178" t="s">
        <v>450</v>
      </c>
      <c r="E184" s="185"/>
      <c r="F184" s="179"/>
      <c r="G184" s="179"/>
      <c r="H184" s="180"/>
      <c r="I184" s="180"/>
      <c r="J184" s="178" t="s">
        <v>450</v>
      </c>
      <c r="K184" s="180"/>
      <c r="L184" s="63" t="s">
        <v>521</v>
      </c>
      <c r="M184" s="63" t="s">
        <v>521</v>
      </c>
      <c r="N184" s="63" t="s">
        <v>521</v>
      </c>
      <c r="O184" s="51" t="s">
        <v>523</v>
      </c>
      <c r="P184" s="184" t="s">
        <v>523</v>
      </c>
      <c r="Q184" s="35"/>
      <c r="R184" s="51"/>
      <c r="S184" s="51" t="s">
        <v>498</v>
      </c>
      <c r="T184" s="51"/>
      <c r="U184" s="51"/>
      <c r="V184" s="51" t="str">
        <f>IF([1]C!G167="","",[1]C!G167)</f>
        <v>Grass average</v>
      </c>
      <c r="W184" s="51" t="str">
        <f>IF([1]Humus!G167="","",[1]Humus!G167)</f>
      </c>
      <c r="X184" s="51"/>
      <c r="Y184" s="51" t="str">
        <f>IF([1]C!BF167="","",[1]C!BF167)</f>
        <v>Plant average</v>
      </c>
      <c r="Z184" s="51" t="str">
        <f>IF([1]Humus!AK167="","",[1]Humus!AK167)</f>
        <v>Herbaceous average</v>
      </c>
      <c r="AA184" s="51" t="s">
        <v>456</v>
      </c>
      <c r="AD184" t="s">
        <v>522</v>
      </c>
      <c r="AF184" t="s">
        <v>763</v>
      </c>
    </row>
    <row r="185">
      <c r="A185" s="177" t="s">
        <v>191</v>
      </c>
      <c r="B185" s="178" t="s">
        <v>450</v>
      </c>
      <c r="C185" s="51" t="s">
        <v>555</v>
      </c>
      <c r="D185" s="178" t="s">
        <v>450</v>
      </c>
      <c r="E185" s="185"/>
      <c r="F185" s="179"/>
      <c r="G185" s="179"/>
      <c r="H185" s="180"/>
      <c r="I185" s="180"/>
      <c r="J185" s="178" t="s">
        <v>450</v>
      </c>
      <c r="K185" s="180"/>
      <c r="L185" s="63" t="s">
        <v>521</v>
      </c>
      <c r="M185" s="63" t="s">
        <v>521</v>
      </c>
      <c r="N185" s="63" t="s">
        <v>521</v>
      </c>
      <c r="O185" s="51" t="s">
        <v>452</v>
      </c>
      <c r="P185" s="51" t="s">
        <v>452</v>
      </c>
      <c r="Q185" s="35"/>
      <c r="R185" s="51"/>
      <c r="S185" s="51" t="s">
        <v>498</v>
      </c>
      <c r="T185" s="51"/>
      <c r="U185" s="51"/>
      <c r="V185" s="51" t="str">
        <f>IF([1]C!G168="","",[1]C!G168)</f>
        <v>Chaves et al. (2004), Henriksen et al. (1999)</v>
      </c>
      <c r="W185" s="51" t="str">
        <f>IF([1]Humus!G168="","",[1]Humus!G168)</f>
        <v>Herbaceous average</v>
      </c>
      <c r="X185" s="51"/>
      <c r="Y185" s="51" t="str">
        <f>IF([1]C!BF168="","",[1]C!BF168)</f>
        <v>Redin et al. (2014)</v>
      </c>
      <c r="Z185" s="51" t="str">
        <f>IF([1]Humus!AK168="","",[1]Humus!AK168)</f>
        <v>Herbaceous average</v>
      </c>
      <c r="AA185" s="51" t="s">
        <v>456</v>
      </c>
      <c r="AD185" t="s">
        <v>522</v>
      </c>
      <c r="AF185" t="s">
        <v>763</v>
      </c>
    </row>
    <row r="186">
      <c r="A186" s="177" t="s">
        <v>190</v>
      </c>
      <c r="B186" s="181"/>
      <c r="C186" s="51" t="s">
        <v>188</v>
      </c>
      <c r="D186" s="178" t="s">
        <v>450</v>
      </c>
      <c r="E186" s="185"/>
      <c r="F186" s="179"/>
      <c r="G186" s="179"/>
      <c r="H186" s="180"/>
      <c r="I186" s="180"/>
      <c r="J186" s="178" t="s">
        <v>450</v>
      </c>
      <c r="K186" s="180"/>
      <c r="L186" s="63" t="s">
        <v>521</v>
      </c>
      <c r="M186" s="63" t="s">
        <v>521</v>
      </c>
      <c r="N186" s="63" t="s">
        <v>521</v>
      </c>
      <c r="O186" s="51" t="s">
        <v>188</v>
      </c>
      <c r="P186" s="35"/>
      <c r="Q186" s="35"/>
      <c r="R186" s="51"/>
      <c r="S186" s="51" t="s">
        <v>498</v>
      </c>
      <c r="T186" s="51"/>
      <c r="U186" s="51"/>
      <c r="V186" s="51" t="str">
        <f>IF([1]C!G169="","",[1]C!G169)</f>
        <v>Grass average</v>
      </c>
      <c r="W186" s="51" t="str">
        <f>IF([1]Humus!G169="","",[1]Humus!G169)</f>
        <v>Herbaceous average</v>
      </c>
      <c r="X186" s="51"/>
      <c r="Y186" s="51" t="str">
        <f>IF([1]C!BF169="","",[1]C!BF169)</f>
        <v>Plant average</v>
      </c>
      <c r="Z186" s="51" t="str">
        <f>IF([1]Humus!AK169="","",[1]Humus!AK169)</f>
        <v>Herbaceous average</v>
      </c>
      <c r="AA186" s="51" t="s">
        <v>456</v>
      </c>
      <c r="AD186" t="s">
        <v>524</v>
      </c>
      <c r="AF186" t="s">
        <v>763</v>
      </c>
    </row>
    <row r="187">
      <c r="A187" s="177" t="s">
        <v>188</v>
      </c>
      <c r="B187" s="178" t="s">
        <v>450</v>
      </c>
      <c r="C187" s="51" t="s">
        <v>554</v>
      </c>
      <c r="D187" s="178" t="s">
        <v>450</v>
      </c>
      <c r="E187" s="185"/>
      <c r="F187" s="179"/>
      <c r="G187" s="179"/>
      <c r="H187" s="180"/>
      <c r="I187" s="180"/>
      <c r="J187" s="178" t="s">
        <v>450</v>
      </c>
      <c r="K187" s="180"/>
      <c r="L187" s="63" t="s">
        <v>521</v>
      </c>
      <c r="M187" s="63" t="s">
        <v>521</v>
      </c>
      <c r="N187" s="63" t="s">
        <v>521</v>
      </c>
      <c r="O187" s="51" t="s">
        <v>452</v>
      </c>
      <c r="P187" s="51" t="s">
        <v>452</v>
      </c>
      <c r="Q187" s="51" t="s">
        <v>452</v>
      </c>
      <c r="R187" s="51"/>
      <c r="S187" s="51" t="s">
        <v>498</v>
      </c>
      <c r="T187" s="51"/>
      <c r="U187" s="51"/>
      <c r="V187" s="51" t="str">
        <f>IF([1]C!G170="","",[1]C!G170)</f>
        <v>Frankerberger and Abdelmagid (1985), Parikh et al. (2007), Raiesi (2006), Johnson et al (2007), Delas and Molot (1983), ECN (2017) (9)</v>
      </c>
      <c r="W187" s="51" t="str">
        <f>IF([1]Humus!G170="","",[1]Humus!G170)</f>
        <v>Boiffin et al. (1986)</v>
      </c>
      <c r="X187" s="51"/>
      <c r="Y187" s="51" t="str">
        <f>IF([1]C!BF170="","",[1]C!BF170)</f>
        <v>Johnson et al. (2007)</v>
      </c>
      <c r="Z187" s="51" t="str">
        <f>IF([1]Humus!AK170="","",[1]Humus!AK170)</f>
        <v>Herbaceous average</v>
      </c>
      <c r="AA187" s="51" t="s">
        <v>456</v>
      </c>
      <c r="AD187" t="s">
        <v>525</v>
      </c>
      <c r="AF187" t="s">
        <v>763</v>
      </c>
    </row>
    <row r="188">
      <c r="A188" s="177" t="s">
        <v>186</v>
      </c>
      <c r="B188" s="181"/>
      <c r="C188" s="51" t="s">
        <v>556</v>
      </c>
      <c r="D188" s="178" t="s">
        <v>450</v>
      </c>
      <c r="E188" s="185"/>
      <c r="F188" s="179"/>
      <c r="G188" s="179"/>
      <c r="H188" s="180"/>
      <c r="I188" s="180"/>
      <c r="J188" s="178" t="s">
        <v>450</v>
      </c>
      <c r="K188" s="180"/>
      <c r="L188" s="63" t="s">
        <v>521</v>
      </c>
      <c r="M188" s="63" t="s">
        <v>521</v>
      </c>
      <c r="N188" s="63" t="s">
        <v>521</v>
      </c>
      <c r="O188" s="51" t="s">
        <v>556</v>
      </c>
      <c r="P188" s="35"/>
      <c r="Q188" s="35"/>
      <c r="R188" s="51"/>
      <c r="S188" s="51" t="s">
        <v>498</v>
      </c>
      <c r="T188" s="51"/>
      <c r="U188" s="51"/>
      <c r="V188" s="51" t="str">
        <f>IF([1]C!G171="","",[1]C!G171)</f>
        <v>Grass average</v>
      </c>
      <c r="W188" s="51" t="str">
        <f>IF([1]Humus!G171="","",[1]Humus!G171)</f>
        <v>Herbaceous average</v>
      </c>
      <c r="X188" s="51"/>
      <c r="Y188" s="51" t="str">
        <f>IF([1]C!BF171="","",[1]C!BF171)</f>
        <v>Plant average</v>
      </c>
      <c r="Z188" s="51" t="str">
        <f>IF([1]Humus!AK171="","",[1]Humus!AK171)</f>
        <v>Herbaceous average</v>
      </c>
      <c r="AA188" s="51" t="s">
        <v>456</v>
      </c>
      <c r="AD188" t="s">
        <v>522</v>
      </c>
      <c r="AF188" t="s">
        <v>763</v>
      </c>
    </row>
    <row r="189">
      <c r="A189" s="177" t="s">
        <v>185</v>
      </c>
      <c r="B189" s="181"/>
      <c r="C189" s="51" t="s">
        <v>556</v>
      </c>
      <c r="D189" s="178" t="s">
        <v>450</v>
      </c>
      <c r="E189" s="185"/>
      <c r="F189" s="179"/>
      <c r="G189" s="179"/>
      <c r="H189" s="180"/>
      <c r="I189" s="180"/>
      <c r="J189" s="178" t="s">
        <v>450</v>
      </c>
      <c r="K189" s="180"/>
      <c r="L189" s="63" t="s">
        <v>521</v>
      </c>
      <c r="M189" s="63" t="s">
        <v>521</v>
      </c>
      <c r="N189" s="63" t="s">
        <v>521</v>
      </c>
      <c r="O189" s="51" t="s">
        <v>556</v>
      </c>
      <c r="P189" s="35"/>
      <c r="Q189" s="35"/>
      <c r="R189" s="51"/>
      <c r="S189" s="51" t="s">
        <v>498</v>
      </c>
      <c r="T189" s="51"/>
      <c r="U189" s="51"/>
      <c r="V189" s="51" t="str">
        <f>IF([1]C!G172="","",[1]C!G172)</f>
        <v>Grass average</v>
      </c>
      <c r="W189" s="51" t="str">
        <f>IF([1]Humus!G172="","",[1]Humus!G172)</f>
        <v>Herbaceous average</v>
      </c>
      <c r="X189" s="51"/>
      <c r="Y189" s="51" t="str">
        <f>IF([1]C!BF172="","",[1]C!BF172)</f>
        <v>Redin et al. (2014)</v>
      </c>
      <c r="Z189" s="51" t="str">
        <f>IF([1]Humus!AK172="","",[1]Humus!AK172)</f>
        <v>Herbaceous average</v>
      </c>
      <c r="AA189" s="51" t="s">
        <v>456</v>
      </c>
      <c r="AD189" t="s">
        <v>524</v>
      </c>
      <c r="AF189" t="s">
        <v>763</v>
      </c>
    </row>
    <row r="190">
      <c r="A190" s="177" t="s">
        <v>184</v>
      </c>
      <c r="B190" s="178" t="s">
        <v>450</v>
      </c>
      <c r="C190" s="51" t="s">
        <v>555</v>
      </c>
      <c r="D190" s="178" t="s">
        <v>450</v>
      </c>
      <c r="E190" s="185"/>
      <c r="F190" s="179"/>
      <c r="G190" s="179"/>
      <c r="H190" s="180"/>
      <c r="I190" s="180"/>
      <c r="J190" s="178" t="s">
        <v>450</v>
      </c>
      <c r="K190" s="180"/>
      <c r="L190" s="63" t="s">
        <v>521</v>
      </c>
      <c r="M190" s="63" t="s">
        <v>521</v>
      </c>
      <c r="N190" s="63" t="s">
        <v>521</v>
      </c>
      <c r="O190" s="51" t="s">
        <v>555</v>
      </c>
      <c r="P190" s="35"/>
      <c r="Q190" s="35"/>
      <c r="R190" s="51"/>
      <c r="S190" s="51" t="s">
        <v>498</v>
      </c>
      <c r="T190" s="51"/>
      <c r="U190" s="51"/>
      <c r="V190" s="51" t="str">
        <f>IF([1]C!G173="","",[1]C!G173)</f>
        <v>Grass average</v>
      </c>
      <c r="W190" s="51" t="str">
        <f>IF([1]Humus!G173="","",[1]Humus!G173)</f>
        <v>Herbaceous average</v>
      </c>
      <c r="X190" s="51"/>
      <c r="Y190" s="51" t="str">
        <f>IF([1]C!BF173="","",[1]C!BF173)</f>
        <v>Plant average</v>
      </c>
      <c r="Z190" s="51" t="str">
        <f>IF([1]Humus!AK173="","",[1]Humus!AK173)</f>
        <v>Herbaceous average</v>
      </c>
      <c r="AA190" s="51" t="s">
        <v>456</v>
      </c>
      <c r="AD190" t="s">
        <v>522</v>
      </c>
      <c r="AF190" t="s">
        <v>763</v>
      </c>
    </row>
    <row r="191">
      <c r="A191" s="177" t="s">
        <v>182</v>
      </c>
      <c r="B191" s="181"/>
      <c r="C191" s="51" t="s">
        <v>555</v>
      </c>
      <c r="D191" s="178" t="s">
        <v>450</v>
      </c>
      <c r="E191" s="185"/>
      <c r="F191" s="179"/>
      <c r="G191" s="179"/>
      <c r="H191" s="180"/>
      <c r="I191" s="180"/>
      <c r="J191" s="178" t="s">
        <v>450</v>
      </c>
      <c r="K191" s="180"/>
      <c r="L191" s="63" t="s">
        <v>521</v>
      </c>
      <c r="M191" s="63" t="s">
        <v>521</v>
      </c>
      <c r="N191" s="63" t="s">
        <v>521</v>
      </c>
      <c r="O191" s="51" t="s">
        <v>452</v>
      </c>
      <c r="P191" s="51" t="s">
        <v>452</v>
      </c>
      <c r="Q191" s="35"/>
      <c r="R191" s="51"/>
      <c r="S191" s="51" t="s">
        <v>498</v>
      </c>
      <c r="T191" s="51"/>
      <c r="U191" s="51"/>
      <c r="V191" s="51" t="str">
        <f>IF([1]C!G174="","",[1]C!G174)</f>
        <v>Lynch et al. (2016), Parikh et al. (2007)</v>
      </c>
      <c r="W191" s="51" t="str">
        <f>IF([1]Humus!G174="","",[1]Humus!G174)</f>
        <v>Herbaceous average</v>
      </c>
      <c r="X191" s="51"/>
      <c r="Y191" s="51" t="str">
        <f>IF([1]C!BF174="","",[1]C!BF174)</f>
        <v>Plant average</v>
      </c>
      <c r="Z191" s="51" t="str">
        <f>IF([1]Humus!AK174="","",[1]Humus!AK174)</f>
        <v>Herbaceous average</v>
      </c>
      <c r="AA191" s="51" t="s">
        <v>456</v>
      </c>
      <c r="AD191" t="s">
        <v>522</v>
      </c>
      <c r="AF191" t="s">
        <v>763</v>
      </c>
    </row>
    <row r="192">
      <c r="A192" s="177" t="s">
        <v>181</v>
      </c>
      <c r="B192" s="181"/>
      <c r="C192" s="51" t="s">
        <v>556</v>
      </c>
      <c r="D192" s="178" t="s">
        <v>450</v>
      </c>
      <c r="E192" s="185"/>
      <c r="F192" s="179"/>
      <c r="G192" s="179"/>
      <c r="H192" s="180"/>
      <c r="I192" s="180"/>
      <c r="J192" s="178" t="s">
        <v>450</v>
      </c>
      <c r="K192" s="180"/>
      <c r="L192" s="63" t="s">
        <v>521</v>
      </c>
      <c r="M192" s="63" t="s">
        <v>521</v>
      </c>
      <c r="N192" s="63" t="s">
        <v>521</v>
      </c>
      <c r="O192" s="51" t="s">
        <v>556</v>
      </c>
      <c r="P192" s="35"/>
      <c r="Q192" s="35"/>
      <c r="R192" s="51"/>
      <c r="S192" s="51" t="s">
        <v>498</v>
      </c>
      <c r="T192" s="51"/>
      <c r="U192" s="51"/>
      <c r="V192" s="51" t="str">
        <f>IF([1]C!G175="","",[1]C!G175)</f>
        <v>Grass average</v>
      </c>
      <c r="W192" s="51" t="str">
        <f>IF([1]Humus!G175="","",[1]Humus!G175)</f>
        <v>Herbaceous average</v>
      </c>
      <c r="X192" s="51"/>
      <c r="Y192" s="51" t="str">
        <f>IF([1]C!BF175="","",[1]C!BF175)</f>
        <v>Plant average</v>
      </c>
      <c r="Z192" s="51" t="str">
        <f>IF([1]Humus!AK175="","",[1]Humus!AK175)</f>
        <v>Herbaceous average</v>
      </c>
      <c r="AA192" s="51" t="s">
        <v>456</v>
      </c>
      <c r="AD192" t="s">
        <v>524</v>
      </c>
      <c r="AF192" t="s">
        <v>763</v>
      </c>
    </row>
    <row r="193">
      <c r="A193" s="177" t="s">
        <v>179</v>
      </c>
      <c r="B193" s="178" t="s">
        <v>450</v>
      </c>
      <c r="C193" s="51" t="s">
        <v>451</v>
      </c>
      <c r="D193" s="178" t="s">
        <v>450</v>
      </c>
      <c r="E193" s="185"/>
      <c r="F193" s="179"/>
      <c r="G193" s="179"/>
      <c r="H193" s="180"/>
      <c r="I193" s="180"/>
      <c r="J193" s="178" t="s">
        <v>450</v>
      </c>
      <c r="K193" s="180"/>
      <c r="L193" s="63" t="s">
        <v>521</v>
      </c>
      <c r="M193" s="63" t="s">
        <v>521</v>
      </c>
      <c r="N193" s="63" t="s">
        <v>521</v>
      </c>
      <c r="O193" s="51" t="s">
        <v>556</v>
      </c>
      <c r="P193" s="35"/>
      <c r="Q193" s="35"/>
      <c r="R193" s="51"/>
      <c r="S193" s="51" t="s">
        <v>498</v>
      </c>
      <c r="T193" s="51"/>
      <c r="U193" s="51"/>
      <c r="V193" s="51" t="str">
        <f>IF([1]C!G176="","",[1]C!G176)</f>
        <v>Frankerberger and Abdelmagid (1985), Havstad et al. (2009), Henriksen et al. (1999) (white and red)</v>
      </c>
      <c r="W193" s="51" t="str">
        <f>IF([1]Humus!G176="","",[1]Humus!G176)</f>
        <v>Herbaceous average</v>
      </c>
      <c r="X193" s="51"/>
      <c r="Y193" s="51" t="str">
        <f>IF([1]C!BF176="","",[1]C!BF176)</f>
        <v>Plant average</v>
      </c>
      <c r="Z193" s="51" t="str">
        <f>IF([1]Humus!AK176="","",[1]Humus!AK176)</f>
        <v>Herbaceous average</v>
      </c>
      <c r="AA193" s="51" t="s">
        <v>456</v>
      </c>
      <c r="AD193" t="s">
        <v>524</v>
      </c>
      <c r="AF193" t="s">
        <v>763</v>
      </c>
    </row>
    <row r="194">
      <c r="A194" s="177" t="s">
        <v>178</v>
      </c>
      <c r="B194" s="178"/>
      <c r="C194" s="51" t="s">
        <v>451</v>
      </c>
      <c r="D194" s="178" t="s">
        <v>450</v>
      </c>
      <c r="E194" s="185"/>
      <c r="F194" s="179"/>
      <c r="G194" s="179"/>
      <c r="H194" s="180"/>
      <c r="I194" s="180"/>
      <c r="J194" s="178" t="s">
        <v>450</v>
      </c>
      <c r="K194" s="180"/>
      <c r="L194" s="63" t="s">
        <v>521</v>
      </c>
      <c r="M194" s="63" t="s">
        <v>521</v>
      </c>
      <c r="N194" s="63" t="s">
        <v>521</v>
      </c>
      <c r="O194" s="51" t="s">
        <v>556</v>
      </c>
      <c r="P194" s="35"/>
      <c r="Q194" s="35"/>
      <c r="R194" s="51"/>
      <c r="S194" s="51" t="s">
        <v>498</v>
      </c>
      <c r="T194" s="51"/>
      <c r="U194" s="51"/>
      <c r="V194" s="51" t="str">
        <f>IF([1]C!G177="","",[1]C!G177)</f>
        <v>Grass average</v>
      </c>
      <c r="W194" s="51" t="str">
        <f>IF([1]Humus!G177="","",[1]Humus!G177)</f>
        <v>Herbaceous average</v>
      </c>
      <c r="X194" s="51"/>
      <c r="Y194" s="51" t="str">
        <f>IF([1]C!BF177="","",[1]C!BF177)</f>
        <v>Plant average</v>
      </c>
      <c r="Z194" s="51" t="str">
        <f>IF([1]Humus!AK177="","",[1]Humus!AK177)</f>
        <v>Herbaceous average</v>
      </c>
      <c r="AA194" s="51" t="s">
        <v>456</v>
      </c>
      <c r="AD194" t="s">
        <v>522</v>
      </c>
      <c r="AF194" t="s">
        <v>763</v>
      </c>
    </row>
    <row r="195">
      <c r="A195" s="177" t="s">
        <v>177</v>
      </c>
      <c r="B195" s="181"/>
      <c r="C195" s="51" t="s">
        <v>556</v>
      </c>
      <c r="D195" s="178" t="s">
        <v>450</v>
      </c>
      <c r="E195" s="185"/>
      <c r="F195" s="179"/>
      <c r="G195" s="179"/>
      <c r="H195" s="180"/>
      <c r="I195" s="180"/>
      <c r="J195" s="178" t="s">
        <v>450</v>
      </c>
      <c r="K195" s="180"/>
      <c r="L195" s="63" t="s">
        <v>521</v>
      </c>
      <c r="M195" s="63" t="s">
        <v>521</v>
      </c>
      <c r="N195" s="63" t="s">
        <v>521</v>
      </c>
      <c r="O195" s="51" t="s">
        <v>556</v>
      </c>
      <c r="P195" s="35"/>
      <c r="Q195" s="35"/>
      <c r="R195" s="51"/>
      <c r="S195" s="51" t="s">
        <v>498</v>
      </c>
      <c r="T195" s="51"/>
      <c r="U195" s="51"/>
      <c r="V195" s="51" t="str">
        <f>IF([1]C!G178="","",[1]C!G178)</f>
        <v>Grass average</v>
      </c>
      <c r="W195" s="51" t="str">
        <f>IF([1]Humus!G178="","",[1]Humus!G178)</f>
        <v>Herbaceous average</v>
      </c>
      <c r="X195" s="51"/>
      <c r="Y195" s="51" t="str">
        <f>IF([1]C!BF178="","",[1]C!BF178)</f>
        <v>Plant average</v>
      </c>
      <c r="Z195" s="51" t="str">
        <f>IF([1]Humus!AK178="","",[1]Humus!AK178)</f>
        <v>Herbaceous average</v>
      </c>
      <c r="AA195" s="51" t="s">
        <v>456</v>
      </c>
      <c r="AD195" t="s">
        <v>522</v>
      </c>
      <c r="AF195" t="s">
        <v>763</v>
      </c>
    </row>
    <row r="196">
      <c r="A196" s="177" t="s">
        <v>176</v>
      </c>
      <c r="B196" s="181"/>
      <c r="C196" s="51" t="s">
        <v>555</v>
      </c>
      <c r="D196" s="178" t="s">
        <v>450</v>
      </c>
      <c r="E196" s="185"/>
      <c r="F196" s="179"/>
      <c r="G196" s="179"/>
      <c r="H196" s="180"/>
      <c r="I196" s="180"/>
      <c r="J196" s="178" t="s">
        <v>450</v>
      </c>
      <c r="K196" s="180"/>
      <c r="L196" s="63" t="s">
        <v>521</v>
      </c>
      <c r="M196" s="63" t="s">
        <v>521</v>
      </c>
      <c r="N196" s="63" t="s">
        <v>521</v>
      </c>
      <c r="O196" s="51" t="s">
        <v>452</v>
      </c>
      <c r="P196" s="51" t="s">
        <v>452</v>
      </c>
      <c r="Q196" s="35"/>
      <c r="R196" s="51"/>
      <c r="S196" s="51" t="s">
        <v>498</v>
      </c>
      <c r="T196" s="51"/>
      <c r="U196" s="51"/>
      <c r="V196" s="51" t="str">
        <f>IF([1]C!G179="","",[1]C!G179)</f>
        <v>Grass average</v>
      </c>
      <c r="W196" s="51" t="str">
        <f>IF([1]Humus!G179="","",[1]Humus!G179)</f>
        <v>Herbaceous average</v>
      </c>
      <c r="X196" s="51"/>
      <c r="Y196" s="51" t="str">
        <f>IF([1]C!BF179="","",[1]C!BF179)</f>
        <v>Plant average</v>
      </c>
      <c r="Z196" s="51" t="str">
        <f>IF([1]Humus!AK179="","",[1]Humus!AK179)</f>
        <v>Herbaceous average</v>
      </c>
      <c r="AA196" s="51" t="s">
        <v>456</v>
      </c>
      <c r="AD196" t="s">
        <v>522</v>
      </c>
      <c r="AF196" t="s">
        <v>763</v>
      </c>
    </row>
    <row r="197">
      <c r="A197" s="177" t="s">
        <v>175</v>
      </c>
      <c r="B197" s="181"/>
      <c r="C197" s="51" t="s">
        <v>556</v>
      </c>
      <c r="D197" s="178" t="s">
        <v>450</v>
      </c>
      <c r="E197" s="185"/>
      <c r="F197" s="179"/>
      <c r="G197" s="179"/>
      <c r="H197" s="180"/>
      <c r="I197" s="180"/>
      <c r="J197" s="178" t="s">
        <v>450</v>
      </c>
      <c r="K197" s="180"/>
      <c r="L197" s="63" t="s">
        <v>521</v>
      </c>
      <c r="M197" s="63" t="s">
        <v>521</v>
      </c>
      <c r="N197" s="63" t="s">
        <v>521</v>
      </c>
      <c r="O197" s="51" t="s">
        <v>556</v>
      </c>
      <c r="P197" s="35"/>
      <c r="Q197" s="35"/>
      <c r="R197" s="51"/>
      <c r="S197" s="51" t="s">
        <v>498</v>
      </c>
      <c r="T197" s="51"/>
      <c r="U197" s="51"/>
      <c r="V197" s="51" t="str">
        <f>IF([1]C!G180="","",[1]C!G180)</f>
        <v>Grass average</v>
      </c>
      <c r="W197" s="51" t="str">
        <f>IF([1]Humus!G180="","",[1]Humus!G180)</f>
        <v>Herbaceous average</v>
      </c>
      <c r="X197" s="51"/>
      <c r="Y197" s="51" t="str">
        <f>IF([1]C!BF180="","",[1]C!BF180)</f>
        <v>Plant average</v>
      </c>
      <c r="Z197" s="51" t="str">
        <f>IF([1]Humus!AK180="","",[1]Humus!AK180)</f>
        <v>Herbaceous average</v>
      </c>
      <c r="AA197" s="51" t="s">
        <v>456</v>
      </c>
      <c r="AD197" t="s">
        <v>524</v>
      </c>
      <c r="AF197" t="s">
        <v>763</v>
      </c>
    </row>
    <row r="198">
      <c r="A198" s="177" t="s">
        <v>174</v>
      </c>
      <c r="B198" s="181"/>
      <c r="C198" s="51" t="s">
        <v>556</v>
      </c>
      <c r="D198" s="178" t="s">
        <v>450</v>
      </c>
      <c r="E198" s="185"/>
      <c r="F198" s="179"/>
      <c r="G198" s="179"/>
      <c r="H198" s="180"/>
      <c r="I198" s="180"/>
      <c r="J198" s="178" t="s">
        <v>450</v>
      </c>
      <c r="K198" s="180"/>
      <c r="L198" s="63" t="s">
        <v>521</v>
      </c>
      <c r="M198" s="63" t="s">
        <v>521</v>
      </c>
      <c r="N198" s="63" t="s">
        <v>521</v>
      </c>
      <c r="O198" s="51" t="s">
        <v>556</v>
      </c>
      <c r="P198" s="35"/>
      <c r="Q198" s="35"/>
      <c r="R198" s="51"/>
      <c r="S198" s="51" t="s">
        <v>498</v>
      </c>
      <c r="T198" s="51"/>
      <c r="U198" s="51"/>
      <c r="V198" s="51" t="str">
        <f>IF([1]C!G181="","",[1]C!G181)</f>
        <v>Grass average</v>
      </c>
      <c r="W198" s="51" t="str">
        <f>IF([1]Humus!G181="","",[1]Humus!G181)</f>
        <v>Herbaceous average</v>
      </c>
      <c r="X198" s="51"/>
      <c r="Y198" s="51" t="str">
        <f>IF([1]C!BF181="","",[1]C!BF181)</f>
        <v>Plant average</v>
      </c>
      <c r="Z198" s="51" t="str">
        <f>IF([1]Humus!AK181="","",[1]Humus!AK181)</f>
        <v>Herbaceous average</v>
      </c>
      <c r="AA198" s="51" t="s">
        <v>456</v>
      </c>
      <c r="AD198" t="s">
        <v>524</v>
      </c>
      <c r="AF198" t="s">
        <v>763</v>
      </c>
    </row>
    <row r="199">
      <c r="A199" s="177" t="s">
        <v>173</v>
      </c>
      <c r="B199" s="181"/>
      <c r="C199" s="51" t="s">
        <v>556</v>
      </c>
      <c r="D199" s="178" t="s">
        <v>450</v>
      </c>
      <c r="E199" s="185"/>
      <c r="F199" s="179"/>
      <c r="G199" s="179"/>
      <c r="H199" s="180"/>
      <c r="I199" s="180"/>
      <c r="J199" s="178" t="s">
        <v>450</v>
      </c>
      <c r="K199" s="180"/>
      <c r="L199" s="63" t="s">
        <v>521</v>
      </c>
      <c r="M199" s="63" t="s">
        <v>521</v>
      </c>
      <c r="N199" s="63" t="s">
        <v>521</v>
      </c>
      <c r="O199" s="51" t="s">
        <v>556</v>
      </c>
      <c r="P199" s="35"/>
      <c r="Q199" s="35"/>
      <c r="R199" s="51"/>
      <c r="S199" s="51" t="s">
        <v>498</v>
      </c>
      <c r="T199" s="51"/>
      <c r="U199" s="51"/>
      <c r="V199" s="51" t="str">
        <f>IF([1]C!G182="","",[1]C!G182)</f>
        <v>Grass average</v>
      </c>
      <c r="W199" s="51" t="str">
        <f>IF([1]Humus!G182="","",[1]Humus!G182)</f>
        <v>Herbaceous average</v>
      </c>
      <c r="X199" s="51"/>
      <c r="Y199" s="51" t="str">
        <f>IF([1]C!BF182="","",[1]C!BF182)</f>
        <v>Plant average</v>
      </c>
      <c r="Z199" s="51" t="str">
        <f>IF([1]Humus!AK182="","",[1]Humus!AK182)</f>
        <v>Herbaceous average</v>
      </c>
      <c r="AA199" s="51" t="s">
        <v>456</v>
      </c>
      <c r="AD199" t="s">
        <v>524</v>
      </c>
      <c r="AF199" t="s">
        <v>763</v>
      </c>
    </row>
    <row r="200">
      <c r="A200" s="177" t="s">
        <v>171</v>
      </c>
      <c r="B200" s="181"/>
      <c r="C200" s="51" t="s">
        <v>556</v>
      </c>
      <c r="D200" s="178" t="s">
        <v>450</v>
      </c>
      <c r="E200" s="185"/>
      <c r="F200" s="179"/>
      <c r="G200" s="179"/>
      <c r="H200" s="180"/>
      <c r="I200" s="180"/>
      <c r="J200" s="178" t="s">
        <v>450</v>
      </c>
      <c r="K200" s="180"/>
      <c r="L200" s="63" t="s">
        <v>521</v>
      </c>
      <c r="M200" s="63" t="s">
        <v>521</v>
      </c>
      <c r="N200" s="63" t="s">
        <v>521</v>
      </c>
      <c r="O200" s="51" t="s">
        <v>556</v>
      </c>
      <c r="P200" s="35"/>
      <c r="Q200" s="35"/>
      <c r="R200" s="51"/>
      <c r="S200" s="51" t="s">
        <v>498</v>
      </c>
      <c r="T200" s="51"/>
      <c r="U200" s="51"/>
      <c r="V200" s="51" t="str">
        <f>IF([1]C!G183="","",[1]C!G183)</f>
        <v>Grass average</v>
      </c>
      <c r="W200" s="51" t="str">
        <f>IF([1]Humus!G183="","",[1]Humus!G183)</f>
        <v>Herbaceous average</v>
      </c>
      <c r="X200" s="51"/>
      <c r="Y200" s="51" t="str">
        <f>IF([1]C!BF183="","",[1]C!BF183)</f>
        <v>Redin et al. (2014)</v>
      </c>
      <c r="Z200" s="51" t="str">
        <f>IF([1]Humus!AK183="","",[1]Humus!AK183)</f>
        <v>Herbaceous average</v>
      </c>
      <c r="AA200" s="51" t="s">
        <v>456</v>
      </c>
      <c r="AD200" t="s">
        <v>524</v>
      </c>
      <c r="AF200" t="s">
        <v>763</v>
      </c>
    </row>
    <row r="201">
      <c r="A201" s="177" t="s">
        <v>169</v>
      </c>
      <c r="B201" s="178" t="s">
        <v>450</v>
      </c>
      <c r="C201" s="51" t="s">
        <v>555</v>
      </c>
      <c r="D201" s="178" t="s">
        <v>450</v>
      </c>
      <c r="E201" s="185"/>
      <c r="F201" s="179"/>
      <c r="G201" s="179"/>
      <c r="H201" s="180"/>
      <c r="I201" s="180"/>
      <c r="J201" s="178" t="s">
        <v>450</v>
      </c>
      <c r="K201" s="180"/>
      <c r="L201" s="63" t="s">
        <v>521</v>
      </c>
      <c r="M201" s="63" t="s">
        <v>521</v>
      </c>
      <c r="N201" s="63" t="s">
        <v>521</v>
      </c>
      <c r="O201" s="51" t="s">
        <v>555</v>
      </c>
      <c r="P201" s="35"/>
      <c r="Q201" s="35"/>
      <c r="R201" s="51"/>
      <c r="S201" s="51" t="s">
        <v>498</v>
      </c>
      <c r="T201" s="51"/>
      <c r="U201" s="51"/>
      <c r="V201" s="51" t="str">
        <f>IF([1]C!G184="","",[1]C!G184)</f>
        <v>Lynch et al. (2016)</v>
      </c>
      <c r="W201" s="51" t="str">
        <f>IF([1]Humus!G184="","",[1]Humus!G184)</f>
        <v>Boiffin et al. (1986)</v>
      </c>
      <c r="X201" s="51"/>
      <c r="Y201" s="51" t="str">
        <f>IF([1]C!BF184="","",[1]C!BF184)</f>
        <v>Plant average</v>
      </c>
      <c r="Z201" s="51" t="str">
        <f>IF([1]Humus!AK184="","",[1]Humus!AK184)</f>
        <v>Herbaceous average</v>
      </c>
      <c r="AA201" s="51" t="s">
        <v>456</v>
      </c>
      <c r="AD201" t="s">
        <v>522</v>
      </c>
      <c r="AF201" t="s">
        <v>763</v>
      </c>
    </row>
    <row r="202">
      <c r="A202" s="177" t="s">
        <v>168</v>
      </c>
      <c r="B202" s="178" t="s">
        <v>450</v>
      </c>
      <c r="C202" s="51" t="s">
        <v>557</v>
      </c>
      <c r="D202" s="181" t="s">
        <v>523</v>
      </c>
      <c r="E202" s="183"/>
      <c r="F202" s="181"/>
      <c r="G202" s="181"/>
      <c r="H202" s="182"/>
      <c r="I202" s="182"/>
      <c r="J202" s="181" t="s">
        <v>523</v>
      </c>
      <c r="K202" s="182"/>
      <c r="L202" s="63" t="s">
        <v>521</v>
      </c>
      <c r="M202" s="63" t="s">
        <v>521</v>
      </c>
      <c r="N202" s="63" t="s">
        <v>521</v>
      </c>
      <c r="O202" s="51" t="s">
        <v>557</v>
      </c>
      <c r="P202" s="35"/>
      <c r="Q202" s="35"/>
      <c r="R202" s="51"/>
      <c r="S202" s="51" t="s">
        <v>498</v>
      </c>
      <c r="T202" s="51"/>
      <c r="U202" s="51"/>
      <c r="V202" s="51" t="str">
        <f>IF([1]C!G185="","",[1]C!G185)</f>
        <v>Grass average</v>
      </c>
      <c r="W202" s="51" t="str">
        <f>IF([1]Humus!G185="","",[1]Humus!G185)</f>
        <v>Herbaceous average</v>
      </c>
      <c r="X202" s="51"/>
      <c r="Y202" s="51" t="str">
        <f>IF([1]C!BF185="","",[1]C!BF185)</f>
        <v>Plant average</v>
      </c>
      <c r="Z202" s="51" t="str">
        <f>IF([1]Humus!AK185="","",[1]Humus!AK185)</f>
        <v>Herbaceous average</v>
      </c>
      <c r="AA202" s="51" t="s">
        <v>456</v>
      </c>
      <c r="AD202" t="s">
        <v>522</v>
      </c>
      <c r="AF202" t="s">
        <v>763</v>
      </c>
    </row>
    <row r="203">
      <c r="A203" s="177" t="s">
        <v>167</v>
      </c>
      <c r="B203" s="178"/>
      <c r="C203" s="51" t="s">
        <v>557</v>
      </c>
      <c r="D203" s="181" t="s">
        <v>523</v>
      </c>
      <c r="E203" s="183"/>
      <c r="F203" s="181"/>
      <c r="G203" s="181"/>
      <c r="H203" s="182"/>
      <c r="I203" s="182"/>
      <c r="J203" s="181" t="s">
        <v>523</v>
      </c>
      <c r="K203" s="182"/>
      <c r="L203" s="63" t="s">
        <v>521</v>
      </c>
      <c r="M203" s="63" t="s">
        <v>521</v>
      </c>
      <c r="N203" s="63" t="s">
        <v>521</v>
      </c>
      <c r="O203" s="51" t="s">
        <v>557</v>
      </c>
      <c r="P203" s="35"/>
      <c r="Q203" s="35"/>
      <c r="R203" s="51"/>
      <c r="S203" s="51" t="s">
        <v>498</v>
      </c>
      <c r="T203" s="51"/>
      <c r="U203" s="51"/>
      <c r="V203" s="51" t="str">
        <f>IF([1]C!G186="","",[1]C!G186)</f>
        <v>Grass average</v>
      </c>
      <c r="W203" s="51" t="str">
        <f>IF([1]Humus!G186="","",[1]Humus!G186)</f>
        <v>Herbaceous average</v>
      </c>
      <c r="X203" s="51"/>
      <c r="Y203" s="51" t="str">
        <f>IF([1]C!BF186="","",[1]C!BF186)</f>
        <v>Plant average</v>
      </c>
      <c r="Z203" s="51" t="str">
        <f>IF([1]Humus!AK186="","",[1]Humus!AK186)</f>
        <v>Herbaceous average</v>
      </c>
      <c r="AA203" s="51" t="s">
        <v>456</v>
      </c>
      <c r="AD203" t="s">
        <v>522</v>
      </c>
      <c r="AF203" t="s">
        <v>763</v>
      </c>
    </row>
    <row r="204">
      <c r="A204" s="177" t="s">
        <v>166</v>
      </c>
      <c r="B204" s="178" t="s">
        <v>450</v>
      </c>
      <c r="C204" s="51" t="s">
        <v>557</v>
      </c>
      <c r="D204" s="181" t="s">
        <v>523</v>
      </c>
      <c r="E204" s="183"/>
      <c r="F204" s="181"/>
      <c r="G204" s="181"/>
      <c r="H204" s="182"/>
      <c r="I204" s="182"/>
      <c r="J204" s="181" t="s">
        <v>523</v>
      </c>
      <c r="K204" s="182"/>
      <c r="L204" s="63" t="s">
        <v>521</v>
      </c>
      <c r="M204" s="63" t="s">
        <v>521</v>
      </c>
      <c r="N204" s="63" t="s">
        <v>521</v>
      </c>
      <c r="O204" s="51" t="s">
        <v>557</v>
      </c>
      <c r="P204" s="35"/>
      <c r="Q204" s="35"/>
      <c r="R204" s="51"/>
      <c r="S204" s="51" t="s">
        <v>498</v>
      </c>
      <c r="T204" s="51"/>
      <c r="U204" s="51"/>
      <c r="V204" s="51" t="str">
        <f>IF([1]C!G187="","",[1]C!G187)</f>
        <v>Grass average</v>
      </c>
      <c r="W204" s="51" t="str">
        <f>IF([1]Humus!G187="","",[1]Humus!G187)</f>
        <v>Herbaceous average</v>
      </c>
      <c r="X204" s="51"/>
      <c r="Y204" s="51" t="str">
        <f>IF([1]C!BF187="","",[1]C!BF187)</f>
        <v>Plant average</v>
      </c>
      <c r="Z204" s="51" t="str">
        <f>IF([1]Humus!AK187="","",[1]Humus!AK187)</f>
        <v>Herbaceous average</v>
      </c>
      <c r="AA204" s="51" t="s">
        <v>456</v>
      </c>
      <c r="AD204" t="s">
        <v>522</v>
      </c>
      <c r="AF204" t="s">
        <v>763</v>
      </c>
    </row>
    <row r="205">
      <c r="A205" s="177" t="s">
        <v>165</v>
      </c>
      <c r="B205" s="178" t="s">
        <v>450</v>
      </c>
      <c r="C205" s="51" t="s">
        <v>557</v>
      </c>
      <c r="D205" s="181" t="s">
        <v>523</v>
      </c>
      <c r="E205" s="183"/>
      <c r="F205" s="181"/>
      <c r="G205" s="181"/>
      <c r="H205" s="182"/>
      <c r="I205" s="182"/>
      <c r="J205" s="181" t="s">
        <v>523</v>
      </c>
      <c r="K205" s="182"/>
      <c r="L205" s="63" t="s">
        <v>521</v>
      </c>
      <c r="M205" s="63" t="s">
        <v>521</v>
      </c>
      <c r="N205" s="63" t="s">
        <v>521</v>
      </c>
      <c r="O205" s="51" t="s">
        <v>557</v>
      </c>
      <c r="P205" s="35"/>
      <c r="Q205" s="35"/>
      <c r="R205" s="51"/>
      <c r="S205" s="51" t="s">
        <v>498</v>
      </c>
      <c r="T205" s="51"/>
      <c r="U205" s="51"/>
      <c r="V205" s="51" t="str">
        <f>IF([1]C!G188="","",[1]C!G188)</f>
        <v>Havstad et al. (2009)</v>
      </c>
      <c r="W205" s="51" t="str">
        <f>IF([1]Humus!G188="","",[1]Humus!G188)</f>
        <v>Herbaceous average</v>
      </c>
      <c r="X205" s="51"/>
      <c r="Y205" s="51" t="str">
        <f>IF([1]C!BF188="","",[1]C!BF188)</f>
        <v>Plant average</v>
      </c>
      <c r="Z205" s="51" t="str">
        <f>IF([1]Humus!AK188="","",[1]Humus!AK188)</f>
        <v>Herbaceous average</v>
      </c>
      <c r="AA205" s="51" t="s">
        <v>456</v>
      </c>
      <c r="AD205" t="s">
        <v>522</v>
      </c>
      <c r="AF205" t="s">
        <v>763</v>
      </c>
    </row>
    <row r="206">
      <c r="A206" s="177" t="s">
        <v>164</v>
      </c>
      <c r="B206" s="178"/>
      <c r="C206" s="51" t="s">
        <v>188</v>
      </c>
      <c r="D206" s="181" t="s">
        <v>188</v>
      </c>
      <c r="E206" s="183"/>
      <c r="F206" s="181"/>
      <c r="G206" s="181"/>
      <c r="H206" s="182"/>
      <c r="I206" s="182"/>
      <c r="J206" s="181" t="s">
        <v>188</v>
      </c>
      <c r="K206" s="182"/>
      <c r="L206" s="63" t="s">
        <v>521</v>
      </c>
      <c r="M206" s="63" t="s">
        <v>521</v>
      </c>
      <c r="N206" s="63" t="s">
        <v>521</v>
      </c>
      <c r="O206" s="51" t="s">
        <v>188</v>
      </c>
      <c r="P206" s="35"/>
      <c r="Q206" s="35"/>
      <c r="R206" s="51"/>
      <c r="S206" s="51" t="s">
        <v>498</v>
      </c>
      <c r="T206" s="51"/>
      <c r="U206" s="51"/>
      <c r="V206" s="51" t="str">
        <f>IF([1]C!G189="","",[1]C!G189)</f>
        <v>Grass average</v>
      </c>
      <c r="W206" s="51" t="str">
        <f>IF([1]Humus!G189="","",[1]Humus!G189)</f>
        <v>Herbaceous average</v>
      </c>
      <c r="X206" s="51"/>
      <c r="Y206" s="51" t="str">
        <f>IF([1]C!BF189="","",[1]C!BF189)</f>
        <v>Plant average</v>
      </c>
      <c r="Z206" s="51" t="str">
        <f>IF([1]Humus!AK189="","",[1]Humus!AK189)</f>
        <v>Herbaceous average</v>
      </c>
      <c r="AA206" s="51" t="s">
        <v>456</v>
      </c>
      <c r="AD206" t="s">
        <v>522</v>
      </c>
      <c r="AF206" t="s">
        <v>763</v>
      </c>
    </row>
    <row r="207">
      <c r="A207" s="177" t="s">
        <v>163</v>
      </c>
      <c r="B207" s="178" t="s">
        <v>450</v>
      </c>
      <c r="C207" s="51" t="s">
        <v>557</v>
      </c>
      <c r="D207" s="181" t="s">
        <v>523</v>
      </c>
      <c r="E207" s="183"/>
      <c r="F207" s="181"/>
      <c r="G207" s="181"/>
      <c r="H207" s="182"/>
      <c r="I207" s="182"/>
      <c r="J207" s="181" t="s">
        <v>523</v>
      </c>
      <c r="K207" s="182"/>
      <c r="L207" s="63" t="s">
        <v>521</v>
      </c>
      <c r="M207" s="63" t="s">
        <v>521</v>
      </c>
      <c r="N207" s="63" t="s">
        <v>521</v>
      </c>
      <c r="O207" s="51" t="s">
        <v>557</v>
      </c>
      <c r="P207" s="35"/>
      <c r="Q207" s="35"/>
      <c r="R207" s="51"/>
      <c r="S207" s="51" t="s">
        <v>498</v>
      </c>
      <c r="T207" s="51"/>
      <c r="U207" s="51"/>
      <c r="V207" s="51" t="str">
        <f>IF([1]C!G190="","",[1]C!G190)</f>
        <v>Johnson et al. (2007), ECN (2017) (13)</v>
      </c>
      <c r="W207" s="51" t="str">
        <f>IF([1]Humus!G190="","",[1]Humus!G190)</f>
        <v>Herbaceous average</v>
      </c>
      <c r="X207" s="51"/>
      <c r="Y207" s="51" t="str">
        <f>IF([1]C!BF190="","",[1]C!BF190)</f>
        <v>Johnson et al. (2007)</v>
      </c>
      <c r="Z207" s="51" t="str">
        <f>IF([1]Humus!AK190="","",[1]Humus!AK190)</f>
        <v>Herbaceous average</v>
      </c>
      <c r="AA207" s="51" t="s">
        <v>456</v>
      </c>
      <c r="AD207" t="s">
        <v>522</v>
      </c>
      <c r="AF207" t="s">
        <v>763</v>
      </c>
    </row>
    <row r="208">
      <c r="A208" s="177" t="s">
        <v>162</v>
      </c>
      <c r="B208" s="178" t="s">
        <v>450</v>
      </c>
      <c r="C208" s="51" t="s">
        <v>557</v>
      </c>
      <c r="D208" s="181" t="s">
        <v>523</v>
      </c>
      <c r="E208" s="183"/>
      <c r="F208" s="181"/>
      <c r="G208" s="181"/>
      <c r="H208" s="182"/>
      <c r="I208" s="182"/>
      <c r="J208" s="181" t="s">
        <v>523</v>
      </c>
      <c r="K208" s="182"/>
      <c r="L208" s="63" t="s">
        <v>521</v>
      </c>
      <c r="M208" s="63" t="s">
        <v>521</v>
      </c>
      <c r="N208" s="63" t="s">
        <v>521</v>
      </c>
      <c r="O208" s="51" t="s">
        <v>557</v>
      </c>
      <c r="P208" s="35"/>
      <c r="Q208" s="35"/>
      <c r="R208" s="51"/>
      <c r="S208" s="51" t="s">
        <v>498</v>
      </c>
      <c r="T208" s="51"/>
      <c r="U208" s="51"/>
      <c r="V208" s="51" t="str">
        <f>IF([1]C!G191="","",[1]C!G191)</f>
        <v>Grass average</v>
      </c>
      <c r="W208" s="51" t="str">
        <f>IF([1]Humus!G191="","",[1]Humus!G191)</f>
        <v>Herbaceous average</v>
      </c>
      <c r="X208" s="51"/>
      <c r="Y208" s="51" t="str">
        <f>IF([1]C!BF191="","",[1]C!BF191)</f>
        <v>Plant average</v>
      </c>
      <c r="Z208" s="51" t="str">
        <f>IF([1]Humus!AK191="","",[1]Humus!AK191)</f>
        <v>Herbaceous average</v>
      </c>
      <c r="AA208" s="51" t="s">
        <v>456</v>
      </c>
      <c r="AD208" t="s">
        <v>522</v>
      </c>
      <c r="AF208" t="s">
        <v>763</v>
      </c>
    </row>
    <row r="209">
      <c r="A209" s="177" t="s">
        <v>160</v>
      </c>
      <c r="B209" s="181" t="s">
        <v>526</v>
      </c>
      <c r="C209" s="51" t="s">
        <v>557</v>
      </c>
      <c r="D209" s="178" t="s">
        <v>450</v>
      </c>
      <c r="E209" s="185"/>
      <c r="F209" s="179"/>
      <c r="G209" s="179"/>
      <c r="H209" s="180"/>
      <c r="I209" s="180"/>
      <c r="J209" s="178" t="s">
        <v>450</v>
      </c>
      <c r="K209" s="180"/>
      <c r="L209" s="63" t="s">
        <v>521</v>
      </c>
      <c r="M209" s="63" t="s">
        <v>521</v>
      </c>
      <c r="N209" s="63" t="s">
        <v>521</v>
      </c>
      <c r="O209" s="51" t="s">
        <v>557</v>
      </c>
      <c r="P209" s="35"/>
      <c r="Q209" s="35"/>
      <c r="R209" s="51"/>
      <c r="S209" s="51" t="s">
        <v>498</v>
      </c>
      <c r="T209" s="51"/>
      <c r="U209" s="51"/>
      <c r="V209" s="51" t="str">
        <f>IF([1]C!G192="","",[1]C!G192)</f>
        <v>Havstad et al. (2009) Timothy</v>
      </c>
      <c r="W209" s="51" t="str">
        <f>IF([1]Humus!G192="","",[1]Humus!G192)</f>
        <v>Herbaceous average</v>
      </c>
      <c r="X209" s="51"/>
      <c r="Y209" s="51" t="str">
        <f>IF([1]C!BF192="","",[1]C!BF192)</f>
        <v>Plant average</v>
      </c>
      <c r="Z209" s="51" t="str">
        <f>IF([1]Humus!AK192="","",[1]Humus!AK192)</f>
        <v>Herbaceous average</v>
      </c>
      <c r="AA209" s="51" t="s">
        <v>456</v>
      </c>
      <c r="AD209" t="s">
        <v>522</v>
      </c>
      <c r="AF209" t="s">
        <v>763</v>
      </c>
    </row>
    <row r="210">
      <c r="A210" s="177" t="s">
        <v>158</v>
      </c>
      <c r="B210" s="181" t="s">
        <v>527</v>
      </c>
      <c r="C210" s="51" t="s">
        <v>556</v>
      </c>
      <c r="D210" s="178" t="s">
        <v>450</v>
      </c>
      <c r="E210" s="185"/>
      <c r="F210" s="179"/>
      <c r="G210" s="179"/>
      <c r="H210" s="180"/>
      <c r="I210" s="180"/>
      <c r="J210" s="178" t="s">
        <v>450</v>
      </c>
      <c r="K210" s="180"/>
      <c r="L210" s="63" t="s">
        <v>521</v>
      </c>
      <c r="M210" s="63" t="s">
        <v>521</v>
      </c>
      <c r="N210" s="63" t="s">
        <v>521</v>
      </c>
      <c r="O210" s="51" t="s">
        <v>556</v>
      </c>
      <c r="P210" s="35"/>
      <c r="Q210" s="35"/>
      <c r="R210" s="51"/>
      <c r="S210" s="51" t="s">
        <v>498</v>
      </c>
      <c r="T210" s="51"/>
      <c r="U210" s="51"/>
      <c r="V210" s="51" t="str">
        <f>IF([1]C!G193="","",[1]C!G193)</f>
        <v>Lynch et al. (2016) (2), Frankerberger and Abdelmagid (1985), Gosh et al. (2012) (Sesbania), O Danga et al. (2013) (chickpea), Bremer et al. (1991) (lentils)</v>
      </c>
      <c r="W210" s="51" t="str">
        <f>IF([1]Humus!G193="","",[1]Humus!G193)</f>
        <v>Herbaceous average</v>
      </c>
      <c r="X210" s="51"/>
      <c r="Y210" s="51" t="str">
        <f>IF([1]C!BF193="","",[1]C!BF193)</f>
        <v>Redin et al. (2014)</v>
      </c>
      <c r="Z210" s="51" t="str">
        <f>IF([1]Humus!AK193="","",[1]Humus!AK193)</f>
        <v>Herbaceous average</v>
      </c>
      <c r="AA210" s="51" t="s">
        <v>456</v>
      </c>
      <c r="AD210" t="s">
        <v>524</v>
      </c>
      <c r="AF210" t="s">
        <v>763</v>
      </c>
    </row>
    <row r="211">
      <c r="A211" s="177" t="s">
        <v>157</v>
      </c>
      <c r="B211" s="181"/>
      <c r="C211" s="51" t="s">
        <v>555</v>
      </c>
      <c r="D211" s="178" t="s">
        <v>450</v>
      </c>
      <c r="E211" s="185"/>
      <c r="F211" s="179"/>
      <c r="G211" s="179"/>
      <c r="H211" s="180"/>
      <c r="I211" s="180"/>
      <c r="J211" s="178" t="s">
        <v>450</v>
      </c>
      <c r="K211" s="180"/>
      <c r="L211" s="63" t="s">
        <v>521</v>
      </c>
      <c r="M211" s="63" t="s">
        <v>521</v>
      </c>
      <c r="N211" s="63" t="s">
        <v>521</v>
      </c>
      <c r="O211" s="51" t="s">
        <v>555</v>
      </c>
      <c r="P211" s="35"/>
      <c r="Q211" s="35"/>
      <c r="R211" s="51"/>
      <c r="S211" s="51" t="s">
        <v>498</v>
      </c>
      <c r="T211" s="51"/>
      <c r="U211" s="51"/>
      <c r="V211" s="51" t="str">
        <f>IF([1]C!G194="","",[1]C!G194)</f>
        <v>Grass average</v>
      </c>
      <c r="W211" s="51" t="str">
        <f>IF([1]Humus!G194="","",[1]Humus!G194)</f>
        <v>Herbaceous average</v>
      </c>
      <c r="X211" s="51"/>
      <c r="Y211" s="51" t="str">
        <f>IF([1]C!BF194="","",[1]C!BF194)</f>
        <v>Plant average</v>
      </c>
      <c r="Z211" s="51" t="str">
        <f>IF([1]Humus!AK194="","",[1]Humus!AK194)</f>
        <v>Herbaceous average</v>
      </c>
      <c r="AA211" s="51" t="s">
        <v>456</v>
      </c>
      <c r="AD211" t="s">
        <v>522</v>
      </c>
      <c r="AF211" t="s">
        <v>763</v>
      </c>
    </row>
    <row r="212">
      <c r="A212" s="177" t="s">
        <v>156</v>
      </c>
      <c r="B212" s="181"/>
      <c r="C212" s="51" t="s">
        <v>555</v>
      </c>
      <c r="D212" s="178" t="s">
        <v>450</v>
      </c>
      <c r="E212" s="185"/>
      <c r="F212" s="179"/>
      <c r="G212" s="179"/>
      <c r="H212" s="180"/>
      <c r="I212" s="180"/>
      <c r="J212" s="178" t="s">
        <v>450</v>
      </c>
      <c r="K212" s="180"/>
      <c r="L212" s="63" t="s">
        <v>521</v>
      </c>
      <c r="M212" s="63" t="s">
        <v>521</v>
      </c>
      <c r="N212" s="63" t="s">
        <v>521</v>
      </c>
      <c r="O212" s="51" t="s">
        <v>555</v>
      </c>
      <c r="P212" s="35"/>
      <c r="Q212" s="35"/>
      <c r="R212" s="51"/>
      <c r="S212" s="51" t="s">
        <v>498</v>
      </c>
      <c r="T212" s="51"/>
      <c r="U212" s="51"/>
      <c r="V212" s="51" t="str">
        <f>IF([1]C!G195="","",[1]C!G195)</f>
        <v>Grass average</v>
      </c>
      <c r="W212" s="51" t="str">
        <f>IF([1]Humus!G195="","",[1]Humus!G195)</f>
        <v>Herbaceous average</v>
      </c>
      <c r="X212" s="51"/>
      <c r="Y212" s="51" t="str">
        <f>IF([1]C!BF195="","",[1]C!BF195)</f>
        <v>Plant average</v>
      </c>
      <c r="Z212" s="51" t="str">
        <f>IF([1]Humus!AK195="","",[1]Humus!AK195)</f>
        <v>Herbaceous average</v>
      </c>
      <c r="AA212" s="51" t="s">
        <v>456</v>
      </c>
      <c r="AD212" t="s">
        <v>522</v>
      </c>
      <c r="AF212" t="s">
        <v>763</v>
      </c>
    </row>
    <row r="213">
      <c r="A213" s="177" t="s">
        <v>154</v>
      </c>
      <c r="B213" s="181" t="s">
        <v>528</v>
      </c>
      <c r="C213" s="51" t="s">
        <v>558</v>
      </c>
      <c r="D213" s="181" t="s">
        <v>528</v>
      </c>
      <c r="E213" s="183"/>
      <c r="F213" s="181"/>
      <c r="G213" s="181"/>
      <c r="H213" s="182"/>
      <c r="I213" s="182"/>
      <c r="J213" s="181" t="s">
        <v>528</v>
      </c>
      <c r="K213" s="180"/>
      <c r="L213" s="63" t="s">
        <v>521</v>
      </c>
      <c r="M213" s="63" t="s">
        <v>521</v>
      </c>
      <c r="N213" s="63" t="s">
        <v>521</v>
      </c>
      <c r="O213" s="188" t="s">
        <v>560</v>
      </c>
      <c r="P213" s="35"/>
      <c r="Q213" s="35"/>
      <c r="R213" s="51"/>
      <c r="S213" s="51" t="s">
        <v>498</v>
      </c>
      <c r="T213" s="51"/>
      <c r="U213" s="51"/>
      <c r="V213" s="51" t="str">
        <f>IF([1]C!G196="","",[1]C!G196)</f>
        <v>Chaves et al. (2004) (white mustard: stems and leaves)</v>
      </c>
      <c r="W213" s="51" t="str">
        <f>IF([1]Humus!G196="","",[1]Humus!G196)</f>
        <v>Herbaceous average</v>
      </c>
      <c r="X213" s="51"/>
      <c r="Y213" s="51" t="str">
        <f>IF([1]C!BF196="","",[1]C!BF196)</f>
        <v>Plant average</v>
      </c>
      <c r="Z213" s="51" t="str">
        <f>IF([1]Humus!AK196="","",[1]Humus!AK196)</f>
        <v>Herbaceous average</v>
      </c>
      <c r="AA213" s="51" t="s">
        <v>456</v>
      </c>
      <c r="AD213" t="s">
        <v>522</v>
      </c>
      <c r="AF213" t="s">
        <v>763</v>
      </c>
    </row>
    <row r="214">
      <c r="A214" s="177" t="s">
        <v>152</v>
      </c>
      <c r="B214" s="181" t="s">
        <v>529</v>
      </c>
      <c r="C214" s="51" t="s">
        <v>558</v>
      </c>
      <c r="D214" s="178" t="s">
        <v>450</v>
      </c>
      <c r="E214" s="185"/>
      <c r="F214" s="179"/>
      <c r="G214" s="179"/>
      <c r="H214" s="180"/>
      <c r="I214" s="180"/>
      <c r="J214" s="178" t="s">
        <v>450</v>
      </c>
      <c r="K214" s="180"/>
      <c r="L214" s="63" t="s">
        <v>521</v>
      </c>
      <c r="M214" s="63" t="s">
        <v>521</v>
      </c>
      <c r="N214" s="63" t="s">
        <v>521</v>
      </c>
      <c r="O214" s="51" t="s">
        <v>558</v>
      </c>
      <c r="P214" s="35"/>
      <c r="Q214" s="35"/>
      <c r="R214" s="51"/>
      <c r="S214" s="51" t="s">
        <v>498</v>
      </c>
      <c r="T214" s="51"/>
      <c r="U214" s="51"/>
      <c r="V214" s="51" t="str">
        <f>IF([1]C!G197="","",[1]C!G197)</f>
        <v>Grass average</v>
      </c>
      <c r="W214" s="51" t="str">
        <f>IF([1]Humus!G197="","",[1]Humus!G197)</f>
        <v>Herbaceous average</v>
      </c>
      <c r="X214" s="51"/>
      <c r="Y214" s="51" t="str">
        <f>IF([1]C!BF197="","",[1]C!BF197)</f>
        <v>Plant average</v>
      </c>
      <c r="Z214" s="51" t="str">
        <f>IF([1]Humus!AK197="","",[1]Humus!AK197)</f>
        <v>Herbaceous average</v>
      </c>
      <c r="AA214" s="51" t="s">
        <v>456</v>
      </c>
      <c r="AD214" t="s">
        <v>530</v>
      </c>
      <c r="AF214" t="s">
        <v>763</v>
      </c>
    </row>
    <row r="215">
      <c r="A215" s="177" t="s">
        <v>150</v>
      </c>
      <c r="B215" s="181" t="s">
        <v>531</v>
      </c>
      <c r="C215" s="51" t="s">
        <v>555</v>
      </c>
      <c r="D215" s="181" t="s">
        <v>531</v>
      </c>
      <c r="E215" s="200"/>
      <c r="F215" s="200"/>
      <c r="G215" s="200"/>
      <c r="H215" s="200"/>
      <c r="I215" s="200"/>
      <c r="J215" s="181" t="s">
        <v>531</v>
      </c>
      <c r="K215" s="180"/>
      <c r="L215" s="63" t="s">
        <v>521</v>
      </c>
      <c r="M215" s="63" t="s">
        <v>521</v>
      </c>
      <c r="N215" s="63" t="s">
        <v>521</v>
      </c>
      <c r="O215" s="51" t="s">
        <v>555</v>
      </c>
      <c r="P215" s="35"/>
      <c r="Q215" s="35"/>
      <c r="R215" s="51"/>
      <c r="S215" s="51" t="s">
        <v>498</v>
      </c>
      <c r="T215" s="51"/>
      <c r="U215" s="51"/>
      <c r="V215" s="51" t="str">
        <f>IF([1]C!G198="","",[1]C!G198)</f>
        <v>Grass average</v>
      </c>
      <c r="W215" s="51" t="str">
        <f>IF([1]Humus!G198="","",[1]Humus!G198)</f>
        <v>Herbaceous average</v>
      </c>
      <c r="X215" s="51"/>
      <c r="Y215" s="51" t="str">
        <f>IF([1]C!BF198="","",[1]C!BF198)</f>
        <v>Plant average</v>
      </c>
      <c r="Z215" s="51" t="str">
        <f>IF([1]Humus!AK198="","",[1]Humus!AK198)</f>
        <v>Herbaceous average</v>
      </c>
      <c r="AA215" s="51" t="s">
        <v>456</v>
      </c>
      <c r="AD215" t="s">
        <v>522</v>
      </c>
      <c r="AF215" t="s">
        <v>763</v>
      </c>
    </row>
    <row r="216">
      <c r="A216" s="177" t="s">
        <v>148</v>
      </c>
      <c r="B216" s="181" t="s">
        <v>532</v>
      </c>
      <c r="C216" s="51" t="s">
        <v>558</v>
      </c>
      <c r="D216" s="178" t="s">
        <v>450</v>
      </c>
      <c r="E216" s="185"/>
      <c r="F216" s="179"/>
      <c r="G216" s="179"/>
      <c r="H216" s="180"/>
      <c r="I216" s="180"/>
      <c r="J216" s="181" t="s">
        <v>533</v>
      </c>
      <c r="K216" s="180"/>
      <c r="L216" s="63" t="s">
        <v>521</v>
      </c>
      <c r="M216" s="63" t="s">
        <v>521</v>
      </c>
      <c r="N216" s="63" t="s">
        <v>521</v>
      </c>
      <c r="O216" s="51" t="s">
        <v>452</v>
      </c>
      <c r="P216" s="51" t="s">
        <v>452</v>
      </c>
      <c r="Q216" s="51" t="s">
        <v>452</v>
      </c>
      <c r="R216" s="51"/>
      <c r="S216" s="51" t="s">
        <v>498</v>
      </c>
      <c r="T216" s="51"/>
      <c r="U216" s="51"/>
      <c r="V216" s="51" t="str">
        <f>IF([1]C!G199="","",[1]C!G199)</f>
        <v>Grass average</v>
      </c>
      <c r="W216" s="51" t="str">
        <f>IF([1]Humus!G199="","",[1]Humus!G199)</f>
        <v>Herbaceous average</v>
      </c>
      <c r="X216" s="51"/>
      <c r="Y216" s="51" t="str">
        <f>IF([1]C!BF199="","",[1]C!BF199)</f>
        <v>Plant average</v>
      </c>
      <c r="Z216" s="51" t="str">
        <f>IF([1]Humus!AK199="","",[1]Humus!AK199)</f>
        <v>Herbaceous average</v>
      </c>
      <c r="AA216" s="51" t="s">
        <v>456</v>
      </c>
      <c r="AD216" t="s">
        <v>530</v>
      </c>
      <c r="AF216" t="s">
        <v>763</v>
      </c>
    </row>
    <row r="217">
      <c r="A217" s="177" t="str">
        <f>[1]All!B200</f>
        <v>Grass</v>
      </c>
      <c r="B217" s="178"/>
      <c r="C217" s="51" t="s">
        <v>562</v>
      </c>
      <c r="D217" s="183" t="n">
        <v>0.19412000000000001</v>
      </c>
      <c r="E217" s="183"/>
      <c r="F217" s="181"/>
      <c r="G217" s="181"/>
      <c r="H217" s="182"/>
      <c r="I217" s="182"/>
      <c r="J217" s="182" t="n">
        <v>3.3985795200000002</v>
      </c>
      <c r="K217" s="182"/>
      <c r="L217" s="63" t="s">
        <v>521</v>
      </c>
      <c r="M217" s="63" t="s">
        <v>521</v>
      </c>
      <c r="N217" s="63" t="s">
        <v>521</v>
      </c>
      <c r="O217" s="188" t="s">
        <v>559</v>
      </c>
      <c r="P217" s="188" t="s">
        <v>559</v>
      </c>
      <c r="Q217" s="35"/>
      <c r="R217" s="51"/>
      <c r="S217" s="51" t="s">
        <v>498</v>
      </c>
      <c r="T217" s="51"/>
      <c r="U217" s="51"/>
      <c r="V217" s="51" t="str">
        <f>IF([1]C!G200="","",[1]C!G200)</f>
        <v>Average of available data</v>
      </c>
      <c r="W217" s="51" t="str">
        <f>IF([1]Humus!G200="","",[1]Humus!G200)</f>
        <v>Herbaceous average</v>
      </c>
      <c r="X217" s="51"/>
      <c r="Y217" s="51" t="str">
        <f>IF([1]C!BF200="","",[1]C!BF200)</f>
        <v>Average of available data</v>
      </c>
      <c r="Z217" s="51" t="str">
        <f>IF([1]Humus!AK200="","",[1]Humus!AK200)</f>
        <v>Herbaceous average</v>
      </c>
      <c r="AA217" s="51" t="s">
        <v>456</v>
      </c>
      <c r="AD217" t="s">
        <v>534</v>
      </c>
      <c r="AF217" t="s">
        <v>763</v>
      </c>
    </row>
    <row r="218">
      <c r="A218" s="177" t="s">
        <v>447</v>
      </c>
      <c r="B218" s="178"/>
      <c r="C218" s="51" t="s">
        <v>562</v>
      </c>
      <c r="D218" s="183" t="n">
        <v>0.19412000000000001</v>
      </c>
      <c r="E218" s="183"/>
      <c r="F218" s="181"/>
      <c r="G218" s="181"/>
      <c r="H218" s="182"/>
      <c r="I218" s="182"/>
      <c r="J218" s="182" t="n">
        <v>3.3985795200000002</v>
      </c>
      <c r="K218" s="182"/>
      <c r="L218" s="63" t="s">
        <v>521</v>
      </c>
      <c r="M218" s="63" t="s">
        <v>521</v>
      </c>
      <c r="N218" s="63" t="s">
        <v>521</v>
      </c>
      <c r="O218" s="188" t="s">
        <v>559</v>
      </c>
      <c r="P218" s="188" t="s">
        <v>559</v>
      </c>
      <c r="Q218" s="35"/>
      <c r="R218" s="51"/>
      <c r="S218" s="51" t="s">
        <v>498</v>
      </c>
      <c r="T218" s="51"/>
      <c r="U218" s="51"/>
      <c r="V218" s="51" t="str">
        <f>IF([1]C!G201="","",[1]C!G201)</f>
        <v>ECN (2017)</v>
      </c>
      <c r="W218" s="51" t="str">
        <f>IF([1]Humus!G201="","",[1]Humus!G201)</f>
        <v>Herbaceous average</v>
      </c>
      <c r="X218" s="51"/>
      <c r="Y218" s="51" t="str">
        <f>IF([1]C!BF201="","",[1]C!BF201)</f>
        <v>Plant average</v>
      </c>
      <c r="Z218" s="51" t="str">
        <f>IF([1]Humus!AK201="","",[1]Humus!AK201)</f>
      </c>
      <c r="AA218" s="51" t="s">
        <v>456</v>
      </c>
      <c r="AD218" t="s">
        <v>534</v>
      </c>
      <c r="AF218" t="s">
        <v>763</v>
      </c>
    </row>
    <row r="219">
      <c r="A219" s="177" t="str">
        <f>[1]All!B201</f>
        <v>Temperate grassland</v>
      </c>
      <c r="B219" s="178"/>
      <c r="C219" s="51" t="s">
        <v>562</v>
      </c>
      <c r="D219" s="183"/>
      <c r="E219" s="183"/>
      <c r="F219" s="181"/>
      <c r="G219" s="181"/>
      <c r="H219" s="182"/>
      <c r="I219" s="182"/>
      <c r="J219" s="182"/>
      <c r="K219" s="182"/>
      <c r="L219" s="63" t="s">
        <v>521</v>
      </c>
      <c r="M219" s="63" t="s">
        <v>521</v>
      </c>
      <c r="N219" s="63" t="s">
        <v>521</v>
      </c>
      <c r="O219" s="188" t="s">
        <v>559</v>
      </c>
      <c r="P219" s="51"/>
      <c r="Q219" s="35"/>
      <c r="R219" s="51"/>
      <c r="S219" s="51" t="s">
        <v>498</v>
      </c>
      <c r="T219" s="51"/>
      <c r="U219" s="51"/>
      <c r="V219" s="51" t="str">
        <f>IF([1]C!G201="","",[1]C!G201)</f>
        <v>ECN (2017)</v>
      </c>
      <c r="W219" s="51" t="str">
        <f>IF([1]Humus!G201="","",[1]Humus!G201)</f>
        <v>Herbaceous average</v>
      </c>
      <c r="X219" s="51"/>
      <c r="Y219" s="51" t="str">
        <f>IF([1]C!BF201="","",[1]C!BF201)</f>
        <v>Plant average</v>
      </c>
      <c r="Z219" s="51" t="str">
        <f>IF([1]Humus!AK201="","",[1]Humus!AK201)</f>
      </c>
      <c r="AA219" s="51" t="s">
        <v>456</v>
      </c>
      <c r="AD219" t="s">
        <v>534</v>
      </c>
      <c r="AF219" t="s">
        <v>763</v>
      </c>
    </row>
    <row r="220">
      <c r="A220" s="177" t="str">
        <f>[1]All!B202</f>
        <v>Tropical/subtropical grassland</v>
      </c>
      <c r="B220" s="178"/>
      <c r="C220" s="51" t="s">
        <v>562</v>
      </c>
      <c r="D220" s="183"/>
      <c r="E220" s="183"/>
      <c r="F220" s="181"/>
      <c r="G220" s="181"/>
      <c r="H220" s="182"/>
      <c r="I220" s="182"/>
      <c r="J220" s="182"/>
      <c r="K220" s="182"/>
      <c r="L220" s="63" t="s">
        <v>521</v>
      </c>
      <c r="M220" s="63" t="s">
        <v>521</v>
      </c>
      <c r="N220" s="63" t="s">
        <v>521</v>
      </c>
      <c r="O220" s="188" t="s">
        <v>559</v>
      </c>
      <c r="P220" s="51"/>
      <c r="Q220" s="35"/>
      <c r="R220" s="51"/>
      <c r="S220" s="51" t="s">
        <v>498</v>
      </c>
      <c r="T220" s="51"/>
      <c r="U220" s="51"/>
      <c r="V220" s="51" t="str">
        <f>IF([1]C!G202="","",[1]C!G202)</f>
        <v>Grass average</v>
      </c>
      <c r="W220" s="51" t="str">
        <f>IF([1]Humus!G202="","",[1]Humus!G202)</f>
        <v>Herbaceous average</v>
      </c>
      <c r="X220" s="51"/>
      <c r="Y220" s="51" t="str">
        <f>IF([1]C!BF202="","",[1]C!BF202)</f>
        <v>Plant average</v>
      </c>
      <c r="Z220" s="51" t="str">
        <f>IF([1]Humus!AK202="","",[1]Humus!AK202)</f>
      </c>
      <c r="AA220" s="51" t="s">
        <v>456</v>
      </c>
      <c r="AD220" t="s">
        <v>534</v>
      </c>
      <c r="AF220" t="s">
        <v>763</v>
      </c>
    </row>
    <row r="221">
      <c r="A221" s="189" t="s">
        <v>143</v>
      </c>
      <c r="B221" s="154"/>
      <c r="C221" s="51" t="s">
        <v>562</v>
      </c>
      <c r="D221" s="154"/>
      <c r="E221" s="154"/>
      <c r="F221" s="154"/>
      <c r="G221" s="154"/>
      <c r="H221" s="154"/>
      <c r="I221" s="154"/>
      <c r="J221" s="154"/>
      <c r="K221" s="154"/>
      <c r="L221" s="63" t="s">
        <v>521</v>
      </c>
      <c r="M221" s="63" t="s">
        <v>521</v>
      </c>
      <c r="N221" s="63" t="s">
        <v>521</v>
      </c>
      <c r="O221" s="188" t="s">
        <v>559</v>
      </c>
      <c r="P221" s="154"/>
      <c r="Q221" s="154"/>
      <c r="R221" s="154"/>
      <c r="S221" s="51" t="s">
        <v>498</v>
      </c>
      <c r="T221" s="154"/>
      <c r="U221" s="154"/>
      <c r="V221" s="154"/>
      <c r="W221" s="51" t="str">
        <f>IF([1]Humus!G203="","",[1]Humus!G203)</f>
        <v>Average of available data, Berti et al. (2016)</v>
      </c>
      <c r="X221" s="154"/>
      <c r="Y221" s="154" t="s">
        <v>535</v>
      </c>
      <c r="Z221" s="51" t="str">
        <f>IF([1]Humus!AK203="","",[1]Humus!AK203)</f>
        <v>Katterer et al. (2011), Boiffin et al. (1986), Berti et al. (2016), Brock et al. (2012), Bertora et al. (2012), Plenet et al. (1993) (2), Barber (1979) (2), Bolider et al. (1999) (3), Angers et al. (1995)</v>
      </c>
      <c r="AA221" s="51" t="s">
        <v>456</v>
      </c>
      <c r="AB221" s="154"/>
      <c r="AD221" t="s">
        <v>522</v>
      </c>
      <c r="AF221" t="s">
        <v>763</v>
      </c>
    </row>
    <row r="222" ht="12.75" customHeight="1">
      <c r="A222" s="201" t="s">
        <v>142</v>
      </c>
      <c r="B222" s="202"/>
      <c r="C222" s="203"/>
      <c r="D222" s="204"/>
      <c r="E222" s="204"/>
      <c r="F222" s="205"/>
      <c r="G222" s="205"/>
      <c r="H222" s="206"/>
      <c r="I222" s="206"/>
      <c r="J222" s="206"/>
      <c r="K222" s="206"/>
      <c r="L222" s="206"/>
      <c r="M222" s="206"/>
      <c r="N222" s="206"/>
      <c r="O222" s="206"/>
      <c r="P222" s="206"/>
      <c r="Q222" s="206"/>
      <c r="R222" s="206"/>
      <c r="S222" s="206"/>
      <c r="T222" s="206"/>
      <c r="U222" s="206"/>
      <c r="V222" s="51" t="str">
        <f>IF([1]C!G204="","",[1]C!G204)</f>
      </c>
      <c r="W222" s="51" t="str">
        <f>IF([1]Humus!G204="","",[1]Humus!G204)</f>
      </c>
      <c r="X222" s="206"/>
      <c r="Y222" s="206"/>
      <c r="Z222" s="51" t="str">
        <f>IF([1]Humus!AK204="","",[1]Humus!AK204)</f>
      </c>
      <c r="AA222" s="51" t="s">
        <v>456</v>
      </c>
      <c r="AB222" s="13"/>
      <c r="AF222" t="s">
        <v>763</v>
      </c>
    </row>
    <row r="223" ht="12.75" customHeight="1">
      <c r="A223" s="81" t="s">
        <v>141</v>
      </c>
      <c r="B223" s="27"/>
      <c r="C223" s="13"/>
      <c r="D223" s="46"/>
      <c r="E223" s="46"/>
      <c r="F223" s="70"/>
      <c r="G223" s="70"/>
      <c r="H223" s="24"/>
      <c r="I223" s="24"/>
      <c r="J223" s="24"/>
      <c r="K223" s="24"/>
      <c r="L223" s="70"/>
      <c r="M223" s="70"/>
      <c r="N223" s="13"/>
      <c r="O223" s="226"/>
      <c r="P223" s="226"/>
      <c r="Q223" s="226"/>
      <c r="R223" s="13"/>
      <c r="S223" s="13"/>
      <c r="T223" s="13"/>
      <c r="U223" s="13"/>
      <c r="V223" s="51" t="str">
        <f>IF([1]C!G205="","",[1]C!G205)</f>
      </c>
      <c r="W223" s="51" t="str">
        <f>IF([1]Humus!G205="","",[1]Humus!G205)</f>
      </c>
      <c r="X223" s="13"/>
      <c r="Y223" s="13"/>
      <c r="Z223" s="51" t="str">
        <f>IF([1]Humus!AK205="","",[1]Humus!AK205)</f>
      </c>
      <c r="AA223" s="51" t="s">
        <v>456</v>
      </c>
      <c r="AB223" s="13"/>
      <c r="AF223" t="s">
        <v>763</v>
      </c>
    </row>
    <row r="224" ht="12.75" customHeight="1">
      <c r="A224" s="1" t="s">
        <v>140</v>
      </c>
      <c r="B224" s="178"/>
      <c r="C224" s="51"/>
      <c r="D224" s="178" t="s">
        <v>450</v>
      </c>
      <c r="E224" s="185"/>
      <c r="F224" s="179"/>
      <c r="G224" s="179"/>
      <c r="H224" s="180"/>
      <c r="I224" s="180"/>
      <c r="J224" s="178" t="s">
        <v>450</v>
      </c>
      <c r="K224" s="180"/>
      <c r="L224" s="179"/>
      <c r="M224" s="179"/>
      <c r="N224" s="51"/>
      <c r="O224" s="227"/>
      <c r="P224" s="227"/>
      <c r="Q224" s="227"/>
      <c r="R224" s="51"/>
      <c r="S224" s="51"/>
      <c r="T224" s="51"/>
      <c r="U224" s="51"/>
      <c r="V224" s="51" t="str">
        <f>IF([1]C!G206="","",[1]C!G206)</f>
      </c>
      <c r="W224" s="51" t="str">
        <f>IF([1]Humus!G206="","",[1]Humus!G206)</f>
      </c>
      <c r="X224" s="51"/>
      <c r="Y224" s="63"/>
      <c r="Z224" s="51" t="str">
        <f>IF([1]Humus!AK206="","",[1]Humus!AK206)</f>
      </c>
      <c r="AA224" s="51" t="s">
        <v>456</v>
      </c>
      <c r="AF224" t="s">
        <v>763</v>
      </c>
    </row>
    <row r="225" ht="12.75" customHeight="1">
      <c r="A225" s="1" t="s">
        <v>139</v>
      </c>
      <c r="B225" s="178"/>
      <c r="C225" s="51"/>
      <c r="D225" s="178" t="s">
        <v>450</v>
      </c>
      <c r="E225" s="185"/>
      <c r="F225" s="179"/>
      <c r="G225" s="179"/>
      <c r="H225" s="180"/>
      <c r="I225" s="180"/>
      <c r="J225" s="178" t="s">
        <v>450</v>
      </c>
      <c r="K225" s="180"/>
      <c r="L225" s="195"/>
      <c r="M225" s="195"/>
      <c r="N225" s="51"/>
      <c r="O225" s="227"/>
      <c r="P225" s="227"/>
      <c r="Q225" s="227"/>
      <c r="R225" s="51"/>
      <c r="S225" s="51"/>
      <c r="T225" s="51"/>
      <c r="U225" s="51"/>
      <c r="V225" s="51" t="str">
        <f>IF([1]C!G207="","",[1]C!G207)</f>
      </c>
      <c r="W225" s="51" t="str">
        <f>IF([1]Humus!G207="","",[1]Humus!G207)</f>
      </c>
      <c r="X225" s="51"/>
      <c r="Y225" s="63"/>
      <c r="Z225" s="51" t="str">
        <f>IF([1]Humus!AK207="","",[1]Humus!AK207)</f>
      </c>
      <c r="AA225" s="51" t="s">
        <v>456</v>
      </c>
      <c r="AF225" t="s">
        <v>763</v>
      </c>
    </row>
    <row r="226" ht="12.75" customHeight="1">
      <c r="A226" s="81" t="s">
        <v>135</v>
      </c>
      <c r="B226" s="118"/>
      <c r="C226" s="192"/>
      <c r="D226" s="194"/>
      <c r="E226" s="194"/>
      <c r="F226" s="195"/>
      <c r="G226" s="195"/>
      <c r="H226" s="196"/>
      <c r="I226" s="196"/>
      <c r="J226" s="196"/>
      <c r="K226" s="196"/>
      <c r="L226" s="195"/>
      <c r="M226" s="195"/>
      <c r="N226" s="192"/>
      <c r="O226" s="226"/>
      <c r="P226" s="226"/>
      <c r="Q226" s="226"/>
      <c r="R226" s="192"/>
      <c r="S226" s="192"/>
      <c r="T226" s="192"/>
      <c r="U226" s="192"/>
      <c r="V226" s="51" t="str">
        <f>IF([1]C!G208="","",[1]C!G208)</f>
      </c>
      <c r="W226" s="51" t="str">
        <f>IF([1]Humus!G208="","",[1]Humus!G208)</f>
      </c>
      <c r="X226" s="192"/>
      <c r="Y226" s="63"/>
      <c r="Z226" s="51" t="str">
        <f>IF([1]Humus!AK208="","",[1]Humus!AK208)</f>
      </c>
      <c r="AA226" s="51" t="s">
        <v>456</v>
      </c>
      <c r="AF226" t="s">
        <v>763</v>
      </c>
    </row>
    <row r="227" ht="12.75" customHeight="1">
      <c r="A227" s="1" t="s">
        <v>138</v>
      </c>
      <c r="B227" s="178"/>
      <c r="C227" s="51"/>
      <c r="D227" s="178" t="s">
        <v>450</v>
      </c>
      <c r="E227" s="185"/>
      <c r="F227" s="179"/>
      <c r="G227" s="179"/>
      <c r="H227" s="178" t="s">
        <v>450</v>
      </c>
      <c r="I227" s="180"/>
      <c r="J227" s="178" t="s">
        <v>450</v>
      </c>
      <c r="K227" s="180"/>
      <c r="L227" s="179"/>
      <c r="M227" s="179"/>
      <c r="N227" s="51"/>
      <c r="O227" s="227"/>
      <c r="P227" s="227"/>
      <c r="Q227" s="227"/>
      <c r="R227" s="51"/>
      <c r="S227" s="51"/>
      <c r="T227" s="51"/>
      <c r="U227" s="51"/>
      <c r="V227" s="51" t="str">
        <f>IF([1]C!G209="","",[1]C!G209)</f>
      </c>
      <c r="W227" s="51" t="str">
        <f>IF([1]Humus!G209="","",[1]Humus!G209)</f>
      </c>
      <c r="X227" s="51"/>
      <c r="Y227" s="63"/>
      <c r="Z227" s="51" t="str">
        <f>IF([1]Humus!AK209="","",[1]Humus!AK209)</f>
      </c>
      <c r="AA227" s="51" t="s">
        <v>456</v>
      </c>
      <c r="AF227" t="s">
        <v>763</v>
      </c>
    </row>
    <row r="228" ht="12.75" customHeight="1">
      <c r="A228" s="1" t="s">
        <v>572</v>
      </c>
      <c r="B228" s="178"/>
      <c r="C228" s="51"/>
      <c r="D228" s="178" t="s">
        <v>450</v>
      </c>
      <c r="E228" s="185"/>
      <c r="F228" s="179"/>
      <c r="G228" s="179"/>
      <c r="H228" s="180"/>
      <c r="I228" s="180"/>
      <c r="J228" s="180"/>
      <c r="K228" s="180"/>
      <c r="L228" s="179"/>
      <c r="M228" s="179"/>
      <c r="N228" s="51"/>
      <c r="O228" s="227"/>
      <c r="P228" s="227"/>
      <c r="Q228" s="227"/>
      <c r="R228" s="51"/>
      <c r="S228" s="51"/>
      <c r="T228" s="51"/>
      <c r="U228" s="51"/>
      <c r="V228" s="51" t="str">
        <f>IF([1]C!G210="","",[1]C!G210)</f>
      </c>
      <c r="W228" s="51" t="str">
        <f>IF([1]Humus!G210="","",[1]Humus!G210)</f>
      </c>
      <c r="X228" s="51"/>
      <c r="Y228" s="63"/>
      <c r="Z228" s="51" t="str">
        <f>IF([1]Humus!AK210="","",[1]Humus!AK210)</f>
      </c>
      <c r="AA228" s="51" t="s">
        <v>456</v>
      </c>
      <c r="AF228" t="s">
        <v>763</v>
      </c>
    </row>
    <row r="229" ht="12.75" customHeight="1">
      <c r="A229" s="1" t="s">
        <v>573</v>
      </c>
      <c r="B229" s="51"/>
      <c r="C229" s="51"/>
      <c r="D229" s="178" t="s">
        <v>450</v>
      </c>
      <c r="E229" s="185"/>
      <c r="F229" s="51"/>
      <c r="G229" s="51"/>
      <c r="H229" s="178" t="s">
        <v>450</v>
      </c>
      <c r="I229" s="51"/>
      <c r="J229" s="178" t="s">
        <v>450</v>
      </c>
      <c r="K229" s="51"/>
      <c r="L229" s="179"/>
      <c r="M229" s="179"/>
      <c r="N229" s="51"/>
      <c r="O229" s="227"/>
      <c r="P229" s="227"/>
      <c r="Q229" s="227"/>
      <c r="R229" s="51"/>
      <c r="S229" s="51"/>
      <c r="T229" s="51"/>
      <c r="U229" s="51"/>
      <c r="V229" s="51" t="str">
        <f>IF([1]C!G211="","",[1]C!G211)</f>
      </c>
      <c r="W229" s="51" t="str">
        <f>IF([1]Humus!G211="","",[1]Humus!G211)</f>
      </c>
      <c r="X229" s="51"/>
      <c r="Y229" s="63"/>
      <c r="Z229" s="51" t="str">
        <f>IF([1]Humus!AK211="","",[1]Humus!AK211)</f>
      </c>
      <c r="AA229" s="51" t="s">
        <v>456</v>
      </c>
      <c r="AC229" s="5"/>
      <c r="AF229" t="s">
        <v>763</v>
      </c>
      <c r="AG229" s="5" t="s">
        <v>137</v>
      </c>
    </row>
    <row r="230" ht="12.75" customHeight="1">
      <c r="A230" s="1" t="s">
        <v>574</v>
      </c>
      <c r="B230" s="178"/>
      <c r="C230" s="51"/>
      <c r="D230" s="178" t="s">
        <v>450</v>
      </c>
      <c r="E230" s="185"/>
      <c r="F230" s="179"/>
      <c r="G230" s="179"/>
      <c r="H230" s="180" t="s">
        <v>571</v>
      </c>
      <c r="I230" s="180"/>
      <c r="J230" s="180" t="str">
        <f>H230</f>
        <v>Aguilera, 2009</v>
      </c>
      <c r="K230" s="180"/>
      <c r="L230" s="179"/>
      <c r="M230" s="179"/>
      <c r="N230" s="51"/>
      <c r="O230" s="227"/>
      <c r="P230" s="227"/>
      <c r="Q230" s="227"/>
      <c r="R230" s="51"/>
      <c r="S230" s="51"/>
      <c r="T230" s="51"/>
      <c r="U230" s="51"/>
      <c r="V230" s="51" t="str">
        <f>IF([1]C!G212="","",[1]C!G212)</f>
      </c>
      <c r="W230" s="51" t="str">
        <f>IF([1]Humus!G212="","",[1]Humus!G212)</f>
      </c>
      <c r="X230" s="51"/>
      <c r="Y230" s="63"/>
      <c r="Z230" s="51" t="str">
        <f>IF([1]Humus!AK212="","",[1]Humus!AK212)</f>
      </c>
      <c r="AA230" s="51" t="s">
        <v>456</v>
      </c>
      <c r="AF230" t="s">
        <v>763</v>
      </c>
    </row>
    <row r="231" ht="12.75" customHeight="1">
      <c r="A231" s="1" t="s">
        <v>136</v>
      </c>
      <c r="B231" s="178"/>
      <c r="C231" s="51"/>
      <c r="D231" s="178" t="s">
        <v>450</v>
      </c>
      <c r="E231" s="185"/>
      <c r="F231" s="179"/>
      <c r="G231" s="179"/>
      <c r="H231" s="180"/>
      <c r="I231" s="180"/>
      <c r="J231" s="178" t="s">
        <v>450</v>
      </c>
      <c r="K231" s="180"/>
      <c r="L231" s="179"/>
      <c r="M231" s="179"/>
      <c r="N231" s="51"/>
      <c r="O231" s="227"/>
      <c r="P231" s="227"/>
      <c r="Q231" s="227"/>
      <c r="R231" s="51"/>
      <c r="S231" s="51"/>
      <c r="T231" s="51"/>
      <c r="U231" s="51"/>
      <c r="V231" s="51" t="str">
        <f>IF([1]C!G213="","",[1]C!G213)</f>
      </c>
      <c r="W231" s="51" t="str">
        <f>IF([1]Humus!G213="","",[1]Humus!G213)</f>
      </c>
      <c r="X231" s="51"/>
      <c r="Y231" s="63"/>
      <c r="Z231" s="51" t="str">
        <f>IF([1]Humus!AK213="","",[1]Humus!AK213)</f>
      </c>
      <c r="AA231" s="51" t="s">
        <v>456</v>
      </c>
      <c r="AF231" t="s">
        <v>763</v>
      </c>
    </row>
    <row r="232" ht="12.75" customHeight="1">
      <c r="A232" s="1" t="s">
        <v>134</v>
      </c>
      <c r="B232" s="178"/>
      <c r="C232" s="51"/>
      <c r="D232" s="178" t="s">
        <v>450</v>
      </c>
      <c r="E232" s="185"/>
      <c r="F232" s="179"/>
      <c r="G232" s="179"/>
      <c r="H232" s="180"/>
      <c r="I232" s="180"/>
      <c r="J232" s="178" t="s">
        <v>450</v>
      </c>
      <c r="K232" s="180"/>
      <c r="L232" s="179"/>
      <c r="M232" s="179"/>
      <c r="N232" s="51"/>
      <c r="O232" s="227"/>
      <c r="P232" s="227"/>
      <c r="Q232" s="227"/>
      <c r="R232" s="51"/>
      <c r="S232" s="51"/>
      <c r="T232" s="51"/>
      <c r="U232" s="51"/>
      <c r="V232" s="51" t="str">
        <f>IF([1]C!G214="","",[1]C!G214)</f>
      </c>
      <c r="W232" s="51" t="str">
        <f>IF([1]Humus!G214="","",[1]Humus!G214)</f>
      </c>
      <c r="X232" s="51"/>
      <c r="Y232" s="63"/>
      <c r="Z232" s="51" t="str">
        <f>IF([1]Humus!AK214="","",[1]Humus!AK214)</f>
      </c>
      <c r="AA232" s="51" t="s">
        <v>456</v>
      </c>
      <c r="AF232" t="s">
        <v>763</v>
      </c>
    </row>
    <row r="233" ht="12.75" customHeight="1">
      <c r="A233" s="1" t="s">
        <v>133</v>
      </c>
      <c r="B233" s="178"/>
      <c r="C233" s="51"/>
      <c r="D233" s="178" t="s">
        <v>450</v>
      </c>
      <c r="E233" s="185"/>
      <c r="F233" s="179"/>
      <c r="G233" s="179"/>
      <c r="H233" s="180"/>
      <c r="I233" s="180"/>
      <c r="J233" s="178" t="s">
        <v>450</v>
      </c>
      <c r="K233" s="180"/>
      <c r="L233" s="179"/>
      <c r="M233" s="179"/>
      <c r="N233" s="51"/>
      <c r="O233" s="227"/>
      <c r="P233" s="227"/>
      <c r="Q233" s="227"/>
      <c r="R233" s="51"/>
      <c r="S233" s="51"/>
      <c r="T233" s="51"/>
      <c r="U233" s="51"/>
      <c r="V233" s="51" t="str">
        <f>IF([1]C!G215="","",[1]C!G215)</f>
      </c>
      <c r="W233" s="51" t="str">
        <f>IF([1]Humus!G215="","",[1]Humus!G215)</f>
      </c>
      <c r="X233" s="51"/>
      <c r="Y233" s="63"/>
      <c r="Z233" s="51" t="str">
        <f>IF([1]Humus!AK215="","",[1]Humus!AK215)</f>
      </c>
      <c r="AA233" s="51" t="s">
        <v>456</v>
      </c>
      <c r="AF233" t="s">
        <v>763</v>
      </c>
    </row>
    <row r="234" ht="12.75" customHeight="1">
      <c r="A234" s="1" t="s">
        <v>132</v>
      </c>
      <c r="B234" s="178"/>
      <c r="C234" s="51"/>
      <c r="D234" s="178" t="s">
        <v>450</v>
      </c>
      <c r="E234" s="185"/>
      <c r="F234" s="179"/>
      <c r="G234" s="179"/>
      <c r="H234" s="180"/>
      <c r="I234" s="180"/>
      <c r="J234" s="178" t="s">
        <v>450</v>
      </c>
      <c r="K234" s="180"/>
      <c r="L234" s="179"/>
      <c r="M234" s="179"/>
      <c r="N234" s="51"/>
      <c r="O234" s="227"/>
      <c r="P234" s="227"/>
      <c r="Q234" s="227"/>
      <c r="R234" s="51"/>
      <c r="S234" s="51"/>
      <c r="T234" s="51"/>
      <c r="U234" s="51"/>
      <c r="V234" s="51" t="str">
        <f>IF([1]C!G216="","",[1]C!G216)</f>
      </c>
      <c r="W234" s="51" t="str">
        <f>IF([1]Humus!G216="","",[1]Humus!G216)</f>
      </c>
      <c r="X234" s="51"/>
      <c r="Y234" s="63"/>
      <c r="Z234" s="51" t="str">
        <f>IF([1]Humus!AK216="","",[1]Humus!AK216)</f>
      </c>
      <c r="AA234" s="51" t="s">
        <v>456</v>
      </c>
      <c r="AF234" t="s">
        <v>763</v>
      </c>
    </row>
    <row r="235" ht="12.75" customHeight="1">
      <c r="A235" s="81" t="s">
        <v>131</v>
      </c>
      <c r="B235" s="27"/>
      <c r="C235" s="13"/>
      <c r="D235" s="46"/>
      <c r="E235" s="46"/>
      <c r="F235" s="70"/>
      <c r="G235" s="70"/>
      <c r="H235" s="24"/>
      <c r="I235" s="24"/>
      <c r="J235" s="24"/>
      <c r="K235" s="24"/>
      <c r="L235" s="70"/>
      <c r="M235" s="70"/>
      <c r="N235" s="13"/>
      <c r="O235" s="226"/>
      <c r="P235" s="226"/>
      <c r="Q235" s="226"/>
      <c r="R235" s="13"/>
      <c r="S235" s="13"/>
      <c r="T235" s="13"/>
      <c r="U235" s="13"/>
      <c r="V235" s="51" t="str">
        <f>IF([1]C!G217="","",[1]C!G217)</f>
      </c>
      <c r="W235" s="51" t="str">
        <f>IF([1]Humus!G217="","",[1]Humus!G217)</f>
      </c>
      <c r="X235" s="13"/>
      <c r="Y235" s="13"/>
      <c r="Z235" s="51" t="str">
        <f>IF([1]Humus!AK217="","",[1]Humus!AK217)</f>
      </c>
      <c r="AA235" s="51" t="s">
        <v>456</v>
      </c>
      <c r="AB235" s="13"/>
      <c r="AF235" t="s">
        <v>763</v>
      </c>
    </row>
    <row r="236" ht="12.75" customHeight="1">
      <c r="A236" s="1" t="s">
        <v>130</v>
      </c>
      <c r="B236" s="178"/>
      <c r="C236" s="51"/>
      <c r="D236" s="178" t="s">
        <v>450</v>
      </c>
      <c r="E236" s="185"/>
      <c r="F236" s="179"/>
      <c r="G236" s="179"/>
      <c r="H236" s="180"/>
      <c r="I236" s="180"/>
      <c r="J236" s="178" t="s">
        <v>450</v>
      </c>
      <c r="K236" s="180"/>
      <c r="L236" s="179"/>
      <c r="M236" s="179"/>
      <c r="N236" s="51"/>
      <c r="O236" s="227"/>
      <c r="P236" s="227"/>
      <c r="Q236" s="227"/>
      <c r="R236" s="51"/>
      <c r="S236" s="51"/>
      <c r="T236" s="51"/>
      <c r="U236" s="51"/>
      <c r="V236" s="51" t="str">
        <f>IF([1]C!G218="","",[1]C!G218)</f>
      </c>
      <c r="W236" s="51" t="str">
        <f>IF([1]Humus!G218="","",[1]Humus!G218)</f>
      </c>
      <c r="X236" s="51"/>
      <c r="Y236" s="63"/>
      <c r="Z236" s="51" t="str">
        <f>IF([1]Humus!AK218="","",[1]Humus!AK218)</f>
      </c>
      <c r="AA236" s="51" t="s">
        <v>456</v>
      </c>
      <c r="AF236" t="s">
        <v>763</v>
      </c>
    </row>
    <row r="237" ht="12.75" customHeight="1">
      <c r="A237" s="1" t="s">
        <v>129</v>
      </c>
      <c r="B237" s="178"/>
      <c r="C237" s="51"/>
      <c r="D237" s="178" t="s">
        <v>450</v>
      </c>
      <c r="E237" s="185"/>
      <c r="F237" s="179"/>
      <c r="G237" s="179"/>
      <c r="H237" s="180"/>
      <c r="I237" s="180"/>
      <c r="J237" s="178" t="s">
        <v>450</v>
      </c>
      <c r="K237" s="180"/>
      <c r="L237" s="179"/>
      <c r="M237" s="179"/>
      <c r="N237" s="51"/>
      <c r="O237" s="227"/>
      <c r="P237" s="227"/>
      <c r="Q237" s="227"/>
      <c r="R237" s="51"/>
      <c r="S237" s="51"/>
      <c r="T237" s="51"/>
      <c r="U237" s="51"/>
      <c r="V237" s="51" t="str">
        <f>IF([1]C!G219="","",[1]C!G219)</f>
      </c>
      <c r="W237" s="51" t="str">
        <f>IF([1]Humus!G219="","",[1]Humus!G219)</f>
      </c>
      <c r="X237" s="51"/>
      <c r="Y237" s="63"/>
      <c r="Z237" s="51" t="str">
        <f>IF([1]Humus!AK219="","",[1]Humus!AK219)</f>
      </c>
      <c r="AA237" s="51" t="s">
        <v>456</v>
      </c>
      <c r="AF237" t="s">
        <v>763</v>
      </c>
    </row>
    <row r="238" ht="12.75" customHeight="1">
      <c r="A238" s="1" t="s">
        <v>128</v>
      </c>
      <c r="B238" s="178"/>
      <c r="C238" s="51"/>
      <c r="D238" s="178" t="s">
        <v>450</v>
      </c>
      <c r="E238" s="185"/>
      <c r="F238" s="179"/>
      <c r="G238" s="179"/>
      <c r="H238" s="180"/>
      <c r="I238" s="180"/>
      <c r="J238" s="178" t="s">
        <v>450</v>
      </c>
      <c r="K238" s="180"/>
      <c r="L238" s="179"/>
      <c r="M238" s="179"/>
      <c r="N238" s="51"/>
      <c r="O238" s="227"/>
      <c r="P238" s="227"/>
      <c r="Q238" s="227"/>
      <c r="R238" s="51"/>
      <c r="S238" s="51"/>
      <c r="T238" s="51"/>
      <c r="U238" s="51"/>
      <c r="V238" s="51" t="str">
        <f>IF([1]C!G220="","",[1]C!G220)</f>
      </c>
      <c r="W238" s="51" t="str">
        <f>IF([1]Humus!G220="","",[1]Humus!G220)</f>
      </c>
      <c r="X238" s="51"/>
      <c r="Y238" s="63"/>
      <c r="Z238" s="51" t="str">
        <f>IF([1]Humus!AK220="","",[1]Humus!AK220)</f>
      </c>
      <c r="AA238" s="51" t="s">
        <v>456</v>
      </c>
      <c r="AF238" t="s">
        <v>763</v>
      </c>
    </row>
    <row r="239" ht="12.75" customHeight="1">
      <c r="A239" s="1" t="s">
        <v>127</v>
      </c>
      <c r="B239" s="178"/>
      <c r="C239" s="51"/>
      <c r="D239" s="178" t="s">
        <v>450</v>
      </c>
      <c r="E239" s="185"/>
      <c r="F239" s="179"/>
      <c r="G239" s="179"/>
      <c r="H239" s="180"/>
      <c r="I239" s="180"/>
      <c r="J239" s="178" t="s">
        <v>450</v>
      </c>
      <c r="K239" s="180"/>
      <c r="L239" s="179"/>
      <c r="M239" s="179"/>
      <c r="N239" s="51"/>
      <c r="O239" s="227"/>
      <c r="P239" s="227"/>
      <c r="Q239" s="227"/>
      <c r="R239" s="51"/>
      <c r="S239" s="51"/>
      <c r="T239" s="51"/>
      <c r="U239" s="51"/>
      <c r="V239" s="51" t="str">
        <f>IF([1]C!G221="","",[1]C!G221)</f>
      </c>
      <c r="W239" s="51" t="str">
        <f>IF([1]Humus!G221="","",[1]Humus!G221)</f>
      </c>
      <c r="X239" s="51"/>
      <c r="Y239" s="63"/>
      <c r="Z239" s="51" t="str">
        <f>IF([1]Humus!AK221="","",[1]Humus!AK221)</f>
      </c>
      <c r="AA239" s="51" t="s">
        <v>456</v>
      </c>
      <c r="AF239" t="s">
        <v>763</v>
      </c>
    </row>
    <row r="240" ht="12.75" customHeight="1">
      <c r="A240" s="1" t="s">
        <v>126</v>
      </c>
      <c r="B240" s="178"/>
      <c r="C240" s="51"/>
      <c r="D240" s="178" t="s">
        <v>450</v>
      </c>
      <c r="E240" s="185"/>
      <c r="F240" s="179"/>
      <c r="G240" s="179"/>
      <c r="H240" s="180"/>
      <c r="I240" s="180"/>
      <c r="J240" s="178" t="s">
        <v>450</v>
      </c>
      <c r="K240" s="180"/>
      <c r="L240" s="179"/>
      <c r="M240" s="179"/>
      <c r="N240" s="51"/>
      <c r="O240" s="227"/>
      <c r="P240" s="227"/>
      <c r="Q240" s="227"/>
      <c r="R240" s="51"/>
      <c r="S240" s="51"/>
      <c r="T240" s="51"/>
      <c r="U240" s="51"/>
      <c r="V240" s="51" t="str">
        <f>IF([1]C!G222="","",[1]C!G222)</f>
      </c>
      <c r="W240" s="51" t="str">
        <f>IF([1]Humus!G222="","",[1]Humus!G222)</f>
      </c>
      <c r="X240" s="51"/>
      <c r="Y240" s="63"/>
      <c r="Z240" s="51" t="str">
        <f>IF([1]Humus!AK222="","",[1]Humus!AK222)</f>
      </c>
      <c r="AA240" s="51" t="s">
        <v>456</v>
      </c>
      <c r="AF240" t="s">
        <v>763</v>
      </c>
    </row>
    <row r="241" ht="12.75" customHeight="1">
      <c r="A241" s="1" t="s">
        <v>125</v>
      </c>
      <c r="B241" s="178"/>
      <c r="C241" s="51"/>
      <c r="D241" s="178" t="s">
        <v>450</v>
      </c>
      <c r="E241" s="185"/>
      <c r="F241" s="179"/>
      <c r="G241" s="179"/>
      <c r="H241" s="180"/>
      <c r="I241" s="180"/>
      <c r="J241" s="178" t="s">
        <v>450</v>
      </c>
      <c r="K241" s="180"/>
      <c r="L241" s="179"/>
      <c r="M241" s="179"/>
      <c r="N241" s="51"/>
      <c r="O241" s="227"/>
      <c r="P241" s="227"/>
      <c r="Q241" s="227"/>
      <c r="R241" s="51"/>
      <c r="S241" s="51"/>
      <c r="T241" s="51"/>
      <c r="U241" s="51"/>
      <c r="V241" s="51" t="str">
        <f>IF([1]C!G223="","",[1]C!G223)</f>
      </c>
      <c r="W241" s="51" t="str">
        <f>IF([1]Humus!G223="","",[1]Humus!G223)</f>
      </c>
      <c r="X241" s="51"/>
      <c r="Y241" s="63"/>
      <c r="Z241" s="51" t="str">
        <f>IF([1]Humus!AK223="","",[1]Humus!AK223)</f>
      </c>
      <c r="AA241" s="51" t="s">
        <v>456</v>
      </c>
      <c r="AF241" t="s">
        <v>763</v>
      </c>
    </row>
    <row r="242" ht="12.75" customHeight="1">
      <c r="A242" s="1" t="s">
        <v>124</v>
      </c>
      <c r="B242" s="178"/>
      <c r="C242" s="51"/>
      <c r="D242" s="178" t="s">
        <v>450</v>
      </c>
      <c r="E242" s="185"/>
      <c r="F242" s="179"/>
      <c r="G242" s="179"/>
      <c r="H242" s="180"/>
      <c r="I242" s="180"/>
      <c r="J242" s="178" t="s">
        <v>450</v>
      </c>
      <c r="K242" s="180"/>
      <c r="L242" s="179"/>
      <c r="M242" s="179"/>
      <c r="N242" s="51"/>
      <c r="O242" s="227"/>
      <c r="P242" s="227"/>
      <c r="Q242" s="227"/>
      <c r="R242" s="51"/>
      <c r="S242" s="51"/>
      <c r="T242" s="51"/>
      <c r="U242" s="51"/>
      <c r="V242" s="51" t="str">
        <f>IF([1]C!G224="","",[1]C!G224)</f>
      </c>
      <c r="W242" s="51" t="str">
        <f>IF([1]Humus!G224="","",[1]Humus!G224)</f>
      </c>
      <c r="X242" s="51"/>
      <c r="Y242" s="63"/>
      <c r="Z242" s="51" t="str">
        <f>IF([1]Humus!AK224="","",[1]Humus!AK224)</f>
      </c>
      <c r="AA242" s="51" t="s">
        <v>456</v>
      </c>
      <c r="AF242" t="s">
        <v>763</v>
      </c>
    </row>
    <row r="243" ht="12.75" customHeight="1">
      <c r="A243" s="1" t="s">
        <v>123</v>
      </c>
      <c r="B243" s="178"/>
      <c r="C243" s="51"/>
      <c r="D243" s="178" t="s">
        <v>450</v>
      </c>
      <c r="E243" s="180"/>
      <c r="F243" s="180"/>
      <c r="G243" s="180"/>
      <c r="H243" s="180"/>
      <c r="I243" s="180"/>
      <c r="J243" s="178" t="s">
        <v>450</v>
      </c>
      <c r="K243" s="180"/>
      <c r="L243" s="179"/>
      <c r="M243" s="179"/>
      <c r="N243" s="51"/>
      <c r="O243" s="227"/>
      <c r="P243" s="227"/>
      <c r="Q243" s="227"/>
      <c r="R243" s="51"/>
      <c r="S243" s="51"/>
      <c r="T243" s="51"/>
      <c r="U243" s="51"/>
      <c r="V243" s="51" t="str">
        <f>IF([1]C!G225="","",[1]C!G225)</f>
      </c>
      <c r="W243" s="51" t="str">
        <f>IF([1]Humus!G225="","",[1]Humus!G225)</f>
      </c>
      <c r="X243" s="51"/>
      <c r="Y243" s="63"/>
      <c r="Z243" s="51" t="str">
        <f>IF([1]Humus!AK225="","",[1]Humus!AK225)</f>
      </c>
      <c r="AA243" s="51" t="s">
        <v>456</v>
      </c>
      <c r="AF243" t="s">
        <v>763</v>
      </c>
    </row>
    <row r="244" ht="12.75" customHeight="1">
      <c r="A244" s="1" t="s">
        <v>121</v>
      </c>
      <c r="B244" s="178"/>
      <c r="C244" s="51"/>
      <c r="D244" s="178" t="s">
        <v>450</v>
      </c>
      <c r="E244" s="185"/>
      <c r="F244" s="179"/>
      <c r="G244" s="179"/>
      <c r="H244" s="180"/>
      <c r="I244" s="180"/>
      <c r="J244" s="178" t="s">
        <v>450</v>
      </c>
      <c r="K244" s="180"/>
      <c r="L244" s="179"/>
      <c r="M244" s="179"/>
      <c r="N244" s="51"/>
      <c r="O244" s="227"/>
      <c r="P244" s="227"/>
      <c r="Q244" s="227"/>
      <c r="R244" s="51"/>
      <c r="S244" s="51"/>
      <c r="T244" s="51"/>
      <c r="U244" s="51"/>
      <c r="V244" s="51" t="str">
        <f>IF([1]C!G226="","",[1]C!G226)</f>
      </c>
      <c r="W244" s="51" t="str">
        <f>IF([1]Humus!G226="","",[1]Humus!G226)</f>
      </c>
      <c r="X244" s="51"/>
      <c r="Y244" s="63"/>
      <c r="Z244" s="51" t="str">
        <f>IF([1]Humus!AK226="","",[1]Humus!AK226)</f>
      </c>
      <c r="AA244" s="51" t="s">
        <v>456</v>
      </c>
      <c r="AF244" t="s">
        <v>763</v>
      </c>
    </row>
    <row r="245" ht="12.75" customHeight="1">
      <c r="A245" s="81" t="s">
        <v>120</v>
      </c>
      <c r="B245" s="75"/>
      <c r="C245" s="104"/>
      <c r="D245" s="140"/>
      <c r="E245" s="140"/>
      <c r="F245" s="84"/>
      <c r="G245" s="84"/>
      <c r="H245" s="119"/>
      <c r="I245" s="119"/>
      <c r="J245" s="140"/>
      <c r="K245" s="119"/>
      <c r="L245" s="84"/>
      <c r="M245" s="84"/>
      <c r="N245" s="104"/>
      <c r="O245" s="227"/>
      <c r="P245" s="227"/>
      <c r="Q245" s="227"/>
      <c r="R245" s="104"/>
      <c r="S245" s="104"/>
      <c r="T245" s="104"/>
      <c r="U245" s="104"/>
      <c r="V245" s="51" t="str">
        <f>IF([1]C!G227="","",[1]C!G227)</f>
      </c>
      <c r="W245" s="51" t="str">
        <f>IF([1]Humus!G227="","",[1]Humus!G227)</f>
      </c>
      <c r="X245" s="104"/>
      <c r="Y245" s="104"/>
      <c r="Z245" s="51" t="str">
        <f>IF([1]Humus!AK227="","",[1]Humus!AK227)</f>
      </c>
      <c r="AA245" s="51" t="s">
        <v>456</v>
      </c>
      <c r="AF245" t="s">
        <v>763</v>
      </c>
    </row>
    <row r="246" ht="12.75" customHeight="1">
      <c r="A246" s="1" t="s">
        <v>119</v>
      </c>
      <c r="B246" s="178"/>
      <c r="C246" s="51"/>
      <c r="D246" s="178" t="s">
        <v>450</v>
      </c>
      <c r="E246" s="185"/>
      <c r="F246" s="179"/>
      <c r="G246" s="179"/>
      <c r="H246" s="180"/>
      <c r="I246" s="180"/>
      <c r="J246" s="178" t="s">
        <v>450</v>
      </c>
      <c r="K246" s="180"/>
      <c r="L246" s="179"/>
      <c r="M246" s="179"/>
      <c r="N246" s="51"/>
      <c r="O246" s="227"/>
      <c r="P246" s="227"/>
      <c r="Q246" s="227"/>
      <c r="R246" s="51"/>
      <c r="S246" s="51"/>
      <c r="T246" s="51"/>
      <c r="U246" s="51"/>
      <c r="V246" s="51" t="str">
        <f>IF([1]C!G228="","",[1]C!G228)</f>
      </c>
      <c r="W246" s="51" t="str">
        <f>IF([1]Humus!G228="","",[1]Humus!G228)</f>
      </c>
      <c r="X246" s="51"/>
      <c r="Y246" s="63"/>
      <c r="Z246" s="51" t="str">
        <f>IF([1]Humus!AK228="","",[1]Humus!AK228)</f>
      </c>
      <c r="AA246" s="51" t="s">
        <v>456</v>
      </c>
      <c r="AF246" t="s">
        <v>763</v>
      </c>
    </row>
    <row r="247" ht="12.75" customHeight="1">
      <c r="A247" s="1" t="s">
        <v>118</v>
      </c>
      <c r="B247" s="178"/>
      <c r="C247" s="51"/>
      <c r="D247" s="178" t="s">
        <v>450</v>
      </c>
      <c r="E247" s="185"/>
      <c r="F247" s="179"/>
      <c r="G247" s="179"/>
      <c r="H247" s="180"/>
      <c r="I247" s="180"/>
      <c r="J247" s="178" t="s">
        <v>450</v>
      </c>
      <c r="K247" s="180"/>
      <c r="L247" s="179"/>
      <c r="M247" s="179"/>
      <c r="N247" s="51"/>
      <c r="O247" s="227"/>
      <c r="P247" s="227"/>
      <c r="Q247" s="227"/>
      <c r="R247" s="51"/>
      <c r="S247" s="51"/>
      <c r="T247" s="51"/>
      <c r="U247" s="51"/>
      <c r="V247" s="51" t="str">
        <f>IF([1]C!G229="","",[1]C!G229)</f>
      </c>
      <c r="W247" s="51" t="str">
        <f>IF([1]Humus!G229="","",[1]Humus!G229)</f>
      </c>
      <c r="X247" s="51"/>
      <c r="Y247" s="63"/>
      <c r="Z247" s="51" t="str">
        <f>IF([1]Humus!AK229="","",[1]Humus!AK229)</f>
      </c>
      <c r="AA247" s="51" t="s">
        <v>456</v>
      </c>
      <c r="AF247" t="s">
        <v>763</v>
      </c>
    </row>
    <row r="248" ht="12.75" customHeight="1">
      <c r="A248" s="1" t="s">
        <v>117</v>
      </c>
      <c r="B248" s="178"/>
      <c r="C248" s="51"/>
      <c r="D248" s="178" t="s">
        <v>450</v>
      </c>
      <c r="E248" s="185"/>
      <c r="F248" s="179"/>
      <c r="G248" s="179"/>
      <c r="H248" s="180"/>
      <c r="I248" s="180"/>
      <c r="J248" s="178" t="s">
        <v>450</v>
      </c>
      <c r="K248" s="180"/>
      <c r="L248" s="179"/>
      <c r="M248" s="179"/>
      <c r="N248" s="51"/>
      <c r="O248" s="227"/>
      <c r="P248" s="227"/>
      <c r="Q248" s="227"/>
      <c r="R248" s="51"/>
      <c r="S248" s="51"/>
      <c r="T248" s="51"/>
      <c r="U248" s="51"/>
      <c r="V248" s="51" t="str">
        <f>IF([1]C!G230="","",[1]C!G230)</f>
      </c>
      <c r="W248" s="51" t="str">
        <f>IF([1]Humus!G230="","",[1]Humus!G230)</f>
      </c>
      <c r="X248" s="51"/>
      <c r="Y248" s="63"/>
      <c r="Z248" s="51" t="str">
        <f>IF([1]Humus!AK230="","",[1]Humus!AK230)</f>
      </c>
      <c r="AA248" s="51" t="s">
        <v>456</v>
      </c>
      <c r="AF248" t="s">
        <v>763</v>
      </c>
    </row>
    <row r="249" ht="12.75" customHeight="1">
      <c r="A249" s="1" t="s">
        <v>116</v>
      </c>
      <c r="B249" s="178"/>
      <c r="C249" s="51"/>
      <c r="D249" s="178" t="s">
        <v>450</v>
      </c>
      <c r="E249" s="185"/>
      <c r="F249" s="179"/>
      <c r="G249" s="179"/>
      <c r="H249" s="180"/>
      <c r="I249" s="180"/>
      <c r="J249" s="178" t="s">
        <v>450</v>
      </c>
      <c r="K249" s="180"/>
      <c r="L249" s="179"/>
      <c r="M249" s="179"/>
      <c r="N249" s="51"/>
      <c r="O249" s="227"/>
      <c r="P249" s="227"/>
      <c r="Q249" s="227"/>
      <c r="R249" s="51"/>
      <c r="S249" s="51"/>
      <c r="T249" s="51"/>
      <c r="U249" s="51"/>
      <c r="V249" s="51" t="str">
        <f>IF([1]C!G231="","",[1]C!G231)</f>
      </c>
      <c r="W249" s="51" t="str">
        <f>IF([1]Humus!G231="","",[1]Humus!G231)</f>
      </c>
      <c r="X249" s="51"/>
      <c r="Y249" s="63"/>
      <c r="Z249" s="51" t="str">
        <f>IF([1]Humus!AK231="","",[1]Humus!AK231)</f>
      </c>
      <c r="AA249" s="51" t="s">
        <v>456</v>
      </c>
      <c r="AF249" t="s">
        <v>763</v>
      </c>
    </row>
    <row r="250" ht="12.75" customHeight="1">
      <c r="A250" s="1" t="s">
        <v>115</v>
      </c>
      <c r="B250" s="178"/>
      <c r="C250" s="51"/>
      <c r="D250" s="178" t="s">
        <v>450</v>
      </c>
      <c r="E250" s="185"/>
      <c r="F250" s="179"/>
      <c r="G250" s="179"/>
      <c r="H250" s="180"/>
      <c r="I250" s="180"/>
      <c r="J250" s="178" t="s">
        <v>450</v>
      </c>
      <c r="K250" s="180"/>
      <c r="L250" s="179"/>
      <c r="M250" s="179"/>
      <c r="N250" s="51"/>
      <c r="O250" s="227"/>
      <c r="P250" s="227"/>
      <c r="Q250" s="227"/>
      <c r="R250" s="51"/>
      <c r="S250" s="51"/>
      <c r="T250" s="51"/>
      <c r="U250" s="51"/>
      <c r="V250" s="51" t="str">
        <f>IF([1]C!G232="","",[1]C!G232)</f>
      </c>
      <c r="W250" s="51" t="str">
        <f>IF([1]Humus!G232="","",[1]Humus!G232)</f>
      </c>
      <c r="X250" s="51"/>
      <c r="Y250" s="63"/>
      <c r="Z250" s="51" t="str">
        <f>IF([1]Humus!AK232="","",[1]Humus!AK232)</f>
      </c>
      <c r="AA250" s="51" t="s">
        <v>456</v>
      </c>
      <c r="AF250" t="s">
        <v>763</v>
      </c>
    </row>
    <row r="251" ht="12.75" customHeight="1">
      <c r="A251" s="201" t="s">
        <v>114</v>
      </c>
      <c r="B251" s="202"/>
      <c r="C251" s="203"/>
      <c r="D251" s="204"/>
      <c r="E251" s="204"/>
      <c r="F251" s="205"/>
      <c r="G251" s="205"/>
      <c r="H251" s="206"/>
      <c r="I251" s="206"/>
      <c r="J251" s="206"/>
      <c r="K251" s="206"/>
      <c r="L251" s="206"/>
      <c r="M251" s="206"/>
      <c r="N251" s="206"/>
      <c r="O251" s="206"/>
      <c r="P251" s="206"/>
      <c r="Q251" s="206"/>
      <c r="R251" s="206"/>
      <c r="S251" s="206"/>
      <c r="T251" s="206"/>
      <c r="U251" s="206"/>
      <c r="V251" s="51" t="str">
        <f>IF([1]C!G233="","",[1]C!G233)</f>
      </c>
      <c r="W251" s="51" t="str">
        <f>IF([1]Humus!G233="","",[1]Humus!G233)</f>
      </c>
      <c r="X251" s="206"/>
      <c r="Y251" s="206"/>
      <c r="Z251" s="51" t="str">
        <f>IF([1]Humus!AK233="","",[1]Humus!AK233)</f>
      </c>
      <c r="AA251" s="51" t="s">
        <v>456</v>
      </c>
      <c r="AF251" t="s">
        <v>763</v>
      </c>
    </row>
    <row r="252" ht="12.75" customHeight="1">
      <c r="A252" s="1" t="s">
        <v>113</v>
      </c>
      <c r="B252" s="178"/>
      <c r="C252" s="51"/>
      <c r="D252" s="178" t="s">
        <v>450</v>
      </c>
      <c r="E252" s="185"/>
      <c r="F252" s="179"/>
      <c r="G252" s="179"/>
      <c r="H252" s="180"/>
      <c r="I252" s="180"/>
      <c r="J252" s="178" t="s">
        <v>450</v>
      </c>
      <c r="K252" s="180"/>
      <c r="L252" s="179"/>
      <c r="M252" s="179"/>
      <c r="N252" s="51"/>
      <c r="O252" s="227"/>
      <c r="P252" s="227"/>
      <c r="Q252" s="227"/>
      <c r="R252" s="51"/>
      <c r="S252" s="51"/>
      <c r="T252" s="51"/>
      <c r="U252" s="51"/>
      <c r="V252" s="51" t="str">
        <f>IF([1]C!G234="","",[1]C!G234)</f>
      </c>
      <c r="W252" s="51" t="str">
        <f>IF([1]Humus!G234="","",[1]Humus!G234)</f>
      </c>
      <c r="X252" s="51"/>
      <c r="Y252" s="63"/>
      <c r="Z252" s="51" t="str">
        <f>IF([1]Humus!AK234="","",[1]Humus!AK234)</f>
      </c>
      <c r="AA252" s="51" t="s">
        <v>456</v>
      </c>
      <c r="AF252" t="s">
        <v>763</v>
      </c>
    </row>
    <row r="253" ht="12.75" customHeight="1">
      <c r="A253" s="1" t="s">
        <v>96</v>
      </c>
      <c r="B253" s="178"/>
      <c r="C253" s="51"/>
      <c r="D253" s="178" t="s">
        <v>450</v>
      </c>
      <c r="E253" s="185"/>
      <c r="F253" s="179"/>
      <c r="G253" s="179"/>
      <c r="H253" s="180"/>
      <c r="I253" s="180"/>
      <c r="J253" s="178" t="s">
        <v>450</v>
      </c>
      <c r="K253" s="180"/>
      <c r="L253" s="179"/>
      <c r="M253" s="179"/>
      <c r="N253" s="51"/>
      <c r="O253" s="227"/>
      <c r="P253" s="227"/>
      <c r="Q253" s="227"/>
      <c r="R253" s="51"/>
      <c r="S253" s="51"/>
      <c r="T253" s="51"/>
      <c r="U253" s="51"/>
      <c r="V253" s="51" t="str">
        <f>IF([1]C!G235="","",[1]C!G235)</f>
      </c>
      <c r="W253" s="51" t="str">
        <f>IF([1]Humus!G235="","",[1]Humus!G235)</f>
      </c>
      <c r="X253" s="51"/>
      <c r="Y253" s="63"/>
      <c r="Z253" s="51" t="str">
        <f>IF([1]Humus!AK235="","",[1]Humus!AK235)</f>
      </c>
      <c r="AA253" s="51" t="s">
        <v>456</v>
      </c>
      <c r="AF253" t="s">
        <v>763</v>
      </c>
    </row>
    <row r="254" ht="12.75" customHeight="1">
      <c r="A254" s="1" t="str">
        <f>Coefs!B262</f>
        <v>Sugar beet pulp</v>
      </c>
      <c r="B254" s="178"/>
      <c r="C254" s="51"/>
      <c r="D254" s="178" t="s">
        <v>568</v>
      </c>
      <c r="E254" s="185"/>
      <c r="F254" s="179"/>
      <c r="G254" s="179"/>
      <c r="H254" s="180"/>
      <c r="I254" s="180"/>
      <c r="J254" s="178" t="s">
        <v>568</v>
      </c>
      <c r="K254" s="180"/>
      <c r="L254" s="179"/>
      <c r="M254" s="179"/>
      <c r="N254" s="51"/>
      <c r="O254" s="229"/>
      <c r="P254" s="229"/>
      <c r="Q254" s="229"/>
      <c r="R254" s="51"/>
      <c r="S254" s="51"/>
      <c r="T254" s="51"/>
      <c r="U254" s="51"/>
      <c r="V254" s="51"/>
      <c r="W254" s="51"/>
      <c r="X254" s="51"/>
      <c r="Y254" s="63"/>
      <c r="Z254" s="51"/>
      <c r="AA254" s="51"/>
      <c r="AF254" t="s">
        <v>763</v>
      </c>
    </row>
    <row r="255" ht="12.75" customHeight="1">
      <c r="A255" s="1" t="s">
        <v>112</v>
      </c>
      <c r="B255" s="178"/>
      <c r="C255" s="51"/>
      <c r="D255" s="178" t="s">
        <v>450</v>
      </c>
      <c r="E255" s="185"/>
      <c r="F255" s="179"/>
      <c r="G255" s="179"/>
      <c r="H255" s="180"/>
      <c r="I255" s="180"/>
      <c r="J255" s="180" t="e">
        <v>#N/A</v>
      </c>
      <c r="K255" s="180"/>
      <c r="L255" s="179"/>
      <c r="M255" s="179"/>
      <c r="N255" s="51"/>
      <c r="O255" s="227"/>
      <c r="P255" s="227"/>
      <c r="Q255" s="227"/>
      <c r="R255" s="51"/>
      <c r="S255" s="51"/>
      <c r="T255" s="51"/>
      <c r="U255" s="51"/>
      <c r="V255" s="51" t="str">
        <f>IF([1]C!G236="","",[1]C!G236)</f>
      </c>
      <c r="W255" s="51" t="str">
        <f>IF([1]Humus!G236="","",[1]Humus!G236)</f>
      </c>
      <c r="X255" s="51"/>
      <c r="Y255" s="63"/>
      <c r="Z255" s="51" t="str">
        <f>IF([1]Humus!AK236="","",[1]Humus!AK236)</f>
      </c>
      <c r="AA255" s="51" t="s">
        <v>456</v>
      </c>
      <c r="AF255" t="s">
        <v>763</v>
      </c>
    </row>
    <row r="256" ht="12.75" customHeight="1">
      <c r="A256" s="1" t="s">
        <v>111</v>
      </c>
      <c r="B256" s="178"/>
      <c r="C256" s="51"/>
      <c r="D256" s="178" t="s">
        <v>450</v>
      </c>
      <c r="E256" s="185"/>
      <c r="F256" s="179"/>
      <c r="G256" s="179"/>
      <c r="H256" s="180"/>
      <c r="I256" s="180"/>
      <c r="J256" s="178" t="s">
        <v>450</v>
      </c>
      <c r="K256" s="180"/>
      <c r="L256" s="179"/>
      <c r="M256" s="179"/>
      <c r="N256" s="51"/>
      <c r="O256" s="227"/>
      <c r="P256" s="227"/>
      <c r="Q256" s="227"/>
      <c r="R256" s="51"/>
      <c r="S256" s="51"/>
      <c r="T256" s="51"/>
      <c r="U256" s="51"/>
      <c r="V256" s="51" t="str">
        <f>IF([1]C!G237="","",[1]C!G237)</f>
      </c>
      <c r="W256" s="51" t="str">
        <f>IF([1]Humus!G237="","",[1]Humus!G237)</f>
      </c>
      <c r="X256" s="51"/>
      <c r="Y256" s="63"/>
      <c r="Z256" s="51" t="str">
        <f>IF([1]Humus!AK237="","",[1]Humus!AK237)</f>
      </c>
      <c r="AA256" s="51" t="s">
        <v>456</v>
      </c>
      <c r="AF256" t="s">
        <v>763</v>
      </c>
    </row>
    <row r="257" ht="12.75" customHeight="1">
      <c r="A257" s="1" t="s">
        <v>110</v>
      </c>
      <c r="B257" s="178"/>
      <c r="C257" s="51"/>
      <c r="D257" s="178" t="s">
        <v>450</v>
      </c>
      <c r="E257" s="185"/>
      <c r="F257" s="179"/>
      <c r="G257" s="179"/>
      <c r="H257" s="180"/>
      <c r="I257" s="180"/>
      <c r="J257" s="178" t="s">
        <v>450</v>
      </c>
      <c r="K257" s="180"/>
      <c r="L257" s="179"/>
      <c r="M257" s="179"/>
      <c r="N257" s="51"/>
      <c r="O257" s="227"/>
      <c r="P257" s="227"/>
      <c r="Q257" s="227"/>
      <c r="R257" s="51"/>
      <c r="S257" s="51"/>
      <c r="T257" s="51"/>
      <c r="U257" s="51"/>
      <c r="V257" s="51" t="str">
        <f>IF([1]C!G238="","",[1]C!G238)</f>
      </c>
      <c r="W257" s="51" t="str">
        <f>IF([1]Humus!G238="","",[1]Humus!G238)</f>
      </c>
      <c r="X257" s="51"/>
      <c r="Y257" s="63"/>
      <c r="Z257" s="51" t="str">
        <f>IF([1]Humus!AK238="","",[1]Humus!AK238)</f>
      </c>
      <c r="AA257" s="51" t="s">
        <v>456</v>
      </c>
      <c r="AF257" t="s">
        <v>763</v>
      </c>
    </row>
    <row r="258" ht="12.75" customHeight="1">
      <c r="A258" s="1" t="s">
        <v>109</v>
      </c>
      <c r="B258" s="178"/>
      <c r="C258" s="51"/>
      <c r="D258" s="178" t="s">
        <v>450</v>
      </c>
      <c r="E258" s="185"/>
      <c r="F258" s="179"/>
      <c r="G258" s="179"/>
      <c r="H258" s="180"/>
      <c r="I258" s="180"/>
      <c r="J258" s="178" t="s">
        <v>450</v>
      </c>
      <c r="K258" s="180"/>
      <c r="L258" s="179"/>
      <c r="M258" s="179"/>
      <c r="N258" s="51"/>
      <c r="O258" s="227"/>
      <c r="P258" s="227"/>
      <c r="Q258" s="227"/>
      <c r="R258" s="51"/>
      <c r="S258" s="51"/>
      <c r="T258" s="51"/>
      <c r="U258" s="51"/>
      <c r="V258" s="51" t="str">
        <f>IF([1]C!G239="","",[1]C!G239)</f>
      </c>
      <c r="W258" s="51" t="str">
        <f>IF([1]Humus!G239="","",[1]Humus!G239)</f>
      </c>
      <c r="X258" s="51"/>
      <c r="Y258" s="63"/>
      <c r="Z258" s="51" t="str">
        <f>IF([1]Humus!AK239="","",[1]Humus!AK239)</f>
      </c>
      <c r="AA258" s="51" t="s">
        <v>456</v>
      </c>
      <c r="AF258" t="s">
        <v>763</v>
      </c>
    </row>
    <row r="259" ht="12.75" customHeight="1">
      <c r="A259" s="1" t="s">
        <v>108</v>
      </c>
      <c r="B259" s="178"/>
      <c r="C259" s="51"/>
      <c r="D259" s="178" t="s">
        <v>450</v>
      </c>
      <c r="E259" s="185"/>
      <c r="F259" s="179"/>
      <c r="G259" s="179"/>
      <c r="H259" s="180"/>
      <c r="I259" s="180"/>
      <c r="J259" s="178" t="s">
        <v>450</v>
      </c>
      <c r="K259" s="180"/>
      <c r="L259" s="179"/>
      <c r="M259" s="179"/>
      <c r="N259" s="51"/>
      <c r="O259" s="227"/>
      <c r="P259" s="227"/>
      <c r="Q259" s="227"/>
      <c r="R259" s="51"/>
      <c r="S259" s="51"/>
      <c r="T259" s="51"/>
      <c r="U259" s="51"/>
      <c r="V259" s="51" t="str">
        <f>IF([1]C!G240="","",[1]C!G240)</f>
      </c>
      <c r="W259" s="51" t="str">
        <f>IF([1]Humus!G240="","",[1]Humus!G240)</f>
      </c>
      <c r="X259" s="51"/>
      <c r="Y259" s="63"/>
      <c r="Z259" s="51" t="str">
        <f>IF([1]Humus!AK240="","",[1]Humus!AK240)</f>
      </c>
      <c r="AA259" s="51" t="s">
        <v>456</v>
      </c>
      <c r="AF259" t="s">
        <v>763</v>
      </c>
    </row>
    <row r="260" ht="12.75" customHeight="1">
      <c r="A260" s="1" t="s">
        <v>107</v>
      </c>
      <c r="B260" s="178"/>
      <c r="C260" s="51"/>
      <c r="D260" s="178" t="s">
        <v>450</v>
      </c>
      <c r="E260" s="185"/>
      <c r="F260" s="179"/>
      <c r="G260" s="179"/>
      <c r="H260" s="180"/>
      <c r="I260" s="180"/>
      <c r="J260" s="180" t="e">
        <v>#N/A</v>
      </c>
      <c r="K260" s="180"/>
      <c r="L260" s="179"/>
      <c r="M260" s="179"/>
      <c r="N260" s="51"/>
      <c r="O260" s="227"/>
      <c r="P260" s="227"/>
      <c r="Q260" s="227"/>
      <c r="R260" s="51"/>
      <c r="S260" s="51"/>
      <c r="T260" s="51"/>
      <c r="U260" s="51"/>
      <c r="V260" s="51" t="str">
        <f>IF([1]C!G241="","",[1]C!G241)</f>
      </c>
      <c r="W260" s="51" t="str">
        <f>IF([1]Humus!G241="","",[1]Humus!G241)</f>
      </c>
      <c r="X260" s="51"/>
      <c r="Y260" s="63"/>
      <c r="Z260" s="51" t="str">
        <f>IF([1]Humus!AK241="","",[1]Humus!AK241)</f>
      </c>
      <c r="AA260" s="51" t="s">
        <v>456</v>
      </c>
      <c r="AF260" t="s">
        <v>763</v>
      </c>
    </row>
    <row r="261" ht="12.75" customHeight="1">
      <c r="A261" s="1" t="s">
        <v>106</v>
      </c>
      <c r="B261" s="178"/>
      <c r="C261" s="51"/>
      <c r="D261" s="178" t="s">
        <v>450</v>
      </c>
      <c r="E261" s="185"/>
      <c r="F261" s="179"/>
      <c r="G261" s="179"/>
      <c r="H261" s="180"/>
      <c r="I261" s="180"/>
      <c r="J261" s="178" t="s">
        <v>450</v>
      </c>
      <c r="K261" s="180"/>
      <c r="L261" s="179"/>
      <c r="M261" s="179"/>
      <c r="N261" s="51"/>
      <c r="O261" s="227"/>
      <c r="P261" s="227"/>
      <c r="Q261" s="227"/>
      <c r="R261" s="51"/>
      <c r="S261" s="51"/>
      <c r="T261" s="51"/>
      <c r="U261" s="51"/>
      <c r="V261" s="51" t="str">
        <f>IF([1]C!G242="","",[1]C!G242)</f>
      </c>
      <c r="W261" s="51" t="str">
        <f>IF([1]Humus!G242="","",[1]Humus!G242)</f>
      </c>
      <c r="X261" s="51"/>
      <c r="Y261" s="63"/>
      <c r="Z261" s="51" t="str">
        <f>IF([1]Humus!AK242="","",[1]Humus!AK242)</f>
      </c>
      <c r="AA261" s="51" t="s">
        <v>456</v>
      </c>
      <c r="AF261" t="s">
        <v>763</v>
      </c>
    </row>
    <row r="262" ht="12.75" customHeight="1">
      <c r="A262" s="1" t="s">
        <v>105</v>
      </c>
      <c r="B262" s="178"/>
      <c r="C262" s="51"/>
      <c r="D262" s="178" t="s">
        <v>450</v>
      </c>
      <c r="E262" s="185"/>
      <c r="F262" s="179"/>
      <c r="G262" s="179"/>
      <c r="H262" s="180"/>
      <c r="I262" s="180"/>
      <c r="J262" s="180" t="e">
        <v>#N/A</v>
      </c>
      <c r="K262" s="180"/>
      <c r="L262" s="179"/>
      <c r="M262" s="179"/>
      <c r="N262" s="51"/>
      <c r="O262" s="227"/>
      <c r="P262" s="227"/>
      <c r="Q262" s="227"/>
      <c r="R262" s="51"/>
      <c r="S262" s="51"/>
      <c r="T262" s="51"/>
      <c r="U262" s="51"/>
      <c r="V262" s="51" t="str">
        <f>IF([1]C!G243="","",[1]C!G243)</f>
      </c>
      <c r="W262" s="51" t="str">
        <f>IF([1]Humus!G243="","",[1]Humus!G243)</f>
      </c>
      <c r="X262" s="51"/>
      <c r="Y262" s="63"/>
      <c r="Z262" s="51" t="str">
        <f>IF([1]Humus!AK243="","",[1]Humus!AK243)</f>
      </c>
      <c r="AA262" s="51" t="s">
        <v>456</v>
      </c>
      <c r="AF262" t="s">
        <v>763</v>
      </c>
    </row>
    <row r="263" ht="12.75" customHeight="1">
      <c r="A263" s="1" t="s">
        <v>104</v>
      </c>
      <c r="B263" s="178"/>
      <c r="C263" s="51"/>
      <c r="D263" s="178" t="s">
        <v>450</v>
      </c>
      <c r="E263" s="185"/>
      <c r="F263" s="179"/>
      <c r="G263" s="179"/>
      <c r="H263" s="180"/>
      <c r="I263" s="180"/>
      <c r="J263" s="178" t="s">
        <v>450</v>
      </c>
      <c r="K263" s="180"/>
      <c r="L263" s="179"/>
      <c r="M263" s="179"/>
      <c r="N263" s="51"/>
      <c r="O263" s="227"/>
      <c r="P263" s="227"/>
      <c r="Q263" s="227"/>
      <c r="R263" s="51"/>
      <c r="S263" s="51"/>
      <c r="T263" s="51"/>
      <c r="U263" s="51"/>
      <c r="V263" s="51" t="str">
        <f>IF([1]C!G244="","",[1]C!G244)</f>
      </c>
      <c r="W263" s="51" t="str">
        <f>IF([1]Humus!G244="","",[1]Humus!G244)</f>
      </c>
      <c r="X263" s="51"/>
      <c r="Y263" s="63"/>
      <c r="Z263" s="51" t="str">
        <f>IF([1]Humus!AK244="","",[1]Humus!AK244)</f>
      </c>
      <c r="AA263" s="51" t="s">
        <v>456</v>
      </c>
      <c r="AF263" t="s">
        <v>763</v>
      </c>
    </row>
    <row r="264" ht="12.75" customHeight="1">
      <c r="A264" s="1" t="s">
        <v>103</v>
      </c>
      <c r="B264" s="178"/>
      <c r="C264" s="51"/>
      <c r="D264" s="178" t="s">
        <v>450</v>
      </c>
      <c r="E264" s="185"/>
      <c r="F264" s="179"/>
      <c r="G264" s="179"/>
      <c r="H264" s="180"/>
      <c r="I264" s="180"/>
      <c r="J264" s="180" t="e">
        <v>#N/A</v>
      </c>
      <c r="K264" s="180"/>
      <c r="L264" s="179"/>
      <c r="M264" s="179"/>
      <c r="N264" s="51"/>
      <c r="O264" s="227"/>
      <c r="P264" s="227"/>
      <c r="Q264" s="227"/>
      <c r="R264" s="51"/>
      <c r="S264" s="51"/>
      <c r="T264" s="51"/>
      <c r="U264" s="51"/>
      <c r="V264" s="51" t="str">
        <f>IF([1]C!G245="","",[1]C!G245)</f>
      </c>
      <c r="W264" s="51" t="str">
        <f>IF([1]Humus!G245="","",[1]Humus!G245)</f>
      </c>
      <c r="X264" s="51"/>
      <c r="Y264" s="63"/>
      <c r="Z264" s="51" t="str">
        <f>IF([1]Humus!AK245="","",[1]Humus!AK245)</f>
      </c>
      <c r="AA264" s="51" t="s">
        <v>456</v>
      </c>
      <c r="AF264" t="s">
        <v>763</v>
      </c>
    </row>
    <row r="265" ht="12.75" customHeight="1">
      <c r="A265" s="1" t="s">
        <v>102</v>
      </c>
      <c r="B265" s="178"/>
      <c r="C265" s="51"/>
      <c r="D265" s="178" t="s">
        <v>450</v>
      </c>
      <c r="E265" s="185"/>
      <c r="F265" s="179"/>
      <c r="G265" s="179"/>
      <c r="H265" s="180"/>
      <c r="I265" s="180"/>
      <c r="J265" s="178" t="s">
        <v>450</v>
      </c>
      <c r="K265" s="180"/>
      <c r="L265" s="179"/>
      <c r="M265" s="179"/>
      <c r="N265" s="51"/>
      <c r="O265" s="227"/>
      <c r="P265" s="227"/>
      <c r="Q265" s="227"/>
      <c r="R265" s="51"/>
      <c r="S265" s="51"/>
      <c r="T265" s="51"/>
      <c r="U265" s="51"/>
      <c r="V265" s="51" t="str">
        <f>IF([1]C!G246="","",[1]C!G246)</f>
      </c>
      <c r="W265" s="51" t="str">
        <f>IF([1]Humus!G246="","",[1]Humus!G246)</f>
      </c>
      <c r="X265" s="51"/>
      <c r="Y265" s="63"/>
      <c r="Z265" s="51" t="str">
        <f>IF([1]Humus!AK246="","",[1]Humus!AK246)</f>
      </c>
      <c r="AA265" s="51" t="s">
        <v>456</v>
      </c>
      <c r="AF265" t="s">
        <v>763</v>
      </c>
    </row>
    <row r="266" ht="12.75" customHeight="1">
      <c r="A266" s="1" t="s">
        <v>101</v>
      </c>
      <c r="B266" s="178"/>
      <c r="C266" s="51"/>
      <c r="D266" s="178" t="s">
        <v>450</v>
      </c>
      <c r="E266" s="185"/>
      <c r="F266" s="179"/>
      <c r="G266" s="179"/>
      <c r="H266" s="180"/>
      <c r="I266" s="180"/>
      <c r="J266" s="178" t="s">
        <v>450</v>
      </c>
      <c r="K266" s="180"/>
      <c r="L266" s="179"/>
      <c r="M266" s="179"/>
      <c r="N266" s="51"/>
      <c r="O266" s="227"/>
      <c r="P266" s="227"/>
      <c r="Q266" s="227"/>
      <c r="R266" s="51"/>
      <c r="S266" s="51"/>
      <c r="T266" s="51"/>
      <c r="U266" s="51"/>
      <c r="V266" s="51" t="str">
        <f>IF([1]C!G247="","",[1]C!G247)</f>
      </c>
      <c r="W266" s="51" t="str">
        <f>IF([1]Humus!G247="","",[1]Humus!G247)</f>
      </c>
      <c r="X266" s="51"/>
      <c r="Y266" s="63"/>
      <c r="Z266" s="51" t="str">
        <f>IF([1]Humus!AK247="","",[1]Humus!AK247)</f>
      </c>
      <c r="AA266" s="51" t="s">
        <v>456</v>
      </c>
      <c r="AF266" t="s">
        <v>763</v>
      </c>
    </row>
    <row r="267" ht="12.75" customHeight="1">
      <c r="A267" s="1" t="s">
        <v>100</v>
      </c>
      <c r="B267" s="178"/>
      <c r="C267" s="51"/>
      <c r="D267" s="178" t="s">
        <v>450</v>
      </c>
      <c r="E267" s="185"/>
      <c r="F267" s="179"/>
      <c r="G267" s="179"/>
      <c r="H267" s="180"/>
      <c r="I267" s="180"/>
      <c r="J267" s="178" t="s">
        <v>450</v>
      </c>
      <c r="K267" s="180"/>
      <c r="L267" s="179"/>
      <c r="M267" s="179"/>
      <c r="N267" s="51"/>
      <c r="O267" s="227"/>
      <c r="P267" s="227"/>
      <c r="Q267" s="227"/>
      <c r="R267" s="51"/>
      <c r="S267" s="51"/>
      <c r="T267" s="51"/>
      <c r="U267" s="51"/>
      <c r="V267" s="51" t="str">
        <f>IF([1]C!G248="","",[1]C!G248)</f>
      </c>
      <c r="W267" s="51" t="str">
        <f>IF([1]Humus!G248="","",[1]Humus!G248)</f>
      </c>
      <c r="X267" s="51"/>
      <c r="Y267" s="63"/>
      <c r="Z267" s="51" t="str">
        <f>IF([1]Humus!AK248="","",[1]Humus!AK248)</f>
      </c>
      <c r="AA267" s="51" t="s">
        <v>456</v>
      </c>
      <c r="AF267" t="s">
        <v>763</v>
      </c>
    </row>
    <row r="268" ht="12.75" customHeight="1">
      <c r="A268" s="1" t="s">
        <v>99</v>
      </c>
      <c r="B268" s="178"/>
      <c r="C268" s="51"/>
      <c r="D268" s="178" t="s">
        <v>450</v>
      </c>
      <c r="E268" s="185"/>
      <c r="F268" s="179"/>
      <c r="G268" s="179"/>
      <c r="H268" s="180"/>
      <c r="I268" s="180"/>
      <c r="J268" s="178" t="s">
        <v>450</v>
      </c>
      <c r="K268" s="180"/>
      <c r="L268" s="179"/>
      <c r="M268" s="179"/>
      <c r="N268" s="51"/>
      <c r="O268" s="227"/>
      <c r="P268" s="227"/>
      <c r="Q268" s="227"/>
      <c r="R268" s="51"/>
      <c r="S268" s="51"/>
      <c r="T268" s="51"/>
      <c r="U268" s="51"/>
      <c r="V268" s="51" t="str">
        <f>IF([1]C!G249="","",[1]C!G249)</f>
      </c>
      <c r="W268" s="51" t="str">
        <f>IF([1]Humus!G249="","",[1]Humus!G249)</f>
      </c>
      <c r="X268" s="51"/>
      <c r="Y268" s="63"/>
      <c r="Z268" s="51" t="str">
        <f>IF([1]Humus!AK249="","",[1]Humus!AK249)</f>
      </c>
      <c r="AA268" s="51" t="s">
        <v>456</v>
      </c>
      <c r="AF268" t="s">
        <v>763</v>
      </c>
    </row>
    <row r="269" ht="12.75" customHeight="1">
      <c r="A269" s="1" t="s">
        <v>98</v>
      </c>
      <c r="B269" s="178"/>
      <c r="C269" s="51"/>
      <c r="D269" s="178" t="s">
        <v>450</v>
      </c>
      <c r="E269" s="185"/>
      <c r="F269" s="179"/>
      <c r="G269" s="179"/>
      <c r="H269" s="182"/>
      <c r="I269" s="182"/>
      <c r="J269" s="182" t="n">
        <v>16.136432800000001</v>
      </c>
      <c r="K269" s="180"/>
      <c r="L269" s="179"/>
      <c r="M269" s="179"/>
      <c r="N269" s="51"/>
      <c r="O269" s="227"/>
      <c r="P269" s="227"/>
      <c r="Q269" s="227"/>
      <c r="R269" s="51"/>
      <c r="S269" s="51"/>
      <c r="T269" s="51"/>
      <c r="U269" s="51"/>
      <c r="V269" s="51" t="str">
        <f>IF([1]C!G250="","",[1]C!G250)</f>
      </c>
      <c r="W269" s="51" t="str">
        <f>IF([1]Humus!G250="","",[1]Humus!G250)</f>
      </c>
      <c r="X269" s="51"/>
      <c r="Y269" s="63"/>
      <c r="Z269" s="51" t="str">
        <f>IF([1]Humus!AK250="","",[1]Humus!AK250)</f>
      </c>
      <c r="AA269" s="51" t="s">
        <v>456</v>
      </c>
      <c r="AC269" s="5"/>
      <c r="AF269" t="s">
        <v>763</v>
      </c>
      <c r="AG269" s="5" t="s">
        <v>96</v>
      </c>
    </row>
    <row r="270" ht="12.75" customHeight="1">
      <c r="A270" s="1" t="s">
        <v>95</v>
      </c>
      <c r="B270" s="178"/>
      <c r="C270" s="51"/>
      <c r="D270" s="178"/>
      <c r="E270" s="185"/>
      <c r="F270" s="179"/>
      <c r="G270" s="179"/>
      <c r="H270" s="182"/>
      <c r="I270" s="182"/>
      <c r="J270" s="182"/>
      <c r="K270" s="180"/>
      <c r="L270" s="179"/>
      <c r="M270" s="179"/>
      <c r="N270" s="51"/>
      <c r="O270" s="227"/>
      <c r="P270" s="227"/>
      <c r="Q270" s="227"/>
      <c r="R270" s="51"/>
      <c r="S270" s="51"/>
      <c r="T270" s="51"/>
      <c r="U270" s="51"/>
      <c r="V270" s="51"/>
      <c r="W270" s="51"/>
      <c r="X270" s="51"/>
      <c r="Y270" s="63"/>
      <c r="Z270" s="51"/>
      <c r="AA270" s="51" t="s">
        <v>456</v>
      </c>
      <c r="AF270" t="s">
        <v>763</v>
      </c>
    </row>
    <row r="271" ht="12.75" customHeight="1">
      <c r="A271" s="1" t="s">
        <v>94</v>
      </c>
      <c r="B271" s="178"/>
      <c r="C271" s="51"/>
      <c r="D271" s="178" t="s">
        <v>450</v>
      </c>
      <c r="E271" s="185"/>
      <c r="F271" s="179"/>
      <c r="G271" s="179"/>
      <c r="H271" s="180"/>
      <c r="I271" s="180"/>
      <c r="J271" s="178" t="s">
        <v>450</v>
      </c>
      <c r="K271" s="180"/>
      <c r="L271" s="179"/>
      <c r="M271" s="179"/>
      <c r="N271" s="51"/>
      <c r="O271" s="227"/>
      <c r="P271" s="227"/>
      <c r="Q271" s="227"/>
      <c r="R271" s="51"/>
      <c r="S271" s="51"/>
      <c r="T271" s="51"/>
      <c r="U271" s="51"/>
      <c r="V271" s="51" t="str">
        <f>IF([1]C!G252="","",[1]C!G252)</f>
      </c>
      <c r="W271" s="51" t="str">
        <f>IF([1]Humus!G252="","",[1]Humus!G252)</f>
      </c>
      <c r="X271" s="51"/>
      <c r="Y271" s="63"/>
      <c r="Z271" s="51" t="str">
        <f>IF([1]Humus!AK252="","",[1]Humus!AK252)</f>
      </c>
      <c r="AA271" s="51" t="s">
        <v>456</v>
      </c>
      <c r="AF271" t="s">
        <v>763</v>
      </c>
    </row>
    <row r="272" ht="12.75" customHeight="1">
      <c r="A272" s="1" t="s">
        <v>93</v>
      </c>
      <c r="B272" s="178"/>
      <c r="C272" s="51"/>
      <c r="D272" s="178" t="s">
        <v>450</v>
      </c>
      <c r="E272" s="185"/>
      <c r="F272" s="179"/>
      <c r="G272" s="179"/>
      <c r="H272" s="180"/>
      <c r="I272" s="180"/>
      <c r="J272" s="180" t="e">
        <v>#N/A</v>
      </c>
      <c r="K272" s="180"/>
      <c r="L272" s="179"/>
      <c r="M272" s="179"/>
      <c r="N272" s="51"/>
      <c r="O272" s="227"/>
      <c r="P272" s="227"/>
      <c r="Q272" s="227"/>
      <c r="R272" s="51"/>
      <c r="S272" s="51"/>
      <c r="T272" s="51"/>
      <c r="U272" s="51"/>
      <c r="V272" s="51" t="str">
        <f>IF([1]C!G253="","",[1]C!G253)</f>
      </c>
      <c r="W272" s="51" t="str">
        <f>IF([1]Humus!G253="","",[1]Humus!G253)</f>
      </c>
      <c r="X272" s="51"/>
      <c r="Y272" s="63"/>
      <c r="Z272" s="51" t="str">
        <f>IF([1]Humus!AK253="","",[1]Humus!AK253)</f>
      </c>
      <c r="AA272" s="51" t="s">
        <v>456</v>
      </c>
      <c r="AF272" t="s">
        <v>763</v>
      </c>
    </row>
    <row r="273" ht="12.75" customHeight="1">
      <c r="A273" s="1" t="str">
        <f>[1]All!B254</f>
        <v>Brewers grains</v>
      </c>
      <c r="B273" s="178"/>
      <c r="C273" s="51"/>
      <c r="D273" s="178" t="s">
        <v>450</v>
      </c>
      <c r="E273" s="185"/>
      <c r="F273" s="179"/>
      <c r="G273" s="179"/>
      <c r="H273" s="180"/>
      <c r="I273" s="180"/>
      <c r="J273" s="180" t="e">
        <v>#N/A</v>
      </c>
      <c r="K273" s="180"/>
      <c r="L273" s="179"/>
      <c r="M273" s="179"/>
      <c r="N273" s="51"/>
      <c r="O273" s="228"/>
      <c r="P273" s="228"/>
      <c r="Q273" s="228"/>
      <c r="R273" s="51"/>
      <c r="S273" s="51"/>
      <c r="T273" s="51"/>
      <c r="U273" s="51"/>
      <c r="V273" s="51" t="str">
        <f>IF([1]C!G254="","",[1]C!G254)</f>
      </c>
      <c r="W273" s="51" t="str">
        <f>IF([1]Humus!G254="","",[1]Humus!G254)</f>
      </c>
      <c r="X273" s="51"/>
      <c r="Y273" s="63"/>
      <c r="Z273" s="51" t="str">
        <f>IF([1]Humus!AK254="","",[1]Humus!AK254)</f>
      </c>
      <c r="AA273" s="51" t="s">
        <v>456</v>
      </c>
      <c r="AF273" t="s">
        <v>763</v>
      </c>
    </row>
    <row r="274" ht="12.75" customHeight="1">
      <c r="A274" s="1" t="str">
        <f>[1]All!B255</f>
        <v>DDGS Barley</v>
      </c>
      <c r="B274" s="178"/>
      <c r="C274" s="51"/>
      <c r="D274" s="178" t="s">
        <v>452</v>
      </c>
      <c r="E274" s="185"/>
      <c r="F274" s="179"/>
      <c r="G274" s="179"/>
      <c r="H274" s="180"/>
      <c r="I274" s="180"/>
      <c r="J274" s="180"/>
      <c r="K274" s="180"/>
      <c r="L274" s="179"/>
      <c r="M274" s="179"/>
      <c r="N274" s="51"/>
      <c r="O274" s="227"/>
      <c r="P274" s="227"/>
      <c r="Q274" s="227"/>
      <c r="R274" s="51"/>
      <c r="S274" s="51"/>
      <c r="T274" s="51"/>
      <c r="U274" s="51"/>
      <c r="V274" s="51" t="str">
        <f>IF([1]C!G255="","",[1]C!G255)</f>
      </c>
      <c r="W274" s="51" t="str">
        <f>IF([1]Humus!G255="","",[1]Humus!G255)</f>
      </c>
      <c r="X274" s="51"/>
      <c r="Y274" s="63"/>
      <c r="Z274" s="51" t="str">
        <f>IF([1]Humus!AK255="","",[1]Humus!AK255)</f>
      </c>
      <c r="AA274" s="51" t="s">
        <v>456</v>
      </c>
      <c r="AF274" t="s">
        <v>763</v>
      </c>
    </row>
    <row r="275" ht="12.75" customHeight="1">
      <c r="A275" s="1" t="str">
        <f>[1]All!B256</f>
        <v>DDGS Maize</v>
      </c>
      <c r="B275" s="178"/>
      <c r="C275" s="51"/>
      <c r="D275" s="178" t="s">
        <v>452</v>
      </c>
      <c r="E275" s="185"/>
      <c r="F275" s="179"/>
      <c r="G275" s="179"/>
      <c r="H275" s="180"/>
      <c r="I275" s="180"/>
      <c r="J275" s="180"/>
      <c r="K275" s="180"/>
      <c r="L275" s="179"/>
      <c r="M275" s="179"/>
      <c r="N275" s="51"/>
      <c r="O275" s="227"/>
      <c r="P275" s="227"/>
      <c r="Q275" s="227"/>
      <c r="R275" s="51"/>
      <c r="S275" s="51"/>
      <c r="T275" s="51"/>
      <c r="U275" s="51"/>
      <c r="V275" s="51" t="str">
        <f>IF([1]C!G256="","",[1]C!G256)</f>
      </c>
      <c r="W275" s="51" t="str">
        <f>IF([1]Humus!G256="","",[1]Humus!G256)</f>
      </c>
      <c r="X275" s="51"/>
      <c r="Y275" s="63"/>
      <c r="Z275" s="51" t="str">
        <f>IF([1]Humus!AK256="","",[1]Humus!AK256)</f>
      </c>
      <c r="AA275" s="51" t="s">
        <v>456</v>
      </c>
      <c r="AF275" t="s">
        <v>763</v>
      </c>
    </row>
    <row r="276" ht="12.75" customHeight="1">
      <c r="A276" s="1" t="str">
        <f>[1]All!B257</f>
        <v>DDGS Sorghum</v>
      </c>
      <c r="B276" s="178"/>
      <c r="C276" s="51"/>
      <c r="D276" s="178" t="s">
        <v>452</v>
      </c>
      <c r="E276" s="185"/>
      <c r="F276" s="179"/>
      <c r="G276" s="179"/>
      <c r="H276" s="180"/>
      <c r="I276" s="180"/>
      <c r="J276" s="180"/>
      <c r="K276" s="180"/>
      <c r="L276" s="179"/>
      <c r="M276" s="179"/>
      <c r="N276" s="51"/>
      <c r="O276" s="227"/>
      <c r="P276" s="227"/>
      <c r="Q276" s="227"/>
      <c r="R276" s="51"/>
      <c r="S276" s="51"/>
      <c r="T276" s="51"/>
      <c r="U276" s="51"/>
      <c r="V276" s="51" t="str">
        <f>IF([1]C!G257="","",[1]C!G257)</f>
      </c>
      <c r="W276" s="51" t="str">
        <f>IF([1]Humus!G257="","",[1]Humus!G257)</f>
      </c>
      <c r="X276" s="51"/>
      <c r="Y276" s="63"/>
      <c r="Z276" s="51" t="str">
        <f>IF([1]Humus!AK257="","",[1]Humus!AK257)</f>
      </c>
      <c r="AA276" s="51" t="s">
        <v>456</v>
      </c>
      <c r="AF276" t="s">
        <v>763</v>
      </c>
    </row>
    <row r="277" ht="12.75" customHeight="1">
      <c r="A277" s="1" t="str">
        <f>[1]All!B258</f>
        <v>DDGS Wheat</v>
      </c>
      <c r="B277" s="178"/>
      <c r="C277" s="51"/>
      <c r="D277" s="178" t="s">
        <v>452</v>
      </c>
      <c r="E277" s="185"/>
      <c r="F277" s="179"/>
      <c r="G277" s="179"/>
      <c r="H277" s="180"/>
      <c r="I277" s="180"/>
      <c r="J277" s="180"/>
      <c r="K277" s="180"/>
      <c r="L277" s="179"/>
      <c r="M277" s="179"/>
      <c r="N277" s="51"/>
      <c r="O277" s="227"/>
      <c r="P277" s="227"/>
      <c r="Q277" s="227"/>
      <c r="R277" s="51"/>
      <c r="S277" s="51"/>
      <c r="T277" s="51"/>
      <c r="U277" s="51"/>
      <c r="V277" s="51" t="str">
        <f>IF([1]C!G258="","",[1]C!G258)</f>
      </c>
      <c r="W277" s="51" t="str">
        <f>IF([1]Humus!G258="","",[1]Humus!G258)</f>
      </c>
      <c r="X277" s="51"/>
      <c r="Y277" s="63"/>
      <c r="Z277" s="51" t="str">
        <f>IF([1]Humus!AK258="","",[1]Humus!AK258)</f>
      </c>
      <c r="AA277" s="51" t="s">
        <v>456</v>
      </c>
      <c r="AF277" t="s">
        <v>763</v>
      </c>
    </row>
    <row r="278" ht="12.75" customHeight="1">
      <c r="A278" s="1" t="str">
        <f>[1]All!B259</f>
        <v>Citrus pulp</v>
      </c>
      <c r="B278" s="178"/>
      <c r="C278" s="51"/>
      <c r="D278" s="178" t="s">
        <v>450</v>
      </c>
      <c r="E278" s="185"/>
      <c r="F278" s="179"/>
      <c r="G278" s="179"/>
      <c r="H278" s="180"/>
      <c r="I278" s="180"/>
      <c r="J278" s="180" t="e">
        <v>#N/A</v>
      </c>
      <c r="K278" s="180"/>
      <c r="L278" s="179"/>
      <c r="M278" s="179"/>
      <c r="N278" s="51"/>
      <c r="O278" s="227"/>
      <c r="P278" s="227"/>
      <c r="Q278" s="227"/>
      <c r="R278" s="51"/>
      <c r="S278" s="51"/>
      <c r="T278" s="51"/>
      <c r="U278" s="51"/>
      <c r="V278" s="51" t="str">
        <f>IF([1]C!G259="","",[1]C!G259)</f>
      </c>
      <c r="W278" s="51" t="str">
        <f>IF([1]Humus!G259="","",[1]Humus!G259)</f>
      </c>
      <c r="X278" s="51"/>
      <c r="Y278" s="63"/>
      <c r="Z278" s="51" t="str">
        <f>IF([1]Humus!AK259="","",[1]Humus!AK259)</f>
      </c>
      <c r="AA278" s="51" t="s">
        <v>456</v>
      </c>
      <c r="AF278" t="s">
        <v>763</v>
      </c>
    </row>
    <row r="279" ht="12.75" customHeight="1">
      <c r="A279" s="1" t="str">
        <f>[1]All!B260</f>
        <v>Grape pulp</v>
      </c>
      <c r="B279" s="178"/>
      <c r="C279" s="51"/>
      <c r="D279" s="178" t="s">
        <v>452</v>
      </c>
      <c r="E279" s="185"/>
      <c r="F279" s="179"/>
      <c r="G279" s="179"/>
      <c r="H279" s="180"/>
      <c r="I279" s="180"/>
      <c r="J279" s="180"/>
      <c r="K279" s="180"/>
      <c r="L279" s="179"/>
      <c r="M279" s="179"/>
      <c r="N279" s="51"/>
      <c r="O279" s="227"/>
      <c r="P279" s="227"/>
      <c r="Q279" s="227"/>
      <c r="R279" s="51"/>
      <c r="S279" s="51"/>
      <c r="T279" s="51"/>
      <c r="U279" s="51"/>
      <c r="V279" s="51" t="str">
        <f>IF([1]C!G260="","",[1]C!G260)</f>
      </c>
      <c r="W279" s="51" t="str">
        <f>IF([1]Humus!G260="","",[1]Humus!G260)</f>
      </c>
      <c r="X279" s="51"/>
      <c r="Y279" s="63"/>
      <c r="Z279" s="51" t="str">
        <f>IF([1]Humus!AK260="","",[1]Humus!AK260)</f>
      </c>
      <c r="AA279" s="51" t="s">
        <v>456</v>
      </c>
      <c r="AF279" t="s">
        <v>763</v>
      </c>
    </row>
    <row r="280" ht="12.75" customHeight="1">
      <c r="A280" s="1" t="str">
        <f>[1]All!B261</f>
        <v>Olive mill waste</v>
      </c>
      <c r="B280" s="178"/>
      <c r="C280" s="51"/>
      <c r="D280" s="178" t="s">
        <v>452</v>
      </c>
      <c r="E280" s="185"/>
      <c r="F280" s="179"/>
      <c r="G280" s="179"/>
      <c r="H280" s="180"/>
      <c r="I280" s="180"/>
      <c r="J280" s="180"/>
      <c r="K280" s="180"/>
      <c r="L280" s="179"/>
      <c r="M280" s="179"/>
      <c r="N280" s="51"/>
      <c r="O280" s="227"/>
      <c r="P280" s="227"/>
      <c r="Q280" s="227"/>
      <c r="R280" s="51"/>
      <c r="S280" s="51"/>
      <c r="T280" s="51"/>
      <c r="U280" s="51"/>
      <c r="V280" s="51" t="str">
        <f>IF([1]C!G261="","",[1]C!G261)</f>
      </c>
      <c r="W280" s="51" t="str">
        <f>IF([1]Humus!G261="","",[1]Humus!G261)</f>
      </c>
      <c r="X280" s="51"/>
      <c r="Y280" s="63"/>
      <c r="Z280" s="51" t="str">
        <f>IF([1]Humus!AK261="","",[1]Humus!AK261)</f>
      </c>
      <c r="AA280" s="51" t="s">
        <v>456</v>
      </c>
      <c r="AF280" t="s">
        <v>763</v>
      </c>
    </row>
    <row r="281" ht="12.75" customHeight="1">
      <c r="A281" s="1" t="str">
        <f>[1]All!B262</f>
        <v>Wine industry waste</v>
      </c>
      <c r="B281" s="178"/>
      <c r="C281" s="51"/>
      <c r="D281" s="178" t="s">
        <v>452</v>
      </c>
      <c r="E281" s="185"/>
      <c r="F281" s="179"/>
      <c r="G281" s="179"/>
      <c r="H281" s="180"/>
      <c r="I281" s="180"/>
      <c r="J281" s="180"/>
      <c r="K281" s="180"/>
      <c r="L281" s="179"/>
      <c r="M281" s="179"/>
      <c r="N281" s="51"/>
      <c r="O281" s="227"/>
      <c r="P281" s="227"/>
      <c r="Q281" s="227"/>
      <c r="R281" s="51"/>
      <c r="S281" s="51"/>
      <c r="T281" s="51"/>
      <c r="U281" s="51"/>
      <c r="V281" s="51" t="str">
        <f>IF([1]C!G262="","",[1]C!G262)</f>
        <v>Delas and Molot (1983)</v>
      </c>
      <c r="W281" s="51" t="str">
        <f>IF([1]Humus!G262="","",[1]Humus!G262)</f>
        <v>Delas and Molot (1983)</v>
      </c>
      <c r="X281" s="51"/>
      <c r="Y281" s="63"/>
      <c r="Z281" s="51" t="str">
        <f>IF([1]Humus!AK262="","",[1]Humus!AK262)</f>
      </c>
      <c r="AA281" s="51" t="s">
        <v>456</v>
      </c>
      <c r="AF281" t="s">
        <v>763</v>
      </c>
    </row>
    <row r="282" ht="12.75" customHeight="1">
      <c r="A282" s="1" t="str">
        <f>[1]All!B263</f>
        <v>Olive leaves</v>
      </c>
      <c r="B282" s="178"/>
      <c r="C282" s="51"/>
      <c r="D282" s="178" t="s">
        <v>452</v>
      </c>
      <c r="E282" s="185"/>
      <c r="F282" s="179"/>
      <c r="G282" s="179"/>
      <c r="H282" s="180"/>
      <c r="I282" s="180"/>
      <c r="J282" s="180"/>
      <c r="K282" s="180"/>
      <c r="L282" s="179"/>
      <c r="M282" s="179"/>
      <c r="N282" s="51"/>
      <c r="O282" s="227"/>
      <c r="P282" s="227"/>
      <c r="Q282" s="227"/>
      <c r="R282" s="51"/>
      <c r="S282" s="51"/>
      <c r="T282" s="51"/>
      <c r="U282" s="51"/>
      <c r="V282" s="51" t="str">
        <f>IF([1]C!G263="","",[1]C!G263)</f>
      </c>
      <c r="W282" s="51" t="str">
        <f>IF([1]Humus!G263="","",[1]Humus!G263)</f>
      </c>
      <c r="X282" s="51"/>
      <c r="Y282" s="63"/>
      <c r="Z282" s="51" t="str">
        <f>IF([1]Humus!AK263="","",[1]Humus!AK263)</f>
      </c>
      <c r="AA282" s="51" t="s">
        <v>456</v>
      </c>
      <c r="AF282" t="s">
        <v>763</v>
      </c>
    </row>
    <row r="283" ht="12.75" customHeight="1">
      <c r="A283" s="1" t="s">
        <v>82</v>
      </c>
      <c r="B283" s="180"/>
      <c r="C283" s="180"/>
      <c r="D283" s="178" t="s">
        <v>450</v>
      </c>
      <c r="E283" s="185"/>
      <c r="F283" s="180"/>
      <c r="G283" s="180"/>
      <c r="H283" s="180"/>
      <c r="I283" s="180"/>
      <c r="J283" s="178" t="s">
        <v>450</v>
      </c>
      <c r="K283" s="180"/>
      <c r="L283" s="179"/>
      <c r="M283" s="179"/>
      <c r="N283" s="51"/>
      <c r="O283" s="228"/>
      <c r="P283" s="228"/>
      <c r="Q283" s="228"/>
      <c r="R283" s="51"/>
      <c r="S283" s="51"/>
      <c r="T283" s="51"/>
      <c r="U283" s="51"/>
      <c r="V283" s="51" t="str">
        <f>IF([1]C!G264="","",[1]C!G264)</f>
      </c>
      <c r="W283" s="51" t="str">
        <f>IF([1]Humus!G264="","",[1]Humus!G264)</f>
      </c>
      <c r="X283" s="51"/>
      <c r="Y283" s="63"/>
      <c r="Z283" s="51" t="str">
        <f>IF([1]Humus!AK264="","",[1]Humus!AK264)</f>
      </c>
      <c r="AA283" s="51" t="s">
        <v>456</v>
      </c>
      <c r="AF283" t="s">
        <v>763</v>
      </c>
    </row>
    <row r="284" ht="12.75" customHeight="1">
      <c r="A284" s="207" t="s">
        <v>80</v>
      </c>
      <c r="B284" s="208"/>
      <c r="C284" s="209"/>
      <c r="D284" s="210"/>
      <c r="E284" s="210"/>
      <c r="F284" s="211"/>
      <c r="G284" s="211"/>
      <c r="H284" s="212"/>
      <c r="I284" s="212"/>
      <c r="J284" s="212"/>
      <c r="K284" s="212"/>
      <c r="L284" s="212"/>
      <c r="M284" s="212"/>
      <c r="N284" s="212"/>
      <c r="O284" s="212"/>
      <c r="P284" s="212"/>
      <c r="Q284" s="212"/>
      <c r="R284" s="212"/>
      <c r="S284" s="212"/>
      <c r="T284" s="212"/>
      <c r="U284" s="212"/>
      <c r="V284" s="51" t="str">
        <f>IF([1]C!G265="","",[1]C!G265)</f>
      </c>
      <c r="W284" s="51" t="str">
        <f>IF([1]Humus!G265="","",[1]Humus!G265)</f>
      </c>
      <c r="X284" s="212"/>
      <c r="Y284" s="212"/>
      <c r="Z284" s="51" t="str">
        <f>IF([1]Humus!AK265="","",[1]Humus!AK265)</f>
      </c>
      <c r="AA284" s="51" t="s">
        <v>456</v>
      </c>
      <c r="AF284" t="s">
        <v>763</v>
      </c>
    </row>
    <row r="285" ht="12.75" customHeight="1">
      <c r="A285" s="81" t="s">
        <v>79</v>
      </c>
      <c r="B285" s="27"/>
      <c r="C285" s="13"/>
      <c r="D285" s="46"/>
      <c r="E285" s="46"/>
      <c r="F285" s="70"/>
      <c r="G285" s="70"/>
      <c r="H285" s="24"/>
      <c r="I285" s="24"/>
      <c r="J285" s="24"/>
      <c r="K285" s="24"/>
      <c r="L285" s="70"/>
      <c r="M285" s="70"/>
      <c r="N285" s="13"/>
      <c r="O285" s="226"/>
      <c r="P285" s="226"/>
      <c r="Q285" s="226"/>
      <c r="R285" s="13"/>
      <c r="S285" s="13"/>
      <c r="T285" s="13"/>
      <c r="U285" s="13"/>
      <c r="V285" s="51" t="str">
        <f>IF([1]C!G266="","",[1]C!G266)</f>
      </c>
      <c r="W285" s="51" t="str">
        <f>IF([1]Humus!G266="","",[1]Humus!G266)</f>
      </c>
      <c r="X285" s="13"/>
      <c r="Y285" s="13"/>
      <c r="Z285" s="51" t="str">
        <f>IF([1]Humus!AK266="","",[1]Humus!AK266)</f>
      </c>
      <c r="AA285" s="51" t="s">
        <v>456</v>
      </c>
      <c r="AF285" t="s">
        <v>763</v>
      </c>
    </row>
    <row r="286" ht="12.75" customHeight="1">
      <c r="A286" s="1" t="str">
        <f>Coefs!B295</f>
        <v>Cow milk</v>
      </c>
      <c r="B286" s="178"/>
      <c r="C286" s="51"/>
      <c r="D286" s="178" t="s">
        <v>450</v>
      </c>
      <c r="E286" s="185"/>
      <c r="F286" s="179"/>
      <c r="G286" s="179"/>
      <c r="H286" s="180"/>
      <c r="I286" s="180"/>
      <c r="J286" s="178" t="s">
        <v>450</v>
      </c>
      <c r="K286" s="180"/>
      <c r="L286" s="179"/>
      <c r="M286" s="179"/>
      <c r="N286" s="51"/>
      <c r="O286" s="227"/>
      <c r="P286" s="227"/>
      <c r="Q286" s="227"/>
      <c r="R286" s="51"/>
      <c r="S286" s="51"/>
      <c r="T286" s="51"/>
      <c r="U286" s="51"/>
      <c r="V286" s="51" t="str">
        <f>IF([1]C!G267="","",[1]C!G267)</f>
      </c>
      <c r="W286" s="51" t="str">
        <f>IF([1]Humus!G267="","",[1]Humus!G267)</f>
      </c>
      <c r="X286" s="51"/>
      <c r="Y286" s="63"/>
      <c r="Z286" s="51" t="str">
        <f>IF([1]Humus!AK267="","",[1]Humus!AK267)</f>
      </c>
      <c r="AA286" s="51" t="s">
        <v>456</v>
      </c>
      <c r="AF286" t="s">
        <v>763</v>
      </c>
    </row>
    <row r="287" ht="12.75" customHeight="1">
      <c r="A287" s="1" t="str">
        <f>Coefs!B296</f>
        <v>Goat milk</v>
      </c>
      <c r="B287" s="178"/>
      <c r="C287" s="51"/>
      <c r="D287" s="185" t="e">
        <v>#N/A</v>
      </c>
      <c r="E287" s="185"/>
      <c r="F287" s="179"/>
      <c r="G287" s="179"/>
      <c r="H287" s="180"/>
      <c r="I287" s="180"/>
      <c r="J287" s="180" t="e">
        <v>#N/A</v>
      </c>
      <c r="K287" s="180"/>
      <c r="L287" s="179"/>
      <c r="M287" s="179"/>
      <c r="N287" s="51"/>
      <c r="O287" s="227"/>
      <c r="P287" s="227"/>
      <c r="Q287" s="227"/>
      <c r="R287" s="51"/>
      <c r="S287" s="51"/>
      <c r="T287" s="51"/>
      <c r="U287" s="51"/>
      <c r="V287" s="51" t="str">
        <f>IF([1]C!G268="","",[1]C!G268)</f>
      </c>
      <c r="W287" s="51" t="str">
        <f>IF([1]Humus!G268="","",[1]Humus!G268)</f>
      </c>
      <c r="X287" s="51"/>
      <c r="Y287" s="63"/>
      <c r="Z287" s="51" t="str">
        <f>IF([1]Humus!AK268="","",[1]Humus!AK268)</f>
      </c>
      <c r="AA287" s="51" t="s">
        <v>456</v>
      </c>
      <c r="AF287" t="s">
        <v>763</v>
      </c>
    </row>
    <row r="288" ht="12.75" customHeight="1">
      <c r="A288" s="1" t="str">
        <f>Coefs!B297</f>
        <v>Sheep milk</v>
      </c>
      <c r="B288" s="178"/>
      <c r="C288" s="51"/>
      <c r="D288" s="185"/>
      <c r="E288" s="185"/>
      <c r="F288" s="179"/>
      <c r="G288" s="179"/>
      <c r="H288" s="180"/>
      <c r="I288" s="180"/>
      <c r="J288" s="180"/>
      <c r="K288" s="180"/>
      <c r="L288" s="179"/>
      <c r="M288" s="179"/>
      <c r="N288" s="51"/>
      <c r="O288" s="227"/>
      <c r="P288" s="227"/>
      <c r="Q288" s="227"/>
      <c r="R288" s="51"/>
      <c r="S288" s="51"/>
      <c r="T288" s="51"/>
      <c r="U288" s="51"/>
      <c r="V288" s="51"/>
      <c r="W288" s="51"/>
      <c r="X288" s="51"/>
      <c r="Y288" s="63"/>
      <c r="Z288" s="51"/>
      <c r="AA288" s="51"/>
    </row>
    <row r="289" ht="12.75" customHeight="1">
      <c r="A289" s="1" t="s">
        <v>536</v>
      </c>
      <c r="B289" s="178"/>
      <c r="C289" s="51"/>
      <c r="D289" s="178" t="s">
        <v>450</v>
      </c>
      <c r="E289" s="190"/>
      <c r="F289" s="197"/>
      <c r="G289" s="197"/>
      <c r="H289" s="197"/>
      <c r="I289" s="197"/>
      <c r="J289" s="197" t="n">
        <v>31.338160018050779</v>
      </c>
      <c r="K289" s="197"/>
      <c r="L289" s="181"/>
      <c r="M289" s="179"/>
      <c r="N289" s="51"/>
      <c r="O289" s="227"/>
      <c r="P289" s="227"/>
      <c r="Q289" s="227"/>
      <c r="R289" s="51"/>
      <c r="S289" s="51"/>
      <c r="T289" s="51"/>
      <c r="U289" s="51"/>
      <c r="V289" s="51" t="str">
        <f>IF([1]C!G269="","",[1]C!G269)</f>
      </c>
      <c r="W289" s="51" t="str">
        <f>IF([1]Humus!G269="","",[1]Humus!G269)</f>
      </c>
      <c r="X289" s="51"/>
      <c r="Y289" s="63"/>
      <c r="Z289" s="51" t="str">
        <f>IF([1]Humus!AK269="","",[1]Humus!AK269)</f>
      </c>
      <c r="AA289" s="51" t="s">
        <v>456</v>
      </c>
      <c r="AC289" s="5"/>
      <c r="AF289" t="s">
        <v>763</v>
      </c>
      <c r="AG289" s="5" t="s">
        <v>75</v>
      </c>
    </row>
    <row r="290" ht="12.75" customHeight="1">
      <c r="A290" s="1" t="s">
        <v>74</v>
      </c>
      <c r="B290" s="178"/>
      <c r="C290" s="51"/>
      <c r="D290" s="178" t="s">
        <v>450</v>
      </c>
      <c r="E290" s="185"/>
      <c r="F290" s="179"/>
      <c r="G290" s="179"/>
      <c r="H290" s="180"/>
      <c r="I290" s="180"/>
      <c r="J290" s="178" t="s">
        <v>450</v>
      </c>
      <c r="K290" s="196"/>
      <c r="L290" s="179"/>
      <c r="M290" s="179"/>
      <c r="N290" s="51"/>
      <c r="O290" s="227"/>
      <c r="P290" s="227"/>
      <c r="Q290" s="227"/>
      <c r="R290" s="51"/>
      <c r="S290" s="51"/>
      <c r="T290" s="51"/>
      <c r="U290" s="51"/>
      <c r="V290" s="51" t="str">
        <f>IF([1]C!G270="","",[1]C!G270)</f>
      </c>
      <c r="W290" s="51" t="str">
        <f>IF([1]Humus!G270="","",[1]Humus!G270)</f>
      </c>
      <c r="X290" s="51"/>
      <c r="Y290" s="63"/>
      <c r="Z290" s="51" t="str">
        <f>IF([1]Humus!AK270="","",[1]Humus!AK270)</f>
      </c>
      <c r="AA290" s="51" t="s">
        <v>456</v>
      </c>
      <c r="AC290" s="5"/>
      <c r="AF290" t="s">
        <v>763</v>
      </c>
      <c r="AG290" s="5"/>
    </row>
    <row r="291" ht="12.75" customHeight="1">
      <c r="A291" s="81" t="s">
        <v>72</v>
      </c>
      <c r="B291" s="27"/>
      <c r="C291" s="13"/>
      <c r="D291" s="46"/>
      <c r="E291" s="46"/>
      <c r="F291" s="70"/>
      <c r="G291" s="70"/>
      <c r="H291" s="24"/>
      <c r="I291" s="24"/>
      <c r="J291" s="24"/>
      <c r="K291" s="24"/>
      <c r="L291" s="70"/>
      <c r="M291" s="70"/>
      <c r="N291" s="13"/>
      <c r="O291" s="226"/>
      <c r="P291" s="226"/>
      <c r="Q291" s="226"/>
      <c r="R291" s="13"/>
      <c r="S291" s="13"/>
      <c r="T291" s="13"/>
      <c r="U291" s="13"/>
      <c r="V291" s="51" t="str">
        <f>IF([1]C!G271="","",[1]C!G271)</f>
      </c>
      <c r="W291" s="51" t="str">
        <f>IF([1]Humus!G271="","",[1]Humus!G271)</f>
      </c>
      <c r="X291" s="13"/>
      <c r="Y291" s="13"/>
      <c r="Z291" s="51" t="str">
        <f>IF([1]Humus!AK271="","",[1]Humus!AK271)</f>
      </c>
      <c r="AA291" s="51" t="s">
        <v>456</v>
      </c>
      <c r="AC291" s="144"/>
      <c r="AF291" t="s">
        <v>763</v>
      </c>
      <c r="AG291" s="144"/>
    </row>
    <row r="292" ht="12.75" customHeight="1">
      <c r="A292" s="1" t="s">
        <v>71</v>
      </c>
      <c r="B292" s="178"/>
      <c r="C292" s="51"/>
      <c r="D292" s="178" t="s">
        <v>450</v>
      </c>
      <c r="E292" s="185"/>
      <c r="F292" s="179"/>
      <c r="G292" s="179"/>
      <c r="H292" s="180"/>
      <c r="I292" s="180"/>
      <c r="J292" s="178" t="s">
        <v>450</v>
      </c>
      <c r="K292" s="180"/>
      <c r="L292" s="179"/>
      <c r="M292" s="179"/>
      <c r="N292" s="51"/>
      <c r="O292" s="228"/>
      <c r="P292" s="228"/>
      <c r="Q292" s="228"/>
      <c r="R292" s="51"/>
      <c r="S292" s="51"/>
      <c r="T292" s="51"/>
      <c r="U292" s="51"/>
      <c r="V292" s="51" t="str">
        <f>IF([1]C!G272="","",[1]C!G272)</f>
      </c>
      <c r="W292" s="51" t="str">
        <f>IF([1]Humus!G272="","",[1]Humus!G272)</f>
      </c>
      <c r="X292" s="51"/>
      <c r="Y292" s="63"/>
      <c r="Z292" s="51" t="str">
        <f>IF([1]Humus!AK272="","",[1]Humus!AK272)</f>
      </c>
      <c r="AA292" s="51" t="s">
        <v>456</v>
      </c>
      <c r="AC292" s="5"/>
      <c r="AF292" t="s">
        <v>763</v>
      </c>
      <c r="AG292" s="5"/>
    </row>
    <row r="293" ht="12.75" customHeight="1">
      <c r="A293" s="1" t="s">
        <v>70</v>
      </c>
      <c r="B293" s="178"/>
      <c r="C293" s="51"/>
      <c r="D293" s="178" t="s">
        <v>450</v>
      </c>
      <c r="E293" s="185"/>
      <c r="F293" s="179"/>
      <c r="G293" s="179"/>
      <c r="H293" s="180"/>
      <c r="I293" s="180"/>
      <c r="J293" s="178" t="s">
        <v>450</v>
      </c>
      <c r="K293" s="180"/>
      <c r="L293" s="179"/>
      <c r="M293" s="179"/>
      <c r="N293" s="51"/>
      <c r="O293" s="228"/>
      <c r="P293" s="228"/>
      <c r="Q293" s="228"/>
      <c r="R293" s="51"/>
      <c r="S293" s="51"/>
      <c r="T293" s="51"/>
      <c r="U293" s="51"/>
      <c r="V293" s="51" t="str">
        <f>IF([1]C!G273="","",[1]C!G273)</f>
      </c>
      <c r="W293" s="51" t="str">
        <f>IF([1]Humus!G273="","",[1]Humus!G273)</f>
      </c>
      <c r="X293" s="51"/>
      <c r="Y293" s="63"/>
      <c r="Z293" s="51" t="str">
        <f>IF([1]Humus!AK273="","",[1]Humus!AK273)</f>
      </c>
      <c r="AA293" s="51" t="s">
        <v>456</v>
      </c>
      <c r="AC293" s="5"/>
      <c r="AF293" t="s">
        <v>763</v>
      </c>
      <c r="AG293" s="5"/>
    </row>
    <row r="294" ht="12.75" customHeight="1">
      <c r="A294" s="1" t="s">
        <v>69</v>
      </c>
      <c r="B294" s="178"/>
      <c r="C294" s="51"/>
      <c r="D294" s="178" t="s">
        <v>450</v>
      </c>
      <c r="E294" s="185"/>
      <c r="F294" s="179"/>
      <c r="G294" s="179"/>
      <c r="H294" s="180"/>
      <c r="I294" s="180"/>
      <c r="J294" s="178" t="s">
        <v>450</v>
      </c>
      <c r="K294" s="180"/>
      <c r="L294" s="179"/>
      <c r="M294" s="179"/>
      <c r="N294" s="51"/>
      <c r="O294" s="227"/>
      <c r="P294" s="227"/>
      <c r="Q294" s="227"/>
      <c r="R294" s="51"/>
      <c r="S294" s="51"/>
      <c r="T294" s="51"/>
      <c r="U294" s="51"/>
      <c r="V294" s="51" t="str">
        <f>IF([1]C!G274="","",[1]C!G274)</f>
      </c>
      <c r="W294" s="51" t="str">
        <f>IF([1]Humus!G274="","",[1]Humus!G274)</f>
      </c>
      <c r="X294" s="51"/>
      <c r="Y294" s="63"/>
      <c r="Z294" s="51" t="str">
        <f>IF([1]Humus!AK274="","",[1]Humus!AK274)</f>
      </c>
      <c r="AA294" s="51" t="s">
        <v>456</v>
      </c>
      <c r="AC294" s="5"/>
      <c r="AF294" t="s">
        <v>763</v>
      </c>
      <c r="AG294" s="5" t="s">
        <v>68</v>
      </c>
    </row>
    <row r="295" ht="12.75" customHeight="1">
      <c r="A295" s="1" t="s">
        <v>67</v>
      </c>
      <c r="B295" s="178"/>
      <c r="C295" s="51"/>
      <c r="D295" s="178" t="s">
        <v>450</v>
      </c>
      <c r="E295" s="185"/>
      <c r="F295" s="179"/>
      <c r="G295" s="179"/>
      <c r="H295" s="180"/>
      <c r="I295" s="180"/>
      <c r="J295" s="178" t="s">
        <v>450</v>
      </c>
      <c r="K295" s="180"/>
      <c r="L295" s="179"/>
      <c r="M295" s="179"/>
      <c r="N295" s="51"/>
      <c r="O295" s="227"/>
      <c r="P295" s="227"/>
      <c r="Q295" s="227"/>
      <c r="R295" s="51"/>
      <c r="S295" s="51"/>
      <c r="T295" s="51"/>
      <c r="U295" s="51"/>
      <c r="V295" s="51" t="str">
        <f>IF([1]C!G275="","",[1]C!G275)</f>
      </c>
      <c r="W295" s="51" t="str">
        <f>IF([1]Humus!G275="","",[1]Humus!G275)</f>
      </c>
      <c r="X295" s="51"/>
      <c r="Y295" s="63"/>
      <c r="Z295" s="51" t="str">
        <f>IF([1]Humus!AK275="","",[1]Humus!AK275)</f>
      </c>
      <c r="AA295" s="51" t="s">
        <v>456</v>
      </c>
      <c r="AC295" s="5"/>
      <c r="AF295" t="s">
        <v>763</v>
      </c>
      <c r="AG295" s="5"/>
    </row>
    <row r="296" ht="12.75" customHeight="1">
      <c r="A296" s="81" t="s">
        <v>33</v>
      </c>
      <c r="B296" s="27"/>
      <c r="C296" s="13"/>
      <c r="D296" s="46"/>
      <c r="E296" s="46"/>
      <c r="F296" s="70"/>
      <c r="G296" s="70"/>
      <c r="H296" s="24"/>
      <c r="I296" s="24"/>
      <c r="J296" s="24"/>
      <c r="K296" s="24"/>
      <c r="L296" s="70"/>
      <c r="M296" s="70"/>
      <c r="N296" s="13"/>
      <c r="O296" s="226"/>
      <c r="P296" s="226"/>
      <c r="Q296" s="226"/>
      <c r="R296" s="13"/>
      <c r="S296" s="13"/>
      <c r="T296" s="13"/>
      <c r="U296" s="13"/>
      <c r="V296" s="51" t="str">
        <f>IF([1]C!G276="","",[1]C!G276)</f>
      </c>
      <c r="W296" s="51" t="str">
        <f>IF([1]Humus!G276="","",[1]Humus!G276)</f>
      </c>
      <c r="X296" s="13"/>
      <c r="Y296" s="13"/>
      <c r="Z296" s="51" t="str">
        <f>IF([1]Humus!AK276="","",[1]Humus!AK276)</f>
      </c>
      <c r="AA296" s="51" t="s">
        <v>456</v>
      </c>
      <c r="AC296" s="144"/>
      <c r="AF296" t="s">
        <v>763</v>
      </c>
      <c r="AG296" s="144"/>
    </row>
    <row r="297" ht="12.75" customHeight="1">
      <c r="A297" s="1" t="s">
        <v>66</v>
      </c>
      <c r="B297" s="178"/>
      <c r="C297" s="51"/>
      <c r="D297" s="178" t="s">
        <v>450</v>
      </c>
      <c r="E297" s="185"/>
      <c r="F297" s="179"/>
      <c r="G297" s="179"/>
      <c r="H297" s="180"/>
      <c r="I297" s="180"/>
      <c r="J297" s="178" t="s">
        <v>450</v>
      </c>
      <c r="K297" s="180"/>
      <c r="L297" s="179"/>
      <c r="M297" s="179"/>
      <c r="N297" s="51"/>
      <c r="O297" s="35" t="s">
        <v>576</v>
      </c>
      <c r="P297" s="184" t="n">
        <v>2.5906735751295335E-2</v>
      </c>
      <c r="Q297" s="184" t="n">
        <v>6.7357512953367879E-3</v>
      </c>
      <c r="R297" s="51"/>
      <c r="S297" s="51"/>
      <c r="T297" s="51"/>
      <c r="U297" s="51"/>
      <c r="V297" s="51" t="str">
        <f>IF([1]C!G277="","",[1]C!G277)</f>
      </c>
      <c r="W297" s="51" t="str">
        <f>IF([1]Humus!G277="","",[1]Humus!G277)</f>
      </c>
      <c r="X297" s="51"/>
      <c r="Y297" s="63"/>
      <c r="Z297" s="51" t="str">
        <f>IF([1]Humus!AK277="","",[1]Humus!AK277)</f>
      </c>
      <c r="AA297" s="51" t="s">
        <v>456</v>
      </c>
      <c r="AC297" s="5"/>
      <c r="AF297" t="s">
        <v>763</v>
      </c>
      <c r="AG297" s="5"/>
    </row>
    <row r="298" ht="12.75" customHeight="1">
      <c r="A298" s="1" t="s">
        <v>65</v>
      </c>
      <c r="B298" s="178"/>
      <c r="C298" s="51"/>
      <c r="D298" s="178" t="s">
        <v>450</v>
      </c>
      <c r="E298" s="185"/>
      <c r="F298" s="179"/>
      <c r="G298" s="179"/>
      <c r="H298" s="180"/>
      <c r="I298" s="180"/>
      <c r="J298" s="178" t="s">
        <v>450</v>
      </c>
      <c r="K298" s="180"/>
      <c r="L298" s="179"/>
      <c r="M298" s="179"/>
      <c r="N298" s="51"/>
      <c r="O298" s="35" t="s">
        <v>576</v>
      </c>
      <c r="P298" s="184" t="n">
        <v>2.5906735751295335E-2</v>
      </c>
      <c r="Q298" s="184" t="n">
        <v>6.7357512953367879E-3</v>
      </c>
      <c r="R298" s="51"/>
      <c r="S298" s="51"/>
      <c r="T298" s="51"/>
      <c r="U298" s="51"/>
      <c r="V298" s="51" t="str">
        <f>IF([1]C!G278="","",[1]C!G278)</f>
      </c>
      <c r="W298" s="51" t="str">
        <f>IF([1]Humus!G278="","",[1]Humus!G278)</f>
      </c>
      <c r="X298" s="51"/>
      <c r="Y298" s="63"/>
      <c r="Z298" s="51" t="str">
        <f>IF([1]Humus!AK278="","",[1]Humus!AK278)</f>
      </c>
      <c r="AA298" s="51" t="s">
        <v>456</v>
      </c>
      <c r="AC298" s="5"/>
      <c r="AF298" t="s">
        <v>763</v>
      </c>
      <c r="AG298" s="5"/>
    </row>
    <row r="299" ht="12.75" customHeight="1">
      <c r="A299" s="1" t="s">
        <v>64</v>
      </c>
      <c r="B299" s="178"/>
      <c r="C299" s="51"/>
      <c r="D299" s="178" t="s">
        <v>450</v>
      </c>
      <c r="E299" s="185"/>
      <c r="F299" s="179"/>
      <c r="G299" s="179"/>
      <c r="H299" s="180"/>
      <c r="I299" s="180"/>
      <c r="J299" s="178" t="s">
        <v>450</v>
      </c>
      <c r="K299" s="180"/>
      <c r="L299" s="179"/>
      <c r="M299" s="179"/>
      <c r="N299" s="51"/>
      <c r="O299" s="35" t="s">
        <v>576</v>
      </c>
      <c r="P299" s="35"/>
      <c r="Q299" s="35"/>
      <c r="R299" s="51"/>
      <c r="S299" s="51"/>
      <c r="T299" s="51"/>
      <c r="U299" s="51"/>
      <c r="V299" s="51" t="str">
        <f>IF([1]C!G279="","",[1]C!G279)</f>
      </c>
      <c r="W299" s="51" t="str">
        <f>IF([1]Humus!G279="","",[1]Humus!G279)</f>
      </c>
      <c r="X299" s="51"/>
      <c r="Y299" s="63"/>
      <c r="Z299" s="51" t="str">
        <f>IF([1]Humus!AK279="","",[1]Humus!AK279)</f>
      </c>
      <c r="AA299" s="51" t="s">
        <v>456</v>
      </c>
      <c r="AC299" s="5"/>
      <c r="AF299" t="s">
        <v>763</v>
      </c>
      <c r="AG299" s="5"/>
    </row>
    <row r="300" ht="12.75" customHeight="1">
      <c r="A300" s="1" t="s">
        <v>63</v>
      </c>
      <c r="B300" s="178"/>
      <c r="C300" s="51"/>
      <c r="D300" s="178" t="s">
        <v>450</v>
      </c>
      <c r="E300" s="185"/>
      <c r="F300" s="179"/>
      <c r="G300" s="179"/>
      <c r="H300" s="180"/>
      <c r="I300" s="180"/>
      <c r="J300" s="178" t="s">
        <v>450</v>
      </c>
      <c r="K300" s="180"/>
      <c r="L300" s="179"/>
      <c r="M300" s="179"/>
      <c r="N300" s="51"/>
      <c r="O300" s="35" t="s">
        <v>576</v>
      </c>
      <c r="P300" s="35"/>
      <c r="Q300" s="35"/>
      <c r="R300" s="51"/>
      <c r="S300" s="51"/>
      <c r="T300" s="51"/>
      <c r="U300" s="51"/>
      <c r="V300" s="51" t="str">
        <f>IF([1]C!G280="","",[1]C!G280)</f>
      </c>
      <c r="W300" s="51" t="str">
        <f>IF([1]Humus!G280="","",[1]Humus!G280)</f>
      </c>
      <c r="X300" s="51"/>
      <c r="Y300" s="63"/>
      <c r="Z300" s="51" t="str">
        <f>IF([1]Humus!AK280="","",[1]Humus!AK280)</f>
      </c>
      <c r="AA300" s="51" t="s">
        <v>456</v>
      </c>
      <c r="AC300" s="5"/>
      <c r="AF300" t="s">
        <v>763</v>
      </c>
      <c r="AG300" s="5"/>
    </row>
    <row r="301" ht="12.75" customHeight="1">
      <c r="A301" s="1" t="s">
        <v>62</v>
      </c>
      <c r="B301" s="178"/>
      <c r="C301" s="51"/>
      <c r="D301" s="178" t="s">
        <v>450</v>
      </c>
      <c r="E301" s="185"/>
      <c r="F301" s="179"/>
      <c r="G301" s="179"/>
      <c r="H301" s="180"/>
      <c r="I301" s="180"/>
      <c r="J301" s="178" t="s">
        <v>450</v>
      </c>
      <c r="K301" s="180"/>
      <c r="L301" s="179"/>
      <c r="M301" s="179"/>
      <c r="N301" s="51"/>
      <c r="O301" s="35" t="s">
        <v>576</v>
      </c>
      <c r="P301" s="35"/>
      <c r="Q301" s="35"/>
      <c r="R301" s="51"/>
      <c r="S301" s="51"/>
      <c r="T301" s="51"/>
      <c r="U301" s="51"/>
      <c r="V301" s="51" t="str">
        <f>IF([1]C!G281="","",[1]C!G281)</f>
      </c>
      <c r="W301" s="51" t="str">
        <f>IF([1]Humus!G281="","",[1]Humus!G281)</f>
      </c>
      <c r="X301" s="51"/>
      <c r="Y301" s="63"/>
      <c r="Z301" s="51" t="str">
        <f>IF([1]Humus!AK281="","",[1]Humus!AK281)</f>
      </c>
      <c r="AA301" s="51" t="s">
        <v>456</v>
      </c>
      <c r="AC301" s="5"/>
      <c r="AF301" t="s">
        <v>763</v>
      </c>
      <c r="AG301" s="5"/>
    </row>
    <row r="302" ht="12.75" customHeight="1">
      <c r="A302" s="1" t="s">
        <v>61</v>
      </c>
      <c r="B302" s="178"/>
      <c r="C302" s="51"/>
      <c r="D302" s="178" t="s">
        <v>450</v>
      </c>
      <c r="E302" s="185"/>
      <c r="F302" s="179"/>
      <c r="G302" s="179"/>
      <c r="H302" s="180"/>
      <c r="I302" s="180"/>
      <c r="J302" s="178" t="s">
        <v>450</v>
      </c>
      <c r="K302" s="180"/>
      <c r="L302" s="179"/>
      <c r="M302" s="179"/>
      <c r="N302" s="51"/>
      <c r="O302" s="35" t="s">
        <v>576</v>
      </c>
      <c r="P302" s="35"/>
      <c r="Q302" s="35"/>
      <c r="R302" s="51"/>
      <c r="S302" s="51"/>
      <c r="T302" s="51"/>
      <c r="U302" s="51"/>
      <c r="V302" s="51" t="str">
        <f>IF([1]C!G282="","",[1]C!G282)</f>
      </c>
      <c r="W302" s="51" t="str">
        <f>IF([1]Humus!G282="","",[1]Humus!G282)</f>
      </c>
      <c r="X302" s="51"/>
      <c r="Y302" s="63"/>
      <c r="Z302" s="51" t="str">
        <f>IF([1]Humus!AK282="","",[1]Humus!AK282)</f>
      </c>
      <c r="AA302" s="51" t="s">
        <v>456</v>
      </c>
      <c r="AC302" s="5"/>
      <c r="AF302" t="s">
        <v>763</v>
      </c>
      <c r="AG302" s="5"/>
    </row>
    <row r="303" ht="12.75" customHeight="1">
      <c r="A303" s="213" t="s">
        <v>60</v>
      </c>
      <c r="B303" s="214"/>
      <c r="C303" s="215"/>
      <c r="D303" s="216" t="e">
        <v>#N/A</v>
      </c>
      <c r="E303" s="216"/>
      <c r="F303" s="217"/>
      <c r="G303" s="217"/>
      <c r="H303" s="218"/>
      <c r="I303" s="218"/>
      <c r="J303" s="218" t="e">
        <v>#N/A</v>
      </c>
      <c r="K303" s="218"/>
      <c r="L303" s="179"/>
      <c r="M303" s="179"/>
      <c r="N303" s="51"/>
      <c r="O303" s="35" t="s">
        <v>576</v>
      </c>
      <c r="P303" s="35"/>
      <c r="Q303" s="35"/>
      <c r="R303" s="51"/>
      <c r="S303" s="51"/>
      <c r="T303" s="51"/>
      <c r="U303" s="51"/>
      <c r="V303" s="51" t="str">
        <f>IF([1]C!G283="","",[1]C!G283)</f>
      </c>
      <c r="W303" s="51" t="str">
        <f>IF([1]Humus!G283="","",[1]Humus!G283)</f>
      </c>
      <c r="X303" s="51"/>
      <c r="Y303" s="63"/>
      <c r="Z303" s="51" t="str">
        <f>IF([1]Humus!AK283="","",[1]Humus!AK283)</f>
      </c>
      <c r="AA303" s="51" t="s">
        <v>456</v>
      </c>
      <c r="AC303" s="5"/>
      <c r="AF303" t="s">
        <v>763</v>
      </c>
      <c r="AG303" s="5" t="s">
        <v>59</v>
      </c>
    </row>
    <row r="304" ht="12.75" customHeight="1">
      <c r="A304" s="1" t="s">
        <v>58</v>
      </c>
      <c r="B304" s="178"/>
      <c r="C304" s="51"/>
      <c r="D304" s="178" t="s">
        <v>450</v>
      </c>
      <c r="E304" s="185"/>
      <c r="F304" s="179"/>
      <c r="G304" s="179"/>
      <c r="H304" s="180"/>
      <c r="I304" s="180"/>
      <c r="J304" s="178" t="s">
        <v>450</v>
      </c>
      <c r="K304" s="180"/>
      <c r="L304" s="179"/>
      <c r="M304" s="179"/>
      <c r="N304" s="51"/>
      <c r="O304" s="35" t="s">
        <v>576</v>
      </c>
      <c r="P304" s="35"/>
      <c r="Q304" s="35"/>
      <c r="R304" s="51"/>
      <c r="S304" s="51"/>
      <c r="T304" s="51"/>
      <c r="U304" s="51"/>
      <c r="V304" s="51" t="str">
        <f>IF([1]C!G284="","",[1]C!G284)</f>
      </c>
      <c r="W304" s="51" t="str">
        <f>IF([1]Humus!G284="","",[1]Humus!G284)</f>
      </c>
      <c r="X304" s="51"/>
      <c r="Y304" s="63"/>
      <c r="Z304" s="51" t="str">
        <f>IF([1]Humus!AK284="","",[1]Humus!AK284)</f>
      </c>
      <c r="AA304" s="51" t="s">
        <v>456</v>
      </c>
      <c r="AF304" t="s">
        <v>763</v>
      </c>
    </row>
    <row r="305" ht="12.75" customHeight="1">
      <c r="A305" s="1" t="s">
        <v>57</v>
      </c>
      <c r="B305" s="178"/>
      <c r="C305" s="51"/>
      <c r="D305" s="178" t="s">
        <v>450</v>
      </c>
      <c r="E305" s="185"/>
      <c r="F305" s="179"/>
      <c r="G305" s="179"/>
      <c r="H305" s="180"/>
      <c r="I305" s="180"/>
      <c r="J305" s="178" t="s">
        <v>450</v>
      </c>
      <c r="K305" s="180"/>
      <c r="L305" s="179"/>
      <c r="M305" s="179"/>
      <c r="N305" s="51"/>
      <c r="O305" s="35" t="s">
        <v>576</v>
      </c>
      <c r="P305" s="35"/>
      <c r="Q305" s="35"/>
      <c r="R305" s="51"/>
      <c r="S305" s="51"/>
      <c r="T305" s="51"/>
      <c r="U305" s="51"/>
      <c r="V305" s="51" t="str">
        <f>IF([1]C!G285="","",[1]C!G285)</f>
      </c>
      <c r="W305" s="51" t="str">
        <f>IF([1]Humus!G285="","",[1]Humus!G285)</f>
      </c>
      <c r="X305" s="51"/>
      <c r="Y305" s="63"/>
      <c r="Z305" s="51" t="str">
        <f>IF([1]Humus!AK285="","",[1]Humus!AK285)</f>
      </c>
      <c r="AA305" s="51" t="s">
        <v>456</v>
      </c>
      <c r="AF305" t="s">
        <v>763</v>
      </c>
    </row>
    <row r="306" ht="12.75" customHeight="1">
      <c r="A306" s="1" t="s">
        <v>56</v>
      </c>
      <c r="B306" s="178"/>
      <c r="C306" s="51"/>
      <c r="D306" s="178" t="s">
        <v>450</v>
      </c>
      <c r="E306" s="185"/>
      <c r="F306" s="179"/>
      <c r="G306" s="179"/>
      <c r="H306" s="180"/>
      <c r="I306" s="180"/>
      <c r="J306" s="178" t="s">
        <v>450</v>
      </c>
      <c r="K306" s="180"/>
      <c r="L306" s="179"/>
      <c r="M306" s="179"/>
      <c r="N306" s="51"/>
      <c r="O306" s="35" t="s">
        <v>576</v>
      </c>
      <c r="P306" s="35"/>
      <c r="Q306" s="35"/>
      <c r="R306" s="51"/>
      <c r="S306" s="51"/>
      <c r="T306" s="51"/>
      <c r="U306" s="51"/>
      <c r="V306" s="51" t="str">
        <f>IF([1]C!G286="","",[1]C!G286)</f>
      </c>
      <c r="W306" s="51" t="str">
        <f>IF([1]Humus!G286="","",[1]Humus!G286)</f>
      </c>
      <c r="X306" s="51"/>
      <c r="Y306" s="63"/>
      <c r="Z306" s="51" t="str">
        <f>IF([1]Humus!AK286="","",[1]Humus!AK286)</f>
      </c>
      <c r="AA306" s="51" t="s">
        <v>456</v>
      </c>
      <c r="AF306" t="s">
        <v>763</v>
      </c>
    </row>
    <row r="307" ht="12.75" customHeight="1">
      <c r="A307" s="1" t="s">
        <v>55</v>
      </c>
      <c r="B307" s="178"/>
      <c r="C307" s="51"/>
      <c r="D307" s="178" t="s">
        <v>450</v>
      </c>
      <c r="E307" s="185"/>
      <c r="F307" s="179"/>
      <c r="G307" s="179"/>
      <c r="H307" s="51"/>
      <c r="I307" s="51"/>
      <c r="J307" s="178" t="s">
        <v>450</v>
      </c>
      <c r="K307" s="180"/>
      <c r="L307" s="179"/>
      <c r="M307" s="179"/>
      <c r="N307" s="51"/>
      <c r="O307" s="35" t="s">
        <v>576</v>
      </c>
      <c r="P307" s="35"/>
      <c r="Q307" s="35"/>
      <c r="R307" s="51"/>
      <c r="S307" s="51"/>
      <c r="T307" s="51"/>
      <c r="U307" s="51"/>
      <c r="V307" s="51" t="str">
        <f>IF([1]C!G287="","",[1]C!G287)</f>
      </c>
      <c r="W307" s="51" t="str">
        <f>IF([1]Humus!G287="","",[1]Humus!G287)</f>
      </c>
      <c r="X307" s="51"/>
      <c r="Y307" s="63"/>
      <c r="Z307" s="51" t="str">
        <f>IF([1]Humus!AK287="","",[1]Humus!AK287)</f>
      </c>
      <c r="AA307" s="51" t="s">
        <v>456</v>
      </c>
      <c r="AF307" t="s">
        <v>763</v>
      </c>
    </row>
    <row r="308" ht="12.75" customHeight="1">
      <c r="A308" s="1" t="s">
        <v>54</v>
      </c>
      <c r="B308" s="178"/>
      <c r="C308" s="51"/>
      <c r="D308" s="178" t="s">
        <v>450</v>
      </c>
      <c r="E308" s="185"/>
      <c r="F308" s="179"/>
      <c r="G308" s="179"/>
      <c r="H308" s="180"/>
      <c r="I308" s="180"/>
      <c r="J308" s="178" t="s">
        <v>450</v>
      </c>
      <c r="K308" s="180"/>
      <c r="L308" s="179"/>
      <c r="M308" s="179"/>
      <c r="N308" s="51"/>
      <c r="O308" s="184" t="str">
        <f t="shared" ref="O308:O309" si="1">O309</f>
        <v>Lassaletta et al., 2014 (from FAO, 2011)</v>
      </c>
      <c r="P308" s="184" t="n">
        <v>2.5906735751295335E-2</v>
      </c>
      <c r="Q308" s="184" t="n">
        <v>6.7357512953367879E-3</v>
      </c>
      <c r="R308" s="51"/>
      <c r="S308" s="51"/>
      <c r="T308" s="51"/>
      <c r="U308" s="51"/>
      <c r="V308" s="51" t="str">
        <f>IF([1]C!G288="","",[1]C!G288)</f>
      </c>
      <c r="W308" s="51" t="str">
        <f>IF([1]Humus!G288="","",[1]Humus!G288)</f>
      </c>
      <c r="X308" s="51"/>
      <c r="Y308" s="63"/>
      <c r="Z308" s="51" t="str">
        <f>IF([1]Humus!AK288="","",[1]Humus!AK288)</f>
      </c>
      <c r="AA308" s="51" t="s">
        <v>456</v>
      </c>
      <c r="AF308" t="s">
        <v>763</v>
      </c>
    </row>
    <row r="309" ht="12.75" customHeight="1">
      <c r="A309" s="1" t="s">
        <v>53</v>
      </c>
      <c r="B309" s="178"/>
      <c r="C309" s="51"/>
      <c r="D309" s="178" t="s">
        <v>450</v>
      </c>
      <c r="E309" s="185"/>
      <c r="F309" s="179"/>
      <c r="G309" s="179"/>
      <c r="H309" s="180"/>
      <c r="I309" s="180"/>
      <c r="J309" s="178" t="s">
        <v>450</v>
      </c>
      <c r="K309" s="180"/>
      <c r="L309" s="179"/>
      <c r="M309" s="179"/>
      <c r="N309" s="51"/>
      <c r="O309" s="184" t="str">
        <f t="shared" si="1"/>
        <v>Lassaletta et al., 2014 (from FAO, 2011)</v>
      </c>
      <c r="P309" s="35"/>
      <c r="Q309" s="35"/>
      <c r="R309" s="51"/>
      <c r="S309" s="51"/>
      <c r="T309" s="51"/>
      <c r="U309" s="51"/>
      <c r="V309" s="51" t="str">
        <f>IF([1]C!G289="","",[1]C!G289)</f>
      </c>
      <c r="W309" s="51" t="str">
        <f>IF([1]Humus!G289="","",[1]Humus!G289)</f>
      </c>
      <c r="X309" s="51"/>
      <c r="Y309" s="63"/>
      <c r="Z309" s="51" t="str">
        <f>IF([1]Humus!AK289="","",[1]Humus!AK289)</f>
      </c>
      <c r="AA309" s="51" t="s">
        <v>456</v>
      </c>
      <c r="AF309" t="s">
        <v>763</v>
      </c>
    </row>
    <row r="310" ht="12.75" customHeight="1">
      <c r="A310" s="1" t="s">
        <v>52</v>
      </c>
      <c r="B310" s="178"/>
      <c r="C310" s="51"/>
      <c r="D310" s="178" t="s">
        <v>450</v>
      </c>
      <c r="E310" s="185"/>
      <c r="F310" s="179"/>
      <c r="G310" s="179"/>
      <c r="H310" s="180"/>
      <c r="I310" s="180"/>
      <c r="J310" s="178" t="s">
        <v>450</v>
      </c>
      <c r="K310" s="180"/>
      <c r="L310" s="179"/>
      <c r="M310" s="179"/>
      <c r="N310" s="51"/>
      <c r="O310" s="184" t="str">
        <f>O311</f>
        <v>Lassaletta et al., 2014 (from FAO, 2011)</v>
      </c>
      <c r="P310" s="184" t="n">
        <v>2.5906735751295335E-2</v>
      </c>
      <c r="Q310" s="184" t="n">
        <v>6.7357512953367879E-3</v>
      </c>
      <c r="R310" s="51"/>
      <c r="S310" s="51"/>
      <c r="T310" s="51"/>
      <c r="U310" s="51"/>
      <c r="V310" s="51" t="str">
        <f>IF([1]C!G290="","",[1]C!G290)</f>
      </c>
      <c r="W310" s="51" t="str">
        <f>IF([1]Humus!G290="","",[1]Humus!G290)</f>
      </c>
      <c r="X310" s="51"/>
      <c r="Y310" s="63"/>
      <c r="Z310" s="51" t="str">
        <f>IF([1]Humus!AK290="","",[1]Humus!AK290)</f>
      </c>
      <c r="AA310" s="51" t="s">
        <v>456</v>
      </c>
      <c r="AF310" t="s">
        <v>763</v>
      </c>
    </row>
    <row r="311" ht="12.75" customHeight="1">
      <c r="A311" s="1" t="s">
        <v>51</v>
      </c>
      <c r="B311" s="178"/>
      <c r="C311" s="51"/>
      <c r="D311" s="178" t="s">
        <v>450</v>
      </c>
      <c r="E311" s="185"/>
      <c r="F311" s="179"/>
      <c r="G311" s="179"/>
      <c r="H311" s="180"/>
      <c r="I311" s="180"/>
      <c r="J311" s="178" t="s">
        <v>450</v>
      </c>
      <c r="K311" s="180"/>
      <c r="L311" s="179"/>
      <c r="M311" s="179"/>
      <c r="N311" s="51"/>
      <c r="O311" s="35" t="s">
        <v>576</v>
      </c>
      <c r="P311" s="35" t="n">
        <v>2.5906735751295335E-2</v>
      </c>
      <c r="Q311" s="35" t="n">
        <v>6.7357512953367879E-3</v>
      </c>
      <c r="R311" s="51"/>
      <c r="S311" s="51"/>
      <c r="T311" s="51"/>
      <c r="U311" s="51"/>
      <c r="V311" s="51" t="str">
        <f>IF([1]C!G291="","",[1]C!G291)</f>
      </c>
      <c r="W311" s="51" t="str">
        <f>IF([1]Humus!G291="","",[1]Humus!G291)</f>
      </c>
      <c r="X311" s="51"/>
      <c r="Y311" s="63"/>
      <c r="Z311" s="51" t="str">
        <f>IF([1]Humus!AK291="","",[1]Humus!AK291)</f>
      </c>
      <c r="AA311" s="51" t="s">
        <v>456</v>
      </c>
      <c r="AF311" t="s">
        <v>763</v>
      </c>
    </row>
    <row r="312" ht="12.75" customHeight="1">
      <c r="A312" s="1" t="s">
        <v>50</v>
      </c>
      <c r="B312" s="178"/>
      <c r="C312" s="51"/>
      <c r="D312" s="178" t="s">
        <v>450</v>
      </c>
      <c r="E312" s="185"/>
      <c r="F312" s="179"/>
      <c r="G312" s="179"/>
      <c r="H312" s="180"/>
      <c r="I312" s="180"/>
      <c r="J312" s="178" t="s">
        <v>450</v>
      </c>
      <c r="K312" s="180"/>
      <c r="L312" s="179"/>
      <c r="M312" s="179"/>
      <c r="N312" s="51"/>
      <c r="O312" s="184" t="str">
        <f>O311</f>
        <v>Lassaletta et al., 2014 (from FAO, 2011)</v>
      </c>
      <c r="P312" s="184" t="n">
        <v>2.5906735751295335E-2</v>
      </c>
      <c r="Q312" s="184" t="n">
        <v>6.7357512953367879E-3</v>
      </c>
      <c r="R312" s="51"/>
      <c r="S312" s="51"/>
      <c r="T312" s="51"/>
      <c r="U312" s="51"/>
      <c r="V312" s="51" t="str">
        <f>IF([1]C!G292="","",[1]C!G292)</f>
      </c>
      <c r="W312" s="51" t="str">
        <f>IF([1]Humus!G292="","",[1]Humus!G292)</f>
      </c>
      <c r="X312" s="51"/>
      <c r="Y312" s="63"/>
      <c r="Z312" s="51" t="str">
        <f>IF([1]Humus!AK292="","",[1]Humus!AK292)</f>
      </c>
      <c r="AA312" s="51" t="s">
        <v>456</v>
      </c>
      <c r="AF312" t="s">
        <v>763</v>
      </c>
    </row>
    <row r="313" ht="12.75" customHeight="1">
      <c r="A313" s="1" t="s">
        <v>49</v>
      </c>
      <c r="B313" s="178"/>
      <c r="C313" s="51"/>
      <c r="D313" s="178" t="s">
        <v>450</v>
      </c>
      <c r="E313" s="185"/>
      <c r="F313" s="179"/>
      <c r="G313" s="179"/>
      <c r="H313" s="180"/>
      <c r="I313" s="180"/>
      <c r="J313" s="178" t="s">
        <v>450</v>
      </c>
      <c r="K313" s="180"/>
      <c r="L313" s="179"/>
      <c r="M313" s="179"/>
      <c r="N313" s="51"/>
      <c r="O313" s="184" t="str">
        <f t="shared" ref="O313:O326" si="2">O312</f>
        <v>Lassaletta et al., 2014 (from FAO, 2011)</v>
      </c>
      <c r="P313" s="184" t="n">
        <v>2.5906735751295335E-2</v>
      </c>
      <c r="Q313" s="184" t="n">
        <v>6.7357512953367879E-3</v>
      </c>
      <c r="R313" s="51"/>
      <c r="S313" s="51"/>
      <c r="T313" s="51"/>
      <c r="U313" s="51"/>
      <c r="V313" s="51" t="str">
        <f>IF([1]C!G293="","",[1]C!G293)</f>
      </c>
      <c r="W313" s="51" t="str">
        <f>IF([1]Humus!G293="","",[1]Humus!G293)</f>
      </c>
      <c r="X313" s="51"/>
      <c r="Y313" s="63"/>
      <c r="Z313" s="51" t="str">
        <f>IF([1]Humus!AK293="","",[1]Humus!AK293)</f>
      </c>
      <c r="AA313" s="51" t="s">
        <v>456</v>
      </c>
      <c r="AF313" t="s">
        <v>763</v>
      </c>
    </row>
    <row r="314" ht="12.75" customHeight="1">
      <c r="A314" s="1" t="s">
        <v>48</v>
      </c>
      <c r="B314" s="178"/>
      <c r="C314" s="51"/>
      <c r="D314" s="178" t="s">
        <v>450</v>
      </c>
      <c r="E314" s="185"/>
      <c r="F314" s="179"/>
      <c r="G314" s="179"/>
      <c r="H314" s="180"/>
      <c r="I314" s="180"/>
      <c r="J314" s="178" t="s">
        <v>450</v>
      </c>
      <c r="K314" s="180"/>
      <c r="L314" s="179"/>
      <c r="M314" s="179"/>
      <c r="N314" s="51"/>
      <c r="O314" s="184" t="str">
        <f t="shared" si="2"/>
        <v>Lassaletta et al., 2014 (from FAO, 2011)</v>
      </c>
      <c r="P314" s="184" t="n">
        <v>2.5906735751295335E-2</v>
      </c>
      <c r="Q314" s="184" t="n">
        <v>6.7357512953367879E-3</v>
      </c>
      <c r="R314" s="51"/>
      <c r="S314" s="51"/>
      <c r="T314" s="51"/>
      <c r="U314" s="51"/>
      <c r="V314" s="51" t="str">
        <f>IF([1]C!G294="","",[1]C!G294)</f>
      </c>
      <c r="W314" s="51" t="str">
        <f>IF([1]Humus!G294="","",[1]Humus!G294)</f>
      </c>
      <c r="X314" s="51"/>
      <c r="Y314" s="63"/>
      <c r="Z314" s="51" t="str">
        <f>IF([1]Humus!AK294="","",[1]Humus!AK294)</f>
      </c>
      <c r="AA314" s="51" t="s">
        <v>456</v>
      </c>
      <c r="AF314" t="s">
        <v>763</v>
      </c>
    </row>
    <row r="315" ht="12.75" customHeight="1">
      <c r="A315" s="1" t="s">
        <v>47</v>
      </c>
      <c r="B315" s="178"/>
      <c r="C315" s="51"/>
      <c r="D315" s="178" t="s">
        <v>450</v>
      </c>
      <c r="E315" s="185"/>
      <c r="F315" s="179"/>
      <c r="G315" s="179"/>
      <c r="H315" s="180"/>
      <c r="I315" s="180"/>
      <c r="J315" s="178" t="s">
        <v>450</v>
      </c>
      <c r="K315" s="180"/>
      <c r="L315" s="179"/>
      <c r="M315" s="179"/>
      <c r="N315" s="51"/>
      <c r="O315" s="184" t="str">
        <f t="shared" si="2"/>
        <v>Lassaletta et al., 2014 (from FAO, 2011)</v>
      </c>
      <c r="P315" s="184" t="n">
        <v>2.5906735751295335E-2</v>
      </c>
      <c r="Q315" s="184" t="n">
        <v>6.7357512953367879E-3</v>
      </c>
      <c r="R315" s="51"/>
      <c r="S315" s="51"/>
      <c r="T315" s="51"/>
      <c r="U315" s="51"/>
      <c r="V315" s="51" t="str">
        <f>IF([1]C!G295="","",[1]C!G295)</f>
      </c>
      <c r="W315" s="51" t="str">
        <f>IF([1]Humus!G295="","",[1]Humus!G295)</f>
      </c>
      <c r="X315" s="51"/>
      <c r="Y315" s="63"/>
      <c r="Z315" s="51" t="str">
        <f>IF([1]Humus!AK295="","",[1]Humus!AK295)</f>
      </c>
      <c r="AA315" s="51" t="s">
        <v>456</v>
      </c>
      <c r="AF315" t="s">
        <v>763</v>
      </c>
    </row>
    <row r="316" ht="12.75" customHeight="1">
      <c r="A316" s="1" t="s">
        <v>46</v>
      </c>
      <c r="B316" s="178"/>
      <c r="C316" s="51"/>
      <c r="D316" s="178" t="s">
        <v>450</v>
      </c>
      <c r="E316" s="185"/>
      <c r="F316" s="179"/>
      <c r="G316" s="179"/>
      <c r="H316" s="180"/>
      <c r="I316" s="180"/>
      <c r="J316" s="178" t="s">
        <v>450</v>
      </c>
      <c r="K316" s="180"/>
      <c r="L316" s="179"/>
      <c r="M316" s="179"/>
      <c r="N316" s="51"/>
      <c r="O316" s="184" t="str">
        <f t="shared" si="2"/>
        <v>Lassaletta et al., 2014 (from FAO, 2011)</v>
      </c>
      <c r="P316" s="184" t="n">
        <v>2.5906735751295335E-2</v>
      </c>
      <c r="Q316" s="184" t="n">
        <v>6.7357512953367879E-3</v>
      </c>
      <c r="R316" s="51"/>
      <c r="S316" s="51"/>
      <c r="T316" s="51"/>
      <c r="U316" s="51"/>
      <c r="V316" s="51" t="str">
        <f>IF([1]C!G296="","",[1]C!G296)</f>
      </c>
      <c r="W316" s="51" t="str">
        <f>IF([1]Humus!G296="","",[1]Humus!G296)</f>
      </c>
      <c r="X316" s="51"/>
      <c r="Y316" s="63"/>
      <c r="Z316" s="51" t="str">
        <f>IF([1]Humus!AK296="","",[1]Humus!AK296)</f>
      </c>
      <c r="AA316" s="51" t="s">
        <v>456</v>
      </c>
      <c r="AF316" t="s">
        <v>763</v>
      </c>
    </row>
    <row r="317" ht="12.75" customHeight="1">
      <c r="A317" s="1" t="s">
        <v>45</v>
      </c>
      <c r="B317" s="178"/>
      <c r="C317" s="51"/>
      <c r="D317" s="178" t="s">
        <v>450</v>
      </c>
      <c r="E317" s="185"/>
      <c r="F317" s="179"/>
      <c r="G317" s="179"/>
      <c r="H317" s="180"/>
      <c r="I317" s="180"/>
      <c r="J317" s="178" t="s">
        <v>450</v>
      </c>
      <c r="K317" s="180"/>
      <c r="L317" s="179"/>
      <c r="M317" s="179"/>
      <c r="N317" s="51"/>
      <c r="O317" s="184" t="str">
        <f t="shared" si="2"/>
        <v>Lassaletta et al., 2014 (from FAO, 2011)</v>
      </c>
      <c r="P317" s="35"/>
      <c r="Q317" s="35"/>
      <c r="R317" s="51"/>
      <c r="S317" s="51"/>
      <c r="T317" s="51"/>
      <c r="U317" s="51"/>
      <c r="V317" s="51" t="str">
        <f>IF([1]C!G297="","",[1]C!G297)</f>
      </c>
      <c r="W317" s="51" t="str">
        <f>IF([1]Humus!G297="","",[1]Humus!G297)</f>
      </c>
      <c r="X317" s="51"/>
      <c r="Y317" s="63"/>
      <c r="Z317" s="51" t="str">
        <f>IF([1]Humus!AK297="","",[1]Humus!AK297)</f>
      </c>
      <c r="AA317" s="51" t="s">
        <v>456</v>
      </c>
      <c r="AF317" t="s">
        <v>763</v>
      </c>
    </row>
    <row r="318" ht="12.75" customHeight="1">
      <c r="A318" s="1" t="s">
        <v>44</v>
      </c>
      <c r="B318" s="178"/>
      <c r="C318" s="51"/>
      <c r="D318" s="178" t="s">
        <v>450</v>
      </c>
      <c r="E318" s="185"/>
      <c r="F318" s="179"/>
      <c r="G318" s="179"/>
      <c r="H318" s="180"/>
      <c r="I318" s="180"/>
      <c r="J318" s="178" t="s">
        <v>450</v>
      </c>
      <c r="K318" s="180"/>
      <c r="L318" s="179"/>
      <c r="M318" s="179"/>
      <c r="N318" s="51"/>
      <c r="O318" s="184" t="str">
        <f t="shared" si="2"/>
        <v>Lassaletta et al., 2014 (from FAO, 2011)</v>
      </c>
      <c r="P318" s="35"/>
      <c r="Q318" s="35"/>
      <c r="R318" s="51"/>
      <c r="S318" s="51"/>
      <c r="T318" s="51"/>
      <c r="U318" s="51"/>
      <c r="V318" s="51" t="str">
        <f>IF([1]C!G298="","",[1]C!G298)</f>
      </c>
      <c r="W318" s="51" t="str">
        <f>IF([1]Humus!G298="","",[1]Humus!G298)</f>
      </c>
      <c r="X318" s="51"/>
      <c r="Y318" s="63"/>
      <c r="Z318" s="51" t="str">
        <f>IF([1]Humus!AK298="","",[1]Humus!AK298)</f>
      </c>
      <c r="AA318" s="51" t="s">
        <v>456</v>
      </c>
      <c r="AF318" t="s">
        <v>763</v>
      </c>
    </row>
    <row r="319" ht="12.75" customHeight="1">
      <c r="A319" s="1" t="s">
        <v>43</v>
      </c>
      <c r="B319" s="178"/>
      <c r="C319" s="51"/>
      <c r="D319" s="178" t="s">
        <v>450</v>
      </c>
      <c r="E319" s="185"/>
      <c r="F319" s="179"/>
      <c r="G319" s="179"/>
      <c r="H319" s="180"/>
      <c r="I319" s="180"/>
      <c r="J319" s="178" t="s">
        <v>450</v>
      </c>
      <c r="K319" s="180"/>
      <c r="L319" s="179"/>
      <c r="M319" s="179"/>
      <c r="N319" s="51"/>
      <c r="O319" s="184" t="str">
        <f t="shared" si="2"/>
        <v>Lassaletta et al., 2014 (from FAO, 2011)</v>
      </c>
      <c r="P319" s="35"/>
      <c r="Q319" s="35"/>
      <c r="R319" s="51"/>
      <c r="S319" s="51"/>
      <c r="T319" s="51"/>
      <c r="U319" s="51"/>
      <c r="V319" s="51" t="str">
        <f>IF([1]C!G299="","",[1]C!G299)</f>
      </c>
      <c r="W319" s="51" t="str">
        <f>IF([1]Humus!G299="","",[1]Humus!G299)</f>
      </c>
      <c r="X319" s="51"/>
      <c r="Y319" s="63"/>
      <c r="Z319" s="51" t="str">
        <f>IF([1]Humus!AK299="","",[1]Humus!AK299)</f>
      </c>
      <c r="AA319" s="51" t="s">
        <v>456</v>
      </c>
      <c r="AF319" t="s">
        <v>763</v>
      </c>
    </row>
    <row r="320" ht="12.75" customHeight="1">
      <c r="A320" s="1" t="s">
        <v>42</v>
      </c>
      <c r="B320" s="178"/>
      <c r="C320" s="51"/>
      <c r="D320" s="178" t="s">
        <v>450</v>
      </c>
      <c r="E320" s="185"/>
      <c r="F320" s="179"/>
      <c r="G320" s="179"/>
      <c r="H320" s="180"/>
      <c r="I320" s="180"/>
      <c r="J320" s="178" t="s">
        <v>450</v>
      </c>
      <c r="K320" s="180"/>
      <c r="L320" s="179"/>
      <c r="M320" s="179"/>
      <c r="N320" s="51"/>
      <c r="O320" s="184" t="str">
        <f t="shared" si="2"/>
        <v>Lassaletta et al., 2014 (from FAO, 2011)</v>
      </c>
      <c r="P320" s="35"/>
      <c r="Q320" s="35"/>
      <c r="R320" s="51"/>
      <c r="S320" s="51"/>
      <c r="T320" s="51"/>
      <c r="U320" s="51"/>
      <c r="V320" s="51" t="str">
        <f>IF([1]C!G300="","",[1]C!G300)</f>
      </c>
      <c r="W320" s="51" t="str">
        <f>IF([1]Humus!G300="","",[1]Humus!G300)</f>
      </c>
      <c r="X320" s="51"/>
      <c r="Y320" s="63"/>
      <c r="Z320" s="51" t="str">
        <f>IF([1]Humus!AK300="","",[1]Humus!AK300)</f>
      </c>
      <c r="AA320" s="51" t="s">
        <v>456</v>
      </c>
      <c r="AF320" t="s">
        <v>763</v>
      </c>
    </row>
    <row r="321" ht="12.75" customHeight="1">
      <c r="A321" s="1" t="s">
        <v>41</v>
      </c>
      <c r="B321" s="178"/>
      <c r="C321" s="51"/>
      <c r="D321" s="178" t="s">
        <v>450</v>
      </c>
      <c r="E321" s="185"/>
      <c r="F321" s="179"/>
      <c r="G321" s="179"/>
      <c r="H321" s="180"/>
      <c r="I321" s="180"/>
      <c r="J321" s="178" t="s">
        <v>450</v>
      </c>
      <c r="K321" s="180"/>
      <c r="L321" s="179"/>
      <c r="M321" s="179"/>
      <c r="N321" s="51"/>
      <c r="O321" s="184" t="str">
        <f t="shared" si="2"/>
        <v>Lassaletta et al., 2014 (from FAO, 2011)</v>
      </c>
      <c r="P321" s="35"/>
      <c r="Q321" s="35"/>
      <c r="R321" s="51"/>
      <c r="S321" s="51"/>
      <c r="T321" s="51"/>
      <c r="U321" s="51"/>
      <c r="V321" s="51" t="str">
        <f>IF([1]C!G301="","",[1]C!G301)</f>
      </c>
      <c r="W321" s="51" t="str">
        <f>IF([1]Humus!G301="","",[1]Humus!G301)</f>
      </c>
      <c r="X321" s="51"/>
      <c r="Y321" s="63"/>
      <c r="Z321" s="51" t="str">
        <f>IF([1]Humus!AK301="","",[1]Humus!AK301)</f>
      </c>
      <c r="AA321" s="51" t="s">
        <v>456</v>
      </c>
      <c r="AF321" t="s">
        <v>763</v>
      </c>
    </row>
    <row r="322" ht="12.75" customHeight="1">
      <c r="A322" s="1" t="s">
        <v>40</v>
      </c>
      <c r="B322" s="178"/>
      <c r="C322" s="51"/>
      <c r="D322" s="178" t="s">
        <v>450</v>
      </c>
      <c r="E322" s="185"/>
      <c r="F322" s="179"/>
      <c r="G322" s="179"/>
      <c r="H322" s="180"/>
      <c r="I322" s="180"/>
      <c r="J322" s="178" t="s">
        <v>450</v>
      </c>
      <c r="K322" s="180"/>
      <c r="L322" s="179"/>
      <c r="M322" s="179"/>
      <c r="N322" s="51"/>
      <c r="O322" s="184" t="str">
        <f t="shared" si="2"/>
        <v>Lassaletta et al., 2014 (from FAO, 2011)</v>
      </c>
      <c r="P322" s="35"/>
      <c r="Q322" s="35"/>
      <c r="R322" s="51"/>
      <c r="S322" s="51"/>
      <c r="T322" s="51"/>
      <c r="U322" s="51"/>
      <c r="V322" s="51" t="str">
        <f>IF([1]C!G302="","",[1]C!G302)</f>
      </c>
      <c r="W322" s="51" t="str">
        <f>IF([1]Humus!G302="","",[1]Humus!G302)</f>
      </c>
      <c r="X322" s="51"/>
      <c r="Y322" s="63"/>
      <c r="Z322" s="51" t="str">
        <f>IF([1]Humus!AK302="","",[1]Humus!AK302)</f>
      </c>
      <c r="AA322" s="51" t="s">
        <v>456</v>
      </c>
      <c r="AF322" t="s">
        <v>763</v>
      </c>
    </row>
    <row r="323" ht="12.75" customHeight="1">
      <c r="A323" s="1" t="s">
        <v>39</v>
      </c>
      <c r="B323" s="178"/>
      <c r="C323" s="51"/>
      <c r="D323" s="178" t="s">
        <v>450</v>
      </c>
      <c r="E323" s="185"/>
      <c r="F323" s="179"/>
      <c r="G323" s="179"/>
      <c r="H323" s="180"/>
      <c r="I323" s="180"/>
      <c r="J323" s="178" t="s">
        <v>450</v>
      </c>
      <c r="K323" s="180"/>
      <c r="L323" s="179"/>
      <c r="M323" s="179"/>
      <c r="N323" s="51"/>
      <c r="O323" s="184" t="str">
        <f t="shared" si="2"/>
        <v>Lassaletta et al., 2014 (from FAO, 2011)</v>
      </c>
      <c r="P323" s="35"/>
      <c r="Q323" s="35"/>
      <c r="R323" s="51"/>
      <c r="S323" s="51"/>
      <c r="T323" s="51"/>
      <c r="U323" s="51"/>
      <c r="V323" s="51" t="str">
        <f>IF([1]C!G303="","",[1]C!G303)</f>
      </c>
      <c r="W323" s="51" t="str">
        <f>IF([1]Humus!G303="","",[1]Humus!G303)</f>
      </c>
      <c r="X323" s="51"/>
      <c r="Y323" s="63"/>
      <c r="Z323" s="51" t="str">
        <f>IF([1]Humus!AK303="","",[1]Humus!AK303)</f>
      </c>
      <c r="AA323" s="51" t="s">
        <v>456</v>
      </c>
      <c r="AF323" t="s">
        <v>763</v>
      </c>
    </row>
    <row r="324" ht="12.75" customHeight="1">
      <c r="A324" s="1" t="s">
        <v>38</v>
      </c>
      <c r="B324" s="178"/>
      <c r="C324" s="51"/>
      <c r="D324" s="178" t="s">
        <v>450</v>
      </c>
      <c r="E324" s="185"/>
      <c r="F324" s="179"/>
      <c r="G324" s="179"/>
      <c r="H324" s="180"/>
      <c r="I324" s="180"/>
      <c r="J324" s="178" t="s">
        <v>450</v>
      </c>
      <c r="K324" s="180"/>
      <c r="L324" s="179"/>
      <c r="M324" s="179"/>
      <c r="N324" s="51"/>
      <c r="O324" s="184" t="str">
        <f t="shared" si="2"/>
        <v>Lassaletta et al., 2014 (from FAO, 2011)</v>
      </c>
      <c r="P324" s="35"/>
      <c r="Q324" s="35"/>
      <c r="R324" s="51"/>
      <c r="S324" s="51"/>
      <c r="T324" s="51"/>
      <c r="U324" s="51"/>
      <c r="V324" s="51" t="str">
        <f>IF([1]C!G304="","",[1]C!G304)</f>
      </c>
      <c r="W324" s="51" t="str">
        <f>IF([1]Humus!G304="","",[1]Humus!G304)</f>
      </c>
      <c r="X324" s="51"/>
      <c r="Y324" s="63"/>
      <c r="Z324" s="51" t="str">
        <f>IF([1]Humus!AK304="","",[1]Humus!AK304)</f>
      </c>
      <c r="AA324" s="51" t="s">
        <v>456</v>
      </c>
      <c r="AF324" t="s">
        <v>763</v>
      </c>
    </row>
    <row r="325" ht="12.75" customHeight="1">
      <c r="A325" s="1" t="s">
        <v>37</v>
      </c>
      <c r="B325" s="178"/>
      <c r="C325" s="51"/>
      <c r="D325" s="178" t="s">
        <v>450</v>
      </c>
      <c r="E325" s="185"/>
      <c r="F325" s="179"/>
      <c r="G325" s="179"/>
      <c r="H325" s="180"/>
      <c r="I325" s="180"/>
      <c r="J325" s="178" t="s">
        <v>450</v>
      </c>
      <c r="K325" s="180"/>
      <c r="L325" s="179"/>
      <c r="M325" s="179"/>
      <c r="N325" s="51"/>
      <c r="O325" s="184" t="str">
        <f t="shared" si="2"/>
        <v>Lassaletta et al., 2014 (from FAO, 2011)</v>
      </c>
      <c r="P325" s="35"/>
      <c r="Q325" s="35"/>
      <c r="R325" s="51"/>
      <c r="S325" s="51"/>
      <c r="T325" s="51"/>
      <c r="U325" s="51"/>
      <c r="V325" s="51" t="str">
        <f>IF([1]C!G305="","",[1]C!G305)</f>
      </c>
      <c r="W325" s="51" t="str">
        <f>IF([1]Humus!G305="","",[1]Humus!G305)</f>
      </c>
      <c r="X325" s="51"/>
      <c r="Y325" s="63"/>
      <c r="Z325" s="51" t="str">
        <f>IF([1]Humus!AK305="","",[1]Humus!AK305)</f>
      </c>
      <c r="AA325" s="51" t="s">
        <v>456</v>
      </c>
      <c r="AF325" t="s">
        <v>763</v>
      </c>
    </row>
    <row r="326" ht="12.75" customHeight="1">
      <c r="A326" s="1" t="s">
        <v>36</v>
      </c>
      <c r="B326" s="178"/>
      <c r="C326" s="51"/>
      <c r="D326" s="178" t="s">
        <v>450</v>
      </c>
      <c r="E326" s="185"/>
      <c r="F326" s="179"/>
      <c r="G326" s="179"/>
      <c r="H326" s="180"/>
      <c r="I326" s="180"/>
      <c r="J326" s="178" t="s">
        <v>450</v>
      </c>
      <c r="K326" s="180"/>
      <c r="L326" s="179"/>
      <c r="M326" s="179"/>
      <c r="N326" s="51"/>
      <c r="O326" s="184" t="str">
        <f t="shared" si="2"/>
        <v>Lassaletta et al., 2014 (from FAO, 2011)</v>
      </c>
      <c r="P326" s="35"/>
      <c r="Q326" s="35"/>
      <c r="R326" s="51"/>
      <c r="S326" s="51"/>
      <c r="T326" s="51"/>
      <c r="U326" s="51"/>
      <c r="V326" s="51" t="str">
        <f>IF([1]C!G306="","",[1]C!G306)</f>
      </c>
      <c r="W326" s="51" t="str">
        <f>IF([1]Humus!G306="","",[1]Humus!G306)</f>
      </c>
      <c r="X326" s="51"/>
      <c r="Y326" s="63"/>
      <c r="Z326" s="51" t="str">
        <f>IF([1]Humus!AK306="","",[1]Humus!AK306)</f>
      </c>
      <c r="AA326" s="51" t="s">
        <v>456</v>
      </c>
      <c r="AF326" t="s">
        <v>763</v>
      </c>
    </row>
    <row r="327" ht="12.75" customHeight="1">
      <c r="A327" s="1" t="s">
        <v>35</v>
      </c>
      <c r="B327" s="178"/>
      <c r="C327" s="51"/>
      <c r="D327" s="178" t="s">
        <v>450</v>
      </c>
      <c r="E327" s="185"/>
      <c r="F327" s="179"/>
      <c r="G327" s="179"/>
      <c r="H327" s="180"/>
      <c r="I327" s="180"/>
      <c r="J327" s="178" t="s">
        <v>450</v>
      </c>
      <c r="K327" s="180"/>
      <c r="L327" s="179"/>
      <c r="M327" s="179"/>
      <c r="N327" s="51"/>
      <c r="O327" s="35"/>
      <c r="P327" s="35"/>
      <c r="Q327" s="35"/>
      <c r="R327" s="51"/>
      <c r="S327" s="51"/>
      <c r="T327" s="51"/>
      <c r="U327" s="51"/>
      <c r="V327" s="51" t="str">
        <f>IF([1]C!G307="","",[1]C!G307)</f>
      </c>
      <c r="W327" s="51" t="str">
        <f>IF([1]Humus!G307="","",[1]Humus!G307)</f>
      </c>
      <c r="X327" s="51"/>
      <c r="Y327" s="63"/>
      <c r="Z327" s="51" t="str">
        <f>IF([1]Humus!AK307="","",[1]Humus!AK307)</f>
      </c>
      <c r="AA327" s="51" t="s">
        <v>456</v>
      </c>
      <c r="AF327" t="s">
        <v>763</v>
      </c>
    </row>
    <row r="328" ht="12.75" customHeight="1">
      <c r="A328" s="1" t="s">
        <v>34</v>
      </c>
      <c r="B328" s="178"/>
      <c r="C328" s="51"/>
      <c r="D328" s="178" t="s">
        <v>450</v>
      </c>
      <c r="E328" s="185"/>
      <c r="F328" s="179"/>
      <c r="G328" s="179"/>
      <c r="H328" s="180"/>
      <c r="I328" s="180"/>
      <c r="J328" s="178" t="s">
        <v>450</v>
      </c>
      <c r="K328" s="180"/>
      <c r="L328" s="179"/>
      <c r="M328" s="179"/>
      <c r="N328" s="51"/>
      <c r="O328" s="35" t="n">
        <v>0</v>
      </c>
      <c r="P328" s="35" t="n">
        <v>0</v>
      </c>
      <c r="Q328" s="35" t="n">
        <v>0</v>
      </c>
      <c r="R328" s="51"/>
      <c r="S328" s="51"/>
      <c r="T328" s="51"/>
      <c r="U328" s="51"/>
      <c r="V328" s="51" t="str">
        <f>IF([1]C!G308="","",[1]C!G308)</f>
      </c>
      <c r="W328" s="51" t="str">
        <f>IF([1]Humus!G308="","",[1]Humus!G308)</f>
      </c>
      <c r="X328" s="51"/>
      <c r="Y328" s="63"/>
      <c r="Z328" s="51" t="str">
        <f>IF([1]Humus!AK308="","",[1]Humus!AK308)</f>
      </c>
      <c r="AA328" s="51" t="s">
        <v>456</v>
      </c>
      <c r="AF328" t="s">
        <v>763</v>
      </c>
    </row>
    <row r="329" ht="12.75" customHeight="1">
      <c r="A329" s="1" t="s">
        <v>32</v>
      </c>
      <c r="B329" s="178"/>
      <c r="C329" s="51"/>
      <c r="D329" s="178" t="s">
        <v>450</v>
      </c>
      <c r="E329" s="185"/>
      <c r="F329" s="185"/>
      <c r="G329" s="185"/>
      <c r="H329" s="180"/>
      <c r="I329" s="180"/>
      <c r="J329" s="178" t="s">
        <v>450</v>
      </c>
      <c r="K329" s="180"/>
      <c r="L329" s="179"/>
      <c r="M329" s="179"/>
      <c r="N329" s="51"/>
      <c r="O329" s="35" t="n">
        <v>8.4941373722057803E-2</v>
      </c>
      <c r="P329" s="35" t="n">
        <v>4.0410088648189166E-2</v>
      </c>
      <c r="Q329" s="35" t="n">
        <v>6.2415547271275655E-3</v>
      </c>
      <c r="R329" s="51"/>
      <c r="S329" s="51"/>
      <c r="T329" s="51"/>
      <c r="U329" s="51"/>
      <c r="V329" s="51" t="str">
        <f>IF([1]C!G309="","",[1]C!G309)</f>
      </c>
      <c r="W329" s="51" t="str">
        <f>IF([1]Humus!G309="","",[1]Humus!G309)</f>
      </c>
      <c r="X329" s="51"/>
      <c r="Y329" s="63"/>
      <c r="Z329" s="51" t="str">
        <f>IF([1]Humus!AK309="","",[1]Humus!AK309)</f>
      </c>
      <c r="AA329" s="51" t="s">
        <v>456</v>
      </c>
      <c r="AF329" t="s">
        <v>763</v>
      </c>
    </row>
    <row r="330" ht="12.75" customHeight="1">
      <c r="A330" s="81" t="s">
        <v>31</v>
      </c>
      <c r="B330" s="27"/>
      <c r="C330" s="13"/>
      <c r="D330" s="46"/>
      <c r="E330" s="46"/>
      <c r="F330" s="46"/>
      <c r="G330" s="46"/>
      <c r="H330" s="24"/>
      <c r="I330" s="24"/>
      <c r="J330" s="24"/>
      <c r="K330" s="24"/>
      <c r="L330" s="70"/>
      <c r="M330" s="70"/>
      <c r="N330" s="13"/>
      <c r="O330" s="155"/>
      <c r="P330" s="155"/>
      <c r="Q330" s="155"/>
      <c r="R330" s="13"/>
      <c r="S330" s="13"/>
      <c r="T330" s="13"/>
      <c r="U330" s="13"/>
      <c r="V330" s="51" t="str">
        <f>IF([1]C!G310="","",[1]C!G310)</f>
      </c>
      <c r="W330" s="51" t="str">
        <f>IF([1]Humus!G310="","",[1]Humus!G310)</f>
      </c>
      <c r="X330" s="13"/>
      <c r="Y330" s="13"/>
      <c r="Z330" s="51" t="str">
        <f>IF([1]Humus!AK310="","",[1]Humus!AK310)</f>
      </c>
      <c r="AA330" s="51" t="s">
        <v>456</v>
      </c>
      <c r="AF330" t="s">
        <v>763</v>
      </c>
    </row>
    <row r="331" ht="12.75" customHeight="1">
      <c r="A331" s="1" t="s">
        <v>30</v>
      </c>
      <c r="B331" s="178"/>
      <c r="C331" s="51"/>
      <c r="D331" s="178" t="s">
        <v>450</v>
      </c>
      <c r="E331" s="185"/>
      <c r="F331" s="179"/>
      <c r="G331" s="179"/>
      <c r="H331" s="180"/>
      <c r="I331" s="180"/>
      <c r="J331" s="178" t="s">
        <v>450</v>
      </c>
      <c r="K331" s="180"/>
      <c r="L331" s="179"/>
      <c r="M331" s="179"/>
      <c r="N331" s="51"/>
      <c r="O331" s="35" t="n">
        <v>0.15130434782608693</v>
      </c>
      <c r="P331" s="35" t="n">
        <v>2.2826086956521737E-3</v>
      </c>
      <c r="Q331" s="35" t="n">
        <v>2.717391304347826E-3</v>
      </c>
      <c r="R331" s="51"/>
      <c r="S331" s="51"/>
      <c r="T331" s="51"/>
      <c r="U331" s="51"/>
      <c r="V331" s="51" t="str">
        <f>IF([1]C!G311="","",[1]C!G311)</f>
        <v>Mondini et al. (2017), Cayuela et al. (2009)</v>
      </c>
      <c r="W331" s="51" t="str">
        <f>IF([1]Humus!G311="","",[1]Humus!G311)</f>
      </c>
      <c r="X331" s="51"/>
      <c r="Y331" s="63"/>
      <c r="Z331" s="51" t="str">
        <f>IF([1]Humus!AK311="","",[1]Humus!AK311)</f>
      </c>
      <c r="AA331" s="51" t="s">
        <v>456</v>
      </c>
      <c r="AF331" t="s">
        <v>763</v>
      </c>
    </row>
    <row r="332" ht="12.75" customHeight="1">
      <c r="A332" s="1" t="s">
        <v>29</v>
      </c>
      <c r="B332" s="178"/>
      <c r="C332" s="51"/>
      <c r="D332" s="183" t="n">
        <v>0.3</v>
      </c>
      <c r="E332" s="185"/>
      <c r="F332" s="179"/>
      <c r="G332" s="179"/>
      <c r="H332" s="180"/>
      <c r="I332" s="180"/>
      <c r="J332" s="180"/>
      <c r="K332" s="180"/>
      <c r="L332" s="179"/>
      <c r="M332" s="179"/>
      <c r="N332" s="51"/>
      <c r="O332" s="35" t="s">
        <v>576</v>
      </c>
      <c r="P332" s="35"/>
      <c r="Q332" s="35"/>
      <c r="R332" s="51"/>
      <c r="S332" s="51"/>
      <c r="T332" s="51"/>
      <c r="U332" s="51"/>
      <c r="V332" s="51" t="str">
        <f>IF([1]C!G312="","",[1]C!G312)</f>
      </c>
      <c r="W332" s="51" t="str">
        <f>IF([1]Humus!G312="","",[1]Humus!G312)</f>
      </c>
      <c r="X332" s="51"/>
      <c r="Y332" s="63"/>
      <c r="Z332" s="51" t="str">
        <f>IF([1]Humus!AK312="","",[1]Humus!AK312)</f>
      </c>
      <c r="AA332" s="51" t="s">
        <v>456</v>
      </c>
      <c r="AF332" t="s">
        <v>763</v>
      </c>
    </row>
    <row r="333" ht="12.75" customHeight="1">
      <c r="A333" s="1" t="s">
        <v>28</v>
      </c>
      <c r="B333" s="178"/>
      <c r="C333" s="51"/>
      <c r="D333" s="183" t="n">
        <v>0.8</v>
      </c>
      <c r="E333" s="185"/>
      <c r="F333" s="179"/>
      <c r="G333" s="179"/>
      <c r="H333" s="180"/>
      <c r="I333" s="180"/>
      <c r="J333" s="180"/>
      <c r="K333" s="180"/>
      <c r="L333" s="179"/>
      <c r="M333" s="179"/>
      <c r="N333" s="51"/>
      <c r="O333" s="35" t="s">
        <v>576</v>
      </c>
      <c r="P333" s="35"/>
      <c r="Q333" s="35"/>
      <c r="R333" s="51"/>
      <c r="S333" s="51"/>
      <c r="T333" s="51"/>
      <c r="U333" s="51"/>
      <c r="V333" s="51" t="str">
        <f>IF([1]C!G313="","",[1]C!G313)</f>
        <v>Mondini et al. (2017)</v>
      </c>
      <c r="W333" s="51" t="str">
        <f>IF([1]Humus!G313="","",[1]Humus!G313)</f>
      </c>
      <c r="X333" s="51"/>
      <c r="Y333" s="63"/>
      <c r="Z333" s="51" t="str">
        <f>IF([1]Humus!AK313="","",[1]Humus!AK313)</f>
      </c>
      <c r="AA333" s="51" t="s">
        <v>456</v>
      </c>
      <c r="AF333" t="s">
        <v>763</v>
      </c>
    </row>
    <row r="334" ht="12.75" customHeight="1">
      <c r="A334" s="1" t="s">
        <v>27</v>
      </c>
      <c r="B334" s="178"/>
      <c r="C334" s="51"/>
      <c r="D334" s="183" t="n">
        <v>0.95</v>
      </c>
      <c r="E334" s="185"/>
      <c r="F334" s="179"/>
      <c r="G334" s="179"/>
      <c r="H334" s="180"/>
      <c r="I334" s="180"/>
      <c r="J334" s="180"/>
      <c r="K334" s="180"/>
      <c r="L334" s="179"/>
      <c r="M334" s="179"/>
      <c r="N334" s="51"/>
      <c r="O334" s="35" t="s">
        <v>576</v>
      </c>
      <c r="P334" s="184" t="n">
        <v>4.0410088648189166E-2</v>
      </c>
      <c r="Q334" s="184" t="n">
        <v>6.2415547271275655E-3</v>
      </c>
      <c r="R334" s="51"/>
      <c r="S334" s="51"/>
      <c r="T334" s="51"/>
      <c r="U334" s="51"/>
      <c r="V334" s="51" t="str">
        <f>IF([1]C!G314="","",[1]C!G314)</f>
        <v>Mondini et al. (2017)</v>
      </c>
      <c r="W334" s="51" t="str">
        <f>IF([1]Humus!G314="","",[1]Humus!G314)</f>
      </c>
      <c r="X334" s="51"/>
      <c r="Y334" s="63"/>
      <c r="Z334" s="51" t="str">
        <f>IF([1]Humus!AK314="","",[1]Humus!AK314)</f>
      </c>
      <c r="AA334" s="51" t="s">
        <v>456</v>
      </c>
      <c r="AF334" t="s">
        <v>763</v>
      </c>
    </row>
    <row r="335" ht="12.75" customHeight="1">
      <c r="A335" s="1" t="s">
        <v>26</v>
      </c>
      <c r="B335" s="178"/>
      <c r="C335" s="51"/>
      <c r="D335" s="183" t="n">
        <v>0.95</v>
      </c>
      <c r="E335" s="183"/>
      <c r="F335" s="181"/>
      <c r="G335" s="181"/>
      <c r="H335" s="181"/>
      <c r="I335" s="181"/>
      <c r="J335" s="181" t="n">
        <v>38.805</v>
      </c>
      <c r="K335" s="180"/>
      <c r="L335" s="179"/>
      <c r="M335" s="179"/>
      <c r="N335" s="51"/>
      <c r="O335" s="35"/>
      <c r="P335" s="35" t="n">
        <v>0</v>
      </c>
      <c r="Q335" s="35" t="n">
        <v>0</v>
      </c>
      <c r="R335" s="51"/>
      <c r="S335" s="51"/>
      <c r="T335" s="51"/>
      <c r="U335" s="51"/>
      <c r="V335" s="51" t="str">
        <f>IF([1]C!G315="","",[1]C!G315)</f>
      </c>
      <c r="W335" s="51" t="str">
        <f>IF([1]Humus!G315="","",[1]Humus!G315)</f>
      </c>
      <c r="X335" s="51"/>
      <c r="Y335" s="63"/>
      <c r="Z335" s="51" t="str">
        <f>IF([1]Humus!AK315="","",[1]Humus!AK315)</f>
      </c>
      <c r="AA335" s="51" t="s">
        <v>456</v>
      </c>
      <c r="AF335" t="s">
        <v>763</v>
      </c>
    </row>
    <row r="336" ht="12.75" customHeight="1">
      <c r="A336" s="81" t="s">
        <v>24</v>
      </c>
      <c r="B336" s="27"/>
      <c r="C336" s="13"/>
      <c r="D336" s="93"/>
      <c r="E336" s="93"/>
      <c r="F336" s="144"/>
      <c r="G336" s="144"/>
      <c r="H336" s="144"/>
      <c r="I336" s="144"/>
      <c r="J336" s="144"/>
      <c r="K336" s="24"/>
      <c r="L336" s="70"/>
      <c r="M336" s="70"/>
      <c r="N336" s="13"/>
      <c r="O336" s="155"/>
      <c r="P336" s="155"/>
      <c r="Q336" s="155"/>
      <c r="R336" s="13"/>
      <c r="S336" s="13"/>
      <c r="T336" s="13"/>
      <c r="U336" s="13"/>
      <c r="V336" s="51" t="str">
        <f>IF([1]C!G316="","",[1]C!G316)</f>
      </c>
      <c r="W336" s="51" t="str">
        <f>IF([1]Humus!G316="","",[1]Humus!G316)</f>
      </c>
      <c r="X336" s="13"/>
      <c r="Y336" s="13"/>
      <c r="Z336" s="51" t="str">
        <f>IF([1]Humus!AK316="","",[1]Humus!AK316)</f>
      </c>
      <c r="AA336" s="51" t="s">
        <v>456</v>
      </c>
      <c r="AF336" t="s">
        <v>763</v>
      </c>
    </row>
    <row r="337" ht="12.75" customHeight="1">
      <c r="A337" s="219" t="s">
        <v>23</v>
      </c>
      <c r="B337" s="178"/>
      <c r="C337" s="51"/>
      <c r="D337" s="183" t="n">
        <v>0.25</v>
      </c>
      <c r="E337" s="185"/>
      <c r="F337" s="179"/>
      <c r="G337" s="179"/>
      <c r="H337" s="180"/>
      <c r="I337" s="180"/>
      <c r="J337" s="180"/>
      <c r="K337" s="180"/>
      <c r="L337" s="179"/>
      <c r="M337" s="179"/>
      <c r="N337" s="51"/>
      <c r="O337" s="184" t="n">
        <v>0.1114514129647093</v>
      </c>
      <c r="P337" s="184" t="n">
        <v>2.7989444395953307E-2</v>
      </c>
      <c r="Q337" s="184" t="n">
        <v>1.0076468543376831E-2</v>
      </c>
      <c r="R337" s="51"/>
      <c r="S337" s="51"/>
      <c r="T337" s="51"/>
      <c r="U337" s="51"/>
      <c r="V337" s="51" t="str">
        <f>IF([1]C!G317="","",[1]C!G317)</f>
      </c>
      <c r="W337" s="51" t="str">
        <f>IF([1]Humus!G317="","",[1]Humus!G317)</f>
      </c>
      <c r="X337" s="51"/>
      <c r="Y337" s="63"/>
      <c r="Z337" s="51" t="str">
        <f>IF([1]Humus!AK317="","",[1]Humus!AK317)</f>
      </c>
      <c r="AA337" s="51" t="s">
        <v>456</v>
      </c>
      <c r="AF337" t="s">
        <v>763</v>
      </c>
    </row>
    <row r="338" ht="12.75" customHeight="1">
      <c r="A338" s="219" t="s">
        <v>22</v>
      </c>
      <c r="B338" s="178"/>
      <c r="C338" s="51"/>
      <c r="D338" s="183" t="n">
        <v>0.25</v>
      </c>
      <c r="E338" s="185"/>
      <c r="F338" s="179"/>
      <c r="G338" s="179"/>
      <c r="H338" s="180"/>
      <c r="I338" s="180"/>
      <c r="J338" s="180"/>
      <c r="K338" s="180"/>
      <c r="L338" s="179"/>
      <c r="M338" s="179"/>
      <c r="N338" s="51"/>
      <c r="O338" s="184" t="n">
        <v>0.1114514129647093</v>
      </c>
      <c r="P338" s="184" t="n">
        <v>2.7989444395953307E-2</v>
      </c>
      <c r="Q338" s="184" t="n">
        <v>1.0076468543376831E-2</v>
      </c>
      <c r="R338" s="51"/>
      <c r="S338" s="51"/>
      <c r="T338" s="51"/>
      <c r="U338" s="51"/>
      <c r="V338" s="51" t="str">
        <f>IF([1]C!G318="","",[1]C!G318)</f>
      </c>
      <c r="W338" s="51" t="str">
        <f>IF([1]Humus!G318="","",[1]Humus!G318)</f>
      </c>
      <c r="X338" s="51"/>
      <c r="Y338" s="63"/>
      <c r="Z338" s="51" t="str">
        <f>IF([1]Humus!AK318="","",[1]Humus!AK318)</f>
      </c>
      <c r="AA338" s="51" t="s">
        <v>456</v>
      </c>
      <c r="AF338" t="s">
        <v>763</v>
      </c>
    </row>
    <row r="339" ht="12.75" customHeight="1">
      <c r="A339" s="219" t="s">
        <v>21</v>
      </c>
      <c r="B339" s="178"/>
      <c r="C339" s="51"/>
      <c r="D339" s="183" t="n">
        <v>0.25</v>
      </c>
      <c r="E339" s="185"/>
      <c r="F339" s="179"/>
      <c r="G339" s="179"/>
      <c r="H339" s="180"/>
      <c r="I339" s="180"/>
      <c r="J339" s="180"/>
      <c r="K339" s="180"/>
      <c r="L339" s="179"/>
      <c r="M339" s="179"/>
      <c r="N339" s="51"/>
      <c r="O339" s="184" t="n">
        <v>0.1114514129647093</v>
      </c>
      <c r="P339" s="184" t="n">
        <v>2.7989444395953307E-2</v>
      </c>
      <c r="Q339" s="184" t="n">
        <v>1.0076468543376831E-2</v>
      </c>
      <c r="R339" s="51"/>
      <c r="S339" s="51"/>
      <c r="T339" s="51"/>
      <c r="U339" s="51"/>
      <c r="V339" s="51" t="str">
        <f>IF([1]C!G319="","",[1]C!G319)</f>
      </c>
      <c r="W339" s="51" t="str">
        <f>IF([1]Humus!G319="","",[1]Humus!G319)</f>
      </c>
      <c r="X339" s="51"/>
      <c r="Y339" s="63"/>
      <c r="Z339" s="51" t="str">
        <f>IF([1]Humus!AK319="","",[1]Humus!AK319)</f>
      </c>
      <c r="AA339" s="51" t="s">
        <v>456</v>
      </c>
      <c r="AF339" t="s">
        <v>763</v>
      </c>
    </row>
    <row r="340" ht="12.75" customHeight="1">
      <c r="A340" s="219" t="s">
        <v>20</v>
      </c>
      <c r="B340" s="178"/>
      <c r="C340" s="51"/>
      <c r="D340" s="183" t="n">
        <v>0.25</v>
      </c>
      <c r="E340" s="185"/>
      <c r="F340" s="179"/>
      <c r="G340" s="179"/>
      <c r="H340" s="180"/>
      <c r="I340" s="180"/>
      <c r="J340" s="180"/>
      <c r="K340" s="180"/>
      <c r="L340" s="179"/>
      <c r="M340" s="179"/>
      <c r="N340" s="51"/>
      <c r="O340" s="184" t="n">
        <v>0.1114514129647093</v>
      </c>
      <c r="P340" s="184" t="n">
        <v>2.7989444395953307E-2</v>
      </c>
      <c r="Q340" s="184" t="n">
        <v>1.0076468543376831E-2</v>
      </c>
      <c r="R340" s="51"/>
      <c r="S340" s="51"/>
      <c r="T340" s="51"/>
      <c r="U340" s="51"/>
      <c r="V340" s="51" t="str">
        <f>IF([1]C!G320="","",[1]C!G320)</f>
      </c>
      <c r="W340" s="51" t="str">
        <f>IF([1]Humus!G320="","",[1]Humus!G320)</f>
      </c>
      <c r="X340" s="51"/>
      <c r="Y340" s="63"/>
      <c r="Z340" s="51" t="str">
        <f>IF([1]Humus!AK320="","",[1]Humus!AK320)</f>
      </c>
      <c r="AA340" s="51" t="s">
        <v>456</v>
      </c>
      <c r="AF340" t="s">
        <v>763</v>
      </c>
    </row>
    <row r="341" ht="12.75" customHeight="1">
      <c r="A341" s="219" t="s">
        <v>19</v>
      </c>
      <c r="B341" s="178"/>
      <c r="C341" s="51"/>
      <c r="D341" s="183" t="n">
        <v>0.25</v>
      </c>
      <c r="E341" s="185"/>
      <c r="F341" s="179"/>
      <c r="G341" s="179"/>
      <c r="H341" s="180"/>
      <c r="I341" s="180"/>
      <c r="J341" s="180"/>
      <c r="K341" s="180"/>
      <c r="L341" s="179"/>
      <c r="M341" s="179"/>
      <c r="N341" s="51"/>
      <c r="O341" s="184" t="n">
        <v>0.1114514129647093</v>
      </c>
      <c r="P341" s="184" t="n">
        <v>2.7989444395953307E-2</v>
      </c>
      <c r="Q341" s="184" t="n">
        <v>1.0076468543376831E-2</v>
      </c>
      <c r="R341" s="51"/>
      <c r="S341" s="51"/>
      <c r="T341" s="51"/>
      <c r="U341" s="51"/>
      <c r="V341" s="51" t="str">
        <f>IF([1]C!G321="","",[1]C!G321)</f>
      </c>
      <c r="W341" s="51" t="str">
        <f>IF([1]Humus!G321="","",[1]Humus!G321)</f>
      </c>
      <c r="X341" s="51"/>
      <c r="Y341" s="63"/>
      <c r="Z341" s="51" t="str">
        <f>IF([1]Humus!AK321="","",[1]Humus!AK321)</f>
      </c>
      <c r="AA341" s="51" t="s">
        <v>456</v>
      </c>
      <c r="AF341" t="s">
        <v>763</v>
      </c>
    </row>
    <row r="342" ht="12.75" customHeight="1">
      <c r="A342" s="219" t="s">
        <v>18</v>
      </c>
      <c r="B342" s="178"/>
      <c r="C342" s="51"/>
      <c r="D342" s="183" t="n">
        <v>0.25</v>
      </c>
      <c r="E342" s="185"/>
      <c r="F342" s="179"/>
      <c r="G342" s="179"/>
      <c r="H342" s="180"/>
      <c r="I342" s="180"/>
      <c r="J342" s="180"/>
      <c r="K342" s="180"/>
      <c r="L342" s="179"/>
      <c r="M342" s="179"/>
      <c r="N342" s="51"/>
      <c r="O342" s="184" t="n">
        <v>0.1114514129647093</v>
      </c>
      <c r="P342" s="184" t="n">
        <v>2.7989444395953307E-2</v>
      </c>
      <c r="Q342" s="184" t="n">
        <v>1.0076468543376831E-2</v>
      </c>
      <c r="R342" s="51"/>
      <c r="S342" s="51"/>
      <c r="T342" s="51"/>
      <c r="U342" s="51"/>
      <c r="V342" s="51" t="str">
        <f>IF([1]C!G322="","",[1]C!G322)</f>
      </c>
      <c r="W342" s="51" t="str">
        <f>IF([1]Humus!G322="","",[1]Humus!G322)</f>
      </c>
      <c r="X342" s="51"/>
      <c r="Y342" s="63"/>
      <c r="Z342" s="51" t="str">
        <f>IF([1]Humus!AK322="","",[1]Humus!AK322)</f>
      </c>
      <c r="AA342" s="51" t="s">
        <v>456</v>
      </c>
      <c r="AF342" t="s">
        <v>763</v>
      </c>
    </row>
    <row r="343" ht="12.75" customHeight="1">
      <c r="A343" s="219" t="s">
        <v>17</v>
      </c>
      <c r="B343" s="178"/>
      <c r="C343" s="51"/>
      <c r="D343" s="183" t="n">
        <v>0.25</v>
      </c>
      <c r="E343" s="185"/>
      <c r="F343" s="179"/>
      <c r="G343" s="179"/>
      <c r="H343" s="180"/>
      <c r="I343" s="180"/>
      <c r="J343" s="180"/>
      <c r="K343" s="180"/>
      <c r="L343" s="179"/>
      <c r="M343" s="179"/>
      <c r="N343" s="51"/>
      <c r="O343" s="35" t="n">
        <v>0.1114514129647093</v>
      </c>
      <c r="P343" s="35" t="n">
        <v>2.7989444395953307E-2</v>
      </c>
      <c r="Q343" s="35" t="n">
        <v>1.0076468543376831E-2</v>
      </c>
      <c r="R343" s="51"/>
      <c r="S343" s="51"/>
      <c r="T343" s="51"/>
      <c r="U343" s="51"/>
      <c r="V343" s="51" t="str">
        <f>IF([1]C!G323="","",[1]C!G323)</f>
      </c>
      <c r="W343" s="51" t="str">
        <f>IF([1]Humus!G323="","",[1]Humus!G323)</f>
      </c>
      <c r="X343" s="51"/>
      <c r="Y343" s="63"/>
      <c r="Z343" s="51" t="str">
        <f>IF([1]Humus!AK323="","",[1]Humus!AK323)</f>
      </c>
      <c r="AA343" s="51" t="s">
        <v>456</v>
      </c>
      <c r="AF343" t="s">
        <v>763</v>
      </c>
    </row>
    <row r="344" ht="12.75" customHeight="1">
      <c r="A344" s="219" t="s">
        <v>16</v>
      </c>
      <c r="B344" s="178"/>
      <c r="C344" s="51"/>
      <c r="D344" s="183" t="n">
        <v>0.25</v>
      </c>
      <c r="E344" s="185"/>
      <c r="F344" s="179"/>
      <c r="G344" s="179"/>
      <c r="H344" s="180"/>
      <c r="I344" s="180"/>
      <c r="J344" s="180"/>
      <c r="K344" s="180"/>
      <c r="L344" s="179"/>
      <c r="M344" s="179"/>
      <c r="N344" s="51"/>
      <c r="O344" s="184" t="n">
        <v>0.1114514129647093</v>
      </c>
      <c r="P344" s="184" t="n">
        <v>2.7989444395953307E-2</v>
      </c>
      <c r="Q344" s="184" t="n">
        <v>1.0076468543376831E-2</v>
      </c>
      <c r="R344" s="51"/>
      <c r="S344" s="51"/>
      <c r="T344" s="51"/>
      <c r="U344" s="51"/>
      <c r="V344" s="51" t="str">
        <f>IF([1]C!G324="","",[1]C!G324)</f>
      </c>
      <c r="W344" s="51" t="str">
        <f>IF([1]Humus!G324="","",[1]Humus!G324)</f>
      </c>
      <c r="X344" s="51"/>
      <c r="Y344" s="63"/>
      <c r="Z344" s="51" t="str">
        <f>IF([1]Humus!AK324="","",[1]Humus!AK324)</f>
      </c>
      <c r="AA344" s="51" t="s">
        <v>456</v>
      </c>
      <c r="AF344" t="s">
        <v>763</v>
      </c>
    </row>
    <row r="345" ht="12.75" customHeight="1">
      <c r="A345" s="219" t="s">
        <v>15</v>
      </c>
      <c r="B345" s="179"/>
      <c r="C345" s="179"/>
      <c r="D345" s="183" t="n">
        <v>0.25</v>
      </c>
      <c r="E345" s="185"/>
      <c r="F345" s="179"/>
      <c r="G345" s="179"/>
      <c r="H345" s="180"/>
      <c r="I345" s="180"/>
      <c r="J345" s="180"/>
      <c r="K345" s="179"/>
      <c r="L345" s="179"/>
      <c r="M345" s="179"/>
      <c r="N345" s="51"/>
      <c r="O345" s="184" t="n">
        <v>0.1114514129647093</v>
      </c>
      <c r="P345" s="184" t="n">
        <v>2.7989444395953307E-2</v>
      </c>
      <c r="Q345" s="184" t="n">
        <v>1.0076468543376831E-2</v>
      </c>
      <c r="R345" s="51"/>
      <c r="S345" s="51"/>
      <c r="T345" s="51"/>
      <c r="U345" s="51"/>
      <c r="V345" s="51" t="str">
        <f>IF([1]C!G325="","",[1]C!G325)</f>
      </c>
      <c r="W345" s="51" t="str">
        <f>IF([1]Humus!G325="","",[1]Humus!G325)</f>
      </c>
      <c r="X345" s="51"/>
      <c r="Y345" s="63"/>
      <c r="Z345" s="51" t="str">
        <f>IF([1]Humus!AK325="","",[1]Humus!AK325)</f>
      </c>
      <c r="AA345" s="51" t="s">
        <v>456</v>
      </c>
      <c r="AF345" t="s">
        <v>763</v>
      </c>
    </row>
    <row r="346" ht="12.75" customHeight="1">
      <c r="A346" s="219" t="s">
        <v>14</v>
      </c>
      <c r="B346" s="179"/>
      <c r="C346" s="179"/>
      <c r="D346" s="183" t="n">
        <v>0.98</v>
      </c>
      <c r="E346" s="185"/>
      <c r="F346" s="179"/>
      <c r="G346" s="179"/>
      <c r="H346" s="180"/>
      <c r="I346" s="180"/>
      <c r="J346" s="180"/>
      <c r="K346" s="179"/>
      <c r="L346" s="179"/>
      <c r="M346" s="179"/>
      <c r="N346" s="51"/>
      <c r="O346" s="35" t="n">
        <v>0</v>
      </c>
      <c r="P346" s="35" t="n">
        <v>0</v>
      </c>
      <c r="Q346" s="35" t="n">
        <v>0</v>
      </c>
      <c r="R346" s="51"/>
      <c r="S346" s="51"/>
      <c r="T346" s="51"/>
      <c r="U346" s="51"/>
      <c r="V346" s="51" t="str">
        <f>IF([1]C!G326="","",[1]C!G326)</f>
      </c>
      <c r="W346" s="51" t="str">
        <f>IF([1]Humus!G326="","",[1]Humus!G326)</f>
      </c>
      <c r="X346" s="51"/>
      <c r="Y346" s="63"/>
      <c r="Z346" s="51" t="str">
        <f>IF([1]Humus!AK326="","",[1]Humus!AK326)</f>
      </c>
      <c r="AA346" s="51" t="s">
        <v>456</v>
      </c>
      <c r="AF346" t="s">
        <v>763</v>
      </c>
    </row>
    <row r="347" ht="16.5" customHeight="1">
      <c r="A347" s="220" t="str">
        <f>[1]All!B327</f>
        <v>Manure and residues</v>
      </c>
      <c r="V347" s="51" t="str">
        <f>IF([1]C!G327="","",[1]C!G327)</f>
      </c>
      <c r="W347" s="51" t="str">
        <f>IF([1]Humus!G327="","",[1]Humus!G327)</f>
      </c>
      <c r="Z347" s="51" t="str">
        <f>IF([1]Humus!AK327="","",[1]Humus!AK327)</f>
      </c>
      <c r="AA347" s="51" t="s">
        <v>456</v>
      </c>
      <c r="AF347" t="s">
        <v>763</v>
      </c>
    </row>
    <row r="348" ht="16.5" customHeight="1">
      <c r="A348" s="221" t="str">
        <f>[1]All!B328</f>
        <v>Bovine FY manure</v>
      </c>
      <c r="B348" s="154"/>
      <c r="C348" s="154"/>
      <c r="D348" s="154"/>
      <c r="E348" s="154" t="s">
        <v>537</v>
      </c>
      <c r="F348" s="154"/>
      <c r="G348" s="154"/>
      <c r="H348" s="154"/>
      <c r="I348" s="154"/>
      <c r="J348" s="154"/>
      <c r="K348" s="154"/>
      <c r="L348" s="154"/>
      <c r="M348" s="154"/>
      <c r="N348" s="154"/>
      <c r="O348" s="154"/>
      <c r="P348" s="154"/>
      <c r="Q348" s="154"/>
      <c r="R348" s="154"/>
      <c r="S348" s="154" t="s">
        <v>537</v>
      </c>
      <c r="T348" s="154"/>
      <c r="U348" s="154"/>
      <c r="V348" s="51" t="str">
        <f>IF([1]C!G328="","",[1]C!G328)</f>
        <v>Pettygrove et al. 2010 (corral scrappings and mechanical screen solids), Levi-Minzi et al. (1990), Chadwick et al. (2000), Miller et al. (2003) (straw and chips bedding), ECN (2017) (3), Yamulki (2006) (8), Titonell et al. (2010) (2: heap open air and under roof)</v>
      </c>
      <c r="W348" s="51" t="str">
        <f>IF([1]Humus!G328="","",[1]Humus!G328)</f>
      </c>
      <c r="X348" s="154"/>
      <c r="Y348" s="154"/>
      <c r="Z348" s="51" t="str">
        <f>IF([1]Humus!AK328="","",[1]Humus!AK328)</f>
      </c>
      <c r="AA348" s="51" t="s">
        <v>456</v>
      </c>
      <c r="AF348" t="s">
        <v>763</v>
      </c>
    </row>
    <row r="349" ht="16.5" customHeight="1">
      <c r="A349" s="221" t="str">
        <f>[1]All!B329</f>
        <v>Ovine FY manure</v>
      </c>
      <c r="B349" s="154"/>
      <c r="C349" s="154"/>
      <c r="D349" s="154"/>
      <c r="E349" s="154"/>
      <c r="F349" s="154"/>
      <c r="G349" s="154"/>
      <c r="H349" s="154"/>
      <c r="I349" s="154"/>
      <c r="J349" s="154"/>
      <c r="K349" s="154"/>
      <c r="L349" s="154"/>
      <c r="M349" s="154"/>
      <c r="N349" s="154"/>
      <c r="O349" s="154"/>
      <c r="P349" s="154"/>
      <c r="Q349" s="154"/>
      <c r="R349" s="154"/>
      <c r="S349" s="154"/>
      <c r="T349" s="154"/>
      <c r="U349" s="154"/>
      <c r="V349" s="51" t="str">
        <f>IF([1]C!G329="","",[1]C!G329)</f>
        <v>FY manure</v>
      </c>
      <c r="W349" s="51" t="str">
        <f>IF([1]Humus!G329="","",[1]Humus!G329)</f>
      </c>
      <c r="X349" s="154"/>
      <c r="Y349" s="154"/>
      <c r="Z349" s="51" t="str">
        <f>IF([1]Humus!AK329="","",[1]Humus!AK329)</f>
      </c>
      <c r="AA349" s="51" t="s">
        <v>456</v>
      </c>
      <c r="AF349" t="s">
        <v>763</v>
      </c>
    </row>
    <row r="350" ht="16.5" customHeight="1">
      <c r="A350" s="221" t="str">
        <f>[1]All!B330</f>
        <v>Equine FY manure</v>
      </c>
      <c r="B350" s="154"/>
      <c r="C350" s="154"/>
      <c r="D350" s="154"/>
      <c r="E350" s="154" t="s">
        <v>538</v>
      </c>
      <c r="F350" s="154"/>
      <c r="G350" s="154"/>
      <c r="H350" s="154"/>
      <c r="I350" s="154"/>
      <c r="J350" s="154"/>
      <c r="K350" s="154"/>
      <c r="L350" s="154"/>
      <c r="M350" s="154"/>
      <c r="N350" s="154"/>
      <c r="O350" s="154"/>
      <c r="P350" s="154"/>
      <c r="Q350" s="154"/>
      <c r="R350" s="154"/>
      <c r="S350" s="154" t="s">
        <v>538</v>
      </c>
      <c r="T350" s="154" t="s">
        <v>538</v>
      </c>
      <c r="U350" s="154" t="s">
        <v>538</v>
      </c>
      <c r="V350" s="51" t="str">
        <f>IF([1]C!G330="","",[1]C!G330)</f>
        <v>Chastain and Moore (2014)</v>
      </c>
      <c r="W350" s="51" t="str">
        <f>IF([1]Humus!G330="","",[1]Humus!G330)</f>
      </c>
      <c r="X350" s="154"/>
      <c r="Y350" s="154"/>
      <c r="Z350" s="51" t="str">
        <f>IF([1]Humus!AK330="","",[1]Humus!AK330)</f>
      </c>
      <c r="AA350" s="51" t="s">
        <v>456</v>
      </c>
      <c r="AF350" t="s">
        <v>763</v>
      </c>
    </row>
    <row r="351" ht="16.5" customHeight="1">
      <c r="A351" s="222" t="str">
        <f>[1]All!B331</f>
        <v>FY Manure</v>
      </c>
      <c r="B351" s="154"/>
      <c r="C351" s="154"/>
      <c r="D351" s="154"/>
      <c r="E351" s="154"/>
      <c r="F351" s="154"/>
      <c r="G351" s="154"/>
      <c r="H351" s="154"/>
      <c r="I351" s="154"/>
      <c r="J351" s="154"/>
      <c r="K351" s="154"/>
      <c r="L351" s="154"/>
      <c r="M351" s="154"/>
      <c r="N351" s="154"/>
      <c r="O351" s="154"/>
      <c r="P351" s="154"/>
      <c r="Q351" s="154"/>
      <c r="R351" s="154"/>
      <c r="S351" s="154"/>
      <c r="T351" s="154"/>
      <c r="U351" s="154"/>
      <c r="V351" s="51" t="str">
        <f>IF([1]C!G331="","",[1]C!G331)</f>
        <v>Average of available data, Gosh et al. (2012), Delas and Molot (1983), Iakimenko et al. (1996)</v>
      </c>
      <c r="W351" s="51" t="str">
        <f>IF([1]Humus!G332="","",[1]Humus!G332)</f>
      </c>
      <c r="X351" s="154"/>
      <c r="Y351" s="154"/>
      <c r="Z351" s="51" t="str">
        <f>IF([1]Humus!AK332="","",[1]Humus!AK332)</f>
      </c>
      <c r="AA351" s="51" t="s">
        <v>456</v>
      </c>
      <c r="AF351" t="s">
        <v>763</v>
      </c>
    </row>
    <row r="352" ht="16.5" customHeight="1">
      <c r="A352" s="221" t="str">
        <f>[1]All!B332</f>
        <v>Poultry litter</v>
      </c>
      <c r="B352" s="154"/>
      <c r="C352" s="154"/>
      <c r="D352" s="154"/>
      <c r="E352" s="154" t="s">
        <v>539</v>
      </c>
      <c r="F352" s="154"/>
      <c r="G352" s="154"/>
      <c r="H352" s="154"/>
      <c r="I352" s="154"/>
      <c r="J352" s="154"/>
      <c r="K352" s="154"/>
      <c r="L352" s="154"/>
      <c r="M352" s="154"/>
      <c r="N352" s="154"/>
      <c r="O352" s="154"/>
      <c r="P352" s="154"/>
      <c r="Q352" s="154"/>
      <c r="R352" s="154"/>
      <c r="S352" s="154" t="s">
        <v>539</v>
      </c>
      <c r="T352" s="154" t="s">
        <v>539</v>
      </c>
      <c r="U352" s="154" t="s">
        <v>539</v>
      </c>
      <c r="V352" s="51" t="str">
        <f>IF([1]C!G332="","",[1]C!G332)</f>
        <v>Griffiths (2011), Chadwick et al. (2000) (broilers and layers), ECN (2017) (13), Edwards and Daniels (1992)</v>
      </c>
      <c r="W352" s="51" t="str">
        <f>IF([1]Humus!G331="","",[1]Humus!G331)</f>
        <v>Katterer et al. (2011) (First order), Andren and Katterer (1997), Boiffin et al. (1986), Berti et al. (2016), Bertora et al. (2012), Delas and Molot (1983), Bhogal et al. (2007), Maillard et al. (2014), Thomsen and Christensen (2004)</v>
      </c>
      <c r="X352" s="154"/>
      <c r="Y352" s="154"/>
      <c r="Z352" s="51" t="str">
        <f>IF([1]Humus!AK331="","",[1]Humus!AK331)</f>
      </c>
      <c r="AA352" s="51" t="s">
        <v>456</v>
      </c>
      <c r="AF352" t="s">
        <v>763</v>
      </c>
    </row>
    <row r="353" ht="16.5" customHeight="1">
      <c r="A353" s="221" t="str">
        <f>[1]All!B333</f>
        <v>Pig manure</v>
      </c>
      <c r="B353" s="154"/>
      <c r="C353" s="154"/>
      <c r="D353" s="154"/>
      <c r="E353" s="154"/>
      <c r="F353" s="154"/>
      <c r="G353" s="154"/>
      <c r="H353" s="154"/>
      <c r="I353" s="154"/>
      <c r="J353" s="154"/>
      <c r="K353" s="154"/>
      <c r="L353" s="154"/>
      <c r="M353" s="154"/>
      <c r="N353" s="154"/>
      <c r="O353" s="154"/>
      <c r="P353" s="154"/>
      <c r="Q353" s="154"/>
      <c r="R353" s="154"/>
      <c r="S353" s="154"/>
      <c r="T353" s="154"/>
      <c r="U353" s="154"/>
      <c r="V353" s="51"/>
      <c r="W353" s="51"/>
      <c r="X353" s="154"/>
      <c r="Y353" s="154"/>
      <c r="Z353" s="51"/>
      <c r="AA353" s="51" t="s">
        <v>456</v>
      </c>
      <c r="AF353" t="s">
        <v>763</v>
      </c>
    </row>
    <row r="354">
      <c r="A354" s="221" t="str">
        <f>[1]All!B334</f>
        <v>Pig slurry</v>
      </c>
      <c r="B354" s="154"/>
      <c r="C354" s="154"/>
      <c r="D354" s="154"/>
      <c r="E354" s="154" t="s">
        <v>540</v>
      </c>
      <c r="F354" s="154"/>
      <c r="G354" s="154"/>
      <c r="H354" s="154"/>
      <c r="I354" s="154"/>
      <c r="J354" s="154"/>
      <c r="K354" s="154"/>
      <c r="L354" s="154"/>
      <c r="M354" s="154"/>
      <c r="N354" s="154"/>
      <c r="O354" s="154"/>
      <c r="P354" s="154"/>
      <c r="Q354" s="154"/>
      <c r="R354" s="154"/>
      <c r="S354" s="154" t="s">
        <v>540</v>
      </c>
      <c r="T354" s="154" t="s">
        <v>540</v>
      </c>
      <c r="U354" s="154" t="s">
        <v>540</v>
      </c>
      <c r="V354" s="51" t="str">
        <f>IF([1]C!G334="","",[1]C!G334)</f>
        <v>Antezana et al. (2016)</v>
      </c>
      <c r="W354" s="51" t="str">
        <f>IF([1]Humus!G333="","",[1]Humus!G333)</f>
      </c>
      <c r="X354" s="154"/>
      <c r="Y354" s="154"/>
      <c r="Z354" s="51" t="str">
        <f>IF([1]Humus!AK333="","",[1]Humus!AK333)</f>
      </c>
      <c r="AA354" s="51" t="s">
        <v>456</v>
      </c>
      <c r="AF354" t="s">
        <v>763</v>
      </c>
    </row>
    <row r="355">
      <c r="A355" s="221" t="str">
        <f>[1]All!B335</f>
        <v>Bovine slurry</v>
      </c>
      <c r="B355" s="154"/>
      <c r="C355" s="154"/>
      <c r="D355" s="154"/>
      <c r="E355" s="154"/>
      <c r="F355" s="154"/>
      <c r="G355" s="154"/>
      <c r="H355" s="154"/>
      <c r="I355" s="154"/>
      <c r="J355" s="154"/>
      <c r="K355" s="154"/>
      <c r="L355" s="154"/>
      <c r="M355" s="154"/>
      <c r="N355" s="154"/>
      <c r="O355" s="154"/>
      <c r="P355" s="154"/>
      <c r="Q355" s="154"/>
      <c r="R355" s="154"/>
      <c r="S355" s="154" t="s">
        <v>541</v>
      </c>
      <c r="T355" s="154" t="s">
        <v>541</v>
      </c>
      <c r="U355" s="154" t="s">
        <v>541</v>
      </c>
      <c r="V355" s="51" t="str">
        <f>IF([1]C!G335="","",[1]C!G335)</f>
        <v>Pettygrove et al. 2010, Triberti et al. (2008), Chadwick et al. (2000), Amon et al. (2006) (after 5 different treatments)</v>
      </c>
      <c r="W355" s="51" t="str">
        <f>IF([1]Humus!G334="","",[1]Humus!G334)</f>
      </c>
      <c r="X355" s="154"/>
      <c r="Y355" s="154"/>
      <c r="Z355" s="51" t="str">
        <f>IF([1]Humus!AK334="","",[1]Humus!AK334)</f>
      </c>
      <c r="AA355" s="51" t="s">
        <v>456</v>
      </c>
      <c r="AF355" t="s">
        <v>763</v>
      </c>
    </row>
    <row r="356">
      <c r="A356" s="222" t="str">
        <f>[1]All!B336</f>
        <v>Slurry</v>
      </c>
      <c r="B356" s="154"/>
      <c r="C356" s="154"/>
      <c r="D356" s="154"/>
      <c r="E356" s="154"/>
      <c r="F356" s="154"/>
      <c r="G356" s="154"/>
      <c r="H356" s="154"/>
      <c r="I356" s="154"/>
      <c r="J356" s="154"/>
      <c r="K356" s="154"/>
      <c r="L356" s="154"/>
      <c r="M356" s="154"/>
      <c r="N356" s="154"/>
      <c r="O356" s="154"/>
      <c r="P356" s="154"/>
      <c r="Q356" s="154"/>
      <c r="R356" s="154"/>
      <c r="S356" s="154"/>
      <c r="T356" s="154"/>
      <c r="U356" s="154"/>
      <c r="V356" s="51" t="str">
        <f>IF([1]C!G336="","",[1]C!G336)</f>
        <v>Average of available data</v>
      </c>
      <c r="W356" s="51" t="str">
        <f>IF([1]Humus!G335="","",[1]Humus!G335)</f>
        <v>Berti et al. (2016), Bertora et al. (2012)</v>
      </c>
      <c r="X356" s="154"/>
      <c r="Y356" s="154"/>
      <c r="Z356" s="51" t="str">
        <f>IF([1]Humus!AK335="","",[1]Humus!AK335)</f>
      </c>
      <c r="AA356" s="51" t="s">
        <v>456</v>
      </c>
      <c r="AF356" t="s">
        <v>763</v>
      </c>
    </row>
    <row r="357">
      <c r="A357" s="221" t="str">
        <f>[1]All!B337</f>
        <v>Bovine manure as excreted</v>
      </c>
      <c r="B357" s="154"/>
      <c r="C357" s="154"/>
      <c r="D357" s="154"/>
      <c r="E357" s="154" t="s">
        <v>542</v>
      </c>
      <c r="F357" s="154"/>
      <c r="G357" s="154"/>
      <c r="H357" s="154"/>
      <c r="I357" s="154"/>
      <c r="J357" s="154"/>
      <c r="K357" s="154"/>
      <c r="L357" s="154"/>
      <c r="M357" s="154"/>
      <c r="N357" s="154"/>
      <c r="O357" s="154"/>
      <c r="P357" s="154"/>
      <c r="Q357" s="154"/>
      <c r="R357" s="154"/>
      <c r="S357" s="154" t="s">
        <v>542</v>
      </c>
      <c r="T357" s="154" t="s">
        <v>542</v>
      </c>
      <c r="U357" s="154" t="s">
        <v>542</v>
      </c>
      <c r="V357" s="51" t="str">
        <f>IF([1]C!G337="","",[1]C!G337)</f>
        <v>Titonell et al. (2010), Chen et al. (2003) (x3), Thomsen et al. (2013), Triberti et al. (2008), Jarvis et al. (1995) (11: dung (10) and urine (1) from grazing (9) and housed (1) dairy and beef), Kirchmann and Witter (1992) (dung)</v>
      </c>
      <c r="W357" s="51" t="str">
        <f>IF([1]Humus!G336="","",[1]Humus!G336)</f>
      </c>
      <c r="X357" s="154"/>
      <c r="Y357" s="154"/>
      <c r="Z357" s="51" t="str">
        <f>IF([1]Humus!AK336="","",[1]Humus!AK336)</f>
      </c>
      <c r="AA357" s="51" t="s">
        <v>456</v>
      </c>
      <c r="AF357" t="s">
        <v>763</v>
      </c>
    </row>
    <row r="358">
      <c r="A358" s="221" t="str">
        <f>[1]All!B338</f>
        <v>Ovine manure as excreted</v>
      </c>
      <c r="B358" s="154"/>
      <c r="C358" s="154"/>
      <c r="D358" s="154"/>
      <c r="E358" s="154"/>
      <c r="F358" s="154"/>
      <c r="G358" s="154"/>
      <c r="H358" s="154"/>
      <c r="I358" s="154"/>
      <c r="J358" s="154"/>
      <c r="K358" s="154"/>
      <c r="L358" s="154"/>
      <c r="M358" s="154"/>
      <c r="N358" s="154"/>
      <c r="O358" s="154"/>
      <c r="P358" s="154"/>
      <c r="Q358" s="154"/>
      <c r="R358" s="154"/>
      <c r="S358" s="154" t="s">
        <v>543</v>
      </c>
      <c r="T358" s="154" t="s">
        <v>543</v>
      </c>
      <c r="U358" s="154"/>
      <c r="V358" s="51" t="str">
        <f>IF([1]C!G338="","",[1]C!G338)</f>
        <v>Mafongoya et al. (2000) (dung of goats) (5), Jarvis et al. (1995) (dung of sheep, housed)</v>
      </c>
      <c r="W358" s="51" t="str">
        <f>IF([1]Humus!G337="","",[1]Humus!G337)</f>
      </c>
      <c r="X358" s="154"/>
      <c r="Y358" s="154"/>
      <c r="Z358" s="51" t="str">
        <f>IF([1]Humus!AK337="","",[1]Humus!AK337)</f>
      </c>
      <c r="AA358" s="51" t="s">
        <v>456</v>
      </c>
      <c r="AF358" t="s">
        <v>763</v>
      </c>
    </row>
    <row r="359">
      <c r="A359" s="221" t="str">
        <f>[1]All!B339</f>
        <v>Equine manure as excreted</v>
      </c>
      <c r="B359" s="154"/>
      <c r="C359" s="154"/>
      <c r="D359" s="154"/>
      <c r="E359" s="154" t="s">
        <v>538</v>
      </c>
      <c r="F359" s="154"/>
      <c r="G359" s="154"/>
      <c r="H359" s="154"/>
      <c r="I359" s="154"/>
      <c r="J359" s="154"/>
      <c r="K359" s="154"/>
      <c r="L359" s="154"/>
      <c r="M359" s="154"/>
      <c r="N359" s="154"/>
      <c r="O359" s="154"/>
      <c r="P359" s="154"/>
      <c r="Q359" s="154"/>
      <c r="R359" s="154"/>
      <c r="S359" s="154" t="s">
        <v>538</v>
      </c>
      <c r="T359" s="154" t="s">
        <v>538</v>
      </c>
      <c r="U359" s="154" t="s">
        <v>538</v>
      </c>
      <c r="V359" s="51" t="str">
        <f>IF([1]C!G339="","",[1]C!G339)</f>
        <v>Chastain and Moore (2014)</v>
      </c>
      <c r="W359" s="51" t="str">
        <f>IF([1]Humus!G338="","",[1]Humus!G338)</f>
      </c>
      <c r="X359" s="154"/>
      <c r="Y359" s="154"/>
      <c r="Z359" s="51" t="str">
        <f>IF([1]Humus!AK338="","",[1]Humus!AK338)</f>
      </c>
      <c r="AA359" s="51" t="s">
        <v>456</v>
      </c>
      <c r="AF359" t="s">
        <v>763</v>
      </c>
    </row>
    <row r="360">
      <c r="A360" s="221" t="str">
        <f>[1]All!B340</f>
        <v>Pig manure as excreted</v>
      </c>
      <c r="B360" s="154"/>
      <c r="C360" s="154"/>
      <c r="D360" s="154"/>
      <c r="E360" s="154"/>
      <c r="F360" s="154"/>
      <c r="G360" s="154"/>
      <c r="H360" s="154"/>
      <c r="I360" s="154"/>
      <c r="J360" s="154"/>
      <c r="K360" s="154"/>
      <c r="L360" s="154"/>
      <c r="M360" s="154"/>
      <c r="N360" s="154"/>
      <c r="O360" s="154"/>
      <c r="P360" s="154"/>
      <c r="Q360" s="154"/>
      <c r="R360" s="154"/>
      <c r="S360" s="154"/>
      <c r="T360" s="154"/>
      <c r="U360" s="154"/>
      <c r="V360" s="51" t="str">
        <f>IF([1]C!G340="","",[1]C!G340)</f>
        <v>Kirchmann and Witter (1992) (dung)</v>
      </c>
      <c r="W360" s="51" t="str">
        <f>IF([1]Humus!G339="","",[1]Humus!G339)</f>
      </c>
      <c r="X360" s="154"/>
      <c r="Y360" s="154"/>
      <c r="Z360" s="51" t="str">
        <f>IF([1]Humus!AK339="","",[1]Humus!AK339)</f>
      </c>
      <c r="AA360" s="51" t="s">
        <v>456</v>
      </c>
      <c r="AF360" t="s">
        <v>763</v>
      </c>
    </row>
    <row r="361">
      <c r="A361" s="221" t="str">
        <f>[1]All!B341</f>
        <v>Poultry manure as excreted</v>
      </c>
      <c r="B361" s="154"/>
      <c r="C361" s="154"/>
      <c r="D361" s="154"/>
      <c r="E361" s="154" t="s">
        <v>539</v>
      </c>
      <c r="F361" s="154"/>
      <c r="G361" s="154"/>
      <c r="H361" s="154"/>
      <c r="I361" s="154"/>
      <c r="J361" s="154"/>
      <c r="K361" s="154"/>
      <c r="L361" s="154"/>
      <c r="M361" s="154"/>
      <c r="N361" s="154"/>
      <c r="O361" s="154"/>
      <c r="P361" s="154"/>
      <c r="Q361" s="154"/>
      <c r="R361" s="154"/>
      <c r="S361" s="154" t="s">
        <v>539</v>
      </c>
      <c r="T361" s="154" t="s">
        <v>539</v>
      </c>
      <c r="U361" s="154" t="s">
        <v>539</v>
      </c>
      <c r="V361" s="51" t="str">
        <f>IF([1]C!G341="","",[1]C!G341)</f>
        <v>Griffiths (2011), Levi-Minzi et al. (1990), Kirchmann and Witter (1992) (dung+urine), Edwards and Daniels (1992)</v>
      </c>
      <c r="W361" s="51" t="str">
        <f>IF([1]Humus!G340="","",[1]Humus!G340)</f>
      </c>
      <c r="X361" s="154"/>
      <c r="Y361" s="154"/>
      <c r="Z361" s="51" t="str">
        <f>IF([1]Humus!AK340="","",[1]Humus!AK340)</f>
      </c>
      <c r="AA361" s="51" t="s">
        <v>456</v>
      </c>
      <c r="AF361" t="s">
        <v>763</v>
      </c>
    </row>
    <row r="362">
      <c r="A362" s="222" t="str">
        <f>[1]All!B342</f>
        <v>Manure as excreted</v>
      </c>
      <c r="B362" s="154"/>
      <c r="C362" s="154"/>
      <c r="D362" s="154"/>
      <c r="E362" s="154"/>
      <c r="F362" s="154"/>
      <c r="G362" s="154"/>
      <c r="H362" s="154"/>
      <c r="I362" s="154"/>
      <c r="J362" s="154"/>
      <c r="K362" s="154"/>
      <c r="L362" s="154"/>
      <c r="M362" s="154"/>
      <c r="N362" s="154"/>
      <c r="O362" s="154"/>
      <c r="P362" s="154"/>
      <c r="Q362" s="154"/>
      <c r="R362" s="154"/>
      <c r="S362" s="154"/>
      <c r="T362" s="154"/>
      <c r="U362" s="154"/>
      <c r="V362" s="51" t="str">
        <f>IF([1]C!G342="","",[1]C!G342)</f>
        <v>Average of available data</v>
      </c>
      <c r="W362" s="51" t="str">
        <f>IF([1]Humus!G341="","",[1]Humus!G341)</f>
      </c>
      <c r="X362" s="154"/>
      <c r="Y362" s="154"/>
      <c r="Z362" s="51" t="str">
        <f>IF([1]Humus!AK341="","",[1]Humus!AK341)</f>
      </c>
      <c r="AA362" s="51" t="s">
        <v>456</v>
      </c>
      <c r="AF362" t="s">
        <v>763</v>
      </c>
    </row>
    <row r="363">
      <c r="A363" s="221" t="str">
        <f>[1]All!B343</f>
        <v>Sewage sludge</v>
      </c>
      <c r="B363" s="154"/>
      <c r="C363" s="154"/>
      <c r="D363" s="154"/>
      <c r="E363" s="154" t="s">
        <v>544</v>
      </c>
      <c r="F363" s="154"/>
      <c r="G363" s="154"/>
      <c r="H363" s="154"/>
      <c r="I363" s="154"/>
      <c r="J363" s="154"/>
      <c r="K363" s="154"/>
      <c r="L363" s="154"/>
      <c r="M363" s="154"/>
      <c r="N363" s="154"/>
      <c r="O363" s="154"/>
      <c r="P363" s="154"/>
      <c r="Q363" s="154"/>
      <c r="R363" s="154"/>
      <c r="S363" s="154" t="s">
        <v>545</v>
      </c>
      <c r="T363" s="154"/>
      <c r="U363" s="154" t="s">
        <v>545</v>
      </c>
      <c r="V363" s="51" t="str">
        <f>IF([1]C!G343="","",[1]C!G343)</f>
        <v>Katterer et al. (2011), Boiffin et al. (1986), Plaza et al. (2016), Levi-Minzi et al. (1990), Mondini et al. (2017), Iakimenko et al. (1996)</v>
      </c>
      <c r="W363" s="51" t="str">
        <f>IF([1]Humus!G342="","",[1]Humus!G342)</f>
      </c>
      <c r="X363" s="154"/>
      <c r="Y363" s="154"/>
      <c r="Z363" s="51" t="str">
        <f>IF([1]Humus!AK342="","",[1]Humus!AK342)</f>
      </c>
      <c r="AA363" s="51" t="s">
        <v>456</v>
      </c>
      <c r="AF363" t="s">
        <v>763</v>
      </c>
    </row>
    <row r="364">
      <c r="A364" s="221" t="str">
        <f>[1]All!B344</f>
        <v>Municipal solid waste, composted</v>
      </c>
      <c r="B364" s="154"/>
      <c r="C364" s="154"/>
      <c r="D364" s="154"/>
      <c r="E364" s="154" t="s">
        <v>544</v>
      </c>
      <c r="F364" s="154"/>
      <c r="G364" s="154"/>
      <c r="H364" s="154"/>
      <c r="I364" s="154"/>
      <c r="J364" s="154"/>
      <c r="K364" s="154"/>
      <c r="L364" s="154"/>
      <c r="M364" s="154"/>
      <c r="N364" s="154"/>
      <c r="O364" s="154"/>
      <c r="P364" s="154"/>
      <c r="Q364" s="154"/>
      <c r="R364" s="154"/>
      <c r="S364" s="154" t="s">
        <v>545</v>
      </c>
      <c r="T364" s="154"/>
      <c r="U364" s="154" t="s">
        <v>545</v>
      </c>
      <c r="V364" s="51" t="str">
        <f>IF([1]C!G344="","",[1]C!G344)</f>
        <v>Plaza et al. (2016), Levi-Minzi et al. (1990), Mondini et al. (2017), ECN, 2017 (6)</v>
      </c>
      <c r="W364" s="51" t="str">
        <f>IF([1]Humus!G343="","",[1]Humus!G343)</f>
        <v>Katterer et al. (2011) (scenario 4), Andren and Katterer (1997), Boiffin et al. (1986), Bhogal et al. (2007) (digested and raw)</v>
      </c>
      <c r="X364" s="154"/>
      <c r="Y364" s="154"/>
      <c r="Z364" s="51" t="str">
        <f>IF([1]Humus!AK343="","",[1]Humus!AK343)</f>
      </c>
      <c r="AA364" s="51" t="s">
        <v>456</v>
      </c>
      <c r="AC364" s="154"/>
      <c r="AF364" t="s">
        <v>763</v>
      </c>
    </row>
    <row r="365">
      <c r="A365" s="221" t="str">
        <f>[1]All!B345</f>
        <v>Peat</v>
      </c>
      <c r="B365" s="154"/>
      <c r="C365" s="154"/>
      <c r="D365" s="154"/>
      <c r="E365" s="154"/>
      <c r="F365" s="154"/>
      <c r="G365" s="154"/>
      <c r="H365" s="154"/>
      <c r="I365" s="154"/>
      <c r="J365" s="154"/>
      <c r="K365" s="154"/>
      <c r="L365" s="154"/>
      <c r="M365" s="154"/>
      <c r="N365" s="154"/>
      <c r="O365" s="154"/>
      <c r="P365" s="154"/>
      <c r="Q365" s="154"/>
      <c r="R365" s="154"/>
      <c r="S365" s="154"/>
      <c r="T365" s="154"/>
      <c r="U365" s="154"/>
      <c r="V365" s="51" t="str">
        <f>IF([1]C!G345="","",[1]C!G345)</f>
        <v>Katterer et al. (2011)</v>
      </c>
      <c r="W365" s="51" t="str">
        <f>IF([1]Humus!G344="","",[1]Humus!G344)</f>
        <v>Manure</v>
      </c>
      <c r="X365" s="154"/>
      <c r="Y365" s="154"/>
      <c r="Z365" s="51" t="str">
        <f>IF([1]Humus!AK344="","",[1]Humus!AK344)</f>
      </c>
      <c r="AA365" s="51" t="s">
        <v>456</v>
      </c>
      <c r="AF365" t="s">
        <v>763</v>
      </c>
    </row>
    <row r="366">
      <c r="A366" s="221" t="str">
        <f>[1]All!B346</f>
        <v>Compost</v>
      </c>
      <c r="B366" s="154"/>
      <c r="C366" s="154"/>
      <c r="D366" s="154"/>
      <c r="E366" s="154"/>
      <c r="F366" s="154"/>
      <c r="G366" s="154"/>
      <c r="H366" s="154"/>
      <c r="I366" s="154"/>
      <c r="J366" s="154"/>
      <c r="K366" s="154"/>
      <c r="L366" s="154"/>
      <c r="M366" s="154"/>
      <c r="N366" s="154"/>
      <c r="O366" s="154"/>
      <c r="P366" s="154"/>
      <c r="Q366" s="154"/>
      <c r="R366" s="154"/>
      <c r="S366" s="154" t="s">
        <v>541</v>
      </c>
      <c r="T366" s="154"/>
      <c r="U366" s="154"/>
      <c r="V366" s="51" t="str">
        <f>IF([1]C!G346="","",[1]C!G346)</f>
        <v>Pettygrove et al. (2010), Mondini et al. (2017) (3 treat.)</v>
      </c>
      <c r="W366" s="51" t="str">
        <f>IF([1]Humus!G345="","",[1]Humus!G345)</f>
        <v>Katterer et al. (2011) (scenario 4)</v>
      </c>
      <c r="X366" s="154"/>
      <c r="Y366" s="154"/>
      <c r="Z366" s="51" t="str">
        <f>IF([1]Humus!AK345="","",[1]Humus!AK345)</f>
      </c>
      <c r="AA366" s="51" t="s">
        <v>456</v>
      </c>
      <c r="AF366" t="s">
        <v>763</v>
      </c>
    </row>
    <row r="367">
      <c r="A367" s="221" t="str">
        <f>[1]All!B347</f>
        <v>Pig slurry digestate</v>
      </c>
      <c r="W367" s="51" t="str">
        <f>IF([1]Humus!G346="","",[1]Humus!G346)</f>
        <v>Bhogal et al. (2007)</v>
      </c>
      <c r="Z367" s="51" t="str">
        <f>IF([1]Humus!AK346="","",[1]Humus!AK346)</f>
      </c>
      <c r="AA367" s="51" t="s">
        <v>456</v>
      </c>
      <c r="AF367" t="s">
        <v>763</v>
      </c>
    </row>
    <row r="368">
      <c r="A368" s="221" t="str">
        <f>[1]All!B348</f>
        <v>Bovine slurry digestate</v>
      </c>
      <c r="B368" s="154"/>
      <c r="C368" s="154"/>
      <c r="D368" s="154"/>
      <c r="E368" s="154"/>
      <c r="AA368" s="51" t="s">
        <v>456</v>
      </c>
      <c r="AF368" t="s">
        <v>763</v>
      </c>
    </row>
    <row r="369">
      <c r="A369" s="221" t="str">
        <f>[1]All!B349</f>
        <v>Biochar</v>
      </c>
      <c r="B369" s="154"/>
      <c r="C369" s="154"/>
      <c r="D369" s="154"/>
      <c r="E369" s="154"/>
      <c r="AA369" s="51" t="s">
        <v>456</v>
      </c>
      <c r="AF369" t="s">
        <v>763</v>
      </c>
    </row>
    <row r="370">
      <c r="A370" s="223"/>
    </row>
    <row r="371">
      <c r="A371" s="223"/>
    </row>
    <row r="372">
      <c r="A372" s="223"/>
    </row>
    <row r="373">
      <c r="A373" s="223"/>
    </row>
    <row r="374">
      <c r="A374" s="223"/>
    </row>
    <row r="375">
      <c r="A375" s="223"/>
    </row>
    <row r="376">
      <c r="A376" s="223"/>
    </row>
    <row r="377">
      <c r="A377" s="223"/>
    </row>
    <row r="378">
      <c r="A378" s="223"/>
    </row>
    <row r="379">
      <c r="A379" s="223"/>
    </row>
    <row r="380">
      <c r="A380" s="223"/>
    </row>
    <row r="381">
      <c r="A381" s="223"/>
    </row>
    <row r="382">
      <c r="A382" s="223"/>
    </row>
    <row r="383">
      <c r="A383" s="223"/>
    </row>
    <row r="384">
      <c r="A384" s="223"/>
    </row>
    <row r="385">
      <c r="A385" s="223"/>
    </row>
    <row r="386">
      <c r="A386" s="223"/>
    </row>
    <row r="387">
      <c r="A387" s="223"/>
    </row>
    <row r="388">
      <c r="A388" s="223"/>
    </row>
    <row r="389">
      <c r="A389" s="223"/>
    </row>
    <row r="390">
      <c r="A390" s="223"/>
    </row>
    <row r="391">
      <c r="A391" s="223"/>
    </row>
    <row r="392">
      <c r="A392" s="223"/>
    </row>
    <row r="393">
      <c r="A393" s="223"/>
    </row>
    <row r="394">
      <c r="A394" s="223"/>
    </row>
    <row r="395">
      <c r="A395" s="223"/>
    </row>
    <row r="396">
      <c r="A396" s="223"/>
    </row>
    <row r="397">
      <c r="A397" s="223"/>
    </row>
    <row r="398">
      <c r="A398" s="223"/>
    </row>
    <row r="399">
      <c r="A399" s="223"/>
    </row>
    <row r="400">
      <c r="A400" s="223"/>
    </row>
    <row r="401">
      <c r="A401" s="223"/>
    </row>
    <row r="402">
      <c r="A402" s="223"/>
    </row>
    <row r="403">
      <c r="A403" s="223"/>
    </row>
    <row r="404">
      <c r="A404" s="223"/>
    </row>
    <row r="405">
      <c r="A405" s="223"/>
    </row>
    <row r="406">
      <c r="A406" s="223"/>
    </row>
    <row r="407">
      <c r="A407" s="223"/>
    </row>
    <row r="408">
      <c r="A408" s="223"/>
    </row>
    <row r="409">
      <c r="A409" s="223"/>
    </row>
    <row r="410">
      <c r="A410" s="223"/>
    </row>
    <row r="411">
      <c r="A411" s="223"/>
    </row>
    <row r="412">
      <c r="A412" s="223"/>
    </row>
    <row r="413">
      <c r="A413" s="223"/>
    </row>
    <row r="414">
      <c r="A414" s="223"/>
    </row>
    <row r="415">
      <c r="A415" s="223"/>
    </row>
    <row r="416">
      <c r="A416" s="223"/>
    </row>
    <row r="417">
      <c r="A417" s="223"/>
    </row>
    <row r="418">
      <c r="A418" s="223"/>
    </row>
    <row r="419">
      <c r="A419" s="223"/>
    </row>
    <row r="420">
      <c r="A420" s="223"/>
    </row>
    <row r="421">
      <c r="A421" s="223"/>
    </row>
    <row r="422">
      <c r="A422" s="223"/>
    </row>
    <row r="423">
      <c r="A423" s="223"/>
    </row>
    <row r="424">
      <c r="A424" s="223"/>
    </row>
  </sheetData>
  <pageMargins left="0.7" right="0.7" top="0.75" bottom="0.75" header="0.3" footer="0.3"/>
  <pageSetup paperSize="9" orientation="portrait" horizontalDpi="1200" verticalDpi="1200" r:id="rId2"/>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0" zoomScaleNormal="80" workbookViewId="0">
      <pane xSplit="1" ySplit="2" topLeftCell="B3" activePane="bottomRight" state="frozen"/>
      <selection pane="topRight" activeCell="B1" sqref="B1"/>
      <selection pane="bottomLeft" activeCell="A3" sqref="A3"/>
      <selection pane="bottomRight" activeCell="O142" sqref="O142"/>
    </sheetView>
  </sheetViews>
  <sheetFormatPr defaultRowHeight="15.0" baseColWidth="10"/>
  <cols>
    <col min="1" max="1" width="34.06640625" hidden="0" customWidth="1"/>
    <col min="2" max="2" width="25.9296875" hidden="0" customWidth="1"/>
    <col min="5" max="5" width="19.06640625" hidden="0" customWidth="1"/>
    <col min="6" max="6" width="12.53125" hidden="0" customWidth="1"/>
    <col min="7" max="7" width="13.46484375" hidden="0" customWidth="1"/>
    <col min="8" max="8" width="11.53125" hidden="0" customWidth="1"/>
    <col min="9" max="9" width="11.53125" hidden="0" customWidth="1"/>
    <col min="10" max="10" width="13.53125" hidden="0" customWidth="1"/>
    <col min="11" max="11" width="12.53125" hidden="0" customWidth="1"/>
    <col min="12" max="12" width="11.53125" hidden="0" customWidth="1"/>
  </cols>
  <sheetData>
    <row r="1">
      <c r="A1" s="81" t="s">
        <v>751</v>
      </c>
      <c r="B1" s="81" t="s">
        <v>399</v>
      </c>
      <c r="C1" s="231" t="s">
        <v>744</v>
      </c>
      <c r="D1" t="s">
        <v>750</v>
      </c>
      <c r="E1" t="s">
        <v>749</v>
      </c>
      <c r="F1" s="1" t="s">
        <v>748</v>
      </c>
      <c r="G1" s="1" t="s">
        <v>747</v>
      </c>
      <c r="H1" s="1" t="s">
        <v>746</v>
      </c>
      <c r="I1" s="1" t="s">
        <v>745</v>
      </c>
      <c r="J1" s="1" t="s">
        <v>744</v>
      </c>
      <c r="K1" s="1" t="s">
        <v>743</v>
      </c>
      <c r="L1" s="1"/>
      <c r="N1" s="223"/>
      <c r="O1" s="223"/>
      <c r="P1" s="223"/>
      <c r="Q1" s="223" t="n">
        <f>'[4]Dieta Bruta'!R1</f>
        <v>0</v>
      </c>
      <c r="R1" s="223" t="n">
        <f>'[4]Dieta Bruta'!S1</f>
        <v>0</v>
      </c>
      <c r="S1" s="223" t="n">
        <f>'[4]Dieta Bruta'!T1</f>
        <v>0</v>
      </c>
      <c r="T1" s="223" t="n">
        <f>'[4]Dieta Bruta'!U1</f>
        <v>0</v>
      </c>
      <c r="U1" s="223" t="n">
        <f>'[4]Dieta Bruta'!V1</f>
        <v>0</v>
      </c>
      <c r="V1" s="223" t="n">
        <f>'[4]Dieta Bruta'!W1</f>
        <v>0</v>
      </c>
      <c r="W1" s="223" t="n">
        <f>'[4]Dieta Bruta'!X1</f>
        <v>0</v>
      </c>
      <c r="X1" s="223" t="n">
        <f>'[4]Dieta Bruta'!Y1</f>
        <v>0</v>
      </c>
      <c r="Y1" s="223" t="n">
        <f>'[4]Dieta Bruta'!Z1</f>
        <v>0</v>
      </c>
      <c r="Z1" s="223" t="n">
        <f>'[4]Dieta Bruta'!AA1</f>
        <v>0</v>
      </c>
      <c r="AA1" s="223" t="n">
        <f>'[4]Dieta Bruta'!AB1</f>
        <v>0</v>
      </c>
      <c r="AB1" s="223" t="str">
        <f>'[4]Dieta Bruta'!AC1</f>
        <v>Proteínas (g/persona y día)</v>
      </c>
      <c r="AC1" s="223" t="n">
        <f>'[4]Dieta Bruta'!AD1</f>
        <v>0</v>
      </c>
      <c r="AD1" s="223" t="n">
        <f>'[4]Dieta Bruta'!AE1</f>
        <v>0</v>
      </c>
      <c r="AE1" s="223" t="n">
        <f>'[4]Dieta Bruta'!AF1</f>
        <v>0</v>
      </c>
      <c r="AF1" s="223" t="n">
        <f>'[4]Dieta Bruta'!AG1</f>
        <v>0</v>
      </c>
      <c r="AG1" s="223" t="n">
        <f>'[4]Dieta Bruta'!AH1</f>
        <v>0</v>
      </c>
      <c r="AH1" s="223" t="n">
        <f>'[4]Dieta Bruta'!AI1</f>
        <v>0</v>
      </c>
      <c r="AI1" s="223" t="n">
        <f>'[4]Dieta Bruta'!AJ1</f>
        <v>0</v>
      </c>
      <c r="AJ1" s="223" t="n">
        <f>'[4]Dieta Bruta'!AK1</f>
        <v>0</v>
      </c>
      <c r="AK1" s="223" t="n">
        <f>'[4]Dieta Bruta'!AL1</f>
        <v>0</v>
      </c>
      <c r="AL1" s="223" t="n">
        <f>'[4]Dieta Bruta'!AM1</f>
        <v>0</v>
      </c>
      <c r="AM1" s="223" t="n">
        <f>'[4]Dieta Bruta'!AN1</f>
        <v>0</v>
      </c>
      <c r="AN1" s="223" t="n">
        <f>'[4]Dieta Bruta'!AO1</f>
        <v>0</v>
      </c>
      <c r="AO1" s="223" t="n">
        <f>'[4]Dieta Bruta'!AP1</f>
        <v>0</v>
      </c>
      <c r="AP1" s="223" t="str">
        <f>'[4]Dieta Bruta'!AQ1</f>
        <v>Lípidos (g/persona y día)</v>
      </c>
      <c r="AQ1" s="223" t="n">
        <f>'[4]Dieta Bruta'!AR1</f>
        <v>0</v>
      </c>
      <c r="AR1" s="223" t="n">
        <f>'[4]Dieta Bruta'!AS1</f>
        <v>0</v>
      </c>
      <c r="AS1" s="223" t="n">
        <f>'[4]Dieta Bruta'!AT1</f>
        <v>0</v>
      </c>
      <c r="AT1" s="223" t="n">
        <f>'[4]Dieta Bruta'!AU1</f>
        <v>0</v>
      </c>
      <c r="AU1" s="223" t="n">
        <f>'[4]Dieta Bruta'!AV1</f>
        <v>0</v>
      </c>
      <c r="AV1" s="223" t="n">
        <f>'[4]Dieta Bruta'!AW1</f>
        <v>0</v>
      </c>
      <c r="AW1" s="223" t="n">
        <f>'[4]Dieta Bruta'!AX1</f>
        <v>0</v>
      </c>
      <c r="AX1" s="223" t="n">
        <f>'[4]Dieta Bruta'!AY1</f>
        <v>0</v>
      </c>
    </row>
    <row r="2">
      <c r="A2" s="81"/>
      <c r="B2" s="81"/>
      <c r="C2" s="231" t="s">
        <v>736</v>
      </c>
      <c r="D2" t="s">
        <v>742</v>
      </c>
      <c r="F2" s="1" t="s">
        <v>737</v>
      </c>
      <c r="G2" s="1" t="s">
        <v>741</v>
      </c>
      <c r="H2" s="1" t="s">
        <v>740</v>
      </c>
      <c r="I2" s="1" t="s">
        <v>739</v>
      </c>
      <c r="J2" t="s">
        <v>738</v>
      </c>
      <c r="K2" s="1" t="s">
        <v>737</v>
      </c>
      <c r="L2" s="1"/>
      <c r="N2" s="223" t="s">
        <v>736</v>
      </c>
      <c r="O2" s="1" t="s">
        <v>735</v>
      </c>
      <c r="P2" s="223" t="n">
        <f>'[4]Dieta Bruta'!Q2</f>
        <v>1910</v>
      </c>
      <c r="Q2" s="223" t="n">
        <f>'[4]Dieta Bruta'!R2</f>
        <v>1922</v>
      </c>
      <c r="R2" s="223" t="n">
        <f>'[4]Dieta Bruta'!S2</f>
        <v>1933</v>
      </c>
      <c r="S2" s="223" t="n">
        <f>'[4]Dieta Bruta'!T2</f>
        <v>1940</v>
      </c>
      <c r="T2" s="223" t="n">
        <f>'[4]Dieta Bruta'!U2</f>
        <v>1950</v>
      </c>
      <c r="U2" s="223" t="n">
        <f>'[4]Dieta Bruta'!V2</f>
        <v>1960</v>
      </c>
      <c r="V2" s="223" t="n">
        <f>'[4]Dieta Bruta'!W2</f>
        <v>1970</v>
      </c>
      <c r="W2" s="223" t="n">
        <f>'[4]Dieta Bruta'!X2</f>
        <v>1980</v>
      </c>
      <c r="X2" s="223" t="n">
        <f>'[4]Dieta Bruta'!Y2</f>
        <v>1990</v>
      </c>
      <c r="Y2" s="223" t="n">
        <f>'[4]Dieta Bruta'!Z2</f>
        <v>2000</v>
      </c>
      <c r="Z2" s="223" t="n">
        <f>'[4]Dieta Bruta'!AA2</f>
        <v>2008</v>
      </c>
      <c r="AA2" s="223" t="n">
        <f>'[4]Dieta Bruta'!AB2</f>
        <v>0</v>
      </c>
      <c r="AB2" s="223" t="n">
        <f>'[4]Dieta Bruta'!AC2</f>
        <v>0</v>
      </c>
      <c r="AC2" s="223" t="n">
        <f>'[4]Dieta Bruta'!AD2</f>
        <v>1900</v>
      </c>
      <c r="AD2" s="223" t="n">
        <f>'[4]Dieta Bruta'!AE2</f>
        <v>1910</v>
      </c>
      <c r="AE2" s="223" t="n">
        <f>'[4]Dieta Bruta'!AF2</f>
        <v>1922</v>
      </c>
      <c r="AF2" s="223" t="n">
        <f>'[4]Dieta Bruta'!AG2</f>
        <v>1933</v>
      </c>
      <c r="AG2" s="223" t="n">
        <f>'[4]Dieta Bruta'!AH2</f>
        <v>1940</v>
      </c>
      <c r="AH2" s="223" t="n">
        <f>'[4]Dieta Bruta'!AI2</f>
        <v>1950</v>
      </c>
      <c r="AI2" s="223" t="n">
        <f>'[4]Dieta Bruta'!AJ2</f>
        <v>1960</v>
      </c>
      <c r="AJ2" s="223" t="n">
        <f>'[4]Dieta Bruta'!AK2</f>
        <v>1970</v>
      </c>
      <c r="AK2" s="223" t="n">
        <f>'[4]Dieta Bruta'!AL2</f>
        <v>1980</v>
      </c>
      <c r="AL2" s="223" t="n">
        <f>'[4]Dieta Bruta'!AM2</f>
        <v>1990</v>
      </c>
      <c r="AM2" s="223" t="n">
        <f>'[4]Dieta Bruta'!AN2</f>
        <v>2000</v>
      </c>
      <c r="AN2" s="223" t="n">
        <f>'[4]Dieta Bruta'!AO2</f>
        <v>2008</v>
      </c>
      <c r="AO2" s="223" t="n">
        <f>'[4]Dieta Bruta'!AP2</f>
        <v>0</v>
      </c>
      <c r="AP2" s="223" t="n">
        <f>'[4]Dieta Bruta'!AQ2</f>
        <v>0</v>
      </c>
      <c r="AQ2" s="223" t="n">
        <f>'[4]Dieta Bruta'!AR2</f>
        <v>1900</v>
      </c>
      <c r="AR2" s="223" t="n">
        <f>'[4]Dieta Bruta'!AS2</f>
        <v>1910</v>
      </c>
      <c r="AS2" s="223" t="n">
        <f>'[4]Dieta Bruta'!AT2</f>
        <v>1922</v>
      </c>
      <c r="AT2" s="223" t="n">
        <f>'[4]Dieta Bruta'!AU2</f>
        <v>1933</v>
      </c>
      <c r="AU2" s="223" t="n">
        <f>'[4]Dieta Bruta'!AV2</f>
        <v>1940</v>
      </c>
      <c r="AV2" s="223" t="n">
        <f>'[4]Dieta Bruta'!AW2</f>
        <v>1950</v>
      </c>
      <c r="AW2" s="223" t="n">
        <f>'[4]Dieta Bruta'!AX2</f>
        <v>1960</v>
      </c>
      <c r="AX2" s="223" t="n">
        <f>'[4]Dieta Bruta'!AY2</f>
        <v>1970</v>
      </c>
      <c r="AY2" s="223" t="n">
        <f>'[4]Dieta Bruta'!AZ2</f>
        <v>1980</v>
      </c>
      <c r="AZ2" s="223" t="n">
        <f>'[4]Dieta Bruta'!BA2</f>
        <v>1990</v>
      </c>
      <c r="BA2" s="223" t="n">
        <f>'[4]Dieta Bruta'!BB2</f>
        <v>2000</v>
      </c>
      <c r="BB2" s="223" t="n">
        <f>'[4]Dieta Bruta'!BC2</f>
        <v>2008</v>
      </c>
      <c r="BC2" s="223"/>
      <c r="BD2" s="223"/>
      <c r="BE2" s="223"/>
      <c r="BF2" s="223"/>
      <c r="BG2" s="223"/>
      <c r="BH2" s="223"/>
    </row>
    <row r="3">
      <c r="A3" s="81" t="s">
        <v>734</v>
      </c>
      <c r="B3" s="81"/>
    </row>
    <row r="4">
      <c r="A4" s="1" t="s">
        <v>733</v>
      </c>
      <c r="B4" s="44" t="s">
        <v>377</v>
      </c>
      <c r="E4" t="n">
        <v>1</v>
      </c>
      <c r="F4" t="n">
        <v>12</v>
      </c>
      <c r="G4" t="n">
        <v>800</v>
      </c>
      <c r="H4" t="n">
        <v>150</v>
      </c>
      <c r="I4" t="n">
        <v>0</v>
      </c>
      <c r="J4" t="n">
        <v>3750</v>
      </c>
      <c r="K4" t="n">
        <v>93</v>
      </c>
    </row>
    <row r="5">
      <c r="A5" t="s">
        <v>732</v>
      </c>
      <c r="B5" s="44" t="s">
        <v>383</v>
      </c>
      <c r="E5" t="n">
        <v>1</v>
      </c>
      <c r="F5" t="n">
        <v>71</v>
      </c>
      <c r="G5" t="n">
        <v>598</v>
      </c>
      <c r="H5" t="n">
        <v>796</v>
      </c>
      <c r="I5" t="n">
        <v>0</v>
      </c>
      <c r="J5" t="n">
        <v>3610</v>
      </c>
      <c r="K5" t="n">
        <v>117</v>
      </c>
    </row>
    <row r="6">
      <c r="A6" s="1" t="s">
        <v>731</v>
      </c>
      <c r="B6" s="44" t="s">
        <v>379</v>
      </c>
      <c r="E6" t="n">
        <v>1</v>
      </c>
      <c r="F6" t="n">
        <v>19.3</v>
      </c>
      <c r="G6" t="n">
        <v>597</v>
      </c>
      <c r="H6" t="n">
        <v>270</v>
      </c>
      <c r="I6" t="n">
        <v>0</v>
      </c>
      <c r="J6" t="n">
        <v>3260</v>
      </c>
      <c r="K6" t="n">
        <v>100</v>
      </c>
    </row>
    <row r="7">
      <c r="A7" s="1" t="s">
        <v>730</v>
      </c>
      <c r="B7" s="44" t="s">
        <v>376</v>
      </c>
      <c r="E7" t="n">
        <v>1</v>
      </c>
      <c r="F7" t="n">
        <v>27</v>
      </c>
      <c r="G7" t="n">
        <v>760</v>
      </c>
      <c r="H7" t="n">
        <v>120</v>
      </c>
      <c r="I7" t="n">
        <v>0</v>
      </c>
      <c r="J7" t="n">
        <v>3690</v>
      </c>
      <c r="K7" t="n">
        <v>87</v>
      </c>
    </row>
    <row r="8">
      <c r="A8" t="s">
        <v>729</v>
      </c>
      <c r="B8" s="44" t="s">
        <v>381</v>
      </c>
      <c r="E8" t="n">
        <v>1</v>
      </c>
      <c r="F8" t="n">
        <v>9</v>
      </c>
      <c r="G8" t="n">
        <v>860</v>
      </c>
      <c r="H8" t="n">
        <v>100</v>
      </c>
      <c r="I8" t="n">
        <v>0</v>
      </c>
      <c r="J8" t="n">
        <v>3810</v>
      </c>
      <c r="K8" t="n">
        <v>70</v>
      </c>
    </row>
    <row r="10">
      <c r="A10" s="81" t="s">
        <v>728</v>
      </c>
      <c r="B10" s="81"/>
    </row>
    <row r="11">
      <c r="A11" t="s">
        <v>727</v>
      </c>
      <c r="B11" s="44" t="s">
        <v>362</v>
      </c>
      <c r="C11" s="231" t="n">
        <f t="shared" ref="C11:C42" si="0">J11/238.85</f>
        <v>15.616495708603727</v>
      </c>
      <c r="D11" s="230" t="n">
        <f t="shared" ref="D11:D42" si="1">K11/(6.25*1000)</f>
        <v>3.1040000000000002E-2</v>
      </c>
      <c r="E11" t="n">
        <v>1</v>
      </c>
      <c r="F11" t="n">
        <v>50</v>
      </c>
      <c r="G11" t="n">
        <v>550</v>
      </c>
      <c r="H11" t="n">
        <v>1450</v>
      </c>
      <c r="I11" t="n">
        <v>320</v>
      </c>
      <c r="J11" t="n">
        <v>3730</v>
      </c>
      <c r="K11" t="n">
        <v>194</v>
      </c>
    </row>
    <row r="12">
      <c r="A12" t="s">
        <v>726</v>
      </c>
      <c r="B12" s="44" t="s">
        <v>357</v>
      </c>
      <c r="C12" s="231" t="n">
        <f t="shared" si="0"/>
        <v>15.57462842788361</v>
      </c>
      <c r="D12" s="230" t="n">
        <f t="shared" si="1"/>
        <v>3.6799999999999999E-2</v>
      </c>
      <c r="E12" t="n">
        <v>1</v>
      </c>
      <c r="F12" t="n">
        <v>20</v>
      </c>
      <c r="G12" t="n">
        <v>560</v>
      </c>
      <c r="H12" t="n">
        <v>1150</v>
      </c>
      <c r="I12" t="n">
        <v>420</v>
      </c>
      <c r="J12" t="n">
        <v>3720</v>
      </c>
      <c r="K12" t="n">
        <v>230</v>
      </c>
    </row>
    <row r="13">
      <c r="A13" t="s">
        <v>725</v>
      </c>
      <c r="B13" s="44" t="s">
        <v>358</v>
      </c>
      <c r="C13" s="231" t="n">
        <f t="shared" si="0"/>
        <v>15.281557462842789</v>
      </c>
      <c r="D13" s="230" t="n">
        <f t="shared" si="1"/>
        <v>3.456E-2</v>
      </c>
      <c r="E13" t="n">
        <v>1</v>
      </c>
      <c r="F13" t="n">
        <v>23</v>
      </c>
      <c r="G13" t="n">
        <v>560</v>
      </c>
      <c r="H13" t="n">
        <v>720</v>
      </c>
      <c r="I13" t="n">
        <v>420</v>
      </c>
      <c r="J13" t="n">
        <v>3650</v>
      </c>
      <c r="K13" t="n">
        <v>216</v>
      </c>
    </row>
    <row r="14">
      <c r="A14" t="s">
        <v>650</v>
      </c>
      <c r="B14" s="44" t="s">
        <v>355</v>
      </c>
      <c r="C14" s="231" t="n">
        <f t="shared" si="0"/>
        <v>14.611680971320913</v>
      </c>
      <c r="D14" s="230" t="n">
        <f t="shared" si="1"/>
        <v>3.04E-2</v>
      </c>
      <c r="E14" t="n">
        <v>1</v>
      </c>
      <c r="F14" t="n">
        <v>14</v>
      </c>
      <c r="G14" t="n">
        <v>525</v>
      </c>
      <c r="H14" t="n">
        <v>130</v>
      </c>
      <c r="I14" t="n">
        <v>0</v>
      </c>
      <c r="J14" t="n">
        <v>3490</v>
      </c>
      <c r="K14" t="n">
        <v>190</v>
      </c>
    </row>
    <row r="15">
      <c r="A15" t="s">
        <v>724</v>
      </c>
      <c r="B15" s="44" t="s">
        <v>360</v>
      </c>
      <c r="C15" s="231" t="n">
        <f t="shared" si="0"/>
        <v>14.695415532761148</v>
      </c>
      <c r="D15" s="230" t="n">
        <f t="shared" si="1"/>
        <v>3.8080000000000003E-2</v>
      </c>
      <c r="E15" t="n">
        <v>1</v>
      </c>
      <c r="F15" t="n">
        <v>18</v>
      </c>
      <c r="G15" t="n">
        <v>540</v>
      </c>
      <c r="H15" t="n">
        <v>560</v>
      </c>
      <c r="I15" t="n">
        <v>100</v>
      </c>
      <c r="J15" t="n">
        <v>3510</v>
      </c>
      <c r="K15" t="n">
        <v>238</v>
      </c>
    </row>
    <row r="16">
      <c r="A16" t="s">
        <v>723</v>
      </c>
      <c r="B16" s="44" t="s">
        <v>363</v>
      </c>
      <c r="C16" s="231" t="n">
        <f t="shared" si="0"/>
        <v>25.078501151350221</v>
      </c>
      <c r="D16" s="230" t="n">
        <f t="shared" si="1"/>
        <v>4.3200000000000002E-2</v>
      </c>
      <c r="E16" t="n">
        <v>1</v>
      </c>
      <c r="F16" t="n">
        <v>490</v>
      </c>
      <c r="G16" t="n">
        <v>85</v>
      </c>
      <c r="H16" t="n">
        <v>610</v>
      </c>
      <c r="I16" t="n">
        <v>0</v>
      </c>
      <c r="J16" t="n">
        <v>5990</v>
      </c>
      <c r="K16" s="235" t="n">
        <v>270</v>
      </c>
    </row>
    <row r="17">
      <c r="A17" s="235" t="s">
        <v>722</v>
      </c>
      <c r="B17" s="44" t="s">
        <v>266</v>
      </c>
      <c r="C17" s="231" t="n">
        <f t="shared" si="0"/>
        <v>16.809713209127068</v>
      </c>
      <c r="D17" s="230" t="n">
        <f t="shared" si="1"/>
        <v>3.5680000000000003E-2</v>
      </c>
      <c r="E17" s="235" t="n">
        <f t="shared" ref="E17:K17" si="2">AVERAGE(E11:E16)</f>
        <v>1</v>
      </c>
      <c r="F17" s="235" t="n">
        <f t="shared" si="2"/>
        <v>102.5</v>
      </c>
      <c r="G17" s="235" t="n">
        <f t="shared" si="2"/>
        <v>470</v>
      </c>
      <c r="H17" s="235" t="n">
        <f t="shared" si="2"/>
        <v>770</v>
      </c>
      <c r="I17" s="235" t="n">
        <f t="shared" si="2"/>
        <v>210</v>
      </c>
      <c r="J17" s="235" t="n">
        <f t="shared" si="2"/>
        <v>4015</v>
      </c>
      <c r="K17" s="235" t="n">
        <f t="shared" si="2"/>
        <v>223</v>
      </c>
    </row>
    <row r="18">
      <c r="A18" s="81" t="s">
        <v>721</v>
      </c>
      <c r="C18" s="231" t="n">
        <f t="shared" si="0"/>
        <v>0</v>
      </c>
      <c r="D18" s="230" t="n">
        <f t="shared" si="1"/>
        <v>0</v>
      </c>
    </row>
    <row r="19">
      <c r="A19" s="1" t="s">
        <v>721</v>
      </c>
      <c r="B19" s="84" t="s">
        <v>136</v>
      </c>
      <c r="C19" s="231" t="n">
        <f t="shared" si="0"/>
        <v>3.2489009838810969</v>
      </c>
      <c r="D19" s="230" t="n">
        <f t="shared" si="1"/>
        <v>1.6000000000000001E-4</v>
      </c>
      <c r="E19" t="n">
        <v>1</v>
      </c>
      <c r="F19" t="n">
        <v>0</v>
      </c>
      <c r="G19" t="n">
        <v>11</v>
      </c>
      <c r="H19" t="n">
        <v>87</v>
      </c>
      <c r="I19" t="n">
        <v>0</v>
      </c>
      <c r="J19" t="n">
        <v>776</v>
      </c>
      <c r="K19" t="n">
        <v>1</v>
      </c>
    </row>
    <row r="20">
      <c r="A20" s="1"/>
      <c r="C20" s="231" t="n">
        <f t="shared" si="0"/>
        <v>0</v>
      </c>
      <c r="D20" s="230" t="n">
        <f t="shared" si="1"/>
        <v>0</v>
      </c>
    </row>
    <row r="21">
      <c r="A21" s="81" t="s">
        <v>720</v>
      </c>
      <c r="C21" s="231" t="n">
        <f t="shared" si="0"/>
        <v>0</v>
      </c>
      <c r="D21" s="230" t="n">
        <f t="shared" si="1"/>
        <v>0</v>
      </c>
    </row>
    <row r="22">
      <c r="A22" t="s">
        <v>720</v>
      </c>
      <c r="B22" t="s">
        <v>138</v>
      </c>
      <c r="C22" s="231" t="n">
        <f t="shared" si="0"/>
        <v>1.3816202637638686</v>
      </c>
      <c r="D22" s="230" t="n">
        <f t="shared" si="1"/>
        <v>4.8000000000000001E-4</v>
      </c>
      <c r="E22" t="n">
        <v>1</v>
      </c>
      <c r="F22" t="n">
        <v>0</v>
      </c>
      <c r="G22" t="n">
        <v>24</v>
      </c>
      <c r="H22" t="n">
        <v>70</v>
      </c>
      <c r="I22" t="n">
        <v>0</v>
      </c>
      <c r="J22" t="n">
        <v>330</v>
      </c>
      <c r="K22" t="n">
        <v>3</v>
      </c>
    </row>
    <row r="23">
      <c r="A23" s="1"/>
      <c r="C23" s="231" t="n">
        <f t="shared" si="0"/>
        <v>0</v>
      </c>
      <c r="D23" s="230" t="n">
        <f t="shared" si="1"/>
        <v>0</v>
      </c>
    </row>
    <row r="24">
      <c r="A24" s="81" t="s">
        <v>719</v>
      </c>
      <c r="C24" s="231" t="n">
        <f t="shared" si="0"/>
        <v>0</v>
      </c>
      <c r="D24" s="230" t="n">
        <f t="shared" si="1"/>
        <v>0</v>
      </c>
    </row>
    <row r="25">
      <c r="A25" t="s">
        <v>718</v>
      </c>
      <c r="B25" s="84" t="s">
        <v>125</v>
      </c>
      <c r="C25" s="231" t="n">
        <f t="shared" si="0"/>
        <v>37.638685367385392</v>
      </c>
      <c r="D25" s="230" t="n">
        <f t="shared" si="1"/>
        <v>0</v>
      </c>
      <c r="E25" t="n">
        <v>1</v>
      </c>
      <c r="F25" t="n">
        <v>999</v>
      </c>
      <c r="G25" t="n">
        <v>0</v>
      </c>
      <c r="H25" t="n">
        <v>0</v>
      </c>
      <c r="I25" t="n">
        <v>341</v>
      </c>
      <c r="J25" t="n">
        <v>8990</v>
      </c>
      <c r="K25" t="n">
        <v>0</v>
      </c>
    </row>
    <row r="26">
      <c r="A26" t="s">
        <v>717</v>
      </c>
      <c r="B26" s="84" t="s">
        <v>123</v>
      </c>
      <c r="C26" s="231" t="n">
        <f t="shared" si="0"/>
        <v>37.638685367385392</v>
      </c>
      <c r="D26" s="230" t="n">
        <f t="shared" si="1"/>
        <v>0</v>
      </c>
      <c r="E26" t="n">
        <f t="shared" ref="E26:K26" si="3">E25</f>
        <v>1</v>
      </c>
      <c r="F26" t="n">
        <f t="shared" si="3"/>
        <v>999</v>
      </c>
      <c r="G26" t="n">
        <f t="shared" si="3"/>
        <v>0</v>
      </c>
      <c r="H26" t="n">
        <f t="shared" si="3"/>
        <v>0</v>
      </c>
      <c r="I26" t="n">
        <f t="shared" si="3"/>
        <v>341</v>
      </c>
      <c r="J26" t="n">
        <f t="shared" si="3"/>
        <v>8990</v>
      </c>
      <c r="K26" t="n">
        <f t="shared" si="3"/>
        <v>0</v>
      </c>
    </row>
    <row r="27">
      <c r="A27" s="81"/>
      <c r="C27" s="231" t="n">
        <f t="shared" si="0"/>
        <v>0</v>
      </c>
      <c r="D27" s="230" t="n">
        <f t="shared" si="1"/>
        <v>0</v>
      </c>
    </row>
    <row r="28">
      <c r="A28" s="81" t="s">
        <v>716</v>
      </c>
      <c r="C28" s="231" t="n">
        <f t="shared" si="0"/>
        <v>0</v>
      </c>
      <c r="D28" s="230" t="n">
        <f t="shared" si="1"/>
        <v>0</v>
      </c>
    </row>
    <row r="29">
      <c r="A29" s="1" t="s">
        <v>715</v>
      </c>
      <c r="B29" s="44" t="s">
        <v>350</v>
      </c>
      <c r="C29" s="231" t="n">
        <f t="shared" si="0"/>
        <v>3.6843207033703163</v>
      </c>
      <c r="D29" s="230" t="n">
        <f t="shared" si="1"/>
        <v>4.0000000000000001E-3</v>
      </c>
      <c r="E29" t="n">
        <v>0.9</v>
      </c>
      <c r="F29" t="n">
        <v>2</v>
      </c>
      <c r="G29" t="n">
        <v>180</v>
      </c>
      <c r="H29" t="n">
        <v>90</v>
      </c>
      <c r="I29" t="n">
        <v>0</v>
      </c>
      <c r="J29" t="n">
        <v>880</v>
      </c>
      <c r="K29" t="n">
        <v>25</v>
      </c>
    </row>
    <row r="30">
      <c r="A30" t="s">
        <v>714</v>
      </c>
      <c r="B30" t="str">
        <f>VLOOKUP(A30,[5]Names_Lab!$A$2:$B$198,2,0)</f>
        <v>Sweet potato</v>
      </c>
      <c r="C30" s="231" t="n">
        <f t="shared" si="0"/>
        <v>4.2285953527318405</v>
      </c>
      <c r="D30" s="230" t="n">
        <f t="shared" si="1"/>
        <v>1.92E-3</v>
      </c>
      <c r="E30" t="n">
        <v>0.79</v>
      </c>
      <c r="F30" t="n">
        <v>6</v>
      </c>
      <c r="G30" t="n">
        <v>215</v>
      </c>
      <c r="H30" t="n">
        <v>220</v>
      </c>
      <c r="I30" t="n">
        <v>6670</v>
      </c>
      <c r="J30" t="n">
        <v>1010</v>
      </c>
      <c r="K30" t="n">
        <v>12</v>
      </c>
    </row>
    <row r="31">
      <c r="A31" t="s">
        <v>713</v>
      </c>
      <c r="B31" t="s">
        <v>352</v>
      </c>
      <c r="C31" s="231" t="n">
        <f t="shared" si="0"/>
        <v>18.547205359011933</v>
      </c>
      <c r="D31" s="230" t="n">
        <f t="shared" si="1"/>
        <v>9.7599999999999996E-3</v>
      </c>
      <c r="E31" t="n">
        <v>1</v>
      </c>
      <c r="F31" t="n">
        <v>237</v>
      </c>
      <c r="G31" t="n">
        <v>425</v>
      </c>
      <c r="H31" t="n">
        <v>700</v>
      </c>
      <c r="I31" t="n">
        <v>0</v>
      </c>
      <c r="J31" t="n">
        <v>4430</v>
      </c>
      <c r="K31" t="n">
        <v>61</v>
      </c>
    </row>
    <row r="32">
      <c r="A32" t="s">
        <v>712</v>
      </c>
      <c r="B32" t="e">
        <f>VLOOKUP(A32,[5]Names_Lab!$A$2:$B$198,2,0)</f>
        <v>#N/A</v>
      </c>
      <c r="C32" s="231" t="n">
        <f t="shared" si="0"/>
        <v>2.9307096504082062</v>
      </c>
      <c r="D32" s="230" t="n">
        <f t="shared" si="1"/>
        <v>2.8800000000000002E-3</v>
      </c>
      <c r="E32" t="n">
        <v>0.72</v>
      </c>
      <c r="F32" t="n">
        <v>11</v>
      </c>
      <c r="G32" t="n">
        <v>110</v>
      </c>
      <c r="H32" t="n">
        <v>410</v>
      </c>
      <c r="I32" t="n">
        <v>50</v>
      </c>
      <c r="J32" t="n">
        <v>700</v>
      </c>
      <c r="K32" t="n">
        <v>18</v>
      </c>
    </row>
    <row r="33">
      <c r="C33" s="231" t="n">
        <f t="shared" si="0"/>
        <v>0</v>
      </c>
      <c r="D33" s="230" t="n">
        <f t="shared" si="1"/>
        <v>0</v>
      </c>
    </row>
    <row r="34">
      <c r="A34" s="81" t="s">
        <v>711</v>
      </c>
      <c r="C34" s="231" t="n">
        <f t="shared" si="0"/>
        <v>0</v>
      </c>
      <c r="D34" s="230" t="n">
        <f t="shared" si="1"/>
        <v>0</v>
      </c>
    </row>
    <row r="35">
      <c r="A35" s="1" t="s">
        <v>710</v>
      </c>
      <c r="B35" s="84" t="s">
        <v>139</v>
      </c>
      <c r="C35" s="231" t="n">
        <f t="shared" si="0"/>
        <v>16.663177726606659</v>
      </c>
      <c r="D35" s="230" t="n">
        <f t="shared" si="1"/>
        <v>0</v>
      </c>
      <c r="E35" t="n">
        <v>1</v>
      </c>
      <c r="F35" t="n">
        <v>0</v>
      </c>
      <c r="G35" t="n">
        <v>995</v>
      </c>
      <c r="H35" t="n">
        <v>20</v>
      </c>
      <c r="I35" t="n">
        <v>0</v>
      </c>
      <c r="J35" t="n">
        <v>3980</v>
      </c>
      <c r="K35" t="n">
        <v>0</v>
      </c>
    </row>
    <row r="36">
      <c r="A36" s="1" t="s">
        <v>709</v>
      </c>
      <c r="B36" s="84" t="s">
        <v>67</v>
      </c>
      <c r="C36" s="231" t="n">
        <f t="shared" si="0"/>
        <v>13.146326146116809</v>
      </c>
      <c r="D36" s="230" t="n">
        <f t="shared" si="1"/>
        <v>8.0000000000000004E-4</v>
      </c>
      <c r="E36" s="232" t="n">
        <v>1</v>
      </c>
      <c r="F36" s="232" t="n">
        <v>0</v>
      </c>
      <c r="G36" s="232" t="n">
        <v>780</v>
      </c>
      <c r="H36" s="232" t="n">
        <v>50</v>
      </c>
      <c r="I36" s="232" t="n">
        <v>0</v>
      </c>
      <c r="J36" s="232" t="n">
        <v>3140</v>
      </c>
      <c r="K36" s="232" t="n">
        <v>5</v>
      </c>
      <c r="L36" s="232"/>
    </row>
    <row r="37">
      <c r="C37" s="231" t="n">
        <f t="shared" si="0"/>
        <v>0</v>
      </c>
      <c r="D37" s="230" t="n">
        <f t="shared" si="1"/>
        <v>0</v>
      </c>
    </row>
    <row r="38">
      <c r="A38" s="81" t="s">
        <v>708</v>
      </c>
      <c r="C38" s="231" t="n">
        <f t="shared" si="0"/>
        <v>0</v>
      </c>
      <c r="D38" s="230" t="n">
        <f t="shared" si="1"/>
        <v>0</v>
      </c>
    </row>
    <row r="39">
      <c r="A39" t="s">
        <v>707</v>
      </c>
      <c r="B39" t="str">
        <f>VLOOKUP(A39,[5]Names_Lab!$A$2:$B$198,2,0)</f>
        <v>Olive</v>
      </c>
      <c r="C39" s="231" t="n">
        <f t="shared" si="0"/>
        <v>8.2059870211429775</v>
      </c>
      <c r="D39" s="230" t="n">
        <f t="shared" si="1"/>
        <v>1.2800000000000001E-3</v>
      </c>
      <c r="E39" t="n">
        <v>0.8</v>
      </c>
      <c r="F39" t="n">
        <v>200</v>
      </c>
      <c r="G39" t="n">
        <v>10</v>
      </c>
      <c r="H39" t="n">
        <v>630</v>
      </c>
      <c r="I39" t="n">
        <v>220</v>
      </c>
      <c r="J39" t="n">
        <v>1960</v>
      </c>
      <c r="K39" t="n">
        <v>8</v>
      </c>
    </row>
    <row r="40">
      <c r="A40" t="s">
        <v>706</v>
      </c>
      <c r="B40" t="str">
        <f>VLOOKUP(A40,[5]Names_Lab!$A$2:$B$198,2,0)</f>
        <v>Fruits</v>
      </c>
      <c r="C40" s="231" t="n">
        <f t="shared" si="0"/>
        <v>0.71174377224199292</v>
      </c>
      <c r="D40" s="230" t="n">
        <f t="shared" si="1"/>
        <v>3.3600000000000004E-4</v>
      </c>
      <c r="E40" s="238" t="n">
        <v>0.81</v>
      </c>
      <c r="F40" s="237" t="n">
        <v>2.2999999999999998</v>
      </c>
      <c r="G40" s="237" t="n">
        <v>35.700000000000003</v>
      </c>
      <c r="H40" s="237" t="n">
        <v>117</v>
      </c>
      <c r="I40" s="237" t="n">
        <v>0</v>
      </c>
      <c r="J40" s="237" t="n">
        <v>170</v>
      </c>
      <c r="K40" s="237" t="n">
        <v>2.1</v>
      </c>
      <c r="L40" s="237"/>
    </row>
    <row r="41">
      <c r="A41" t="s">
        <v>705</v>
      </c>
      <c r="B41" t="str">
        <f>VLOOKUP(A41,[5]Names_Lab!$A$2:$B$198,2,0)</f>
        <v>Avocado</v>
      </c>
      <c r="C41" s="231" t="n">
        <f t="shared" si="0"/>
        <v>5.9032865815365296</v>
      </c>
      <c r="D41" s="230" t="n">
        <f t="shared" si="1"/>
        <v>2.3999999999999998E-3</v>
      </c>
      <c r="E41" t="n">
        <v>0.71</v>
      </c>
      <c r="F41" t="n">
        <v>120</v>
      </c>
      <c r="G41" t="n">
        <v>59</v>
      </c>
      <c r="H41" t="n">
        <v>160</v>
      </c>
      <c r="I41" t="n">
        <v>250</v>
      </c>
      <c r="J41" t="n">
        <v>1410</v>
      </c>
      <c r="K41" t="n">
        <v>15</v>
      </c>
    </row>
    <row r="42">
      <c r="A42" t="s">
        <v>704</v>
      </c>
      <c r="B42" t="str">
        <f>VLOOKUP(A42,[5]Names_Lab!$A$2:$B$198,2,0)</f>
        <v>Apricot</v>
      </c>
      <c r="C42" s="231" t="n">
        <f t="shared" si="0"/>
        <v>1.8840276324052754</v>
      </c>
      <c r="D42" s="230" t="n">
        <f t="shared" si="1"/>
        <v>1.2800000000000001E-3</v>
      </c>
      <c r="E42" t="n">
        <v>0.92</v>
      </c>
      <c r="F42" t="n">
        <v>0</v>
      </c>
      <c r="G42" t="n">
        <v>95</v>
      </c>
      <c r="H42" t="n">
        <v>170</v>
      </c>
      <c r="I42" t="n">
        <v>270</v>
      </c>
      <c r="J42" t="n">
        <v>450</v>
      </c>
      <c r="K42" t="n">
        <v>8</v>
      </c>
    </row>
    <row r="43">
      <c r="A43" t="s">
        <v>703</v>
      </c>
      <c r="B43" t="str">
        <f>VLOOKUP(A43,[5]Names_Lab!$A$2:$B$198,2,0)</f>
        <v>Almonds</v>
      </c>
      <c r="C43" s="231" t="n">
        <f t="shared" ref="C43:C74" si="4">J43/238.85</f>
        <v>25.287837554950805</v>
      </c>
      <c r="D43" s="230" t="n">
        <f t="shared" ref="D43:D74" si="5">K43/(6.25*1000)</f>
        <v>3.2000000000000001E-2</v>
      </c>
      <c r="E43" t="n">
        <v>1</v>
      </c>
      <c r="F43" t="n">
        <v>535</v>
      </c>
      <c r="G43" t="n">
        <v>35</v>
      </c>
      <c r="H43" t="n">
        <v>2540</v>
      </c>
      <c r="I43" t="n">
        <v>0</v>
      </c>
      <c r="J43" t="n">
        <v>6040</v>
      </c>
      <c r="K43" t="n">
        <v>200</v>
      </c>
    </row>
    <row r="44">
      <c r="A44" t="s">
        <v>702</v>
      </c>
      <c r="B44" t="s">
        <v>260</v>
      </c>
      <c r="C44" s="231" t="n">
        <f t="shared" si="4"/>
        <v>24.576093782708814</v>
      </c>
      <c r="D44" s="230" t="n">
        <f t="shared" si="5"/>
        <v>2.256E-2</v>
      </c>
      <c r="E44" t="n">
        <v>1</v>
      </c>
      <c r="F44" t="n">
        <v>544</v>
      </c>
      <c r="G44" t="n">
        <v>53</v>
      </c>
      <c r="H44" t="n">
        <v>1920</v>
      </c>
      <c r="I44" t="n">
        <v>0</v>
      </c>
      <c r="J44" t="n">
        <v>5870</v>
      </c>
      <c r="K44" s="235" t="n">
        <v>141</v>
      </c>
    </row>
    <row r="45">
      <c r="A45" t="s">
        <v>701</v>
      </c>
      <c r="B45" t="str">
        <f>VLOOKUP(A45,[5]Names_Lab!$A$2:$B$198,2,0)</f>
        <v>Fruits</v>
      </c>
      <c r="C45" s="231" t="n">
        <f t="shared" si="4"/>
        <v>4.3960644756123095</v>
      </c>
      <c r="D45" s="230" t="n">
        <f t="shared" si="5"/>
        <v>2.2399999999999998E-3</v>
      </c>
      <c r="E45" s="238" t="n">
        <v>0.94</v>
      </c>
      <c r="F45" s="237" t="n">
        <v>3</v>
      </c>
      <c r="G45" s="237" t="n">
        <v>241</v>
      </c>
      <c r="H45" s="237" t="n">
        <v>330</v>
      </c>
      <c r="I45" s="237" t="n">
        <v>0</v>
      </c>
      <c r="J45" s="237" t="n">
        <v>1050</v>
      </c>
      <c r="K45" s="237" t="n">
        <v>14</v>
      </c>
      <c r="L45" s="237"/>
    </row>
    <row r="46">
      <c r="A46" t="s">
        <v>700</v>
      </c>
      <c r="B46" t="str">
        <f>VLOOKUP(A46,[5]Names_Lab!$A$2:$B$198,2,0)</f>
        <v>Chestnut</v>
      </c>
      <c r="C46" s="231" t="n">
        <f t="shared" si="4"/>
        <v>5.8614193008164124</v>
      </c>
      <c r="D46" s="230" t="n">
        <f t="shared" si="5"/>
        <v>2.5600000000000002E-3</v>
      </c>
      <c r="E46" s="238" t="n">
        <v>0.83</v>
      </c>
      <c r="F46" s="237" t="n">
        <v>22</v>
      </c>
      <c r="G46" s="237" t="n">
        <v>304</v>
      </c>
      <c r="H46" s="237" t="n">
        <v>380</v>
      </c>
      <c r="I46" s="237" t="n">
        <v>0</v>
      </c>
      <c r="J46" s="237" t="n">
        <v>1400</v>
      </c>
      <c r="K46" s="237" t="n">
        <v>16</v>
      </c>
      <c r="L46" s="237"/>
    </row>
    <row r="47">
      <c r="A47" t="s">
        <v>699</v>
      </c>
      <c r="B47" t="str">
        <f>VLOOKUP(A47,[5]Names_Lab!$A$2:$B$198,2,0)</f>
        <v>Fruit, tropical fresh nes</v>
      </c>
      <c r="C47" s="231" t="n">
        <f t="shared" si="4"/>
        <v>3.7680552648105508</v>
      </c>
      <c r="D47" s="230" t="n">
        <f t="shared" si="5"/>
        <v>1.6000000000000001E-3</v>
      </c>
      <c r="E47" t="n">
        <v>0.6</v>
      </c>
      <c r="F47" t="n">
        <v>2</v>
      </c>
      <c r="G47" t="n">
        <v>200</v>
      </c>
      <c r="H47" t="n">
        <v>300</v>
      </c>
      <c r="I47" t="n">
        <v>0</v>
      </c>
      <c r="J47" t="n">
        <v>900</v>
      </c>
      <c r="K47" t="n">
        <v>10</v>
      </c>
    </row>
    <row r="48">
      <c r="A48" t="s">
        <v>698</v>
      </c>
      <c r="B48" s="44" t="s">
        <v>398</v>
      </c>
      <c r="C48" s="231" t="n">
        <f t="shared" si="4"/>
        <v>3.0981787732886752</v>
      </c>
      <c r="D48" s="230" t="n">
        <f t="shared" si="5"/>
        <v>1.92E-3</v>
      </c>
      <c r="E48" t="n">
        <v>0.85</v>
      </c>
      <c r="F48" t="n">
        <v>0</v>
      </c>
      <c r="G48" t="n">
        <v>160</v>
      </c>
      <c r="H48" t="n">
        <v>380</v>
      </c>
      <c r="I48" t="n">
        <v>80</v>
      </c>
      <c r="J48" t="n">
        <v>740</v>
      </c>
      <c r="K48" t="n">
        <v>12</v>
      </c>
    </row>
    <row r="49">
      <c r="A49" t="s">
        <v>697</v>
      </c>
      <c r="B49" t="str">
        <f>VLOOKUP(A49,[5]Names_Lab!$A$2:$B$198,2,0)</f>
        <v>Plum</v>
      </c>
      <c r="C49" s="231" t="n">
        <f t="shared" si="4"/>
        <v>2.1352313167259789</v>
      </c>
      <c r="D49" s="230" t="n">
        <f t="shared" si="5"/>
        <v>9.6000000000000002E-4</v>
      </c>
      <c r="E49" t="n">
        <v>0.85</v>
      </c>
      <c r="F49" t="n">
        <v>0</v>
      </c>
      <c r="G49" t="n">
        <v>110</v>
      </c>
      <c r="H49" t="n">
        <v>140</v>
      </c>
      <c r="I49" t="n">
        <v>492</v>
      </c>
      <c r="J49" t="n">
        <v>510</v>
      </c>
      <c r="K49" t="n">
        <v>6</v>
      </c>
    </row>
    <row r="50">
      <c r="A50" t="s">
        <v>696</v>
      </c>
      <c r="B50" t="str">
        <f>VLOOKUP(A50,[5]Names_Lab!$A$2:$B$198,2,0)</f>
        <v>Pomegranate</v>
      </c>
      <c r="C50" s="231" t="n">
        <f t="shared" si="4"/>
        <v>1.4234875444839858</v>
      </c>
      <c r="D50" s="230" t="n">
        <f t="shared" si="5"/>
        <v>1.1199999999999999E-3</v>
      </c>
      <c r="E50" t="n">
        <v>0.35</v>
      </c>
      <c r="F50" t="n">
        <v>1</v>
      </c>
      <c r="G50" t="n">
        <v>75</v>
      </c>
      <c r="H50" t="n">
        <v>80</v>
      </c>
      <c r="I50" t="n">
        <v>35</v>
      </c>
      <c r="J50" t="n">
        <v>340</v>
      </c>
      <c r="K50" t="n">
        <v>7</v>
      </c>
    </row>
    <row r="51">
      <c r="A51" t="s">
        <v>695</v>
      </c>
      <c r="B51" t="str">
        <f>VLOOKUP(A51,[5]Names_Lab!$A$2:$B$198,2,0)</f>
        <v>Fruit, tropical fresh nes</v>
      </c>
      <c r="C51" s="231" t="n">
        <f t="shared" si="4"/>
        <v>1.7584257902449236</v>
      </c>
      <c r="D51" s="230" t="n">
        <f t="shared" si="5"/>
        <v>1.4400000000000001E-3</v>
      </c>
      <c r="E51" t="n">
        <v>0.89</v>
      </c>
      <c r="F51" t="n">
        <v>5</v>
      </c>
      <c r="G51" t="n">
        <v>58</v>
      </c>
      <c r="H51" t="n">
        <v>540</v>
      </c>
      <c r="I51" t="n">
        <v>1220</v>
      </c>
      <c r="J51" t="n">
        <v>420</v>
      </c>
      <c r="K51" t="n">
        <v>9</v>
      </c>
    </row>
    <row r="52">
      <c r="A52" t="s">
        <v>694</v>
      </c>
      <c r="B52" t="str">
        <f>VLOOKUP(A52,[5]Names_Lab!$A$2:$B$198,2,0)</f>
        <v>Cherries</v>
      </c>
      <c r="C52" s="231" t="n">
        <f t="shared" si="4"/>
        <v>2.7213732468076199</v>
      </c>
      <c r="D52" s="230" t="n">
        <f t="shared" si="5"/>
        <v>1.2800000000000001E-3</v>
      </c>
      <c r="E52" t="n">
        <v>0.87</v>
      </c>
      <c r="F52" t="n">
        <v>5</v>
      </c>
      <c r="G52" t="n">
        <v>135</v>
      </c>
      <c r="H52" t="n">
        <v>160</v>
      </c>
      <c r="I52" t="n">
        <v>30</v>
      </c>
      <c r="J52" t="n">
        <v>650</v>
      </c>
      <c r="K52" t="n">
        <v>8</v>
      </c>
    </row>
    <row r="53">
      <c r="A53" t="s">
        <v>693</v>
      </c>
      <c r="B53" s="44" t="s">
        <v>258</v>
      </c>
      <c r="C53" s="231" t="n">
        <f t="shared" si="4"/>
        <v>11.764705882352942</v>
      </c>
      <c r="D53" s="230" t="n">
        <f t="shared" si="5"/>
        <v>5.5999999999999999E-3</v>
      </c>
      <c r="E53" t="n">
        <v>1</v>
      </c>
      <c r="F53" t="n">
        <v>20</v>
      </c>
      <c r="G53" t="n">
        <v>530</v>
      </c>
      <c r="H53" t="n">
        <v>1780</v>
      </c>
      <c r="I53" t="n">
        <v>70</v>
      </c>
      <c r="J53" t="n">
        <v>2810</v>
      </c>
      <c r="K53" t="n">
        <v>35</v>
      </c>
    </row>
    <row r="54">
      <c r="A54" t="s">
        <v>692</v>
      </c>
      <c r="B54" t="str">
        <f>VLOOKUP(A54,[5]Names_Lab!$A$2:$B$198,2,0)</f>
        <v>Persimmon</v>
      </c>
      <c r="C54" s="231" t="n">
        <f t="shared" si="4"/>
        <v>2.8888423696880889</v>
      </c>
      <c r="D54" s="230" t="n">
        <f t="shared" si="5"/>
        <v>1.008E-3</v>
      </c>
      <c r="E54" s="238" t="n">
        <v>0.87</v>
      </c>
      <c r="F54" s="237" t="n">
        <v>3</v>
      </c>
      <c r="G54" s="237" t="n">
        <v>160</v>
      </c>
      <c r="H54" s="237" t="n">
        <v>80</v>
      </c>
      <c r="I54" s="237" t="n">
        <v>0</v>
      </c>
      <c r="J54" s="237" t="n">
        <v>690</v>
      </c>
      <c r="K54" s="237" t="n">
        <v>6.3</v>
      </c>
      <c r="L54" s="237"/>
    </row>
    <row r="55">
      <c r="A55" t="s">
        <v>691</v>
      </c>
      <c r="B55" t="str">
        <f>VLOOKUP(A55,[5]Names_Lab!$A$2:$B$198,2,0)</f>
        <v>Lemon</v>
      </c>
      <c r="C55" s="231" t="n">
        <f t="shared" si="4"/>
        <v>0.71174377224199292</v>
      </c>
      <c r="D55" s="230" t="n">
        <f t="shared" si="5"/>
        <v>8.0000000000000004E-4</v>
      </c>
      <c r="E55" t="n">
        <v>0.7</v>
      </c>
      <c r="F55" t="n">
        <v>2</v>
      </c>
      <c r="G55" t="n">
        <v>19</v>
      </c>
      <c r="H55" t="n">
        <v>130</v>
      </c>
      <c r="I55" t="n">
        <v>17</v>
      </c>
      <c r="J55" t="n">
        <v>170</v>
      </c>
      <c r="K55" t="n">
        <v>5</v>
      </c>
    </row>
    <row r="56">
      <c r="A56" t="s">
        <v>690</v>
      </c>
      <c r="B56" s="44" t="s">
        <v>262</v>
      </c>
      <c r="C56" s="231" t="n">
        <f t="shared" si="4"/>
        <v>1.8421603516851581</v>
      </c>
      <c r="D56" s="230" t="n">
        <f t="shared" si="5"/>
        <v>1.1199999999999999E-3</v>
      </c>
      <c r="E56" t="n">
        <v>0.64</v>
      </c>
      <c r="F56" t="n">
        <v>4</v>
      </c>
      <c r="G56" t="n">
        <v>90</v>
      </c>
      <c r="H56" t="n">
        <v>120</v>
      </c>
      <c r="I56" t="n">
        <v>23</v>
      </c>
      <c r="J56" t="n">
        <v>440</v>
      </c>
      <c r="K56" t="n">
        <v>7</v>
      </c>
    </row>
    <row r="57">
      <c r="A57" t="s">
        <v>689</v>
      </c>
      <c r="B57" t="str">
        <f>VLOOKUP(A57,[5]Names_Lab!$A$2:$B$198,2,0)</f>
        <v>Fruit, tropical fresh nes</v>
      </c>
      <c r="C57" s="231" t="n">
        <f t="shared" si="4"/>
        <v>2.8051078082478544</v>
      </c>
      <c r="D57" s="230" t="n">
        <f t="shared" si="5"/>
        <v>1.1199999999999999E-3</v>
      </c>
      <c r="E57" t="n">
        <v>0.68</v>
      </c>
      <c r="F57" t="n">
        <v>2</v>
      </c>
      <c r="G57" t="n">
        <v>141</v>
      </c>
      <c r="H57" t="n">
        <v>120</v>
      </c>
      <c r="I57" t="n">
        <v>3000</v>
      </c>
      <c r="J57" t="n">
        <v>670</v>
      </c>
      <c r="K57" t="n">
        <v>7</v>
      </c>
    </row>
    <row r="58">
      <c r="A58" t="s">
        <v>688</v>
      </c>
      <c r="B58" t="str">
        <f>VLOOKUP(A58,[5]Names_Lab!$A$2:$B$198,2,0)</f>
        <v>Apple</v>
      </c>
      <c r="C58" s="231" t="n">
        <f t="shared" si="4"/>
        <v>2.2189658781662134</v>
      </c>
      <c r="D58" s="230" t="n">
        <f t="shared" si="5"/>
        <v>4.8000000000000001E-4</v>
      </c>
      <c r="E58" t="n">
        <v>0.84</v>
      </c>
      <c r="F58" t="n">
        <v>0</v>
      </c>
      <c r="G58" t="n">
        <v>120</v>
      </c>
      <c r="H58" t="n">
        <v>60</v>
      </c>
      <c r="I58" t="n">
        <v>40</v>
      </c>
      <c r="J58" t="n">
        <v>530</v>
      </c>
      <c r="K58" t="n">
        <v>3</v>
      </c>
    </row>
    <row r="59">
      <c r="A59" t="s">
        <v>687</v>
      </c>
      <c r="B59" t="str">
        <f>VLOOKUP(A59,[5]Names_Lab!$A$2:$B$198,2,0)</f>
        <v>Apple</v>
      </c>
      <c r="C59" s="231" t="n">
        <f t="shared" si="4"/>
        <v>2.2189658781662134</v>
      </c>
      <c r="D59" s="230" t="n">
        <f t="shared" si="5"/>
        <v>4.8000000000000001E-4</v>
      </c>
      <c r="E59" t="n">
        <v>0.84</v>
      </c>
      <c r="F59" t="n">
        <v>0</v>
      </c>
      <c r="G59" t="n">
        <v>120</v>
      </c>
      <c r="H59" t="n">
        <v>60</v>
      </c>
      <c r="I59" t="n">
        <v>40</v>
      </c>
      <c r="J59" t="n">
        <v>530</v>
      </c>
      <c r="K59" t="n">
        <v>3</v>
      </c>
    </row>
    <row r="60">
      <c r="A60" t="s">
        <v>686</v>
      </c>
      <c r="B60" t="str">
        <f>VLOOKUP(A60,[5]Names_Lab!$A$2:$B$198,2,0)</f>
        <v>Peach</v>
      </c>
      <c r="C60" s="231" t="n">
        <f t="shared" si="4"/>
        <v>1.7165585095248064</v>
      </c>
      <c r="D60" s="230" t="n">
        <f t="shared" si="5"/>
        <v>9.6000000000000002E-4</v>
      </c>
      <c r="E60" t="n">
        <v>0.88</v>
      </c>
      <c r="F60" t="n">
        <v>0</v>
      </c>
      <c r="G60" t="n">
        <v>90</v>
      </c>
      <c r="H60" t="n">
        <v>80</v>
      </c>
      <c r="I60" t="n">
        <v>40</v>
      </c>
      <c r="J60" t="n">
        <v>410</v>
      </c>
      <c r="K60" t="n">
        <v>6</v>
      </c>
    </row>
    <row r="61">
      <c r="A61" t="s">
        <v>685</v>
      </c>
      <c r="B61" s="44" t="s">
        <v>237</v>
      </c>
      <c r="C61" s="231" t="n">
        <f t="shared" si="4"/>
        <v>1.7584257902449236</v>
      </c>
      <c r="D61" s="230" t="n">
        <f t="shared" si="5"/>
        <v>6.4000000000000005E-4</v>
      </c>
      <c r="E61" t="n">
        <v>0.61</v>
      </c>
      <c r="F61" t="n">
        <v>0</v>
      </c>
      <c r="G61" t="n">
        <v>68</v>
      </c>
      <c r="H61" t="n">
        <v>140</v>
      </c>
      <c r="I61" t="n">
        <v>0</v>
      </c>
      <c r="J61" t="n">
        <v>420</v>
      </c>
      <c r="K61" t="n">
        <v>4</v>
      </c>
    </row>
    <row r="62">
      <c r="A62" t="s">
        <v>684</v>
      </c>
      <c r="B62" s="44" t="s">
        <v>261</v>
      </c>
      <c r="C62" s="231" t="n">
        <f t="shared" si="4"/>
        <v>1.7584257902449236</v>
      </c>
      <c r="D62" s="230" t="n">
        <f t="shared" si="5"/>
        <v>1.2800000000000001E-3</v>
      </c>
      <c r="E62" t="n">
        <v>0.73</v>
      </c>
      <c r="F62" t="n">
        <v>0</v>
      </c>
      <c r="G62" t="n">
        <v>86</v>
      </c>
      <c r="H62" t="n">
        <v>360</v>
      </c>
      <c r="I62" t="n">
        <v>400</v>
      </c>
      <c r="J62" t="n">
        <v>420</v>
      </c>
      <c r="K62" t="n">
        <v>8</v>
      </c>
      <c r="M62" t="s">
        <v>683</v>
      </c>
    </row>
    <row r="63">
      <c r="A63" t="s">
        <v>682</v>
      </c>
      <c r="B63" t="str">
        <f>VLOOKUP(A63,[5]Names_Lab!$A$2:$B$198,2,0)</f>
        <v>Fruits</v>
      </c>
      <c r="C63" s="231" t="n">
        <f t="shared" si="4"/>
        <v>2.8888423696880889</v>
      </c>
      <c r="D63" s="230" t="n">
        <f t="shared" si="5"/>
        <v>6.4000000000000005E-4</v>
      </c>
      <c r="E63" t="n">
        <v>0.62</v>
      </c>
      <c r="F63" t="n">
        <v>5</v>
      </c>
      <c r="G63" t="n">
        <v>106</v>
      </c>
      <c r="H63" t="n">
        <v>300</v>
      </c>
      <c r="I63" t="n">
        <v>1600</v>
      </c>
      <c r="J63" t="n">
        <v>690</v>
      </c>
      <c r="K63" t="n">
        <v>4</v>
      </c>
    </row>
    <row r="64">
      <c r="A64" t="s">
        <v>681</v>
      </c>
      <c r="B64" t="str">
        <f>VLOOKUP(A64,[5]Names_Lab!$A$2:$B$198,2,0)</f>
        <v>Walnut</v>
      </c>
      <c r="C64" s="231" t="n">
        <f t="shared" si="4"/>
        <v>25.580908519991628</v>
      </c>
      <c r="D64" s="230" t="n">
        <f t="shared" si="5"/>
        <v>2.24E-2</v>
      </c>
      <c r="E64" t="n">
        <v>1</v>
      </c>
      <c r="F64" t="n">
        <v>590</v>
      </c>
      <c r="G64" t="n">
        <v>33</v>
      </c>
      <c r="H64" t="n">
        <v>770</v>
      </c>
      <c r="I64" t="n">
        <v>0</v>
      </c>
      <c r="J64" t="n">
        <v>6110</v>
      </c>
      <c r="K64" t="n">
        <v>140</v>
      </c>
    </row>
    <row r="65">
      <c r="A65" t="s">
        <v>680</v>
      </c>
      <c r="B65" s="44" t="s">
        <v>267</v>
      </c>
      <c r="C65" s="231" t="n">
        <f t="shared" si="4"/>
        <v>13.146326146116809</v>
      </c>
      <c r="D65" s="230" t="n">
        <f t="shared" si="5"/>
        <v>3.5200000000000001E-3</v>
      </c>
      <c r="E65" t="n">
        <v>0.86</v>
      </c>
      <c r="F65" t="n">
        <v>4</v>
      </c>
      <c r="G65" t="n">
        <v>710</v>
      </c>
      <c r="H65" t="n">
        <v>680</v>
      </c>
      <c r="I65" t="n">
        <v>70</v>
      </c>
      <c r="J65" t="n">
        <v>3140</v>
      </c>
      <c r="K65" t="n">
        <v>22</v>
      </c>
    </row>
    <row r="66">
      <c r="A66" t="s">
        <v>679</v>
      </c>
      <c r="B66" t="str">
        <f>VLOOKUP(A66,[5]Names_Lab!$A$2:$B$198,2,0)</f>
        <v>Pear</v>
      </c>
      <c r="C66" s="231" t="n">
        <f t="shared" si="4"/>
        <v>2.0514967552857444</v>
      </c>
      <c r="D66" s="230" t="n">
        <f t="shared" si="5"/>
        <v>6.4000000000000005E-4</v>
      </c>
      <c r="E66" t="n">
        <v>0.88</v>
      </c>
      <c r="F66" t="n">
        <v>0</v>
      </c>
      <c r="G66" t="n">
        <v>106</v>
      </c>
      <c r="H66" t="n">
        <v>120</v>
      </c>
      <c r="I66" t="n">
        <v>100</v>
      </c>
      <c r="J66" t="n">
        <v>490</v>
      </c>
      <c r="K66" t="n">
        <v>4</v>
      </c>
    </row>
    <row r="67">
      <c r="A67" t="s">
        <v>678</v>
      </c>
      <c r="B67" s="44" t="s">
        <v>254</v>
      </c>
      <c r="C67" s="231" t="n">
        <f t="shared" si="4"/>
        <v>3.9355243876910198</v>
      </c>
      <c r="D67" s="230" t="n">
        <f t="shared" si="5"/>
        <v>1.92E-3</v>
      </c>
      <c r="E67" t="n">
        <v>0.66</v>
      </c>
      <c r="F67" t="n">
        <v>3</v>
      </c>
      <c r="G67" t="n">
        <v>200</v>
      </c>
      <c r="H67" t="n">
        <v>90</v>
      </c>
      <c r="I67" t="n">
        <v>180</v>
      </c>
      <c r="J67" t="n">
        <v>940</v>
      </c>
      <c r="K67" t="n">
        <v>12</v>
      </c>
    </row>
    <row r="68">
      <c r="A68" t="s">
        <v>677</v>
      </c>
      <c r="B68" s="73" t="s">
        <v>238</v>
      </c>
      <c r="C68" s="231" t="n">
        <f t="shared" si="4"/>
        <v>1.4653548252041031</v>
      </c>
      <c r="D68" s="230" t="n">
        <f t="shared" si="5"/>
        <v>1.2800000000000001E-3</v>
      </c>
      <c r="E68" t="n">
        <v>0.68</v>
      </c>
      <c r="F68" t="n">
        <v>1</v>
      </c>
      <c r="G68" t="n">
        <v>68</v>
      </c>
      <c r="H68" t="n">
        <v>230</v>
      </c>
      <c r="I68" t="n">
        <v>20</v>
      </c>
      <c r="J68" t="n">
        <v>350</v>
      </c>
      <c r="K68" t="n">
        <v>8</v>
      </c>
    </row>
    <row r="69">
      <c r="A69" t="s">
        <v>676</v>
      </c>
      <c r="B69" s="44" t="s">
        <v>242</v>
      </c>
      <c r="C69" s="231" t="n">
        <f t="shared" si="4"/>
        <v>2.8888423696880889</v>
      </c>
      <c r="D69" s="230" t="n">
        <f t="shared" si="5"/>
        <v>9.6000000000000002E-4</v>
      </c>
      <c r="E69" t="n">
        <v>0.9</v>
      </c>
      <c r="F69" t="n">
        <v>0</v>
      </c>
      <c r="G69" t="n">
        <v>161</v>
      </c>
      <c r="H69" t="n">
        <v>170</v>
      </c>
      <c r="I69" t="n">
        <v>30</v>
      </c>
      <c r="J69" t="n">
        <v>690</v>
      </c>
      <c r="K69" t="n">
        <v>6</v>
      </c>
    </row>
    <row r="70">
      <c r="C70" s="231" t="n">
        <f t="shared" si="4"/>
        <v>0</v>
      </c>
      <c r="D70" s="230" t="n">
        <f t="shared" si="5"/>
        <v>0</v>
      </c>
    </row>
    <row r="71">
      <c r="A71" s="81" t="s">
        <v>675</v>
      </c>
      <c r="C71" s="231" t="n">
        <f t="shared" si="4"/>
        <v>0</v>
      </c>
      <c r="D71" s="230" t="n">
        <f t="shared" si="5"/>
        <v>0</v>
      </c>
    </row>
    <row r="72">
      <c r="A72" s="235" t="s">
        <v>674</v>
      </c>
      <c r="B72" t="str">
        <f>VLOOKUP(A72,[5]Names_Lab!$A$2:$B$198,2,0)</f>
        <v>Chard</v>
      </c>
      <c r="C72" s="231" t="n">
        <f t="shared" si="4"/>
        <v>1.7165585095248064</v>
      </c>
      <c r="D72" s="230" t="n">
        <f t="shared" si="5"/>
        <v>3.2000000000000002E-3</v>
      </c>
      <c r="E72" t="n">
        <v>0.7</v>
      </c>
      <c r="F72" t="n">
        <v>4</v>
      </c>
      <c r="G72" t="n">
        <v>45</v>
      </c>
      <c r="H72" t="n">
        <v>1130</v>
      </c>
      <c r="I72" t="n">
        <v>1830</v>
      </c>
      <c r="J72" t="n">
        <v>410</v>
      </c>
      <c r="K72" t="n">
        <v>20</v>
      </c>
    </row>
    <row r="73">
      <c r="A73" s="1" t="s">
        <v>673</v>
      </c>
      <c r="B73" t="str">
        <f>VLOOKUP(A73,[5]Names_Lab!$A$2:$B$198,2,0)</f>
        <v>Garlic</v>
      </c>
      <c r="C73" s="231" t="n">
        <f t="shared" si="4"/>
        <v>4.9403391249738329</v>
      </c>
      <c r="D73" s="230" t="n">
        <f t="shared" si="5"/>
        <v>8.4799999999999997E-3</v>
      </c>
      <c r="E73" t="n">
        <v>0.76</v>
      </c>
      <c r="F73" t="n">
        <v>3</v>
      </c>
      <c r="G73" t="n">
        <v>230</v>
      </c>
      <c r="H73" t="n">
        <v>114</v>
      </c>
      <c r="I73" t="n">
        <v>0</v>
      </c>
      <c r="J73" t="n">
        <v>1180</v>
      </c>
      <c r="K73" t="n">
        <v>53</v>
      </c>
    </row>
    <row r="74">
      <c r="A74" s="235" t="s">
        <v>672</v>
      </c>
      <c r="B74" t="str">
        <f>VLOOKUP(A74,[5]Names_Lab!$A$2:$B$198,2,0)</f>
        <v>Artichoke</v>
      </c>
      <c r="C74" s="231" t="n">
        <f t="shared" si="4"/>
        <v>1.8421603516851581</v>
      </c>
      <c r="D74" s="230" t="n">
        <f t="shared" si="5"/>
        <v>3.6800000000000001E-3</v>
      </c>
      <c r="E74" t="n">
        <v>0.36</v>
      </c>
      <c r="F74" t="n">
        <v>1</v>
      </c>
      <c r="G74" t="n">
        <v>75</v>
      </c>
      <c r="H74" t="n">
        <v>450</v>
      </c>
      <c r="I74" t="n">
        <v>80</v>
      </c>
      <c r="J74" t="n">
        <v>440</v>
      </c>
      <c r="K74" t="n">
        <v>23</v>
      </c>
    </row>
    <row r="75">
      <c r="A75" t="s">
        <v>671</v>
      </c>
      <c r="B75" t="str">
        <f>VLOOKUP(A75,[5]Names_Lab!$A$2:$B$198,2,0)</f>
        <v>Caper</v>
      </c>
      <c r="C75" s="231" t="n">
        <f t="shared" ref="C75:C96" si="6">J75/238.85</f>
        <v>1.8421603516851581</v>
      </c>
      <c r="D75" s="230" t="n">
        <f t="shared" ref="D75:D96" si="7">K75/(6.25*1000)</f>
        <v>3.8400000000000001E-3</v>
      </c>
      <c r="E75" t="n">
        <v>1</v>
      </c>
      <c r="F75" t="n">
        <v>9</v>
      </c>
      <c r="G75" t="n">
        <v>49</v>
      </c>
      <c r="H75" t="n">
        <v>400</v>
      </c>
      <c r="I75" t="n">
        <v>140</v>
      </c>
      <c r="J75" t="n">
        <v>440</v>
      </c>
      <c r="K75" t="n">
        <v>24</v>
      </c>
    </row>
    <row r="76">
      <c r="A76" t="s">
        <v>670</v>
      </c>
      <c r="B76" t="str">
        <f>VLOOKUP(A76,[5]Names_Lab!$A$2:$B$198,2,0)</f>
        <v>Anise</v>
      </c>
      <c r="C76" s="231" t="n">
        <f t="shared" si="6"/>
        <v>14.109273602679506</v>
      </c>
      <c r="D76" s="230" t="n">
        <f t="shared" si="7"/>
        <v>2.8160000000000001E-2</v>
      </c>
      <c r="E76" s="238" t="n">
        <v>1</v>
      </c>
      <c r="F76" s="237" t="n">
        <v>159</v>
      </c>
      <c r="G76" s="241" t="n">
        <v>500.2</v>
      </c>
      <c r="H76" s="237" t="n">
        <v>6460</v>
      </c>
      <c r="I76" s="237" t="n">
        <v>3110</v>
      </c>
      <c r="J76" s="237" t="n">
        <v>3370</v>
      </c>
      <c r="K76" s="237" t="n">
        <v>176</v>
      </c>
      <c r="L76" s="237"/>
    </row>
    <row r="77">
      <c r="A77" s="235" t="s">
        <v>669</v>
      </c>
      <c r="B77" t="str">
        <f>VLOOKUP(A77,[5]Names_Lab!$A$2:$B$198,2,0)</f>
        <v>Celery</v>
      </c>
      <c r="C77" s="231" t="n">
        <f t="shared" si="6"/>
        <v>0.66987649152187567</v>
      </c>
      <c r="D77" s="230" t="n">
        <f t="shared" si="7"/>
        <v>2.0799999999999998E-3</v>
      </c>
      <c r="E77" t="n">
        <v>0.65</v>
      </c>
      <c r="F77" t="n">
        <v>2</v>
      </c>
      <c r="G77" t="n">
        <v>13</v>
      </c>
      <c r="H77" t="n">
        <v>550</v>
      </c>
      <c r="I77" t="n">
        <v>950</v>
      </c>
      <c r="J77" t="n">
        <v>160</v>
      </c>
      <c r="K77" t="n">
        <v>13</v>
      </c>
    </row>
    <row r="78">
      <c r="A78" s="1" t="s">
        <v>668</v>
      </c>
      <c r="B78" t="str">
        <f>VLOOKUP(A78,[5]Names_Lab!$A$2:$B$198,2,0)</f>
        <v>Saffron</v>
      </c>
      <c r="C78" s="231" t="n">
        <f t="shared" si="6"/>
        <v>14.444211848440444</v>
      </c>
      <c r="D78" s="230" t="n">
        <f t="shared" si="7"/>
        <v>1.8239999999999999E-2</v>
      </c>
      <c r="E78" t="n">
        <v>1</v>
      </c>
      <c r="F78" t="n">
        <v>59</v>
      </c>
      <c r="G78" t="n">
        <v>615</v>
      </c>
      <c r="H78" t="n">
        <v>1100</v>
      </c>
      <c r="I78" t="n">
        <v>0</v>
      </c>
      <c r="J78" t="n">
        <v>3450</v>
      </c>
      <c r="K78" t="n">
        <v>114</v>
      </c>
    </row>
    <row r="79">
      <c r="A79" s="235" t="s">
        <v>667</v>
      </c>
      <c r="B79" t="str">
        <f>VLOOKUP(A79,[5]Names_Lab!$A$2:$B$198,2,0)</f>
        <v>Aubergine</v>
      </c>
      <c r="C79" s="231" t="n">
        <f t="shared" si="6"/>
        <v>1.1304165794431651</v>
      </c>
      <c r="D79" s="230" t="n">
        <f t="shared" si="7"/>
        <v>1.92E-3</v>
      </c>
      <c r="E79" t="n">
        <v>0.85</v>
      </c>
      <c r="F79" t="n">
        <v>2</v>
      </c>
      <c r="G79" t="n">
        <v>44</v>
      </c>
      <c r="H79" t="n">
        <v>111</v>
      </c>
      <c r="I79" t="n">
        <v>30</v>
      </c>
      <c r="J79" t="n">
        <v>270</v>
      </c>
      <c r="K79" t="n">
        <v>12</v>
      </c>
    </row>
    <row r="80">
      <c r="A80" t="s">
        <v>666</v>
      </c>
      <c r="B80" t="str">
        <f>VLOOKUP(A80,[5]Names_Lab!$A$2:$B$198,2,0)</f>
        <v>Cabbage, Broccoli</v>
      </c>
      <c r="C80" s="231" t="n">
        <f t="shared" si="6"/>
        <v>1.8296001674691229</v>
      </c>
      <c r="D80" s="230" t="n">
        <f t="shared" si="7"/>
        <v>6.8799999999999998E-3</v>
      </c>
      <c r="E80" s="238" t="n">
        <v>0.85</v>
      </c>
      <c r="F80" s="237" t="n">
        <v>9</v>
      </c>
      <c r="G80" s="237" t="n">
        <v>25.4</v>
      </c>
      <c r="H80" s="237" t="n">
        <v>2120</v>
      </c>
      <c r="I80" s="237" t="n">
        <v>8666</v>
      </c>
      <c r="J80" s="241" t="n">
        <v>437</v>
      </c>
      <c r="K80" s="237" t="n">
        <v>43</v>
      </c>
      <c r="L80" s="237"/>
    </row>
    <row r="81">
      <c r="A81" s="235" t="s">
        <v>665</v>
      </c>
      <c r="B81" t="str">
        <f>VLOOKUP(A81,[5]Names_Lab!$A$2:$B$198,2,0)</f>
        <v>Borage</v>
      </c>
      <c r="C81" s="231" t="n">
        <f t="shared" si="6"/>
        <v>1.1722838601632823</v>
      </c>
      <c r="D81" s="230" t="n">
        <f t="shared" si="7"/>
        <v>2.8800000000000002E-3</v>
      </c>
      <c r="E81" t="n">
        <v>0.8</v>
      </c>
      <c r="F81" t="n">
        <v>7</v>
      </c>
      <c r="G81" t="n">
        <v>31</v>
      </c>
      <c r="H81" t="n">
        <v>930</v>
      </c>
      <c r="I81" t="n">
        <v>2100</v>
      </c>
      <c r="J81" t="n">
        <v>280</v>
      </c>
      <c r="K81" t="n">
        <v>18</v>
      </c>
    </row>
    <row r="82">
      <c r="A82" t="s">
        <v>664</v>
      </c>
      <c r="B82" t="str">
        <f>VLOOKUP(A82,[5]Names_Lab!$A$2:$B$198,2,0)</f>
        <v>Zucchini</v>
      </c>
      <c r="C82" s="231" t="n">
        <f t="shared" si="6"/>
        <v>0.58614193008164117</v>
      </c>
      <c r="D82" s="230" t="n">
        <f t="shared" si="7"/>
        <v>9.6000000000000002E-4</v>
      </c>
      <c r="E82" t="n">
        <v>0.7</v>
      </c>
      <c r="F82" t="n">
        <v>2</v>
      </c>
      <c r="G82" t="n">
        <v>22</v>
      </c>
      <c r="H82" t="n">
        <v>240</v>
      </c>
      <c r="I82" t="n">
        <v>45</v>
      </c>
      <c r="J82" t="n">
        <v>140</v>
      </c>
      <c r="K82" t="n">
        <v>6</v>
      </c>
    </row>
    <row r="83">
      <c r="A83" s="235" t="s">
        <v>663</v>
      </c>
      <c r="B83" t="s">
        <v>768</v>
      </c>
      <c r="C83" s="231" t="n">
        <f t="shared" si="6"/>
        <v>0.62800921080175842</v>
      </c>
      <c r="D83" s="230" t="n">
        <f t="shared" si="7"/>
        <v>1.1199999999999999E-3</v>
      </c>
      <c r="E83" t="n">
        <v>0.67</v>
      </c>
      <c r="F83" t="n">
        <v>2</v>
      </c>
      <c r="G83" t="n">
        <v>22</v>
      </c>
      <c r="H83" t="n">
        <v>290</v>
      </c>
      <c r="I83" t="n">
        <v>750</v>
      </c>
      <c r="J83" t="n">
        <v>150</v>
      </c>
      <c r="K83" t="n">
        <v>7</v>
      </c>
    </row>
    <row r="84">
      <c r="A84" s="235" t="s">
        <v>662</v>
      </c>
      <c r="B84" t="str">
        <f>VLOOKUP(A84,[5]Names_Lab!$A$2:$B$198,2,0)</f>
        <v>Artichoke thistle</v>
      </c>
      <c r="C84" s="231" t="n">
        <f t="shared" si="6"/>
        <v>0.96294745656269631</v>
      </c>
      <c r="D84" s="230" t="n">
        <f t="shared" si="7"/>
        <v>2.2399999999999998E-3</v>
      </c>
      <c r="E84" t="n">
        <v>0.8</v>
      </c>
      <c r="F84" t="n">
        <v>2</v>
      </c>
      <c r="G84" t="n">
        <v>35</v>
      </c>
      <c r="H84" t="n">
        <v>1140</v>
      </c>
      <c r="I84" t="n">
        <v>0</v>
      </c>
      <c r="J84" t="n">
        <v>230</v>
      </c>
      <c r="K84" t="n">
        <v>14</v>
      </c>
    </row>
    <row r="85">
      <c r="A85" t="s">
        <v>661</v>
      </c>
      <c r="B85" t="str">
        <f>VLOOKUP(A85,[5]Names_Lab!$A$2:$B$198,2,0)</f>
        <v>Onion</v>
      </c>
      <c r="C85" s="231" t="n">
        <f t="shared" si="6"/>
        <v>0.96294745656269631</v>
      </c>
      <c r="D85" s="230" t="n">
        <f t="shared" si="7"/>
        <v>2.2399999999999998E-3</v>
      </c>
      <c r="E85" t="n">
        <v>1</v>
      </c>
      <c r="F85" t="n">
        <v>2</v>
      </c>
      <c r="G85" t="n">
        <v>35</v>
      </c>
      <c r="H85" t="n">
        <v>1140</v>
      </c>
      <c r="I85" t="n">
        <v>0</v>
      </c>
      <c r="J85" t="n">
        <v>230</v>
      </c>
      <c r="K85" t="n">
        <v>14</v>
      </c>
    </row>
    <row r="86">
      <c r="A86" t="s">
        <v>660</v>
      </c>
      <c r="B86" t="str">
        <f>VLOOKUP(A86,[5]Names_Lab!$A$2:$B$198,2,0)</f>
        <v>Onion</v>
      </c>
      <c r="C86" s="231" t="n">
        <f t="shared" si="6"/>
        <v>1.2141511408833996</v>
      </c>
      <c r="D86" s="230" t="n">
        <f t="shared" si="7"/>
        <v>2.2399999999999998E-3</v>
      </c>
      <c r="E86" t="n">
        <v>0.85</v>
      </c>
      <c r="F86" t="n">
        <v>0</v>
      </c>
      <c r="G86" t="n">
        <v>51</v>
      </c>
      <c r="H86" t="n">
        <v>310</v>
      </c>
      <c r="I86" t="n">
        <v>0</v>
      </c>
      <c r="J86" t="n">
        <v>290</v>
      </c>
      <c r="K86" t="n">
        <v>14</v>
      </c>
    </row>
    <row r="87">
      <c r="A87" s="235" t="s">
        <v>659</v>
      </c>
      <c r="B87" t="str">
        <f>VLOOKUP(A87,[5]Names_Lab!$A$2:$B$198,2,0)</f>
        <v>Cabbage, Broccoli</v>
      </c>
      <c r="C87" s="231" t="n">
        <f t="shared" si="6"/>
        <v>1.5072221059242203</v>
      </c>
      <c r="D87" s="230" t="n">
        <f t="shared" si="7"/>
        <v>5.28E-3</v>
      </c>
      <c r="E87" t="n">
        <v>0.75</v>
      </c>
      <c r="F87" t="n">
        <v>3</v>
      </c>
      <c r="G87" t="n">
        <v>34</v>
      </c>
      <c r="H87" t="n">
        <v>400</v>
      </c>
      <c r="I87" t="n">
        <v>40</v>
      </c>
      <c r="J87" t="n">
        <v>360</v>
      </c>
      <c r="K87" t="n">
        <v>33</v>
      </c>
    </row>
    <row r="88">
      <c r="A88" s="235" t="s">
        <v>658</v>
      </c>
      <c r="B88" t="str">
        <f>VLOOKUP(A88,[5]Names_Lab!$A$2:$B$198,2,0)</f>
        <v>Cauliflower</v>
      </c>
      <c r="C88" s="231" t="n">
        <f t="shared" si="6"/>
        <v>1.1304165794431651</v>
      </c>
      <c r="D88" s="230" t="n">
        <f t="shared" si="7"/>
        <v>3.5200000000000001E-3</v>
      </c>
      <c r="E88" t="n">
        <v>0.8</v>
      </c>
      <c r="F88" t="n">
        <v>2</v>
      </c>
      <c r="G88" t="n">
        <v>31</v>
      </c>
      <c r="H88" t="n">
        <v>220</v>
      </c>
      <c r="I88" t="n">
        <v>0</v>
      </c>
      <c r="J88" t="n">
        <v>270</v>
      </c>
      <c r="K88" t="n">
        <v>22</v>
      </c>
    </row>
    <row r="89">
      <c r="A89" t="s">
        <v>657</v>
      </c>
      <c r="B89" t="str">
        <f>VLOOKUP(A89,[5]Names_Lab!$A$2:$B$198,2,0)</f>
        <v>Spices, Other</v>
      </c>
      <c r="C89" s="231" t="n">
        <f t="shared" si="6"/>
        <v>18.337868955411345</v>
      </c>
      <c r="D89" s="230" t="n">
        <f t="shared" si="7"/>
        <v>2.8479999999999998E-2</v>
      </c>
      <c r="E89" t="n">
        <v>1</v>
      </c>
      <c r="F89" t="n">
        <v>182</v>
      </c>
      <c r="G89" t="n">
        <v>454</v>
      </c>
      <c r="H89" t="n">
        <v>9310</v>
      </c>
      <c r="I89" t="n">
        <v>1270</v>
      </c>
      <c r="J89" t="n">
        <v>4380</v>
      </c>
      <c r="K89" t="n">
        <v>178</v>
      </c>
    </row>
    <row r="90">
      <c r="A90" s="235" t="s">
        <v>656</v>
      </c>
      <c r="B90" t="str">
        <f>VLOOKUP(A90,[5]Names_Lab!$A$2:$B$198,2,0)</f>
        <v>Endive</v>
      </c>
      <c r="C90" s="231" t="n">
        <f t="shared" si="6"/>
        <v>1.0048147372828136</v>
      </c>
      <c r="D90" s="230" t="n">
        <f t="shared" si="7"/>
        <v>2.3999999999999998E-3</v>
      </c>
      <c r="E90" t="n">
        <v>0.64</v>
      </c>
      <c r="F90" t="n">
        <v>3</v>
      </c>
      <c r="G90" t="n">
        <v>30</v>
      </c>
      <c r="H90" t="n">
        <v>670</v>
      </c>
      <c r="I90" t="n">
        <v>730</v>
      </c>
      <c r="J90" t="n">
        <v>240</v>
      </c>
      <c r="K90" t="n">
        <v>15</v>
      </c>
    </row>
    <row r="91">
      <c r="A91" s="235" t="s">
        <v>655</v>
      </c>
      <c r="B91" t="str">
        <f>VLOOKUP(A91,[5]Names_Lab!$A$2:$B$198,2,0)</f>
        <v>Asparagus</v>
      </c>
      <c r="C91" s="231" t="n">
        <f t="shared" si="6"/>
        <v>0.75361105296211017</v>
      </c>
      <c r="D91" s="230" t="n">
        <f t="shared" si="7"/>
        <v>4.3200000000000001E-3</v>
      </c>
      <c r="E91" t="n">
        <v>0.6</v>
      </c>
      <c r="F91" t="n">
        <v>0</v>
      </c>
      <c r="G91" t="n">
        <v>11</v>
      </c>
      <c r="H91" t="n">
        <v>220</v>
      </c>
      <c r="I91" t="n">
        <v>530</v>
      </c>
      <c r="J91" t="n">
        <v>180</v>
      </c>
      <c r="K91" t="n">
        <v>27</v>
      </c>
    </row>
    <row r="92">
      <c r="A92" s="235" t="s">
        <v>654</v>
      </c>
      <c r="B92" t="str">
        <f>VLOOKUP(A92,[5]Names_Lab!$A$2:$B$198,2,0)</f>
        <v>Spinach</v>
      </c>
      <c r="C92" s="231" t="n">
        <f t="shared" si="6"/>
        <v>1.2978857023236341</v>
      </c>
      <c r="D92" s="230" t="n">
        <f t="shared" si="7"/>
        <v>4.1599999999999996E-3</v>
      </c>
      <c r="E92" t="n">
        <v>0.81</v>
      </c>
      <c r="F92" t="n">
        <v>3</v>
      </c>
      <c r="G92" t="n">
        <v>12</v>
      </c>
      <c r="H92" t="n">
        <v>900</v>
      </c>
      <c r="I92" t="n">
        <v>300</v>
      </c>
      <c r="J92" t="n">
        <v>310</v>
      </c>
      <c r="K92" t="n">
        <v>26</v>
      </c>
    </row>
    <row r="93">
      <c r="A93" t="s">
        <v>653</v>
      </c>
      <c r="B93" t="str">
        <f>VLOOKUP(A93,[5]Names_Lab!$A$2:$B$198,2,0)</f>
        <v>Strawberry</v>
      </c>
      <c r="C93" s="231" t="n">
        <f t="shared" si="6"/>
        <v>1.6746912288046891</v>
      </c>
      <c r="D93" s="230" t="n">
        <f t="shared" si="7"/>
        <v>1.1199999999999999E-3</v>
      </c>
      <c r="E93" t="n">
        <v>0.95</v>
      </c>
      <c r="F93" t="n">
        <v>5</v>
      </c>
      <c r="G93" t="n">
        <v>70</v>
      </c>
      <c r="H93" t="n">
        <v>250</v>
      </c>
      <c r="I93" t="n">
        <v>10</v>
      </c>
      <c r="J93" t="n">
        <v>400</v>
      </c>
      <c r="K93" t="n">
        <v>7</v>
      </c>
    </row>
    <row r="94">
      <c r="A94" t="s">
        <v>652</v>
      </c>
      <c r="B94" t="str">
        <f>VLOOKUP(A94,[5]Names_Lab!$A$2:$B$198,2,0)</f>
        <v>Chili pepper</v>
      </c>
      <c r="C94" s="231" t="n">
        <f t="shared" si="6"/>
        <v>1.9761356499895333</v>
      </c>
      <c r="D94" s="230" t="n">
        <f t="shared" si="7"/>
        <v>2.9919999999999999E-3</v>
      </c>
      <c r="E94" s="241" t="n">
        <v>0.95</v>
      </c>
      <c r="F94" s="237" t="n">
        <v>11</v>
      </c>
      <c r="G94" s="237" t="n">
        <v>67</v>
      </c>
      <c r="H94" s="237" t="n">
        <v>140</v>
      </c>
      <c r="I94" s="237" t="n">
        <v>953.3</v>
      </c>
      <c r="J94" s="237" t="n">
        <v>472</v>
      </c>
      <c r="K94" s="237" t="n">
        <v>18.7</v>
      </c>
      <c r="L94" s="237"/>
    </row>
    <row r="95">
      <c r="A95" t="str">
        <f>'[4]P-E-I MF'!A71</f>
        <v>Guisantes verdes</v>
      </c>
      <c r="B95" s="44" t="s">
        <v>314</v>
      </c>
      <c r="C95" s="242" t="n">
        <f>C96</f>
        <v>2.1101109482939084</v>
      </c>
      <c r="D95" s="242" t="n">
        <f t="shared" ref="D95:K95" si="8">D96</f>
        <v>6.7200000000000003E-3</v>
      </c>
      <c r="E95" s="242" t="n">
        <f t="shared" si="8"/>
        <v>0.4</v>
      </c>
      <c r="F95" s="242" t="n">
        <f t="shared" si="8"/>
        <v>2</v>
      </c>
      <c r="G95" s="242" t="n">
        <f t="shared" si="8"/>
        <v>42</v>
      </c>
      <c r="H95" s="242" t="n">
        <f t="shared" si="8"/>
        <v>230</v>
      </c>
      <c r="I95" s="242" t="n">
        <f t="shared" si="8"/>
        <v>283.3</v>
      </c>
      <c r="J95" s="242" t="n">
        <f t="shared" si="8"/>
        <v>504</v>
      </c>
      <c r="K95" s="242" t="n">
        <f t="shared" si="8"/>
        <v>42</v>
      </c>
    </row>
    <row r="96">
      <c r="A96" t="s">
        <v>651</v>
      </c>
      <c r="B96" s="44" t="s">
        <v>309</v>
      </c>
      <c r="C96" s="231" t="n">
        <f t="shared" si="6"/>
        <v>2.1101109482939084</v>
      </c>
      <c r="D96" s="230" t="n">
        <f t="shared" si="7"/>
        <v>6.7200000000000003E-3</v>
      </c>
      <c r="E96" s="238" t="n">
        <v>0.4</v>
      </c>
      <c r="F96" s="237" t="n">
        <v>2</v>
      </c>
      <c r="G96" s="237" t="n">
        <v>42</v>
      </c>
      <c r="H96" s="237" t="n">
        <v>230</v>
      </c>
      <c r="I96" s="237" t="n">
        <v>283.3</v>
      </c>
      <c r="J96" s="240" t="n">
        <v>504</v>
      </c>
      <c r="K96" s="237" t="n">
        <v>42</v>
      </c>
      <c r="L96" s="237"/>
    </row>
    <row r="97">
      <c r="B97" s="44"/>
      <c r="D97" s="230"/>
    </row>
    <row r="98">
      <c r="A98" t="s">
        <v>649</v>
      </c>
      <c r="B98" t="str">
        <f>VLOOKUP(A98,[5]Names_Lab!$A$2:$B$198,2,0)</f>
        <v>Beans, green</v>
      </c>
      <c r="C98" s="231" t="n">
        <f t="shared" ref="C98:C129" si="9">J98/238.85</f>
        <v>1.5490893866443376</v>
      </c>
      <c r="D98" s="230" t="n">
        <f t="shared" ref="D98:D129" si="10">K98/(6.25*1000)</f>
        <v>3.6800000000000001E-3</v>
      </c>
      <c r="E98" t="n">
        <v>0.91</v>
      </c>
      <c r="F98" s="232" t="n">
        <v>2</v>
      </c>
      <c r="G98" s="232" t="n">
        <v>50</v>
      </c>
      <c r="H98" s="232" t="n">
        <v>400</v>
      </c>
      <c r="I98" s="232" t="n">
        <v>335</v>
      </c>
      <c r="J98" t="n">
        <v>370</v>
      </c>
      <c r="K98" s="232" t="n">
        <v>23</v>
      </c>
      <c r="L98" s="232"/>
    </row>
    <row r="99">
      <c r="A99" s="235" t="s">
        <v>648</v>
      </c>
      <c r="B99" t="str">
        <f>VLOOKUP(A99,[5]Names_Lab!$A$2:$B$198,2,0)</f>
        <v>Lettuce</v>
      </c>
      <c r="C99" s="231" t="n">
        <f t="shared" si="9"/>
        <v>0.71174377224199292</v>
      </c>
      <c r="D99" s="230" t="n">
        <f t="shared" si="10"/>
        <v>2.3999999999999998E-3</v>
      </c>
      <c r="E99" t="n">
        <v>0.74</v>
      </c>
      <c r="F99" t="n">
        <v>3</v>
      </c>
      <c r="G99" t="n">
        <v>14</v>
      </c>
      <c r="H99" t="n">
        <v>400</v>
      </c>
      <c r="I99" t="n">
        <v>290</v>
      </c>
      <c r="J99" t="n">
        <v>170</v>
      </c>
      <c r="K99" t="n">
        <v>15</v>
      </c>
    </row>
    <row r="100">
      <c r="A100" s="235" t="s">
        <v>647</v>
      </c>
      <c r="B100" t="str">
        <f>VLOOKUP(A100,[5]Names_Lab!$A$2:$B$198,2,0)</f>
        <v>Melon</v>
      </c>
      <c r="C100" s="231" t="n">
        <f t="shared" si="9"/>
        <v>1.1722838601632823</v>
      </c>
      <c r="D100" s="230" t="n">
        <f t="shared" si="10"/>
        <v>9.6000000000000002E-4</v>
      </c>
      <c r="E100" t="n">
        <v>0.6</v>
      </c>
      <c r="F100" t="n">
        <v>0</v>
      </c>
      <c r="G100" t="n">
        <v>60</v>
      </c>
      <c r="H100" t="n">
        <v>140</v>
      </c>
      <c r="I100" t="n">
        <v>30</v>
      </c>
      <c r="J100" t="n">
        <v>280</v>
      </c>
      <c r="K100" t="n">
        <v>6</v>
      </c>
    </row>
    <row r="101">
      <c r="A101" t="s">
        <v>646</v>
      </c>
      <c r="B101" t="str">
        <f>VLOOKUP(A101,[5]Names_Lab!$A$2:$B$198,2,0)</f>
        <v>Turnip</v>
      </c>
      <c r="C101" s="231" t="n">
        <f t="shared" si="9"/>
        <v>1.3397529830437513</v>
      </c>
      <c r="D101" s="230" t="n">
        <f t="shared" si="10"/>
        <v>1.2800000000000001E-3</v>
      </c>
      <c r="E101" t="n">
        <v>0.73</v>
      </c>
      <c r="F101" s="232" t="n">
        <v>3</v>
      </c>
      <c r="G101" s="232" t="n">
        <v>50</v>
      </c>
      <c r="H101" s="232" t="n">
        <v>590</v>
      </c>
      <c r="I101" s="232" t="n">
        <v>0</v>
      </c>
      <c r="J101" t="n">
        <v>320</v>
      </c>
      <c r="K101" s="232" t="n">
        <v>8</v>
      </c>
      <c r="L101" s="232"/>
    </row>
    <row r="102">
      <c r="A102" s="235" t="s">
        <v>645</v>
      </c>
      <c r="B102" t="str">
        <f>VLOOKUP(A102,[5]Names_Lab!$A$2:$B$198,2,0)</f>
        <v>Cucumber</v>
      </c>
      <c r="C102" s="231" t="n">
        <f t="shared" si="9"/>
        <v>0.54427464936152403</v>
      </c>
      <c r="D102" s="230" t="n">
        <f t="shared" si="10"/>
        <v>1.1199999999999999E-3</v>
      </c>
      <c r="E102" t="n">
        <v>0.77</v>
      </c>
      <c r="F102" s="232" t="n">
        <v>2</v>
      </c>
      <c r="G102" s="232" t="n">
        <v>19</v>
      </c>
      <c r="H102" s="232" t="n">
        <v>170</v>
      </c>
      <c r="I102" s="232" t="n">
        <v>20</v>
      </c>
      <c r="J102" t="n">
        <v>130</v>
      </c>
      <c r="K102" s="232" t="n">
        <v>7</v>
      </c>
      <c r="L102" s="232"/>
    </row>
    <row r="103">
      <c r="A103" s="235" t="s">
        <v>644</v>
      </c>
      <c r="B103" t="str">
        <f>VLOOKUP(A103,[5]Names_Lab!$A$2:$B$198,2,0)</f>
        <v>Parsley</v>
      </c>
      <c r="C103" s="231" t="n">
        <f t="shared" si="9"/>
        <v>1.8840276324052754</v>
      </c>
      <c r="D103" s="230" t="n">
        <f t="shared" si="10"/>
        <v>4.7999999999999996E-3</v>
      </c>
      <c r="E103" t="n">
        <v>1</v>
      </c>
      <c r="F103" t="n">
        <v>13</v>
      </c>
      <c r="G103" t="n">
        <v>27</v>
      </c>
      <c r="H103" t="n">
        <v>2000</v>
      </c>
      <c r="I103" t="n">
        <v>6730</v>
      </c>
      <c r="J103" t="n">
        <v>450</v>
      </c>
      <c r="K103" t="n">
        <v>30</v>
      </c>
    </row>
    <row r="104">
      <c r="A104" s="1" t="s">
        <v>643</v>
      </c>
      <c r="B104" s="44" t="s">
        <v>334</v>
      </c>
      <c r="C104" s="231" t="n">
        <f t="shared" si="9"/>
        <v>1.3230060707557045</v>
      </c>
      <c r="D104" s="230" t="n">
        <f t="shared" si="10"/>
        <v>2.368E-2</v>
      </c>
      <c r="E104" t="n">
        <v>1</v>
      </c>
      <c r="F104" t="n">
        <v>130</v>
      </c>
      <c r="G104" t="n">
        <v>349</v>
      </c>
      <c r="H104" t="n">
        <v>1800</v>
      </c>
      <c r="I104" t="n">
        <v>60420</v>
      </c>
      <c r="J104" t="n">
        <v>316</v>
      </c>
      <c r="K104" t="n">
        <v>148</v>
      </c>
    </row>
    <row r="105">
      <c r="A105" s="235" t="s">
        <v>642</v>
      </c>
      <c r="B105" t="str">
        <f>VLOOKUP(A105,[5]Names_Lab!$A$2:$B$198,2,0)</f>
        <v>Pepper</v>
      </c>
      <c r="C105" s="231" t="n">
        <f t="shared" si="9"/>
        <v>0.96294745656269631</v>
      </c>
      <c r="D105" s="230" t="n">
        <f t="shared" si="10"/>
        <v>1.4400000000000001E-3</v>
      </c>
      <c r="E105" t="n">
        <v>0.81</v>
      </c>
      <c r="F105" s="232" t="n">
        <v>2</v>
      </c>
      <c r="G105" s="232" t="n">
        <v>37</v>
      </c>
      <c r="H105" s="232" t="n">
        <v>120</v>
      </c>
      <c r="I105" s="232" t="n">
        <v>340</v>
      </c>
      <c r="J105" t="n">
        <v>230</v>
      </c>
      <c r="K105" s="232" t="n">
        <v>9</v>
      </c>
      <c r="L105" s="232"/>
    </row>
    <row r="106">
      <c r="A106" t="s">
        <v>641</v>
      </c>
      <c r="B106" t="str">
        <f>VLOOKUP(A106,[5]Names_Lab!$A$2:$B$198,2,0)</f>
        <v>Leek</v>
      </c>
      <c r="C106" s="231" t="n">
        <f t="shared" si="9"/>
        <v>2.0096294745656271</v>
      </c>
      <c r="D106" s="230" t="n">
        <f t="shared" si="10"/>
        <v>3.2000000000000002E-3</v>
      </c>
      <c r="E106" t="n">
        <v>0.65</v>
      </c>
      <c r="F106" t="n">
        <v>4</v>
      </c>
      <c r="G106" t="n">
        <v>75</v>
      </c>
      <c r="H106" t="n">
        <v>600</v>
      </c>
      <c r="I106" t="n">
        <v>1230</v>
      </c>
      <c r="J106" t="n">
        <v>480</v>
      </c>
      <c r="K106" t="n">
        <v>20</v>
      </c>
    </row>
    <row r="107">
      <c r="A107" t="s">
        <v>640</v>
      </c>
      <c r="B107" t="str">
        <f>VLOOKUP(A107,[5]Names_Lab!$A$2:$B$198,2,0)</f>
        <v>Beet</v>
      </c>
      <c r="C107" s="231" t="n">
        <f t="shared" si="9"/>
        <v>1.5490893866443376</v>
      </c>
      <c r="D107" s="230" t="n">
        <f t="shared" si="10"/>
        <v>2.0799999999999998E-3</v>
      </c>
      <c r="E107" t="n">
        <v>0.82</v>
      </c>
      <c r="F107" t="n">
        <v>0</v>
      </c>
      <c r="G107" t="n">
        <v>64</v>
      </c>
      <c r="H107" t="n">
        <v>230</v>
      </c>
      <c r="I107" t="n">
        <v>0</v>
      </c>
      <c r="J107" t="n">
        <v>370</v>
      </c>
      <c r="K107" t="n">
        <v>13</v>
      </c>
    </row>
    <row r="108">
      <c r="A108" s="235" t="s">
        <v>639</v>
      </c>
      <c r="B108" t="str">
        <f>VLOOKUP(A108,[5]Names_Lab!$A$2:$B$198,2,0)</f>
        <v>Watermelon</v>
      </c>
      <c r="C108" s="231" t="n">
        <f t="shared" si="9"/>
        <v>0.87921289512246181</v>
      </c>
      <c r="D108" s="230" t="n">
        <f t="shared" si="10"/>
        <v>6.4000000000000005E-4</v>
      </c>
      <c r="E108" t="n">
        <v>0.52</v>
      </c>
      <c r="F108" t="n">
        <v>0</v>
      </c>
      <c r="G108" t="n">
        <v>45</v>
      </c>
      <c r="H108" t="n">
        <v>230</v>
      </c>
      <c r="I108" t="n">
        <v>330</v>
      </c>
      <c r="J108" t="n">
        <v>210</v>
      </c>
      <c r="K108" t="n">
        <v>4</v>
      </c>
    </row>
    <row r="109">
      <c r="A109" t="s">
        <v>638</v>
      </c>
      <c r="B109" t="str">
        <f>VLOOKUP(A109,[5]Names_Lab!$A$2:$B$198,2,0)</f>
        <v>Tomato</v>
      </c>
      <c r="C109" s="231" t="n">
        <f t="shared" si="9"/>
        <v>0.92108017584257906</v>
      </c>
      <c r="D109" s="230" t="n">
        <f t="shared" si="10"/>
        <v>1.6000000000000001E-3</v>
      </c>
      <c r="E109" t="n">
        <v>0.94</v>
      </c>
      <c r="F109" t="n">
        <v>1.1000000000000001</v>
      </c>
      <c r="G109" t="n">
        <v>35</v>
      </c>
      <c r="H109" t="n">
        <v>110</v>
      </c>
      <c r="I109" t="n">
        <v>823</v>
      </c>
      <c r="J109" t="n">
        <v>220</v>
      </c>
      <c r="K109" t="n">
        <v>10</v>
      </c>
    </row>
    <row r="110">
      <c r="A110" t="s">
        <v>637</v>
      </c>
      <c r="B110" t="str">
        <f>VLOOKUP(A110,[5]Names_Lab!$A$2:$B$198,2,0)</f>
        <v>Carrot</v>
      </c>
      <c r="C110" s="231" t="n">
        <f t="shared" si="9"/>
        <v>1.6746912288046891</v>
      </c>
      <c r="D110" s="230" t="n">
        <f t="shared" si="10"/>
        <v>1.4400000000000001E-3</v>
      </c>
      <c r="E110" t="n">
        <v>0.83</v>
      </c>
      <c r="F110" t="n">
        <v>2</v>
      </c>
      <c r="G110" t="n">
        <v>73</v>
      </c>
      <c r="H110" t="n">
        <v>410</v>
      </c>
      <c r="I110" t="n">
        <v>13460</v>
      </c>
      <c r="J110" t="n">
        <v>400</v>
      </c>
      <c r="K110" t="n">
        <v>9</v>
      </c>
    </row>
    <row r="111">
      <c r="C111" s="231" t="n">
        <f t="shared" si="9"/>
        <v>0</v>
      </c>
      <c r="D111" s="230" t="n">
        <f t="shared" si="10"/>
        <v>0</v>
      </c>
    </row>
    <row r="112">
      <c r="A112" s="193" t="s">
        <v>636</v>
      </c>
      <c r="C112" s="231" t="n">
        <f t="shared" si="9"/>
        <v>0</v>
      </c>
      <c r="D112" s="230" t="n">
        <f t="shared" si="10"/>
        <v>0</v>
      </c>
    </row>
    <row r="113">
      <c r="A113" s="220" t="s">
        <v>635</v>
      </c>
      <c r="B113" s="44" t="s">
        <v>307</v>
      </c>
      <c r="C113" s="231" t="n">
        <f t="shared" si="9"/>
        <v>2.5388098674570037</v>
      </c>
      <c r="D113" s="230" t="n">
        <f t="shared" si="10"/>
        <v>5.3208421052631585E-3</v>
      </c>
      <c r="E113" s="236" t="n">
        <f t="shared" ref="E113:K113" si="11">AVERAGE(E72:E110)</f>
        <v>0.77921052631578924</v>
      </c>
      <c r="F113" s="236" t="n">
        <f t="shared" si="11"/>
        <v>16.792105263157897</v>
      </c>
      <c r="G113" s="236" t="n">
        <f t="shared" si="11"/>
        <v>91.673684210526332</v>
      </c>
      <c r="H113" s="236" t="n">
        <f t="shared" si="11"/>
        <v>954.07894736842104</v>
      </c>
      <c r="I113" s="236" t="n">
        <f t="shared" si="11"/>
        <v>2792.3394736842106</v>
      </c>
      <c r="J113" s="236" t="n">
        <f t="shared" si="11"/>
        <v>606.39473684210532</v>
      </c>
      <c r="K113" s="236" t="n">
        <f t="shared" si="11"/>
        <v>33.255263157894738</v>
      </c>
      <c r="L113" s="236"/>
    </row>
    <row r="114">
      <c r="A114" s="220" t="s">
        <v>634</v>
      </c>
      <c r="B114" t="e">
        <f>VLOOKUP(A114,[5]Names_Lab!$A$2:$B$198,2,0)</f>
        <v>#N/A</v>
      </c>
      <c r="C114" s="231" t="n">
        <f t="shared" si="9"/>
        <v>2.9885263714026538</v>
      </c>
      <c r="D114" s="230" t="n">
        <f t="shared" si="10"/>
        <v>1.3516190476190477E-3</v>
      </c>
      <c r="E114" s="236" t="n">
        <f t="shared" ref="E114:K114" si="12">AVERAGE(E40:E42,E45,E47:E54,E57:E63,E66,E69)</f>
        <v>0.79238095238095219</v>
      </c>
      <c r="F114" s="236" t="n">
        <f t="shared" si="12"/>
        <v>8.0142857142857142</v>
      </c>
      <c r="G114" s="236" t="n">
        <f t="shared" si="12"/>
        <v>136.03333333333333</v>
      </c>
      <c r="H114" s="236" t="n">
        <f t="shared" si="12"/>
        <v>268.90476190476193</v>
      </c>
      <c r="I114" s="236" t="n">
        <f t="shared" si="12"/>
        <v>366.52380952380952</v>
      </c>
      <c r="J114" s="236" t="n">
        <f t="shared" si="12"/>
        <v>713.80952380952385</v>
      </c>
      <c r="K114" s="236" t="n">
        <f t="shared" si="12"/>
        <v>8.4476190476190478</v>
      </c>
      <c r="L114" s="236"/>
    </row>
    <row r="115">
      <c r="A115" t="s">
        <v>633</v>
      </c>
      <c r="B115" s="73" t="s">
        <v>240</v>
      </c>
      <c r="C115" s="231" t="n">
        <f t="shared" si="9"/>
        <v>20.326564789616913</v>
      </c>
      <c r="D115" s="230" t="n">
        <f t="shared" si="10"/>
        <v>1.9879999999999998E-2</v>
      </c>
      <c r="E115" s="236" t="n">
        <f t="shared" ref="E115:K115" si="13">AVERAGE(E43:E44,E46,E64)</f>
        <v>0.95750000000000002</v>
      </c>
      <c r="F115" s="236" t="n">
        <f t="shared" si="13"/>
        <v>422.75</v>
      </c>
      <c r="G115" s="236" t="n">
        <f t="shared" si="13"/>
        <v>106.25</v>
      </c>
      <c r="H115" s="236" t="n">
        <f t="shared" si="13"/>
        <v>1402.5</v>
      </c>
      <c r="I115" s="236" t="n">
        <f t="shared" si="13"/>
        <v>0</v>
      </c>
      <c r="J115" s="236" t="n">
        <f t="shared" si="13"/>
        <v>4855</v>
      </c>
      <c r="K115" s="236" t="n">
        <f t="shared" si="13"/>
        <v>124.25</v>
      </c>
      <c r="L115" s="236"/>
    </row>
    <row r="116">
      <c r="A116" t="s">
        <v>632</v>
      </c>
      <c r="B116" s="1" t="s">
        <v>572</v>
      </c>
      <c r="C116" s="231" t="n">
        <f t="shared" si="9"/>
        <v>12.845642948217785</v>
      </c>
      <c r="D116" s="230" t="n">
        <f t="shared" si="10"/>
        <v>0</v>
      </c>
      <c r="E116" s="239" t="n">
        <v>1</v>
      </c>
      <c r="F116" s="239" t="n">
        <v>0</v>
      </c>
      <c r="G116" s="239" t="n">
        <v>0</v>
      </c>
      <c r="H116" s="239" t="n">
        <v>0</v>
      </c>
      <c r="I116" s="239" t="n">
        <v>0</v>
      </c>
      <c r="J116" s="239" t="n">
        <v>3068.181818181818</v>
      </c>
      <c r="K116" s="239" t="n">
        <v>0</v>
      </c>
      <c r="L116" s="239"/>
    </row>
    <row r="117">
      <c r="C117" s="231" t="n">
        <f t="shared" si="9"/>
        <v>0</v>
      </c>
      <c r="D117" s="230" t="n">
        <f t="shared" si="10"/>
        <v>0</v>
      </c>
    </row>
    <row r="118">
      <c r="A118" s="81" t="s">
        <v>631</v>
      </c>
      <c r="C118" s="231" t="n">
        <f t="shared" si="9"/>
        <v>0</v>
      </c>
      <c r="D118" s="230" t="n">
        <f t="shared" si="10"/>
        <v>0</v>
      </c>
    </row>
    <row r="119">
      <c r="A119" t="s">
        <v>630</v>
      </c>
      <c r="B119" t="s">
        <v>51</v>
      </c>
      <c r="C119" s="231" t="n">
        <f t="shared" si="9"/>
        <v>5.367385388319029</v>
      </c>
      <c r="D119" s="230" t="n">
        <f t="shared" si="10"/>
        <v>2.4479999999999998E-2</v>
      </c>
      <c r="E119" s="236" t="n">
        <v>0.7</v>
      </c>
      <c r="F119" s="235" t="n">
        <v>71</v>
      </c>
      <c r="G119" t="n">
        <v>0</v>
      </c>
      <c r="H119" t="n">
        <v>130</v>
      </c>
      <c r="I119" t="n">
        <v>0</v>
      </c>
      <c r="J119" s="234" t="n">
        <v>1282</v>
      </c>
      <c r="K119" s="235" t="n">
        <v>153</v>
      </c>
    </row>
    <row r="120">
      <c r="A120" t="s">
        <v>629</v>
      </c>
      <c r="B120" t="s">
        <v>62</v>
      </c>
      <c r="C120" s="231" t="n">
        <f t="shared" si="9"/>
        <v>4.9403391249738329</v>
      </c>
      <c r="D120" s="230" t="n">
        <f t="shared" si="10"/>
        <v>2.3519999999999999E-2</v>
      </c>
      <c r="E120" s="236" t="n">
        <v>0.97882467392087635</v>
      </c>
      <c r="F120" s="234" t="n">
        <v>60</v>
      </c>
      <c r="G120" s="236" t="n">
        <v>0</v>
      </c>
      <c r="H120" s="236" t="n">
        <v>75.926352958132156</v>
      </c>
      <c r="I120" s="236" t="n">
        <v>12.106363046768038</v>
      </c>
      <c r="J120" s="234" t="n">
        <v>1180</v>
      </c>
      <c r="K120" s="234" t="n">
        <v>147</v>
      </c>
      <c r="L120" s="236"/>
    </row>
    <row r="121">
      <c r="A121" t="s">
        <v>628</v>
      </c>
      <c r="B121" t="s">
        <v>55</v>
      </c>
      <c r="C121" s="231" t="n">
        <f t="shared" si="9"/>
        <v>10.052334100900147</v>
      </c>
      <c r="D121" s="230" t="n">
        <f t="shared" si="10"/>
        <v>2.1440000000000001E-2</v>
      </c>
      <c r="E121" s="236" t="n">
        <v>0.62474226804123711</v>
      </c>
      <c r="F121" s="234" t="n">
        <v>201</v>
      </c>
      <c r="G121" s="236" t="n">
        <v>0</v>
      </c>
      <c r="H121" s="236" t="n">
        <v>80.927835051546381</v>
      </c>
      <c r="I121" s="236" t="n">
        <v>40.824742268041234</v>
      </c>
      <c r="J121" s="234" t="n">
        <v>2401</v>
      </c>
      <c r="K121" s="234" t="n">
        <v>134</v>
      </c>
      <c r="L121" s="236"/>
    </row>
    <row r="122">
      <c r="A122" t="s">
        <v>627</v>
      </c>
      <c r="B122" t="s">
        <v>60</v>
      </c>
      <c r="C122" s="231" t="n">
        <f t="shared" si="9"/>
        <v>10.052334100900147</v>
      </c>
      <c r="D122" s="230" t="n">
        <f t="shared" si="10"/>
        <v>2.1440000000000001E-2</v>
      </c>
      <c r="E122" t="n">
        <v>0.7</v>
      </c>
      <c r="F122" s="235" t="n">
        <v>143</v>
      </c>
      <c r="G122" t="n">
        <v>0</v>
      </c>
      <c r="H122" t="n">
        <v>90</v>
      </c>
      <c r="I122" t="n">
        <v>0</v>
      </c>
      <c r="J122" s="234" t="n">
        <v>2401</v>
      </c>
      <c r="K122" s="235" t="n">
        <v>134</v>
      </c>
      <c r="N122" t="s">
        <v>626</v>
      </c>
    </row>
    <row r="123">
      <c r="A123" t="s">
        <v>625</v>
      </c>
      <c r="B123" t="s">
        <v>42</v>
      </c>
      <c r="C123" s="231" t="n">
        <f t="shared" si="9"/>
        <v>7.2221059242202221</v>
      </c>
      <c r="D123" s="230" t="n">
        <f t="shared" si="10"/>
        <v>1.6E-2</v>
      </c>
      <c r="E123" s="236" t="n">
        <v>0.98077253218884097</v>
      </c>
      <c r="F123" s="234" t="n">
        <v>143</v>
      </c>
      <c r="G123" s="236" t="n">
        <v>0</v>
      </c>
      <c r="H123" s="236" t="n">
        <v>63.583690987124442</v>
      </c>
      <c r="I123" s="236" t="n">
        <v>4.8283261802575099</v>
      </c>
      <c r="J123" s="234" t="n">
        <v>1725</v>
      </c>
      <c r="K123" s="234" t="n">
        <v>100</v>
      </c>
      <c r="L123" s="236"/>
      <c r="O123" s="223" t="n">
        <f>'[4]Dieta Bruta'!P2</f>
        <v>1900</v>
      </c>
      <c r="P123" s="223" t="n">
        <f>'[4]Dieta Bruta'!Q2</f>
        <v>1910</v>
      </c>
      <c r="Q123" s="223" t="n">
        <f>'[4]Dieta Bruta'!R2</f>
        <v>1922</v>
      </c>
      <c r="R123" s="223" t="n">
        <f>'[4]Dieta Bruta'!S2</f>
        <v>1933</v>
      </c>
      <c r="S123" s="223" t="n">
        <f>'[4]Dieta Bruta'!T2</f>
        <v>1940</v>
      </c>
      <c r="T123" s="223" t="n">
        <f>'[4]Dieta Bruta'!U2</f>
        <v>1950</v>
      </c>
      <c r="U123" s="223" t="n">
        <f>'[4]Dieta Bruta'!V2</f>
        <v>1960</v>
      </c>
      <c r="V123" s="223" t="n">
        <f>'[4]Dieta Bruta'!W2</f>
        <v>1970</v>
      </c>
      <c r="W123" s="223" t="n">
        <f>'[4]Dieta Bruta'!X2</f>
        <v>1980</v>
      </c>
      <c r="X123" s="223" t="n">
        <f>'[4]Dieta Bruta'!Y2</f>
        <v>1990</v>
      </c>
      <c r="Y123" s="223" t="n">
        <f>'[4]Dieta Bruta'!Z2</f>
        <v>2000</v>
      </c>
      <c r="Z123" s="223" t="n">
        <f>'[4]Dieta Bruta'!AA2</f>
        <v>2008</v>
      </c>
    </row>
    <row r="124">
      <c r="A124" t="s">
        <v>624</v>
      </c>
      <c r="B124" s="84" t="s">
        <v>26</v>
      </c>
      <c r="C124" s="231" t="n">
        <f t="shared" si="9"/>
        <v>29.357250350445558</v>
      </c>
      <c r="D124" s="230" t="n">
        <f t="shared" si="10"/>
        <v>0</v>
      </c>
      <c r="E124" s="236" t="n">
        <v>1</v>
      </c>
      <c r="F124" s="234" t="n">
        <v>784.40195470755737</v>
      </c>
      <c r="G124" s="236"/>
      <c r="H124" s="236"/>
      <c r="I124" s="236"/>
      <c r="J124" s="234" t="n">
        <v>7011.9792462039213</v>
      </c>
      <c r="K124" s="234" t="n">
        <v>0</v>
      </c>
      <c r="L124" s="236"/>
      <c r="N124" t="str">
        <f>A124</f>
        <v>Grasas (Fats, animal, Raw)</v>
      </c>
      <c r="O124" s="230" t="n">
        <f t="shared" ref="O124:T124" si="14">P124</f>
        <v>0.29207973571317192</v>
      </c>
      <c r="P124" s="230" t="n">
        <f t="shared" si="14"/>
        <v>0.29207973571317192</v>
      </c>
      <c r="Q124" s="230" t="n">
        <f t="shared" si="14"/>
        <v>0.29207973571317192</v>
      </c>
      <c r="R124" s="230" t="n">
        <f t="shared" si="14"/>
        <v>0.29207973571317192</v>
      </c>
      <c r="S124" s="230" t="n">
        <f t="shared" si="14"/>
        <v>0.29207973571317192</v>
      </c>
      <c r="T124" s="230" t="n">
        <f t="shared" si="14"/>
        <v>0.29207973571317192</v>
      </c>
      <c r="U124" s="230" t="n">
        <f>'[4]Balance FAO'!B259/'[4]Balance FAO'!B248</f>
        <v>0.29207973571317192</v>
      </c>
      <c r="V124" s="230" t="n">
        <f>'[4]Balance FAO'!C259/'[4]Balance FAO'!C248</f>
        <v>0.26946945675595185</v>
      </c>
      <c r="W124" s="230" t="n">
        <f>'[4]Balance FAO'!D259/'[4]Balance FAO'!D248</f>
        <v>0.25070593738458447</v>
      </c>
      <c r="X124" s="230" t="n">
        <f>'[4]Balance FAO'!E259/'[4]Balance FAO'!E248</f>
        <v>0.24178734068753946</v>
      </c>
      <c r="Y124" s="230" t="n">
        <f>'[4]Balance FAO'!F259/'[4]Balance FAO'!F248</f>
        <v>0.22866367710301846</v>
      </c>
      <c r="Z124" s="230" t="n">
        <f>'[4]Balance FAO'!G259/'[4]Balance FAO'!G248</f>
        <v>0.22063647243630508</v>
      </c>
    </row>
    <row r="125">
      <c r="A125" t="s">
        <v>623</v>
      </c>
      <c r="B125" s="84" t="s">
        <v>29</v>
      </c>
      <c r="C125" s="231" t="n">
        <f t="shared" si="9"/>
        <v>4.6172895627106909</v>
      </c>
      <c r="D125" s="230" t="n">
        <f t="shared" si="10"/>
        <v>2.7609110814645409E-2</v>
      </c>
      <c r="E125" s="236" t="n">
        <v>1</v>
      </c>
      <c r="F125" s="234" t="n">
        <v>37.380778434237556</v>
      </c>
      <c r="G125" s="236"/>
      <c r="H125" s="236"/>
      <c r="I125" s="236"/>
      <c r="J125" s="234" t="n">
        <v>1102.8396120534485</v>
      </c>
      <c r="K125" s="234" t="n">
        <v>172.55694259153381</v>
      </c>
      <c r="L125" s="236"/>
      <c r="N125" t="str">
        <f>A125</f>
        <v>Vísceras (Offals + Total)</v>
      </c>
      <c r="O125" s="230" t="n">
        <v>6.5077063893596923E-2</v>
      </c>
      <c r="P125" s="230" t="n">
        <v>6.5077063893596923E-2</v>
      </c>
      <c r="Q125" s="230" t="n">
        <v>6.5077063893596923E-2</v>
      </c>
      <c r="R125" s="230" t="n">
        <v>6.5077063893596923E-2</v>
      </c>
      <c r="S125" s="230" t="n">
        <v>6.5077063893596923E-2</v>
      </c>
      <c r="T125" s="230" t="n">
        <v>6.5077063893596923E-2</v>
      </c>
      <c r="U125" s="230" t="n">
        <v>6.5077063893596923E-2</v>
      </c>
      <c r="V125" s="230" t="n">
        <v>4.7651805200673802E-2</v>
      </c>
      <c r="W125" s="230" t="n">
        <v>3.6817844808790558E-2</v>
      </c>
      <c r="X125" s="230" t="n">
        <v>4.2398102023829924E-2</v>
      </c>
      <c r="Y125" s="230" t="n">
        <v>3.3717086120857956E-2</v>
      </c>
      <c r="Z125" s="230" t="n">
        <v>1.8880088315155811E-2</v>
      </c>
    </row>
    <row r="126">
      <c r="B126" s="84"/>
      <c r="C126" s="231" t="n">
        <f t="shared" si="9"/>
        <v>0</v>
      </c>
      <c r="D126" s="230" t="n">
        <f t="shared" si="10"/>
        <v>0</v>
      </c>
    </row>
    <row r="127">
      <c r="A127" s="81" t="s">
        <v>622</v>
      </c>
      <c r="B127" t="e">
        <f>VLOOKUP(A127,[5]Names_Lab!$A$2:$B$198,2,0)</f>
        <v>#N/A</v>
      </c>
      <c r="C127" s="231" t="n">
        <f t="shared" si="9"/>
        <v>0</v>
      </c>
      <c r="D127" s="230" t="n">
        <f t="shared" si="10"/>
        <v>0</v>
      </c>
    </row>
    <row r="128">
      <c r="A128" s="1" t="s">
        <v>621</v>
      </c>
      <c r="B128" s="84" t="s">
        <v>76</v>
      </c>
      <c r="C128" s="231" t="n">
        <f t="shared" si="9"/>
        <v>31.358593259367805</v>
      </c>
      <c r="D128" s="230" t="n">
        <f t="shared" si="10"/>
        <v>9.6000000000000002E-4</v>
      </c>
      <c r="E128" s="232" t="n">
        <v>1</v>
      </c>
      <c r="F128" s="232" t="n">
        <v>830</v>
      </c>
      <c r="G128" s="232" t="n">
        <v>0</v>
      </c>
      <c r="H128" s="232" t="n">
        <v>150</v>
      </c>
      <c r="I128" s="232" t="n">
        <v>8280</v>
      </c>
      <c r="J128" s="232" t="n">
        <v>7490</v>
      </c>
      <c r="K128" s="232" t="n">
        <v>6</v>
      </c>
      <c r="L128" s="232"/>
    </row>
    <row r="129">
      <c r="A129" s="1" t="s">
        <v>620</v>
      </c>
      <c r="B129" t="e">
        <f>VLOOKUP(A129,[5]Names_Lab!$A$2:$B$198,2,0)</f>
        <v>#N/A</v>
      </c>
      <c r="C129" s="231" t="n">
        <f t="shared" si="9"/>
        <v>14.946619217081851</v>
      </c>
      <c r="D129" s="230" t="n">
        <f t="shared" si="10"/>
        <v>3.6799999999999999E-2</v>
      </c>
      <c r="E129" s="232" t="n">
        <v>0.95</v>
      </c>
      <c r="F129" s="232" t="n">
        <v>285</v>
      </c>
      <c r="G129" s="232" t="n">
        <v>20</v>
      </c>
      <c r="H129" s="232" t="n">
        <v>5600</v>
      </c>
      <c r="I129" s="232" t="n">
        <v>2830</v>
      </c>
      <c r="J129" s="232" t="n">
        <v>3570</v>
      </c>
      <c r="K129" s="232" t="n">
        <v>230</v>
      </c>
      <c r="L129" s="232"/>
    </row>
    <row r="130">
      <c r="A130" s="1" t="s">
        <v>619</v>
      </c>
      <c r="B130" t="e">
        <f>VLOOKUP(A130,[5]Names_Lab!$A$2:$B$198,2,0)</f>
        <v>#N/A</v>
      </c>
      <c r="C130" s="231" t="n">
        <f t="shared" ref="C130:C164" si="15">J130/238.85</f>
        <v>15.742097550764079</v>
      </c>
      <c r="D130" s="230" t="n">
        <f t="shared" ref="D130:D164" si="16">K130/(6.25*1000)</f>
        <v>4.6399999999999997E-2</v>
      </c>
      <c r="E130" s="232" t="n">
        <v>0.95</v>
      </c>
      <c r="F130" s="232" t="n">
        <v>287</v>
      </c>
      <c r="G130" s="232" t="n">
        <v>5</v>
      </c>
      <c r="H130" s="232" t="n">
        <v>8350</v>
      </c>
      <c r="I130" s="232" t="n">
        <v>2830</v>
      </c>
      <c r="J130" s="232" t="n">
        <v>3760</v>
      </c>
      <c r="K130" s="232" t="n">
        <v>290</v>
      </c>
      <c r="L130" s="232"/>
    </row>
    <row r="131">
      <c r="A131" s="1" t="s">
        <v>618</v>
      </c>
      <c r="B131" t="e">
        <f>VLOOKUP(A131,[5]Names_Lab!$A$2:$B$198,2,0)</f>
        <v>#N/A</v>
      </c>
      <c r="C131" s="231" t="n">
        <f t="shared" si="15"/>
        <v>13.941804479799037</v>
      </c>
      <c r="D131" s="230" t="n">
        <f t="shared" si="16"/>
        <v>3.2559999999999999E-2</v>
      </c>
      <c r="E131" t="n">
        <v>1</v>
      </c>
      <c r="F131" t="n">
        <v>277</v>
      </c>
      <c r="G131" t="n">
        <v>5</v>
      </c>
      <c r="H131" t="n">
        <v>1900</v>
      </c>
      <c r="I131" t="n">
        <v>4160</v>
      </c>
      <c r="J131" t="n">
        <v>3330</v>
      </c>
      <c r="K131" t="n">
        <v>203.5</v>
      </c>
    </row>
    <row r="132">
      <c r="A132" s="1" t="s">
        <v>617</v>
      </c>
      <c r="B132" s="84" t="s">
        <v>78</v>
      </c>
      <c r="C132" s="231" t="n">
        <f t="shared" si="15"/>
        <v>2.7632405275277372</v>
      </c>
      <c r="D132" s="230" t="n">
        <f t="shared" si="16"/>
        <v>5.28E-3</v>
      </c>
      <c r="E132" s="232" t="n">
        <v>1</v>
      </c>
      <c r="F132" s="232" t="n">
        <v>36</v>
      </c>
      <c r="G132" s="232" t="n">
        <v>50</v>
      </c>
      <c r="H132" s="232" t="n">
        <v>1210</v>
      </c>
      <c r="I132" s="232" t="n">
        <v>400</v>
      </c>
      <c r="J132" s="232" t="n">
        <v>660</v>
      </c>
      <c r="K132" s="232" t="n">
        <v>33</v>
      </c>
      <c r="L132" s="232"/>
    </row>
    <row r="133">
      <c r="A133" s="1" t="s">
        <v>616</v>
      </c>
      <c r="B133" s="84" t="s">
        <v>755</v>
      </c>
      <c r="C133" s="231" t="n">
        <f t="shared" si="15"/>
        <v>4.0108854929872306</v>
      </c>
      <c r="D133" s="230" t="n">
        <f t="shared" si="16"/>
        <v>8.4799999999999997E-3</v>
      </c>
      <c r="E133" s="232" t="n">
        <v>1</v>
      </c>
      <c r="F133" s="232" t="n">
        <v>65</v>
      </c>
      <c r="G133" s="232" t="n">
        <v>43</v>
      </c>
      <c r="H133" s="232" t="n">
        <v>2300</v>
      </c>
      <c r="I133" s="232" t="n">
        <v>475</v>
      </c>
      <c r="J133" s="232" t="n">
        <v>958</v>
      </c>
      <c r="K133" s="232" t="n">
        <v>53</v>
      </c>
      <c r="L133" s="232"/>
    </row>
    <row r="134">
      <c r="A134" s="1" t="s">
        <v>615</v>
      </c>
      <c r="B134" s="84" t="s">
        <v>77</v>
      </c>
      <c r="C134" s="231" t="n">
        <f t="shared" si="15"/>
        <v>2.8051078082478544</v>
      </c>
      <c r="D134" s="230" t="n">
        <f t="shared" si="16"/>
        <v>5.4400000000000004E-3</v>
      </c>
      <c r="E134" s="232" t="n">
        <v>1</v>
      </c>
      <c r="F134" s="232" t="n">
        <v>39</v>
      </c>
      <c r="G134" s="232" t="n">
        <v>45</v>
      </c>
      <c r="H134" s="232" t="n">
        <v>1100</v>
      </c>
      <c r="I134" s="232" t="n">
        <v>400</v>
      </c>
      <c r="J134" s="232" t="n">
        <v>670</v>
      </c>
      <c r="K134" s="232" t="n">
        <v>34</v>
      </c>
      <c r="L134" s="232"/>
    </row>
    <row r="135">
      <c r="C135" s="231" t="n">
        <f t="shared" si="15"/>
        <v>0</v>
      </c>
      <c r="D135" s="230" t="n">
        <f t="shared" si="16"/>
        <v>0</v>
      </c>
    </row>
    <row r="136">
      <c r="A136" s="81" t="s">
        <v>614</v>
      </c>
      <c r="C136" s="231" t="n">
        <f t="shared" si="15"/>
        <v>0</v>
      </c>
      <c r="D136" s="230" t="n">
        <f t="shared" si="16"/>
        <v>0</v>
      </c>
    </row>
    <row r="137">
      <c r="A137" s="1" t="s">
        <v>614</v>
      </c>
      <c r="B137" t="s">
        <v>69</v>
      </c>
      <c r="C137" s="231" t="n">
        <f t="shared" si="15"/>
        <v>6.280092108017584</v>
      </c>
      <c r="D137" s="230" t="n">
        <f t="shared" si="16"/>
        <v>0.02</v>
      </c>
      <c r="E137" s="232" t="n">
        <v>0.88</v>
      </c>
      <c r="F137" s="232" t="n">
        <v>111</v>
      </c>
      <c r="G137" s="232" t="n">
        <v>0</v>
      </c>
      <c r="H137" s="232" t="n">
        <v>570</v>
      </c>
      <c r="I137" s="232" t="n">
        <v>1900</v>
      </c>
      <c r="J137" s="232" t="n">
        <v>1500</v>
      </c>
      <c r="K137" s="232" t="n">
        <v>125</v>
      </c>
      <c r="L137" s="232"/>
    </row>
    <row r="138">
      <c r="B138" t="e">
        <f>VLOOKUP(A138,[5]Names_Lab!$A$2:$B$198,2,0)</f>
        <v>#N/A</v>
      </c>
      <c r="C138" s="231" t="n">
        <f t="shared" si="15"/>
        <v>0</v>
      </c>
      <c r="D138" s="230" t="n">
        <f t="shared" si="16"/>
        <v>0</v>
      </c>
    </row>
    <row r="139">
      <c r="A139" s="81" t="s">
        <v>613</v>
      </c>
      <c r="B139" t="e">
        <f>VLOOKUP(A139,[5]Names_Lab!$A$2:$B$198,2,0)</f>
        <v>#N/A</v>
      </c>
      <c r="C139" s="231" t="n">
        <f t="shared" si="15"/>
        <v>0</v>
      </c>
      <c r="D139" s="230" t="n">
        <f t="shared" si="16"/>
        <v>0</v>
      </c>
    </row>
    <row r="140">
      <c r="A140" t="s">
        <v>612</v>
      </c>
      <c r="B140" t="e">
        <f>VLOOKUP(A140,[5]Names_Lab!$A$2:$B$198,2,0)</f>
        <v>#N/A</v>
      </c>
      <c r="C140" s="231" t="n">
        <f t="shared" si="15"/>
        <v>1.9677621938455099</v>
      </c>
      <c r="D140" s="230" t="n">
        <f t="shared" si="16"/>
        <v>1.712E-2</v>
      </c>
      <c r="E140" s="236" t="n">
        <v>0.15</v>
      </c>
      <c r="F140" t="n">
        <v>5</v>
      </c>
      <c r="G140" t="n">
        <v>0</v>
      </c>
      <c r="H140" t="n">
        <v>1280</v>
      </c>
      <c r="I140" t="n">
        <v>2500</v>
      </c>
      <c r="J140" t="n">
        <v>470</v>
      </c>
      <c r="K140" t="n">
        <v>107</v>
      </c>
    </row>
    <row r="141">
      <c r="A141" t="s">
        <v>611</v>
      </c>
      <c r="B141" t="e">
        <f>VLOOKUP(A141,[5]Names_Lab!$A$2:$B$198,2,0)</f>
        <v>#N/A</v>
      </c>
      <c r="C141" s="231" t="n">
        <f t="shared" si="15"/>
        <v>5.3171446514548881</v>
      </c>
      <c r="D141" s="230" t="n">
        <f t="shared" si="16"/>
        <v>2.8160000000000001E-2</v>
      </c>
      <c r="E141" s="236" t="n">
        <v>0.7</v>
      </c>
      <c r="F141" t="n">
        <v>63</v>
      </c>
      <c r="G141" t="n">
        <v>0</v>
      </c>
      <c r="H141" t="n">
        <v>300</v>
      </c>
      <c r="I141" t="n">
        <v>470</v>
      </c>
      <c r="J141" t="n">
        <v>1270</v>
      </c>
      <c r="K141" t="n">
        <v>176</v>
      </c>
    </row>
    <row r="142">
      <c r="A142" t="s">
        <v>610</v>
      </c>
      <c r="B142" t="e">
        <f>VLOOKUP(A142,[5]Names_Lab!$A$2:$B$198,2,0)</f>
        <v>#N/A</v>
      </c>
      <c r="C142" s="231" t="n">
        <f t="shared" si="15"/>
        <v>8.3734561440234465</v>
      </c>
      <c r="D142" s="230" t="n">
        <f t="shared" si="16"/>
        <v>3.6799999999999999E-2</v>
      </c>
      <c r="E142" s="236" t="n">
        <v>0.94</v>
      </c>
      <c r="F142" t="n">
        <v>120</v>
      </c>
      <c r="G142" t="n">
        <v>0</v>
      </c>
      <c r="H142" t="n">
        <v>380</v>
      </c>
      <c r="I142" t="n">
        <v>600</v>
      </c>
      <c r="J142" t="n">
        <v>2000</v>
      </c>
      <c r="K142" t="n">
        <v>230</v>
      </c>
    </row>
    <row r="143">
      <c r="A143" t="s">
        <v>609</v>
      </c>
      <c r="B143" t="e">
        <f>VLOOKUP(A143,[5]Names_Lab!$A$2:$B$198,2,0)</f>
        <v>#N/A</v>
      </c>
      <c r="C143" s="231" t="n">
        <f t="shared" si="15"/>
        <v>3.0981787732886752</v>
      </c>
      <c r="D143" s="230" t="n">
        <f t="shared" si="16"/>
        <v>2.8320000000000001E-2</v>
      </c>
      <c r="E143" s="236" t="n">
        <v>0.75</v>
      </c>
      <c r="F143" t="n">
        <v>4</v>
      </c>
      <c r="G143" t="n">
        <v>0</v>
      </c>
      <c r="H143" t="n">
        <v>240</v>
      </c>
      <c r="I143" t="n">
        <v>100</v>
      </c>
      <c r="J143" t="n">
        <v>740</v>
      </c>
      <c r="K143" t="n">
        <v>177</v>
      </c>
    </row>
    <row r="144">
      <c r="A144" t="s">
        <v>608</v>
      </c>
      <c r="B144" t="e">
        <f>VLOOKUP(A144,[5]Names_Lab!$A$2:$B$198,2,0)</f>
        <v>#N/A</v>
      </c>
      <c r="C144" s="231" t="n">
        <f t="shared" si="15"/>
        <v>3.6005861419300818</v>
      </c>
      <c r="D144" s="230" t="n">
        <f t="shared" si="16"/>
        <v>2.7199999999999998E-2</v>
      </c>
      <c r="E144" s="236" t="n">
        <v>0.55000000000000004</v>
      </c>
      <c r="F144" t="n">
        <v>20</v>
      </c>
      <c r="G144" t="n">
        <v>0</v>
      </c>
      <c r="H144" t="n">
        <v>300</v>
      </c>
      <c r="I144" t="n">
        <v>90</v>
      </c>
      <c r="J144" t="n">
        <v>860</v>
      </c>
      <c r="K144" t="n">
        <v>170</v>
      </c>
    </row>
    <row r="145">
      <c r="A145" t="s">
        <v>607</v>
      </c>
      <c r="B145" t="e">
        <f>VLOOKUP(A145,[5]Names_Lab!$A$2:$B$198,2,0)</f>
        <v>#N/A</v>
      </c>
      <c r="C145" s="231" t="n">
        <f t="shared" si="15"/>
        <v>7.9966506175423904</v>
      </c>
      <c r="D145" s="230" t="n">
        <f t="shared" si="16"/>
        <v>3.2992E-2</v>
      </c>
      <c r="E145" s="238" t="n">
        <v>0.79</v>
      </c>
      <c r="F145" s="237" t="n">
        <v>121</v>
      </c>
      <c r="G145" s="237" t="n">
        <v>0</v>
      </c>
      <c r="H145" s="237" t="n">
        <v>205.2</v>
      </c>
      <c r="I145" s="237" t="n">
        <v>133</v>
      </c>
      <c r="J145" s="237" t="n">
        <v>1910</v>
      </c>
      <c r="K145" s="237" t="n">
        <v>206.2</v>
      </c>
      <c r="L145" s="237"/>
    </row>
    <row r="146">
      <c r="A146" t="s">
        <v>606</v>
      </c>
      <c r="B146" t="e">
        <f>VLOOKUP(A146,[5]Names_Lab!$A$2:$B$198,2,0)</f>
        <v>#N/A</v>
      </c>
      <c r="C146" s="231" t="n">
        <f t="shared" si="15"/>
        <v>5.7776847393761779</v>
      </c>
      <c r="D146" s="230" t="n">
        <f t="shared" si="16"/>
        <v>3.3599999999999998E-2</v>
      </c>
      <c r="E146" s="236" t="n">
        <v>0.94</v>
      </c>
      <c r="F146" t="n">
        <v>60</v>
      </c>
      <c r="G146" t="n">
        <v>0</v>
      </c>
      <c r="H146" t="n">
        <v>350</v>
      </c>
      <c r="I146" t="n">
        <v>400</v>
      </c>
      <c r="J146" t="n">
        <v>1380</v>
      </c>
      <c r="K146" t="n">
        <v>210</v>
      </c>
    </row>
    <row r="147">
      <c r="A147" t="s">
        <v>605</v>
      </c>
      <c r="B147" t="e">
        <f>VLOOKUP(A147,[5]Names_Lab!$A$2:$B$198,2,0)</f>
        <v>#N/A</v>
      </c>
      <c r="C147" s="231" t="n">
        <f t="shared" si="15"/>
        <v>6.280092108017584</v>
      </c>
      <c r="D147" s="230" t="n">
        <f t="shared" si="16"/>
        <v>2.4E-2</v>
      </c>
      <c r="E147" s="236" t="n">
        <v>0.6</v>
      </c>
      <c r="F147" t="n">
        <v>100</v>
      </c>
      <c r="G147" t="n">
        <v>0</v>
      </c>
      <c r="H147" t="n">
        <v>170</v>
      </c>
      <c r="I147" t="n">
        <v>360</v>
      </c>
      <c r="J147" t="n">
        <v>1500</v>
      </c>
      <c r="K147" t="n">
        <v>150</v>
      </c>
    </row>
    <row r="148">
      <c r="A148" t="s">
        <v>604</v>
      </c>
      <c r="B148" t="e">
        <f>VLOOKUP(A148,[5]Names_Lab!$A$2:$B$198,2,0)</f>
        <v>#N/A</v>
      </c>
      <c r="C148" s="231" t="n">
        <f t="shared" si="15"/>
        <v>3.3493824576093782</v>
      </c>
      <c r="D148" s="230" t="n">
        <f t="shared" si="16"/>
        <v>2.7199999999999998E-2</v>
      </c>
      <c r="E148" s="236" t="n">
        <v>0.7</v>
      </c>
      <c r="F148" t="n">
        <v>13</v>
      </c>
      <c r="G148" t="n">
        <v>0</v>
      </c>
      <c r="H148" t="n">
        <v>780</v>
      </c>
      <c r="I148" t="n">
        <v>700</v>
      </c>
      <c r="J148" t="n">
        <v>800</v>
      </c>
      <c r="K148" t="n">
        <v>170</v>
      </c>
    </row>
    <row r="149">
      <c r="A149" t="s">
        <v>603</v>
      </c>
      <c r="B149" t="e">
        <f>VLOOKUP(A149,[5]Names_Lab!$A$2:$B$198,2,0)</f>
        <v>#N/A</v>
      </c>
      <c r="C149" s="231" t="n">
        <f t="shared" si="15"/>
        <v>3.8936571069709025</v>
      </c>
      <c r="D149" s="230" t="n">
        <f t="shared" si="16"/>
        <v>3.2160000000000001E-2</v>
      </c>
      <c r="E149" s="236" t="n">
        <v>0.47</v>
      </c>
      <c r="F149" t="n">
        <v>14</v>
      </c>
      <c r="G149" t="n">
        <v>0</v>
      </c>
      <c r="H149" t="n">
        <v>2200</v>
      </c>
      <c r="I149" t="n">
        <v>90</v>
      </c>
      <c r="J149" t="n">
        <v>930</v>
      </c>
      <c r="K149" t="n">
        <v>201</v>
      </c>
    </row>
    <row r="150">
      <c r="A150" t="s">
        <v>602</v>
      </c>
      <c r="B150" t="e">
        <f>VLOOKUP(A150,[5]Names_Lab!$A$2:$B$198,2,0)</f>
        <v>#N/A</v>
      </c>
      <c r="C150" s="231" t="n">
        <f t="shared" si="15"/>
        <v>4.2285953527318405</v>
      </c>
      <c r="D150" s="230" t="n">
        <f t="shared" si="16"/>
        <v>3.04E-2</v>
      </c>
      <c r="E150" s="236" t="n">
        <v>0.75</v>
      </c>
      <c r="F150" t="n">
        <v>28</v>
      </c>
      <c r="G150" t="n">
        <v>0</v>
      </c>
      <c r="H150" t="n">
        <v>300</v>
      </c>
      <c r="I150" t="n">
        <v>5000</v>
      </c>
      <c r="J150" t="n">
        <v>1010</v>
      </c>
      <c r="K150" t="n">
        <v>190</v>
      </c>
    </row>
    <row r="151">
      <c r="A151" t="s">
        <v>601</v>
      </c>
      <c r="B151" t="e">
        <f>VLOOKUP(A151,[5]Names_Lab!$A$2:$B$198,2,0)</f>
        <v>#N/A</v>
      </c>
      <c r="C151" s="231" t="n">
        <f t="shared" si="15"/>
        <v>3.3493824576093782</v>
      </c>
      <c r="D151" s="230" t="n">
        <f t="shared" si="16"/>
        <v>2.528E-2</v>
      </c>
      <c r="E151" s="236" t="n">
        <v>0.56000000000000005</v>
      </c>
      <c r="F151" t="n">
        <v>19</v>
      </c>
      <c r="G151" t="n">
        <v>0</v>
      </c>
      <c r="H151" t="n">
        <v>336</v>
      </c>
      <c r="I151" t="n">
        <v>90</v>
      </c>
      <c r="J151" t="n">
        <v>800</v>
      </c>
      <c r="K151" t="n">
        <v>158</v>
      </c>
    </row>
    <row r="152">
      <c r="A152" t="s">
        <v>600</v>
      </c>
      <c r="B152" s="88" t="s">
        <v>21</v>
      </c>
      <c r="C152" s="231" t="n">
        <f t="shared" si="15"/>
        <v>3.8936571069709025</v>
      </c>
      <c r="D152" s="230" t="n">
        <f t="shared" si="16"/>
        <v>3.2160000000000001E-2</v>
      </c>
      <c r="E152" s="236" t="n">
        <v>0.47</v>
      </c>
      <c r="F152" t="n">
        <v>14</v>
      </c>
      <c r="G152" t="n">
        <v>0</v>
      </c>
      <c r="H152" t="n">
        <v>2200</v>
      </c>
      <c r="I152" t="n">
        <v>90</v>
      </c>
      <c r="J152" t="n">
        <v>930</v>
      </c>
      <c r="K152" t="n">
        <v>201</v>
      </c>
    </row>
    <row r="153">
      <c r="A153" t="s">
        <v>599</v>
      </c>
      <c r="B153" t="e">
        <f>VLOOKUP(A153,[5]Names_Lab!$A$2:$B$198,2,0)</f>
        <v>#N/A</v>
      </c>
      <c r="C153" s="231" t="n">
        <f t="shared" si="15"/>
        <v>3.1526062382248274</v>
      </c>
      <c r="D153" s="230" t="n">
        <f t="shared" si="16"/>
        <v>2.5760000000000002E-2</v>
      </c>
      <c r="E153" s="238" t="n">
        <v>0.79</v>
      </c>
      <c r="F153" s="237" t="n">
        <v>9</v>
      </c>
      <c r="G153" s="237" t="n">
        <v>7</v>
      </c>
      <c r="H153" s="237" t="n">
        <v>270</v>
      </c>
      <c r="I153" s="237" t="n">
        <v>250</v>
      </c>
      <c r="J153" s="237" t="n">
        <v>753</v>
      </c>
      <c r="K153" s="237" t="n">
        <v>161</v>
      </c>
      <c r="L153" s="237"/>
    </row>
    <row r="154">
      <c r="A154" t="s">
        <v>598</v>
      </c>
      <c r="B154" t="e">
        <f>VLOOKUP(A154,[5]Names_Lab!$A$2:$B$198,2,0)</f>
        <v>#N/A</v>
      </c>
      <c r="C154" s="231" t="n">
        <f t="shared" si="15"/>
        <v>5.1915428092945364</v>
      </c>
      <c r="D154" s="230" t="n">
        <f t="shared" si="16"/>
        <v>2.512E-2</v>
      </c>
      <c r="E154" s="236" t="n">
        <v>0.71</v>
      </c>
      <c r="F154" t="n">
        <v>68</v>
      </c>
      <c r="G154" t="n">
        <v>0</v>
      </c>
      <c r="H154" t="n">
        <v>170</v>
      </c>
      <c r="I154" t="n">
        <v>360</v>
      </c>
      <c r="J154" t="n">
        <v>1240</v>
      </c>
      <c r="K154" t="n">
        <v>157</v>
      </c>
    </row>
    <row r="155">
      <c r="A155" t="s">
        <v>597</v>
      </c>
      <c r="B155" t="e">
        <f>VLOOKUP(A155,[5]Names_Lab!$A$2:$B$198,2,0)</f>
        <v>#N/A</v>
      </c>
      <c r="C155" s="231" t="n">
        <f t="shared" si="15"/>
        <v>3.809922545530668</v>
      </c>
      <c r="D155" s="230" t="n">
        <f t="shared" si="16"/>
        <v>2.928E-2</v>
      </c>
      <c r="E155" s="236" t="n">
        <v>0.38</v>
      </c>
      <c r="F155" t="n">
        <v>20</v>
      </c>
      <c r="G155" t="n">
        <v>0</v>
      </c>
      <c r="H155" t="n">
        <v>600</v>
      </c>
      <c r="I155" t="n">
        <v>0</v>
      </c>
      <c r="J155" t="n">
        <v>910</v>
      </c>
      <c r="K155" t="n">
        <v>183</v>
      </c>
    </row>
    <row r="156">
      <c r="A156" t="s">
        <v>596</v>
      </c>
      <c r="B156" t="e">
        <f>VLOOKUP(A156,[5]Names_Lab!$A$2:$B$198,2,0)</f>
        <v>#N/A</v>
      </c>
      <c r="C156" s="231" t="n">
        <f t="shared" si="15"/>
        <v>3.8936571069709025</v>
      </c>
      <c r="D156" s="230" t="n">
        <f t="shared" si="16"/>
        <v>3.2160000000000001E-2</v>
      </c>
      <c r="E156" s="236" t="n">
        <v>0.47</v>
      </c>
      <c r="F156" t="n">
        <v>14</v>
      </c>
      <c r="G156" t="n">
        <v>0</v>
      </c>
      <c r="H156" t="n">
        <v>2200</v>
      </c>
      <c r="I156" t="n">
        <v>90</v>
      </c>
      <c r="J156" t="n">
        <v>930</v>
      </c>
      <c r="K156" t="n">
        <v>201</v>
      </c>
    </row>
    <row r="157">
      <c r="A157" t="s">
        <v>595</v>
      </c>
      <c r="B157" s="88" t="s">
        <v>15</v>
      </c>
      <c r="C157" s="231" t="n">
        <f t="shared" si="15"/>
        <v>3.2656478961691437</v>
      </c>
      <c r="D157" s="230" t="n">
        <f t="shared" si="16"/>
        <v>2.64E-2</v>
      </c>
      <c r="E157" s="236" t="n">
        <v>0.55000000000000004</v>
      </c>
      <c r="F157" t="n">
        <v>13</v>
      </c>
      <c r="G157" t="n">
        <v>0</v>
      </c>
      <c r="H157" t="n">
        <v>30</v>
      </c>
      <c r="I157" t="n">
        <v>0</v>
      </c>
      <c r="J157" t="n">
        <v>780</v>
      </c>
      <c r="K157" t="n">
        <v>165</v>
      </c>
    </row>
    <row r="158">
      <c r="A158" t="s">
        <v>594</v>
      </c>
      <c r="B158" s="88" t="s">
        <v>16</v>
      </c>
      <c r="C158" s="231" t="n">
        <f t="shared" si="15"/>
        <v>2.5120368432070337</v>
      </c>
      <c r="D158" s="230" t="n">
        <f t="shared" si="16"/>
        <v>1.728E-2</v>
      </c>
      <c r="E158" s="236" t="n">
        <v>0.25</v>
      </c>
      <c r="F158" t="n">
        <v>19</v>
      </c>
      <c r="G158" t="n">
        <v>0</v>
      </c>
      <c r="H158" t="n">
        <v>800</v>
      </c>
      <c r="I158" t="n">
        <v>0</v>
      </c>
      <c r="J158" t="n">
        <v>600</v>
      </c>
      <c r="K158" t="n">
        <v>108</v>
      </c>
    </row>
    <row r="159">
      <c r="A159" t="s">
        <v>593</v>
      </c>
      <c r="B159" t="e">
        <f>VLOOKUP(A159,[5]Names_Lab!$A$2:$B$198,2,0)</f>
        <v>#N/A</v>
      </c>
      <c r="C159" s="231" t="n">
        <f t="shared" si="15"/>
        <v>3.7261879840904335</v>
      </c>
      <c r="D159" s="230" t="n">
        <f t="shared" si="16"/>
        <v>2.5440000000000001E-2</v>
      </c>
      <c r="E159" s="236" t="n">
        <v>0.8</v>
      </c>
      <c r="F159" t="n">
        <v>28</v>
      </c>
      <c r="G159" t="n">
        <v>0</v>
      </c>
      <c r="H159" t="n">
        <v>280</v>
      </c>
      <c r="I159" t="n">
        <v>0</v>
      </c>
      <c r="J159" t="n">
        <v>890</v>
      </c>
      <c r="K159" t="n">
        <v>159</v>
      </c>
    </row>
    <row r="160">
      <c r="A160" t="s">
        <v>592</v>
      </c>
      <c r="B160" s="88" t="s">
        <v>20</v>
      </c>
      <c r="C160" s="231" t="n">
        <f t="shared" si="15"/>
        <v>2.8888423696880889</v>
      </c>
      <c r="D160" s="230" t="n">
        <f t="shared" si="16"/>
        <v>2.5600000000000001E-2</v>
      </c>
      <c r="E160" s="236" t="n">
        <v>0.75</v>
      </c>
      <c r="F160" t="n">
        <v>6</v>
      </c>
      <c r="G160" t="n">
        <v>0</v>
      </c>
      <c r="H160" t="n">
        <v>480</v>
      </c>
      <c r="I160" t="n">
        <v>0</v>
      </c>
      <c r="J160" t="n">
        <v>690</v>
      </c>
      <c r="K160" t="n">
        <v>160</v>
      </c>
    </row>
    <row r="161">
      <c r="A161" t="s">
        <v>584</v>
      </c>
      <c r="B161" s="88" t="s">
        <v>22</v>
      </c>
      <c r="C161" s="231" t="n">
        <f t="shared" si="15"/>
        <v>2.1352313167259789</v>
      </c>
      <c r="D161" s="230" t="n">
        <f t="shared" si="16"/>
        <v>1.6959999999999999E-2</v>
      </c>
      <c r="E161" s="236" t="n">
        <v>0.79</v>
      </c>
      <c r="F161" t="n">
        <v>10</v>
      </c>
      <c r="G161" t="n">
        <v>0</v>
      </c>
      <c r="H161" t="n">
        <v>1440</v>
      </c>
      <c r="I161" t="n">
        <v>700</v>
      </c>
      <c r="J161" t="n">
        <v>510</v>
      </c>
      <c r="K161" t="n">
        <v>106</v>
      </c>
    </row>
    <row r="162">
      <c r="A162" t="s">
        <v>591</v>
      </c>
      <c r="B162" t="e">
        <f>VLOOKUP(A162,[5]Names_Lab!$A$2:$B$198,2,0)</f>
        <v>#N/A</v>
      </c>
      <c r="C162" s="231" t="n">
        <f t="shared" si="15"/>
        <v>3.7680552648105508</v>
      </c>
      <c r="D162" s="230" t="n">
        <f t="shared" si="16"/>
        <v>2.256E-2</v>
      </c>
      <c r="E162" s="236" t="n">
        <v>0.74</v>
      </c>
      <c r="F162" t="n">
        <v>37</v>
      </c>
      <c r="G162" t="n">
        <v>0</v>
      </c>
      <c r="H162" t="n">
        <v>300</v>
      </c>
      <c r="I162" t="n">
        <v>0</v>
      </c>
      <c r="J162" t="n">
        <v>900</v>
      </c>
      <c r="K162" t="n">
        <v>141</v>
      </c>
    </row>
    <row r="163">
      <c r="A163" t="s">
        <v>590</v>
      </c>
      <c r="B163" t="e">
        <f>VLOOKUP(A163,[5]Names_Lab!$A$2:$B$198,2,0)</f>
        <v>#N/A</v>
      </c>
      <c r="C163" s="231" t="n">
        <f t="shared" si="15"/>
        <v>5.8614193008164124</v>
      </c>
      <c r="D163" s="230" t="n">
        <f t="shared" si="16"/>
        <v>2.896E-2</v>
      </c>
      <c r="E163" s="236" t="n">
        <v>0.68</v>
      </c>
      <c r="F163" t="n">
        <v>75</v>
      </c>
      <c r="G163" t="n">
        <v>0</v>
      </c>
      <c r="H163" t="n">
        <v>43</v>
      </c>
      <c r="I163" t="n">
        <v>640</v>
      </c>
      <c r="J163" t="n">
        <v>1400</v>
      </c>
      <c r="K163" t="n">
        <v>181</v>
      </c>
    </row>
    <row r="164">
      <c r="A164" s="235" t="str">
        <f>'[4]P-E-I MF'!A285</f>
        <v>Pescado total</v>
      </c>
      <c r="B164" s="91" t="s">
        <v>23</v>
      </c>
      <c r="C164" s="231" t="n">
        <f t="shared" si="15"/>
        <v>4.2221408136208218</v>
      </c>
      <c r="D164" s="230" t="n">
        <f t="shared" si="16"/>
        <v>2.7121333333333331E-2</v>
      </c>
      <c r="E164" s="234" t="n">
        <f t="shared" ref="E164:K164" si="17">AVERAGE(E140:E163)</f>
        <v>0.63666666666666683</v>
      </c>
      <c r="F164" s="233" t="n">
        <f t="shared" si="17"/>
        <v>36.666666666666664</v>
      </c>
      <c r="G164" s="233" t="n">
        <f t="shared" si="17"/>
        <v>0.29166666666666669</v>
      </c>
      <c r="H164" s="233" t="n">
        <f t="shared" si="17"/>
        <v>652.25833333333333</v>
      </c>
      <c r="I164" s="233" t="n">
        <f t="shared" si="17"/>
        <v>527.625</v>
      </c>
      <c r="J164" s="233" t="n">
        <f t="shared" si="17"/>
        <v>1008.4583333333334</v>
      </c>
      <c r="K164" s="233" t="n">
        <f t="shared" si="17"/>
        <v>169.50833333333333</v>
      </c>
      <c r="L164" s="233"/>
      <c r="M164" t="s">
        <v>589</v>
      </c>
    </row>
    <row r="165">
      <c r="B165" t="e">
        <f>VLOOKUP(A165,[5]Names_Lab!$A$2:$B$198,2,0)</f>
        <v>#N/A</v>
      </c>
      <c r="F165" s="232" t="n">
        <f>F166/$E164</f>
        <v>35.978525507321315</v>
      </c>
      <c r="G165" t="s">
        <v>588</v>
      </c>
      <c r="J165" s="232" t="n">
        <f>J166/$E164</f>
        <v>1101.4908397107347</v>
      </c>
      <c r="K165" s="232" t="n">
        <f>K166/$E164</f>
        <v>174.08797513509552</v>
      </c>
    </row>
    <row r="166">
      <c r="A166" t="s">
        <v>587</v>
      </c>
      <c r="B166" t="e">
        <f>VLOOKUP(A166,[5]Names_Lab!$A$2:$B$198,2,0)</f>
        <v>#N/A</v>
      </c>
      <c r="F166" s="223" t="n">
        <v>22.90632790632791</v>
      </c>
      <c r="J166" s="223" t="n">
        <v>701.28250128250124</v>
      </c>
      <c r="K166" s="223" t="n">
        <v>110.83601083601084</v>
      </c>
    </row>
    <row r="179">
      <c r="A179" t="s">
        <v>586</v>
      </c>
      <c r="E179" s="232" t="n">
        <f t="shared" ref="E179:K179" si="18">AVERAGE(E132:E134)</f>
        <v>1</v>
      </c>
      <c r="F179" s="232" t="n">
        <f t="shared" si="18"/>
        <v>46.666666666666664</v>
      </c>
      <c r="G179" s="232" t="n">
        <f t="shared" si="18"/>
        <v>46</v>
      </c>
      <c r="H179" s="232" t="n">
        <f t="shared" si="18"/>
        <v>1536.6666666666667</v>
      </c>
      <c r="I179" s="232" t="n">
        <f t="shared" si="18"/>
        <v>425</v>
      </c>
      <c r="J179" s="232" t="n">
        <f t="shared" si="18"/>
        <v>762.66666666666663</v>
      </c>
      <c r="K179" s="232" t="n">
        <f t="shared" si="18"/>
        <v>40</v>
      </c>
      <c r="L179" s="232"/>
    </row>
  </sheetData>
  <pageMargins left="0.7" right="0.7" top="0.75" bottom="0.75" header="0.3" footer="0.3"/>
  <pageSetup paperSize="9" orientation="portrait" horizontalDpi="300" verticalDpi="300" r:id="rId2"/>
  <legacyDrawing r:id="rIdvml"/>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G17" sqref="G17"/>
    </sheetView>
  </sheetViews>
  <sheetFormatPr defaultRowHeight="15.0" baseColWidth="10"/>
  <cols>
    <col min="1" max="1" width="13.46484375" hidden="0" customWidth="1"/>
  </cols>
  <sheetData>
    <row r="1">
      <c r="A1" t="s">
        <v>839</v>
      </c>
      <c r="B1" t="s">
        <v>840</v>
      </c>
    </row>
    <row r="2">
      <c r="A2" t="s">
        <v>836</v>
      </c>
      <c r="B2" t="n">
        <v>4</v>
      </c>
    </row>
    <row r="3">
      <c r="A3" t="s">
        <v>837</v>
      </c>
      <c r="B3" t="n">
        <v>4</v>
      </c>
    </row>
    <row r="4">
      <c r="A4" t="s">
        <v>838</v>
      </c>
      <c r="B4" t="n">
        <v>9</v>
      </c>
    </row>
  </sheetData>
  <pageMargins left="0.7" right="0.7" top="0.75" bottom="0.75" header="0.3" footer="0.3"/>
  <pageSetup paperSize="9" orientation="portrait" horizontalDpi="300" verticalDpi="300" r:id="rId2"/>
  <legacyDrawing r:id="rIdvml"/>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843</v>
      </c>
      <c r="C1" t="s">
        <v>844</v>
      </c>
      <c r="D1" t="s">
        <v>845</v>
      </c>
      <c r="E1" t="s">
        <v>846</v>
      </c>
      <c r="F1" t="s">
        <v>847</v>
      </c>
      <c r="G1" t="s">
        <v>848</v>
      </c>
    </row>
    <row r="2">
      <c r="A2" t="s">
        <v>849</v>
      </c>
      <c r="B2" t="n">
        <v>1.09</v>
      </c>
      <c r="C2" t="n">
        <v>0.51</v>
      </c>
      <c r="D2" t="n">
        <v>0.24</v>
      </c>
      <c r="E2" t="n">
        <v>0.006</v>
      </c>
      <c r="F2" t="n">
        <v>0.009</v>
      </c>
      <c r="G2" t="s">
        <v>868</v>
      </c>
    </row>
    <row r="3">
      <c r="A3" t="s">
        <v>851</v>
      </c>
      <c r="B3" t="n">
        <v>0.98</v>
      </c>
      <c r="C3" t="n">
        <v>0.59</v>
      </c>
      <c r="D3" t="n">
        <v>0.22</v>
      </c>
      <c r="E3" t="n">
        <v>0.007</v>
      </c>
      <c r="F3" t="n">
        <v>0.014</v>
      </c>
      <c r="G3" t="s">
        <v>868</v>
      </c>
    </row>
    <row r="4">
      <c r="A4" t="s">
        <v>852</v>
      </c>
      <c r="B4" t="n">
        <v>1.03</v>
      </c>
      <c r="C4" t="n">
        <v>0.61</v>
      </c>
      <c r="D4" t="n">
        <v>0.22</v>
      </c>
      <c r="E4" t="n">
        <v>0.006</v>
      </c>
      <c r="F4" t="n">
        <v>0.007</v>
      </c>
      <c r="G4" t="s">
        <v>868</v>
      </c>
    </row>
    <row r="5">
      <c r="A5" t="s">
        <v>853</v>
      </c>
      <c r="B5" t="n">
        <v>1.05</v>
      </c>
      <c r="C5" t="n">
        <v>0.56</v>
      </c>
      <c r="D5" t="n">
        <v>0.16</v>
      </c>
      <c r="E5" t="n">
        <v>0.007</v>
      </c>
      <c r="F5" t="n">
        <v>0.009</v>
      </c>
      <c r="G5" t="s">
        <v>868</v>
      </c>
    </row>
    <row r="6">
      <c r="A6" t="s">
        <v>854</v>
      </c>
      <c r="B6" t="n">
        <v>0.91</v>
      </c>
      <c r="C6" t="n">
        <v>0.89</v>
      </c>
      <c r="D6" t="n">
        <v>0.25</v>
      </c>
      <c r="E6" t="n">
        <v>0.007</v>
      </c>
      <c r="F6" t="n">
        <v>0.008</v>
      </c>
      <c r="G6" t="s">
        <v>868</v>
      </c>
    </row>
    <row r="7">
      <c r="A7" t="s">
        <v>855</v>
      </c>
      <c r="B7" t="n">
        <v>0.75</v>
      </c>
      <c r="C7" t="n">
        <v>0</v>
      </c>
      <c r="D7" t="n">
        <v>0.22</v>
      </c>
      <c r="E7" t="n">
        <v>0.007</v>
      </c>
      <c r="F7" t="n">
        <v>0.009</v>
      </c>
      <c r="G7" t="s">
        <v>868</v>
      </c>
    </row>
    <row r="8">
      <c r="A8" t="s">
        <v>856</v>
      </c>
      <c r="B8" t="n">
        <v>0.77</v>
      </c>
      <c r="C8" t="n">
        <v>1.07</v>
      </c>
      <c r="D8" t="n">
        <v>0.19</v>
      </c>
      <c r="E8" t="n">
        <v>0.007</v>
      </c>
      <c r="F8" t="n">
        <v>0.006</v>
      </c>
      <c r="G8" t="s">
        <v>868</v>
      </c>
    </row>
    <row r="9">
      <c r="A9" t="s">
        <v>857</v>
      </c>
      <c r="B9" t="n">
        <v>0.88</v>
      </c>
      <c r="C9" t="n">
        <v>0.72</v>
      </c>
      <c r="D9" t="n">
        <v>0.22</v>
      </c>
      <c r="E9" t="n">
        <v>0.005</v>
      </c>
      <c r="F9" t="n">
        <v>0.011</v>
      </c>
      <c r="G9" t="s">
        <v>868</v>
      </c>
    </row>
    <row r="10">
      <c r="A10" t="s">
        <v>858</v>
      </c>
      <c r="B10" t="n">
        <v>1.09</v>
      </c>
      <c r="C10" t="n">
        <v>0.51</v>
      </c>
      <c r="D10" t="n">
        <v>0.24</v>
      </c>
      <c r="E10" t="n">
        <v>0.006</v>
      </c>
      <c r="F10" t="n">
        <v>0.009</v>
      </c>
      <c r="G10" t="s">
        <v>1055</v>
      </c>
    </row>
    <row r="11">
      <c r="A11" t="s">
        <v>859</v>
      </c>
      <c r="B11" t="n">
        <v>0.93</v>
      </c>
      <c r="C11" t="n">
        <v>0.85</v>
      </c>
      <c r="D11" t="n">
        <v>0.16</v>
      </c>
      <c r="E11" t="n">
        <v>0.008</v>
      </c>
      <c r="F11" t="n">
        <v>0.008</v>
      </c>
      <c r="G11" t="s">
        <v>868</v>
      </c>
    </row>
    <row r="12">
      <c r="A12" t="s">
        <v>860</v>
      </c>
      <c r="B12" t="n">
        <v>0.97</v>
      </c>
      <c r="C12" t="n">
        <v>0.52</v>
      </c>
      <c r="D12" t="n">
        <v>0.19</v>
      </c>
      <c r="E12" t="n">
        <v>0.008</v>
      </c>
      <c r="F12" t="n">
        <v>0.008</v>
      </c>
      <c r="G12" t="s">
        <v>868</v>
      </c>
    </row>
    <row r="13">
      <c r="A13" t="s">
        <v>861</v>
      </c>
      <c r="B13" t="n">
        <v>0.97</v>
      </c>
      <c r="C13" t="n">
        <v>0.52</v>
      </c>
      <c r="D13" t="n">
        <v>0.19</v>
      </c>
      <c r="E13" t="n">
        <v>0.008</v>
      </c>
      <c r="F13" t="n">
        <v>0.008</v>
      </c>
      <c r="G13" t="s">
        <v>1056</v>
      </c>
    </row>
    <row r="14">
      <c r="A14" t="s">
        <v>862</v>
      </c>
      <c r="B14" t="n">
        <v>1</v>
      </c>
      <c r="C14" t="n">
        <v>0.4</v>
      </c>
      <c r="D14" t="n">
        <v>0.2</v>
      </c>
      <c r="E14" t="n">
        <v>0.016</v>
      </c>
      <c r="F14" t="n">
        <v>0.014</v>
      </c>
      <c r="G14" t="s">
        <v>868</v>
      </c>
    </row>
    <row r="15">
      <c r="A15" t="s">
        <v>863</v>
      </c>
      <c r="B15" t="n">
        <v>0.97</v>
      </c>
      <c r="C15" t="n">
        <v>0.52</v>
      </c>
      <c r="D15" t="n">
        <v>0.19</v>
      </c>
      <c r="E15" t="n">
        <v>0.008</v>
      </c>
      <c r="F15" t="n">
        <v>0.008</v>
      </c>
      <c r="G15" t="s">
        <v>1057</v>
      </c>
    </row>
    <row r="16">
      <c r="A16" t="s">
        <v>865</v>
      </c>
      <c r="B16" t="n">
        <v>0.97</v>
      </c>
      <c r="C16" t="n">
        <v>0.52</v>
      </c>
      <c r="D16" t="n">
        <v>0.19</v>
      </c>
      <c r="E16" t="n">
        <v>0.008</v>
      </c>
      <c r="F16" t="n">
        <v>0.008</v>
      </c>
      <c r="G16" t="s">
        <v>1057</v>
      </c>
    </row>
    <row r="17">
      <c r="A17" t="s">
        <v>866</v>
      </c>
      <c r="B17" t="n">
        <v>0.97</v>
      </c>
      <c r="C17" t="n">
        <v>0.52</v>
      </c>
      <c r="D17" t="n">
        <v>0.19</v>
      </c>
      <c r="E17" t="n">
        <v>0.008</v>
      </c>
      <c r="F17" t="n">
        <v>0.008</v>
      </c>
      <c r="G17" t="s">
        <v>1057</v>
      </c>
    </row>
    <row r="18">
      <c r="A18" t="s">
        <v>867</v>
      </c>
      <c r="B18" t="n">
        <v>1.58</v>
      </c>
      <c r="C18" t="n">
        <v>0.3</v>
      </c>
      <c r="D18" t="n">
        <v>0.15</v>
      </c>
      <c r="E18" t="n">
        <v>0.01</v>
      </c>
      <c r="F18" t="n">
        <v>0.01</v>
      </c>
      <c r="G18" t="s">
        <v>868</v>
      </c>
    </row>
    <row r="19">
      <c r="A19" t="s">
        <v>869</v>
      </c>
      <c r="B19" t="n">
        <v>1.6</v>
      </c>
      <c r="C19" t="n">
        <v>0.3</v>
      </c>
      <c r="D19" t="n">
        <v>0.06</v>
      </c>
      <c r="E19" t="n">
        <v>0.006</v>
      </c>
      <c r="F19" t="n">
        <v>0.009</v>
      </c>
      <c r="G19" t="s">
        <v>868</v>
      </c>
    </row>
    <row r="20">
      <c r="A20" t="s">
        <v>870</v>
      </c>
      <c r="B20" t="n">
        <v>1.5</v>
      </c>
      <c r="C20" t="n">
        <v>0.3</v>
      </c>
      <c r="D20" t="n">
        <v>0.15</v>
      </c>
      <c r="E20" t="n">
        <v>0.01</v>
      </c>
      <c r="F20" t="n">
        <v>0.01</v>
      </c>
      <c r="G20" t="s">
        <v>871</v>
      </c>
    </row>
    <row r="21">
      <c r="A21" t="s">
        <v>872</v>
      </c>
      <c r="B21" t="n">
        <v>1.58</v>
      </c>
      <c r="C21" t="n">
        <v>0.3</v>
      </c>
      <c r="D21" t="n">
        <v>0.15</v>
      </c>
      <c r="E21" t="n">
        <v>0.01</v>
      </c>
      <c r="F21" t="n">
        <v>0.01</v>
      </c>
      <c r="G21" t="s">
        <v>1058</v>
      </c>
    </row>
    <row r="22">
      <c r="A22" t="s">
        <v>873</v>
      </c>
      <c r="B22" t="n">
        <v>0.1</v>
      </c>
      <c r="C22" t="n">
        <v>0.38</v>
      </c>
      <c r="D22" t="n">
        <v>0.2</v>
      </c>
      <c r="E22" t="n">
        <v>0.019</v>
      </c>
      <c r="F22" t="n">
        <v>0.014</v>
      </c>
      <c r="G22" t="s">
        <v>868</v>
      </c>
    </row>
    <row r="23">
      <c r="A23" t="s">
        <v>874</v>
      </c>
      <c r="B23" t="n">
        <v>0.29</v>
      </c>
      <c r="C23" t="n">
        <v>0.6</v>
      </c>
      <c r="D23" t="n">
        <v>0.16</v>
      </c>
      <c r="E23" t="n">
        <v>0.019</v>
      </c>
      <c r="F23" t="n">
        <v>0.014</v>
      </c>
      <c r="G23" t="s">
        <v>868</v>
      </c>
    </row>
    <row r="24">
      <c r="A24" t="s">
        <v>875</v>
      </c>
      <c r="B24" t="n">
        <v>0.1</v>
      </c>
      <c r="C24" t="n">
        <v>0.38</v>
      </c>
      <c r="D24" t="n">
        <v>0.2</v>
      </c>
      <c r="E24" t="n">
        <v>0.019</v>
      </c>
      <c r="F24" t="n">
        <v>0.014</v>
      </c>
      <c r="G24" t="s">
        <v>1059</v>
      </c>
    </row>
    <row r="25">
      <c r="A25" t="s">
        <v>876</v>
      </c>
      <c r="B25" t="n">
        <v>0.1</v>
      </c>
      <c r="C25" t="n">
        <v>0.38</v>
      </c>
      <c r="D25" t="n">
        <v>0.2</v>
      </c>
      <c r="E25" t="n">
        <v>0.019</v>
      </c>
      <c r="F25" t="n">
        <v>0.014</v>
      </c>
      <c r="G25" t="s">
        <v>1059</v>
      </c>
    </row>
    <row r="26">
      <c r="A26" t="s">
        <v>877</v>
      </c>
      <c r="B26" t="n">
        <v>0.1</v>
      </c>
      <c r="C26" t="n">
        <v>0.38</v>
      </c>
      <c r="D26" t="n">
        <v>0.2</v>
      </c>
      <c r="E26" t="n">
        <v>0.019</v>
      </c>
      <c r="F26" t="n">
        <v>0.014</v>
      </c>
      <c r="G26" t="s">
        <v>1059</v>
      </c>
    </row>
    <row r="27">
      <c r="A27" t="s">
        <v>878</v>
      </c>
      <c r="B27" t="n">
        <v>0.27</v>
      </c>
      <c r="C27" t="n">
        <v>1.62</v>
      </c>
      <c r="D27" t="n">
        <v>0.04</v>
      </c>
      <c r="E27" t="n">
        <v>0.004</v>
      </c>
      <c r="F27" t="n">
        <v>0.005</v>
      </c>
      <c r="G27" t="s">
        <v>868</v>
      </c>
    </row>
    <row r="28">
      <c r="A28" t="s">
        <v>879</v>
      </c>
      <c r="B28" t="n">
        <v>1.5</v>
      </c>
      <c r="C28" t="n">
        <v>0.3</v>
      </c>
      <c r="D28" t="n">
        <v>0.17</v>
      </c>
      <c r="E28" t="n">
        <v>0.01</v>
      </c>
      <c r="F28" t="n">
        <v>0.01</v>
      </c>
      <c r="G28" t="s">
        <v>868</v>
      </c>
    </row>
    <row r="29">
      <c r="A29" t="s">
        <v>880</v>
      </c>
      <c r="B29" t="n">
        <v>1.5</v>
      </c>
      <c r="C29" t="n">
        <v>0.3</v>
      </c>
      <c r="D29" t="n">
        <v>0.17</v>
      </c>
      <c r="E29" t="n">
        <v>0.01</v>
      </c>
      <c r="F29" t="n">
        <v>0.01</v>
      </c>
      <c r="G29" t="s">
        <v>1060</v>
      </c>
    </row>
    <row r="30">
      <c r="A30" t="s">
        <v>881</v>
      </c>
      <c r="B30" t="n">
        <v>0.3</v>
      </c>
      <c r="C30" t="n">
        <v>0.5</v>
      </c>
      <c r="D30" t="n">
        <v>0.15</v>
      </c>
      <c r="E30" t="n">
        <v>0.01</v>
      </c>
      <c r="F30" t="n">
        <v>0.01</v>
      </c>
      <c r="G30" t="s">
        <v>1061</v>
      </c>
    </row>
    <row r="31">
      <c r="A31" t="s">
        <v>883</v>
      </c>
      <c r="B31" t="n">
        <v>0.73</v>
      </c>
      <c r="C31" t="n">
        <v>1.14</v>
      </c>
      <c r="D31" t="n">
        <v>0.8</v>
      </c>
      <c r="E31" t="n">
        <v>0.015</v>
      </c>
      <c r="F31" t="n">
        <v>0.012</v>
      </c>
      <c r="G31" t="s">
        <v>868</v>
      </c>
    </row>
    <row r="32">
      <c r="A32" t="s">
        <v>885</v>
      </c>
      <c r="B32" t="n">
        <v>0.1</v>
      </c>
      <c r="C32" t="n">
        <v>0.38</v>
      </c>
      <c r="D32" t="n">
        <v>0.1</v>
      </c>
      <c r="E32" t="n">
        <v>0.019</v>
      </c>
      <c r="F32" t="n">
        <v>0.014</v>
      </c>
      <c r="G32" t="s">
        <v>1062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887</v>
      </c>
      <c r="C1" t="s">
        <v>888</v>
      </c>
      <c r="D1" t="s">
        <v>889</v>
      </c>
      <c r="E1" t="s">
        <v>890</v>
      </c>
      <c r="F1" t="s">
        <v>891</v>
      </c>
      <c r="G1" t="s">
        <v>892</v>
      </c>
      <c r="H1" t="s">
        <v>848</v>
      </c>
    </row>
    <row r="2">
      <c r="A2" t="s">
        <v>849</v>
      </c>
      <c r="B2" t="n">
        <v>0.24</v>
      </c>
      <c r="C2" t="n">
        <v>0.29</v>
      </c>
      <c r="D2" t="n">
        <v>0.2</v>
      </c>
      <c r="E2" t="n">
        <v>0.2</v>
      </c>
      <c r="F2" t="n">
        <v>0.27</v>
      </c>
      <c r="G2" t="n">
        <v>2.03</v>
      </c>
      <c r="H2" t="s">
        <v>897</v>
      </c>
    </row>
    <row r="3">
      <c r="A3" t="s">
        <v>851</v>
      </c>
      <c r="B3" t="n">
        <v>0.22</v>
      </c>
      <c r="C3" t="n">
        <v>0.26</v>
      </c>
      <c r="D3" t="n">
        <v>0.18</v>
      </c>
      <c r="E3" t="n">
        <v>0.18</v>
      </c>
      <c r="F3" t="n">
        <v>0.25</v>
      </c>
      <c r="G3" t="n">
        <v>1.54</v>
      </c>
      <c r="H3" t="s">
        <v>897</v>
      </c>
    </row>
    <row r="4">
      <c r="A4" t="s">
        <v>852</v>
      </c>
      <c r="B4" t="n">
        <v>0.22</v>
      </c>
      <c r="C4" t="n">
        <v>0.26</v>
      </c>
      <c r="D4" t="n">
        <v>0.18</v>
      </c>
      <c r="E4" t="n">
        <v>0.18</v>
      </c>
      <c r="F4" t="n">
        <v>0.25</v>
      </c>
      <c r="G4" t="n">
        <v>4.62</v>
      </c>
      <c r="H4" t="s">
        <v>897</v>
      </c>
    </row>
    <row r="5">
      <c r="A5" t="s">
        <v>853</v>
      </c>
      <c r="B5" t="n">
        <v>0.16</v>
      </c>
      <c r="C5" t="n">
        <v>0.19</v>
      </c>
      <c r="D5" t="n">
        <v>0.13</v>
      </c>
      <c r="E5" t="n">
        <v>0.13</v>
      </c>
      <c r="F5" t="n">
        <v>0.18</v>
      </c>
      <c r="G5" t="n">
        <v>1.5</v>
      </c>
      <c r="H5" t="s">
        <v>897</v>
      </c>
    </row>
    <row r="6">
      <c r="A6" t="s">
        <v>854</v>
      </c>
      <c r="B6" t="n">
        <v>0.25</v>
      </c>
      <c r="C6" t="n">
        <v>0.3</v>
      </c>
      <c r="D6" t="n">
        <v>0.21</v>
      </c>
      <c r="E6" t="n">
        <v>0.21</v>
      </c>
      <c r="F6" t="n">
        <v>0.28</v>
      </c>
      <c r="G6" t="n">
        <v>3.39</v>
      </c>
      <c r="H6" t="s">
        <v>897</v>
      </c>
    </row>
    <row r="7">
      <c r="A7" t="s">
        <v>855</v>
      </c>
      <c r="B7" t="n">
        <v>0.22</v>
      </c>
      <c r="C7" t="n">
        <v>0.26</v>
      </c>
      <c r="D7" t="n">
        <v>0.18</v>
      </c>
      <c r="E7" t="n">
        <v>0.18</v>
      </c>
      <c r="F7" t="n">
        <v>0.25</v>
      </c>
      <c r="G7" t="n">
        <v>2</v>
      </c>
      <c r="H7" t="s">
        <v>896</v>
      </c>
    </row>
    <row r="8">
      <c r="A8" t="s">
        <v>856</v>
      </c>
      <c r="B8" t="n">
        <v>0.19</v>
      </c>
      <c r="C8" t="n">
        <v>0.23</v>
      </c>
      <c r="D8" t="n">
        <v>0.16</v>
      </c>
      <c r="E8" t="n">
        <v>0.16</v>
      </c>
      <c r="F8" t="n">
        <v>0.21</v>
      </c>
      <c r="G8" t="n">
        <v>2</v>
      </c>
      <c r="H8" t="s">
        <v>896</v>
      </c>
    </row>
    <row r="9">
      <c r="A9" t="s">
        <v>857</v>
      </c>
      <c r="B9" t="n">
        <v>0.22</v>
      </c>
      <c r="C9" t="n">
        <v>0.26</v>
      </c>
      <c r="D9" t="n">
        <v>0.18</v>
      </c>
      <c r="E9" t="n">
        <v>0.18</v>
      </c>
      <c r="F9" t="n">
        <v>0.25</v>
      </c>
      <c r="G9" t="n">
        <v>2</v>
      </c>
      <c r="H9" t="s">
        <v>896</v>
      </c>
    </row>
    <row r="10">
      <c r="A10" t="s">
        <v>858</v>
      </c>
      <c r="B10" t="n">
        <v>0.24</v>
      </c>
      <c r="C10" t="n">
        <v>0.29</v>
      </c>
      <c r="D10" t="n">
        <v>0.2</v>
      </c>
      <c r="E10" t="n">
        <v>0.2</v>
      </c>
      <c r="F10" t="n">
        <v>0.27</v>
      </c>
      <c r="G10" t="n">
        <v>2</v>
      </c>
      <c r="H10" t="s">
        <v>1063</v>
      </c>
    </row>
    <row r="11">
      <c r="A11" t="s">
        <v>859</v>
      </c>
      <c r="B11" t="n">
        <v>0.16</v>
      </c>
      <c r="C11" t="n">
        <v>0.19</v>
      </c>
      <c r="D11" t="n">
        <v>0.13</v>
      </c>
      <c r="E11" t="n">
        <v>0.13</v>
      </c>
      <c r="F11" t="n">
        <v>0.18</v>
      </c>
      <c r="G11" t="n">
        <v>3.33</v>
      </c>
      <c r="H11" t="s">
        <v>897</v>
      </c>
    </row>
    <row r="12">
      <c r="A12" t="s">
        <v>860</v>
      </c>
      <c r="B12" t="n">
        <v>0.19</v>
      </c>
      <c r="C12" t="n">
        <v>0.23</v>
      </c>
      <c r="D12" t="n">
        <v>0.16</v>
      </c>
      <c r="E12" t="n">
        <v>0.16</v>
      </c>
      <c r="F12" t="n">
        <v>0.21</v>
      </c>
      <c r="G12" t="n">
        <v>1.5</v>
      </c>
      <c r="H12" t="s">
        <v>896</v>
      </c>
    </row>
    <row r="13">
      <c r="A13" t="s">
        <v>861</v>
      </c>
      <c r="B13" t="n">
        <v>0.19</v>
      </c>
      <c r="C13" t="n">
        <v>0.23</v>
      </c>
      <c r="D13" t="n">
        <v>0.16</v>
      </c>
      <c r="E13" t="n">
        <v>0.16</v>
      </c>
      <c r="F13" t="n">
        <v>0.21</v>
      </c>
      <c r="G13" t="n">
        <v>1.5</v>
      </c>
      <c r="H13" t="s">
        <v>1064</v>
      </c>
    </row>
    <row r="14">
      <c r="A14" t="s">
        <v>862</v>
      </c>
      <c r="B14" t="n">
        <v>0.2</v>
      </c>
      <c r="C14" t="n">
        <v>0.24</v>
      </c>
      <c r="D14" t="n">
        <v>0.17</v>
      </c>
      <c r="E14" t="n">
        <v>0.17</v>
      </c>
      <c r="F14" t="n">
        <v>0.22</v>
      </c>
      <c r="G14" t="n">
        <v>1.5</v>
      </c>
      <c r="H14" t="s">
        <v>896</v>
      </c>
    </row>
    <row r="15">
      <c r="A15" t="s">
        <v>863</v>
      </c>
      <c r="B15" t="n">
        <v>0.19</v>
      </c>
      <c r="C15" t="n">
        <v>0.23</v>
      </c>
      <c r="D15" t="n">
        <v>0.16</v>
      </c>
      <c r="E15" t="n">
        <v>0.16</v>
      </c>
      <c r="F15" t="n">
        <v>0.21</v>
      </c>
      <c r="G15" t="n">
        <v>1</v>
      </c>
      <c r="H15" t="s">
        <v>1057</v>
      </c>
    </row>
    <row r="16">
      <c r="A16" t="s">
        <v>865</v>
      </c>
      <c r="B16" t="n">
        <v>0.19</v>
      </c>
      <c r="C16" t="n">
        <v>0.23</v>
      </c>
      <c r="D16" t="n">
        <v>0.16</v>
      </c>
      <c r="E16" t="n">
        <v>0.16</v>
      </c>
      <c r="F16" t="n">
        <v>0.21</v>
      </c>
      <c r="G16" t="n">
        <v>1</v>
      </c>
      <c r="H16" t="s">
        <v>1057</v>
      </c>
    </row>
    <row r="17">
      <c r="A17" t="s">
        <v>866</v>
      </c>
      <c r="B17" t="n">
        <v>0.19</v>
      </c>
      <c r="C17" t="n">
        <v>0.23</v>
      </c>
      <c r="D17" t="n">
        <v>0.16</v>
      </c>
      <c r="E17" t="n">
        <v>0.16</v>
      </c>
      <c r="F17" t="n">
        <v>0.21</v>
      </c>
      <c r="G17" t="n">
        <v>1</v>
      </c>
      <c r="H17" t="s">
        <v>1057</v>
      </c>
    </row>
    <row r="18">
      <c r="A18" t="s">
        <v>867</v>
      </c>
      <c r="B18" t="n">
        <v>0.15</v>
      </c>
      <c r="C18" t="n">
        <v>0.18</v>
      </c>
      <c r="D18" t="n">
        <v>0.12</v>
      </c>
      <c r="E18" t="n">
        <v>0.12</v>
      </c>
      <c r="F18" t="n">
        <v>0.17</v>
      </c>
      <c r="G18" t="n">
        <v>1.5</v>
      </c>
      <c r="H18" t="s">
        <v>895</v>
      </c>
    </row>
    <row r="19">
      <c r="A19" t="s">
        <v>869</v>
      </c>
      <c r="B19" t="n">
        <v>0.06</v>
      </c>
      <c r="C19" t="n">
        <v>0.07</v>
      </c>
      <c r="D19" t="n">
        <v>0.05</v>
      </c>
      <c r="E19" t="n">
        <v>0.05</v>
      </c>
      <c r="F19" t="n">
        <v>0.07</v>
      </c>
      <c r="G19" t="n">
        <v>1</v>
      </c>
      <c r="H19" t="s">
        <v>896</v>
      </c>
    </row>
    <row r="20">
      <c r="A20" t="s">
        <v>870</v>
      </c>
      <c r="B20" t="n">
        <v>0.15</v>
      </c>
      <c r="C20" t="n">
        <v>0.18</v>
      </c>
      <c r="D20" t="n">
        <v>0.12</v>
      </c>
      <c r="E20" t="n">
        <v>0.12</v>
      </c>
      <c r="F20" t="n">
        <v>0.17</v>
      </c>
      <c r="G20" t="n">
        <v>1</v>
      </c>
      <c r="H20" t="s">
        <v>871</v>
      </c>
    </row>
    <row r="21">
      <c r="A21" t="s">
        <v>872</v>
      </c>
      <c r="B21" t="n">
        <v>0.15</v>
      </c>
      <c r="C21" t="n">
        <v>0.18</v>
      </c>
      <c r="D21" t="n">
        <v>0.12</v>
      </c>
      <c r="E21" t="n">
        <v>0.12</v>
      </c>
      <c r="F21" t="n">
        <v>0.17</v>
      </c>
      <c r="G21" t="n">
        <v>1.2</v>
      </c>
      <c r="H21" t="s">
        <v>1065</v>
      </c>
    </row>
    <row r="22">
      <c r="A22" t="s">
        <v>873</v>
      </c>
      <c r="B22" t="n">
        <v>0.2</v>
      </c>
      <c r="C22" t="n">
        <v>0.24</v>
      </c>
      <c r="D22" t="n">
        <v>0.17</v>
      </c>
      <c r="E22" t="n">
        <v>0.17</v>
      </c>
      <c r="F22" t="n">
        <v>0.22</v>
      </c>
      <c r="G22" t="n">
        <v>0.5</v>
      </c>
      <c r="H22" t="s">
        <v>896</v>
      </c>
    </row>
    <row r="23">
      <c r="A23" t="s">
        <v>874</v>
      </c>
      <c r="B23" t="n">
        <v>0.16</v>
      </c>
      <c r="C23" t="n">
        <v>0.19</v>
      </c>
      <c r="D23" t="n">
        <v>0.13</v>
      </c>
      <c r="E23" t="n">
        <v>0.13</v>
      </c>
      <c r="F23" t="n">
        <v>0.18</v>
      </c>
      <c r="G23" t="n">
        <v>0.8</v>
      </c>
      <c r="H23" t="s">
        <v>896</v>
      </c>
    </row>
    <row r="24">
      <c r="A24" t="s">
        <v>875</v>
      </c>
      <c r="B24" t="n">
        <v>0.2</v>
      </c>
      <c r="C24" t="n">
        <v>0.24</v>
      </c>
      <c r="D24" t="n">
        <v>0.17</v>
      </c>
      <c r="E24" t="n">
        <v>0.17</v>
      </c>
      <c r="F24" t="n">
        <v>0.22</v>
      </c>
      <c r="G24" t="n">
        <v>0.5</v>
      </c>
      <c r="H24" t="s">
        <v>1066</v>
      </c>
    </row>
    <row r="25">
      <c r="A25" t="s">
        <v>876</v>
      </c>
      <c r="B25" t="n">
        <v>0.2</v>
      </c>
      <c r="C25" t="n">
        <v>0.24</v>
      </c>
      <c r="D25" t="n">
        <v>0.17</v>
      </c>
      <c r="E25" t="n">
        <v>0.17</v>
      </c>
      <c r="F25" t="n">
        <v>0.22</v>
      </c>
      <c r="G25" t="n">
        <v>0.5</v>
      </c>
      <c r="H25" t="s">
        <v>1066</v>
      </c>
    </row>
    <row r="26">
      <c r="A26" t="s">
        <v>877</v>
      </c>
      <c r="B26" t="n">
        <v>0.2</v>
      </c>
      <c r="C26" t="n">
        <v>0.24</v>
      </c>
      <c r="D26" t="n">
        <v>0.17</v>
      </c>
      <c r="E26" t="n">
        <v>0.17</v>
      </c>
      <c r="F26" t="n">
        <v>0.22</v>
      </c>
      <c r="G26" t="n">
        <v>0.6</v>
      </c>
      <c r="H26" t="s">
        <v>1066</v>
      </c>
    </row>
    <row r="27">
      <c r="A27" t="s">
        <v>878</v>
      </c>
      <c r="B27" t="n">
        <v>0.04</v>
      </c>
      <c r="C27" t="n">
        <v>0.05</v>
      </c>
      <c r="D27" t="n">
        <v>0.03</v>
      </c>
      <c r="E27" t="n">
        <v>0.03</v>
      </c>
      <c r="F27" t="n">
        <v>0.04</v>
      </c>
      <c r="G27" t="n">
        <v>2</v>
      </c>
      <c r="H27" t="s">
        <v>896</v>
      </c>
    </row>
    <row r="28">
      <c r="A28" t="s">
        <v>879</v>
      </c>
      <c r="B28" t="n">
        <v>0.17</v>
      </c>
      <c r="C28" t="n">
        <v>0.2</v>
      </c>
      <c r="D28" t="n">
        <v>0.14</v>
      </c>
      <c r="E28" t="n">
        <v>0.14</v>
      </c>
      <c r="F28" t="n">
        <v>0.19</v>
      </c>
      <c r="G28" t="n">
        <v>1.5</v>
      </c>
      <c r="H28" t="s">
        <v>896</v>
      </c>
    </row>
    <row r="29">
      <c r="A29" t="s">
        <v>880</v>
      </c>
      <c r="B29" t="n">
        <v>0.17</v>
      </c>
      <c r="C29" t="n">
        <v>0.2</v>
      </c>
      <c r="D29" t="n">
        <v>0.14</v>
      </c>
      <c r="E29" t="n">
        <v>0.14</v>
      </c>
      <c r="F29" t="n">
        <v>0.19</v>
      </c>
      <c r="G29" t="n">
        <v>1.5</v>
      </c>
      <c r="H29" t="s">
        <v>1067</v>
      </c>
    </row>
    <row r="30">
      <c r="A30" t="s">
        <v>881</v>
      </c>
      <c r="B30" t="n">
        <v>0.15</v>
      </c>
      <c r="C30" t="n">
        <v>0.18</v>
      </c>
      <c r="D30" t="n">
        <v>0.12</v>
      </c>
      <c r="E30" t="n">
        <v>0.12</v>
      </c>
      <c r="F30" t="n">
        <v>0.17</v>
      </c>
      <c r="G30" t="n">
        <v>2.5</v>
      </c>
      <c r="H30" t="s">
        <v>1061</v>
      </c>
    </row>
    <row r="31">
      <c r="A31" t="s">
        <v>883</v>
      </c>
      <c r="B31" t="n">
        <v>0.8</v>
      </c>
      <c r="C31" t="n">
        <v>0.96</v>
      </c>
      <c r="D31" t="n">
        <v>0.66</v>
      </c>
      <c r="E31" t="n">
        <v>0.66</v>
      </c>
      <c r="F31" t="n">
        <v>0.9</v>
      </c>
      <c r="G31" t="n">
        <v>4</v>
      </c>
      <c r="H31" t="s">
        <v>897</v>
      </c>
    </row>
    <row r="32">
      <c r="A32" t="s">
        <v>885</v>
      </c>
      <c r="B32" t="n">
        <v>0.1</v>
      </c>
      <c r="C32" t="n">
        <v>0.12</v>
      </c>
      <c r="D32" t="n">
        <v>0.08</v>
      </c>
      <c r="E32" t="n">
        <v>0.08</v>
      </c>
      <c r="F32" t="n">
        <v>0.11</v>
      </c>
      <c r="G32" t="n">
        <v>0.5</v>
      </c>
      <c r="H32" t="s">
        <v>886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1035</v>
      </c>
      <c r="B1" t="s">
        <v>1036</v>
      </c>
      <c r="C1" t="s">
        <v>1037</v>
      </c>
      <c r="D1" t="s">
        <v>1038</v>
      </c>
      <c r="E1" t="s">
        <v>848</v>
      </c>
    </row>
    <row r="2">
      <c r="A2" t="s">
        <v>1039</v>
      </c>
      <c r="B2" t="n">
        <v>0</v>
      </c>
      <c r="C2" t="n">
        <v>20</v>
      </c>
      <c r="D2" t="n">
        <v>1.2</v>
      </c>
      <c r="E2" t="s">
        <v>1040</v>
      </c>
    </row>
    <row r="3">
      <c r="A3" t="s">
        <v>1041</v>
      </c>
      <c r="B3" t="n">
        <v>20</v>
      </c>
      <c r="C3" t="n">
        <v>60</v>
      </c>
      <c r="D3" t="n">
        <v>1.1</v>
      </c>
      <c r="E3" t="s">
        <v>1040</v>
      </c>
    </row>
    <row r="4">
      <c r="A4" t="s">
        <v>1042</v>
      </c>
      <c r="B4" t="n">
        <v>60</v>
      </c>
      <c r="C4" t="n">
        <v>120</v>
      </c>
      <c r="D4" t="n">
        <v>1</v>
      </c>
      <c r="E4" t="s">
        <v>1043</v>
      </c>
    </row>
    <row r="5">
      <c r="A5" t="s">
        <v>1044</v>
      </c>
      <c r="B5" t="n">
        <v>120</v>
      </c>
      <c r="C5" t="n">
        <v>200</v>
      </c>
      <c r="D5" t="n">
        <v>0.9</v>
      </c>
      <c r="E5" t="s">
        <v>1040</v>
      </c>
    </row>
    <row r="6">
      <c r="A6" t="s">
        <v>1045</v>
      </c>
      <c r="B6" t="n">
        <v>200</v>
      </c>
      <c r="C6" t="n">
        <v>10000</v>
      </c>
      <c r="D6" t="n">
        <v>0.8</v>
      </c>
      <c r="E6" t="s">
        <v>1040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1046</v>
      </c>
      <c r="B1" t="s">
        <v>1047</v>
      </c>
      <c r="C1" t="s">
        <v>1048</v>
      </c>
      <c r="D1" t="s">
        <v>848</v>
      </c>
    </row>
    <row r="2">
      <c r="A2" t="s">
        <v>1049</v>
      </c>
      <c r="B2" t="n">
        <v>0.9</v>
      </c>
      <c r="C2" t="n">
        <v>0.85</v>
      </c>
      <c r="D2" t="s">
        <v>1050</v>
      </c>
    </row>
    <row r="3">
      <c r="A3" t="s">
        <v>1051</v>
      </c>
      <c r="B3" t="n">
        <v>1</v>
      </c>
      <c r="C3" t="n">
        <v>1</v>
      </c>
      <c r="D3" t="s">
        <v>1052</v>
      </c>
    </row>
    <row r="4">
      <c r="A4" t="s">
        <v>1053</v>
      </c>
      <c r="B4" t="n">
        <v>0.95</v>
      </c>
      <c r="C4" t="n">
        <v>0.93</v>
      </c>
      <c r="D4" t="s">
        <v>1054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1068</v>
      </c>
      <c r="B1" t="s">
        <v>1069</v>
      </c>
      <c r="C1" t="s">
        <v>1070</v>
      </c>
      <c r="D1" t="s">
        <v>1071</v>
      </c>
      <c r="E1" t="s">
        <v>1072</v>
      </c>
      <c r="F1" t="s">
        <v>1073</v>
      </c>
      <c r="G1" t="s">
        <v>1074</v>
      </c>
      <c r="H1" t="s">
        <v>848</v>
      </c>
    </row>
    <row r="2">
      <c r="A2" t="s">
        <v>1075</v>
      </c>
      <c r="B2" t="s">
        <v>1076</v>
      </c>
      <c r="C2" t="s">
        <v>1077</v>
      </c>
      <c r="D2" t="n">
        <v>3000</v>
      </c>
      <c r="E2" t="s">
        <v>1078</v>
      </c>
      <c r="F2" t="s">
        <v>1079</v>
      </c>
      <c r="G2" t="s">
        <v>1080</v>
      </c>
      <c r="H2" t="s">
        <v>1081</v>
      </c>
    </row>
    <row r="3">
      <c r="A3" t="s">
        <v>1075</v>
      </c>
      <c r="B3" t="s">
        <v>1076</v>
      </c>
      <c r="C3" t="s">
        <v>1082</v>
      </c>
      <c r="D3" t="n">
        <v>1.315</v>
      </c>
      <c r="E3" t="s">
        <v>1083</v>
      </c>
      <c r="F3" t="s">
        <v>1084</v>
      </c>
      <c r="G3" t="s">
        <v>1080</v>
      </c>
      <c r="H3" t="s">
        <v>1081</v>
      </c>
    </row>
    <row r="4">
      <c r="A4" t="s">
        <v>1075</v>
      </c>
      <c r="B4" t="s">
        <v>1076</v>
      </c>
      <c r="C4" t="s">
        <v>1089</v>
      </c>
      <c r="D4" t="n">
        <v>0.119</v>
      </c>
      <c r="E4" t="s">
        <v>1101</v>
      </c>
      <c r="F4" t="s">
        <v>1115</v>
      </c>
      <c r="G4" t="s">
        <v>1080</v>
      </c>
      <c r="H4" t="s">
        <v>1081</v>
      </c>
    </row>
    <row r="5">
      <c r="A5" t="s">
        <v>1075</v>
      </c>
      <c r="B5" t="s">
        <v>1085</v>
      </c>
      <c r="C5" t="s">
        <v>1077</v>
      </c>
      <c r="D5" t="n">
        <v>3000</v>
      </c>
      <c r="E5" t="s">
        <v>1086</v>
      </c>
      <c r="F5" t="s">
        <v>1087</v>
      </c>
      <c r="G5" t="s">
        <v>1088</v>
      </c>
      <c r="H5" t="s">
        <v>1081</v>
      </c>
    </row>
    <row r="6">
      <c r="A6" t="s">
        <v>1075</v>
      </c>
      <c r="B6" t="s">
        <v>1085</v>
      </c>
      <c r="C6" t="s">
        <v>1089</v>
      </c>
      <c r="D6" t="n">
        <v>0.000664</v>
      </c>
      <c r="E6" t="s">
        <v>1090</v>
      </c>
      <c r="F6" t="s">
        <v>1091</v>
      </c>
      <c r="G6" t="s">
        <v>1088</v>
      </c>
      <c r="H6" t="s">
        <v>1081</v>
      </c>
    </row>
    <row r="7">
      <c r="A7" t="s">
        <v>1092</v>
      </c>
      <c r="B7" t="s">
        <v>1085</v>
      </c>
      <c r="C7" t="s">
        <v>1093</v>
      </c>
      <c r="D7" t="n">
        <v>0.551</v>
      </c>
      <c r="E7" t="s">
        <v>1078</v>
      </c>
      <c r="F7" t="s">
        <v>1094</v>
      </c>
      <c r="G7" t="s">
        <v>1088</v>
      </c>
      <c r="H7" t="s">
        <v>1095</v>
      </c>
    </row>
    <row r="8">
      <c r="A8" t="s">
        <v>1092</v>
      </c>
      <c r="B8" t="s">
        <v>1085</v>
      </c>
      <c r="C8" t="s">
        <v>1096</v>
      </c>
      <c r="D8" t="n">
        <v>1.055</v>
      </c>
      <c r="E8" t="s">
        <v>1083</v>
      </c>
      <c r="F8" t="s">
        <v>1097</v>
      </c>
      <c r="G8" t="s">
        <v>1088</v>
      </c>
      <c r="H8" t="s">
        <v>1095</v>
      </c>
    </row>
    <row r="9">
      <c r="A9" t="s">
        <v>1092</v>
      </c>
      <c r="B9" t="s">
        <v>1085</v>
      </c>
      <c r="C9" t="s">
        <v>1098</v>
      </c>
      <c r="D9" t="n">
        <v>0.000306</v>
      </c>
      <c r="E9" t="s">
        <v>1090</v>
      </c>
      <c r="F9" t="s">
        <v>1099</v>
      </c>
      <c r="G9" t="s">
        <v>1088</v>
      </c>
      <c r="H9" t="s">
        <v>1095</v>
      </c>
    </row>
    <row r="10">
      <c r="A10" t="s">
        <v>1092</v>
      </c>
      <c r="B10" t="s">
        <v>1076</v>
      </c>
      <c r="C10" t="s">
        <v>1077</v>
      </c>
      <c r="D10" t="n">
        <v>2540</v>
      </c>
      <c r="E10" t="s">
        <v>1078</v>
      </c>
      <c r="F10" t="s">
        <v>1100</v>
      </c>
      <c r="G10" t="s">
        <v>1080</v>
      </c>
      <c r="H10" t="s">
        <v>1095</v>
      </c>
    </row>
    <row r="11">
      <c r="A11" t="s">
        <v>1092</v>
      </c>
      <c r="B11" t="s">
        <v>1076</v>
      </c>
      <c r="C11" t="s">
        <v>1082</v>
      </c>
      <c r="D11" t="n">
        <v>1.584</v>
      </c>
      <c r="E11" t="s">
        <v>1083</v>
      </c>
      <c r="F11" t="s">
        <v>1084</v>
      </c>
      <c r="G11" t="s">
        <v>1080</v>
      </c>
      <c r="H11" t="s">
        <v>1095</v>
      </c>
    </row>
    <row r="12">
      <c r="A12" t="s">
        <v>1092</v>
      </c>
      <c r="B12" t="s">
        <v>1076</v>
      </c>
      <c r="C12" t="s">
        <v>1089</v>
      </c>
      <c r="D12" t="n">
        <v>0.0622</v>
      </c>
      <c r="E12" t="s">
        <v>1101</v>
      </c>
      <c r="F12" t="s">
        <v>1102</v>
      </c>
      <c r="G12" t="s">
        <v>1080</v>
      </c>
      <c r="H12" t="s">
        <v>1095</v>
      </c>
    </row>
    <row r="13">
      <c r="A13" t="s">
        <v>1103</v>
      </c>
      <c r="B13" t="s">
        <v>1085</v>
      </c>
      <c r="C13" t="s">
        <v>1093</v>
      </c>
      <c r="D13" t="n">
        <v>0.1665</v>
      </c>
      <c r="E13" t="s">
        <v>1078</v>
      </c>
      <c r="F13" t="s">
        <v>1094</v>
      </c>
      <c r="G13" t="s">
        <v>1088</v>
      </c>
      <c r="H13" t="s">
        <v>1095</v>
      </c>
    </row>
    <row r="14">
      <c r="A14" t="s">
        <v>1103</v>
      </c>
      <c r="B14" t="s">
        <v>1085</v>
      </c>
      <c r="C14" t="s">
        <v>1096</v>
      </c>
      <c r="D14" t="n">
        <v>1.185</v>
      </c>
      <c r="E14" t="s">
        <v>1083</v>
      </c>
      <c r="F14" t="s">
        <v>1097</v>
      </c>
      <c r="G14" t="s">
        <v>1088</v>
      </c>
      <c r="H14" t="s">
        <v>1095</v>
      </c>
    </row>
    <row r="15">
      <c r="A15" t="s">
        <v>1103</v>
      </c>
      <c r="B15" t="s">
        <v>1085</v>
      </c>
      <c r="C15" t="s">
        <v>1098</v>
      </c>
      <c r="D15" t="n">
        <v>0.000414</v>
      </c>
      <c r="E15" t="s">
        <v>1090</v>
      </c>
      <c r="F15" t="s">
        <v>1099</v>
      </c>
      <c r="G15" t="s">
        <v>1088</v>
      </c>
      <c r="H15" t="s">
        <v>1095</v>
      </c>
    </row>
    <row r="16">
      <c r="A16" t="s">
        <v>1103</v>
      </c>
      <c r="B16" t="s">
        <v>1076</v>
      </c>
      <c r="C16" t="s">
        <v>1077</v>
      </c>
      <c r="D16" t="n">
        <v>3139</v>
      </c>
      <c r="E16" t="s">
        <v>1078</v>
      </c>
      <c r="F16" t="s">
        <v>1100</v>
      </c>
      <c r="G16" t="s">
        <v>1080</v>
      </c>
      <c r="H16" t="s">
        <v>1095</v>
      </c>
    </row>
    <row r="17">
      <c r="A17" t="s">
        <v>1103</v>
      </c>
      <c r="B17" t="s">
        <v>1076</v>
      </c>
      <c r="C17" t="s">
        <v>1082</v>
      </c>
      <c r="D17" t="n">
        <v>2.2</v>
      </c>
      <c r="E17" t="s">
        <v>1083</v>
      </c>
      <c r="F17" t="s">
        <v>1084</v>
      </c>
      <c r="G17" t="s">
        <v>1080</v>
      </c>
      <c r="H17" t="s">
        <v>1095</v>
      </c>
    </row>
    <row r="18">
      <c r="A18" t="s">
        <v>1103</v>
      </c>
      <c r="B18" t="s">
        <v>1076</v>
      </c>
      <c r="C18" t="s">
        <v>1089</v>
      </c>
      <c r="D18" t="n">
        <v>0.0307</v>
      </c>
      <c r="E18" t="s">
        <v>1101</v>
      </c>
      <c r="F18" t="s">
        <v>1102</v>
      </c>
      <c r="G18" t="s">
        <v>1080</v>
      </c>
      <c r="H18" t="s">
        <v>1095</v>
      </c>
    </row>
    <row r="19">
      <c r="A19" t="s">
        <v>1104</v>
      </c>
      <c r="B19" t="s">
        <v>1105</v>
      </c>
      <c r="C19" t="s">
        <v>1077</v>
      </c>
      <c r="D19" t="n">
        <v>6116</v>
      </c>
      <c r="E19" t="s">
        <v>1078</v>
      </c>
      <c r="F19" t="s">
        <v>1087</v>
      </c>
      <c r="G19" t="s">
        <v>1088</v>
      </c>
      <c r="H19" t="s">
        <v>1106</v>
      </c>
    </row>
    <row r="20">
      <c r="A20" t="s">
        <v>1104</v>
      </c>
      <c r="B20" t="s">
        <v>1105</v>
      </c>
      <c r="C20" t="s">
        <v>1089</v>
      </c>
      <c r="D20" t="n">
        <v>0.0000605</v>
      </c>
      <c r="E20" t="s">
        <v>1090</v>
      </c>
      <c r="F20" t="s">
        <v>1091</v>
      </c>
      <c r="G20" t="s">
        <v>1088</v>
      </c>
      <c r="H20" t="s">
        <v>1106</v>
      </c>
    </row>
    <row r="21">
      <c r="A21" t="s">
        <v>1107</v>
      </c>
      <c r="B21" t="s">
        <v>1105</v>
      </c>
      <c r="C21" t="s">
        <v>1077</v>
      </c>
      <c r="D21" t="n">
        <v>4000</v>
      </c>
      <c r="E21" t="s">
        <v>1078</v>
      </c>
      <c r="F21" t="s">
        <v>1087</v>
      </c>
      <c r="G21" t="s">
        <v>1088</v>
      </c>
      <c r="H21" t="s">
        <v>1106</v>
      </c>
    </row>
    <row r="22">
      <c r="A22" t="s">
        <v>1107</v>
      </c>
      <c r="B22" t="s">
        <v>1105</v>
      </c>
      <c r="C22" t="s">
        <v>1089</v>
      </c>
      <c r="D22" t="n">
        <v>0.0000477</v>
      </c>
      <c r="E22" t="s">
        <v>1090</v>
      </c>
      <c r="F22" t="s">
        <v>1091</v>
      </c>
      <c r="G22" t="s">
        <v>1088</v>
      </c>
      <c r="H22" t="s">
        <v>1106</v>
      </c>
    </row>
    <row r="23">
      <c r="A23" t="s">
        <v>1108</v>
      </c>
      <c r="B23" t="s">
        <v>1109</v>
      </c>
      <c r="C23" t="s">
        <v>1110</v>
      </c>
      <c r="D23" t="n">
        <v>1.66</v>
      </c>
      <c r="E23" t="s">
        <v>1083</v>
      </c>
      <c r="F23" t="s">
        <v>1111</v>
      </c>
      <c r="G23" t="s">
        <v>1112</v>
      </c>
      <c r="H23" t="s">
        <v>1113</v>
      </c>
    </row>
    <row r="24">
      <c r="A24" t="s">
        <v>1108</v>
      </c>
      <c r="B24" t="s">
        <v>1109</v>
      </c>
      <c r="C24" t="s">
        <v>1114</v>
      </c>
      <c r="D24" t="n">
        <v>-1.66</v>
      </c>
      <c r="E24" t="s">
        <v>1083</v>
      </c>
      <c r="F24" t="s">
        <v>1111</v>
      </c>
      <c r="G24" t="s">
        <v>1112</v>
      </c>
      <c r="H24" t="s">
        <v>1113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898</v>
      </c>
      <c r="B1" t="s">
        <v>842</v>
      </c>
      <c r="C1" t="s">
        <v>1116</v>
      </c>
    </row>
    <row r="2">
      <c r="A2" t="s">
        <v>849</v>
      </c>
      <c r="B2" t="s">
        <v>849</v>
      </c>
      <c r="C2" t="s">
        <v>849</v>
      </c>
    </row>
    <row r="3">
      <c r="A3" t="s">
        <v>899</v>
      </c>
      <c r="B3" t="s">
        <v>849</v>
      </c>
      <c r="C3" t="s">
        <v>849</v>
      </c>
    </row>
    <row r="4">
      <c r="A4" t="s">
        <v>851</v>
      </c>
      <c r="B4" t="s">
        <v>851</v>
      </c>
      <c r="C4" t="s">
        <v>849</v>
      </c>
    </row>
    <row r="5">
      <c r="A5" t="s">
        <v>900</v>
      </c>
      <c r="B5" t="s">
        <v>851</v>
      </c>
      <c r="C5" t="s">
        <v>849</v>
      </c>
    </row>
    <row r="6">
      <c r="A6" t="s">
        <v>852</v>
      </c>
      <c r="B6" t="s">
        <v>852</v>
      </c>
      <c r="C6" t="s">
        <v>852</v>
      </c>
    </row>
    <row r="7">
      <c r="A7" t="s">
        <v>901</v>
      </c>
      <c r="B7" t="s">
        <v>852</v>
      </c>
      <c r="C7" t="s">
        <v>852</v>
      </c>
    </row>
    <row r="8">
      <c r="A8" t="s">
        <v>853</v>
      </c>
      <c r="B8" t="s">
        <v>853</v>
      </c>
      <c r="C8" t="s">
        <v>853</v>
      </c>
    </row>
    <row r="9">
      <c r="A9" t="s">
        <v>902</v>
      </c>
      <c r="B9" t="s">
        <v>853</v>
      </c>
      <c r="C9" t="s">
        <v>853</v>
      </c>
    </row>
    <row r="10">
      <c r="A10" t="s">
        <v>854</v>
      </c>
      <c r="B10" t="s">
        <v>854</v>
      </c>
      <c r="C10" t="s">
        <v>849</v>
      </c>
    </row>
    <row r="11">
      <c r="A11" t="s">
        <v>903</v>
      </c>
      <c r="B11" t="s">
        <v>854</v>
      </c>
      <c r="C11" t="s">
        <v>849</v>
      </c>
    </row>
    <row r="12">
      <c r="A12" t="s">
        <v>855</v>
      </c>
      <c r="B12" t="s">
        <v>855</v>
      </c>
      <c r="C12" t="s">
        <v>1117</v>
      </c>
    </row>
    <row r="13">
      <c r="A13" t="s">
        <v>856</v>
      </c>
      <c r="B13" t="s">
        <v>856</v>
      </c>
      <c r="C13" t="s">
        <v>1117</v>
      </c>
    </row>
    <row r="14">
      <c r="A14" t="s">
        <v>857</v>
      </c>
      <c r="B14" t="s">
        <v>857</v>
      </c>
      <c r="C14" t="s">
        <v>849</v>
      </c>
    </row>
    <row r="15">
      <c r="A15" t="s">
        <v>904</v>
      </c>
      <c r="B15" t="s">
        <v>858</v>
      </c>
      <c r="C15" t="s">
        <v>849</v>
      </c>
    </row>
    <row r="16">
      <c r="A16" t="s">
        <v>905</v>
      </c>
      <c r="B16" t="s">
        <v>858</v>
      </c>
      <c r="C16" t="s">
        <v>849</v>
      </c>
    </row>
    <row r="17">
      <c r="A17" t="s">
        <v>906</v>
      </c>
      <c r="B17" t="s">
        <v>858</v>
      </c>
      <c r="C17" t="s">
        <v>849</v>
      </c>
    </row>
    <row r="18">
      <c r="A18" t="s">
        <v>907</v>
      </c>
      <c r="B18" t="s">
        <v>858</v>
      </c>
      <c r="C18" t="s">
        <v>849</v>
      </c>
    </row>
    <row r="19">
      <c r="A19" t="s">
        <v>908</v>
      </c>
      <c r="B19" t="s">
        <v>858</v>
      </c>
      <c r="C19" t="s">
        <v>849</v>
      </c>
    </row>
    <row r="20">
      <c r="A20" t="s">
        <v>909</v>
      </c>
      <c r="B20" t="s">
        <v>858</v>
      </c>
      <c r="C20" t="s">
        <v>849</v>
      </c>
    </row>
    <row r="21">
      <c r="A21" t="s">
        <v>910</v>
      </c>
      <c r="B21" t="s">
        <v>859</v>
      </c>
      <c r="C21" t="s">
        <v>1118</v>
      </c>
    </row>
    <row r="22">
      <c r="A22" t="s">
        <v>911</v>
      </c>
      <c r="B22" t="s">
        <v>860</v>
      </c>
      <c r="C22" t="s">
        <v>1118</v>
      </c>
    </row>
    <row r="23">
      <c r="A23" t="s">
        <v>912</v>
      </c>
      <c r="B23" t="s">
        <v>860</v>
      </c>
      <c r="C23" t="s">
        <v>1118</v>
      </c>
    </row>
    <row r="24">
      <c r="A24" t="s">
        <v>913</v>
      </c>
      <c r="B24" t="s">
        <v>863</v>
      </c>
      <c r="C24" t="s">
        <v>1118</v>
      </c>
    </row>
    <row r="25">
      <c r="A25" t="s">
        <v>865</v>
      </c>
      <c r="B25" t="s">
        <v>865</v>
      </c>
      <c r="C25" t="s">
        <v>1118</v>
      </c>
    </row>
    <row r="26">
      <c r="A26" t="s">
        <v>914</v>
      </c>
      <c r="B26" t="s">
        <v>866</v>
      </c>
      <c r="C26" t="s">
        <v>1118</v>
      </c>
    </row>
    <row r="27">
      <c r="A27" t="s">
        <v>915</v>
      </c>
      <c r="B27" t="s">
        <v>861</v>
      </c>
      <c r="C27" t="s">
        <v>1118</v>
      </c>
    </row>
    <row r="28">
      <c r="A28" t="s">
        <v>916</v>
      </c>
      <c r="B28" t="s">
        <v>861</v>
      </c>
      <c r="C28" t="s">
        <v>1118</v>
      </c>
    </row>
    <row r="29">
      <c r="A29" t="s">
        <v>917</v>
      </c>
      <c r="B29" t="s">
        <v>861</v>
      </c>
      <c r="C29" t="s">
        <v>1118</v>
      </c>
    </row>
    <row r="30">
      <c r="A30" t="s">
        <v>918</v>
      </c>
      <c r="B30" t="s">
        <v>862</v>
      </c>
      <c r="C30" t="s">
        <v>1118</v>
      </c>
    </row>
    <row r="31">
      <c r="A31" t="s">
        <v>919</v>
      </c>
      <c r="B31" t="s">
        <v>867</v>
      </c>
      <c r="C31" t="s">
        <v>1119</v>
      </c>
    </row>
    <row r="32">
      <c r="A32" t="s">
        <v>920</v>
      </c>
      <c r="B32" t="s">
        <v>869</v>
      </c>
      <c r="C32" t="s">
        <v>1119</v>
      </c>
    </row>
    <row r="33">
      <c r="A33" t="s">
        <v>921</v>
      </c>
      <c r="B33" t="s">
        <v>872</v>
      </c>
      <c r="C33" t="s">
        <v>1119</v>
      </c>
    </row>
    <row r="34">
      <c r="A34" t="s">
        <v>922</v>
      </c>
      <c r="B34" t="s">
        <v>879</v>
      </c>
      <c r="C34" t="s">
        <v>1120</v>
      </c>
    </row>
    <row r="35">
      <c r="A35" t="s">
        <v>923</v>
      </c>
      <c r="B35" t="s">
        <v>872</v>
      </c>
      <c r="C35" t="s">
        <v>1119</v>
      </c>
    </row>
    <row r="36">
      <c r="A36" t="s">
        <v>924</v>
      </c>
      <c r="B36" t="s">
        <v>872</v>
      </c>
      <c r="C36" t="s">
        <v>1119</v>
      </c>
    </row>
    <row r="37">
      <c r="A37" t="s">
        <v>925</v>
      </c>
      <c r="B37" t="s">
        <v>872</v>
      </c>
      <c r="C37" t="s">
        <v>1119</v>
      </c>
    </row>
    <row r="38">
      <c r="A38" t="s">
        <v>926</v>
      </c>
      <c r="B38" t="s">
        <v>872</v>
      </c>
      <c r="C38" t="s">
        <v>1119</v>
      </c>
    </row>
    <row r="39">
      <c r="A39" t="s">
        <v>927</v>
      </c>
      <c r="B39" t="s">
        <v>870</v>
      </c>
      <c r="C39" t="s">
        <v>1119</v>
      </c>
    </row>
    <row r="40">
      <c r="A40" t="s">
        <v>928</v>
      </c>
      <c r="B40" t="s">
        <v>881</v>
      </c>
      <c r="C40" t="s">
        <v>1120</v>
      </c>
    </row>
    <row r="41">
      <c r="A41" t="s">
        <v>929</v>
      </c>
      <c r="B41" t="s">
        <v>873</v>
      </c>
      <c r="C41" t="s">
        <v>1121</v>
      </c>
    </row>
    <row r="42">
      <c r="A42" t="s">
        <v>930</v>
      </c>
      <c r="B42" t="s">
        <v>876</v>
      </c>
      <c r="C42" t="s">
        <v>1121</v>
      </c>
    </row>
    <row r="43">
      <c r="A43" t="s">
        <v>875</v>
      </c>
      <c r="B43" t="s">
        <v>875</v>
      </c>
      <c r="C43" t="s">
        <v>1121</v>
      </c>
    </row>
    <row r="44">
      <c r="A44" t="s">
        <v>931</v>
      </c>
      <c r="B44" t="s">
        <v>877</v>
      </c>
      <c r="C44" t="s">
        <v>1121</v>
      </c>
    </row>
    <row r="45">
      <c r="A45" t="s">
        <v>932</v>
      </c>
      <c r="B45" t="s">
        <v>877</v>
      </c>
      <c r="C45" t="s">
        <v>1121</v>
      </c>
    </row>
    <row r="46">
      <c r="A46" t="s">
        <v>933</v>
      </c>
      <c r="B46" t="s">
        <v>877</v>
      </c>
      <c r="C46" t="s">
        <v>1121</v>
      </c>
    </row>
    <row r="47">
      <c r="A47" t="s">
        <v>934</v>
      </c>
      <c r="B47" t="s">
        <v>877</v>
      </c>
      <c r="C47" t="s">
        <v>1121</v>
      </c>
    </row>
    <row r="48">
      <c r="A48" t="s">
        <v>935</v>
      </c>
      <c r="B48" t="s">
        <v>874</v>
      </c>
      <c r="C48" t="s">
        <v>1121</v>
      </c>
    </row>
    <row r="49">
      <c r="A49" t="s">
        <v>878</v>
      </c>
      <c r="B49" t="s">
        <v>878</v>
      </c>
      <c r="C49" t="s">
        <v>1120</v>
      </c>
    </row>
    <row r="50">
      <c r="A50" t="s">
        <v>879</v>
      </c>
      <c r="B50" t="s">
        <v>879</v>
      </c>
      <c r="C50" t="s">
        <v>1120</v>
      </c>
    </row>
    <row r="51">
      <c r="A51" t="s">
        <v>936</v>
      </c>
      <c r="B51" t="s">
        <v>880</v>
      </c>
      <c r="C51" t="s">
        <v>1120</v>
      </c>
    </row>
    <row r="52">
      <c r="A52" t="s">
        <v>937</v>
      </c>
      <c r="B52" t="s">
        <v>880</v>
      </c>
      <c r="C52" t="s">
        <v>1120</v>
      </c>
    </row>
    <row r="53">
      <c r="A53" t="s">
        <v>938</v>
      </c>
      <c r="B53" t="s">
        <v>880</v>
      </c>
      <c r="C53" t="s">
        <v>1120</v>
      </c>
    </row>
    <row r="54">
      <c r="A54" t="s">
        <v>939</v>
      </c>
      <c r="B54" t="s">
        <v>880</v>
      </c>
      <c r="C54" t="s">
        <v>1120</v>
      </c>
    </row>
    <row r="55">
      <c r="A55" t="s">
        <v>940</v>
      </c>
      <c r="B55" t="s">
        <v>881</v>
      </c>
      <c r="C55" t="s">
        <v>1120</v>
      </c>
    </row>
    <row r="56">
      <c r="A56" t="s">
        <v>941</v>
      </c>
      <c r="B56" t="s">
        <v>881</v>
      </c>
      <c r="C56" t="s">
        <v>1120</v>
      </c>
    </row>
    <row r="57">
      <c r="A57" t="s">
        <v>942</v>
      </c>
      <c r="B57" t="s">
        <v>881</v>
      </c>
      <c r="C57" t="s">
        <v>1120</v>
      </c>
    </row>
    <row r="58">
      <c r="A58" t="s">
        <v>943</v>
      </c>
      <c r="B58" t="s">
        <v>881</v>
      </c>
      <c r="C58" t="s">
        <v>1120</v>
      </c>
    </row>
    <row r="59">
      <c r="A59" t="s">
        <v>944</v>
      </c>
      <c r="B59" t="s">
        <v>881</v>
      </c>
      <c r="C59" t="s">
        <v>1120</v>
      </c>
    </row>
    <row r="60">
      <c r="A60" t="s">
        <v>945</v>
      </c>
      <c r="B60" t="s">
        <v>881</v>
      </c>
      <c r="C60" t="s">
        <v>1120</v>
      </c>
    </row>
    <row r="61">
      <c r="A61" t="s">
        <v>946</v>
      </c>
      <c r="B61" t="s">
        <v>881</v>
      </c>
      <c r="C61" t="s">
        <v>1120</v>
      </c>
    </row>
    <row r="62">
      <c r="A62" t="s">
        <v>947</v>
      </c>
      <c r="B62" t="s">
        <v>881</v>
      </c>
      <c r="C62" t="s">
        <v>1120</v>
      </c>
    </row>
    <row r="63">
      <c r="A63" t="s">
        <v>948</v>
      </c>
      <c r="B63" t="s">
        <v>881</v>
      </c>
      <c r="C63" t="s">
        <v>1120</v>
      </c>
    </row>
    <row r="64">
      <c r="A64" t="s">
        <v>949</v>
      </c>
      <c r="B64" t="s">
        <v>881</v>
      </c>
      <c r="C64" t="s">
        <v>1120</v>
      </c>
    </row>
    <row r="65">
      <c r="A65" t="s">
        <v>950</v>
      </c>
      <c r="B65" t="s">
        <v>881</v>
      </c>
      <c r="C65" t="s">
        <v>1120</v>
      </c>
    </row>
    <row r="66">
      <c r="A66" t="s">
        <v>951</v>
      </c>
      <c r="B66" t="s">
        <v>881</v>
      </c>
      <c r="C66" t="s">
        <v>1120</v>
      </c>
    </row>
    <row r="67">
      <c r="A67" t="s">
        <v>952</v>
      </c>
      <c r="B67" t="s">
        <v>881</v>
      </c>
      <c r="C67" t="s">
        <v>1120</v>
      </c>
    </row>
    <row r="68">
      <c r="A68" t="s">
        <v>953</v>
      </c>
      <c r="B68" t="s">
        <v>881</v>
      </c>
      <c r="C68" t="s">
        <v>1120</v>
      </c>
    </row>
    <row r="69">
      <c r="A69" t="s">
        <v>954</v>
      </c>
      <c r="B69" t="s">
        <v>881</v>
      </c>
      <c r="C69" t="s">
        <v>1120</v>
      </c>
    </row>
    <row r="70">
      <c r="A70" t="s">
        <v>955</v>
      </c>
      <c r="B70" t="s">
        <v>881</v>
      </c>
      <c r="C70" t="s">
        <v>1120</v>
      </c>
    </row>
    <row r="71">
      <c r="A71" t="s">
        <v>956</v>
      </c>
      <c r="B71" t="s">
        <v>881</v>
      </c>
      <c r="C71" t="s">
        <v>1120</v>
      </c>
    </row>
    <row r="72">
      <c r="A72" t="s">
        <v>957</v>
      </c>
      <c r="B72" t="s">
        <v>881</v>
      </c>
      <c r="C72" t="s">
        <v>1120</v>
      </c>
    </row>
    <row r="73">
      <c r="A73" t="s">
        <v>958</v>
      </c>
      <c r="B73" t="s">
        <v>881</v>
      </c>
      <c r="C73" t="s">
        <v>1120</v>
      </c>
    </row>
    <row r="74">
      <c r="A74" t="s">
        <v>959</v>
      </c>
      <c r="B74" t="s">
        <v>881</v>
      </c>
      <c r="C74" t="s">
        <v>1120</v>
      </c>
    </row>
    <row r="75">
      <c r="A75" t="s">
        <v>960</v>
      </c>
      <c r="B75" t="s">
        <v>881</v>
      </c>
      <c r="C75" t="s">
        <v>1120</v>
      </c>
    </row>
    <row r="76">
      <c r="A76" t="s">
        <v>961</v>
      </c>
      <c r="B76" t="s">
        <v>881</v>
      </c>
      <c r="C76" t="s">
        <v>1120</v>
      </c>
    </row>
    <row r="77">
      <c r="A77" t="s">
        <v>962</v>
      </c>
      <c r="B77" t="s">
        <v>881</v>
      </c>
      <c r="C77" t="s">
        <v>1120</v>
      </c>
    </row>
    <row r="78">
      <c r="A78" t="s">
        <v>963</v>
      </c>
      <c r="B78" t="s">
        <v>881</v>
      </c>
      <c r="C78" t="s">
        <v>1120</v>
      </c>
    </row>
    <row r="79">
      <c r="A79" t="s">
        <v>964</v>
      </c>
      <c r="B79" t="s">
        <v>881</v>
      </c>
      <c r="C79" t="s">
        <v>1120</v>
      </c>
    </row>
    <row r="80">
      <c r="A80" t="s">
        <v>965</v>
      </c>
      <c r="B80" t="s">
        <v>881</v>
      </c>
      <c r="C80" t="s">
        <v>1120</v>
      </c>
    </row>
    <row r="81">
      <c r="A81" t="s">
        <v>966</v>
      </c>
      <c r="B81" t="s">
        <v>881</v>
      </c>
      <c r="C81" t="s">
        <v>1120</v>
      </c>
    </row>
    <row r="82">
      <c r="A82" t="s">
        <v>967</v>
      </c>
      <c r="B82" t="s">
        <v>881</v>
      </c>
      <c r="C82" t="s">
        <v>1120</v>
      </c>
    </row>
    <row r="83">
      <c r="A83" t="s">
        <v>968</v>
      </c>
      <c r="B83" t="s">
        <v>881</v>
      </c>
      <c r="C83" t="s">
        <v>1120</v>
      </c>
    </row>
    <row r="84">
      <c r="A84" t="s">
        <v>969</v>
      </c>
      <c r="B84" t="s">
        <v>881</v>
      </c>
      <c r="C84" t="s">
        <v>1120</v>
      </c>
    </row>
    <row r="85">
      <c r="A85" t="s">
        <v>970</v>
      </c>
      <c r="B85" t="s">
        <v>881</v>
      </c>
      <c r="C85" t="s">
        <v>1120</v>
      </c>
    </row>
    <row r="86">
      <c r="A86" t="s">
        <v>971</v>
      </c>
      <c r="B86" t="s">
        <v>881</v>
      </c>
      <c r="C86" t="s">
        <v>1120</v>
      </c>
    </row>
    <row r="87">
      <c r="A87" t="s">
        <v>972</v>
      </c>
      <c r="B87" t="s">
        <v>881</v>
      </c>
      <c r="C87" t="s">
        <v>1120</v>
      </c>
    </row>
    <row r="88">
      <c r="A88" t="s">
        <v>973</v>
      </c>
      <c r="B88" t="s">
        <v>881</v>
      </c>
      <c r="C88" t="s">
        <v>1120</v>
      </c>
    </row>
    <row r="89">
      <c r="A89" t="s">
        <v>974</v>
      </c>
      <c r="B89" t="s">
        <v>881</v>
      </c>
      <c r="C89" t="s">
        <v>1120</v>
      </c>
    </row>
    <row r="90">
      <c r="A90" t="s">
        <v>975</v>
      </c>
      <c r="B90" t="s">
        <v>881</v>
      </c>
      <c r="C90" t="s">
        <v>1120</v>
      </c>
    </row>
    <row r="91">
      <c r="A91" t="s">
        <v>976</v>
      </c>
      <c r="B91" t="s">
        <v>881</v>
      </c>
      <c r="C91" t="s">
        <v>1120</v>
      </c>
    </row>
    <row r="92">
      <c r="A92" t="s">
        <v>977</v>
      </c>
      <c r="B92" t="s">
        <v>883</v>
      </c>
      <c r="C92" t="s">
        <v>1120</v>
      </c>
    </row>
    <row r="93">
      <c r="A93" t="s">
        <v>978</v>
      </c>
      <c r="B93" t="s">
        <v>883</v>
      </c>
      <c r="C93" t="s">
        <v>1120</v>
      </c>
    </row>
    <row r="94">
      <c r="A94" t="s">
        <v>979</v>
      </c>
      <c r="B94" t="s">
        <v>883</v>
      </c>
      <c r="C94" t="s">
        <v>1120</v>
      </c>
    </row>
    <row r="95">
      <c r="A95" t="s">
        <v>980</v>
      </c>
      <c r="B95" t="s">
        <v>883</v>
      </c>
      <c r="C95" t="s">
        <v>1120</v>
      </c>
    </row>
    <row r="96">
      <c r="A96" t="s">
        <v>981</v>
      </c>
      <c r="B96" t="s">
        <v>883</v>
      </c>
      <c r="C96" t="s">
        <v>1120</v>
      </c>
    </row>
    <row r="97">
      <c r="A97" t="s">
        <v>982</v>
      </c>
      <c r="B97" t="s">
        <v>883</v>
      </c>
      <c r="C97" t="s">
        <v>1120</v>
      </c>
    </row>
    <row r="98">
      <c r="A98" t="s">
        <v>983</v>
      </c>
      <c r="B98" t="s">
        <v>883</v>
      </c>
      <c r="C98" t="s">
        <v>1120</v>
      </c>
    </row>
    <row r="99">
      <c r="A99" t="s">
        <v>984</v>
      </c>
      <c r="B99" t="s">
        <v>883</v>
      </c>
      <c r="C99" t="s">
        <v>1120</v>
      </c>
    </row>
    <row r="100">
      <c r="A100" t="s">
        <v>985</v>
      </c>
      <c r="B100" t="s">
        <v>883</v>
      </c>
      <c r="C100" t="s">
        <v>1120</v>
      </c>
    </row>
    <row r="101">
      <c r="A101" t="s">
        <v>986</v>
      </c>
      <c r="B101" t="s">
        <v>883</v>
      </c>
      <c r="C101" t="s">
        <v>1120</v>
      </c>
    </row>
    <row r="102">
      <c r="A102" t="s">
        <v>987</v>
      </c>
      <c r="B102" t="s">
        <v>883</v>
      </c>
      <c r="C102" t="s">
        <v>1120</v>
      </c>
    </row>
    <row r="103">
      <c r="A103" t="s">
        <v>988</v>
      </c>
      <c r="B103" t="s">
        <v>883</v>
      </c>
      <c r="C103" t="s">
        <v>1120</v>
      </c>
    </row>
    <row r="104">
      <c r="A104" t="s">
        <v>989</v>
      </c>
      <c r="B104" t="s">
        <v>883</v>
      </c>
      <c r="C104" t="s">
        <v>1120</v>
      </c>
    </row>
    <row r="105">
      <c r="A105" t="s">
        <v>990</v>
      </c>
      <c r="B105" t="s">
        <v>883</v>
      </c>
      <c r="C105" t="s">
        <v>1120</v>
      </c>
    </row>
    <row r="106">
      <c r="A106" t="s">
        <v>991</v>
      </c>
      <c r="B106" t="s">
        <v>883</v>
      </c>
      <c r="C106" t="s">
        <v>1120</v>
      </c>
    </row>
    <row r="107">
      <c r="A107" t="s">
        <v>992</v>
      </c>
      <c r="B107" t="s">
        <v>883</v>
      </c>
      <c r="C107" t="s">
        <v>1120</v>
      </c>
    </row>
    <row r="108">
      <c r="A108" t="s">
        <v>993</v>
      </c>
      <c r="B108" t="s">
        <v>885</v>
      </c>
      <c r="C108" t="s">
        <v>1120</v>
      </c>
    </row>
    <row r="109">
      <c r="A109" t="s">
        <v>994</v>
      </c>
      <c r="B109" t="s">
        <v>885</v>
      </c>
      <c r="C109" t="s">
        <v>1120</v>
      </c>
    </row>
    <row r="110">
      <c r="A110" t="s">
        <v>995</v>
      </c>
      <c r="B110" t="s">
        <v>885</v>
      </c>
      <c r="C110" t="s">
        <v>1120</v>
      </c>
    </row>
    <row r="111">
      <c r="A111" t="s">
        <v>996</v>
      </c>
      <c r="B111" t="s">
        <v>885</v>
      </c>
      <c r="C111" t="s">
        <v>1120</v>
      </c>
    </row>
    <row r="112">
      <c r="A112" t="s">
        <v>997</v>
      </c>
      <c r="B112" t="s">
        <v>885</v>
      </c>
      <c r="C112" t="s">
        <v>1120</v>
      </c>
    </row>
    <row r="113">
      <c r="A113" t="s">
        <v>998</v>
      </c>
      <c r="B113" t="s">
        <v>885</v>
      </c>
      <c r="C113" t="s">
        <v>1120</v>
      </c>
    </row>
    <row r="114">
      <c r="A114" t="s">
        <v>999</v>
      </c>
      <c r="B114" t="s">
        <v>885</v>
      </c>
      <c r="C114" t="s">
        <v>1120</v>
      </c>
    </row>
    <row r="115">
      <c r="A115" t="s">
        <v>1000</v>
      </c>
      <c r="B115" t="s">
        <v>885</v>
      </c>
      <c r="C115" t="s">
        <v>1120</v>
      </c>
    </row>
    <row r="116">
      <c r="A116" t="s">
        <v>1001</v>
      </c>
      <c r="B116" t="s">
        <v>885</v>
      </c>
      <c r="C116" t="s">
        <v>1120</v>
      </c>
    </row>
    <row r="117">
      <c r="A117" t="s">
        <v>1002</v>
      </c>
      <c r="B117" t="s">
        <v>885</v>
      </c>
      <c r="C117" t="s">
        <v>1120</v>
      </c>
    </row>
    <row r="118">
      <c r="A118" t="s">
        <v>1003</v>
      </c>
      <c r="B118" t="s">
        <v>885</v>
      </c>
      <c r="C118" t="s">
        <v>1120</v>
      </c>
    </row>
    <row r="119">
      <c r="A119" t="s">
        <v>1004</v>
      </c>
      <c r="B119" t="s">
        <v>885</v>
      </c>
      <c r="C119" t="s">
        <v>1120</v>
      </c>
    </row>
    <row r="120">
      <c r="A120" t="s">
        <v>1005</v>
      </c>
      <c r="B120" t="s">
        <v>885</v>
      </c>
      <c r="C120" t="s">
        <v>1120</v>
      </c>
    </row>
    <row r="121">
      <c r="A121" t="s">
        <v>1006</v>
      </c>
      <c r="B121" t="s">
        <v>885</v>
      </c>
      <c r="C121" t="s">
        <v>1120</v>
      </c>
    </row>
    <row r="122">
      <c r="A122" t="s">
        <v>1007</v>
      </c>
      <c r="B122" t="s">
        <v>885</v>
      </c>
      <c r="C122" t="s">
        <v>1120</v>
      </c>
    </row>
    <row r="123">
      <c r="A123" t="s">
        <v>1008</v>
      </c>
      <c r="B123" t="s">
        <v>885</v>
      </c>
      <c r="C123" t="s">
        <v>1120</v>
      </c>
    </row>
    <row r="124">
      <c r="A124" t="s">
        <v>1009</v>
      </c>
      <c r="B124" t="s">
        <v>885</v>
      </c>
      <c r="C124" t="s">
        <v>1120</v>
      </c>
    </row>
    <row r="125">
      <c r="A125" t="s">
        <v>1010</v>
      </c>
      <c r="B125" t="s">
        <v>885</v>
      </c>
      <c r="C125" t="s">
        <v>1120</v>
      </c>
    </row>
    <row r="126">
      <c r="A126" t="s">
        <v>1011</v>
      </c>
      <c r="B126" t="s">
        <v>885</v>
      </c>
      <c r="C126" t="s">
        <v>1120</v>
      </c>
    </row>
    <row r="127">
      <c r="A127" t="s">
        <v>1012</v>
      </c>
      <c r="B127" t="s">
        <v>885</v>
      </c>
      <c r="C127" t="s">
        <v>1120</v>
      </c>
    </row>
    <row r="128">
      <c r="A128" t="s">
        <v>1013</v>
      </c>
      <c r="B128" t="s">
        <v>885</v>
      </c>
      <c r="C128" t="s">
        <v>1120</v>
      </c>
    </row>
    <row r="129">
      <c r="A129" t="s">
        <v>1014</v>
      </c>
      <c r="B129" t="s">
        <v>885</v>
      </c>
      <c r="C129" t="s">
        <v>1120</v>
      </c>
    </row>
    <row r="130">
      <c r="A130" t="s">
        <v>1015</v>
      </c>
      <c r="B130" t="s">
        <v>885</v>
      </c>
      <c r="C130" t="s">
        <v>1120</v>
      </c>
    </row>
    <row r="131">
      <c r="A131" t="s">
        <v>1016</v>
      </c>
      <c r="B131" t="s">
        <v>885</v>
      </c>
      <c r="C131" t="s">
        <v>1120</v>
      </c>
    </row>
    <row r="132">
      <c r="A132" t="s">
        <v>1017</v>
      </c>
      <c r="B132" t="s">
        <v>885</v>
      </c>
      <c r="C132" t="s">
        <v>1120</v>
      </c>
    </row>
    <row r="133">
      <c r="A133" t="s">
        <v>1018</v>
      </c>
      <c r="B133" t="s">
        <v>885</v>
      </c>
      <c r="C133" t="s">
        <v>1120</v>
      </c>
    </row>
    <row r="134">
      <c r="A134" t="s">
        <v>1019</v>
      </c>
      <c r="B134" t="s">
        <v>880</v>
      </c>
      <c r="C134" t="s">
        <v>1120</v>
      </c>
    </row>
    <row r="135">
      <c r="A135" t="s">
        <v>1020</v>
      </c>
      <c r="B135" t="s">
        <v>881</v>
      </c>
      <c r="C135" t="s">
        <v>1120</v>
      </c>
    </row>
    <row r="136">
      <c r="A136" t="s">
        <v>1021</v>
      </c>
      <c r="B136" t="s">
        <v>881</v>
      </c>
      <c r="C136" t="s">
        <v>1120</v>
      </c>
    </row>
    <row r="137">
      <c r="A137" t="s">
        <v>1022</v>
      </c>
      <c r="B137" t="s">
        <v>881</v>
      </c>
      <c r="C137" t="s">
        <v>1120</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1116</v>
      </c>
      <c r="B1" t="s">
        <v>1122</v>
      </c>
      <c r="C1" t="s">
        <v>1123</v>
      </c>
      <c r="D1" t="s">
        <v>1124</v>
      </c>
      <c r="E1" t="s">
        <v>848</v>
      </c>
    </row>
    <row r="2">
      <c r="A2" t="s">
        <v>849</v>
      </c>
      <c r="B2" t="n">
        <v>0.32</v>
      </c>
      <c r="C2" t="n">
        <v>0.47</v>
      </c>
      <c r="D2" t="n">
        <v>1.88</v>
      </c>
      <c r="E2" t="s">
        <v>1125</v>
      </c>
    </row>
    <row r="3">
      <c r="A3" t="s">
        <v>853</v>
      </c>
      <c r="B3" t="n">
        <v>0.37</v>
      </c>
      <c r="C3" t="n">
        <v>0.47</v>
      </c>
      <c r="D3" t="n">
        <v>1.51</v>
      </c>
      <c r="E3" t="s">
        <v>1126</v>
      </c>
    </row>
    <row r="4">
      <c r="A4" t="s">
        <v>852</v>
      </c>
      <c r="B4" t="n">
        <v>0.37</v>
      </c>
      <c r="C4" t="n">
        <v>0.48</v>
      </c>
      <c r="D4" t="n">
        <v>1.57</v>
      </c>
      <c r="E4" t="s">
        <v>1127</v>
      </c>
    </row>
    <row r="5">
      <c r="A5" t="s">
        <v>1117</v>
      </c>
      <c r="B5" t="n">
        <v>0.27</v>
      </c>
      <c r="C5" t="n">
        <v>0.33</v>
      </c>
      <c r="D5" t="n">
        <v>1.33</v>
      </c>
      <c r="E5" t="s">
        <v>1128</v>
      </c>
    </row>
    <row r="6">
      <c r="A6" t="s">
        <v>1118</v>
      </c>
      <c r="B6" t="n">
        <v>0.28</v>
      </c>
      <c r="C6" t="n">
        <v>0.32</v>
      </c>
      <c r="D6" t="n">
        <v>1.21</v>
      </c>
      <c r="E6" t="s">
        <v>1129</v>
      </c>
    </row>
    <row r="7">
      <c r="A7" t="s">
        <v>1121</v>
      </c>
      <c r="B7" t="n">
        <v>0.68</v>
      </c>
      <c r="C7" t="n">
        <v>0.76</v>
      </c>
      <c r="D7" t="n">
        <v>1.49</v>
      </c>
      <c r="E7" t="s">
        <v>1130</v>
      </c>
    </row>
    <row r="8">
      <c r="A8" t="s">
        <v>1119</v>
      </c>
      <c r="B8" t="n">
        <v>0.22</v>
      </c>
      <c r="C8" t="n">
        <v>0.28</v>
      </c>
      <c r="D8" t="n">
        <v>1.38</v>
      </c>
      <c r="E8" t="s">
        <v>1131</v>
      </c>
    </row>
    <row r="9">
      <c r="A9" t="s">
        <v>1120</v>
      </c>
      <c r="B9" t="n">
        <v>0.32</v>
      </c>
      <c r="C9" t="n">
        <v>0.36</v>
      </c>
      <c r="D9" t="n">
        <v>1.2</v>
      </c>
      <c r="E9" t="s">
        <v>1132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1023</v>
      </c>
      <c r="B1" t="s">
        <v>1116</v>
      </c>
      <c r="C1" t="s">
        <v>1024</v>
      </c>
      <c r="D1" t="s">
        <v>1025</v>
      </c>
    </row>
    <row r="2">
      <c r="A2" t="s">
        <v>1027</v>
      </c>
      <c r="B2" t="s">
        <v>849</v>
      </c>
      <c r="C2" t="n">
        <v>1900</v>
      </c>
      <c r="D2" t="n">
        <v>0</v>
      </c>
    </row>
    <row r="3">
      <c r="A3" t="s">
        <v>1027</v>
      </c>
      <c r="B3" t="s">
        <v>849</v>
      </c>
      <c r="C3" t="n">
        <v>1920</v>
      </c>
      <c r="D3" t="n">
        <v>0.05</v>
      </c>
    </row>
    <row r="4">
      <c r="A4" t="s">
        <v>1027</v>
      </c>
      <c r="B4" t="s">
        <v>849</v>
      </c>
      <c r="C4" t="n">
        <v>1940</v>
      </c>
      <c r="D4" t="n">
        <v>0.15</v>
      </c>
    </row>
    <row r="5">
      <c r="A5" t="s">
        <v>1027</v>
      </c>
      <c r="B5" t="s">
        <v>849</v>
      </c>
      <c r="C5" t="n">
        <v>1950</v>
      </c>
      <c r="D5" t="n">
        <v>0.3</v>
      </c>
    </row>
    <row r="6">
      <c r="A6" t="s">
        <v>1027</v>
      </c>
      <c r="B6" t="s">
        <v>849</v>
      </c>
      <c r="C6" t="n">
        <v>1960</v>
      </c>
      <c r="D6" t="n">
        <v>0.55</v>
      </c>
    </row>
    <row r="7">
      <c r="A7" t="s">
        <v>1027</v>
      </c>
      <c r="B7" t="s">
        <v>849</v>
      </c>
      <c r="C7" t="n">
        <v>1970</v>
      </c>
      <c r="D7" t="n">
        <v>0.85</v>
      </c>
    </row>
    <row r="8">
      <c r="A8" t="s">
        <v>1027</v>
      </c>
      <c r="B8" t="s">
        <v>849</v>
      </c>
      <c r="C8" t="n">
        <v>1980</v>
      </c>
      <c r="D8" t="n">
        <v>0.95</v>
      </c>
    </row>
    <row r="9">
      <c r="A9" t="s">
        <v>1027</v>
      </c>
      <c r="B9" t="s">
        <v>849</v>
      </c>
      <c r="C9" t="n">
        <v>1990</v>
      </c>
      <c r="D9" t="n">
        <v>0.98</v>
      </c>
    </row>
    <row r="10">
      <c r="A10" t="s">
        <v>1027</v>
      </c>
      <c r="B10" t="s">
        <v>849</v>
      </c>
      <c r="C10" t="n">
        <v>2000</v>
      </c>
      <c r="D10" t="n">
        <v>1</v>
      </c>
    </row>
    <row r="11">
      <c r="A11" t="s">
        <v>1027</v>
      </c>
      <c r="B11" t="s">
        <v>849</v>
      </c>
      <c r="C11" t="n">
        <v>2010</v>
      </c>
      <c r="D11" t="n">
        <v>1</v>
      </c>
    </row>
    <row r="12">
      <c r="A12" t="s">
        <v>1027</v>
      </c>
      <c r="B12" t="s">
        <v>849</v>
      </c>
      <c r="C12" t="n">
        <v>2020</v>
      </c>
      <c r="D12" t="n">
        <v>1</v>
      </c>
    </row>
    <row r="13">
      <c r="A13" t="s">
        <v>1027</v>
      </c>
      <c r="B13" t="s">
        <v>853</v>
      </c>
      <c r="C13" t="n">
        <v>1900</v>
      </c>
      <c r="D13" t="n">
        <v>0</v>
      </c>
    </row>
    <row r="14">
      <c r="A14" t="s">
        <v>1027</v>
      </c>
      <c r="B14" t="s">
        <v>853</v>
      </c>
      <c r="C14" t="n">
        <v>1920</v>
      </c>
      <c r="D14" t="n">
        <v>0</v>
      </c>
    </row>
    <row r="15">
      <c r="A15" t="s">
        <v>1027</v>
      </c>
      <c r="B15" t="s">
        <v>853</v>
      </c>
      <c r="C15" t="n">
        <v>1940</v>
      </c>
      <c r="D15" t="n">
        <v>0.05</v>
      </c>
    </row>
    <row r="16">
      <c r="A16" t="s">
        <v>1027</v>
      </c>
      <c r="B16" t="s">
        <v>853</v>
      </c>
      <c r="C16" t="n">
        <v>1950</v>
      </c>
      <c r="D16" t="n">
        <v>0.2</v>
      </c>
    </row>
    <row r="17">
      <c r="A17" t="s">
        <v>1027</v>
      </c>
      <c r="B17" t="s">
        <v>853</v>
      </c>
      <c r="C17" t="n">
        <v>1960</v>
      </c>
      <c r="D17" t="n">
        <v>0.6</v>
      </c>
    </row>
    <row r="18">
      <c r="A18" t="s">
        <v>1027</v>
      </c>
      <c r="B18" t="s">
        <v>853</v>
      </c>
      <c r="C18" t="n">
        <v>1970</v>
      </c>
      <c r="D18" t="n">
        <v>0.9</v>
      </c>
    </row>
    <row r="19">
      <c r="A19" t="s">
        <v>1027</v>
      </c>
      <c r="B19" t="s">
        <v>853</v>
      </c>
      <c r="C19" t="n">
        <v>1980</v>
      </c>
      <c r="D19" t="n">
        <v>0.98</v>
      </c>
    </row>
    <row r="20">
      <c r="A20" t="s">
        <v>1027</v>
      </c>
      <c r="B20" t="s">
        <v>853</v>
      </c>
      <c r="C20" t="n">
        <v>1990</v>
      </c>
      <c r="D20" t="n">
        <v>1</v>
      </c>
    </row>
    <row r="21">
      <c r="A21" t="s">
        <v>1027</v>
      </c>
      <c r="B21" t="s">
        <v>853</v>
      </c>
      <c r="C21" t="n">
        <v>2000</v>
      </c>
      <c r="D21" t="n">
        <v>1</v>
      </c>
    </row>
    <row r="22">
      <c r="A22" t="s">
        <v>1027</v>
      </c>
      <c r="B22" t="s">
        <v>853</v>
      </c>
      <c r="C22" t="n">
        <v>2010</v>
      </c>
      <c r="D22" t="n">
        <v>1</v>
      </c>
    </row>
    <row r="23">
      <c r="A23" t="s">
        <v>1027</v>
      </c>
      <c r="B23" t="s">
        <v>853</v>
      </c>
      <c r="C23" t="n">
        <v>2020</v>
      </c>
      <c r="D23" t="n">
        <v>1</v>
      </c>
    </row>
    <row r="24">
      <c r="A24" t="s">
        <v>1027</v>
      </c>
      <c r="B24" t="s">
        <v>852</v>
      </c>
      <c r="C24" t="n">
        <v>1900</v>
      </c>
      <c r="D24" t="n">
        <v>0</v>
      </c>
    </row>
    <row r="25">
      <c r="A25" t="s">
        <v>1027</v>
      </c>
      <c r="B25" t="s">
        <v>852</v>
      </c>
      <c r="C25" t="n">
        <v>1920</v>
      </c>
      <c r="D25" t="n">
        <v>0.02</v>
      </c>
    </row>
    <row r="26">
      <c r="A26" t="s">
        <v>1027</v>
      </c>
      <c r="B26" t="s">
        <v>852</v>
      </c>
      <c r="C26" t="n">
        <v>1940</v>
      </c>
      <c r="D26" t="n">
        <v>0.3</v>
      </c>
    </row>
    <row r="27">
      <c r="A27" t="s">
        <v>1027</v>
      </c>
      <c r="B27" t="s">
        <v>852</v>
      </c>
      <c r="C27" t="n">
        <v>1950</v>
      </c>
      <c r="D27" t="n">
        <v>0.85</v>
      </c>
    </row>
    <row r="28">
      <c r="A28" t="s">
        <v>1027</v>
      </c>
      <c r="B28" t="s">
        <v>852</v>
      </c>
      <c r="C28" t="n">
        <v>1960</v>
      </c>
      <c r="D28" t="n">
        <v>0.95</v>
      </c>
    </row>
    <row r="29">
      <c r="A29" t="s">
        <v>1027</v>
      </c>
      <c r="B29" t="s">
        <v>852</v>
      </c>
      <c r="C29" t="n">
        <v>1970</v>
      </c>
      <c r="D29" t="n">
        <v>0.98</v>
      </c>
    </row>
    <row r="30">
      <c r="A30" t="s">
        <v>1027</v>
      </c>
      <c r="B30" t="s">
        <v>852</v>
      </c>
      <c r="C30" t="n">
        <v>1980</v>
      </c>
      <c r="D30" t="n">
        <v>1</v>
      </c>
    </row>
    <row r="31">
      <c r="A31" t="s">
        <v>1027</v>
      </c>
      <c r="B31" t="s">
        <v>852</v>
      </c>
      <c r="C31" t="n">
        <v>1990</v>
      </c>
      <c r="D31" t="n">
        <v>1</v>
      </c>
    </row>
    <row r="32">
      <c r="A32" t="s">
        <v>1027</v>
      </c>
      <c r="B32" t="s">
        <v>852</v>
      </c>
      <c r="C32" t="n">
        <v>2000</v>
      </c>
      <c r="D32" t="n">
        <v>1</v>
      </c>
    </row>
    <row r="33">
      <c r="A33" t="s">
        <v>1027</v>
      </c>
      <c r="B33" t="s">
        <v>852</v>
      </c>
      <c r="C33" t="n">
        <v>2010</v>
      </c>
      <c r="D33" t="n">
        <v>1</v>
      </c>
    </row>
    <row r="34">
      <c r="A34" t="s">
        <v>1027</v>
      </c>
      <c r="B34" t="s">
        <v>852</v>
      </c>
      <c r="C34" t="n">
        <v>2020</v>
      </c>
      <c r="D34" t="n">
        <v>1</v>
      </c>
    </row>
    <row r="35">
      <c r="A35" t="s">
        <v>1027</v>
      </c>
      <c r="B35" t="s">
        <v>1117</v>
      </c>
      <c r="C35" t="n">
        <v>1900</v>
      </c>
      <c r="D35" t="n">
        <v>0</v>
      </c>
    </row>
    <row r="36">
      <c r="A36" t="s">
        <v>1027</v>
      </c>
      <c r="B36" t="s">
        <v>1117</v>
      </c>
      <c r="C36" t="n">
        <v>1920</v>
      </c>
      <c r="D36" t="n">
        <v>0</v>
      </c>
    </row>
    <row r="37">
      <c r="A37" t="s">
        <v>1027</v>
      </c>
      <c r="B37" t="s">
        <v>1117</v>
      </c>
      <c r="C37" t="n">
        <v>1940</v>
      </c>
      <c r="D37" t="n">
        <v>0.05</v>
      </c>
    </row>
    <row r="38">
      <c r="A38" t="s">
        <v>1027</v>
      </c>
      <c r="B38" t="s">
        <v>1117</v>
      </c>
      <c r="C38" t="n">
        <v>1950</v>
      </c>
      <c r="D38" t="n">
        <v>0.15</v>
      </c>
    </row>
    <row r="39">
      <c r="A39" t="s">
        <v>1027</v>
      </c>
      <c r="B39" t="s">
        <v>1117</v>
      </c>
      <c r="C39" t="n">
        <v>1960</v>
      </c>
      <c r="D39" t="n">
        <v>0.4</v>
      </c>
    </row>
    <row r="40">
      <c r="A40" t="s">
        <v>1027</v>
      </c>
      <c r="B40" t="s">
        <v>1117</v>
      </c>
      <c r="C40" t="n">
        <v>1970</v>
      </c>
      <c r="D40" t="n">
        <v>0.7</v>
      </c>
    </row>
    <row r="41">
      <c r="A41" t="s">
        <v>1027</v>
      </c>
      <c r="B41" t="s">
        <v>1117</v>
      </c>
      <c r="C41" t="n">
        <v>1980</v>
      </c>
      <c r="D41" t="n">
        <v>0.9</v>
      </c>
    </row>
    <row r="42">
      <c r="A42" t="s">
        <v>1027</v>
      </c>
      <c r="B42" t="s">
        <v>1117</v>
      </c>
      <c r="C42" t="n">
        <v>1990</v>
      </c>
      <c r="D42" t="n">
        <v>0.95</v>
      </c>
    </row>
    <row r="43">
      <c r="A43" t="s">
        <v>1027</v>
      </c>
      <c r="B43" t="s">
        <v>1117</v>
      </c>
      <c r="C43" t="n">
        <v>2000</v>
      </c>
      <c r="D43" t="n">
        <v>1</v>
      </c>
    </row>
    <row r="44">
      <c r="A44" t="s">
        <v>1027</v>
      </c>
      <c r="B44" t="s">
        <v>1117</v>
      </c>
      <c r="C44" t="n">
        <v>2010</v>
      </c>
      <c r="D44" t="n">
        <v>1</v>
      </c>
    </row>
    <row r="45">
      <c r="A45" t="s">
        <v>1027</v>
      </c>
      <c r="B45" t="s">
        <v>1117</v>
      </c>
      <c r="C45" t="n">
        <v>2020</v>
      </c>
      <c r="D45" t="n">
        <v>1</v>
      </c>
    </row>
    <row r="46">
      <c r="A46" t="s">
        <v>1027</v>
      </c>
      <c r="B46" t="s">
        <v>1118</v>
      </c>
      <c r="C46" t="n">
        <v>1900</v>
      </c>
      <c r="D46" t="n">
        <v>0</v>
      </c>
    </row>
    <row r="47">
      <c r="A47" t="s">
        <v>1027</v>
      </c>
      <c r="B47" t="s">
        <v>1118</v>
      </c>
      <c r="C47" t="n">
        <v>1920</v>
      </c>
      <c r="D47" t="n">
        <v>0</v>
      </c>
    </row>
    <row r="48">
      <c r="A48" t="s">
        <v>1027</v>
      </c>
      <c r="B48" t="s">
        <v>1118</v>
      </c>
      <c r="C48" t="n">
        <v>1940</v>
      </c>
      <c r="D48" t="n">
        <v>0.05</v>
      </c>
    </row>
    <row r="49">
      <c r="A49" t="s">
        <v>1027</v>
      </c>
      <c r="B49" t="s">
        <v>1118</v>
      </c>
      <c r="C49" t="n">
        <v>1950</v>
      </c>
      <c r="D49" t="n">
        <v>0.15</v>
      </c>
    </row>
    <row r="50">
      <c r="A50" t="s">
        <v>1027</v>
      </c>
      <c r="B50" t="s">
        <v>1118</v>
      </c>
      <c r="C50" t="n">
        <v>1960</v>
      </c>
      <c r="D50" t="n">
        <v>0.3</v>
      </c>
    </row>
    <row r="51">
      <c r="A51" t="s">
        <v>1027</v>
      </c>
      <c r="B51" t="s">
        <v>1118</v>
      </c>
      <c r="C51" t="n">
        <v>1970</v>
      </c>
      <c r="D51" t="n">
        <v>0.55</v>
      </c>
    </row>
    <row r="52">
      <c r="A52" t="s">
        <v>1027</v>
      </c>
      <c r="B52" t="s">
        <v>1118</v>
      </c>
      <c r="C52" t="n">
        <v>1980</v>
      </c>
      <c r="D52" t="n">
        <v>0.8</v>
      </c>
    </row>
    <row r="53">
      <c r="A53" t="s">
        <v>1027</v>
      </c>
      <c r="B53" t="s">
        <v>1118</v>
      </c>
      <c r="C53" t="n">
        <v>1990</v>
      </c>
      <c r="D53" t="n">
        <v>0.92</v>
      </c>
    </row>
    <row r="54">
      <c r="A54" t="s">
        <v>1027</v>
      </c>
      <c r="B54" t="s">
        <v>1118</v>
      </c>
      <c r="C54" t="n">
        <v>2000</v>
      </c>
      <c r="D54" t="n">
        <v>0.97</v>
      </c>
    </row>
    <row r="55">
      <c r="A55" t="s">
        <v>1027</v>
      </c>
      <c r="B55" t="s">
        <v>1118</v>
      </c>
      <c r="C55" t="n">
        <v>2010</v>
      </c>
      <c r="D55" t="n">
        <v>1</v>
      </c>
    </row>
    <row r="56">
      <c r="A56" t="s">
        <v>1027</v>
      </c>
      <c r="B56" t="s">
        <v>1118</v>
      </c>
      <c r="C56" t="n">
        <v>2020</v>
      </c>
      <c r="D56" t="n">
        <v>1</v>
      </c>
    </row>
    <row r="57">
      <c r="A57" t="s">
        <v>1027</v>
      </c>
      <c r="B57" t="s">
        <v>1121</v>
      </c>
      <c r="C57" t="n">
        <v>1900</v>
      </c>
      <c r="D57" t="n">
        <v>0</v>
      </c>
    </row>
    <row r="58">
      <c r="A58" t="s">
        <v>1027</v>
      </c>
      <c r="B58" t="s">
        <v>1121</v>
      </c>
      <c r="C58" t="n">
        <v>1920</v>
      </c>
      <c r="D58" t="n">
        <v>0</v>
      </c>
    </row>
    <row r="59">
      <c r="A59" t="s">
        <v>1027</v>
      </c>
      <c r="B59" t="s">
        <v>1121</v>
      </c>
      <c r="C59" t="n">
        <v>1940</v>
      </c>
      <c r="D59" t="n">
        <v>0.05</v>
      </c>
    </row>
    <row r="60">
      <c r="A60" t="s">
        <v>1027</v>
      </c>
      <c r="B60" t="s">
        <v>1121</v>
      </c>
      <c r="C60" t="n">
        <v>1950</v>
      </c>
      <c r="D60" t="n">
        <v>0.2</v>
      </c>
    </row>
    <row r="61">
      <c r="A61" t="s">
        <v>1027</v>
      </c>
      <c r="B61" t="s">
        <v>1121</v>
      </c>
      <c r="C61" t="n">
        <v>1960</v>
      </c>
      <c r="D61" t="n">
        <v>0.4</v>
      </c>
    </row>
    <row r="62">
      <c r="A62" t="s">
        <v>1027</v>
      </c>
      <c r="B62" t="s">
        <v>1121</v>
      </c>
      <c r="C62" t="n">
        <v>1970</v>
      </c>
      <c r="D62" t="n">
        <v>0.7</v>
      </c>
    </row>
    <row r="63">
      <c r="A63" t="s">
        <v>1027</v>
      </c>
      <c r="B63" t="s">
        <v>1121</v>
      </c>
      <c r="C63" t="n">
        <v>1980</v>
      </c>
      <c r="D63" t="n">
        <v>0.9</v>
      </c>
    </row>
    <row r="64">
      <c r="A64" t="s">
        <v>1027</v>
      </c>
      <c r="B64" t="s">
        <v>1121</v>
      </c>
      <c r="C64" t="n">
        <v>1990</v>
      </c>
      <c r="D64" t="n">
        <v>0.97</v>
      </c>
    </row>
    <row r="65">
      <c r="A65" t="s">
        <v>1027</v>
      </c>
      <c r="B65" t="s">
        <v>1121</v>
      </c>
      <c r="C65" t="n">
        <v>2000</v>
      </c>
      <c r="D65" t="n">
        <v>1</v>
      </c>
    </row>
    <row r="66">
      <c r="A66" t="s">
        <v>1027</v>
      </c>
      <c r="B66" t="s">
        <v>1121</v>
      </c>
      <c r="C66" t="n">
        <v>2010</v>
      </c>
      <c r="D66" t="n">
        <v>1</v>
      </c>
    </row>
    <row r="67">
      <c r="A67" t="s">
        <v>1027</v>
      </c>
      <c r="B67" t="s">
        <v>1121</v>
      </c>
      <c r="C67" t="n">
        <v>2020</v>
      </c>
      <c r="D67" t="n">
        <v>1</v>
      </c>
    </row>
    <row r="68">
      <c r="A68" t="s">
        <v>1027</v>
      </c>
      <c r="B68" t="s">
        <v>1119</v>
      </c>
      <c r="C68" t="n">
        <v>1900</v>
      </c>
      <c r="D68" t="n">
        <v>0</v>
      </c>
    </row>
    <row r="69">
      <c r="A69" t="s">
        <v>1027</v>
      </c>
      <c r="B69" t="s">
        <v>1119</v>
      </c>
      <c r="C69" t="n">
        <v>1920</v>
      </c>
      <c r="D69" t="n">
        <v>0</v>
      </c>
    </row>
    <row r="70">
      <c r="A70" t="s">
        <v>1027</v>
      </c>
      <c r="B70" t="s">
        <v>1119</v>
      </c>
      <c r="C70" t="n">
        <v>1940</v>
      </c>
      <c r="D70" t="n">
        <v>0.05</v>
      </c>
    </row>
    <row r="71">
      <c r="A71" t="s">
        <v>1027</v>
      </c>
      <c r="B71" t="s">
        <v>1119</v>
      </c>
      <c r="C71" t="n">
        <v>1950</v>
      </c>
      <c r="D71" t="n">
        <v>0.15</v>
      </c>
    </row>
    <row r="72">
      <c r="A72" t="s">
        <v>1027</v>
      </c>
      <c r="B72" t="s">
        <v>1119</v>
      </c>
      <c r="C72" t="n">
        <v>1960</v>
      </c>
      <c r="D72" t="n">
        <v>0.35</v>
      </c>
    </row>
    <row r="73">
      <c r="A73" t="s">
        <v>1027</v>
      </c>
      <c r="B73" t="s">
        <v>1119</v>
      </c>
      <c r="C73" t="n">
        <v>1970</v>
      </c>
      <c r="D73" t="n">
        <v>0.65</v>
      </c>
    </row>
    <row r="74">
      <c r="A74" t="s">
        <v>1027</v>
      </c>
      <c r="B74" t="s">
        <v>1119</v>
      </c>
      <c r="C74" t="n">
        <v>1980</v>
      </c>
      <c r="D74" t="n">
        <v>0.85</v>
      </c>
    </row>
    <row r="75">
      <c r="A75" t="s">
        <v>1027</v>
      </c>
      <c r="B75" t="s">
        <v>1119</v>
      </c>
      <c r="C75" t="n">
        <v>1990</v>
      </c>
      <c r="D75" t="n">
        <v>0.95</v>
      </c>
    </row>
    <row r="76">
      <c r="A76" t="s">
        <v>1027</v>
      </c>
      <c r="B76" t="s">
        <v>1119</v>
      </c>
      <c r="C76" t="n">
        <v>2000</v>
      </c>
      <c r="D76" t="n">
        <v>1</v>
      </c>
    </row>
    <row r="77">
      <c r="A77" t="s">
        <v>1027</v>
      </c>
      <c r="B77" t="s">
        <v>1119</v>
      </c>
      <c r="C77" t="n">
        <v>2010</v>
      </c>
      <c r="D77" t="n">
        <v>1</v>
      </c>
    </row>
    <row r="78">
      <c r="A78" t="s">
        <v>1027</v>
      </c>
      <c r="B78" t="s">
        <v>1119</v>
      </c>
      <c r="C78" t="n">
        <v>2020</v>
      </c>
      <c r="D78" t="n">
        <v>1</v>
      </c>
    </row>
    <row r="79">
      <c r="A79" t="s">
        <v>1027</v>
      </c>
      <c r="B79" t="s">
        <v>1120</v>
      </c>
      <c r="C79" t="n">
        <v>1900</v>
      </c>
      <c r="D79" t="n">
        <v>0</v>
      </c>
    </row>
    <row r="80">
      <c r="A80" t="s">
        <v>1027</v>
      </c>
      <c r="B80" t="s">
        <v>1120</v>
      </c>
      <c r="C80" t="n">
        <v>1920</v>
      </c>
      <c r="D80" t="n">
        <v>0.05</v>
      </c>
    </row>
    <row r="81">
      <c r="A81" t="s">
        <v>1027</v>
      </c>
      <c r="B81" t="s">
        <v>1120</v>
      </c>
      <c r="C81" t="n">
        <v>1940</v>
      </c>
      <c r="D81" t="n">
        <v>0.15</v>
      </c>
    </row>
    <row r="82">
      <c r="A82" t="s">
        <v>1027</v>
      </c>
      <c r="B82" t="s">
        <v>1120</v>
      </c>
      <c r="C82" t="n">
        <v>1950</v>
      </c>
      <c r="D82" t="n">
        <v>0.3</v>
      </c>
    </row>
    <row r="83">
      <c r="A83" t="s">
        <v>1027</v>
      </c>
      <c r="B83" t="s">
        <v>1120</v>
      </c>
      <c r="C83" t="n">
        <v>1960</v>
      </c>
      <c r="D83" t="n">
        <v>0.55</v>
      </c>
    </row>
    <row r="84">
      <c r="A84" t="s">
        <v>1027</v>
      </c>
      <c r="B84" t="s">
        <v>1120</v>
      </c>
      <c r="C84" t="n">
        <v>1970</v>
      </c>
      <c r="D84" t="n">
        <v>0.8</v>
      </c>
    </row>
    <row r="85">
      <c r="A85" t="s">
        <v>1027</v>
      </c>
      <c r="B85" t="s">
        <v>1120</v>
      </c>
      <c r="C85" t="n">
        <v>1980</v>
      </c>
      <c r="D85" t="n">
        <v>0.92</v>
      </c>
    </row>
    <row r="86">
      <c r="A86" t="s">
        <v>1027</v>
      </c>
      <c r="B86" t="s">
        <v>1120</v>
      </c>
      <c r="C86" t="n">
        <v>1990</v>
      </c>
      <c r="D86" t="n">
        <v>0.97</v>
      </c>
    </row>
    <row r="87">
      <c r="A87" t="s">
        <v>1027</v>
      </c>
      <c r="B87" t="s">
        <v>1120</v>
      </c>
      <c r="C87" t="n">
        <v>2000</v>
      </c>
      <c r="D87" t="n">
        <v>1</v>
      </c>
    </row>
    <row r="88">
      <c r="A88" t="s">
        <v>1027</v>
      </c>
      <c r="B88" t="s">
        <v>1120</v>
      </c>
      <c r="C88" t="n">
        <v>2010</v>
      </c>
      <c r="D88" t="n">
        <v>1</v>
      </c>
    </row>
    <row r="89">
      <c r="A89" t="s">
        <v>1027</v>
      </c>
      <c r="B89" t="s">
        <v>1120</v>
      </c>
      <c r="C89" t="n">
        <v>2020</v>
      </c>
      <c r="D89" t="n">
        <v>1</v>
      </c>
    </row>
    <row r="90">
      <c r="A90" t="s">
        <v>1028</v>
      </c>
      <c r="B90" t="s">
        <v>849</v>
      </c>
      <c r="C90" t="n">
        <v>1900</v>
      </c>
      <c r="D90" t="n">
        <v>0</v>
      </c>
    </row>
    <row r="91">
      <c r="A91" t="s">
        <v>1028</v>
      </c>
      <c r="B91" t="s">
        <v>849</v>
      </c>
      <c r="C91" t="n">
        <v>1920</v>
      </c>
      <c r="D91" t="n">
        <v>0.01</v>
      </c>
    </row>
    <row r="92">
      <c r="A92" t="s">
        <v>1028</v>
      </c>
      <c r="B92" t="s">
        <v>849</v>
      </c>
      <c r="C92" t="n">
        <v>1940</v>
      </c>
      <c r="D92" t="n">
        <v>0.08</v>
      </c>
    </row>
    <row r="93">
      <c r="A93" t="s">
        <v>1028</v>
      </c>
      <c r="B93" t="s">
        <v>849</v>
      </c>
      <c r="C93" t="n">
        <v>1950</v>
      </c>
      <c r="D93" t="n">
        <v>0.2</v>
      </c>
    </row>
    <row r="94">
      <c r="A94" t="s">
        <v>1028</v>
      </c>
      <c r="B94" t="s">
        <v>849</v>
      </c>
      <c r="C94" t="n">
        <v>1960</v>
      </c>
      <c r="D94" t="n">
        <v>0.5</v>
      </c>
    </row>
    <row r="95">
      <c r="A95" t="s">
        <v>1028</v>
      </c>
      <c r="B95" t="s">
        <v>849</v>
      </c>
      <c r="C95" t="n">
        <v>1970</v>
      </c>
      <c r="D95" t="n">
        <v>0.8</v>
      </c>
    </row>
    <row r="96">
      <c r="A96" t="s">
        <v>1028</v>
      </c>
      <c r="B96" t="s">
        <v>849</v>
      </c>
      <c r="C96" t="n">
        <v>1980</v>
      </c>
      <c r="D96" t="n">
        <v>0.95</v>
      </c>
    </row>
    <row r="97">
      <c r="A97" t="s">
        <v>1028</v>
      </c>
      <c r="B97" t="s">
        <v>849</v>
      </c>
      <c r="C97" t="n">
        <v>1990</v>
      </c>
      <c r="D97" t="n">
        <v>1</v>
      </c>
    </row>
    <row r="98">
      <c r="A98" t="s">
        <v>1028</v>
      </c>
      <c r="B98" t="s">
        <v>849</v>
      </c>
      <c r="C98" t="n">
        <v>2000</v>
      </c>
      <c r="D98" t="n">
        <v>1</v>
      </c>
    </row>
    <row r="99">
      <c r="A99" t="s">
        <v>1028</v>
      </c>
      <c r="B99" t="s">
        <v>849</v>
      </c>
      <c r="C99" t="n">
        <v>2010</v>
      </c>
      <c r="D99" t="n">
        <v>1</v>
      </c>
    </row>
    <row r="100">
      <c r="A100" t="s">
        <v>1028</v>
      </c>
      <c r="B100" t="s">
        <v>849</v>
      </c>
      <c r="C100" t="n">
        <v>2020</v>
      </c>
      <c r="D100" t="n">
        <v>1</v>
      </c>
    </row>
    <row r="101">
      <c r="A101" t="s">
        <v>1028</v>
      </c>
      <c r="B101" t="s">
        <v>853</v>
      </c>
      <c r="C101" t="n">
        <v>1900</v>
      </c>
      <c r="D101" t="n">
        <v>0</v>
      </c>
    </row>
    <row r="102">
      <c r="A102" t="s">
        <v>1028</v>
      </c>
      <c r="B102" t="s">
        <v>853</v>
      </c>
      <c r="C102" t="n">
        <v>1920</v>
      </c>
      <c r="D102" t="n">
        <v>0</v>
      </c>
    </row>
    <row r="103">
      <c r="A103" t="s">
        <v>1028</v>
      </c>
      <c r="B103" t="s">
        <v>853</v>
      </c>
      <c r="C103" t="n">
        <v>1940</v>
      </c>
      <c r="D103" t="n">
        <v>0.02</v>
      </c>
    </row>
    <row r="104">
      <c r="A104" t="s">
        <v>1028</v>
      </c>
      <c r="B104" t="s">
        <v>853</v>
      </c>
      <c r="C104" t="n">
        <v>1950</v>
      </c>
      <c r="D104" t="n">
        <v>0.1</v>
      </c>
    </row>
    <row r="105">
      <c r="A105" t="s">
        <v>1028</v>
      </c>
      <c r="B105" t="s">
        <v>853</v>
      </c>
      <c r="C105" t="n">
        <v>1960</v>
      </c>
      <c r="D105" t="n">
        <v>0.35</v>
      </c>
    </row>
    <row r="106">
      <c r="A106" t="s">
        <v>1028</v>
      </c>
      <c r="B106" t="s">
        <v>853</v>
      </c>
      <c r="C106" t="n">
        <v>1970</v>
      </c>
      <c r="D106" t="n">
        <v>0.65</v>
      </c>
    </row>
    <row r="107">
      <c r="A107" t="s">
        <v>1028</v>
      </c>
      <c r="B107" t="s">
        <v>853</v>
      </c>
      <c r="C107" t="n">
        <v>1980</v>
      </c>
      <c r="D107" t="n">
        <v>0.85</v>
      </c>
    </row>
    <row r="108">
      <c r="A108" t="s">
        <v>1028</v>
      </c>
      <c r="B108" t="s">
        <v>853</v>
      </c>
      <c r="C108" t="n">
        <v>1990</v>
      </c>
      <c r="D108" t="n">
        <v>0.95</v>
      </c>
    </row>
    <row r="109">
      <c r="A109" t="s">
        <v>1028</v>
      </c>
      <c r="B109" t="s">
        <v>853</v>
      </c>
      <c r="C109" t="n">
        <v>2000</v>
      </c>
      <c r="D109" t="n">
        <v>1</v>
      </c>
    </row>
    <row r="110">
      <c r="A110" t="s">
        <v>1028</v>
      </c>
      <c r="B110" t="s">
        <v>853</v>
      </c>
      <c r="C110" t="n">
        <v>2010</v>
      </c>
      <c r="D110" t="n">
        <v>1</v>
      </c>
    </row>
    <row r="111">
      <c r="A111" t="s">
        <v>1028</v>
      </c>
      <c r="B111" t="s">
        <v>853</v>
      </c>
      <c r="C111" t="n">
        <v>2020</v>
      </c>
      <c r="D111" t="n">
        <v>1</v>
      </c>
    </row>
    <row r="112">
      <c r="A112" t="s">
        <v>1028</v>
      </c>
      <c r="B112" t="s">
        <v>852</v>
      </c>
      <c r="C112" t="n">
        <v>1900</v>
      </c>
      <c r="D112" t="n">
        <v>0</v>
      </c>
    </row>
    <row r="113">
      <c r="A113" t="s">
        <v>1028</v>
      </c>
      <c r="B113" t="s">
        <v>852</v>
      </c>
      <c r="C113" t="n">
        <v>1920</v>
      </c>
      <c r="D113" t="n">
        <v>0</v>
      </c>
    </row>
    <row r="114">
      <c r="A114" t="s">
        <v>1028</v>
      </c>
      <c r="B114" t="s">
        <v>852</v>
      </c>
      <c r="C114" t="n">
        <v>1940</v>
      </c>
      <c r="D114" t="n">
        <v>0.05</v>
      </c>
    </row>
    <row r="115">
      <c r="A115" t="s">
        <v>1028</v>
      </c>
      <c r="B115" t="s">
        <v>852</v>
      </c>
      <c r="C115" t="n">
        <v>1950</v>
      </c>
      <c r="D115" t="n">
        <v>0.2</v>
      </c>
    </row>
    <row r="116">
      <c r="A116" t="s">
        <v>1028</v>
      </c>
      <c r="B116" t="s">
        <v>852</v>
      </c>
      <c r="C116" t="n">
        <v>1960</v>
      </c>
      <c r="D116" t="n">
        <v>0.55</v>
      </c>
    </row>
    <row r="117">
      <c r="A117" t="s">
        <v>1028</v>
      </c>
      <c r="B117" t="s">
        <v>852</v>
      </c>
      <c r="C117" t="n">
        <v>1970</v>
      </c>
      <c r="D117" t="n">
        <v>0.85</v>
      </c>
    </row>
    <row r="118">
      <c r="A118" t="s">
        <v>1028</v>
      </c>
      <c r="B118" t="s">
        <v>852</v>
      </c>
      <c r="C118" t="n">
        <v>1980</v>
      </c>
      <c r="D118" t="n">
        <v>0.95</v>
      </c>
    </row>
    <row r="119">
      <c r="A119" t="s">
        <v>1028</v>
      </c>
      <c r="B119" t="s">
        <v>852</v>
      </c>
      <c r="C119" t="n">
        <v>1990</v>
      </c>
      <c r="D119" t="n">
        <v>1</v>
      </c>
    </row>
    <row r="120">
      <c r="A120" t="s">
        <v>1028</v>
      </c>
      <c r="B120" t="s">
        <v>852</v>
      </c>
      <c r="C120" t="n">
        <v>2000</v>
      </c>
      <c r="D120" t="n">
        <v>1</v>
      </c>
    </row>
    <row r="121">
      <c r="A121" t="s">
        <v>1028</v>
      </c>
      <c r="B121" t="s">
        <v>852</v>
      </c>
      <c r="C121" t="n">
        <v>2010</v>
      </c>
      <c r="D121" t="n">
        <v>1</v>
      </c>
    </row>
    <row r="122">
      <c r="A122" t="s">
        <v>1028</v>
      </c>
      <c r="B122" t="s">
        <v>852</v>
      </c>
      <c r="C122" t="n">
        <v>2020</v>
      </c>
      <c r="D122" t="n">
        <v>1</v>
      </c>
    </row>
    <row r="123">
      <c r="A123" t="s">
        <v>1028</v>
      </c>
      <c r="B123" t="s">
        <v>1117</v>
      </c>
      <c r="C123" t="n">
        <v>1900</v>
      </c>
      <c r="D123" t="n">
        <v>0</v>
      </c>
    </row>
    <row r="124">
      <c r="A124" t="s">
        <v>1028</v>
      </c>
      <c r="B124" t="s">
        <v>1117</v>
      </c>
      <c r="C124" t="n">
        <v>1920</v>
      </c>
      <c r="D124" t="n">
        <v>0</v>
      </c>
    </row>
    <row r="125">
      <c r="A125" t="s">
        <v>1028</v>
      </c>
      <c r="B125" t="s">
        <v>1117</v>
      </c>
      <c r="C125" t="n">
        <v>1940</v>
      </c>
      <c r="D125" t="n">
        <v>0.02</v>
      </c>
    </row>
    <row r="126">
      <c r="A126" t="s">
        <v>1028</v>
      </c>
      <c r="B126" t="s">
        <v>1117</v>
      </c>
      <c r="C126" t="n">
        <v>1950</v>
      </c>
      <c r="D126" t="n">
        <v>0.08</v>
      </c>
    </row>
    <row r="127">
      <c r="A127" t="s">
        <v>1028</v>
      </c>
      <c r="B127" t="s">
        <v>1117</v>
      </c>
      <c r="C127" t="n">
        <v>1960</v>
      </c>
      <c r="D127" t="n">
        <v>0.25</v>
      </c>
    </row>
    <row r="128">
      <c r="A128" t="s">
        <v>1028</v>
      </c>
      <c r="B128" t="s">
        <v>1117</v>
      </c>
      <c r="C128" t="n">
        <v>1970</v>
      </c>
      <c r="D128" t="n">
        <v>0.55</v>
      </c>
    </row>
    <row r="129">
      <c r="A129" t="s">
        <v>1028</v>
      </c>
      <c r="B129" t="s">
        <v>1117</v>
      </c>
      <c r="C129" t="n">
        <v>1980</v>
      </c>
      <c r="D129" t="n">
        <v>0.8</v>
      </c>
    </row>
    <row r="130">
      <c r="A130" t="s">
        <v>1028</v>
      </c>
      <c r="B130" t="s">
        <v>1117</v>
      </c>
      <c r="C130" t="n">
        <v>1990</v>
      </c>
      <c r="D130" t="n">
        <v>0.92</v>
      </c>
    </row>
    <row r="131">
      <c r="A131" t="s">
        <v>1028</v>
      </c>
      <c r="B131" t="s">
        <v>1117</v>
      </c>
      <c r="C131" t="n">
        <v>2000</v>
      </c>
      <c r="D131" t="n">
        <v>0.97</v>
      </c>
    </row>
    <row r="132">
      <c r="A132" t="s">
        <v>1028</v>
      </c>
      <c r="B132" t="s">
        <v>1117</v>
      </c>
      <c r="C132" t="n">
        <v>2010</v>
      </c>
      <c r="D132" t="n">
        <v>1</v>
      </c>
    </row>
    <row r="133">
      <c r="A133" t="s">
        <v>1028</v>
      </c>
      <c r="B133" t="s">
        <v>1117</v>
      </c>
      <c r="C133" t="n">
        <v>2020</v>
      </c>
      <c r="D133" t="n">
        <v>1</v>
      </c>
    </row>
    <row r="134">
      <c r="A134" t="s">
        <v>1028</v>
      </c>
      <c r="B134" t="s">
        <v>1118</v>
      </c>
      <c r="C134" t="n">
        <v>1900</v>
      </c>
      <c r="D134" t="n">
        <v>0</v>
      </c>
    </row>
    <row r="135">
      <c r="A135" t="s">
        <v>1028</v>
      </c>
      <c r="B135" t="s">
        <v>1118</v>
      </c>
      <c r="C135" t="n">
        <v>1920</v>
      </c>
      <c r="D135" t="n">
        <v>0</v>
      </c>
    </row>
    <row r="136">
      <c r="A136" t="s">
        <v>1028</v>
      </c>
      <c r="B136" t="s">
        <v>1118</v>
      </c>
      <c r="C136" t="n">
        <v>1940</v>
      </c>
      <c r="D136" t="n">
        <v>0.02</v>
      </c>
    </row>
    <row r="137">
      <c r="A137" t="s">
        <v>1028</v>
      </c>
      <c r="B137" t="s">
        <v>1118</v>
      </c>
      <c r="C137" t="n">
        <v>1950</v>
      </c>
      <c r="D137" t="n">
        <v>0.08</v>
      </c>
    </row>
    <row r="138">
      <c r="A138" t="s">
        <v>1028</v>
      </c>
      <c r="B138" t="s">
        <v>1118</v>
      </c>
      <c r="C138" t="n">
        <v>1960</v>
      </c>
      <c r="D138" t="n">
        <v>0.2</v>
      </c>
    </row>
    <row r="139">
      <c r="A139" t="s">
        <v>1028</v>
      </c>
      <c r="B139" t="s">
        <v>1118</v>
      </c>
      <c r="C139" t="n">
        <v>1970</v>
      </c>
      <c r="D139" t="n">
        <v>0.45</v>
      </c>
    </row>
    <row r="140">
      <c r="A140" t="s">
        <v>1028</v>
      </c>
      <c r="B140" t="s">
        <v>1118</v>
      </c>
      <c r="C140" t="n">
        <v>1980</v>
      </c>
      <c r="D140" t="n">
        <v>0.7</v>
      </c>
    </row>
    <row r="141">
      <c r="A141" t="s">
        <v>1028</v>
      </c>
      <c r="B141" t="s">
        <v>1118</v>
      </c>
      <c r="C141" t="n">
        <v>1990</v>
      </c>
      <c r="D141" t="n">
        <v>0.88</v>
      </c>
    </row>
    <row r="142">
      <c r="A142" t="s">
        <v>1028</v>
      </c>
      <c r="B142" t="s">
        <v>1118</v>
      </c>
      <c r="C142" t="n">
        <v>2000</v>
      </c>
      <c r="D142" t="n">
        <v>0.96</v>
      </c>
    </row>
    <row r="143">
      <c r="A143" t="s">
        <v>1028</v>
      </c>
      <c r="B143" t="s">
        <v>1118</v>
      </c>
      <c r="C143" t="n">
        <v>2010</v>
      </c>
      <c r="D143" t="n">
        <v>1</v>
      </c>
    </row>
    <row r="144">
      <c r="A144" t="s">
        <v>1028</v>
      </c>
      <c r="B144" t="s">
        <v>1118</v>
      </c>
      <c r="C144" t="n">
        <v>2020</v>
      </c>
      <c r="D144" t="n">
        <v>1</v>
      </c>
    </row>
    <row r="145">
      <c r="A145" t="s">
        <v>1028</v>
      </c>
      <c r="B145" t="s">
        <v>1121</v>
      </c>
      <c r="C145" t="n">
        <v>1900</v>
      </c>
      <c r="D145" t="n">
        <v>0</v>
      </c>
    </row>
    <row r="146">
      <c r="A146" t="s">
        <v>1028</v>
      </c>
      <c r="B146" t="s">
        <v>1121</v>
      </c>
      <c r="C146" t="n">
        <v>1920</v>
      </c>
      <c r="D146" t="n">
        <v>0</v>
      </c>
    </row>
    <row r="147">
      <c r="A147" t="s">
        <v>1028</v>
      </c>
      <c r="B147" t="s">
        <v>1121</v>
      </c>
      <c r="C147" t="n">
        <v>1940</v>
      </c>
      <c r="D147" t="n">
        <v>0.05</v>
      </c>
    </row>
    <row r="148">
      <c r="A148" t="s">
        <v>1028</v>
      </c>
      <c r="B148" t="s">
        <v>1121</v>
      </c>
      <c r="C148" t="n">
        <v>1950</v>
      </c>
      <c r="D148" t="n">
        <v>0.15</v>
      </c>
    </row>
    <row r="149">
      <c r="A149" t="s">
        <v>1028</v>
      </c>
      <c r="B149" t="s">
        <v>1121</v>
      </c>
      <c r="C149" t="n">
        <v>1960</v>
      </c>
      <c r="D149" t="n">
        <v>0.35</v>
      </c>
    </row>
    <row r="150">
      <c r="A150" t="s">
        <v>1028</v>
      </c>
      <c r="B150" t="s">
        <v>1121</v>
      </c>
      <c r="C150" t="n">
        <v>1970</v>
      </c>
      <c r="D150" t="n">
        <v>0.6</v>
      </c>
    </row>
    <row r="151">
      <c r="A151" t="s">
        <v>1028</v>
      </c>
      <c r="B151" t="s">
        <v>1121</v>
      </c>
      <c r="C151" t="n">
        <v>1980</v>
      </c>
      <c r="D151" t="n">
        <v>0.85</v>
      </c>
    </row>
    <row r="152">
      <c r="A152" t="s">
        <v>1028</v>
      </c>
      <c r="B152" t="s">
        <v>1121</v>
      </c>
      <c r="C152" t="n">
        <v>1990</v>
      </c>
      <c r="D152" t="n">
        <v>0.95</v>
      </c>
    </row>
    <row r="153">
      <c r="A153" t="s">
        <v>1028</v>
      </c>
      <c r="B153" t="s">
        <v>1121</v>
      </c>
      <c r="C153" t="n">
        <v>2000</v>
      </c>
      <c r="D153" t="n">
        <v>1</v>
      </c>
    </row>
    <row r="154">
      <c r="A154" t="s">
        <v>1028</v>
      </c>
      <c r="B154" t="s">
        <v>1121</v>
      </c>
      <c r="C154" t="n">
        <v>2010</v>
      </c>
      <c r="D154" t="n">
        <v>1</v>
      </c>
    </row>
    <row r="155">
      <c r="A155" t="s">
        <v>1028</v>
      </c>
      <c r="B155" t="s">
        <v>1121</v>
      </c>
      <c r="C155" t="n">
        <v>2020</v>
      </c>
      <c r="D155" t="n">
        <v>1</v>
      </c>
    </row>
    <row r="156">
      <c r="A156" t="s">
        <v>1028</v>
      </c>
      <c r="B156" t="s">
        <v>1119</v>
      </c>
      <c r="C156" t="n">
        <v>1900</v>
      </c>
      <c r="D156" t="n">
        <v>0</v>
      </c>
    </row>
    <row r="157">
      <c r="A157" t="s">
        <v>1028</v>
      </c>
      <c r="B157" t="s">
        <v>1119</v>
      </c>
      <c r="C157" t="n">
        <v>1920</v>
      </c>
      <c r="D157" t="n">
        <v>0</v>
      </c>
    </row>
    <row r="158">
      <c r="A158" t="s">
        <v>1028</v>
      </c>
      <c r="B158" t="s">
        <v>1119</v>
      </c>
      <c r="C158" t="n">
        <v>1940</v>
      </c>
      <c r="D158" t="n">
        <v>0.02</v>
      </c>
    </row>
    <row r="159">
      <c r="A159" t="s">
        <v>1028</v>
      </c>
      <c r="B159" t="s">
        <v>1119</v>
      </c>
      <c r="C159" t="n">
        <v>1950</v>
      </c>
      <c r="D159" t="n">
        <v>0.08</v>
      </c>
    </row>
    <row r="160">
      <c r="A160" t="s">
        <v>1028</v>
      </c>
      <c r="B160" t="s">
        <v>1119</v>
      </c>
      <c r="C160" t="n">
        <v>1960</v>
      </c>
      <c r="D160" t="n">
        <v>0.25</v>
      </c>
    </row>
    <row r="161">
      <c r="A161" t="s">
        <v>1028</v>
      </c>
      <c r="B161" t="s">
        <v>1119</v>
      </c>
      <c r="C161" t="n">
        <v>1970</v>
      </c>
      <c r="D161" t="n">
        <v>0.55</v>
      </c>
    </row>
    <row r="162">
      <c r="A162" t="s">
        <v>1028</v>
      </c>
      <c r="B162" t="s">
        <v>1119</v>
      </c>
      <c r="C162" t="n">
        <v>1980</v>
      </c>
      <c r="D162" t="n">
        <v>0.8</v>
      </c>
    </row>
    <row r="163">
      <c r="A163" t="s">
        <v>1028</v>
      </c>
      <c r="B163" t="s">
        <v>1119</v>
      </c>
      <c r="C163" t="n">
        <v>1990</v>
      </c>
      <c r="D163" t="n">
        <v>0.95</v>
      </c>
    </row>
    <row r="164">
      <c r="A164" t="s">
        <v>1028</v>
      </c>
      <c r="B164" t="s">
        <v>1119</v>
      </c>
      <c r="C164" t="n">
        <v>2000</v>
      </c>
      <c r="D164" t="n">
        <v>1</v>
      </c>
    </row>
    <row r="165">
      <c r="A165" t="s">
        <v>1028</v>
      </c>
      <c r="B165" t="s">
        <v>1119</v>
      </c>
      <c r="C165" t="n">
        <v>2010</v>
      </c>
      <c r="D165" t="n">
        <v>1</v>
      </c>
    </row>
    <row r="166">
      <c r="A166" t="s">
        <v>1028</v>
      </c>
      <c r="B166" t="s">
        <v>1119</v>
      </c>
      <c r="C166" t="n">
        <v>2020</v>
      </c>
      <c r="D166" t="n">
        <v>1</v>
      </c>
    </row>
    <row r="167">
      <c r="A167" t="s">
        <v>1028</v>
      </c>
      <c r="B167" t="s">
        <v>1120</v>
      </c>
      <c r="C167" t="n">
        <v>1900</v>
      </c>
      <c r="D167" t="n">
        <v>0</v>
      </c>
    </row>
    <row r="168">
      <c r="A168" t="s">
        <v>1028</v>
      </c>
      <c r="B168" t="s">
        <v>1120</v>
      </c>
      <c r="C168" t="n">
        <v>1920</v>
      </c>
      <c r="D168" t="n">
        <v>0.03</v>
      </c>
    </row>
    <row r="169">
      <c r="A169" t="s">
        <v>1028</v>
      </c>
      <c r="B169" t="s">
        <v>1120</v>
      </c>
      <c r="C169" t="n">
        <v>1940</v>
      </c>
      <c r="D169" t="n">
        <v>0.1</v>
      </c>
    </row>
    <row r="170">
      <c r="A170" t="s">
        <v>1028</v>
      </c>
      <c r="B170" t="s">
        <v>1120</v>
      </c>
      <c r="C170" t="n">
        <v>1950</v>
      </c>
      <c r="D170" t="n">
        <v>0.2</v>
      </c>
    </row>
    <row r="171">
      <c r="A171" t="s">
        <v>1028</v>
      </c>
      <c r="B171" t="s">
        <v>1120</v>
      </c>
      <c r="C171" t="n">
        <v>1960</v>
      </c>
      <c r="D171" t="n">
        <v>0.45</v>
      </c>
    </row>
    <row r="172">
      <c r="A172" t="s">
        <v>1028</v>
      </c>
      <c r="B172" t="s">
        <v>1120</v>
      </c>
      <c r="C172" t="n">
        <v>1970</v>
      </c>
      <c r="D172" t="n">
        <v>0.7</v>
      </c>
    </row>
    <row r="173">
      <c r="A173" t="s">
        <v>1028</v>
      </c>
      <c r="B173" t="s">
        <v>1120</v>
      </c>
      <c r="C173" t="n">
        <v>1980</v>
      </c>
      <c r="D173" t="n">
        <v>0.88</v>
      </c>
    </row>
    <row r="174">
      <c r="A174" t="s">
        <v>1028</v>
      </c>
      <c r="B174" t="s">
        <v>1120</v>
      </c>
      <c r="C174" t="n">
        <v>1990</v>
      </c>
      <c r="D174" t="n">
        <v>0.96</v>
      </c>
    </row>
    <row r="175">
      <c r="A175" t="s">
        <v>1028</v>
      </c>
      <c r="B175" t="s">
        <v>1120</v>
      </c>
      <c r="C175" t="n">
        <v>2000</v>
      </c>
      <c r="D175" t="n">
        <v>1</v>
      </c>
    </row>
    <row r="176">
      <c r="A176" t="s">
        <v>1028</v>
      </c>
      <c r="B176" t="s">
        <v>1120</v>
      </c>
      <c r="C176" t="n">
        <v>2010</v>
      </c>
      <c r="D176" t="n">
        <v>1</v>
      </c>
    </row>
    <row r="177">
      <c r="A177" t="s">
        <v>1028</v>
      </c>
      <c r="B177" t="s">
        <v>1120</v>
      </c>
      <c r="C177" t="n">
        <v>2020</v>
      </c>
      <c r="D177" t="n">
        <v>1</v>
      </c>
    </row>
    <row r="178">
      <c r="A178" t="s">
        <v>1029</v>
      </c>
      <c r="B178" t="s">
        <v>849</v>
      </c>
      <c r="C178" t="n">
        <v>1900</v>
      </c>
      <c r="D178" t="n">
        <v>0</v>
      </c>
    </row>
    <row r="179">
      <c r="A179" t="s">
        <v>1029</v>
      </c>
      <c r="B179" t="s">
        <v>849</v>
      </c>
      <c r="C179" t="n">
        <v>1920</v>
      </c>
      <c r="D179" t="n">
        <v>0</v>
      </c>
    </row>
    <row r="180">
      <c r="A180" t="s">
        <v>1029</v>
      </c>
      <c r="B180" t="s">
        <v>849</v>
      </c>
      <c r="C180" t="n">
        <v>1940</v>
      </c>
      <c r="D180" t="n">
        <v>0.02</v>
      </c>
    </row>
    <row r="181">
      <c r="A181" t="s">
        <v>1029</v>
      </c>
      <c r="B181" t="s">
        <v>849</v>
      </c>
      <c r="C181" t="n">
        <v>1950</v>
      </c>
      <c r="D181" t="n">
        <v>0.05</v>
      </c>
    </row>
    <row r="182">
      <c r="A182" t="s">
        <v>1029</v>
      </c>
      <c r="B182" t="s">
        <v>849</v>
      </c>
      <c r="C182" t="n">
        <v>1960</v>
      </c>
      <c r="D182" t="n">
        <v>0.15</v>
      </c>
    </row>
    <row r="183">
      <c r="A183" t="s">
        <v>1029</v>
      </c>
      <c r="B183" t="s">
        <v>849</v>
      </c>
      <c r="C183" t="n">
        <v>1970</v>
      </c>
      <c r="D183" t="n">
        <v>0.45</v>
      </c>
    </row>
    <row r="184">
      <c r="A184" t="s">
        <v>1029</v>
      </c>
      <c r="B184" t="s">
        <v>849</v>
      </c>
      <c r="C184" t="n">
        <v>1980</v>
      </c>
      <c r="D184" t="n">
        <v>0.7</v>
      </c>
    </row>
    <row r="185">
      <c r="A185" t="s">
        <v>1029</v>
      </c>
      <c r="B185" t="s">
        <v>849</v>
      </c>
      <c r="C185" t="n">
        <v>1990</v>
      </c>
      <c r="D185" t="n">
        <v>0.9</v>
      </c>
    </row>
    <row r="186">
      <c r="A186" t="s">
        <v>1029</v>
      </c>
      <c r="B186" t="s">
        <v>849</v>
      </c>
      <c r="C186" t="n">
        <v>2000</v>
      </c>
      <c r="D186" t="n">
        <v>0.98</v>
      </c>
    </row>
    <row r="187">
      <c r="A187" t="s">
        <v>1029</v>
      </c>
      <c r="B187" t="s">
        <v>849</v>
      </c>
      <c r="C187" t="n">
        <v>2010</v>
      </c>
      <c r="D187" t="n">
        <v>1</v>
      </c>
    </row>
    <row r="188">
      <c r="A188" t="s">
        <v>1029</v>
      </c>
      <c r="B188" t="s">
        <v>849</v>
      </c>
      <c r="C188" t="n">
        <v>2020</v>
      </c>
      <c r="D188" t="n">
        <v>1</v>
      </c>
    </row>
    <row r="189">
      <c r="A189" t="s">
        <v>1029</v>
      </c>
      <c r="B189" t="s">
        <v>853</v>
      </c>
      <c r="C189" t="n">
        <v>1900</v>
      </c>
      <c r="D189" t="n">
        <v>0</v>
      </c>
    </row>
    <row r="190">
      <c r="A190" t="s">
        <v>1029</v>
      </c>
      <c r="B190" t="s">
        <v>853</v>
      </c>
      <c r="C190" t="n">
        <v>1920</v>
      </c>
      <c r="D190" t="n">
        <v>0</v>
      </c>
    </row>
    <row r="191">
      <c r="A191" t="s">
        <v>1029</v>
      </c>
      <c r="B191" t="s">
        <v>853</v>
      </c>
      <c r="C191" t="n">
        <v>1940</v>
      </c>
      <c r="D191" t="n">
        <v>0.01</v>
      </c>
    </row>
    <row r="192">
      <c r="A192" t="s">
        <v>1029</v>
      </c>
      <c r="B192" t="s">
        <v>853</v>
      </c>
      <c r="C192" t="n">
        <v>1950</v>
      </c>
      <c r="D192" t="n">
        <v>0.03</v>
      </c>
    </row>
    <row r="193">
      <c r="A193" t="s">
        <v>1029</v>
      </c>
      <c r="B193" t="s">
        <v>853</v>
      </c>
      <c r="C193" t="n">
        <v>1960</v>
      </c>
      <c r="D193" t="n">
        <v>0.1</v>
      </c>
    </row>
    <row r="194">
      <c r="A194" t="s">
        <v>1029</v>
      </c>
      <c r="B194" t="s">
        <v>853</v>
      </c>
      <c r="C194" t="n">
        <v>1970</v>
      </c>
      <c r="D194" t="n">
        <v>0.3</v>
      </c>
    </row>
    <row r="195">
      <c r="A195" t="s">
        <v>1029</v>
      </c>
      <c r="B195" t="s">
        <v>853</v>
      </c>
      <c r="C195" t="n">
        <v>1980</v>
      </c>
      <c r="D195" t="n">
        <v>0.6</v>
      </c>
    </row>
    <row r="196">
      <c r="A196" t="s">
        <v>1029</v>
      </c>
      <c r="B196" t="s">
        <v>853</v>
      </c>
      <c r="C196" t="n">
        <v>1990</v>
      </c>
      <c r="D196" t="n">
        <v>0.82</v>
      </c>
    </row>
    <row r="197">
      <c r="A197" t="s">
        <v>1029</v>
      </c>
      <c r="B197" t="s">
        <v>853</v>
      </c>
      <c r="C197" t="n">
        <v>2000</v>
      </c>
      <c r="D197" t="n">
        <v>0.95</v>
      </c>
    </row>
    <row r="198">
      <c r="A198" t="s">
        <v>1029</v>
      </c>
      <c r="B198" t="s">
        <v>853</v>
      </c>
      <c r="C198" t="n">
        <v>2010</v>
      </c>
      <c r="D198" t="n">
        <v>1</v>
      </c>
    </row>
    <row r="199">
      <c r="A199" t="s">
        <v>1029</v>
      </c>
      <c r="B199" t="s">
        <v>853</v>
      </c>
      <c r="C199" t="n">
        <v>2020</v>
      </c>
      <c r="D199" t="n">
        <v>1</v>
      </c>
    </row>
    <row r="200">
      <c r="A200" t="s">
        <v>1029</v>
      </c>
      <c r="B200" t="s">
        <v>852</v>
      </c>
      <c r="C200" t="n">
        <v>1900</v>
      </c>
      <c r="D200" t="n">
        <v>0</v>
      </c>
    </row>
    <row r="201">
      <c r="A201" t="s">
        <v>1029</v>
      </c>
      <c r="B201" t="s">
        <v>852</v>
      </c>
      <c r="C201" t="n">
        <v>1920</v>
      </c>
      <c r="D201" t="n">
        <v>0</v>
      </c>
    </row>
    <row r="202">
      <c r="A202" t="s">
        <v>1029</v>
      </c>
      <c r="B202" t="s">
        <v>852</v>
      </c>
      <c r="C202" t="n">
        <v>1940</v>
      </c>
      <c r="D202" t="n">
        <v>0.02</v>
      </c>
    </row>
    <row r="203">
      <c r="A203" t="s">
        <v>1029</v>
      </c>
      <c r="B203" t="s">
        <v>852</v>
      </c>
      <c r="C203" t="n">
        <v>1950</v>
      </c>
      <c r="D203" t="n">
        <v>0.08</v>
      </c>
    </row>
    <row r="204">
      <c r="A204" t="s">
        <v>1029</v>
      </c>
      <c r="B204" t="s">
        <v>852</v>
      </c>
      <c r="C204" t="n">
        <v>1960</v>
      </c>
      <c r="D204" t="n">
        <v>0.25</v>
      </c>
    </row>
    <row r="205">
      <c r="A205" t="s">
        <v>1029</v>
      </c>
      <c r="B205" t="s">
        <v>852</v>
      </c>
      <c r="C205" t="n">
        <v>1970</v>
      </c>
      <c r="D205" t="n">
        <v>0.55</v>
      </c>
    </row>
    <row r="206">
      <c r="A206" t="s">
        <v>1029</v>
      </c>
      <c r="B206" t="s">
        <v>852</v>
      </c>
      <c r="C206" t="n">
        <v>1980</v>
      </c>
      <c r="D206" t="n">
        <v>0.75</v>
      </c>
    </row>
    <row r="207">
      <c r="A207" t="s">
        <v>1029</v>
      </c>
      <c r="B207" t="s">
        <v>852</v>
      </c>
      <c r="C207" t="n">
        <v>1990</v>
      </c>
      <c r="D207" t="n">
        <v>0.9</v>
      </c>
    </row>
    <row r="208">
      <c r="A208" t="s">
        <v>1029</v>
      </c>
      <c r="B208" t="s">
        <v>852</v>
      </c>
      <c r="C208" t="n">
        <v>2000</v>
      </c>
      <c r="D208" t="n">
        <v>0.98</v>
      </c>
    </row>
    <row r="209">
      <c r="A209" t="s">
        <v>1029</v>
      </c>
      <c r="B209" t="s">
        <v>852</v>
      </c>
      <c r="C209" t="n">
        <v>2010</v>
      </c>
      <c r="D209" t="n">
        <v>1</v>
      </c>
    </row>
    <row r="210">
      <c r="A210" t="s">
        <v>1029</v>
      </c>
      <c r="B210" t="s">
        <v>852</v>
      </c>
      <c r="C210" t="n">
        <v>2020</v>
      </c>
      <c r="D210" t="n">
        <v>1</v>
      </c>
    </row>
    <row r="211">
      <c r="A211" t="s">
        <v>1029</v>
      </c>
      <c r="B211" t="s">
        <v>1117</v>
      </c>
      <c r="C211" t="n">
        <v>1900</v>
      </c>
      <c r="D211" t="n">
        <v>0</v>
      </c>
    </row>
    <row r="212">
      <c r="A212" t="s">
        <v>1029</v>
      </c>
      <c r="B212" t="s">
        <v>1117</v>
      </c>
      <c r="C212" t="n">
        <v>1920</v>
      </c>
      <c r="D212" t="n">
        <v>0</v>
      </c>
    </row>
    <row r="213">
      <c r="A213" t="s">
        <v>1029</v>
      </c>
      <c r="B213" t="s">
        <v>1117</v>
      </c>
      <c r="C213" t="n">
        <v>1940</v>
      </c>
      <c r="D213" t="n">
        <v>0.01</v>
      </c>
    </row>
    <row r="214">
      <c r="A214" t="s">
        <v>1029</v>
      </c>
      <c r="B214" t="s">
        <v>1117</v>
      </c>
      <c r="C214" t="n">
        <v>1950</v>
      </c>
      <c r="D214" t="n">
        <v>0.03</v>
      </c>
    </row>
    <row r="215">
      <c r="A215" t="s">
        <v>1029</v>
      </c>
      <c r="B215" t="s">
        <v>1117</v>
      </c>
      <c r="C215" t="n">
        <v>1960</v>
      </c>
      <c r="D215" t="n">
        <v>0.1</v>
      </c>
    </row>
    <row r="216">
      <c r="A216" t="s">
        <v>1029</v>
      </c>
      <c r="B216" t="s">
        <v>1117</v>
      </c>
      <c r="C216" t="n">
        <v>1970</v>
      </c>
      <c r="D216" t="n">
        <v>0.25</v>
      </c>
    </row>
    <row r="217">
      <c r="A217" t="s">
        <v>1029</v>
      </c>
      <c r="B217" t="s">
        <v>1117</v>
      </c>
      <c r="C217" t="n">
        <v>1980</v>
      </c>
      <c r="D217" t="n">
        <v>0.5</v>
      </c>
    </row>
    <row r="218">
      <c r="A218" t="s">
        <v>1029</v>
      </c>
      <c r="B218" t="s">
        <v>1117</v>
      </c>
      <c r="C218" t="n">
        <v>1990</v>
      </c>
      <c r="D218" t="n">
        <v>0.75</v>
      </c>
    </row>
    <row r="219">
      <c r="A219" t="s">
        <v>1029</v>
      </c>
      <c r="B219" t="s">
        <v>1117</v>
      </c>
      <c r="C219" t="n">
        <v>2000</v>
      </c>
      <c r="D219" t="n">
        <v>0.92</v>
      </c>
    </row>
    <row r="220">
      <c r="A220" t="s">
        <v>1029</v>
      </c>
      <c r="B220" t="s">
        <v>1117</v>
      </c>
      <c r="C220" t="n">
        <v>2010</v>
      </c>
      <c r="D220" t="n">
        <v>0.97</v>
      </c>
    </row>
    <row r="221">
      <c r="A221" t="s">
        <v>1029</v>
      </c>
      <c r="B221" t="s">
        <v>1117</v>
      </c>
      <c r="C221" t="n">
        <v>2020</v>
      </c>
      <c r="D221" t="n">
        <v>1</v>
      </c>
    </row>
    <row r="222">
      <c r="A222" t="s">
        <v>1029</v>
      </c>
      <c r="B222" t="s">
        <v>1118</v>
      </c>
      <c r="C222" t="n">
        <v>1900</v>
      </c>
      <c r="D222" t="n">
        <v>0</v>
      </c>
    </row>
    <row r="223">
      <c r="A223" t="s">
        <v>1029</v>
      </c>
      <c r="B223" t="s">
        <v>1118</v>
      </c>
      <c r="C223" t="n">
        <v>1920</v>
      </c>
      <c r="D223" t="n">
        <v>0</v>
      </c>
    </row>
    <row r="224">
      <c r="A224" t="s">
        <v>1029</v>
      </c>
      <c r="B224" t="s">
        <v>1118</v>
      </c>
      <c r="C224" t="n">
        <v>1940</v>
      </c>
      <c r="D224" t="n">
        <v>0.01</v>
      </c>
    </row>
    <row r="225">
      <c r="A225" t="s">
        <v>1029</v>
      </c>
      <c r="B225" t="s">
        <v>1118</v>
      </c>
      <c r="C225" t="n">
        <v>1950</v>
      </c>
      <c r="D225" t="n">
        <v>0.03</v>
      </c>
    </row>
    <row r="226">
      <c r="A226" t="s">
        <v>1029</v>
      </c>
      <c r="B226" t="s">
        <v>1118</v>
      </c>
      <c r="C226" t="n">
        <v>1960</v>
      </c>
      <c r="D226" t="n">
        <v>0.08</v>
      </c>
    </row>
    <row r="227">
      <c r="A227" t="s">
        <v>1029</v>
      </c>
      <c r="B227" t="s">
        <v>1118</v>
      </c>
      <c r="C227" t="n">
        <v>1970</v>
      </c>
      <c r="D227" t="n">
        <v>0.2</v>
      </c>
    </row>
    <row r="228">
      <c r="A228" t="s">
        <v>1029</v>
      </c>
      <c r="B228" t="s">
        <v>1118</v>
      </c>
      <c r="C228" t="n">
        <v>1980</v>
      </c>
      <c r="D228" t="n">
        <v>0.45</v>
      </c>
    </row>
    <row r="229">
      <c r="A229" t="s">
        <v>1029</v>
      </c>
      <c r="B229" t="s">
        <v>1118</v>
      </c>
      <c r="C229" t="n">
        <v>1990</v>
      </c>
      <c r="D229" t="n">
        <v>0.68</v>
      </c>
    </row>
    <row r="230">
      <c r="A230" t="s">
        <v>1029</v>
      </c>
      <c r="B230" t="s">
        <v>1118</v>
      </c>
      <c r="C230" t="n">
        <v>2000</v>
      </c>
      <c r="D230" t="n">
        <v>0.88</v>
      </c>
    </row>
    <row r="231">
      <c r="A231" t="s">
        <v>1029</v>
      </c>
      <c r="B231" t="s">
        <v>1118</v>
      </c>
      <c r="C231" t="n">
        <v>2010</v>
      </c>
      <c r="D231" t="n">
        <v>0.96</v>
      </c>
    </row>
    <row r="232">
      <c r="A232" t="s">
        <v>1029</v>
      </c>
      <c r="B232" t="s">
        <v>1118</v>
      </c>
      <c r="C232" t="n">
        <v>2020</v>
      </c>
      <c r="D232" t="n">
        <v>1</v>
      </c>
    </row>
    <row r="233">
      <c r="A233" t="s">
        <v>1029</v>
      </c>
      <c r="B233" t="s">
        <v>1121</v>
      </c>
      <c r="C233" t="n">
        <v>1900</v>
      </c>
      <c r="D233" t="n">
        <v>0</v>
      </c>
    </row>
    <row r="234">
      <c r="A234" t="s">
        <v>1029</v>
      </c>
      <c r="B234" t="s">
        <v>1121</v>
      </c>
      <c r="C234" t="n">
        <v>1920</v>
      </c>
      <c r="D234" t="n">
        <v>0</v>
      </c>
    </row>
    <row r="235">
      <c r="A235" t="s">
        <v>1029</v>
      </c>
      <c r="B235" t="s">
        <v>1121</v>
      </c>
      <c r="C235" t="n">
        <v>1940</v>
      </c>
      <c r="D235" t="n">
        <v>0.02</v>
      </c>
    </row>
    <row r="236">
      <c r="A236" t="s">
        <v>1029</v>
      </c>
      <c r="B236" t="s">
        <v>1121</v>
      </c>
      <c r="C236" t="n">
        <v>1950</v>
      </c>
      <c r="D236" t="n">
        <v>0.05</v>
      </c>
    </row>
    <row r="237">
      <c r="A237" t="s">
        <v>1029</v>
      </c>
      <c r="B237" t="s">
        <v>1121</v>
      </c>
      <c r="C237" t="n">
        <v>1960</v>
      </c>
      <c r="D237" t="n">
        <v>0.15</v>
      </c>
    </row>
    <row r="238">
      <c r="A238" t="s">
        <v>1029</v>
      </c>
      <c r="B238" t="s">
        <v>1121</v>
      </c>
      <c r="C238" t="n">
        <v>1970</v>
      </c>
      <c r="D238" t="n">
        <v>0.35</v>
      </c>
    </row>
    <row r="239">
      <c r="A239" t="s">
        <v>1029</v>
      </c>
      <c r="B239" t="s">
        <v>1121</v>
      </c>
      <c r="C239" t="n">
        <v>1980</v>
      </c>
      <c r="D239" t="n">
        <v>0.6</v>
      </c>
    </row>
    <row r="240">
      <c r="A240" t="s">
        <v>1029</v>
      </c>
      <c r="B240" t="s">
        <v>1121</v>
      </c>
      <c r="C240" t="n">
        <v>1990</v>
      </c>
      <c r="D240" t="n">
        <v>0.82</v>
      </c>
    </row>
    <row r="241">
      <c r="A241" t="s">
        <v>1029</v>
      </c>
      <c r="B241" t="s">
        <v>1121</v>
      </c>
      <c r="C241" t="n">
        <v>2000</v>
      </c>
      <c r="D241" t="n">
        <v>0.95</v>
      </c>
    </row>
    <row r="242">
      <c r="A242" t="s">
        <v>1029</v>
      </c>
      <c r="B242" t="s">
        <v>1121</v>
      </c>
      <c r="C242" t="n">
        <v>2010</v>
      </c>
      <c r="D242" t="n">
        <v>1</v>
      </c>
    </row>
    <row r="243">
      <c r="A243" t="s">
        <v>1029</v>
      </c>
      <c r="B243" t="s">
        <v>1121</v>
      </c>
      <c r="C243" t="n">
        <v>2020</v>
      </c>
      <c r="D243" t="n">
        <v>1</v>
      </c>
    </row>
    <row r="244">
      <c r="A244" t="s">
        <v>1029</v>
      </c>
      <c r="B244" t="s">
        <v>1119</v>
      </c>
      <c r="C244" t="n">
        <v>1900</v>
      </c>
      <c r="D244" t="n">
        <v>0</v>
      </c>
    </row>
    <row r="245">
      <c r="A245" t="s">
        <v>1029</v>
      </c>
      <c r="B245" t="s">
        <v>1119</v>
      </c>
      <c r="C245" t="n">
        <v>1920</v>
      </c>
      <c r="D245" t="n">
        <v>0</v>
      </c>
    </row>
    <row r="246">
      <c r="A246" t="s">
        <v>1029</v>
      </c>
      <c r="B246" t="s">
        <v>1119</v>
      </c>
      <c r="C246" t="n">
        <v>1940</v>
      </c>
      <c r="D246" t="n">
        <v>0.01</v>
      </c>
    </row>
    <row r="247">
      <c r="A247" t="s">
        <v>1029</v>
      </c>
      <c r="B247" t="s">
        <v>1119</v>
      </c>
      <c r="C247" t="n">
        <v>1950</v>
      </c>
      <c r="D247" t="n">
        <v>0.03</v>
      </c>
    </row>
    <row r="248">
      <c r="A248" t="s">
        <v>1029</v>
      </c>
      <c r="B248" t="s">
        <v>1119</v>
      </c>
      <c r="C248" t="n">
        <v>1960</v>
      </c>
      <c r="D248" t="n">
        <v>0.1</v>
      </c>
    </row>
    <row r="249">
      <c r="A249" t="s">
        <v>1029</v>
      </c>
      <c r="B249" t="s">
        <v>1119</v>
      </c>
      <c r="C249" t="n">
        <v>1970</v>
      </c>
      <c r="D249" t="n">
        <v>0.3</v>
      </c>
    </row>
    <row r="250">
      <c r="A250" t="s">
        <v>1029</v>
      </c>
      <c r="B250" t="s">
        <v>1119</v>
      </c>
      <c r="C250" t="n">
        <v>1980</v>
      </c>
      <c r="D250" t="n">
        <v>0.55</v>
      </c>
    </row>
    <row r="251">
      <c r="A251" t="s">
        <v>1029</v>
      </c>
      <c r="B251" t="s">
        <v>1119</v>
      </c>
      <c r="C251" t="n">
        <v>1990</v>
      </c>
      <c r="D251" t="n">
        <v>0.78</v>
      </c>
    </row>
    <row r="252">
      <c r="A252" t="s">
        <v>1029</v>
      </c>
      <c r="B252" t="s">
        <v>1119</v>
      </c>
      <c r="C252" t="n">
        <v>2000</v>
      </c>
      <c r="D252" t="n">
        <v>0.92</v>
      </c>
    </row>
    <row r="253">
      <c r="A253" t="s">
        <v>1029</v>
      </c>
      <c r="B253" t="s">
        <v>1119</v>
      </c>
      <c r="C253" t="n">
        <v>2010</v>
      </c>
      <c r="D253" t="n">
        <v>0.98</v>
      </c>
    </row>
    <row r="254">
      <c r="A254" t="s">
        <v>1029</v>
      </c>
      <c r="B254" t="s">
        <v>1119</v>
      </c>
      <c r="C254" t="n">
        <v>2020</v>
      </c>
      <c r="D254" t="n">
        <v>1</v>
      </c>
    </row>
    <row r="255">
      <c r="A255" t="s">
        <v>1029</v>
      </c>
      <c r="B255" t="s">
        <v>1120</v>
      </c>
      <c r="C255" t="n">
        <v>1900</v>
      </c>
      <c r="D255" t="n">
        <v>0</v>
      </c>
    </row>
    <row r="256">
      <c r="A256" t="s">
        <v>1029</v>
      </c>
      <c r="B256" t="s">
        <v>1120</v>
      </c>
      <c r="C256" t="n">
        <v>1920</v>
      </c>
      <c r="D256" t="n">
        <v>0</v>
      </c>
    </row>
    <row r="257">
      <c r="A257" t="s">
        <v>1029</v>
      </c>
      <c r="B257" t="s">
        <v>1120</v>
      </c>
      <c r="C257" t="n">
        <v>1940</v>
      </c>
      <c r="D257" t="n">
        <v>0.03</v>
      </c>
    </row>
    <row r="258">
      <c r="A258" t="s">
        <v>1029</v>
      </c>
      <c r="B258" t="s">
        <v>1120</v>
      </c>
      <c r="C258" t="n">
        <v>1950</v>
      </c>
      <c r="D258" t="n">
        <v>0.05</v>
      </c>
    </row>
    <row r="259">
      <c r="A259" t="s">
        <v>1029</v>
      </c>
      <c r="B259" t="s">
        <v>1120</v>
      </c>
      <c r="C259" t="n">
        <v>1960</v>
      </c>
      <c r="D259" t="n">
        <v>0.15</v>
      </c>
    </row>
    <row r="260">
      <c r="A260" t="s">
        <v>1029</v>
      </c>
      <c r="B260" t="s">
        <v>1120</v>
      </c>
      <c r="C260" t="n">
        <v>1970</v>
      </c>
      <c r="D260" t="n">
        <v>0.4</v>
      </c>
    </row>
    <row r="261">
      <c r="A261" t="s">
        <v>1029</v>
      </c>
      <c r="B261" t="s">
        <v>1120</v>
      </c>
      <c r="C261" t="n">
        <v>1980</v>
      </c>
      <c r="D261" t="n">
        <v>0.65</v>
      </c>
    </row>
    <row r="262">
      <c r="A262" t="s">
        <v>1029</v>
      </c>
      <c r="B262" t="s">
        <v>1120</v>
      </c>
      <c r="C262" t="n">
        <v>1990</v>
      </c>
      <c r="D262" t="n">
        <v>0.85</v>
      </c>
    </row>
    <row r="263">
      <c r="A263" t="s">
        <v>1029</v>
      </c>
      <c r="B263" t="s">
        <v>1120</v>
      </c>
      <c r="C263" t="n">
        <v>2000</v>
      </c>
      <c r="D263" t="n">
        <v>1</v>
      </c>
    </row>
    <row r="264">
      <c r="A264" t="s">
        <v>1029</v>
      </c>
      <c r="B264" t="s">
        <v>1120</v>
      </c>
      <c r="C264" t="n">
        <v>2010</v>
      </c>
      <c r="D264" t="n">
        <v>1</v>
      </c>
    </row>
    <row r="265">
      <c r="A265" t="s">
        <v>1029</v>
      </c>
      <c r="B265" t="s">
        <v>1120</v>
      </c>
      <c r="C265" t="n">
        <v>2020</v>
      </c>
      <c r="D265" t="n">
        <v>1</v>
      </c>
    </row>
    <row r="266">
      <c r="A266" t="s">
        <v>1030</v>
      </c>
      <c r="B266" t="s">
        <v>849</v>
      </c>
      <c r="C266" t="n">
        <v>1900</v>
      </c>
      <c r="D266" t="n">
        <v>0</v>
      </c>
    </row>
    <row r="267">
      <c r="A267" t="s">
        <v>1030</v>
      </c>
      <c r="B267" t="s">
        <v>849</v>
      </c>
      <c r="C267" t="n">
        <v>1920</v>
      </c>
      <c r="D267" t="n">
        <v>0</v>
      </c>
    </row>
    <row r="268">
      <c r="A268" t="s">
        <v>1030</v>
      </c>
      <c r="B268" t="s">
        <v>849</v>
      </c>
      <c r="C268" t="n">
        <v>1940</v>
      </c>
      <c r="D268" t="n">
        <v>0</v>
      </c>
    </row>
    <row r="269">
      <c r="A269" t="s">
        <v>1030</v>
      </c>
      <c r="B269" t="s">
        <v>849</v>
      </c>
      <c r="C269" t="n">
        <v>1950</v>
      </c>
      <c r="D269" t="n">
        <v>0</v>
      </c>
    </row>
    <row r="270">
      <c r="A270" t="s">
        <v>1030</v>
      </c>
      <c r="B270" t="s">
        <v>849</v>
      </c>
      <c r="C270" t="n">
        <v>1960</v>
      </c>
      <c r="D270" t="n">
        <v>0</v>
      </c>
    </row>
    <row r="271">
      <c r="A271" t="s">
        <v>1030</v>
      </c>
      <c r="B271" t="s">
        <v>849</v>
      </c>
      <c r="C271" t="n">
        <v>1970</v>
      </c>
      <c r="D271" t="n">
        <v>0.42</v>
      </c>
    </row>
    <row r="272">
      <c r="A272" t="s">
        <v>1030</v>
      </c>
      <c r="B272" t="s">
        <v>849</v>
      </c>
      <c r="C272" t="n">
        <v>1980</v>
      </c>
      <c r="D272" t="n">
        <v>0.61</v>
      </c>
    </row>
    <row r="273">
      <c r="A273" t="s">
        <v>1030</v>
      </c>
      <c r="B273" t="s">
        <v>849</v>
      </c>
      <c r="C273" t="n">
        <v>1990</v>
      </c>
      <c r="D273" t="n">
        <v>0.88</v>
      </c>
    </row>
    <row r="274">
      <c r="A274" t="s">
        <v>1030</v>
      </c>
      <c r="B274" t="s">
        <v>849</v>
      </c>
      <c r="C274" t="n">
        <v>2000</v>
      </c>
      <c r="D274" t="n">
        <v>0.9</v>
      </c>
    </row>
    <row r="275">
      <c r="A275" t="s">
        <v>1030</v>
      </c>
      <c r="B275" t="s">
        <v>849</v>
      </c>
      <c r="C275" t="n">
        <v>2010</v>
      </c>
      <c r="D275" t="n">
        <v>0.93</v>
      </c>
    </row>
    <row r="276">
      <c r="A276" t="s">
        <v>1030</v>
      </c>
      <c r="B276" t="s">
        <v>849</v>
      </c>
      <c r="C276" t="n">
        <v>2020</v>
      </c>
      <c r="D276" t="n">
        <v>0.95</v>
      </c>
    </row>
    <row r="277">
      <c r="A277" t="s">
        <v>1030</v>
      </c>
      <c r="B277" t="s">
        <v>853</v>
      </c>
      <c r="C277" t="n">
        <v>1900</v>
      </c>
      <c r="D277" t="n">
        <v>0</v>
      </c>
    </row>
    <row r="278">
      <c r="A278" t="s">
        <v>1030</v>
      </c>
      <c r="B278" t="s">
        <v>853</v>
      </c>
      <c r="C278" t="n">
        <v>1920</v>
      </c>
      <c r="D278" t="n">
        <v>0</v>
      </c>
    </row>
    <row r="279">
      <c r="A279" t="s">
        <v>1030</v>
      </c>
      <c r="B279" t="s">
        <v>853</v>
      </c>
      <c r="C279" t="n">
        <v>1940</v>
      </c>
      <c r="D279" t="n">
        <v>0</v>
      </c>
    </row>
    <row r="280">
      <c r="A280" t="s">
        <v>1030</v>
      </c>
      <c r="B280" t="s">
        <v>853</v>
      </c>
      <c r="C280" t="n">
        <v>1950</v>
      </c>
      <c r="D280" t="n">
        <v>0</v>
      </c>
    </row>
    <row r="281">
      <c r="A281" t="s">
        <v>1030</v>
      </c>
      <c r="B281" t="s">
        <v>853</v>
      </c>
      <c r="C281" t="n">
        <v>1960</v>
      </c>
      <c r="D281" t="n">
        <v>0</v>
      </c>
    </row>
    <row r="282">
      <c r="A282" t="s">
        <v>1030</v>
      </c>
      <c r="B282" t="s">
        <v>853</v>
      </c>
      <c r="C282" t="n">
        <v>1970</v>
      </c>
      <c r="D282" t="n">
        <v>0.12</v>
      </c>
    </row>
    <row r="283">
      <c r="A283" t="s">
        <v>1030</v>
      </c>
      <c r="B283" t="s">
        <v>853</v>
      </c>
      <c r="C283" t="n">
        <v>1980</v>
      </c>
      <c r="D283" t="n">
        <v>0.47</v>
      </c>
    </row>
    <row r="284">
      <c r="A284" t="s">
        <v>1030</v>
      </c>
      <c r="B284" t="s">
        <v>853</v>
      </c>
      <c r="C284" t="n">
        <v>1990</v>
      </c>
      <c r="D284" t="n">
        <v>0.62</v>
      </c>
    </row>
    <row r="285">
      <c r="A285" t="s">
        <v>1030</v>
      </c>
      <c r="B285" t="s">
        <v>853</v>
      </c>
      <c r="C285" t="n">
        <v>2000</v>
      </c>
      <c r="D285" t="n">
        <v>0.73</v>
      </c>
    </row>
    <row r="286">
      <c r="A286" t="s">
        <v>1030</v>
      </c>
      <c r="B286" t="s">
        <v>853</v>
      </c>
      <c r="C286" t="n">
        <v>2010</v>
      </c>
      <c r="D286" t="n">
        <v>0.8</v>
      </c>
    </row>
    <row r="287">
      <c r="A287" t="s">
        <v>1030</v>
      </c>
      <c r="B287" t="s">
        <v>853</v>
      </c>
      <c r="C287" t="n">
        <v>2020</v>
      </c>
      <c r="D287" t="n">
        <v>0.85</v>
      </c>
    </row>
    <row r="288">
      <c r="A288" t="s">
        <v>1030</v>
      </c>
      <c r="B288" t="s">
        <v>852</v>
      </c>
      <c r="C288" t="n">
        <v>1900</v>
      </c>
      <c r="D288" t="n">
        <v>0</v>
      </c>
    </row>
    <row r="289">
      <c r="A289" t="s">
        <v>1030</v>
      </c>
      <c r="B289" t="s">
        <v>852</v>
      </c>
      <c r="C289" t="n">
        <v>1920</v>
      </c>
      <c r="D289" t="n">
        <v>0</v>
      </c>
    </row>
    <row r="290">
      <c r="A290" t="s">
        <v>1030</v>
      </c>
      <c r="B290" t="s">
        <v>852</v>
      </c>
      <c r="C290" t="n">
        <v>1940</v>
      </c>
      <c r="D290" t="n">
        <v>0</v>
      </c>
    </row>
    <row r="291">
      <c r="A291" t="s">
        <v>1030</v>
      </c>
      <c r="B291" t="s">
        <v>852</v>
      </c>
      <c r="C291" t="n">
        <v>1950</v>
      </c>
      <c r="D291" t="n">
        <v>0</v>
      </c>
    </row>
    <row r="292">
      <c r="A292" t="s">
        <v>1030</v>
      </c>
      <c r="B292" t="s">
        <v>852</v>
      </c>
      <c r="C292" t="n">
        <v>1960</v>
      </c>
      <c r="D292" t="n">
        <v>0</v>
      </c>
    </row>
    <row r="293">
      <c r="A293" t="s">
        <v>1030</v>
      </c>
      <c r="B293" t="s">
        <v>852</v>
      </c>
      <c r="C293" t="n">
        <v>1970</v>
      </c>
      <c r="D293" t="n">
        <v>0.02</v>
      </c>
    </row>
    <row r="294">
      <c r="A294" t="s">
        <v>1030</v>
      </c>
      <c r="B294" t="s">
        <v>852</v>
      </c>
      <c r="C294" t="n">
        <v>1980</v>
      </c>
      <c r="D294" t="n">
        <v>0.1</v>
      </c>
    </row>
    <row r="295">
      <c r="A295" t="s">
        <v>1030</v>
      </c>
      <c r="B295" t="s">
        <v>852</v>
      </c>
      <c r="C295" t="n">
        <v>1990</v>
      </c>
      <c r="D295" t="n">
        <v>0.26</v>
      </c>
    </row>
    <row r="296">
      <c r="A296" t="s">
        <v>1030</v>
      </c>
      <c r="B296" t="s">
        <v>852</v>
      </c>
      <c r="C296" t="n">
        <v>2000</v>
      </c>
      <c r="D296" t="n">
        <v>0.45</v>
      </c>
    </row>
    <row r="297">
      <c r="A297" t="s">
        <v>1030</v>
      </c>
      <c r="B297" t="s">
        <v>852</v>
      </c>
      <c r="C297" t="n">
        <v>2010</v>
      </c>
      <c r="D297" t="n">
        <v>0.58</v>
      </c>
    </row>
    <row r="298">
      <c r="A298" t="s">
        <v>1030</v>
      </c>
      <c r="B298" t="s">
        <v>852</v>
      </c>
      <c r="C298" t="n">
        <v>2020</v>
      </c>
      <c r="D298" t="n">
        <v>0.68</v>
      </c>
    </row>
    <row r="299">
      <c r="A299" t="s">
        <v>1030</v>
      </c>
      <c r="B299" t="s">
        <v>1117</v>
      </c>
      <c r="C299" t="n">
        <v>1900</v>
      </c>
      <c r="D299" t="n">
        <v>0</v>
      </c>
    </row>
    <row r="300">
      <c r="A300" t="s">
        <v>1030</v>
      </c>
      <c r="B300" t="s">
        <v>1117</v>
      </c>
      <c r="C300" t="n">
        <v>1920</v>
      </c>
      <c r="D300" t="n">
        <v>0</v>
      </c>
    </row>
    <row r="301">
      <c r="A301" t="s">
        <v>1030</v>
      </c>
      <c r="B301" t="s">
        <v>1117</v>
      </c>
      <c r="C301" t="n">
        <v>1940</v>
      </c>
      <c r="D301" t="n">
        <v>0</v>
      </c>
    </row>
    <row r="302">
      <c r="A302" t="s">
        <v>1030</v>
      </c>
      <c r="B302" t="s">
        <v>1117</v>
      </c>
      <c r="C302" t="n">
        <v>1950</v>
      </c>
      <c r="D302" t="n">
        <v>0</v>
      </c>
    </row>
    <row r="303">
      <c r="A303" t="s">
        <v>1030</v>
      </c>
      <c r="B303" t="s">
        <v>1117</v>
      </c>
      <c r="C303" t="n">
        <v>1960</v>
      </c>
      <c r="D303" t="n">
        <v>0</v>
      </c>
    </row>
    <row r="304">
      <c r="A304" t="s">
        <v>1030</v>
      </c>
      <c r="B304" t="s">
        <v>1117</v>
      </c>
      <c r="C304" t="n">
        <v>1970</v>
      </c>
      <c r="D304" t="n">
        <v>0.01</v>
      </c>
    </row>
    <row r="305">
      <c r="A305" t="s">
        <v>1030</v>
      </c>
      <c r="B305" t="s">
        <v>1117</v>
      </c>
      <c r="C305" t="n">
        <v>1980</v>
      </c>
      <c r="D305" t="n">
        <v>0.05</v>
      </c>
    </row>
    <row r="306">
      <c r="A306" t="s">
        <v>1030</v>
      </c>
      <c r="B306" t="s">
        <v>1117</v>
      </c>
      <c r="C306" t="n">
        <v>1990</v>
      </c>
      <c r="D306" t="n">
        <v>0.26</v>
      </c>
    </row>
    <row r="307">
      <c r="A307" t="s">
        <v>1030</v>
      </c>
      <c r="B307" t="s">
        <v>1117</v>
      </c>
      <c r="C307" t="n">
        <v>2000</v>
      </c>
      <c r="D307" t="n">
        <v>0.5</v>
      </c>
    </row>
    <row r="308">
      <c r="A308" t="s">
        <v>1030</v>
      </c>
      <c r="B308" t="s">
        <v>1117</v>
      </c>
      <c r="C308" t="n">
        <v>2010</v>
      </c>
      <c r="D308" t="n">
        <v>0.6</v>
      </c>
    </row>
    <row r="309">
      <c r="A309" t="s">
        <v>1030</v>
      </c>
      <c r="B309" t="s">
        <v>1117</v>
      </c>
      <c r="C309" t="n">
        <v>2020</v>
      </c>
      <c r="D309" t="n">
        <v>0.7</v>
      </c>
    </row>
    <row r="310">
      <c r="A310" t="s">
        <v>1030</v>
      </c>
      <c r="B310" t="s">
        <v>1118</v>
      </c>
      <c r="C310" t="n">
        <v>1900</v>
      </c>
      <c r="D310" t="n">
        <v>0</v>
      </c>
    </row>
    <row r="311">
      <c r="A311" t="s">
        <v>1030</v>
      </c>
      <c r="B311" t="s">
        <v>1118</v>
      </c>
      <c r="C311" t="n">
        <v>1920</v>
      </c>
      <c r="D311" t="n">
        <v>0</v>
      </c>
    </row>
    <row r="312">
      <c r="A312" t="s">
        <v>1030</v>
      </c>
      <c r="B312" t="s">
        <v>1118</v>
      </c>
      <c r="C312" t="n">
        <v>1940</v>
      </c>
      <c r="D312" t="n">
        <v>0</v>
      </c>
    </row>
    <row r="313">
      <c r="A313" t="s">
        <v>1030</v>
      </c>
      <c r="B313" t="s">
        <v>1118</v>
      </c>
      <c r="C313" t="n">
        <v>1950</v>
      </c>
      <c r="D313" t="n">
        <v>0</v>
      </c>
    </row>
    <row r="314">
      <c r="A314" t="s">
        <v>1030</v>
      </c>
      <c r="B314" t="s">
        <v>1118</v>
      </c>
      <c r="C314" t="n">
        <v>1960</v>
      </c>
      <c r="D314" t="n">
        <v>0</v>
      </c>
    </row>
    <row r="315">
      <c r="A315" t="s">
        <v>1030</v>
      </c>
      <c r="B315" t="s">
        <v>1118</v>
      </c>
      <c r="C315" t="n">
        <v>1970</v>
      </c>
      <c r="D315" t="n">
        <v>0</v>
      </c>
    </row>
    <row r="316">
      <c r="A316" t="s">
        <v>1030</v>
      </c>
      <c r="B316" t="s">
        <v>1118</v>
      </c>
      <c r="C316" t="n">
        <v>1980</v>
      </c>
      <c r="D316" t="n">
        <v>0.01</v>
      </c>
    </row>
    <row r="317">
      <c r="A317" t="s">
        <v>1030</v>
      </c>
      <c r="B317" t="s">
        <v>1118</v>
      </c>
      <c r="C317" t="n">
        <v>1990</v>
      </c>
      <c r="D317" t="n">
        <v>0.02</v>
      </c>
    </row>
    <row r="318">
      <c r="A318" t="s">
        <v>1030</v>
      </c>
      <c r="B318" t="s">
        <v>1118</v>
      </c>
      <c r="C318" t="n">
        <v>2000</v>
      </c>
      <c r="D318" t="n">
        <v>0.05</v>
      </c>
    </row>
    <row r="319">
      <c r="A319" t="s">
        <v>1030</v>
      </c>
      <c r="B319" t="s">
        <v>1118</v>
      </c>
      <c r="C319" t="n">
        <v>2010</v>
      </c>
      <c r="D319" t="n">
        <v>0.12</v>
      </c>
    </row>
    <row r="320">
      <c r="A320" t="s">
        <v>1030</v>
      </c>
      <c r="B320" t="s">
        <v>1118</v>
      </c>
      <c r="C320" t="n">
        <v>2020</v>
      </c>
      <c r="D320" t="n">
        <v>0.2</v>
      </c>
    </row>
    <row r="321">
      <c r="A321" t="s">
        <v>1030</v>
      </c>
      <c r="B321" t="s">
        <v>1121</v>
      </c>
      <c r="C321" t="n">
        <v>1900</v>
      </c>
      <c r="D321" t="n">
        <v>0</v>
      </c>
    </row>
    <row r="322">
      <c r="A322" t="s">
        <v>1030</v>
      </c>
      <c r="B322" t="s">
        <v>1121</v>
      </c>
      <c r="C322" t="n">
        <v>1920</v>
      </c>
      <c r="D322" t="n">
        <v>0</v>
      </c>
    </row>
    <row r="323">
      <c r="A323" t="s">
        <v>1030</v>
      </c>
      <c r="B323" t="s">
        <v>1121</v>
      </c>
      <c r="C323" t="n">
        <v>1940</v>
      </c>
      <c r="D323" t="n">
        <v>0</v>
      </c>
    </row>
    <row r="324">
      <c r="A324" t="s">
        <v>1030</v>
      </c>
      <c r="B324" t="s">
        <v>1121</v>
      </c>
      <c r="C324" t="n">
        <v>1950</v>
      </c>
      <c r="D324" t="n">
        <v>0</v>
      </c>
    </row>
    <row r="325">
      <c r="A325" t="s">
        <v>1030</v>
      </c>
      <c r="B325" t="s">
        <v>1121</v>
      </c>
      <c r="C325" t="n">
        <v>1960</v>
      </c>
      <c r="D325" t="n">
        <v>0</v>
      </c>
    </row>
    <row r="326">
      <c r="A326" t="s">
        <v>1030</v>
      </c>
      <c r="B326" t="s">
        <v>1121</v>
      </c>
      <c r="C326" t="n">
        <v>1970</v>
      </c>
      <c r="D326" t="n">
        <v>0</v>
      </c>
    </row>
    <row r="327">
      <c r="A327" t="s">
        <v>1030</v>
      </c>
      <c r="B327" t="s">
        <v>1121</v>
      </c>
      <c r="C327" t="n">
        <v>1980</v>
      </c>
      <c r="D327" t="n">
        <v>0.05</v>
      </c>
    </row>
    <row r="328">
      <c r="A328" t="s">
        <v>1030</v>
      </c>
      <c r="B328" t="s">
        <v>1121</v>
      </c>
      <c r="C328" t="n">
        <v>1990</v>
      </c>
      <c r="D328" t="n">
        <v>0.05</v>
      </c>
    </row>
    <row r="329">
      <c r="A329" t="s">
        <v>1030</v>
      </c>
      <c r="B329" t="s">
        <v>1121</v>
      </c>
      <c r="C329" t="n">
        <v>2000</v>
      </c>
      <c r="D329" t="n">
        <v>0.5</v>
      </c>
    </row>
    <row r="330">
      <c r="A330" t="s">
        <v>1030</v>
      </c>
      <c r="B330" t="s">
        <v>1121</v>
      </c>
      <c r="C330" t="n">
        <v>2010</v>
      </c>
      <c r="D330" t="n">
        <v>0.65</v>
      </c>
    </row>
    <row r="331">
      <c r="A331" t="s">
        <v>1030</v>
      </c>
      <c r="B331" t="s">
        <v>1121</v>
      </c>
      <c r="C331" t="n">
        <v>2020</v>
      </c>
      <c r="D331" t="n">
        <v>0.75</v>
      </c>
    </row>
    <row r="332">
      <c r="A332" t="s">
        <v>1030</v>
      </c>
      <c r="B332" t="s">
        <v>1119</v>
      </c>
      <c r="C332" t="n">
        <v>1900</v>
      </c>
      <c r="D332" t="n">
        <v>0</v>
      </c>
    </row>
    <row r="333">
      <c r="A333" t="s">
        <v>1030</v>
      </c>
      <c r="B333" t="s">
        <v>1119</v>
      </c>
      <c r="C333" t="n">
        <v>1920</v>
      </c>
      <c r="D333" t="n">
        <v>0</v>
      </c>
    </row>
    <row r="334">
      <c r="A334" t="s">
        <v>1030</v>
      </c>
      <c r="B334" t="s">
        <v>1119</v>
      </c>
      <c r="C334" t="n">
        <v>1940</v>
      </c>
      <c r="D334" t="n">
        <v>0</v>
      </c>
    </row>
    <row r="335">
      <c r="A335" t="s">
        <v>1030</v>
      </c>
      <c r="B335" t="s">
        <v>1119</v>
      </c>
      <c r="C335" t="n">
        <v>1950</v>
      </c>
      <c r="D335" t="n">
        <v>0</v>
      </c>
    </row>
    <row r="336">
      <c r="A336" t="s">
        <v>1030</v>
      </c>
      <c r="B336" t="s">
        <v>1119</v>
      </c>
      <c r="C336" t="n">
        <v>1960</v>
      </c>
      <c r="D336" t="n">
        <v>0</v>
      </c>
    </row>
    <row r="337">
      <c r="A337" t="s">
        <v>1030</v>
      </c>
      <c r="B337" t="s">
        <v>1119</v>
      </c>
      <c r="C337" t="n">
        <v>1970</v>
      </c>
      <c r="D337" t="n">
        <v>0.05</v>
      </c>
    </row>
    <row r="338">
      <c r="A338" t="s">
        <v>1030</v>
      </c>
      <c r="B338" t="s">
        <v>1119</v>
      </c>
      <c r="C338" t="n">
        <v>1980</v>
      </c>
      <c r="D338" t="n">
        <v>0.15</v>
      </c>
    </row>
    <row r="339">
      <c r="A339" t="s">
        <v>1030</v>
      </c>
      <c r="B339" t="s">
        <v>1119</v>
      </c>
      <c r="C339" t="n">
        <v>1990</v>
      </c>
      <c r="D339" t="n">
        <v>0.35</v>
      </c>
    </row>
    <row r="340">
      <c r="A340" t="s">
        <v>1030</v>
      </c>
      <c r="B340" t="s">
        <v>1119</v>
      </c>
      <c r="C340" t="n">
        <v>2000</v>
      </c>
      <c r="D340" t="n">
        <v>0.55</v>
      </c>
    </row>
    <row r="341">
      <c r="A341" t="s">
        <v>1030</v>
      </c>
      <c r="B341" t="s">
        <v>1119</v>
      </c>
      <c r="C341" t="n">
        <v>2010</v>
      </c>
      <c r="D341" t="n">
        <v>0.68</v>
      </c>
    </row>
    <row r="342">
      <c r="A342" t="s">
        <v>1030</v>
      </c>
      <c r="B342" t="s">
        <v>1119</v>
      </c>
      <c r="C342" t="n">
        <v>2020</v>
      </c>
      <c r="D342" t="n">
        <v>0.78</v>
      </c>
    </row>
    <row r="343">
      <c r="A343" t="s">
        <v>1030</v>
      </c>
      <c r="B343" t="s">
        <v>1120</v>
      </c>
      <c r="C343" t="n">
        <v>1900</v>
      </c>
      <c r="D343" t="n">
        <v>0</v>
      </c>
    </row>
    <row r="344">
      <c r="A344" t="s">
        <v>1030</v>
      </c>
      <c r="B344" t="s">
        <v>1120</v>
      </c>
      <c r="C344" t="n">
        <v>1920</v>
      </c>
      <c r="D344" t="n">
        <v>0</v>
      </c>
    </row>
    <row r="345">
      <c r="A345" t="s">
        <v>1030</v>
      </c>
      <c r="B345" t="s">
        <v>1120</v>
      </c>
      <c r="C345" t="n">
        <v>1940</v>
      </c>
      <c r="D345" t="n">
        <v>0</v>
      </c>
    </row>
    <row r="346">
      <c r="A346" t="s">
        <v>1030</v>
      </c>
      <c r="B346" t="s">
        <v>1120</v>
      </c>
      <c r="C346" t="n">
        <v>1950</v>
      </c>
      <c r="D346" t="n">
        <v>0</v>
      </c>
    </row>
    <row r="347">
      <c r="A347" t="s">
        <v>1030</v>
      </c>
      <c r="B347" t="s">
        <v>1120</v>
      </c>
      <c r="C347" t="n">
        <v>1960</v>
      </c>
      <c r="D347" t="n">
        <v>0</v>
      </c>
    </row>
    <row r="348">
      <c r="A348" t="s">
        <v>1030</v>
      </c>
      <c r="B348" t="s">
        <v>1120</v>
      </c>
      <c r="C348" t="n">
        <v>1970</v>
      </c>
      <c r="D348" t="n">
        <v>0.13</v>
      </c>
    </row>
    <row r="349">
      <c r="A349" t="s">
        <v>1030</v>
      </c>
      <c r="B349" t="s">
        <v>1120</v>
      </c>
      <c r="C349" t="n">
        <v>1980</v>
      </c>
      <c r="D349" t="n">
        <v>0.32</v>
      </c>
    </row>
    <row r="350">
      <c r="A350" t="s">
        <v>1030</v>
      </c>
      <c r="B350" t="s">
        <v>1120</v>
      </c>
      <c r="C350" t="n">
        <v>1990</v>
      </c>
      <c r="D350" t="n">
        <v>0.51</v>
      </c>
    </row>
    <row r="351">
      <c r="A351" t="s">
        <v>1030</v>
      </c>
      <c r="B351" t="s">
        <v>1120</v>
      </c>
      <c r="C351" t="n">
        <v>2000</v>
      </c>
      <c r="D351" t="n">
        <v>0.65</v>
      </c>
    </row>
    <row r="352">
      <c r="A352" t="s">
        <v>1030</v>
      </c>
      <c r="B352" t="s">
        <v>1120</v>
      </c>
      <c r="C352" t="n">
        <v>2010</v>
      </c>
      <c r="D352" t="n">
        <v>0.75</v>
      </c>
    </row>
    <row r="353">
      <c r="A353" t="s">
        <v>1030</v>
      </c>
      <c r="B353" t="s">
        <v>1120</v>
      </c>
      <c r="C353" t="n">
        <v>2020</v>
      </c>
      <c r="D353" t="n">
        <v>0.82</v>
      </c>
    </row>
    <row r="354">
      <c r="A354" t="s">
        <v>1031</v>
      </c>
      <c r="B354" t="s">
        <v>849</v>
      </c>
      <c r="C354" t="n">
        <v>1900</v>
      </c>
      <c r="D354" t="n">
        <v>0</v>
      </c>
    </row>
    <row r="355">
      <c r="A355" t="s">
        <v>1031</v>
      </c>
      <c r="B355" t="s">
        <v>849</v>
      </c>
      <c r="C355" t="n">
        <v>1920</v>
      </c>
      <c r="D355" t="n">
        <v>0</v>
      </c>
    </row>
    <row r="356">
      <c r="A356" t="s">
        <v>1031</v>
      </c>
      <c r="B356" t="s">
        <v>849</v>
      </c>
      <c r="C356" t="n">
        <v>1940</v>
      </c>
      <c r="D356" t="n">
        <v>0.02</v>
      </c>
    </row>
    <row r="357">
      <c r="A357" t="s">
        <v>1031</v>
      </c>
      <c r="B357" t="s">
        <v>849</v>
      </c>
      <c r="C357" t="n">
        <v>1950</v>
      </c>
      <c r="D357" t="n">
        <v>0.05</v>
      </c>
    </row>
    <row r="358">
      <c r="A358" t="s">
        <v>1031</v>
      </c>
      <c r="B358" t="s">
        <v>849</v>
      </c>
      <c r="C358" t="n">
        <v>1960</v>
      </c>
      <c r="D358" t="n">
        <v>0.15</v>
      </c>
    </row>
    <row r="359">
      <c r="A359" t="s">
        <v>1031</v>
      </c>
      <c r="B359" t="s">
        <v>849</v>
      </c>
      <c r="C359" t="n">
        <v>1970</v>
      </c>
      <c r="D359" t="n">
        <v>0.3</v>
      </c>
    </row>
    <row r="360">
      <c r="A360" t="s">
        <v>1031</v>
      </c>
      <c r="B360" t="s">
        <v>849</v>
      </c>
      <c r="C360" t="n">
        <v>1980</v>
      </c>
      <c r="D360" t="n">
        <v>0.7</v>
      </c>
    </row>
    <row r="361">
      <c r="A361" t="s">
        <v>1031</v>
      </c>
      <c r="B361" t="s">
        <v>849</v>
      </c>
      <c r="C361" t="n">
        <v>1990</v>
      </c>
      <c r="D361" t="n">
        <v>0.95</v>
      </c>
    </row>
    <row r="362">
      <c r="A362" t="s">
        <v>1031</v>
      </c>
      <c r="B362" t="s">
        <v>849</v>
      </c>
      <c r="C362" t="n">
        <v>2000</v>
      </c>
      <c r="D362" t="n">
        <v>0.95</v>
      </c>
    </row>
    <row r="363">
      <c r="A363" t="s">
        <v>1031</v>
      </c>
      <c r="B363" t="s">
        <v>849</v>
      </c>
      <c r="C363" t="n">
        <v>2010</v>
      </c>
      <c r="D363" t="n">
        <v>0.97</v>
      </c>
    </row>
    <row r="364">
      <c r="A364" t="s">
        <v>1031</v>
      </c>
      <c r="B364" t="s">
        <v>849</v>
      </c>
      <c r="C364" t="n">
        <v>2020</v>
      </c>
      <c r="D364" t="n">
        <v>1</v>
      </c>
    </row>
    <row r="365">
      <c r="A365" t="s">
        <v>1031</v>
      </c>
      <c r="B365" t="s">
        <v>853</v>
      </c>
      <c r="C365" t="n">
        <v>1900</v>
      </c>
      <c r="D365" t="n">
        <v>0</v>
      </c>
    </row>
    <row r="366">
      <c r="A366" t="s">
        <v>1031</v>
      </c>
      <c r="B366" t="s">
        <v>853</v>
      </c>
      <c r="C366" t="n">
        <v>1920</v>
      </c>
      <c r="D366" t="n">
        <v>0</v>
      </c>
    </row>
    <row r="367">
      <c r="A367" t="s">
        <v>1031</v>
      </c>
      <c r="B367" t="s">
        <v>853</v>
      </c>
      <c r="C367" t="n">
        <v>1940</v>
      </c>
      <c r="D367" t="n">
        <v>0</v>
      </c>
    </row>
    <row r="368">
      <c r="A368" t="s">
        <v>1031</v>
      </c>
      <c r="B368" t="s">
        <v>853</v>
      </c>
      <c r="C368" t="n">
        <v>1950</v>
      </c>
      <c r="D368" t="n">
        <v>0</v>
      </c>
    </row>
    <row r="369">
      <c r="A369" t="s">
        <v>1031</v>
      </c>
      <c r="B369" t="s">
        <v>853</v>
      </c>
      <c r="C369" t="n">
        <v>1960</v>
      </c>
      <c r="D369" t="n">
        <v>0</v>
      </c>
    </row>
    <row r="370">
      <c r="A370" t="s">
        <v>1031</v>
      </c>
      <c r="B370" t="s">
        <v>853</v>
      </c>
      <c r="C370" t="n">
        <v>1970</v>
      </c>
      <c r="D370" t="n">
        <v>0.12</v>
      </c>
    </row>
    <row r="371">
      <c r="A371" t="s">
        <v>1031</v>
      </c>
      <c r="B371" t="s">
        <v>853</v>
      </c>
      <c r="C371" t="n">
        <v>1980</v>
      </c>
      <c r="D371" t="n">
        <v>0.46</v>
      </c>
    </row>
    <row r="372">
      <c r="A372" t="s">
        <v>1031</v>
      </c>
      <c r="B372" t="s">
        <v>853</v>
      </c>
      <c r="C372" t="n">
        <v>1990</v>
      </c>
      <c r="D372" t="n">
        <v>0.67</v>
      </c>
    </row>
    <row r="373">
      <c r="A373" t="s">
        <v>1031</v>
      </c>
      <c r="B373" t="s">
        <v>853</v>
      </c>
      <c r="C373" t="n">
        <v>2000</v>
      </c>
      <c r="D373" t="n">
        <v>0.85</v>
      </c>
    </row>
    <row r="374">
      <c r="A374" t="s">
        <v>1031</v>
      </c>
      <c r="B374" t="s">
        <v>853</v>
      </c>
      <c r="C374" t="n">
        <v>2010</v>
      </c>
      <c r="D374" t="n">
        <v>0.92</v>
      </c>
    </row>
    <row r="375">
      <c r="A375" t="s">
        <v>1031</v>
      </c>
      <c r="B375" t="s">
        <v>853</v>
      </c>
      <c r="C375" t="n">
        <v>2020</v>
      </c>
      <c r="D375" t="n">
        <v>0.96</v>
      </c>
    </row>
    <row r="376">
      <c r="A376" t="s">
        <v>1031</v>
      </c>
      <c r="B376" t="s">
        <v>852</v>
      </c>
      <c r="C376" t="n">
        <v>1900</v>
      </c>
      <c r="D376" t="n">
        <v>0</v>
      </c>
    </row>
    <row r="377">
      <c r="A377" t="s">
        <v>1031</v>
      </c>
      <c r="B377" t="s">
        <v>852</v>
      </c>
      <c r="C377" t="n">
        <v>1920</v>
      </c>
      <c r="D377" t="n">
        <v>0</v>
      </c>
    </row>
    <row r="378">
      <c r="A378" t="s">
        <v>1031</v>
      </c>
      <c r="B378" t="s">
        <v>852</v>
      </c>
      <c r="C378" t="n">
        <v>1940</v>
      </c>
      <c r="D378" t="n">
        <v>0</v>
      </c>
    </row>
    <row r="379">
      <c r="A379" t="s">
        <v>1031</v>
      </c>
      <c r="B379" t="s">
        <v>852</v>
      </c>
      <c r="C379" t="n">
        <v>1950</v>
      </c>
      <c r="D379" t="n">
        <v>0</v>
      </c>
    </row>
    <row r="380">
      <c r="A380" t="s">
        <v>1031</v>
      </c>
      <c r="B380" t="s">
        <v>852</v>
      </c>
      <c r="C380" t="n">
        <v>1960</v>
      </c>
      <c r="D380" t="n">
        <v>0.08</v>
      </c>
    </row>
    <row r="381">
      <c r="A381" t="s">
        <v>1031</v>
      </c>
      <c r="B381" t="s">
        <v>852</v>
      </c>
      <c r="C381" t="n">
        <v>1970</v>
      </c>
      <c r="D381" t="n">
        <v>0.2</v>
      </c>
    </row>
    <row r="382">
      <c r="A382" t="s">
        <v>1031</v>
      </c>
      <c r="B382" t="s">
        <v>852</v>
      </c>
      <c r="C382" t="n">
        <v>1980</v>
      </c>
      <c r="D382" t="n">
        <v>0.57</v>
      </c>
    </row>
    <row r="383">
      <c r="A383" t="s">
        <v>1031</v>
      </c>
      <c r="B383" t="s">
        <v>852</v>
      </c>
      <c r="C383" t="n">
        <v>1990</v>
      </c>
      <c r="D383" t="n">
        <v>0.68</v>
      </c>
    </row>
    <row r="384">
      <c r="A384" t="s">
        <v>1031</v>
      </c>
      <c r="B384" t="s">
        <v>852</v>
      </c>
      <c r="C384" t="n">
        <v>2000</v>
      </c>
      <c r="D384" t="n">
        <v>0.85</v>
      </c>
    </row>
    <row r="385">
      <c r="A385" t="s">
        <v>1031</v>
      </c>
      <c r="B385" t="s">
        <v>852</v>
      </c>
      <c r="C385" t="n">
        <v>2010</v>
      </c>
      <c r="D385" t="n">
        <v>0.92</v>
      </c>
    </row>
    <row r="386">
      <c r="A386" t="s">
        <v>1031</v>
      </c>
      <c r="B386" t="s">
        <v>852</v>
      </c>
      <c r="C386" t="n">
        <v>2020</v>
      </c>
      <c r="D386" t="n">
        <v>0.96</v>
      </c>
    </row>
    <row r="387">
      <c r="A387" t="s">
        <v>1031</v>
      </c>
      <c r="B387" t="s">
        <v>1117</v>
      </c>
      <c r="C387" t="n">
        <v>1900</v>
      </c>
      <c r="D387" t="n">
        <v>0</v>
      </c>
    </row>
    <row r="388">
      <c r="A388" t="s">
        <v>1031</v>
      </c>
      <c r="B388" t="s">
        <v>1117</v>
      </c>
      <c r="C388" t="n">
        <v>1920</v>
      </c>
      <c r="D388" t="n">
        <v>0</v>
      </c>
    </row>
    <row r="389">
      <c r="A389" t="s">
        <v>1031</v>
      </c>
      <c r="B389" t="s">
        <v>1117</v>
      </c>
      <c r="C389" t="n">
        <v>1940</v>
      </c>
      <c r="D389" t="n">
        <v>0</v>
      </c>
    </row>
    <row r="390">
      <c r="A390" t="s">
        <v>1031</v>
      </c>
      <c r="B390" t="s">
        <v>1117</v>
      </c>
      <c r="C390" t="n">
        <v>1950</v>
      </c>
      <c r="D390" t="n">
        <v>0</v>
      </c>
    </row>
    <row r="391">
      <c r="A391" t="s">
        <v>1031</v>
      </c>
      <c r="B391" t="s">
        <v>1117</v>
      </c>
      <c r="C391" t="n">
        <v>1960</v>
      </c>
      <c r="D391" t="n">
        <v>0</v>
      </c>
    </row>
    <row r="392">
      <c r="A392" t="s">
        <v>1031</v>
      </c>
      <c r="B392" t="s">
        <v>1117</v>
      </c>
      <c r="C392" t="n">
        <v>1970</v>
      </c>
      <c r="D392" t="n">
        <v>0.05</v>
      </c>
    </row>
    <row r="393">
      <c r="A393" t="s">
        <v>1031</v>
      </c>
      <c r="B393" t="s">
        <v>1117</v>
      </c>
      <c r="C393" t="n">
        <v>1980</v>
      </c>
      <c r="D393" t="n">
        <v>0.2</v>
      </c>
    </row>
    <row r="394">
      <c r="A394" t="s">
        <v>1031</v>
      </c>
      <c r="B394" t="s">
        <v>1117</v>
      </c>
      <c r="C394" t="n">
        <v>1990</v>
      </c>
      <c r="D394" t="n">
        <v>0.4</v>
      </c>
    </row>
    <row r="395">
      <c r="A395" t="s">
        <v>1031</v>
      </c>
      <c r="B395" t="s">
        <v>1117</v>
      </c>
      <c r="C395" t="n">
        <v>2000</v>
      </c>
      <c r="D395" t="n">
        <v>0.62</v>
      </c>
    </row>
    <row r="396">
      <c r="A396" t="s">
        <v>1031</v>
      </c>
      <c r="B396" t="s">
        <v>1117</v>
      </c>
      <c r="C396" t="n">
        <v>2010</v>
      </c>
      <c r="D396" t="n">
        <v>0.72</v>
      </c>
    </row>
    <row r="397">
      <c r="A397" t="s">
        <v>1031</v>
      </c>
      <c r="B397" t="s">
        <v>1117</v>
      </c>
      <c r="C397" t="n">
        <v>2020</v>
      </c>
      <c r="D397" t="n">
        <v>0.8</v>
      </c>
    </row>
    <row r="398">
      <c r="A398" t="s">
        <v>1031</v>
      </c>
      <c r="B398" t="s">
        <v>1118</v>
      </c>
      <c r="C398" t="n">
        <v>1900</v>
      </c>
      <c r="D398" t="n">
        <v>0</v>
      </c>
    </row>
    <row r="399">
      <c r="A399" t="s">
        <v>1031</v>
      </c>
      <c r="B399" t="s">
        <v>1118</v>
      </c>
      <c r="C399" t="n">
        <v>1920</v>
      </c>
      <c r="D399" t="n">
        <v>0</v>
      </c>
    </row>
    <row r="400">
      <c r="A400" t="s">
        <v>1031</v>
      </c>
      <c r="B400" t="s">
        <v>1118</v>
      </c>
      <c r="C400" t="n">
        <v>1940</v>
      </c>
      <c r="D400" t="n">
        <v>0</v>
      </c>
    </row>
    <row r="401">
      <c r="A401" t="s">
        <v>1031</v>
      </c>
      <c r="B401" t="s">
        <v>1118</v>
      </c>
      <c r="C401" t="n">
        <v>1950</v>
      </c>
      <c r="D401" t="n">
        <v>0</v>
      </c>
    </row>
    <row r="402">
      <c r="A402" t="s">
        <v>1031</v>
      </c>
      <c r="B402" t="s">
        <v>1118</v>
      </c>
      <c r="C402" t="n">
        <v>1960</v>
      </c>
      <c r="D402" t="n">
        <v>0</v>
      </c>
    </row>
    <row r="403">
      <c r="A403" t="s">
        <v>1031</v>
      </c>
      <c r="B403" t="s">
        <v>1118</v>
      </c>
      <c r="C403" t="n">
        <v>1970</v>
      </c>
      <c r="D403" t="n">
        <v>0.03</v>
      </c>
    </row>
    <row r="404">
      <c r="A404" t="s">
        <v>1031</v>
      </c>
      <c r="B404" t="s">
        <v>1118</v>
      </c>
      <c r="C404" t="n">
        <v>1980</v>
      </c>
      <c r="D404" t="n">
        <v>0.15</v>
      </c>
    </row>
    <row r="405">
      <c r="A405" t="s">
        <v>1031</v>
      </c>
      <c r="B405" t="s">
        <v>1118</v>
      </c>
      <c r="C405" t="n">
        <v>1990</v>
      </c>
      <c r="D405" t="n">
        <v>0.3</v>
      </c>
    </row>
    <row r="406">
      <c r="A406" t="s">
        <v>1031</v>
      </c>
      <c r="B406" t="s">
        <v>1118</v>
      </c>
      <c r="C406" t="n">
        <v>2000</v>
      </c>
      <c r="D406" t="n">
        <v>0.52</v>
      </c>
    </row>
    <row r="407">
      <c r="A407" t="s">
        <v>1031</v>
      </c>
      <c r="B407" t="s">
        <v>1118</v>
      </c>
      <c r="C407" t="n">
        <v>2010</v>
      </c>
      <c r="D407" t="n">
        <v>0.65</v>
      </c>
    </row>
    <row r="408">
      <c r="A408" t="s">
        <v>1031</v>
      </c>
      <c r="B408" t="s">
        <v>1118</v>
      </c>
      <c r="C408" t="n">
        <v>2020</v>
      </c>
      <c r="D408" t="n">
        <v>0.75</v>
      </c>
    </row>
    <row r="409">
      <c r="A409" t="s">
        <v>1031</v>
      </c>
      <c r="B409" t="s">
        <v>1121</v>
      </c>
      <c r="C409" t="n">
        <v>1900</v>
      </c>
      <c r="D409" t="n">
        <v>0</v>
      </c>
    </row>
    <row r="410">
      <c r="A410" t="s">
        <v>1031</v>
      </c>
      <c r="B410" t="s">
        <v>1121</v>
      </c>
      <c r="C410" t="n">
        <v>1920</v>
      </c>
      <c r="D410" t="n">
        <v>0</v>
      </c>
    </row>
    <row r="411">
      <c r="A411" t="s">
        <v>1031</v>
      </c>
      <c r="B411" t="s">
        <v>1121</v>
      </c>
      <c r="C411" t="n">
        <v>1940</v>
      </c>
      <c r="D411" t="n">
        <v>0</v>
      </c>
    </row>
    <row r="412">
      <c r="A412" t="s">
        <v>1031</v>
      </c>
      <c r="B412" t="s">
        <v>1121</v>
      </c>
      <c r="C412" t="n">
        <v>1950</v>
      </c>
      <c r="D412" t="n">
        <v>0</v>
      </c>
    </row>
    <row r="413">
      <c r="A413" t="s">
        <v>1031</v>
      </c>
      <c r="B413" t="s">
        <v>1121</v>
      </c>
      <c r="C413" t="n">
        <v>1960</v>
      </c>
      <c r="D413" t="n">
        <v>0</v>
      </c>
    </row>
    <row r="414">
      <c r="A414" t="s">
        <v>1031</v>
      </c>
      <c r="B414" t="s">
        <v>1121</v>
      </c>
      <c r="C414" t="n">
        <v>1970</v>
      </c>
      <c r="D414" t="n">
        <v>0.05</v>
      </c>
    </row>
    <row r="415">
      <c r="A415" t="s">
        <v>1031</v>
      </c>
      <c r="B415" t="s">
        <v>1121</v>
      </c>
      <c r="C415" t="n">
        <v>1980</v>
      </c>
      <c r="D415" t="n">
        <v>0.2</v>
      </c>
    </row>
    <row r="416">
      <c r="A416" t="s">
        <v>1031</v>
      </c>
      <c r="B416" t="s">
        <v>1121</v>
      </c>
      <c r="C416" t="n">
        <v>1990</v>
      </c>
      <c r="D416" t="n">
        <v>0.4</v>
      </c>
    </row>
    <row r="417">
      <c r="A417" t="s">
        <v>1031</v>
      </c>
      <c r="B417" t="s">
        <v>1121</v>
      </c>
      <c r="C417" t="n">
        <v>2000</v>
      </c>
      <c r="D417" t="n">
        <v>0.62</v>
      </c>
    </row>
    <row r="418">
      <c r="A418" t="s">
        <v>1031</v>
      </c>
      <c r="B418" t="s">
        <v>1121</v>
      </c>
      <c r="C418" t="n">
        <v>2010</v>
      </c>
      <c r="D418" t="n">
        <v>0.72</v>
      </c>
    </row>
    <row r="419">
      <c r="A419" t="s">
        <v>1031</v>
      </c>
      <c r="B419" t="s">
        <v>1121</v>
      </c>
      <c r="C419" t="n">
        <v>2020</v>
      </c>
      <c r="D419" t="n">
        <v>0.8</v>
      </c>
    </row>
    <row r="420">
      <c r="A420" t="s">
        <v>1031</v>
      </c>
      <c r="B420" t="s">
        <v>1119</v>
      </c>
      <c r="C420" t="n">
        <v>1900</v>
      </c>
      <c r="D420" t="n">
        <v>0</v>
      </c>
    </row>
    <row r="421">
      <c r="A421" t="s">
        <v>1031</v>
      </c>
      <c r="B421" t="s">
        <v>1119</v>
      </c>
      <c r="C421" t="n">
        <v>1920</v>
      </c>
      <c r="D421" t="n">
        <v>0</v>
      </c>
    </row>
    <row r="422">
      <c r="A422" t="s">
        <v>1031</v>
      </c>
      <c r="B422" t="s">
        <v>1119</v>
      </c>
      <c r="C422" t="n">
        <v>1940</v>
      </c>
      <c r="D422" t="n">
        <v>0</v>
      </c>
    </row>
    <row r="423">
      <c r="A423" t="s">
        <v>1031</v>
      </c>
      <c r="B423" t="s">
        <v>1119</v>
      </c>
      <c r="C423" t="n">
        <v>1950</v>
      </c>
      <c r="D423" t="n">
        <v>0</v>
      </c>
    </row>
    <row r="424">
      <c r="A424" t="s">
        <v>1031</v>
      </c>
      <c r="B424" t="s">
        <v>1119</v>
      </c>
      <c r="C424" t="n">
        <v>1960</v>
      </c>
      <c r="D424" t="n">
        <v>0.02</v>
      </c>
    </row>
    <row r="425">
      <c r="A425" t="s">
        <v>1031</v>
      </c>
      <c r="B425" t="s">
        <v>1119</v>
      </c>
      <c r="C425" t="n">
        <v>1970</v>
      </c>
      <c r="D425" t="n">
        <v>0.1</v>
      </c>
    </row>
    <row r="426">
      <c r="A426" t="s">
        <v>1031</v>
      </c>
      <c r="B426" t="s">
        <v>1119</v>
      </c>
      <c r="C426" t="n">
        <v>1980</v>
      </c>
      <c r="D426" t="n">
        <v>0.35</v>
      </c>
    </row>
    <row r="427">
      <c r="A427" t="s">
        <v>1031</v>
      </c>
      <c r="B427" t="s">
        <v>1119</v>
      </c>
      <c r="C427" t="n">
        <v>1990</v>
      </c>
      <c r="D427" t="n">
        <v>0.55</v>
      </c>
    </row>
    <row r="428">
      <c r="A428" t="s">
        <v>1031</v>
      </c>
      <c r="B428" t="s">
        <v>1119</v>
      </c>
      <c r="C428" t="n">
        <v>2000</v>
      </c>
      <c r="D428" t="n">
        <v>0.75</v>
      </c>
    </row>
    <row r="429">
      <c r="A429" t="s">
        <v>1031</v>
      </c>
      <c r="B429" t="s">
        <v>1119</v>
      </c>
      <c r="C429" t="n">
        <v>2010</v>
      </c>
      <c r="D429" t="n">
        <v>0.85</v>
      </c>
    </row>
    <row r="430">
      <c r="A430" t="s">
        <v>1031</v>
      </c>
      <c r="B430" t="s">
        <v>1119</v>
      </c>
      <c r="C430" t="n">
        <v>2020</v>
      </c>
      <c r="D430" t="n">
        <v>0.92</v>
      </c>
    </row>
    <row r="431">
      <c r="A431" t="s">
        <v>1031</v>
      </c>
      <c r="B431" t="s">
        <v>1120</v>
      </c>
      <c r="C431" t="n">
        <v>1900</v>
      </c>
      <c r="D431" t="n">
        <v>0</v>
      </c>
    </row>
    <row r="432">
      <c r="A432" t="s">
        <v>1031</v>
      </c>
      <c r="B432" t="s">
        <v>1120</v>
      </c>
      <c r="C432" t="n">
        <v>1920</v>
      </c>
      <c r="D432" t="n">
        <v>0</v>
      </c>
    </row>
    <row r="433">
      <c r="A433" t="s">
        <v>1031</v>
      </c>
      <c r="B433" t="s">
        <v>1120</v>
      </c>
      <c r="C433" t="n">
        <v>1940</v>
      </c>
      <c r="D433" t="n">
        <v>0</v>
      </c>
    </row>
    <row r="434">
      <c r="A434" t="s">
        <v>1031</v>
      </c>
      <c r="B434" t="s">
        <v>1120</v>
      </c>
      <c r="C434" t="n">
        <v>1950</v>
      </c>
      <c r="D434" t="n">
        <v>0</v>
      </c>
    </row>
    <row r="435">
      <c r="A435" t="s">
        <v>1031</v>
      </c>
      <c r="B435" t="s">
        <v>1120</v>
      </c>
      <c r="C435" t="n">
        <v>1960</v>
      </c>
      <c r="D435" t="n">
        <v>0.02</v>
      </c>
    </row>
    <row r="436">
      <c r="A436" t="s">
        <v>1031</v>
      </c>
      <c r="B436" t="s">
        <v>1120</v>
      </c>
      <c r="C436" t="n">
        <v>1970</v>
      </c>
      <c r="D436" t="n">
        <v>0.12</v>
      </c>
    </row>
    <row r="437">
      <c r="A437" t="s">
        <v>1031</v>
      </c>
      <c r="B437" t="s">
        <v>1120</v>
      </c>
      <c r="C437" t="n">
        <v>1980</v>
      </c>
      <c r="D437" t="n">
        <v>0.43</v>
      </c>
    </row>
    <row r="438">
      <c r="A438" t="s">
        <v>1031</v>
      </c>
      <c r="B438" t="s">
        <v>1120</v>
      </c>
      <c r="C438" t="n">
        <v>1990</v>
      </c>
      <c r="D438" t="n">
        <v>0.62</v>
      </c>
    </row>
    <row r="439">
      <c r="A439" t="s">
        <v>1031</v>
      </c>
      <c r="B439" t="s">
        <v>1120</v>
      </c>
      <c r="C439" t="n">
        <v>2000</v>
      </c>
      <c r="D439" t="n">
        <v>0.8</v>
      </c>
    </row>
    <row r="440">
      <c r="A440" t="s">
        <v>1031</v>
      </c>
      <c r="B440" t="s">
        <v>1120</v>
      </c>
      <c r="C440" t="n">
        <v>2010</v>
      </c>
      <c r="D440" t="n">
        <v>0.88</v>
      </c>
    </row>
    <row r="441">
      <c r="A441" t="s">
        <v>1031</v>
      </c>
      <c r="B441" t="s">
        <v>1120</v>
      </c>
      <c r="C441" t="n">
        <v>2020</v>
      </c>
      <c r="D441" t="n">
        <v>0.93</v>
      </c>
    </row>
    <row r="442">
      <c r="A442" t="s">
        <v>1032</v>
      </c>
      <c r="B442" t="s">
        <v>849</v>
      </c>
      <c r="C442" t="n">
        <v>1900</v>
      </c>
      <c r="D442" t="n">
        <v>0</v>
      </c>
    </row>
    <row r="443">
      <c r="A443" t="s">
        <v>1032</v>
      </c>
      <c r="B443" t="s">
        <v>849</v>
      </c>
      <c r="C443" t="n">
        <v>1920</v>
      </c>
      <c r="D443" t="n">
        <v>0</v>
      </c>
    </row>
    <row r="444">
      <c r="A444" t="s">
        <v>1032</v>
      </c>
      <c r="B444" t="s">
        <v>849</v>
      </c>
      <c r="C444" t="n">
        <v>1940</v>
      </c>
      <c r="D444" t="n">
        <v>0</v>
      </c>
    </row>
    <row r="445">
      <c r="A445" t="s">
        <v>1032</v>
      </c>
      <c r="B445" t="s">
        <v>849</v>
      </c>
      <c r="C445" t="n">
        <v>1950</v>
      </c>
      <c r="D445" t="n">
        <v>0</v>
      </c>
    </row>
    <row r="446">
      <c r="A446" t="s">
        <v>1032</v>
      </c>
      <c r="B446" t="s">
        <v>849</v>
      </c>
      <c r="C446" t="n">
        <v>1960</v>
      </c>
      <c r="D446" t="n">
        <v>0.11</v>
      </c>
    </row>
    <row r="447">
      <c r="A447" t="s">
        <v>1032</v>
      </c>
      <c r="B447" t="s">
        <v>849</v>
      </c>
      <c r="C447" t="n">
        <v>1970</v>
      </c>
      <c r="D447" t="n">
        <v>0.25</v>
      </c>
    </row>
    <row r="448">
      <c r="A448" t="s">
        <v>1032</v>
      </c>
      <c r="B448" t="s">
        <v>849</v>
      </c>
      <c r="C448" t="n">
        <v>1980</v>
      </c>
      <c r="D448" t="n">
        <v>0.68</v>
      </c>
    </row>
    <row r="449">
      <c r="A449" t="s">
        <v>1032</v>
      </c>
      <c r="B449" t="s">
        <v>849</v>
      </c>
      <c r="C449" t="n">
        <v>1990</v>
      </c>
      <c r="D449" t="n">
        <v>0.82</v>
      </c>
    </row>
    <row r="450">
      <c r="A450" t="s">
        <v>1032</v>
      </c>
      <c r="B450" t="s">
        <v>849</v>
      </c>
      <c r="C450" t="n">
        <v>2000</v>
      </c>
      <c r="D450" t="n">
        <v>0.9</v>
      </c>
    </row>
    <row r="451">
      <c r="A451" t="s">
        <v>1032</v>
      </c>
      <c r="B451" t="s">
        <v>849</v>
      </c>
      <c r="C451" t="n">
        <v>2010</v>
      </c>
      <c r="D451" t="n">
        <v>0.94</v>
      </c>
    </row>
    <row r="452">
      <c r="A452" t="s">
        <v>1032</v>
      </c>
      <c r="B452" t="s">
        <v>849</v>
      </c>
      <c r="C452" t="n">
        <v>2020</v>
      </c>
      <c r="D452" t="n">
        <v>0.97</v>
      </c>
    </row>
    <row r="453">
      <c r="A453" t="s">
        <v>1032</v>
      </c>
      <c r="B453" t="s">
        <v>853</v>
      </c>
      <c r="C453" t="n">
        <v>1900</v>
      </c>
      <c r="D453" t="n">
        <v>0</v>
      </c>
    </row>
    <row r="454">
      <c r="A454" t="s">
        <v>1032</v>
      </c>
      <c r="B454" t="s">
        <v>853</v>
      </c>
      <c r="C454" t="n">
        <v>1920</v>
      </c>
      <c r="D454" t="n">
        <v>0</v>
      </c>
    </row>
    <row r="455">
      <c r="A455" t="s">
        <v>1032</v>
      </c>
      <c r="B455" t="s">
        <v>853</v>
      </c>
      <c r="C455" t="n">
        <v>1940</v>
      </c>
      <c r="D455" t="n">
        <v>0</v>
      </c>
    </row>
    <row r="456">
      <c r="A456" t="s">
        <v>1032</v>
      </c>
      <c r="B456" t="s">
        <v>853</v>
      </c>
      <c r="C456" t="n">
        <v>1950</v>
      </c>
      <c r="D456" t="n">
        <v>0</v>
      </c>
    </row>
    <row r="457">
      <c r="A457" t="s">
        <v>1032</v>
      </c>
      <c r="B457" t="s">
        <v>853</v>
      </c>
      <c r="C457" t="n">
        <v>1960</v>
      </c>
      <c r="D457" t="n">
        <v>0</v>
      </c>
    </row>
    <row r="458">
      <c r="A458" t="s">
        <v>1032</v>
      </c>
      <c r="B458" t="s">
        <v>853</v>
      </c>
      <c r="C458" t="n">
        <v>1970</v>
      </c>
      <c r="D458" t="n">
        <v>0.04</v>
      </c>
    </row>
    <row r="459">
      <c r="A459" t="s">
        <v>1032</v>
      </c>
      <c r="B459" t="s">
        <v>853</v>
      </c>
      <c r="C459" t="n">
        <v>1980</v>
      </c>
      <c r="D459" t="n">
        <v>0.27</v>
      </c>
    </row>
    <row r="460">
      <c r="A460" t="s">
        <v>1032</v>
      </c>
      <c r="B460" t="s">
        <v>853</v>
      </c>
      <c r="C460" t="n">
        <v>1990</v>
      </c>
      <c r="D460" t="n">
        <v>0.5</v>
      </c>
    </row>
    <row r="461">
      <c r="A461" t="s">
        <v>1032</v>
      </c>
      <c r="B461" t="s">
        <v>853</v>
      </c>
      <c r="C461" t="n">
        <v>2000</v>
      </c>
      <c r="D461" t="n">
        <v>0.65</v>
      </c>
    </row>
    <row r="462">
      <c r="A462" t="s">
        <v>1032</v>
      </c>
      <c r="B462" t="s">
        <v>853</v>
      </c>
      <c r="C462" t="n">
        <v>2010</v>
      </c>
      <c r="D462" t="n">
        <v>0.75</v>
      </c>
    </row>
    <row r="463">
      <c r="A463" t="s">
        <v>1032</v>
      </c>
      <c r="B463" t="s">
        <v>853</v>
      </c>
      <c r="C463" t="n">
        <v>2020</v>
      </c>
      <c r="D463" t="n">
        <v>0.83</v>
      </c>
    </row>
    <row r="464">
      <c r="A464" t="s">
        <v>1032</v>
      </c>
      <c r="B464" t="s">
        <v>852</v>
      </c>
      <c r="C464" t="n">
        <v>1900</v>
      </c>
      <c r="D464" t="n">
        <v>0</v>
      </c>
    </row>
    <row r="465">
      <c r="A465" t="s">
        <v>1032</v>
      </c>
      <c r="B465" t="s">
        <v>852</v>
      </c>
      <c r="C465" t="n">
        <v>1920</v>
      </c>
      <c r="D465" t="n">
        <v>0</v>
      </c>
    </row>
    <row r="466">
      <c r="A466" t="s">
        <v>1032</v>
      </c>
      <c r="B466" t="s">
        <v>852</v>
      </c>
      <c r="C466" t="n">
        <v>1940</v>
      </c>
      <c r="D466" t="n">
        <v>0</v>
      </c>
    </row>
    <row r="467">
      <c r="A467" t="s">
        <v>1032</v>
      </c>
      <c r="B467" t="s">
        <v>852</v>
      </c>
      <c r="C467" t="n">
        <v>1950</v>
      </c>
      <c r="D467" t="n">
        <v>0</v>
      </c>
    </row>
    <row r="468">
      <c r="A468" t="s">
        <v>1032</v>
      </c>
      <c r="B468" t="s">
        <v>852</v>
      </c>
      <c r="C468" t="n">
        <v>1960</v>
      </c>
      <c r="D468" t="n">
        <v>0.02</v>
      </c>
    </row>
    <row r="469">
      <c r="A469" t="s">
        <v>1032</v>
      </c>
      <c r="B469" t="s">
        <v>852</v>
      </c>
      <c r="C469" t="n">
        <v>1970</v>
      </c>
      <c r="D469" t="n">
        <v>0.06</v>
      </c>
    </row>
    <row r="470">
      <c r="A470" t="s">
        <v>1032</v>
      </c>
      <c r="B470" t="s">
        <v>852</v>
      </c>
      <c r="C470" t="n">
        <v>1980</v>
      </c>
      <c r="D470" t="n">
        <v>0.18</v>
      </c>
    </row>
    <row r="471">
      <c r="A471" t="s">
        <v>1032</v>
      </c>
      <c r="B471" t="s">
        <v>852</v>
      </c>
      <c r="C471" t="n">
        <v>1990</v>
      </c>
      <c r="D471" t="n">
        <v>0.32</v>
      </c>
    </row>
    <row r="472">
      <c r="A472" t="s">
        <v>1032</v>
      </c>
      <c r="B472" t="s">
        <v>852</v>
      </c>
      <c r="C472" t="n">
        <v>2000</v>
      </c>
      <c r="D472" t="n">
        <v>0.57</v>
      </c>
    </row>
    <row r="473">
      <c r="A473" t="s">
        <v>1032</v>
      </c>
      <c r="B473" t="s">
        <v>852</v>
      </c>
      <c r="C473" t="n">
        <v>2010</v>
      </c>
      <c r="D473" t="n">
        <v>0.7</v>
      </c>
    </row>
    <row r="474">
      <c r="A474" t="s">
        <v>1032</v>
      </c>
      <c r="B474" t="s">
        <v>852</v>
      </c>
      <c r="C474" t="n">
        <v>2020</v>
      </c>
      <c r="D474" t="n">
        <v>0.8</v>
      </c>
    </row>
    <row r="475">
      <c r="A475" t="s">
        <v>1032</v>
      </c>
      <c r="B475" t="s">
        <v>1117</v>
      </c>
      <c r="C475" t="n">
        <v>1900</v>
      </c>
      <c r="D475" t="n">
        <v>0</v>
      </c>
    </row>
    <row r="476">
      <c r="A476" t="s">
        <v>1032</v>
      </c>
      <c r="B476" t="s">
        <v>1117</v>
      </c>
      <c r="C476" t="n">
        <v>1920</v>
      </c>
      <c r="D476" t="n">
        <v>0</v>
      </c>
    </row>
    <row r="477">
      <c r="A477" t="s">
        <v>1032</v>
      </c>
      <c r="B477" t="s">
        <v>1117</v>
      </c>
      <c r="C477" t="n">
        <v>1940</v>
      </c>
      <c r="D477" t="n">
        <v>0</v>
      </c>
    </row>
    <row r="478">
      <c r="A478" t="s">
        <v>1032</v>
      </c>
      <c r="B478" t="s">
        <v>1117</v>
      </c>
      <c r="C478" t="n">
        <v>1950</v>
      </c>
      <c r="D478" t="n">
        <v>0</v>
      </c>
    </row>
    <row r="479">
      <c r="A479" t="s">
        <v>1032</v>
      </c>
      <c r="B479" t="s">
        <v>1117</v>
      </c>
      <c r="C479" t="n">
        <v>1960</v>
      </c>
      <c r="D479" t="n">
        <v>0</v>
      </c>
    </row>
    <row r="480">
      <c r="A480" t="s">
        <v>1032</v>
      </c>
      <c r="B480" t="s">
        <v>1117</v>
      </c>
      <c r="C480" t="n">
        <v>1970</v>
      </c>
      <c r="D480" t="n">
        <v>0</v>
      </c>
    </row>
    <row r="481">
      <c r="A481" t="s">
        <v>1032</v>
      </c>
      <c r="B481" t="s">
        <v>1117</v>
      </c>
      <c r="C481" t="n">
        <v>1980</v>
      </c>
      <c r="D481" t="n">
        <v>0.12</v>
      </c>
    </row>
    <row r="482">
      <c r="A482" t="s">
        <v>1032</v>
      </c>
      <c r="B482" t="s">
        <v>1117</v>
      </c>
      <c r="C482" t="n">
        <v>1990</v>
      </c>
      <c r="D482" t="n">
        <v>0.32</v>
      </c>
    </row>
    <row r="483">
      <c r="A483" t="s">
        <v>1032</v>
      </c>
      <c r="B483" t="s">
        <v>1117</v>
      </c>
      <c r="C483" t="n">
        <v>2000</v>
      </c>
      <c r="D483" t="n">
        <v>0.65</v>
      </c>
    </row>
    <row r="484">
      <c r="A484" t="s">
        <v>1032</v>
      </c>
      <c r="B484" t="s">
        <v>1117</v>
      </c>
      <c r="C484" t="n">
        <v>2010</v>
      </c>
      <c r="D484" t="n">
        <v>0.75</v>
      </c>
    </row>
    <row r="485">
      <c r="A485" t="s">
        <v>1032</v>
      </c>
      <c r="B485" t="s">
        <v>1117</v>
      </c>
      <c r="C485" t="n">
        <v>2020</v>
      </c>
      <c r="D485" t="n">
        <v>0.85</v>
      </c>
    </row>
    <row r="486">
      <c r="A486" t="s">
        <v>1032</v>
      </c>
      <c r="B486" t="s">
        <v>1118</v>
      </c>
      <c r="C486" t="n">
        <v>1900</v>
      </c>
      <c r="D486" t="n">
        <v>0</v>
      </c>
    </row>
    <row r="487">
      <c r="A487" t="s">
        <v>1032</v>
      </c>
      <c r="B487" t="s">
        <v>1118</v>
      </c>
      <c r="C487" t="n">
        <v>1920</v>
      </c>
      <c r="D487" t="n">
        <v>0</v>
      </c>
    </row>
    <row r="488">
      <c r="A488" t="s">
        <v>1032</v>
      </c>
      <c r="B488" t="s">
        <v>1118</v>
      </c>
      <c r="C488" t="n">
        <v>1940</v>
      </c>
      <c r="D488" t="n">
        <v>0</v>
      </c>
    </row>
    <row r="489">
      <c r="A489" t="s">
        <v>1032</v>
      </c>
      <c r="B489" t="s">
        <v>1118</v>
      </c>
      <c r="C489" t="n">
        <v>1950</v>
      </c>
      <c r="D489" t="n">
        <v>0</v>
      </c>
    </row>
    <row r="490">
      <c r="A490" t="s">
        <v>1032</v>
      </c>
      <c r="B490" t="s">
        <v>1118</v>
      </c>
      <c r="C490" t="n">
        <v>1960</v>
      </c>
      <c r="D490" t="n">
        <v>0</v>
      </c>
    </row>
    <row r="491">
      <c r="A491" t="s">
        <v>1032</v>
      </c>
      <c r="B491" t="s">
        <v>1118</v>
      </c>
      <c r="C491" t="n">
        <v>1970</v>
      </c>
      <c r="D491" t="n">
        <v>0.01</v>
      </c>
    </row>
    <row r="492">
      <c r="A492" t="s">
        <v>1032</v>
      </c>
      <c r="B492" t="s">
        <v>1118</v>
      </c>
      <c r="C492" t="n">
        <v>1980</v>
      </c>
      <c r="D492" t="n">
        <v>0.02</v>
      </c>
    </row>
    <row r="493">
      <c r="A493" t="s">
        <v>1032</v>
      </c>
      <c r="B493" t="s">
        <v>1118</v>
      </c>
      <c r="C493" t="n">
        <v>1990</v>
      </c>
      <c r="D493" t="n">
        <v>0.02</v>
      </c>
    </row>
    <row r="494">
      <c r="A494" t="s">
        <v>1032</v>
      </c>
      <c r="B494" t="s">
        <v>1118</v>
      </c>
      <c r="C494" t="n">
        <v>2000</v>
      </c>
      <c r="D494" t="n">
        <v>0.12</v>
      </c>
    </row>
    <row r="495">
      <c r="A495" t="s">
        <v>1032</v>
      </c>
      <c r="B495" t="s">
        <v>1118</v>
      </c>
      <c r="C495" t="n">
        <v>2010</v>
      </c>
      <c r="D495" t="n">
        <v>0.22</v>
      </c>
    </row>
    <row r="496">
      <c r="A496" t="s">
        <v>1032</v>
      </c>
      <c r="B496" t="s">
        <v>1118</v>
      </c>
      <c r="C496" t="n">
        <v>2020</v>
      </c>
      <c r="D496" t="n">
        <v>0.35</v>
      </c>
    </row>
    <row r="497">
      <c r="A497" t="s">
        <v>1032</v>
      </c>
      <c r="B497" t="s">
        <v>1121</v>
      </c>
      <c r="C497" t="n">
        <v>1900</v>
      </c>
      <c r="D497" t="n">
        <v>0</v>
      </c>
    </row>
    <row r="498">
      <c r="A498" t="s">
        <v>1032</v>
      </c>
      <c r="B498" t="s">
        <v>1121</v>
      </c>
      <c r="C498" t="n">
        <v>1920</v>
      </c>
      <c r="D498" t="n">
        <v>0</v>
      </c>
    </row>
    <row r="499">
      <c r="A499" t="s">
        <v>1032</v>
      </c>
      <c r="B499" t="s">
        <v>1121</v>
      </c>
      <c r="C499" t="n">
        <v>1940</v>
      </c>
      <c r="D499" t="n">
        <v>0</v>
      </c>
    </row>
    <row r="500">
      <c r="A500" t="s">
        <v>1032</v>
      </c>
      <c r="B500" t="s">
        <v>1121</v>
      </c>
      <c r="C500" t="n">
        <v>1950</v>
      </c>
      <c r="D500" t="n">
        <v>0</v>
      </c>
    </row>
    <row r="501">
      <c r="A501" t="s">
        <v>1032</v>
      </c>
      <c r="B501" t="s">
        <v>1121</v>
      </c>
      <c r="C501" t="n">
        <v>1960</v>
      </c>
      <c r="D501" t="n">
        <v>0</v>
      </c>
    </row>
    <row r="502">
      <c r="A502" t="s">
        <v>1032</v>
      </c>
      <c r="B502" t="s">
        <v>1121</v>
      </c>
      <c r="C502" t="n">
        <v>1970</v>
      </c>
      <c r="D502" t="n">
        <v>0</v>
      </c>
    </row>
    <row r="503">
      <c r="A503" t="s">
        <v>1032</v>
      </c>
      <c r="B503" t="s">
        <v>1121</v>
      </c>
      <c r="C503" t="n">
        <v>1980</v>
      </c>
      <c r="D503" t="n">
        <v>0</v>
      </c>
    </row>
    <row r="504">
      <c r="A504" t="s">
        <v>1032</v>
      </c>
      <c r="B504" t="s">
        <v>1121</v>
      </c>
      <c r="C504" t="n">
        <v>1990</v>
      </c>
      <c r="D504" t="n">
        <v>0.22</v>
      </c>
    </row>
    <row r="505">
      <c r="A505" t="s">
        <v>1032</v>
      </c>
      <c r="B505" t="s">
        <v>1121</v>
      </c>
      <c r="C505" t="n">
        <v>2000</v>
      </c>
      <c r="D505" t="n">
        <v>0.4</v>
      </c>
    </row>
    <row r="506">
      <c r="A506" t="s">
        <v>1032</v>
      </c>
      <c r="B506" t="s">
        <v>1121</v>
      </c>
      <c r="C506" t="n">
        <v>2010</v>
      </c>
      <c r="D506" t="n">
        <v>0.55</v>
      </c>
    </row>
    <row r="507">
      <c r="A507" t="s">
        <v>1032</v>
      </c>
      <c r="B507" t="s">
        <v>1121</v>
      </c>
      <c r="C507" t="n">
        <v>2020</v>
      </c>
      <c r="D507" t="n">
        <v>0.68</v>
      </c>
    </row>
    <row r="508">
      <c r="A508" t="s">
        <v>1032</v>
      </c>
      <c r="B508" t="s">
        <v>1119</v>
      </c>
      <c r="C508" t="n">
        <v>1900</v>
      </c>
      <c r="D508" t="n">
        <v>0</v>
      </c>
    </row>
    <row r="509">
      <c r="A509" t="s">
        <v>1032</v>
      </c>
      <c r="B509" t="s">
        <v>1119</v>
      </c>
      <c r="C509" t="n">
        <v>1920</v>
      </c>
      <c r="D509" t="n">
        <v>0</v>
      </c>
    </row>
    <row r="510">
      <c r="A510" t="s">
        <v>1032</v>
      </c>
      <c r="B510" t="s">
        <v>1119</v>
      </c>
      <c r="C510" t="n">
        <v>1940</v>
      </c>
      <c r="D510" t="n">
        <v>0</v>
      </c>
    </row>
    <row r="511">
      <c r="A511" t="s">
        <v>1032</v>
      </c>
      <c r="B511" t="s">
        <v>1119</v>
      </c>
      <c r="C511" t="n">
        <v>1950</v>
      </c>
      <c r="D511" t="n">
        <v>0</v>
      </c>
    </row>
    <row r="512">
      <c r="A512" t="s">
        <v>1032</v>
      </c>
      <c r="B512" t="s">
        <v>1119</v>
      </c>
      <c r="C512" t="n">
        <v>1960</v>
      </c>
      <c r="D512" t="n">
        <v>0</v>
      </c>
    </row>
    <row r="513">
      <c r="A513" t="s">
        <v>1032</v>
      </c>
      <c r="B513" t="s">
        <v>1119</v>
      </c>
      <c r="C513" t="n">
        <v>1970</v>
      </c>
      <c r="D513" t="n">
        <v>0.05</v>
      </c>
    </row>
    <row r="514">
      <c r="A514" t="s">
        <v>1032</v>
      </c>
      <c r="B514" t="s">
        <v>1119</v>
      </c>
      <c r="C514" t="n">
        <v>1980</v>
      </c>
      <c r="D514" t="n">
        <v>0.3</v>
      </c>
    </row>
    <row r="515">
      <c r="A515" t="s">
        <v>1032</v>
      </c>
      <c r="B515" t="s">
        <v>1119</v>
      </c>
      <c r="C515" t="n">
        <v>1990</v>
      </c>
      <c r="D515" t="n">
        <v>0.6</v>
      </c>
    </row>
    <row r="516">
      <c r="A516" t="s">
        <v>1032</v>
      </c>
      <c r="B516" t="s">
        <v>1119</v>
      </c>
      <c r="C516" t="n">
        <v>2000</v>
      </c>
      <c r="D516" t="n">
        <v>0.8</v>
      </c>
    </row>
    <row r="517">
      <c r="A517" t="s">
        <v>1032</v>
      </c>
      <c r="B517" t="s">
        <v>1119</v>
      </c>
      <c r="C517" t="n">
        <v>2010</v>
      </c>
      <c r="D517" t="n">
        <v>0.9</v>
      </c>
    </row>
    <row r="518">
      <c r="A518" t="s">
        <v>1032</v>
      </c>
      <c r="B518" t="s">
        <v>1119</v>
      </c>
      <c r="C518" t="n">
        <v>2020</v>
      </c>
      <c r="D518" t="n">
        <v>0.95</v>
      </c>
    </row>
    <row r="519">
      <c r="A519" t="s">
        <v>1032</v>
      </c>
      <c r="B519" t="s">
        <v>1120</v>
      </c>
      <c r="C519" t="n">
        <v>1900</v>
      </c>
      <c r="D519" t="n">
        <v>0</v>
      </c>
    </row>
    <row r="520">
      <c r="A520" t="s">
        <v>1032</v>
      </c>
      <c r="B520" t="s">
        <v>1120</v>
      </c>
      <c r="C520" t="n">
        <v>1920</v>
      </c>
      <c r="D520" t="n">
        <v>0</v>
      </c>
    </row>
    <row r="521">
      <c r="A521" t="s">
        <v>1032</v>
      </c>
      <c r="B521" t="s">
        <v>1120</v>
      </c>
      <c r="C521" t="n">
        <v>1940</v>
      </c>
      <c r="D521" t="n">
        <v>0</v>
      </c>
    </row>
    <row r="522">
      <c r="A522" t="s">
        <v>1032</v>
      </c>
      <c r="B522" t="s">
        <v>1120</v>
      </c>
      <c r="C522" t="n">
        <v>1950</v>
      </c>
      <c r="D522" t="n">
        <v>0</v>
      </c>
    </row>
    <row r="523">
      <c r="A523" t="s">
        <v>1032</v>
      </c>
      <c r="B523" t="s">
        <v>1120</v>
      </c>
      <c r="C523" t="n">
        <v>1960</v>
      </c>
      <c r="D523" t="n">
        <v>0.02</v>
      </c>
    </row>
    <row r="524">
      <c r="A524" t="s">
        <v>1032</v>
      </c>
      <c r="B524" t="s">
        <v>1120</v>
      </c>
      <c r="C524" t="n">
        <v>1970</v>
      </c>
      <c r="D524" t="n">
        <v>0.06</v>
      </c>
    </row>
    <row r="525">
      <c r="A525" t="s">
        <v>1032</v>
      </c>
      <c r="B525" t="s">
        <v>1120</v>
      </c>
      <c r="C525" t="n">
        <v>1980</v>
      </c>
      <c r="D525" t="n">
        <v>0.22</v>
      </c>
    </row>
    <row r="526">
      <c r="A526" t="s">
        <v>1032</v>
      </c>
      <c r="B526" t="s">
        <v>1120</v>
      </c>
      <c r="C526" t="n">
        <v>1990</v>
      </c>
      <c r="D526" t="n">
        <v>0.42</v>
      </c>
    </row>
    <row r="527">
      <c r="A527" t="s">
        <v>1032</v>
      </c>
      <c r="B527" t="s">
        <v>1120</v>
      </c>
      <c r="C527" t="n">
        <v>2000</v>
      </c>
      <c r="D527" t="n">
        <v>0.57</v>
      </c>
    </row>
    <row r="528">
      <c r="A528" t="s">
        <v>1032</v>
      </c>
      <c r="B528" t="s">
        <v>1120</v>
      </c>
      <c r="C528" t="n">
        <v>2010</v>
      </c>
      <c r="D528" t="n">
        <v>0.68</v>
      </c>
    </row>
    <row r="529">
      <c r="A529" t="s">
        <v>1032</v>
      </c>
      <c r="B529" t="s">
        <v>1120</v>
      </c>
      <c r="C529" t="n">
        <v>2020</v>
      </c>
      <c r="D529" t="n">
        <v>0.78</v>
      </c>
    </row>
    <row r="530">
      <c r="A530" t="s">
        <v>1033</v>
      </c>
      <c r="B530" t="s">
        <v>849</v>
      </c>
      <c r="C530" t="n">
        <v>1900</v>
      </c>
      <c r="D530" t="n">
        <v>0</v>
      </c>
    </row>
    <row r="531">
      <c r="A531" t="s">
        <v>1033</v>
      </c>
      <c r="B531" t="s">
        <v>849</v>
      </c>
      <c r="C531" t="n">
        <v>1920</v>
      </c>
      <c r="D531" t="n">
        <v>0</v>
      </c>
    </row>
    <row r="532">
      <c r="A532" t="s">
        <v>1033</v>
      </c>
      <c r="B532" t="s">
        <v>849</v>
      </c>
      <c r="C532" t="n">
        <v>1940</v>
      </c>
      <c r="D532" t="n">
        <v>0</v>
      </c>
    </row>
    <row r="533">
      <c r="A533" t="s">
        <v>1033</v>
      </c>
      <c r="B533" t="s">
        <v>849</v>
      </c>
      <c r="C533" t="n">
        <v>1950</v>
      </c>
      <c r="D533" t="n">
        <v>0</v>
      </c>
    </row>
    <row r="534">
      <c r="A534" t="s">
        <v>1033</v>
      </c>
      <c r="B534" t="s">
        <v>849</v>
      </c>
      <c r="C534" t="n">
        <v>1960</v>
      </c>
      <c r="D534" t="n">
        <v>0.05</v>
      </c>
    </row>
    <row r="535">
      <c r="A535" t="s">
        <v>1033</v>
      </c>
      <c r="B535" t="s">
        <v>849</v>
      </c>
      <c r="C535" t="n">
        <v>1970</v>
      </c>
      <c r="D535" t="n">
        <v>0.18</v>
      </c>
    </row>
    <row r="536">
      <c r="A536" t="s">
        <v>1033</v>
      </c>
      <c r="B536" t="s">
        <v>849</v>
      </c>
      <c r="C536" t="n">
        <v>1980</v>
      </c>
      <c r="D536" t="n">
        <v>0.42</v>
      </c>
    </row>
    <row r="537">
      <c r="A537" t="s">
        <v>1033</v>
      </c>
      <c r="B537" t="s">
        <v>849</v>
      </c>
      <c r="C537" t="n">
        <v>1990</v>
      </c>
      <c r="D537" t="n">
        <v>0.66</v>
      </c>
    </row>
    <row r="538">
      <c r="A538" t="s">
        <v>1033</v>
      </c>
      <c r="B538" t="s">
        <v>849</v>
      </c>
      <c r="C538" t="n">
        <v>2000</v>
      </c>
      <c r="D538" t="n">
        <v>0.72</v>
      </c>
    </row>
    <row r="539">
      <c r="A539" t="s">
        <v>1033</v>
      </c>
      <c r="B539" t="s">
        <v>849</v>
      </c>
      <c r="C539" t="n">
        <v>2010</v>
      </c>
      <c r="D539" t="n">
        <v>0.8</v>
      </c>
    </row>
    <row r="540">
      <c r="A540" t="s">
        <v>1033</v>
      </c>
      <c r="B540" t="s">
        <v>849</v>
      </c>
      <c r="C540" t="n">
        <v>2020</v>
      </c>
      <c r="D540" t="n">
        <v>0.88</v>
      </c>
    </row>
    <row r="541">
      <c r="A541" t="s">
        <v>1033</v>
      </c>
      <c r="B541" t="s">
        <v>853</v>
      </c>
      <c r="C541" t="n">
        <v>1900</v>
      </c>
      <c r="D541" t="n">
        <v>0</v>
      </c>
    </row>
    <row r="542">
      <c r="A542" t="s">
        <v>1033</v>
      </c>
      <c r="B542" t="s">
        <v>853</v>
      </c>
      <c r="C542" t="n">
        <v>1920</v>
      </c>
      <c r="D542" t="n">
        <v>0</v>
      </c>
    </row>
    <row r="543">
      <c r="A543" t="s">
        <v>1033</v>
      </c>
      <c r="B543" t="s">
        <v>853</v>
      </c>
      <c r="C543" t="n">
        <v>1940</v>
      </c>
      <c r="D543" t="n">
        <v>0</v>
      </c>
    </row>
    <row r="544">
      <c r="A544" t="s">
        <v>1033</v>
      </c>
      <c r="B544" t="s">
        <v>853</v>
      </c>
      <c r="C544" t="n">
        <v>1950</v>
      </c>
      <c r="D544" t="n">
        <v>0</v>
      </c>
    </row>
    <row r="545">
      <c r="A545" t="s">
        <v>1033</v>
      </c>
      <c r="B545" t="s">
        <v>853</v>
      </c>
      <c r="C545" t="n">
        <v>1960</v>
      </c>
      <c r="D545" t="n">
        <v>0</v>
      </c>
    </row>
    <row r="546">
      <c r="A546" t="s">
        <v>1033</v>
      </c>
      <c r="B546" t="s">
        <v>853</v>
      </c>
      <c r="C546" t="n">
        <v>1970</v>
      </c>
      <c r="D546" t="n">
        <v>0.08</v>
      </c>
    </row>
    <row r="547">
      <c r="A547" t="s">
        <v>1033</v>
      </c>
      <c r="B547" t="s">
        <v>853</v>
      </c>
      <c r="C547" t="n">
        <v>1980</v>
      </c>
      <c r="D547" t="n">
        <v>0.42</v>
      </c>
    </row>
    <row r="548">
      <c r="A548" t="s">
        <v>1033</v>
      </c>
      <c r="B548" t="s">
        <v>853</v>
      </c>
      <c r="C548" t="n">
        <v>1990</v>
      </c>
      <c r="D548" t="n">
        <v>0.5</v>
      </c>
    </row>
    <row r="549">
      <c r="A549" t="s">
        <v>1033</v>
      </c>
      <c r="B549" t="s">
        <v>853</v>
      </c>
      <c r="C549" t="n">
        <v>2000</v>
      </c>
      <c r="D549" t="n">
        <v>0.55</v>
      </c>
    </row>
    <row r="550">
      <c r="A550" t="s">
        <v>1033</v>
      </c>
      <c r="B550" t="s">
        <v>853</v>
      </c>
      <c r="C550" t="n">
        <v>2010</v>
      </c>
      <c r="D550" t="n">
        <v>0.65</v>
      </c>
    </row>
    <row r="551">
      <c r="A551" t="s">
        <v>1033</v>
      </c>
      <c r="B551" t="s">
        <v>853</v>
      </c>
      <c r="C551" t="n">
        <v>2020</v>
      </c>
      <c r="D551" t="n">
        <v>0.72</v>
      </c>
    </row>
    <row r="552">
      <c r="A552" t="s">
        <v>1033</v>
      </c>
      <c r="B552" t="s">
        <v>852</v>
      </c>
      <c r="C552" t="n">
        <v>1900</v>
      </c>
      <c r="D552" t="n">
        <v>0</v>
      </c>
    </row>
    <row r="553">
      <c r="A553" t="s">
        <v>1033</v>
      </c>
      <c r="B553" t="s">
        <v>852</v>
      </c>
      <c r="C553" t="n">
        <v>1920</v>
      </c>
      <c r="D553" t="n">
        <v>0</v>
      </c>
    </row>
    <row r="554">
      <c r="A554" t="s">
        <v>1033</v>
      </c>
      <c r="B554" t="s">
        <v>852</v>
      </c>
      <c r="C554" t="n">
        <v>1940</v>
      </c>
      <c r="D554" t="n">
        <v>0</v>
      </c>
    </row>
    <row r="555">
      <c r="A555" t="s">
        <v>1033</v>
      </c>
      <c r="B555" t="s">
        <v>852</v>
      </c>
      <c r="C555" t="n">
        <v>1950</v>
      </c>
      <c r="D555" t="n">
        <v>0</v>
      </c>
    </row>
    <row r="556">
      <c r="A556" t="s">
        <v>1033</v>
      </c>
      <c r="B556" t="s">
        <v>852</v>
      </c>
      <c r="C556" t="n">
        <v>1960</v>
      </c>
      <c r="D556" t="n">
        <v>0</v>
      </c>
    </row>
    <row r="557">
      <c r="A557" t="s">
        <v>1033</v>
      </c>
      <c r="B557" t="s">
        <v>852</v>
      </c>
      <c r="C557" t="n">
        <v>1970</v>
      </c>
      <c r="D557" t="n">
        <v>0.45</v>
      </c>
    </row>
    <row r="558">
      <c r="A558" t="s">
        <v>1033</v>
      </c>
      <c r="B558" t="s">
        <v>852</v>
      </c>
      <c r="C558" t="n">
        <v>1980</v>
      </c>
      <c r="D558" t="n">
        <v>0.6</v>
      </c>
    </row>
    <row r="559">
      <c r="A559" t="s">
        <v>1033</v>
      </c>
      <c r="B559" t="s">
        <v>852</v>
      </c>
      <c r="C559" t="n">
        <v>1990</v>
      </c>
      <c r="D559" t="n">
        <v>0.65</v>
      </c>
    </row>
    <row r="560">
      <c r="A560" t="s">
        <v>1033</v>
      </c>
      <c r="B560" t="s">
        <v>852</v>
      </c>
      <c r="C560" t="n">
        <v>2000</v>
      </c>
      <c r="D560" t="n">
        <v>0.7</v>
      </c>
    </row>
    <row r="561">
      <c r="A561" t="s">
        <v>1033</v>
      </c>
      <c r="B561" t="s">
        <v>852</v>
      </c>
      <c r="C561" t="n">
        <v>2010</v>
      </c>
      <c r="D561" t="n">
        <v>0.78</v>
      </c>
    </row>
    <row r="562">
      <c r="A562" t="s">
        <v>1033</v>
      </c>
      <c r="B562" t="s">
        <v>852</v>
      </c>
      <c r="C562" t="n">
        <v>2020</v>
      </c>
      <c r="D562" t="n">
        <v>0.85</v>
      </c>
    </row>
    <row r="563">
      <c r="A563" t="s">
        <v>1033</v>
      </c>
      <c r="B563" t="s">
        <v>1117</v>
      </c>
      <c r="C563" t="n">
        <v>1900</v>
      </c>
      <c r="D563" t="n">
        <v>0</v>
      </c>
    </row>
    <row r="564">
      <c r="A564" t="s">
        <v>1033</v>
      </c>
      <c r="B564" t="s">
        <v>1117</v>
      </c>
      <c r="C564" t="n">
        <v>1920</v>
      </c>
      <c r="D564" t="n">
        <v>0</v>
      </c>
    </row>
    <row r="565">
      <c r="A565" t="s">
        <v>1033</v>
      </c>
      <c r="B565" t="s">
        <v>1117</v>
      </c>
      <c r="C565" t="n">
        <v>1940</v>
      </c>
      <c r="D565" t="n">
        <v>0</v>
      </c>
    </row>
    <row r="566">
      <c r="A566" t="s">
        <v>1033</v>
      </c>
      <c r="B566" t="s">
        <v>1117</v>
      </c>
      <c r="C566" t="n">
        <v>1950</v>
      </c>
      <c r="D566" t="n">
        <v>0</v>
      </c>
    </row>
    <row r="567">
      <c r="A567" t="s">
        <v>1033</v>
      </c>
      <c r="B567" t="s">
        <v>1117</v>
      </c>
      <c r="C567" t="n">
        <v>1960</v>
      </c>
      <c r="D567" t="n">
        <v>0</v>
      </c>
    </row>
    <row r="568">
      <c r="A568" t="s">
        <v>1033</v>
      </c>
      <c r="B568" t="s">
        <v>1117</v>
      </c>
      <c r="C568" t="n">
        <v>1970</v>
      </c>
      <c r="D568" t="n">
        <v>0</v>
      </c>
    </row>
    <row r="569">
      <c r="A569" t="s">
        <v>1033</v>
      </c>
      <c r="B569" t="s">
        <v>1117</v>
      </c>
      <c r="C569" t="n">
        <v>1980</v>
      </c>
      <c r="D569" t="n">
        <v>0.22</v>
      </c>
    </row>
    <row r="570">
      <c r="A570" t="s">
        <v>1033</v>
      </c>
      <c r="B570" t="s">
        <v>1117</v>
      </c>
      <c r="C570" t="n">
        <v>1990</v>
      </c>
      <c r="D570" t="n">
        <v>0.45</v>
      </c>
    </row>
    <row r="571">
      <c r="A571" t="s">
        <v>1033</v>
      </c>
      <c r="B571" t="s">
        <v>1117</v>
      </c>
      <c r="C571" t="n">
        <v>2000</v>
      </c>
      <c r="D571" t="n">
        <v>0.58</v>
      </c>
    </row>
    <row r="572">
      <c r="A572" t="s">
        <v>1033</v>
      </c>
      <c r="B572" t="s">
        <v>1117</v>
      </c>
      <c r="C572" t="n">
        <v>2010</v>
      </c>
      <c r="D572" t="n">
        <v>0.68</v>
      </c>
    </row>
    <row r="573">
      <c r="A573" t="s">
        <v>1033</v>
      </c>
      <c r="B573" t="s">
        <v>1117</v>
      </c>
      <c r="C573" t="n">
        <v>2020</v>
      </c>
      <c r="D573" t="n">
        <v>0.76</v>
      </c>
    </row>
    <row r="574">
      <c r="A574" t="s">
        <v>1033</v>
      </c>
      <c r="B574" t="s">
        <v>1118</v>
      </c>
      <c r="C574" t="n">
        <v>1900</v>
      </c>
      <c r="D574" t="n">
        <v>0</v>
      </c>
    </row>
    <row r="575">
      <c r="A575" t="s">
        <v>1033</v>
      </c>
      <c r="B575" t="s">
        <v>1118</v>
      </c>
      <c r="C575" t="n">
        <v>1920</v>
      </c>
      <c r="D575" t="n">
        <v>0</v>
      </c>
    </row>
    <row r="576">
      <c r="A576" t="s">
        <v>1033</v>
      </c>
      <c r="B576" t="s">
        <v>1118</v>
      </c>
      <c r="C576" t="n">
        <v>1940</v>
      </c>
      <c r="D576" t="n">
        <v>0</v>
      </c>
    </row>
    <row r="577">
      <c r="A577" t="s">
        <v>1033</v>
      </c>
      <c r="B577" t="s">
        <v>1118</v>
      </c>
      <c r="C577" t="n">
        <v>1950</v>
      </c>
      <c r="D577" t="n">
        <v>0</v>
      </c>
    </row>
    <row r="578">
      <c r="A578" t="s">
        <v>1033</v>
      </c>
      <c r="B578" t="s">
        <v>1118</v>
      </c>
      <c r="C578" t="n">
        <v>1960</v>
      </c>
      <c r="D578" t="n">
        <v>0.02</v>
      </c>
    </row>
    <row r="579">
      <c r="A579" t="s">
        <v>1033</v>
      </c>
      <c r="B579" t="s">
        <v>1118</v>
      </c>
      <c r="C579" t="n">
        <v>1970</v>
      </c>
      <c r="D579" t="n">
        <v>0.05</v>
      </c>
    </row>
    <row r="580">
      <c r="A580" t="s">
        <v>1033</v>
      </c>
      <c r="B580" t="s">
        <v>1118</v>
      </c>
      <c r="C580" t="n">
        <v>1980</v>
      </c>
      <c r="D580" t="n">
        <v>0.15</v>
      </c>
    </row>
    <row r="581">
      <c r="A581" t="s">
        <v>1033</v>
      </c>
      <c r="B581" t="s">
        <v>1118</v>
      </c>
      <c r="C581" t="n">
        <v>1990</v>
      </c>
      <c r="D581" t="n">
        <v>0.25</v>
      </c>
    </row>
    <row r="582">
      <c r="A582" t="s">
        <v>1033</v>
      </c>
      <c r="B582" t="s">
        <v>1118</v>
      </c>
      <c r="C582" t="n">
        <v>2000</v>
      </c>
      <c r="D582" t="n">
        <v>0.35</v>
      </c>
    </row>
    <row r="583">
      <c r="A583" t="s">
        <v>1033</v>
      </c>
      <c r="B583" t="s">
        <v>1118</v>
      </c>
      <c r="C583" t="n">
        <v>2010</v>
      </c>
      <c r="D583" t="n">
        <v>0.45</v>
      </c>
    </row>
    <row r="584">
      <c r="A584" t="s">
        <v>1033</v>
      </c>
      <c r="B584" t="s">
        <v>1118</v>
      </c>
      <c r="C584" t="n">
        <v>2020</v>
      </c>
      <c r="D584" t="n">
        <v>0.55</v>
      </c>
    </row>
    <row r="585">
      <c r="A585" t="s">
        <v>1033</v>
      </c>
      <c r="B585" t="s">
        <v>1121</v>
      </c>
      <c r="C585" t="n">
        <v>1900</v>
      </c>
      <c r="D585" t="n">
        <v>0</v>
      </c>
    </row>
    <row r="586">
      <c r="A586" t="s">
        <v>1033</v>
      </c>
      <c r="B586" t="s">
        <v>1121</v>
      </c>
      <c r="C586" t="n">
        <v>1920</v>
      </c>
      <c r="D586" t="n">
        <v>0</v>
      </c>
    </row>
    <row r="587">
      <c r="A587" t="s">
        <v>1033</v>
      </c>
      <c r="B587" t="s">
        <v>1121</v>
      </c>
      <c r="C587" t="n">
        <v>1940</v>
      </c>
      <c r="D587" t="n">
        <v>0</v>
      </c>
    </row>
    <row r="588">
      <c r="A588" t="s">
        <v>1033</v>
      </c>
      <c r="B588" t="s">
        <v>1121</v>
      </c>
      <c r="C588" t="n">
        <v>1950</v>
      </c>
      <c r="D588" t="n">
        <v>0</v>
      </c>
    </row>
    <row r="589">
      <c r="A589" t="s">
        <v>1033</v>
      </c>
      <c r="B589" t="s">
        <v>1121</v>
      </c>
      <c r="C589" t="n">
        <v>1960</v>
      </c>
      <c r="D589" t="n">
        <v>0.03</v>
      </c>
    </row>
    <row r="590">
      <c r="A590" t="s">
        <v>1033</v>
      </c>
      <c r="B590" t="s">
        <v>1121</v>
      </c>
      <c r="C590" t="n">
        <v>1970</v>
      </c>
      <c r="D590" t="n">
        <v>0.1</v>
      </c>
    </row>
    <row r="591">
      <c r="A591" t="s">
        <v>1033</v>
      </c>
      <c r="B591" t="s">
        <v>1121</v>
      </c>
      <c r="C591" t="n">
        <v>1980</v>
      </c>
      <c r="D591" t="n">
        <v>0.25</v>
      </c>
    </row>
    <row r="592">
      <c r="A592" t="s">
        <v>1033</v>
      </c>
      <c r="B592" t="s">
        <v>1121</v>
      </c>
      <c r="C592" t="n">
        <v>1990</v>
      </c>
      <c r="D592" t="n">
        <v>0.4</v>
      </c>
    </row>
    <row r="593">
      <c r="A593" t="s">
        <v>1033</v>
      </c>
      <c r="B593" t="s">
        <v>1121</v>
      </c>
      <c r="C593" t="n">
        <v>2000</v>
      </c>
      <c r="D593" t="n">
        <v>0.5</v>
      </c>
    </row>
    <row r="594">
      <c r="A594" t="s">
        <v>1033</v>
      </c>
      <c r="B594" t="s">
        <v>1121</v>
      </c>
      <c r="C594" t="n">
        <v>2010</v>
      </c>
      <c r="D594" t="n">
        <v>0.62</v>
      </c>
    </row>
    <row r="595">
      <c r="A595" t="s">
        <v>1033</v>
      </c>
      <c r="B595" t="s">
        <v>1121</v>
      </c>
      <c r="C595" t="n">
        <v>2020</v>
      </c>
      <c r="D595" t="n">
        <v>0.72</v>
      </c>
    </row>
    <row r="596">
      <c r="A596" t="s">
        <v>1033</v>
      </c>
      <c r="B596" t="s">
        <v>1119</v>
      </c>
      <c r="C596" t="n">
        <v>1900</v>
      </c>
      <c r="D596" t="n">
        <v>0</v>
      </c>
    </row>
    <row r="597">
      <c r="A597" t="s">
        <v>1033</v>
      </c>
      <c r="B597" t="s">
        <v>1119</v>
      </c>
      <c r="C597" t="n">
        <v>1920</v>
      </c>
      <c r="D597" t="n">
        <v>0</v>
      </c>
    </row>
    <row r="598">
      <c r="A598" t="s">
        <v>1033</v>
      </c>
      <c r="B598" t="s">
        <v>1119</v>
      </c>
      <c r="C598" t="n">
        <v>1940</v>
      </c>
      <c r="D598" t="n">
        <v>0</v>
      </c>
    </row>
    <row r="599">
      <c r="A599" t="s">
        <v>1033</v>
      </c>
      <c r="B599" t="s">
        <v>1119</v>
      </c>
      <c r="C599" t="n">
        <v>1950</v>
      </c>
      <c r="D599" t="n">
        <v>0</v>
      </c>
    </row>
    <row r="600">
      <c r="A600" t="s">
        <v>1033</v>
      </c>
      <c r="B600" t="s">
        <v>1119</v>
      </c>
      <c r="C600" t="n">
        <v>1960</v>
      </c>
      <c r="D600" t="n">
        <v>0.02</v>
      </c>
    </row>
    <row r="601">
      <c r="A601" t="s">
        <v>1033</v>
      </c>
      <c r="B601" t="s">
        <v>1119</v>
      </c>
      <c r="C601" t="n">
        <v>1970</v>
      </c>
      <c r="D601" t="n">
        <v>0.1</v>
      </c>
    </row>
    <row r="602">
      <c r="A602" t="s">
        <v>1033</v>
      </c>
      <c r="B602" t="s">
        <v>1119</v>
      </c>
      <c r="C602" t="n">
        <v>1980</v>
      </c>
      <c r="D602" t="n">
        <v>0.3</v>
      </c>
    </row>
    <row r="603">
      <c r="A603" t="s">
        <v>1033</v>
      </c>
      <c r="B603" t="s">
        <v>1119</v>
      </c>
      <c r="C603" t="n">
        <v>1990</v>
      </c>
      <c r="D603" t="n">
        <v>0.48</v>
      </c>
    </row>
    <row r="604">
      <c r="A604" t="s">
        <v>1033</v>
      </c>
      <c r="B604" t="s">
        <v>1119</v>
      </c>
      <c r="C604" t="n">
        <v>2000</v>
      </c>
      <c r="D604" t="n">
        <v>0.6</v>
      </c>
    </row>
    <row r="605">
      <c r="A605" t="s">
        <v>1033</v>
      </c>
      <c r="B605" t="s">
        <v>1119</v>
      </c>
      <c r="C605" t="n">
        <v>2010</v>
      </c>
      <c r="D605" t="n">
        <v>0.72</v>
      </c>
    </row>
    <row r="606">
      <c r="A606" t="s">
        <v>1033</v>
      </c>
      <c r="B606" t="s">
        <v>1119</v>
      </c>
      <c r="C606" t="n">
        <v>2020</v>
      </c>
      <c r="D606" t="n">
        <v>0.8</v>
      </c>
    </row>
    <row r="607">
      <c r="A607" t="s">
        <v>1033</v>
      </c>
      <c r="B607" t="s">
        <v>1120</v>
      </c>
      <c r="C607" t="n">
        <v>1900</v>
      </c>
      <c r="D607" t="n">
        <v>0</v>
      </c>
    </row>
    <row r="608">
      <c r="A608" t="s">
        <v>1033</v>
      </c>
      <c r="B608" t="s">
        <v>1120</v>
      </c>
      <c r="C608" t="n">
        <v>1920</v>
      </c>
      <c r="D608" t="n">
        <v>0</v>
      </c>
    </row>
    <row r="609">
      <c r="A609" t="s">
        <v>1033</v>
      </c>
      <c r="B609" t="s">
        <v>1120</v>
      </c>
      <c r="C609" t="n">
        <v>1940</v>
      </c>
      <c r="D609" t="n">
        <v>0</v>
      </c>
    </row>
    <row r="610">
      <c r="A610" t="s">
        <v>1033</v>
      </c>
      <c r="B610" t="s">
        <v>1120</v>
      </c>
      <c r="C610" t="n">
        <v>1950</v>
      </c>
      <c r="D610" t="n">
        <v>0</v>
      </c>
    </row>
    <row r="611">
      <c r="A611" t="s">
        <v>1033</v>
      </c>
      <c r="B611" t="s">
        <v>1120</v>
      </c>
      <c r="C611" t="n">
        <v>1960</v>
      </c>
      <c r="D611" t="n">
        <v>0.04</v>
      </c>
    </row>
    <row r="612">
      <c r="A612" t="s">
        <v>1033</v>
      </c>
      <c r="B612" t="s">
        <v>1120</v>
      </c>
      <c r="C612" t="n">
        <v>1970</v>
      </c>
      <c r="D612" t="n">
        <v>0.15</v>
      </c>
    </row>
    <row r="613">
      <c r="A613" t="s">
        <v>1033</v>
      </c>
      <c r="B613" t="s">
        <v>1120</v>
      </c>
      <c r="C613" t="n">
        <v>1980</v>
      </c>
      <c r="D613" t="n">
        <v>0.4</v>
      </c>
    </row>
    <row r="614">
      <c r="A614" t="s">
        <v>1033</v>
      </c>
      <c r="B614" t="s">
        <v>1120</v>
      </c>
      <c r="C614" t="n">
        <v>1990</v>
      </c>
      <c r="D614" t="n">
        <v>0.6</v>
      </c>
    </row>
    <row r="615">
      <c r="A615" t="s">
        <v>1033</v>
      </c>
      <c r="B615" t="s">
        <v>1120</v>
      </c>
      <c r="C615" t="n">
        <v>2000</v>
      </c>
      <c r="D615" t="n">
        <v>0.65</v>
      </c>
    </row>
    <row r="616">
      <c r="A616" t="s">
        <v>1033</v>
      </c>
      <c r="B616" t="s">
        <v>1120</v>
      </c>
      <c r="C616" t="n">
        <v>2010</v>
      </c>
      <c r="D616" t="n">
        <v>0.75</v>
      </c>
    </row>
    <row r="617">
      <c r="A617" t="s">
        <v>1033</v>
      </c>
      <c r="B617" t="s">
        <v>1120</v>
      </c>
      <c r="C617" t="n">
        <v>2020</v>
      </c>
      <c r="D617" t="n">
        <v>0.82</v>
      </c>
    </row>
    <row r="618">
      <c r="A618" t="s">
        <v>1034</v>
      </c>
      <c r="B618" t="s">
        <v>849</v>
      </c>
      <c r="C618" t="n">
        <v>1900</v>
      </c>
      <c r="D618" t="n">
        <v>0</v>
      </c>
    </row>
    <row r="619">
      <c r="A619" t="s">
        <v>1034</v>
      </c>
      <c r="B619" t="s">
        <v>849</v>
      </c>
      <c r="C619" t="n">
        <v>1920</v>
      </c>
      <c r="D619" t="n">
        <v>0</v>
      </c>
    </row>
    <row r="620">
      <c r="A620" t="s">
        <v>1034</v>
      </c>
      <c r="B620" t="s">
        <v>849</v>
      </c>
      <c r="C620" t="n">
        <v>1940</v>
      </c>
      <c r="D620" t="n">
        <v>0</v>
      </c>
    </row>
    <row r="621">
      <c r="A621" t="s">
        <v>1034</v>
      </c>
      <c r="B621" t="s">
        <v>849</v>
      </c>
      <c r="C621" t="n">
        <v>1950</v>
      </c>
      <c r="D621" t="n">
        <v>0</v>
      </c>
    </row>
    <row r="622">
      <c r="A622" t="s">
        <v>1034</v>
      </c>
      <c r="B622" t="s">
        <v>849</v>
      </c>
      <c r="C622" t="n">
        <v>1960</v>
      </c>
      <c r="D622" t="n">
        <v>0.05</v>
      </c>
    </row>
    <row r="623">
      <c r="A623" t="s">
        <v>1034</v>
      </c>
      <c r="B623" t="s">
        <v>849</v>
      </c>
      <c r="C623" t="n">
        <v>1970</v>
      </c>
      <c r="D623" t="n">
        <v>0.22</v>
      </c>
    </row>
    <row r="624">
      <c r="A624" t="s">
        <v>1034</v>
      </c>
      <c r="B624" t="s">
        <v>849</v>
      </c>
      <c r="C624" t="n">
        <v>1980</v>
      </c>
      <c r="D624" t="n">
        <v>0.43</v>
      </c>
    </row>
    <row r="625">
      <c r="A625" t="s">
        <v>1034</v>
      </c>
      <c r="B625" t="s">
        <v>849</v>
      </c>
      <c r="C625" t="n">
        <v>1990</v>
      </c>
      <c r="D625" t="n">
        <v>0.52</v>
      </c>
    </row>
    <row r="626">
      <c r="A626" t="s">
        <v>1034</v>
      </c>
      <c r="B626" t="s">
        <v>849</v>
      </c>
      <c r="C626" t="n">
        <v>2000</v>
      </c>
      <c r="D626" t="n">
        <v>0.52</v>
      </c>
    </row>
    <row r="627">
      <c r="A627" t="s">
        <v>1034</v>
      </c>
      <c r="B627" t="s">
        <v>849</v>
      </c>
      <c r="C627" t="n">
        <v>2010</v>
      </c>
      <c r="D627" t="n">
        <v>0.6</v>
      </c>
    </row>
    <row r="628">
      <c r="A628" t="s">
        <v>1034</v>
      </c>
      <c r="B628" t="s">
        <v>849</v>
      </c>
      <c r="C628" t="n">
        <v>2020</v>
      </c>
      <c r="D628" t="n">
        <v>0.68</v>
      </c>
    </row>
    <row r="629">
      <c r="A629" t="s">
        <v>1034</v>
      </c>
      <c r="B629" t="s">
        <v>853</v>
      </c>
      <c r="C629" t="n">
        <v>1900</v>
      </c>
      <c r="D629" t="n">
        <v>0</v>
      </c>
    </row>
    <row r="630">
      <c r="A630" t="s">
        <v>1034</v>
      </c>
      <c r="B630" t="s">
        <v>853</v>
      </c>
      <c r="C630" t="n">
        <v>1920</v>
      </c>
      <c r="D630" t="n">
        <v>0</v>
      </c>
    </row>
    <row r="631">
      <c r="A631" t="s">
        <v>1034</v>
      </c>
      <c r="B631" t="s">
        <v>853</v>
      </c>
      <c r="C631" t="n">
        <v>1940</v>
      </c>
      <c r="D631" t="n">
        <v>0</v>
      </c>
    </row>
    <row r="632">
      <c r="A632" t="s">
        <v>1034</v>
      </c>
      <c r="B632" t="s">
        <v>853</v>
      </c>
      <c r="C632" t="n">
        <v>1950</v>
      </c>
      <c r="D632" t="n">
        <v>0</v>
      </c>
    </row>
    <row r="633">
      <c r="A633" t="s">
        <v>1034</v>
      </c>
      <c r="B633" t="s">
        <v>853</v>
      </c>
      <c r="C633" t="n">
        <v>1960</v>
      </c>
      <c r="D633" t="n">
        <v>0</v>
      </c>
    </row>
    <row r="634">
      <c r="A634" t="s">
        <v>1034</v>
      </c>
      <c r="B634" t="s">
        <v>853</v>
      </c>
      <c r="C634" t="n">
        <v>1970</v>
      </c>
      <c r="D634" t="n">
        <v>0.04</v>
      </c>
    </row>
    <row r="635">
      <c r="A635" t="s">
        <v>1034</v>
      </c>
      <c r="B635" t="s">
        <v>853</v>
      </c>
      <c r="C635" t="n">
        <v>1980</v>
      </c>
      <c r="D635" t="n">
        <v>0.11</v>
      </c>
    </row>
    <row r="636">
      <c r="A636" t="s">
        <v>1034</v>
      </c>
      <c r="B636" t="s">
        <v>853</v>
      </c>
      <c r="C636" t="n">
        <v>1990</v>
      </c>
      <c r="D636" t="n">
        <v>0.15</v>
      </c>
    </row>
    <row r="637">
      <c r="A637" t="s">
        <v>1034</v>
      </c>
      <c r="B637" t="s">
        <v>853</v>
      </c>
      <c r="C637" t="n">
        <v>2000</v>
      </c>
      <c r="D637" t="n">
        <v>0.2</v>
      </c>
    </row>
    <row r="638">
      <c r="A638" t="s">
        <v>1034</v>
      </c>
      <c r="B638" t="s">
        <v>853</v>
      </c>
      <c r="C638" t="n">
        <v>2010</v>
      </c>
      <c r="D638" t="n">
        <v>0.3</v>
      </c>
    </row>
    <row r="639">
      <c r="A639" t="s">
        <v>1034</v>
      </c>
      <c r="B639" t="s">
        <v>853</v>
      </c>
      <c r="C639" t="n">
        <v>2020</v>
      </c>
      <c r="D639" t="n">
        <v>0.42</v>
      </c>
    </row>
    <row r="640">
      <c r="A640" t="s">
        <v>1034</v>
      </c>
      <c r="B640" t="s">
        <v>852</v>
      </c>
      <c r="C640" t="n">
        <v>1900</v>
      </c>
      <c r="D640" t="n">
        <v>0</v>
      </c>
    </row>
    <row r="641">
      <c r="A641" t="s">
        <v>1034</v>
      </c>
      <c r="B641" t="s">
        <v>852</v>
      </c>
      <c r="C641" t="n">
        <v>1920</v>
      </c>
      <c r="D641" t="n">
        <v>0</v>
      </c>
    </row>
    <row r="642">
      <c r="A642" t="s">
        <v>1034</v>
      </c>
      <c r="B642" t="s">
        <v>852</v>
      </c>
      <c r="C642" t="n">
        <v>1940</v>
      </c>
      <c r="D642" t="n">
        <v>0</v>
      </c>
    </row>
    <row r="643">
      <c r="A643" t="s">
        <v>1034</v>
      </c>
      <c r="B643" t="s">
        <v>852</v>
      </c>
      <c r="C643" t="n">
        <v>1950</v>
      </c>
      <c r="D643" t="n">
        <v>0</v>
      </c>
    </row>
    <row r="644">
      <c r="A644" t="s">
        <v>1034</v>
      </c>
      <c r="B644" t="s">
        <v>852</v>
      </c>
      <c r="C644" t="n">
        <v>1960</v>
      </c>
      <c r="D644" t="n">
        <v>0.01</v>
      </c>
    </row>
    <row r="645">
      <c r="A645" t="s">
        <v>1034</v>
      </c>
      <c r="B645" t="s">
        <v>852</v>
      </c>
      <c r="C645" t="n">
        <v>1970</v>
      </c>
      <c r="D645" t="n">
        <v>0.04</v>
      </c>
    </row>
    <row r="646">
      <c r="A646" t="s">
        <v>1034</v>
      </c>
      <c r="B646" t="s">
        <v>852</v>
      </c>
      <c r="C646" t="n">
        <v>1980</v>
      </c>
      <c r="D646" t="n">
        <v>0.13</v>
      </c>
    </row>
    <row r="647">
      <c r="A647" t="s">
        <v>1034</v>
      </c>
      <c r="B647" t="s">
        <v>852</v>
      </c>
      <c r="C647" t="n">
        <v>1990</v>
      </c>
      <c r="D647" t="n">
        <v>0.21</v>
      </c>
    </row>
    <row r="648">
      <c r="A648" t="s">
        <v>1034</v>
      </c>
      <c r="B648" t="s">
        <v>852</v>
      </c>
      <c r="C648" t="n">
        <v>2000</v>
      </c>
      <c r="D648" t="n">
        <v>0.44</v>
      </c>
    </row>
    <row r="649">
      <c r="A649" t="s">
        <v>1034</v>
      </c>
      <c r="B649" t="s">
        <v>852</v>
      </c>
      <c r="C649" t="n">
        <v>2010</v>
      </c>
      <c r="D649" t="n">
        <v>0.55</v>
      </c>
    </row>
    <row r="650">
      <c r="A650" t="s">
        <v>1034</v>
      </c>
      <c r="B650" t="s">
        <v>852</v>
      </c>
      <c r="C650" t="n">
        <v>2020</v>
      </c>
      <c r="D650" t="n">
        <v>0.65</v>
      </c>
    </row>
    <row r="651">
      <c r="A651" t="s">
        <v>1034</v>
      </c>
      <c r="B651" t="s">
        <v>1117</v>
      </c>
      <c r="C651" t="n">
        <v>1900</v>
      </c>
      <c r="D651" t="n">
        <v>0</v>
      </c>
    </row>
    <row r="652">
      <c r="A652" t="s">
        <v>1034</v>
      </c>
      <c r="B652" t="s">
        <v>1117</v>
      </c>
      <c r="C652" t="n">
        <v>1920</v>
      </c>
      <c r="D652" t="n">
        <v>0</v>
      </c>
    </row>
    <row r="653">
      <c r="A653" t="s">
        <v>1034</v>
      </c>
      <c r="B653" t="s">
        <v>1117</v>
      </c>
      <c r="C653" t="n">
        <v>1940</v>
      </c>
      <c r="D653" t="n">
        <v>0</v>
      </c>
    </row>
    <row r="654">
      <c r="A654" t="s">
        <v>1034</v>
      </c>
      <c r="B654" t="s">
        <v>1117</v>
      </c>
      <c r="C654" t="n">
        <v>1950</v>
      </c>
      <c r="D654" t="n">
        <v>0</v>
      </c>
    </row>
    <row r="655">
      <c r="A655" t="s">
        <v>1034</v>
      </c>
      <c r="B655" t="s">
        <v>1117</v>
      </c>
      <c r="C655" t="n">
        <v>1960</v>
      </c>
      <c r="D655" t="n">
        <v>0</v>
      </c>
    </row>
    <row r="656">
      <c r="A656" t="s">
        <v>1034</v>
      </c>
      <c r="B656" t="s">
        <v>1117</v>
      </c>
      <c r="C656" t="n">
        <v>1970</v>
      </c>
      <c r="D656" t="n">
        <v>0</v>
      </c>
    </row>
    <row r="657">
      <c r="A657" t="s">
        <v>1034</v>
      </c>
      <c r="B657" t="s">
        <v>1117</v>
      </c>
      <c r="C657" t="n">
        <v>1980</v>
      </c>
      <c r="D657" t="n">
        <v>0.03</v>
      </c>
    </row>
    <row r="658">
      <c r="A658" t="s">
        <v>1034</v>
      </c>
      <c r="B658" t="s">
        <v>1117</v>
      </c>
      <c r="C658" t="n">
        <v>1990</v>
      </c>
      <c r="D658" t="n">
        <v>0.04</v>
      </c>
    </row>
    <row r="659">
      <c r="A659" t="s">
        <v>1034</v>
      </c>
      <c r="B659" t="s">
        <v>1117</v>
      </c>
      <c r="C659" t="n">
        <v>2000</v>
      </c>
      <c r="D659" t="n">
        <v>0.15</v>
      </c>
    </row>
    <row r="660">
      <c r="A660" t="s">
        <v>1034</v>
      </c>
      <c r="B660" t="s">
        <v>1117</v>
      </c>
      <c r="C660" t="n">
        <v>2010</v>
      </c>
      <c r="D660" t="n">
        <v>0.25</v>
      </c>
    </row>
    <row r="661">
      <c r="A661" t="s">
        <v>1034</v>
      </c>
      <c r="B661" t="s">
        <v>1117</v>
      </c>
      <c r="C661" t="n">
        <v>2020</v>
      </c>
      <c r="D661" t="n">
        <v>0.38</v>
      </c>
    </row>
    <row r="662">
      <c r="A662" t="s">
        <v>1034</v>
      </c>
      <c r="B662" t="s">
        <v>1118</v>
      </c>
      <c r="C662" t="n">
        <v>1900</v>
      </c>
      <c r="D662" t="n">
        <v>0</v>
      </c>
    </row>
    <row r="663">
      <c r="A663" t="s">
        <v>1034</v>
      </c>
      <c r="B663" t="s">
        <v>1118</v>
      </c>
      <c r="C663" t="n">
        <v>1920</v>
      </c>
      <c r="D663" t="n">
        <v>0</v>
      </c>
    </row>
    <row r="664">
      <c r="A664" t="s">
        <v>1034</v>
      </c>
      <c r="B664" t="s">
        <v>1118</v>
      </c>
      <c r="C664" t="n">
        <v>1940</v>
      </c>
      <c r="D664" t="n">
        <v>0</v>
      </c>
    </row>
    <row r="665">
      <c r="A665" t="s">
        <v>1034</v>
      </c>
      <c r="B665" t="s">
        <v>1118</v>
      </c>
      <c r="C665" t="n">
        <v>1950</v>
      </c>
      <c r="D665" t="n">
        <v>0</v>
      </c>
    </row>
    <row r="666">
      <c r="A666" t="s">
        <v>1034</v>
      </c>
      <c r="B666" t="s">
        <v>1118</v>
      </c>
      <c r="C666" t="n">
        <v>1960</v>
      </c>
      <c r="D666" t="n">
        <v>0</v>
      </c>
    </row>
    <row r="667">
      <c r="A667" t="s">
        <v>1034</v>
      </c>
      <c r="B667" t="s">
        <v>1118</v>
      </c>
      <c r="C667" t="n">
        <v>1970</v>
      </c>
      <c r="D667" t="n">
        <v>0.01</v>
      </c>
    </row>
    <row r="668">
      <c r="A668" t="s">
        <v>1034</v>
      </c>
      <c r="B668" t="s">
        <v>1118</v>
      </c>
      <c r="C668" t="n">
        <v>1980</v>
      </c>
      <c r="D668" t="n">
        <v>0.01</v>
      </c>
    </row>
    <row r="669">
      <c r="A669" t="s">
        <v>1034</v>
      </c>
      <c r="B669" t="s">
        <v>1118</v>
      </c>
      <c r="C669" t="n">
        <v>1990</v>
      </c>
      <c r="D669" t="n">
        <v>0.02</v>
      </c>
    </row>
    <row r="670">
      <c r="A670" t="s">
        <v>1034</v>
      </c>
      <c r="B670" t="s">
        <v>1118</v>
      </c>
      <c r="C670" t="n">
        <v>2000</v>
      </c>
      <c r="D670" t="n">
        <v>0.2</v>
      </c>
    </row>
    <row r="671">
      <c r="A671" t="s">
        <v>1034</v>
      </c>
      <c r="B671" t="s">
        <v>1118</v>
      </c>
      <c r="C671" t="n">
        <v>2010</v>
      </c>
      <c r="D671" t="n">
        <v>0.32</v>
      </c>
    </row>
    <row r="672">
      <c r="A672" t="s">
        <v>1034</v>
      </c>
      <c r="B672" t="s">
        <v>1118</v>
      </c>
      <c r="C672" t="n">
        <v>2020</v>
      </c>
      <c r="D672" t="n">
        <v>0.45</v>
      </c>
    </row>
    <row r="673">
      <c r="A673" t="s">
        <v>1034</v>
      </c>
      <c r="B673" t="s">
        <v>1121</v>
      </c>
      <c r="C673" t="n">
        <v>1900</v>
      </c>
      <c r="D673" t="n">
        <v>0</v>
      </c>
    </row>
    <row r="674">
      <c r="A674" t="s">
        <v>1034</v>
      </c>
      <c r="B674" t="s">
        <v>1121</v>
      </c>
      <c r="C674" t="n">
        <v>1920</v>
      </c>
      <c r="D674" t="n">
        <v>0</v>
      </c>
    </row>
    <row r="675">
      <c r="A675" t="s">
        <v>1034</v>
      </c>
      <c r="B675" t="s">
        <v>1121</v>
      </c>
      <c r="C675" t="n">
        <v>1940</v>
      </c>
      <c r="D675" t="n">
        <v>0</v>
      </c>
    </row>
    <row r="676">
      <c r="A676" t="s">
        <v>1034</v>
      </c>
      <c r="B676" t="s">
        <v>1121</v>
      </c>
      <c r="C676" t="n">
        <v>1950</v>
      </c>
      <c r="D676" t="n">
        <v>0</v>
      </c>
    </row>
    <row r="677">
      <c r="A677" t="s">
        <v>1034</v>
      </c>
      <c r="B677" t="s">
        <v>1121</v>
      </c>
      <c r="C677" t="n">
        <v>1960</v>
      </c>
      <c r="D677" t="n">
        <v>0</v>
      </c>
    </row>
    <row r="678">
      <c r="A678" t="s">
        <v>1034</v>
      </c>
      <c r="B678" t="s">
        <v>1121</v>
      </c>
      <c r="C678" t="n">
        <v>1970</v>
      </c>
      <c r="D678" t="n">
        <v>0</v>
      </c>
    </row>
    <row r="679">
      <c r="A679" t="s">
        <v>1034</v>
      </c>
      <c r="B679" t="s">
        <v>1121</v>
      </c>
      <c r="C679" t="n">
        <v>1980</v>
      </c>
      <c r="D679" t="n">
        <v>0</v>
      </c>
    </row>
    <row r="680">
      <c r="A680" t="s">
        <v>1034</v>
      </c>
      <c r="B680" t="s">
        <v>1121</v>
      </c>
      <c r="C680" t="n">
        <v>1990</v>
      </c>
      <c r="D680" t="n">
        <v>0</v>
      </c>
    </row>
    <row r="681">
      <c r="A681" t="s">
        <v>1034</v>
      </c>
      <c r="B681" t="s">
        <v>1121</v>
      </c>
      <c r="C681" t="n">
        <v>2000</v>
      </c>
      <c r="D681" t="n">
        <v>0.25</v>
      </c>
    </row>
    <row r="682">
      <c r="A682" t="s">
        <v>1034</v>
      </c>
      <c r="B682" t="s">
        <v>1121</v>
      </c>
      <c r="C682" t="n">
        <v>2010</v>
      </c>
      <c r="D682" t="n">
        <v>0.38</v>
      </c>
    </row>
    <row r="683">
      <c r="A683" t="s">
        <v>1034</v>
      </c>
      <c r="B683" t="s">
        <v>1121</v>
      </c>
      <c r="C683" t="n">
        <v>2020</v>
      </c>
      <c r="D683" t="n">
        <v>0.5</v>
      </c>
    </row>
    <row r="684">
      <c r="A684" t="s">
        <v>1034</v>
      </c>
      <c r="B684" t="s">
        <v>1119</v>
      </c>
      <c r="C684" t="n">
        <v>1900</v>
      </c>
      <c r="D684" t="n">
        <v>0</v>
      </c>
    </row>
    <row r="685">
      <c r="A685" t="s">
        <v>1034</v>
      </c>
      <c r="B685" t="s">
        <v>1119</v>
      </c>
      <c r="C685" t="n">
        <v>1920</v>
      </c>
      <c r="D685" t="n">
        <v>0</v>
      </c>
    </row>
    <row r="686">
      <c r="A686" t="s">
        <v>1034</v>
      </c>
      <c r="B686" t="s">
        <v>1119</v>
      </c>
      <c r="C686" t="n">
        <v>1940</v>
      </c>
      <c r="D686" t="n">
        <v>0</v>
      </c>
    </row>
    <row r="687">
      <c r="A687" t="s">
        <v>1034</v>
      </c>
      <c r="B687" t="s">
        <v>1119</v>
      </c>
      <c r="C687" t="n">
        <v>1950</v>
      </c>
      <c r="D687" t="n">
        <v>0</v>
      </c>
    </row>
    <row r="688">
      <c r="A688" t="s">
        <v>1034</v>
      </c>
      <c r="B688" t="s">
        <v>1119</v>
      </c>
      <c r="C688" t="n">
        <v>1960</v>
      </c>
      <c r="D688" t="n">
        <v>0</v>
      </c>
    </row>
    <row r="689">
      <c r="A689" t="s">
        <v>1034</v>
      </c>
      <c r="B689" t="s">
        <v>1119</v>
      </c>
      <c r="C689" t="n">
        <v>1970</v>
      </c>
      <c r="D689" t="n">
        <v>0.02</v>
      </c>
    </row>
    <row r="690">
      <c r="A690" t="s">
        <v>1034</v>
      </c>
      <c r="B690" t="s">
        <v>1119</v>
      </c>
      <c r="C690" t="n">
        <v>1980</v>
      </c>
      <c r="D690" t="n">
        <v>0.05</v>
      </c>
    </row>
    <row r="691">
      <c r="A691" t="s">
        <v>1034</v>
      </c>
      <c r="B691" t="s">
        <v>1119</v>
      </c>
      <c r="C691" t="n">
        <v>1990</v>
      </c>
      <c r="D691" t="n">
        <v>0.12</v>
      </c>
    </row>
    <row r="692">
      <c r="A692" t="s">
        <v>1034</v>
      </c>
      <c r="B692" t="s">
        <v>1119</v>
      </c>
      <c r="C692" t="n">
        <v>2000</v>
      </c>
      <c r="D692" t="n">
        <v>0.22</v>
      </c>
    </row>
    <row r="693">
      <c r="A693" t="s">
        <v>1034</v>
      </c>
      <c r="B693" t="s">
        <v>1119</v>
      </c>
      <c r="C693" t="n">
        <v>2010</v>
      </c>
      <c r="D693" t="n">
        <v>0.35</v>
      </c>
    </row>
    <row r="694">
      <c r="A694" t="s">
        <v>1034</v>
      </c>
      <c r="B694" t="s">
        <v>1119</v>
      </c>
      <c r="C694" t="n">
        <v>2020</v>
      </c>
      <c r="D694" t="n">
        <v>0.48</v>
      </c>
    </row>
    <row r="695">
      <c r="A695" t="s">
        <v>1034</v>
      </c>
      <c r="B695" t="s">
        <v>1120</v>
      </c>
      <c r="C695" t="n">
        <v>1900</v>
      </c>
      <c r="D695" t="n">
        <v>0</v>
      </c>
    </row>
    <row r="696">
      <c r="A696" t="s">
        <v>1034</v>
      </c>
      <c r="B696" t="s">
        <v>1120</v>
      </c>
      <c r="C696" t="n">
        <v>1920</v>
      </c>
      <c r="D696" t="n">
        <v>0</v>
      </c>
    </row>
    <row r="697">
      <c r="A697" t="s">
        <v>1034</v>
      </c>
      <c r="B697" t="s">
        <v>1120</v>
      </c>
      <c r="C697" t="n">
        <v>1940</v>
      </c>
      <c r="D697" t="n">
        <v>0</v>
      </c>
    </row>
    <row r="698">
      <c r="A698" t="s">
        <v>1034</v>
      </c>
      <c r="B698" t="s">
        <v>1120</v>
      </c>
      <c r="C698" t="n">
        <v>1950</v>
      </c>
      <c r="D698" t="n">
        <v>0</v>
      </c>
    </row>
    <row r="699">
      <c r="A699" t="s">
        <v>1034</v>
      </c>
      <c r="B699" t="s">
        <v>1120</v>
      </c>
      <c r="C699" t="n">
        <v>1960</v>
      </c>
      <c r="D699" t="n">
        <v>0</v>
      </c>
    </row>
    <row r="700">
      <c r="A700" t="s">
        <v>1034</v>
      </c>
      <c r="B700" t="s">
        <v>1120</v>
      </c>
      <c r="C700" t="n">
        <v>1970</v>
      </c>
      <c r="D700" t="n">
        <v>0.02</v>
      </c>
    </row>
    <row r="701">
      <c r="A701" t="s">
        <v>1034</v>
      </c>
      <c r="B701" t="s">
        <v>1120</v>
      </c>
      <c r="C701" t="n">
        <v>1980</v>
      </c>
      <c r="D701" t="n">
        <v>0.08</v>
      </c>
    </row>
    <row r="702">
      <c r="A702" t="s">
        <v>1034</v>
      </c>
      <c r="B702" t="s">
        <v>1120</v>
      </c>
      <c r="C702" t="n">
        <v>1990</v>
      </c>
      <c r="D702" t="n">
        <v>0.22</v>
      </c>
    </row>
    <row r="703">
      <c r="A703" t="s">
        <v>1034</v>
      </c>
      <c r="B703" t="s">
        <v>1120</v>
      </c>
      <c r="C703" t="n">
        <v>2000</v>
      </c>
      <c r="D703" t="n">
        <v>0.24</v>
      </c>
    </row>
    <row r="704">
      <c r="A704" t="s">
        <v>1034</v>
      </c>
      <c r="B704" t="s">
        <v>1120</v>
      </c>
      <c r="C704" t="n">
        <v>2010</v>
      </c>
      <c r="D704" t="n">
        <v>0.35</v>
      </c>
    </row>
    <row r="705">
      <c r="A705" t="s">
        <v>1034</v>
      </c>
      <c r="B705" t="s">
        <v>1120</v>
      </c>
      <c r="C705" t="n">
        <v>2020</v>
      </c>
      <c r="D705" t="n">
        <v>0.48</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1116</v>
      </c>
      <c r="B1" t="s">
        <v>1133</v>
      </c>
      <c r="C1" t="s">
        <v>848</v>
      </c>
    </row>
    <row r="2">
      <c r="A2" t="s">
        <v>849</v>
      </c>
      <c r="B2" t="n">
        <v>1</v>
      </c>
      <c r="C2" t="s">
        <v>1134</v>
      </c>
    </row>
    <row r="3">
      <c r="A3" t="s">
        <v>853</v>
      </c>
      <c r="B3" t="n">
        <v>0.7</v>
      </c>
      <c r="C3" t="s">
        <v>1135</v>
      </c>
    </row>
    <row r="4">
      <c r="A4" t="s">
        <v>852</v>
      </c>
      <c r="B4" t="n">
        <v>1.1</v>
      </c>
      <c r="C4" t="s">
        <v>1136</v>
      </c>
    </row>
    <row r="5">
      <c r="A5" t="s">
        <v>1117</v>
      </c>
      <c r="B5" t="n">
        <v>0.9</v>
      </c>
      <c r="C5" t="s">
        <v>1137</v>
      </c>
    </row>
    <row r="6">
      <c r="A6" t="s">
        <v>1118</v>
      </c>
      <c r="B6" t="n">
        <v>0.3</v>
      </c>
      <c r="C6" t="s">
        <v>1138</v>
      </c>
    </row>
    <row r="7">
      <c r="A7" t="s">
        <v>1121</v>
      </c>
      <c r="B7" t="n">
        <v>0.6</v>
      </c>
      <c r="C7" t="s">
        <v>1139</v>
      </c>
    </row>
    <row r="8">
      <c r="A8" t="s">
        <v>1119</v>
      </c>
      <c r="B8" t="n">
        <v>0.8</v>
      </c>
      <c r="C8" t="s">
        <v>1140</v>
      </c>
    </row>
    <row r="9">
      <c r="A9" t="s">
        <v>1120</v>
      </c>
      <c r="B9" t="n">
        <v>0.5</v>
      </c>
      <c r="C9" t="s">
        <v>1141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 Aguilera</dc:creator>
  <cp:lastModifiedBy>Edu Aguilera</cp:lastModifiedBy>
  <dcterms:created xsi:type="dcterms:W3CDTF">2020-04-10T12:46:55Z</dcterms:created>
  <dcterms:modified xsi:type="dcterms:W3CDTF">2025-11-03T10:08:55Z</dcterms:modified>
</cp:coreProperties>
</file>