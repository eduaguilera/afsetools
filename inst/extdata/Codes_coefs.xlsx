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https://d.docs.live.net/0dd767e02e6ada6c/Documents/GitHub/General/input/"/>
    </mc:Choice>
  </mc:AlternateContent>
  <xr:revisionPtr revIDLastSave="1235" documentId="13_ncr:1_{8041FF2D-3D91-4594-845E-C509D59A7129}" xr6:coauthVersionLast="47" xr6:coauthVersionMax="47" xr10:uidLastSave="{53AEFF54-CC48-439F-9DDD-DADB425B842B}"/>
  <bookViews>
    <workbookView xWindow="3072" yWindow="3072" windowWidth="34560" windowHeight="18600" tabRatio="923" firstSheet="31" activeTab="47" xr2:uid="{63373467-7065-4F15-83FA-D6848BC64F9C}"/>
  </bookViews>
  <sheets>
    <sheet name="FAO_areas" sheetId="61" r:id="rId1"/>
    <sheet name="regions_full" sheetId="3" r:id="rId2"/>
    <sheet name="country_changes" sheetId="63" r:id="rId3"/>
    <sheet name="new_old" sheetId="64" r:id="rId4"/>
    <sheet name="region_krausmann" sheetId="30" r:id="rId5"/>
    <sheet name="regions_fabio" sheetId="8" r:id="rId6"/>
    <sheet name="polities_whep" sheetId="58" r:id="rId7"/>
    <sheet name="polities_cats" sheetId="62" r:id="rId8"/>
    <sheet name="Animals_codes" sheetId="11" r:id="rId9"/>
    <sheet name="Names_Liv_Prod" sheetId="26" r:id="rId10"/>
    <sheet name="CBS_Trade_codes" sheetId="9" r:id="rId11"/>
    <sheet name="CB_processing" sheetId="6" r:id="rId12"/>
    <sheet name="items_prod_full" sheetId="15" r:id="rId13"/>
    <sheet name="items_full" sheetId="5" r:id="rId14"/>
    <sheet name="CB_processing_primary" sheetId="56" r:id="rId15"/>
    <sheet name="CB_processing_tidy" sheetId="50" r:id="rId16"/>
    <sheet name="Names_biomass_CB" sheetId="32" r:id="rId17"/>
    <sheet name="Names_cats" sheetId="43" r:id="rId18"/>
    <sheet name="Cats" sheetId="48" r:id="rId19"/>
    <sheet name="Primary_double" sheetId="7" r:id="rId20"/>
    <sheet name="FBS_Trade_codes" sheetId="33" r:id="rId21"/>
    <sheet name="items_proc_fabio" sheetId="34" r:id="rId22"/>
    <sheet name="Feedstuff_FEDNA" sheetId="35" r:id="rId23"/>
    <sheet name="FishStat_items" sheetId="27" r:id="rId24"/>
    <sheet name="Prov" sheetId="37" r:id="rId25"/>
    <sheet name="Names_Prov" sheetId="36" r:id="rId26"/>
    <sheet name="FAO_Sp" sheetId="38" r:id="rId27"/>
    <sheet name="Crops_Eurostat" sheetId="39" r:id="rId28"/>
    <sheet name="Names_MAPA" sheetId="44" r:id="rId29"/>
    <sheet name="Names_Lab" sheetId="45" r:id="rId30"/>
    <sheet name="Cats_eq" sheetId="54" r:id="rId31"/>
    <sheet name="CB_item" sheetId="53" r:id="rId32"/>
    <sheet name="HS_FAO_JRC" sheetId="52" r:id="rId33"/>
    <sheet name="TF_plant_JRC" sheetId="51" r:id="rId34"/>
    <sheet name="Cats_Murcia" sheetId="49" r:id="rId35"/>
    <sheet name="Cats_MAPA" sheetId="46" r:id="rId36"/>
    <sheet name="Names_biomass" sheetId="42" r:id="rId37"/>
    <sheet name="Biomass_names" sheetId="41" r:id="rId38"/>
    <sheet name="Crop_Names" sheetId="40" r:id="rId39"/>
    <sheet name="water_fab" sheetId="17" r:id="rId40"/>
    <sheet name="conc_water" sheetId="4" r:id="rId41"/>
    <sheet name="conv_bouwman" sheetId="20" r:id="rId42"/>
    <sheet name="conv_krausmann" sheetId="19" r:id="rId43"/>
    <sheet name="HI_changes_krausmann" sheetId="28" r:id="rId44"/>
    <sheet name="residue_krausmann" sheetId="31" r:id="rId45"/>
    <sheet name="energy_fab" sheetId="18" r:id="rId46"/>
    <sheet name="Liv_LU_coefs" sheetId="12" r:id="rId47"/>
    <sheet name="CBS_cat" sheetId="55" r:id="rId48"/>
  </sheets>
  <externalReferences>
    <externalReference r:id="rId49"/>
    <externalReference r:id="rId50"/>
    <externalReference r:id="rId51"/>
    <externalReference r:id="rId52"/>
    <externalReference r:id="rId53"/>
    <externalReference r:id="rId54"/>
    <externalReference r:id="rId55"/>
  </externalReferences>
  <definedNames>
    <definedName name="_xlnm._FilterDatabase" localSheetId="11" hidden="1">CB_processing!$A$1:$E$134</definedName>
    <definedName name="_xlnm._FilterDatabase" localSheetId="22" hidden="1">Feedstuff_FEDNA!$A$1:$I$182</definedName>
    <definedName name="_xlnm._FilterDatabase" localSheetId="13" hidden="1">items_full!$A$1:$J$200</definedName>
    <definedName name="_xlnm._FilterDatabase" localSheetId="16" hidden="1">Names_biomass_CB!$A$1:$D$232</definedName>
    <definedName name="_xlnm._FilterDatabase" localSheetId="5" hidden="1">regions_fabio!$A$1:$H$192</definedName>
    <definedName name="_xlnm._FilterDatabase" localSheetId="1" hidden="1">regions_full!$A$1:$AI$267</definedName>
    <definedName name="fish" localSheetId="37">#REF!</definedName>
    <definedName name="fish" localSheetId="18">[1]HS6_list!$E$6:$L$288</definedName>
    <definedName name="fish" localSheetId="30">[1]HS6_list!$E$6:$L$288</definedName>
    <definedName name="fish" localSheetId="35">[1]HS6_list!$E$6:$L$288</definedName>
    <definedName name="fish" localSheetId="34">[1]HS6_list!$E$6:$L$288</definedName>
    <definedName name="fish" localSheetId="31">[1]HS6_list!$E$6:$L$288</definedName>
    <definedName name="fish" localSheetId="15">[1]HS6_list!$E$6:$L$288</definedName>
    <definedName name="fish" localSheetId="38">[1]HS6_list!$E$6:$L$288</definedName>
    <definedName name="fish" localSheetId="27">[1]HS6_list!$E$6:$L$288</definedName>
    <definedName name="fish" localSheetId="26">[1]HS6_list!$E$6:$L$288</definedName>
    <definedName name="fish" localSheetId="20">[1]HS6_list!$E$6:$L$288</definedName>
    <definedName name="fish" localSheetId="22">[1]HS6_list!$E$6:$L$288</definedName>
    <definedName name="fish" localSheetId="32">[1]HS6_list!$E$6:$L$288</definedName>
    <definedName name="fish" localSheetId="21">[1]HS6_list!$E$6:$L$288</definedName>
    <definedName name="fish" localSheetId="36">#REF!</definedName>
    <definedName name="fish" localSheetId="16">[1]HS6_list!$E$6:$L$288</definedName>
    <definedName name="fish" localSheetId="17">[1]HS6_list!$E$6:$L$288</definedName>
    <definedName name="fish" localSheetId="29">[1]HS6_list!$E$6:$L$288</definedName>
    <definedName name="fish" localSheetId="9">#REF!</definedName>
    <definedName name="fish" localSheetId="28">[1]HS6_list!$E$6:$L$288</definedName>
    <definedName name="fish" localSheetId="25">[1]HS6_list!$E$6:$L$288</definedName>
    <definedName name="fish" localSheetId="24">[1]HS6_list!$E$6:$L$288</definedName>
    <definedName name="fish" localSheetId="33">[1]HS6_list!$E$6:$L$288</definedName>
    <definedName name="fish">#REF!</definedName>
    <definedName name="fish_map" localSheetId="37">#REF!</definedName>
    <definedName name="fish_map" localSheetId="18">#REF!</definedName>
    <definedName name="fish_map" localSheetId="30">#REF!</definedName>
    <definedName name="fish_map" localSheetId="35">#REF!</definedName>
    <definedName name="fish_map" localSheetId="34">#REF!</definedName>
    <definedName name="fish_map" localSheetId="31">#REF!</definedName>
    <definedName name="fish_map" localSheetId="15">#REF!</definedName>
    <definedName name="fish_map" localSheetId="38">#REF!</definedName>
    <definedName name="fish_map" localSheetId="27">#REF!</definedName>
    <definedName name="fish_map" localSheetId="26">#REF!</definedName>
    <definedName name="fish_map" localSheetId="20">#REF!</definedName>
    <definedName name="fish_map" localSheetId="22">#REF!</definedName>
    <definedName name="fish_map" localSheetId="32">#REF!</definedName>
    <definedName name="fish_map" localSheetId="21">#REF!</definedName>
    <definedName name="fish_map" localSheetId="36">#REF!</definedName>
    <definedName name="fish_map" localSheetId="16">#REF!</definedName>
    <definedName name="fish_map" localSheetId="17">#REF!</definedName>
    <definedName name="fish_map" localSheetId="29">#REF!</definedName>
    <definedName name="fish_map" localSheetId="9">#REF!</definedName>
    <definedName name="fish_map" localSheetId="28">#REF!</definedName>
    <definedName name="fish_map" localSheetId="25">#REF!</definedName>
    <definedName name="fish_map" localSheetId="24">#REF!</definedName>
    <definedName name="fish_map" localSheetId="33">#REF!</definedName>
    <definedName name="fish_map">#REF!</definedName>
    <definedName name="hs4list" localSheetId="37">#REF!</definedName>
    <definedName name="hs4list" localSheetId="18">#REF!</definedName>
    <definedName name="hs4list" localSheetId="30">#REF!</definedName>
    <definedName name="hs4list" localSheetId="35">#REF!</definedName>
    <definedName name="hs4list" localSheetId="34">#REF!</definedName>
    <definedName name="hs4list" localSheetId="31">#REF!</definedName>
    <definedName name="hs4list" localSheetId="15">#REF!</definedName>
    <definedName name="hs4list" localSheetId="38">#REF!</definedName>
    <definedName name="hs4list" localSheetId="27">#REF!</definedName>
    <definedName name="hs4list" localSheetId="26">#REF!</definedName>
    <definedName name="hs4list" localSheetId="20">#REF!</definedName>
    <definedName name="hs4list" localSheetId="22">#REF!</definedName>
    <definedName name="hs4list" localSheetId="32">#REF!</definedName>
    <definedName name="hs4list" localSheetId="21">#REF!</definedName>
    <definedName name="hs4list" localSheetId="36">#REF!</definedName>
    <definedName name="hs4list" localSheetId="16">#REF!</definedName>
    <definedName name="hs4list" localSheetId="17">#REF!</definedName>
    <definedName name="hs4list" localSheetId="29">#REF!</definedName>
    <definedName name="hs4list" localSheetId="9">#REF!</definedName>
    <definedName name="hs4list" localSheetId="28">#REF!</definedName>
    <definedName name="hs4list" localSheetId="25">#REF!</definedName>
    <definedName name="hs4list" localSheetId="24">#REF!</definedName>
    <definedName name="hs4list" localSheetId="33">#REF!</definedName>
    <definedName name="hs4list">#REF!</definedName>
    <definedName name="hs6list" localSheetId="37">#REF!</definedName>
    <definedName name="hs6list" localSheetId="18">#REF!</definedName>
    <definedName name="hs6list" localSheetId="30">#REF!</definedName>
    <definedName name="hs6list" localSheetId="35">#REF!</definedName>
    <definedName name="hs6list" localSheetId="34">#REF!</definedName>
    <definedName name="hs6list" localSheetId="31">#REF!</definedName>
    <definedName name="hs6list" localSheetId="15">#REF!</definedName>
    <definedName name="hs6list" localSheetId="38">#REF!</definedName>
    <definedName name="hs6list" localSheetId="27">#REF!</definedName>
    <definedName name="hs6list" localSheetId="26">#REF!</definedName>
    <definedName name="hs6list" localSheetId="20">#REF!</definedName>
    <definedName name="hs6list" localSheetId="22">#REF!</definedName>
    <definedName name="hs6list" localSheetId="32">#REF!</definedName>
    <definedName name="hs6list" localSheetId="21">#REF!</definedName>
    <definedName name="hs6list" localSheetId="36">#REF!</definedName>
    <definedName name="hs6list" localSheetId="16">#REF!</definedName>
    <definedName name="hs6list" localSheetId="17">#REF!</definedName>
    <definedName name="hs6list" localSheetId="29">#REF!</definedName>
    <definedName name="hs6list" localSheetId="9">#REF!</definedName>
    <definedName name="hs6list" localSheetId="28">#REF!</definedName>
    <definedName name="hs6list" localSheetId="25">#REF!</definedName>
    <definedName name="hs6list" localSheetId="24">#REF!</definedName>
    <definedName name="hs6list" localSheetId="33">#REF!</definedName>
    <definedName name="hs6list">#REF!</definedName>
    <definedName name="list_plant" localSheetId="37">#REF!</definedName>
    <definedName name="list_plant" localSheetId="18">#REF!</definedName>
    <definedName name="list_plant" localSheetId="30">#REF!</definedName>
    <definedName name="list_plant" localSheetId="35">#REF!</definedName>
    <definedName name="list_plant" localSheetId="34">#REF!</definedName>
    <definedName name="list_plant" localSheetId="31">#REF!</definedName>
    <definedName name="list_plant" localSheetId="15">#REF!</definedName>
    <definedName name="list_plant" localSheetId="38">#REF!</definedName>
    <definedName name="list_plant" localSheetId="27">#REF!</definedName>
    <definedName name="list_plant" localSheetId="26">#REF!</definedName>
    <definedName name="list_plant" localSheetId="20">#REF!</definedName>
    <definedName name="list_plant" localSheetId="22">#REF!</definedName>
    <definedName name="list_plant" localSheetId="32">#REF!</definedName>
    <definedName name="list_plant" localSheetId="21">#REF!</definedName>
    <definedName name="list_plant" localSheetId="36">#REF!</definedName>
    <definedName name="list_plant" localSheetId="16">#REF!</definedName>
    <definedName name="list_plant" localSheetId="17">#REF!</definedName>
    <definedName name="list_plant" localSheetId="29">#REF!</definedName>
    <definedName name="list_plant" localSheetId="9">#REF!</definedName>
    <definedName name="list_plant" localSheetId="28">#REF!</definedName>
    <definedName name="list_plant" localSheetId="25">#REF!</definedName>
    <definedName name="list_plant" localSheetId="24">#REF!</definedName>
    <definedName name="list_plant" localSheetId="33">#REF!</definedName>
    <definedName name="list_plant">#REF!</definedName>
    <definedName name="UNECE" localSheetId="37">#REF!</definedName>
    <definedName name="UNECE" localSheetId="18">'[2]net increment_UNECE'!$B$4:$D$50</definedName>
    <definedName name="UNECE" localSheetId="30">'[2]net increment_UNECE'!$B$4:$D$50</definedName>
    <definedName name="UNECE" localSheetId="35">'[2]net increment_UNECE'!$B$4:$D$50</definedName>
    <definedName name="UNECE" localSheetId="34">'[2]net increment_UNECE'!$B$4:$D$50</definedName>
    <definedName name="UNECE" localSheetId="31">'[2]net increment_UNECE'!$B$4:$D$50</definedName>
    <definedName name="UNECE" localSheetId="15">'[2]net increment_UNECE'!$B$4:$D$50</definedName>
    <definedName name="UNECE" localSheetId="38">'[2]net increment_UNECE'!$B$4:$D$50</definedName>
    <definedName name="UNECE" localSheetId="27">'[2]net increment_UNECE'!$B$4:$D$50</definedName>
    <definedName name="UNECE" localSheetId="26">'[2]net increment_UNECE'!$B$4:$D$50</definedName>
    <definedName name="UNECE" localSheetId="20">'[2]net increment_UNECE'!$B$4:$D$50</definedName>
    <definedName name="UNECE" localSheetId="22">'[2]net increment_UNECE'!$B$4:$D$50</definedName>
    <definedName name="UNECE" localSheetId="32">'[2]net increment_UNECE'!$B$4:$D$50</definedName>
    <definedName name="UNECE" localSheetId="21">'[2]net increment_UNECE'!$B$4:$D$50</definedName>
    <definedName name="UNECE" localSheetId="36">#REF!</definedName>
    <definedName name="UNECE" localSheetId="16">'[2]net increment_UNECE'!$B$4:$D$50</definedName>
    <definedName name="UNECE" localSheetId="17">'[2]net increment_UNECE'!$B$4:$D$50</definedName>
    <definedName name="UNECE" localSheetId="29">'[2]net increment_UNECE'!$B$4:$D$50</definedName>
    <definedName name="UNECE" localSheetId="9">#REF!</definedName>
    <definedName name="UNECE" localSheetId="28">'[2]net increment_UNECE'!$B$4:$D$50</definedName>
    <definedName name="UNECE" localSheetId="25">'[2]net increment_UNECE'!$B$4:$D$50</definedName>
    <definedName name="UNECE" localSheetId="24">'[2]net increment_UNECE'!$B$4:$D$50</definedName>
    <definedName name="UNECE" localSheetId="33">'[2]net increment_UNECE'!$B$4:$D$50</definedName>
    <definedName name="UNECE">#REF!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 i="5" l="1"/>
  <c r="C8" i="5"/>
  <c r="D3" i="58"/>
  <c r="D4" i="58"/>
  <c r="D5" i="58"/>
  <c r="D6" i="58"/>
  <c r="D7" i="58"/>
  <c r="D8" i="58"/>
  <c r="D9" i="58"/>
  <c r="D10" i="58"/>
  <c r="D11" i="58"/>
  <c r="D12" i="58"/>
  <c r="D13" i="58"/>
  <c r="D14" i="58"/>
  <c r="D15" i="58"/>
  <c r="D16" i="58"/>
  <c r="D17" i="58"/>
  <c r="D18" i="58"/>
  <c r="D19" i="58"/>
  <c r="D20" i="58"/>
  <c r="D21" i="58"/>
  <c r="D22" i="58"/>
  <c r="D23" i="58"/>
  <c r="D24" i="58"/>
  <c r="D25" i="58"/>
  <c r="D26" i="58"/>
  <c r="D27" i="58"/>
  <c r="D28" i="58"/>
  <c r="D29" i="58"/>
  <c r="D30" i="58"/>
  <c r="D31" i="58"/>
  <c r="D32" i="58"/>
  <c r="D33" i="58"/>
  <c r="D34" i="58"/>
  <c r="D35" i="58"/>
  <c r="D36" i="58"/>
  <c r="D37" i="58"/>
  <c r="D38" i="58"/>
  <c r="D39" i="58"/>
  <c r="D40" i="58"/>
  <c r="D41" i="58"/>
  <c r="D42" i="58"/>
  <c r="D43" i="58"/>
  <c r="D44" i="58"/>
  <c r="D45" i="58"/>
  <c r="D46" i="58"/>
  <c r="D47" i="58"/>
  <c r="D48" i="58"/>
  <c r="D49" i="58"/>
  <c r="D50" i="58"/>
  <c r="D51" i="58"/>
  <c r="D52" i="58"/>
  <c r="D53" i="58"/>
  <c r="D54" i="58"/>
  <c r="D55" i="58"/>
  <c r="D56" i="58"/>
  <c r="D57" i="58"/>
  <c r="D58" i="58"/>
  <c r="D59" i="58"/>
  <c r="D60" i="58"/>
  <c r="D61" i="58"/>
  <c r="D62" i="58"/>
  <c r="D63" i="58"/>
  <c r="D64" i="58"/>
  <c r="D65" i="58"/>
  <c r="D66" i="58"/>
  <c r="D67" i="58"/>
  <c r="D68" i="58"/>
  <c r="D69" i="58"/>
  <c r="D70" i="58"/>
  <c r="D71" i="58"/>
  <c r="D72" i="58"/>
  <c r="D73" i="58"/>
  <c r="D74" i="58"/>
  <c r="D75" i="58"/>
  <c r="D76" i="58"/>
  <c r="D77" i="58"/>
  <c r="D78" i="58"/>
  <c r="D79" i="58"/>
  <c r="D80" i="58"/>
  <c r="D81" i="58"/>
  <c r="D82" i="58"/>
  <c r="D83" i="58"/>
  <c r="D84" i="58"/>
  <c r="D85" i="58"/>
  <c r="D86" i="58"/>
  <c r="D87" i="58"/>
  <c r="D88" i="58"/>
  <c r="D89" i="58"/>
  <c r="D90" i="58"/>
  <c r="D91" i="58"/>
  <c r="D92" i="58"/>
  <c r="D93" i="58"/>
  <c r="D94" i="58"/>
  <c r="D95" i="58"/>
  <c r="D96" i="58"/>
  <c r="D97" i="58"/>
  <c r="D98" i="58"/>
  <c r="D99" i="58"/>
  <c r="D100" i="58"/>
  <c r="D101" i="58"/>
  <c r="D102" i="58"/>
  <c r="D103" i="58"/>
  <c r="D104" i="58"/>
  <c r="D105" i="58"/>
  <c r="D106" i="58"/>
  <c r="D107" i="58"/>
  <c r="D108" i="58"/>
  <c r="D109" i="58"/>
  <c r="D110" i="58"/>
  <c r="D111" i="58"/>
  <c r="D112" i="58"/>
  <c r="D113" i="58"/>
  <c r="D114" i="58"/>
  <c r="D115" i="58"/>
  <c r="D116" i="58"/>
  <c r="D117" i="58"/>
  <c r="D118" i="58"/>
  <c r="D119" i="58"/>
  <c r="D120" i="58"/>
  <c r="D121" i="58"/>
  <c r="D122" i="58"/>
  <c r="D123" i="58"/>
  <c r="D124" i="58"/>
  <c r="D125" i="58"/>
  <c r="D126" i="58"/>
  <c r="D127" i="58"/>
  <c r="D128" i="58"/>
  <c r="D129" i="58"/>
  <c r="D130" i="58"/>
  <c r="D131" i="58"/>
  <c r="D132" i="58"/>
  <c r="D133" i="58"/>
  <c r="D134" i="58"/>
  <c r="D135" i="58"/>
  <c r="D136" i="58"/>
  <c r="D137" i="58"/>
  <c r="D138" i="58"/>
  <c r="D139" i="58"/>
  <c r="D140" i="58"/>
  <c r="D141" i="58"/>
  <c r="D142" i="58"/>
  <c r="D143" i="58"/>
  <c r="D144" i="58"/>
  <c r="D145" i="58"/>
  <c r="D146" i="58"/>
  <c r="D147" i="58"/>
  <c r="D148" i="58"/>
  <c r="D149" i="58"/>
  <c r="D150" i="58"/>
  <c r="D151" i="58"/>
  <c r="D152" i="58"/>
  <c r="D153" i="58"/>
  <c r="D154" i="58"/>
  <c r="D155" i="58"/>
  <c r="D156" i="58"/>
  <c r="D157" i="58"/>
  <c r="D158" i="58"/>
  <c r="D159" i="58"/>
  <c r="D160" i="58"/>
  <c r="D161" i="58"/>
  <c r="D162" i="58"/>
  <c r="D163" i="58"/>
  <c r="D164" i="58"/>
  <c r="D165" i="58"/>
  <c r="D166" i="58"/>
  <c r="D167" i="58"/>
  <c r="D168" i="58"/>
  <c r="D169" i="58"/>
  <c r="D170" i="58"/>
  <c r="D171" i="58"/>
  <c r="D172" i="58"/>
  <c r="D173" i="58"/>
  <c r="D174" i="58"/>
  <c r="D175" i="58"/>
  <c r="D176" i="58"/>
  <c r="D177" i="58"/>
  <c r="D178" i="58"/>
  <c r="D179" i="58"/>
  <c r="D180" i="58"/>
  <c r="D181" i="58"/>
  <c r="D182" i="58"/>
  <c r="D183" i="58"/>
  <c r="D184" i="58"/>
  <c r="D185" i="58"/>
  <c r="D186" i="58"/>
  <c r="D187" i="58"/>
  <c r="D188" i="58"/>
  <c r="D189" i="58"/>
  <c r="D190" i="58"/>
  <c r="D191" i="58"/>
  <c r="D192" i="58"/>
  <c r="D193" i="58"/>
  <c r="D194" i="58"/>
  <c r="D195" i="58"/>
  <c r="D196" i="58"/>
  <c r="D197" i="58"/>
  <c r="D198" i="58"/>
  <c r="D199" i="58"/>
  <c r="D2" i="58"/>
  <c r="C3" i="58"/>
  <c r="C4" i="58"/>
  <c r="C5" i="58"/>
  <c r="C6" i="58"/>
  <c r="C7" i="58"/>
  <c r="C8" i="58"/>
  <c r="C9" i="58"/>
  <c r="C10" i="58"/>
  <c r="C11" i="58"/>
  <c r="C12" i="58"/>
  <c r="C13" i="58"/>
  <c r="C14" i="58"/>
  <c r="C15" i="58"/>
  <c r="C16" i="58"/>
  <c r="C17" i="58"/>
  <c r="C18" i="58"/>
  <c r="C19" i="58"/>
  <c r="C20" i="58"/>
  <c r="C21" i="58"/>
  <c r="C22" i="58"/>
  <c r="C23" i="58"/>
  <c r="C24" i="58"/>
  <c r="C25" i="58"/>
  <c r="C26" i="58"/>
  <c r="C27" i="58"/>
  <c r="C28" i="58"/>
  <c r="C29" i="58"/>
  <c r="C30" i="58"/>
  <c r="C31" i="58"/>
  <c r="C32" i="58"/>
  <c r="C33" i="58"/>
  <c r="C34" i="58"/>
  <c r="C35" i="58"/>
  <c r="C36" i="58"/>
  <c r="C37" i="58"/>
  <c r="C38" i="58"/>
  <c r="C39" i="58"/>
  <c r="C40" i="58"/>
  <c r="C41" i="58"/>
  <c r="C42" i="58"/>
  <c r="C43" i="58"/>
  <c r="C44" i="58"/>
  <c r="C45" i="58"/>
  <c r="C46" i="58"/>
  <c r="C47" i="58"/>
  <c r="C48" i="58"/>
  <c r="C49" i="58"/>
  <c r="C50" i="58"/>
  <c r="C51" i="58"/>
  <c r="C52" i="58"/>
  <c r="C53" i="58"/>
  <c r="C54" i="58"/>
  <c r="C55" i="58"/>
  <c r="C56" i="58"/>
  <c r="C57" i="58"/>
  <c r="C58" i="58"/>
  <c r="C59" i="58"/>
  <c r="C60" i="58"/>
  <c r="C61" i="58"/>
  <c r="C62" i="58"/>
  <c r="C63" i="58"/>
  <c r="C64" i="58"/>
  <c r="C65" i="58"/>
  <c r="C66" i="58"/>
  <c r="C67" i="58"/>
  <c r="C68" i="58"/>
  <c r="C69" i="58"/>
  <c r="C70" i="58"/>
  <c r="C71" i="58"/>
  <c r="C72" i="58"/>
  <c r="C73" i="58"/>
  <c r="C74" i="58"/>
  <c r="C75" i="58"/>
  <c r="C76" i="58"/>
  <c r="C77" i="58"/>
  <c r="C78" i="58"/>
  <c r="C79" i="58"/>
  <c r="C80" i="58"/>
  <c r="C81" i="58"/>
  <c r="C82" i="58"/>
  <c r="C83" i="58"/>
  <c r="C84" i="58"/>
  <c r="C85" i="58"/>
  <c r="C86" i="58"/>
  <c r="C87" i="58"/>
  <c r="C88" i="58"/>
  <c r="C89" i="58"/>
  <c r="C90" i="58"/>
  <c r="C91" i="58"/>
  <c r="C92" i="58"/>
  <c r="C93" i="58"/>
  <c r="C94" i="58"/>
  <c r="C95" i="58"/>
  <c r="C96" i="58"/>
  <c r="C97" i="58"/>
  <c r="C98" i="58"/>
  <c r="C99" i="58"/>
  <c r="C100" i="58"/>
  <c r="C101" i="58"/>
  <c r="C102" i="58"/>
  <c r="C103" i="58"/>
  <c r="C104" i="58"/>
  <c r="C105" i="58"/>
  <c r="C106" i="58"/>
  <c r="C107" i="58"/>
  <c r="C108" i="58"/>
  <c r="C109" i="58"/>
  <c r="C110" i="58"/>
  <c r="C111" i="58"/>
  <c r="C112" i="58"/>
  <c r="C113" i="58"/>
  <c r="C114" i="58"/>
  <c r="C115" i="58"/>
  <c r="C116" i="58"/>
  <c r="C117" i="58"/>
  <c r="C118" i="58"/>
  <c r="C119" i="58"/>
  <c r="C120" i="58"/>
  <c r="C121" i="58"/>
  <c r="C122" i="58"/>
  <c r="C123" i="58"/>
  <c r="C124" i="58"/>
  <c r="C125" i="58"/>
  <c r="C126" i="58"/>
  <c r="C127" i="58"/>
  <c r="C128" i="58"/>
  <c r="C129" i="58"/>
  <c r="C130" i="58"/>
  <c r="C131" i="58"/>
  <c r="C132" i="58"/>
  <c r="C133" i="58"/>
  <c r="C134" i="58"/>
  <c r="C135" i="58"/>
  <c r="C136" i="58"/>
  <c r="C137" i="58"/>
  <c r="C138" i="58"/>
  <c r="C139" i="58"/>
  <c r="C140" i="58"/>
  <c r="C141" i="58"/>
  <c r="C142" i="58"/>
  <c r="C143" i="58"/>
  <c r="C144" i="58"/>
  <c r="C145" i="58"/>
  <c r="C146" i="58"/>
  <c r="C147" i="58"/>
  <c r="C148" i="58"/>
  <c r="C149" i="58"/>
  <c r="C150" i="58"/>
  <c r="C151" i="58"/>
  <c r="C152" i="58"/>
  <c r="C153" i="58"/>
  <c r="C154" i="58"/>
  <c r="C155" i="58"/>
  <c r="C156" i="58"/>
  <c r="C157" i="58"/>
  <c r="C158" i="58"/>
  <c r="C159" i="58"/>
  <c r="C160" i="58"/>
  <c r="C161" i="58"/>
  <c r="C162" i="58"/>
  <c r="C163" i="58"/>
  <c r="C164" i="58"/>
  <c r="C165" i="58"/>
  <c r="C166" i="58"/>
  <c r="C167" i="58"/>
  <c r="C168" i="58"/>
  <c r="C169" i="58"/>
  <c r="C170" i="58"/>
  <c r="C171" i="58"/>
  <c r="C172" i="58"/>
  <c r="C173" i="58"/>
  <c r="C174" i="58"/>
  <c r="C175" i="58"/>
  <c r="C176" i="58"/>
  <c r="C177" i="58"/>
  <c r="C178" i="58"/>
  <c r="C179" i="58"/>
  <c r="C180" i="58"/>
  <c r="C181" i="58"/>
  <c r="C182" i="58"/>
  <c r="C183" i="58"/>
  <c r="C184" i="58"/>
  <c r="C185" i="58"/>
  <c r="C186" i="58"/>
  <c r="C187" i="58"/>
  <c r="C188" i="58"/>
  <c r="C189" i="58"/>
  <c r="C190" i="58"/>
  <c r="C191" i="58"/>
  <c r="C192" i="58"/>
  <c r="C193" i="58"/>
  <c r="C194" i="58"/>
  <c r="C195" i="58"/>
  <c r="C196" i="58"/>
  <c r="C197" i="58"/>
  <c r="C198" i="58"/>
  <c r="C199" i="58"/>
  <c r="C200" i="58"/>
  <c r="C2" i="58"/>
  <c r="AJ1" i="62"/>
  <c r="AK1" i="62"/>
  <c r="AL1" i="62"/>
  <c r="AM1" i="62"/>
  <c r="AN1" i="62"/>
  <c r="AF1" i="62"/>
  <c r="AG1" i="62"/>
  <c r="AH1" i="62"/>
  <c r="AI1" i="62"/>
  <c r="D1" i="62"/>
  <c r="E1" i="62"/>
  <c r="F1" i="62"/>
  <c r="G1" i="62"/>
  <c r="H1" i="62"/>
  <c r="I1" i="62"/>
  <c r="J1" i="62"/>
  <c r="K1" i="62"/>
  <c r="L1" i="62"/>
  <c r="M1" i="62"/>
  <c r="N1" i="62"/>
  <c r="O1" i="62"/>
  <c r="P1" i="62"/>
  <c r="Q1" i="62"/>
  <c r="R1" i="62"/>
  <c r="S1" i="62"/>
  <c r="T1" i="62"/>
  <c r="U1" i="62"/>
  <c r="V1" i="62"/>
  <c r="W1" i="62"/>
  <c r="X1" i="62"/>
  <c r="Y1" i="62"/>
  <c r="Z1" i="62"/>
  <c r="AA1" i="62"/>
  <c r="AB1" i="62"/>
  <c r="AC1" i="62"/>
  <c r="AD1" i="62"/>
  <c r="AE1" i="62"/>
  <c r="C1" i="62"/>
  <c r="A2" i="62"/>
  <c r="B2" i="62"/>
  <c r="A3" i="62"/>
  <c r="B3" i="62"/>
  <c r="A4" i="62"/>
  <c r="B4" i="62"/>
  <c r="A5" i="62"/>
  <c r="B5" i="62"/>
  <c r="A6" i="62"/>
  <c r="B6" i="62"/>
  <c r="A7" i="62"/>
  <c r="B7" i="62"/>
  <c r="A8" i="62"/>
  <c r="B8" i="62"/>
  <c r="A9" i="62"/>
  <c r="B9" i="62"/>
  <c r="A10" i="62"/>
  <c r="B10" i="62"/>
  <c r="A11" i="62"/>
  <c r="B11" i="62"/>
  <c r="A12" i="62"/>
  <c r="B12" i="62"/>
  <c r="A13" i="62"/>
  <c r="B13" i="62"/>
  <c r="A14" i="62"/>
  <c r="B14" i="62"/>
  <c r="A15" i="62"/>
  <c r="B15" i="62"/>
  <c r="A16" i="62"/>
  <c r="B16" i="62"/>
  <c r="A17" i="62"/>
  <c r="B17" i="62"/>
  <c r="A18" i="62"/>
  <c r="B18" i="62"/>
  <c r="A19" i="62"/>
  <c r="B19" i="62"/>
  <c r="A20" i="62"/>
  <c r="B20" i="62"/>
  <c r="A21" i="62"/>
  <c r="B21" i="62"/>
  <c r="A22" i="62"/>
  <c r="B22" i="62"/>
  <c r="A23" i="62"/>
  <c r="B23" i="62"/>
  <c r="A24" i="62"/>
  <c r="B24" i="62"/>
  <c r="A25" i="62"/>
  <c r="B25" i="62"/>
  <c r="A26" i="62"/>
  <c r="B26" i="62"/>
  <c r="A27" i="62"/>
  <c r="B27" i="62"/>
  <c r="A28" i="62"/>
  <c r="B28" i="62"/>
  <c r="A29" i="62"/>
  <c r="B29" i="62"/>
  <c r="A30" i="62"/>
  <c r="B30" i="62"/>
  <c r="A31" i="62"/>
  <c r="B31" i="62"/>
  <c r="A32" i="62"/>
  <c r="B32" i="62"/>
  <c r="A33" i="62"/>
  <c r="B33" i="62"/>
  <c r="A34" i="62"/>
  <c r="B34" i="62"/>
  <c r="A35" i="62"/>
  <c r="B35" i="62"/>
  <c r="A36" i="62"/>
  <c r="B36" i="62"/>
  <c r="A37" i="62"/>
  <c r="B37" i="62"/>
  <c r="A38" i="62"/>
  <c r="B38" i="62"/>
  <c r="A39" i="62"/>
  <c r="B39" i="62"/>
  <c r="A40" i="62"/>
  <c r="B40" i="62"/>
  <c r="A41" i="62"/>
  <c r="B41" i="62"/>
  <c r="A42" i="62"/>
  <c r="B42" i="62"/>
  <c r="A43" i="62"/>
  <c r="B43" i="62"/>
  <c r="A44" i="62"/>
  <c r="B44" i="62"/>
  <c r="A45" i="62"/>
  <c r="B45" i="62"/>
  <c r="A46" i="62"/>
  <c r="B46" i="62"/>
  <c r="A47" i="62"/>
  <c r="B47" i="62"/>
  <c r="A48" i="62"/>
  <c r="B48" i="62"/>
  <c r="A49" i="62"/>
  <c r="B49" i="62"/>
  <c r="A50" i="62"/>
  <c r="B50" i="62"/>
  <c r="A51" i="62"/>
  <c r="B51" i="62"/>
  <c r="A52" i="62"/>
  <c r="B52" i="62"/>
  <c r="A53" i="62"/>
  <c r="B53" i="62"/>
  <c r="A54" i="62"/>
  <c r="B54" i="62"/>
  <c r="A55" i="62"/>
  <c r="B55" i="62"/>
  <c r="A56" i="62"/>
  <c r="B56" i="62"/>
  <c r="A57" i="62"/>
  <c r="B57" i="62"/>
  <c r="A58" i="62"/>
  <c r="B58" i="62"/>
  <c r="A59" i="62"/>
  <c r="B59" i="62"/>
  <c r="A60" i="62"/>
  <c r="B60" i="62"/>
  <c r="A61" i="62"/>
  <c r="B61" i="62"/>
  <c r="A62" i="62"/>
  <c r="B62" i="62"/>
  <c r="A63" i="62"/>
  <c r="B63" i="62"/>
  <c r="A64" i="62"/>
  <c r="B64" i="62"/>
  <c r="A65" i="62"/>
  <c r="B65" i="62"/>
  <c r="A66" i="62"/>
  <c r="B66" i="62"/>
  <c r="A67" i="62"/>
  <c r="B67" i="62"/>
  <c r="A68" i="62"/>
  <c r="B68" i="62"/>
  <c r="A69" i="62"/>
  <c r="B69" i="62"/>
  <c r="A70" i="62"/>
  <c r="B70" i="62"/>
  <c r="A71" i="62"/>
  <c r="B71" i="62"/>
  <c r="A72" i="62"/>
  <c r="B72" i="62"/>
  <c r="A73" i="62"/>
  <c r="B73" i="62"/>
  <c r="A74" i="62"/>
  <c r="B74" i="62"/>
  <c r="A75" i="62"/>
  <c r="B75" i="62"/>
  <c r="A76" i="62"/>
  <c r="B76" i="62"/>
  <c r="A77" i="62"/>
  <c r="B77" i="62"/>
  <c r="A78" i="62"/>
  <c r="B78" i="62"/>
  <c r="A79" i="62"/>
  <c r="B79" i="62"/>
  <c r="A80" i="62"/>
  <c r="B80" i="62"/>
  <c r="A81" i="62"/>
  <c r="B81" i="62"/>
  <c r="A82" i="62"/>
  <c r="B82" i="62"/>
  <c r="A83" i="62"/>
  <c r="B83" i="62"/>
  <c r="A84" i="62"/>
  <c r="B84" i="62"/>
  <c r="A85" i="62"/>
  <c r="B85" i="62"/>
  <c r="A86" i="62"/>
  <c r="B86" i="62"/>
  <c r="A87" i="62"/>
  <c r="B87" i="62"/>
  <c r="A88" i="62"/>
  <c r="B88" i="62"/>
  <c r="A89" i="62"/>
  <c r="B89" i="62"/>
  <c r="A90" i="62"/>
  <c r="B90" i="62"/>
  <c r="A91" i="62"/>
  <c r="B91" i="62"/>
  <c r="A92" i="62"/>
  <c r="B92" i="62"/>
  <c r="A93" i="62"/>
  <c r="B93" i="62"/>
  <c r="A94" i="62"/>
  <c r="B94" i="62"/>
  <c r="A95" i="62"/>
  <c r="B95" i="62"/>
  <c r="A96" i="62"/>
  <c r="B96" i="62"/>
  <c r="A97" i="62"/>
  <c r="B97" i="62"/>
  <c r="A98" i="62"/>
  <c r="B98" i="62"/>
  <c r="A99" i="62"/>
  <c r="B99" i="62"/>
  <c r="A100" i="62"/>
  <c r="B100" i="62"/>
  <c r="A101" i="62"/>
  <c r="B101" i="62"/>
  <c r="A102" i="62"/>
  <c r="B102" i="62"/>
  <c r="A103" i="62"/>
  <c r="B103" i="62"/>
  <c r="A104" i="62"/>
  <c r="B104" i="62"/>
  <c r="A105" i="62"/>
  <c r="B105" i="62"/>
  <c r="A106" i="62"/>
  <c r="B106" i="62"/>
  <c r="A107" i="62"/>
  <c r="B107" i="62"/>
  <c r="A108" i="62"/>
  <c r="B108" i="62"/>
  <c r="A109" i="62"/>
  <c r="B109" i="62"/>
  <c r="A110" i="62"/>
  <c r="B110" i="62"/>
  <c r="A111" i="62"/>
  <c r="B111" i="62"/>
  <c r="A112" i="62"/>
  <c r="B112" i="62"/>
  <c r="A113" i="62"/>
  <c r="B113" i="62"/>
  <c r="A114" i="62"/>
  <c r="B114" i="62"/>
  <c r="A115" i="62"/>
  <c r="B115" i="62"/>
  <c r="A116" i="62"/>
  <c r="B116" i="62"/>
  <c r="A117" i="62"/>
  <c r="B117" i="62"/>
  <c r="A118" i="62"/>
  <c r="B118" i="62"/>
  <c r="A119" i="62"/>
  <c r="B119" i="62"/>
  <c r="A120" i="62"/>
  <c r="B120" i="62"/>
  <c r="A121" i="62"/>
  <c r="B121" i="62"/>
  <c r="A122" i="62"/>
  <c r="B122" i="62"/>
  <c r="A123" i="62"/>
  <c r="B123" i="62"/>
  <c r="A124" i="62"/>
  <c r="B124" i="62"/>
  <c r="A125" i="62"/>
  <c r="B125" i="62"/>
  <c r="A126" i="62"/>
  <c r="B126" i="62"/>
  <c r="A127" i="62"/>
  <c r="B127" i="62"/>
  <c r="A128" i="62"/>
  <c r="B128" i="62"/>
  <c r="A129" i="62"/>
  <c r="B129" i="62"/>
  <c r="A130" i="62"/>
  <c r="B130" i="62"/>
  <c r="A131" i="62"/>
  <c r="B131" i="62"/>
  <c r="A132" i="62"/>
  <c r="B132" i="62"/>
  <c r="A133" i="62"/>
  <c r="B133" i="62"/>
  <c r="A134" i="62"/>
  <c r="B134" i="62"/>
  <c r="A135" i="62"/>
  <c r="B135" i="62"/>
  <c r="A136" i="62"/>
  <c r="B136" i="62"/>
  <c r="A137" i="62"/>
  <c r="B137" i="62"/>
  <c r="A138" i="62"/>
  <c r="B138" i="62"/>
  <c r="A139" i="62"/>
  <c r="B139" i="62"/>
  <c r="A140" i="62"/>
  <c r="B140" i="62"/>
  <c r="A141" i="62"/>
  <c r="B141" i="62"/>
  <c r="A142" i="62"/>
  <c r="B142" i="62"/>
  <c r="A143" i="62"/>
  <c r="B143" i="62"/>
  <c r="A144" i="62"/>
  <c r="B144" i="62"/>
  <c r="A145" i="62"/>
  <c r="B145" i="62"/>
  <c r="A146" i="62"/>
  <c r="B146" i="62"/>
  <c r="A147" i="62"/>
  <c r="B147" i="62"/>
  <c r="A148" i="62"/>
  <c r="B148" i="62"/>
  <c r="A149" i="62"/>
  <c r="B149" i="62"/>
  <c r="A150" i="62"/>
  <c r="B150" i="62"/>
  <c r="A151" i="62"/>
  <c r="B151" i="62"/>
  <c r="A152" i="62"/>
  <c r="B152" i="62"/>
  <c r="A153" i="62"/>
  <c r="B153" i="62"/>
  <c r="A154" i="62"/>
  <c r="B154" i="62"/>
  <c r="A155" i="62"/>
  <c r="B155" i="62"/>
  <c r="A156" i="62"/>
  <c r="B156" i="62"/>
  <c r="A157" i="62"/>
  <c r="B157" i="62"/>
  <c r="A158" i="62"/>
  <c r="B158" i="62"/>
  <c r="A159" i="62"/>
  <c r="B159" i="62"/>
  <c r="A160" i="62"/>
  <c r="B160" i="62"/>
  <c r="A161" i="62"/>
  <c r="B161" i="62"/>
  <c r="A162" i="62"/>
  <c r="B162" i="62"/>
  <c r="A163" i="62"/>
  <c r="B163" i="62"/>
  <c r="A164" i="62"/>
  <c r="B164" i="62"/>
  <c r="A165" i="62"/>
  <c r="B165" i="62"/>
  <c r="A166" i="62"/>
  <c r="B166" i="62"/>
  <c r="A167" i="62"/>
  <c r="B167" i="62"/>
  <c r="A168" i="62"/>
  <c r="B168" i="62"/>
  <c r="A169" i="62"/>
  <c r="B169" i="62"/>
  <c r="A170" i="62"/>
  <c r="B170" i="62"/>
  <c r="A171" i="62"/>
  <c r="B171" i="62"/>
  <c r="A172" i="62"/>
  <c r="B172" i="62"/>
  <c r="A173" i="62"/>
  <c r="B173" i="62"/>
  <c r="A174" i="62"/>
  <c r="B174" i="62"/>
  <c r="A175" i="62"/>
  <c r="B175" i="62"/>
  <c r="A176" i="62"/>
  <c r="B176" i="62"/>
  <c r="A177" i="62"/>
  <c r="B177" i="62"/>
  <c r="A178" i="62"/>
  <c r="B178" i="62"/>
  <c r="A179" i="62"/>
  <c r="B179" i="62"/>
  <c r="A180" i="62"/>
  <c r="B180" i="62"/>
  <c r="A181" i="62"/>
  <c r="B181" i="62"/>
  <c r="A182" i="62"/>
  <c r="B182" i="62"/>
  <c r="A183" i="62"/>
  <c r="B183" i="62"/>
  <c r="A184" i="62"/>
  <c r="B184" i="62"/>
  <c r="A185" i="62"/>
  <c r="B185" i="62"/>
  <c r="A186" i="62"/>
  <c r="B186" i="62"/>
  <c r="A187" i="62"/>
  <c r="B187" i="62"/>
  <c r="A188" i="62"/>
  <c r="B188" i="62"/>
  <c r="A189" i="62"/>
  <c r="B189" i="62"/>
  <c r="A190" i="62"/>
  <c r="B190" i="62"/>
  <c r="A191" i="62"/>
  <c r="B191" i="62"/>
  <c r="A192" i="62"/>
  <c r="B192" i="62"/>
  <c r="A193" i="62"/>
  <c r="B193" i="62"/>
  <c r="A194" i="62"/>
  <c r="B194" i="62"/>
  <c r="A195" i="62"/>
  <c r="B195" i="62"/>
  <c r="A196" i="62"/>
  <c r="B196" i="62"/>
  <c r="A197" i="62"/>
  <c r="B197" i="62"/>
  <c r="A198" i="62"/>
  <c r="B198" i="62"/>
  <c r="A199" i="62"/>
  <c r="B199" i="62"/>
  <c r="B1" i="62"/>
  <c r="A1" i="62"/>
  <c r="F76" i="3"/>
  <c r="E164" i="58" s="1"/>
  <c r="F77" i="3"/>
  <c r="E58" i="58" s="1"/>
  <c r="I2" i="8"/>
  <c r="I3" i="8"/>
  <c r="I4" i="8"/>
  <c r="I5" i="8"/>
  <c r="I6" i="8"/>
  <c r="I7" i="8"/>
  <c r="I8" i="8"/>
  <c r="I9" i="8"/>
  <c r="I10" i="8"/>
  <c r="I11" i="8"/>
  <c r="I12" i="8"/>
  <c r="I13" i="8"/>
  <c r="I14" i="8"/>
  <c r="I15" i="8"/>
  <c r="I16" i="8"/>
  <c r="I17" i="8"/>
  <c r="I18" i="8"/>
  <c r="I19" i="8"/>
  <c r="I20" i="8"/>
  <c r="I21" i="8"/>
  <c r="I22" i="8"/>
  <c r="I23" i="8"/>
  <c r="I24" i="8"/>
  <c r="I25" i="8"/>
  <c r="I26" i="8"/>
  <c r="I27" i="8"/>
  <c r="I28" i="8"/>
  <c r="I29" i="8"/>
  <c r="I30" i="8"/>
  <c r="I31" i="8"/>
  <c r="I32" i="8"/>
  <c r="I33" i="8"/>
  <c r="I34" i="8"/>
  <c r="I35" i="8"/>
  <c r="I36" i="8"/>
  <c r="I37" i="8"/>
  <c r="I38" i="8"/>
  <c r="I39" i="8"/>
  <c r="I40" i="8"/>
  <c r="I41" i="8"/>
  <c r="I42" i="8"/>
  <c r="I43" i="8"/>
  <c r="I44" i="8"/>
  <c r="I45" i="8"/>
  <c r="I46" i="8"/>
  <c r="I47" i="8"/>
  <c r="I48" i="8"/>
  <c r="I49" i="8"/>
  <c r="I50" i="8"/>
  <c r="I51" i="8"/>
  <c r="I52" i="8"/>
  <c r="I53" i="8"/>
  <c r="I54" i="8"/>
  <c r="I55" i="8"/>
  <c r="I56" i="8"/>
  <c r="I57" i="8"/>
  <c r="I58" i="8"/>
  <c r="I59" i="8"/>
  <c r="I60" i="8"/>
  <c r="I61" i="8"/>
  <c r="I62" i="8"/>
  <c r="I63" i="8"/>
  <c r="I64" i="8"/>
  <c r="I65" i="8"/>
  <c r="I66" i="8"/>
  <c r="I67" i="8"/>
  <c r="I68" i="8"/>
  <c r="I69" i="8"/>
  <c r="I70" i="8"/>
  <c r="I71" i="8"/>
  <c r="I72" i="8"/>
  <c r="I73" i="8"/>
  <c r="I74" i="8"/>
  <c r="I75" i="8"/>
  <c r="I76" i="8"/>
  <c r="I77" i="8"/>
  <c r="I78" i="8"/>
  <c r="I79" i="8"/>
  <c r="I80" i="8"/>
  <c r="I81" i="8"/>
  <c r="I82" i="8"/>
  <c r="I83" i="8"/>
  <c r="I84" i="8"/>
  <c r="I85" i="8"/>
  <c r="I86" i="8"/>
  <c r="I87" i="8"/>
  <c r="I88" i="8"/>
  <c r="I89" i="8"/>
  <c r="I90" i="8"/>
  <c r="I91" i="8"/>
  <c r="I92" i="8"/>
  <c r="I93" i="8"/>
  <c r="I94" i="8"/>
  <c r="I95" i="8"/>
  <c r="I96" i="8"/>
  <c r="I97" i="8"/>
  <c r="I98" i="8"/>
  <c r="I99" i="8"/>
  <c r="I100" i="8"/>
  <c r="I101" i="8"/>
  <c r="I102" i="8"/>
  <c r="I103" i="8"/>
  <c r="I104" i="8"/>
  <c r="I105" i="8"/>
  <c r="I106" i="8"/>
  <c r="I107" i="8"/>
  <c r="I108" i="8"/>
  <c r="I109" i="8"/>
  <c r="I110" i="8"/>
  <c r="I111" i="8"/>
  <c r="I112" i="8"/>
  <c r="I113" i="8"/>
  <c r="I114" i="8"/>
  <c r="I115" i="8"/>
  <c r="I116" i="8"/>
  <c r="I117" i="8"/>
  <c r="I118" i="8"/>
  <c r="I119" i="8"/>
  <c r="I120" i="8"/>
  <c r="I121" i="8"/>
  <c r="I122" i="8"/>
  <c r="I123" i="8"/>
  <c r="I124" i="8"/>
  <c r="I126" i="8"/>
  <c r="I127" i="8"/>
  <c r="I128" i="8"/>
  <c r="I129" i="8"/>
  <c r="I130" i="8"/>
  <c r="I131" i="8"/>
  <c r="I132" i="8"/>
  <c r="I133" i="8"/>
  <c r="I134" i="8"/>
  <c r="I135" i="8"/>
  <c r="I136" i="8"/>
  <c r="I137" i="8"/>
  <c r="I138" i="8"/>
  <c r="I139" i="8"/>
  <c r="I140" i="8"/>
  <c r="I141" i="8"/>
  <c r="I142" i="8"/>
  <c r="I143" i="8"/>
  <c r="I144" i="8"/>
  <c r="I145" i="8"/>
  <c r="I146" i="8"/>
  <c r="I147" i="8"/>
  <c r="I148" i="8"/>
  <c r="I149" i="8"/>
  <c r="I150" i="8"/>
  <c r="I151" i="8"/>
  <c r="I152" i="8"/>
  <c r="I153" i="8"/>
  <c r="I154" i="8"/>
  <c r="I155" i="8"/>
  <c r="I156" i="8"/>
  <c r="I157" i="8"/>
  <c r="I158" i="8"/>
  <c r="I159" i="8"/>
  <c r="I160" i="8"/>
  <c r="I161" i="8"/>
  <c r="I162" i="8"/>
  <c r="I163" i="8"/>
  <c r="I164" i="8"/>
  <c r="I165" i="8"/>
  <c r="I166" i="8"/>
  <c r="I167" i="8"/>
  <c r="I168" i="8"/>
  <c r="I169" i="8"/>
  <c r="I170" i="8"/>
  <c r="I171" i="8"/>
  <c r="I172" i="8"/>
  <c r="I173" i="8"/>
  <c r="I174" i="8"/>
  <c r="I175" i="8"/>
  <c r="I176" i="8"/>
  <c r="I177" i="8"/>
  <c r="I178" i="8"/>
  <c r="I179" i="8"/>
  <c r="I180" i="8"/>
  <c r="I181" i="8"/>
  <c r="I182" i="8"/>
  <c r="I183" i="8"/>
  <c r="I184" i="8"/>
  <c r="I185" i="8"/>
  <c r="I186" i="8"/>
  <c r="I187" i="8"/>
  <c r="I188" i="8"/>
  <c r="I189" i="8"/>
  <c r="I190" i="8"/>
  <c r="I191" i="8"/>
  <c r="I192" i="8"/>
  <c r="I125" i="8"/>
  <c r="F132" i="3"/>
  <c r="B82" i="3"/>
  <c r="B191" i="3"/>
  <c r="B192" i="3"/>
  <c r="B190" i="3"/>
  <c r="B189" i="3"/>
  <c r="F16" i="3"/>
  <c r="E3" i="58" s="1"/>
  <c r="F17" i="3"/>
  <c r="E4" i="58" s="1"/>
  <c r="F177" i="3"/>
  <c r="F79" i="3"/>
  <c r="F18" i="3"/>
  <c r="E5" i="58" s="1"/>
  <c r="F126" i="3"/>
  <c r="F2" i="3"/>
  <c r="F19" i="3"/>
  <c r="E6" i="58" s="1"/>
  <c r="F20" i="3"/>
  <c r="E7" i="58" s="1"/>
  <c r="F21" i="3"/>
  <c r="E8" i="58" s="1"/>
  <c r="F127" i="3"/>
  <c r="F26" i="3"/>
  <c r="E9" i="58" s="1"/>
  <c r="F27" i="3"/>
  <c r="E10" i="58" s="1"/>
  <c r="F28" i="3"/>
  <c r="E11" i="58" s="1"/>
  <c r="F29" i="3"/>
  <c r="E12" i="58" s="1"/>
  <c r="F30" i="3"/>
  <c r="E13" i="58" s="1"/>
  <c r="F31" i="3"/>
  <c r="E14" i="58" s="1"/>
  <c r="F32" i="3"/>
  <c r="E15" i="58" s="1"/>
  <c r="F33" i="3"/>
  <c r="E16" i="58" s="1"/>
  <c r="F34" i="3"/>
  <c r="E17" i="58" s="1"/>
  <c r="F35" i="3"/>
  <c r="E18" i="58" s="1"/>
  <c r="F36" i="3"/>
  <c r="E19" i="58" s="1"/>
  <c r="F37" i="3"/>
  <c r="E20" i="58" s="1"/>
  <c r="F128" i="3"/>
  <c r="F22" i="3"/>
  <c r="F38" i="3"/>
  <c r="E21" i="58" s="1"/>
  <c r="F39" i="3"/>
  <c r="E22" i="58" s="1"/>
  <c r="F40" i="3"/>
  <c r="E23" i="58" s="1"/>
  <c r="F129" i="3"/>
  <c r="F41" i="3"/>
  <c r="E24" i="58" s="1"/>
  <c r="F23" i="3"/>
  <c r="F130" i="3"/>
  <c r="F42" i="3"/>
  <c r="E25" i="58" s="1"/>
  <c r="F43" i="3"/>
  <c r="E26" i="58" s="1"/>
  <c r="F44" i="3"/>
  <c r="E27" i="58" s="1"/>
  <c r="F45" i="3"/>
  <c r="E28" i="58" s="1"/>
  <c r="F46" i="3"/>
  <c r="E29" i="58" s="1"/>
  <c r="F47" i="3"/>
  <c r="E30" i="58" s="1"/>
  <c r="F48" i="3"/>
  <c r="E31" i="58" s="1"/>
  <c r="F49" i="3"/>
  <c r="E32" i="58" s="1"/>
  <c r="F178" i="3"/>
  <c r="F131" i="3"/>
  <c r="F50" i="3"/>
  <c r="E33" i="58" s="1"/>
  <c r="F51" i="3"/>
  <c r="E34" i="58" s="1"/>
  <c r="F52" i="3"/>
  <c r="E35" i="58" s="1"/>
  <c r="F3" i="3"/>
  <c r="F53" i="3"/>
  <c r="E36" i="58" s="1"/>
  <c r="F54" i="3"/>
  <c r="E37" i="58" s="1"/>
  <c r="F55" i="3"/>
  <c r="E38" i="58" s="1"/>
  <c r="F56" i="3"/>
  <c r="E39" i="58" s="1"/>
  <c r="F179" i="3"/>
  <c r="F180" i="3"/>
  <c r="F57" i="3"/>
  <c r="E40" i="58" s="1"/>
  <c r="F9" i="3"/>
  <c r="F58" i="3"/>
  <c r="E41" i="58" s="1"/>
  <c r="F181" i="3"/>
  <c r="F59" i="3"/>
  <c r="E42" i="58" s="1"/>
  <c r="F60" i="3"/>
  <c r="E43" i="58" s="1"/>
  <c r="F61" i="3"/>
  <c r="E44" i="58" s="1"/>
  <c r="F62" i="3"/>
  <c r="E45" i="58" s="1"/>
  <c r="F63" i="3"/>
  <c r="E46" i="58" s="1"/>
  <c r="F64" i="3"/>
  <c r="E47" i="58" s="1"/>
  <c r="F65" i="3"/>
  <c r="E48" i="58" s="1"/>
  <c r="F66" i="3"/>
  <c r="E49" i="58" s="1"/>
  <c r="F67" i="3"/>
  <c r="E50" i="58" s="1"/>
  <c r="F68" i="3"/>
  <c r="E51" i="58" s="1"/>
  <c r="F69" i="3"/>
  <c r="E52" i="58" s="1"/>
  <c r="F70" i="3"/>
  <c r="E53" i="58" s="1"/>
  <c r="F71" i="3"/>
  <c r="E54" i="58" s="1"/>
  <c r="F72" i="3"/>
  <c r="E55" i="58" s="1"/>
  <c r="F73" i="3"/>
  <c r="E193" i="58" s="1"/>
  <c r="F74" i="3"/>
  <c r="E56" i="58" s="1"/>
  <c r="F75" i="3"/>
  <c r="E57" i="58" s="1"/>
  <c r="F78" i="3"/>
  <c r="F133" i="3"/>
  <c r="F80" i="3"/>
  <c r="F89" i="3"/>
  <c r="E59" i="58" s="1"/>
  <c r="F90" i="3"/>
  <c r="E60" i="58" s="1"/>
  <c r="F91" i="3"/>
  <c r="E61" i="58" s="1"/>
  <c r="F92" i="3"/>
  <c r="E192" i="58" s="1"/>
  <c r="F93" i="3"/>
  <c r="E62" i="58" s="1"/>
  <c r="F182" i="3"/>
  <c r="F94" i="3"/>
  <c r="E63" i="58" s="1"/>
  <c r="F95" i="3"/>
  <c r="E64" i="58" s="1"/>
  <c r="F96" i="3"/>
  <c r="E65" i="58" s="1"/>
  <c r="F97" i="3"/>
  <c r="E66" i="58" s="1"/>
  <c r="F98" i="3"/>
  <c r="E67" i="58" s="1"/>
  <c r="F81" i="3"/>
  <c r="F99" i="3"/>
  <c r="E68" i="58" s="1"/>
  <c r="F82" i="3"/>
  <c r="F100" i="3"/>
  <c r="E69" i="58" s="1"/>
  <c r="F134" i="3"/>
  <c r="F183" i="3"/>
  <c r="F101" i="3"/>
  <c r="E70" i="58" s="1"/>
  <c r="F102" i="3"/>
  <c r="E71" i="58" s="1"/>
  <c r="F103" i="3"/>
  <c r="E72" i="58" s="1"/>
  <c r="F104" i="3"/>
  <c r="E73" i="58" s="1"/>
  <c r="F105" i="3"/>
  <c r="E74" i="58" s="1"/>
  <c r="F184" i="3"/>
  <c r="F83" i="3"/>
  <c r="F106" i="3"/>
  <c r="E75" i="58" s="1"/>
  <c r="F107" i="3"/>
  <c r="E76" i="58" s="1"/>
  <c r="F108" i="3"/>
  <c r="E77" i="58" s="1"/>
  <c r="F109" i="3"/>
  <c r="E78" i="58" s="1"/>
  <c r="F110" i="3"/>
  <c r="E79" i="58" s="1"/>
  <c r="F111" i="3"/>
  <c r="E80" i="58" s="1"/>
  <c r="F112" i="3"/>
  <c r="E81" i="58" s="1"/>
  <c r="F113" i="3"/>
  <c r="E82" i="58" s="1"/>
  <c r="F114" i="3"/>
  <c r="E83" i="58" s="1"/>
  <c r="F115" i="3"/>
  <c r="E84" i="58" s="1"/>
  <c r="F116" i="3"/>
  <c r="E85" i="58" s="1"/>
  <c r="F117" i="3"/>
  <c r="E86" i="58" s="1"/>
  <c r="F118" i="3"/>
  <c r="E87" i="58" s="1"/>
  <c r="F185" i="3"/>
  <c r="F119" i="3"/>
  <c r="E88" i="58" s="1"/>
  <c r="F120" i="3"/>
  <c r="E89" i="58" s="1"/>
  <c r="F121" i="3"/>
  <c r="E90" i="58" s="1"/>
  <c r="F122" i="3"/>
  <c r="E91" i="58" s="1"/>
  <c r="F123" i="3"/>
  <c r="E92" i="58" s="1"/>
  <c r="F124" i="3"/>
  <c r="E93" i="58" s="1"/>
  <c r="F125" i="3"/>
  <c r="E94" i="58" s="1"/>
  <c r="F143" i="3"/>
  <c r="E95" i="58" s="1"/>
  <c r="F144" i="3"/>
  <c r="E96" i="58" s="1"/>
  <c r="F145" i="3"/>
  <c r="E97" i="58" s="1"/>
  <c r="F146" i="3"/>
  <c r="E98" i="58" s="1"/>
  <c r="F147" i="3"/>
  <c r="E99" i="58" s="1"/>
  <c r="F84" i="3"/>
  <c r="F148" i="3"/>
  <c r="E100" i="58" s="1"/>
  <c r="F149" i="3"/>
  <c r="E101" i="58" s="1"/>
  <c r="F150" i="3"/>
  <c r="E103" i="58" s="1"/>
  <c r="F151" i="3"/>
  <c r="E104" i="58" s="1"/>
  <c r="F152" i="3"/>
  <c r="E105" i="58" s="1"/>
  <c r="F153" i="3"/>
  <c r="E106" i="58" s="1"/>
  <c r="F154" i="3"/>
  <c r="E107" i="58" s="1"/>
  <c r="F155" i="3"/>
  <c r="E108" i="58" s="1"/>
  <c r="F186" i="3"/>
  <c r="F135" i="3"/>
  <c r="F156" i="3"/>
  <c r="E109" i="58" s="1"/>
  <c r="F157" i="3"/>
  <c r="E110" i="58" s="1"/>
  <c r="F10" i="3"/>
  <c r="F158" i="3"/>
  <c r="E111" i="58" s="1"/>
  <c r="F187" i="3"/>
  <c r="F188" i="3"/>
  <c r="F215" i="3"/>
  <c r="E112" i="58" s="1"/>
  <c r="F85" i="3"/>
  <c r="F159" i="3"/>
  <c r="E113" i="58" s="1"/>
  <c r="F160" i="3"/>
  <c r="E114" i="58" s="1"/>
  <c r="F136" i="3"/>
  <c r="F161" i="3"/>
  <c r="E115" i="58" s="1"/>
  <c r="F162" i="3"/>
  <c r="E116" i="58" s="1"/>
  <c r="F163" i="3"/>
  <c r="E117" i="58" s="1"/>
  <c r="F164" i="3"/>
  <c r="E118" i="58" s="1"/>
  <c r="F189" i="3"/>
  <c r="F165" i="3"/>
  <c r="E119" i="58" s="1"/>
  <c r="F166" i="3"/>
  <c r="E120" i="58" s="1"/>
  <c r="F137" i="3"/>
  <c r="F4" i="3"/>
  <c r="F190" i="3"/>
  <c r="F167" i="3"/>
  <c r="E121" i="58" s="1"/>
  <c r="F168" i="3"/>
  <c r="E122" i="58" s="1"/>
  <c r="F169" i="3"/>
  <c r="E123" i="58" s="1"/>
  <c r="F170" i="3"/>
  <c r="E124" i="58" s="1"/>
  <c r="F191" i="3"/>
  <c r="F192" i="3"/>
  <c r="F174" i="3"/>
  <c r="E125" i="58" s="1"/>
  <c r="F175" i="3"/>
  <c r="E102" i="58" s="1"/>
  <c r="F193" i="3"/>
  <c r="F176" i="3"/>
  <c r="E126" i="58" s="1"/>
  <c r="F202" i="3"/>
  <c r="E127" i="58" s="1"/>
  <c r="F5" i="3"/>
  <c r="F24" i="3"/>
  <c r="F203" i="3"/>
  <c r="E128" i="58" s="1"/>
  <c r="F194" i="3"/>
  <c r="F204" i="3"/>
  <c r="E129" i="58" s="1"/>
  <c r="F205" i="3"/>
  <c r="E130" i="58" s="1"/>
  <c r="F206" i="3"/>
  <c r="E131" i="58" s="1"/>
  <c r="F207" i="3"/>
  <c r="E132" i="58" s="1"/>
  <c r="F208" i="3"/>
  <c r="E133" i="58" s="1"/>
  <c r="F209" i="3"/>
  <c r="E134" i="58" s="1"/>
  <c r="F195" i="3"/>
  <c r="F210" i="3"/>
  <c r="E135" i="58" s="1"/>
  <c r="F211" i="3"/>
  <c r="E136" i="58" s="1"/>
  <c r="F212" i="3"/>
  <c r="E137" i="58" s="1"/>
  <c r="F213" i="3"/>
  <c r="E138" i="58" s="1"/>
  <c r="F11" i="3"/>
  <c r="F216" i="3"/>
  <c r="E139" i="58" s="1"/>
  <c r="F6" i="3"/>
  <c r="F217" i="3"/>
  <c r="E140" i="58" s="1"/>
  <c r="F218" i="3"/>
  <c r="E141" i="58" s="1"/>
  <c r="F12" i="3"/>
  <c r="F219" i="3"/>
  <c r="E142" i="58" s="1"/>
  <c r="F220" i="3"/>
  <c r="E143" i="58" s="1"/>
  <c r="F171" i="3"/>
  <c r="F221" i="3"/>
  <c r="E144" i="58" s="1"/>
  <c r="F138" i="3"/>
  <c r="F222" i="3"/>
  <c r="E145" i="58" s="1"/>
  <c r="F86" i="3"/>
  <c r="F223" i="3"/>
  <c r="E146" i="58" s="1"/>
  <c r="F224" i="3"/>
  <c r="E147" i="58" s="1"/>
  <c r="F225" i="3"/>
  <c r="E148" i="58" s="1"/>
  <c r="F226" i="3"/>
  <c r="E149" i="58" s="1"/>
  <c r="F227" i="3"/>
  <c r="E150" i="58" s="1"/>
  <c r="F13" i="3"/>
  <c r="F228" i="3"/>
  <c r="E151" i="58" s="1"/>
  <c r="F229" i="3"/>
  <c r="E152" i="58" s="1"/>
  <c r="F230" i="3"/>
  <c r="E153" i="58" s="1"/>
  <c r="F231" i="3"/>
  <c r="E154" i="58" s="1"/>
  <c r="F232" i="3"/>
  <c r="E155" i="58" s="1"/>
  <c r="F233" i="3"/>
  <c r="E156" i="58" s="1"/>
  <c r="F234" i="3"/>
  <c r="E157" i="58" s="1"/>
  <c r="F139" i="3"/>
  <c r="F214" i="3"/>
  <c r="E158" i="58" s="1"/>
  <c r="F235" i="3"/>
  <c r="E162" i="58" s="1"/>
  <c r="F236" i="3"/>
  <c r="E159" i="58" s="1"/>
  <c r="F237" i="3"/>
  <c r="E160" i="58" s="1"/>
  <c r="F238" i="3"/>
  <c r="E161" i="58" s="1"/>
  <c r="F239" i="3"/>
  <c r="F240" i="3"/>
  <c r="E163" i="58" s="1"/>
  <c r="F87" i="3"/>
  <c r="F241" i="3"/>
  <c r="E165" i="58" s="1"/>
  <c r="F242" i="3"/>
  <c r="E166" i="58" s="1"/>
  <c r="F243" i="3"/>
  <c r="F244" i="3"/>
  <c r="E168" i="58" s="1"/>
  <c r="F245" i="3"/>
  <c r="E169" i="58" s="1"/>
  <c r="F246" i="3"/>
  <c r="E170" i="58" s="1"/>
  <c r="F247" i="3"/>
  <c r="E171" i="58" s="1"/>
  <c r="F248" i="3"/>
  <c r="E172" i="58" s="1"/>
  <c r="F196" i="3"/>
  <c r="F197" i="3"/>
  <c r="F249" i="3"/>
  <c r="E173" i="58" s="1"/>
  <c r="F250" i="3"/>
  <c r="E174" i="58" s="1"/>
  <c r="F251" i="3"/>
  <c r="E175" i="58" s="1"/>
  <c r="F252" i="3"/>
  <c r="E176" i="58" s="1"/>
  <c r="F140" i="3"/>
  <c r="F198" i="3"/>
  <c r="F253" i="3"/>
  <c r="E177" i="58" s="1"/>
  <c r="F254" i="3"/>
  <c r="E178" i="58" s="1"/>
  <c r="F255" i="3"/>
  <c r="E179" i="58" s="1"/>
  <c r="F256" i="3"/>
  <c r="E180" i="58" s="1"/>
  <c r="F257" i="3"/>
  <c r="E181" i="58" s="1"/>
  <c r="F141" i="3"/>
  <c r="F7" i="3"/>
  <c r="F258" i="3"/>
  <c r="E182" i="58" s="1"/>
  <c r="F172" i="3"/>
  <c r="F259" i="3"/>
  <c r="E183" i="58" s="1"/>
  <c r="F260" i="3"/>
  <c r="E184" i="58" s="1"/>
  <c r="F261" i="3"/>
  <c r="E185" i="58" s="1"/>
  <c r="F262" i="3"/>
  <c r="E186" i="58" s="1"/>
  <c r="F263" i="3"/>
  <c r="E187" i="58" s="1"/>
  <c r="F199" i="3"/>
  <c r="F200" i="3"/>
  <c r="F14" i="3"/>
  <c r="F264" i="3"/>
  <c r="E188" i="58" s="1"/>
  <c r="F265" i="3"/>
  <c r="E189" i="58" s="1"/>
  <c r="F266" i="3"/>
  <c r="E190" i="58" s="1"/>
  <c r="F267" i="3"/>
  <c r="E191" i="58" s="1"/>
  <c r="F8" i="3"/>
  <c r="E2" i="58" s="1"/>
  <c r="B204" i="3"/>
  <c r="B128" i="3"/>
  <c r="B22" i="3"/>
  <c r="B129" i="3"/>
  <c r="B23" i="3"/>
  <c r="B130" i="3"/>
  <c r="B178" i="3"/>
  <c r="B131" i="3"/>
  <c r="B3" i="3"/>
  <c r="B56" i="3"/>
  <c r="B179" i="3"/>
  <c r="B180" i="3"/>
  <c r="B9" i="3"/>
  <c r="B181" i="3"/>
  <c r="B132" i="3"/>
  <c r="B73" i="3"/>
  <c r="B76" i="3"/>
  <c r="B133" i="3"/>
  <c r="B80" i="3"/>
  <c r="B92" i="3"/>
  <c r="B182" i="3"/>
  <c r="B81" i="3"/>
  <c r="B134" i="3"/>
  <c r="B183" i="3"/>
  <c r="B184" i="3"/>
  <c r="B83" i="3"/>
  <c r="B185" i="3"/>
  <c r="B84" i="3"/>
  <c r="B186" i="3"/>
  <c r="B135" i="3"/>
  <c r="B10" i="3"/>
  <c r="B187" i="3"/>
  <c r="B188" i="3"/>
  <c r="B85" i="3"/>
  <c r="B136" i="3"/>
  <c r="B4" i="3"/>
  <c r="B175" i="3"/>
  <c r="B193" i="3"/>
  <c r="B5" i="3"/>
  <c r="B24" i="3"/>
  <c r="B194" i="3"/>
  <c r="B195" i="3"/>
  <c r="B11" i="3"/>
  <c r="B6" i="3"/>
  <c r="B12" i="3"/>
  <c r="B171" i="3"/>
  <c r="B138" i="3"/>
  <c r="B86" i="3"/>
  <c r="B13" i="3"/>
  <c r="B139" i="3"/>
  <c r="B87" i="3"/>
  <c r="B196" i="3"/>
  <c r="B197" i="3"/>
  <c r="B140" i="3"/>
  <c r="B198" i="3"/>
  <c r="B141" i="3"/>
  <c r="B7" i="3"/>
  <c r="B172" i="3"/>
  <c r="B199" i="3"/>
  <c r="B200" i="3"/>
  <c r="B14" i="3"/>
  <c r="B177" i="3"/>
  <c r="B79" i="3"/>
  <c r="B126" i="3"/>
  <c r="B2" i="3"/>
  <c r="B127" i="3"/>
  <c r="A19" i="3"/>
  <c r="B19" i="3" s="1"/>
  <c r="A16" i="3"/>
  <c r="B16" i="3" s="1"/>
  <c r="A17" i="3"/>
  <c r="B17" i="3" s="1"/>
  <c r="A18" i="3"/>
  <c r="B18" i="3" s="1"/>
  <c r="A20" i="3"/>
  <c r="B20" i="3" s="1"/>
  <c r="A21" i="3"/>
  <c r="B21" i="3" s="1"/>
  <c r="A26" i="3"/>
  <c r="B26" i="3" s="1"/>
  <c r="A27" i="3"/>
  <c r="B27" i="3" s="1"/>
  <c r="A28" i="3"/>
  <c r="B28" i="3" s="1"/>
  <c r="A29" i="3"/>
  <c r="B29" i="3" s="1"/>
  <c r="A30" i="3"/>
  <c r="B30" i="3" s="1"/>
  <c r="A31" i="3"/>
  <c r="B31" i="3" s="1"/>
  <c r="A32" i="3"/>
  <c r="B32" i="3" s="1"/>
  <c r="A33" i="3"/>
  <c r="B33" i="3" s="1"/>
  <c r="A34" i="3"/>
  <c r="B34" i="3" s="1"/>
  <c r="A35" i="3"/>
  <c r="B35" i="3" s="1"/>
  <c r="A36" i="3"/>
  <c r="B36" i="3" s="1"/>
  <c r="A37" i="3"/>
  <c r="B37" i="3" s="1"/>
  <c r="A38" i="3"/>
  <c r="B38" i="3" s="1"/>
  <c r="A39" i="3"/>
  <c r="B39" i="3" s="1"/>
  <c r="A40" i="3"/>
  <c r="B40" i="3" s="1"/>
  <c r="A41" i="3"/>
  <c r="B41" i="3" s="1"/>
  <c r="A42" i="3"/>
  <c r="B42" i="3" s="1"/>
  <c r="A43" i="3"/>
  <c r="B43" i="3" s="1"/>
  <c r="A44" i="3"/>
  <c r="B44" i="3" s="1"/>
  <c r="A45" i="3"/>
  <c r="B45" i="3" s="1"/>
  <c r="A46" i="3"/>
  <c r="B46" i="3" s="1"/>
  <c r="A47" i="3"/>
  <c r="B47" i="3" s="1"/>
  <c r="A48" i="3"/>
  <c r="B48" i="3" s="1"/>
  <c r="A49" i="3"/>
  <c r="B49" i="3" s="1"/>
  <c r="A50" i="3"/>
  <c r="B50" i="3" s="1"/>
  <c r="A51" i="3"/>
  <c r="B51" i="3" s="1"/>
  <c r="A52" i="3"/>
  <c r="B52" i="3" s="1"/>
  <c r="A53" i="3"/>
  <c r="B53" i="3" s="1"/>
  <c r="A54" i="3"/>
  <c r="B54" i="3" s="1"/>
  <c r="A55" i="3"/>
  <c r="B55" i="3" s="1"/>
  <c r="A57" i="3"/>
  <c r="B57" i="3" s="1"/>
  <c r="A58" i="3"/>
  <c r="B58" i="3" s="1"/>
  <c r="A59" i="3"/>
  <c r="B59" i="3" s="1"/>
  <c r="A60" i="3"/>
  <c r="B60" i="3" s="1"/>
  <c r="A61" i="3"/>
  <c r="B61" i="3" s="1"/>
  <c r="A62" i="3"/>
  <c r="B62" i="3" s="1"/>
  <c r="A63" i="3"/>
  <c r="B63" i="3" s="1"/>
  <c r="A64" i="3"/>
  <c r="B64" i="3" s="1"/>
  <c r="A65" i="3"/>
  <c r="B65" i="3" s="1"/>
  <c r="A66" i="3"/>
  <c r="B66" i="3" s="1"/>
  <c r="A67" i="3"/>
  <c r="B67" i="3" s="1"/>
  <c r="A68" i="3"/>
  <c r="B68" i="3" s="1"/>
  <c r="A69" i="3"/>
  <c r="B69" i="3" s="1"/>
  <c r="A70" i="3"/>
  <c r="B70" i="3" s="1"/>
  <c r="A71" i="3"/>
  <c r="B71" i="3" s="1"/>
  <c r="A72" i="3"/>
  <c r="B72" i="3" s="1"/>
  <c r="A74" i="3"/>
  <c r="B74" i="3" s="1"/>
  <c r="A75" i="3"/>
  <c r="B75" i="3" s="1"/>
  <c r="A77" i="3"/>
  <c r="B77" i="3" s="1"/>
  <c r="A78" i="3"/>
  <c r="B78" i="3" s="1"/>
  <c r="A89" i="3"/>
  <c r="B89" i="3" s="1"/>
  <c r="A90" i="3"/>
  <c r="B90" i="3" s="1"/>
  <c r="A91" i="3"/>
  <c r="B91" i="3" s="1"/>
  <c r="A93" i="3"/>
  <c r="B93" i="3" s="1"/>
  <c r="A94" i="3"/>
  <c r="B94" i="3" s="1"/>
  <c r="A95" i="3"/>
  <c r="B95" i="3" s="1"/>
  <c r="A96" i="3"/>
  <c r="B96" i="3" s="1"/>
  <c r="A97" i="3"/>
  <c r="B97" i="3" s="1"/>
  <c r="A98" i="3"/>
  <c r="B98" i="3" s="1"/>
  <c r="A99" i="3"/>
  <c r="B99" i="3" s="1"/>
  <c r="A100" i="3"/>
  <c r="B100" i="3" s="1"/>
  <c r="A101" i="3"/>
  <c r="B101" i="3" s="1"/>
  <c r="A102" i="3"/>
  <c r="B102" i="3" s="1"/>
  <c r="A103" i="3"/>
  <c r="B103" i="3" s="1"/>
  <c r="A104" i="3"/>
  <c r="B104" i="3" s="1"/>
  <c r="A105" i="3"/>
  <c r="B105" i="3" s="1"/>
  <c r="A106" i="3"/>
  <c r="B106" i="3" s="1"/>
  <c r="A107" i="3"/>
  <c r="B107" i="3" s="1"/>
  <c r="A108" i="3"/>
  <c r="B108" i="3" s="1"/>
  <c r="A109" i="3"/>
  <c r="B109" i="3" s="1"/>
  <c r="A110" i="3"/>
  <c r="B110" i="3" s="1"/>
  <c r="A111" i="3"/>
  <c r="B111" i="3" s="1"/>
  <c r="A112" i="3"/>
  <c r="B112" i="3" s="1"/>
  <c r="A113" i="3"/>
  <c r="B113" i="3" s="1"/>
  <c r="A114" i="3"/>
  <c r="B114" i="3" s="1"/>
  <c r="A115" i="3"/>
  <c r="B115" i="3" s="1"/>
  <c r="A116" i="3"/>
  <c r="B116" i="3" s="1"/>
  <c r="A117" i="3"/>
  <c r="B117" i="3" s="1"/>
  <c r="A118" i="3"/>
  <c r="B118" i="3" s="1"/>
  <c r="A119" i="3"/>
  <c r="B119" i="3" s="1"/>
  <c r="A120" i="3"/>
  <c r="B120" i="3" s="1"/>
  <c r="A121" i="3"/>
  <c r="B121" i="3" s="1"/>
  <c r="A122" i="3"/>
  <c r="B122" i="3" s="1"/>
  <c r="A123" i="3"/>
  <c r="B123" i="3" s="1"/>
  <c r="A124" i="3"/>
  <c r="B124" i="3" s="1"/>
  <c r="A125" i="3"/>
  <c r="B125" i="3" s="1"/>
  <c r="A143" i="3"/>
  <c r="B143" i="3" s="1"/>
  <c r="A144" i="3"/>
  <c r="B144" i="3" s="1"/>
  <c r="A145" i="3"/>
  <c r="B145" i="3" s="1"/>
  <c r="A146" i="3"/>
  <c r="B146" i="3" s="1"/>
  <c r="A147" i="3"/>
  <c r="B147" i="3" s="1"/>
  <c r="A148" i="3"/>
  <c r="B148" i="3" s="1"/>
  <c r="A149" i="3"/>
  <c r="B149" i="3" s="1"/>
  <c r="A150" i="3"/>
  <c r="B150" i="3" s="1"/>
  <c r="A151" i="3"/>
  <c r="B151" i="3" s="1"/>
  <c r="A152" i="3"/>
  <c r="B152" i="3" s="1"/>
  <c r="A153" i="3"/>
  <c r="B153" i="3" s="1"/>
  <c r="A154" i="3"/>
  <c r="B154" i="3" s="1"/>
  <c r="A155" i="3"/>
  <c r="B155" i="3" s="1"/>
  <c r="A156" i="3"/>
  <c r="B156" i="3" s="1"/>
  <c r="A157" i="3"/>
  <c r="B157" i="3" s="1"/>
  <c r="A158" i="3"/>
  <c r="B158" i="3" s="1"/>
  <c r="A215" i="3"/>
  <c r="B215" i="3" s="1"/>
  <c r="A159" i="3"/>
  <c r="B159" i="3" s="1"/>
  <c r="A160" i="3"/>
  <c r="B160" i="3" s="1"/>
  <c r="A161" i="3"/>
  <c r="B161" i="3" s="1"/>
  <c r="A162" i="3"/>
  <c r="B162" i="3" s="1"/>
  <c r="A163" i="3"/>
  <c r="B163" i="3" s="1"/>
  <c r="A164" i="3"/>
  <c r="B164" i="3" s="1"/>
  <c r="A165" i="3"/>
  <c r="B165" i="3" s="1"/>
  <c r="A166" i="3"/>
  <c r="B166" i="3" s="1"/>
  <c r="B137" i="3"/>
  <c r="A167" i="3"/>
  <c r="B167" i="3" s="1"/>
  <c r="A168" i="3"/>
  <c r="B168" i="3" s="1"/>
  <c r="A169" i="3"/>
  <c r="B169" i="3" s="1"/>
  <c r="A170" i="3"/>
  <c r="B170" i="3" s="1"/>
  <c r="A174" i="3"/>
  <c r="B174" i="3" s="1"/>
  <c r="A176" i="3"/>
  <c r="B176" i="3" s="1"/>
  <c r="A202" i="3"/>
  <c r="B202" i="3" s="1"/>
  <c r="A203" i="3"/>
  <c r="B203" i="3" s="1"/>
  <c r="A205" i="3"/>
  <c r="B205" i="3" s="1"/>
  <c r="A206" i="3"/>
  <c r="B206" i="3" s="1"/>
  <c r="A207" i="3"/>
  <c r="B207" i="3" s="1"/>
  <c r="A208" i="3"/>
  <c r="B208" i="3" s="1"/>
  <c r="A209" i="3"/>
  <c r="B209" i="3" s="1"/>
  <c r="A210" i="3"/>
  <c r="B210" i="3" s="1"/>
  <c r="A211" i="3"/>
  <c r="B211" i="3" s="1"/>
  <c r="A212" i="3"/>
  <c r="B212" i="3" s="1"/>
  <c r="A213" i="3"/>
  <c r="B213" i="3" s="1"/>
  <c r="A216" i="3"/>
  <c r="B216" i="3" s="1"/>
  <c r="A217" i="3"/>
  <c r="B217" i="3" s="1"/>
  <c r="A218" i="3"/>
  <c r="B218" i="3" s="1"/>
  <c r="A219" i="3"/>
  <c r="B219" i="3" s="1"/>
  <c r="A220" i="3"/>
  <c r="B220" i="3" s="1"/>
  <c r="A221" i="3"/>
  <c r="B221" i="3" s="1"/>
  <c r="A222" i="3"/>
  <c r="B222" i="3" s="1"/>
  <c r="A223" i="3"/>
  <c r="B223" i="3" s="1"/>
  <c r="A224" i="3"/>
  <c r="B224" i="3" s="1"/>
  <c r="A225" i="3"/>
  <c r="B225" i="3" s="1"/>
  <c r="A226" i="3"/>
  <c r="B226" i="3" s="1"/>
  <c r="A227" i="3"/>
  <c r="B227" i="3" s="1"/>
  <c r="A228" i="3"/>
  <c r="B228" i="3" s="1"/>
  <c r="A229" i="3"/>
  <c r="B229" i="3" s="1"/>
  <c r="A230" i="3"/>
  <c r="B230" i="3" s="1"/>
  <c r="A231" i="3"/>
  <c r="B231" i="3" s="1"/>
  <c r="A232" i="3"/>
  <c r="B232" i="3" s="1"/>
  <c r="A233" i="3"/>
  <c r="B233" i="3" s="1"/>
  <c r="A234" i="3"/>
  <c r="B234" i="3" s="1"/>
  <c r="A214" i="3"/>
  <c r="B214" i="3" s="1"/>
  <c r="B235" i="3"/>
  <c r="A236" i="3"/>
  <c r="B236" i="3" s="1"/>
  <c r="A237" i="3"/>
  <c r="B237" i="3" s="1"/>
  <c r="A238" i="3"/>
  <c r="B238" i="3" s="1"/>
  <c r="A239" i="3"/>
  <c r="B239" i="3" s="1"/>
  <c r="A240" i="3"/>
  <c r="B240" i="3" s="1"/>
  <c r="A241" i="3"/>
  <c r="B241" i="3" s="1"/>
  <c r="A242" i="3"/>
  <c r="B242" i="3" s="1"/>
  <c r="A244" i="3"/>
  <c r="B244" i="3" s="1"/>
  <c r="A245" i="3"/>
  <c r="B245" i="3" s="1"/>
  <c r="A246" i="3"/>
  <c r="B246" i="3" s="1"/>
  <c r="A247" i="3"/>
  <c r="B247" i="3" s="1"/>
  <c r="A248" i="3"/>
  <c r="B248" i="3" s="1"/>
  <c r="A249" i="3"/>
  <c r="B249" i="3" s="1"/>
  <c r="A250" i="3"/>
  <c r="B250" i="3" s="1"/>
  <c r="A251" i="3"/>
  <c r="B251" i="3" s="1"/>
  <c r="A252" i="3"/>
  <c r="B252" i="3" s="1"/>
  <c r="A253" i="3"/>
  <c r="B253" i="3" s="1"/>
  <c r="A254" i="3"/>
  <c r="B254" i="3" s="1"/>
  <c r="A255" i="3"/>
  <c r="B255" i="3" s="1"/>
  <c r="A256" i="3"/>
  <c r="B256" i="3" s="1"/>
  <c r="A257" i="3"/>
  <c r="B257" i="3" s="1"/>
  <c r="A258" i="3"/>
  <c r="B258" i="3" s="1"/>
  <c r="A259" i="3"/>
  <c r="B259" i="3" s="1"/>
  <c r="A260" i="3"/>
  <c r="B260" i="3" s="1"/>
  <c r="A261" i="3"/>
  <c r="B261" i="3" s="1"/>
  <c r="A262" i="3"/>
  <c r="B262" i="3" s="1"/>
  <c r="A263" i="3"/>
  <c r="B263" i="3" s="1"/>
  <c r="A264" i="3"/>
  <c r="B264" i="3" s="1"/>
  <c r="A265" i="3"/>
  <c r="B265" i="3" s="1"/>
  <c r="A266" i="3"/>
  <c r="B266" i="3" s="1"/>
  <c r="A267" i="3"/>
  <c r="B267" i="3" s="1"/>
  <c r="A8" i="3"/>
  <c r="B8" i="3" s="1"/>
  <c r="C3" i="5"/>
  <c r="D3" i="5"/>
  <c r="E3" i="5"/>
  <c r="C4" i="5"/>
  <c r="D4" i="5"/>
  <c r="E4" i="5"/>
  <c r="C5" i="5"/>
  <c r="D5" i="5"/>
  <c r="E5" i="5"/>
  <c r="C6" i="5"/>
  <c r="D6" i="5"/>
  <c r="E6" i="5"/>
  <c r="C7" i="5"/>
  <c r="E7" i="5"/>
  <c r="D8" i="5"/>
  <c r="E8" i="5"/>
  <c r="C9" i="5"/>
  <c r="D9" i="5"/>
  <c r="E9" i="5"/>
  <c r="C10" i="5"/>
  <c r="D10" i="5"/>
  <c r="E10" i="5"/>
  <c r="C11" i="5"/>
  <c r="D11" i="5"/>
  <c r="E11" i="5"/>
  <c r="C12" i="5"/>
  <c r="D12" i="5"/>
  <c r="E12" i="5"/>
  <c r="C13" i="5"/>
  <c r="D13" i="5"/>
  <c r="E13" i="5"/>
  <c r="C14" i="5"/>
  <c r="D14" i="5"/>
  <c r="E14" i="5"/>
  <c r="C15" i="5"/>
  <c r="D15" i="5"/>
  <c r="E15" i="5"/>
  <c r="C16" i="5"/>
  <c r="D16" i="5"/>
  <c r="E16" i="5"/>
  <c r="C17" i="5"/>
  <c r="D17" i="5"/>
  <c r="E17" i="5"/>
  <c r="C18" i="5"/>
  <c r="D18" i="5"/>
  <c r="E18" i="5"/>
  <c r="C19" i="5"/>
  <c r="D19" i="5"/>
  <c r="E19" i="5"/>
  <c r="C20" i="5"/>
  <c r="D20" i="5"/>
  <c r="E20" i="5"/>
  <c r="C21" i="5"/>
  <c r="D21" i="5"/>
  <c r="E21" i="5"/>
  <c r="C22" i="5"/>
  <c r="D22" i="5"/>
  <c r="E22" i="5"/>
  <c r="C23" i="5"/>
  <c r="D23" i="5"/>
  <c r="E23" i="5"/>
  <c r="C24" i="5"/>
  <c r="D24" i="5"/>
  <c r="E24" i="5"/>
  <c r="C25" i="5"/>
  <c r="D25" i="5"/>
  <c r="E25" i="5"/>
  <c r="C26" i="5"/>
  <c r="D26" i="5"/>
  <c r="E26" i="5"/>
  <c r="C27" i="5"/>
  <c r="D27" i="5"/>
  <c r="E27" i="5"/>
  <c r="C28" i="5"/>
  <c r="D28" i="5"/>
  <c r="E28" i="5"/>
  <c r="C29" i="5"/>
  <c r="D29" i="5"/>
  <c r="E29" i="5"/>
  <c r="D30" i="5"/>
  <c r="E30" i="5"/>
  <c r="D31" i="5"/>
  <c r="E31" i="5"/>
  <c r="D32" i="5"/>
  <c r="E32" i="5"/>
  <c r="D33" i="5"/>
  <c r="E33" i="5"/>
  <c r="D34" i="5"/>
  <c r="E34" i="5"/>
  <c r="C35" i="5"/>
  <c r="D35" i="5"/>
  <c r="E35" i="5"/>
  <c r="D36" i="5"/>
  <c r="E36" i="5"/>
  <c r="D37" i="5"/>
  <c r="E37" i="5"/>
  <c r="D38" i="5"/>
  <c r="E38" i="5"/>
  <c r="D39" i="5"/>
  <c r="E39" i="5"/>
  <c r="D40" i="5"/>
  <c r="E40" i="5"/>
  <c r="D41" i="5"/>
  <c r="E41" i="5"/>
  <c r="D42" i="5"/>
  <c r="E42" i="5"/>
  <c r="D43" i="5"/>
  <c r="E43" i="5"/>
  <c r="D44" i="5"/>
  <c r="E44" i="5"/>
  <c r="D45" i="5"/>
  <c r="E45" i="5"/>
  <c r="D46" i="5"/>
  <c r="E46" i="5"/>
  <c r="D47" i="5"/>
  <c r="E47" i="5"/>
  <c r="D48" i="5"/>
  <c r="E48" i="5"/>
  <c r="C49" i="5"/>
  <c r="D49" i="5"/>
  <c r="E49" i="5"/>
  <c r="C50" i="5"/>
  <c r="D50" i="5"/>
  <c r="E50" i="5"/>
  <c r="D51" i="5"/>
  <c r="E51" i="5"/>
  <c r="D52" i="5"/>
  <c r="E52" i="5"/>
  <c r="D53" i="5"/>
  <c r="E53" i="5"/>
  <c r="D54" i="5"/>
  <c r="E54" i="5"/>
  <c r="D55" i="5"/>
  <c r="E55" i="5"/>
  <c r="D56" i="5"/>
  <c r="E56" i="5"/>
  <c r="D57" i="5"/>
  <c r="E57" i="5"/>
  <c r="D58" i="5"/>
  <c r="E58" i="5"/>
  <c r="D59" i="5"/>
  <c r="E59" i="5"/>
  <c r="D60" i="5"/>
  <c r="E60" i="5"/>
  <c r="D61" i="5"/>
  <c r="E61" i="5"/>
  <c r="D62" i="5"/>
  <c r="E62" i="5"/>
  <c r="D63" i="5"/>
  <c r="E63" i="5"/>
  <c r="D64" i="5"/>
  <c r="E64" i="5"/>
  <c r="D65" i="5"/>
  <c r="E65" i="5"/>
  <c r="D66" i="5"/>
  <c r="E66" i="5"/>
  <c r="C67" i="5"/>
  <c r="D67" i="5"/>
  <c r="E67" i="5"/>
  <c r="C68" i="5"/>
  <c r="D68" i="5"/>
  <c r="E68" i="5"/>
  <c r="D69" i="5"/>
  <c r="E69" i="5"/>
  <c r="D70" i="5"/>
  <c r="E70" i="5"/>
  <c r="D71" i="5"/>
  <c r="E71" i="5"/>
  <c r="D72" i="5"/>
  <c r="E72" i="5"/>
  <c r="D73" i="5"/>
  <c r="E73" i="5"/>
  <c r="D74" i="5"/>
  <c r="E74" i="5"/>
  <c r="D75" i="5"/>
  <c r="E75" i="5"/>
  <c r="D76" i="5"/>
  <c r="E76" i="5"/>
  <c r="D77" i="5"/>
  <c r="E77" i="5"/>
  <c r="D78" i="5"/>
  <c r="E78" i="5"/>
  <c r="D79" i="5"/>
  <c r="E79" i="5"/>
  <c r="D80" i="5"/>
  <c r="E80" i="5"/>
  <c r="D81" i="5"/>
  <c r="E81" i="5"/>
  <c r="D82" i="5"/>
  <c r="E82" i="5"/>
  <c r="D83" i="5"/>
  <c r="E83" i="5"/>
  <c r="D84" i="5"/>
  <c r="E84" i="5"/>
  <c r="D85" i="5"/>
  <c r="E85" i="5"/>
  <c r="D86" i="5"/>
  <c r="E86" i="5"/>
  <c r="D87" i="5"/>
  <c r="E87" i="5"/>
  <c r="D88" i="5"/>
  <c r="E88" i="5"/>
  <c r="D89" i="5"/>
  <c r="E89" i="5"/>
  <c r="D90" i="5"/>
  <c r="E90" i="5"/>
  <c r="D91" i="5"/>
  <c r="E91" i="5"/>
  <c r="D92" i="5"/>
  <c r="E92" i="5"/>
  <c r="D93" i="5"/>
  <c r="E93" i="5"/>
  <c r="D94" i="5"/>
  <c r="E94" i="5"/>
  <c r="D95" i="5"/>
  <c r="E95" i="5"/>
  <c r="D96" i="5"/>
  <c r="E96" i="5"/>
  <c r="D97" i="5"/>
  <c r="E97" i="5"/>
  <c r="D98" i="5"/>
  <c r="E98" i="5"/>
  <c r="D99" i="5"/>
  <c r="E99" i="5"/>
  <c r="D100" i="5"/>
  <c r="E100" i="5"/>
  <c r="D101" i="5"/>
  <c r="E101" i="5"/>
  <c r="D102" i="5"/>
  <c r="E102" i="5"/>
  <c r="D103" i="5"/>
  <c r="E103" i="5"/>
  <c r="D104" i="5"/>
  <c r="E104" i="5"/>
  <c r="D105" i="5"/>
  <c r="E105" i="5"/>
  <c r="D106" i="5"/>
  <c r="E106" i="5"/>
  <c r="D107" i="5"/>
  <c r="E107" i="5"/>
  <c r="D108" i="5"/>
  <c r="E108" i="5"/>
  <c r="D109" i="5"/>
  <c r="E109" i="5"/>
  <c r="D110" i="5"/>
  <c r="E110" i="5"/>
  <c r="D111" i="5"/>
  <c r="E111" i="5"/>
  <c r="D112" i="5"/>
  <c r="E112" i="5"/>
  <c r="D113" i="5"/>
  <c r="E113" i="5"/>
  <c r="D114" i="5"/>
  <c r="E114" i="5"/>
  <c r="D115" i="5"/>
  <c r="E115" i="5"/>
  <c r="D116" i="5"/>
  <c r="E116" i="5"/>
  <c r="D117" i="5"/>
  <c r="E117" i="5"/>
  <c r="D118" i="5"/>
  <c r="E118" i="5"/>
  <c r="D119" i="5"/>
  <c r="E119" i="5"/>
  <c r="D120" i="5"/>
  <c r="E120" i="5"/>
  <c r="D121" i="5"/>
  <c r="E121" i="5"/>
  <c r="C122" i="5"/>
  <c r="D122" i="5"/>
  <c r="E122" i="5"/>
  <c r="C123" i="5"/>
  <c r="D123" i="5"/>
  <c r="E123" i="5"/>
  <c r="D124" i="5"/>
  <c r="E124" i="5"/>
  <c r="D125" i="5"/>
  <c r="E125" i="5"/>
  <c r="D126" i="5"/>
  <c r="E126" i="5"/>
  <c r="D127" i="5"/>
  <c r="E127" i="5"/>
  <c r="D128" i="5"/>
  <c r="E128" i="5"/>
  <c r="D129" i="5"/>
  <c r="E129" i="5"/>
  <c r="D130" i="5"/>
  <c r="E130" i="5"/>
  <c r="D131" i="5"/>
  <c r="E131" i="5"/>
  <c r="D132" i="5"/>
  <c r="E132" i="5"/>
  <c r="D133" i="5"/>
  <c r="E133" i="5"/>
  <c r="D134" i="5"/>
  <c r="E134" i="5"/>
  <c r="D135" i="5"/>
  <c r="E135" i="5"/>
  <c r="D136" i="5"/>
  <c r="E136" i="5"/>
  <c r="D138" i="5"/>
  <c r="E138" i="5"/>
  <c r="D139" i="5"/>
  <c r="E139" i="5"/>
  <c r="D140" i="5"/>
  <c r="E140" i="5"/>
  <c r="D141" i="5"/>
  <c r="E141" i="5"/>
  <c r="D143" i="5"/>
  <c r="E143" i="5"/>
  <c r="D144" i="5"/>
  <c r="E144" i="5"/>
  <c r="D145" i="5"/>
  <c r="E145" i="5"/>
  <c r="D146" i="5"/>
  <c r="E146" i="5"/>
  <c r="D147" i="5"/>
  <c r="E147" i="5"/>
  <c r="D148" i="5"/>
  <c r="E148" i="5"/>
  <c r="D149" i="5"/>
  <c r="E149" i="5"/>
  <c r="D150" i="5"/>
  <c r="E150" i="5"/>
  <c r="D151" i="5"/>
  <c r="E151" i="5"/>
  <c r="D152" i="5"/>
  <c r="E152" i="5"/>
  <c r="D153" i="5"/>
  <c r="E153" i="5"/>
  <c r="D154" i="5"/>
  <c r="E154" i="5"/>
  <c r="D155" i="5"/>
  <c r="E155" i="5"/>
  <c r="D156" i="5"/>
  <c r="E156" i="5"/>
  <c r="D157" i="5"/>
  <c r="E157" i="5"/>
  <c r="D158" i="5"/>
  <c r="E158" i="5"/>
  <c r="D159" i="5"/>
  <c r="E159" i="5"/>
  <c r="D160" i="5"/>
  <c r="E160" i="5"/>
  <c r="D161" i="5"/>
  <c r="E161" i="5"/>
  <c r="D162" i="5"/>
  <c r="E162" i="5"/>
  <c r="D164" i="5"/>
  <c r="E164" i="5"/>
  <c r="D165" i="5"/>
  <c r="E165" i="5"/>
  <c r="D166" i="5"/>
  <c r="E166" i="5"/>
  <c r="D167" i="5"/>
  <c r="E167" i="5"/>
  <c r="D168" i="5"/>
  <c r="E168" i="5"/>
  <c r="D169" i="5"/>
  <c r="E169" i="5"/>
  <c r="D170" i="5"/>
  <c r="E170" i="5"/>
  <c r="D171" i="5"/>
  <c r="E171" i="5"/>
  <c r="D172" i="5"/>
  <c r="E172" i="5"/>
  <c r="D173" i="5"/>
  <c r="E173" i="5"/>
  <c r="D174" i="5"/>
  <c r="E174" i="5"/>
  <c r="D175" i="5"/>
  <c r="E175" i="5"/>
  <c r="D176" i="5"/>
  <c r="E176" i="5"/>
  <c r="D177" i="5"/>
  <c r="E177" i="5"/>
  <c r="D178" i="5"/>
  <c r="E178" i="5"/>
  <c r="D179" i="5"/>
  <c r="E179" i="5"/>
  <c r="D180" i="5"/>
  <c r="E180" i="5"/>
  <c r="D181" i="5"/>
  <c r="E181" i="5"/>
  <c r="D182" i="5"/>
  <c r="E182" i="5"/>
  <c r="D183" i="5"/>
  <c r="E183" i="5"/>
  <c r="D184" i="5"/>
  <c r="E184" i="5"/>
  <c r="D185" i="5"/>
  <c r="E185" i="5"/>
  <c r="D186" i="5"/>
  <c r="E186" i="5"/>
  <c r="D187" i="5"/>
  <c r="E187" i="5"/>
  <c r="D188" i="5"/>
  <c r="E188" i="5"/>
  <c r="D189" i="5"/>
  <c r="E189" i="5"/>
  <c r="D190" i="5"/>
  <c r="E190" i="5"/>
  <c r="D191" i="5"/>
  <c r="E191" i="5"/>
  <c r="D192" i="5"/>
  <c r="E192" i="5"/>
  <c r="D193" i="5"/>
  <c r="E193" i="5"/>
  <c r="D194" i="5"/>
  <c r="E194" i="5"/>
  <c r="D195" i="5"/>
  <c r="E195" i="5"/>
  <c r="D196" i="5"/>
  <c r="E196" i="5"/>
  <c r="C197" i="5"/>
  <c r="D197" i="5"/>
  <c r="E197" i="5"/>
  <c r="D198" i="5"/>
  <c r="E198" i="5"/>
  <c r="D199" i="5"/>
  <c r="E199" i="5"/>
  <c r="D200" i="5"/>
  <c r="E200" i="5"/>
  <c r="E2" i="5"/>
  <c r="D2" i="5"/>
  <c r="C2" i="5"/>
  <c r="AB182" i="62" l="1"/>
  <c r="Y166" i="62"/>
  <c r="P197" i="62"/>
  <c r="P189" i="62"/>
  <c r="N181" i="62"/>
  <c r="D173" i="62"/>
  <c r="O165" i="62"/>
  <c r="L157" i="62"/>
  <c r="I149" i="62"/>
  <c r="E141" i="62"/>
  <c r="Q133" i="62"/>
  <c r="R196" i="62"/>
  <c r="X188" i="62"/>
  <c r="V180" i="62"/>
  <c r="AD172" i="62"/>
  <c r="AH164" i="62"/>
  <c r="H124" i="62"/>
  <c r="W174" i="62"/>
  <c r="Q195" i="62"/>
  <c r="J187" i="62"/>
  <c r="AD179" i="62"/>
  <c r="K171" i="62"/>
  <c r="C163" i="62"/>
  <c r="AN155" i="62"/>
  <c r="Y147" i="62"/>
  <c r="R139" i="62"/>
  <c r="F123" i="62"/>
  <c r="AL115" i="62"/>
  <c r="N198" i="62"/>
  <c r="H190" i="62"/>
  <c r="X193" i="62"/>
  <c r="Z185" i="62"/>
  <c r="AC177" i="62"/>
  <c r="F161" i="62"/>
  <c r="E153" i="62"/>
  <c r="F2" i="62"/>
  <c r="F158" i="62"/>
  <c r="M192" i="62"/>
  <c r="L184" i="62"/>
  <c r="AE176" i="62"/>
  <c r="Z168" i="62"/>
  <c r="AK160" i="62"/>
  <c r="D152" i="62"/>
  <c r="K144" i="62"/>
  <c r="M199" i="62"/>
  <c r="V191" i="62"/>
  <c r="T183" i="62"/>
  <c r="X175" i="62"/>
  <c r="AN151" i="62"/>
  <c r="H194" i="62"/>
  <c r="X194" i="62"/>
  <c r="AN194" i="62"/>
  <c r="J194" i="62"/>
  <c r="Z194" i="62"/>
  <c r="K194" i="62"/>
  <c r="AA194" i="62"/>
  <c r="L194" i="62"/>
  <c r="AB194" i="62"/>
  <c r="M194" i="62"/>
  <c r="H186" i="62"/>
  <c r="X186" i="62"/>
  <c r="AN186" i="62"/>
  <c r="J186" i="62"/>
  <c r="Z186" i="62"/>
  <c r="K186" i="62"/>
  <c r="AA186" i="62"/>
  <c r="L186" i="62"/>
  <c r="AB186" i="62"/>
  <c r="M186" i="62"/>
  <c r="AC186" i="62"/>
  <c r="N186" i="62"/>
  <c r="AD186" i="62"/>
  <c r="H178" i="62"/>
  <c r="X178" i="62"/>
  <c r="AN178" i="62"/>
  <c r="J178" i="62"/>
  <c r="Z178" i="62"/>
  <c r="K178" i="62"/>
  <c r="AA178" i="62"/>
  <c r="L178" i="62"/>
  <c r="AB178" i="62"/>
  <c r="M178" i="62"/>
  <c r="AC178" i="62"/>
  <c r="N178" i="62"/>
  <c r="AD178" i="62"/>
  <c r="O178" i="62"/>
  <c r="AE178" i="62"/>
  <c r="Q178" i="62"/>
  <c r="AG178" i="62"/>
  <c r="R178" i="62"/>
  <c r="AH178" i="62"/>
  <c r="R170" i="62"/>
  <c r="AH170" i="62"/>
  <c r="C170" i="62"/>
  <c r="S170" i="62"/>
  <c r="D170" i="62"/>
  <c r="T170" i="62"/>
  <c r="AJ170" i="62"/>
  <c r="E170" i="62"/>
  <c r="U170" i="62"/>
  <c r="AK170" i="62"/>
  <c r="L170" i="62"/>
  <c r="AB170" i="62"/>
  <c r="M170" i="62"/>
  <c r="AC170" i="62"/>
  <c r="K170" i="62"/>
  <c r="AM170" i="62"/>
  <c r="O170" i="62"/>
  <c r="P170" i="62"/>
  <c r="Q170" i="62"/>
  <c r="V170" i="62"/>
  <c r="W170" i="62"/>
  <c r="X170" i="62"/>
  <c r="Z170" i="62"/>
  <c r="AA170" i="62"/>
  <c r="R162" i="62"/>
  <c r="AH162" i="62"/>
  <c r="C162" i="62"/>
  <c r="S162" i="62"/>
  <c r="D162" i="62"/>
  <c r="T162" i="62"/>
  <c r="AJ162" i="62"/>
  <c r="E162" i="62"/>
  <c r="U162" i="62"/>
  <c r="AK162" i="62"/>
  <c r="F162" i="62"/>
  <c r="V162" i="62"/>
  <c r="AL162" i="62"/>
  <c r="J162" i="62"/>
  <c r="Z162" i="62"/>
  <c r="K162" i="62"/>
  <c r="AA162" i="62"/>
  <c r="L162" i="62"/>
  <c r="AB162" i="62"/>
  <c r="M162" i="62"/>
  <c r="AC162" i="62"/>
  <c r="AN162" i="62"/>
  <c r="H162" i="62"/>
  <c r="I162" i="62"/>
  <c r="N162" i="62"/>
  <c r="O162" i="62"/>
  <c r="P162" i="62"/>
  <c r="Q162" i="62"/>
  <c r="X162" i="62"/>
  <c r="Y162" i="62"/>
  <c r="AD162" i="62"/>
  <c r="J154" i="62"/>
  <c r="L154" i="62"/>
  <c r="Q154" i="62"/>
  <c r="AG154" i="62"/>
  <c r="R154" i="62"/>
  <c r="AH154" i="62"/>
  <c r="S154" i="62"/>
  <c r="T154" i="62"/>
  <c r="AJ154" i="62"/>
  <c r="C154" i="62"/>
  <c r="U154" i="62"/>
  <c r="AK154" i="62"/>
  <c r="D154" i="62"/>
  <c r="V154" i="62"/>
  <c r="AL154" i="62"/>
  <c r="H154" i="62"/>
  <c r="Z154" i="62"/>
  <c r="I154" i="62"/>
  <c r="AA154" i="62"/>
  <c r="K154" i="62"/>
  <c r="AB154" i="62"/>
  <c r="M154" i="62"/>
  <c r="AC154" i="62"/>
  <c r="AM154" i="62"/>
  <c r="E154" i="62"/>
  <c r="F154" i="62"/>
  <c r="G154" i="62"/>
  <c r="N154" i="62"/>
  <c r="P154" i="62"/>
  <c r="W154" i="62"/>
  <c r="X154" i="62"/>
  <c r="I146" i="62"/>
  <c r="Y146" i="62"/>
  <c r="J146" i="62"/>
  <c r="Z146" i="62"/>
  <c r="K146" i="62"/>
  <c r="AA146" i="62"/>
  <c r="L146" i="62"/>
  <c r="AB146" i="62"/>
  <c r="M146" i="62"/>
  <c r="AC146" i="62"/>
  <c r="N146" i="62"/>
  <c r="AD146" i="62"/>
  <c r="W146" i="62"/>
  <c r="X146" i="62"/>
  <c r="C146" i="62"/>
  <c r="AE146" i="62"/>
  <c r="D146" i="62"/>
  <c r="AF146" i="62"/>
  <c r="E146" i="62"/>
  <c r="AG146" i="62"/>
  <c r="F146" i="62"/>
  <c r="AH146" i="62"/>
  <c r="P146" i="62"/>
  <c r="AL146" i="62"/>
  <c r="Q146" i="62"/>
  <c r="AM146" i="62"/>
  <c r="R146" i="62"/>
  <c r="AN146" i="62"/>
  <c r="S146" i="62"/>
  <c r="G146" i="62"/>
  <c r="O146" i="62"/>
  <c r="T146" i="62"/>
  <c r="U146" i="62"/>
  <c r="V146" i="62"/>
  <c r="AJ146" i="62"/>
  <c r="I138" i="62"/>
  <c r="Y138" i="62"/>
  <c r="J138" i="62"/>
  <c r="Z138" i="62"/>
  <c r="K138" i="62"/>
  <c r="AA138" i="62"/>
  <c r="L138" i="62"/>
  <c r="AB138" i="62"/>
  <c r="M138" i="62"/>
  <c r="AC138" i="62"/>
  <c r="N138" i="62"/>
  <c r="AD138" i="62"/>
  <c r="O138" i="62"/>
  <c r="AE138" i="62"/>
  <c r="P138" i="62"/>
  <c r="AF138" i="62"/>
  <c r="Q138" i="62"/>
  <c r="AG138" i="62"/>
  <c r="R138" i="62"/>
  <c r="AH138" i="62"/>
  <c r="W138" i="62"/>
  <c r="X138" i="62"/>
  <c r="AJ138" i="62"/>
  <c r="AK138" i="62"/>
  <c r="AL138" i="62"/>
  <c r="F138" i="62"/>
  <c r="G138" i="62"/>
  <c r="H138" i="62"/>
  <c r="S138" i="62"/>
  <c r="C138" i="62"/>
  <c r="D138" i="62"/>
  <c r="E138" i="62"/>
  <c r="T138" i="62"/>
  <c r="V138" i="62"/>
  <c r="AM138" i="62"/>
  <c r="AN138" i="62"/>
  <c r="P130" i="62"/>
  <c r="AF130" i="62"/>
  <c r="L130" i="62"/>
  <c r="AC130" i="62"/>
  <c r="M130" i="62"/>
  <c r="AD130" i="62"/>
  <c r="N130" i="62"/>
  <c r="AE130" i="62"/>
  <c r="O130" i="62"/>
  <c r="AG130" i="62"/>
  <c r="Q130" i="62"/>
  <c r="AH130" i="62"/>
  <c r="R130" i="62"/>
  <c r="S130" i="62"/>
  <c r="AJ130" i="62"/>
  <c r="C130" i="62"/>
  <c r="T130" i="62"/>
  <c r="AK130" i="62"/>
  <c r="D130" i="62"/>
  <c r="U130" i="62"/>
  <c r="AL130" i="62"/>
  <c r="E130" i="62"/>
  <c r="V130" i="62"/>
  <c r="AM130" i="62"/>
  <c r="G130" i="62"/>
  <c r="X130" i="62"/>
  <c r="H130" i="62"/>
  <c r="Y130" i="62"/>
  <c r="AN130" i="62"/>
  <c r="I130" i="62"/>
  <c r="J130" i="62"/>
  <c r="K130" i="62"/>
  <c r="W130" i="62"/>
  <c r="F130" i="62"/>
  <c r="Z130" i="62"/>
  <c r="AA130" i="62"/>
  <c r="AB130" i="62"/>
  <c r="O122" i="62"/>
  <c r="AE122" i="62"/>
  <c r="P122" i="62"/>
  <c r="AF122" i="62"/>
  <c r="R122" i="62"/>
  <c r="AH122" i="62"/>
  <c r="C122" i="62"/>
  <c r="S122" i="62"/>
  <c r="E122" i="62"/>
  <c r="Y122" i="62"/>
  <c r="F122" i="62"/>
  <c r="Z122" i="62"/>
  <c r="G122" i="62"/>
  <c r="AA122" i="62"/>
  <c r="H122" i="62"/>
  <c r="AB122" i="62"/>
  <c r="I122" i="62"/>
  <c r="AC122" i="62"/>
  <c r="J122" i="62"/>
  <c r="AD122" i="62"/>
  <c r="K122" i="62"/>
  <c r="AG122" i="62"/>
  <c r="L122" i="62"/>
  <c r="AJ122" i="62"/>
  <c r="M122" i="62"/>
  <c r="AK122" i="62"/>
  <c r="N122" i="62"/>
  <c r="AL122" i="62"/>
  <c r="T122" i="62"/>
  <c r="AN122" i="62"/>
  <c r="U122" i="62"/>
  <c r="V122" i="62"/>
  <c r="W122" i="62"/>
  <c r="X122" i="62"/>
  <c r="AM122" i="62"/>
  <c r="D122" i="62"/>
  <c r="Q122" i="62"/>
  <c r="N114" i="62"/>
  <c r="AD114" i="62"/>
  <c r="O114" i="62"/>
  <c r="AE114" i="62"/>
  <c r="P114" i="62"/>
  <c r="AF114" i="62"/>
  <c r="Q114" i="62"/>
  <c r="AG114" i="62"/>
  <c r="R114" i="62"/>
  <c r="AH114" i="62"/>
  <c r="E114" i="62"/>
  <c r="U114" i="62"/>
  <c r="AK114" i="62"/>
  <c r="F114" i="62"/>
  <c r="V114" i="62"/>
  <c r="AL114" i="62"/>
  <c r="G114" i="62"/>
  <c r="W114" i="62"/>
  <c r="AM114" i="62"/>
  <c r="I114" i="62"/>
  <c r="Y114" i="62"/>
  <c r="X114" i="62"/>
  <c r="Z114" i="62"/>
  <c r="AA114" i="62"/>
  <c r="AB114" i="62"/>
  <c r="AC114" i="62"/>
  <c r="AJ114" i="62"/>
  <c r="C114" i="62"/>
  <c r="D114" i="62"/>
  <c r="H114" i="62"/>
  <c r="J114" i="62"/>
  <c r="K114" i="62"/>
  <c r="L114" i="62"/>
  <c r="M114" i="62"/>
  <c r="T114" i="62"/>
  <c r="AN114" i="62"/>
  <c r="S114" i="62"/>
  <c r="N106" i="62"/>
  <c r="AD106" i="62"/>
  <c r="O106" i="62"/>
  <c r="AE106" i="62"/>
  <c r="P106" i="62"/>
  <c r="AF106" i="62"/>
  <c r="Q106" i="62"/>
  <c r="AG106" i="62"/>
  <c r="R106" i="62"/>
  <c r="AH106" i="62"/>
  <c r="E106" i="62"/>
  <c r="U106" i="62"/>
  <c r="AK106" i="62"/>
  <c r="F106" i="62"/>
  <c r="V106" i="62"/>
  <c r="AL106" i="62"/>
  <c r="G106" i="62"/>
  <c r="W106" i="62"/>
  <c r="AM106" i="62"/>
  <c r="I106" i="62"/>
  <c r="Y106" i="62"/>
  <c r="AJ106" i="62"/>
  <c r="C106" i="62"/>
  <c r="AN106" i="62"/>
  <c r="D106" i="62"/>
  <c r="H106" i="62"/>
  <c r="J106" i="62"/>
  <c r="K106" i="62"/>
  <c r="AB106" i="62"/>
  <c r="AC106" i="62"/>
  <c r="L106" i="62"/>
  <c r="S106" i="62"/>
  <c r="T106" i="62"/>
  <c r="X106" i="62"/>
  <c r="M106" i="62"/>
  <c r="Z106" i="62"/>
  <c r="AA106" i="62"/>
  <c r="N98" i="62"/>
  <c r="AD98" i="62"/>
  <c r="O98" i="62"/>
  <c r="AE98" i="62"/>
  <c r="P98" i="62"/>
  <c r="AF98" i="62"/>
  <c r="Q98" i="62"/>
  <c r="AG98" i="62"/>
  <c r="R98" i="62"/>
  <c r="AH98" i="62"/>
  <c r="E98" i="62"/>
  <c r="U98" i="62"/>
  <c r="AK98" i="62"/>
  <c r="F98" i="62"/>
  <c r="V98" i="62"/>
  <c r="AL98" i="62"/>
  <c r="G98" i="62"/>
  <c r="W98" i="62"/>
  <c r="AM98" i="62"/>
  <c r="I98" i="62"/>
  <c r="Y98" i="62"/>
  <c r="J98" i="62"/>
  <c r="K98" i="62"/>
  <c r="L98" i="62"/>
  <c r="M98" i="62"/>
  <c r="S98" i="62"/>
  <c r="T98" i="62"/>
  <c r="X98" i="62"/>
  <c r="Z98" i="62"/>
  <c r="AB98" i="62"/>
  <c r="AC98" i="62"/>
  <c r="D98" i="62"/>
  <c r="H98" i="62"/>
  <c r="AA98" i="62"/>
  <c r="AJ98" i="62"/>
  <c r="AN98" i="62"/>
  <c r="C98" i="62"/>
  <c r="N90" i="62"/>
  <c r="AD90" i="62"/>
  <c r="O90" i="62"/>
  <c r="AE90" i="62"/>
  <c r="P90" i="62"/>
  <c r="AF90" i="62"/>
  <c r="Q90" i="62"/>
  <c r="R90" i="62"/>
  <c r="AH90" i="62"/>
  <c r="V90" i="62"/>
  <c r="W90" i="62"/>
  <c r="C90" i="62"/>
  <c r="X90" i="62"/>
  <c r="D90" i="62"/>
  <c r="Y90" i="62"/>
  <c r="E90" i="62"/>
  <c r="Z90" i="62"/>
  <c r="H90" i="62"/>
  <c r="AC90" i="62"/>
  <c r="I90" i="62"/>
  <c r="AG90" i="62"/>
  <c r="J90" i="62"/>
  <c r="L90" i="62"/>
  <c r="AK90" i="62"/>
  <c r="AL90" i="62"/>
  <c r="AM90" i="62"/>
  <c r="AN90" i="62"/>
  <c r="F90" i="62"/>
  <c r="G90" i="62"/>
  <c r="K90" i="62"/>
  <c r="M90" i="62"/>
  <c r="S90" i="62"/>
  <c r="T90" i="62"/>
  <c r="U90" i="62"/>
  <c r="AA90" i="62"/>
  <c r="AB90" i="62"/>
  <c r="AJ90" i="62"/>
  <c r="N82" i="62"/>
  <c r="AD82" i="62"/>
  <c r="O82" i="62"/>
  <c r="AE82" i="62"/>
  <c r="P82" i="62"/>
  <c r="AF82" i="62"/>
  <c r="Q82" i="62"/>
  <c r="AG82" i="62"/>
  <c r="R82" i="62"/>
  <c r="AH82" i="62"/>
  <c r="C82" i="62"/>
  <c r="S82" i="62"/>
  <c r="E82" i="62"/>
  <c r="U82" i="62"/>
  <c r="AK82" i="62"/>
  <c r="M82" i="62"/>
  <c r="T82" i="62"/>
  <c r="V82" i="62"/>
  <c r="W82" i="62"/>
  <c r="X82" i="62"/>
  <c r="AA82" i="62"/>
  <c r="D82" i="62"/>
  <c r="AB82" i="62"/>
  <c r="F82" i="62"/>
  <c r="AC82" i="62"/>
  <c r="H82" i="62"/>
  <c r="AL82" i="62"/>
  <c r="G82" i="62"/>
  <c r="I82" i="62"/>
  <c r="J82" i="62"/>
  <c r="K82" i="62"/>
  <c r="L82" i="62"/>
  <c r="Y82" i="62"/>
  <c r="Z82" i="62"/>
  <c r="AJ82" i="62"/>
  <c r="AM82" i="62"/>
  <c r="AN82" i="62"/>
  <c r="J74" i="62"/>
  <c r="Z74" i="62"/>
  <c r="K74" i="62"/>
  <c r="AA74" i="62"/>
  <c r="L74" i="62"/>
  <c r="AB74" i="62"/>
  <c r="M74" i="62"/>
  <c r="AC74" i="62"/>
  <c r="N74" i="62"/>
  <c r="AD74" i="62"/>
  <c r="I74" i="62"/>
  <c r="O74" i="62"/>
  <c r="AJ74" i="62"/>
  <c r="P74" i="62"/>
  <c r="AK74" i="62"/>
  <c r="Q74" i="62"/>
  <c r="AL74" i="62"/>
  <c r="R74" i="62"/>
  <c r="AM74" i="62"/>
  <c r="S74" i="62"/>
  <c r="AN74" i="62"/>
  <c r="U74" i="62"/>
  <c r="V74" i="62"/>
  <c r="W74" i="62"/>
  <c r="C74" i="62"/>
  <c r="X74" i="62"/>
  <c r="D74" i="62"/>
  <c r="Y74" i="62"/>
  <c r="E74" i="62"/>
  <c r="AE74" i="62"/>
  <c r="T74" i="62"/>
  <c r="AF74" i="62"/>
  <c r="AG74" i="62"/>
  <c r="AH74" i="62"/>
  <c r="F74" i="62"/>
  <c r="G74" i="62"/>
  <c r="H74" i="62"/>
  <c r="J66" i="62"/>
  <c r="Z66" i="62"/>
  <c r="K66" i="62"/>
  <c r="AA66" i="62"/>
  <c r="L66" i="62"/>
  <c r="AB66" i="62"/>
  <c r="M66" i="62"/>
  <c r="AC66" i="62"/>
  <c r="N66" i="62"/>
  <c r="AD66" i="62"/>
  <c r="O66" i="62"/>
  <c r="AJ66" i="62"/>
  <c r="P66" i="62"/>
  <c r="AK66" i="62"/>
  <c r="Q66" i="62"/>
  <c r="AL66" i="62"/>
  <c r="R66" i="62"/>
  <c r="AM66" i="62"/>
  <c r="S66" i="62"/>
  <c r="AN66" i="62"/>
  <c r="T66" i="62"/>
  <c r="V66" i="62"/>
  <c r="W66" i="62"/>
  <c r="C66" i="62"/>
  <c r="X66" i="62"/>
  <c r="D66" i="62"/>
  <c r="Y66" i="62"/>
  <c r="E66" i="62"/>
  <c r="AE66" i="62"/>
  <c r="F66" i="62"/>
  <c r="AF66" i="62"/>
  <c r="G66" i="62"/>
  <c r="I66" i="62"/>
  <c r="AG66" i="62"/>
  <c r="AH66" i="62"/>
  <c r="H66" i="62"/>
  <c r="U66" i="62"/>
  <c r="H58" i="62"/>
  <c r="I58" i="62"/>
  <c r="J58" i="62"/>
  <c r="L58" i="62"/>
  <c r="M58" i="62"/>
  <c r="N58" i="62"/>
  <c r="D58" i="62"/>
  <c r="Z58" i="62"/>
  <c r="E58" i="62"/>
  <c r="AA58" i="62"/>
  <c r="F58" i="62"/>
  <c r="AB58" i="62"/>
  <c r="G58" i="62"/>
  <c r="AC58" i="62"/>
  <c r="K58" i="62"/>
  <c r="AD58" i="62"/>
  <c r="O58" i="62"/>
  <c r="AE58" i="62"/>
  <c r="P58" i="62"/>
  <c r="AF58" i="62"/>
  <c r="Q58" i="62"/>
  <c r="AG58" i="62"/>
  <c r="C58" i="62"/>
  <c r="R58" i="62"/>
  <c r="S58" i="62"/>
  <c r="T58" i="62"/>
  <c r="U58" i="62"/>
  <c r="V58" i="62"/>
  <c r="W58" i="62"/>
  <c r="X58" i="62"/>
  <c r="Y58" i="62"/>
  <c r="AH58" i="62"/>
  <c r="AJ58" i="62"/>
  <c r="AK58" i="62"/>
  <c r="AM58" i="62"/>
  <c r="AL58" i="62"/>
  <c r="AN58" i="62"/>
  <c r="H50" i="62"/>
  <c r="X50" i="62"/>
  <c r="AN50" i="62"/>
  <c r="I50" i="62"/>
  <c r="Y50" i="62"/>
  <c r="J50" i="62"/>
  <c r="Z50" i="62"/>
  <c r="L50" i="62"/>
  <c r="AB50" i="62"/>
  <c r="M50" i="62"/>
  <c r="AC50" i="62"/>
  <c r="N50" i="62"/>
  <c r="AD50" i="62"/>
  <c r="AA50" i="62"/>
  <c r="C50" i="62"/>
  <c r="AE50" i="62"/>
  <c r="D50" i="62"/>
  <c r="AF50" i="62"/>
  <c r="E50" i="62"/>
  <c r="AG50" i="62"/>
  <c r="F50" i="62"/>
  <c r="AH50" i="62"/>
  <c r="G50" i="62"/>
  <c r="K50" i="62"/>
  <c r="AJ50" i="62"/>
  <c r="O50" i="62"/>
  <c r="AK50" i="62"/>
  <c r="P50" i="62"/>
  <c r="AL50" i="62"/>
  <c r="W50" i="62"/>
  <c r="AM50" i="62"/>
  <c r="Q50" i="62"/>
  <c r="R50" i="62"/>
  <c r="S50" i="62"/>
  <c r="T50" i="62"/>
  <c r="U50" i="62"/>
  <c r="V50" i="62"/>
  <c r="H42" i="62"/>
  <c r="X42" i="62"/>
  <c r="AN42" i="62"/>
  <c r="I42" i="62"/>
  <c r="Y42" i="62"/>
  <c r="J42" i="62"/>
  <c r="Z42" i="62"/>
  <c r="K42" i="62"/>
  <c r="AA42" i="62"/>
  <c r="L42" i="62"/>
  <c r="AB42" i="62"/>
  <c r="M42" i="62"/>
  <c r="AC42" i="62"/>
  <c r="N42" i="62"/>
  <c r="AD42" i="62"/>
  <c r="Q42" i="62"/>
  <c r="AG42" i="62"/>
  <c r="P42" i="62"/>
  <c r="R42" i="62"/>
  <c r="S42" i="62"/>
  <c r="T42" i="62"/>
  <c r="U42" i="62"/>
  <c r="V42" i="62"/>
  <c r="W42" i="62"/>
  <c r="AE42" i="62"/>
  <c r="AF42" i="62"/>
  <c r="D42" i="62"/>
  <c r="AJ42" i="62"/>
  <c r="C42" i="62"/>
  <c r="E42" i="62"/>
  <c r="F42" i="62"/>
  <c r="G42" i="62"/>
  <c r="O42" i="62"/>
  <c r="AH42" i="62"/>
  <c r="AK42" i="62"/>
  <c r="AL42" i="62"/>
  <c r="AM42" i="62"/>
  <c r="J34" i="62"/>
  <c r="Z34" i="62"/>
  <c r="K34" i="62"/>
  <c r="AA34" i="62"/>
  <c r="N34" i="62"/>
  <c r="AD34" i="62"/>
  <c r="O34" i="62"/>
  <c r="AE34" i="62"/>
  <c r="P34" i="62"/>
  <c r="AF34" i="62"/>
  <c r="Q34" i="62"/>
  <c r="AG34" i="62"/>
  <c r="R34" i="62"/>
  <c r="AH34" i="62"/>
  <c r="H34" i="62"/>
  <c r="X34" i="62"/>
  <c r="AN34" i="62"/>
  <c r="L34" i="62"/>
  <c r="M34" i="62"/>
  <c r="S34" i="62"/>
  <c r="T34" i="62"/>
  <c r="U34" i="62"/>
  <c r="V34" i="62"/>
  <c r="W34" i="62"/>
  <c r="AC34" i="62"/>
  <c r="AB34" i="62"/>
  <c r="AJ34" i="62"/>
  <c r="AK34" i="62"/>
  <c r="AL34" i="62"/>
  <c r="AM34" i="62"/>
  <c r="C34" i="62"/>
  <c r="D34" i="62"/>
  <c r="E34" i="62"/>
  <c r="Y34" i="62"/>
  <c r="F34" i="62"/>
  <c r="G34" i="62"/>
  <c r="I34" i="62"/>
  <c r="J26" i="62"/>
  <c r="Z26" i="62"/>
  <c r="K26" i="62"/>
  <c r="AA26" i="62"/>
  <c r="N26" i="62"/>
  <c r="AD26" i="62"/>
  <c r="O26" i="62"/>
  <c r="AE26" i="62"/>
  <c r="P26" i="62"/>
  <c r="AF26" i="62"/>
  <c r="Q26" i="62"/>
  <c r="AG26" i="62"/>
  <c r="R26" i="62"/>
  <c r="AH26" i="62"/>
  <c r="H26" i="62"/>
  <c r="X26" i="62"/>
  <c r="AN26" i="62"/>
  <c r="AB26" i="62"/>
  <c r="AC26" i="62"/>
  <c r="C26" i="62"/>
  <c r="D26" i="62"/>
  <c r="AJ26" i="62"/>
  <c r="E26" i="62"/>
  <c r="AK26" i="62"/>
  <c r="F26" i="62"/>
  <c r="AL26" i="62"/>
  <c r="G26" i="62"/>
  <c r="AM26" i="62"/>
  <c r="I26" i="62"/>
  <c r="M26" i="62"/>
  <c r="L26" i="62"/>
  <c r="S26" i="62"/>
  <c r="T26" i="62"/>
  <c r="U26" i="62"/>
  <c r="V26" i="62"/>
  <c r="W26" i="62"/>
  <c r="Y26" i="62"/>
  <c r="I18" i="62"/>
  <c r="Y18" i="62"/>
  <c r="J18" i="62"/>
  <c r="Z18" i="62"/>
  <c r="K18" i="62"/>
  <c r="AA18" i="62"/>
  <c r="N18" i="62"/>
  <c r="AD18" i="62"/>
  <c r="O18" i="62"/>
  <c r="AE18" i="62"/>
  <c r="P18" i="62"/>
  <c r="AF18" i="62"/>
  <c r="Q18" i="62"/>
  <c r="AG18" i="62"/>
  <c r="R18" i="62"/>
  <c r="AH18" i="62"/>
  <c r="H18" i="62"/>
  <c r="X18" i="62"/>
  <c r="AN18" i="62"/>
  <c r="W18" i="62"/>
  <c r="AB18" i="62"/>
  <c r="AC18" i="62"/>
  <c r="AJ18" i="62"/>
  <c r="C18" i="62"/>
  <c r="AK18" i="62"/>
  <c r="D18" i="62"/>
  <c r="AL18" i="62"/>
  <c r="E18" i="62"/>
  <c r="AM18" i="62"/>
  <c r="G18" i="62"/>
  <c r="F18" i="62"/>
  <c r="L18" i="62"/>
  <c r="M18" i="62"/>
  <c r="S18" i="62"/>
  <c r="T18" i="62"/>
  <c r="U18" i="62"/>
  <c r="V18" i="62"/>
  <c r="I10" i="62"/>
  <c r="Y10" i="62"/>
  <c r="J10" i="62"/>
  <c r="Z10" i="62"/>
  <c r="K10" i="62"/>
  <c r="AA10" i="62"/>
  <c r="L10" i="62"/>
  <c r="AB10" i="62"/>
  <c r="N10" i="62"/>
  <c r="AD10" i="62"/>
  <c r="O10" i="62"/>
  <c r="AE10" i="62"/>
  <c r="P10" i="62"/>
  <c r="AF10" i="62"/>
  <c r="Q10" i="62"/>
  <c r="AG10" i="62"/>
  <c r="R10" i="62"/>
  <c r="AH10" i="62"/>
  <c r="H10" i="62"/>
  <c r="X10" i="62"/>
  <c r="AN10" i="62"/>
  <c r="D10" i="62"/>
  <c r="E10" i="62"/>
  <c r="F10" i="62"/>
  <c r="G10" i="62"/>
  <c r="M10" i="62"/>
  <c r="S10" i="62"/>
  <c r="T10" i="62"/>
  <c r="U10" i="62"/>
  <c r="W10" i="62"/>
  <c r="AC10" i="62"/>
  <c r="AK10" i="62"/>
  <c r="AL10" i="62"/>
  <c r="AM10" i="62"/>
  <c r="AJ10" i="62"/>
  <c r="C10" i="62"/>
  <c r="V10" i="62"/>
  <c r="E2" i="62"/>
  <c r="U2" i="62"/>
  <c r="AF2" i="62"/>
  <c r="O2" i="62"/>
  <c r="R199" i="62"/>
  <c r="AM198" i="62"/>
  <c r="V198" i="62"/>
  <c r="E198" i="62"/>
  <c r="Z197" i="62"/>
  <c r="I197" i="62"/>
  <c r="AD196" i="62"/>
  <c r="M196" i="62"/>
  <c r="AG195" i="62"/>
  <c r="N195" i="62"/>
  <c r="AG194" i="62"/>
  <c r="I194" i="62"/>
  <c r="Y193" i="62"/>
  <c r="D193" i="62"/>
  <c r="P192" i="62"/>
  <c r="AG191" i="62"/>
  <c r="E191" i="62"/>
  <c r="O190" i="62"/>
  <c r="AE189" i="62"/>
  <c r="C189" i="62"/>
  <c r="S188" i="62"/>
  <c r="AC187" i="62"/>
  <c r="AM186" i="62"/>
  <c r="Q186" i="62"/>
  <c r="AA185" i="62"/>
  <c r="E185" i="62"/>
  <c r="O184" i="62"/>
  <c r="Y183" i="62"/>
  <c r="C183" i="62"/>
  <c r="M182" i="62"/>
  <c r="AC181" i="62"/>
  <c r="AM180" i="62"/>
  <c r="K180" i="62"/>
  <c r="AA179" i="62"/>
  <c r="AE177" i="62"/>
  <c r="AH176" i="62"/>
  <c r="AL175" i="62"/>
  <c r="AN174" i="62"/>
  <c r="X173" i="62"/>
  <c r="J172" i="62"/>
  <c r="AD170" i="62"/>
  <c r="V161" i="62"/>
  <c r="AM158" i="62"/>
  <c r="AE2" i="62"/>
  <c r="N2" i="62"/>
  <c r="AH199" i="62"/>
  <c r="Q199" i="62"/>
  <c r="AL198" i="62"/>
  <c r="U198" i="62"/>
  <c r="D198" i="62"/>
  <c r="Y197" i="62"/>
  <c r="H197" i="62"/>
  <c r="AC196" i="62"/>
  <c r="K196" i="62"/>
  <c r="AF195" i="62"/>
  <c r="M195" i="62"/>
  <c r="AF194" i="62"/>
  <c r="G194" i="62"/>
  <c r="AK192" i="62"/>
  <c r="O192" i="62"/>
  <c r="AA191" i="62"/>
  <c r="D191" i="62"/>
  <c r="N190" i="62"/>
  <c r="AD189" i="62"/>
  <c r="AN188" i="62"/>
  <c r="M188" i="62"/>
  <c r="AB187" i="62"/>
  <c r="AL186" i="62"/>
  <c r="P186" i="62"/>
  <c r="AK184" i="62"/>
  <c r="N184" i="62"/>
  <c r="X183" i="62"/>
  <c r="AN182" i="62"/>
  <c r="L182" i="62"/>
  <c r="W181" i="62"/>
  <c r="AL180" i="62"/>
  <c r="J180" i="62"/>
  <c r="Z179" i="62"/>
  <c r="AF178" i="62"/>
  <c r="AG176" i="62"/>
  <c r="AK175" i="62"/>
  <c r="AG174" i="62"/>
  <c r="W173" i="62"/>
  <c r="E172" i="62"/>
  <c r="Y170" i="62"/>
  <c r="AB168" i="62"/>
  <c r="X166" i="62"/>
  <c r="AH163" i="62"/>
  <c r="AL158" i="62"/>
  <c r="N152" i="62"/>
  <c r="F149" i="62"/>
  <c r="AJ143" i="62"/>
  <c r="AL132" i="62"/>
  <c r="N193" i="62"/>
  <c r="AD193" i="62"/>
  <c r="P193" i="62"/>
  <c r="AF193" i="62"/>
  <c r="Q193" i="62"/>
  <c r="AG193" i="62"/>
  <c r="R193" i="62"/>
  <c r="AH193" i="62"/>
  <c r="C193" i="62"/>
  <c r="S193" i="62"/>
  <c r="N185" i="62"/>
  <c r="AD185" i="62"/>
  <c r="P185" i="62"/>
  <c r="AF185" i="62"/>
  <c r="Q185" i="62"/>
  <c r="AG185" i="62"/>
  <c r="R185" i="62"/>
  <c r="AH185" i="62"/>
  <c r="C185" i="62"/>
  <c r="S185" i="62"/>
  <c r="D185" i="62"/>
  <c r="T185" i="62"/>
  <c r="AJ185" i="62"/>
  <c r="N177" i="62"/>
  <c r="AD177" i="62"/>
  <c r="P177" i="62"/>
  <c r="AF177" i="62"/>
  <c r="Q177" i="62"/>
  <c r="AG177" i="62"/>
  <c r="R177" i="62"/>
  <c r="AH177" i="62"/>
  <c r="C177" i="62"/>
  <c r="S177" i="62"/>
  <c r="D177" i="62"/>
  <c r="T177" i="62"/>
  <c r="AJ177" i="62"/>
  <c r="E177" i="62"/>
  <c r="U177" i="62"/>
  <c r="AK177" i="62"/>
  <c r="G177" i="62"/>
  <c r="W177" i="62"/>
  <c r="AM177" i="62"/>
  <c r="H177" i="62"/>
  <c r="X177" i="62"/>
  <c r="AN177" i="62"/>
  <c r="H169" i="62"/>
  <c r="X169" i="62"/>
  <c r="AN169" i="62"/>
  <c r="I169" i="62"/>
  <c r="Y169" i="62"/>
  <c r="J169" i="62"/>
  <c r="Z169" i="62"/>
  <c r="K169" i="62"/>
  <c r="AA169" i="62"/>
  <c r="L169" i="62"/>
  <c r="R169" i="62"/>
  <c r="AH169" i="62"/>
  <c r="C169" i="62"/>
  <c r="S169" i="62"/>
  <c r="W169" i="62"/>
  <c r="AC169" i="62"/>
  <c r="AD169" i="62"/>
  <c r="D169" i="62"/>
  <c r="AE169" i="62"/>
  <c r="E169" i="62"/>
  <c r="AF169" i="62"/>
  <c r="F169" i="62"/>
  <c r="AG169" i="62"/>
  <c r="G169" i="62"/>
  <c r="AJ169" i="62"/>
  <c r="N169" i="62"/>
  <c r="AL169" i="62"/>
  <c r="O169" i="62"/>
  <c r="AM169" i="62"/>
  <c r="H161" i="62"/>
  <c r="X161" i="62"/>
  <c r="AN161" i="62"/>
  <c r="I161" i="62"/>
  <c r="Y161" i="62"/>
  <c r="J161" i="62"/>
  <c r="Z161" i="62"/>
  <c r="K161" i="62"/>
  <c r="AA161" i="62"/>
  <c r="L161" i="62"/>
  <c r="AB161" i="62"/>
  <c r="P161" i="62"/>
  <c r="AF161" i="62"/>
  <c r="Q161" i="62"/>
  <c r="AG161" i="62"/>
  <c r="R161" i="62"/>
  <c r="AH161" i="62"/>
  <c r="C161" i="62"/>
  <c r="S161" i="62"/>
  <c r="E161" i="62"/>
  <c r="AM161" i="62"/>
  <c r="G161" i="62"/>
  <c r="M161" i="62"/>
  <c r="N161" i="62"/>
  <c r="O161" i="62"/>
  <c r="T161" i="62"/>
  <c r="U161" i="62"/>
  <c r="W161" i="62"/>
  <c r="AC161" i="62"/>
  <c r="AD161" i="62"/>
  <c r="O153" i="62"/>
  <c r="AE153" i="62"/>
  <c r="P153" i="62"/>
  <c r="AF153" i="62"/>
  <c r="R153" i="62"/>
  <c r="AH153" i="62"/>
  <c r="Q153" i="62"/>
  <c r="AK153" i="62"/>
  <c r="S153" i="62"/>
  <c r="AL153" i="62"/>
  <c r="T153" i="62"/>
  <c r="AM153" i="62"/>
  <c r="U153" i="62"/>
  <c r="AN153" i="62"/>
  <c r="C153" i="62"/>
  <c r="V153" i="62"/>
  <c r="D153" i="62"/>
  <c r="W153" i="62"/>
  <c r="H153" i="62"/>
  <c r="AA153" i="62"/>
  <c r="I153" i="62"/>
  <c r="AB153" i="62"/>
  <c r="J153" i="62"/>
  <c r="AC153" i="62"/>
  <c r="K153" i="62"/>
  <c r="AD153" i="62"/>
  <c r="Z153" i="62"/>
  <c r="AJ153" i="62"/>
  <c r="F153" i="62"/>
  <c r="G153" i="62"/>
  <c r="L153" i="62"/>
  <c r="O145" i="62"/>
  <c r="AE145" i="62"/>
  <c r="P145" i="62"/>
  <c r="AF145" i="62"/>
  <c r="Q145" i="62"/>
  <c r="AG145" i="62"/>
  <c r="R145" i="62"/>
  <c r="AH145" i="62"/>
  <c r="C145" i="62"/>
  <c r="S145" i="62"/>
  <c r="D145" i="62"/>
  <c r="T145" i="62"/>
  <c r="AJ145" i="62"/>
  <c r="K145" i="62"/>
  <c r="AM145" i="62"/>
  <c r="L145" i="62"/>
  <c r="AN145" i="62"/>
  <c r="M145" i="62"/>
  <c r="N145" i="62"/>
  <c r="U145" i="62"/>
  <c r="V145" i="62"/>
  <c r="Z145" i="62"/>
  <c r="E145" i="62"/>
  <c r="AA145" i="62"/>
  <c r="F145" i="62"/>
  <c r="AB145" i="62"/>
  <c r="G145" i="62"/>
  <c r="AC145" i="62"/>
  <c r="H145" i="62"/>
  <c r="J145" i="62"/>
  <c r="W145" i="62"/>
  <c r="X145" i="62"/>
  <c r="O137" i="62"/>
  <c r="AE137" i="62"/>
  <c r="P137" i="62"/>
  <c r="AF137" i="62"/>
  <c r="Q137" i="62"/>
  <c r="AG137" i="62"/>
  <c r="R137" i="62"/>
  <c r="AH137" i="62"/>
  <c r="C137" i="62"/>
  <c r="S137" i="62"/>
  <c r="D137" i="62"/>
  <c r="T137" i="62"/>
  <c r="AJ137" i="62"/>
  <c r="E137" i="62"/>
  <c r="U137" i="62"/>
  <c r="AK137" i="62"/>
  <c r="F137" i="62"/>
  <c r="V137" i="62"/>
  <c r="AL137" i="62"/>
  <c r="G137" i="62"/>
  <c r="W137" i="62"/>
  <c r="AM137" i="62"/>
  <c r="H137" i="62"/>
  <c r="X137" i="62"/>
  <c r="AN137" i="62"/>
  <c r="Y137" i="62"/>
  <c r="Z137" i="62"/>
  <c r="AA137" i="62"/>
  <c r="AB137" i="62"/>
  <c r="AC137" i="62"/>
  <c r="AD137" i="62"/>
  <c r="I137" i="62"/>
  <c r="J137" i="62"/>
  <c r="K137" i="62"/>
  <c r="L137" i="62"/>
  <c r="M137" i="62"/>
  <c r="N137" i="62"/>
  <c r="F129" i="62"/>
  <c r="V129" i="62"/>
  <c r="AL129" i="62"/>
  <c r="P129" i="62"/>
  <c r="AG129" i="62"/>
  <c r="Q129" i="62"/>
  <c r="AH129" i="62"/>
  <c r="R129" i="62"/>
  <c r="S129" i="62"/>
  <c r="AJ129" i="62"/>
  <c r="C129" i="62"/>
  <c r="T129" i="62"/>
  <c r="AK129" i="62"/>
  <c r="D129" i="62"/>
  <c r="U129" i="62"/>
  <c r="AM129" i="62"/>
  <c r="E129" i="62"/>
  <c r="W129" i="62"/>
  <c r="AN129" i="62"/>
  <c r="G129" i="62"/>
  <c r="X129" i="62"/>
  <c r="H129" i="62"/>
  <c r="Y129" i="62"/>
  <c r="I129" i="62"/>
  <c r="Z129" i="62"/>
  <c r="K129" i="62"/>
  <c r="AB129" i="62"/>
  <c r="L129" i="62"/>
  <c r="AC129" i="62"/>
  <c r="J129" i="62"/>
  <c r="M129" i="62"/>
  <c r="N129" i="62"/>
  <c r="O129" i="62"/>
  <c r="AA129" i="62"/>
  <c r="AD129" i="62"/>
  <c r="AE129" i="62"/>
  <c r="AF129" i="62"/>
  <c r="E121" i="62"/>
  <c r="U121" i="62"/>
  <c r="AK121" i="62"/>
  <c r="F121" i="62"/>
  <c r="V121" i="62"/>
  <c r="AL121" i="62"/>
  <c r="G121" i="62"/>
  <c r="H121" i="62"/>
  <c r="X121" i="62"/>
  <c r="AN121" i="62"/>
  <c r="I121" i="62"/>
  <c r="Y121" i="62"/>
  <c r="K121" i="62"/>
  <c r="S121" i="62"/>
  <c r="T121" i="62"/>
  <c r="W121" i="62"/>
  <c r="Z121" i="62"/>
  <c r="AA121" i="62"/>
  <c r="AB121" i="62"/>
  <c r="C121" i="62"/>
  <c r="AC121" i="62"/>
  <c r="D121" i="62"/>
  <c r="AD121" i="62"/>
  <c r="J121" i="62"/>
  <c r="AE121" i="62"/>
  <c r="L121" i="62"/>
  <c r="AF121" i="62"/>
  <c r="N121" i="62"/>
  <c r="AH121" i="62"/>
  <c r="O121" i="62"/>
  <c r="M121" i="62"/>
  <c r="P121" i="62"/>
  <c r="Q121" i="62"/>
  <c r="R121" i="62"/>
  <c r="AG121" i="62"/>
  <c r="AJ121" i="62"/>
  <c r="D113" i="62"/>
  <c r="T113" i="62"/>
  <c r="AJ113" i="62"/>
  <c r="E113" i="62"/>
  <c r="U113" i="62"/>
  <c r="AK113" i="62"/>
  <c r="F113" i="62"/>
  <c r="V113" i="62"/>
  <c r="AL113" i="62"/>
  <c r="G113" i="62"/>
  <c r="W113" i="62"/>
  <c r="AM113" i="62"/>
  <c r="H113" i="62"/>
  <c r="X113" i="62"/>
  <c r="AN113" i="62"/>
  <c r="K113" i="62"/>
  <c r="AA113" i="62"/>
  <c r="L113" i="62"/>
  <c r="AB113" i="62"/>
  <c r="M113" i="62"/>
  <c r="AC113" i="62"/>
  <c r="O113" i="62"/>
  <c r="AE113" i="62"/>
  <c r="Y113" i="62"/>
  <c r="Z113" i="62"/>
  <c r="AD113" i="62"/>
  <c r="AF113" i="62"/>
  <c r="AG113" i="62"/>
  <c r="R113" i="62"/>
  <c r="S113" i="62"/>
  <c r="AH113" i="62"/>
  <c r="I113" i="62"/>
  <c r="J113" i="62"/>
  <c r="N113" i="62"/>
  <c r="C113" i="62"/>
  <c r="P113" i="62"/>
  <c r="Q113" i="62"/>
  <c r="D105" i="62"/>
  <c r="T105" i="62"/>
  <c r="AJ105" i="62"/>
  <c r="E105" i="62"/>
  <c r="U105" i="62"/>
  <c r="AK105" i="62"/>
  <c r="F105" i="62"/>
  <c r="V105" i="62"/>
  <c r="AL105" i="62"/>
  <c r="G105" i="62"/>
  <c r="W105" i="62"/>
  <c r="AM105" i="62"/>
  <c r="H105" i="62"/>
  <c r="X105" i="62"/>
  <c r="AN105" i="62"/>
  <c r="K105" i="62"/>
  <c r="AA105" i="62"/>
  <c r="L105" i="62"/>
  <c r="AB105" i="62"/>
  <c r="M105" i="62"/>
  <c r="AC105" i="62"/>
  <c r="O105" i="62"/>
  <c r="AE105" i="62"/>
  <c r="AH105" i="62"/>
  <c r="C105" i="62"/>
  <c r="I105" i="62"/>
  <c r="J105" i="62"/>
  <c r="N105" i="62"/>
  <c r="P105" i="62"/>
  <c r="Q105" i="62"/>
  <c r="R105" i="62"/>
  <c r="S105" i="62"/>
  <c r="Y105" i="62"/>
  <c r="Z105" i="62"/>
  <c r="AD105" i="62"/>
  <c r="AF105" i="62"/>
  <c r="AG105" i="62"/>
  <c r="D97" i="62"/>
  <c r="T97" i="62"/>
  <c r="AJ97" i="62"/>
  <c r="E97" i="62"/>
  <c r="U97" i="62"/>
  <c r="AK97" i="62"/>
  <c r="F97" i="62"/>
  <c r="V97" i="62"/>
  <c r="AL97" i="62"/>
  <c r="G97" i="62"/>
  <c r="W97" i="62"/>
  <c r="AM97" i="62"/>
  <c r="H97" i="62"/>
  <c r="X97" i="62"/>
  <c r="AN97" i="62"/>
  <c r="K97" i="62"/>
  <c r="AA97" i="62"/>
  <c r="L97" i="62"/>
  <c r="AB97" i="62"/>
  <c r="M97" i="62"/>
  <c r="AC97" i="62"/>
  <c r="O97" i="62"/>
  <c r="AE97" i="62"/>
  <c r="J97" i="62"/>
  <c r="N97" i="62"/>
  <c r="P97" i="62"/>
  <c r="Q97" i="62"/>
  <c r="R97" i="62"/>
  <c r="S97" i="62"/>
  <c r="Y97" i="62"/>
  <c r="Z97" i="62"/>
  <c r="AF97" i="62"/>
  <c r="AG97" i="62"/>
  <c r="AH97" i="62"/>
  <c r="C97" i="62"/>
  <c r="I97" i="62"/>
  <c r="AD97" i="62"/>
  <c r="D89" i="62"/>
  <c r="T89" i="62"/>
  <c r="AJ89" i="62"/>
  <c r="E89" i="62"/>
  <c r="U89" i="62"/>
  <c r="AK89" i="62"/>
  <c r="F89" i="62"/>
  <c r="V89" i="62"/>
  <c r="AL89" i="62"/>
  <c r="G89" i="62"/>
  <c r="W89" i="62"/>
  <c r="AM89" i="62"/>
  <c r="H89" i="62"/>
  <c r="X89" i="62"/>
  <c r="AN89" i="62"/>
  <c r="M89" i="62"/>
  <c r="AH89" i="62"/>
  <c r="N89" i="62"/>
  <c r="O89" i="62"/>
  <c r="P89" i="62"/>
  <c r="Q89" i="62"/>
  <c r="Y89" i="62"/>
  <c r="Z89" i="62"/>
  <c r="AA89" i="62"/>
  <c r="C89" i="62"/>
  <c r="AC89" i="62"/>
  <c r="S89" i="62"/>
  <c r="AB89" i="62"/>
  <c r="AD89" i="62"/>
  <c r="AE89" i="62"/>
  <c r="AF89" i="62"/>
  <c r="AG89" i="62"/>
  <c r="I89" i="62"/>
  <c r="J89" i="62"/>
  <c r="R89" i="62"/>
  <c r="K89" i="62"/>
  <c r="L89" i="62"/>
  <c r="D81" i="62"/>
  <c r="T81" i="62"/>
  <c r="AJ81" i="62"/>
  <c r="E81" i="62"/>
  <c r="U81" i="62"/>
  <c r="AK81" i="62"/>
  <c r="F81" i="62"/>
  <c r="V81" i="62"/>
  <c r="AL81" i="62"/>
  <c r="G81" i="62"/>
  <c r="W81" i="62"/>
  <c r="AM81" i="62"/>
  <c r="H81" i="62"/>
  <c r="X81" i="62"/>
  <c r="AN81" i="62"/>
  <c r="I81" i="62"/>
  <c r="Y81" i="62"/>
  <c r="K81" i="62"/>
  <c r="AA81" i="62"/>
  <c r="L81" i="62"/>
  <c r="AB81" i="62"/>
  <c r="Z81" i="62"/>
  <c r="AC81" i="62"/>
  <c r="AD81" i="62"/>
  <c r="AE81" i="62"/>
  <c r="AF81" i="62"/>
  <c r="C81" i="62"/>
  <c r="J81" i="62"/>
  <c r="M81" i="62"/>
  <c r="O81" i="62"/>
  <c r="R81" i="62"/>
  <c r="S81" i="62"/>
  <c r="AG81" i="62"/>
  <c r="AH81" i="62"/>
  <c r="P81" i="62"/>
  <c r="Q81" i="62"/>
  <c r="N81" i="62"/>
  <c r="P73" i="62"/>
  <c r="AF73" i="62"/>
  <c r="Q73" i="62"/>
  <c r="AG73" i="62"/>
  <c r="R73" i="62"/>
  <c r="AH73" i="62"/>
  <c r="C73" i="62"/>
  <c r="S73" i="62"/>
  <c r="D73" i="62"/>
  <c r="T73" i="62"/>
  <c r="AJ73" i="62"/>
  <c r="E73" i="62"/>
  <c r="Z73" i="62"/>
  <c r="F73" i="62"/>
  <c r="AA73" i="62"/>
  <c r="G73" i="62"/>
  <c r="AB73" i="62"/>
  <c r="H73" i="62"/>
  <c r="AC73" i="62"/>
  <c r="I73" i="62"/>
  <c r="AD73" i="62"/>
  <c r="J73" i="62"/>
  <c r="AE73" i="62"/>
  <c r="L73" i="62"/>
  <c r="AL73" i="62"/>
  <c r="M73" i="62"/>
  <c r="AM73" i="62"/>
  <c r="N73" i="62"/>
  <c r="AN73" i="62"/>
  <c r="O73" i="62"/>
  <c r="U73" i="62"/>
  <c r="V73" i="62"/>
  <c r="K73" i="62"/>
  <c r="W73" i="62"/>
  <c r="Y73" i="62"/>
  <c r="X73" i="62"/>
  <c r="AK73" i="62"/>
  <c r="P65" i="62"/>
  <c r="AF65" i="62"/>
  <c r="Q65" i="62"/>
  <c r="AG65" i="62"/>
  <c r="R65" i="62"/>
  <c r="AH65" i="62"/>
  <c r="C65" i="62"/>
  <c r="S65" i="62"/>
  <c r="D65" i="62"/>
  <c r="T65" i="62"/>
  <c r="AJ65" i="62"/>
  <c r="F65" i="62"/>
  <c r="AA65" i="62"/>
  <c r="G65" i="62"/>
  <c r="AB65" i="62"/>
  <c r="H65" i="62"/>
  <c r="AC65" i="62"/>
  <c r="I65" i="62"/>
  <c r="AD65" i="62"/>
  <c r="J65" i="62"/>
  <c r="AE65" i="62"/>
  <c r="K65" i="62"/>
  <c r="AK65" i="62"/>
  <c r="L65" i="62"/>
  <c r="M65" i="62"/>
  <c r="AM65" i="62"/>
  <c r="N65" i="62"/>
  <c r="AN65" i="62"/>
  <c r="O65" i="62"/>
  <c r="U65" i="62"/>
  <c r="V65" i="62"/>
  <c r="W65" i="62"/>
  <c r="E65" i="62"/>
  <c r="Z65" i="62"/>
  <c r="AL65" i="62"/>
  <c r="X65" i="62"/>
  <c r="Y65" i="62"/>
  <c r="N57" i="62"/>
  <c r="AD57" i="62"/>
  <c r="O57" i="62"/>
  <c r="AE57" i="62"/>
  <c r="P57" i="62"/>
  <c r="AF57" i="62"/>
  <c r="R57" i="62"/>
  <c r="AH57" i="62"/>
  <c r="C57" i="62"/>
  <c r="S57" i="62"/>
  <c r="D57" i="62"/>
  <c r="T57" i="62"/>
  <c r="AJ57" i="62"/>
  <c r="Q57" i="62"/>
  <c r="U57" i="62"/>
  <c r="V57" i="62"/>
  <c r="W57" i="62"/>
  <c r="X57" i="62"/>
  <c r="Y57" i="62"/>
  <c r="Z57" i="62"/>
  <c r="E57" i="62"/>
  <c r="AA57" i="62"/>
  <c r="F57" i="62"/>
  <c r="G57" i="62"/>
  <c r="H57" i="62"/>
  <c r="I57" i="62"/>
  <c r="J57" i="62"/>
  <c r="K57" i="62"/>
  <c r="L57" i="62"/>
  <c r="M57" i="62"/>
  <c r="AB57" i="62"/>
  <c r="AC57" i="62"/>
  <c r="AG57" i="62"/>
  <c r="AK57" i="62"/>
  <c r="AL57" i="62"/>
  <c r="AM57" i="62"/>
  <c r="AN57" i="62"/>
  <c r="N49" i="62"/>
  <c r="AD49" i="62"/>
  <c r="O49" i="62"/>
  <c r="AE49" i="62"/>
  <c r="P49" i="62"/>
  <c r="AF49" i="62"/>
  <c r="R49" i="62"/>
  <c r="AH49" i="62"/>
  <c r="C49" i="62"/>
  <c r="S49" i="62"/>
  <c r="D49" i="62"/>
  <c r="T49" i="62"/>
  <c r="AJ49" i="62"/>
  <c r="L49" i="62"/>
  <c r="AN49" i="62"/>
  <c r="M49" i="62"/>
  <c r="Q49" i="62"/>
  <c r="U49" i="62"/>
  <c r="V49" i="62"/>
  <c r="W49" i="62"/>
  <c r="X49" i="62"/>
  <c r="Y49" i="62"/>
  <c r="Z49" i="62"/>
  <c r="I49" i="62"/>
  <c r="J49" i="62"/>
  <c r="K49" i="62"/>
  <c r="AA49" i="62"/>
  <c r="AB49" i="62"/>
  <c r="AC49" i="62"/>
  <c r="AG49" i="62"/>
  <c r="AK49" i="62"/>
  <c r="AL49" i="62"/>
  <c r="AM49" i="62"/>
  <c r="E49" i="62"/>
  <c r="H49" i="62"/>
  <c r="F49" i="62"/>
  <c r="G49" i="62"/>
  <c r="N41" i="62"/>
  <c r="AD41" i="62"/>
  <c r="O41" i="62"/>
  <c r="AE41" i="62"/>
  <c r="P41" i="62"/>
  <c r="AF41" i="62"/>
  <c r="Q41" i="62"/>
  <c r="AG41" i="62"/>
  <c r="R41" i="62"/>
  <c r="AH41" i="62"/>
  <c r="C41" i="62"/>
  <c r="S41" i="62"/>
  <c r="D41" i="62"/>
  <c r="T41" i="62"/>
  <c r="AJ41" i="62"/>
  <c r="G41" i="62"/>
  <c r="W41" i="62"/>
  <c r="AM41" i="62"/>
  <c r="V41" i="62"/>
  <c r="X41" i="62"/>
  <c r="Y41" i="62"/>
  <c r="Z41" i="62"/>
  <c r="AA41" i="62"/>
  <c r="AB41" i="62"/>
  <c r="AC41" i="62"/>
  <c r="E41" i="62"/>
  <c r="AK41" i="62"/>
  <c r="F41" i="62"/>
  <c r="AL41" i="62"/>
  <c r="J41" i="62"/>
  <c r="L41" i="62"/>
  <c r="M41" i="62"/>
  <c r="U41" i="62"/>
  <c r="AN41" i="62"/>
  <c r="H41" i="62"/>
  <c r="K41" i="62"/>
  <c r="I41" i="62"/>
  <c r="P33" i="62"/>
  <c r="AF33" i="62"/>
  <c r="Q33" i="62"/>
  <c r="AG33" i="62"/>
  <c r="D33" i="62"/>
  <c r="T33" i="62"/>
  <c r="AJ33" i="62"/>
  <c r="E33" i="62"/>
  <c r="U33" i="62"/>
  <c r="AK33" i="62"/>
  <c r="F33" i="62"/>
  <c r="V33" i="62"/>
  <c r="AL33" i="62"/>
  <c r="G33" i="62"/>
  <c r="W33" i="62"/>
  <c r="AM33" i="62"/>
  <c r="H33" i="62"/>
  <c r="X33" i="62"/>
  <c r="AN33" i="62"/>
  <c r="N33" i="62"/>
  <c r="AD33" i="62"/>
  <c r="R33" i="62"/>
  <c r="S33" i="62"/>
  <c r="Y33" i="62"/>
  <c r="Z33" i="62"/>
  <c r="AA33" i="62"/>
  <c r="AB33" i="62"/>
  <c r="AC33" i="62"/>
  <c r="C33" i="62"/>
  <c r="I33" i="62"/>
  <c r="J33" i="62"/>
  <c r="K33" i="62"/>
  <c r="L33" i="62"/>
  <c r="M33" i="62"/>
  <c r="O33" i="62"/>
  <c r="AE33" i="62"/>
  <c r="AH33" i="62"/>
  <c r="P25" i="62"/>
  <c r="AF25" i="62"/>
  <c r="Q25" i="62"/>
  <c r="AG25" i="62"/>
  <c r="D25" i="62"/>
  <c r="T25" i="62"/>
  <c r="AJ25" i="62"/>
  <c r="E25" i="62"/>
  <c r="U25" i="62"/>
  <c r="AK25" i="62"/>
  <c r="F25" i="62"/>
  <c r="V25" i="62"/>
  <c r="AL25" i="62"/>
  <c r="G25" i="62"/>
  <c r="W25" i="62"/>
  <c r="AM25" i="62"/>
  <c r="H25" i="62"/>
  <c r="X25" i="62"/>
  <c r="AN25" i="62"/>
  <c r="N25" i="62"/>
  <c r="AD25" i="62"/>
  <c r="AH25" i="62"/>
  <c r="C25" i="62"/>
  <c r="I25" i="62"/>
  <c r="J25" i="62"/>
  <c r="K25" i="62"/>
  <c r="L25" i="62"/>
  <c r="M25" i="62"/>
  <c r="O25" i="62"/>
  <c r="S25" i="62"/>
  <c r="Y25" i="62"/>
  <c r="Z25" i="62"/>
  <c r="AA25" i="62"/>
  <c r="AB25" i="62"/>
  <c r="AC25" i="62"/>
  <c r="AE25" i="62"/>
  <c r="R25" i="62"/>
  <c r="O17" i="62"/>
  <c r="AE17" i="62"/>
  <c r="P17" i="62"/>
  <c r="AF17" i="62"/>
  <c r="Q17" i="62"/>
  <c r="AG17" i="62"/>
  <c r="D17" i="62"/>
  <c r="T17" i="62"/>
  <c r="AJ17" i="62"/>
  <c r="E17" i="62"/>
  <c r="U17" i="62"/>
  <c r="AK17" i="62"/>
  <c r="F17" i="62"/>
  <c r="V17" i="62"/>
  <c r="AL17" i="62"/>
  <c r="G17" i="62"/>
  <c r="W17" i="62"/>
  <c r="AM17" i="62"/>
  <c r="H17" i="62"/>
  <c r="X17" i="62"/>
  <c r="AN17" i="62"/>
  <c r="N17" i="62"/>
  <c r="AD17" i="62"/>
  <c r="AA17" i="62"/>
  <c r="AB17" i="62"/>
  <c r="AC17" i="62"/>
  <c r="AH17" i="62"/>
  <c r="C17" i="62"/>
  <c r="I17" i="62"/>
  <c r="K17" i="62"/>
  <c r="L17" i="62"/>
  <c r="J17" i="62"/>
  <c r="M17" i="62"/>
  <c r="R17" i="62"/>
  <c r="S17" i="62"/>
  <c r="Y17" i="62"/>
  <c r="Z17" i="62"/>
  <c r="O9" i="62"/>
  <c r="AE9" i="62"/>
  <c r="P9" i="62"/>
  <c r="AF9" i="62"/>
  <c r="Q9" i="62"/>
  <c r="AG9" i="62"/>
  <c r="R9" i="62"/>
  <c r="AH9" i="62"/>
  <c r="D9" i="62"/>
  <c r="T9" i="62"/>
  <c r="AJ9" i="62"/>
  <c r="E9" i="62"/>
  <c r="U9" i="62"/>
  <c r="AK9" i="62"/>
  <c r="F9" i="62"/>
  <c r="V9" i="62"/>
  <c r="AL9" i="62"/>
  <c r="G9" i="62"/>
  <c r="W9" i="62"/>
  <c r="AM9" i="62"/>
  <c r="H9" i="62"/>
  <c r="X9" i="62"/>
  <c r="AN9" i="62"/>
  <c r="N9" i="62"/>
  <c r="AD9" i="62"/>
  <c r="C9" i="62"/>
  <c r="I9" i="62"/>
  <c r="J9" i="62"/>
  <c r="K9" i="62"/>
  <c r="L9" i="62"/>
  <c r="M9" i="62"/>
  <c r="Y9" i="62"/>
  <c r="Z9" i="62"/>
  <c r="AA9" i="62"/>
  <c r="S9" i="62"/>
  <c r="AB9" i="62"/>
  <c r="AC9" i="62"/>
  <c r="AD2" i="62"/>
  <c r="M2" i="62"/>
  <c r="AG199" i="62"/>
  <c r="P199" i="62"/>
  <c r="AK198" i="62"/>
  <c r="T198" i="62"/>
  <c r="C198" i="62"/>
  <c r="X197" i="62"/>
  <c r="G197" i="62"/>
  <c r="AA196" i="62"/>
  <c r="J196" i="62"/>
  <c r="AE195" i="62"/>
  <c r="L195" i="62"/>
  <c r="AE194" i="62"/>
  <c r="F194" i="62"/>
  <c r="W193" i="62"/>
  <c r="N192" i="62"/>
  <c r="Y191" i="62"/>
  <c r="C191" i="62"/>
  <c r="M190" i="62"/>
  <c r="AC189" i="62"/>
  <c r="AM188" i="62"/>
  <c r="K188" i="62"/>
  <c r="AA187" i="62"/>
  <c r="AK186" i="62"/>
  <c r="O186" i="62"/>
  <c r="Y185" i="62"/>
  <c r="M184" i="62"/>
  <c r="W183" i="62"/>
  <c r="AM182" i="62"/>
  <c r="K182" i="62"/>
  <c r="U181" i="62"/>
  <c r="AK180" i="62"/>
  <c r="I180" i="62"/>
  <c r="Y179" i="62"/>
  <c r="Y178" i="62"/>
  <c r="AB177" i="62"/>
  <c r="AF176" i="62"/>
  <c r="AH175" i="62"/>
  <c r="AE174" i="62"/>
  <c r="V173" i="62"/>
  <c r="D172" i="62"/>
  <c r="N170" i="62"/>
  <c r="AA168" i="62"/>
  <c r="P166" i="62"/>
  <c r="AG163" i="62"/>
  <c r="D161" i="62"/>
  <c r="Y158" i="62"/>
  <c r="AH155" i="62"/>
  <c r="L152" i="62"/>
  <c r="AJ148" i="62"/>
  <c r="AK132" i="62"/>
  <c r="AC2" i="62"/>
  <c r="L2" i="62"/>
  <c r="AF199" i="62"/>
  <c r="O199" i="62"/>
  <c r="AJ198" i="62"/>
  <c r="S198" i="62"/>
  <c r="AN197" i="62"/>
  <c r="W197" i="62"/>
  <c r="E197" i="62"/>
  <c r="Z196" i="62"/>
  <c r="I196" i="62"/>
  <c r="AD195" i="62"/>
  <c r="K195" i="62"/>
  <c r="AD194" i="62"/>
  <c r="E194" i="62"/>
  <c r="V193" i="62"/>
  <c r="AH192" i="62"/>
  <c r="X191" i="62"/>
  <c r="AN190" i="62"/>
  <c r="L190" i="62"/>
  <c r="W189" i="62"/>
  <c r="AL188" i="62"/>
  <c r="J188" i="62"/>
  <c r="Z187" i="62"/>
  <c r="AJ186" i="62"/>
  <c r="I186" i="62"/>
  <c r="X185" i="62"/>
  <c r="AH184" i="62"/>
  <c r="V183" i="62"/>
  <c r="AG182" i="62"/>
  <c r="J182" i="62"/>
  <c r="T181" i="62"/>
  <c r="AJ180" i="62"/>
  <c r="H180" i="62"/>
  <c r="S179" i="62"/>
  <c r="W178" i="62"/>
  <c r="AA177" i="62"/>
  <c r="AA175" i="62"/>
  <c r="AD174" i="62"/>
  <c r="U173" i="62"/>
  <c r="AK171" i="62"/>
  <c r="J170" i="62"/>
  <c r="AL165" i="62"/>
  <c r="AA163" i="62"/>
  <c r="I158" i="62"/>
  <c r="AG155" i="62"/>
  <c r="AH147" i="62"/>
  <c r="U143" i="62"/>
  <c r="W131" i="62"/>
  <c r="D192" i="62"/>
  <c r="T192" i="62"/>
  <c r="AJ192" i="62"/>
  <c r="F192" i="62"/>
  <c r="V192" i="62"/>
  <c r="AL192" i="62"/>
  <c r="G192" i="62"/>
  <c r="W192" i="62"/>
  <c r="AM192" i="62"/>
  <c r="H192" i="62"/>
  <c r="X192" i="62"/>
  <c r="AN192" i="62"/>
  <c r="I192" i="62"/>
  <c r="Y192" i="62"/>
  <c r="D184" i="62"/>
  <c r="T184" i="62"/>
  <c r="AJ184" i="62"/>
  <c r="F184" i="62"/>
  <c r="V184" i="62"/>
  <c r="AL184" i="62"/>
  <c r="G184" i="62"/>
  <c r="W184" i="62"/>
  <c r="AM184" i="62"/>
  <c r="H184" i="62"/>
  <c r="X184" i="62"/>
  <c r="AN184" i="62"/>
  <c r="I184" i="62"/>
  <c r="Y184" i="62"/>
  <c r="J184" i="62"/>
  <c r="Z184" i="62"/>
  <c r="D176" i="62"/>
  <c r="T176" i="62"/>
  <c r="AJ176" i="62"/>
  <c r="F176" i="62"/>
  <c r="V176" i="62"/>
  <c r="AL176" i="62"/>
  <c r="G176" i="62"/>
  <c r="W176" i="62"/>
  <c r="AM176" i="62"/>
  <c r="H176" i="62"/>
  <c r="X176" i="62"/>
  <c r="AN176" i="62"/>
  <c r="I176" i="62"/>
  <c r="Y176" i="62"/>
  <c r="J176" i="62"/>
  <c r="Z176" i="62"/>
  <c r="K176" i="62"/>
  <c r="AA176" i="62"/>
  <c r="M176" i="62"/>
  <c r="AC176" i="62"/>
  <c r="N176" i="62"/>
  <c r="AD176" i="62"/>
  <c r="N168" i="62"/>
  <c r="AD168" i="62"/>
  <c r="O168" i="62"/>
  <c r="AE168" i="62"/>
  <c r="P168" i="62"/>
  <c r="AF168" i="62"/>
  <c r="Q168" i="62"/>
  <c r="AG168" i="62"/>
  <c r="R168" i="62"/>
  <c r="AH168" i="62"/>
  <c r="F168" i="62"/>
  <c r="V168" i="62"/>
  <c r="AL168" i="62"/>
  <c r="G168" i="62"/>
  <c r="W168" i="62"/>
  <c r="AM168" i="62"/>
  <c r="H168" i="62"/>
  <c r="X168" i="62"/>
  <c r="AN168" i="62"/>
  <c r="I168" i="62"/>
  <c r="Y168" i="62"/>
  <c r="AC168" i="62"/>
  <c r="AJ168" i="62"/>
  <c r="C168" i="62"/>
  <c r="AK168" i="62"/>
  <c r="D168" i="62"/>
  <c r="E168" i="62"/>
  <c r="J168" i="62"/>
  <c r="K168" i="62"/>
  <c r="M168" i="62"/>
  <c r="S168" i="62"/>
  <c r="N160" i="62"/>
  <c r="AD160" i="62"/>
  <c r="O160" i="62"/>
  <c r="AE160" i="62"/>
  <c r="P160" i="62"/>
  <c r="AF160" i="62"/>
  <c r="Q160" i="62"/>
  <c r="AG160" i="62"/>
  <c r="R160" i="62"/>
  <c r="AH160" i="62"/>
  <c r="F160" i="62"/>
  <c r="V160" i="62"/>
  <c r="AL160" i="62"/>
  <c r="G160" i="62"/>
  <c r="W160" i="62"/>
  <c r="AM160" i="62"/>
  <c r="H160" i="62"/>
  <c r="X160" i="62"/>
  <c r="AN160" i="62"/>
  <c r="I160" i="62"/>
  <c r="Y160" i="62"/>
  <c r="E160" i="62"/>
  <c r="K160" i="62"/>
  <c r="L160" i="62"/>
  <c r="M160" i="62"/>
  <c r="S160" i="62"/>
  <c r="T160" i="62"/>
  <c r="U160" i="62"/>
  <c r="AA160" i="62"/>
  <c r="AB160" i="62"/>
  <c r="AC160" i="62"/>
  <c r="E152" i="62"/>
  <c r="U152" i="62"/>
  <c r="AK152" i="62"/>
  <c r="F152" i="62"/>
  <c r="V152" i="62"/>
  <c r="AL152" i="62"/>
  <c r="H152" i="62"/>
  <c r="X152" i="62"/>
  <c r="AN152" i="62"/>
  <c r="O152" i="62"/>
  <c r="AH152" i="62"/>
  <c r="P152" i="62"/>
  <c r="Q152" i="62"/>
  <c r="AJ152" i="62"/>
  <c r="R152" i="62"/>
  <c r="AM152" i="62"/>
  <c r="S152" i="62"/>
  <c r="T152" i="62"/>
  <c r="G152" i="62"/>
  <c r="AA152" i="62"/>
  <c r="I152" i="62"/>
  <c r="AB152" i="62"/>
  <c r="J152" i="62"/>
  <c r="AC152" i="62"/>
  <c r="K152" i="62"/>
  <c r="AD152" i="62"/>
  <c r="M152" i="62"/>
  <c r="W152" i="62"/>
  <c r="Y152" i="62"/>
  <c r="Z152" i="62"/>
  <c r="AE152" i="62"/>
  <c r="AF152" i="62"/>
  <c r="AG152" i="62"/>
  <c r="E144" i="62"/>
  <c r="U144" i="62"/>
  <c r="AK144" i="62"/>
  <c r="F144" i="62"/>
  <c r="V144" i="62"/>
  <c r="AL144" i="62"/>
  <c r="G144" i="62"/>
  <c r="W144" i="62"/>
  <c r="AM144" i="62"/>
  <c r="H144" i="62"/>
  <c r="X144" i="62"/>
  <c r="AN144" i="62"/>
  <c r="I144" i="62"/>
  <c r="Y144" i="62"/>
  <c r="J144" i="62"/>
  <c r="Z144" i="62"/>
  <c r="AA144" i="62"/>
  <c r="AB144" i="62"/>
  <c r="AC144" i="62"/>
  <c r="AD144" i="62"/>
  <c r="C144" i="62"/>
  <c r="AE144" i="62"/>
  <c r="D144" i="62"/>
  <c r="AF144" i="62"/>
  <c r="N144" i="62"/>
  <c r="AJ144" i="62"/>
  <c r="O144" i="62"/>
  <c r="P144" i="62"/>
  <c r="Q144" i="62"/>
  <c r="M144" i="62"/>
  <c r="R144" i="62"/>
  <c r="S144" i="62"/>
  <c r="T144" i="62"/>
  <c r="AG144" i="62"/>
  <c r="AH144" i="62"/>
  <c r="E136" i="62"/>
  <c r="U136" i="62"/>
  <c r="AK136" i="62"/>
  <c r="F136" i="62"/>
  <c r="V136" i="62"/>
  <c r="AL136" i="62"/>
  <c r="G136" i="62"/>
  <c r="W136" i="62"/>
  <c r="AM136" i="62"/>
  <c r="H136" i="62"/>
  <c r="X136" i="62"/>
  <c r="AN136" i="62"/>
  <c r="I136" i="62"/>
  <c r="Y136" i="62"/>
  <c r="J136" i="62"/>
  <c r="Z136" i="62"/>
  <c r="K136" i="62"/>
  <c r="AA136" i="62"/>
  <c r="L136" i="62"/>
  <c r="AB136" i="62"/>
  <c r="M136" i="62"/>
  <c r="AC136" i="62"/>
  <c r="N136" i="62"/>
  <c r="AD136" i="62"/>
  <c r="Q136" i="62"/>
  <c r="R136" i="62"/>
  <c r="S136" i="62"/>
  <c r="T136" i="62"/>
  <c r="AE136" i="62"/>
  <c r="AF136" i="62"/>
  <c r="AJ136" i="62"/>
  <c r="C136" i="62"/>
  <c r="D136" i="62"/>
  <c r="O136" i="62"/>
  <c r="L128" i="62"/>
  <c r="AB128" i="62"/>
  <c r="C128" i="62"/>
  <c r="T128" i="62"/>
  <c r="AK128" i="62"/>
  <c r="D128" i="62"/>
  <c r="U128" i="62"/>
  <c r="AL128" i="62"/>
  <c r="E128" i="62"/>
  <c r="V128" i="62"/>
  <c r="AM128" i="62"/>
  <c r="F128" i="62"/>
  <c r="W128" i="62"/>
  <c r="AN128" i="62"/>
  <c r="G128" i="62"/>
  <c r="X128" i="62"/>
  <c r="H128" i="62"/>
  <c r="Y128" i="62"/>
  <c r="I128" i="62"/>
  <c r="Z128" i="62"/>
  <c r="J128" i="62"/>
  <c r="AA128" i="62"/>
  <c r="K128" i="62"/>
  <c r="AC128" i="62"/>
  <c r="M128" i="62"/>
  <c r="AD128" i="62"/>
  <c r="O128" i="62"/>
  <c r="AF128" i="62"/>
  <c r="P128" i="62"/>
  <c r="AG128" i="62"/>
  <c r="Q128" i="62"/>
  <c r="R128" i="62"/>
  <c r="S128" i="62"/>
  <c r="AE128" i="62"/>
  <c r="N128" i="62"/>
  <c r="K120" i="62"/>
  <c r="AA120" i="62"/>
  <c r="L120" i="62"/>
  <c r="AB120" i="62"/>
  <c r="M120" i="62"/>
  <c r="AC120" i="62"/>
  <c r="N120" i="62"/>
  <c r="AD120" i="62"/>
  <c r="O120" i="62"/>
  <c r="AE120" i="62"/>
  <c r="Q120" i="62"/>
  <c r="AG120" i="62"/>
  <c r="G120" i="62"/>
  <c r="H120" i="62"/>
  <c r="AJ120" i="62"/>
  <c r="I120" i="62"/>
  <c r="AK120" i="62"/>
  <c r="J120" i="62"/>
  <c r="AL120" i="62"/>
  <c r="P120" i="62"/>
  <c r="AM120" i="62"/>
  <c r="R120" i="62"/>
  <c r="AN120" i="62"/>
  <c r="S120" i="62"/>
  <c r="T120" i="62"/>
  <c r="U120" i="62"/>
  <c r="V120" i="62"/>
  <c r="X120" i="62"/>
  <c r="C120" i="62"/>
  <c r="Y120" i="62"/>
  <c r="D120" i="62"/>
  <c r="E120" i="62"/>
  <c r="F120" i="62"/>
  <c r="W120" i="62"/>
  <c r="Z120" i="62"/>
  <c r="AF120" i="62"/>
  <c r="AH120" i="62"/>
  <c r="J112" i="62"/>
  <c r="Z112" i="62"/>
  <c r="K112" i="62"/>
  <c r="AA112" i="62"/>
  <c r="L112" i="62"/>
  <c r="AB112" i="62"/>
  <c r="M112" i="62"/>
  <c r="AC112" i="62"/>
  <c r="N112" i="62"/>
  <c r="AD112" i="62"/>
  <c r="Q112" i="62"/>
  <c r="AG112" i="62"/>
  <c r="R112" i="62"/>
  <c r="AH112" i="62"/>
  <c r="C112" i="62"/>
  <c r="S112" i="62"/>
  <c r="E112" i="62"/>
  <c r="U112" i="62"/>
  <c r="AK112" i="62"/>
  <c r="X112" i="62"/>
  <c r="Y112" i="62"/>
  <c r="AE112" i="62"/>
  <c r="AF112" i="62"/>
  <c r="AJ112" i="62"/>
  <c r="D112" i="62"/>
  <c r="AM112" i="62"/>
  <c r="G112" i="62"/>
  <c r="H112" i="62"/>
  <c r="I112" i="62"/>
  <c r="O112" i="62"/>
  <c r="P112" i="62"/>
  <c r="T112" i="62"/>
  <c r="V112" i="62"/>
  <c r="W112" i="62"/>
  <c r="AL112" i="62"/>
  <c r="AN112" i="62"/>
  <c r="F112" i="62"/>
  <c r="J104" i="62"/>
  <c r="Z104" i="62"/>
  <c r="K104" i="62"/>
  <c r="AA104" i="62"/>
  <c r="L104" i="62"/>
  <c r="AB104" i="62"/>
  <c r="M104" i="62"/>
  <c r="AC104" i="62"/>
  <c r="N104" i="62"/>
  <c r="AD104" i="62"/>
  <c r="Q104" i="62"/>
  <c r="AG104" i="62"/>
  <c r="R104" i="62"/>
  <c r="AH104" i="62"/>
  <c r="C104" i="62"/>
  <c r="S104" i="62"/>
  <c r="E104" i="62"/>
  <c r="U104" i="62"/>
  <c r="AK104" i="62"/>
  <c r="AL104" i="62"/>
  <c r="D104" i="62"/>
  <c r="AM104" i="62"/>
  <c r="F104" i="62"/>
  <c r="AN104" i="62"/>
  <c r="G104" i="62"/>
  <c r="H104" i="62"/>
  <c r="I104" i="62"/>
  <c r="O104" i="62"/>
  <c r="P104" i="62"/>
  <c r="T104" i="62"/>
  <c r="V104" i="62"/>
  <c r="X104" i="62"/>
  <c r="Y104" i="62"/>
  <c r="AE104" i="62"/>
  <c r="W104" i="62"/>
  <c r="AF104" i="62"/>
  <c r="AJ104" i="62"/>
  <c r="J96" i="62"/>
  <c r="Z96" i="62"/>
  <c r="K96" i="62"/>
  <c r="AA96" i="62"/>
  <c r="L96" i="62"/>
  <c r="AB96" i="62"/>
  <c r="M96" i="62"/>
  <c r="AC96" i="62"/>
  <c r="N96" i="62"/>
  <c r="AD96" i="62"/>
  <c r="Q96" i="62"/>
  <c r="AG96" i="62"/>
  <c r="R96" i="62"/>
  <c r="AH96" i="62"/>
  <c r="C96" i="62"/>
  <c r="S96" i="62"/>
  <c r="E96" i="62"/>
  <c r="U96" i="62"/>
  <c r="AK96" i="62"/>
  <c r="I96" i="62"/>
  <c r="O96" i="62"/>
  <c r="P96" i="62"/>
  <c r="T96" i="62"/>
  <c r="V96" i="62"/>
  <c r="W96" i="62"/>
  <c r="X96" i="62"/>
  <c r="Y96" i="62"/>
  <c r="AF96" i="62"/>
  <c r="AJ96" i="62"/>
  <c r="AL96" i="62"/>
  <c r="D96" i="62"/>
  <c r="F96" i="62"/>
  <c r="G96" i="62"/>
  <c r="H96" i="62"/>
  <c r="AE96" i="62"/>
  <c r="AM96" i="62"/>
  <c r="AN96" i="62"/>
  <c r="J88" i="62"/>
  <c r="Z88" i="62"/>
  <c r="K88" i="62"/>
  <c r="AA88" i="62"/>
  <c r="L88" i="62"/>
  <c r="AB88" i="62"/>
  <c r="M88" i="62"/>
  <c r="AC88" i="62"/>
  <c r="N88" i="62"/>
  <c r="AD88" i="62"/>
  <c r="D88" i="62"/>
  <c r="Y88" i="62"/>
  <c r="E88" i="62"/>
  <c r="AE88" i="62"/>
  <c r="F88" i="62"/>
  <c r="AF88" i="62"/>
  <c r="G88" i="62"/>
  <c r="AG88" i="62"/>
  <c r="H88" i="62"/>
  <c r="AH88" i="62"/>
  <c r="P88" i="62"/>
  <c r="AK88" i="62"/>
  <c r="Q88" i="62"/>
  <c r="AL88" i="62"/>
  <c r="R88" i="62"/>
  <c r="AM88" i="62"/>
  <c r="T88" i="62"/>
  <c r="C88" i="62"/>
  <c r="I88" i="62"/>
  <c r="O88" i="62"/>
  <c r="S88" i="62"/>
  <c r="U88" i="62"/>
  <c r="V88" i="62"/>
  <c r="W88" i="62"/>
  <c r="X88" i="62"/>
  <c r="AJ88" i="62"/>
  <c r="AN88" i="62"/>
  <c r="J80" i="62"/>
  <c r="Z80" i="62"/>
  <c r="K80" i="62"/>
  <c r="AA80" i="62"/>
  <c r="L80" i="62"/>
  <c r="AB80" i="62"/>
  <c r="M80" i="62"/>
  <c r="AC80" i="62"/>
  <c r="N80" i="62"/>
  <c r="AD80" i="62"/>
  <c r="O80" i="62"/>
  <c r="AE80" i="62"/>
  <c r="Q80" i="62"/>
  <c r="AG80" i="62"/>
  <c r="R80" i="62"/>
  <c r="AH80" i="62"/>
  <c r="C80" i="62"/>
  <c r="S80" i="62"/>
  <c r="AF80" i="62"/>
  <c r="AJ80" i="62"/>
  <c r="D80" i="62"/>
  <c r="AK80" i="62"/>
  <c r="E80" i="62"/>
  <c r="AL80" i="62"/>
  <c r="H80" i="62"/>
  <c r="I80" i="62"/>
  <c r="P80" i="62"/>
  <c r="U80" i="62"/>
  <c r="F80" i="62"/>
  <c r="G80" i="62"/>
  <c r="T80" i="62"/>
  <c r="V80" i="62"/>
  <c r="W80" i="62"/>
  <c r="X80" i="62"/>
  <c r="Y80" i="62"/>
  <c r="AM80" i="62"/>
  <c r="AN80" i="62"/>
  <c r="F72" i="62"/>
  <c r="V72" i="62"/>
  <c r="AL72" i="62"/>
  <c r="G72" i="62"/>
  <c r="W72" i="62"/>
  <c r="AM72" i="62"/>
  <c r="H72" i="62"/>
  <c r="X72" i="62"/>
  <c r="AN72" i="62"/>
  <c r="I72" i="62"/>
  <c r="Y72" i="62"/>
  <c r="J72" i="62"/>
  <c r="Z72" i="62"/>
  <c r="Q72" i="62"/>
  <c r="R72" i="62"/>
  <c r="S72" i="62"/>
  <c r="T72" i="62"/>
  <c r="U72" i="62"/>
  <c r="AA72" i="62"/>
  <c r="C72" i="62"/>
  <c r="AC72" i="62"/>
  <c r="D72" i="62"/>
  <c r="AD72" i="62"/>
  <c r="E72" i="62"/>
  <c r="AE72" i="62"/>
  <c r="K72" i="62"/>
  <c r="AF72" i="62"/>
  <c r="L72" i="62"/>
  <c r="AG72" i="62"/>
  <c r="M72" i="62"/>
  <c r="AH72" i="62"/>
  <c r="N72" i="62"/>
  <c r="O72" i="62"/>
  <c r="P72" i="62"/>
  <c r="AB72" i="62"/>
  <c r="AK72" i="62"/>
  <c r="AJ72" i="62"/>
  <c r="F64" i="62"/>
  <c r="V64" i="62"/>
  <c r="AL64" i="62"/>
  <c r="G64" i="62"/>
  <c r="W64" i="62"/>
  <c r="AM64" i="62"/>
  <c r="H64" i="62"/>
  <c r="X64" i="62"/>
  <c r="AN64" i="62"/>
  <c r="I64" i="62"/>
  <c r="Y64" i="62"/>
  <c r="J64" i="62"/>
  <c r="Z64" i="62"/>
  <c r="R64" i="62"/>
  <c r="S64" i="62"/>
  <c r="T64" i="62"/>
  <c r="U64" i="62"/>
  <c r="AA64" i="62"/>
  <c r="AB64" i="62"/>
  <c r="C64" i="62"/>
  <c r="AC64" i="62"/>
  <c r="D64" i="62"/>
  <c r="AD64" i="62"/>
  <c r="E64" i="62"/>
  <c r="AE64" i="62"/>
  <c r="K64" i="62"/>
  <c r="AF64" i="62"/>
  <c r="L64" i="62"/>
  <c r="AG64" i="62"/>
  <c r="M64" i="62"/>
  <c r="AH64" i="62"/>
  <c r="N64" i="62"/>
  <c r="P64" i="62"/>
  <c r="Q64" i="62"/>
  <c r="AJ64" i="62"/>
  <c r="AK64" i="62"/>
  <c r="O64" i="62"/>
  <c r="D56" i="62"/>
  <c r="T56" i="62"/>
  <c r="AJ56" i="62"/>
  <c r="E56" i="62"/>
  <c r="U56" i="62"/>
  <c r="AK56" i="62"/>
  <c r="F56" i="62"/>
  <c r="V56" i="62"/>
  <c r="AL56" i="62"/>
  <c r="H56" i="62"/>
  <c r="X56" i="62"/>
  <c r="AN56" i="62"/>
  <c r="I56" i="62"/>
  <c r="Y56" i="62"/>
  <c r="J56" i="62"/>
  <c r="Z56" i="62"/>
  <c r="AD56" i="62"/>
  <c r="C56" i="62"/>
  <c r="AE56" i="62"/>
  <c r="G56" i="62"/>
  <c r="AF56" i="62"/>
  <c r="K56" i="62"/>
  <c r="AG56" i="62"/>
  <c r="L56" i="62"/>
  <c r="AH56" i="62"/>
  <c r="M56" i="62"/>
  <c r="N56" i="62"/>
  <c r="AM56" i="62"/>
  <c r="O56" i="62"/>
  <c r="AC56" i="62"/>
  <c r="P56" i="62"/>
  <c r="Q56" i="62"/>
  <c r="R56" i="62"/>
  <c r="S56" i="62"/>
  <c r="W56" i="62"/>
  <c r="AA56" i="62"/>
  <c r="AB56" i="62"/>
  <c r="D48" i="62"/>
  <c r="T48" i="62"/>
  <c r="AJ48" i="62"/>
  <c r="E48" i="62"/>
  <c r="U48" i="62"/>
  <c r="AK48" i="62"/>
  <c r="F48" i="62"/>
  <c r="V48" i="62"/>
  <c r="AL48" i="62"/>
  <c r="H48" i="62"/>
  <c r="X48" i="62"/>
  <c r="AN48" i="62"/>
  <c r="I48" i="62"/>
  <c r="Y48" i="62"/>
  <c r="J48" i="62"/>
  <c r="Z48" i="62"/>
  <c r="AB48" i="62"/>
  <c r="AC48" i="62"/>
  <c r="AD48" i="62"/>
  <c r="C48" i="62"/>
  <c r="AE48" i="62"/>
  <c r="G48" i="62"/>
  <c r="AF48" i="62"/>
  <c r="K48" i="62"/>
  <c r="AG48" i="62"/>
  <c r="L48" i="62"/>
  <c r="AH48" i="62"/>
  <c r="M48" i="62"/>
  <c r="N48" i="62"/>
  <c r="AM48" i="62"/>
  <c r="O48" i="62"/>
  <c r="P48" i="62"/>
  <c r="Q48" i="62"/>
  <c r="R48" i="62"/>
  <c r="S48" i="62"/>
  <c r="W48" i="62"/>
  <c r="AA48" i="62"/>
  <c r="D40" i="62"/>
  <c r="T40" i="62"/>
  <c r="AJ40" i="62"/>
  <c r="E40" i="62"/>
  <c r="U40" i="62"/>
  <c r="AK40" i="62"/>
  <c r="F40" i="62"/>
  <c r="V40" i="62"/>
  <c r="AL40" i="62"/>
  <c r="G40" i="62"/>
  <c r="W40" i="62"/>
  <c r="AM40" i="62"/>
  <c r="H40" i="62"/>
  <c r="X40" i="62"/>
  <c r="AN40" i="62"/>
  <c r="I40" i="62"/>
  <c r="Y40" i="62"/>
  <c r="J40" i="62"/>
  <c r="Z40" i="62"/>
  <c r="M40" i="62"/>
  <c r="AC40" i="62"/>
  <c r="AB40" i="62"/>
  <c r="AD40" i="62"/>
  <c r="AE40" i="62"/>
  <c r="AF40" i="62"/>
  <c r="AG40" i="62"/>
  <c r="AH40" i="62"/>
  <c r="C40" i="62"/>
  <c r="K40" i="62"/>
  <c r="L40" i="62"/>
  <c r="P40" i="62"/>
  <c r="N40" i="62"/>
  <c r="O40" i="62"/>
  <c r="Q40" i="62"/>
  <c r="R40" i="62"/>
  <c r="S40" i="62"/>
  <c r="AA40" i="62"/>
  <c r="F32" i="62"/>
  <c r="V32" i="62"/>
  <c r="AL32" i="62"/>
  <c r="G32" i="62"/>
  <c r="W32" i="62"/>
  <c r="AM32" i="62"/>
  <c r="J32" i="62"/>
  <c r="Z32" i="62"/>
  <c r="K32" i="62"/>
  <c r="AA32" i="62"/>
  <c r="L32" i="62"/>
  <c r="AB32" i="62"/>
  <c r="M32" i="62"/>
  <c r="AC32" i="62"/>
  <c r="N32" i="62"/>
  <c r="AD32" i="62"/>
  <c r="D32" i="62"/>
  <c r="T32" i="62"/>
  <c r="AJ32" i="62"/>
  <c r="X32" i="62"/>
  <c r="Y32" i="62"/>
  <c r="AE32" i="62"/>
  <c r="AF32" i="62"/>
  <c r="AG32" i="62"/>
  <c r="AH32" i="62"/>
  <c r="C32" i="62"/>
  <c r="I32" i="62"/>
  <c r="AN32" i="62"/>
  <c r="E32" i="62"/>
  <c r="H32" i="62"/>
  <c r="O32" i="62"/>
  <c r="P32" i="62"/>
  <c r="Q32" i="62"/>
  <c r="AK32" i="62"/>
  <c r="R32" i="62"/>
  <c r="S32" i="62"/>
  <c r="U32" i="62"/>
  <c r="F24" i="62"/>
  <c r="V24" i="62"/>
  <c r="AL24" i="62"/>
  <c r="G24" i="62"/>
  <c r="W24" i="62"/>
  <c r="AM24" i="62"/>
  <c r="J24" i="62"/>
  <c r="Z24" i="62"/>
  <c r="K24" i="62"/>
  <c r="AA24" i="62"/>
  <c r="L24" i="62"/>
  <c r="AB24" i="62"/>
  <c r="M24" i="62"/>
  <c r="AC24" i="62"/>
  <c r="N24" i="62"/>
  <c r="AD24" i="62"/>
  <c r="D24" i="62"/>
  <c r="T24" i="62"/>
  <c r="AJ24" i="62"/>
  <c r="H24" i="62"/>
  <c r="AN24" i="62"/>
  <c r="I24" i="62"/>
  <c r="O24" i="62"/>
  <c r="P24" i="62"/>
  <c r="Q24" i="62"/>
  <c r="R24" i="62"/>
  <c r="S24" i="62"/>
  <c r="U24" i="62"/>
  <c r="Y24" i="62"/>
  <c r="C24" i="62"/>
  <c r="E24" i="62"/>
  <c r="X24" i="62"/>
  <c r="AE24" i="62"/>
  <c r="AF24" i="62"/>
  <c r="AG24" i="62"/>
  <c r="AH24" i="62"/>
  <c r="AK24" i="62"/>
  <c r="E16" i="62"/>
  <c r="U16" i="62"/>
  <c r="AK16" i="62"/>
  <c r="F16" i="62"/>
  <c r="V16" i="62"/>
  <c r="AL16" i="62"/>
  <c r="G16" i="62"/>
  <c r="W16" i="62"/>
  <c r="AM16" i="62"/>
  <c r="H16" i="62"/>
  <c r="J16" i="62"/>
  <c r="Z16" i="62"/>
  <c r="K16" i="62"/>
  <c r="AA16" i="62"/>
  <c r="L16" i="62"/>
  <c r="AB16" i="62"/>
  <c r="M16" i="62"/>
  <c r="AC16" i="62"/>
  <c r="N16" i="62"/>
  <c r="AD16" i="62"/>
  <c r="D16" i="62"/>
  <c r="T16" i="62"/>
  <c r="AJ16" i="62"/>
  <c r="AE16" i="62"/>
  <c r="AF16" i="62"/>
  <c r="AG16" i="62"/>
  <c r="AH16" i="62"/>
  <c r="AN16" i="62"/>
  <c r="C16" i="62"/>
  <c r="O16" i="62"/>
  <c r="P16" i="62"/>
  <c r="Y16" i="62"/>
  <c r="I16" i="62"/>
  <c r="X16" i="62"/>
  <c r="Q16" i="62"/>
  <c r="R16" i="62"/>
  <c r="S16" i="62"/>
  <c r="E8" i="62"/>
  <c r="U8" i="62"/>
  <c r="AK8" i="62"/>
  <c r="F8" i="62"/>
  <c r="V8" i="62"/>
  <c r="AL8" i="62"/>
  <c r="G8" i="62"/>
  <c r="W8" i="62"/>
  <c r="AM8" i="62"/>
  <c r="H8" i="62"/>
  <c r="X8" i="62"/>
  <c r="AN8" i="62"/>
  <c r="J8" i="62"/>
  <c r="Z8" i="62"/>
  <c r="K8" i="62"/>
  <c r="AA8" i="62"/>
  <c r="L8" i="62"/>
  <c r="AB8" i="62"/>
  <c r="M8" i="62"/>
  <c r="AC8" i="62"/>
  <c r="N8" i="62"/>
  <c r="AD8" i="62"/>
  <c r="D8" i="62"/>
  <c r="T8" i="62"/>
  <c r="AJ8" i="62"/>
  <c r="AH8" i="62"/>
  <c r="C8" i="62"/>
  <c r="I8" i="62"/>
  <c r="O8" i="62"/>
  <c r="Q8" i="62"/>
  <c r="R8" i="62"/>
  <c r="S8" i="62"/>
  <c r="P8" i="62"/>
  <c r="Y8" i="62"/>
  <c r="AE8" i="62"/>
  <c r="AF8" i="62"/>
  <c r="AG8" i="62"/>
  <c r="AB2" i="62"/>
  <c r="K2" i="62"/>
  <c r="AE199" i="62"/>
  <c r="N199" i="62"/>
  <c r="R198" i="62"/>
  <c r="AM197" i="62"/>
  <c r="U197" i="62"/>
  <c r="D197" i="62"/>
  <c r="Y196" i="62"/>
  <c r="H196" i="62"/>
  <c r="AC195" i="62"/>
  <c r="J195" i="62"/>
  <c r="AC194" i="62"/>
  <c r="D194" i="62"/>
  <c r="U193" i="62"/>
  <c r="AG192" i="62"/>
  <c r="L192" i="62"/>
  <c r="W191" i="62"/>
  <c r="AM190" i="62"/>
  <c r="K190" i="62"/>
  <c r="U189" i="62"/>
  <c r="AK188" i="62"/>
  <c r="I188" i="62"/>
  <c r="Y187" i="62"/>
  <c r="G186" i="62"/>
  <c r="W185" i="62"/>
  <c r="AG184" i="62"/>
  <c r="K184" i="62"/>
  <c r="U183" i="62"/>
  <c r="AE182" i="62"/>
  <c r="I182" i="62"/>
  <c r="S181" i="62"/>
  <c r="G180" i="62"/>
  <c r="Q179" i="62"/>
  <c r="V178" i="62"/>
  <c r="Z177" i="62"/>
  <c r="AB176" i="62"/>
  <c r="Y175" i="62"/>
  <c r="AC174" i="62"/>
  <c r="T173" i="62"/>
  <c r="Z171" i="62"/>
  <c r="I170" i="62"/>
  <c r="U168" i="62"/>
  <c r="AE165" i="62"/>
  <c r="S163" i="62"/>
  <c r="AJ160" i="62"/>
  <c r="G158" i="62"/>
  <c r="S155" i="62"/>
  <c r="C152" i="62"/>
  <c r="AF147" i="62"/>
  <c r="L142" i="62"/>
  <c r="AJ128" i="62"/>
  <c r="AA2" i="62"/>
  <c r="J2" i="62"/>
  <c r="AD199" i="62"/>
  <c r="AH198" i="62"/>
  <c r="Q198" i="62"/>
  <c r="AK197" i="62"/>
  <c r="T197" i="62"/>
  <c r="C197" i="62"/>
  <c r="X196" i="62"/>
  <c r="G196" i="62"/>
  <c r="AB195" i="62"/>
  <c r="I195" i="62"/>
  <c r="Y194" i="62"/>
  <c r="C194" i="62"/>
  <c r="T193" i="62"/>
  <c r="AF192" i="62"/>
  <c r="K192" i="62"/>
  <c r="AG190" i="62"/>
  <c r="J190" i="62"/>
  <c r="T189" i="62"/>
  <c r="AJ188" i="62"/>
  <c r="H188" i="62"/>
  <c r="S187" i="62"/>
  <c r="AH186" i="62"/>
  <c r="F186" i="62"/>
  <c r="V185" i="62"/>
  <c r="AF184" i="62"/>
  <c r="E184" i="62"/>
  <c r="AD182" i="62"/>
  <c r="H182" i="62"/>
  <c r="R181" i="62"/>
  <c r="AC180" i="62"/>
  <c r="F180" i="62"/>
  <c r="P179" i="62"/>
  <c r="U178" i="62"/>
  <c r="Y177" i="62"/>
  <c r="U176" i="62"/>
  <c r="AA174" i="62"/>
  <c r="M173" i="62"/>
  <c r="X171" i="62"/>
  <c r="H170" i="62"/>
  <c r="T168" i="62"/>
  <c r="AD165" i="62"/>
  <c r="AN154" i="62"/>
  <c r="AA147" i="62"/>
  <c r="AK141" i="62"/>
  <c r="J199" i="62"/>
  <c r="Z199" i="62"/>
  <c r="J191" i="62"/>
  <c r="Z191" i="62"/>
  <c r="L191" i="62"/>
  <c r="AB191" i="62"/>
  <c r="M191" i="62"/>
  <c r="AC191" i="62"/>
  <c r="N191" i="62"/>
  <c r="AD191" i="62"/>
  <c r="O191" i="62"/>
  <c r="AE191" i="62"/>
  <c r="P191" i="62"/>
  <c r="AF191" i="62"/>
  <c r="J183" i="62"/>
  <c r="Z183" i="62"/>
  <c r="L183" i="62"/>
  <c r="AB183" i="62"/>
  <c r="M183" i="62"/>
  <c r="AC183" i="62"/>
  <c r="N183" i="62"/>
  <c r="AD183" i="62"/>
  <c r="O183" i="62"/>
  <c r="AE183" i="62"/>
  <c r="P183" i="62"/>
  <c r="AF183" i="62"/>
  <c r="J175" i="62"/>
  <c r="Z175" i="62"/>
  <c r="L175" i="62"/>
  <c r="AB175" i="62"/>
  <c r="M175" i="62"/>
  <c r="AC175" i="62"/>
  <c r="N175" i="62"/>
  <c r="AD175" i="62"/>
  <c r="O175" i="62"/>
  <c r="AE175" i="62"/>
  <c r="P175" i="62"/>
  <c r="AF175" i="62"/>
  <c r="Q175" i="62"/>
  <c r="AG175" i="62"/>
  <c r="C175" i="62"/>
  <c r="S175" i="62"/>
  <c r="D175" i="62"/>
  <c r="T175" i="62"/>
  <c r="AJ175" i="62"/>
  <c r="D167" i="62"/>
  <c r="T167" i="62"/>
  <c r="AJ167" i="62"/>
  <c r="E167" i="62"/>
  <c r="U167" i="62"/>
  <c r="AK167" i="62"/>
  <c r="F167" i="62"/>
  <c r="V167" i="62"/>
  <c r="AL167" i="62"/>
  <c r="G167" i="62"/>
  <c r="W167" i="62"/>
  <c r="AM167" i="62"/>
  <c r="H167" i="62"/>
  <c r="X167" i="62"/>
  <c r="AN167" i="62"/>
  <c r="L167" i="62"/>
  <c r="AB167" i="62"/>
  <c r="M167" i="62"/>
  <c r="AC167" i="62"/>
  <c r="N167" i="62"/>
  <c r="AD167" i="62"/>
  <c r="O167" i="62"/>
  <c r="AE167" i="62"/>
  <c r="AG167" i="62"/>
  <c r="C167" i="62"/>
  <c r="I167" i="62"/>
  <c r="J167" i="62"/>
  <c r="K167" i="62"/>
  <c r="Q167" i="62"/>
  <c r="R167" i="62"/>
  <c r="S167" i="62"/>
  <c r="D159" i="62"/>
  <c r="T159" i="62"/>
  <c r="AJ159" i="62"/>
  <c r="E159" i="62"/>
  <c r="U159" i="62"/>
  <c r="AK159" i="62"/>
  <c r="F159" i="62"/>
  <c r="V159" i="62"/>
  <c r="AL159" i="62"/>
  <c r="G159" i="62"/>
  <c r="W159" i="62"/>
  <c r="AM159" i="62"/>
  <c r="H159" i="62"/>
  <c r="X159" i="62"/>
  <c r="AN159" i="62"/>
  <c r="L159" i="62"/>
  <c r="AB159" i="62"/>
  <c r="M159" i="62"/>
  <c r="AC159" i="62"/>
  <c r="N159" i="62"/>
  <c r="AD159" i="62"/>
  <c r="O159" i="62"/>
  <c r="AE159" i="62"/>
  <c r="I159" i="62"/>
  <c r="K159" i="62"/>
  <c r="P159" i="62"/>
  <c r="Q159" i="62"/>
  <c r="R159" i="62"/>
  <c r="S159" i="62"/>
  <c r="Y159" i="62"/>
  <c r="AA159" i="62"/>
  <c r="AF159" i="62"/>
  <c r="AG159" i="62"/>
  <c r="K151" i="62"/>
  <c r="AA151" i="62"/>
  <c r="L151" i="62"/>
  <c r="AB151" i="62"/>
  <c r="N151" i="62"/>
  <c r="AD151" i="62"/>
  <c r="O151" i="62"/>
  <c r="AH151" i="62"/>
  <c r="P151" i="62"/>
  <c r="Q151" i="62"/>
  <c r="AJ151" i="62"/>
  <c r="R151" i="62"/>
  <c r="AK151" i="62"/>
  <c r="S151" i="62"/>
  <c r="AL151" i="62"/>
  <c r="T151" i="62"/>
  <c r="AM151" i="62"/>
  <c r="E151" i="62"/>
  <c r="X151" i="62"/>
  <c r="F151" i="62"/>
  <c r="Y151" i="62"/>
  <c r="G151" i="62"/>
  <c r="Z151" i="62"/>
  <c r="H151" i="62"/>
  <c r="AC151" i="62"/>
  <c r="D151" i="62"/>
  <c r="I151" i="62"/>
  <c r="J151" i="62"/>
  <c r="M151" i="62"/>
  <c r="U151" i="62"/>
  <c r="V151" i="62"/>
  <c r="AE151" i="62"/>
  <c r="AF151" i="62"/>
  <c r="AG151" i="62"/>
  <c r="K143" i="62"/>
  <c r="AA143" i="62"/>
  <c r="L143" i="62"/>
  <c r="AB143" i="62"/>
  <c r="M143" i="62"/>
  <c r="AC143" i="62"/>
  <c r="N143" i="62"/>
  <c r="AD143" i="62"/>
  <c r="O143" i="62"/>
  <c r="AE143" i="62"/>
  <c r="P143" i="62"/>
  <c r="AF143" i="62"/>
  <c r="C143" i="62"/>
  <c r="I143" i="62"/>
  <c r="AK143" i="62"/>
  <c r="J143" i="62"/>
  <c r="AL143" i="62"/>
  <c r="Q143" i="62"/>
  <c r="AM143" i="62"/>
  <c r="R143" i="62"/>
  <c r="AN143" i="62"/>
  <c r="S143" i="62"/>
  <c r="T143" i="62"/>
  <c r="X143" i="62"/>
  <c r="Y143" i="62"/>
  <c r="D143" i="62"/>
  <c r="Z143" i="62"/>
  <c r="E143" i="62"/>
  <c r="AG143" i="62"/>
  <c r="F143" i="62"/>
  <c r="G143" i="62"/>
  <c r="H143" i="62"/>
  <c r="V143" i="62"/>
  <c r="W143" i="62"/>
  <c r="AH143" i="62"/>
  <c r="R135" i="62"/>
  <c r="J135" i="62"/>
  <c r="AA135" i="62"/>
  <c r="K135" i="62"/>
  <c r="AB135" i="62"/>
  <c r="L135" i="62"/>
  <c r="AC135" i="62"/>
  <c r="M135" i="62"/>
  <c r="AD135" i="62"/>
  <c r="N135" i="62"/>
  <c r="AE135" i="62"/>
  <c r="O135" i="62"/>
  <c r="AF135" i="62"/>
  <c r="P135" i="62"/>
  <c r="AG135" i="62"/>
  <c r="Q135" i="62"/>
  <c r="AH135" i="62"/>
  <c r="S135" i="62"/>
  <c r="C135" i="62"/>
  <c r="T135" i="62"/>
  <c r="AJ135" i="62"/>
  <c r="E135" i="62"/>
  <c r="H135" i="62"/>
  <c r="I135" i="62"/>
  <c r="U135" i="62"/>
  <c r="V135" i="62"/>
  <c r="W135" i="62"/>
  <c r="X135" i="62"/>
  <c r="AL135" i="62"/>
  <c r="AM135" i="62"/>
  <c r="AN135" i="62"/>
  <c r="D135" i="62"/>
  <c r="F135" i="62"/>
  <c r="G135" i="62"/>
  <c r="Z135" i="62"/>
  <c r="AK135" i="62"/>
  <c r="Q127" i="62"/>
  <c r="R127" i="62"/>
  <c r="AH127" i="62"/>
  <c r="F127" i="62"/>
  <c r="X127" i="62"/>
  <c r="G127" i="62"/>
  <c r="Y127" i="62"/>
  <c r="H127" i="62"/>
  <c r="Z127" i="62"/>
  <c r="I127" i="62"/>
  <c r="AA127" i="62"/>
  <c r="J127" i="62"/>
  <c r="AB127" i="62"/>
  <c r="K127" i="62"/>
  <c r="AC127" i="62"/>
  <c r="L127" i="62"/>
  <c r="AD127" i="62"/>
  <c r="M127" i="62"/>
  <c r="AE127" i="62"/>
  <c r="N127" i="62"/>
  <c r="AF127" i="62"/>
  <c r="O127" i="62"/>
  <c r="AG127" i="62"/>
  <c r="S127" i="62"/>
  <c r="AJ127" i="62"/>
  <c r="T127" i="62"/>
  <c r="AK127" i="62"/>
  <c r="P127" i="62"/>
  <c r="U127" i="62"/>
  <c r="V127" i="62"/>
  <c r="W127" i="62"/>
  <c r="AL127" i="62"/>
  <c r="C127" i="62"/>
  <c r="E127" i="62"/>
  <c r="AM127" i="62"/>
  <c r="AN127" i="62"/>
  <c r="Q119" i="62"/>
  <c r="AG119" i="62"/>
  <c r="R119" i="62"/>
  <c r="AH119" i="62"/>
  <c r="C119" i="62"/>
  <c r="S119" i="62"/>
  <c r="D119" i="62"/>
  <c r="T119" i="62"/>
  <c r="AJ119" i="62"/>
  <c r="E119" i="62"/>
  <c r="U119" i="62"/>
  <c r="AK119" i="62"/>
  <c r="G119" i="62"/>
  <c r="W119" i="62"/>
  <c r="AM119" i="62"/>
  <c r="V119" i="62"/>
  <c r="X119" i="62"/>
  <c r="Y119" i="62"/>
  <c r="Z119" i="62"/>
  <c r="AA119" i="62"/>
  <c r="AB119" i="62"/>
  <c r="F119" i="62"/>
  <c r="AC119" i="62"/>
  <c r="H119" i="62"/>
  <c r="AD119" i="62"/>
  <c r="I119" i="62"/>
  <c r="AE119" i="62"/>
  <c r="J119" i="62"/>
  <c r="AF119" i="62"/>
  <c r="L119" i="62"/>
  <c r="AN119" i="62"/>
  <c r="M119" i="62"/>
  <c r="N119" i="62"/>
  <c r="AL119" i="62"/>
  <c r="K119" i="62"/>
  <c r="O119" i="62"/>
  <c r="P119" i="62"/>
  <c r="P111" i="62"/>
  <c r="AF111" i="62"/>
  <c r="Q111" i="62"/>
  <c r="AG111" i="62"/>
  <c r="R111" i="62"/>
  <c r="AH111" i="62"/>
  <c r="C111" i="62"/>
  <c r="S111" i="62"/>
  <c r="D111" i="62"/>
  <c r="T111" i="62"/>
  <c r="AJ111" i="62"/>
  <c r="G111" i="62"/>
  <c r="W111" i="62"/>
  <c r="AM111" i="62"/>
  <c r="H111" i="62"/>
  <c r="X111" i="62"/>
  <c r="AN111" i="62"/>
  <c r="I111" i="62"/>
  <c r="Y111" i="62"/>
  <c r="K111" i="62"/>
  <c r="AA111" i="62"/>
  <c r="AB111" i="62"/>
  <c r="AC111" i="62"/>
  <c r="AD111" i="62"/>
  <c r="AE111" i="62"/>
  <c r="AK111" i="62"/>
  <c r="AL111" i="62"/>
  <c r="E111" i="62"/>
  <c r="F111" i="62"/>
  <c r="J111" i="62"/>
  <c r="L111" i="62"/>
  <c r="M111" i="62"/>
  <c r="O111" i="62"/>
  <c r="U111" i="62"/>
  <c r="V111" i="62"/>
  <c r="N111" i="62"/>
  <c r="Z111" i="62"/>
  <c r="P103" i="62"/>
  <c r="AF103" i="62"/>
  <c r="Q103" i="62"/>
  <c r="AG103" i="62"/>
  <c r="R103" i="62"/>
  <c r="AH103" i="62"/>
  <c r="C103" i="62"/>
  <c r="S103" i="62"/>
  <c r="D103" i="62"/>
  <c r="T103" i="62"/>
  <c r="AJ103" i="62"/>
  <c r="G103" i="62"/>
  <c r="W103" i="62"/>
  <c r="AM103" i="62"/>
  <c r="H103" i="62"/>
  <c r="X103" i="62"/>
  <c r="AN103" i="62"/>
  <c r="I103" i="62"/>
  <c r="Y103" i="62"/>
  <c r="K103" i="62"/>
  <c r="AA103" i="62"/>
  <c r="AL103" i="62"/>
  <c r="E103" i="62"/>
  <c r="F103" i="62"/>
  <c r="J103" i="62"/>
  <c r="L103" i="62"/>
  <c r="M103" i="62"/>
  <c r="N103" i="62"/>
  <c r="V103" i="62"/>
  <c r="Z103" i="62"/>
  <c r="AB103" i="62"/>
  <c r="AC103" i="62"/>
  <c r="AD103" i="62"/>
  <c r="AE103" i="62"/>
  <c r="AK103" i="62"/>
  <c r="O103" i="62"/>
  <c r="U103" i="62"/>
  <c r="P95" i="62"/>
  <c r="AF95" i="62"/>
  <c r="Q95" i="62"/>
  <c r="AG95" i="62"/>
  <c r="R95" i="62"/>
  <c r="AH95" i="62"/>
  <c r="C95" i="62"/>
  <c r="S95" i="62"/>
  <c r="D95" i="62"/>
  <c r="T95" i="62"/>
  <c r="AJ95" i="62"/>
  <c r="G95" i="62"/>
  <c r="W95" i="62"/>
  <c r="AM95" i="62"/>
  <c r="H95" i="62"/>
  <c r="X95" i="62"/>
  <c r="AN95" i="62"/>
  <c r="I95" i="62"/>
  <c r="Y95" i="62"/>
  <c r="K95" i="62"/>
  <c r="AA95" i="62"/>
  <c r="M95" i="62"/>
  <c r="N95" i="62"/>
  <c r="O95" i="62"/>
  <c r="U95" i="62"/>
  <c r="V95" i="62"/>
  <c r="Z95" i="62"/>
  <c r="AB95" i="62"/>
  <c r="AC95" i="62"/>
  <c r="AE95" i="62"/>
  <c r="AK95" i="62"/>
  <c r="AL95" i="62"/>
  <c r="E95" i="62"/>
  <c r="F95" i="62"/>
  <c r="J95" i="62"/>
  <c r="L95" i="62"/>
  <c r="AD95" i="62"/>
  <c r="P87" i="62"/>
  <c r="AF87" i="62"/>
  <c r="Q87" i="62"/>
  <c r="AG87" i="62"/>
  <c r="R87" i="62"/>
  <c r="AH87" i="62"/>
  <c r="C87" i="62"/>
  <c r="S87" i="62"/>
  <c r="D87" i="62"/>
  <c r="T87" i="62"/>
  <c r="AJ87" i="62"/>
  <c r="U87" i="62"/>
  <c r="V87" i="62"/>
  <c r="W87" i="62"/>
  <c r="X87" i="62"/>
  <c r="Y87" i="62"/>
  <c r="G87" i="62"/>
  <c r="AB87" i="62"/>
  <c r="H87" i="62"/>
  <c r="AC87" i="62"/>
  <c r="I87" i="62"/>
  <c r="AD87" i="62"/>
  <c r="K87" i="62"/>
  <c r="AK87" i="62"/>
  <c r="E87" i="62"/>
  <c r="F87" i="62"/>
  <c r="J87" i="62"/>
  <c r="L87" i="62"/>
  <c r="M87" i="62"/>
  <c r="N87" i="62"/>
  <c r="O87" i="62"/>
  <c r="Z87" i="62"/>
  <c r="AA87" i="62"/>
  <c r="AE87" i="62"/>
  <c r="AL87" i="62"/>
  <c r="AM87" i="62"/>
  <c r="AN87" i="62"/>
  <c r="P79" i="62"/>
  <c r="AF79" i="62"/>
  <c r="Q79" i="62"/>
  <c r="AG79" i="62"/>
  <c r="R79" i="62"/>
  <c r="AH79" i="62"/>
  <c r="C79" i="62"/>
  <c r="S79" i="62"/>
  <c r="D79" i="62"/>
  <c r="T79" i="62"/>
  <c r="AJ79" i="62"/>
  <c r="E79" i="62"/>
  <c r="U79" i="62"/>
  <c r="AK79" i="62"/>
  <c r="G79" i="62"/>
  <c r="W79" i="62"/>
  <c r="AM79" i="62"/>
  <c r="H79" i="62"/>
  <c r="X79" i="62"/>
  <c r="AN79" i="62"/>
  <c r="I79" i="62"/>
  <c r="Y79" i="62"/>
  <c r="AD79" i="62"/>
  <c r="AE79" i="62"/>
  <c r="AL79" i="62"/>
  <c r="F79" i="62"/>
  <c r="L79" i="62"/>
  <c r="M79" i="62"/>
  <c r="N79" i="62"/>
  <c r="V79" i="62"/>
  <c r="Z79" i="62"/>
  <c r="AA79" i="62"/>
  <c r="AB79" i="62"/>
  <c r="AC79" i="62"/>
  <c r="J79" i="62"/>
  <c r="K79" i="62"/>
  <c r="O79" i="62"/>
  <c r="L71" i="62"/>
  <c r="AB71" i="62"/>
  <c r="M71" i="62"/>
  <c r="AC71" i="62"/>
  <c r="N71" i="62"/>
  <c r="AD71" i="62"/>
  <c r="O71" i="62"/>
  <c r="AE71" i="62"/>
  <c r="P71" i="62"/>
  <c r="AF71" i="62"/>
  <c r="H71" i="62"/>
  <c r="AH71" i="62"/>
  <c r="I71" i="62"/>
  <c r="J71" i="62"/>
  <c r="AJ71" i="62"/>
  <c r="K71" i="62"/>
  <c r="AK71" i="62"/>
  <c r="Q71" i="62"/>
  <c r="AL71" i="62"/>
  <c r="R71" i="62"/>
  <c r="AM71" i="62"/>
  <c r="T71" i="62"/>
  <c r="U71" i="62"/>
  <c r="V71" i="62"/>
  <c r="W71" i="62"/>
  <c r="C71" i="62"/>
  <c r="X71" i="62"/>
  <c r="D71" i="62"/>
  <c r="Y71" i="62"/>
  <c r="AN71" i="62"/>
  <c r="E71" i="62"/>
  <c r="G71" i="62"/>
  <c r="AG71" i="62"/>
  <c r="F71" i="62"/>
  <c r="S71" i="62"/>
  <c r="Z71" i="62"/>
  <c r="AA71" i="62"/>
  <c r="L63" i="62"/>
  <c r="AB63" i="62"/>
  <c r="M63" i="62"/>
  <c r="AC63" i="62"/>
  <c r="N63" i="62"/>
  <c r="AD63" i="62"/>
  <c r="O63" i="62"/>
  <c r="AE63" i="62"/>
  <c r="P63" i="62"/>
  <c r="AF63" i="62"/>
  <c r="Q63" i="62"/>
  <c r="AG63" i="62"/>
  <c r="R63" i="62"/>
  <c r="F63" i="62"/>
  <c r="G63" i="62"/>
  <c r="AJ63" i="62"/>
  <c r="H63" i="62"/>
  <c r="AK63" i="62"/>
  <c r="I63" i="62"/>
  <c r="AL63" i="62"/>
  <c r="J63" i="62"/>
  <c r="AM63" i="62"/>
  <c r="K63" i="62"/>
  <c r="AN63" i="62"/>
  <c r="S63" i="62"/>
  <c r="T63" i="62"/>
  <c r="U63" i="62"/>
  <c r="V63" i="62"/>
  <c r="W63" i="62"/>
  <c r="X63" i="62"/>
  <c r="Y63" i="62"/>
  <c r="C63" i="62"/>
  <c r="E63" i="62"/>
  <c r="D63" i="62"/>
  <c r="Z63" i="62"/>
  <c r="AA63" i="62"/>
  <c r="AH63" i="62"/>
  <c r="J55" i="62"/>
  <c r="Z55" i="62"/>
  <c r="K55" i="62"/>
  <c r="AA55" i="62"/>
  <c r="L55" i="62"/>
  <c r="AB55" i="62"/>
  <c r="N55" i="62"/>
  <c r="AD55" i="62"/>
  <c r="O55" i="62"/>
  <c r="AE55" i="62"/>
  <c r="P55" i="62"/>
  <c r="AF55" i="62"/>
  <c r="R55" i="62"/>
  <c r="AN55" i="62"/>
  <c r="S55" i="62"/>
  <c r="T55" i="62"/>
  <c r="U55" i="62"/>
  <c r="V55" i="62"/>
  <c r="W55" i="62"/>
  <c r="X55" i="62"/>
  <c r="C55" i="62"/>
  <c r="Y55" i="62"/>
  <c r="D55" i="62"/>
  <c r="AC55" i="62"/>
  <c r="M55" i="62"/>
  <c r="Q55" i="62"/>
  <c r="AG55" i="62"/>
  <c r="AH55" i="62"/>
  <c r="AJ55" i="62"/>
  <c r="AK55" i="62"/>
  <c r="AL55" i="62"/>
  <c r="AM55" i="62"/>
  <c r="E55" i="62"/>
  <c r="F55" i="62"/>
  <c r="G55" i="62"/>
  <c r="H55" i="62"/>
  <c r="I55" i="62"/>
  <c r="J47" i="62"/>
  <c r="Z47" i="62"/>
  <c r="K47" i="62"/>
  <c r="AA47" i="62"/>
  <c r="L47" i="62"/>
  <c r="AB47" i="62"/>
  <c r="N47" i="62"/>
  <c r="AD47" i="62"/>
  <c r="O47" i="62"/>
  <c r="AE47" i="62"/>
  <c r="P47" i="62"/>
  <c r="AF47" i="62"/>
  <c r="C47" i="62"/>
  <c r="S47" i="62"/>
  <c r="I47" i="62"/>
  <c r="AL47" i="62"/>
  <c r="M47" i="62"/>
  <c r="AM47" i="62"/>
  <c r="Q47" i="62"/>
  <c r="AN47" i="62"/>
  <c r="R47" i="62"/>
  <c r="T47" i="62"/>
  <c r="U47" i="62"/>
  <c r="V47" i="62"/>
  <c r="W47" i="62"/>
  <c r="X47" i="62"/>
  <c r="AG47" i="62"/>
  <c r="AH47" i="62"/>
  <c r="AI47" i="62"/>
  <c r="AJ47" i="62"/>
  <c r="AK47" i="62"/>
  <c r="D47" i="62"/>
  <c r="E47" i="62"/>
  <c r="F47" i="62"/>
  <c r="G47" i="62"/>
  <c r="H47" i="62"/>
  <c r="Y47" i="62"/>
  <c r="AC47" i="62"/>
  <c r="J39" i="62"/>
  <c r="Z39" i="62"/>
  <c r="K39" i="62"/>
  <c r="AA39" i="62"/>
  <c r="L39" i="62"/>
  <c r="AB39" i="62"/>
  <c r="M39" i="62"/>
  <c r="AC39" i="62"/>
  <c r="N39" i="62"/>
  <c r="AD39" i="62"/>
  <c r="O39" i="62"/>
  <c r="AE39" i="62"/>
  <c r="P39" i="62"/>
  <c r="AF39" i="62"/>
  <c r="C39" i="62"/>
  <c r="S39" i="62"/>
  <c r="AH39" i="62"/>
  <c r="D39" i="62"/>
  <c r="AJ39" i="62"/>
  <c r="E39" i="62"/>
  <c r="AK39" i="62"/>
  <c r="F39" i="62"/>
  <c r="AL39" i="62"/>
  <c r="G39" i="62"/>
  <c r="AM39" i="62"/>
  <c r="H39" i="62"/>
  <c r="AN39" i="62"/>
  <c r="I39" i="62"/>
  <c r="Q39" i="62"/>
  <c r="R39" i="62"/>
  <c r="T39" i="62"/>
  <c r="U39" i="62"/>
  <c r="V39" i="62"/>
  <c r="W39" i="62"/>
  <c r="X39" i="62"/>
  <c r="Y39" i="62"/>
  <c r="AG39" i="62"/>
  <c r="L31" i="62"/>
  <c r="AB31" i="62"/>
  <c r="M31" i="62"/>
  <c r="AC31" i="62"/>
  <c r="P31" i="62"/>
  <c r="AF31" i="62"/>
  <c r="Q31" i="62"/>
  <c r="AG31" i="62"/>
  <c r="R31" i="62"/>
  <c r="AH31" i="62"/>
  <c r="C31" i="62"/>
  <c r="S31" i="62"/>
  <c r="D31" i="62"/>
  <c r="T31" i="62"/>
  <c r="AJ31" i="62"/>
  <c r="J31" i="62"/>
  <c r="Z31" i="62"/>
  <c r="AD31" i="62"/>
  <c r="AE31" i="62"/>
  <c r="E31" i="62"/>
  <c r="AK31" i="62"/>
  <c r="F31" i="62"/>
  <c r="AL31" i="62"/>
  <c r="G31" i="62"/>
  <c r="AM31" i="62"/>
  <c r="H31" i="62"/>
  <c r="AN31" i="62"/>
  <c r="I31" i="62"/>
  <c r="K31" i="62"/>
  <c r="O31" i="62"/>
  <c r="N31" i="62"/>
  <c r="U31" i="62"/>
  <c r="V31" i="62"/>
  <c r="W31" i="62"/>
  <c r="X31" i="62"/>
  <c r="Y31" i="62"/>
  <c r="AA31" i="62"/>
  <c r="L23" i="62"/>
  <c r="AB23" i="62"/>
  <c r="M23" i="62"/>
  <c r="AC23" i="62"/>
  <c r="P23" i="62"/>
  <c r="AF23" i="62"/>
  <c r="Q23" i="62"/>
  <c r="AG23" i="62"/>
  <c r="R23" i="62"/>
  <c r="AH23" i="62"/>
  <c r="C23" i="62"/>
  <c r="S23" i="62"/>
  <c r="D23" i="62"/>
  <c r="T23" i="62"/>
  <c r="AJ23" i="62"/>
  <c r="J23" i="62"/>
  <c r="Z23" i="62"/>
  <c r="N23" i="62"/>
  <c r="O23" i="62"/>
  <c r="U23" i="62"/>
  <c r="V23" i="62"/>
  <c r="W23" i="62"/>
  <c r="X23" i="62"/>
  <c r="Y23" i="62"/>
  <c r="AA23" i="62"/>
  <c r="AE23" i="62"/>
  <c r="K23" i="62"/>
  <c r="AD23" i="62"/>
  <c r="AK23" i="62"/>
  <c r="AL23" i="62"/>
  <c r="AM23" i="62"/>
  <c r="AN23" i="62"/>
  <c r="E23" i="62"/>
  <c r="I23" i="62"/>
  <c r="F23" i="62"/>
  <c r="G23" i="62"/>
  <c r="H23" i="62"/>
  <c r="K15" i="62"/>
  <c r="AA15" i="62"/>
  <c r="L15" i="62"/>
  <c r="AB15" i="62"/>
  <c r="M15" i="62"/>
  <c r="AC15" i="62"/>
  <c r="N15" i="62"/>
  <c r="AD15" i="62"/>
  <c r="P15" i="62"/>
  <c r="AF15" i="62"/>
  <c r="Q15" i="62"/>
  <c r="AG15" i="62"/>
  <c r="R15" i="62"/>
  <c r="AH15" i="62"/>
  <c r="C15" i="62"/>
  <c r="S15" i="62"/>
  <c r="D15" i="62"/>
  <c r="T15" i="62"/>
  <c r="AJ15" i="62"/>
  <c r="J15" i="62"/>
  <c r="Z15" i="62"/>
  <c r="X15" i="62"/>
  <c r="Y15" i="62"/>
  <c r="AE15" i="62"/>
  <c r="AK15" i="62"/>
  <c r="AL15" i="62"/>
  <c r="AM15" i="62"/>
  <c r="AN15" i="62"/>
  <c r="E15" i="62"/>
  <c r="G15" i="62"/>
  <c r="H15" i="62"/>
  <c r="F15" i="62"/>
  <c r="I15" i="62"/>
  <c r="O15" i="62"/>
  <c r="U15" i="62"/>
  <c r="V15" i="62"/>
  <c r="W15" i="62"/>
  <c r="K7" i="62"/>
  <c r="AA7" i="62"/>
  <c r="L7" i="62"/>
  <c r="AB7" i="62"/>
  <c r="M7" i="62"/>
  <c r="AC7" i="62"/>
  <c r="N7" i="62"/>
  <c r="AD7" i="62"/>
  <c r="P7" i="62"/>
  <c r="AF7" i="62"/>
  <c r="Q7" i="62"/>
  <c r="AG7" i="62"/>
  <c r="R7" i="62"/>
  <c r="AH7" i="62"/>
  <c r="C7" i="62"/>
  <c r="S7" i="62"/>
  <c r="D7" i="62"/>
  <c r="T7" i="62"/>
  <c r="AJ7" i="62"/>
  <c r="J7" i="62"/>
  <c r="Z7" i="62"/>
  <c r="AE7" i="62"/>
  <c r="AK7" i="62"/>
  <c r="AL7" i="62"/>
  <c r="AM7" i="62"/>
  <c r="AN7" i="62"/>
  <c r="E7" i="62"/>
  <c r="F7" i="62"/>
  <c r="G7" i="62"/>
  <c r="I7" i="62"/>
  <c r="O7" i="62"/>
  <c r="U7" i="62"/>
  <c r="W7" i="62"/>
  <c r="X7" i="62"/>
  <c r="Y7" i="62"/>
  <c r="V7" i="62"/>
  <c r="H7" i="62"/>
  <c r="Z2" i="62"/>
  <c r="I2" i="62"/>
  <c r="AC199" i="62"/>
  <c r="L199" i="62"/>
  <c r="AG198" i="62"/>
  <c r="O198" i="62"/>
  <c r="AJ197" i="62"/>
  <c r="S197" i="62"/>
  <c r="AN196" i="62"/>
  <c r="W196" i="62"/>
  <c r="F196" i="62"/>
  <c r="AA195" i="62"/>
  <c r="H195" i="62"/>
  <c r="W194" i="62"/>
  <c r="AN193" i="62"/>
  <c r="O193" i="62"/>
  <c r="AE192" i="62"/>
  <c r="J192" i="62"/>
  <c r="U191" i="62"/>
  <c r="AE190" i="62"/>
  <c r="I190" i="62"/>
  <c r="S189" i="62"/>
  <c r="G188" i="62"/>
  <c r="Q187" i="62"/>
  <c r="AG186" i="62"/>
  <c r="E186" i="62"/>
  <c r="U185" i="62"/>
  <c r="AE184" i="62"/>
  <c r="C184" i="62"/>
  <c r="S183" i="62"/>
  <c r="AC182" i="62"/>
  <c r="G182" i="62"/>
  <c r="Q181" i="62"/>
  <c r="AA180" i="62"/>
  <c r="E180" i="62"/>
  <c r="O179" i="62"/>
  <c r="T178" i="62"/>
  <c r="V177" i="62"/>
  <c r="S176" i="62"/>
  <c r="W175" i="62"/>
  <c r="Z174" i="62"/>
  <c r="U171" i="62"/>
  <c r="G170" i="62"/>
  <c r="L168" i="62"/>
  <c r="AC165" i="62"/>
  <c r="AM162" i="62"/>
  <c r="Z160" i="62"/>
  <c r="AM157" i="62"/>
  <c r="AF154" i="62"/>
  <c r="W151" i="62"/>
  <c r="Z147" i="62"/>
  <c r="AJ141" i="62"/>
  <c r="AH128" i="62"/>
  <c r="C2" i="62"/>
  <c r="Y2" i="62"/>
  <c r="H2" i="62"/>
  <c r="AB199" i="62"/>
  <c r="K199" i="62"/>
  <c r="AE198" i="62"/>
  <c r="R197" i="62"/>
  <c r="AM196" i="62"/>
  <c r="V196" i="62"/>
  <c r="E196" i="62"/>
  <c r="Z195" i="62"/>
  <c r="G195" i="62"/>
  <c r="V194" i="62"/>
  <c r="AM193" i="62"/>
  <c r="M193" i="62"/>
  <c r="AD192" i="62"/>
  <c r="E192" i="62"/>
  <c r="T191" i="62"/>
  <c r="AD190" i="62"/>
  <c r="R189" i="62"/>
  <c r="AC188" i="62"/>
  <c r="F188" i="62"/>
  <c r="P187" i="62"/>
  <c r="AF186" i="62"/>
  <c r="D186" i="62"/>
  <c r="O185" i="62"/>
  <c r="AD184" i="62"/>
  <c r="AN183" i="62"/>
  <c r="R183" i="62"/>
  <c r="AM181" i="62"/>
  <c r="P181" i="62"/>
  <c r="Z180" i="62"/>
  <c r="D180" i="62"/>
  <c r="N179" i="62"/>
  <c r="S178" i="62"/>
  <c r="O177" i="62"/>
  <c r="R176" i="62"/>
  <c r="V175" i="62"/>
  <c r="AJ172" i="62"/>
  <c r="T171" i="62"/>
  <c r="F170" i="62"/>
  <c r="AH167" i="62"/>
  <c r="AB165" i="62"/>
  <c r="AG162" i="62"/>
  <c r="J160" i="62"/>
  <c r="AL157" i="62"/>
  <c r="AE154" i="62"/>
  <c r="C151" i="62"/>
  <c r="D127" i="62"/>
  <c r="P198" i="62"/>
  <c r="AF198" i="62"/>
  <c r="P190" i="62"/>
  <c r="AF190" i="62"/>
  <c r="R190" i="62"/>
  <c r="AH190" i="62"/>
  <c r="C190" i="62"/>
  <c r="S190" i="62"/>
  <c r="D190" i="62"/>
  <c r="T190" i="62"/>
  <c r="AJ190" i="62"/>
  <c r="E190" i="62"/>
  <c r="U190" i="62"/>
  <c r="AK190" i="62"/>
  <c r="F190" i="62"/>
  <c r="V190" i="62"/>
  <c r="AL190" i="62"/>
  <c r="P182" i="62"/>
  <c r="AF182" i="62"/>
  <c r="R182" i="62"/>
  <c r="AH182" i="62"/>
  <c r="C182" i="62"/>
  <c r="S182" i="62"/>
  <c r="D182" i="62"/>
  <c r="T182" i="62"/>
  <c r="AJ182" i="62"/>
  <c r="E182" i="62"/>
  <c r="U182" i="62"/>
  <c r="AK182" i="62"/>
  <c r="F182" i="62"/>
  <c r="V182" i="62"/>
  <c r="AL182" i="62"/>
  <c r="J174" i="62"/>
  <c r="K174" i="62"/>
  <c r="L174" i="62"/>
  <c r="AB174" i="62"/>
  <c r="M174" i="62"/>
  <c r="D174" i="62"/>
  <c r="T174" i="62"/>
  <c r="N174" i="62"/>
  <c r="AF174" i="62"/>
  <c r="P174" i="62"/>
  <c r="AH174" i="62"/>
  <c r="Q174" i="62"/>
  <c r="R174" i="62"/>
  <c r="AJ174" i="62"/>
  <c r="S174" i="62"/>
  <c r="AK174" i="62"/>
  <c r="U174" i="62"/>
  <c r="AL174" i="62"/>
  <c r="V174" i="62"/>
  <c r="AM174" i="62"/>
  <c r="X174" i="62"/>
  <c r="C174" i="62"/>
  <c r="Y174" i="62"/>
  <c r="J166" i="62"/>
  <c r="Z166" i="62"/>
  <c r="K166" i="62"/>
  <c r="AA166" i="62"/>
  <c r="L166" i="62"/>
  <c r="AB166" i="62"/>
  <c r="M166" i="62"/>
  <c r="AC166" i="62"/>
  <c r="N166" i="62"/>
  <c r="AD166" i="62"/>
  <c r="R166" i="62"/>
  <c r="AH166" i="62"/>
  <c r="C166" i="62"/>
  <c r="S166" i="62"/>
  <c r="D166" i="62"/>
  <c r="T166" i="62"/>
  <c r="AJ166" i="62"/>
  <c r="E166" i="62"/>
  <c r="U166" i="62"/>
  <c r="AK166" i="62"/>
  <c r="AG166" i="62"/>
  <c r="AM166" i="62"/>
  <c r="F166" i="62"/>
  <c r="AN166" i="62"/>
  <c r="G166" i="62"/>
  <c r="H166" i="62"/>
  <c r="I166" i="62"/>
  <c r="O166" i="62"/>
  <c r="Q166" i="62"/>
  <c r="V166" i="62"/>
  <c r="W166" i="62"/>
  <c r="J158" i="62"/>
  <c r="Z158" i="62"/>
  <c r="K158" i="62"/>
  <c r="AA158" i="62"/>
  <c r="L158" i="62"/>
  <c r="AB158" i="62"/>
  <c r="M158" i="62"/>
  <c r="AC158" i="62"/>
  <c r="N158" i="62"/>
  <c r="AD158" i="62"/>
  <c r="R158" i="62"/>
  <c r="AH158" i="62"/>
  <c r="C158" i="62"/>
  <c r="S158" i="62"/>
  <c r="D158" i="62"/>
  <c r="T158" i="62"/>
  <c r="AJ158" i="62"/>
  <c r="E158" i="62"/>
  <c r="U158" i="62"/>
  <c r="AK158" i="62"/>
  <c r="H158" i="62"/>
  <c r="O158" i="62"/>
  <c r="P158" i="62"/>
  <c r="Q158" i="62"/>
  <c r="V158" i="62"/>
  <c r="W158" i="62"/>
  <c r="X158" i="62"/>
  <c r="AE158" i="62"/>
  <c r="AF158" i="62"/>
  <c r="AG158" i="62"/>
  <c r="Q150" i="62"/>
  <c r="AG150" i="62"/>
  <c r="R150" i="62"/>
  <c r="AH150" i="62"/>
  <c r="D150" i="62"/>
  <c r="T150" i="62"/>
  <c r="AJ150" i="62"/>
  <c r="L150" i="62"/>
  <c r="AE150" i="62"/>
  <c r="M150" i="62"/>
  <c r="AF150" i="62"/>
  <c r="N150" i="62"/>
  <c r="O150" i="62"/>
  <c r="AK150" i="62"/>
  <c r="P150" i="62"/>
  <c r="AL150" i="62"/>
  <c r="S150" i="62"/>
  <c r="AM150" i="62"/>
  <c r="E150" i="62"/>
  <c r="X150" i="62"/>
  <c r="F150" i="62"/>
  <c r="Y150" i="62"/>
  <c r="G150" i="62"/>
  <c r="Z150" i="62"/>
  <c r="H150" i="62"/>
  <c r="AA150" i="62"/>
  <c r="AN150" i="62"/>
  <c r="C150" i="62"/>
  <c r="I150" i="62"/>
  <c r="K150" i="62"/>
  <c r="U150" i="62"/>
  <c r="V150" i="62"/>
  <c r="Q142" i="62"/>
  <c r="AG142" i="62"/>
  <c r="R142" i="62"/>
  <c r="AH142" i="62"/>
  <c r="C142" i="62"/>
  <c r="S142" i="62"/>
  <c r="D142" i="62"/>
  <c r="T142" i="62"/>
  <c r="AJ142" i="62"/>
  <c r="E142" i="62"/>
  <c r="U142" i="62"/>
  <c r="AK142" i="62"/>
  <c r="F142" i="62"/>
  <c r="V142" i="62"/>
  <c r="AL142" i="62"/>
  <c r="G142" i="62"/>
  <c r="W142" i="62"/>
  <c r="AM142" i="62"/>
  <c r="I142" i="62"/>
  <c r="Y142" i="62"/>
  <c r="O142" i="62"/>
  <c r="P142" i="62"/>
  <c r="X142" i="62"/>
  <c r="Z142" i="62"/>
  <c r="AA142" i="62"/>
  <c r="AB142" i="62"/>
  <c r="AF142" i="62"/>
  <c r="H142" i="62"/>
  <c r="AN142" i="62"/>
  <c r="J142" i="62"/>
  <c r="K142" i="62"/>
  <c r="M142" i="62"/>
  <c r="N142" i="62"/>
  <c r="AC142" i="62"/>
  <c r="AD142" i="62"/>
  <c r="AE142" i="62"/>
  <c r="H134" i="62"/>
  <c r="X134" i="62"/>
  <c r="AN134" i="62"/>
  <c r="N134" i="62"/>
  <c r="AE134" i="62"/>
  <c r="O134" i="62"/>
  <c r="AF134" i="62"/>
  <c r="P134" i="62"/>
  <c r="AG134" i="62"/>
  <c r="Q134" i="62"/>
  <c r="AH134" i="62"/>
  <c r="R134" i="62"/>
  <c r="S134" i="62"/>
  <c r="AJ134" i="62"/>
  <c r="C134" i="62"/>
  <c r="T134" i="62"/>
  <c r="AK134" i="62"/>
  <c r="D134" i="62"/>
  <c r="U134" i="62"/>
  <c r="AL134" i="62"/>
  <c r="E134" i="62"/>
  <c r="V134" i="62"/>
  <c r="AM134" i="62"/>
  <c r="F134" i="62"/>
  <c r="W134" i="62"/>
  <c r="I134" i="62"/>
  <c r="Z134" i="62"/>
  <c r="G134" i="62"/>
  <c r="J134" i="62"/>
  <c r="K134" i="62"/>
  <c r="AA134" i="62"/>
  <c r="AB134" i="62"/>
  <c r="AC134" i="62"/>
  <c r="AD134" i="62"/>
  <c r="L134" i="62"/>
  <c r="M134" i="62"/>
  <c r="Y134" i="62"/>
  <c r="G126" i="62"/>
  <c r="W126" i="62"/>
  <c r="AM126" i="62"/>
  <c r="H126" i="62"/>
  <c r="X126" i="62"/>
  <c r="AN126" i="62"/>
  <c r="F126" i="62"/>
  <c r="Z126" i="62"/>
  <c r="I126" i="62"/>
  <c r="AA126" i="62"/>
  <c r="J126" i="62"/>
  <c r="AB126" i="62"/>
  <c r="K126" i="62"/>
  <c r="AC126" i="62"/>
  <c r="L126" i="62"/>
  <c r="AD126" i="62"/>
  <c r="M126" i="62"/>
  <c r="AE126" i="62"/>
  <c r="N126" i="62"/>
  <c r="AF126" i="62"/>
  <c r="O126" i="62"/>
  <c r="AG126" i="62"/>
  <c r="P126" i="62"/>
  <c r="AH126" i="62"/>
  <c r="Q126" i="62"/>
  <c r="S126" i="62"/>
  <c r="AK126" i="62"/>
  <c r="T126" i="62"/>
  <c r="AL126" i="62"/>
  <c r="C126" i="62"/>
  <c r="U126" i="62"/>
  <c r="V126" i="62"/>
  <c r="Y126" i="62"/>
  <c r="AJ126" i="62"/>
  <c r="D126" i="62"/>
  <c r="E126" i="62"/>
  <c r="R126" i="62"/>
  <c r="G118" i="62"/>
  <c r="W118" i="62"/>
  <c r="AM118" i="62"/>
  <c r="H118" i="62"/>
  <c r="X118" i="62"/>
  <c r="AN118" i="62"/>
  <c r="I118" i="62"/>
  <c r="Y118" i="62"/>
  <c r="J118" i="62"/>
  <c r="Z118" i="62"/>
  <c r="K118" i="62"/>
  <c r="AA118" i="62"/>
  <c r="M118" i="62"/>
  <c r="AC118" i="62"/>
  <c r="E118" i="62"/>
  <c r="AG118" i="62"/>
  <c r="F118" i="62"/>
  <c r="AH118" i="62"/>
  <c r="L118" i="62"/>
  <c r="N118" i="62"/>
  <c r="AJ118" i="62"/>
  <c r="O118" i="62"/>
  <c r="AK118" i="62"/>
  <c r="P118" i="62"/>
  <c r="AL118" i="62"/>
  <c r="Q118" i="62"/>
  <c r="R118" i="62"/>
  <c r="S118" i="62"/>
  <c r="T118" i="62"/>
  <c r="V118" i="62"/>
  <c r="AB118" i="62"/>
  <c r="AD118" i="62"/>
  <c r="C118" i="62"/>
  <c r="D118" i="62"/>
  <c r="U118" i="62"/>
  <c r="AE118" i="62"/>
  <c r="AF118" i="62"/>
  <c r="F110" i="62"/>
  <c r="V110" i="62"/>
  <c r="AL110" i="62"/>
  <c r="G110" i="62"/>
  <c r="W110" i="62"/>
  <c r="AM110" i="62"/>
  <c r="H110" i="62"/>
  <c r="X110" i="62"/>
  <c r="AN110" i="62"/>
  <c r="I110" i="62"/>
  <c r="Y110" i="62"/>
  <c r="J110" i="62"/>
  <c r="Z110" i="62"/>
  <c r="M110" i="62"/>
  <c r="AC110" i="62"/>
  <c r="N110" i="62"/>
  <c r="AD110" i="62"/>
  <c r="O110" i="62"/>
  <c r="AE110" i="62"/>
  <c r="Q110" i="62"/>
  <c r="AG110" i="62"/>
  <c r="AB110" i="62"/>
  <c r="AF110" i="62"/>
  <c r="AH110" i="62"/>
  <c r="AJ110" i="62"/>
  <c r="C110" i="62"/>
  <c r="AK110" i="62"/>
  <c r="D110" i="62"/>
  <c r="P110" i="62"/>
  <c r="R110" i="62"/>
  <c r="S110" i="62"/>
  <c r="T110" i="62"/>
  <c r="U110" i="62"/>
  <c r="AA110" i="62"/>
  <c r="E110" i="62"/>
  <c r="K110" i="62"/>
  <c r="L110" i="62"/>
  <c r="F102" i="62"/>
  <c r="V102" i="62"/>
  <c r="AL102" i="62"/>
  <c r="G102" i="62"/>
  <c r="W102" i="62"/>
  <c r="AM102" i="62"/>
  <c r="H102" i="62"/>
  <c r="X102" i="62"/>
  <c r="AN102" i="62"/>
  <c r="I102" i="62"/>
  <c r="Y102" i="62"/>
  <c r="J102" i="62"/>
  <c r="Z102" i="62"/>
  <c r="M102" i="62"/>
  <c r="AC102" i="62"/>
  <c r="N102" i="62"/>
  <c r="AD102" i="62"/>
  <c r="O102" i="62"/>
  <c r="AE102" i="62"/>
  <c r="Q102" i="62"/>
  <c r="AG102" i="62"/>
  <c r="C102" i="62"/>
  <c r="AK102" i="62"/>
  <c r="D102" i="62"/>
  <c r="E102" i="62"/>
  <c r="K102" i="62"/>
  <c r="L102" i="62"/>
  <c r="P102" i="62"/>
  <c r="R102" i="62"/>
  <c r="S102" i="62"/>
  <c r="U102" i="62"/>
  <c r="AA102" i="62"/>
  <c r="T102" i="62"/>
  <c r="AB102" i="62"/>
  <c r="AH102" i="62"/>
  <c r="AJ102" i="62"/>
  <c r="AF102" i="62"/>
  <c r="F94" i="62"/>
  <c r="V94" i="62"/>
  <c r="H94" i="62"/>
  <c r="C94" i="62"/>
  <c r="U94" i="62"/>
  <c r="AL94" i="62"/>
  <c r="D94" i="62"/>
  <c r="W94" i="62"/>
  <c r="AM94" i="62"/>
  <c r="E94" i="62"/>
  <c r="X94" i="62"/>
  <c r="AN94" i="62"/>
  <c r="G94" i="62"/>
  <c r="Y94" i="62"/>
  <c r="I94" i="62"/>
  <c r="Z94" i="62"/>
  <c r="L94" i="62"/>
  <c r="AC94" i="62"/>
  <c r="M94" i="62"/>
  <c r="AD94" i="62"/>
  <c r="N94" i="62"/>
  <c r="AE94" i="62"/>
  <c r="P94" i="62"/>
  <c r="AG94" i="62"/>
  <c r="O94" i="62"/>
  <c r="Q94" i="62"/>
  <c r="R94" i="62"/>
  <c r="S94" i="62"/>
  <c r="T94" i="62"/>
  <c r="AA94" i="62"/>
  <c r="AB94" i="62"/>
  <c r="AF94" i="62"/>
  <c r="AJ94" i="62"/>
  <c r="AK94" i="62"/>
  <c r="J94" i="62"/>
  <c r="K94" i="62"/>
  <c r="AH94" i="62"/>
  <c r="F86" i="62"/>
  <c r="V86" i="62"/>
  <c r="AL86" i="62"/>
  <c r="G86" i="62"/>
  <c r="W86" i="62"/>
  <c r="AM86" i="62"/>
  <c r="H86" i="62"/>
  <c r="X86" i="62"/>
  <c r="AN86" i="62"/>
  <c r="I86" i="62"/>
  <c r="Y86" i="62"/>
  <c r="J86" i="62"/>
  <c r="Z86" i="62"/>
  <c r="K86" i="62"/>
  <c r="AA86" i="62"/>
  <c r="M86" i="62"/>
  <c r="D86" i="62"/>
  <c r="AG86" i="62"/>
  <c r="E86" i="62"/>
  <c r="AH86" i="62"/>
  <c r="L86" i="62"/>
  <c r="N86" i="62"/>
  <c r="AJ86" i="62"/>
  <c r="O86" i="62"/>
  <c r="AK86" i="62"/>
  <c r="R86" i="62"/>
  <c r="S86" i="62"/>
  <c r="T86" i="62"/>
  <c r="AB86" i="62"/>
  <c r="AD86" i="62"/>
  <c r="AE86" i="62"/>
  <c r="AF86" i="62"/>
  <c r="C86" i="62"/>
  <c r="P86" i="62"/>
  <c r="Q86" i="62"/>
  <c r="U86" i="62"/>
  <c r="AC86" i="62"/>
  <c r="F78" i="62"/>
  <c r="V78" i="62"/>
  <c r="AL78" i="62"/>
  <c r="G78" i="62"/>
  <c r="W78" i="62"/>
  <c r="AM78" i="62"/>
  <c r="H78" i="62"/>
  <c r="X78" i="62"/>
  <c r="AN78" i="62"/>
  <c r="I78" i="62"/>
  <c r="Y78" i="62"/>
  <c r="J78" i="62"/>
  <c r="Z78" i="62"/>
  <c r="K78" i="62"/>
  <c r="AA78" i="62"/>
  <c r="M78" i="62"/>
  <c r="AC78" i="62"/>
  <c r="N78" i="62"/>
  <c r="AD78" i="62"/>
  <c r="O78" i="62"/>
  <c r="AE78" i="62"/>
  <c r="Q78" i="62"/>
  <c r="AG78" i="62"/>
  <c r="AH78" i="62"/>
  <c r="AJ78" i="62"/>
  <c r="AK78" i="62"/>
  <c r="E78" i="62"/>
  <c r="L78" i="62"/>
  <c r="P78" i="62"/>
  <c r="S78" i="62"/>
  <c r="C78" i="62"/>
  <c r="D78" i="62"/>
  <c r="R78" i="62"/>
  <c r="T78" i="62"/>
  <c r="U78" i="62"/>
  <c r="AB78" i="62"/>
  <c r="AF78" i="62"/>
  <c r="R70" i="62"/>
  <c r="AH70" i="62"/>
  <c r="C70" i="62"/>
  <c r="S70" i="62"/>
  <c r="D70" i="62"/>
  <c r="T70" i="62"/>
  <c r="AJ70" i="62"/>
  <c r="E70" i="62"/>
  <c r="U70" i="62"/>
  <c r="AK70" i="62"/>
  <c r="F70" i="62"/>
  <c r="V70" i="62"/>
  <c r="AL70" i="62"/>
  <c r="Y70" i="62"/>
  <c r="Z70" i="62"/>
  <c r="AA70" i="62"/>
  <c r="G70" i="62"/>
  <c r="AB70" i="62"/>
  <c r="H70" i="62"/>
  <c r="AC70" i="62"/>
  <c r="I70" i="62"/>
  <c r="AD70" i="62"/>
  <c r="K70" i="62"/>
  <c r="AF70" i="62"/>
  <c r="L70" i="62"/>
  <c r="AG70" i="62"/>
  <c r="M70" i="62"/>
  <c r="AM70" i="62"/>
  <c r="N70" i="62"/>
  <c r="AN70" i="62"/>
  <c r="O70" i="62"/>
  <c r="P70" i="62"/>
  <c r="J70" i="62"/>
  <c r="X70" i="62"/>
  <c r="AE70" i="62"/>
  <c r="Q70" i="62"/>
  <c r="W70" i="62"/>
  <c r="R62" i="62"/>
  <c r="AH62" i="62"/>
  <c r="C62" i="62"/>
  <c r="S62" i="62"/>
  <c r="D62" i="62"/>
  <c r="T62" i="62"/>
  <c r="AJ62" i="62"/>
  <c r="E62" i="62"/>
  <c r="U62" i="62"/>
  <c r="AK62" i="62"/>
  <c r="F62" i="62"/>
  <c r="V62" i="62"/>
  <c r="AL62" i="62"/>
  <c r="G62" i="62"/>
  <c r="W62" i="62"/>
  <c r="AM62" i="62"/>
  <c r="H62" i="62"/>
  <c r="X62" i="62"/>
  <c r="AN62" i="62"/>
  <c r="N62" i="62"/>
  <c r="O62" i="62"/>
  <c r="P62" i="62"/>
  <c r="Q62" i="62"/>
  <c r="Y62" i="62"/>
  <c r="Z62" i="62"/>
  <c r="AA62" i="62"/>
  <c r="AB62" i="62"/>
  <c r="AC62" i="62"/>
  <c r="AD62" i="62"/>
  <c r="AE62" i="62"/>
  <c r="I62" i="62"/>
  <c r="AF62" i="62"/>
  <c r="J62" i="62"/>
  <c r="AG62" i="62"/>
  <c r="L62" i="62"/>
  <c r="M62" i="62"/>
  <c r="K62" i="62"/>
  <c r="P54" i="62"/>
  <c r="AF54" i="62"/>
  <c r="Q54" i="62"/>
  <c r="AG54" i="62"/>
  <c r="R54" i="62"/>
  <c r="AH54" i="62"/>
  <c r="D54" i="62"/>
  <c r="T54" i="62"/>
  <c r="AJ54" i="62"/>
  <c r="E54" i="62"/>
  <c r="U54" i="62"/>
  <c r="AK54" i="62"/>
  <c r="F54" i="62"/>
  <c r="V54" i="62"/>
  <c r="AL54" i="62"/>
  <c r="C54" i="62"/>
  <c r="AB54" i="62"/>
  <c r="G54" i="62"/>
  <c r="AC54" i="62"/>
  <c r="H54" i="62"/>
  <c r="AD54" i="62"/>
  <c r="I54" i="62"/>
  <c r="AE54" i="62"/>
  <c r="J54" i="62"/>
  <c r="K54" i="62"/>
  <c r="AM54" i="62"/>
  <c r="L54" i="62"/>
  <c r="AN54" i="62"/>
  <c r="M54" i="62"/>
  <c r="N54" i="62"/>
  <c r="O54" i="62"/>
  <c r="S54" i="62"/>
  <c r="W54" i="62"/>
  <c r="X54" i="62"/>
  <c r="Y54" i="62"/>
  <c r="Z54" i="62"/>
  <c r="AA54" i="62"/>
  <c r="P46" i="62"/>
  <c r="AF46" i="62"/>
  <c r="Q46" i="62"/>
  <c r="AG46" i="62"/>
  <c r="R46" i="62"/>
  <c r="AH46" i="62"/>
  <c r="C46" i="62"/>
  <c r="D46" i="62"/>
  <c r="T46" i="62"/>
  <c r="AJ46" i="62"/>
  <c r="E46" i="62"/>
  <c r="U46" i="62"/>
  <c r="AK46" i="62"/>
  <c r="F46" i="62"/>
  <c r="V46" i="62"/>
  <c r="AL46" i="62"/>
  <c r="I46" i="62"/>
  <c r="Y46" i="62"/>
  <c r="W46" i="62"/>
  <c r="X46" i="62"/>
  <c r="Z46" i="62"/>
  <c r="AA46" i="62"/>
  <c r="AB46" i="62"/>
  <c r="AC46" i="62"/>
  <c r="AD46" i="62"/>
  <c r="G46" i="62"/>
  <c r="AE46" i="62"/>
  <c r="H46" i="62"/>
  <c r="L46" i="62"/>
  <c r="J46" i="62"/>
  <c r="K46" i="62"/>
  <c r="M46" i="62"/>
  <c r="N46" i="62"/>
  <c r="O46" i="62"/>
  <c r="S46" i="62"/>
  <c r="AM46" i="62"/>
  <c r="AN46" i="62"/>
  <c r="F38" i="62"/>
  <c r="V38" i="62"/>
  <c r="G38" i="62"/>
  <c r="H38" i="62"/>
  <c r="I38" i="62"/>
  <c r="J38" i="62"/>
  <c r="Z38" i="62"/>
  <c r="P38" i="62"/>
  <c r="AF38" i="62"/>
  <c r="L38" i="62"/>
  <c r="AE38" i="62"/>
  <c r="M38" i="62"/>
  <c r="AG38" i="62"/>
  <c r="N38" i="62"/>
  <c r="AH38" i="62"/>
  <c r="O38" i="62"/>
  <c r="Q38" i="62"/>
  <c r="AJ38" i="62"/>
  <c r="R38" i="62"/>
  <c r="AK38" i="62"/>
  <c r="S38" i="62"/>
  <c r="AL38" i="62"/>
  <c r="W38" i="62"/>
  <c r="AN38" i="62"/>
  <c r="C38" i="62"/>
  <c r="D38" i="62"/>
  <c r="E38" i="62"/>
  <c r="K38" i="62"/>
  <c r="T38" i="62"/>
  <c r="U38" i="62"/>
  <c r="X38" i="62"/>
  <c r="Y38" i="62"/>
  <c r="AA38" i="62"/>
  <c r="AC38" i="62"/>
  <c r="AD38" i="62"/>
  <c r="AM38" i="62"/>
  <c r="AB38" i="62"/>
  <c r="R30" i="62"/>
  <c r="AH30" i="62"/>
  <c r="C30" i="62"/>
  <c r="S30" i="62"/>
  <c r="F30" i="62"/>
  <c r="V30" i="62"/>
  <c r="AL30" i="62"/>
  <c r="G30" i="62"/>
  <c r="W30" i="62"/>
  <c r="AM30" i="62"/>
  <c r="H30" i="62"/>
  <c r="X30" i="62"/>
  <c r="AN30" i="62"/>
  <c r="I30" i="62"/>
  <c r="Y30" i="62"/>
  <c r="J30" i="62"/>
  <c r="Z30" i="62"/>
  <c r="P30" i="62"/>
  <c r="AF30" i="62"/>
  <c r="D30" i="62"/>
  <c r="AJ30" i="62"/>
  <c r="E30" i="62"/>
  <c r="AK30" i="62"/>
  <c r="K30" i="62"/>
  <c r="L30" i="62"/>
  <c r="M30" i="62"/>
  <c r="N30" i="62"/>
  <c r="O30" i="62"/>
  <c r="Q30" i="62"/>
  <c r="U30" i="62"/>
  <c r="T30" i="62"/>
  <c r="AA30" i="62"/>
  <c r="AB30" i="62"/>
  <c r="AG30" i="62"/>
  <c r="AE30" i="62"/>
  <c r="AC30" i="62"/>
  <c r="AD30" i="62"/>
  <c r="Q22" i="62"/>
  <c r="R22" i="62"/>
  <c r="AH22" i="62"/>
  <c r="C22" i="62"/>
  <c r="S22" i="62"/>
  <c r="F22" i="62"/>
  <c r="V22" i="62"/>
  <c r="AL22" i="62"/>
  <c r="G22" i="62"/>
  <c r="W22" i="62"/>
  <c r="AM22" i="62"/>
  <c r="H22" i="62"/>
  <c r="X22" i="62"/>
  <c r="AN22" i="62"/>
  <c r="I22" i="62"/>
  <c r="Y22" i="62"/>
  <c r="J22" i="62"/>
  <c r="Z22" i="62"/>
  <c r="P22" i="62"/>
  <c r="AF22" i="62"/>
  <c r="T22" i="62"/>
  <c r="U22" i="62"/>
  <c r="AA22" i="62"/>
  <c r="AB22" i="62"/>
  <c r="AC22" i="62"/>
  <c r="AD22" i="62"/>
  <c r="AE22" i="62"/>
  <c r="AG22" i="62"/>
  <c r="D22" i="62"/>
  <c r="AK22" i="62"/>
  <c r="E22" i="62"/>
  <c r="K22" i="62"/>
  <c r="L22" i="62"/>
  <c r="M22" i="62"/>
  <c r="N22" i="62"/>
  <c r="O22" i="62"/>
  <c r="AJ22" i="62"/>
  <c r="Q14" i="62"/>
  <c r="AG14" i="62"/>
  <c r="R14" i="62"/>
  <c r="AH14" i="62"/>
  <c r="C14" i="62"/>
  <c r="S14" i="62"/>
  <c r="D14" i="62"/>
  <c r="T14" i="62"/>
  <c r="AJ14" i="62"/>
  <c r="F14" i="62"/>
  <c r="V14" i="62"/>
  <c r="AL14" i="62"/>
  <c r="G14" i="62"/>
  <c r="W14" i="62"/>
  <c r="AM14" i="62"/>
  <c r="H14" i="62"/>
  <c r="X14" i="62"/>
  <c r="AN14" i="62"/>
  <c r="I14" i="62"/>
  <c r="Y14" i="62"/>
  <c r="J14" i="62"/>
  <c r="Z14" i="62"/>
  <c r="P14" i="62"/>
  <c r="AF14" i="62"/>
  <c r="U14" i="62"/>
  <c r="AA14" i="62"/>
  <c r="AB14" i="62"/>
  <c r="AC14" i="62"/>
  <c r="AD14" i="62"/>
  <c r="AE14" i="62"/>
  <c r="AK14" i="62"/>
  <c r="E14" i="62"/>
  <c r="K14" i="62"/>
  <c r="L14" i="62"/>
  <c r="M14" i="62"/>
  <c r="N14" i="62"/>
  <c r="O14" i="62"/>
  <c r="Q6" i="62"/>
  <c r="AG6" i="62"/>
  <c r="R6" i="62"/>
  <c r="AH6" i="62"/>
  <c r="C6" i="62"/>
  <c r="S6" i="62"/>
  <c r="D6" i="62"/>
  <c r="T6" i="62"/>
  <c r="AJ6" i="62"/>
  <c r="F6" i="62"/>
  <c r="V6" i="62"/>
  <c r="AL6" i="62"/>
  <c r="G6" i="62"/>
  <c r="W6" i="62"/>
  <c r="AM6" i="62"/>
  <c r="H6" i="62"/>
  <c r="X6" i="62"/>
  <c r="AN6" i="62"/>
  <c r="I6" i="62"/>
  <c r="Y6" i="62"/>
  <c r="J6" i="62"/>
  <c r="Z6" i="62"/>
  <c r="P6" i="62"/>
  <c r="AF6" i="62"/>
  <c r="AB6" i="62"/>
  <c r="AC6" i="62"/>
  <c r="AD6" i="62"/>
  <c r="AE6" i="62"/>
  <c r="AK6" i="62"/>
  <c r="K6" i="62"/>
  <c r="L6" i="62"/>
  <c r="M6" i="62"/>
  <c r="E6" i="62"/>
  <c r="N6" i="62"/>
  <c r="O6" i="62"/>
  <c r="U6" i="62"/>
  <c r="AA6" i="62"/>
  <c r="AN2" i="62"/>
  <c r="X2" i="62"/>
  <c r="G2" i="62"/>
  <c r="AA199" i="62"/>
  <c r="I199" i="62"/>
  <c r="AD198" i="62"/>
  <c r="M198" i="62"/>
  <c r="AH197" i="62"/>
  <c r="Q197" i="62"/>
  <c r="AL196" i="62"/>
  <c r="U196" i="62"/>
  <c r="D196" i="62"/>
  <c r="Y195" i="62"/>
  <c r="E195" i="62"/>
  <c r="U194" i="62"/>
  <c r="AL193" i="62"/>
  <c r="L193" i="62"/>
  <c r="AC192" i="62"/>
  <c r="C192" i="62"/>
  <c r="S191" i="62"/>
  <c r="AC190" i="62"/>
  <c r="G190" i="62"/>
  <c r="Q189" i="62"/>
  <c r="AA188" i="62"/>
  <c r="E188" i="62"/>
  <c r="O187" i="62"/>
  <c r="AE186" i="62"/>
  <c r="C186" i="62"/>
  <c r="M185" i="62"/>
  <c r="AC184" i="62"/>
  <c r="AM183" i="62"/>
  <c r="Q183" i="62"/>
  <c r="AA182" i="62"/>
  <c r="AK181" i="62"/>
  <c r="O181" i="62"/>
  <c r="Y180" i="62"/>
  <c r="C180" i="62"/>
  <c r="M179" i="62"/>
  <c r="P178" i="62"/>
  <c r="M177" i="62"/>
  <c r="Q176" i="62"/>
  <c r="U175" i="62"/>
  <c r="O174" i="62"/>
  <c r="S171" i="62"/>
  <c r="AK169" i="62"/>
  <c r="AF167" i="62"/>
  <c r="AF162" i="62"/>
  <c r="D160" i="62"/>
  <c r="AC157" i="62"/>
  <c r="AD154" i="62"/>
  <c r="AD150" i="62"/>
  <c r="AK146" i="62"/>
  <c r="AC139" i="62"/>
  <c r="I124" i="62"/>
  <c r="AM2" i="62"/>
  <c r="W2" i="62"/>
  <c r="Y199" i="62"/>
  <c r="H199" i="62"/>
  <c r="AC198" i="62"/>
  <c r="L198" i="62"/>
  <c r="AG197" i="62"/>
  <c r="AK196" i="62"/>
  <c r="T196" i="62"/>
  <c r="C196" i="62"/>
  <c r="X195" i="62"/>
  <c r="C195" i="62"/>
  <c r="T194" i="62"/>
  <c r="AK193" i="62"/>
  <c r="K193" i="62"/>
  <c r="AB192" i="62"/>
  <c r="AN191" i="62"/>
  <c r="R191" i="62"/>
  <c r="AB190" i="62"/>
  <c r="AM189" i="62"/>
  <c r="Z188" i="62"/>
  <c r="D188" i="62"/>
  <c r="N187" i="62"/>
  <c r="Y186" i="62"/>
  <c r="AN185" i="62"/>
  <c r="L185" i="62"/>
  <c r="AB184" i="62"/>
  <c r="AL183" i="62"/>
  <c r="K183" i="62"/>
  <c r="Z182" i="62"/>
  <c r="AJ181" i="62"/>
  <c r="X180" i="62"/>
  <c r="L179" i="62"/>
  <c r="I178" i="62"/>
  <c r="L177" i="62"/>
  <c r="P176" i="62"/>
  <c r="R175" i="62"/>
  <c r="I174" i="62"/>
  <c r="AH172" i="62"/>
  <c r="R171" i="62"/>
  <c r="AB169" i="62"/>
  <c r="AA167" i="62"/>
  <c r="AK164" i="62"/>
  <c r="AE162" i="62"/>
  <c r="C160" i="62"/>
  <c r="Y154" i="62"/>
  <c r="AC150" i="62"/>
  <c r="H146" i="62"/>
  <c r="AB139" i="62"/>
  <c r="F197" i="62"/>
  <c r="V197" i="62"/>
  <c r="AL197" i="62"/>
  <c r="F189" i="62"/>
  <c r="V189" i="62"/>
  <c r="AL189" i="62"/>
  <c r="H189" i="62"/>
  <c r="X189" i="62"/>
  <c r="AN189" i="62"/>
  <c r="I189" i="62"/>
  <c r="Y189" i="62"/>
  <c r="J189" i="62"/>
  <c r="Z189" i="62"/>
  <c r="K189" i="62"/>
  <c r="AA189" i="62"/>
  <c r="L189" i="62"/>
  <c r="AB189" i="62"/>
  <c r="F181" i="62"/>
  <c r="V181" i="62"/>
  <c r="AL181" i="62"/>
  <c r="H181" i="62"/>
  <c r="X181" i="62"/>
  <c r="AN181" i="62"/>
  <c r="I181" i="62"/>
  <c r="Y181" i="62"/>
  <c r="J181" i="62"/>
  <c r="Z181" i="62"/>
  <c r="K181" i="62"/>
  <c r="AA181" i="62"/>
  <c r="L181" i="62"/>
  <c r="AB181" i="62"/>
  <c r="P173" i="62"/>
  <c r="AF173" i="62"/>
  <c r="Q173" i="62"/>
  <c r="AG173" i="62"/>
  <c r="R173" i="62"/>
  <c r="AH173" i="62"/>
  <c r="C173" i="62"/>
  <c r="S173" i="62"/>
  <c r="J173" i="62"/>
  <c r="Z173" i="62"/>
  <c r="K173" i="62"/>
  <c r="AA173" i="62"/>
  <c r="Y173" i="62"/>
  <c r="E173" i="62"/>
  <c r="AC173" i="62"/>
  <c r="F173" i="62"/>
  <c r="AD173" i="62"/>
  <c r="G173" i="62"/>
  <c r="AE173" i="62"/>
  <c r="H173" i="62"/>
  <c r="AJ173" i="62"/>
  <c r="I173" i="62"/>
  <c r="AK173" i="62"/>
  <c r="L173" i="62"/>
  <c r="AL173" i="62"/>
  <c r="N173" i="62"/>
  <c r="AN173" i="62"/>
  <c r="O173" i="62"/>
  <c r="P165" i="62"/>
  <c r="AF165" i="62"/>
  <c r="Q165" i="62"/>
  <c r="AG165" i="62"/>
  <c r="R165" i="62"/>
  <c r="AH165" i="62"/>
  <c r="C165" i="62"/>
  <c r="S165" i="62"/>
  <c r="D165" i="62"/>
  <c r="T165" i="62"/>
  <c r="AJ165" i="62"/>
  <c r="H165" i="62"/>
  <c r="X165" i="62"/>
  <c r="AN165" i="62"/>
  <c r="I165" i="62"/>
  <c r="Y165" i="62"/>
  <c r="J165" i="62"/>
  <c r="Z165" i="62"/>
  <c r="K165" i="62"/>
  <c r="AA165" i="62"/>
  <c r="AK165" i="62"/>
  <c r="E165" i="62"/>
  <c r="AM165" i="62"/>
  <c r="F165" i="62"/>
  <c r="G165" i="62"/>
  <c r="L165" i="62"/>
  <c r="M165" i="62"/>
  <c r="N165" i="62"/>
  <c r="U165" i="62"/>
  <c r="V165" i="62"/>
  <c r="W165" i="62"/>
  <c r="O157" i="62"/>
  <c r="P157" i="62"/>
  <c r="AF157" i="62"/>
  <c r="Q157" i="62"/>
  <c r="AG157" i="62"/>
  <c r="R157" i="62"/>
  <c r="AH157" i="62"/>
  <c r="C157" i="62"/>
  <c r="S157" i="62"/>
  <c r="D157" i="62"/>
  <c r="T157" i="62"/>
  <c r="AJ157" i="62"/>
  <c r="H157" i="62"/>
  <c r="X157" i="62"/>
  <c r="AN157" i="62"/>
  <c r="I157" i="62"/>
  <c r="Y157" i="62"/>
  <c r="J157" i="62"/>
  <c r="Z157" i="62"/>
  <c r="K157" i="62"/>
  <c r="AA157" i="62"/>
  <c r="G157" i="62"/>
  <c r="M157" i="62"/>
  <c r="N157" i="62"/>
  <c r="U157" i="62"/>
  <c r="V157" i="62"/>
  <c r="W157" i="62"/>
  <c r="AB157" i="62"/>
  <c r="AD157" i="62"/>
  <c r="AE157" i="62"/>
  <c r="AK157" i="62"/>
  <c r="G149" i="62"/>
  <c r="W149" i="62"/>
  <c r="AM149" i="62"/>
  <c r="H149" i="62"/>
  <c r="X149" i="62"/>
  <c r="AN149" i="62"/>
  <c r="J149" i="62"/>
  <c r="Z149" i="62"/>
  <c r="K149" i="62"/>
  <c r="L149" i="62"/>
  <c r="AE149" i="62"/>
  <c r="M149" i="62"/>
  <c r="AF149" i="62"/>
  <c r="N149" i="62"/>
  <c r="AG149" i="62"/>
  <c r="O149" i="62"/>
  <c r="AH149" i="62"/>
  <c r="P149" i="62"/>
  <c r="Q149" i="62"/>
  <c r="AJ149" i="62"/>
  <c r="U149" i="62"/>
  <c r="V149" i="62"/>
  <c r="C149" i="62"/>
  <c r="Y149" i="62"/>
  <c r="D149" i="62"/>
  <c r="AA149" i="62"/>
  <c r="T149" i="62"/>
  <c r="AC149" i="62"/>
  <c r="AD149" i="62"/>
  <c r="AK149" i="62"/>
  <c r="AL149" i="62"/>
  <c r="E149" i="62"/>
  <c r="G141" i="62"/>
  <c r="W141" i="62"/>
  <c r="AM141" i="62"/>
  <c r="H141" i="62"/>
  <c r="X141" i="62"/>
  <c r="AN141" i="62"/>
  <c r="I141" i="62"/>
  <c r="Y141" i="62"/>
  <c r="J141" i="62"/>
  <c r="Z141" i="62"/>
  <c r="K141" i="62"/>
  <c r="AA141" i="62"/>
  <c r="L141" i="62"/>
  <c r="AB141" i="62"/>
  <c r="M141" i="62"/>
  <c r="AC141" i="62"/>
  <c r="O141" i="62"/>
  <c r="AE141" i="62"/>
  <c r="U141" i="62"/>
  <c r="V141" i="62"/>
  <c r="AD141" i="62"/>
  <c r="AF141" i="62"/>
  <c r="AG141" i="62"/>
  <c r="AH141" i="62"/>
  <c r="F141" i="62"/>
  <c r="AL141" i="62"/>
  <c r="N141" i="62"/>
  <c r="P141" i="62"/>
  <c r="Q141" i="62"/>
  <c r="C141" i="62"/>
  <c r="D141" i="62"/>
  <c r="R141" i="62"/>
  <c r="S141" i="62"/>
  <c r="T141" i="62"/>
  <c r="N133" i="62"/>
  <c r="AD133" i="62"/>
  <c r="R133" i="62"/>
  <c r="S133" i="62"/>
  <c r="AJ133" i="62"/>
  <c r="C133" i="62"/>
  <c r="T133" i="62"/>
  <c r="AK133" i="62"/>
  <c r="D133" i="62"/>
  <c r="U133" i="62"/>
  <c r="AL133" i="62"/>
  <c r="E133" i="62"/>
  <c r="V133" i="62"/>
  <c r="AM133" i="62"/>
  <c r="F133" i="62"/>
  <c r="W133" i="62"/>
  <c r="AN133" i="62"/>
  <c r="G133" i="62"/>
  <c r="X133" i="62"/>
  <c r="H133" i="62"/>
  <c r="Y133" i="62"/>
  <c r="I133" i="62"/>
  <c r="Z133" i="62"/>
  <c r="J133" i="62"/>
  <c r="AA133" i="62"/>
  <c r="L133" i="62"/>
  <c r="AC133" i="62"/>
  <c r="AF133" i="62"/>
  <c r="AG133" i="62"/>
  <c r="AH133" i="62"/>
  <c r="K133" i="62"/>
  <c r="M133" i="62"/>
  <c r="O133" i="62"/>
  <c r="P133" i="62"/>
  <c r="AB133" i="62"/>
  <c r="AE133" i="62"/>
  <c r="M125" i="62"/>
  <c r="AC125" i="62"/>
  <c r="N125" i="62"/>
  <c r="AD125" i="62"/>
  <c r="H125" i="62"/>
  <c r="Z125" i="62"/>
  <c r="I125" i="62"/>
  <c r="AA125" i="62"/>
  <c r="J125" i="62"/>
  <c r="AB125" i="62"/>
  <c r="K125" i="62"/>
  <c r="AE125" i="62"/>
  <c r="L125" i="62"/>
  <c r="AF125" i="62"/>
  <c r="O125" i="62"/>
  <c r="AG125" i="62"/>
  <c r="P125" i="62"/>
  <c r="AH125" i="62"/>
  <c r="Q125" i="62"/>
  <c r="R125" i="62"/>
  <c r="AJ125" i="62"/>
  <c r="S125" i="62"/>
  <c r="AK125" i="62"/>
  <c r="C125" i="62"/>
  <c r="U125" i="62"/>
  <c r="AM125" i="62"/>
  <c r="D125" i="62"/>
  <c r="V125" i="62"/>
  <c r="AN125" i="62"/>
  <c r="T125" i="62"/>
  <c r="W125" i="62"/>
  <c r="X125" i="62"/>
  <c r="Y125" i="62"/>
  <c r="AL125" i="62"/>
  <c r="E125" i="62"/>
  <c r="F125" i="62"/>
  <c r="G125" i="62"/>
  <c r="M117" i="62"/>
  <c r="AC117" i="62"/>
  <c r="N117" i="62"/>
  <c r="AD117" i="62"/>
  <c r="O117" i="62"/>
  <c r="AE117" i="62"/>
  <c r="P117" i="62"/>
  <c r="AF117" i="62"/>
  <c r="Q117" i="62"/>
  <c r="AG117" i="62"/>
  <c r="C117" i="62"/>
  <c r="S117" i="62"/>
  <c r="U117" i="62"/>
  <c r="V117" i="62"/>
  <c r="W117" i="62"/>
  <c r="X117" i="62"/>
  <c r="Y117" i="62"/>
  <c r="D117" i="62"/>
  <c r="Z117" i="62"/>
  <c r="E117" i="62"/>
  <c r="AA117" i="62"/>
  <c r="F117" i="62"/>
  <c r="AB117" i="62"/>
  <c r="G117" i="62"/>
  <c r="AH117" i="62"/>
  <c r="H117" i="62"/>
  <c r="AJ117" i="62"/>
  <c r="J117" i="62"/>
  <c r="AL117" i="62"/>
  <c r="K117" i="62"/>
  <c r="AM117" i="62"/>
  <c r="L117" i="62"/>
  <c r="AN117" i="62"/>
  <c r="AK117" i="62"/>
  <c r="R117" i="62"/>
  <c r="T117" i="62"/>
  <c r="L109" i="62"/>
  <c r="AB109" i="62"/>
  <c r="M109" i="62"/>
  <c r="AC109" i="62"/>
  <c r="N109" i="62"/>
  <c r="AD109" i="62"/>
  <c r="O109" i="62"/>
  <c r="AE109" i="62"/>
  <c r="P109" i="62"/>
  <c r="AF109" i="62"/>
  <c r="C109" i="62"/>
  <c r="S109" i="62"/>
  <c r="D109" i="62"/>
  <c r="T109" i="62"/>
  <c r="AJ109" i="62"/>
  <c r="E109" i="62"/>
  <c r="U109" i="62"/>
  <c r="AK109" i="62"/>
  <c r="G109" i="62"/>
  <c r="W109" i="62"/>
  <c r="AM109" i="62"/>
  <c r="AA109" i="62"/>
  <c r="AG109" i="62"/>
  <c r="AH109" i="62"/>
  <c r="AL109" i="62"/>
  <c r="AN109" i="62"/>
  <c r="F109" i="62"/>
  <c r="H109" i="62"/>
  <c r="I109" i="62"/>
  <c r="J109" i="62"/>
  <c r="K109" i="62"/>
  <c r="Q109" i="62"/>
  <c r="R109" i="62"/>
  <c r="V109" i="62"/>
  <c r="Y109" i="62"/>
  <c r="Z109" i="62"/>
  <c r="X109" i="62"/>
  <c r="L101" i="62"/>
  <c r="AB101" i="62"/>
  <c r="M101" i="62"/>
  <c r="AC101" i="62"/>
  <c r="N101" i="62"/>
  <c r="AD101" i="62"/>
  <c r="O101" i="62"/>
  <c r="AE101" i="62"/>
  <c r="P101" i="62"/>
  <c r="AF101" i="62"/>
  <c r="C101" i="62"/>
  <c r="S101" i="62"/>
  <c r="D101" i="62"/>
  <c r="T101" i="62"/>
  <c r="AJ101" i="62"/>
  <c r="E101" i="62"/>
  <c r="U101" i="62"/>
  <c r="AK101" i="62"/>
  <c r="G101" i="62"/>
  <c r="W101" i="62"/>
  <c r="AM101" i="62"/>
  <c r="F101" i="62"/>
  <c r="H101" i="62"/>
  <c r="I101" i="62"/>
  <c r="J101" i="62"/>
  <c r="K101" i="62"/>
  <c r="Q101" i="62"/>
  <c r="R101" i="62"/>
  <c r="V101" i="62"/>
  <c r="Y101" i="62"/>
  <c r="Z101" i="62"/>
  <c r="X101" i="62"/>
  <c r="AA101" i="62"/>
  <c r="AG101" i="62"/>
  <c r="AH101" i="62"/>
  <c r="AL101" i="62"/>
  <c r="AN101" i="62"/>
  <c r="L93" i="62"/>
  <c r="AB93" i="62"/>
  <c r="N93" i="62"/>
  <c r="AD93" i="62"/>
  <c r="E93" i="62"/>
  <c r="W93" i="62"/>
  <c r="F93" i="62"/>
  <c r="X93" i="62"/>
  <c r="G93" i="62"/>
  <c r="Y93" i="62"/>
  <c r="H93" i="62"/>
  <c r="Z93" i="62"/>
  <c r="I93" i="62"/>
  <c r="AA93" i="62"/>
  <c r="M93" i="62"/>
  <c r="AF93" i="62"/>
  <c r="O93" i="62"/>
  <c r="AG93" i="62"/>
  <c r="P93" i="62"/>
  <c r="AH93" i="62"/>
  <c r="R93" i="62"/>
  <c r="AJ93" i="62"/>
  <c r="J93" i="62"/>
  <c r="K93" i="62"/>
  <c r="Q93" i="62"/>
  <c r="S93" i="62"/>
  <c r="T93" i="62"/>
  <c r="U93" i="62"/>
  <c r="V93" i="62"/>
  <c r="AC93" i="62"/>
  <c r="AK93" i="62"/>
  <c r="AL93" i="62"/>
  <c r="AM93" i="62"/>
  <c r="C93" i="62"/>
  <c r="AE93" i="62"/>
  <c r="AN93" i="62"/>
  <c r="D93" i="62"/>
  <c r="L85" i="62"/>
  <c r="AB85" i="62"/>
  <c r="M85" i="62"/>
  <c r="AC85" i="62"/>
  <c r="N85" i="62"/>
  <c r="AD85" i="62"/>
  <c r="O85" i="62"/>
  <c r="AE85" i="62"/>
  <c r="P85" i="62"/>
  <c r="AF85" i="62"/>
  <c r="Q85" i="62"/>
  <c r="AG85" i="62"/>
  <c r="C85" i="62"/>
  <c r="S85" i="62"/>
  <c r="R85" i="62"/>
  <c r="T85" i="62"/>
  <c r="U85" i="62"/>
  <c r="V85" i="62"/>
  <c r="W85" i="62"/>
  <c r="Z85" i="62"/>
  <c r="D85" i="62"/>
  <c r="AA85" i="62"/>
  <c r="E85" i="62"/>
  <c r="AH85" i="62"/>
  <c r="G85" i="62"/>
  <c r="AK85" i="62"/>
  <c r="F85" i="62"/>
  <c r="H85" i="62"/>
  <c r="I85" i="62"/>
  <c r="J85" i="62"/>
  <c r="K85" i="62"/>
  <c r="X85" i="62"/>
  <c r="Y85" i="62"/>
  <c r="AJ85" i="62"/>
  <c r="AL85" i="62"/>
  <c r="AM85" i="62"/>
  <c r="AN85" i="62"/>
  <c r="L77" i="62"/>
  <c r="AB77" i="62"/>
  <c r="M77" i="62"/>
  <c r="AC77" i="62"/>
  <c r="N77" i="62"/>
  <c r="AD77" i="62"/>
  <c r="O77" i="62"/>
  <c r="AE77" i="62"/>
  <c r="P77" i="62"/>
  <c r="AF77" i="62"/>
  <c r="Q77" i="62"/>
  <c r="AG77" i="62"/>
  <c r="C77" i="62"/>
  <c r="S77" i="62"/>
  <c r="D77" i="62"/>
  <c r="T77" i="62"/>
  <c r="AJ77" i="62"/>
  <c r="E77" i="62"/>
  <c r="U77" i="62"/>
  <c r="AK77" i="62"/>
  <c r="F77" i="62"/>
  <c r="G77" i="62"/>
  <c r="W77" i="62"/>
  <c r="AM77" i="62"/>
  <c r="Z77" i="62"/>
  <c r="AA77" i="62"/>
  <c r="AH77" i="62"/>
  <c r="AL77" i="62"/>
  <c r="AN77" i="62"/>
  <c r="H77" i="62"/>
  <c r="I77" i="62"/>
  <c r="K77" i="62"/>
  <c r="J77" i="62"/>
  <c r="R77" i="62"/>
  <c r="V77" i="62"/>
  <c r="X77" i="62"/>
  <c r="Y77" i="62"/>
  <c r="H69" i="62"/>
  <c r="X69" i="62"/>
  <c r="AN69" i="62"/>
  <c r="I69" i="62"/>
  <c r="Y69" i="62"/>
  <c r="J69" i="62"/>
  <c r="Z69" i="62"/>
  <c r="K69" i="62"/>
  <c r="AA69" i="62"/>
  <c r="L69" i="62"/>
  <c r="AB69" i="62"/>
  <c r="P69" i="62"/>
  <c r="AK69" i="62"/>
  <c r="Q69" i="62"/>
  <c r="AL69" i="62"/>
  <c r="R69" i="62"/>
  <c r="AM69" i="62"/>
  <c r="S69" i="62"/>
  <c r="T69" i="62"/>
  <c r="U69" i="62"/>
  <c r="W69" i="62"/>
  <c r="C69" i="62"/>
  <c r="AC69" i="62"/>
  <c r="D69" i="62"/>
  <c r="AD69" i="62"/>
  <c r="E69" i="62"/>
  <c r="AE69" i="62"/>
  <c r="F69" i="62"/>
  <c r="AF69" i="62"/>
  <c r="G69" i="62"/>
  <c r="AG69" i="62"/>
  <c r="V69" i="62"/>
  <c r="AH69" i="62"/>
  <c r="AJ69" i="62"/>
  <c r="M69" i="62"/>
  <c r="N69" i="62"/>
  <c r="O69" i="62"/>
  <c r="H61" i="62"/>
  <c r="X61" i="62"/>
  <c r="AN61" i="62"/>
  <c r="I61" i="62"/>
  <c r="Y61" i="62"/>
  <c r="J61" i="62"/>
  <c r="Z61" i="62"/>
  <c r="K61" i="62"/>
  <c r="AA61" i="62"/>
  <c r="L61" i="62"/>
  <c r="AB61" i="62"/>
  <c r="M61" i="62"/>
  <c r="AC61" i="62"/>
  <c r="N61" i="62"/>
  <c r="AD61" i="62"/>
  <c r="V61" i="62"/>
  <c r="W61" i="62"/>
  <c r="AE61" i="62"/>
  <c r="AF61" i="62"/>
  <c r="C61" i="62"/>
  <c r="AG61" i="62"/>
  <c r="D61" i="62"/>
  <c r="AH61" i="62"/>
  <c r="E61" i="62"/>
  <c r="F61" i="62"/>
  <c r="AJ61" i="62"/>
  <c r="G61" i="62"/>
  <c r="AK61" i="62"/>
  <c r="O61" i="62"/>
  <c r="AL61" i="62"/>
  <c r="P61" i="62"/>
  <c r="AM61" i="62"/>
  <c r="Q61" i="62"/>
  <c r="R61" i="62"/>
  <c r="S61" i="62"/>
  <c r="T61" i="62"/>
  <c r="U61" i="62"/>
  <c r="F53" i="62"/>
  <c r="V53" i="62"/>
  <c r="AL53" i="62"/>
  <c r="G53" i="62"/>
  <c r="W53" i="62"/>
  <c r="AM53" i="62"/>
  <c r="H53" i="62"/>
  <c r="X53" i="62"/>
  <c r="AN53" i="62"/>
  <c r="J53" i="62"/>
  <c r="Z53" i="62"/>
  <c r="K53" i="62"/>
  <c r="AA53" i="62"/>
  <c r="L53" i="62"/>
  <c r="AB53" i="62"/>
  <c r="P53" i="62"/>
  <c r="Q53" i="62"/>
  <c r="R53" i="62"/>
  <c r="S53" i="62"/>
  <c r="T53" i="62"/>
  <c r="U53" i="62"/>
  <c r="Y53" i="62"/>
  <c r="AC53" i="62"/>
  <c r="AD53" i="62"/>
  <c r="AH53" i="62"/>
  <c r="AJ53" i="62"/>
  <c r="AK53" i="62"/>
  <c r="C53" i="62"/>
  <c r="D53" i="62"/>
  <c r="E53" i="62"/>
  <c r="I53" i="62"/>
  <c r="M53" i="62"/>
  <c r="N53" i="62"/>
  <c r="O53" i="62"/>
  <c r="AG53" i="62"/>
  <c r="AE53" i="62"/>
  <c r="AF53" i="62"/>
  <c r="F45" i="62"/>
  <c r="V45" i="62"/>
  <c r="AL45" i="62"/>
  <c r="G45" i="62"/>
  <c r="W45" i="62"/>
  <c r="AM45" i="62"/>
  <c r="H45" i="62"/>
  <c r="X45" i="62"/>
  <c r="AN45" i="62"/>
  <c r="I45" i="62"/>
  <c r="Y45" i="62"/>
  <c r="J45" i="62"/>
  <c r="Z45" i="62"/>
  <c r="K45" i="62"/>
  <c r="AA45" i="62"/>
  <c r="L45" i="62"/>
  <c r="AB45" i="62"/>
  <c r="O45" i="62"/>
  <c r="AE45" i="62"/>
  <c r="AD45" i="62"/>
  <c r="AF45" i="62"/>
  <c r="AG45" i="62"/>
  <c r="AH45" i="62"/>
  <c r="C45" i="62"/>
  <c r="D45" i="62"/>
  <c r="AJ45" i="62"/>
  <c r="E45" i="62"/>
  <c r="AK45" i="62"/>
  <c r="M45" i="62"/>
  <c r="N45" i="62"/>
  <c r="R45" i="62"/>
  <c r="AC45" i="62"/>
  <c r="P45" i="62"/>
  <c r="Q45" i="62"/>
  <c r="T45" i="62"/>
  <c r="U45" i="62"/>
  <c r="S45" i="62"/>
  <c r="H37" i="62"/>
  <c r="X37" i="62"/>
  <c r="AN37" i="62"/>
  <c r="L37" i="62"/>
  <c r="AB37" i="62"/>
  <c r="M37" i="62"/>
  <c r="AC37" i="62"/>
  <c r="N37" i="62"/>
  <c r="AD37" i="62"/>
  <c r="O37" i="62"/>
  <c r="AE37" i="62"/>
  <c r="P37" i="62"/>
  <c r="AF37" i="62"/>
  <c r="F37" i="62"/>
  <c r="V37" i="62"/>
  <c r="AL37" i="62"/>
  <c r="T37" i="62"/>
  <c r="U37" i="62"/>
  <c r="W37" i="62"/>
  <c r="Y37" i="62"/>
  <c r="Z37" i="62"/>
  <c r="AA37" i="62"/>
  <c r="C37" i="62"/>
  <c r="AG37" i="62"/>
  <c r="G37" i="62"/>
  <c r="AJ37" i="62"/>
  <c r="AK37" i="62"/>
  <c r="AM37" i="62"/>
  <c r="D37" i="62"/>
  <c r="E37" i="62"/>
  <c r="I37" i="62"/>
  <c r="J37" i="62"/>
  <c r="K37" i="62"/>
  <c r="Q37" i="62"/>
  <c r="R37" i="62"/>
  <c r="AH37" i="62"/>
  <c r="S37" i="62"/>
  <c r="H29" i="62"/>
  <c r="X29" i="62"/>
  <c r="AN29" i="62"/>
  <c r="I29" i="62"/>
  <c r="Y29" i="62"/>
  <c r="L29" i="62"/>
  <c r="AB29" i="62"/>
  <c r="M29" i="62"/>
  <c r="AC29" i="62"/>
  <c r="N29" i="62"/>
  <c r="AD29" i="62"/>
  <c r="O29" i="62"/>
  <c r="AE29" i="62"/>
  <c r="P29" i="62"/>
  <c r="AF29" i="62"/>
  <c r="F29" i="62"/>
  <c r="V29" i="62"/>
  <c r="AL29" i="62"/>
  <c r="J29" i="62"/>
  <c r="K29" i="62"/>
  <c r="Q29" i="62"/>
  <c r="R29" i="62"/>
  <c r="S29" i="62"/>
  <c r="T29" i="62"/>
  <c r="U29" i="62"/>
  <c r="W29" i="62"/>
  <c r="AA29" i="62"/>
  <c r="E29" i="62"/>
  <c r="G29" i="62"/>
  <c r="Z29" i="62"/>
  <c r="AG29" i="62"/>
  <c r="AH29" i="62"/>
  <c r="AJ29" i="62"/>
  <c r="AK29" i="62"/>
  <c r="AM29" i="62"/>
  <c r="D29" i="62"/>
  <c r="C29" i="62"/>
  <c r="G21" i="62"/>
  <c r="W21" i="62"/>
  <c r="AM21" i="62"/>
  <c r="H21" i="62"/>
  <c r="X21" i="62"/>
  <c r="AN21" i="62"/>
  <c r="I21" i="62"/>
  <c r="Y21" i="62"/>
  <c r="L21" i="62"/>
  <c r="AB21" i="62"/>
  <c r="M21" i="62"/>
  <c r="AC21" i="62"/>
  <c r="N21" i="62"/>
  <c r="AD21" i="62"/>
  <c r="O21" i="62"/>
  <c r="AE21" i="62"/>
  <c r="P21" i="62"/>
  <c r="AF21" i="62"/>
  <c r="F21" i="62"/>
  <c r="V21" i="62"/>
  <c r="AL21" i="62"/>
  <c r="T21" i="62"/>
  <c r="U21" i="62"/>
  <c r="Z21" i="62"/>
  <c r="AA21" i="62"/>
  <c r="AG21" i="62"/>
  <c r="AH21" i="62"/>
  <c r="AJ21" i="62"/>
  <c r="D21" i="62"/>
  <c r="Q21" i="62"/>
  <c r="R21" i="62"/>
  <c r="S21" i="62"/>
  <c r="AK21" i="62"/>
  <c r="K21" i="62"/>
  <c r="E21" i="62"/>
  <c r="J21" i="62"/>
  <c r="C21" i="62"/>
  <c r="G13" i="62"/>
  <c r="W13" i="62"/>
  <c r="AM13" i="62"/>
  <c r="H13" i="62"/>
  <c r="X13" i="62"/>
  <c r="AN13" i="62"/>
  <c r="I13" i="62"/>
  <c r="Y13" i="62"/>
  <c r="J13" i="62"/>
  <c r="Z13" i="62"/>
  <c r="L13" i="62"/>
  <c r="AB13" i="62"/>
  <c r="M13" i="62"/>
  <c r="AC13" i="62"/>
  <c r="N13" i="62"/>
  <c r="AD13" i="62"/>
  <c r="O13" i="62"/>
  <c r="AE13" i="62"/>
  <c r="P13" i="62"/>
  <c r="AF13" i="62"/>
  <c r="F13" i="62"/>
  <c r="V13" i="62"/>
  <c r="AL13" i="62"/>
  <c r="R13" i="62"/>
  <c r="S13" i="62"/>
  <c r="T13" i="62"/>
  <c r="U13" i="62"/>
  <c r="AA13" i="62"/>
  <c r="AG13" i="62"/>
  <c r="AH13" i="62"/>
  <c r="AK13" i="62"/>
  <c r="C13" i="62"/>
  <c r="D13" i="62"/>
  <c r="AJ13" i="62"/>
  <c r="E13" i="62"/>
  <c r="K13" i="62"/>
  <c r="Q13" i="62"/>
  <c r="G5" i="62"/>
  <c r="W5" i="62"/>
  <c r="AM5" i="62"/>
  <c r="H5" i="62"/>
  <c r="X5" i="62"/>
  <c r="AN5" i="62"/>
  <c r="I5" i="62"/>
  <c r="Y5" i="62"/>
  <c r="J5" i="62"/>
  <c r="Z5" i="62"/>
  <c r="L5" i="62"/>
  <c r="AB5" i="62"/>
  <c r="M5" i="62"/>
  <c r="AC5" i="62"/>
  <c r="N5" i="62"/>
  <c r="AD5" i="62"/>
  <c r="O5" i="62"/>
  <c r="AE5" i="62"/>
  <c r="P5" i="62"/>
  <c r="AF5" i="62"/>
  <c r="F5" i="62"/>
  <c r="V5" i="62"/>
  <c r="AL5" i="62"/>
  <c r="T5" i="62"/>
  <c r="U5" i="62"/>
  <c r="AA5" i="62"/>
  <c r="AG5" i="62"/>
  <c r="AH5" i="62"/>
  <c r="AJ5" i="62"/>
  <c r="AK5" i="62"/>
  <c r="C5" i="62"/>
  <c r="D5" i="62"/>
  <c r="E5" i="62"/>
  <c r="K5" i="62"/>
  <c r="Q5" i="62"/>
  <c r="R5" i="62"/>
  <c r="S5" i="62"/>
  <c r="AL2" i="62"/>
  <c r="V2" i="62"/>
  <c r="D2" i="62"/>
  <c r="X199" i="62"/>
  <c r="G199" i="62"/>
  <c r="AB198" i="62"/>
  <c r="K198" i="62"/>
  <c r="AF197" i="62"/>
  <c r="O197" i="62"/>
  <c r="AJ196" i="62"/>
  <c r="S196" i="62"/>
  <c r="AN195" i="62"/>
  <c r="W195" i="62"/>
  <c r="AM194" i="62"/>
  <c r="S194" i="62"/>
  <c r="AJ193" i="62"/>
  <c r="J193" i="62"/>
  <c r="AA192" i="62"/>
  <c r="AM191" i="62"/>
  <c r="Q191" i="62"/>
  <c r="AA190" i="62"/>
  <c r="AK189" i="62"/>
  <c r="O189" i="62"/>
  <c r="Y188" i="62"/>
  <c r="C188" i="62"/>
  <c r="M187" i="62"/>
  <c r="W186" i="62"/>
  <c r="AM185" i="62"/>
  <c r="K185" i="62"/>
  <c r="AA184" i="62"/>
  <c r="AK183" i="62"/>
  <c r="I183" i="62"/>
  <c r="Y182" i="62"/>
  <c r="M181" i="62"/>
  <c r="W180" i="62"/>
  <c r="AG179" i="62"/>
  <c r="J179" i="62"/>
  <c r="G178" i="62"/>
  <c r="K177" i="62"/>
  <c r="O176" i="62"/>
  <c r="K175" i="62"/>
  <c r="H174" i="62"/>
  <c r="AE172" i="62"/>
  <c r="V169" i="62"/>
  <c r="Z167" i="62"/>
  <c r="W162" i="62"/>
  <c r="F157" i="62"/>
  <c r="O154" i="62"/>
  <c r="AB150" i="62"/>
  <c r="AL145" i="62"/>
  <c r="AK2" i="62"/>
  <c r="T2" i="62"/>
  <c r="AN199" i="62"/>
  <c r="W199" i="62"/>
  <c r="F199" i="62"/>
  <c r="AA198" i="62"/>
  <c r="J198" i="62"/>
  <c r="AE197" i="62"/>
  <c r="N197" i="62"/>
  <c r="AM195" i="62"/>
  <c r="U195" i="62"/>
  <c r="AL194" i="62"/>
  <c r="R194" i="62"/>
  <c r="AE193" i="62"/>
  <c r="I193" i="62"/>
  <c r="Z192" i="62"/>
  <c r="AL191" i="62"/>
  <c r="K191" i="62"/>
  <c r="Z190" i="62"/>
  <c r="AJ189" i="62"/>
  <c r="N189" i="62"/>
  <c r="L187" i="62"/>
  <c r="V186" i="62"/>
  <c r="AL185" i="62"/>
  <c r="J185" i="62"/>
  <c r="U184" i="62"/>
  <c r="AJ183" i="62"/>
  <c r="H183" i="62"/>
  <c r="X182" i="62"/>
  <c r="AH181" i="62"/>
  <c r="G181" i="62"/>
  <c r="AF179" i="62"/>
  <c r="C179" i="62"/>
  <c r="F178" i="62"/>
  <c r="J177" i="62"/>
  <c r="L176" i="62"/>
  <c r="I175" i="62"/>
  <c r="G174" i="62"/>
  <c r="AN170" i="62"/>
  <c r="U169" i="62"/>
  <c r="Y167" i="62"/>
  <c r="G162" i="62"/>
  <c r="AH159" i="62"/>
  <c r="E157" i="62"/>
  <c r="AG153" i="62"/>
  <c r="W150" i="62"/>
  <c r="AK145" i="62"/>
  <c r="U138" i="62"/>
  <c r="AM121" i="62"/>
  <c r="L196" i="62"/>
  <c r="AB196" i="62"/>
  <c r="L188" i="62"/>
  <c r="AB188" i="62"/>
  <c r="N188" i="62"/>
  <c r="AD188" i="62"/>
  <c r="O188" i="62"/>
  <c r="AE188" i="62"/>
  <c r="P188" i="62"/>
  <c r="AF188" i="62"/>
  <c r="Q188" i="62"/>
  <c r="AG188" i="62"/>
  <c r="R188" i="62"/>
  <c r="AH188" i="62"/>
  <c r="L180" i="62"/>
  <c r="AB180" i="62"/>
  <c r="N180" i="62"/>
  <c r="AD180" i="62"/>
  <c r="O180" i="62"/>
  <c r="AE180" i="62"/>
  <c r="P180" i="62"/>
  <c r="AF180" i="62"/>
  <c r="Q180" i="62"/>
  <c r="AG180" i="62"/>
  <c r="R180" i="62"/>
  <c r="AH180" i="62"/>
  <c r="F172" i="62"/>
  <c r="V172" i="62"/>
  <c r="AL172" i="62"/>
  <c r="G172" i="62"/>
  <c r="W172" i="62"/>
  <c r="AM172" i="62"/>
  <c r="H172" i="62"/>
  <c r="X172" i="62"/>
  <c r="AN172" i="62"/>
  <c r="I172" i="62"/>
  <c r="Y172" i="62"/>
  <c r="P172" i="62"/>
  <c r="AF172" i="62"/>
  <c r="Q172" i="62"/>
  <c r="AG172" i="62"/>
  <c r="M172" i="62"/>
  <c r="AK172" i="62"/>
  <c r="O172" i="62"/>
  <c r="R172" i="62"/>
  <c r="S172" i="62"/>
  <c r="T172" i="62"/>
  <c r="U172" i="62"/>
  <c r="Z172" i="62"/>
  <c r="AB172" i="62"/>
  <c r="C172" i="62"/>
  <c r="AC172" i="62"/>
  <c r="F164" i="62"/>
  <c r="V164" i="62"/>
  <c r="AL164" i="62"/>
  <c r="G164" i="62"/>
  <c r="W164" i="62"/>
  <c r="AM164" i="62"/>
  <c r="H164" i="62"/>
  <c r="X164" i="62"/>
  <c r="AN164" i="62"/>
  <c r="I164" i="62"/>
  <c r="Y164" i="62"/>
  <c r="J164" i="62"/>
  <c r="Z164" i="62"/>
  <c r="N164" i="62"/>
  <c r="AD164" i="62"/>
  <c r="O164" i="62"/>
  <c r="AE164" i="62"/>
  <c r="P164" i="62"/>
  <c r="AF164" i="62"/>
  <c r="Q164" i="62"/>
  <c r="AG164" i="62"/>
  <c r="AJ164" i="62"/>
  <c r="D164" i="62"/>
  <c r="E164" i="62"/>
  <c r="K164" i="62"/>
  <c r="L164" i="62"/>
  <c r="M164" i="62"/>
  <c r="R164" i="62"/>
  <c r="T164" i="62"/>
  <c r="U164" i="62"/>
  <c r="AA164" i="62"/>
  <c r="E156" i="62"/>
  <c r="U156" i="62"/>
  <c r="AK156" i="62"/>
  <c r="F156" i="62"/>
  <c r="V156" i="62"/>
  <c r="AL156" i="62"/>
  <c r="G156" i="62"/>
  <c r="W156" i="62"/>
  <c r="AM156" i="62"/>
  <c r="H156" i="62"/>
  <c r="X156" i="62"/>
  <c r="AN156" i="62"/>
  <c r="I156" i="62"/>
  <c r="Y156" i="62"/>
  <c r="J156" i="62"/>
  <c r="Z156" i="62"/>
  <c r="N156" i="62"/>
  <c r="AD156" i="62"/>
  <c r="O156" i="62"/>
  <c r="AE156" i="62"/>
  <c r="P156" i="62"/>
  <c r="AF156" i="62"/>
  <c r="Q156" i="62"/>
  <c r="AG156" i="62"/>
  <c r="C156" i="62"/>
  <c r="K156" i="62"/>
  <c r="L156" i="62"/>
  <c r="M156" i="62"/>
  <c r="R156" i="62"/>
  <c r="S156" i="62"/>
  <c r="T156" i="62"/>
  <c r="AB156" i="62"/>
  <c r="AC156" i="62"/>
  <c r="AH156" i="62"/>
  <c r="M148" i="62"/>
  <c r="AC148" i="62"/>
  <c r="N148" i="62"/>
  <c r="AD148" i="62"/>
  <c r="O148" i="62"/>
  <c r="P148" i="62"/>
  <c r="AF148" i="62"/>
  <c r="Q148" i="62"/>
  <c r="AG148" i="62"/>
  <c r="R148" i="62"/>
  <c r="AH148" i="62"/>
  <c r="C148" i="62"/>
  <c r="Y148" i="62"/>
  <c r="D148" i="62"/>
  <c r="Z148" i="62"/>
  <c r="E148" i="62"/>
  <c r="AA148" i="62"/>
  <c r="F148" i="62"/>
  <c r="AB148" i="62"/>
  <c r="G148" i="62"/>
  <c r="AE148" i="62"/>
  <c r="H148" i="62"/>
  <c r="L148" i="62"/>
  <c r="AM148" i="62"/>
  <c r="S148" i="62"/>
  <c r="AN148" i="62"/>
  <c r="T148" i="62"/>
  <c r="U148" i="62"/>
  <c r="I148" i="62"/>
  <c r="J148" i="62"/>
  <c r="K148" i="62"/>
  <c r="V148" i="62"/>
  <c r="W148" i="62"/>
  <c r="X148" i="62"/>
  <c r="AK148" i="62"/>
  <c r="AL148" i="62"/>
  <c r="M140" i="62"/>
  <c r="AC140" i="62"/>
  <c r="N140" i="62"/>
  <c r="AD140" i="62"/>
  <c r="O140" i="62"/>
  <c r="AE140" i="62"/>
  <c r="P140" i="62"/>
  <c r="AF140" i="62"/>
  <c r="Q140" i="62"/>
  <c r="AG140" i="62"/>
  <c r="R140" i="62"/>
  <c r="AH140" i="62"/>
  <c r="C140" i="62"/>
  <c r="S140" i="62"/>
  <c r="D140" i="62"/>
  <c r="T140" i="62"/>
  <c r="AJ140" i="62"/>
  <c r="E140" i="62"/>
  <c r="U140" i="62"/>
  <c r="AK140" i="62"/>
  <c r="Z140" i="62"/>
  <c r="AA140" i="62"/>
  <c r="AB140" i="62"/>
  <c r="AL140" i="62"/>
  <c r="AM140" i="62"/>
  <c r="F140" i="62"/>
  <c r="AN140" i="62"/>
  <c r="J140" i="62"/>
  <c r="K140" i="62"/>
  <c r="L140" i="62"/>
  <c r="V140" i="62"/>
  <c r="G140" i="62"/>
  <c r="H140" i="62"/>
  <c r="I140" i="62"/>
  <c r="W140" i="62"/>
  <c r="X140" i="62"/>
  <c r="Y140" i="62"/>
  <c r="D132" i="62"/>
  <c r="T132" i="62"/>
  <c r="AJ132" i="62"/>
  <c r="E132" i="62"/>
  <c r="V132" i="62"/>
  <c r="AM132" i="62"/>
  <c r="F132" i="62"/>
  <c r="W132" i="62"/>
  <c r="AN132" i="62"/>
  <c r="G132" i="62"/>
  <c r="X132" i="62"/>
  <c r="H132" i="62"/>
  <c r="Y132" i="62"/>
  <c r="I132" i="62"/>
  <c r="Z132" i="62"/>
  <c r="J132" i="62"/>
  <c r="AA132" i="62"/>
  <c r="K132" i="62"/>
  <c r="AB132" i="62"/>
  <c r="L132" i="62"/>
  <c r="AC132" i="62"/>
  <c r="M132" i="62"/>
  <c r="AD132" i="62"/>
  <c r="N132" i="62"/>
  <c r="AE132" i="62"/>
  <c r="P132" i="62"/>
  <c r="AG132" i="62"/>
  <c r="Q132" i="62"/>
  <c r="R132" i="62"/>
  <c r="S132" i="62"/>
  <c r="U132" i="62"/>
  <c r="AF132" i="62"/>
  <c r="AH132" i="62"/>
  <c r="C132" i="62"/>
  <c r="O132" i="62"/>
  <c r="C124" i="62"/>
  <c r="S124" i="62"/>
  <c r="D124" i="62"/>
  <c r="T124" i="62"/>
  <c r="AJ124" i="62"/>
  <c r="G124" i="62"/>
  <c r="J124" i="62"/>
  <c r="AB124" i="62"/>
  <c r="K124" i="62"/>
  <c r="AC124" i="62"/>
  <c r="L124" i="62"/>
  <c r="AD124" i="62"/>
  <c r="M124" i="62"/>
  <c r="AE124" i="62"/>
  <c r="N124" i="62"/>
  <c r="AF124" i="62"/>
  <c r="O124" i="62"/>
  <c r="AG124" i="62"/>
  <c r="P124" i="62"/>
  <c r="AH124" i="62"/>
  <c r="Q124" i="62"/>
  <c r="AK124" i="62"/>
  <c r="R124" i="62"/>
  <c r="AL124" i="62"/>
  <c r="U124" i="62"/>
  <c r="AM124" i="62"/>
  <c r="W124" i="62"/>
  <c r="E124" i="62"/>
  <c r="X124" i="62"/>
  <c r="F124" i="62"/>
  <c r="Y124" i="62"/>
  <c r="Z124" i="62"/>
  <c r="AA124" i="62"/>
  <c r="AN124" i="62"/>
  <c r="V124" i="62"/>
  <c r="D116" i="62"/>
  <c r="S116" i="62"/>
  <c r="C116" i="62"/>
  <c r="T116" i="62"/>
  <c r="AJ116" i="62"/>
  <c r="E116" i="62"/>
  <c r="U116" i="62"/>
  <c r="AK116" i="62"/>
  <c r="F116" i="62"/>
  <c r="V116" i="62"/>
  <c r="AL116" i="62"/>
  <c r="G116" i="62"/>
  <c r="W116" i="62"/>
  <c r="AM116" i="62"/>
  <c r="I116" i="62"/>
  <c r="Y116" i="62"/>
  <c r="H116" i="62"/>
  <c r="AE116" i="62"/>
  <c r="J116" i="62"/>
  <c r="AF116" i="62"/>
  <c r="K116" i="62"/>
  <c r="AG116" i="62"/>
  <c r="L116" i="62"/>
  <c r="AH116" i="62"/>
  <c r="M116" i="62"/>
  <c r="AN116" i="62"/>
  <c r="N116" i="62"/>
  <c r="O116" i="62"/>
  <c r="P116" i="62"/>
  <c r="Q116" i="62"/>
  <c r="R116" i="62"/>
  <c r="Z116" i="62"/>
  <c r="AA116" i="62"/>
  <c r="AB116" i="62"/>
  <c r="X116" i="62"/>
  <c r="AC116" i="62"/>
  <c r="AD116" i="62"/>
  <c r="R108" i="62"/>
  <c r="AH108" i="62"/>
  <c r="C108" i="62"/>
  <c r="S108" i="62"/>
  <c r="D108" i="62"/>
  <c r="T108" i="62"/>
  <c r="AJ108" i="62"/>
  <c r="E108" i="62"/>
  <c r="U108" i="62"/>
  <c r="AK108" i="62"/>
  <c r="F108" i="62"/>
  <c r="V108" i="62"/>
  <c r="AL108" i="62"/>
  <c r="I108" i="62"/>
  <c r="Y108" i="62"/>
  <c r="J108" i="62"/>
  <c r="Z108" i="62"/>
  <c r="K108" i="62"/>
  <c r="AA108" i="62"/>
  <c r="M108" i="62"/>
  <c r="AC108" i="62"/>
  <c r="AE108" i="62"/>
  <c r="AF108" i="62"/>
  <c r="AG108" i="62"/>
  <c r="AM108" i="62"/>
  <c r="AN108" i="62"/>
  <c r="G108" i="62"/>
  <c r="H108" i="62"/>
  <c r="W108" i="62"/>
  <c r="X108" i="62"/>
  <c r="AB108" i="62"/>
  <c r="AD108" i="62"/>
  <c r="L108" i="62"/>
  <c r="N108" i="62"/>
  <c r="O108" i="62"/>
  <c r="P108" i="62"/>
  <c r="Q108" i="62"/>
  <c r="R100" i="62"/>
  <c r="AH100" i="62"/>
  <c r="C100" i="62"/>
  <c r="S100" i="62"/>
  <c r="D100" i="62"/>
  <c r="T100" i="62"/>
  <c r="AJ100" i="62"/>
  <c r="E100" i="62"/>
  <c r="U100" i="62"/>
  <c r="AK100" i="62"/>
  <c r="F100" i="62"/>
  <c r="V100" i="62"/>
  <c r="AL100" i="62"/>
  <c r="I100" i="62"/>
  <c r="Y100" i="62"/>
  <c r="J100" i="62"/>
  <c r="Z100" i="62"/>
  <c r="K100" i="62"/>
  <c r="AA100" i="62"/>
  <c r="M100" i="62"/>
  <c r="AC100" i="62"/>
  <c r="G100" i="62"/>
  <c r="H100" i="62"/>
  <c r="L100" i="62"/>
  <c r="N100" i="62"/>
  <c r="O100" i="62"/>
  <c r="P100" i="62"/>
  <c r="Q100" i="62"/>
  <c r="W100" i="62"/>
  <c r="AB100" i="62"/>
  <c r="AD100" i="62"/>
  <c r="AM100" i="62"/>
  <c r="AN100" i="62"/>
  <c r="X100" i="62"/>
  <c r="AE100" i="62"/>
  <c r="AF100" i="62"/>
  <c r="AG100" i="62"/>
  <c r="R92" i="62"/>
  <c r="AH92" i="62"/>
  <c r="D92" i="62"/>
  <c r="T92" i="62"/>
  <c r="AJ92" i="62"/>
  <c r="F92" i="62"/>
  <c r="G92" i="62"/>
  <c r="Y92" i="62"/>
  <c r="H92" i="62"/>
  <c r="Z92" i="62"/>
  <c r="I92" i="62"/>
  <c r="AA92" i="62"/>
  <c r="J92" i="62"/>
  <c r="AB92" i="62"/>
  <c r="K92" i="62"/>
  <c r="AC92" i="62"/>
  <c r="N92" i="62"/>
  <c r="AF92" i="62"/>
  <c r="O92" i="62"/>
  <c r="AG92" i="62"/>
  <c r="P92" i="62"/>
  <c r="S92" i="62"/>
  <c r="AL92" i="62"/>
  <c r="C92" i="62"/>
  <c r="E92" i="62"/>
  <c r="L92" i="62"/>
  <c r="M92" i="62"/>
  <c r="Q92" i="62"/>
  <c r="U92" i="62"/>
  <c r="V92" i="62"/>
  <c r="W92" i="62"/>
  <c r="AD92" i="62"/>
  <c r="AE92" i="62"/>
  <c r="AK92" i="62"/>
  <c r="AM92" i="62"/>
  <c r="X92" i="62"/>
  <c r="AN92" i="62"/>
  <c r="R84" i="62"/>
  <c r="AH84" i="62"/>
  <c r="C84" i="62"/>
  <c r="S84" i="62"/>
  <c r="D84" i="62"/>
  <c r="T84" i="62"/>
  <c r="AJ84" i="62"/>
  <c r="E84" i="62"/>
  <c r="U84" i="62"/>
  <c r="AK84" i="62"/>
  <c r="F84" i="62"/>
  <c r="V84" i="62"/>
  <c r="AL84" i="62"/>
  <c r="G84" i="62"/>
  <c r="W84" i="62"/>
  <c r="AM84" i="62"/>
  <c r="I84" i="62"/>
  <c r="Y84" i="62"/>
  <c r="AA84" i="62"/>
  <c r="AB84" i="62"/>
  <c r="AC84" i="62"/>
  <c r="AD84" i="62"/>
  <c r="AE84" i="62"/>
  <c r="K84" i="62"/>
  <c r="AN84" i="62"/>
  <c r="L84" i="62"/>
  <c r="M84" i="62"/>
  <c r="O84" i="62"/>
  <c r="H84" i="62"/>
  <c r="J84" i="62"/>
  <c r="N84" i="62"/>
  <c r="P84" i="62"/>
  <c r="Q84" i="62"/>
  <c r="X84" i="62"/>
  <c r="Z84" i="62"/>
  <c r="AF84" i="62"/>
  <c r="AG84" i="62"/>
  <c r="N76" i="62"/>
  <c r="R76" i="62"/>
  <c r="AH76" i="62"/>
  <c r="S76" i="62"/>
  <c r="C76" i="62"/>
  <c r="T76" i="62"/>
  <c r="AJ76" i="62"/>
  <c r="D76" i="62"/>
  <c r="U76" i="62"/>
  <c r="AK76" i="62"/>
  <c r="E76" i="62"/>
  <c r="V76" i="62"/>
  <c r="AL76" i="62"/>
  <c r="F76" i="62"/>
  <c r="W76" i="62"/>
  <c r="AM76" i="62"/>
  <c r="H76" i="62"/>
  <c r="Y76" i="62"/>
  <c r="I76" i="62"/>
  <c r="Z76" i="62"/>
  <c r="J76" i="62"/>
  <c r="AA76" i="62"/>
  <c r="K76" i="62"/>
  <c r="AB76" i="62"/>
  <c r="L76" i="62"/>
  <c r="AC76" i="62"/>
  <c r="P76" i="62"/>
  <c r="Q76" i="62"/>
  <c r="X76" i="62"/>
  <c r="AD76" i="62"/>
  <c r="AE76" i="62"/>
  <c r="AN76" i="62"/>
  <c r="AG76" i="62"/>
  <c r="G76" i="62"/>
  <c r="M76" i="62"/>
  <c r="AF76" i="62"/>
  <c r="O76" i="62"/>
  <c r="N68" i="62"/>
  <c r="AD68" i="62"/>
  <c r="O68" i="62"/>
  <c r="AE68" i="62"/>
  <c r="P68" i="62"/>
  <c r="AF68" i="62"/>
  <c r="Q68" i="62"/>
  <c r="AG68" i="62"/>
  <c r="R68" i="62"/>
  <c r="AH68" i="62"/>
  <c r="G68" i="62"/>
  <c r="AB68" i="62"/>
  <c r="H68" i="62"/>
  <c r="AC68" i="62"/>
  <c r="I68" i="62"/>
  <c r="J68" i="62"/>
  <c r="AJ68" i="62"/>
  <c r="K68" i="62"/>
  <c r="AK68" i="62"/>
  <c r="L68" i="62"/>
  <c r="AL68" i="62"/>
  <c r="S68" i="62"/>
  <c r="AN68" i="62"/>
  <c r="T68" i="62"/>
  <c r="U68" i="62"/>
  <c r="V68" i="62"/>
  <c r="W68" i="62"/>
  <c r="C68" i="62"/>
  <c r="X68" i="62"/>
  <c r="F68" i="62"/>
  <c r="M68" i="62"/>
  <c r="Y68" i="62"/>
  <c r="AA68" i="62"/>
  <c r="D68" i="62"/>
  <c r="E68" i="62"/>
  <c r="Z68" i="62"/>
  <c r="AM68" i="62"/>
  <c r="N60" i="62"/>
  <c r="AD60" i="62"/>
  <c r="O60" i="62"/>
  <c r="AE60" i="62"/>
  <c r="P60" i="62"/>
  <c r="AF60" i="62"/>
  <c r="Q60" i="62"/>
  <c r="AG60" i="62"/>
  <c r="R60" i="62"/>
  <c r="AH60" i="62"/>
  <c r="C60" i="62"/>
  <c r="S60" i="62"/>
  <c r="D60" i="62"/>
  <c r="T60" i="62"/>
  <c r="AJ60" i="62"/>
  <c r="E60" i="62"/>
  <c r="U60" i="62"/>
  <c r="AK60" i="62"/>
  <c r="AC60" i="62"/>
  <c r="F60" i="62"/>
  <c r="AL60" i="62"/>
  <c r="G60" i="62"/>
  <c r="AM60" i="62"/>
  <c r="H60" i="62"/>
  <c r="AN60" i="62"/>
  <c r="I60" i="62"/>
  <c r="J60" i="62"/>
  <c r="K60" i="62"/>
  <c r="L60" i="62"/>
  <c r="M60" i="62"/>
  <c r="V60" i="62"/>
  <c r="W60" i="62"/>
  <c r="X60" i="62"/>
  <c r="Y60" i="62"/>
  <c r="Z60" i="62"/>
  <c r="AA60" i="62"/>
  <c r="AB60" i="62"/>
  <c r="L52" i="62"/>
  <c r="AB52" i="62"/>
  <c r="M52" i="62"/>
  <c r="AC52" i="62"/>
  <c r="N52" i="62"/>
  <c r="AD52" i="62"/>
  <c r="P52" i="62"/>
  <c r="AF52" i="62"/>
  <c r="Q52" i="62"/>
  <c r="AG52" i="62"/>
  <c r="R52" i="62"/>
  <c r="AH52" i="62"/>
  <c r="D52" i="62"/>
  <c r="Z52" i="62"/>
  <c r="E52" i="62"/>
  <c r="AA52" i="62"/>
  <c r="F52" i="62"/>
  <c r="AE52" i="62"/>
  <c r="G52" i="62"/>
  <c r="H52" i="62"/>
  <c r="AJ52" i="62"/>
  <c r="I52" i="62"/>
  <c r="AK52" i="62"/>
  <c r="J52" i="62"/>
  <c r="AL52" i="62"/>
  <c r="K52" i="62"/>
  <c r="AM52" i="62"/>
  <c r="O52" i="62"/>
  <c r="AN52" i="62"/>
  <c r="T52" i="62"/>
  <c r="U52" i="62"/>
  <c r="V52" i="62"/>
  <c r="W52" i="62"/>
  <c r="X52" i="62"/>
  <c r="Y52" i="62"/>
  <c r="C52" i="62"/>
  <c r="S52" i="62"/>
  <c r="L44" i="62"/>
  <c r="AB44" i="62"/>
  <c r="M44" i="62"/>
  <c r="AC44" i="62"/>
  <c r="N44" i="62"/>
  <c r="AD44" i="62"/>
  <c r="O44" i="62"/>
  <c r="AE44" i="62"/>
  <c r="P44" i="62"/>
  <c r="AF44" i="62"/>
  <c r="Q44" i="62"/>
  <c r="AG44" i="62"/>
  <c r="R44" i="62"/>
  <c r="AH44" i="62"/>
  <c r="E44" i="62"/>
  <c r="U44" i="62"/>
  <c r="AK44" i="62"/>
  <c r="D44" i="62"/>
  <c r="AJ44" i="62"/>
  <c r="F44" i="62"/>
  <c r="AL44" i="62"/>
  <c r="G44" i="62"/>
  <c r="AM44" i="62"/>
  <c r="H44" i="62"/>
  <c r="AN44" i="62"/>
  <c r="I44" i="62"/>
  <c r="J44" i="62"/>
  <c r="K44" i="62"/>
  <c r="S44" i="62"/>
  <c r="T44" i="62"/>
  <c r="X44" i="62"/>
  <c r="C44" i="62"/>
  <c r="V44" i="62"/>
  <c r="W44" i="62"/>
  <c r="Y44" i="62"/>
  <c r="Z44" i="62"/>
  <c r="AA44" i="62"/>
  <c r="N36" i="62"/>
  <c r="AD36" i="62"/>
  <c r="R36" i="62"/>
  <c r="AH36" i="62"/>
  <c r="C36" i="62"/>
  <c r="S36" i="62"/>
  <c r="D36" i="62"/>
  <c r="T36" i="62"/>
  <c r="AJ36" i="62"/>
  <c r="E36" i="62"/>
  <c r="U36" i="62"/>
  <c r="AK36" i="62"/>
  <c r="F36" i="62"/>
  <c r="V36" i="62"/>
  <c r="AL36" i="62"/>
  <c r="L36" i="62"/>
  <c r="AB36" i="62"/>
  <c r="AC36" i="62"/>
  <c r="AE36" i="62"/>
  <c r="G36" i="62"/>
  <c r="AF36" i="62"/>
  <c r="H36" i="62"/>
  <c r="AG36" i="62"/>
  <c r="I36" i="62"/>
  <c r="AM36" i="62"/>
  <c r="J36" i="62"/>
  <c r="AN36" i="62"/>
  <c r="K36" i="62"/>
  <c r="P36" i="62"/>
  <c r="O36" i="62"/>
  <c r="Q36" i="62"/>
  <c r="W36" i="62"/>
  <c r="X36" i="62"/>
  <c r="Y36" i="62"/>
  <c r="Z36" i="62"/>
  <c r="AA36" i="62"/>
  <c r="M36" i="62"/>
  <c r="N28" i="62"/>
  <c r="AD28" i="62"/>
  <c r="O28" i="62"/>
  <c r="AE28" i="62"/>
  <c r="R28" i="62"/>
  <c r="AH28" i="62"/>
  <c r="C28" i="62"/>
  <c r="S28" i="62"/>
  <c r="D28" i="62"/>
  <c r="T28" i="62"/>
  <c r="AJ28" i="62"/>
  <c r="E28" i="62"/>
  <c r="U28" i="62"/>
  <c r="AK28" i="62"/>
  <c r="F28" i="62"/>
  <c r="V28" i="62"/>
  <c r="AL28" i="62"/>
  <c r="L28" i="62"/>
  <c r="AB28" i="62"/>
  <c r="P28" i="62"/>
  <c r="Q28" i="62"/>
  <c r="W28" i="62"/>
  <c r="X28" i="62"/>
  <c r="Y28" i="62"/>
  <c r="Z28" i="62"/>
  <c r="AA28" i="62"/>
  <c r="AC28" i="62"/>
  <c r="AG28" i="62"/>
  <c r="G28" i="62"/>
  <c r="H28" i="62"/>
  <c r="I28" i="62"/>
  <c r="J28" i="62"/>
  <c r="K28" i="62"/>
  <c r="M28" i="62"/>
  <c r="AF28" i="62"/>
  <c r="AM28" i="62"/>
  <c r="AN28" i="62"/>
  <c r="M20" i="62"/>
  <c r="AC20" i="62"/>
  <c r="N20" i="62"/>
  <c r="AD20" i="62"/>
  <c r="O20" i="62"/>
  <c r="AE20" i="62"/>
  <c r="R20" i="62"/>
  <c r="AH20" i="62"/>
  <c r="C20" i="62"/>
  <c r="S20" i="62"/>
  <c r="D20" i="62"/>
  <c r="T20" i="62"/>
  <c r="AJ20" i="62"/>
  <c r="E20" i="62"/>
  <c r="U20" i="62"/>
  <c r="AK20" i="62"/>
  <c r="F20" i="62"/>
  <c r="V20" i="62"/>
  <c r="AL20" i="62"/>
  <c r="L20" i="62"/>
  <c r="AB20" i="62"/>
  <c r="X20" i="62"/>
  <c r="Y20" i="62"/>
  <c r="Z20" i="62"/>
  <c r="AA20" i="62"/>
  <c r="AF20" i="62"/>
  <c r="AG20" i="62"/>
  <c r="AM20" i="62"/>
  <c r="AN20" i="62"/>
  <c r="H20" i="62"/>
  <c r="G20" i="62"/>
  <c r="I20" i="62"/>
  <c r="J20" i="62"/>
  <c r="K20" i="62"/>
  <c r="P20" i="62"/>
  <c r="Q20" i="62"/>
  <c r="W20" i="62"/>
  <c r="M12" i="62"/>
  <c r="AC12" i="62"/>
  <c r="N12" i="62"/>
  <c r="AD12" i="62"/>
  <c r="O12" i="62"/>
  <c r="AE12" i="62"/>
  <c r="P12" i="62"/>
  <c r="AF12" i="62"/>
  <c r="R12" i="62"/>
  <c r="AH12" i="62"/>
  <c r="C12" i="62"/>
  <c r="S12" i="62"/>
  <c r="D12" i="62"/>
  <c r="T12" i="62"/>
  <c r="AJ12" i="62"/>
  <c r="E12" i="62"/>
  <c r="U12" i="62"/>
  <c r="AK12" i="62"/>
  <c r="F12" i="62"/>
  <c r="V12" i="62"/>
  <c r="AL12" i="62"/>
  <c r="L12" i="62"/>
  <c r="AB12" i="62"/>
  <c r="J12" i="62"/>
  <c r="K12" i="62"/>
  <c r="Q12" i="62"/>
  <c r="W12" i="62"/>
  <c r="X12" i="62"/>
  <c r="Y12" i="62"/>
  <c r="Z12" i="62"/>
  <c r="AA12" i="62"/>
  <c r="AM12" i="62"/>
  <c r="AN12" i="62"/>
  <c r="G12" i="62"/>
  <c r="H12" i="62"/>
  <c r="I12" i="62"/>
  <c r="AG12" i="62"/>
  <c r="M4" i="62"/>
  <c r="AC4" i="62"/>
  <c r="N4" i="62"/>
  <c r="AD4" i="62"/>
  <c r="O4" i="62"/>
  <c r="AE4" i="62"/>
  <c r="P4" i="62"/>
  <c r="AF4" i="62"/>
  <c r="R4" i="62"/>
  <c r="AH4" i="62"/>
  <c r="C4" i="62"/>
  <c r="S4" i="62"/>
  <c r="D4" i="62"/>
  <c r="T4" i="62"/>
  <c r="AJ4" i="62"/>
  <c r="E4" i="62"/>
  <c r="U4" i="62"/>
  <c r="AK4" i="62"/>
  <c r="F4" i="62"/>
  <c r="V4" i="62"/>
  <c r="AL4" i="62"/>
  <c r="L4" i="62"/>
  <c r="AB4" i="62"/>
  <c r="Q4" i="62"/>
  <c r="W4" i="62"/>
  <c r="X4" i="62"/>
  <c r="Y4" i="62"/>
  <c r="Z4" i="62"/>
  <c r="AA4" i="62"/>
  <c r="AG4" i="62"/>
  <c r="AM4" i="62"/>
  <c r="G4" i="62"/>
  <c r="H4" i="62"/>
  <c r="I4" i="62"/>
  <c r="J4" i="62"/>
  <c r="K4" i="62"/>
  <c r="AN4" i="62"/>
  <c r="AJ2" i="62"/>
  <c r="S2" i="62"/>
  <c r="AM199" i="62"/>
  <c r="V199" i="62"/>
  <c r="E199" i="62"/>
  <c r="Z198" i="62"/>
  <c r="I198" i="62"/>
  <c r="AD197" i="62"/>
  <c r="M197" i="62"/>
  <c r="AH196" i="62"/>
  <c r="Q196" i="62"/>
  <c r="AL195" i="62"/>
  <c r="S195" i="62"/>
  <c r="AK194" i="62"/>
  <c r="Q194" i="62"/>
  <c r="AC193" i="62"/>
  <c r="H193" i="62"/>
  <c r="U192" i="62"/>
  <c r="AK191" i="62"/>
  <c r="I191" i="62"/>
  <c r="Y190" i="62"/>
  <c r="M189" i="62"/>
  <c r="W188" i="62"/>
  <c r="AG187" i="62"/>
  <c r="K187" i="62"/>
  <c r="U186" i="62"/>
  <c r="AK185" i="62"/>
  <c r="I185" i="62"/>
  <c r="S184" i="62"/>
  <c r="G183" i="62"/>
  <c r="W182" i="62"/>
  <c r="AG181" i="62"/>
  <c r="E181" i="62"/>
  <c r="U180" i="62"/>
  <c r="AE179" i="62"/>
  <c r="AM178" i="62"/>
  <c r="E178" i="62"/>
  <c r="I177" i="62"/>
  <c r="E176" i="62"/>
  <c r="H175" i="62"/>
  <c r="F174" i="62"/>
  <c r="AA172" i="62"/>
  <c r="AL170" i="62"/>
  <c r="T169" i="62"/>
  <c r="P167" i="62"/>
  <c r="AC164" i="62"/>
  <c r="AL161" i="62"/>
  <c r="Z159" i="62"/>
  <c r="AJ156" i="62"/>
  <c r="Y153" i="62"/>
  <c r="J150" i="62"/>
  <c r="AD145" i="62"/>
  <c r="AH136" i="62"/>
  <c r="I117" i="62"/>
  <c r="R2" i="62"/>
  <c r="AL199" i="62"/>
  <c r="U199" i="62"/>
  <c r="D199" i="62"/>
  <c r="Y198" i="62"/>
  <c r="H198" i="62"/>
  <c r="AC197" i="62"/>
  <c r="L197" i="62"/>
  <c r="AG196" i="62"/>
  <c r="P196" i="62"/>
  <c r="AK195" i="62"/>
  <c r="AJ194" i="62"/>
  <c r="P194" i="62"/>
  <c r="AB193" i="62"/>
  <c r="G193" i="62"/>
  <c r="S192" i="62"/>
  <c r="AJ191" i="62"/>
  <c r="H191" i="62"/>
  <c r="X190" i="62"/>
  <c r="AH189" i="62"/>
  <c r="G189" i="62"/>
  <c r="V188" i="62"/>
  <c r="AF187" i="62"/>
  <c r="T186" i="62"/>
  <c r="AE185" i="62"/>
  <c r="H185" i="62"/>
  <c r="R184" i="62"/>
  <c r="AH183" i="62"/>
  <c r="F183" i="62"/>
  <c r="Q182" i="62"/>
  <c r="AF181" i="62"/>
  <c r="D181" i="62"/>
  <c r="T180" i="62"/>
  <c r="AL178" i="62"/>
  <c r="D178" i="62"/>
  <c r="F177" i="62"/>
  <c r="C176" i="62"/>
  <c r="G175" i="62"/>
  <c r="E174" i="62"/>
  <c r="N172" i="62"/>
  <c r="AG170" i="62"/>
  <c r="Q169" i="62"/>
  <c r="AL166" i="62"/>
  <c r="AB164" i="62"/>
  <c r="AK161" i="62"/>
  <c r="J159" i="62"/>
  <c r="X153" i="62"/>
  <c r="AB149" i="62"/>
  <c r="Y145" i="62"/>
  <c r="AG136" i="62"/>
  <c r="R195" i="62"/>
  <c r="AH195" i="62"/>
  <c r="D195" i="62"/>
  <c r="T195" i="62"/>
  <c r="F195" i="62"/>
  <c r="V195" i="62"/>
  <c r="R187" i="62"/>
  <c r="AH187" i="62"/>
  <c r="D187" i="62"/>
  <c r="T187" i="62"/>
  <c r="AJ187" i="62"/>
  <c r="E187" i="62"/>
  <c r="U187" i="62"/>
  <c r="AK187" i="62"/>
  <c r="F187" i="62"/>
  <c r="V187" i="62"/>
  <c r="AL187" i="62"/>
  <c r="G187" i="62"/>
  <c r="W187" i="62"/>
  <c r="AM187" i="62"/>
  <c r="H187" i="62"/>
  <c r="X187" i="62"/>
  <c r="AN187" i="62"/>
  <c r="R179" i="62"/>
  <c r="AH179" i="62"/>
  <c r="D179" i="62"/>
  <c r="T179" i="62"/>
  <c r="AJ179" i="62"/>
  <c r="E179" i="62"/>
  <c r="U179" i="62"/>
  <c r="AK179" i="62"/>
  <c r="F179" i="62"/>
  <c r="V179" i="62"/>
  <c r="AL179" i="62"/>
  <c r="G179" i="62"/>
  <c r="W179" i="62"/>
  <c r="AM179" i="62"/>
  <c r="H179" i="62"/>
  <c r="X179" i="62"/>
  <c r="AN179" i="62"/>
  <c r="I179" i="62"/>
  <c r="K179" i="62"/>
  <c r="L171" i="62"/>
  <c r="AB171" i="62"/>
  <c r="M171" i="62"/>
  <c r="AC171" i="62"/>
  <c r="N171" i="62"/>
  <c r="AD171" i="62"/>
  <c r="O171" i="62"/>
  <c r="AE171" i="62"/>
  <c r="F171" i="62"/>
  <c r="V171" i="62"/>
  <c r="AL171" i="62"/>
  <c r="G171" i="62"/>
  <c r="W171" i="62"/>
  <c r="AM171" i="62"/>
  <c r="Y171" i="62"/>
  <c r="C171" i="62"/>
  <c r="AA171" i="62"/>
  <c r="D171" i="62"/>
  <c r="AF171" i="62"/>
  <c r="E171" i="62"/>
  <c r="AG171" i="62"/>
  <c r="H171" i="62"/>
  <c r="AH171" i="62"/>
  <c r="I171" i="62"/>
  <c r="J171" i="62"/>
  <c r="AJ171" i="62"/>
  <c r="P171" i="62"/>
  <c r="AN171" i="62"/>
  <c r="Q171" i="62"/>
  <c r="L163" i="62"/>
  <c r="AB163" i="62"/>
  <c r="M163" i="62"/>
  <c r="AC163" i="62"/>
  <c r="N163" i="62"/>
  <c r="AD163" i="62"/>
  <c r="O163" i="62"/>
  <c r="AE163" i="62"/>
  <c r="P163" i="62"/>
  <c r="AF163" i="62"/>
  <c r="D163" i="62"/>
  <c r="T163" i="62"/>
  <c r="AJ163" i="62"/>
  <c r="E163" i="62"/>
  <c r="U163" i="62"/>
  <c r="AK163" i="62"/>
  <c r="F163" i="62"/>
  <c r="V163" i="62"/>
  <c r="AL163" i="62"/>
  <c r="G163" i="62"/>
  <c r="W163" i="62"/>
  <c r="AM163" i="62"/>
  <c r="AN163" i="62"/>
  <c r="H163" i="62"/>
  <c r="I163" i="62"/>
  <c r="J163" i="62"/>
  <c r="K163" i="62"/>
  <c r="Q163" i="62"/>
  <c r="R163" i="62"/>
  <c r="X163" i="62"/>
  <c r="Y163" i="62"/>
  <c r="Z163" i="62"/>
  <c r="K155" i="62"/>
  <c r="AA155" i="62"/>
  <c r="L155" i="62"/>
  <c r="AB155" i="62"/>
  <c r="M155" i="62"/>
  <c r="AC155" i="62"/>
  <c r="N155" i="62"/>
  <c r="AD155" i="62"/>
  <c r="O155" i="62"/>
  <c r="AE155" i="62"/>
  <c r="P155" i="62"/>
  <c r="AF155" i="62"/>
  <c r="D155" i="62"/>
  <c r="T155" i="62"/>
  <c r="AJ155" i="62"/>
  <c r="E155" i="62"/>
  <c r="U155" i="62"/>
  <c r="AK155" i="62"/>
  <c r="F155" i="62"/>
  <c r="V155" i="62"/>
  <c r="AL155" i="62"/>
  <c r="G155" i="62"/>
  <c r="W155" i="62"/>
  <c r="AM155" i="62"/>
  <c r="C155" i="62"/>
  <c r="H155" i="62"/>
  <c r="I155" i="62"/>
  <c r="J155" i="62"/>
  <c r="Q155" i="62"/>
  <c r="R155" i="62"/>
  <c r="X155" i="62"/>
  <c r="Y155" i="62"/>
  <c r="Z155" i="62"/>
  <c r="C147" i="62"/>
  <c r="S147" i="62"/>
  <c r="D147" i="62"/>
  <c r="T147" i="62"/>
  <c r="AJ147" i="62"/>
  <c r="E147" i="62"/>
  <c r="U147" i="62"/>
  <c r="AK147" i="62"/>
  <c r="F147" i="62"/>
  <c r="V147" i="62"/>
  <c r="AL147" i="62"/>
  <c r="G147" i="62"/>
  <c r="W147" i="62"/>
  <c r="AM147" i="62"/>
  <c r="H147" i="62"/>
  <c r="X147" i="62"/>
  <c r="AN147" i="62"/>
  <c r="M147" i="62"/>
  <c r="N147" i="62"/>
  <c r="O147" i="62"/>
  <c r="P147" i="62"/>
  <c r="Q147" i="62"/>
  <c r="R147" i="62"/>
  <c r="AB147" i="62"/>
  <c r="AC147" i="62"/>
  <c r="AD147" i="62"/>
  <c r="I147" i="62"/>
  <c r="AE147" i="62"/>
  <c r="AG147" i="62"/>
  <c r="J147" i="62"/>
  <c r="K147" i="62"/>
  <c r="L147" i="62"/>
  <c r="C139" i="62"/>
  <c r="S139" i="62"/>
  <c r="D139" i="62"/>
  <c r="T139" i="62"/>
  <c r="AJ139" i="62"/>
  <c r="E139" i="62"/>
  <c r="U139" i="62"/>
  <c r="AK139" i="62"/>
  <c r="F139" i="62"/>
  <c r="V139" i="62"/>
  <c r="AL139" i="62"/>
  <c r="G139" i="62"/>
  <c r="W139" i="62"/>
  <c r="AM139" i="62"/>
  <c r="H139" i="62"/>
  <c r="X139" i="62"/>
  <c r="AN139" i="62"/>
  <c r="I139" i="62"/>
  <c r="Y139" i="62"/>
  <c r="J139" i="62"/>
  <c r="Z139" i="62"/>
  <c r="K139" i="62"/>
  <c r="AA139" i="62"/>
  <c r="L139" i="62"/>
  <c r="AD139" i="62"/>
  <c r="AE139" i="62"/>
  <c r="AF139" i="62"/>
  <c r="AG139" i="62"/>
  <c r="AH139" i="62"/>
  <c r="N139" i="62"/>
  <c r="O139" i="62"/>
  <c r="P139" i="62"/>
  <c r="Q139" i="62"/>
  <c r="M139" i="62"/>
  <c r="J131" i="62"/>
  <c r="Z131" i="62"/>
  <c r="H131" i="62"/>
  <c r="Y131" i="62"/>
  <c r="I131" i="62"/>
  <c r="AA131" i="62"/>
  <c r="K131" i="62"/>
  <c r="AB131" i="62"/>
  <c r="L131" i="62"/>
  <c r="AC131" i="62"/>
  <c r="M131" i="62"/>
  <c r="AD131" i="62"/>
  <c r="N131" i="62"/>
  <c r="AE131" i="62"/>
  <c r="O131" i="62"/>
  <c r="AF131" i="62"/>
  <c r="P131" i="62"/>
  <c r="AG131" i="62"/>
  <c r="Q131" i="62"/>
  <c r="AH131" i="62"/>
  <c r="R131" i="62"/>
  <c r="C131" i="62"/>
  <c r="T131" i="62"/>
  <c r="AK131" i="62"/>
  <c r="D131" i="62"/>
  <c r="E131" i="62"/>
  <c r="F131" i="62"/>
  <c r="G131" i="62"/>
  <c r="S131" i="62"/>
  <c r="X131" i="62"/>
  <c r="AJ131" i="62"/>
  <c r="AL131" i="62"/>
  <c r="AM131" i="62"/>
  <c r="U131" i="62"/>
  <c r="V131" i="62"/>
  <c r="AN131" i="62"/>
  <c r="I123" i="62"/>
  <c r="Y123" i="62"/>
  <c r="J123" i="62"/>
  <c r="Z123" i="62"/>
  <c r="M123" i="62"/>
  <c r="AC123" i="62"/>
  <c r="G123" i="62"/>
  <c r="AB123" i="62"/>
  <c r="H123" i="62"/>
  <c r="AD123" i="62"/>
  <c r="K123" i="62"/>
  <c r="AE123" i="62"/>
  <c r="L123" i="62"/>
  <c r="AF123" i="62"/>
  <c r="N123" i="62"/>
  <c r="AG123" i="62"/>
  <c r="O123" i="62"/>
  <c r="AH123" i="62"/>
  <c r="P123" i="62"/>
  <c r="Q123" i="62"/>
  <c r="AJ123" i="62"/>
  <c r="R123" i="62"/>
  <c r="AK123" i="62"/>
  <c r="S123" i="62"/>
  <c r="AL123" i="62"/>
  <c r="U123" i="62"/>
  <c r="AN123" i="62"/>
  <c r="C123" i="62"/>
  <c r="V123" i="62"/>
  <c r="T123" i="62"/>
  <c r="W123" i="62"/>
  <c r="X123" i="62"/>
  <c r="AA123" i="62"/>
  <c r="AM123" i="62"/>
  <c r="D123" i="62"/>
  <c r="E123" i="62"/>
  <c r="H115" i="62"/>
  <c r="X115" i="62"/>
  <c r="I115" i="62"/>
  <c r="J115" i="62"/>
  <c r="Z115" i="62"/>
  <c r="K115" i="62"/>
  <c r="AA115" i="62"/>
  <c r="L115" i="62"/>
  <c r="O115" i="62"/>
  <c r="P115" i="62"/>
  <c r="Q115" i="62"/>
  <c r="C115" i="62"/>
  <c r="S115" i="62"/>
  <c r="U115" i="62"/>
  <c r="AN115" i="62"/>
  <c r="V115" i="62"/>
  <c r="W115" i="62"/>
  <c r="Y115" i="62"/>
  <c r="AB115" i="62"/>
  <c r="AD115" i="62"/>
  <c r="F115" i="62"/>
  <c r="G115" i="62"/>
  <c r="M115" i="62"/>
  <c r="N115" i="62"/>
  <c r="R115" i="62"/>
  <c r="T115" i="62"/>
  <c r="AC115" i="62"/>
  <c r="AE115" i="62"/>
  <c r="AF115" i="62"/>
  <c r="AG115" i="62"/>
  <c r="AJ115" i="62"/>
  <c r="AK115" i="62"/>
  <c r="D115" i="62"/>
  <c r="AM115" i="62"/>
  <c r="E115" i="62"/>
  <c r="H107" i="62"/>
  <c r="X107" i="62"/>
  <c r="AN107" i="62"/>
  <c r="I107" i="62"/>
  <c r="Y107" i="62"/>
  <c r="J107" i="62"/>
  <c r="Z107" i="62"/>
  <c r="K107" i="62"/>
  <c r="AA107" i="62"/>
  <c r="L107" i="62"/>
  <c r="AB107" i="62"/>
  <c r="O107" i="62"/>
  <c r="AE107" i="62"/>
  <c r="P107" i="62"/>
  <c r="AF107" i="62"/>
  <c r="Q107" i="62"/>
  <c r="AG107" i="62"/>
  <c r="C107" i="62"/>
  <c r="S107" i="62"/>
  <c r="AH107" i="62"/>
  <c r="AJ107" i="62"/>
  <c r="AK107" i="62"/>
  <c r="D107" i="62"/>
  <c r="AL107" i="62"/>
  <c r="E107" i="62"/>
  <c r="AM107" i="62"/>
  <c r="F107" i="62"/>
  <c r="G107" i="62"/>
  <c r="M107" i="62"/>
  <c r="N107" i="62"/>
  <c r="R107" i="62"/>
  <c r="T107" i="62"/>
  <c r="U107" i="62"/>
  <c r="V107" i="62"/>
  <c r="W107" i="62"/>
  <c r="AC107" i="62"/>
  <c r="H99" i="62"/>
  <c r="X99" i="62"/>
  <c r="AN99" i="62"/>
  <c r="I99" i="62"/>
  <c r="Y99" i="62"/>
  <c r="J99" i="62"/>
  <c r="Z99" i="62"/>
  <c r="K99" i="62"/>
  <c r="AA99" i="62"/>
  <c r="L99" i="62"/>
  <c r="AB99" i="62"/>
  <c r="O99" i="62"/>
  <c r="AE99" i="62"/>
  <c r="P99" i="62"/>
  <c r="AF99" i="62"/>
  <c r="Q99" i="62"/>
  <c r="AG99" i="62"/>
  <c r="C99" i="62"/>
  <c r="S99" i="62"/>
  <c r="F99" i="62"/>
  <c r="G99" i="62"/>
  <c r="M99" i="62"/>
  <c r="N99" i="62"/>
  <c r="R99" i="62"/>
  <c r="T99" i="62"/>
  <c r="U99" i="62"/>
  <c r="V99" i="62"/>
  <c r="AC99" i="62"/>
  <c r="AD99" i="62"/>
  <c r="AH99" i="62"/>
  <c r="D99" i="62"/>
  <c r="E99" i="62"/>
  <c r="W99" i="62"/>
  <c r="AJ99" i="62"/>
  <c r="AK99" i="62"/>
  <c r="AM99" i="62"/>
  <c r="AL99" i="62"/>
  <c r="H91" i="62"/>
  <c r="X91" i="62"/>
  <c r="AN91" i="62"/>
  <c r="J91" i="62"/>
  <c r="Z91" i="62"/>
  <c r="L91" i="62"/>
  <c r="AB91" i="62"/>
  <c r="D91" i="62"/>
  <c r="W91" i="62"/>
  <c r="E91" i="62"/>
  <c r="Y91" i="62"/>
  <c r="F91" i="62"/>
  <c r="AA91" i="62"/>
  <c r="G91" i="62"/>
  <c r="AC91" i="62"/>
  <c r="I91" i="62"/>
  <c r="AD91" i="62"/>
  <c r="N91" i="62"/>
  <c r="AG91" i="62"/>
  <c r="O91" i="62"/>
  <c r="AH91" i="62"/>
  <c r="P91" i="62"/>
  <c r="R91" i="62"/>
  <c r="AK91" i="62"/>
  <c r="C91" i="62"/>
  <c r="K91" i="62"/>
  <c r="M91" i="62"/>
  <c r="Q91" i="62"/>
  <c r="S91" i="62"/>
  <c r="T91" i="62"/>
  <c r="U91" i="62"/>
  <c r="V91" i="62"/>
  <c r="AE91" i="62"/>
  <c r="AF91" i="62"/>
  <c r="AJ91" i="62"/>
  <c r="AL91" i="62"/>
  <c r="AM91" i="62"/>
  <c r="H83" i="62"/>
  <c r="X83" i="62"/>
  <c r="AN83" i="62"/>
  <c r="I83" i="62"/>
  <c r="Y83" i="62"/>
  <c r="J83" i="62"/>
  <c r="Z83" i="62"/>
  <c r="K83" i="62"/>
  <c r="AA83" i="62"/>
  <c r="L83" i="62"/>
  <c r="AB83" i="62"/>
  <c r="M83" i="62"/>
  <c r="AC83" i="62"/>
  <c r="O83" i="62"/>
  <c r="AE83" i="62"/>
  <c r="E83" i="62"/>
  <c r="F83" i="62"/>
  <c r="AJ83" i="62"/>
  <c r="G83" i="62"/>
  <c r="AK83" i="62"/>
  <c r="N83" i="62"/>
  <c r="AL83" i="62"/>
  <c r="P83" i="62"/>
  <c r="AM83" i="62"/>
  <c r="S83" i="62"/>
  <c r="T83" i="62"/>
  <c r="U83" i="62"/>
  <c r="W83" i="62"/>
  <c r="Q83" i="62"/>
  <c r="R83" i="62"/>
  <c r="V83" i="62"/>
  <c r="AD83" i="62"/>
  <c r="AF83" i="62"/>
  <c r="AG83" i="62"/>
  <c r="AH83" i="62"/>
  <c r="C83" i="62"/>
  <c r="D83" i="62"/>
  <c r="D75" i="62"/>
  <c r="T75" i="62"/>
  <c r="AJ75" i="62"/>
  <c r="F75" i="62"/>
  <c r="V75" i="62"/>
  <c r="AL75" i="62"/>
  <c r="G75" i="62"/>
  <c r="W75" i="62"/>
  <c r="AM75" i="62"/>
  <c r="H75" i="62"/>
  <c r="Q75" i="62"/>
  <c r="AK75" i="62"/>
  <c r="R75" i="62"/>
  <c r="AN75" i="62"/>
  <c r="S75" i="62"/>
  <c r="U75" i="62"/>
  <c r="X75" i="62"/>
  <c r="Y75" i="62"/>
  <c r="E75" i="62"/>
  <c r="AA75" i="62"/>
  <c r="I75" i="62"/>
  <c r="AB75" i="62"/>
  <c r="J75" i="62"/>
  <c r="AC75" i="62"/>
  <c r="K75" i="62"/>
  <c r="AD75" i="62"/>
  <c r="L75" i="62"/>
  <c r="AE75" i="62"/>
  <c r="M75" i="62"/>
  <c r="C75" i="62"/>
  <c r="P75" i="62"/>
  <c r="Z75" i="62"/>
  <c r="AF75" i="62"/>
  <c r="AH75" i="62"/>
  <c r="N75" i="62"/>
  <c r="O75" i="62"/>
  <c r="AG75" i="62"/>
  <c r="D67" i="62"/>
  <c r="T67" i="62"/>
  <c r="AJ67" i="62"/>
  <c r="E67" i="62"/>
  <c r="U67" i="62"/>
  <c r="AK67" i="62"/>
  <c r="F67" i="62"/>
  <c r="V67" i="62"/>
  <c r="AL67" i="62"/>
  <c r="G67" i="62"/>
  <c r="W67" i="62"/>
  <c r="AM67" i="62"/>
  <c r="H67" i="62"/>
  <c r="X67" i="62"/>
  <c r="AN67" i="62"/>
  <c r="S67" i="62"/>
  <c r="Y67" i="62"/>
  <c r="Z67" i="62"/>
  <c r="AA67" i="62"/>
  <c r="AB67" i="62"/>
  <c r="C67" i="62"/>
  <c r="AC67" i="62"/>
  <c r="J67" i="62"/>
  <c r="AE67" i="62"/>
  <c r="K67" i="62"/>
  <c r="AF67" i="62"/>
  <c r="L67" i="62"/>
  <c r="AG67" i="62"/>
  <c r="M67" i="62"/>
  <c r="AH67" i="62"/>
  <c r="N67" i="62"/>
  <c r="O67" i="62"/>
  <c r="I67" i="62"/>
  <c r="P67" i="62"/>
  <c r="Q67" i="62"/>
  <c r="R67" i="62"/>
  <c r="AD67" i="62"/>
  <c r="D59" i="62"/>
  <c r="T59" i="62"/>
  <c r="AJ59" i="62"/>
  <c r="E59" i="62"/>
  <c r="U59" i="62"/>
  <c r="AK59" i="62"/>
  <c r="F59" i="62"/>
  <c r="V59" i="62"/>
  <c r="AL59" i="62"/>
  <c r="G59" i="62"/>
  <c r="W59" i="62"/>
  <c r="AM59" i="62"/>
  <c r="H59" i="62"/>
  <c r="X59" i="62"/>
  <c r="AN59" i="62"/>
  <c r="I59" i="62"/>
  <c r="Y59" i="62"/>
  <c r="J59" i="62"/>
  <c r="Z59" i="62"/>
  <c r="K59" i="62"/>
  <c r="AA59" i="62"/>
  <c r="C59" i="62"/>
  <c r="L59" i="62"/>
  <c r="M59" i="62"/>
  <c r="N59" i="62"/>
  <c r="O59" i="62"/>
  <c r="P59" i="62"/>
  <c r="Q59" i="62"/>
  <c r="R59" i="62"/>
  <c r="S59" i="62"/>
  <c r="AB59" i="62"/>
  <c r="AC59" i="62"/>
  <c r="AD59" i="62"/>
  <c r="AE59" i="62"/>
  <c r="AF59" i="62"/>
  <c r="AG59" i="62"/>
  <c r="AH59" i="62"/>
  <c r="R51" i="62"/>
  <c r="AH51" i="62"/>
  <c r="C51" i="62"/>
  <c r="S51" i="62"/>
  <c r="D51" i="62"/>
  <c r="T51" i="62"/>
  <c r="AJ51" i="62"/>
  <c r="F51" i="62"/>
  <c r="V51" i="62"/>
  <c r="AL51" i="62"/>
  <c r="G51" i="62"/>
  <c r="W51" i="62"/>
  <c r="AM51" i="62"/>
  <c r="H51" i="62"/>
  <c r="X51" i="62"/>
  <c r="AN51" i="62"/>
  <c r="N51" i="62"/>
  <c r="O51" i="62"/>
  <c r="P51" i="62"/>
  <c r="Q51" i="62"/>
  <c r="U51" i="62"/>
  <c r="Y51" i="62"/>
  <c r="Z51" i="62"/>
  <c r="AA51" i="62"/>
  <c r="AB51" i="62"/>
  <c r="E51" i="62"/>
  <c r="I51" i="62"/>
  <c r="J51" i="62"/>
  <c r="K51" i="62"/>
  <c r="L51" i="62"/>
  <c r="M51" i="62"/>
  <c r="AC51" i="62"/>
  <c r="AD51" i="62"/>
  <c r="AE51" i="62"/>
  <c r="AF51" i="62"/>
  <c r="AG51" i="62"/>
  <c r="AK51" i="62"/>
  <c r="R43" i="62"/>
  <c r="AH43" i="62"/>
  <c r="C43" i="62"/>
  <c r="S43" i="62"/>
  <c r="D43" i="62"/>
  <c r="T43" i="62"/>
  <c r="AJ43" i="62"/>
  <c r="E43" i="62"/>
  <c r="U43" i="62"/>
  <c r="AK43" i="62"/>
  <c r="F43" i="62"/>
  <c r="V43" i="62"/>
  <c r="AL43" i="62"/>
  <c r="G43" i="62"/>
  <c r="W43" i="62"/>
  <c r="AM43" i="62"/>
  <c r="H43" i="62"/>
  <c r="X43" i="62"/>
  <c r="AN43" i="62"/>
  <c r="K43" i="62"/>
  <c r="AA43" i="62"/>
  <c r="J43" i="62"/>
  <c r="L43" i="62"/>
  <c r="M43" i="62"/>
  <c r="N43" i="62"/>
  <c r="O43" i="62"/>
  <c r="P43" i="62"/>
  <c r="Q43" i="62"/>
  <c r="Y43" i="62"/>
  <c r="Z43" i="62"/>
  <c r="AD43" i="62"/>
  <c r="AC43" i="62"/>
  <c r="AE43" i="62"/>
  <c r="AF43" i="62"/>
  <c r="AG43" i="62"/>
  <c r="I43" i="62"/>
  <c r="AB43" i="62"/>
  <c r="D35" i="62"/>
  <c r="T35" i="62"/>
  <c r="AJ35" i="62"/>
  <c r="E35" i="62"/>
  <c r="U35" i="62"/>
  <c r="AK35" i="62"/>
  <c r="H35" i="62"/>
  <c r="X35" i="62"/>
  <c r="AN35" i="62"/>
  <c r="I35" i="62"/>
  <c r="Y35" i="62"/>
  <c r="J35" i="62"/>
  <c r="Z35" i="62"/>
  <c r="K35" i="62"/>
  <c r="AA35" i="62"/>
  <c r="L35" i="62"/>
  <c r="AB35" i="62"/>
  <c r="R35" i="62"/>
  <c r="AH35" i="62"/>
  <c r="F35" i="62"/>
  <c r="AL35" i="62"/>
  <c r="G35" i="62"/>
  <c r="AM35" i="62"/>
  <c r="M35" i="62"/>
  <c r="N35" i="62"/>
  <c r="O35" i="62"/>
  <c r="P35" i="62"/>
  <c r="Q35" i="62"/>
  <c r="W35" i="62"/>
  <c r="C35" i="62"/>
  <c r="S35" i="62"/>
  <c r="V35" i="62"/>
  <c r="AC35" i="62"/>
  <c r="AD35" i="62"/>
  <c r="AE35" i="62"/>
  <c r="AF35" i="62"/>
  <c r="AG35" i="62"/>
  <c r="D27" i="62"/>
  <c r="T27" i="62"/>
  <c r="AJ27" i="62"/>
  <c r="E27" i="62"/>
  <c r="U27" i="62"/>
  <c r="AK27" i="62"/>
  <c r="H27" i="62"/>
  <c r="X27" i="62"/>
  <c r="AN27" i="62"/>
  <c r="I27" i="62"/>
  <c r="Y27" i="62"/>
  <c r="J27" i="62"/>
  <c r="Z27" i="62"/>
  <c r="K27" i="62"/>
  <c r="AA27" i="62"/>
  <c r="L27" i="62"/>
  <c r="AB27" i="62"/>
  <c r="R27" i="62"/>
  <c r="AH27" i="62"/>
  <c r="V27" i="62"/>
  <c r="W27" i="62"/>
  <c r="AC27" i="62"/>
  <c r="AD27" i="62"/>
  <c r="AE27" i="62"/>
  <c r="AF27" i="62"/>
  <c r="AG27" i="62"/>
  <c r="C27" i="62"/>
  <c r="G27" i="62"/>
  <c r="AM27" i="62"/>
  <c r="O27" i="62"/>
  <c r="P27" i="62"/>
  <c r="Q27" i="62"/>
  <c r="S27" i="62"/>
  <c r="AL27" i="62"/>
  <c r="N27" i="62"/>
  <c r="F27" i="62"/>
  <c r="M27" i="62"/>
  <c r="C19" i="62"/>
  <c r="S19" i="62"/>
  <c r="D19" i="62"/>
  <c r="T19" i="62"/>
  <c r="AJ19" i="62"/>
  <c r="E19" i="62"/>
  <c r="U19" i="62"/>
  <c r="AK19" i="62"/>
  <c r="H19" i="62"/>
  <c r="X19" i="62"/>
  <c r="AN19" i="62"/>
  <c r="I19" i="62"/>
  <c r="Y19" i="62"/>
  <c r="J19" i="62"/>
  <c r="Z19" i="62"/>
  <c r="K19" i="62"/>
  <c r="AA19" i="62"/>
  <c r="L19" i="62"/>
  <c r="AB19" i="62"/>
  <c r="R19" i="62"/>
  <c r="AH19" i="62"/>
  <c r="W19" i="62"/>
  <c r="AC19" i="62"/>
  <c r="AD19" i="62"/>
  <c r="AE19" i="62"/>
  <c r="AF19" i="62"/>
  <c r="AG19" i="62"/>
  <c r="AL19" i="62"/>
  <c r="AM19" i="62"/>
  <c r="G19" i="62"/>
  <c r="N19" i="62"/>
  <c r="O19" i="62"/>
  <c r="P19" i="62"/>
  <c r="Q19" i="62"/>
  <c r="V19" i="62"/>
  <c r="M19" i="62"/>
  <c r="F19" i="62"/>
  <c r="C11" i="62"/>
  <c r="S11" i="62"/>
  <c r="D11" i="62"/>
  <c r="T11" i="62"/>
  <c r="AJ11" i="62"/>
  <c r="E11" i="62"/>
  <c r="U11" i="62"/>
  <c r="AK11" i="62"/>
  <c r="F11" i="62"/>
  <c r="V11" i="62"/>
  <c r="AL11" i="62"/>
  <c r="H11" i="62"/>
  <c r="X11" i="62"/>
  <c r="AN11" i="62"/>
  <c r="I11" i="62"/>
  <c r="Y11" i="62"/>
  <c r="J11" i="62"/>
  <c r="Z11" i="62"/>
  <c r="K11" i="62"/>
  <c r="AA11" i="62"/>
  <c r="L11" i="62"/>
  <c r="AB11" i="62"/>
  <c r="R11" i="62"/>
  <c r="AH11" i="62"/>
  <c r="G11" i="62"/>
  <c r="M11" i="62"/>
  <c r="N11" i="62"/>
  <c r="O11" i="62"/>
  <c r="P11" i="62"/>
  <c r="Q11" i="62"/>
  <c r="W11" i="62"/>
  <c r="AC11" i="62"/>
  <c r="AE11" i="62"/>
  <c r="AF11" i="62"/>
  <c r="AD11" i="62"/>
  <c r="AG11" i="62"/>
  <c r="AM11" i="62"/>
  <c r="C3" i="62"/>
  <c r="S3" i="62"/>
  <c r="D3" i="62"/>
  <c r="T3" i="62"/>
  <c r="AJ3" i="62"/>
  <c r="E3" i="62"/>
  <c r="U3" i="62"/>
  <c r="AK3" i="62"/>
  <c r="F3" i="62"/>
  <c r="V3" i="62"/>
  <c r="AL3" i="62"/>
  <c r="G3" i="62"/>
  <c r="H3" i="62"/>
  <c r="X3" i="62"/>
  <c r="AN3" i="62"/>
  <c r="I3" i="62"/>
  <c r="Y3" i="62"/>
  <c r="J3" i="62"/>
  <c r="Z3" i="62"/>
  <c r="K3" i="62"/>
  <c r="AA3" i="62"/>
  <c r="L3" i="62"/>
  <c r="AB3" i="62"/>
  <c r="O3" i="62"/>
  <c r="R3" i="62"/>
  <c r="AH3" i="62"/>
  <c r="M3" i="62"/>
  <c r="N3" i="62"/>
  <c r="P3" i="62"/>
  <c r="Q3" i="62"/>
  <c r="W3" i="62"/>
  <c r="AC3" i="62"/>
  <c r="AD3" i="62"/>
  <c r="AE3" i="62"/>
  <c r="AF3" i="62"/>
  <c r="AG3" i="62"/>
  <c r="AM3" i="62"/>
  <c r="AH2" i="62"/>
  <c r="Q2" i="62"/>
  <c r="AK199" i="62"/>
  <c r="T199" i="62"/>
  <c r="C199" i="62"/>
  <c r="X198" i="62"/>
  <c r="G198" i="62"/>
  <c r="AB197" i="62"/>
  <c r="K197" i="62"/>
  <c r="AF196" i="62"/>
  <c r="O196" i="62"/>
  <c r="AJ195" i="62"/>
  <c r="P195" i="62"/>
  <c r="O194" i="62"/>
  <c r="AA193" i="62"/>
  <c r="F193" i="62"/>
  <c r="R192" i="62"/>
  <c r="G191" i="62"/>
  <c r="W190" i="62"/>
  <c r="AG189" i="62"/>
  <c r="E189" i="62"/>
  <c r="U188" i="62"/>
  <c r="AE187" i="62"/>
  <c r="I187" i="62"/>
  <c r="S186" i="62"/>
  <c r="AC185" i="62"/>
  <c r="G185" i="62"/>
  <c r="Q184" i="62"/>
  <c r="AG183" i="62"/>
  <c r="E183" i="62"/>
  <c r="O182" i="62"/>
  <c r="AE181" i="62"/>
  <c r="C181" i="62"/>
  <c r="S180" i="62"/>
  <c r="AC179" i="62"/>
  <c r="AK178" i="62"/>
  <c r="C178" i="62"/>
  <c r="AK176" i="62"/>
  <c r="AN175" i="62"/>
  <c r="F175" i="62"/>
  <c r="AM173" i="62"/>
  <c r="L172" i="62"/>
  <c r="AF170" i="62"/>
  <c r="P169" i="62"/>
  <c r="AF166" i="62"/>
  <c r="S164" i="62"/>
  <c r="AJ161" i="62"/>
  <c r="C159" i="62"/>
  <c r="AA156" i="62"/>
  <c r="N153" i="62"/>
  <c r="S149" i="62"/>
  <c r="I145" i="62"/>
  <c r="P136" i="62"/>
  <c r="AH115" i="62"/>
  <c r="AG2" i="62"/>
  <c r="P2" i="62"/>
  <c r="AJ199" i="62"/>
  <c r="S199" i="62"/>
  <c r="AN198" i="62"/>
  <c r="W198" i="62"/>
  <c r="F198" i="62"/>
  <c r="AA197" i="62"/>
  <c r="J197" i="62"/>
  <c r="AE196" i="62"/>
  <c r="N196" i="62"/>
  <c r="O195" i="62"/>
  <c r="AH194" i="62"/>
  <c r="N194" i="62"/>
  <c r="Z193" i="62"/>
  <c r="E193" i="62"/>
  <c r="Q192" i="62"/>
  <c r="AH191" i="62"/>
  <c r="F191" i="62"/>
  <c r="Q190" i="62"/>
  <c r="AF189" i="62"/>
  <c r="D189" i="62"/>
  <c r="T188" i="62"/>
  <c r="AD187" i="62"/>
  <c r="C187" i="62"/>
  <c r="R186" i="62"/>
  <c r="AB185" i="62"/>
  <c r="F185" i="62"/>
  <c r="P184" i="62"/>
  <c r="AA183" i="62"/>
  <c r="D183" i="62"/>
  <c r="N182" i="62"/>
  <c r="AD181" i="62"/>
  <c r="AN180" i="62"/>
  <c r="M180" i="62"/>
  <c r="AB179" i="62"/>
  <c r="AJ178" i="62"/>
  <c r="AL177" i="62"/>
  <c r="AM175" i="62"/>
  <c r="E175" i="62"/>
  <c r="AB173" i="62"/>
  <c r="K172" i="62"/>
  <c r="AE170" i="62"/>
  <c r="M169" i="62"/>
  <c r="AE166" i="62"/>
  <c r="C164" i="62"/>
  <c r="AE161" i="62"/>
  <c r="AN158" i="62"/>
  <c r="D156" i="62"/>
  <c r="M153" i="62"/>
  <c r="R149" i="62"/>
  <c r="L144" i="62"/>
  <c r="Y135" i="62"/>
  <c r="AD107" i="62"/>
  <c r="D712" i="9"/>
  <c r="D586" i="9"/>
  <c r="D205" i="15"/>
  <c r="D672" i="9" l="1"/>
  <c r="D673" i="9"/>
  <c r="D674" i="9"/>
  <c r="D675" i="9"/>
  <c r="D676" i="9"/>
  <c r="D677" i="9"/>
  <c r="D678" i="9"/>
  <c r="D679" i="9"/>
  <c r="D680" i="9"/>
  <c r="D681" i="9"/>
  <c r="D682" i="9"/>
  <c r="D683" i="9"/>
  <c r="D684" i="9"/>
  <c r="D685" i="9"/>
  <c r="D686" i="9"/>
  <c r="D687" i="9"/>
  <c r="D688" i="9"/>
  <c r="D689" i="9"/>
  <c r="D690" i="9"/>
  <c r="D691" i="9"/>
  <c r="D692" i="9"/>
  <c r="D693" i="9"/>
  <c r="D694" i="9"/>
  <c r="D695" i="9"/>
  <c r="D696" i="9"/>
  <c r="D697" i="9"/>
  <c r="D698" i="9"/>
  <c r="D699" i="9"/>
  <c r="D700" i="9"/>
  <c r="D701" i="9"/>
  <c r="D702" i="9"/>
  <c r="D703" i="9"/>
  <c r="D704" i="9"/>
  <c r="D705" i="9"/>
  <c r="D706" i="9"/>
  <c r="D707" i="9"/>
  <c r="D708" i="9"/>
  <c r="D709" i="9"/>
  <c r="D710" i="9"/>
  <c r="D711" i="9"/>
  <c r="I7" i="35"/>
  <c r="I34" i="35"/>
  <c r="I149" i="35"/>
  <c r="I19" i="35"/>
  <c r="I22" i="35"/>
  <c r="I23" i="35"/>
  <c r="I21" i="35"/>
  <c r="I60" i="35"/>
  <c r="I35" i="35"/>
  <c r="I45" i="35"/>
  <c r="I44" i="35"/>
  <c r="I14" i="35"/>
  <c r="I109" i="35"/>
  <c r="I110" i="35"/>
  <c r="I108" i="35"/>
  <c r="I93" i="35"/>
  <c r="I92" i="35"/>
  <c r="I124" i="35"/>
  <c r="I125" i="35"/>
  <c r="I126" i="35"/>
  <c r="I133" i="35"/>
  <c r="I127" i="35"/>
  <c r="I128" i="35"/>
  <c r="I36" i="35"/>
  <c r="I9" i="35"/>
  <c r="I168" i="35"/>
  <c r="I169" i="35"/>
  <c r="I157" i="35"/>
  <c r="I3" i="35"/>
  <c r="I2" i="35"/>
  <c r="I132" i="35"/>
  <c r="I131" i="35"/>
  <c r="I24" i="35"/>
  <c r="I148" i="35"/>
  <c r="I20" i="35"/>
  <c r="I49" i="35"/>
  <c r="I48" i="35"/>
  <c r="I47" i="35"/>
  <c r="I13" i="35"/>
  <c r="I95" i="35"/>
  <c r="I111" i="35"/>
  <c r="I96" i="35"/>
  <c r="I176" i="35"/>
  <c r="I97" i="35"/>
  <c r="I134" i="35"/>
  <c r="I39" i="35"/>
  <c r="I180" i="35"/>
  <c r="I181" i="35"/>
  <c r="I135" i="35"/>
  <c r="I182" i="35"/>
  <c r="I40" i="35"/>
  <c r="I41" i="35"/>
  <c r="I179" i="35"/>
  <c r="I178" i="35"/>
  <c r="I106" i="35"/>
  <c r="I107" i="35"/>
  <c r="I119" i="35"/>
  <c r="I25" i="35"/>
  <c r="I150" i="35"/>
  <c r="I152" i="35"/>
  <c r="I175" i="35"/>
  <c r="I154" i="35"/>
  <c r="I153" i="35"/>
  <c r="I151" i="35"/>
  <c r="I155" i="35"/>
  <c r="I27" i="35"/>
  <c r="I161" i="35"/>
  <c r="I26" i="35"/>
  <c r="I167" i="35"/>
  <c r="I37" i="35"/>
  <c r="I70" i="35"/>
  <c r="I71" i="35"/>
  <c r="I72" i="35"/>
  <c r="I74" i="35"/>
  <c r="I38" i="35"/>
  <c r="I63" i="35"/>
  <c r="I77" i="35"/>
  <c r="I78" i="35"/>
  <c r="I86" i="35"/>
  <c r="I87" i="35"/>
  <c r="I162" i="35"/>
  <c r="I163" i="35"/>
  <c r="I79" i="35"/>
  <c r="I62" i="35"/>
  <c r="I51" i="35"/>
  <c r="I76" i="35"/>
  <c r="I83" i="35"/>
  <c r="I73" i="35"/>
  <c r="I75" i="35"/>
  <c r="I29" i="35"/>
  <c r="I30" i="35"/>
  <c r="I32" i="35"/>
  <c r="I64" i="35"/>
  <c r="I31" i="35"/>
  <c r="I28" i="35"/>
  <c r="I84" i="35"/>
  <c r="I113" i="35"/>
  <c r="I114" i="35"/>
  <c r="I115" i="35"/>
  <c r="I55" i="35"/>
  <c r="I56" i="35"/>
  <c r="I54" i="35"/>
  <c r="I53" i="35"/>
  <c r="I116" i="35"/>
  <c r="I57" i="35"/>
  <c r="I52" i="35"/>
  <c r="I117" i="35"/>
  <c r="I15" i="35"/>
  <c r="I136" i="35"/>
  <c r="I170" i="35"/>
  <c r="I171" i="35"/>
  <c r="I174" i="35"/>
  <c r="I173" i="35"/>
  <c r="I88" i="35"/>
  <c r="I89" i="35"/>
  <c r="I172" i="35"/>
  <c r="I137" i="35"/>
  <c r="I42" i="35"/>
  <c r="I43" i="35"/>
  <c r="I58" i="35"/>
  <c r="I17" i="35"/>
  <c r="I139" i="35"/>
  <c r="I138" i="35"/>
  <c r="I10" i="35"/>
  <c r="I90" i="35"/>
  <c r="I11" i="35"/>
  <c r="I33" i="35"/>
  <c r="I94" i="35"/>
  <c r="I112" i="35"/>
  <c r="I140" i="35"/>
  <c r="I141" i="35"/>
  <c r="I142" i="35"/>
  <c r="I143" i="35"/>
  <c r="I144" i="35"/>
  <c r="I145" i="35"/>
  <c r="I146" i="35"/>
  <c r="I147" i="35"/>
  <c r="I91" i="35"/>
  <c r="I16" i="35"/>
  <c r="I165" i="35"/>
  <c r="I177" i="35"/>
  <c r="I85" i="35"/>
  <c r="I80" i="35"/>
  <c r="I81" i="35"/>
  <c r="I46" i="35"/>
  <c r="I103" i="35"/>
  <c r="I104" i="35"/>
  <c r="I105" i="35"/>
  <c r="I66" i="35"/>
  <c r="I69" i="35"/>
  <c r="I67" i="35"/>
  <c r="I68" i="35"/>
  <c r="I65" i="35"/>
  <c r="I100" i="35"/>
  <c r="I101" i="35"/>
  <c r="I98" i="35"/>
  <c r="I166" i="35"/>
  <c r="I99" i="35"/>
  <c r="I120" i="35"/>
  <c r="I123" i="35"/>
  <c r="I121" i="35"/>
  <c r="I122" i="35"/>
  <c r="I6" i="35"/>
  <c r="I4" i="35"/>
  <c r="I59" i="35"/>
  <c r="I5" i="35"/>
  <c r="I159" i="35"/>
  <c r="I12" i="35"/>
  <c r="I158" i="35"/>
  <c r="I164" i="35"/>
  <c r="I160" i="35"/>
  <c r="I61" i="35"/>
  <c r="I118" i="35"/>
  <c r="I129" i="35"/>
  <c r="I130" i="35"/>
  <c r="I50" i="35"/>
  <c r="I82" i="35"/>
  <c r="I102" i="35"/>
  <c r="I156" i="35"/>
  <c r="I18" i="35"/>
  <c r="H136" i="35"/>
  <c r="H170" i="35"/>
  <c r="H171" i="35"/>
  <c r="H174" i="35"/>
  <c r="H173" i="35"/>
  <c r="H88" i="35"/>
  <c r="H89" i="35"/>
  <c r="H172" i="35"/>
  <c r="H137" i="35"/>
  <c r="H42" i="35"/>
  <c r="H43" i="35"/>
  <c r="H58" i="35"/>
  <c r="H17" i="35"/>
  <c r="H139" i="35"/>
  <c r="H138" i="35"/>
  <c r="H10" i="35"/>
  <c r="H90" i="35"/>
  <c r="H11" i="35"/>
  <c r="H33" i="35"/>
  <c r="H94" i="35"/>
  <c r="H112" i="35"/>
  <c r="H140" i="35"/>
  <c r="H141" i="35"/>
  <c r="H142" i="35"/>
  <c r="H143" i="35"/>
  <c r="H144" i="35"/>
  <c r="H145" i="35"/>
  <c r="H146" i="35"/>
  <c r="H147" i="35"/>
  <c r="H91" i="35"/>
  <c r="H16" i="35"/>
  <c r="H165" i="35"/>
  <c r="H177" i="35"/>
  <c r="H85" i="35"/>
  <c r="H80" i="35"/>
  <c r="H81" i="35"/>
  <c r="H46" i="35"/>
  <c r="H103" i="35"/>
  <c r="H104" i="35"/>
  <c r="H105" i="35"/>
  <c r="H66" i="35"/>
  <c r="H69" i="35"/>
  <c r="H67" i="35"/>
  <c r="H68" i="35"/>
  <c r="H65" i="35"/>
  <c r="H100" i="35"/>
  <c r="H101" i="35"/>
  <c r="H98" i="35"/>
  <c r="H166" i="35"/>
  <c r="H99" i="35"/>
  <c r="H120" i="35"/>
  <c r="H123" i="35"/>
  <c r="H121" i="35"/>
  <c r="H122" i="35"/>
  <c r="H6" i="35"/>
  <c r="H4" i="35"/>
  <c r="H59" i="35"/>
  <c r="H5" i="35"/>
  <c r="H159" i="35"/>
  <c r="H12" i="35"/>
  <c r="H158" i="35"/>
  <c r="H164" i="35"/>
  <c r="H160" i="35"/>
  <c r="H61" i="35"/>
  <c r="H118" i="35"/>
  <c r="H129" i="35"/>
  <c r="H130" i="35"/>
  <c r="H50" i="35"/>
  <c r="H82" i="35"/>
  <c r="H102" i="35"/>
  <c r="H156" i="35"/>
  <c r="H18" i="35"/>
  <c r="H149" i="35"/>
  <c r="H19" i="35"/>
  <c r="H22" i="35"/>
  <c r="H23" i="35"/>
  <c r="H21" i="35"/>
  <c r="H60" i="35"/>
  <c r="H35" i="35"/>
  <c r="H45" i="35"/>
  <c r="H44" i="35"/>
  <c r="H14" i="35"/>
  <c r="H109" i="35"/>
  <c r="H110" i="35"/>
  <c r="H108" i="35"/>
  <c r="H93" i="35"/>
  <c r="H92" i="35"/>
  <c r="H124" i="35"/>
  <c r="H125" i="35"/>
  <c r="H126" i="35"/>
  <c r="H133" i="35"/>
  <c r="H127" i="35"/>
  <c r="H128" i="35"/>
  <c r="H36" i="35"/>
  <c r="H9" i="35"/>
  <c r="H168" i="35"/>
  <c r="H169" i="35"/>
  <c r="H157" i="35"/>
  <c r="H3" i="35"/>
  <c r="H2" i="35"/>
  <c r="H132" i="35"/>
  <c r="H131" i="35"/>
  <c r="H24" i="35"/>
  <c r="H148" i="35"/>
  <c r="H20" i="35"/>
  <c r="H49" i="35"/>
  <c r="H48" i="35"/>
  <c r="H47" i="35"/>
  <c r="H13" i="35"/>
  <c r="H95" i="35"/>
  <c r="H111" i="35"/>
  <c r="H96" i="35"/>
  <c r="H176" i="35"/>
  <c r="H97" i="35"/>
  <c r="H134" i="35"/>
  <c r="H39" i="35"/>
  <c r="H180" i="35"/>
  <c r="H181" i="35"/>
  <c r="H135" i="35"/>
  <c r="H182" i="35"/>
  <c r="H40" i="35"/>
  <c r="H41" i="35"/>
  <c r="H179" i="35"/>
  <c r="H178" i="35"/>
  <c r="H106" i="35"/>
  <c r="H107" i="35"/>
  <c r="H119" i="35"/>
  <c r="H25" i="35"/>
  <c r="H150" i="35"/>
  <c r="H152" i="35"/>
  <c r="H175" i="35"/>
  <c r="H154" i="35"/>
  <c r="H153" i="35"/>
  <c r="H151" i="35"/>
  <c r="H155" i="35"/>
  <c r="H27" i="35"/>
  <c r="H161" i="35"/>
  <c r="H26" i="35"/>
  <c r="H167" i="35"/>
  <c r="H37" i="35"/>
  <c r="H70" i="35"/>
  <c r="H71" i="35"/>
  <c r="H72" i="35"/>
  <c r="H74" i="35"/>
  <c r="H38" i="35"/>
  <c r="H63" i="35"/>
  <c r="H77" i="35"/>
  <c r="H78" i="35"/>
  <c r="H86" i="35"/>
  <c r="H87" i="35"/>
  <c r="H162" i="35"/>
  <c r="H163" i="35"/>
  <c r="H79" i="35"/>
  <c r="H62" i="35"/>
  <c r="H51" i="35"/>
  <c r="H76" i="35"/>
  <c r="H83" i="35"/>
  <c r="H73" i="35"/>
  <c r="H75" i="35"/>
  <c r="H29" i="35"/>
  <c r="H30" i="35"/>
  <c r="H32" i="35"/>
  <c r="H64" i="35"/>
  <c r="H31" i="35"/>
  <c r="H28" i="35"/>
  <c r="H84" i="35"/>
  <c r="H113" i="35"/>
  <c r="H114" i="35"/>
  <c r="H115" i="35"/>
  <c r="H55" i="35"/>
  <c r="H56" i="35"/>
  <c r="H54" i="35"/>
  <c r="H53" i="35"/>
  <c r="H116" i="35"/>
  <c r="H57" i="35"/>
  <c r="H52" i="35"/>
  <c r="H117" i="35"/>
  <c r="H15" i="35"/>
  <c r="H8" i="35" a="1"/>
  <c r="H8" i="35" s="1"/>
  <c r="H7" i="35" a="1"/>
  <c r="H7" i="35" s="1"/>
  <c r="H34" i="35" a="1"/>
  <c r="H34" i="35" s="1"/>
  <c r="AI16" i="3"/>
  <c r="AI3" i="62" s="1"/>
  <c r="AI17" i="3"/>
  <c r="AI4" i="62" s="1"/>
  <c r="AI177" i="3"/>
  <c r="AI199" i="62" s="1"/>
  <c r="AI79" i="3"/>
  <c r="AI196" i="62" s="1"/>
  <c r="AI18" i="3"/>
  <c r="AI5" i="62" s="1"/>
  <c r="AI126" i="3"/>
  <c r="AI197" i="62" s="1"/>
  <c r="AI19" i="3"/>
  <c r="AI6" i="62" s="1"/>
  <c r="AI20" i="3"/>
  <c r="AI7" i="62" s="1"/>
  <c r="AI21" i="3"/>
  <c r="AI8" i="62" s="1"/>
  <c r="AI127" i="3"/>
  <c r="AI26" i="3"/>
  <c r="AI9" i="62" s="1"/>
  <c r="AI27" i="3"/>
  <c r="AI10" i="62" s="1"/>
  <c r="AI28" i="3"/>
  <c r="AI11" i="62" s="1"/>
  <c r="AI29" i="3"/>
  <c r="AI12" i="62" s="1"/>
  <c r="AI30" i="3"/>
  <c r="AI13" i="62" s="1"/>
  <c r="AI31" i="3"/>
  <c r="AI14" i="62" s="1"/>
  <c r="AI32" i="3"/>
  <c r="AI15" i="62" s="1"/>
  <c r="AI33" i="3"/>
  <c r="AI16" i="62" s="1"/>
  <c r="AI34" i="3"/>
  <c r="AI17" i="62" s="1"/>
  <c r="AI35" i="3"/>
  <c r="AI18" i="62" s="1"/>
  <c r="AI36" i="3"/>
  <c r="AI19" i="62" s="1"/>
  <c r="AI37" i="3"/>
  <c r="AI20" i="62" s="1"/>
  <c r="AI128" i="3"/>
  <c r="AI22" i="3"/>
  <c r="AI195" i="62" s="1"/>
  <c r="AI38" i="3"/>
  <c r="AI21" i="62" s="1"/>
  <c r="AI39" i="3"/>
  <c r="AI22" i="62" s="1"/>
  <c r="AI40" i="3"/>
  <c r="AI23" i="62" s="1"/>
  <c r="AI129" i="3"/>
  <c r="AI41" i="3"/>
  <c r="AI24" i="62" s="1"/>
  <c r="AI23" i="3"/>
  <c r="AI130" i="3"/>
  <c r="AI42" i="3"/>
  <c r="AI25" i="62" s="1"/>
  <c r="AI43" i="3"/>
  <c r="AI26" i="62" s="1"/>
  <c r="AI44" i="3"/>
  <c r="AI27" i="62" s="1"/>
  <c r="AI45" i="3"/>
  <c r="AI28" i="62" s="1"/>
  <c r="AI46" i="3"/>
  <c r="AI29" i="62" s="1"/>
  <c r="AI47" i="3"/>
  <c r="AI30" i="62" s="1"/>
  <c r="AI48" i="3"/>
  <c r="AI31" i="62" s="1"/>
  <c r="AI49" i="3"/>
  <c r="AI32" i="62" s="1"/>
  <c r="AI178" i="3"/>
  <c r="AI131" i="3"/>
  <c r="AI50" i="3"/>
  <c r="AI33" i="62" s="1"/>
  <c r="AI51" i="3"/>
  <c r="AI34" i="62" s="1"/>
  <c r="AI52" i="3"/>
  <c r="AI35" i="62" s="1"/>
  <c r="AI53" i="3"/>
  <c r="AI36" i="62" s="1"/>
  <c r="AI54" i="3"/>
  <c r="AI37" i="62" s="1"/>
  <c r="AI55" i="3"/>
  <c r="AI38" i="62" s="1"/>
  <c r="AI56" i="3"/>
  <c r="AI39" i="62" s="1"/>
  <c r="AI179" i="3"/>
  <c r="AI180" i="3"/>
  <c r="AI57" i="3"/>
  <c r="AI40" i="62" s="1"/>
  <c r="AI9" i="3"/>
  <c r="AI194" i="62" s="1"/>
  <c r="AI58" i="3"/>
  <c r="AI41" i="62" s="1"/>
  <c r="AI181" i="3"/>
  <c r="AI59" i="3"/>
  <c r="AI42" i="62" s="1"/>
  <c r="AI60" i="3"/>
  <c r="AI43" i="62" s="1"/>
  <c r="AI61" i="3"/>
  <c r="AI44" i="62" s="1"/>
  <c r="AI132" i="3"/>
  <c r="AI62" i="3"/>
  <c r="AI45" i="62" s="1"/>
  <c r="AI63" i="3"/>
  <c r="AI46" i="62" s="1"/>
  <c r="AI65" i="3"/>
  <c r="AI48" i="62" s="1"/>
  <c r="AI66" i="3"/>
  <c r="AI49" i="62" s="1"/>
  <c r="AI67" i="3"/>
  <c r="AI50" i="62" s="1"/>
  <c r="AI68" i="3"/>
  <c r="AI51" i="62" s="1"/>
  <c r="AI69" i="3"/>
  <c r="AI52" i="62" s="1"/>
  <c r="AI70" i="3"/>
  <c r="AI53" i="62" s="1"/>
  <c r="AI71" i="3"/>
  <c r="AI54" i="62" s="1"/>
  <c r="AI72" i="3"/>
  <c r="AI55" i="62" s="1"/>
  <c r="AI73" i="3"/>
  <c r="AI193" i="62" s="1"/>
  <c r="AI74" i="3"/>
  <c r="AI56" i="62" s="1"/>
  <c r="AI75" i="3"/>
  <c r="AI57" i="62" s="1"/>
  <c r="AI76" i="3"/>
  <c r="AI164" i="62" s="1"/>
  <c r="AI77" i="3"/>
  <c r="AI58" i="62" s="1"/>
  <c r="AI78" i="3"/>
  <c r="AI133" i="3"/>
  <c r="AI80" i="3"/>
  <c r="AI89" i="3"/>
  <c r="AI59" i="62" s="1"/>
  <c r="AI90" i="3"/>
  <c r="AI60" i="62" s="1"/>
  <c r="AI91" i="3"/>
  <c r="AI61" i="62" s="1"/>
  <c r="AI92" i="3"/>
  <c r="AI192" i="62" s="1"/>
  <c r="AI93" i="3"/>
  <c r="AI62" i="62" s="1"/>
  <c r="AI182" i="3"/>
  <c r="AI94" i="3"/>
  <c r="AI63" i="62" s="1"/>
  <c r="AI95" i="3"/>
  <c r="AI64" i="62" s="1"/>
  <c r="AI96" i="3"/>
  <c r="AI65" i="62" s="1"/>
  <c r="AI97" i="3"/>
  <c r="AI66" i="62" s="1"/>
  <c r="AI98" i="3"/>
  <c r="AI67" i="62" s="1"/>
  <c r="AI81" i="3"/>
  <c r="AI99" i="3"/>
  <c r="AI68" i="62" s="1"/>
  <c r="AI82" i="3"/>
  <c r="AI100" i="3"/>
  <c r="AI69" i="62" s="1"/>
  <c r="AI134" i="3"/>
  <c r="AI183" i="3"/>
  <c r="AI101" i="3"/>
  <c r="AI70" i="62" s="1"/>
  <c r="AI102" i="3"/>
  <c r="AI71" i="62" s="1"/>
  <c r="AI103" i="3"/>
  <c r="AI72" i="62" s="1"/>
  <c r="AI104" i="3"/>
  <c r="AI73" i="62" s="1"/>
  <c r="AI105" i="3"/>
  <c r="AI74" i="62" s="1"/>
  <c r="AI184" i="3"/>
  <c r="AI83" i="3"/>
  <c r="AI106" i="3"/>
  <c r="AI75" i="62" s="1"/>
  <c r="AI107" i="3"/>
  <c r="AI76" i="62" s="1"/>
  <c r="AI108" i="3"/>
  <c r="AI77" i="62" s="1"/>
  <c r="AI109" i="3"/>
  <c r="AI78" i="62" s="1"/>
  <c r="AI110" i="3"/>
  <c r="AI79" i="62" s="1"/>
  <c r="AI111" i="3"/>
  <c r="AI80" i="62" s="1"/>
  <c r="AI112" i="3"/>
  <c r="AI81" i="62" s="1"/>
  <c r="AI113" i="3"/>
  <c r="AI82" i="62" s="1"/>
  <c r="AI114" i="3"/>
  <c r="AI83" i="62" s="1"/>
  <c r="AI115" i="3"/>
  <c r="AI84" i="62" s="1"/>
  <c r="AI116" i="3"/>
  <c r="AI85" i="62" s="1"/>
  <c r="AI117" i="3"/>
  <c r="AI86" i="62" s="1"/>
  <c r="AI118" i="3"/>
  <c r="AI87" i="62" s="1"/>
  <c r="AI185" i="3"/>
  <c r="AI119" i="3"/>
  <c r="AI88" i="62" s="1"/>
  <c r="AI120" i="3"/>
  <c r="AI89" i="62" s="1"/>
  <c r="AI121" i="3"/>
  <c r="AI90" i="62" s="1"/>
  <c r="AI122" i="3"/>
  <c r="AI91" i="62" s="1"/>
  <c r="AI123" i="3"/>
  <c r="AI92" i="62" s="1"/>
  <c r="AI124" i="3"/>
  <c r="AI93" i="62" s="1"/>
  <c r="AI125" i="3"/>
  <c r="AI94" i="62" s="1"/>
  <c r="AI143" i="3"/>
  <c r="AI95" i="62" s="1"/>
  <c r="AI144" i="3"/>
  <c r="AI96" i="62" s="1"/>
  <c r="AI145" i="3"/>
  <c r="AI97" i="62" s="1"/>
  <c r="AI146" i="3"/>
  <c r="AI98" i="62" s="1"/>
  <c r="AI147" i="3"/>
  <c r="AI99" i="62" s="1"/>
  <c r="AI84" i="3"/>
  <c r="AI148" i="3"/>
  <c r="AI100" i="62" s="1"/>
  <c r="AI149" i="3"/>
  <c r="AI101" i="62" s="1"/>
  <c r="AI150" i="3"/>
  <c r="AI103" i="62" s="1"/>
  <c r="AI151" i="3"/>
  <c r="AI104" i="62" s="1"/>
  <c r="AI152" i="3"/>
  <c r="AI105" i="62" s="1"/>
  <c r="AI153" i="3"/>
  <c r="AI106" i="62" s="1"/>
  <c r="AI154" i="3"/>
  <c r="AI107" i="62" s="1"/>
  <c r="AI155" i="3"/>
  <c r="AI108" i="62" s="1"/>
  <c r="AI186" i="3"/>
  <c r="AI135" i="3"/>
  <c r="AI156" i="3"/>
  <c r="AI109" i="62" s="1"/>
  <c r="AI157" i="3"/>
  <c r="AI110" i="62" s="1"/>
  <c r="AI10" i="3"/>
  <c r="AI158" i="3"/>
  <c r="AI111" i="62" s="1"/>
  <c r="AI187" i="3"/>
  <c r="AI188" i="3"/>
  <c r="AI215" i="3"/>
  <c r="AI112" i="62" s="1"/>
  <c r="AI85" i="3"/>
  <c r="AI159" i="3"/>
  <c r="AI113" i="62" s="1"/>
  <c r="AI160" i="3"/>
  <c r="AI114" i="62" s="1"/>
  <c r="AI136" i="3"/>
  <c r="AI161" i="3"/>
  <c r="AI115" i="62" s="1"/>
  <c r="AI162" i="3"/>
  <c r="AI116" i="62" s="1"/>
  <c r="AI163" i="3"/>
  <c r="AI117" i="62" s="1"/>
  <c r="AI164" i="3"/>
  <c r="AI118" i="62" s="1"/>
  <c r="AI189" i="3"/>
  <c r="AI165" i="3"/>
  <c r="AI119" i="62" s="1"/>
  <c r="AI166" i="3"/>
  <c r="AI120" i="62" s="1"/>
  <c r="AI137" i="3"/>
  <c r="AI4" i="3"/>
  <c r="AI190" i="3"/>
  <c r="AI167" i="3"/>
  <c r="AI121" i="62" s="1"/>
  <c r="AI168" i="3"/>
  <c r="AI122" i="62" s="1"/>
  <c r="AI169" i="3"/>
  <c r="AI123" i="62" s="1"/>
  <c r="AI170" i="3"/>
  <c r="AI124" i="62" s="1"/>
  <c r="AI191" i="3"/>
  <c r="AI192" i="3"/>
  <c r="AI174" i="3"/>
  <c r="AI125" i="62" s="1"/>
  <c r="AI175" i="3"/>
  <c r="AI102" i="62" s="1"/>
  <c r="AI193" i="3"/>
  <c r="AI176" i="3"/>
  <c r="AI126" i="62" s="1"/>
  <c r="AI202" i="3"/>
  <c r="AI127" i="62" s="1"/>
  <c r="AI24" i="3"/>
  <c r="AI203" i="3"/>
  <c r="AI128" i="62" s="1"/>
  <c r="AI194" i="3"/>
  <c r="AI204" i="3"/>
  <c r="AI129" i="62" s="1"/>
  <c r="AI205" i="3"/>
  <c r="AI130" i="62" s="1"/>
  <c r="AI206" i="3"/>
  <c r="AI131" i="62" s="1"/>
  <c r="AI207" i="3"/>
  <c r="AI132" i="62" s="1"/>
  <c r="AI208" i="3"/>
  <c r="AI133" i="62" s="1"/>
  <c r="AI209" i="3"/>
  <c r="AI134" i="62" s="1"/>
  <c r="AI195" i="3"/>
  <c r="AI210" i="3"/>
  <c r="AI135" i="62" s="1"/>
  <c r="AI211" i="3"/>
  <c r="AI136" i="62" s="1"/>
  <c r="AI212" i="3"/>
  <c r="AI137" i="62" s="1"/>
  <c r="AI213" i="3"/>
  <c r="AI138" i="62" s="1"/>
  <c r="AI11" i="3"/>
  <c r="AI216" i="3"/>
  <c r="AI139" i="62" s="1"/>
  <c r="AI6" i="3"/>
  <c r="AI217" i="3"/>
  <c r="AI140" i="62" s="1"/>
  <c r="AI218" i="3"/>
  <c r="AI141" i="62" s="1"/>
  <c r="AI12" i="3"/>
  <c r="AI219" i="3"/>
  <c r="AI142" i="62" s="1"/>
  <c r="AI220" i="3"/>
  <c r="AI143" i="62" s="1"/>
  <c r="AI171" i="3"/>
  <c r="AI198" i="62" s="1"/>
  <c r="AI221" i="3"/>
  <c r="AI144" i="62" s="1"/>
  <c r="AI138" i="3"/>
  <c r="AI222" i="3"/>
  <c r="AI145" i="62" s="1"/>
  <c r="AI86" i="3"/>
  <c r="AI223" i="3"/>
  <c r="AI146" i="62" s="1"/>
  <c r="AI224" i="3"/>
  <c r="AI147" i="62" s="1"/>
  <c r="AI225" i="3"/>
  <c r="AI148" i="62" s="1"/>
  <c r="AI226" i="3"/>
  <c r="AI149" i="62" s="1"/>
  <c r="AI227" i="3"/>
  <c r="AI150" i="62" s="1"/>
  <c r="AI13" i="3"/>
  <c r="AI228" i="3"/>
  <c r="AI151" i="62" s="1"/>
  <c r="AI229" i="3"/>
  <c r="AI152" i="62" s="1"/>
  <c r="AI230" i="3"/>
  <c r="AI153" i="62" s="1"/>
  <c r="AI231" i="3"/>
  <c r="AI154" i="62" s="1"/>
  <c r="AI232" i="3"/>
  <c r="AI155" i="62" s="1"/>
  <c r="AI233" i="3"/>
  <c r="AI156" i="62" s="1"/>
  <c r="AI234" i="3"/>
  <c r="AI157" i="62" s="1"/>
  <c r="AI139" i="3"/>
  <c r="AI214" i="3"/>
  <c r="AI158" i="62" s="1"/>
  <c r="AI235" i="3"/>
  <c r="AI162" i="62" s="1"/>
  <c r="AI236" i="3"/>
  <c r="AI159" i="62" s="1"/>
  <c r="AI237" i="3"/>
  <c r="AI160" i="62" s="1"/>
  <c r="AI238" i="3"/>
  <c r="AI161" i="62" s="1"/>
  <c r="AI239" i="3"/>
  <c r="AI240" i="3"/>
  <c r="AI163" i="62" s="1"/>
  <c r="AI87" i="3"/>
  <c r="AI241" i="3"/>
  <c r="AI165" i="62" s="1"/>
  <c r="AI242" i="3"/>
  <c r="AI166" i="62" s="1"/>
  <c r="AI243" i="3"/>
  <c r="AI167" i="62" s="1"/>
  <c r="AI244" i="3"/>
  <c r="AI168" i="62" s="1"/>
  <c r="AI245" i="3"/>
  <c r="AI169" i="62" s="1"/>
  <c r="AI246" i="3"/>
  <c r="AI170" i="62" s="1"/>
  <c r="AI247" i="3"/>
  <c r="AI171" i="62" s="1"/>
  <c r="AI248" i="3"/>
  <c r="AI172" i="62" s="1"/>
  <c r="AI196" i="3"/>
  <c r="AI197" i="3"/>
  <c r="AI249" i="3"/>
  <c r="AI173" i="62" s="1"/>
  <c r="AI250" i="3"/>
  <c r="AI174" i="62" s="1"/>
  <c r="AI251" i="3"/>
  <c r="AI175" i="62" s="1"/>
  <c r="AI252" i="3"/>
  <c r="AI176" i="62" s="1"/>
  <c r="AI140" i="3"/>
  <c r="AI198" i="3"/>
  <c r="AI253" i="3"/>
  <c r="AI177" i="62" s="1"/>
  <c r="AI254" i="3"/>
  <c r="AI178" i="62" s="1"/>
  <c r="AI255" i="3"/>
  <c r="AI179" i="62" s="1"/>
  <c r="AI256" i="3"/>
  <c r="AI180" i="62" s="1"/>
  <c r="AI257" i="3"/>
  <c r="AI181" i="62" s="1"/>
  <c r="AI141" i="3"/>
  <c r="AI7" i="3"/>
  <c r="AI258" i="3"/>
  <c r="AI182" i="62" s="1"/>
  <c r="AI172" i="3"/>
  <c r="AI259" i="3"/>
  <c r="AI183" i="62" s="1"/>
  <c r="AI260" i="3"/>
  <c r="AI184" i="62" s="1"/>
  <c r="AI261" i="3"/>
  <c r="AI185" i="62" s="1"/>
  <c r="AI262" i="3"/>
  <c r="AI186" i="62" s="1"/>
  <c r="AI263" i="3"/>
  <c r="AI187" i="62" s="1"/>
  <c r="AI199" i="3"/>
  <c r="AI200" i="3"/>
  <c r="AI14" i="3"/>
  <c r="AI264" i="3"/>
  <c r="AI188" i="62" s="1"/>
  <c r="AI265" i="3"/>
  <c r="AI189" i="62" s="1"/>
  <c r="AI266" i="3"/>
  <c r="AI190" i="62" s="1"/>
  <c r="AI267" i="3"/>
  <c r="AI191" i="62" s="1"/>
  <c r="AI8" i="3"/>
  <c r="AI2" i="62" s="1"/>
  <c r="H124" i="43"/>
  <c r="E124" i="43"/>
  <c r="D124" i="43"/>
  <c r="E16" i="11" l="1"/>
  <c r="E15" i="11"/>
  <c r="E8" i="11"/>
  <c r="E9" i="11"/>
  <c r="E10" i="11"/>
  <c r="E7" i="11"/>
  <c r="E3" i="11"/>
  <c r="E4" i="11"/>
  <c r="E5" i="11"/>
  <c r="E6" i="11"/>
  <c r="E11" i="11"/>
  <c r="E12" i="11"/>
  <c r="E13" i="11"/>
  <c r="E14" i="11"/>
  <c r="E17" i="11"/>
  <c r="E18" i="11"/>
  <c r="E19" i="11"/>
  <c r="E20" i="11"/>
  <c r="E21" i="11"/>
  <c r="E22" i="11"/>
  <c r="E23" i="11"/>
  <c r="E2" i="11"/>
  <c r="D80" i="15"/>
  <c r="D188" i="15"/>
  <c r="D176" i="15"/>
  <c r="D35" i="15"/>
  <c r="D26" i="15"/>
  <c r="D261" i="15"/>
  <c r="C21" i="6"/>
  <c r="B107" i="55" l="1"/>
  <c r="B106" i="55"/>
  <c r="B105" i="55"/>
  <c r="B104" i="55"/>
  <c r="B103" i="55"/>
  <c r="B102" i="55"/>
  <c r="B101" i="55"/>
  <c r="B100" i="55"/>
  <c r="B99" i="55"/>
  <c r="B98" i="55"/>
  <c r="B97" i="55"/>
  <c r="B96" i="55"/>
  <c r="B95" i="55"/>
  <c r="B94" i="55"/>
  <c r="B93" i="55"/>
  <c r="B92" i="55"/>
  <c r="B91" i="55"/>
  <c r="B90" i="55"/>
  <c r="B89" i="55"/>
  <c r="B88" i="55"/>
  <c r="B87" i="55"/>
  <c r="B86" i="55"/>
  <c r="B85" i="55"/>
  <c r="B84" i="55"/>
  <c r="B83" i="55"/>
  <c r="B82" i="55"/>
  <c r="B81" i="55"/>
  <c r="B80" i="55"/>
  <c r="B79" i="55"/>
  <c r="B78" i="55"/>
  <c r="B77" i="55"/>
  <c r="B76" i="55"/>
  <c r="B75" i="55"/>
  <c r="B74" i="55"/>
  <c r="B73" i="55"/>
  <c r="B72" i="55"/>
  <c r="B71" i="55"/>
  <c r="B70" i="55"/>
  <c r="B69" i="55"/>
  <c r="B68" i="55"/>
  <c r="B67" i="55"/>
  <c r="B66" i="55"/>
  <c r="B65" i="55"/>
  <c r="B64" i="55"/>
  <c r="B63" i="55"/>
  <c r="B62" i="55"/>
  <c r="B61" i="55"/>
  <c r="B60" i="55"/>
  <c r="B59" i="55"/>
  <c r="B58" i="55"/>
  <c r="B57" i="55"/>
  <c r="B56" i="55"/>
  <c r="B55" i="55"/>
  <c r="B54" i="55"/>
  <c r="B53" i="55"/>
  <c r="B52" i="55"/>
  <c r="B51" i="55"/>
  <c r="B50" i="55"/>
  <c r="B49" i="55"/>
  <c r="B48" i="55"/>
  <c r="B47" i="55"/>
  <c r="B46" i="55"/>
  <c r="B45" i="55"/>
  <c r="B44" i="55"/>
  <c r="B43" i="55"/>
  <c r="B42" i="55"/>
  <c r="B41" i="55"/>
  <c r="B40" i="55"/>
  <c r="B39" i="55"/>
  <c r="B38" i="55"/>
  <c r="B37" i="55"/>
  <c r="B36" i="55"/>
  <c r="B35" i="55"/>
  <c r="B34" i="55"/>
  <c r="B33" i="55"/>
  <c r="B32" i="55"/>
  <c r="B31" i="55"/>
  <c r="B30" i="55"/>
  <c r="B29" i="55"/>
  <c r="B28" i="55"/>
  <c r="B27" i="55"/>
  <c r="B26" i="55"/>
  <c r="B25" i="55"/>
  <c r="B24" i="55"/>
  <c r="B23" i="55"/>
  <c r="B22" i="55"/>
  <c r="B21" i="55"/>
  <c r="B20" i="55"/>
  <c r="B19" i="55"/>
  <c r="B18" i="55"/>
  <c r="B17" i="55"/>
  <c r="B16" i="55"/>
  <c r="B15" i="55"/>
  <c r="B14" i="55"/>
  <c r="B13" i="55"/>
  <c r="B12" i="55"/>
  <c r="B11" i="55"/>
  <c r="B10" i="55"/>
  <c r="B9" i="55"/>
  <c r="B8" i="55"/>
  <c r="B7" i="55"/>
  <c r="B6" i="55"/>
  <c r="B5" i="55"/>
  <c r="B4" i="55"/>
  <c r="B3" i="55"/>
  <c r="B2" i="55"/>
  <c r="C122" i="43"/>
  <c r="D122" i="43" s="1"/>
  <c r="C123" i="43"/>
  <c r="D123" i="43" s="1"/>
  <c r="C121" i="43"/>
  <c r="D121" i="43" s="1"/>
  <c r="E123" i="43"/>
  <c r="E122" i="43"/>
  <c r="E121" i="43"/>
  <c r="D5" i="15"/>
  <c r="D58" i="15"/>
  <c r="D189" i="15"/>
  <c r="D84" i="15"/>
  <c r="D85" i="15"/>
  <c r="D55" i="15"/>
  <c r="D7" i="15"/>
  <c r="D281" i="15"/>
  <c r="D87" i="15"/>
  <c r="D74" i="15"/>
  <c r="D64" i="15"/>
  <c r="D60" i="15"/>
  <c r="D61" i="15"/>
  <c r="D62" i="15"/>
  <c r="D70" i="15"/>
  <c r="D76" i="15"/>
  <c r="D53" i="15"/>
  <c r="D29" i="15"/>
  <c r="D68" i="15"/>
  <c r="D30" i="15"/>
  <c r="D142" i="15"/>
  <c r="D227" i="15"/>
  <c r="D206" i="15"/>
  <c r="D239" i="15"/>
  <c r="D231" i="15"/>
  <c r="D211" i="15"/>
  <c r="D249" i="15"/>
  <c r="D232" i="15"/>
  <c r="D212" i="15"/>
  <c r="D256" i="15"/>
  <c r="D229" i="15"/>
  <c r="D208" i="15"/>
  <c r="D268" i="15"/>
  <c r="D253" i="15"/>
  <c r="D246" i="15"/>
  <c r="D254" i="15"/>
  <c r="D237" i="15"/>
  <c r="D280" i="15"/>
  <c r="D234" i="15"/>
  <c r="D226" i="15"/>
  <c r="D250" i="15"/>
  <c r="D242" i="15"/>
  <c r="D276" i="15"/>
  <c r="D273" i="15"/>
  <c r="D262" i="15"/>
  <c r="D264" i="15"/>
  <c r="D266" i="15"/>
  <c r="D265" i="15"/>
  <c r="D272" i="15"/>
  <c r="D271" i="15"/>
  <c r="D260" i="15"/>
  <c r="D270" i="15"/>
  <c r="D274" i="15"/>
  <c r="D275" i="15"/>
  <c r="D269" i="15"/>
  <c r="D209" i="15"/>
  <c r="D247" i="15"/>
  <c r="D238" i="15"/>
  <c r="D230" i="15"/>
  <c r="D244" i="15"/>
  <c r="D235" i="15"/>
  <c r="D228" i="15"/>
  <c r="D207" i="15"/>
  <c r="D245" i="15"/>
  <c r="D252" i="15"/>
  <c r="D236" i="15"/>
  <c r="D267" i="15"/>
  <c r="D263" i="15"/>
  <c r="D251" i="15"/>
  <c r="D255" i="15"/>
  <c r="D257" i="15"/>
  <c r="D258" i="15"/>
  <c r="D259" i="15"/>
  <c r="D279" i="15"/>
  <c r="D278" i="15"/>
  <c r="D241" i="15"/>
  <c r="D112" i="15"/>
  <c r="D28" i="15"/>
  <c r="D200" i="15"/>
  <c r="D124" i="15"/>
  <c r="D117" i="15"/>
  <c r="D4" i="15"/>
  <c r="D31" i="15"/>
  <c r="D21" i="15"/>
  <c r="D12" i="15"/>
  <c r="D16" i="15"/>
  <c r="D18" i="15"/>
  <c r="D14" i="15"/>
  <c r="D17" i="15"/>
  <c r="D13" i="15"/>
  <c r="D15" i="15"/>
  <c r="D123" i="15"/>
  <c r="D182" i="15"/>
  <c r="D173" i="15"/>
  <c r="D57" i="15"/>
  <c r="D172" i="15"/>
  <c r="D149" i="15"/>
  <c r="D127" i="15"/>
  <c r="D147" i="15"/>
  <c r="D138" i="15"/>
  <c r="D151" i="15"/>
  <c r="D129" i="15"/>
  <c r="D139" i="15"/>
  <c r="D137" i="15"/>
  <c r="D145" i="15"/>
  <c r="D136" i="15"/>
  <c r="D152" i="15"/>
  <c r="D146" i="15"/>
  <c r="D140" i="15"/>
  <c r="D155" i="15"/>
  <c r="D133" i="15"/>
  <c r="D132" i="15"/>
  <c r="D154" i="15"/>
  <c r="D153" i="15"/>
  <c r="D130" i="15"/>
  <c r="D125" i="15"/>
  <c r="D150" i="15"/>
  <c r="D131" i="15"/>
  <c r="D126" i="15"/>
  <c r="D135" i="15"/>
  <c r="D128" i="15"/>
  <c r="D134" i="15"/>
  <c r="D122" i="15"/>
  <c r="D141" i="15"/>
  <c r="D54" i="15"/>
  <c r="D199" i="15"/>
  <c r="D201" i="15"/>
  <c r="D202" i="15"/>
  <c r="D177" i="15"/>
  <c r="D195" i="15"/>
  <c r="D196" i="15"/>
  <c r="D121" i="15"/>
  <c r="D6" i="15"/>
  <c r="D10" i="15"/>
  <c r="D45" i="15"/>
  <c r="D50" i="15"/>
  <c r="D42" i="15"/>
  <c r="D43" i="15"/>
  <c r="D44" i="15"/>
  <c r="D49" i="15"/>
  <c r="D48" i="15"/>
  <c r="D51" i="15"/>
  <c r="D47" i="15"/>
  <c r="D46" i="15"/>
  <c r="D9" i="15"/>
  <c r="D66" i="15"/>
  <c r="D88" i="15"/>
  <c r="D72" i="15"/>
  <c r="D82" i="15"/>
  <c r="D65" i="15"/>
  <c r="D86" i="15"/>
  <c r="D79" i="15"/>
  <c r="D89" i="15"/>
  <c r="D78" i="15"/>
  <c r="D73" i="15"/>
  <c r="D71" i="15"/>
  <c r="D63" i="15"/>
  <c r="D103" i="15"/>
  <c r="D119" i="15"/>
  <c r="D120" i="15"/>
  <c r="D33" i="15"/>
  <c r="D178" i="15"/>
  <c r="D179" i="15"/>
  <c r="D148" i="15"/>
  <c r="D118" i="15"/>
  <c r="D19" i="15"/>
  <c r="D38" i="15"/>
  <c r="D32" i="15"/>
  <c r="D34" i="15"/>
  <c r="D37" i="15"/>
  <c r="D40" i="15"/>
  <c r="D41" i="15"/>
  <c r="D36" i="15"/>
  <c r="D39" i="15"/>
  <c r="D77" i="15"/>
  <c r="D69" i="15"/>
  <c r="D3" i="15"/>
  <c r="D25" i="15"/>
  <c r="D23" i="15"/>
  <c r="D22" i="15"/>
  <c r="D204" i="15"/>
  <c r="D8" i="15"/>
  <c r="D75" i="15"/>
  <c r="D198" i="15"/>
  <c r="D191" i="15"/>
  <c r="D194" i="15"/>
  <c r="D197" i="15"/>
  <c r="D193" i="15"/>
  <c r="D11" i="15"/>
  <c r="D52" i="15"/>
  <c r="D184" i="15"/>
  <c r="D181" i="15"/>
  <c r="D185" i="15"/>
  <c r="D183" i="15"/>
  <c r="D186" i="15"/>
  <c r="D187" i="15"/>
  <c r="D180" i="15"/>
  <c r="D27" i="15"/>
  <c r="D67" i="15"/>
  <c r="D20" i="15"/>
  <c r="D175" i="15"/>
  <c r="D174" i="15"/>
  <c r="D203" i="15"/>
  <c r="D96" i="15"/>
  <c r="D91" i="15"/>
  <c r="D92" i="15"/>
  <c r="D108" i="15"/>
  <c r="D90" i="15"/>
  <c r="D144" i="15"/>
  <c r="D110" i="15"/>
  <c r="D95" i="15"/>
  <c r="D97" i="15"/>
  <c r="D114" i="15"/>
  <c r="D101" i="15"/>
  <c r="D99" i="15"/>
  <c r="D100" i="15"/>
  <c r="D104" i="15"/>
  <c r="D105" i="15"/>
  <c r="D93" i="15"/>
  <c r="D115" i="15"/>
  <c r="D113" i="15"/>
  <c r="D111" i="15"/>
  <c r="D102" i="15"/>
  <c r="D106" i="15"/>
  <c r="D116" i="15"/>
  <c r="D107" i="15"/>
  <c r="D98" i="15"/>
  <c r="D94" i="15"/>
  <c r="D109" i="15"/>
  <c r="D143" i="15"/>
  <c r="D2" i="15"/>
  <c r="D24" i="15"/>
  <c r="D156" i="15"/>
  <c r="D157" i="15"/>
  <c r="D158" i="15"/>
  <c r="D159" i="15"/>
  <c r="D160" i="15"/>
  <c r="D162" i="15"/>
  <c r="D163" i="15"/>
  <c r="D164" i="15"/>
  <c r="D165" i="15"/>
  <c r="D166" i="15"/>
  <c r="D167" i="15"/>
  <c r="D168" i="15"/>
  <c r="D169" i="15"/>
  <c r="D170" i="15"/>
  <c r="D171" i="15"/>
  <c r="D306" i="15"/>
  <c r="D307" i="15"/>
  <c r="D243" i="15"/>
  <c r="D302" i="15"/>
  <c r="D303" i="15"/>
  <c r="D304" i="15"/>
  <c r="B304" i="15" s="1"/>
  <c r="D309" i="15"/>
  <c r="C3" i="51"/>
  <c r="C4" i="51"/>
  <c r="C5" i="51"/>
  <c r="C6" i="51"/>
  <c r="C7" i="51"/>
  <c r="C8" i="51"/>
  <c r="C9" i="51"/>
  <c r="C10" i="51"/>
  <c r="C11" i="51"/>
  <c r="C12" i="51"/>
  <c r="C13" i="51"/>
  <c r="C14" i="51"/>
  <c r="C15" i="51"/>
  <c r="C16" i="51"/>
  <c r="C17" i="51"/>
  <c r="C18" i="51"/>
  <c r="C19" i="51"/>
  <c r="C20" i="51"/>
  <c r="C21" i="51"/>
  <c r="C22" i="51"/>
  <c r="C23" i="51"/>
  <c r="C24" i="51"/>
  <c r="C25" i="51"/>
  <c r="C26" i="51"/>
  <c r="C27" i="51"/>
  <c r="C28" i="51"/>
  <c r="C29" i="51"/>
  <c r="C30" i="51"/>
  <c r="C31" i="51"/>
  <c r="C32" i="51"/>
  <c r="C33" i="51"/>
  <c r="C34" i="51"/>
  <c r="C35" i="51"/>
  <c r="C36" i="51"/>
  <c r="C37" i="51"/>
  <c r="C38" i="51"/>
  <c r="C39" i="51"/>
  <c r="C40" i="51"/>
  <c r="C41" i="51"/>
  <c r="C42" i="51"/>
  <c r="C43" i="51"/>
  <c r="C44" i="51"/>
  <c r="C45" i="51"/>
  <c r="C46" i="51"/>
  <c r="C47" i="51"/>
  <c r="C48" i="51"/>
  <c r="C49" i="51"/>
  <c r="C50" i="51"/>
  <c r="C51" i="51"/>
  <c r="C52" i="51"/>
  <c r="C53" i="51"/>
  <c r="C54" i="51"/>
  <c r="C55" i="51"/>
  <c r="C56" i="51"/>
  <c r="C57" i="51"/>
  <c r="C58" i="51"/>
  <c r="C59" i="51"/>
  <c r="C60" i="51"/>
  <c r="C61" i="51"/>
  <c r="C62" i="51"/>
  <c r="C63" i="51"/>
  <c r="C64" i="51"/>
  <c r="C65" i="51"/>
  <c r="C66" i="51"/>
  <c r="C67" i="51"/>
  <c r="C68" i="51"/>
  <c r="C69" i="51"/>
  <c r="C70" i="51"/>
  <c r="C71" i="51"/>
  <c r="C72" i="51"/>
  <c r="C73" i="51"/>
  <c r="C74" i="51"/>
  <c r="C75" i="51"/>
  <c r="C76" i="51"/>
  <c r="C77" i="51"/>
  <c r="C78" i="51"/>
  <c r="C79" i="51"/>
  <c r="C80" i="51"/>
  <c r="C81" i="51"/>
  <c r="C82" i="51"/>
  <c r="C83" i="51"/>
  <c r="C84" i="51"/>
  <c r="C85" i="51"/>
  <c r="C86" i="51"/>
  <c r="C87" i="51"/>
  <c r="C88" i="51"/>
  <c r="C89" i="51"/>
  <c r="C90" i="51"/>
  <c r="C91" i="51"/>
  <c r="C92" i="51"/>
  <c r="C93" i="51"/>
  <c r="C11" i="50"/>
  <c r="D11" i="50"/>
  <c r="C13" i="50"/>
  <c r="D13" i="50"/>
  <c r="C15" i="50"/>
  <c r="D15" i="50"/>
  <c r="C16" i="50"/>
  <c r="C54" i="50" s="1"/>
  <c r="D16" i="50"/>
  <c r="D19" i="50" s="1"/>
  <c r="C17" i="50"/>
  <c r="D17" i="50"/>
  <c r="C18" i="50"/>
  <c r="D18" i="50"/>
  <c r="C38" i="50"/>
  <c r="C14" i="50" s="1"/>
  <c r="D38" i="50"/>
  <c r="D14" i="50" s="1"/>
  <c r="C40" i="50"/>
  <c r="D40" i="50"/>
  <c r="C39" i="50"/>
  <c r="D39" i="50"/>
  <c r="C42" i="50"/>
  <c r="D42" i="50"/>
  <c r="C43" i="50"/>
  <c r="D43" i="50"/>
  <c r="D44" i="50"/>
  <c r="C45" i="50"/>
  <c r="D45" i="50"/>
  <c r="D53" i="50" s="1"/>
  <c r="C46" i="50"/>
  <c r="D46" i="50"/>
  <c r="C48" i="50"/>
  <c r="D48" i="50"/>
  <c r="C47" i="50"/>
  <c r="D47" i="50"/>
  <c r="C50" i="50"/>
  <c r="D50" i="50"/>
  <c r="C49" i="50"/>
  <c r="D49" i="50"/>
  <c r="C52" i="50"/>
  <c r="D52" i="50"/>
  <c r="C51" i="50"/>
  <c r="D51" i="50"/>
  <c r="D54" i="50"/>
  <c r="C57" i="50"/>
  <c r="D57" i="50"/>
  <c r="C56" i="50"/>
  <c r="D56" i="50"/>
  <c r="C58" i="50"/>
  <c r="D58" i="50"/>
  <c r="C59" i="50"/>
  <c r="D59" i="50"/>
  <c r="C62" i="50"/>
  <c r="D62" i="50"/>
  <c r="C61" i="50"/>
  <c r="D61" i="50"/>
  <c r="C73" i="50"/>
  <c r="D73" i="50"/>
  <c r="B2" i="48"/>
  <c r="C2" i="48" s="1"/>
  <c r="C8" i="48"/>
  <c r="C9" i="48"/>
  <c r="C10" i="48"/>
  <c r="C14" i="48"/>
  <c r="C15" i="48"/>
  <c r="B23" i="48"/>
  <c r="C25" i="48"/>
  <c r="C32" i="48"/>
  <c r="D1" i="46"/>
  <c r="C2" i="46"/>
  <c r="C3" i="46"/>
  <c r="C6" i="46"/>
  <c r="C10" i="46"/>
  <c r="C11" i="46"/>
  <c r="C12" i="46"/>
  <c r="D18" i="46"/>
  <c r="C18" i="46" s="1"/>
  <c r="D19" i="46"/>
  <c r="C19" i="46" s="1"/>
  <c r="C21" i="46"/>
  <c r="C23" i="46"/>
  <c r="D24" i="46"/>
  <c r="C24" i="46" s="1"/>
  <c r="C25" i="46"/>
  <c r="D28" i="46"/>
  <c r="C28" i="46" s="1"/>
  <c r="C30" i="46"/>
  <c r="C31" i="46"/>
  <c r="C32" i="46"/>
  <c r="C33" i="46"/>
  <c r="C35" i="46"/>
  <c r="D38" i="46"/>
  <c r="C38" i="46" s="1"/>
  <c r="D39" i="46"/>
  <c r="C39" i="46" s="1"/>
  <c r="D43" i="46"/>
  <c r="C43" i="46" s="1"/>
  <c r="C47" i="46"/>
  <c r="C48" i="46"/>
  <c r="C49" i="46"/>
  <c r="C50" i="46"/>
  <c r="C51" i="46"/>
  <c r="C52" i="46"/>
  <c r="C53" i="46"/>
  <c r="D54" i="46"/>
  <c r="C54" i="46" s="1"/>
  <c r="C57" i="46"/>
  <c r="C58" i="46"/>
  <c r="C59" i="46"/>
  <c r="C60" i="46"/>
  <c r="C61" i="46"/>
  <c r="C62" i="46"/>
  <c r="C63" i="46"/>
  <c r="C64" i="46"/>
  <c r="C66" i="46"/>
  <c r="C67" i="46"/>
  <c r="C69" i="46"/>
  <c r="C70" i="46"/>
  <c r="C72" i="46"/>
  <c r="C73" i="46"/>
  <c r="C74" i="46"/>
  <c r="C75" i="46"/>
  <c r="C76" i="46"/>
  <c r="C77" i="46"/>
  <c r="C79" i="46"/>
  <c r="C80" i="46"/>
  <c r="D81" i="46"/>
  <c r="C81" i="46" s="1"/>
  <c r="C82" i="46"/>
  <c r="C83" i="46"/>
  <c r="C84" i="46"/>
  <c r="C85" i="46"/>
  <c r="C86" i="46"/>
  <c r="C89" i="46"/>
  <c r="C90" i="46"/>
  <c r="C92" i="46"/>
  <c r="C93" i="46"/>
  <c r="C94" i="46"/>
  <c r="C95" i="46"/>
  <c r="C97" i="46"/>
  <c r="C98" i="46"/>
  <c r="D99" i="46"/>
  <c r="C99" i="46" s="1"/>
  <c r="C100" i="46"/>
  <c r="D107" i="46"/>
  <c r="C107" i="46" s="1"/>
  <c r="C108" i="46"/>
  <c r="D110" i="46"/>
  <c r="C110" i="46" s="1"/>
  <c r="C111" i="46"/>
  <c r="C112" i="46"/>
  <c r="C113" i="46"/>
  <c r="C114" i="46"/>
  <c r="C115" i="46"/>
  <c r="F2" i="44"/>
  <c r="F3" i="44"/>
  <c r="F4" i="44"/>
  <c r="F5" i="44"/>
  <c r="F6" i="44"/>
  <c r="F7" i="44"/>
  <c r="F8" i="44"/>
  <c r="F9" i="44"/>
  <c r="F10" i="44"/>
  <c r="F11" i="44"/>
  <c r="F12" i="44"/>
  <c r="F13" i="44"/>
  <c r="F14" i="44"/>
  <c r="F15" i="44"/>
  <c r="F16" i="44"/>
  <c r="F17" i="44"/>
  <c r="F18" i="44"/>
  <c r="F19" i="44"/>
  <c r="F20" i="44"/>
  <c r="F21" i="44"/>
  <c r="F22" i="44"/>
  <c r="F23" i="44"/>
  <c r="F24" i="44"/>
  <c r="F25" i="44"/>
  <c r="F26" i="44"/>
  <c r="F27" i="44"/>
  <c r="F28" i="44"/>
  <c r="F29" i="44"/>
  <c r="F30" i="44"/>
  <c r="F31" i="44"/>
  <c r="F32" i="44"/>
  <c r="F33" i="44"/>
  <c r="F34" i="44"/>
  <c r="F35" i="44"/>
  <c r="F36" i="44"/>
  <c r="F37" i="44"/>
  <c r="F38" i="44"/>
  <c r="F39" i="44"/>
  <c r="F40" i="44"/>
  <c r="F41" i="44"/>
  <c r="F42" i="44"/>
  <c r="F43" i="44"/>
  <c r="F44" i="44"/>
  <c r="F45" i="44"/>
  <c r="F46" i="44"/>
  <c r="F47" i="44"/>
  <c r="F48" i="44"/>
  <c r="F49" i="44"/>
  <c r="F50" i="44"/>
  <c r="F51" i="44"/>
  <c r="F52" i="44"/>
  <c r="F53" i="44"/>
  <c r="F54" i="44"/>
  <c r="F55" i="44"/>
  <c r="F56" i="44"/>
  <c r="F57" i="44"/>
  <c r="F58" i="44"/>
  <c r="F59" i="44"/>
  <c r="F60" i="44"/>
  <c r="F61" i="44"/>
  <c r="F62" i="44"/>
  <c r="F63" i="44"/>
  <c r="F64" i="44"/>
  <c r="F65" i="44"/>
  <c r="F66" i="44"/>
  <c r="F67" i="44"/>
  <c r="F68" i="44"/>
  <c r="F69" i="44"/>
  <c r="F70" i="44"/>
  <c r="F71" i="44"/>
  <c r="F72" i="44"/>
  <c r="F73" i="44"/>
  <c r="F74" i="44"/>
  <c r="F75" i="44"/>
  <c r="F76" i="44"/>
  <c r="F77" i="44"/>
  <c r="F78" i="44"/>
  <c r="F79" i="44"/>
  <c r="F80" i="44"/>
  <c r="F81" i="44"/>
  <c r="F82" i="44"/>
  <c r="F83" i="44"/>
  <c r="F84" i="44"/>
  <c r="F85" i="44"/>
  <c r="F86" i="44"/>
  <c r="F87" i="44"/>
  <c r="F88" i="44"/>
  <c r="F89" i="44"/>
  <c r="F90" i="44"/>
  <c r="F91" i="44"/>
  <c r="F92" i="44"/>
  <c r="F93" i="44"/>
  <c r="F94" i="44"/>
  <c r="F95" i="44"/>
  <c r="F96" i="44"/>
  <c r="F97" i="44"/>
  <c r="F98" i="44"/>
  <c r="F99" i="44"/>
  <c r="F100" i="44"/>
  <c r="F101" i="44"/>
  <c r="F102" i="44"/>
  <c r="F103" i="44"/>
  <c r="F104" i="44"/>
  <c r="F105" i="44"/>
  <c r="F106" i="44"/>
  <c r="F107" i="44"/>
  <c r="F108" i="44"/>
  <c r="F109" i="44"/>
  <c r="F110" i="44"/>
  <c r="F111" i="44"/>
  <c r="F112" i="44"/>
  <c r="F113" i="44"/>
  <c r="F114" i="44"/>
  <c r="F115" i="44"/>
  <c r="F116" i="44"/>
  <c r="F117" i="44"/>
  <c r="F118" i="44"/>
  <c r="F119" i="44"/>
  <c r="F120" i="44"/>
  <c r="F121" i="44"/>
  <c r="F122" i="44"/>
  <c r="F123" i="44"/>
  <c r="F124" i="44"/>
  <c r="F125" i="44"/>
  <c r="D2" i="43"/>
  <c r="H2" i="43"/>
  <c r="D3" i="43"/>
  <c r="E3" i="43"/>
  <c r="H3" i="43"/>
  <c r="H4" i="43"/>
  <c r="D5" i="43"/>
  <c r="E5" i="43"/>
  <c r="H5" i="43"/>
  <c r="D6" i="43"/>
  <c r="E6" i="43"/>
  <c r="H6" i="43"/>
  <c r="D8" i="43"/>
  <c r="E8" i="43"/>
  <c r="H8" i="43"/>
  <c r="D9" i="43"/>
  <c r="E9" i="43"/>
  <c r="H9" i="43"/>
  <c r="H10" i="43"/>
  <c r="D11" i="43"/>
  <c r="E11" i="43"/>
  <c r="H11" i="43"/>
  <c r="D12" i="43"/>
  <c r="E12" i="43"/>
  <c r="H12" i="43"/>
  <c r="D13" i="43"/>
  <c r="E13" i="43"/>
  <c r="H13" i="43"/>
  <c r="D14" i="43"/>
  <c r="E14" i="43"/>
  <c r="H14" i="43"/>
  <c r="D15" i="43"/>
  <c r="E15" i="43"/>
  <c r="H15" i="43"/>
  <c r="D16" i="43"/>
  <c r="E16" i="43"/>
  <c r="H16" i="43"/>
  <c r="D17" i="43"/>
  <c r="E17" i="43"/>
  <c r="H17" i="43"/>
  <c r="D18" i="43"/>
  <c r="E18" i="43"/>
  <c r="H18" i="43"/>
  <c r="D19" i="43"/>
  <c r="H19" i="43"/>
  <c r="D20" i="43"/>
  <c r="H20" i="43"/>
  <c r="D21" i="43"/>
  <c r="E21" i="43"/>
  <c r="H21" i="43"/>
  <c r="D22" i="43"/>
  <c r="E22" i="43"/>
  <c r="H22" i="43"/>
  <c r="D23" i="43"/>
  <c r="E23" i="43"/>
  <c r="H23" i="43"/>
  <c r="D24" i="43"/>
  <c r="E24" i="43"/>
  <c r="H24" i="43"/>
  <c r="D25" i="43"/>
  <c r="E25" i="43"/>
  <c r="H25" i="43"/>
  <c r="D26" i="43"/>
  <c r="E26" i="43"/>
  <c r="H26" i="43"/>
  <c r="D27" i="43"/>
  <c r="E27" i="43"/>
  <c r="H27" i="43"/>
  <c r="D28" i="43"/>
  <c r="E28" i="43"/>
  <c r="H28" i="43"/>
  <c r="D29" i="43"/>
  <c r="E29" i="43"/>
  <c r="H29" i="43"/>
  <c r="D30" i="43"/>
  <c r="E30" i="43"/>
  <c r="H30" i="43"/>
  <c r="D31" i="43"/>
  <c r="E31" i="43"/>
  <c r="H31" i="43"/>
  <c r="D32" i="43"/>
  <c r="E32" i="43"/>
  <c r="H32" i="43"/>
  <c r="D33" i="43"/>
  <c r="E33" i="43"/>
  <c r="H33" i="43"/>
  <c r="E34" i="43"/>
  <c r="H34" i="43"/>
  <c r="D35" i="43"/>
  <c r="E35" i="43"/>
  <c r="H35" i="43"/>
  <c r="D36" i="43"/>
  <c r="E36" i="43"/>
  <c r="H36" i="43"/>
  <c r="D37" i="43"/>
  <c r="E37" i="43"/>
  <c r="H37" i="43"/>
  <c r="D38" i="43"/>
  <c r="E38" i="43"/>
  <c r="H38" i="43"/>
  <c r="D39" i="43"/>
  <c r="E39" i="43"/>
  <c r="H39" i="43"/>
  <c r="D40" i="43"/>
  <c r="E40" i="43"/>
  <c r="H40" i="43"/>
  <c r="D41" i="43"/>
  <c r="E41" i="43"/>
  <c r="H41" i="43"/>
  <c r="E42" i="43"/>
  <c r="H42" i="43"/>
  <c r="E43" i="43"/>
  <c r="H43" i="43"/>
  <c r="D44" i="43"/>
  <c r="E44" i="43"/>
  <c r="H44" i="43"/>
  <c r="D45" i="43"/>
  <c r="E45" i="43"/>
  <c r="H45" i="43"/>
  <c r="D46" i="43"/>
  <c r="E46" i="43"/>
  <c r="H46" i="43"/>
  <c r="D47" i="43"/>
  <c r="E47" i="43"/>
  <c r="H47" i="43"/>
  <c r="D48" i="43"/>
  <c r="E48" i="43"/>
  <c r="H48" i="43"/>
  <c r="D49" i="43"/>
  <c r="E49" i="43"/>
  <c r="H49" i="43"/>
  <c r="D50" i="43"/>
  <c r="E50" i="43"/>
  <c r="H50" i="43"/>
  <c r="D51" i="43"/>
  <c r="E51" i="43"/>
  <c r="H51" i="43"/>
  <c r="D52" i="43"/>
  <c r="E52" i="43"/>
  <c r="H52" i="43"/>
  <c r="D53" i="43"/>
  <c r="E53" i="43"/>
  <c r="H53" i="43"/>
  <c r="D54" i="43"/>
  <c r="E54" i="43"/>
  <c r="H54" i="43"/>
  <c r="D55" i="43"/>
  <c r="E55" i="43"/>
  <c r="H55" i="43"/>
  <c r="D56" i="43"/>
  <c r="E56" i="43"/>
  <c r="H56" i="43"/>
  <c r="D57" i="43"/>
  <c r="E57" i="43"/>
  <c r="H57" i="43"/>
  <c r="D58" i="43"/>
  <c r="E58" i="43"/>
  <c r="H58" i="43"/>
  <c r="D59" i="43"/>
  <c r="E59" i="43"/>
  <c r="H59" i="43"/>
  <c r="D60" i="43"/>
  <c r="E60" i="43"/>
  <c r="H60" i="43"/>
  <c r="D61" i="43"/>
  <c r="E61" i="43"/>
  <c r="H61" i="43"/>
  <c r="D62" i="43"/>
  <c r="H62" i="43"/>
  <c r="D63" i="43"/>
  <c r="H63" i="43"/>
  <c r="D64" i="43"/>
  <c r="H64" i="43"/>
  <c r="D65" i="43"/>
  <c r="H65" i="43"/>
  <c r="D66" i="43"/>
  <c r="H66" i="43"/>
  <c r="D67" i="43"/>
  <c r="H67" i="43"/>
  <c r="D68" i="43"/>
  <c r="H68" i="43"/>
  <c r="D69" i="43"/>
  <c r="H69" i="43"/>
  <c r="D70" i="43"/>
  <c r="H70" i="43"/>
  <c r="D71" i="43"/>
  <c r="H71" i="43"/>
  <c r="D72" i="43"/>
  <c r="H72" i="43"/>
  <c r="H73" i="43"/>
  <c r="H74" i="43"/>
  <c r="H75" i="43"/>
  <c r="H76" i="43"/>
  <c r="H77" i="43"/>
  <c r="H78" i="43"/>
  <c r="H79" i="43"/>
  <c r="H80" i="43"/>
  <c r="H81" i="43"/>
  <c r="H82" i="43"/>
  <c r="H83" i="43"/>
  <c r="H84" i="43"/>
  <c r="H85" i="43"/>
  <c r="H86" i="43"/>
  <c r="H87" i="43"/>
  <c r="H88" i="43"/>
  <c r="H89" i="43"/>
  <c r="H90" i="43"/>
  <c r="H91" i="43"/>
  <c r="H92" i="43"/>
  <c r="H93" i="43"/>
  <c r="H94" i="43"/>
  <c r="H95" i="43"/>
  <c r="D96" i="43"/>
  <c r="E96" i="43"/>
  <c r="H96" i="43"/>
  <c r="D97" i="43"/>
  <c r="E97" i="43"/>
  <c r="H97" i="43"/>
  <c r="D98" i="43"/>
  <c r="E98" i="43"/>
  <c r="H98" i="43"/>
  <c r="D99" i="43"/>
  <c r="E99" i="43"/>
  <c r="H99" i="43"/>
  <c r="D100" i="43"/>
  <c r="E100" i="43"/>
  <c r="H100" i="43"/>
  <c r="D101" i="43"/>
  <c r="E101" i="43"/>
  <c r="H101" i="43"/>
  <c r="D102" i="43"/>
  <c r="E102" i="43"/>
  <c r="H102" i="43"/>
  <c r="D103" i="43"/>
  <c r="E103" i="43"/>
  <c r="H103" i="43"/>
  <c r="D104" i="43"/>
  <c r="E104" i="43"/>
  <c r="H104" i="43"/>
  <c r="D105" i="43"/>
  <c r="E105" i="43"/>
  <c r="H105" i="43"/>
  <c r="D106" i="43"/>
  <c r="E106" i="43"/>
  <c r="H106" i="43"/>
  <c r="D107" i="43"/>
  <c r="E107" i="43"/>
  <c r="H107" i="43"/>
  <c r="D108" i="43"/>
  <c r="E108" i="43"/>
  <c r="H108" i="43"/>
  <c r="D109" i="43"/>
  <c r="E109" i="43"/>
  <c r="H109" i="43"/>
  <c r="D110" i="43"/>
  <c r="E110" i="43"/>
  <c r="H110" i="43"/>
  <c r="D111" i="43"/>
  <c r="E111" i="43"/>
  <c r="H111" i="43"/>
  <c r="D112" i="43"/>
  <c r="E112" i="43"/>
  <c r="H112" i="43"/>
  <c r="D113" i="43"/>
  <c r="E113" i="43"/>
  <c r="H113" i="43"/>
  <c r="D114" i="43"/>
  <c r="E114" i="43"/>
  <c r="H114" i="43"/>
  <c r="D115" i="43"/>
  <c r="E115" i="43"/>
  <c r="H115" i="43"/>
  <c r="D116" i="43"/>
  <c r="E116" i="43"/>
  <c r="H116" i="43"/>
  <c r="D117" i="43"/>
  <c r="E117" i="43"/>
  <c r="H117" i="43"/>
  <c r="D118" i="43"/>
  <c r="E118" i="43"/>
  <c r="H118" i="43"/>
  <c r="E119" i="43"/>
  <c r="E120" i="43"/>
  <c r="C2" i="38"/>
  <c r="C4" i="38"/>
  <c r="D4" i="38"/>
  <c r="C5" i="38"/>
  <c r="D5" i="38"/>
  <c r="C6" i="38"/>
  <c r="D6" i="38"/>
  <c r="C7" i="38"/>
  <c r="D7" i="38"/>
  <c r="C8" i="38"/>
  <c r="D8" i="38"/>
  <c r="C9" i="38"/>
  <c r="D9" i="38"/>
  <c r="C10" i="38"/>
  <c r="D10" i="38"/>
  <c r="C12" i="38"/>
  <c r="C13" i="38"/>
  <c r="C16" i="38"/>
  <c r="C17" i="38"/>
  <c r="C19" i="38"/>
  <c r="D19" i="38"/>
  <c r="C20" i="38"/>
  <c r="C21" i="38"/>
  <c r="C22" i="38"/>
  <c r="C25" i="38"/>
  <c r="D25" i="38"/>
  <c r="C26" i="38"/>
  <c r="C28" i="38"/>
  <c r="C29" i="38"/>
  <c r="C31" i="38"/>
  <c r="C32" i="38"/>
  <c r="D32" i="38"/>
  <c r="C34" i="38"/>
  <c r="C37" i="38"/>
  <c r="C38" i="38"/>
  <c r="D38" i="38"/>
  <c r="C40" i="38"/>
  <c r="C41" i="38"/>
  <c r="C43" i="38"/>
  <c r="D43" i="38"/>
  <c r="C46" i="38"/>
  <c r="C47" i="38"/>
  <c r="D47" i="38"/>
  <c r="C48" i="38"/>
  <c r="C49" i="38"/>
  <c r="C51" i="38"/>
  <c r="C52" i="38"/>
  <c r="C53" i="38"/>
  <c r="C54" i="38"/>
  <c r="C55" i="38"/>
  <c r="C56" i="38"/>
  <c r="D56" i="38"/>
  <c r="C57" i="38"/>
  <c r="C58" i="38"/>
  <c r="C60" i="38"/>
  <c r="D60" i="38"/>
  <c r="C61" i="38"/>
  <c r="C65" i="38"/>
  <c r="D65" i="38"/>
  <c r="C66" i="38"/>
  <c r="D66" i="38"/>
  <c r="C69" i="38"/>
  <c r="D69" i="38"/>
  <c r="C70" i="38"/>
  <c r="C71" i="38"/>
  <c r="D71" i="38"/>
  <c r="C72" i="38"/>
  <c r="C73" i="38"/>
  <c r="C75" i="38"/>
  <c r="D75" i="38"/>
  <c r="C76" i="38"/>
  <c r="D76" i="38"/>
  <c r="C77" i="38"/>
  <c r="C79" i="38"/>
  <c r="C80" i="38"/>
  <c r="C81" i="38"/>
  <c r="C83" i="38"/>
  <c r="D83" i="38"/>
  <c r="C84" i="38"/>
  <c r="D84" i="38"/>
  <c r="C86" i="38"/>
  <c r="C87" i="38"/>
  <c r="C88" i="38"/>
  <c r="D88" i="38"/>
  <c r="C89" i="38"/>
  <c r="C90" i="38"/>
  <c r="C91" i="38"/>
  <c r="D91" i="38"/>
  <c r="C92" i="38"/>
  <c r="C94" i="38"/>
  <c r="D94" i="38"/>
  <c r="C96" i="38"/>
  <c r="C97" i="38"/>
  <c r="C98" i="38"/>
  <c r="C100" i="38"/>
  <c r="C101" i="38"/>
  <c r="C102" i="38"/>
  <c r="D102" i="38"/>
  <c r="C104" i="38"/>
  <c r="C105" i="38"/>
  <c r="C106" i="38"/>
  <c r="D106" i="38"/>
  <c r="C107" i="38"/>
  <c r="C108" i="38"/>
  <c r="D108" i="38"/>
  <c r="C109" i="38"/>
  <c r="D109" i="38"/>
  <c r="B2" i="37"/>
  <c r="M2" i="37" s="1"/>
  <c r="L2" i="37"/>
  <c r="B3" i="37"/>
  <c r="M3" i="37" s="1"/>
  <c r="B4" i="37"/>
  <c r="K4" i="37" s="1"/>
  <c r="L4" i="37" s="1"/>
  <c r="B5" i="37"/>
  <c r="K5" i="37" s="1"/>
  <c r="L5" i="37" s="1"/>
  <c r="B6" i="37"/>
  <c r="K6" i="37" s="1"/>
  <c r="L6" i="37" s="1"/>
  <c r="B7" i="37"/>
  <c r="K7" i="37" s="1"/>
  <c r="L7" i="37" s="1"/>
  <c r="B8" i="37"/>
  <c r="M8" i="37" s="1"/>
  <c r="K8" i="37"/>
  <c r="L8" i="37" s="1"/>
  <c r="B9" i="37"/>
  <c r="M9" i="37" s="1"/>
  <c r="B10" i="37"/>
  <c r="K10" i="37" s="1"/>
  <c r="L10" i="37" s="1"/>
  <c r="B11" i="37"/>
  <c r="K11" i="37" s="1"/>
  <c r="L11" i="37" s="1"/>
  <c r="B12" i="37"/>
  <c r="M12" i="37" s="1"/>
  <c r="K12" i="37"/>
  <c r="L12" i="37" s="1"/>
  <c r="B13" i="37"/>
  <c r="K13" i="37" s="1"/>
  <c r="B14" i="37"/>
  <c r="L14" i="37"/>
  <c r="M14" i="37"/>
  <c r="B15" i="37"/>
  <c r="K15" i="37"/>
  <c r="L15" i="37" s="1"/>
  <c r="M15" i="37"/>
  <c r="B16" i="37"/>
  <c r="K16" i="37" s="1"/>
  <c r="L16" i="37" s="1"/>
  <c r="B17" i="37"/>
  <c r="M17" i="37" s="1"/>
  <c r="L17" i="37"/>
  <c r="B18" i="37"/>
  <c r="K18" i="37" s="1"/>
  <c r="L18" i="37" s="1"/>
  <c r="B19" i="37"/>
  <c r="M19" i="37" s="1"/>
  <c r="B20" i="37"/>
  <c r="K20" i="37" s="1"/>
  <c r="L20" i="37" s="1"/>
  <c r="K21" i="37"/>
  <c r="M21" i="37"/>
  <c r="M22" i="37"/>
  <c r="K23" i="37"/>
  <c r="L23" i="37" s="1"/>
  <c r="M23" i="37"/>
  <c r="B24" i="37"/>
  <c r="K24" i="37" s="1"/>
  <c r="L24" i="37" s="1"/>
  <c r="B25" i="37"/>
  <c r="K25" i="37" s="1"/>
  <c r="L25" i="37" s="1"/>
  <c r="B26" i="37"/>
  <c r="K26" i="37" s="1"/>
  <c r="L26" i="37" s="1"/>
  <c r="B27" i="37"/>
  <c r="K27" i="37" s="1"/>
  <c r="L27" i="37" s="1"/>
  <c r="B28" i="37"/>
  <c r="K28" i="37"/>
  <c r="L28" i="37" s="1"/>
  <c r="M28" i="37"/>
  <c r="B29" i="37"/>
  <c r="K29" i="37" s="1"/>
  <c r="L29" i="37" s="1"/>
  <c r="B30" i="37"/>
  <c r="K30" i="37" s="1"/>
  <c r="L30" i="37" s="1"/>
  <c r="B31" i="37"/>
  <c r="K31" i="37" s="1"/>
  <c r="L31" i="37" s="1"/>
  <c r="B32" i="37"/>
  <c r="K32" i="37" s="1"/>
  <c r="L32" i="37" s="1"/>
  <c r="B33" i="37"/>
  <c r="K33" i="37" s="1"/>
  <c r="L33" i="37" s="1"/>
  <c r="B34" i="37"/>
  <c r="K34" i="37"/>
  <c r="L34" i="37" s="1"/>
  <c r="M34" i="37"/>
  <c r="B35" i="37"/>
  <c r="K35" i="37" s="1"/>
  <c r="L35" i="37" s="1"/>
  <c r="K36" i="37"/>
  <c r="L36" i="37" s="1"/>
  <c r="M36" i="37"/>
  <c r="B37" i="37"/>
  <c r="K37" i="37" s="1"/>
  <c r="L37" i="37" s="1"/>
  <c r="B38" i="37"/>
  <c r="K38" i="37"/>
  <c r="L38" i="37" s="1"/>
  <c r="M38" i="37"/>
  <c r="K39" i="37"/>
  <c r="L39" i="37" s="1"/>
  <c r="M39" i="37"/>
  <c r="B40" i="37"/>
  <c r="K40" i="37" s="1"/>
  <c r="L40" i="37" s="1"/>
  <c r="K41" i="37"/>
  <c r="L41" i="37" s="1"/>
  <c r="M41" i="37"/>
  <c r="K42" i="37"/>
  <c r="L42" i="37" s="1"/>
  <c r="M42" i="37"/>
  <c r="K43" i="37"/>
  <c r="L43" i="37" s="1"/>
  <c r="M43" i="37"/>
  <c r="K44" i="37"/>
  <c r="L44" i="37" s="1"/>
  <c r="M44" i="37"/>
  <c r="B45" i="37"/>
  <c r="M45" i="37" s="1"/>
  <c r="L45" i="37"/>
  <c r="B46" i="37"/>
  <c r="I46" i="37" s="1"/>
  <c r="L46" i="37"/>
  <c r="B47" i="37"/>
  <c r="M47" i="37" s="1"/>
  <c r="K47" i="37"/>
  <c r="L47" i="37" s="1"/>
  <c r="B48" i="37"/>
  <c r="M48" i="37" s="1"/>
  <c r="B49" i="37"/>
  <c r="M49" i="37" s="1"/>
  <c r="L49" i="37"/>
  <c r="B50" i="37"/>
  <c r="K50" i="37" s="1"/>
  <c r="L50" i="37" s="1"/>
  <c r="B51" i="37"/>
  <c r="K51" i="37" s="1"/>
  <c r="L51" i="37" s="1"/>
  <c r="B52" i="37"/>
  <c r="M52" i="37" s="1"/>
  <c r="L52" i="37"/>
  <c r="B53" i="37"/>
  <c r="M53" i="37" s="1"/>
  <c r="L53" i="37"/>
  <c r="B54" i="37"/>
  <c r="K54" i="37" s="1"/>
  <c r="L54" i="37" s="1"/>
  <c r="B55" i="37"/>
  <c r="M55" i="37" s="1"/>
  <c r="L55" i="37"/>
  <c r="B56" i="37"/>
  <c r="K56" i="37" s="1"/>
  <c r="L56" i="37" s="1"/>
  <c r="B57" i="37"/>
  <c r="M57" i="37" s="1"/>
  <c r="L57" i="37"/>
  <c r="B58" i="37"/>
  <c r="K58" i="37" s="1"/>
  <c r="L58" i="37" s="1"/>
  <c r="M58" i="37"/>
  <c r="B59" i="37"/>
  <c r="K59" i="37" s="1"/>
  <c r="L59" i="37" s="1"/>
  <c r="B60" i="37"/>
  <c r="I60" i="37" s="1"/>
  <c r="L60" i="37"/>
  <c r="B61" i="37"/>
  <c r="M61" i="37" s="1"/>
  <c r="L61" i="37"/>
  <c r="B62" i="37"/>
  <c r="M62" i="37" s="1"/>
  <c r="K62" i="37"/>
  <c r="L62" i="37" s="1"/>
  <c r="B63" i="37"/>
  <c r="M63" i="37" s="1"/>
  <c r="K63" i="37"/>
  <c r="L63" i="37" s="1"/>
  <c r="B64" i="37"/>
  <c r="M64" i="37" s="1"/>
  <c r="K64" i="37"/>
  <c r="L64" i="37" s="1"/>
  <c r="B65" i="37"/>
  <c r="K65" i="37" s="1"/>
  <c r="L65" i="37" s="1"/>
  <c r="B66" i="37"/>
  <c r="M66" i="37" s="1"/>
  <c r="K66" i="37"/>
  <c r="L66" i="37" s="1"/>
  <c r="K67" i="37"/>
  <c r="L67" i="37" s="1"/>
  <c r="M67" i="37"/>
  <c r="B68" i="37"/>
  <c r="M68" i="37" s="1"/>
  <c r="L68" i="37"/>
  <c r="L69" i="37"/>
  <c r="M69" i="37"/>
  <c r="B70" i="37"/>
  <c r="M70" i="37" s="1"/>
  <c r="K70" i="37"/>
  <c r="L70" i="37" s="1"/>
  <c r="B71" i="37"/>
  <c r="M71" i="37" s="1"/>
  <c r="K71" i="37"/>
  <c r="L71" i="37" s="1"/>
  <c r="B72" i="37"/>
  <c r="K72" i="37" s="1"/>
  <c r="L72" i="37" s="1"/>
  <c r="B73" i="37"/>
  <c r="M73" i="37" s="1"/>
  <c r="B74" i="37"/>
  <c r="M74" i="37" s="1"/>
  <c r="L74" i="37"/>
  <c r="B75" i="37"/>
  <c r="K75" i="37" s="1"/>
  <c r="L75" i="37" s="1"/>
  <c r="B76" i="37"/>
  <c r="M76" i="37" s="1"/>
  <c r="B77" i="37"/>
  <c r="K77" i="37" s="1"/>
  <c r="L77" i="37" s="1"/>
  <c r="M77" i="37"/>
  <c r="B78" i="37"/>
  <c r="K78" i="37" s="1"/>
  <c r="L78" i="37" s="1"/>
  <c r="B79" i="37"/>
  <c r="M79" i="37" s="1"/>
  <c r="L79" i="37"/>
  <c r="B80" i="37"/>
  <c r="M80" i="37" s="1"/>
  <c r="L80" i="37"/>
  <c r="B81" i="37"/>
  <c r="K81" i="37" s="1"/>
  <c r="L81" i="37" s="1"/>
  <c r="M81" i="37"/>
  <c r="B82" i="37"/>
  <c r="M82" i="37" s="1"/>
  <c r="L82" i="37"/>
  <c r="B83" i="37"/>
  <c r="M83" i="37" s="1"/>
  <c r="K83" i="37"/>
  <c r="L83" i="37" s="1"/>
  <c r="B84" i="37"/>
  <c r="K84" i="37" s="1"/>
  <c r="L84" i="37" s="1"/>
  <c r="B85" i="37"/>
  <c r="K85" i="37" s="1"/>
  <c r="L85" i="37" s="1"/>
  <c r="K86" i="37"/>
  <c r="L86" i="37" s="1"/>
  <c r="M86" i="37"/>
  <c r="K87" i="37"/>
  <c r="L87" i="37" s="1"/>
  <c r="M87" i="37"/>
  <c r="B88" i="37"/>
  <c r="K88" i="37" s="1"/>
  <c r="L88" i="37" s="1"/>
  <c r="M88" i="37"/>
  <c r="B89" i="37"/>
  <c r="M89" i="37" s="1"/>
  <c r="K89" i="37"/>
  <c r="L89" i="37" s="1"/>
  <c r="B90" i="37"/>
  <c r="K90" i="37"/>
  <c r="L90" i="37" s="1"/>
  <c r="M90" i="37"/>
  <c r="K91" i="37"/>
  <c r="L91" i="37" s="1"/>
  <c r="M91" i="37"/>
  <c r="K92" i="37"/>
  <c r="L92" i="37" s="1"/>
  <c r="M92" i="37"/>
  <c r="K93" i="37"/>
  <c r="L93" i="37" s="1"/>
  <c r="M93" i="37"/>
  <c r="K94" i="37"/>
  <c r="L94" i="37" s="1"/>
  <c r="M94" i="37"/>
  <c r="K95" i="37"/>
  <c r="L95" i="37" s="1"/>
  <c r="M95" i="37"/>
  <c r="B96" i="37"/>
  <c r="K96" i="37" s="1"/>
  <c r="L96" i="37" s="1"/>
  <c r="B97" i="37"/>
  <c r="K97" i="37" s="1"/>
  <c r="L97" i="37" s="1"/>
  <c r="B98" i="37"/>
  <c r="K98" i="37" s="1"/>
  <c r="L98" i="37" s="1"/>
  <c r="B99" i="37"/>
  <c r="K99" i="37" s="1"/>
  <c r="L99" i="37" s="1"/>
  <c r="B100" i="37"/>
  <c r="K100" i="37" s="1"/>
  <c r="L100" i="37" s="1"/>
  <c r="I101" i="37"/>
  <c r="K101" i="37"/>
  <c r="L101" i="37" s="1"/>
  <c r="M101" i="37"/>
  <c r="I102" i="37"/>
  <c r="K102" i="37"/>
  <c r="L102" i="37" s="1"/>
  <c r="M102" i="37"/>
  <c r="K103" i="37"/>
  <c r="L103" i="37" s="1"/>
  <c r="M103" i="37"/>
  <c r="K104" i="37"/>
  <c r="L104" i="37" s="1"/>
  <c r="M104" i="37"/>
  <c r="B105" i="37"/>
  <c r="K105" i="37" s="1"/>
  <c r="L105" i="37" s="1"/>
  <c r="B106" i="37"/>
  <c r="M106" i="37" s="1"/>
  <c r="B107" i="37"/>
  <c r="I107" i="37" s="1"/>
  <c r="B108" i="37"/>
  <c r="K108" i="37" s="1"/>
  <c r="L108" i="37" s="1"/>
  <c r="B109" i="37"/>
  <c r="I109" i="37" s="1"/>
  <c r="B110" i="37"/>
  <c r="M110" i="37" s="1"/>
  <c r="K110" i="37"/>
  <c r="L110" i="37" s="1"/>
  <c r="K111" i="37"/>
  <c r="L111" i="37" s="1"/>
  <c r="M111" i="37"/>
  <c r="K112" i="37"/>
  <c r="L112" i="37" s="1"/>
  <c r="M112" i="37"/>
  <c r="B113" i="37"/>
  <c r="K113" i="37"/>
  <c r="L113" i="37" s="1"/>
  <c r="M113" i="37"/>
  <c r="B114" i="37"/>
  <c r="M114" i="37" s="1"/>
  <c r="K114" i="37"/>
  <c r="L114" i="37" s="1"/>
  <c r="B115" i="37"/>
  <c r="K115" i="37" s="1"/>
  <c r="L115" i="37" s="1"/>
  <c r="B116" i="37"/>
  <c r="M116" i="37" s="1"/>
  <c r="K116" i="37"/>
  <c r="L116" i="37" s="1"/>
  <c r="B117" i="37"/>
  <c r="K117" i="37" s="1"/>
  <c r="L117" i="37" s="1"/>
  <c r="B118" i="37"/>
  <c r="K118" i="37" s="1"/>
  <c r="L118" i="37" s="1"/>
  <c r="M118" i="37"/>
  <c r="B119" i="37"/>
  <c r="K119" i="37" s="1"/>
  <c r="L119" i="37" s="1"/>
  <c r="M119" i="37"/>
  <c r="B120" i="37"/>
  <c r="K120" i="37"/>
  <c r="L120" i="37" s="1"/>
  <c r="M120" i="37"/>
  <c r="B121" i="37"/>
  <c r="K121" i="37" s="1"/>
  <c r="L121" i="37" s="1"/>
  <c r="M121" i="37"/>
  <c r="K122" i="37"/>
  <c r="L122" i="37" s="1"/>
  <c r="M122" i="37"/>
  <c r="B123" i="37"/>
  <c r="K123" i="37" s="1"/>
  <c r="L123" i="37" s="1"/>
  <c r="B124" i="37"/>
  <c r="M124" i="37" s="1"/>
  <c r="B125" i="37"/>
  <c r="K125" i="37" s="1"/>
  <c r="L125" i="37" s="1"/>
  <c r="B126" i="37"/>
  <c r="K126" i="37" s="1"/>
  <c r="L126" i="37" s="1"/>
  <c r="B127" i="37"/>
  <c r="M127" i="37" s="1"/>
  <c r="B128" i="37"/>
  <c r="K128" i="37" s="1"/>
  <c r="L128" i="37" s="1"/>
  <c r="B129" i="37"/>
  <c r="K129" i="37" s="1"/>
  <c r="L129" i="37" s="1"/>
  <c r="B130" i="37"/>
  <c r="M130" i="37" s="1"/>
  <c r="B131" i="37"/>
  <c r="K131" i="37" s="1"/>
  <c r="L131" i="37" s="1"/>
  <c r="B132" i="37"/>
  <c r="K132" i="37" s="1"/>
  <c r="L132" i="37" s="1"/>
  <c r="B133" i="37"/>
  <c r="M133" i="37" s="1"/>
  <c r="B134" i="37"/>
  <c r="K134" i="37" s="1"/>
  <c r="L134" i="37" s="1"/>
  <c r="B135" i="37"/>
  <c r="K135" i="37" s="1"/>
  <c r="L135" i="37" s="1"/>
  <c r="B136" i="37"/>
  <c r="M136" i="37" s="1"/>
  <c r="B137" i="37"/>
  <c r="K137" i="37" s="1"/>
  <c r="L137" i="37" s="1"/>
  <c r="B138" i="37"/>
  <c r="K138" i="37" s="1"/>
  <c r="L138" i="37" s="1"/>
  <c r="B139" i="37"/>
  <c r="M139" i="37" s="1"/>
  <c r="B140" i="37"/>
  <c r="K140" i="37" s="1"/>
  <c r="L140" i="37" s="1"/>
  <c r="K141" i="37"/>
  <c r="L141" i="37" s="1"/>
  <c r="M141" i="37"/>
  <c r="B142" i="37"/>
  <c r="K142" i="37" s="1"/>
  <c r="L142" i="37" s="1"/>
  <c r="K143" i="37"/>
  <c r="L143" i="37" s="1"/>
  <c r="M143" i="37"/>
  <c r="K144" i="37"/>
  <c r="L144" i="37" s="1"/>
  <c r="M144" i="37"/>
  <c r="K145" i="37"/>
  <c r="L145" i="37" s="1"/>
  <c r="M145" i="37"/>
  <c r="B146" i="37"/>
  <c r="M146" i="37" s="1"/>
  <c r="K147" i="37"/>
  <c r="L147" i="37" s="1"/>
  <c r="M147" i="37"/>
  <c r="K148" i="37"/>
  <c r="L148" i="37" s="1"/>
  <c r="M148" i="37"/>
  <c r="K149" i="37"/>
  <c r="L149" i="37" s="1"/>
  <c r="M149" i="37"/>
  <c r="B150" i="37"/>
  <c r="K150" i="37" s="1"/>
  <c r="L150" i="37" s="1"/>
  <c r="B151" i="37"/>
  <c r="M151" i="37" s="1"/>
  <c r="K151" i="37"/>
  <c r="L151" i="37" s="1"/>
  <c r="K152" i="37"/>
  <c r="L152" i="37" s="1"/>
  <c r="M152" i="37"/>
  <c r="K153" i="37"/>
  <c r="L153" i="37" s="1"/>
  <c r="M153" i="37"/>
  <c r="K154" i="37"/>
  <c r="L154" i="37" s="1"/>
  <c r="M154" i="37"/>
  <c r="K155" i="37"/>
  <c r="L155" i="37" s="1"/>
  <c r="M155" i="37"/>
  <c r="B156" i="37"/>
  <c r="K156" i="37" s="1"/>
  <c r="L156" i="37" s="1"/>
  <c r="B157" i="37"/>
  <c r="M157" i="37" s="1"/>
  <c r="K157" i="37"/>
  <c r="L157" i="37" s="1"/>
  <c r="B158" i="37"/>
  <c r="K158" i="37" s="1"/>
  <c r="L158" i="37" s="1"/>
  <c r="M158" i="37"/>
  <c r="B159" i="37"/>
  <c r="M159" i="37" s="1"/>
  <c r="B160" i="37"/>
  <c r="K160" i="37" s="1"/>
  <c r="L160" i="37" s="1"/>
  <c r="B161" i="37"/>
  <c r="K161" i="37" s="1"/>
  <c r="L161" i="37" s="1"/>
  <c r="B162" i="37"/>
  <c r="K162" i="37"/>
  <c r="L162" i="37" s="1"/>
  <c r="M162" i="37"/>
  <c r="B163" i="37"/>
  <c r="K163" i="37"/>
  <c r="L163" i="37" s="1"/>
  <c r="M163" i="37"/>
  <c r="B164" i="37"/>
  <c r="K164" i="37" s="1"/>
  <c r="L164" i="37" s="1"/>
  <c r="B165" i="37"/>
  <c r="K165" i="37" s="1"/>
  <c r="L165" i="37" s="1"/>
  <c r="B166" i="37"/>
  <c r="M166" i="37" s="1"/>
  <c r="K166" i="37"/>
  <c r="L166" i="37" s="1"/>
  <c r="B167" i="37"/>
  <c r="K167" i="37" s="1"/>
  <c r="L167" i="37" s="1"/>
  <c r="B168" i="37"/>
  <c r="K168" i="37" s="1"/>
  <c r="L168" i="37" s="1"/>
  <c r="B169" i="37"/>
  <c r="K169" i="37"/>
  <c r="L169" i="37" s="1"/>
  <c r="M169" i="37"/>
  <c r="B170" i="37"/>
  <c r="M170" i="37" s="1"/>
  <c r="B171" i="37"/>
  <c r="K171" i="37" s="1"/>
  <c r="L171" i="37" s="1"/>
  <c r="B172" i="37"/>
  <c r="M172" i="37" s="1"/>
  <c r="K172" i="37"/>
  <c r="L172" i="37" s="1"/>
  <c r="K173" i="37"/>
  <c r="L173" i="37" s="1"/>
  <c r="M173" i="37"/>
  <c r="K174" i="37"/>
  <c r="L174" i="37" s="1"/>
  <c r="M174" i="37"/>
  <c r="B175" i="37"/>
  <c r="M175" i="37" s="1"/>
  <c r="K175" i="37"/>
  <c r="L175" i="37" s="1"/>
  <c r="B176" i="37"/>
  <c r="K176" i="37" s="1"/>
  <c r="L176" i="37" s="1"/>
  <c r="B177" i="37"/>
  <c r="K177" i="37"/>
  <c r="L177" i="37" s="1"/>
  <c r="M177" i="37"/>
  <c r="B178" i="37"/>
  <c r="M178" i="37" s="1"/>
  <c r="B179" i="37"/>
  <c r="M179" i="37" s="1"/>
  <c r="K179" i="37"/>
  <c r="L179" i="37" s="1"/>
  <c r="K180" i="37"/>
  <c r="L180" i="37" s="1"/>
  <c r="M180" i="37"/>
  <c r="B181" i="37"/>
  <c r="K181" i="37" s="1"/>
  <c r="L181" i="37" s="1"/>
  <c r="K182" i="37"/>
  <c r="L182" i="37" s="1"/>
  <c r="M182" i="37"/>
  <c r="B183" i="37"/>
  <c r="M183" i="37" s="1"/>
  <c r="B184" i="37"/>
  <c r="K184" i="37" s="1"/>
  <c r="L184" i="37" s="1"/>
  <c r="B185" i="37"/>
  <c r="K185" i="37"/>
  <c r="L185" i="37" s="1"/>
  <c r="M185" i="37"/>
  <c r="B186" i="37"/>
  <c r="M186" i="37" s="1"/>
  <c r="K186" i="37"/>
  <c r="L186" i="37" s="1"/>
  <c r="K187" i="37"/>
  <c r="L187" i="37" s="1"/>
  <c r="M187" i="37"/>
  <c r="B188" i="37"/>
  <c r="K188" i="37" s="1"/>
  <c r="B189" i="37"/>
  <c r="K189" i="37" s="1"/>
  <c r="L189" i="37" s="1"/>
  <c r="B190" i="37"/>
  <c r="K190" i="37"/>
  <c r="L190" i="37" s="1"/>
  <c r="M190" i="37"/>
  <c r="B191" i="37"/>
  <c r="M191" i="37" s="1"/>
  <c r="B192" i="37"/>
  <c r="M192" i="37" s="1"/>
  <c r="K192" i="37"/>
  <c r="L192" i="37" s="1"/>
  <c r="B193" i="37"/>
  <c r="K193" i="37" s="1"/>
  <c r="L193" i="37" s="1"/>
  <c r="B194" i="37"/>
  <c r="K194" i="37"/>
  <c r="L194" i="37" s="1"/>
  <c r="M194" i="37"/>
  <c r="B195" i="37"/>
  <c r="M195" i="37" s="1"/>
  <c r="B196" i="37"/>
  <c r="M196" i="37" s="1"/>
  <c r="K196" i="37"/>
  <c r="L196" i="37" s="1"/>
  <c r="B197" i="37"/>
  <c r="K197" i="37" s="1"/>
  <c r="L197" i="37" s="1"/>
  <c r="B198" i="37"/>
  <c r="K198" i="37"/>
  <c r="L198" i="37" s="1"/>
  <c r="M198" i="37"/>
  <c r="B199" i="37"/>
  <c r="M199" i="37" s="1"/>
  <c r="B200" i="37"/>
  <c r="M200" i="37" s="1"/>
  <c r="K200" i="37"/>
  <c r="L200" i="37" s="1"/>
  <c r="K201" i="37"/>
  <c r="L201" i="37" s="1"/>
  <c r="M201" i="37"/>
  <c r="K202" i="37"/>
  <c r="L202" i="37" s="1"/>
  <c r="M202" i="37"/>
  <c r="K203" i="37"/>
  <c r="L203" i="37"/>
  <c r="M203" i="37"/>
  <c r="B204" i="37"/>
  <c r="L204" i="37" s="1"/>
  <c r="B205" i="37"/>
  <c r="K205" i="37" s="1"/>
  <c r="D8" i="46" s="1"/>
  <c r="C8" i="46" s="1"/>
  <c r="B206" i="37"/>
  <c r="K206" i="37" s="1"/>
  <c r="B207" i="37"/>
  <c r="L207" i="37" s="1"/>
  <c r="B208" i="37"/>
  <c r="L208" i="37" s="1"/>
  <c r="B209" i="37"/>
  <c r="M209" i="37" s="1"/>
  <c r="L209" i="37"/>
  <c r="B210" i="37"/>
  <c r="K210" i="37" s="1"/>
  <c r="B211" i="37"/>
  <c r="L211" i="37" s="1"/>
  <c r="B212" i="37"/>
  <c r="L212" i="37" s="1"/>
  <c r="K212" i="37"/>
  <c r="B213" i="37"/>
  <c r="L213" i="37" s="1"/>
  <c r="K213" i="37"/>
  <c r="M213" i="37"/>
  <c r="B214" i="37"/>
  <c r="L214" i="37" s="1"/>
  <c r="K214" i="37"/>
  <c r="M214" i="37"/>
  <c r="B215" i="37"/>
  <c r="L215" i="37"/>
  <c r="M215" i="37"/>
  <c r="B216" i="37"/>
  <c r="K216" i="37" s="1"/>
  <c r="B217" i="37"/>
  <c r="L217" i="37" s="1"/>
  <c r="B218" i="37"/>
  <c r="L218" i="37" s="1"/>
  <c r="B219" i="37"/>
  <c r="L219" i="37" s="1"/>
  <c r="M219" i="37"/>
  <c r="B220" i="37"/>
  <c r="K220" i="37" s="1"/>
  <c r="L220" i="37"/>
  <c r="B221" i="37"/>
  <c r="K221" i="37" s="1"/>
  <c r="D68" i="46" s="1"/>
  <c r="C68" i="46" s="1"/>
  <c r="B222" i="37"/>
  <c r="M222" i="37" s="1"/>
  <c r="K222" i="37"/>
  <c r="L222" i="37"/>
  <c r="B223" i="37"/>
  <c r="K223" i="37" s="1"/>
  <c r="B224" i="37"/>
  <c r="L224" i="37" s="1"/>
  <c r="B225" i="37"/>
  <c r="L225" i="37"/>
  <c r="M225" i="37"/>
  <c r="B226" i="37"/>
  <c r="K226" i="37" s="1"/>
  <c r="B227" i="37"/>
  <c r="M227" i="37" s="1"/>
  <c r="B228" i="37"/>
  <c r="L228" i="37" s="1"/>
  <c r="B229" i="37"/>
  <c r="K229" i="37" s="1"/>
  <c r="B230" i="37"/>
  <c r="K230" i="37" s="1"/>
  <c r="M230" i="37"/>
  <c r="B231" i="37"/>
  <c r="L231" i="37" s="1"/>
  <c r="B232" i="37"/>
  <c r="L232" i="37" s="1"/>
  <c r="K232" i="37"/>
  <c r="B233" i="37"/>
  <c r="L233" i="37" s="1"/>
  <c r="B234" i="37"/>
  <c r="K234" i="37" s="1"/>
  <c r="D104" i="46" s="1"/>
  <c r="C104" i="46" s="1"/>
  <c r="B235" i="37"/>
  <c r="L235" i="37"/>
  <c r="M235" i="37"/>
  <c r="B236" i="37"/>
  <c r="L236" i="37" s="1"/>
  <c r="B237" i="37"/>
  <c r="L237" i="37" s="1"/>
  <c r="K237" i="37"/>
  <c r="B238" i="37"/>
  <c r="K238" i="37" s="1"/>
  <c r="B239" i="37"/>
  <c r="L239" i="37" s="1"/>
  <c r="K239" i="37"/>
  <c r="M239" i="37"/>
  <c r="B240" i="37"/>
  <c r="L240" i="37" s="1"/>
  <c r="K240" i="37"/>
  <c r="D118" i="46" s="1"/>
  <c r="C118" i="46" s="1"/>
  <c r="M240" i="37"/>
  <c r="B241" i="37"/>
  <c r="K241" i="37" s="1"/>
  <c r="D119" i="46" s="1"/>
  <c r="C119" i="46" s="1"/>
  <c r="L242" i="37"/>
  <c r="M242" i="37"/>
  <c r="L243" i="37"/>
  <c r="M243" i="37"/>
  <c r="M244" i="37"/>
  <c r="D2" i="36"/>
  <c r="D3" i="36"/>
  <c r="D4" i="36"/>
  <c r="D5" i="36"/>
  <c r="D6" i="36"/>
  <c r="D7" i="36"/>
  <c r="D8" i="36"/>
  <c r="D9" i="36"/>
  <c r="D10" i="36"/>
  <c r="D11" i="36"/>
  <c r="D12" i="36"/>
  <c r="D13" i="36"/>
  <c r="D14" i="36"/>
  <c r="D15" i="36"/>
  <c r="D16" i="36"/>
  <c r="D17" i="36"/>
  <c r="D18" i="36"/>
  <c r="D19" i="36"/>
  <c r="D20" i="36"/>
  <c r="D21" i="36"/>
  <c r="D22" i="36"/>
  <c r="D23" i="36"/>
  <c r="D24" i="36"/>
  <c r="D25" i="36"/>
  <c r="D26" i="36"/>
  <c r="D27" i="36"/>
  <c r="D28" i="36"/>
  <c r="D29" i="36"/>
  <c r="D30" i="36"/>
  <c r="C31" i="36"/>
  <c r="D31" i="36"/>
  <c r="D32" i="36"/>
  <c r="D33" i="36"/>
  <c r="D34" i="36"/>
  <c r="D35" i="36"/>
  <c r="D36" i="36"/>
  <c r="D37" i="36"/>
  <c r="D39" i="36"/>
  <c r="D40" i="36"/>
  <c r="D41" i="36"/>
  <c r="D42" i="36"/>
  <c r="D43" i="36"/>
  <c r="D44" i="36"/>
  <c r="D45" i="36"/>
  <c r="D46" i="36"/>
  <c r="B47" i="36"/>
  <c r="C47" i="36"/>
  <c r="D47" i="36"/>
  <c r="D48" i="36"/>
  <c r="D49" i="36"/>
  <c r="D50" i="36"/>
  <c r="D51" i="36"/>
  <c r="D52" i="36"/>
  <c r="D53" i="36"/>
  <c r="D54" i="36"/>
  <c r="D55" i="36"/>
  <c r="D56" i="36"/>
  <c r="D57" i="36"/>
  <c r="D58" i="36"/>
  <c r="D59" i="36"/>
  <c r="D60" i="36"/>
  <c r="D61" i="36"/>
  <c r="D62" i="36"/>
  <c r="D63" i="36"/>
  <c r="D64" i="36"/>
  <c r="D65" i="36"/>
  <c r="D66" i="36"/>
  <c r="D67" i="36"/>
  <c r="D68" i="36"/>
  <c r="D69" i="36"/>
  <c r="D70" i="36"/>
  <c r="D71" i="36"/>
  <c r="D72" i="36"/>
  <c r="D73" i="36"/>
  <c r="D74" i="36"/>
  <c r="D75" i="36"/>
  <c r="D76" i="36"/>
  <c r="D77" i="36"/>
  <c r="D78" i="36"/>
  <c r="D79" i="36"/>
  <c r="D80" i="36"/>
  <c r="D81" i="36"/>
  <c r="D82" i="36"/>
  <c r="D83" i="36"/>
  <c r="D84" i="36"/>
  <c r="D85" i="36"/>
  <c r="D86" i="36"/>
  <c r="D87" i="36"/>
  <c r="D88" i="36"/>
  <c r="D89" i="36"/>
  <c r="D90" i="36"/>
  <c r="D91" i="36"/>
  <c r="D92" i="36"/>
  <c r="D93" i="36"/>
  <c r="D96" i="36"/>
  <c r="D97" i="36"/>
  <c r="D98" i="36"/>
  <c r="D99" i="36"/>
  <c r="D100" i="36"/>
  <c r="D101" i="36"/>
  <c r="D102" i="36"/>
  <c r="D103" i="36"/>
  <c r="D104" i="36"/>
  <c r="D105" i="36"/>
  <c r="D106" i="36"/>
  <c r="D107" i="36"/>
  <c r="D108" i="36"/>
  <c r="D109" i="36"/>
  <c r="D110" i="36"/>
  <c r="D111" i="36"/>
  <c r="D112" i="36"/>
  <c r="B113" i="36"/>
  <c r="C113" i="36"/>
  <c r="D113" i="36"/>
  <c r="B114" i="36"/>
  <c r="C114" i="36"/>
  <c r="D114" i="36"/>
  <c r="B115" i="36"/>
  <c r="C115" i="36"/>
  <c r="D115" i="36"/>
  <c r="D116" i="36"/>
  <c r="D117" i="36"/>
  <c r="D118" i="36"/>
  <c r="D119" i="36"/>
  <c r="D120" i="36"/>
  <c r="D121" i="36"/>
  <c r="D122" i="36"/>
  <c r="D123" i="36"/>
  <c r="D124" i="36"/>
  <c r="D125" i="36"/>
  <c r="D126" i="36"/>
  <c r="D127" i="36"/>
  <c r="D128" i="36"/>
  <c r="D129" i="36"/>
  <c r="D130" i="36"/>
  <c r="D131" i="36"/>
  <c r="D132" i="36"/>
  <c r="D133" i="36"/>
  <c r="D134" i="36"/>
  <c r="F18" i="35"/>
  <c r="G8" i="35"/>
  <c r="G7" i="35"/>
  <c r="G34" i="35"/>
  <c r="G149" i="35"/>
  <c r="G19" i="35"/>
  <c r="G22" i="35"/>
  <c r="G23" i="35"/>
  <c r="G21" i="35"/>
  <c r="G60" i="35"/>
  <c r="G35" i="35"/>
  <c r="G45" i="35"/>
  <c r="G44" i="35"/>
  <c r="G14" i="35"/>
  <c r="G109" i="35"/>
  <c r="G110" i="35"/>
  <c r="G108" i="35"/>
  <c r="G93" i="35"/>
  <c r="G92" i="35"/>
  <c r="G124" i="35"/>
  <c r="G125" i="35"/>
  <c r="G126" i="35"/>
  <c r="G133" i="35"/>
  <c r="G127" i="35"/>
  <c r="G128" i="35"/>
  <c r="G36" i="35"/>
  <c r="G9" i="35"/>
  <c r="G168" i="35"/>
  <c r="G169" i="35"/>
  <c r="G157" i="35"/>
  <c r="G3" i="35"/>
  <c r="G2" i="35"/>
  <c r="G132" i="35"/>
  <c r="G131" i="35"/>
  <c r="G24" i="35"/>
  <c r="G148" i="35"/>
  <c r="G20" i="35"/>
  <c r="G49" i="35"/>
  <c r="G48" i="35"/>
  <c r="G47" i="35"/>
  <c r="G13" i="35"/>
  <c r="G95" i="35"/>
  <c r="G111" i="35"/>
  <c r="G96" i="35"/>
  <c r="G176" i="35"/>
  <c r="G97" i="35"/>
  <c r="G134" i="35"/>
  <c r="G39" i="35"/>
  <c r="G180" i="35"/>
  <c r="G181" i="35"/>
  <c r="G135" i="35"/>
  <c r="G182" i="35"/>
  <c r="G40" i="35"/>
  <c r="G41" i="35"/>
  <c r="G179" i="35"/>
  <c r="G178" i="35"/>
  <c r="G106" i="35"/>
  <c r="G107" i="35"/>
  <c r="E119" i="35"/>
  <c r="F119" i="35" s="1"/>
  <c r="G119" i="35"/>
  <c r="E25" i="35"/>
  <c r="F25" i="35" s="1"/>
  <c r="G25" i="35"/>
  <c r="E150" i="35"/>
  <c r="F150" i="35" s="1"/>
  <c r="G150" i="35"/>
  <c r="E152" i="35"/>
  <c r="F152" i="35" s="1"/>
  <c r="G152" i="35"/>
  <c r="E175" i="35"/>
  <c r="F175" i="35" s="1"/>
  <c r="G175" i="35"/>
  <c r="E154" i="35"/>
  <c r="F154" i="35" s="1"/>
  <c r="G154" i="35"/>
  <c r="E153" i="35"/>
  <c r="F153" i="35" s="1"/>
  <c r="G153" i="35"/>
  <c r="E151" i="35"/>
  <c r="F151" i="35" s="1"/>
  <c r="G151" i="35"/>
  <c r="E155" i="35"/>
  <c r="F155" i="35" s="1"/>
  <c r="G155" i="35"/>
  <c r="E27" i="35"/>
  <c r="F27" i="35" s="1"/>
  <c r="G27" i="35"/>
  <c r="E161" i="35"/>
  <c r="F161" i="35" s="1"/>
  <c r="G161" i="35"/>
  <c r="E26" i="35"/>
  <c r="F26" i="35" s="1"/>
  <c r="G26" i="35"/>
  <c r="E167" i="35"/>
  <c r="F167" i="35" s="1"/>
  <c r="G167" i="35"/>
  <c r="E37" i="35"/>
  <c r="F37" i="35" s="1"/>
  <c r="G37" i="35"/>
  <c r="E70" i="35"/>
  <c r="F70" i="35" s="1"/>
  <c r="G70" i="35"/>
  <c r="E71" i="35"/>
  <c r="F71" i="35" s="1"/>
  <c r="G71" i="35"/>
  <c r="E72" i="35"/>
  <c r="F72" i="35" s="1"/>
  <c r="G72" i="35"/>
  <c r="E74" i="35"/>
  <c r="F74" i="35" s="1"/>
  <c r="G74" i="35"/>
  <c r="E38" i="35"/>
  <c r="F38" i="35" s="1"/>
  <c r="G38" i="35"/>
  <c r="E63" i="35"/>
  <c r="F63" i="35" s="1"/>
  <c r="G63" i="35"/>
  <c r="E77" i="35"/>
  <c r="F77" i="35" s="1"/>
  <c r="G77" i="35"/>
  <c r="E78" i="35"/>
  <c r="F78" i="35" s="1"/>
  <c r="G78" i="35"/>
  <c r="E86" i="35"/>
  <c r="F86" i="35" s="1"/>
  <c r="G86" i="35"/>
  <c r="E87" i="35"/>
  <c r="F87" i="35" s="1"/>
  <c r="G87" i="35"/>
  <c r="E162" i="35"/>
  <c r="F162" i="35" s="1"/>
  <c r="G162" i="35"/>
  <c r="E163" i="35"/>
  <c r="F163" i="35" s="1"/>
  <c r="G163" i="35"/>
  <c r="E79" i="35"/>
  <c r="F79" i="35" s="1"/>
  <c r="G79" i="35"/>
  <c r="E62" i="35"/>
  <c r="F62" i="35" s="1"/>
  <c r="G62" i="35"/>
  <c r="E51" i="35"/>
  <c r="F51" i="35" s="1"/>
  <c r="G51" i="35"/>
  <c r="E76" i="35"/>
  <c r="F76" i="35" s="1"/>
  <c r="G76" i="35"/>
  <c r="E83" i="35"/>
  <c r="F83" i="35" s="1"/>
  <c r="G83" i="35"/>
  <c r="E73" i="35"/>
  <c r="F73" i="35" s="1"/>
  <c r="G73" i="35"/>
  <c r="E75" i="35"/>
  <c r="F75" i="35" s="1"/>
  <c r="G75" i="35"/>
  <c r="E29" i="35"/>
  <c r="F29" i="35" s="1"/>
  <c r="G29" i="35"/>
  <c r="E30" i="35"/>
  <c r="F30" i="35" s="1"/>
  <c r="G30" i="35"/>
  <c r="E32" i="35"/>
  <c r="F32" i="35" s="1"/>
  <c r="G32" i="35"/>
  <c r="E64" i="35"/>
  <c r="F64" i="35" s="1"/>
  <c r="G64" i="35"/>
  <c r="E31" i="35"/>
  <c r="F31" i="35" s="1"/>
  <c r="G31" i="35"/>
  <c r="E28" i="35"/>
  <c r="F28" i="35" s="1"/>
  <c r="G28" i="35"/>
  <c r="E84" i="35"/>
  <c r="F84" i="35" s="1"/>
  <c r="G84" i="35"/>
  <c r="E113" i="35"/>
  <c r="F113" i="35" s="1"/>
  <c r="G113" i="35"/>
  <c r="E114" i="35"/>
  <c r="F114" i="35" s="1"/>
  <c r="G114" i="35"/>
  <c r="E115" i="35"/>
  <c r="F115" i="35" s="1"/>
  <c r="G115" i="35"/>
  <c r="E55" i="35"/>
  <c r="F55" i="35" s="1"/>
  <c r="G55" i="35"/>
  <c r="E56" i="35"/>
  <c r="F56" i="35" s="1"/>
  <c r="G56" i="35"/>
  <c r="E54" i="35"/>
  <c r="F54" i="35" s="1"/>
  <c r="G54" i="35"/>
  <c r="E53" i="35"/>
  <c r="F53" i="35" s="1"/>
  <c r="G53" i="35"/>
  <c r="E116" i="35"/>
  <c r="F116" i="35" s="1"/>
  <c r="G116" i="35"/>
  <c r="E57" i="35"/>
  <c r="F57" i="35" s="1"/>
  <c r="G57" i="35"/>
  <c r="E52" i="35"/>
  <c r="F52" i="35" s="1"/>
  <c r="G52" i="35"/>
  <c r="E117" i="35"/>
  <c r="F117" i="35" s="1"/>
  <c r="G117" i="35"/>
  <c r="E15" i="35"/>
  <c r="F15" i="35" s="1"/>
  <c r="G15" i="35"/>
  <c r="E136" i="35"/>
  <c r="F136" i="35" s="1"/>
  <c r="G136" i="35"/>
  <c r="E170" i="35"/>
  <c r="F170" i="35" s="1"/>
  <c r="G170" i="35"/>
  <c r="E171" i="35"/>
  <c r="F171" i="35" s="1"/>
  <c r="G171" i="35"/>
  <c r="E174" i="35"/>
  <c r="F174" i="35" s="1"/>
  <c r="G174" i="35"/>
  <c r="E173" i="35"/>
  <c r="F173" i="35" s="1"/>
  <c r="G173" i="35"/>
  <c r="E88" i="35"/>
  <c r="F88" i="35" s="1"/>
  <c r="G88" i="35"/>
  <c r="E89" i="35"/>
  <c r="F89" i="35" s="1"/>
  <c r="G89" i="35"/>
  <c r="E172" i="35"/>
  <c r="F172" i="35" s="1"/>
  <c r="G172" i="35"/>
  <c r="E137" i="35"/>
  <c r="F137" i="35" s="1"/>
  <c r="G137" i="35"/>
  <c r="E42" i="35"/>
  <c r="F42" i="35" s="1"/>
  <c r="G42" i="35"/>
  <c r="E43" i="35"/>
  <c r="F43" i="35" s="1"/>
  <c r="G43" i="35"/>
  <c r="E58" i="35"/>
  <c r="F58" i="35" s="1"/>
  <c r="G58" i="35"/>
  <c r="E17" i="35"/>
  <c r="F17" i="35" s="1"/>
  <c r="G17" i="35"/>
  <c r="E139" i="35"/>
  <c r="F139" i="35" s="1"/>
  <c r="G139" i="35"/>
  <c r="E138" i="35"/>
  <c r="F138" i="35" s="1"/>
  <c r="G138" i="35"/>
  <c r="E10" i="35"/>
  <c r="F10" i="35" s="1"/>
  <c r="G10" i="35"/>
  <c r="E90" i="35"/>
  <c r="F90" i="35" s="1"/>
  <c r="G90" i="35"/>
  <c r="E11" i="35"/>
  <c r="F11" i="35" s="1"/>
  <c r="G11" i="35"/>
  <c r="E33" i="35"/>
  <c r="F33" i="35" s="1"/>
  <c r="G33" i="35"/>
  <c r="E94" i="35"/>
  <c r="F94" i="35" s="1"/>
  <c r="G94" i="35"/>
  <c r="E112" i="35"/>
  <c r="F112" i="35" s="1"/>
  <c r="G112" i="35"/>
  <c r="E140" i="35"/>
  <c r="F140" i="35" s="1"/>
  <c r="G140" i="35"/>
  <c r="E141" i="35"/>
  <c r="F141" i="35" s="1"/>
  <c r="G141" i="35"/>
  <c r="E142" i="35"/>
  <c r="F142" i="35" s="1"/>
  <c r="G142" i="35"/>
  <c r="E143" i="35"/>
  <c r="F143" i="35" s="1"/>
  <c r="G143" i="35"/>
  <c r="E144" i="35"/>
  <c r="F144" i="35" s="1"/>
  <c r="G144" i="35"/>
  <c r="E145" i="35"/>
  <c r="F145" i="35" s="1"/>
  <c r="G145" i="35"/>
  <c r="E146" i="35"/>
  <c r="F146" i="35" s="1"/>
  <c r="G146" i="35"/>
  <c r="E147" i="35"/>
  <c r="F147" i="35" s="1"/>
  <c r="G147" i="35"/>
  <c r="E91" i="35"/>
  <c r="F91" i="35" s="1"/>
  <c r="G91" i="35"/>
  <c r="E16" i="35"/>
  <c r="F16" i="35" s="1"/>
  <c r="G16" i="35"/>
  <c r="E165" i="35"/>
  <c r="F165" i="35" s="1"/>
  <c r="G165" i="35"/>
  <c r="E177" i="35"/>
  <c r="F177" i="35" s="1"/>
  <c r="G177" i="35"/>
  <c r="E85" i="35"/>
  <c r="F85" i="35" s="1"/>
  <c r="G85" i="35"/>
  <c r="E80" i="35"/>
  <c r="F80" i="35" s="1"/>
  <c r="G80" i="35"/>
  <c r="E81" i="35"/>
  <c r="F81" i="35" s="1"/>
  <c r="G81" i="35"/>
  <c r="E46" i="35"/>
  <c r="F46" i="35" s="1"/>
  <c r="G46" i="35"/>
  <c r="E103" i="35"/>
  <c r="F103" i="35" s="1"/>
  <c r="G103" i="35"/>
  <c r="E104" i="35"/>
  <c r="F104" i="35" s="1"/>
  <c r="G104" i="35"/>
  <c r="E105" i="35"/>
  <c r="F105" i="35" s="1"/>
  <c r="G105" i="35"/>
  <c r="E66" i="35"/>
  <c r="F66" i="35" s="1"/>
  <c r="G66" i="35"/>
  <c r="E69" i="35"/>
  <c r="F69" i="35" s="1"/>
  <c r="G69" i="35"/>
  <c r="E67" i="35"/>
  <c r="F67" i="35" s="1"/>
  <c r="G67" i="35"/>
  <c r="E68" i="35"/>
  <c r="F68" i="35" s="1"/>
  <c r="G68" i="35"/>
  <c r="E65" i="35"/>
  <c r="F65" i="35" s="1"/>
  <c r="G65" i="35"/>
  <c r="E100" i="35"/>
  <c r="F100" i="35" s="1"/>
  <c r="G100" i="35"/>
  <c r="E101" i="35"/>
  <c r="F101" i="35" s="1"/>
  <c r="G101" i="35"/>
  <c r="E98" i="35"/>
  <c r="F98" i="35" s="1"/>
  <c r="G98" i="35"/>
  <c r="E166" i="35"/>
  <c r="F166" i="35" s="1"/>
  <c r="G166" i="35"/>
  <c r="E99" i="35"/>
  <c r="F99" i="35" s="1"/>
  <c r="G99" i="35"/>
  <c r="E120" i="35"/>
  <c r="F120" i="35" s="1"/>
  <c r="G120" i="35"/>
  <c r="E123" i="35"/>
  <c r="F123" i="35" s="1"/>
  <c r="G123" i="35"/>
  <c r="E121" i="35"/>
  <c r="F121" i="35" s="1"/>
  <c r="G121" i="35"/>
  <c r="E122" i="35"/>
  <c r="F122" i="35" s="1"/>
  <c r="G122" i="35"/>
  <c r="E6" i="35"/>
  <c r="F6" i="35" s="1"/>
  <c r="G6" i="35"/>
  <c r="E4" i="35"/>
  <c r="F4" i="35" s="1"/>
  <c r="G4" i="35"/>
  <c r="E59" i="35"/>
  <c r="F59" i="35" s="1"/>
  <c r="G59" i="35"/>
  <c r="E5" i="35"/>
  <c r="F5" i="35" s="1"/>
  <c r="G5" i="35"/>
  <c r="E159" i="35"/>
  <c r="F159" i="35" s="1"/>
  <c r="G159" i="35"/>
  <c r="E12" i="35"/>
  <c r="F12" i="35" s="1"/>
  <c r="G12" i="35"/>
  <c r="E158" i="35"/>
  <c r="F158" i="35" s="1"/>
  <c r="G158" i="35"/>
  <c r="E164" i="35"/>
  <c r="F164" i="35" s="1"/>
  <c r="G164" i="35"/>
  <c r="E160" i="35"/>
  <c r="F160" i="35" s="1"/>
  <c r="G160" i="35"/>
  <c r="E61" i="35"/>
  <c r="F61" i="35" s="1"/>
  <c r="G61" i="35"/>
  <c r="E118" i="35"/>
  <c r="F118" i="35" s="1"/>
  <c r="G118" i="35"/>
  <c r="G129" i="35"/>
  <c r="G130" i="35"/>
  <c r="E50" i="35"/>
  <c r="F50" i="35" s="1"/>
  <c r="G50" i="35"/>
  <c r="E82" i="35"/>
  <c r="F82" i="35" s="1"/>
  <c r="G82" i="35"/>
  <c r="E102" i="35"/>
  <c r="F102" i="35" s="1"/>
  <c r="G102" i="35"/>
  <c r="G156" i="35"/>
  <c r="G18" i="35"/>
  <c r="B2" i="33"/>
  <c r="B3" i="33"/>
  <c r="B4" i="33"/>
  <c r="B5" i="33"/>
  <c r="B6" i="33"/>
  <c r="B7" i="33"/>
  <c r="B8" i="33"/>
  <c r="B9" i="33"/>
  <c r="B10" i="33"/>
  <c r="B11" i="33"/>
  <c r="B12" i="33"/>
  <c r="B13" i="33"/>
  <c r="B14" i="33"/>
  <c r="B15" i="33"/>
  <c r="B16" i="33"/>
  <c r="B17" i="33"/>
  <c r="B19" i="33"/>
  <c r="B20" i="33"/>
  <c r="B21" i="33"/>
  <c r="B22" i="33"/>
  <c r="B23" i="33"/>
  <c r="B24" i="33"/>
  <c r="B25" i="33"/>
  <c r="B26" i="33"/>
  <c r="B27" i="33"/>
  <c r="B28" i="33"/>
  <c r="B29" i="33"/>
  <c r="B30" i="33"/>
  <c r="B31" i="33"/>
  <c r="B32" i="33"/>
  <c r="B33" i="33"/>
  <c r="B34" i="33"/>
  <c r="B35" i="33"/>
  <c r="B36" i="33"/>
  <c r="B37" i="33"/>
  <c r="B38" i="33"/>
  <c r="B39" i="33"/>
  <c r="B40" i="33"/>
  <c r="B41" i="33"/>
  <c r="B42" i="33"/>
  <c r="B43" i="33"/>
  <c r="B44" i="33"/>
  <c r="B45" i="33"/>
  <c r="B35" i="32"/>
  <c r="F129" i="35" s="1"/>
  <c r="F156" i="35" l="1"/>
  <c r="F130" i="35"/>
  <c r="D60" i="50"/>
  <c r="C44" i="50"/>
  <c r="C53" i="50" s="1"/>
  <c r="C19" i="50"/>
  <c r="D88" i="46"/>
  <c r="C88" i="46" s="1"/>
  <c r="D55" i="46"/>
  <c r="C55" i="46" s="1"/>
  <c r="D44" i="46"/>
  <c r="C44" i="46" s="1"/>
  <c r="D22" i="46"/>
  <c r="C22" i="46" s="1"/>
  <c r="D13" i="46"/>
  <c r="C13" i="46" s="1"/>
  <c r="D4" i="46"/>
  <c r="C4" i="46" s="1"/>
  <c r="D87" i="46"/>
  <c r="C87" i="46" s="1"/>
  <c r="D106" i="46"/>
  <c r="C106" i="46" s="1"/>
  <c r="D117" i="46"/>
  <c r="C117" i="46" s="1"/>
  <c r="D105" i="46"/>
  <c r="C105" i="46" s="1"/>
  <c r="D96" i="46"/>
  <c r="C96" i="46" s="1"/>
  <c r="D42" i="46"/>
  <c r="C42" i="46" s="1"/>
  <c r="D20" i="46"/>
  <c r="C20" i="46" s="1"/>
  <c r="D116" i="46"/>
  <c r="C116" i="46" s="1"/>
  <c r="D41" i="46"/>
  <c r="C41" i="46" s="1"/>
  <c r="D29" i="46"/>
  <c r="C29" i="46" s="1"/>
  <c r="D9" i="46"/>
  <c r="C9" i="46" s="1"/>
  <c r="C60" i="50"/>
  <c r="D103" i="46"/>
  <c r="C103" i="46" s="1"/>
  <c r="D17" i="46"/>
  <c r="C17" i="46" s="1"/>
  <c r="D102" i="46"/>
  <c r="C102" i="46" s="1"/>
  <c r="D91" i="46"/>
  <c r="C91" i="46" s="1"/>
  <c r="D27" i="46"/>
  <c r="C27" i="46" s="1"/>
  <c r="D16" i="46"/>
  <c r="C16" i="46" s="1"/>
  <c r="D37" i="46"/>
  <c r="C37" i="46" s="1"/>
  <c r="D101" i="46"/>
  <c r="C101" i="46" s="1"/>
  <c r="D78" i="46"/>
  <c r="C78" i="46" s="1"/>
  <c r="D56" i="46"/>
  <c r="C56" i="46" s="1"/>
  <c r="D36" i="46"/>
  <c r="C36" i="46" s="1"/>
  <c r="D15" i="46"/>
  <c r="C15" i="46" s="1"/>
  <c r="D109" i="46"/>
  <c r="C109" i="46" s="1"/>
  <c r="D45" i="46"/>
  <c r="C45" i="46" s="1"/>
  <c r="D14" i="46"/>
  <c r="C14" i="46" s="1"/>
  <c r="D5" i="46"/>
  <c r="C5" i="46" s="1"/>
  <c r="D34" i="46"/>
  <c r="C34" i="46" s="1"/>
  <c r="D26" i="46"/>
  <c r="C26" i="46" s="1"/>
  <c r="M236" i="37"/>
  <c r="M231" i="37"/>
  <c r="M142" i="37"/>
  <c r="K236" i="37"/>
  <c r="L226" i="37"/>
  <c r="L210" i="37"/>
  <c r="K199" i="37"/>
  <c r="L199" i="37" s="1"/>
  <c r="K195" i="37"/>
  <c r="K191" i="37"/>
  <c r="L191" i="37" s="1"/>
  <c r="K183" i="37"/>
  <c r="L183" i="37" s="1"/>
  <c r="K178" i="37"/>
  <c r="L178" i="37" s="1"/>
  <c r="K170" i="37"/>
  <c r="L170" i="37" s="1"/>
  <c r="K159" i="37"/>
  <c r="L159" i="37" s="1"/>
  <c r="M134" i="37"/>
  <c r="M125" i="37"/>
  <c r="M107" i="37"/>
  <c r="K48" i="37"/>
  <c r="M20" i="37"/>
  <c r="M165" i="37"/>
  <c r="M150" i="37"/>
  <c r="M115" i="37"/>
  <c r="M85" i="37"/>
  <c r="M65" i="37"/>
  <c r="M56" i="37"/>
  <c r="M51" i="37"/>
  <c r="M31" i="37"/>
  <c r="M25" i="37"/>
  <c r="M7" i="37"/>
  <c r="L230" i="37"/>
  <c r="M238" i="37"/>
  <c r="M161" i="37"/>
  <c r="M140" i="37"/>
  <c r="M131" i="37"/>
  <c r="M46" i="37"/>
  <c r="M37" i="37"/>
  <c r="M176" i="37"/>
  <c r="M168" i="37"/>
  <c r="L238" i="37"/>
  <c r="M197" i="37"/>
  <c r="M193" i="37"/>
  <c r="M189" i="37"/>
  <c r="M241" i="37"/>
  <c r="M229" i="37"/>
  <c r="L223" i="37"/>
  <c r="L206" i="37"/>
  <c r="M164" i="37"/>
  <c r="M98" i="37"/>
  <c r="M84" i="37"/>
  <c r="K73" i="37"/>
  <c r="M5" i="37"/>
  <c r="L241" i="37"/>
  <c r="M232" i="37"/>
  <c r="L229" i="37"/>
  <c r="M212" i="37"/>
  <c r="M11" i="37"/>
  <c r="M184" i="37"/>
  <c r="M171" i="37"/>
  <c r="M237" i="37"/>
  <c r="L216" i="37"/>
  <c r="M205" i="37"/>
  <c r="M167" i="37"/>
  <c r="M160" i="37"/>
  <c r="M137" i="37"/>
  <c r="M128" i="37"/>
  <c r="M117" i="37"/>
  <c r="M72" i="37"/>
  <c r="M40" i="37"/>
  <c r="M156" i="37"/>
  <c r="M54" i="37"/>
  <c r="M4" i="37"/>
  <c r="I108" i="37"/>
  <c r="A38" i="36"/>
  <c r="D38" i="36" s="1"/>
  <c r="B38" i="36"/>
  <c r="L227" i="37"/>
  <c r="M188" i="37"/>
  <c r="M233" i="37"/>
  <c r="K227" i="37"/>
  <c r="M223" i="37"/>
  <c r="M220" i="37"/>
  <c r="K217" i="37"/>
  <c r="D40" i="46" s="1"/>
  <c r="C40" i="46" s="1"/>
  <c r="M210" i="37"/>
  <c r="K207" i="37"/>
  <c r="K204" i="37"/>
  <c r="M181" i="37"/>
  <c r="K146" i="37"/>
  <c r="L146" i="37" s="1"/>
  <c r="K139" i="37"/>
  <c r="L139" i="37" s="1"/>
  <c r="K136" i="37"/>
  <c r="L136" i="37" s="1"/>
  <c r="K133" i="37"/>
  <c r="K130" i="37"/>
  <c r="L130" i="37" s="1"/>
  <c r="K127" i="37"/>
  <c r="L127" i="37" s="1"/>
  <c r="K124" i="37"/>
  <c r="L124" i="37" s="1"/>
  <c r="M108" i="37"/>
  <c r="K106" i="37"/>
  <c r="L106" i="37" s="1"/>
  <c r="M99" i="37"/>
  <c r="M96" i="37"/>
  <c r="K76" i="37"/>
  <c r="L76" i="37" s="1"/>
  <c r="M59" i="37"/>
  <c r="M35" i="37"/>
  <c r="M32" i="37"/>
  <c r="M29" i="37"/>
  <c r="M26" i="37"/>
  <c r="M18" i="37"/>
  <c r="K233" i="37"/>
  <c r="M226" i="37"/>
  <c r="M216" i="37"/>
  <c r="M206" i="37"/>
  <c r="M138" i="37"/>
  <c r="M135" i="37"/>
  <c r="M132" i="37"/>
  <c r="M129" i="37"/>
  <c r="M126" i="37"/>
  <c r="M123" i="37"/>
  <c r="M105" i="37"/>
  <c r="M78" i="37"/>
  <c r="M75" i="37"/>
  <c r="M10" i="37"/>
  <c r="M13" i="37"/>
  <c r="M218" i="37"/>
  <c r="M208" i="37"/>
  <c r="L205" i="37"/>
  <c r="M109" i="37"/>
  <c r="K107" i="37"/>
  <c r="L107" i="37" s="1"/>
  <c r="M16" i="37"/>
  <c r="M6" i="37"/>
  <c r="M228" i="37"/>
  <c r="M234" i="37"/>
  <c r="M221" i="37"/>
  <c r="M100" i="37"/>
  <c r="M97" i="37"/>
  <c r="M60" i="37"/>
  <c r="M50" i="37"/>
  <c r="M33" i="37"/>
  <c r="M30" i="37"/>
  <c r="M27" i="37"/>
  <c r="M24" i="37"/>
  <c r="L234" i="37"/>
  <c r="M211" i="37"/>
  <c r="K109" i="37"/>
  <c r="L109" i="37" s="1"/>
  <c r="M224" i="37"/>
  <c r="L221" i="37"/>
  <c r="M217" i="37"/>
  <c r="M207" i="37"/>
  <c r="M204" i="37"/>
  <c r="L73" i="37" l="1"/>
  <c r="D65" i="46"/>
  <c r="C65" i="46" s="1"/>
  <c r="L195" i="37"/>
  <c r="D46" i="46"/>
  <c r="C46" i="46" s="1"/>
  <c r="L48" i="37"/>
  <c r="D7" i="46"/>
  <c r="C7" i="46" s="1"/>
  <c r="L133" i="37"/>
  <c r="D71" i="46"/>
  <c r="C71" i="46" s="1"/>
  <c r="D343" i="9" l="1"/>
  <c r="D286" i="9"/>
  <c r="D288" i="9"/>
  <c r="D289" i="9"/>
  <c r="D270" i="9"/>
  <c r="D28" i="9"/>
  <c r="D29" i="9"/>
  <c r="D30" i="9"/>
  <c r="D31" i="9"/>
  <c r="D32" i="9"/>
  <c r="D33" i="9"/>
  <c r="D34" i="9"/>
  <c r="D120" i="9"/>
  <c r="D35" i="9"/>
  <c r="D345" i="9"/>
  <c r="D12" i="9"/>
  <c r="D26" i="9"/>
  <c r="D44" i="9"/>
  <c r="D55" i="9"/>
  <c r="D59" i="9"/>
  <c r="D287" i="9"/>
  <c r="D66" i="9"/>
  <c r="D88" i="9"/>
  <c r="D89" i="9"/>
  <c r="D90" i="9"/>
  <c r="D91" i="9"/>
  <c r="D92" i="9"/>
  <c r="D45" i="9"/>
  <c r="D60" i="9"/>
  <c r="D61" i="9"/>
  <c r="D62" i="9"/>
  <c r="D63" i="9"/>
  <c r="D64" i="9"/>
  <c r="D65" i="9"/>
  <c r="D67" i="9"/>
  <c r="D68" i="9"/>
  <c r="D69" i="9"/>
  <c r="D70" i="9"/>
  <c r="D71" i="9"/>
  <c r="D72" i="9"/>
  <c r="D73" i="9"/>
  <c r="D74" i="9"/>
  <c r="D77" i="9"/>
  <c r="D78" i="9"/>
  <c r="D79" i="9"/>
  <c r="D283" i="9"/>
  <c r="D284" i="9"/>
  <c r="D285" i="9"/>
  <c r="D369" i="9"/>
  <c r="D356" i="9"/>
  <c r="D357" i="9"/>
  <c r="D359" i="9"/>
  <c r="D360" i="9"/>
  <c r="D164" i="9"/>
  <c r="D161" i="9"/>
  <c r="D162" i="9"/>
  <c r="D163" i="9"/>
  <c r="D351" i="9"/>
  <c r="D352" i="9"/>
  <c r="D354" i="9"/>
  <c r="D355" i="9"/>
  <c r="D165" i="9"/>
  <c r="D379" i="9"/>
  <c r="D382" i="9"/>
  <c r="D381" i="9"/>
  <c r="D380" i="9"/>
  <c r="D211" i="9"/>
  <c r="D213" i="9"/>
  <c r="D212" i="9"/>
  <c r="D325" i="9"/>
  <c r="D290" i="9"/>
  <c r="D291" i="9"/>
  <c r="D292" i="9"/>
  <c r="D293" i="9"/>
  <c r="D294" i="9"/>
  <c r="D295" i="9"/>
  <c r="D296" i="9"/>
  <c r="D297" i="9"/>
  <c r="D298" i="9"/>
  <c r="D299" i="9"/>
  <c r="D300" i="9"/>
  <c r="D301" i="9"/>
  <c r="D302" i="9"/>
  <c r="D303" i="9"/>
  <c r="D304" i="9"/>
  <c r="D305" i="9"/>
  <c r="D306" i="9"/>
  <c r="D307" i="9"/>
  <c r="D308" i="9"/>
  <c r="D309" i="9"/>
  <c r="D316" i="9"/>
  <c r="D317" i="9"/>
  <c r="D318" i="9"/>
  <c r="D319" i="9"/>
  <c r="D320" i="9"/>
  <c r="D321" i="9"/>
  <c r="D327" i="9"/>
  <c r="D328" i="9"/>
  <c r="D329" i="9"/>
  <c r="D330" i="9"/>
  <c r="D331" i="9"/>
  <c r="D332" i="9"/>
  <c r="D333" i="9"/>
  <c r="D334" i="9"/>
  <c r="D335" i="9"/>
  <c r="D336" i="9"/>
  <c r="D337" i="9"/>
  <c r="D338" i="9"/>
  <c r="D339" i="9"/>
  <c r="D340" i="9"/>
  <c r="D280" i="9"/>
  <c r="D281" i="9"/>
  <c r="D282" i="9"/>
  <c r="D310" i="9"/>
  <c r="D311" i="9"/>
  <c r="D312" i="9"/>
  <c r="D313" i="9"/>
  <c r="D158" i="9"/>
  <c r="D157" i="9"/>
  <c r="D155" i="9"/>
  <c r="D156" i="9"/>
  <c r="D159" i="9"/>
  <c r="D160" i="9"/>
  <c r="D392" i="9"/>
  <c r="D394" i="9"/>
  <c r="D395" i="9"/>
  <c r="D75" i="9"/>
  <c r="D388" i="9"/>
  <c r="D389" i="9"/>
  <c r="D277" i="9"/>
  <c r="D278" i="9"/>
  <c r="D279" i="9"/>
  <c r="D36" i="9"/>
  <c r="D37" i="9"/>
  <c r="D38" i="9"/>
  <c r="D39" i="9"/>
  <c r="D42" i="9"/>
  <c r="D43" i="9"/>
  <c r="D403" i="9"/>
  <c r="D40" i="9"/>
  <c r="D52" i="9"/>
  <c r="D53" i="9"/>
  <c r="D54" i="9"/>
  <c r="D110" i="9"/>
  <c r="D133" i="9"/>
  <c r="D134" i="9"/>
  <c r="D135" i="9"/>
  <c r="D136" i="9"/>
  <c r="D137" i="9"/>
  <c r="D138" i="9"/>
  <c r="D139" i="9"/>
  <c r="D140" i="9"/>
  <c r="D141" i="9"/>
  <c r="D142" i="9"/>
  <c r="D143" i="9"/>
  <c r="D144" i="9"/>
  <c r="D145" i="9"/>
  <c r="D146" i="9"/>
  <c r="D147" i="9"/>
  <c r="D148" i="9"/>
  <c r="D49" i="9"/>
  <c r="D50" i="9"/>
  <c r="D51" i="9"/>
  <c r="D175" i="9"/>
  <c r="D177" i="9"/>
  <c r="D186" i="9"/>
  <c r="D188" i="9"/>
  <c r="D190" i="9"/>
  <c r="D200" i="9"/>
  <c r="D204" i="9"/>
  <c r="D205" i="9"/>
  <c r="D209" i="9"/>
  <c r="D215" i="9"/>
  <c r="D218" i="9"/>
  <c r="D221" i="9"/>
  <c r="D358" i="9"/>
  <c r="D577" i="9"/>
  <c r="D578" i="9"/>
  <c r="D580" i="9"/>
  <c r="D581" i="9"/>
  <c r="D582" i="9"/>
  <c r="D174" i="9"/>
  <c r="D176" i="9"/>
  <c r="D185" i="9"/>
  <c r="D187" i="9"/>
  <c r="D189" i="9"/>
  <c r="D199" i="9"/>
  <c r="D202" i="9"/>
  <c r="D203" i="9"/>
  <c r="D206" i="9"/>
  <c r="D207" i="9"/>
  <c r="D208" i="9"/>
  <c r="D214" i="9"/>
  <c r="D217" i="9"/>
  <c r="D220" i="9"/>
  <c r="D223" i="9"/>
  <c r="D41" i="9"/>
  <c r="D191" i="9"/>
  <c r="D201" i="9"/>
  <c r="D210" i="9"/>
  <c r="D216" i="9"/>
  <c r="D219" i="9"/>
  <c r="D222" i="9"/>
  <c r="D172" i="9"/>
  <c r="D184" i="9"/>
  <c r="D171" i="9"/>
  <c r="D173" i="9"/>
  <c r="D241" i="9"/>
  <c r="D272" i="9"/>
  <c r="D273" i="9"/>
  <c r="D274" i="9"/>
  <c r="D275" i="9"/>
  <c r="D276" i="9"/>
  <c r="D166" i="9"/>
  <c r="D167" i="9"/>
  <c r="D168" i="9"/>
  <c r="D583" i="9"/>
  <c r="D584" i="9"/>
  <c r="D170" i="9"/>
  <c r="D169" i="9"/>
  <c r="D122" i="9"/>
  <c r="D365" i="9"/>
  <c r="D366" i="9"/>
  <c r="D322" i="9"/>
  <c r="D323" i="9"/>
  <c r="D324" i="9"/>
  <c r="D326" i="9"/>
  <c r="D271" i="9"/>
  <c r="D82" i="9"/>
  <c r="D83" i="9"/>
  <c r="D84" i="9"/>
  <c r="D85" i="9"/>
  <c r="D86" i="9"/>
  <c r="D121" i="9"/>
  <c r="D123" i="9"/>
  <c r="D124" i="9"/>
  <c r="D125" i="9"/>
  <c r="D126" i="9"/>
  <c r="D127" i="9"/>
  <c r="D128" i="9"/>
  <c r="D129" i="9"/>
  <c r="D130" i="9"/>
  <c r="D131" i="9"/>
  <c r="D132" i="9"/>
  <c r="D183" i="9"/>
  <c r="D197" i="9"/>
  <c r="D182" i="9"/>
  <c r="D196" i="9"/>
  <c r="D181" i="9"/>
  <c r="D195" i="9"/>
  <c r="D198" i="9"/>
  <c r="D19" i="9"/>
  <c r="D13" i="9"/>
  <c r="D14" i="9"/>
  <c r="D15" i="9"/>
  <c r="D16" i="9"/>
  <c r="D17" i="9"/>
  <c r="D18" i="9"/>
  <c r="D20" i="9"/>
  <c r="D21" i="9"/>
  <c r="D22" i="9"/>
  <c r="D24" i="9"/>
  <c r="D25" i="9"/>
  <c r="D23" i="9"/>
  <c r="D93" i="9"/>
  <c r="D94" i="9"/>
  <c r="D96" i="9"/>
  <c r="D97" i="9"/>
  <c r="D98" i="9"/>
  <c r="D667" i="9"/>
  <c r="D400" i="9"/>
  <c r="D401" i="9"/>
  <c r="D46" i="9"/>
  <c r="D47" i="9"/>
  <c r="D48" i="9"/>
  <c r="D192" i="9"/>
  <c r="D194" i="9"/>
  <c r="D193" i="9"/>
  <c r="D391" i="9"/>
  <c r="D383" i="9"/>
  <c r="D384" i="9"/>
  <c r="D385" i="9"/>
  <c r="D386" i="9"/>
  <c r="D387" i="9"/>
  <c r="D390" i="9"/>
  <c r="D56" i="9"/>
  <c r="D57" i="9"/>
  <c r="D58" i="9"/>
  <c r="D151" i="9"/>
  <c r="D150" i="9"/>
  <c r="D149" i="9"/>
  <c r="D152" i="9"/>
  <c r="D153" i="9"/>
  <c r="D154" i="9"/>
  <c r="D367" i="9"/>
  <c r="D368" i="9"/>
  <c r="D370" i="9"/>
  <c r="D371" i="9"/>
  <c r="D372" i="9"/>
  <c r="D373" i="9"/>
  <c r="D103" i="9"/>
  <c r="D104" i="9"/>
  <c r="D109" i="9"/>
  <c r="D113" i="9"/>
  <c r="D116" i="9"/>
  <c r="D102" i="9"/>
  <c r="D101" i="9"/>
  <c r="D108" i="9"/>
  <c r="D107" i="9"/>
  <c r="D178" i="9"/>
  <c r="D180" i="9"/>
  <c r="D179" i="9"/>
  <c r="D87" i="9"/>
  <c r="D99" i="9"/>
  <c r="D100" i="9"/>
  <c r="D105" i="9"/>
  <c r="D106" i="9"/>
  <c r="D111" i="9"/>
  <c r="D112" i="9"/>
  <c r="D117" i="9"/>
  <c r="D118" i="9"/>
  <c r="D119" i="9"/>
  <c r="D344" i="9"/>
  <c r="D361" i="9"/>
  <c r="D362" i="9"/>
  <c r="D363" i="9"/>
  <c r="D396" i="9"/>
  <c r="D397" i="9"/>
  <c r="D398" i="9"/>
  <c r="D399" i="9"/>
  <c r="D665" i="9"/>
  <c r="D230" i="9"/>
  <c r="D231" i="9"/>
  <c r="D232" i="9"/>
  <c r="D233" i="9"/>
  <c r="D234" i="9"/>
  <c r="D236" i="9"/>
  <c r="D224" i="9"/>
  <c r="D225" i="9"/>
  <c r="D226" i="9"/>
  <c r="D227" i="9"/>
  <c r="D228" i="9"/>
  <c r="D229" i="9"/>
  <c r="D235" i="9"/>
  <c r="D237" i="9"/>
  <c r="D238" i="9"/>
  <c r="D239" i="9"/>
  <c r="D240" i="9"/>
  <c r="D242" i="9"/>
  <c r="D243" i="9"/>
  <c r="D244" i="9"/>
  <c r="D245" i="9"/>
  <c r="D246" i="9"/>
  <c r="D247" i="9"/>
  <c r="D248" i="9"/>
  <c r="D249" i="9"/>
  <c r="D251" i="9"/>
  <c r="D252" i="9"/>
  <c r="D253" i="9"/>
  <c r="D254" i="9"/>
  <c r="D255" i="9"/>
  <c r="D256" i="9"/>
  <c r="D257" i="9"/>
  <c r="D258" i="9"/>
  <c r="D259" i="9"/>
  <c r="D260" i="9"/>
  <c r="D261" i="9"/>
  <c r="D262" i="9"/>
  <c r="D263" i="9"/>
  <c r="D264" i="9"/>
  <c r="D265" i="9"/>
  <c r="D266" i="9"/>
  <c r="D267" i="9"/>
  <c r="D268" i="9"/>
  <c r="D269" i="9"/>
  <c r="D353" i="9"/>
  <c r="D2" i="9"/>
  <c r="D3" i="9"/>
  <c r="D4" i="9"/>
  <c r="D5" i="9"/>
  <c r="D6" i="9"/>
  <c r="D7" i="9"/>
  <c r="D8" i="9"/>
  <c r="D9" i="9"/>
  <c r="D10" i="9"/>
  <c r="D11" i="9"/>
  <c r="D27" i="9"/>
  <c r="D76" i="9"/>
  <c r="D80" i="9"/>
  <c r="D81" i="9"/>
  <c r="D314" i="9"/>
  <c r="D315" i="9"/>
  <c r="D95" i="9"/>
  <c r="D653" i="9"/>
  <c r="D654" i="9"/>
  <c r="D655" i="9"/>
  <c r="D656" i="9"/>
  <c r="D658" i="9"/>
  <c r="D659" i="9"/>
  <c r="D660" i="9"/>
  <c r="D406" i="9"/>
  <c r="D409" i="9"/>
  <c r="D411" i="9"/>
  <c r="D412" i="9"/>
  <c r="D413" i="9"/>
  <c r="D414" i="9"/>
  <c r="D415" i="9"/>
  <c r="D416" i="9"/>
  <c r="D453" i="9"/>
  <c r="D420" i="9"/>
  <c r="D421" i="9"/>
  <c r="D457" i="9"/>
  <c r="D458" i="9"/>
  <c r="D469" i="9"/>
  <c r="D488" i="9"/>
  <c r="D643" i="9"/>
  <c r="D644" i="9"/>
  <c r="D645" i="9"/>
  <c r="D646" i="9"/>
  <c r="D647" i="9"/>
  <c r="D648" i="9"/>
  <c r="D419" i="9"/>
  <c r="D630" i="9"/>
  <c r="D631" i="9"/>
  <c r="D632" i="9"/>
  <c r="D633" i="9"/>
  <c r="D634" i="9"/>
  <c r="D635" i="9"/>
  <c r="D598" i="9"/>
  <c r="D599" i="9"/>
  <c r="D600" i="9"/>
  <c r="D601" i="9"/>
  <c r="D602" i="9"/>
  <c r="D603" i="9"/>
  <c r="D604" i="9"/>
  <c r="D605" i="9"/>
  <c r="D443" i="9"/>
  <c r="D512" i="9"/>
  <c r="D513" i="9"/>
  <c r="D514" i="9"/>
  <c r="D527" i="9"/>
  <c r="D408" i="9"/>
  <c r="D410" i="9"/>
  <c r="D455" i="9"/>
  <c r="D467" i="9"/>
  <c r="D474" i="9"/>
  <c r="D485" i="9"/>
  <c r="D497" i="9"/>
  <c r="D502" i="9"/>
  <c r="D515" i="9"/>
  <c r="D516" i="9"/>
  <c r="D539" i="9"/>
  <c r="D551" i="9"/>
  <c r="D556" i="9"/>
  <c r="D573" i="9"/>
  <c r="D574" i="9"/>
  <c r="D575" i="9"/>
  <c r="D579" i="9"/>
  <c r="D597" i="9"/>
  <c r="D608" i="9"/>
  <c r="D619" i="9"/>
  <c r="D629" i="9"/>
  <c r="D636" i="9"/>
  <c r="D642" i="9"/>
  <c r="D649" i="9"/>
  <c r="D651" i="9"/>
  <c r="D657" i="9"/>
  <c r="D595" i="9"/>
  <c r="D606" i="9"/>
  <c r="D617" i="9"/>
  <c r="D596" i="9"/>
  <c r="D607" i="9"/>
  <c r="D618" i="9"/>
  <c r="D628" i="9"/>
  <c r="D588" i="9"/>
  <c r="D589" i="9"/>
  <c r="D590" i="9"/>
  <c r="D591" i="9"/>
  <c r="D592" i="9"/>
  <c r="D593" i="9"/>
  <c r="D594" i="9"/>
  <c r="D666" i="9"/>
  <c r="D445" i="9"/>
  <c r="D446" i="9"/>
  <c r="D447" i="9"/>
  <c r="D448" i="9"/>
  <c r="D449" i="9"/>
  <c r="D450" i="9"/>
  <c r="D451" i="9"/>
  <c r="D461" i="9"/>
  <c r="D462" i="9"/>
  <c r="D463" i="9"/>
  <c r="D475" i="9"/>
  <c r="D476" i="9"/>
  <c r="D477" i="9"/>
  <c r="D478" i="9"/>
  <c r="D479" i="9"/>
  <c r="D480" i="9"/>
  <c r="D490" i="9"/>
  <c r="D491" i="9"/>
  <c r="D492" i="9"/>
  <c r="D493" i="9"/>
  <c r="D503" i="9"/>
  <c r="D504" i="9"/>
  <c r="D505" i="9"/>
  <c r="D506" i="9"/>
  <c r="D541" i="9"/>
  <c r="D542" i="9"/>
  <c r="D543" i="9"/>
  <c r="D544" i="9"/>
  <c r="D547" i="9"/>
  <c r="D568" i="9"/>
  <c r="D569" i="9"/>
  <c r="D570" i="9"/>
  <c r="D571" i="9"/>
  <c r="D563" i="9"/>
  <c r="D620" i="9"/>
  <c r="D621" i="9"/>
  <c r="D622" i="9"/>
  <c r="D623" i="9"/>
  <c r="D624" i="9"/>
  <c r="D625" i="9"/>
  <c r="D626" i="9"/>
  <c r="D627" i="9"/>
  <c r="D559" i="9"/>
  <c r="D560" i="9"/>
  <c r="D650" i="9"/>
  <c r="D652" i="9"/>
  <c r="D526" i="9"/>
  <c r="D529" i="9"/>
  <c r="D533" i="9"/>
  <c r="D535" i="9"/>
  <c r="D537" i="9"/>
  <c r="D546" i="9"/>
  <c r="D548" i="9"/>
  <c r="D549" i="9"/>
  <c r="D552" i="9"/>
  <c r="D553" i="9"/>
  <c r="D554" i="9"/>
  <c r="D558" i="9"/>
  <c r="D561" i="9"/>
  <c r="D418" i="9"/>
  <c r="D422" i="9"/>
  <c r="D423" i="9"/>
  <c r="D424" i="9"/>
  <c r="D425" i="9"/>
  <c r="D426" i="9"/>
  <c r="D427" i="9"/>
  <c r="D428" i="9"/>
  <c r="D429" i="9"/>
  <c r="D430" i="9"/>
  <c r="D431" i="9"/>
  <c r="D432" i="9"/>
  <c r="D433" i="9"/>
  <c r="D434" i="9"/>
  <c r="D435" i="9"/>
  <c r="D436" i="9"/>
  <c r="D437" i="9"/>
  <c r="D438" i="9"/>
  <c r="D439" i="9"/>
  <c r="D440" i="9"/>
  <c r="D441" i="9"/>
  <c r="D442" i="9"/>
  <c r="D444" i="9"/>
  <c r="D456" i="9"/>
  <c r="D459" i="9"/>
  <c r="D460" i="9"/>
  <c r="D468" i="9"/>
  <c r="D470" i="9"/>
  <c r="D471" i="9"/>
  <c r="D486" i="9"/>
  <c r="D487" i="9"/>
  <c r="D489" i="9"/>
  <c r="D540" i="9"/>
  <c r="D637" i="9"/>
  <c r="D638" i="9"/>
  <c r="D639" i="9"/>
  <c r="D640" i="9"/>
  <c r="D641" i="9"/>
  <c r="D465" i="9"/>
  <c r="D483" i="9"/>
  <c r="D407" i="9"/>
  <c r="D417" i="9"/>
  <c r="D454" i="9"/>
  <c r="D466" i="9"/>
  <c r="D484" i="9"/>
  <c r="D496" i="9"/>
  <c r="D509" i="9"/>
  <c r="D520" i="9"/>
  <c r="D521" i="9"/>
  <c r="D524" i="9"/>
  <c r="D530" i="9"/>
  <c r="D538" i="9"/>
  <c r="D550" i="9"/>
  <c r="D555" i="9"/>
  <c r="D609" i="9"/>
  <c r="D610" i="9"/>
  <c r="D611" i="9"/>
  <c r="D612" i="9"/>
  <c r="D613" i="9"/>
  <c r="D614" i="9"/>
  <c r="D615" i="9"/>
  <c r="D616" i="9"/>
  <c r="D495" i="9"/>
  <c r="D498" i="9"/>
  <c r="D499" i="9"/>
  <c r="D500" i="9"/>
  <c r="D501" i="9"/>
  <c r="D508" i="9"/>
  <c r="D510" i="9"/>
  <c r="D511" i="9"/>
  <c r="D518" i="9"/>
  <c r="D519" i="9"/>
  <c r="D523" i="9"/>
  <c r="D565" i="9"/>
  <c r="D566" i="9"/>
  <c r="D567" i="9"/>
  <c r="D472" i="9"/>
  <c r="D473" i="9"/>
  <c r="D481" i="9"/>
  <c r="D671" i="9"/>
  <c r="D452" i="9"/>
  <c r="D536" i="9"/>
  <c r="D405" i="9"/>
  <c r="D507" i="9"/>
  <c r="D517" i="9"/>
  <c r="D482" i="9"/>
  <c r="D528" i="9"/>
  <c r="D534" i="9"/>
  <c r="D557" i="9"/>
  <c r="D532" i="9"/>
  <c r="D562" i="9"/>
  <c r="D494" i="9"/>
  <c r="D545" i="9"/>
  <c r="D464" i="9"/>
  <c r="D522" i="9"/>
  <c r="D525" i="9"/>
  <c r="D114" i="9"/>
  <c r="D350" i="9"/>
  <c r="D250" i="9"/>
  <c r="D404" i="9"/>
  <c r="D347" i="9"/>
  <c r="D364" i="9"/>
  <c r="D572" i="9"/>
  <c r="D377" i="9"/>
  <c r="D378" i="9"/>
  <c r="D564" i="9"/>
  <c r="D585" i="9"/>
  <c r="D341" i="9"/>
  <c r="D348" i="9"/>
  <c r="D576" i="9"/>
  <c r="D349" i="9"/>
  <c r="D374" i="9"/>
  <c r="D376" i="9"/>
  <c r="D402" i="9"/>
  <c r="D346" i="9"/>
  <c r="D342" i="9"/>
  <c r="D587" i="9"/>
  <c r="D663" i="9"/>
  <c r="D375" i="9"/>
  <c r="D668" i="9"/>
  <c r="D669" i="9"/>
  <c r="D115" i="9"/>
  <c r="D664" i="9"/>
  <c r="D670" i="9"/>
  <c r="D662" i="9"/>
  <c r="D661" i="9"/>
  <c r="D531" i="9"/>
  <c r="D393" i="9"/>
  <c r="B302" i="15"/>
  <c r="B303" i="15"/>
  <c r="D28" i="31"/>
  <c r="D128" i="31"/>
  <c r="D48" i="31"/>
  <c r="D68" i="31"/>
  <c r="D8" i="31"/>
  <c r="D108" i="31"/>
  <c r="D88" i="31"/>
  <c r="D148" i="31"/>
  <c r="D23" i="31"/>
  <c r="D123" i="31"/>
  <c r="D43" i="31"/>
  <c r="D63" i="31"/>
  <c r="D3" i="31"/>
  <c r="D103" i="31"/>
  <c r="D83" i="31"/>
  <c r="D24" i="31"/>
  <c r="D124" i="31"/>
  <c r="D44" i="31"/>
  <c r="D64" i="31"/>
  <c r="D4" i="31"/>
  <c r="D104" i="31"/>
  <c r="D84" i="31"/>
  <c r="D25" i="31"/>
  <c r="D125" i="31"/>
  <c r="D45" i="31"/>
  <c r="D65" i="31"/>
  <c r="D5" i="31"/>
  <c r="D105" i="31"/>
  <c r="D85" i="31"/>
  <c r="D26" i="31"/>
  <c r="D126" i="31"/>
  <c r="D46" i="31"/>
  <c r="D66" i="31"/>
  <c r="D6" i="31"/>
  <c r="D106" i="31"/>
  <c r="D86" i="31"/>
  <c r="D144" i="31"/>
  <c r="D145" i="31"/>
  <c r="D146" i="31"/>
  <c r="D143" i="31"/>
  <c r="D41" i="31"/>
  <c r="D141" i="31"/>
  <c r="D61" i="31"/>
  <c r="D81" i="31"/>
  <c r="D21" i="31"/>
  <c r="D121" i="31"/>
  <c r="D101" i="31"/>
  <c r="D161" i="31"/>
  <c r="C158" i="31"/>
  <c r="B158" i="31"/>
  <c r="A158" i="31"/>
  <c r="C138" i="31"/>
  <c r="B138" i="31"/>
  <c r="A138" i="31"/>
  <c r="C118" i="31"/>
  <c r="B118" i="31"/>
  <c r="A118" i="31"/>
  <c r="C98" i="31"/>
  <c r="B98" i="31"/>
  <c r="A98" i="31"/>
  <c r="C78" i="31"/>
  <c r="B78" i="31"/>
  <c r="A78" i="31"/>
  <c r="C58" i="31"/>
  <c r="B58" i="31"/>
  <c r="A58" i="31"/>
  <c r="A38" i="31"/>
  <c r="C38" i="31"/>
  <c r="B38" i="31"/>
  <c r="C18" i="31"/>
  <c r="B18" i="31"/>
  <c r="C152" i="31"/>
  <c r="C151" i="31"/>
  <c r="B151" i="31"/>
  <c r="B152" i="31" s="1"/>
  <c r="C132" i="31"/>
  <c r="C131" i="31"/>
  <c r="B131" i="31"/>
  <c r="B132" i="31" s="1"/>
  <c r="C112" i="31"/>
  <c r="C111" i="31"/>
  <c r="B111" i="31"/>
  <c r="B112" i="31" s="1"/>
  <c r="C92" i="31"/>
  <c r="C91" i="31"/>
  <c r="B91" i="31"/>
  <c r="B92" i="31" s="1"/>
  <c r="C72" i="31"/>
  <c r="C71" i="31"/>
  <c r="B71" i="31"/>
  <c r="B72" i="31" s="1"/>
  <c r="C52" i="31"/>
  <c r="C51" i="31"/>
  <c r="B51" i="31"/>
  <c r="B52" i="31" s="1"/>
  <c r="A51" i="31"/>
  <c r="A71" i="31" s="1"/>
  <c r="A91" i="31" s="1"/>
  <c r="A111" i="31" s="1"/>
  <c r="A131" i="31" s="1"/>
  <c r="A151" i="31" s="1"/>
  <c r="A32" i="31"/>
  <c r="A52" i="31" s="1"/>
  <c r="A72" i="31" s="1"/>
  <c r="A92" i="31" s="1"/>
  <c r="A112" i="31" s="1"/>
  <c r="A132" i="31" s="1"/>
  <c r="A152" i="31" s="1"/>
  <c r="A31" i="31"/>
  <c r="B31" i="31"/>
  <c r="B32" i="31" s="1"/>
  <c r="C32" i="31"/>
  <c r="C31" i="31"/>
  <c r="C12" i="31"/>
  <c r="C11" i="31"/>
  <c r="C15" i="26"/>
  <c r="C18" i="26"/>
  <c r="C29" i="26"/>
  <c r="H52" i="8"/>
  <c r="H131" i="8"/>
  <c r="H2" i="8"/>
  <c r="H3" i="8"/>
  <c r="H145" i="8"/>
  <c r="H146" i="8"/>
  <c r="H182" i="8"/>
  <c r="H101" i="8"/>
  <c r="H147" i="8"/>
  <c r="H55" i="8"/>
  <c r="H148" i="8"/>
  <c r="H103" i="8"/>
  <c r="H56" i="8"/>
  <c r="H150" i="8"/>
  <c r="H5" i="8"/>
  <c r="H151" i="8"/>
  <c r="H149" i="8"/>
  <c r="H190" i="8"/>
  <c r="H57" i="8"/>
  <c r="H104" i="8"/>
  <c r="H79" i="8"/>
  <c r="H7" i="8"/>
  <c r="H9" i="8"/>
  <c r="H180" i="8"/>
  <c r="H8" i="8"/>
  <c r="H10" i="8"/>
  <c r="H90" i="8"/>
  <c r="H11" i="8"/>
  <c r="H152" i="8"/>
  <c r="H61" i="8"/>
  <c r="H153" i="8"/>
  <c r="H12" i="8"/>
  <c r="H154" i="8"/>
  <c r="H155" i="8"/>
  <c r="H106" i="8"/>
  <c r="H108" i="8"/>
  <c r="H54" i="8"/>
  <c r="H4" i="8"/>
  <c r="H109" i="8"/>
  <c r="H156" i="8"/>
  <c r="H157" i="8"/>
  <c r="H132" i="8"/>
  <c r="H158" i="8"/>
  <c r="H15" i="8"/>
  <c r="H159" i="8"/>
  <c r="H110" i="8"/>
  <c r="H183" i="8"/>
  <c r="H111" i="8"/>
  <c r="H112" i="8"/>
  <c r="H184" i="8"/>
  <c r="H13" i="8"/>
  <c r="H63" i="8"/>
  <c r="H18" i="8"/>
  <c r="H19" i="8"/>
  <c r="H113" i="8"/>
  <c r="H133" i="8"/>
  <c r="H20" i="8"/>
  <c r="H185" i="8"/>
  <c r="H114" i="8"/>
  <c r="H160" i="8"/>
  <c r="H161" i="8"/>
  <c r="H21" i="8"/>
  <c r="H162" i="8"/>
  <c r="H163" i="8"/>
  <c r="H164" i="8"/>
  <c r="H59" i="8"/>
  <c r="H115" i="8"/>
  <c r="H105" i="8"/>
  <c r="H134" i="8"/>
  <c r="H64" i="8"/>
  <c r="H65" i="8"/>
  <c r="H66" i="8"/>
  <c r="H67" i="8"/>
  <c r="H116" i="8"/>
  <c r="H68" i="8"/>
  <c r="H117" i="8"/>
  <c r="H23" i="8"/>
  <c r="H71" i="8"/>
  <c r="H165" i="8"/>
  <c r="H69" i="8"/>
  <c r="H70" i="8"/>
  <c r="H73" i="8"/>
  <c r="H24" i="8"/>
  <c r="H58" i="8"/>
  <c r="H81" i="8"/>
  <c r="H89" i="8"/>
  <c r="H72" i="8"/>
  <c r="H118" i="8"/>
  <c r="H74" i="8"/>
  <c r="H75" i="8"/>
  <c r="H25" i="8"/>
  <c r="H26" i="8"/>
  <c r="H27" i="8"/>
  <c r="H119" i="8"/>
  <c r="H60" i="8"/>
  <c r="H28" i="8"/>
  <c r="H29" i="8"/>
  <c r="H76" i="8"/>
  <c r="H77" i="8"/>
  <c r="H30" i="8"/>
  <c r="H121" i="8"/>
  <c r="H31" i="8"/>
  <c r="H32" i="8"/>
  <c r="H166" i="8"/>
  <c r="H78" i="8"/>
  <c r="H33" i="8"/>
  <c r="H34" i="8"/>
  <c r="H136" i="8"/>
  <c r="H35" i="8"/>
  <c r="H80" i="8"/>
  <c r="H122" i="8"/>
  <c r="H167" i="8"/>
  <c r="H186" i="8"/>
  <c r="H135" i="8"/>
  <c r="H191" i="8"/>
  <c r="H187" i="8"/>
  <c r="H168" i="8"/>
  <c r="H36" i="8"/>
  <c r="H37" i="8"/>
  <c r="H138" i="8"/>
  <c r="H83" i="8"/>
  <c r="H169" i="8"/>
  <c r="H107" i="8"/>
  <c r="H188" i="8"/>
  <c r="H170" i="8"/>
  <c r="H171" i="8"/>
  <c r="H84" i="8"/>
  <c r="H123" i="8"/>
  <c r="H124" i="8"/>
  <c r="H22" i="8"/>
  <c r="H94" i="8"/>
  <c r="H172" i="8"/>
  <c r="H16" i="8"/>
  <c r="H85" i="8"/>
  <c r="H51" i="8"/>
  <c r="H125" i="8"/>
  <c r="H38" i="8"/>
  <c r="H86" i="8"/>
  <c r="H140" i="8"/>
  <c r="H173" i="8"/>
  <c r="H174" i="8"/>
  <c r="H175" i="8"/>
  <c r="H39" i="8"/>
  <c r="H87" i="8"/>
  <c r="H40" i="8"/>
  <c r="H41" i="8"/>
  <c r="H127" i="8"/>
  <c r="H126" i="8"/>
  <c r="H88" i="8"/>
  <c r="H42" i="8"/>
  <c r="H43" i="8"/>
  <c r="H128" i="8"/>
  <c r="H176" i="8"/>
  <c r="H92" i="8"/>
  <c r="H45" i="8"/>
  <c r="H129" i="8"/>
  <c r="H141" i="8"/>
  <c r="H91" i="8"/>
  <c r="H95" i="8"/>
  <c r="H62" i="8"/>
  <c r="H46" i="8"/>
  <c r="H93" i="8"/>
  <c r="H47" i="8"/>
  <c r="H177" i="8"/>
  <c r="H82" i="8"/>
  <c r="H48" i="8"/>
  <c r="H142" i="8"/>
  <c r="H96" i="8"/>
  <c r="H49" i="8"/>
  <c r="H97" i="8"/>
  <c r="H130" i="8"/>
  <c r="H143" i="8"/>
  <c r="H181" i="8"/>
  <c r="H6" i="8"/>
  <c r="H178" i="8"/>
  <c r="H98" i="8"/>
  <c r="H179" i="8"/>
  <c r="H99" i="8"/>
  <c r="H17" i="8"/>
  <c r="H189" i="8"/>
  <c r="H144" i="8"/>
  <c r="H100" i="8"/>
  <c r="H14" i="8"/>
  <c r="H50" i="8"/>
  <c r="H102" i="8"/>
  <c r="H120" i="8"/>
  <c r="H139" i="8"/>
  <c r="H137" i="8"/>
  <c r="H44" i="8"/>
  <c r="H192" i="8"/>
  <c r="H53" i="8"/>
  <c r="H1" i="8"/>
  <c r="C92" i="6"/>
  <c r="C91" i="6"/>
  <c r="C88" i="6"/>
  <c r="C89" i="6"/>
  <c r="C94" i="6"/>
  <c r="C96" i="6"/>
  <c r="C93" i="6"/>
  <c r="C95" i="6"/>
  <c r="B2" i="36" l="1"/>
  <c r="C7" i="36"/>
  <c r="C133" i="36"/>
  <c r="C2" i="36"/>
  <c r="B8" i="36"/>
  <c r="C8" i="36"/>
  <c r="B4" i="36"/>
  <c r="C4" i="36"/>
  <c r="B10" i="36"/>
  <c r="C10" i="36"/>
  <c r="B6" i="36"/>
  <c r="C6" i="36"/>
  <c r="B7" i="36"/>
  <c r="B133" i="36"/>
  <c r="B127" i="36"/>
  <c r="C110" i="36" l="1"/>
  <c r="B11" i="36"/>
  <c r="C83" i="36"/>
  <c r="B28" i="36"/>
  <c r="B112" i="36"/>
  <c r="B78" i="36"/>
  <c r="C127" i="36"/>
  <c r="C120" i="36"/>
  <c r="B105" i="36"/>
  <c r="C79" i="36"/>
  <c r="B14" i="36"/>
  <c r="C107" i="36"/>
  <c r="C69" i="36"/>
  <c r="C111" i="36"/>
  <c r="B111" i="36"/>
  <c r="C94" i="36"/>
  <c r="C119" i="36"/>
  <c r="B66" i="36"/>
  <c r="C82" i="36"/>
  <c r="B32" i="36"/>
  <c r="B69" i="36"/>
  <c r="B68" i="36"/>
  <c r="C109" i="36"/>
  <c r="B34" i="36"/>
  <c r="C122" i="36"/>
  <c r="C78" i="36"/>
  <c r="C26" i="36"/>
  <c r="C62" i="36"/>
  <c r="B120" i="36"/>
  <c r="C61" i="36"/>
  <c r="C93" i="36"/>
  <c r="C28" i="36"/>
  <c r="B117" i="36"/>
  <c r="B39" i="36"/>
  <c r="B19" i="36"/>
  <c r="B26" i="36"/>
  <c r="C105" i="36"/>
  <c r="C30" i="36"/>
  <c r="C66" i="36"/>
  <c r="C14" i="36"/>
  <c r="C112" i="36"/>
  <c r="C32" i="36"/>
  <c r="B13" i="36"/>
  <c r="B81" i="36"/>
  <c r="B25" i="36"/>
  <c r="B49" i="36"/>
  <c r="C39" i="36"/>
  <c r="C19" i="36"/>
  <c r="C81" i="36"/>
  <c r="C68" i="36"/>
  <c r="C16" i="36"/>
  <c r="C34" i="36"/>
  <c r="B110" i="36"/>
  <c r="C13" i="36"/>
  <c r="C80" i="36"/>
  <c r="B62" i="36"/>
  <c r="B45" i="36"/>
  <c r="B119" i="36"/>
  <c r="B109" i="36"/>
  <c r="B61" i="36"/>
  <c r="C45" i="36"/>
  <c r="C25" i="36"/>
  <c r="B94" i="36"/>
  <c r="B30" i="36"/>
  <c r="B83" i="36"/>
  <c r="B70" i="36"/>
  <c r="C123" i="36"/>
  <c r="B123" i="36"/>
  <c r="C12" i="36"/>
  <c r="B12" i="36"/>
  <c r="C11" i="36"/>
  <c r="B80" i="36"/>
  <c r="B16" i="36"/>
  <c r="B79" i="36"/>
  <c r="B128" i="36"/>
  <c r="B107" i="36"/>
  <c r="C117" i="36"/>
  <c r="C49" i="36"/>
  <c r="B93" i="36"/>
  <c r="C70" i="36"/>
  <c r="B122" i="36"/>
  <c r="B82" i="36"/>
  <c r="C128" i="36"/>
  <c r="C178" i="5"/>
  <c r="C200" i="5"/>
  <c r="C188" i="5"/>
  <c r="C118" i="5"/>
  <c r="C98" i="5"/>
  <c r="C90" i="5"/>
  <c r="C83" i="5"/>
  <c r="C152" i="5"/>
  <c r="C153" i="5"/>
  <c r="C154" i="5"/>
  <c r="C86" i="5"/>
  <c r="C162" i="5"/>
  <c r="C146" i="5"/>
  <c r="C147" i="5"/>
  <c r="C148" i="5"/>
  <c r="C138" i="5"/>
  <c r="C144" i="5"/>
  <c r="C54" i="5"/>
  <c r="C52" i="5"/>
  <c r="C46" i="5"/>
  <c r="C51" i="5"/>
  <c r="C53" i="5"/>
  <c r="C59" i="5"/>
  <c r="C42" i="5"/>
  <c r="C45" i="5"/>
  <c r="C64" i="5"/>
  <c r="C36" i="5"/>
  <c r="C65" i="5"/>
  <c r="C37" i="5"/>
  <c r="C66" i="5"/>
  <c r="C43" i="5"/>
  <c r="C61" i="5"/>
  <c r="C40" i="5"/>
  <c r="C60" i="5"/>
  <c r="C39" i="5"/>
  <c r="C150" i="5"/>
  <c r="C173" i="5"/>
  <c r="C58" i="5"/>
  <c r="C38" i="5"/>
  <c r="C55" i="5"/>
  <c r="C44" i="5"/>
  <c r="C57" i="5"/>
  <c r="C63" i="5"/>
  <c r="C41" i="5"/>
  <c r="C56" i="5"/>
  <c r="C62" i="5"/>
  <c r="C30" i="5"/>
  <c r="C31" i="5"/>
  <c r="C47" i="5"/>
  <c r="C48" i="5"/>
  <c r="C33" i="5"/>
  <c r="C32" i="5"/>
  <c r="C34" i="5"/>
  <c r="C88" i="5"/>
  <c r="C119" i="5"/>
  <c r="C115" i="5"/>
  <c r="C108" i="5"/>
  <c r="C111" i="5"/>
  <c r="C70" i="5"/>
  <c r="C91" i="5"/>
  <c r="C124" i="5"/>
  <c r="C100" i="5"/>
  <c r="C110" i="5"/>
  <c r="C114" i="5"/>
  <c r="C95" i="5"/>
  <c r="C96" i="5"/>
  <c r="C117" i="5"/>
  <c r="C103" i="5"/>
  <c r="C120" i="5"/>
  <c r="C93" i="5"/>
  <c r="C94" i="5"/>
  <c r="C89" i="5"/>
  <c r="C104" i="5"/>
  <c r="C105" i="5"/>
  <c r="C97" i="5"/>
  <c r="C87" i="5"/>
  <c r="C101" i="5"/>
  <c r="C116" i="5"/>
  <c r="C102" i="5"/>
  <c r="C109" i="5"/>
  <c r="C99" i="5"/>
  <c r="C92" i="5"/>
  <c r="C107" i="5"/>
  <c r="C106" i="5"/>
  <c r="C113" i="5"/>
  <c r="C112" i="5"/>
  <c r="C121" i="5"/>
  <c r="C84" i="5"/>
  <c r="C85" i="5"/>
  <c r="C69" i="5"/>
  <c r="C71" i="5"/>
  <c r="C72" i="5"/>
  <c r="C73" i="5"/>
  <c r="C74" i="5"/>
  <c r="C75" i="5"/>
  <c r="C76" i="5"/>
  <c r="C77" i="5"/>
  <c r="C78" i="5"/>
  <c r="C79" i="5"/>
  <c r="C80" i="5"/>
  <c r="C81" i="5"/>
  <c r="C82" i="5"/>
  <c r="C126" i="5"/>
  <c r="C129" i="5"/>
  <c r="C132" i="5"/>
  <c r="C127" i="5"/>
  <c r="C131" i="5"/>
  <c r="C125" i="5"/>
  <c r="C130" i="5"/>
  <c r="C128" i="5"/>
  <c r="C166" i="5"/>
  <c r="C165" i="5"/>
  <c r="C168" i="5"/>
  <c r="C167" i="5"/>
  <c r="C164" i="5"/>
  <c r="C170" i="5"/>
  <c r="C169" i="5"/>
  <c r="C180" i="5"/>
  <c r="C181" i="5"/>
  <c r="C182" i="5"/>
  <c r="C183" i="5"/>
  <c r="C155" i="5"/>
  <c r="C149" i="5"/>
  <c r="C158" i="5"/>
  <c r="C159" i="5"/>
  <c r="C151" i="5"/>
  <c r="C156" i="5"/>
  <c r="C157" i="5"/>
  <c r="C161" i="5"/>
  <c r="C160" i="5"/>
  <c r="C163" i="5"/>
  <c r="C184" i="5"/>
  <c r="C198" i="5"/>
  <c r="C177" i="5"/>
  <c r="C192" i="5"/>
  <c r="C189" i="5"/>
  <c r="C185" i="5"/>
  <c r="C190" i="5"/>
  <c r="C176" i="5"/>
  <c r="C174" i="5"/>
  <c r="C186" i="5"/>
  <c r="C191" i="5"/>
  <c r="C199" i="5"/>
  <c r="C179" i="5"/>
  <c r="C193" i="5"/>
  <c r="C136" i="5"/>
  <c r="C135" i="5"/>
  <c r="C134" i="5"/>
  <c r="C195" i="5"/>
  <c r="C187" i="5"/>
  <c r="C194" i="5"/>
  <c r="C175" i="5"/>
  <c r="C196" i="5"/>
  <c r="C139" i="5"/>
  <c r="C140" i="5"/>
  <c r="C137" i="5"/>
  <c r="C143" i="5"/>
  <c r="C141" i="5"/>
  <c r="C142" i="5"/>
  <c r="C172" i="5"/>
  <c r="C171" i="5"/>
  <c r="C145" i="5"/>
  <c r="C133"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tc={E609524A-DFA6-4131-B060-45EFCC16C6D9}</author>
  </authors>
  <commentList>
    <comment ref="C12" authorId="0" shapeId="0" xr:uid="{E609524A-DFA6-4131-B060-45EFCC16C6D9}">
      <text>
        <t>[Threaded comment]
Your version of Excel allows you to read this threaded comment; however, any edits to it will get removed if the file is opened in a newer version of Excel. Learn more: https://go.microsoft.com/fwlink/?linkid=870924
Comment:
    Recalculate based on fat to meat price ratio in cattle!!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tc={C4155530-3253-49B9-B470-5329BA365E15}</author>
    <author>tc={DE70043B-29ED-4DA6-8DD1-1AD77F75FC31}</author>
  </authors>
  <commentList>
    <comment ref="C68" authorId="0" shapeId="0" xr:uid="{C4155530-3253-49B9-B470-5329BA365E15}">
      <text>
        <t>[Threaded comment]
Your version of Excel allows you to read this threaded comment; however, any edits to it will get removed if the file is opened in a newer version of Excel. Learn more: https://go.microsoft.com/fwlink/?linkid=870924
Comment:
    0.21. Removed because the item is not in Fabio (CHECK)</t>
      </text>
    </comment>
    <comment ref="C82" authorId="1" shapeId="0" xr:uid="{DE70043B-29ED-4DA6-8DD1-1AD77F75FC31}">
      <text>
        <t>[Threaded comment]
Your version of Excel allows you to read this threaded comment; however, any edits to it will get removed if the file is opened in a newer version of Excel. Learn more: https://go.microsoft.com/fwlink/?linkid=870924
Comment:
    0.79. Removed because the item is not in Fabio nor in CBS (CHECK)</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tc={E7DD40E7-974D-4F0D-AF6A-D4B04C18424B}</author>
    <author>tc={6919B334-7CFC-496A-982F-61E4184EFC4D}</author>
  </authors>
  <commentList>
    <comment ref="A143" authorId="0" shapeId="0" xr:uid="{E7DD40E7-974D-4F0D-AF6A-D4B04C18424B}">
      <text>
        <t>[Threaded comment]
Your version of Excel allows you to read this threaded comment; however, any edits to it will get removed if the file is opened in a newer version of Excel. Learn more: https://go.microsoft.com/fwlink/?linkid=870924
Comment:
    I only classify them as vegetables, other but FAO and Fabio classify them both in Vegetables, Other and Fruit, Other</t>
      </text>
    </comment>
    <comment ref="A144" authorId="1" shapeId="0" xr:uid="{6919B334-7CFC-496A-982F-61E4184EFC4D}">
      <text>
        <t>[Threaded comment]
Your version of Excel allows you to read this threaded comment; however, any edits to it will get removed if the file is opened in a newer version of Excel. Learn more: https://go.microsoft.com/fwlink/?linkid=870924
Comment:
    I only classify them as vegetables, other but FAO and Fabio classify them both in Vegetables, Other and Fruit, Other</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tc={6E9CB6B5-F5CD-4C2A-B825-50E798A5AE85}</author>
    <author>tc={CF700020-B88E-418F-9CA3-D0FFAD868D47}</author>
  </authors>
  <commentList>
    <comment ref="H1" authorId="0" shapeId="0" xr:uid="{6E9CB6B5-F5CD-4C2A-B825-50E798A5AE85}">
      <text>
        <t>[Threaded comment]
Your version of Excel allows you to read this threaded comment; however, any edits to it will get removed if the file is opened in a newer version of Excel. Learn more: https://go.microsoft.com/fwlink/?linkid=870924
Comment:
    Feedtype categories of krausmann are adjusted to the digestion capabilities of animals. In particular, "residues" are classified in those that can be eaten by granivores (pigs and poultry) (agroindustry residues, root and veg fodder crops, Other crop residues) and those that can only be eaten by grazers (fibrous fodder crops, Straw)</t>
      </text>
    </comment>
    <comment ref="I1" authorId="1" shapeId="0" xr:uid="{CF700020-B88E-418F-9CA3-D0FFAD868D47}">
      <text>
        <t>[Threaded comment]
Your version of Excel allows you to read this threaded comment; however, any edits to it will get removed if the file is opened in a newer version of Excel. Learn more: https://go.microsoft.com/fwlink/?linkid=870924
Comment:
    Feedtype categories of krausmann are adjusted to the digestion capabilities of animals. In particular, "residues" are classified in those that can be eaten by granivores (pigs and poultry) (agroindustry residues, root and veg fodder crops, Other crop residues) and those that can only be eaten by grazers (fibrous fodder crops, Straw)</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tc={5B64810D-3F04-4204-9929-4B386AB83696}</author>
  </authors>
  <commentList>
    <comment ref="B17" authorId="0" shapeId="0" xr:uid="{5B64810D-3F04-4204-9929-4B386AB83696}">
      <text>
        <t>[Threaded comment]
Your version of Excel allows you to read this threaded comment; however, any edits to it will get removed if the file is opened in a newer version of Excel. Learn more: https://go.microsoft.com/fwlink/?linkid=870924
Comment:
    Arbitrary value</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<sst xmlns="http://schemas.openxmlformats.org/spreadsheetml/2006/main" count="34001" uniqueCount="5076">
  <si>
    <t>V1</t>
  </si>
  <si>
    <t>code</t>
  </si>
  <si>
    <t>iso3c</t>
  </si>
  <si>
    <t>EU27</t>
  </si>
  <si>
    <t>name</t>
  </si>
  <si>
    <t>eia</t>
  </si>
  <si>
    <t>iea</t>
  </si>
  <si>
    <t>water_code</t>
  </si>
  <si>
    <t>water_area</t>
  </si>
  <si>
    <t>baci</t>
  </si>
  <si>
    <t>fish</t>
  </si>
  <si>
    <t>region_code</t>
  </si>
  <si>
    <t>cbs</t>
  </si>
  <si>
    <t>fabio_code</t>
  </si>
  <si>
    <t>region</t>
  </si>
  <si>
    <t>uISO3c</t>
  </si>
  <si>
    <t>Lassaletta</t>
  </si>
  <si>
    <t>region_krausmann</t>
  </si>
  <si>
    <t>region_HANPP</t>
  </si>
  <si>
    <t>region_krausmann2</t>
  </si>
  <si>
    <t>region_UN_sub</t>
  </si>
  <si>
    <t>region_UN</t>
  </si>
  <si>
    <t>region_ILO1</t>
  </si>
  <si>
    <t>region_ILO2</t>
  </si>
  <si>
    <t>region_ILO3</t>
  </si>
  <si>
    <t>region_IEA</t>
  </si>
  <si>
    <t>region_IPCC</t>
  </si>
  <si>
    <t>region_labour</t>
  </si>
  <si>
    <t>region_labour_agg</t>
  </si>
  <si>
    <t>region_labour_mech</t>
  </si>
  <si>
    <t>region_test</t>
  </si>
  <si>
    <t>AFG</t>
  </si>
  <si>
    <t>FALSE</t>
  </si>
  <si>
    <t>Afghanistan</t>
  </si>
  <si>
    <t>TRUE</t>
  </si>
  <si>
    <t>South Asia</t>
  </si>
  <si>
    <t>Southern Asia</t>
  </si>
  <si>
    <t>South and Central Asia</t>
  </si>
  <si>
    <t>Asia</t>
  </si>
  <si>
    <t>Asia and the Pacific</t>
  </si>
  <si>
    <t>Emerging</t>
  </si>
  <si>
    <t>Annex_II</t>
  </si>
  <si>
    <t>SE-Asia</t>
  </si>
  <si>
    <t>no_mech</t>
  </si>
  <si>
    <t>ALB</t>
  </si>
  <si>
    <t>Albania</t>
  </si>
  <si>
    <t>Eastern Europe</t>
  </si>
  <si>
    <t>Eastern and South Eastern Europe</t>
  </si>
  <si>
    <t>East Europe</t>
  </si>
  <si>
    <t>Europe</t>
  </si>
  <si>
    <t>Southern Europe</t>
  </si>
  <si>
    <t>Europe and Central Asia</t>
  </si>
  <si>
    <t>Northern, Southern and Western Europe</t>
  </si>
  <si>
    <t>mech</t>
  </si>
  <si>
    <t>DZA</t>
  </si>
  <si>
    <t>Algeria</t>
  </si>
  <si>
    <t>Northern Africa</t>
  </si>
  <si>
    <t>Northern Africa and Western Asia</t>
  </si>
  <si>
    <t>North Africa and West Asia</t>
  </si>
  <si>
    <t>MENA</t>
  </si>
  <si>
    <t>Africa</t>
  </si>
  <si>
    <t>ASM</t>
  </si>
  <si>
    <t>American Samoa</t>
  </si>
  <si>
    <t>Oceania</t>
  </si>
  <si>
    <t>Australia and Oceania</t>
  </si>
  <si>
    <t>North America and Oceania</t>
  </si>
  <si>
    <t>Polynesia</t>
  </si>
  <si>
    <t>South-Eastern Asia and the Pacific</t>
  </si>
  <si>
    <t>Pacific Islands</t>
  </si>
  <si>
    <t>Pacific</t>
  </si>
  <si>
    <t>AUS</t>
  </si>
  <si>
    <t>AND</t>
  </si>
  <si>
    <t>Andorra</t>
  </si>
  <si>
    <t>Global average</t>
  </si>
  <si>
    <t>OECD Europe</t>
  </si>
  <si>
    <t>Western Europe</t>
  </si>
  <si>
    <t>West Europe</t>
  </si>
  <si>
    <t>AGO</t>
  </si>
  <si>
    <t>Angola</t>
  </si>
  <si>
    <t>Southern Africa</t>
  </si>
  <si>
    <t>Subsaharan Africa</t>
  </si>
  <si>
    <t>Sub-saharan Africa</t>
  </si>
  <si>
    <t>SSA</t>
  </si>
  <si>
    <t>Sub-Saharan Africa</t>
  </si>
  <si>
    <t>Central Africa</t>
  </si>
  <si>
    <t>Middle Africa</t>
  </si>
  <si>
    <t>SAA</t>
  </si>
  <si>
    <t>AIA</t>
  </si>
  <si>
    <t>Anguilla</t>
  </si>
  <si>
    <t>Central America</t>
  </si>
  <si>
    <t>Latin America and the Caribbean</t>
  </si>
  <si>
    <t>Latin America and Caribbean</t>
  </si>
  <si>
    <t>LACA</t>
  </si>
  <si>
    <t>Americas</t>
  </si>
  <si>
    <t>Caribbean</t>
  </si>
  <si>
    <t>Caribbean &amp; Centra Am.</t>
  </si>
  <si>
    <t>ATA</t>
  </si>
  <si>
    <t>Antarctica</t>
  </si>
  <si>
    <t>NA</t>
  </si>
  <si>
    <t>ATG</t>
  </si>
  <si>
    <t>Antigua and Barbuda</t>
  </si>
  <si>
    <t>ARG</t>
  </si>
  <si>
    <t>Argentina</t>
  </si>
  <si>
    <t>South America</t>
  </si>
  <si>
    <t>South America - South Cone</t>
  </si>
  <si>
    <t>ARM</t>
  </si>
  <si>
    <t>Armenia</t>
  </si>
  <si>
    <t>Former USSR</t>
  </si>
  <si>
    <t>Central Asia and Russian Federation</t>
  </si>
  <si>
    <t>CAS &amp; Russia</t>
  </si>
  <si>
    <t>Western Asia</t>
  </si>
  <si>
    <t>Central and Western Asia</t>
  </si>
  <si>
    <t>FSU</t>
  </si>
  <si>
    <t>ABW</t>
  </si>
  <si>
    <t>Aruba</t>
  </si>
  <si>
    <t>Australia</t>
  </si>
  <si>
    <t>Australia and New Zealand</t>
  </si>
  <si>
    <t>Advanced</t>
  </si>
  <si>
    <t>Annex_I</t>
  </si>
  <si>
    <t>AUT</t>
  </si>
  <si>
    <t>Austria</t>
  </si>
  <si>
    <t>AZE</t>
  </si>
  <si>
    <t>Azerbaijan</t>
  </si>
  <si>
    <t>BHS</t>
  </si>
  <si>
    <t>Bahamas</t>
  </si>
  <si>
    <t>Bahamas, The</t>
  </si>
  <si>
    <t>BHR</t>
  </si>
  <si>
    <t>Bahrain</t>
  </si>
  <si>
    <t>Middle East</t>
  </si>
  <si>
    <t>Arab States</t>
  </si>
  <si>
    <t>BGD</t>
  </si>
  <si>
    <t>Bangladesh</t>
  </si>
  <si>
    <t>BRB</t>
  </si>
  <si>
    <t>Barbados</t>
  </si>
  <si>
    <t>BLR</t>
  </si>
  <si>
    <t>Belarus</t>
  </si>
  <si>
    <t>BEL</t>
  </si>
  <si>
    <t>Belgium</t>
  </si>
  <si>
    <t>BLX</t>
  </si>
  <si>
    <t>Belgium-Luxembourg</t>
  </si>
  <si>
    <t>Belgium-Luxemburg</t>
  </si>
  <si>
    <t>BLZ</t>
  </si>
  <si>
    <t>Belize</t>
  </si>
  <si>
    <t>BEN</t>
  </si>
  <si>
    <t>Benin</t>
  </si>
  <si>
    <t>Western Africa</t>
  </si>
  <si>
    <t>BMU</t>
  </si>
  <si>
    <t>Bermuda</t>
  </si>
  <si>
    <t>Northern America</t>
  </si>
  <si>
    <t>NAME</t>
  </si>
  <si>
    <t>BTN</t>
  </si>
  <si>
    <t>Bhutan</t>
  </si>
  <si>
    <t>BOL</t>
  </si>
  <si>
    <t>Bolivia</t>
  </si>
  <si>
    <t>Bolivia (Plurinational State of)</t>
  </si>
  <si>
    <t>Andean &amp; Mexico</t>
  </si>
  <si>
    <t>BIH</t>
  </si>
  <si>
    <t>Bosnia and Herzegovina</t>
  </si>
  <si>
    <t>BWA</t>
  </si>
  <si>
    <t>Botswana</t>
  </si>
  <si>
    <t>BVT</t>
  </si>
  <si>
    <t>Bouvet Island</t>
  </si>
  <si>
    <t>BRA</t>
  </si>
  <si>
    <t>Brazil</t>
  </si>
  <si>
    <t>IOT</t>
  </si>
  <si>
    <t>British Indian Ocean Territory</t>
  </si>
  <si>
    <t>VGB</t>
  </si>
  <si>
    <t>British Virgin Islands</t>
  </si>
  <si>
    <t>Virgin Islands, British</t>
  </si>
  <si>
    <t>BRN</t>
  </si>
  <si>
    <t>Brunei Darussalam</t>
  </si>
  <si>
    <t>Brunei</t>
  </si>
  <si>
    <t>South East Asia</t>
  </si>
  <si>
    <t>Southeastern Asia</t>
  </si>
  <si>
    <t>S&amp;E Asia</t>
  </si>
  <si>
    <t>South-eastern Asia</t>
  </si>
  <si>
    <t>South-Eastern Asia</t>
  </si>
  <si>
    <t>BGR</t>
  </si>
  <si>
    <t>Bulgaria</t>
  </si>
  <si>
    <t>BFA</t>
  </si>
  <si>
    <t>Burkina Faso</t>
  </si>
  <si>
    <t>BDI</t>
  </si>
  <si>
    <t>Burundi</t>
  </si>
  <si>
    <t>Eastern Africa</t>
  </si>
  <si>
    <t>CPV</t>
  </si>
  <si>
    <t>Cabo Verde</t>
  </si>
  <si>
    <t>Cape Verde</t>
  </si>
  <si>
    <t>KHM</t>
  </si>
  <si>
    <t>Cambodia</t>
  </si>
  <si>
    <t>CMR</t>
  </si>
  <si>
    <t>Cameroon</t>
  </si>
  <si>
    <t>CAN</t>
  </si>
  <si>
    <t>Canada</t>
  </si>
  <si>
    <t>CTE</t>
  </si>
  <si>
    <t>Canton and Enderbury Islands</t>
  </si>
  <si>
    <t>CYM</t>
  </si>
  <si>
    <t>Cayman Islands</t>
  </si>
  <si>
    <t>CAF</t>
  </si>
  <si>
    <t>Central African Republic</t>
  </si>
  <si>
    <t>TCD</t>
  </si>
  <si>
    <t>Chad</t>
  </si>
  <si>
    <t>CHL</t>
  </si>
  <si>
    <t>Chile</t>
  </si>
  <si>
    <t>China</t>
  </si>
  <si>
    <t>East Asia</t>
  </si>
  <si>
    <t>Eastern Asia</t>
  </si>
  <si>
    <t>HKG</t>
  </si>
  <si>
    <t>China, Hong Kong SAR</t>
  </si>
  <si>
    <t>Hong Kong</t>
  </si>
  <si>
    <t>Hong Kong, China</t>
  </si>
  <si>
    <t>MAC</t>
  </si>
  <si>
    <t>China, Macao SAR</t>
  </si>
  <si>
    <t>Macau</t>
  </si>
  <si>
    <t>CHN</t>
  </si>
  <si>
    <t>China, mainland</t>
  </si>
  <si>
    <t>People's Republic of China</t>
  </si>
  <si>
    <t>TWN</t>
  </si>
  <si>
    <t>China, Taiwan Province of</t>
  </si>
  <si>
    <t>Taiwan</t>
  </si>
  <si>
    <t>Chinese Taipei</t>
  </si>
  <si>
    <t>CXR</t>
  </si>
  <si>
    <t>Christmas Island</t>
  </si>
  <si>
    <t>CCK</t>
  </si>
  <si>
    <t>Cocos (Keeling) Islands</t>
  </si>
  <si>
    <t>COL</t>
  </si>
  <si>
    <t>Colombia</t>
  </si>
  <si>
    <t>COM</t>
  </si>
  <si>
    <t>Comoros</t>
  </si>
  <si>
    <t>COG</t>
  </si>
  <si>
    <t>Congo</t>
  </si>
  <si>
    <t>Congo (Brazzaville)</t>
  </si>
  <si>
    <t>Republic of the Congo</t>
  </si>
  <si>
    <t>COK</t>
  </si>
  <si>
    <t>Cook Islands</t>
  </si>
  <si>
    <t>CRI</t>
  </si>
  <si>
    <t>Costa Rica</t>
  </si>
  <si>
    <t>HRV</t>
  </si>
  <si>
    <t>Croatia</t>
  </si>
  <si>
    <t>CUB</t>
  </si>
  <si>
    <t>Cuba</t>
  </si>
  <si>
    <t>CUW</t>
  </si>
  <si>
    <t>CuraÃ§ao</t>
  </si>
  <si>
    <t>CYP</t>
  </si>
  <si>
    <t>Cyprus</t>
  </si>
  <si>
    <t>CZE</t>
  </si>
  <si>
    <t>Czech Republic</t>
  </si>
  <si>
    <t>CSK</t>
  </si>
  <si>
    <t>Czechoslovakia</t>
  </si>
  <si>
    <t>Former Czechoslovakia</t>
  </si>
  <si>
    <t>DNK</t>
  </si>
  <si>
    <t>Denmark</t>
  </si>
  <si>
    <t>Northern Europe</t>
  </si>
  <si>
    <t>DJI</t>
  </si>
  <si>
    <t>Djibouti</t>
  </si>
  <si>
    <t>DMA</t>
  </si>
  <si>
    <t>Dominica</t>
  </si>
  <si>
    <t>DOM</t>
  </si>
  <si>
    <t>Dominican Republic</t>
  </si>
  <si>
    <t>COD</t>
  </si>
  <si>
    <t>DR Congo</t>
  </si>
  <si>
    <t>Congo (Kinshasa)</t>
  </si>
  <si>
    <t>Democratic Republic of the Congo</t>
  </si>
  <si>
    <t>Congo, Democratic Republic of</t>
  </si>
  <si>
    <t>ECU</t>
  </si>
  <si>
    <t>Ecuador</t>
  </si>
  <si>
    <t>EGY</t>
  </si>
  <si>
    <t>Egypt</t>
  </si>
  <si>
    <t>SLV</t>
  </si>
  <si>
    <t>El Salvador</t>
  </si>
  <si>
    <t>GNQ</t>
  </si>
  <si>
    <t>Equatorial Guinea</t>
  </si>
  <si>
    <t>ERI</t>
  </si>
  <si>
    <t>Eritrea</t>
  </si>
  <si>
    <t>EST</t>
  </si>
  <si>
    <t>Estonia</t>
  </si>
  <si>
    <t>SWZ</t>
  </si>
  <si>
    <t>Eswatini</t>
  </si>
  <si>
    <t>Swaziland</t>
  </si>
  <si>
    <t>ETH</t>
  </si>
  <si>
    <t>Ethiopia</t>
  </si>
  <si>
    <t>Ethiopia PDR</t>
  </si>
  <si>
    <t>FLK</t>
  </si>
  <si>
    <t>Falkland Islands (Malvinas)</t>
  </si>
  <si>
    <t>Falkland Islands (Islas Malvinas)</t>
  </si>
  <si>
    <t>FRO</t>
  </si>
  <si>
    <t>Faroe Islands</t>
  </si>
  <si>
    <t>FJI</t>
  </si>
  <si>
    <t>Fiji</t>
  </si>
  <si>
    <t>Melanesia</t>
  </si>
  <si>
    <t>FIN</t>
  </si>
  <si>
    <t>Finland</t>
  </si>
  <si>
    <t>FRA</t>
  </si>
  <si>
    <t>France</t>
  </si>
  <si>
    <t>GUF</t>
  </si>
  <si>
    <t>French Guiana</t>
  </si>
  <si>
    <t>PYF</t>
  </si>
  <si>
    <t>French Polynesia</t>
  </si>
  <si>
    <t>ATF</t>
  </si>
  <si>
    <t>French Southern and Antarctic Territories</t>
  </si>
  <si>
    <t>GAB</t>
  </si>
  <si>
    <t>Gabon</t>
  </si>
  <si>
    <t>GMB</t>
  </si>
  <si>
    <t>Gambia</t>
  </si>
  <si>
    <t>Gambia, The</t>
  </si>
  <si>
    <t>GEO</t>
  </si>
  <si>
    <t>Georgia</t>
  </si>
  <si>
    <t>DEU</t>
  </si>
  <si>
    <t>Germany</t>
  </si>
  <si>
    <t>GHA</t>
  </si>
  <si>
    <t>Ghana</t>
  </si>
  <si>
    <t>GIB</t>
  </si>
  <si>
    <t>Gibraltar</t>
  </si>
  <si>
    <t>GRC</t>
  </si>
  <si>
    <t>Greece</t>
  </si>
  <si>
    <t>GRL</t>
  </si>
  <si>
    <t>Greenland</t>
  </si>
  <si>
    <t>GRD</t>
  </si>
  <si>
    <t>Grenada</t>
  </si>
  <si>
    <t>GLP</t>
  </si>
  <si>
    <t>Guadeloupe</t>
  </si>
  <si>
    <t>GUM</t>
  </si>
  <si>
    <t>Guam</t>
  </si>
  <si>
    <t>Micronesia</t>
  </si>
  <si>
    <t>GTM</t>
  </si>
  <si>
    <t>Guatemala</t>
  </si>
  <si>
    <t>GIN</t>
  </si>
  <si>
    <t>Guinea</t>
  </si>
  <si>
    <t>GNB</t>
  </si>
  <si>
    <t>Guinea-Bissau</t>
  </si>
  <si>
    <t>GUY</t>
  </si>
  <si>
    <t>Guyana</t>
  </si>
  <si>
    <t>HTI</t>
  </si>
  <si>
    <t>Haiti</t>
  </si>
  <si>
    <t>HMD</t>
  </si>
  <si>
    <t>Heard and McDonald Islands</t>
  </si>
  <si>
    <t>VAT</t>
  </si>
  <si>
    <t>Holy See</t>
  </si>
  <si>
    <t>HND</t>
  </si>
  <si>
    <t>Honduras</t>
  </si>
  <si>
    <t>HUN</t>
  </si>
  <si>
    <t>Hungary</t>
  </si>
  <si>
    <t>ISL</t>
  </si>
  <si>
    <t>Iceland</t>
  </si>
  <si>
    <t>IND</t>
  </si>
  <si>
    <t>India</t>
  </si>
  <si>
    <t>IDN</t>
  </si>
  <si>
    <t>Indonesia</t>
  </si>
  <si>
    <t>IRN</t>
  </si>
  <si>
    <t>Iran</t>
  </si>
  <si>
    <t>Islamic Republic of Iran</t>
  </si>
  <si>
    <t>Iran, Islamic Republic of</t>
  </si>
  <si>
    <t>Iran (Islamic Republic of)</t>
  </si>
  <si>
    <t>IRQ</t>
  </si>
  <si>
    <t>Iraq</t>
  </si>
  <si>
    <t>IRL</t>
  </si>
  <si>
    <t>Ireland</t>
  </si>
  <si>
    <t>ISR</t>
  </si>
  <si>
    <t>Israel</t>
  </si>
  <si>
    <t>ITA</t>
  </si>
  <si>
    <t>Italy</t>
  </si>
  <si>
    <t>CIV</t>
  </si>
  <si>
    <t>Ivory Coast</t>
  </si>
  <si>
    <t>Cote dIvoire (IvoryCoast)</t>
  </si>
  <si>
    <t>CÃ´te d'Ivoire</t>
  </si>
  <si>
    <t>Cote d'Ivoire</t>
  </si>
  <si>
    <t>JAM</t>
  </si>
  <si>
    <t>Jamaica</t>
  </si>
  <si>
    <t>JPN</t>
  </si>
  <si>
    <t>Japan</t>
  </si>
  <si>
    <t>JTN</t>
  </si>
  <si>
    <t>Johnston Island</t>
  </si>
  <si>
    <t>JOR</t>
  </si>
  <si>
    <t>Jordan</t>
  </si>
  <si>
    <t>KAZ</t>
  </si>
  <si>
    <t>Kazakhstan</t>
  </si>
  <si>
    <t>Central Asia</t>
  </si>
  <si>
    <t>KEN</t>
  </si>
  <si>
    <t>Kenya</t>
  </si>
  <si>
    <t>KIR</t>
  </si>
  <si>
    <t>Kiribati</t>
  </si>
  <si>
    <t>KWT</t>
  </si>
  <si>
    <t>Kuwait</t>
  </si>
  <si>
    <t>KGZ</t>
  </si>
  <si>
    <t>Kyrgyzstan</t>
  </si>
  <si>
    <t>LAO</t>
  </si>
  <si>
    <t>Lao</t>
  </si>
  <si>
    <t>Laos</t>
  </si>
  <si>
    <t>Lao People's Democratic Republic</t>
  </si>
  <si>
    <t>LVA</t>
  </si>
  <si>
    <t>Latvia</t>
  </si>
  <si>
    <t>LBN</t>
  </si>
  <si>
    <t>Lebanon</t>
  </si>
  <si>
    <t>LSO</t>
  </si>
  <si>
    <t>Lesotho</t>
  </si>
  <si>
    <t>LBR</t>
  </si>
  <si>
    <t>Liberia</t>
  </si>
  <si>
    <t>LBY</t>
  </si>
  <si>
    <t>Libya</t>
  </si>
  <si>
    <t>Libyan Arab Jamahiriya</t>
  </si>
  <si>
    <t>LIE</t>
  </si>
  <si>
    <t>Liechtenstein</t>
  </si>
  <si>
    <t>LTU</t>
  </si>
  <si>
    <t>Lithuania</t>
  </si>
  <si>
    <t>LUX</t>
  </si>
  <si>
    <t>Luxembourg</t>
  </si>
  <si>
    <t>MDG</t>
  </si>
  <si>
    <t>Madagascar</t>
  </si>
  <si>
    <t>MWI</t>
  </si>
  <si>
    <t>Malawi</t>
  </si>
  <si>
    <t>MYS</t>
  </si>
  <si>
    <t>Malaysia</t>
  </si>
  <si>
    <t>MDV</t>
  </si>
  <si>
    <t>Maldives</t>
  </si>
  <si>
    <t>MLI</t>
  </si>
  <si>
    <t>Mali</t>
  </si>
  <si>
    <t>MLT</t>
  </si>
  <si>
    <t>Malta</t>
  </si>
  <si>
    <t>MHL</t>
  </si>
  <si>
    <t>Marshall Islands</t>
  </si>
  <si>
    <t>MTQ</t>
  </si>
  <si>
    <t>Martinique</t>
  </si>
  <si>
    <t>MRT</t>
  </si>
  <si>
    <t>Mauritania</t>
  </si>
  <si>
    <t>MUS</t>
  </si>
  <si>
    <t>Mauritius</t>
  </si>
  <si>
    <t>MYT</t>
  </si>
  <si>
    <t>Mayotte</t>
  </si>
  <si>
    <t>MEX</t>
  </si>
  <si>
    <t>Mexico</t>
  </si>
  <si>
    <t>FSM</t>
  </si>
  <si>
    <t>Micronesia (Federated States of)</t>
  </si>
  <si>
    <t>Micronesia, Federated States of</t>
  </si>
  <si>
    <t>MID</t>
  </si>
  <si>
    <t>Midway Island</t>
  </si>
  <si>
    <t>MDA</t>
  </si>
  <si>
    <t>Moldova</t>
  </si>
  <si>
    <t>Republic of Moldova</t>
  </si>
  <si>
    <t>MCO</t>
  </si>
  <si>
    <t>Monaco</t>
  </si>
  <si>
    <t>MNG</t>
  </si>
  <si>
    <t>Mongolia</t>
  </si>
  <si>
    <t>MNE</t>
  </si>
  <si>
    <t>Montenegro</t>
  </si>
  <si>
    <t>Serbia and Montenegro</t>
  </si>
  <si>
    <t>MSR</t>
  </si>
  <si>
    <t>Montserrat</t>
  </si>
  <si>
    <t>MAR</t>
  </si>
  <si>
    <t>Morocco</t>
  </si>
  <si>
    <t>MOZ</t>
  </si>
  <si>
    <t>Mozambique</t>
  </si>
  <si>
    <t>MMR</t>
  </si>
  <si>
    <t>Myanmar</t>
  </si>
  <si>
    <t>Burma (Myanmar)</t>
  </si>
  <si>
    <t>NAM</t>
  </si>
  <si>
    <t>Namibia</t>
  </si>
  <si>
    <t>NRU</t>
  </si>
  <si>
    <t>Nauru</t>
  </si>
  <si>
    <t>NPL</t>
  </si>
  <si>
    <t>Nepal</t>
  </si>
  <si>
    <t>NLD</t>
  </si>
  <si>
    <t>Netherlands</t>
  </si>
  <si>
    <t>ANT</t>
  </si>
  <si>
    <t>Netherlands Antilles</t>
  </si>
  <si>
    <t>Netherlands Antilles / CuraÃ§ao</t>
  </si>
  <si>
    <t>NTZ</t>
  </si>
  <si>
    <t>Neutral Zone</t>
  </si>
  <si>
    <t>NCL</t>
  </si>
  <si>
    <t>New Caledonia</t>
  </si>
  <si>
    <t>NZL</t>
  </si>
  <si>
    <t>New Zealand</t>
  </si>
  <si>
    <t>NIC</t>
  </si>
  <si>
    <t>Nicaragua</t>
  </si>
  <si>
    <t>NER</t>
  </si>
  <si>
    <t>Niger</t>
  </si>
  <si>
    <t>NGA</t>
  </si>
  <si>
    <t>Nigeria</t>
  </si>
  <si>
    <t>NIU</t>
  </si>
  <si>
    <t>Niue</t>
  </si>
  <si>
    <t>NFK</t>
  </si>
  <si>
    <t>Norfolk Island</t>
  </si>
  <si>
    <t>PRK</t>
  </si>
  <si>
    <t>North Korea</t>
  </si>
  <si>
    <t>Korea, North</t>
  </si>
  <si>
    <t>Democratic People's Republic of Korea</t>
  </si>
  <si>
    <t>Korea, Democratic People's Republic of</t>
  </si>
  <si>
    <t>DPRepublic of Korea</t>
  </si>
  <si>
    <t>MKD</t>
  </si>
  <si>
    <t>North Macedonia</t>
  </si>
  <si>
    <t>Macedonia</t>
  </si>
  <si>
    <t>Former Yugoslav Republic of Macedonia</t>
  </si>
  <si>
    <t>The former Yugoslav Republic of Macedonia</t>
  </si>
  <si>
    <t>MNP</t>
  </si>
  <si>
    <t>Northern Mariana Islands</t>
  </si>
  <si>
    <t>NOR</t>
  </si>
  <si>
    <t>Norway</t>
  </si>
  <si>
    <t>OMN</t>
  </si>
  <si>
    <t>Oman</t>
  </si>
  <si>
    <t>OXY</t>
  </si>
  <si>
    <t>Others (adjustment)</t>
  </si>
  <si>
    <t>PCI</t>
  </si>
  <si>
    <t>Pacific Islands Trust Territory</t>
  </si>
  <si>
    <t>PAK</t>
  </si>
  <si>
    <t>Pakistan</t>
  </si>
  <si>
    <t>PLW</t>
  </si>
  <si>
    <t>Palau</t>
  </si>
  <si>
    <t>PSE</t>
  </si>
  <si>
    <t>Palestine</t>
  </si>
  <si>
    <t>Palestinian Territories</t>
  </si>
  <si>
    <t>Occupied Palestinian Territory</t>
  </si>
  <si>
    <t>PAN</t>
  </si>
  <si>
    <t>Panama</t>
  </si>
  <si>
    <t>PNG</t>
  </si>
  <si>
    <t>Papua New Guinea</t>
  </si>
  <si>
    <t>PRY</t>
  </si>
  <si>
    <t>Paraguay</t>
  </si>
  <si>
    <t>PER</t>
  </si>
  <si>
    <t>Peru</t>
  </si>
  <si>
    <t>PHL</t>
  </si>
  <si>
    <t>Philippines</t>
  </si>
  <si>
    <t>PCN</t>
  </si>
  <si>
    <t>Pitcairn Islands</t>
  </si>
  <si>
    <t>POL</t>
  </si>
  <si>
    <t>Poland</t>
  </si>
  <si>
    <t>PRT</t>
  </si>
  <si>
    <t>Portugal</t>
  </si>
  <si>
    <t>PRI</t>
  </si>
  <si>
    <t>Puerto Rico</t>
  </si>
  <si>
    <t>QAT</t>
  </si>
  <si>
    <t>Qatar</t>
  </si>
  <si>
    <t>REU</t>
  </si>
  <si>
    <t>Reunion</t>
  </si>
  <si>
    <t>ROU</t>
  </si>
  <si>
    <t>Romania</t>
  </si>
  <si>
    <t>ROW</t>
  </si>
  <si>
    <t>RoW</t>
  </si>
  <si>
    <t>RUS</t>
  </si>
  <si>
    <t>Russian Federation</t>
  </si>
  <si>
    <t>Russia</t>
  </si>
  <si>
    <t>RWA</t>
  </si>
  <si>
    <t>Rwanda</t>
  </si>
  <si>
    <t>SHN</t>
  </si>
  <si>
    <t>Saint Helena, Ascension and Tristan da Cunha</t>
  </si>
  <si>
    <t>Saint Helena</t>
  </si>
  <si>
    <t>KNA</t>
  </si>
  <si>
    <t>Saint Kitts and Nevis</t>
  </si>
  <si>
    <t>LCA</t>
  </si>
  <si>
    <t>Saint Lucia</t>
  </si>
  <si>
    <t>SPM</t>
  </si>
  <si>
    <t>Saint Pierre and Miquelon</t>
  </si>
  <si>
    <t>USA</t>
  </si>
  <si>
    <t>VCT</t>
  </si>
  <si>
    <t>Saint Vincent and the Grenadines</t>
  </si>
  <si>
    <t>Saint Vincent/Grenadines</t>
  </si>
  <si>
    <t>Saint Vincent and Grenadines</t>
  </si>
  <si>
    <t>MAF</t>
  </si>
  <si>
    <t>Saint-Martin (French Part)</t>
  </si>
  <si>
    <t>WSM</t>
  </si>
  <si>
    <t>Samoa</t>
  </si>
  <si>
    <t>SMR</t>
  </si>
  <si>
    <t>San Marino</t>
  </si>
  <si>
    <t>STP</t>
  </si>
  <si>
    <t>Sao Tome and Principe</t>
  </si>
  <si>
    <t>SAU</t>
  </si>
  <si>
    <t>Saudi Arabia</t>
  </si>
  <si>
    <t>SEN</t>
  </si>
  <si>
    <t>Senegal</t>
  </si>
  <si>
    <t>SRB</t>
  </si>
  <si>
    <t>Serbia</t>
  </si>
  <si>
    <t>SCG</t>
  </si>
  <si>
    <t>Former Serbia and Montenegro</t>
  </si>
  <si>
    <t>SYC</t>
  </si>
  <si>
    <t>Seychelles</t>
  </si>
  <si>
    <t>SLE</t>
  </si>
  <si>
    <t>Sierra Leone</t>
  </si>
  <si>
    <t>SGP</t>
  </si>
  <si>
    <t>Singapore</t>
  </si>
  <si>
    <t>SVK</t>
  </si>
  <si>
    <t>Slovakia</t>
  </si>
  <si>
    <t>Slovak Republic</t>
  </si>
  <si>
    <t>SVN</t>
  </si>
  <si>
    <t>Slovenia</t>
  </si>
  <si>
    <t>SLB</t>
  </si>
  <si>
    <t>Solomon Islands</t>
  </si>
  <si>
    <t>SOM</t>
  </si>
  <si>
    <t>Somalia</t>
  </si>
  <si>
    <t>ZAF</t>
  </si>
  <si>
    <t>South Africa</t>
  </si>
  <si>
    <t>SGS</t>
  </si>
  <si>
    <t>South Georgia and the South Sandwich Islands</t>
  </si>
  <si>
    <t>KOR</t>
  </si>
  <si>
    <t>South Korea</t>
  </si>
  <si>
    <t>Korea, South</t>
  </si>
  <si>
    <t>Korea</t>
  </si>
  <si>
    <t>Korea, Republic of</t>
  </si>
  <si>
    <t>Republic of Korea</t>
  </si>
  <si>
    <t>SSD</t>
  </si>
  <si>
    <t>South Sudan</t>
  </si>
  <si>
    <t>Sudan</t>
  </si>
  <si>
    <t>ESP</t>
  </si>
  <si>
    <t>Spain</t>
  </si>
  <si>
    <t>LKA</t>
  </si>
  <si>
    <t>Sri Lanka</t>
  </si>
  <si>
    <t>SDN</t>
  </si>
  <si>
    <t>Sudan (former)</t>
  </si>
  <si>
    <t>Sudan and South Sudan</t>
  </si>
  <si>
    <t>SUR</t>
  </si>
  <si>
    <t>Suriname</t>
  </si>
  <si>
    <t>SJM</t>
  </si>
  <si>
    <t>Svalbard and Jan Mayen Islands</t>
  </si>
  <si>
    <t>SWE</t>
  </si>
  <si>
    <t>Sweden</t>
  </si>
  <si>
    <t>CHE</t>
  </si>
  <si>
    <t>Switzerland</t>
  </si>
  <si>
    <t>SYR</t>
  </si>
  <si>
    <t>Syrian Arab Republic</t>
  </si>
  <si>
    <t>Syria</t>
  </si>
  <si>
    <t>TJK</t>
  </si>
  <si>
    <t>Tajikistan</t>
  </si>
  <si>
    <t>TZA</t>
  </si>
  <si>
    <t>Tanzania</t>
  </si>
  <si>
    <t>United Republic of Tanzania</t>
  </si>
  <si>
    <t>Tanzania, United Republic of</t>
  </si>
  <si>
    <t>THA</t>
  </si>
  <si>
    <t>Thailand</t>
  </si>
  <si>
    <t>TLS</t>
  </si>
  <si>
    <t>Timor-Leste</t>
  </si>
  <si>
    <t>Timor-Leste (East Timor)</t>
  </si>
  <si>
    <t>TGO</t>
  </si>
  <si>
    <t>Togo</t>
  </si>
  <si>
    <t>TKL</t>
  </si>
  <si>
    <t>Tokelau</t>
  </si>
  <si>
    <t>TON</t>
  </si>
  <si>
    <t>Tonga</t>
  </si>
  <si>
    <t>TTO</t>
  </si>
  <si>
    <t>Trinidad and Tobago</t>
  </si>
  <si>
    <t>TUN</t>
  </si>
  <si>
    <t>Tunisia</t>
  </si>
  <si>
    <t>TUR</t>
  </si>
  <si>
    <t>Turkey</t>
  </si>
  <si>
    <t>TKM</t>
  </si>
  <si>
    <t>Turkmenistan</t>
  </si>
  <si>
    <t>TCA</t>
  </si>
  <si>
    <t>Turks and Caicos Islands</t>
  </si>
  <si>
    <t>TUV</t>
  </si>
  <si>
    <t>Tuvalu</t>
  </si>
  <si>
    <t>UGA</t>
  </si>
  <si>
    <t>Uganda</t>
  </si>
  <si>
    <t>UKR</t>
  </si>
  <si>
    <t>Ukraine</t>
  </si>
  <si>
    <t>ARE</t>
  </si>
  <si>
    <t>United Arab Emirates</t>
  </si>
  <si>
    <t>GBR</t>
  </si>
  <si>
    <t>United Kingdom</t>
  </si>
  <si>
    <t>United States of America</t>
  </si>
  <si>
    <t>United States</t>
  </si>
  <si>
    <t>VIR</t>
  </si>
  <si>
    <t>United States Virgin Islands</t>
  </si>
  <si>
    <t>Virgin Islands,  U.S.</t>
  </si>
  <si>
    <t>UXY</t>
  </si>
  <si>
    <t>Unspecified</t>
  </si>
  <si>
    <t>URY</t>
  </si>
  <si>
    <t>Uruguay</t>
  </si>
  <si>
    <t>UMI</t>
  </si>
  <si>
    <t>US Minor Is.</t>
  </si>
  <si>
    <t>SUN</t>
  </si>
  <si>
    <t>USSR</t>
  </si>
  <si>
    <t>Former U.S.S.R.</t>
  </si>
  <si>
    <t>UZB</t>
  </si>
  <si>
    <t>Uzbekistan</t>
  </si>
  <si>
    <t>VUT</t>
  </si>
  <si>
    <t>Vanuatu</t>
  </si>
  <si>
    <t>VEN</t>
  </si>
  <si>
    <t>Venezuela</t>
  </si>
  <si>
    <t>Venezuela, Bolivarian Republic of</t>
  </si>
  <si>
    <t>Venezuela (Bolivarian Republic of)</t>
  </si>
  <si>
    <t>VNM</t>
  </si>
  <si>
    <t>Viet Nam</t>
  </si>
  <si>
    <t>Vietnam</t>
  </si>
  <si>
    <t>WAK</t>
  </si>
  <si>
    <t>Wake Island</t>
  </si>
  <si>
    <t>WLF</t>
  </si>
  <si>
    <t>Wallis and Futuna Islands</t>
  </si>
  <si>
    <t>ESH</t>
  </si>
  <si>
    <t>Western Sahara</t>
  </si>
  <si>
    <t>YEM</t>
  </si>
  <si>
    <t>Yemen</t>
  </si>
  <si>
    <t>YUG</t>
  </si>
  <si>
    <t>Yugoslav SFR</t>
  </si>
  <si>
    <t>Former Yugoslavia</t>
  </si>
  <si>
    <t>ZMB</t>
  </si>
  <si>
    <t>Zambia</t>
  </si>
  <si>
    <t>ZWE</t>
  </si>
  <si>
    <t>Zimbabwe</t>
  </si>
  <si>
    <t>area_code</t>
  </si>
  <si>
    <t>area</t>
  </si>
  <si>
    <t>continent</t>
  </si>
  <si>
    <t>Continent_Group</t>
  </si>
  <si>
    <t>EcoClass_Group</t>
  </si>
  <si>
    <t>GeoRegion_Group</t>
  </si>
  <si>
    <t>ASI</t>
  </si>
  <si>
    <t>Least Developed Countries</t>
  </si>
  <si>
    <t>EUR</t>
  </si>
  <si>
    <t>Developed countries or areas</t>
  </si>
  <si>
    <t>AFR</t>
  </si>
  <si>
    <t>Other developing countries or areas</t>
  </si>
  <si>
    <t>LAM</t>
  </si>
  <si>
    <t>OCE</t>
  </si>
  <si>
    <t>EU</t>
  </si>
  <si>
    <t>China, Taiwan</t>
  </si>
  <si>
    <t xml:space="preserve">Central Asia </t>
  </si>
  <si>
    <t>New Caldonia</t>
  </si>
  <si>
    <t>Item_Code</t>
  </si>
  <si>
    <t>item</t>
  </si>
  <si>
    <t>item_code</t>
  </si>
  <si>
    <t>Farm_class</t>
  </si>
  <si>
    <t>Item_product</t>
  </si>
  <si>
    <t>Item_Code_product</t>
  </si>
  <si>
    <t>Liv_prod_cat</t>
  </si>
  <si>
    <t>Graniv_grazers</t>
  </si>
  <si>
    <t>Livestock_name</t>
  </si>
  <si>
    <t>Animal_class</t>
  </si>
  <si>
    <t>Item_FAOmanure</t>
  </si>
  <si>
    <t>Item_Code_FAOmanure</t>
  </si>
  <si>
    <t>Cat_Labour</t>
  </si>
  <si>
    <t>Cat_FAO1</t>
  </si>
  <si>
    <t>Animals live nes</t>
  </si>
  <si>
    <t>Cattle</t>
  </si>
  <si>
    <t>Other animal products</t>
  </si>
  <si>
    <t>Grazers</t>
  </si>
  <si>
    <t>Animals_other</t>
  </si>
  <si>
    <t>Animal</t>
  </si>
  <si>
    <t>Asses</t>
  </si>
  <si>
    <t>Equines</t>
  </si>
  <si>
    <t>Buffalo</t>
  </si>
  <si>
    <t>Ruminant meat</t>
  </si>
  <si>
    <t>Buffaloes</t>
  </si>
  <si>
    <t>Camelids, other</t>
  </si>
  <si>
    <t>Camelids_other</t>
  </si>
  <si>
    <t>Camels</t>
  </si>
  <si>
    <t>Cattle, non-dairy</t>
  </si>
  <si>
    <t>Meat of cattle with the bone, fresh or chilled</t>
  </si>
  <si>
    <t>Cattle meat</t>
  </si>
  <si>
    <t>Cattle, dairy</t>
  </si>
  <si>
    <t>Dairy_cows</t>
  </si>
  <si>
    <t>Raw milk of cattle</t>
  </si>
  <si>
    <t>Milk</t>
  </si>
  <si>
    <t>Chickens, broilers</t>
  </si>
  <si>
    <t>Monogastric</t>
  </si>
  <si>
    <t>Meat of chickens, fresh or chilled</t>
  </si>
  <si>
    <t>Chicken meat</t>
  </si>
  <si>
    <t>Monogastric products</t>
  </si>
  <si>
    <t>Granivores</t>
  </si>
  <si>
    <t>Broilers</t>
  </si>
  <si>
    <t>Chicken, broilers</t>
  </si>
  <si>
    <t>Birds</t>
  </si>
  <si>
    <t>Chickens, layers</t>
  </si>
  <si>
    <t>Hen eggs in shell, fres</t>
  </si>
  <si>
    <t>Eggs</t>
  </si>
  <si>
    <t>Hens</t>
  </si>
  <si>
    <t>Chicken, layers</t>
  </si>
  <si>
    <t>Ducks</t>
  </si>
  <si>
    <t>Meat of ducks, fresh or chilled</t>
  </si>
  <si>
    <t>Goats</t>
  </si>
  <si>
    <t>Sheep_goats</t>
  </si>
  <si>
    <t>Meat of goat, fresh or chilled</t>
  </si>
  <si>
    <t>Sheep and goat meat</t>
  </si>
  <si>
    <t>Small_ruminants</t>
  </si>
  <si>
    <t>Horses</t>
  </si>
  <si>
    <t>Mules</t>
  </si>
  <si>
    <t>Pigs</t>
  </si>
  <si>
    <t>Meat of pig with the bone, fresh or chilled</t>
  </si>
  <si>
    <t>Pig meat</t>
  </si>
  <si>
    <t>Swine, market</t>
  </si>
  <si>
    <t>Hogs</t>
  </si>
  <si>
    <t>Swine, breeding</t>
  </si>
  <si>
    <t>Rabbits and hares</t>
  </si>
  <si>
    <t>Rabbits</t>
  </si>
  <si>
    <t>Rodents, other</t>
  </si>
  <si>
    <t>Roddents_other</t>
  </si>
  <si>
    <t>Sheep</t>
  </si>
  <si>
    <t>Meat of sheep fresh or chilled</t>
  </si>
  <si>
    <t>Turkeys</t>
  </si>
  <si>
    <t>Geese</t>
  </si>
  <si>
    <t>Bees</t>
  </si>
  <si>
    <t>Game</t>
  </si>
  <si>
    <t>Item_Trade</t>
  </si>
  <si>
    <t>Item_Value_Prod</t>
  </si>
  <si>
    <t>Livestock_cat</t>
  </si>
  <si>
    <t>Main_item</t>
  </si>
  <si>
    <t>Item</t>
  </si>
  <si>
    <t>Item.Code</t>
  </si>
  <si>
    <t>Name_biomass</t>
  </si>
  <si>
    <t>Beeswax</t>
  </si>
  <si>
    <t>Natural honey</t>
  </si>
  <si>
    <t>Honey, natural</t>
  </si>
  <si>
    <t>Main</t>
  </si>
  <si>
    <t>Honey</t>
  </si>
  <si>
    <t>Cattle fat, unrendered</t>
  </si>
  <si>
    <t>Fat, cattle</t>
  </si>
  <si>
    <t>Cattle_meat</t>
  </si>
  <si>
    <t>Fats, Animals, Raw</t>
  </si>
  <si>
    <t>Fats, animals, raw</t>
  </si>
  <si>
    <t>Raw hides and skins of cattle</t>
  </si>
  <si>
    <t>Hides, cattle, wet salted</t>
  </si>
  <si>
    <t>Hides and skins</t>
  </si>
  <si>
    <t>Meat of cattle with the bone, fresh or chilled</t>
  </si>
  <si>
    <t>Meat, cattle</t>
  </si>
  <si>
    <t>Bovine Meat</t>
  </si>
  <si>
    <t>Beef meat</t>
  </si>
  <si>
    <t>Edible offal of cattle, fresh, chilled or frozen</t>
  </si>
  <si>
    <t>Offals, edible, cattle</t>
  </si>
  <si>
    <t>Offals, Edible</t>
  </si>
  <si>
    <t>Offals, edible</t>
  </si>
  <si>
    <t>Milk, whole fresh cow</t>
  </si>
  <si>
    <t>Cattle_milk</t>
  </si>
  <si>
    <t>Milk - Excluding Butter</t>
  </si>
  <si>
    <t>Cow milk</t>
  </si>
  <si>
    <t>Meat of asses, fresh or chilled</t>
  </si>
  <si>
    <t>Meat, ass</t>
  </si>
  <si>
    <t>Donkeys_mules</t>
  </si>
  <si>
    <t>Meat, Other</t>
  </si>
  <si>
    <t>Meat, other</t>
  </si>
  <si>
    <t>Meat of mules, fresh or chilled</t>
  </si>
  <si>
    <t>Meat, mule</t>
  </si>
  <si>
    <t>Game meat, fresh, chilled or frozen</t>
  </si>
  <si>
    <t>Meat, game</t>
  </si>
  <si>
    <t>Fat, goats</t>
  </si>
  <si>
    <t>Meat of goats, fresh or chilled</t>
  </si>
  <si>
    <t>Meat, goat</t>
  </si>
  <si>
    <t>Mutton &amp; Goat Meat</t>
  </si>
  <si>
    <t>Goat meat</t>
  </si>
  <si>
    <t>Raw milk of goats</t>
  </si>
  <si>
    <t>Milk, whole fresh goat</t>
  </si>
  <si>
    <t>Goat milk</t>
  </si>
  <si>
    <t>Edible offal of goats, fresh, chilled or frozen</t>
  </si>
  <si>
    <t>Raw hides and skins of goats or kids</t>
  </si>
  <si>
    <t>Skins, goat, wet salted</t>
  </si>
  <si>
    <t>Horse meat, fresh or chilled</t>
  </si>
  <si>
    <t>Meat, horse</t>
  </si>
  <si>
    <t>Edible offal of horses, fresh, chilled or frozen</t>
  </si>
  <si>
    <t>Eggs from other birds in shell, fresh, n.e.c.</t>
  </si>
  <si>
    <t>Eggs, other bird, in shell</t>
  </si>
  <si>
    <t>Other_birds</t>
  </si>
  <si>
    <t>Duck eggs</t>
  </si>
  <si>
    <t>Meat, duck</t>
  </si>
  <si>
    <t>Poultry Meat</t>
  </si>
  <si>
    <t>Duck</t>
  </si>
  <si>
    <t>Meat of turkeys, fresh or chilled</t>
  </si>
  <si>
    <t>Meat, turkey</t>
  </si>
  <si>
    <t>Turkey, skinless</t>
  </si>
  <si>
    <t>Other meat n.e.c. (excluding mammals), fresh, chilled or frozen</t>
  </si>
  <si>
    <t>Meat nes</t>
  </si>
  <si>
    <t>Other_meat</t>
  </si>
  <si>
    <t>Fat of pigs</t>
  </si>
  <si>
    <t>Fat, pigs</t>
  </si>
  <si>
    <t>Meat of pig with the bone, fresh or chilled</t>
  </si>
  <si>
    <t>Meat, pig</t>
  </si>
  <si>
    <t>Pigmeat</t>
  </si>
  <si>
    <t>Pork meat</t>
  </si>
  <si>
    <t>Edible offal of pigs, fresh, chilled or frozen</t>
  </si>
  <si>
    <t>Offals, pigs, edible</t>
  </si>
  <si>
    <t>Hen eggs in shell, fresh</t>
  </si>
  <si>
    <t>Eggs, hen, in shell</t>
  </si>
  <si>
    <t>Poultry</t>
  </si>
  <si>
    <t>Meat of chickens, fresh or chilled</t>
  </si>
  <si>
    <t>Meat, chicken</t>
  </si>
  <si>
    <t>Chicken</t>
  </si>
  <si>
    <t>Meat of rabbits and hares, fresh or chilled</t>
  </si>
  <si>
    <t>Meat, rabbit</t>
  </si>
  <si>
    <t>Sheep fat, unrendered</t>
  </si>
  <si>
    <t>Meat of sheep, fresh or chilled</t>
  </si>
  <si>
    <t>Meat, sheep</t>
  </si>
  <si>
    <t>Raw milk of sheep</t>
  </si>
  <si>
    <t>Milk, whole fresh sheep</t>
  </si>
  <si>
    <t>Sheep milk</t>
  </si>
  <si>
    <t>Edible offal of sheep, fresh, chilled or frozen</t>
  </si>
  <si>
    <t>Offals, sheep,edible</t>
  </si>
  <si>
    <t>Raw hides and skins of sheep or lambs</t>
  </si>
  <si>
    <t>Skins, sheep, dry salted</t>
  </si>
  <si>
    <t>Shorn wool, greasy, including fleece-washed shorn wool</t>
  </si>
  <si>
    <t>Wool, greasy</t>
  </si>
  <si>
    <t>Wool (Clean Eq.)</t>
  </si>
  <si>
    <t>Wool</t>
  </si>
  <si>
    <t>Silk-worm cocoons suitable for reeling</t>
  </si>
  <si>
    <t>Silk-worm cocoons, reelable</t>
  </si>
  <si>
    <t>Silk</t>
  </si>
  <si>
    <t>Tallow</t>
  </si>
  <si>
    <t>item_code_trade</t>
  </si>
  <si>
    <t>item_trade</t>
  </si>
  <si>
    <t>item_check</t>
  </si>
  <si>
    <t>Wheat</t>
  </si>
  <si>
    <t>Wheat and products</t>
  </si>
  <si>
    <t>Flour, wheat</t>
  </si>
  <si>
    <t>Bran, wheat</t>
  </si>
  <si>
    <t>Macaroni</t>
  </si>
  <si>
    <t>Germ, wheat</t>
  </si>
  <si>
    <t>Bread</t>
  </si>
  <si>
    <t>Bulgur</t>
  </si>
  <si>
    <t>Pastry</t>
  </si>
  <si>
    <t>Starch, wheat</t>
  </si>
  <si>
    <t>Gluten, wheat</t>
  </si>
  <si>
    <t>Beverages, fermented wheat</t>
  </si>
  <si>
    <t>Beverages, Fermented</t>
  </si>
  <si>
    <t>Rice, paddy</t>
  </si>
  <si>
    <t>Rice and products</t>
  </si>
  <si>
    <t>Rice, husked</t>
  </si>
  <si>
    <t>Rice, milled/husked</t>
  </si>
  <si>
    <t>Rice, paddy (rice milled equivalent)</t>
  </si>
  <si>
    <t>Rice, milled</t>
  </si>
  <si>
    <t>Rice, broken</t>
  </si>
  <si>
    <t>Gluten, rice</t>
  </si>
  <si>
    <t>Starch, rice</t>
  </si>
  <si>
    <t>Bran, rice</t>
  </si>
  <si>
    <t>Oil, rice bran</t>
  </si>
  <si>
    <t>Ricebran Oil</t>
  </si>
  <si>
    <t>Cake, rice bran</t>
  </si>
  <si>
    <t>Flour, rice</t>
  </si>
  <si>
    <t>Beverages, fermented rice</t>
  </si>
  <si>
    <t>Cereals, breakfast</t>
  </si>
  <si>
    <t>Barley</t>
  </si>
  <si>
    <t>Barley and products</t>
  </si>
  <si>
    <t>Barley, pot</t>
  </si>
  <si>
    <t>Barley, pearled</t>
  </si>
  <si>
    <t>Bran, barley</t>
  </si>
  <si>
    <t>Flour, barley and grits</t>
  </si>
  <si>
    <t>Malt</t>
  </si>
  <si>
    <t>Malt extract</t>
  </si>
  <si>
    <t>Beer of barley</t>
  </si>
  <si>
    <t>Beer</t>
  </si>
  <si>
    <t>Maize</t>
  </si>
  <si>
    <t>Maize and products</t>
  </si>
  <si>
    <t>Germ, maize</t>
  </si>
  <si>
    <t>Flour, maize</t>
  </si>
  <si>
    <t>Bran, maize</t>
  </si>
  <si>
    <t>Oil, maize</t>
  </si>
  <si>
    <t>Maize Germ Oil</t>
  </si>
  <si>
    <t>Cake, maize</t>
  </si>
  <si>
    <t>Oilseed Cakes, Other</t>
  </si>
  <si>
    <t>Gluten, maize</t>
  </si>
  <si>
    <t>Starch, maize</t>
  </si>
  <si>
    <t>Beer of maize</t>
  </si>
  <si>
    <t>Popcorn</t>
  </si>
  <si>
    <t>Cereals, Other</t>
  </si>
  <si>
    <t>Rye</t>
  </si>
  <si>
    <t>Rye and products</t>
  </si>
  <si>
    <t>Flour, rye</t>
  </si>
  <si>
    <t>Bran, rye</t>
  </si>
  <si>
    <t>Oats</t>
  </si>
  <si>
    <t>Oats rolled</t>
  </si>
  <si>
    <t>Bran, oats</t>
  </si>
  <si>
    <t>Millet</t>
  </si>
  <si>
    <t>Millet and products</t>
  </si>
  <si>
    <t>Flour, millet</t>
  </si>
  <si>
    <t>Bran, millet</t>
  </si>
  <si>
    <t>Beer of millet</t>
  </si>
  <si>
    <t>Sorghum</t>
  </si>
  <si>
    <t>Sorghum and products</t>
  </si>
  <si>
    <t>Flour, sorghum</t>
  </si>
  <si>
    <t>Bran, sorghum</t>
  </si>
  <si>
    <t>Beer of sorghum</t>
  </si>
  <si>
    <t>Buckwheat</t>
  </si>
  <si>
    <t>Flour, buckwheat</t>
  </si>
  <si>
    <t>Bran, buckwheat</t>
  </si>
  <si>
    <t>Quinoa</t>
  </si>
  <si>
    <t>Fonio</t>
  </si>
  <si>
    <t>Flour, fonio</t>
  </si>
  <si>
    <t>Bran, fonio</t>
  </si>
  <si>
    <t>Triticale</t>
  </si>
  <si>
    <t>Flour, triticale</t>
  </si>
  <si>
    <t>Bran, triticale</t>
  </si>
  <si>
    <t>Canary seed</t>
  </si>
  <si>
    <t>Grain, mixed</t>
  </si>
  <si>
    <t>Flour, mixed grain</t>
  </si>
  <si>
    <t>Bran, mixed grains</t>
  </si>
  <si>
    <t>Cereals nes</t>
  </si>
  <si>
    <t>Infant food</t>
  </si>
  <si>
    <t>Wafers</t>
  </si>
  <si>
    <t>Flour, cereals</t>
  </si>
  <si>
    <t>Bran, cereals nes</t>
  </si>
  <si>
    <t>Cereal preparations nes</t>
  </si>
  <si>
    <t>Mixes and doughs</t>
  </si>
  <si>
    <t>Food preparations, flour, malt extract</t>
  </si>
  <si>
    <t>Potatoes</t>
  </si>
  <si>
    <t>Potatoes and products</t>
  </si>
  <si>
    <t>Flour, potatoes</t>
  </si>
  <si>
    <t>Potatoes, frozen</t>
  </si>
  <si>
    <t>Starch, potatoes</t>
  </si>
  <si>
    <t>Tapioca, potatoes</t>
  </si>
  <si>
    <t>Sweet potatoes</t>
  </si>
  <si>
    <t>Cassava</t>
  </si>
  <si>
    <t>Cassava and products</t>
  </si>
  <si>
    <t>Flour, cassava</t>
  </si>
  <si>
    <t>Tapioca, cassava</t>
  </si>
  <si>
    <t>Cassava dried</t>
  </si>
  <si>
    <t>Starch, cassava</t>
  </si>
  <si>
    <t>Yautia (cocoyam)</t>
  </si>
  <si>
    <t>Roots, Other</t>
  </si>
  <si>
    <t>Taro (cocoyam)</t>
  </si>
  <si>
    <t>Yams</t>
  </si>
  <si>
    <t>Roots and tubers nes</t>
  </si>
  <si>
    <t>Flour, roots and tubers nes</t>
  </si>
  <si>
    <t>Roots and tubers dried</t>
  </si>
  <si>
    <t>Fructose chemically pure</t>
  </si>
  <si>
    <t>Sweeteners, Other</t>
  </si>
  <si>
    <t>Maltose chemically pure</t>
  </si>
  <si>
    <t>Sugar cane</t>
  </si>
  <si>
    <t>Sugar beet</t>
  </si>
  <si>
    <t>Sugar, cane, raw, centrifugal</t>
  </si>
  <si>
    <t>Sugar (Raw Equivalent)</t>
  </si>
  <si>
    <t>Sugar, beet, raw, centrifugal</t>
  </si>
  <si>
    <t>Maple sugar and syrups</t>
  </si>
  <si>
    <t>Sugar crops nes</t>
  </si>
  <si>
    <t>Sugar Raw Centrifugal</t>
  </si>
  <si>
    <t>Sugar non-centrifugal</t>
  </si>
  <si>
    <t>Sugar refined</t>
  </si>
  <si>
    <t>Molasses</t>
  </si>
  <si>
    <t>Fructose and syrup, other</t>
  </si>
  <si>
    <t>Sugar nes</t>
  </si>
  <si>
    <t>Sugar confectionery</t>
  </si>
  <si>
    <t>Beet pulp</t>
  </si>
  <si>
    <t>Sugarbeet pulp</t>
  </si>
  <si>
    <t>Bagasse</t>
  </si>
  <si>
    <t>Other</t>
  </si>
  <si>
    <t>Sugar flavoured</t>
  </si>
  <si>
    <t>Glucose and dextrose</t>
  </si>
  <si>
    <t>Lactose</t>
  </si>
  <si>
    <t>Isoglucose</t>
  </si>
  <si>
    <t>Beans, dry</t>
  </si>
  <si>
    <t>Beans</t>
  </si>
  <si>
    <t>Broad beans, horse beans, dry</t>
  </si>
  <si>
    <t>Pulses, Other and products</t>
  </si>
  <si>
    <t>Peas, dry</t>
  </si>
  <si>
    <t>Peas</t>
  </si>
  <si>
    <t>Chick peas</t>
  </si>
  <si>
    <t>Cow peas, dry</t>
  </si>
  <si>
    <t>Pigeon peas</t>
  </si>
  <si>
    <t>Lentils</t>
  </si>
  <si>
    <t>Bambara beans</t>
  </si>
  <si>
    <t>Vetches</t>
  </si>
  <si>
    <t>Lupins</t>
  </si>
  <si>
    <t>Pulses nes</t>
  </si>
  <si>
    <t>Flour, pulses</t>
  </si>
  <si>
    <t>Bran, pulses</t>
  </si>
  <si>
    <t>Brazil nuts, with shell</t>
  </si>
  <si>
    <t>Nuts and products</t>
  </si>
  <si>
    <t>Cashew nuts, with shell</t>
  </si>
  <si>
    <t>Chestnut</t>
  </si>
  <si>
    <t>Almonds, with shell</t>
  </si>
  <si>
    <t>Walnuts, with shell</t>
  </si>
  <si>
    <t>Pistachios</t>
  </si>
  <si>
    <t>Kola nuts</t>
  </si>
  <si>
    <t>Hazelnuts, with shell</t>
  </si>
  <si>
    <t>Areca nuts</t>
  </si>
  <si>
    <t>Brazil nuts, shelled</t>
  </si>
  <si>
    <t>Cashew nuts, shelled</t>
  </si>
  <si>
    <t>Almonds shelled</t>
  </si>
  <si>
    <t>Walnuts, shelled</t>
  </si>
  <si>
    <t>Hazelnuts, shelled</t>
  </si>
  <si>
    <t>Nuts nes</t>
  </si>
  <si>
    <t>Nuts, prepared (exc. groundnuts)</t>
  </si>
  <si>
    <t>Soybeans</t>
  </si>
  <si>
    <t>Soyabeans</t>
  </si>
  <si>
    <t>Oil, soybean</t>
  </si>
  <si>
    <t>Soyabean Oil</t>
  </si>
  <si>
    <t>Cake, soybeans</t>
  </si>
  <si>
    <t>Soyabean Cake</t>
  </si>
  <si>
    <t>Soya sauce</t>
  </si>
  <si>
    <t>Soya paste</t>
  </si>
  <si>
    <t>Soya curd</t>
  </si>
  <si>
    <t>Groundnuts, with shell</t>
  </si>
  <si>
    <t>Groundnuts</t>
  </si>
  <si>
    <t>Groundnuts, shelled</t>
  </si>
  <si>
    <t>Oil, groundnut</t>
  </si>
  <si>
    <t>Groundnut Oil</t>
  </si>
  <si>
    <t>Cake, groundnuts</t>
  </si>
  <si>
    <t>Groundnut Cake</t>
  </si>
  <si>
    <t>Groundnuts, prepared</t>
  </si>
  <si>
    <t>Peanut butter</t>
  </si>
  <si>
    <t>Coconuts</t>
  </si>
  <si>
    <t>Coconuts - Incl Copra</t>
  </si>
  <si>
    <t>Coconuts, desiccated</t>
  </si>
  <si>
    <t>Copra</t>
  </si>
  <si>
    <t>Oil, coconut (copra)</t>
  </si>
  <si>
    <t>Coconut Oil</t>
  </si>
  <si>
    <t>Cake, copra</t>
  </si>
  <si>
    <t>Copra Cake</t>
  </si>
  <si>
    <t>Oil palm fruit</t>
  </si>
  <si>
    <t>Palm kernels</t>
  </si>
  <si>
    <t>Oil, palm</t>
  </si>
  <si>
    <t>Palm Oil</t>
  </si>
  <si>
    <t>Oil, palm kernel</t>
  </si>
  <si>
    <t>Palmkernel Oil</t>
  </si>
  <si>
    <t>Cake, palm kernel</t>
  </si>
  <si>
    <t>Palmkernel Cake</t>
  </si>
  <si>
    <t>Olives</t>
  </si>
  <si>
    <t>Olives (including preserved)</t>
  </si>
  <si>
    <t>Oil, olive, virgin</t>
  </si>
  <si>
    <t>Olive Oil</t>
  </si>
  <si>
    <t>Olives preserved</t>
  </si>
  <si>
    <t>Karite nuts (sheanuts)</t>
  </si>
  <si>
    <t>Oilcrops, Other</t>
  </si>
  <si>
    <t>Butter of karite nuts</t>
  </si>
  <si>
    <t>Oilcrops Oil, Other</t>
  </si>
  <si>
    <t>Castor oil seed</t>
  </si>
  <si>
    <t>Oil, castor beans</t>
  </si>
  <si>
    <t>Sunflower seed</t>
  </si>
  <si>
    <t>Oil, sunflower</t>
  </si>
  <si>
    <t>Sunflowerseed Oil</t>
  </si>
  <si>
    <t>Cake, sunflower</t>
  </si>
  <si>
    <t>Sunflowerseed Cake</t>
  </si>
  <si>
    <t>Rapeseed</t>
  </si>
  <si>
    <t>Rape and Mustardseed</t>
  </si>
  <si>
    <t>Oil, rapeseed</t>
  </si>
  <si>
    <t>Rape and Mustard Oil</t>
  </si>
  <si>
    <t>Cake, rapeseed</t>
  </si>
  <si>
    <t>Rape and Mustard Cake</t>
  </si>
  <si>
    <t>Oil, olive residues</t>
  </si>
  <si>
    <t>Tung nuts</t>
  </si>
  <si>
    <t>Oil, tung nuts</t>
  </si>
  <si>
    <t>Jojoba seed</t>
  </si>
  <si>
    <t>Oil, jojoba</t>
  </si>
  <si>
    <t>Safflower seed</t>
  </si>
  <si>
    <t>Oil, safflower</t>
  </si>
  <si>
    <t>Cake, safflower</t>
  </si>
  <si>
    <t>Sesame seed</t>
  </si>
  <si>
    <t>Oil, sesame</t>
  </si>
  <si>
    <t>Sesameseed Oil</t>
  </si>
  <si>
    <t>Cake, sesame seed</t>
  </si>
  <si>
    <t>Sesameseed Cake</t>
  </si>
  <si>
    <t>Mustard seed</t>
  </si>
  <si>
    <t>Oil, mustard</t>
  </si>
  <si>
    <t>Cake, mustard</t>
  </si>
  <si>
    <t>Flour, mustard</t>
  </si>
  <si>
    <t>Poppy seed</t>
  </si>
  <si>
    <t>Oil, poppy</t>
  </si>
  <si>
    <t>Cake, poppy seed</t>
  </si>
  <si>
    <t>Melonseed</t>
  </si>
  <si>
    <t>Tallowtree seed</t>
  </si>
  <si>
    <t>Vegetable tallow</t>
  </si>
  <si>
    <t>Oil, stillingia</t>
  </si>
  <si>
    <t>Kapok fruit</t>
  </si>
  <si>
    <t>Kapokseed in shell</t>
  </si>
  <si>
    <t>Kapokseed shelled</t>
  </si>
  <si>
    <t>Oil, kapok</t>
  </si>
  <si>
    <t>Cake, kapok</t>
  </si>
  <si>
    <t>Cottonseed</t>
  </si>
  <si>
    <t>Oil, cottonseed</t>
  </si>
  <si>
    <t>Cottonseed Oil</t>
  </si>
  <si>
    <t>Cake, cottonseed</t>
  </si>
  <si>
    <t>Cottonseed Cake</t>
  </si>
  <si>
    <t>Linseed</t>
  </si>
  <si>
    <t>Oil, linseed</t>
  </si>
  <si>
    <t>Cake, linseed</t>
  </si>
  <si>
    <t>Hempseed</t>
  </si>
  <si>
    <t>Oil, hempseed</t>
  </si>
  <si>
    <t>Cake, hempseed</t>
  </si>
  <si>
    <t>Oilseeds nes</t>
  </si>
  <si>
    <t>Oil, vegetable origin nes</t>
  </si>
  <si>
    <t>Cake, oilseed nes</t>
  </si>
  <si>
    <t>Flour, oilseeds</t>
  </si>
  <si>
    <t>Cabbages and other brassicas</t>
  </si>
  <si>
    <t>Vegetables, Other</t>
  </si>
  <si>
    <t>Artichokes</t>
  </si>
  <si>
    <t>Asparagus</t>
  </si>
  <si>
    <t>Lettuce and chicory</t>
  </si>
  <si>
    <t>Spinach</t>
  </si>
  <si>
    <t>Cassava leaves</t>
  </si>
  <si>
    <t>Tomatoes</t>
  </si>
  <si>
    <t>Tomatoes and products</t>
  </si>
  <si>
    <t>Juice, tomato, concentrated</t>
  </si>
  <si>
    <t>Juice, tomato</t>
  </si>
  <si>
    <t>Tomatoes, paste</t>
  </si>
  <si>
    <t>Tomatoes, peeled</t>
  </si>
  <si>
    <t>Cauliflowers and broccoli</t>
  </si>
  <si>
    <t>Pumpkins, squash and gourds</t>
  </si>
  <si>
    <t>Cucumbers and gherkins</t>
  </si>
  <si>
    <t>Eggplants (aubergines)</t>
  </si>
  <si>
    <t>Chillies and peppers, green</t>
  </si>
  <si>
    <t>Onions, shallots, green</t>
  </si>
  <si>
    <t>Onions, dry</t>
  </si>
  <si>
    <t>Onions</t>
  </si>
  <si>
    <t>Garlic</t>
  </si>
  <si>
    <t>Leeks, other alliaceous vegetables</t>
  </si>
  <si>
    <t>Beans, green</t>
  </si>
  <si>
    <t>Peas, green</t>
  </si>
  <si>
    <t>Vegetables, leguminous nes</t>
  </si>
  <si>
    <t>String beans</t>
  </si>
  <si>
    <t>Carrots and turnips</t>
  </si>
  <si>
    <t>Okra</t>
  </si>
  <si>
    <t>Maize, green</t>
  </si>
  <si>
    <t>Fodder cereal and grasses</t>
  </si>
  <si>
    <t>Sweet corn frozen</t>
  </si>
  <si>
    <t>Sweet corn prep or preserved</t>
  </si>
  <si>
    <t>Mushrooms and truffles</t>
  </si>
  <si>
    <t>Mushrooms, dried</t>
  </si>
  <si>
    <t>Mushrooms, canned</t>
  </si>
  <si>
    <t>Chicory roots</t>
  </si>
  <si>
    <t>Vegetables, fresh or dried products nes</t>
  </si>
  <si>
    <t>Carobs</t>
  </si>
  <si>
    <t>Vegetables, fresh nes</t>
  </si>
  <si>
    <t>Vegetables, dried nes</t>
  </si>
  <si>
    <t>Vegetables, canned nes</t>
  </si>
  <si>
    <t>Juice, vegetables nes</t>
  </si>
  <si>
    <t>Vegetables, dehydrated</t>
  </si>
  <si>
    <t>Vegetables in vinegar</t>
  </si>
  <si>
    <t>Vegetables, preserved nes</t>
  </si>
  <si>
    <t>Vegetables, frozen</t>
  </si>
  <si>
    <t>Vegetables, temporarily preserved</t>
  </si>
  <si>
    <t>Vegetables, preserved, frozen</t>
  </si>
  <si>
    <t>Vegetables, homogenized preparations</t>
  </si>
  <si>
    <t>Bananas</t>
  </si>
  <si>
    <t>Plantains and others</t>
  </si>
  <si>
    <t>Plantains</t>
  </si>
  <si>
    <t>Oranges</t>
  </si>
  <si>
    <t>Oranges, Mandarines</t>
  </si>
  <si>
    <t>Juice, orange, single strength</t>
  </si>
  <si>
    <t>Juice, orange, concentrated</t>
  </si>
  <si>
    <t>Tangerines, mandarins, clementines, satsumas</t>
  </si>
  <si>
    <t>Juice, tangerine</t>
  </si>
  <si>
    <t>Lemons and limes</t>
  </si>
  <si>
    <t>Lemons, Limes and products</t>
  </si>
  <si>
    <t>Juice, lemon, single strength</t>
  </si>
  <si>
    <t>Juice, lemon, concentrated</t>
  </si>
  <si>
    <t>Grapefruit (inc. pomelos)</t>
  </si>
  <si>
    <t>Grapefruit and products</t>
  </si>
  <si>
    <t>Juice, grapefruit</t>
  </si>
  <si>
    <t>Juice, grapefruit, concentrated</t>
  </si>
  <si>
    <t>Fruit, citrus nes</t>
  </si>
  <si>
    <t>Citrus, Other</t>
  </si>
  <si>
    <t>Juice, citrus, single strength</t>
  </si>
  <si>
    <t>Juice, citrus, concentrated</t>
  </si>
  <si>
    <t>Apples</t>
  </si>
  <si>
    <t>Apples and products</t>
  </si>
  <si>
    <t>Cider etc</t>
  </si>
  <si>
    <t>Juice, apple, single strength</t>
  </si>
  <si>
    <t>Juice, apple, concentrated</t>
  </si>
  <si>
    <t>Pears</t>
  </si>
  <si>
    <t>Fruits, Other</t>
  </si>
  <si>
    <t>Quinces</t>
  </si>
  <si>
    <t>Apricots</t>
  </si>
  <si>
    <t>Apricots, dry</t>
  </si>
  <si>
    <t>Cherries, sour</t>
  </si>
  <si>
    <t>Cherries</t>
  </si>
  <si>
    <t>Peaches and nectarines</t>
  </si>
  <si>
    <t>Plums and sloes</t>
  </si>
  <si>
    <t>Plums dried (prunes)</t>
  </si>
  <si>
    <t>Juice, plum, single strength</t>
  </si>
  <si>
    <t>Juice, plum, concentrated</t>
  </si>
  <si>
    <t>Fruit, stone nes</t>
  </si>
  <si>
    <t>Fruit, pome nes</t>
  </si>
  <si>
    <t>Strawberries</t>
  </si>
  <si>
    <t>Raspberries</t>
  </si>
  <si>
    <t>Gooseberries</t>
  </si>
  <si>
    <t>Currants</t>
  </si>
  <si>
    <t>Blueberries</t>
  </si>
  <si>
    <t>Cranberries</t>
  </si>
  <si>
    <t>Berries nes</t>
  </si>
  <si>
    <t>Grapes</t>
  </si>
  <si>
    <t>Grapes and products (excl wine)</t>
  </si>
  <si>
    <t>Raisins</t>
  </si>
  <si>
    <t>Juice, grape</t>
  </si>
  <si>
    <t>Grapes, must</t>
  </si>
  <si>
    <t>Wine</t>
  </si>
  <si>
    <t>Vermouths &amp; similar</t>
  </si>
  <si>
    <t>Watermelons</t>
  </si>
  <si>
    <t>Melons, other (inc.cantaloupes)</t>
  </si>
  <si>
    <t>Figs</t>
  </si>
  <si>
    <t>Figs dried</t>
  </si>
  <si>
    <t>Mangoes, mangosteens, guavas</t>
  </si>
  <si>
    <t>Avocados</t>
  </si>
  <si>
    <t>Pineapples</t>
  </si>
  <si>
    <t>Pineapples and products</t>
  </si>
  <si>
    <t>Pineapples canned</t>
  </si>
  <si>
    <t>Juice, pineapple</t>
  </si>
  <si>
    <t>Dates</t>
  </si>
  <si>
    <t>Juice, pineapple, concentrated</t>
  </si>
  <si>
    <t>Juice, mango</t>
  </si>
  <si>
    <t>Persimmons</t>
  </si>
  <si>
    <t>Cashewapple</t>
  </si>
  <si>
    <t>Kiwi fruit</t>
  </si>
  <si>
    <t>Papayas</t>
  </si>
  <si>
    <t>Fruit, tropical fresh nes</t>
  </si>
  <si>
    <t>Fruit, tropical dried nes</t>
  </si>
  <si>
    <t>Fruit, fresh nes</t>
  </si>
  <si>
    <t>Fruit, dried nes</t>
  </si>
  <si>
    <t>Juice, fruit nes</t>
  </si>
  <si>
    <t>Fruit, prepared nes</t>
  </si>
  <si>
    <t>Flour, fruit</t>
  </si>
  <si>
    <t>Fruits, nuts, peel, sugar preserved</t>
  </si>
  <si>
    <t>Fruit, cooked, homogenized preparations</t>
  </si>
  <si>
    <t>Feed, pulp of fruit</t>
  </si>
  <si>
    <t>Waters,ice etc</t>
  </si>
  <si>
    <t>Alcohol non food</t>
  </si>
  <si>
    <t>Alcohol, Non-Food</t>
  </si>
  <si>
    <t>Beverages, non alcoholic</t>
  </si>
  <si>
    <t>Beverages, distilled alcoholic</t>
  </si>
  <si>
    <t>Beverages, Alcoholic</t>
  </si>
  <si>
    <t>Straw husks</t>
  </si>
  <si>
    <t>Straw</t>
  </si>
  <si>
    <t>Forage products</t>
  </si>
  <si>
    <t>Fodder vegetables and roots</t>
  </si>
  <si>
    <t>Feed, vegetable products nes</t>
  </si>
  <si>
    <t>Other fodder</t>
  </si>
  <si>
    <t>Food wastes</t>
  </si>
  <si>
    <t>Dregs from brewing, distillation</t>
  </si>
  <si>
    <t>DDGS</t>
  </si>
  <si>
    <t>Coffee, green</t>
  </si>
  <si>
    <t>Coffee and products</t>
  </si>
  <si>
    <t>Coffee, roasted</t>
  </si>
  <si>
    <t>Coffee, substitutes containing coffee</t>
  </si>
  <si>
    <t>Coffee, extracts</t>
  </si>
  <si>
    <t>Coffee, husks and skins</t>
  </si>
  <si>
    <t>Cocoa, beans</t>
  </si>
  <si>
    <t>Cocoa Beans and products</t>
  </si>
  <si>
    <t>Cocoa, paste</t>
  </si>
  <si>
    <t>Cocoa, butter</t>
  </si>
  <si>
    <t>Cocoa, powder &amp; cake</t>
  </si>
  <si>
    <t>Chocolate products nes</t>
  </si>
  <si>
    <t>Tea</t>
  </si>
  <si>
    <t>Tea (including mate)</t>
  </si>
  <si>
    <t>Maté</t>
  </si>
  <si>
    <t>Tea, mate extracts</t>
  </si>
  <si>
    <t>Hops</t>
  </si>
  <si>
    <t>Pepper (piper spp.)</t>
  </si>
  <si>
    <t>Pepper</t>
  </si>
  <si>
    <t>Chillies and peppers, dry</t>
  </si>
  <si>
    <t>Pimento</t>
  </si>
  <si>
    <t>Vanilla</t>
  </si>
  <si>
    <t>Spices, Other</t>
  </si>
  <si>
    <t>Cinnamon (cannella)</t>
  </si>
  <si>
    <t>Cloves</t>
  </si>
  <si>
    <t>Nutmeg, mace and cardamoms</t>
  </si>
  <si>
    <t>Anise, badian, fennel, coriander</t>
  </si>
  <si>
    <t>Ginger</t>
  </si>
  <si>
    <t>Spices nes</t>
  </si>
  <si>
    <t>Oil, citronella</t>
  </si>
  <si>
    <t>Peppermint</t>
  </si>
  <si>
    <t>Oil, essential nes</t>
  </si>
  <si>
    <t>Pyrethrum, dried</t>
  </si>
  <si>
    <t>Pyrethrum, extraction</t>
  </si>
  <si>
    <t>Cotton lint</t>
  </si>
  <si>
    <t>Cotton, carded, combed</t>
  </si>
  <si>
    <t>Cotton waste</t>
  </si>
  <si>
    <t>Cotton linter</t>
  </si>
  <si>
    <t>Flax fibre raw</t>
  </si>
  <si>
    <t>Soft-Fibres, Other</t>
  </si>
  <si>
    <t>Flax fibre and tow</t>
  </si>
  <si>
    <t>Flax tow waste</t>
  </si>
  <si>
    <t>Hemp tow waste</t>
  </si>
  <si>
    <t>Kapok fibre</t>
  </si>
  <si>
    <t>Jute</t>
  </si>
  <si>
    <t>Bastfibres, other</t>
  </si>
  <si>
    <t>Jute-Like Fibres</t>
  </si>
  <si>
    <t>Ramie</t>
  </si>
  <si>
    <t>Sisal</t>
  </si>
  <si>
    <t>Agave fibres nes</t>
  </si>
  <si>
    <t>Hard Fibres, Other</t>
  </si>
  <si>
    <t>Manila fibre (abaca)</t>
  </si>
  <si>
    <t>Abaca</t>
  </si>
  <si>
    <t>Coir</t>
  </si>
  <si>
    <t>Fibre crops nes</t>
  </si>
  <si>
    <t>Tobacco, unmanufactured</t>
  </si>
  <si>
    <t>Tobacco</t>
  </si>
  <si>
    <t>Cigarettes</t>
  </si>
  <si>
    <t>Cigars, cheroots</t>
  </si>
  <si>
    <t>Tobacco products nes</t>
  </si>
  <si>
    <t>Rubber, natural</t>
  </si>
  <si>
    <t>Rubber</t>
  </si>
  <si>
    <t>Rubber natural dry</t>
  </si>
  <si>
    <t>Pet food</t>
  </si>
  <si>
    <t>Feed and meal, gluten</t>
  </si>
  <si>
    <t>Alfalfa meal and pellets</t>
  </si>
  <si>
    <t>Fodder legumes</t>
  </si>
  <si>
    <t>Meat, cattle, boneless (beef &amp; veal)</t>
  </si>
  <si>
    <t>Fat, cattle butcher</t>
  </si>
  <si>
    <t>Meat, beef, dried, salted, smoked</t>
  </si>
  <si>
    <t>Meat, extracts</t>
  </si>
  <si>
    <t>Meat, beef and veal sausages</t>
  </si>
  <si>
    <t>Meat, beef, preparations</t>
  </si>
  <si>
    <t>Meat, beef, canned</t>
  </si>
  <si>
    <t>Meat, homogenized preparations</t>
  </si>
  <si>
    <t>Liver prep.</t>
  </si>
  <si>
    <t>Cream fresh</t>
  </si>
  <si>
    <t>Butter, cow milk</t>
  </si>
  <si>
    <t>Butter, Ghee</t>
  </si>
  <si>
    <t>Ghee, butteroil of cow milk</t>
  </si>
  <si>
    <t>Milk, skimmed cow</t>
  </si>
  <si>
    <t>Milk, whole condensed</t>
  </si>
  <si>
    <t>Whey, condensed</t>
  </si>
  <si>
    <t>Yoghurt</t>
  </si>
  <si>
    <t>Yoghurt, concentrated or not</t>
  </si>
  <si>
    <t>Buttermilk, curdled, acidified milk</t>
  </si>
  <si>
    <t>Milk, whole evaporated</t>
  </si>
  <si>
    <t>Milk, skimmed evaporated</t>
  </si>
  <si>
    <t>Milk, skimmed condensed</t>
  </si>
  <si>
    <t>Milk, whole dried</t>
  </si>
  <si>
    <t>Milk, skimmed dried</t>
  </si>
  <si>
    <t>Milk, dry buttermilk</t>
  </si>
  <si>
    <t>Whey, dry</t>
  </si>
  <si>
    <t>Cheese, whole cow milk</t>
  </si>
  <si>
    <t>Whey, fresh</t>
  </si>
  <si>
    <t>Cheese, skimmed cow milk</t>
  </si>
  <si>
    <t>Whey, cheese</t>
  </si>
  <si>
    <t>Cheese, processed</t>
  </si>
  <si>
    <t>Milk, reconstituted</t>
  </si>
  <si>
    <t>Milk, products of natural constituents nes</t>
  </si>
  <si>
    <t>Ice cream and edible ice</t>
  </si>
  <si>
    <t>Egg albumine</t>
  </si>
  <si>
    <t>Casein</t>
  </si>
  <si>
    <t>Hides, cattle, fresh</t>
  </si>
  <si>
    <t>Skins, calve, wet salted</t>
  </si>
  <si>
    <t>Meat, buffalo</t>
  </si>
  <si>
    <t>Offals, edible, buffaloes</t>
  </si>
  <si>
    <t>Fat, buffaloes</t>
  </si>
  <si>
    <t>Milk, whole fresh buffalo</t>
  </si>
  <si>
    <t>Butter, buffalo milk</t>
  </si>
  <si>
    <t>Ghee, buffalo milk</t>
  </si>
  <si>
    <t>Milk, skimmed buffalo</t>
  </si>
  <si>
    <t>Cheese, buffalo milk</t>
  </si>
  <si>
    <t>Hides, buffalo, fresh</t>
  </si>
  <si>
    <t>Hides, buffalo, wet salted</t>
  </si>
  <si>
    <t>Hides, buffalo, dry salted</t>
  </si>
  <si>
    <t>Fat, sheep</t>
  </si>
  <si>
    <t>Butter and ghee, sheep milk</t>
  </si>
  <si>
    <t>Cheese, sheep milk</t>
  </si>
  <si>
    <t>Milk, skimmed sheep</t>
  </si>
  <si>
    <t>Wool, degreased</t>
  </si>
  <si>
    <t>Grease incl. lanolin wool</t>
  </si>
  <si>
    <t>Skins, sheep, fresh</t>
  </si>
  <si>
    <t>Skins, sheep, wet salted</t>
  </si>
  <si>
    <t>Skins, sheep, with wool</t>
  </si>
  <si>
    <t>Wool, hair waste</t>
  </si>
  <si>
    <t>Offals, edible, goats</t>
  </si>
  <si>
    <t>Cheese, goat milk</t>
  </si>
  <si>
    <t>Butter, goat milk</t>
  </si>
  <si>
    <t>Milk, skimmed goat</t>
  </si>
  <si>
    <t>Skins, goat, fresh</t>
  </si>
  <si>
    <t>Meat, pork</t>
  </si>
  <si>
    <t>Bacon and ham</t>
  </si>
  <si>
    <t>Meat, pig sausages</t>
  </si>
  <si>
    <t>Meat, pig, preparations</t>
  </si>
  <si>
    <t>Lard</t>
  </si>
  <si>
    <t>Chickens</t>
  </si>
  <si>
    <t>Offals, liver chicken</t>
  </si>
  <si>
    <t>Fat, liver prepared (foie gras)</t>
  </si>
  <si>
    <t>Meat, chicken, canned</t>
  </si>
  <si>
    <t>Eggs, liquid</t>
  </si>
  <si>
    <t>Eggs, dried</t>
  </si>
  <si>
    <t>Fat, poultry</t>
  </si>
  <si>
    <t>Fat, poultry, rendered</t>
  </si>
  <si>
    <t>Meat, goose and guinea fowl</t>
  </si>
  <si>
    <t>Offals, liver geese</t>
  </si>
  <si>
    <t>Offals, liver duck</t>
  </si>
  <si>
    <t>Offals, liver turkeys</t>
  </si>
  <si>
    <t>Pigeons, other birds</t>
  </si>
  <si>
    <t>Meat, bird nes</t>
  </si>
  <si>
    <t>Offals, horses</t>
  </si>
  <si>
    <t>Hides, horse, wet salted</t>
  </si>
  <si>
    <t>Meat, camel</t>
  </si>
  <si>
    <t>Offals, edible, camels</t>
  </si>
  <si>
    <t>Fat, camels</t>
  </si>
  <si>
    <t>Milk, whole fresh camel</t>
  </si>
  <si>
    <t>Hides, camel, wet salted</t>
  </si>
  <si>
    <t>Hides, camel nes</t>
  </si>
  <si>
    <t>Meat, other rodents</t>
  </si>
  <si>
    <t>Meat, camel nes</t>
  </si>
  <si>
    <t>Offals, other camelids</t>
  </si>
  <si>
    <t>Fat, other camelids</t>
  </si>
  <si>
    <t>Meat, dried nes</t>
  </si>
  <si>
    <t>Offals nes</t>
  </si>
  <si>
    <t>Oils, fats of animal nes</t>
  </si>
  <si>
    <t>Meat nes, preparations</t>
  </si>
  <si>
    <t>Meal, meat</t>
  </si>
  <si>
    <t>Meat Meal</t>
  </si>
  <si>
    <t>Meal, blood</t>
  </si>
  <si>
    <t>Snails, not sea</t>
  </si>
  <si>
    <t>Beehives</t>
  </si>
  <si>
    <t>Silk, raw</t>
  </si>
  <si>
    <t>Cocoons, unreelable &amp; waste</t>
  </si>
  <si>
    <t>Hides and skins nes, fresh</t>
  </si>
  <si>
    <t>Hair, fine</t>
  </si>
  <si>
    <t>Lard stearine oil</t>
  </si>
  <si>
    <t>Degras</t>
  </si>
  <si>
    <t>Food prep nes</t>
  </si>
  <si>
    <t>Margarine, liquid</t>
  </si>
  <si>
    <t>Margarine, short</t>
  </si>
  <si>
    <t>Fat nes, prepared</t>
  </si>
  <si>
    <t>Castor oil, hydrogenated (opal wax)</t>
  </si>
  <si>
    <t>Oil, boiled etc</t>
  </si>
  <si>
    <t>Oil, hydrogenated</t>
  </si>
  <si>
    <t>Fatty acids</t>
  </si>
  <si>
    <t>Fatty substance residues</t>
  </si>
  <si>
    <t>Crude materials</t>
  </si>
  <si>
    <t>Waxes vegetable</t>
  </si>
  <si>
    <t>Marine Fish, Other</t>
  </si>
  <si>
    <t>Cephlp Fresh</t>
  </si>
  <si>
    <t>Cephalopods</t>
  </si>
  <si>
    <t>Cphlp Frozen</t>
  </si>
  <si>
    <t>Aqutc anim</t>
  </si>
  <si>
    <t>Aq A Cured</t>
  </si>
  <si>
    <t>Aquatic Animal Meals</t>
  </si>
  <si>
    <t>Aq A Prep Ns</t>
  </si>
  <si>
    <t>Aquatic plants, fresh</t>
  </si>
  <si>
    <t>Aquatic Plants</t>
  </si>
  <si>
    <t>Aquatic plants, dried</t>
  </si>
  <si>
    <t>Aquatic plants, other preparations</t>
  </si>
  <si>
    <t>Cheese (All Kinds)</t>
  </si>
  <si>
    <t>Butter and ghee</t>
  </si>
  <si>
    <t>Fodder and Feeding Stuff</t>
  </si>
  <si>
    <t>Beverages</t>
  </si>
  <si>
    <t>Natural Rubber</t>
  </si>
  <si>
    <t>Alcoholic beverages</t>
  </si>
  <si>
    <t>Animal Fats and Oils (excl. Butter)</t>
  </si>
  <si>
    <t>Fish meal</t>
  </si>
  <si>
    <t>ProcessedItem</t>
  </si>
  <si>
    <t>proc_item_code</t>
  </si>
  <si>
    <t>Product_fraction</t>
  </si>
  <si>
    <t>Value_fraction</t>
  </si>
  <si>
    <t>Required</t>
  </si>
  <si>
    <t>DDGS Barley</t>
  </si>
  <si>
    <t>Soy hulls</t>
  </si>
  <si>
    <t>Brans</t>
  </si>
  <si>
    <t>Flour</t>
  </si>
  <si>
    <t>Hemp</t>
  </si>
  <si>
    <t>Linum</t>
  </si>
  <si>
    <t>Seed cotton</t>
  </si>
  <si>
    <t>Oil, palm fruit</t>
  </si>
  <si>
    <t>Rice (Paddy Equivalent)</t>
  </si>
  <si>
    <t>Ethanol</t>
  </si>
  <si>
    <t>item_prod</t>
  </si>
  <si>
    <t>item_code_prod</t>
  </si>
  <si>
    <t>item_cbs</t>
  </si>
  <si>
    <t>item_code_cbs</t>
  </si>
  <si>
    <t>group</t>
  </si>
  <si>
    <t>Live_anim</t>
  </si>
  <si>
    <t>Live_anim_code</t>
  </si>
  <si>
    <t>Cat_Krausmann</t>
  </si>
  <si>
    <t>Name_Eurostat</t>
  </si>
  <si>
    <t>Name</t>
  </si>
  <si>
    <t>Cat_Origin</t>
  </si>
  <si>
    <t>Cat_Use</t>
  </si>
  <si>
    <t>Order</t>
  </si>
  <si>
    <t>Categ</t>
  </si>
  <si>
    <t>Primary crops</t>
  </si>
  <si>
    <t>Wheat, other cereals</t>
  </si>
  <si>
    <t>Cereals</t>
  </si>
  <si>
    <t>Grains</t>
  </si>
  <si>
    <t>COP</t>
  </si>
  <si>
    <t>Rice</t>
  </si>
  <si>
    <t>Rice, Paddy</t>
  </si>
  <si>
    <t>Beer of barley, malted</t>
  </si>
  <si>
    <t>Crop products</t>
  </si>
  <si>
    <t/>
  </si>
  <si>
    <t>Maize (corn)</t>
  </si>
  <si>
    <t>Oil of maize</t>
  </si>
  <si>
    <t>Maize germ oil</t>
  </si>
  <si>
    <t>Cereals_nes</t>
  </si>
  <si>
    <t>Roots, other</t>
  </si>
  <si>
    <t>Roots_nes</t>
  </si>
  <si>
    <t>Vegetables</t>
  </si>
  <si>
    <t>Canary grass</t>
  </si>
  <si>
    <t>Mixed grain</t>
  </si>
  <si>
    <t>Cereals n.e.c.</t>
  </si>
  <si>
    <t>Roots and Tubers</t>
  </si>
  <si>
    <t>Potato</t>
  </si>
  <si>
    <t>Vegetables and Fruits</t>
  </si>
  <si>
    <t>Roots and tubers</t>
  </si>
  <si>
    <t>Other_crops</t>
  </si>
  <si>
    <t>Sweet potato</t>
  </si>
  <si>
    <t>Cassava, fresh</t>
  </si>
  <si>
    <t>Yautia</t>
  </si>
  <si>
    <t>Taro</t>
  </si>
  <si>
    <t>Edible roots and tubers with high starch or inulin content, n.e.c., fresh</t>
  </si>
  <si>
    <t>Sugar Cane</t>
  </si>
  <si>
    <t>Sugarcane</t>
  </si>
  <si>
    <t>Sugar_cane</t>
  </si>
  <si>
    <t>Sugar Crops Primary</t>
  </si>
  <si>
    <t>Sugar and Stimulants</t>
  </si>
  <si>
    <t>Beverages, sugar and stimulants</t>
  </si>
  <si>
    <t>Sugar crops</t>
  </si>
  <si>
    <t>Sugar Beets</t>
  </si>
  <si>
    <t>Sugar_beet</t>
  </si>
  <si>
    <t>Other sugar crops n.e.c.</t>
  </si>
  <si>
    <t>Raw cane or beet sugar (centrifugal only)</t>
  </si>
  <si>
    <t>White sugar</t>
  </si>
  <si>
    <t>Sugarcane molasses</t>
  </si>
  <si>
    <t>Beans, Dry</t>
  </si>
  <si>
    <t>Beans_dry</t>
  </si>
  <si>
    <t>Pulses</t>
  </si>
  <si>
    <t>Broad beans and horse beans, dry</t>
  </si>
  <si>
    <t>Fava bean</t>
  </si>
  <si>
    <t>Fava_beans</t>
  </si>
  <si>
    <t>Pea</t>
  </si>
  <si>
    <t>Chick peas, dry</t>
  </si>
  <si>
    <t>Chickpea</t>
  </si>
  <si>
    <t>Chickpeas</t>
  </si>
  <si>
    <t>Pulses_nes</t>
  </si>
  <si>
    <t>Pigeon peas, dry</t>
  </si>
  <si>
    <t>Lentils, dry</t>
  </si>
  <si>
    <t>Bambara beans, dry</t>
  </si>
  <si>
    <t>Vetch</t>
  </si>
  <si>
    <t>Lupin</t>
  </si>
  <si>
    <t>Other pulses n.e.c.</t>
  </si>
  <si>
    <t>Brazil nuts, in shell</t>
  </si>
  <si>
    <t>Permanent crops</t>
  </si>
  <si>
    <t>Nuts_nes</t>
  </si>
  <si>
    <t>Treenuts</t>
  </si>
  <si>
    <t>Fruits</t>
  </si>
  <si>
    <t>Cashew nuts, in shell</t>
  </si>
  <si>
    <t>Chestnuts, in shell</t>
  </si>
  <si>
    <t>Almonds, in shell</t>
  </si>
  <si>
    <t>Almonds</t>
  </si>
  <si>
    <t>Olive</t>
  </si>
  <si>
    <t>Walnuts, in shell</t>
  </si>
  <si>
    <t>Walnut</t>
  </si>
  <si>
    <t>Walnuts</t>
  </si>
  <si>
    <t>Pistachios, in shell</t>
  </si>
  <si>
    <t>Hazelnuts, in shell</t>
  </si>
  <si>
    <t>Hazelnuts</t>
  </si>
  <si>
    <t>Other nuts (excluding wild edible nuts and groundnuts), in shell, n.e.c.</t>
  </si>
  <si>
    <t>Soya beans</t>
  </si>
  <si>
    <t>Oil_Crops_extensive</t>
  </si>
  <si>
    <t>Oil Crops</t>
  </si>
  <si>
    <t>Oils and Fats</t>
  </si>
  <si>
    <t>Oil crops</t>
  </si>
  <si>
    <t>Soya bean oil</t>
  </si>
  <si>
    <t>Soyabean oil</t>
  </si>
  <si>
    <t>Groundnuts, excluding shelled</t>
  </si>
  <si>
    <t>Groundnuts in Shell</t>
  </si>
  <si>
    <t>Groundnut oil</t>
  </si>
  <si>
    <t>Peanut oil</t>
  </si>
  <si>
    <t>Coconut</t>
  </si>
  <si>
    <t>Woody_other</t>
  </si>
  <si>
    <t>Oil_Crops_fruits</t>
  </si>
  <si>
    <t>Coconuts, in shell</t>
  </si>
  <si>
    <t>Coconut oil</t>
  </si>
  <si>
    <t>Oil palm</t>
  </si>
  <si>
    <t>Oil_Crops_palm</t>
  </si>
  <si>
    <t>Palm oil</t>
  </si>
  <si>
    <t>Oil of palm kernel</t>
  </si>
  <si>
    <t>Oil_Crops_olives</t>
  </si>
  <si>
    <t>Olive oil</t>
  </si>
  <si>
    <t>Rapeseed, oil crops</t>
  </si>
  <si>
    <t>Castor oil seeds</t>
  </si>
  <si>
    <t>Castor Beans</t>
  </si>
  <si>
    <t>Oilcrops, other</t>
  </si>
  <si>
    <t>Sunflowerseed</t>
  </si>
  <si>
    <t>Sunflower Seed</t>
  </si>
  <si>
    <t>Sunflower-seed oil, crude</t>
  </si>
  <si>
    <t>Sunflowerseed oil</t>
  </si>
  <si>
    <t>Rape or colza seed</t>
  </si>
  <si>
    <t>Rape</t>
  </si>
  <si>
    <t>Rapeseed or canola oil, crude</t>
  </si>
  <si>
    <t>Oilcrops oil, other</t>
  </si>
  <si>
    <t>Jojoba seeds</t>
  </si>
  <si>
    <t>Safflower</t>
  </si>
  <si>
    <t>Safflowerseed</t>
  </si>
  <si>
    <t>Safflower-seed oil, crude</t>
  </si>
  <si>
    <t>Oil of sesame seed</t>
  </si>
  <si>
    <t>Mustard</t>
  </si>
  <si>
    <t>Poppy seeds</t>
  </si>
  <si>
    <t>Other food nes</t>
  </si>
  <si>
    <t>Stimulants, spices</t>
  </si>
  <si>
    <t>Fruits_nes</t>
  </si>
  <si>
    <t>Seed cotton, unginned</t>
  </si>
  <si>
    <t>Seed_cotton</t>
  </si>
  <si>
    <t>Cotton seed</t>
  </si>
  <si>
    <t>Cottonseed oil</t>
  </si>
  <si>
    <t>Oil of linseed</t>
  </si>
  <si>
    <t>Hemp seed</t>
  </si>
  <si>
    <t>Other oil seeds, n.e.c.</t>
  </si>
  <si>
    <t>Cabbages</t>
  </si>
  <si>
    <t>Cabbage, Broccoli</t>
  </si>
  <si>
    <t>Vegetables Primary</t>
  </si>
  <si>
    <t>Artichoke</t>
  </si>
  <si>
    <t>Lettuce</t>
  </si>
  <si>
    <t>Lettuce_chicory</t>
  </si>
  <si>
    <t>Vegetables, other</t>
  </si>
  <si>
    <t>Vegetables_nes</t>
  </si>
  <si>
    <t>Fodder crops</t>
  </si>
  <si>
    <t>Tomato</t>
  </si>
  <si>
    <t>Cauliflower</t>
  </si>
  <si>
    <t>Caulifowers_broccoli</t>
  </si>
  <si>
    <t>Squash, pumpkin</t>
  </si>
  <si>
    <t>Pumpkins</t>
  </si>
  <si>
    <t>Cucumber</t>
  </si>
  <si>
    <t>Cucumbers</t>
  </si>
  <si>
    <t>Aubergine</t>
  </si>
  <si>
    <t>Aubergines</t>
  </si>
  <si>
    <t>Chillies and peppers, green (Capsicum spp. and Pimenta spp.)</t>
  </si>
  <si>
    <t>Peppers_green</t>
  </si>
  <si>
    <t>Onions and shallots, green</t>
  </si>
  <si>
    <t>Onion</t>
  </si>
  <si>
    <t>Onions and shallots, dry (excluding dehydrated)</t>
  </si>
  <si>
    <t>Green garlic</t>
  </si>
  <si>
    <t>Leeks and other alliaceous vegetables</t>
  </si>
  <si>
    <t>Leek</t>
  </si>
  <si>
    <t>Leeks</t>
  </si>
  <si>
    <t>Other beans, green</t>
  </si>
  <si>
    <t>Beans_green</t>
  </si>
  <si>
    <t>Pea, green, with pod</t>
  </si>
  <si>
    <t>Peas_green</t>
  </si>
  <si>
    <t>Broad beans and horse beans, green</t>
  </si>
  <si>
    <t>Carrot</t>
  </si>
  <si>
    <t>Carrots_turnips</t>
  </si>
  <si>
    <t>Green corn (maize)</t>
  </si>
  <si>
    <t>Mushrooms</t>
  </si>
  <si>
    <t>Locust beans (carobs)</t>
  </si>
  <si>
    <t>Carob</t>
  </si>
  <si>
    <t>Berries</t>
  </si>
  <si>
    <t>Fruit Primary</t>
  </si>
  <si>
    <t>Other vegetables, fresh n.e.c.</t>
  </si>
  <si>
    <t>Bananas, platains</t>
  </si>
  <si>
    <t>Fruit_tree</t>
  </si>
  <si>
    <t>Plantains and cooking bananas</t>
  </si>
  <si>
    <t>Orange</t>
  </si>
  <si>
    <t>Tangerines, mandarins, clementines</t>
  </si>
  <si>
    <t>Mandarin</t>
  </si>
  <si>
    <t>Tangerines</t>
  </si>
  <si>
    <t>Lemon</t>
  </si>
  <si>
    <t>Lemons_limes</t>
  </si>
  <si>
    <t>Pomelos and grapefruits</t>
  </si>
  <si>
    <t>Grapefruit</t>
  </si>
  <si>
    <t>Citrus_nes</t>
  </si>
  <si>
    <t>Other citrus fruit, n.e.c.</t>
  </si>
  <si>
    <t>Citrus</t>
  </si>
  <si>
    <t>Apple</t>
  </si>
  <si>
    <t>Pear</t>
  </si>
  <si>
    <t>Quince</t>
  </si>
  <si>
    <t>Apricot</t>
  </si>
  <si>
    <t>Sour cherries</t>
  </si>
  <si>
    <t>Cherry</t>
  </si>
  <si>
    <t>Peach</t>
  </si>
  <si>
    <t>Peaches_nectarines</t>
  </si>
  <si>
    <t>Plum</t>
  </si>
  <si>
    <t>Plums</t>
  </si>
  <si>
    <t>Other stone fruits</t>
  </si>
  <si>
    <t>Other pome fruits</t>
  </si>
  <si>
    <t>Strawberry</t>
  </si>
  <si>
    <t>Other berries and fruits of the genus vaccinium n.e.c.</t>
  </si>
  <si>
    <t>Grapevine</t>
  </si>
  <si>
    <t>Watermelon</t>
  </si>
  <si>
    <t>Cantaloupes and other melons</t>
  </si>
  <si>
    <t>Melon</t>
  </si>
  <si>
    <t>Melons</t>
  </si>
  <si>
    <t>Mangoes, guavas and mangosteens</t>
  </si>
  <si>
    <t>Avocado</t>
  </si>
  <si>
    <t>Pineapple</t>
  </si>
  <si>
    <t>Persimmon</t>
  </si>
  <si>
    <t>Kiwifruit</t>
  </si>
  <si>
    <t>Papaya</t>
  </si>
  <si>
    <t>Other tropical fruits, n.e.c.</t>
  </si>
  <si>
    <t>Other fruits, n.e.c.</t>
  </si>
  <si>
    <t>Forage and silage, maize</t>
  </si>
  <si>
    <t>Green maize</t>
  </si>
  <si>
    <t>Maize_green</t>
  </si>
  <si>
    <t>Forage and silage, sorghum</t>
  </si>
  <si>
    <t>Sorghum, green</t>
  </si>
  <si>
    <t>Other plants harvested green from arable land</t>
  </si>
  <si>
    <t>Sorghum_green</t>
  </si>
  <si>
    <t>Forage and silage, rye grass</t>
  </si>
  <si>
    <t>Ryegrass</t>
  </si>
  <si>
    <t>Grasses_fodder</t>
  </si>
  <si>
    <t>Forage and silage, grasses nes</t>
  </si>
  <si>
    <t>Other true grasses for fodder</t>
  </si>
  <si>
    <t>Forage and silage, clover</t>
  </si>
  <si>
    <t>Clover</t>
  </si>
  <si>
    <t>Other leguminous plants harvested green n.e.c.</t>
  </si>
  <si>
    <t>Forage and silage, alfalfa</t>
  </si>
  <si>
    <t>Alfalfa</t>
  </si>
  <si>
    <t>Forage and silage, green oilseeds</t>
  </si>
  <si>
    <t>Fodder, other</t>
  </si>
  <si>
    <t>Fodder_other</t>
  </si>
  <si>
    <t>Forage and silage, legumes</t>
  </si>
  <si>
    <t>Other legumes for green fodder</t>
  </si>
  <si>
    <t>Legumes_fodder</t>
  </si>
  <si>
    <t>Cabbage for fodder</t>
  </si>
  <si>
    <t>Fodder cabbage</t>
  </si>
  <si>
    <t>Cabbage_fodder</t>
  </si>
  <si>
    <t>Mixed Grasses and Legumes</t>
  </si>
  <si>
    <t>Fodder mix</t>
  </si>
  <si>
    <t>Cereal-legume mixture</t>
  </si>
  <si>
    <t>Mixed_swards</t>
  </si>
  <si>
    <t>Turnips for fodder</t>
  </si>
  <si>
    <t>Turnip, for fodder</t>
  </si>
  <si>
    <t>Other root crops n.e.c.</t>
  </si>
  <si>
    <t>Turnip_fodder</t>
  </si>
  <si>
    <t>Beets for fodder</t>
  </si>
  <si>
    <t>Fodder beet</t>
  </si>
  <si>
    <t>Beet_fodder</t>
  </si>
  <si>
    <t>Carrots for fodder</t>
  </si>
  <si>
    <t>Carrot, for fodder</t>
  </si>
  <si>
    <t>Carrot_fodder</t>
  </si>
  <si>
    <t>Swedes for fodder</t>
  </si>
  <si>
    <t>Other roots and tubers for fodder</t>
  </si>
  <si>
    <t>Vegetables and roots fodder</t>
  </si>
  <si>
    <t>Coffee</t>
  </si>
  <si>
    <t>Coffee_Cocoa_Tea</t>
  </si>
  <si>
    <t>Coffee &amp; Cocoa</t>
  </si>
  <si>
    <t>Cocoa beans</t>
  </si>
  <si>
    <t>Tea leaves</t>
  </si>
  <si>
    <t>Mate leaves</t>
  </si>
  <si>
    <t>Tea nes</t>
  </si>
  <si>
    <t>Hop cones</t>
  </si>
  <si>
    <t>Hop</t>
  </si>
  <si>
    <t>Pepper (Piper spp.), raw</t>
  </si>
  <si>
    <t>Spices</t>
  </si>
  <si>
    <t>Chillies and peppers, dry (Capsicum spp., Pimenta spp.), raw</t>
  </si>
  <si>
    <t>Chili pepper and peppers, dry</t>
  </si>
  <si>
    <t>Peppers_dry</t>
  </si>
  <si>
    <t>Vanilla, raw</t>
  </si>
  <si>
    <t>Cinnamon and cinnamon-tree flowers, raw</t>
  </si>
  <si>
    <t>Cloves (whole stems), raw</t>
  </si>
  <si>
    <t>Nutmeg, mace, cardamoms, raw</t>
  </si>
  <si>
    <t>Anise, badian, coriander, cumin, caraway, fennel and juniper berries, raw</t>
  </si>
  <si>
    <t>Ginger, raw</t>
  </si>
  <si>
    <t>Other stimulant, spice and aromatic crops, n.e.c.</t>
  </si>
  <si>
    <t>Peppermint, spearmint</t>
  </si>
  <si>
    <t>Pyrethrum, dried flowers</t>
  </si>
  <si>
    <t>Cotton lint, ginned</t>
  </si>
  <si>
    <t>Cotton fiber</t>
  </si>
  <si>
    <t>Cotton_lint</t>
  </si>
  <si>
    <t>Fibre Crops Primary</t>
  </si>
  <si>
    <t>Textile fibres</t>
  </si>
  <si>
    <t>Fibres and Crude Materials</t>
  </si>
  <si>
    <t>Fibres and crude materials</t>
  </si>
  <si>
    <t>Fibres</t>
  </si>
  <si>
    <t>Fibres, other</t>
  </si>
  <si>
    <t>Fibres_nes</t>
  </si>
  <si>
    <t>Flax, processed but not spun</t>
  </si>
  <si>
    <t>True hemp, raw or retted</t>
  </si>
  <si>
    <t>Kapok fibre, raw</t>
  </si>
  <si>
    <t>Jute, raw or retted</t>
  </si>
  <si>
    <t>Kenaf, and other textile bast fibres, raw or retted</t>
  </si>
  <si>
    <t>Ramie, raw or retted</t>
  </si>
  <si>
    <t>Sisal, raw</t>
  </si>
  <si>
    <t>Agave fibres, raw, n.e.c.</t>
  </si>
  <si>
    <t>Abaca, manila hemp, raw</t>
  </si>
  <si>
    <t>Coir, raw</t>
  </si>
  <si>
    <t>Other fibre crops, raw, n.e.c.</t>
  </si>
  <si>
    <t>Unmanufactured tobacco</t>
  </si>
  <si>
    <t>Natural rubber in primary forms</t>
  </si>
  <si>
    <t>Livestock products</t>
  </si>
  <si>
    <t>Edible offal of cattle, fresh, chilled or frozen</t>
  </si>
  <si>
    <t>Cream, fresh</t>
  </si>
  <si>
    <t>Butter of cow milk</t>
  </si>
  <si>
    <t>Ghee from cow milk</t>
  </si>
  <si>
    <t>Skim milk of cows</t>
  </si>
  <si>
    <t>Whole milk, condensed</t>
  </si>
  <si>
    <t>Whey</t>
  </si>
  <si>
    <t>Whole milk, evaporated</t>
  </si>
  <si>
    <t>Skim milk, evaporated</t>
  </si>
  <si>
    <t>Skim milk, condensed</t>
  </si>
  <si>
    <t>Whole milk powder</t>
  </si>
  <si>
    <t>Skim milk and whey powder</t>
  </si>
  <si>
    <t>Buttermilk, dry</t>
  </si>
  <si>
    <t>Cheese from whole cow milk</t>
  </si>
  <si>
    <t>Cheese from skimmed cow milk</t>
  </si>
  <si>
    <t>Meat of buffalo, fresh or chilled</t>
  </si>
  <si>
    <t>Edible offal of buffalo, fresh, chilled or frozen</t>
  </si>
  <si>
    <t>Buffalo fat, unrendered</t>
  </si>
  <si>
    <t>Raw milk of buffalo</t>
  </si>
  <si>
    <t>Butter of buffalo milk</t>
  </si>
  <si>
    <t>Ghee from buffalo milk</t>
  </si>
  <si>
    <t>Cheese from milk of buffalo, fresh or processed</t>
  </si>
  <si>
    <t>Raw hides and skins of buffaloes</t>
  </si>
  <si>
    <t>Edible offal of sheep, fresh, chilled or frozen</t>
  </si>
  <si>
    <t>Butter and ghee of sheep milk</t>
  </si>
  <si>
    <t>Cheese from milk of sheep, fresh or processed</t>
  </si>
  <si>
    <t>Raw hides and skins of sheep or lambs</t>
  </si>
  <si>
    <t>Temporary grassland</t>
  </si>
  <si>
    <t>Grass</t>
  </si>
  <si>
    <t>Temporary grasses and grazings</t>
  </si>
  <si>
    <t>Temporary_grassland</t>
  </si>
  <si>
    <t>Edible offal of goat, fresh, chilled or frozen</t>
  </si>
  <si>
    <t>Goat fat, unrendered</t>
  </si>
  <si>
    <t>Cheese from milk of goats, fresh or processed</t>
  </si>
  <si>
    <t>Butter of goat milk</t>
  </si>
  <si>
    <t>Edible offal of pigs, fresh, chilled or frozen</t>
  </si>
  <si>
    <t>Pig fat, rendered</t>
  </si>
  <si>
    <t>Pork lard</t>
  </si>
  <si>
    <t>Meat of geese, fresh or chilled</t>
  </si>
  <si>
    <t>Meat of turkeys, fresh or chilled</t>
  </si>
  <si>
    <t>Turkey, boneless, skinless</t>
  </si>
  <si>
    <t>Meat of pigeons and other birds n.e.c., fresh, chilled or frozen</t>
  </si>
  <si>
    <t>Horse meat, fresh or chilled</t>
  </si>
  <si>
    <t>Horse meat</t>
  </si>
  <si>
    <t>Edible offals of horses and other equines,  fresh, chilled or frozen</t>
  </si>
  <si>
    <t>Meat of asses, fresh or chilled</t>
  </si>
  <si>
    <t>Meat of mules, fresh or chilled</t>
  </si>
  <si>
    <t>Meat of camels, fresh or chilled</t>
  </si>
  <si>
    <t>Edible offals of camels and other camelids, fresh, chilled or frozen</t>
  </si>
  <si>
    <t>Fat of camels</t>
  </si>
  <si>
    <t>Raw milk of camel</t>
  </si>
  <si>
    <t>Rabbit and Hare</t>
  </si>
  <si>
    <t>Meat of other domestic rodents, fresh or chilled</t>
  </si>
  <si>
    <t>Meat of other domestic camelids, fresh or chilled</t>
  </si>
  <si>
    <t>Game meat, fresh, chilled or frozen</t>
  </si>
  <si>
    <t>Snails, fresh, chilled, frozen, dried, salted or in brine, except sea snails</t>
  </si>
  <si>
    <t>Raw silk (not thrown)</t>
  </si>
  <si>
    <t>Margarine and shortening</t>
  </si>
  <si>
    <t>Cereals, primary</t>
  </si>
  <si>
    <t>Roots and Tubers, Total</t>
  </si>
  <si>
    <t>Pulses, Total</t>
  </si>
  <si>
    <t>Treenuts, Total</t>
  </si>
  <si>
    <t>Oilcrops, Oil Equivalent</t>
  </si>
  <si>
    <t>Meat, Total</t>
  </si>
  <si>
    <t>Milk, Total</t>
  </si>
  <si>
    <t>Eggs Primary</t>
  </si>
  <si>
    <t>Beef and Buffalo Meat, primary</t>
  </si>
  <si>
    <t>Citrus Fruit, Total</t>
  </si>
  <si>
    <t>Sheep and Goat Meat</t>
  </si>
  <si>
    <t>Meat, Poultry</t>
  </si>
  <si>
    <t>Skim Milk &amp; Buttermilk, Dry</t>
  </si>
  <si>
    <t>Butter and Ghee</t>
  </si>
  <si>
    <t>Evaporated &amp; Condensed Milk</t>
  </si>
  <si>
    <t>Oilcrops, Cake Equivalent</t>
  </si>
  <si>
    <t>Crop residues</t>
  </si>
  <si>
    <t>Other crop residues</t>
  </si>
  <si>
    <t>Firewood</t>
  </si>
  <si>
    <t>Flowers</t>
  </si>
  <si>
    <t>Pasture</t>
  </si>
  <si>
    <t>Grassland</t>
  </si>
  <si>
    <t>range</t>
  </si>
  <si>
    <t>Fibre Crops, Fibre Equivalent</t>
  </si>
  <si>
    <t>Scavenging</t>
  </si>
  <si>
    <t>comm_code</t>
  </si>
  <si>
    <t>unit</t>
  </si>
  <si>
    <t>feedtype_graniv</t>
  </si>
  <si>
    <t>feedtype_grazers</t>
  </si>
  <si>
    <t>comm_group</t>
  </si>
  <si>
    <t>Cat_1</t>
  </si>
  <si>
    <t>dbMFA_items</t>
  </si>
  <si>
    <t>Choline chloride</t>
  </si>
  <si>
    <t>tonnes</t>
  </si>
  <si>
    <t>Additives</t>
  </si>
  <si>
    <t>additives</t>
  </si>
  <si>
    <t>Lysine</t>
  </si>
  <si>
    <t>MgO</t>
  </si>
  <si>
    <t>Minerals</t>
  </si>
  <si>
    <t>Pesticides</t>
  </si>
  <si>
    <t>SSP</t>
  </si>
  <si>
    <t>Potassium carbonate</t>
  </si>
  <si>
    <t>Tryptophan</t>
  </si>
  <si>
    <t>Urea</t>
  </si>
  <si>
    <t>Vitamins</t>
  </si>
  <si>
    <t>Acid</t>
  </si>
  <si>
    <t>Phytase</t>
  </si>
  <si>
    <t>Starch</t>
  </si>
  <si>
    <t>Calcium soap protected fat</t>
  </si>
  <si>
    <t>Methionine</t>
  </si>
  <si>
    <t>Threonine</t>
  </si>
  <si>
    <t>Pigment</t>
  </si>
  <si>
    <t>Ammonium chloride</t>
  </si>
  <si>
    <t>Valine</t>
  </si>
  <si>
    <t>Yeast</t>
  </si>
  <si>
    <t>Salt</t>
  </si>
  <si>
    <t>Anionic salts</t>
  </si>
  <si>
    <t>Sodium butyrate</t>
  </si>
  <si>
    <t>Calcium carbonate</t>
  </si>
  <si>
    <t>Enzimes</t>
  </si>
  <si>
    <t>Bicarbonate</t>
  </si>
  <si>
    <t>Flavours</t>
  </si>
  <si>
    <t>Olein</t>
  </si>
  <si>
    <t>c090</t>
  </si>
  <si>
    <t>crops</t>
  </si>
  <si>
    <t>Alcohol</t>
  </si>
  <si>
    <t>c091</t>
  </si>
  <si>
    <t>c093</t>
  </si>
  <si>
    <t>Beverages, alcoholic</t>
  </si>
  <si>
    <t>c092</t>
  </si>
  <si>
    <t>Beverages, fermented</t>
  </si>
  <si>
    <t>c119</t>
  </si>
  <si>
    <t>animals</t>
  </si>
  <si>
    <t>Animal fats</t>
  </si>
  <si>
    <t>Fish</t>
  </si>
  <si>
    <t>Aquatic animals</t>
  </si>
  <si>
    <t>Fish Meal</t>
  </si>
  <si>
    <t>Molluscs, Other</t>
  </si>
  <si>
    <t>c007</t>
  </si>
  <si>
    <t>c002</t>
  </si>
  <si>
    <t>c005</t>
  </si>
  <si>
    <t>c009</t>
  </si>
  <si>
    <t>c003</t>
  </si>
  <si>
    <t>c008</t>
  </si>
  <si>
    <t>c006</t>
  </si>
  <si>
    <t>c004</t>
  </si>
  <si>
    <t>c001</t>
  </si>
  <si>
    <t>c047</t>
  </si>
  <si>
    <t>Coffee, tea, cocoa</t>
  </si>
  <si>
    <t>c046</t>
  </si>
  <si>
    <t>c045</t>
  </si>
  <si>
    <t>c111</t>
  </si>
  <si>
    <t>c094</t>
  </si>
  <si>
    <t>Alcohol, non-food</t>
  </si>
  <si>
    <t>c055</t>
  </si>
  <si>
    <t>Fibre crops</t>
  </si>
  <si>
    <t>c063</t>
  </si>
  <si>
    <t>Oilseeds</t>
  </si>
  <si>
    <t>c053</t>
  </si>
  <si>
    <t>c054</t>
  </si>
  <si>
    <t>c057</t>
  </si>
  <si>
    <t>c058</t>
  </si>
  <si>
    <t>c056</t>
  </si>
  <si>
    <t>c095</t>
  </si>
  <si>
    <t>Pelagic Fish</t>
  </si>
  <si>
    <t>c125</t>
  </si>
  <si>
    <t>Fish, Liver Oil</t>
  </si>
  <si>
    <t>Fish, body oil</t>
  </si>
  <si>
    <t>Crustaceans</t>
  </si>
  <si>
    <t>Freshwater Fish</t>
  </si>
  <si>
    <t>c123</t>
  </si>
  <si>
    <t>Demersal Fish</t>
  </si>
  <si>
    <t>Aquatic Animals, Others</t>
  </si>
  <si>
    <t>c124</t>
  </si>
  <si>
    <t>Fish, Body Oil</t>
  </si>
  <si>
    <t>c061</t>
  </si>
  <si>
    <t>residues</t>
  </si>
  <si>
    <t>Fodder_green</t>
  </si>
  <si>
    <t>Brome</t>
  </si>
  <si>
    <t>Mixed swards</t>
  </si>
  <si>
    <t>Fallow</t>
  </si>
  <si>
    <t>grass</t>
  </si>
  <si>
    <t>c062</t>
  </si>
  <si>
    <t>Herbaceous crop residues</t>
  </si>
  <si>
    <t>c112</t>
  </si>
  <si>
    <t>Hides, skins, wool</t>
  </si>
  <si>
    <t>c120</t>
  </si>
  <si>
    <t>c122</t>
  </si>
  <si>
    <t>c121</t>
  </si>
  <si>
    <t>c096</t>
  </si>
  <si>
    <t>1000 Head</t>
  </si>
  <si>
    <t>Livestock</t>
  </si>
  <si>
    <t>Live animals</t>
  </si>
  <si>
    <t>c105</t>
  </si>
  <si>
    <t>c097</t>
  </si>
  <si>
    <t>c103</t>
  </si>
  <si>
    <t>c104</t>
  </si>
  <si>
    <t>c099</t>
  </si>
  <si>
    <t>c100</t>
  </si>
  <si>
    <t>c108</t>
  </si>
  <si>
    <t>1000 Units</t>
  </si>
  <si>
    <t>c098</t>
  </si>
  <si>
    <t>c102</t>
  </si>
  <si>
    <t>c106</t>
  </si>
  <si>
    <t>c107</t>
  </si>
  <si>
    <t>c114</t>
  </si>
  <si>
    <t>Meat</t>
  </si>
  <si>
    <t>c118</t>
  </si>
  <si>
    <t>c116</t>
  </si>
  <si>
    <t>c115</t>
  </si>
  <si>
    <t>Meat meal</t>
  </si>
  <si>
    <t>c113</t>
  </si>
  <si>
    <t>c117</t>
  </si>
  <si>
    <t>c110</t>
  </si>
  <si>
    <t>Milk and products</t>
  </si>
  <si>
    <t>Milk, lactation</t>
  </si>
  <si>
    <t>Lactation</t>
  </si>
  <si>
    <t>c109</t>
  </si>
  <si>
    <t>c082</t>
  </si>
  <si>
    <t>Oil cakes</t>
  </si>
  <si>
    <t>Cakes</t>
  </si>
  <si>
    <t>Peanut cake</t>
  </si>
  <si>
    <t>c083</t>
  </si>
  <si>
    <t>Sunflowerseed cake</t>
  </si>
  <si>
    <t>c087</t>
  </si>
  <si>
    <t>Copra cake</t>
  </si>
  <si>
    <t>c086</t>
  </si>
  <si>
    <t>Palmkernel cake</t>
  </si>
  <si>
    <t>c085</t>
  </si>
  <si>
    <t>Cottonseed cake</t>
  </si>
  <si>
    <t>c089</t>
  </si>
  <si>
    <t>c081</t>
  </si>
  <si>
    <t>c084</t>
  </si>
  <si>
    <t>Rapeseed cake</t>
  </si>
  <si>
    <t>c088</t>
  </si>
  <si>
    <t>c022</t>
  </si>
  <si>
    <t>c064</t>
  </si>
  <si>
    <t>c025</t>
  </si>
  <si>
    <t>c021</t>
  </si>
  <si>
    <t>c026</t>
  </si>
  <si>
    <t>c027</t>
  </si>
  <si>
    <t>c023</t>
  </si>
  <si>
    <t>c024</t>
  </si>
  <si>
    <t>c029</t>
  </si>
  <si>
    <t>c028</t>
  </si>
  <si>
    <t>c030</t>
  </si>
  <si>
    <t>Other processing residues</t>
  </si>
  <si>
    <t>Sugar beet pulp</t>
  </si>
  <si>
    <t>Cereal brans</t>
  </si>
  <si>
    <t>DDGS Maize</t>
  </si>
  <si>
    <t>c014</t>
  </si>
  <si>
    <t>Roots_tubers</t>
  </si>
  <si>
    <t>c011</t>
  </si>
  <si>
    <t>c010</t>
  </si>
  <si>
    <t>c013</t>
  </si>
  <si>
    <t>c012</t>
  </si>
  <si>
    <t>c016</t>
  </si>
  <si>
    <t>Sugar_crops</t>
  </si>
  <si>
    <t>Sugar</t>
  </si>
  <si>
    <t>c015</t>
  </si>
  <si>
    <t>Sugar, sweeteners</t>
  </si>
  <si>
    <t>Sugar beet molasses</t>
  </si>
  <si>
    <t>c066</t>
  </si>
  <si>
    <t>c067</t>
  </si>
  <si>
    <t>c065</t>
  </si>
  <si>
    <t>Brown sugar</t>
  </si>
  <si>
    <t>Meadows</t>
  </si>
  <si>
    <t>c060</t>
  </si>
  <si>
    <t>Tobacco, rubber</t>
  </si>
  <si>
    <t>c059</t>
  </si>
  <si>
    <t>c076</t>
  </si>
  <si>
    <t>Vegetable oils</t>
  </si>
  <si>
    <t>Oil</t>
  </si>
  <si>
    <t>c079</t>
  </si>
  <si>
    <t>c077</t>
  </si>
  <si>
    <t>c075</t>
  </si>
  <si>
    <t>c068</t>
  </si>
  <si>
    <t>c073</t>
  </si>
  <si>
    <t>c074</t>
  </si>
  <si>
    <t>c072</t>
  </si>
  <si>
    <t>c080</t>
  </si>
  <si>
    <t>c078</t>
  </si>
  <si>
    <t>c069</t>
  </si>
  <si>
    <t>c070</t>
  </si>
  <si>
    <t>c071</t>
  </si>
  <si>
    <t>c039</t>
  </si>
  <si>
    <t>Vegetables, fruit, nuts, pulses, spices</t>
  </si>
  <si>
    <t>c051</t>
  </si>
  <si>
    <t>c038</t>
  </si>
  <si>
    <t>c033</t>
  </si>
  <si>
    <t>Acorns</t>
  </si>
  <si>
    <t>Holm oak</t>
  </si>
  <si>
    <t>c043</t>
  </si>
  <si>
    <t>c017</t>
  </si>
  <si>
    <t>c018</t>
  </si>
  <si>
    <t>c019</t>
  </si>
  <si>
    <t>c020</t>
  </si>
  <si>
    <t>c031</t>
  </si>
  <si>
    <t>c036</t>
  </si>
  <si>
    <t>c040</t>
  </si>
  <si>
    <t>c049</t>
  </si>
  <si>
    <t>c035</t>
  </si>
  <si>
    <t>c037</t>
  </si>
  <si>
    <t>c041</t>
  </si>
  <si>
    <t>c034</t>
  </si>
  <si>
    <t>c044</t>
  </si>
  <si>
    <t>c050</t>
  </si>
  <si>
    <t>c048</t>
  </si>
  <si>
    <t>c052</t>
  </si>
  <si>
    <t>Anise</t>
  </si>
  <si>
    <t>Miscellaneous</t>
  </si>
  <si>
    <t>c032</t>
  </si>
  <si>
    <t>c042</t>
  </si>
  <si>
    <t>Wood</t>
  </si>
  <si>
    <t>Forestry</t>
  </si>
  <si>
    <t>Average wood</t>
  </si>
  <si>
    <t>Woody crop residues</t>
  </si>
  <si>
    <t>scavenging</t>
  </si>
  <si>
    <t>Summer cereals, other</t>
  </si>
  <si>
    <t>Winter cereals, other</t>
  </si>
  <si>
    <t>Cereals, green</t>
  </si>
  <si>
    <t>Cereals_green</t>
  </si>
  <si>
    <t>Common sainfoin</t>
  </si>
  <si>
    <t>Common_sainfoin</t>
  </si>
  <si>
    <t>Crimson clover, in bloom</t>
  </si>
  <si>
    <t>Faba bean, Broad bean, green, for fodder</t>
  </si>
  <si>
    <t>French honeysuckle</t>
  </si>
  <si>
    <t>French_honeysuckle</t>
  </si>
  <si>
    <t>Jerusalem artichoke</t>
  </si>
  <si>
    <t>Oats, green</t>
  </si>
  <si>
    <t>Other monospecific swards</t>
  </si>
  <si>
    <t>Pea, green, for fodder</t>
  </si>
  <si>
    <t>Perennial ryegrass</t>
  </si>
  <si>
    <t>Squash, for fodder</t>
  </si>
  <si>
    <t>Squash_fodder</t>
  </si>
  <si>
    <t>Vetch, green</t>
  </si>
  <si>
    <t>Vetch_green</t>
  </si>
  <si>
    <t>Pomegranate</t>
  </si>
  <si>
    <t>Crack willow</t>
  </si>
  <si>
    <t>Crack_willow</t>
  </si>
  <si>
    <t>Esparto grass</t>
  </si>
  <si>
    <t>Esparto_grass</t>
  </si>
  <si>
    <t>Giant reed</t>
  </si>
  <si>
    <t>Giant_reed</t>
  </si>
  <si>
    <t>Maize gluten meal</t>
  </si>
  <si>
    <t>Hazelnut</t>
  </si>
  <si>
    <t>Other crops</t>
  </si>
  <si>
    <t>Saffron</t>
  </si>
  <si>
    <t>Sugar (Refined equivalent)</t>
  </si>
  <si>
    <t>Artichoke thistle</t>
  </si>
  <si>
    <t>Beet</t>
  </si>
  <si>
    <t>Borage</t>
  </si>
  <si>
    <t>Caper</t>
  </si>
  <si>
    <t>Celery</t>
  </si>
  <si>
    <t>Chard</t>
  </si>
  <si>
    <t>Chili pepper</t>
  </si>
  <si>
    <t>Endive</t>
  </si>
  <si>
    <t>Fava bean, green, without pod</t>
  </si>
  <si>
    <t>Legumes_green_nes</t>
  </si>
  <si>
    <t>Parsley</t>
  </si>
  <si>
    <t>Turnip</t>
  </si>
  <si>
    <t>Zucchini</t>
  </si>
  <si>
    <t>Cat_2</t>
  </si>
  <si>
    <t>Cat_3</t>
  </si>
  <si>
    <t>Cat_4</t>
  </si>
  <si>
    <t>Herb_Woody</t>
  </si>
  <si>
    <t>Crop_irrig</t>
  </si>
  <si>
    <t>Cat_Org</t>
  </si>
  <si>
    <t>Cat_Ymax</t>
  </si>
  <si>
    <t>Cat_Ymax_leg</t>
  </si>
  <si>
    <t>Herbaceous</t>
  </si>
  <si>
    <t>Arable</t>
  </si>
  <si>
    <t>Responsive</t>
  </si>
  <si>
    <t>Fixed</t>
  </si>
  <si>
    <t>Fruits_vegs</t>
  </si>
  <si>
    <t>Woody</t>
  </si>
  <si>
    <t>Vineyard</t>
  </si>
  <si>
    <t>Subtropical</t>
  </si>
  <si>
    <t>Prickly_pears</t>
  </si>
  <si>
    <t>Other_woody</t>
  </si>
  <si>
    <t>Industrial_crops</t>
  </si>
  <si>
    <t>Fodder</t>
  </si>
  <si>
    <t>Cereal_legumes_mixtures</t>
  </si>
  <si>
    <t>Other_arable</t>
  </si>
  <si>
    <t>Shrubland</t>
  </si>
  <si>
    <t>Holm_oak_forest</t>
  </si>
  <si>
    <t>Forest</t>
  </si>
  <si>
    <t>Conifers</t>
  </si>
  <si>
    <t>Cat_0</t>
  </si>
  <si>
    <t>Cat_01</t>
  </si>
  <si>
    <t>Cat_animal</t>
  </si>
  <si>
    <t>Cat_feed</t>
  </si>
  <si>
    <t>Cat_Waste</t>
  </si>
  <si>
    <t>Cat_diet_agg</t>
  </si>
  <si>
    <t>Zoot_fixed</t>
  </si>
  <si>
    <t>Oilseeds_Pulses</t>
  </si>
  <si>
    <t>Other vegetal</t>
  </si>
  <si>
    <t>Processed</t>
  </si>
  <si>
    <t>Other processed</t>
  </si>
  <si>
    <t>Vegetal</t>
  </si>
  <si>
    <t>Non_feed</t>
  </si>
  <si>
    <t>Sugar and alcohol</t>
  </si>
  <si>
    <t>Animal products</t>
  </si>
  <si>
    <t>Other animal</t>
  </si>
  <si>
    <t>High_quality</t>
  </si>
  <si>
    <t>Fish_Seafood</t>
  </si>
  <si>
    <t>Fish and seafood</t>
  </si>
  <si>
    <t>Low_quality</t>
  </si>
  <si>
    <t>Fruits and vegetables</t>
  </si>
  <si>
    <t>Fruits_Vegetables</t>
  </si>
  <si>
    <t>DDGS and other</t>
  </si>
  <si>
    <t>Other plant products</t>
  </si>
  <si>
    <t>Oils</t>
  </si>
  <si>
    <t>Legumes</t>
  </si>
  <si>
    <t>Roots_Tubers</t>
  </si>
  <si>
    <t>Residues</t>
  </si>
  <si>
    <t>Woody residues</t>
  </si>
  <si>
    <t>Item_area</t>
  </si>
  <si>
    <t>Multi_type</t>
  </si>
  <si>
    <t>Primary</t>
  </si>
  <si>
    <t>Primary_area</t>
  </si>
  <si>
    <t>Multi</t>
  </si>
  <si>
    <t>Multi_area</t>
  </si>
  <si>
    <t>Item_trade</t>
  </si>
  <si>
    <t>Type</t>
  </si>
  <si>
    <t>Material</t>
  </si>
  <si>
    <t>Feed</t>
  </si>
  <si>
    <t>Food</t>
  </si>
  <si>
    <t>proc_code</t>
  </si>
  <si>
    <t>proc</t>
  </si>
  <si>
    <t>p001</t>
  </si>
  <si>
    <t>Rice production</t>
  </si>
  <si>
    <t>p002</t>
  </si>
  <si>
    <t>Wheat production</t>
  </si>
  <si>
    <t>p003</t>
  </si>
  <si>
    <t>Barley production</t>
  </si>
  <si>
    <t>p004</t>
  </si>
  <si>
    <t>Maize production</t>
  </si>
  <si>
    <t>p005</t>
  </si>
  <si>
    <t>Rye production</t>
  </si>
  <si>
    <t>p006</t>
  </si>
  <si>
    <t>Oat production</t>
  </si>
  <si>
    <t>p007</t>
  </si>
  <si>
    <t>Millet production</t>
  </si>
  <si>
    <t>p008</t>
  </si>
  <si>
    <t>Sorghum production</t>
  </si>
  <si>
    <t>p009</t>
  </si>
  <si>
    <t>Cereals production, Other</t>
  </si>
  <si>
    <t>p010</t>
  </si>
  <si>
    <t>Potatoes  production</t>
  </si>
  <si>
    <t>p011</t>
  </si>
  <si>
    <t>Cassava production</t>
  </si>
  <si>
    <t>p012</t>
  </si>
  <si>
    <t>Sweet potatoes production</t>
  </si>
  <si>
    <t>p013</t>
  </si>
  <si>
    <t>Roots production, Other</t>
  </si>
  <si>
    <t>p014</t>
  </si>
  <si>
    <t>Yams production</t>
  </si>
  <si>
    <t>p015</t>
  </si>
  <si>
    <t>Sugar cane production</t>
  </si>
  <si>
    <t>p016</t>
  </si>
  <si>
    <t>Sugar beet production</t>
  </si>
  <si>
    <t>p017</t>
  </si>
  <si>
    <t>Beans production</t>
  </si>
  <si>
    <t>p018</t>
  </si>
  <si>
    <t>Peas production</t>
  </si>
  <si>
    <t>p019</t>
  </si>
  <si>
    <t>Pulses  production, Other</t>
  </si>
  <si>
    <t>p020</t>
  </si>
  <si>
    <t>Nuts production</t>
  </si>
  <si>
    <t>p021</t>
  </si>
  <si>
    <t>Soyabeans production</t>
  </si>
  <si>
    <t>p022</t>
  </si>
  <si>
    <t>Groundnuts production</t>
  </si>
  <si>
    <t>p023</t>
  </si>
  <si>
    <t>Sunflower seed production</t>
  </si>
  <si>
    <t>p024</t>
  </si>
  <si>
    <t>Rape and Mustardseed production</t>
  </si>
  <si>
    <t>p025</t>
  </si>
  <si>
    <t>Seed cotton production</t>
  </si>
  <si>
    <t>p026</t>
  </si>
  <si>
    <t>Coconuts production</t>
  </si>
  <si>
    <t>p027</t>
  </si>
  <si>
    <t>Sesame seed production</t>
  </si>
  <si>
    <t>p028</t>
  </si>
  <si>
    <t>Oil palm fruit production</t>
  </si>
  <si>
    <t>p029</t>
  </si>
  <si>
    <t>Olives production</t>
  </si>
  <si>
    <t>p030</t>
  </si>
  <si>
    <t>Oilcrops production, Other</t>
  </si>
  <si>
    <t>p031</t>
  </si>
  <si>
    <t>Tomatoes production</t>
  </si>
  <si>
    <t>p032</t>
  </si>
  <si>
    <t>Onions production</t>
  </si>
  <si>
    <t>p033</t>
  </si>
  <si>
    <t>Vegetables production, Other</t>
  </si>
  <si>
    <t>p034</t>
  </si>
  <si>
    <t>Oranges, Mandarines production</t>
  </si>
  <si>
    <t>p035</t>
  </si>
  <si>
    <t>Lemons, Limes production</t>
  </si>
  <si>
    <t>p036</t>
  </si>
  <si>
    <t>Grapefruit production</t>
  </si>
  <si>
    <t>p037</t>
  </si>
  <si>
    <t>Citrus production, Other</t>
  </si>
  <si>
    <t>p038</t>
  </si>
  <si>
    <t>Bananas production</t>
  </si>
  <si>
    <t>p039</t>
  </si>
  <si>
    <t>Plantains production</t>
  </si>
  <si>
    <t>p040</t>
  </si>
  <si>
    <t>Apples production</t>
  </si>
  <si>
    <t>p041</t>
  </si>
  <si>
    <t>Pineapples production</t>
  </si>
  <si>
    <t>p042</t>
  </si>
  <si>
    <t>Dates production</t>
  </si>
  <si>
    <t>p043</t>
  </si>
  <si>
    <t>Grapes production</t>
  </si>
  <si>
    <t>p044</t>
  </si>
  <si>
    <t>Fruits production, Other</t>
  </si>
  <si>
    <t>p045</t>
  </si>
  <si>
    <t>Coffee production</t>
  </si>
  <si>
    <t>p046</t>
  </si>
  <si>
    <t>Cocoa Beans production</t>
  </si>
  <si>
    <t>p047</t>
  </si>
  <si>
    <t>Tea production</t>
  </si>
  <si>
    <t>p048</t>
  </si>
  <si>
    <t>Hops production</t>
  </si>
  <si>
    <t>p049</t>
  </si>
  <si>
    <t>Pepper production</t>
  </si>
  <si>
    <t>p050</t>
  </si>
  <si>
    <t>Pimento production</t>
  </si>
  <si>
    <t>p051</t>
  </si>
  <si>
    <t>Cloves production</t>
  </si>
  <si>
    <t>p052</t>
  </si>
  <si>
    <t>Spices production, Other</t>
  </si>
  <si>
    <t>p053</t>
  </si>
  <si>
    <t>Jute production</t>
  </si>
  <si>
    <t>p054</t>
  </si>
  <si>
    <t>Jute-Like Fibres production</t>
  </si>
  <si>
    <t>p055</t>
  </si>
  <si>
    <t>Soft-Fibres production, Other</t>
  </si>
  <si>
    <t>p056</t>
  </si>
  <si>
    <t>Sisal production</t>
  </si>
  <si>
    <t>p057</t>
  </si>
  <si>
    <t>Abaca production</t>
  </si>
  <si>
    <t>p058</t>
  </si>
  <si>
    <t>Hard Fibres production, Other</t>
  </si>
  <si>
    <t>p059</t>
  </si>
  <si>
    <t>Tobacco production</t>
  </si>
  <si>
    <t>p060</t>
  </si>
  <si>
    <t>Rubber production</t>
  </si>
  <si>
    <t>p061</t>
  </si>
  <si>
    <t>Fodder crops production</t>
  </si>
  <si>
    <t>p062</t>
  </si>
  <si>
    <t>Grazing production</t>
  </si>
  <si>
    <t>p063</t>
  </si>
  <si>
    <t>Cotton production</t>
  </si>
  <si>
    <t>p064</t>
  </si>
  <si>
    <t>Sugar production, non-centrifugal</t>
  </si>
  <si>
    <t>p065</t>
  </si>
  <si>
    <t>Sugar production</t>
  </si>
  <si>
    <t>p066</t>
  </si>
  <si>
    <t>Sweeteners production, Other</t>
  </si>
  <si>
    <t>p067</t>
  </si>
  <si>
    <t>Soyabean Oil extraction</t>
  </si>
  <si>
    <t>p068</t>
  </si>
  <si>
    <t>Groundnut Oil extraction</t>
  </si>
  <si>
    <t>p069</t>
  </si>
  <si>
    <t>Sunflowerseed Oil extraction</t>
  </si>
  <si>
    <t>p070</t>
  </si>
  <si>
    <t>Rape and Mustard Oil extraction</t>
  </si>
  <si>
    <t>p071</t>
  </si>
  <si>
    <t>Cottonseed Oil extraction</t>
  </si>
  <si>
    <t>p072</t>
  </si>
  <si>
    <t>Palmkernel Oil extraction</t>
  </si>
  <si>
    <t>p073</t>
  </si>
  <si>
    <t>Palm Oil production</t>
  </si>
  <si>
    <t>p074</t>
  </si>
  <si>
    <t>Coconut Oil extraction</t>
  </si>
  <si>
    <t>p075</t>
  </si>
  <si>
    <t>Sesameseed Oil extraction</t>
  </si>
  <si>
    <t>p076</t>
  </si>
  <si>
    <t>Olive Oil extraction</t>
  </si>
  <si>
    <t>p077</t>
  </si>
  <si>
    <t>Ricebran Oil extraction</t>
  </si>
  <si>
    <t>p078</t>
  </si>
  <si>
    <t>Maize Germ Oil extraction</t>
  </si>
  <si>
    <t>p079</t>
  </si>
  <si>
    <t>Oilcrops Oil extraction, Other</t>
  </si>
  <si>
    <t>p080</t>
  </si>
  <si>
    <t>Wine production</t>
  </si>
  <si>
    <t>p081</t>
  </si>
  <si>
    <t>Beer production</t>
  </si>
  <si>
    <t>p082</t>
  </si>
  <si>
    <t>Beverages production, Fermented</t>
  </si>
  <si>
    <t>p083</t>
  </si>
  <si>
    <t>Beverages production, Alcoholic</t>
  </si>
  <si>
    <t>p084</t>
  </si>
  <si>
    <t>Alcohol production, Non-Food</t>
  </si>
  <si>
    <t>p085</t>
  </si>
  <si>
    <t>Cattle husbandry</t>
  </si>
  <si>
    <t>p086</t>
  </si>
  <si>
    <t>Buffaloes husbandry</t>
  </si>
  <si>
    <t>p087</t>
  </si>
  <si>
    <t>Sheep husbandry</t>
  </si>
  <si>
    <t>p088</t>
  </si>
  <si>
    <t>Goats husbandry</t>
  </si>
  <si>
    <t>p089</t>
  </si>
  <si>
    <t>Pigs farming</t>
  </si>
  <si>
    <t>c101</t>
  </si>
  <si>
    <t>p090</t>
  </si>
  <si>
    <t>Poultry Birds farming</t>
  </si>
  <si>
    <t>Poultry Birds</t>
  </si>
  <si>
    <t>p091</t>
  </si>
  <si>
    <t>Horses husbandry</t>
  </si>
  <si>
    <t>p092</t>
  </si>
  <si>
    <t>Asses husbandry</t>
  </si>
  <si>
    <t>p093</t>
  </si>
  <si>
    <t>Mules husbandry</t>
  </si>
  <si>
    <t>p094</t>
  </si>
  <si>
    <t>Camels husbandry</t>
  </si>
  <si>
    <t>p095</t>
  </si>
  <si>
    <t>Camelids husbandry, other</t>
  </si>
  <si>
    <t>p096</t>
  </si>
  <si>
    <t>Rabbits husbandry</t>
  </si>
  <si>
    <t>p097</t>
  </si>
  <si>
    <t>Rodents husbandry, other</t>
  </si>
  <si>
    <t>p099</t>
  </si>
  <si>
    <t>Dairy cattle husbandry</t>
  </si>
  <si>
    <t>p100</t>
  </si>
  <si>
    <t>Dairy buffaloes husbandry</t>
  </si>
  <si>
    <t>p101</t>
  </si>
  <si>
    <t>Dairy sheep husbandry</t>
  </si>
  <si>
    <t>p102</t>
  </si>
  <si>
    <t>Dairy goats husbandry</t>
  </si>
  <si>
    <t>p103</t>
  </si>
  <si>
    <t>Dairy camels husbandry</t>
  </si>
  <si>
    <t>p104</t>
  </si>
  <si>
    <t>Cattle slaughtering</t>
  </si>
  <si>
    <t>p105</t>
  </si>
  <si>
    <t>Buffaloes slaughtering</t>
  </si>
  <si>
    <t>p106</t>
  </si>
  <si>
    <t>Sheep slaughtering</t>
  </si>
  <si>
    <t>p107</t>
  </si>
  <si>
    <t>Goat slaughtering</t>
  </si>
  <si>
    <t>p108</t>
  </si>
  <si>
    <t>Pigs slaughtering</t>
  </si>
  <si>
    <t>p109</t>
  </si>
  <si>
    <t>Poultry slaughtering</t>
  </si>
  <si>
    <t>p110</t>
  </si>
  <si>
    <t>Horses slaughtering</t>
  </si>
  <si>
    <t>p111</t>
  </si>
  <si>
    <t>Asses slaughtering</t>
  </si>
  <si>
    <t>p112</t>
  </si>
  <si>
    <t>Mules slaughtering</t>
  </si>
  <si>
    <t>p113</t>
  </si>
  <si>
    <t>Camels slaughtering</t>
  </si>
  <si>
    <t>p114</t>
  </si>
  <si>
    <t>Camelids slaughtering, other</t>
  </si>
  <si>
    <t>p115</t>
  </si>
  <si>
    <t>Rabbits slaughtering</t>
  </si>
  <si>
    <t>p116</t>
  </si>
  <si>
    <t>Rodents slaughtering, other</t>
  </si>
  <si>
    <t>p118</t>
  </si>
  <si>
    <t>Beekeeping</t>
  </si>
  <si>
    <t>p119</t>
  </si>
  <si>
    <t>Silkworm breeding</t>
  </si>
  <si>
    <t>p120</t>
  </si>
  <si>
    <t>Fishing</t>
  </si>
  <si>
    <t>Fish, Seafood</t>
  </si>
  <si>
    <t>feed</t>
  </si>
  <si>
    <t>FEDNA</t>
  </si>
  <si>
    <t>Product_residue</t>
  </si>
  <si>
    <t>acidoliquido</t>
  </si>
  <si>
    <t>ACIDO PROMEDIO</t>
  </si>
  <si>
    <t>Product</t>
  </si>
  <si>
    <t>acido</t>
  </si>
  <si>
    <t>cloruroamonico</t>
  </si>
  <si>
    <t>CLORURO AMONICO</t>
  </si>
  <si>
    <t>salesanionicas</t>
  </si>
  <si>
    <t>SALES ANIONICAS</t>
  </si>
  <si>
    <t>bicarbonatosodico</t>
  </si>
  <si>
    <t>BICARBONATO SODICO</t>
  </si>
  <si>
    <t>carbonatocalcico</t>
  </si>
  <si>
    <t>CARBONATO CALCICO</t>
  </si>
  <si>
    <t>carbonatocalcicoenformadesemola</t>
  </si>
  <si>
    <t>carbonato</t>
  </si>
  <si>
    <t>grasascalcicas</t>
  </si>
  <si>
    <t>GRASAS CALCICAS</t>
  </si>
  <si>
    <t>clorurodecolina75</t>
  </si>
  <si>
    <t>enzimasxilanasas</t>
  </si>
  <si>
    <t>enzimasbetaglucanasas</t>
  </si>
  <si>
    <t>aroma</t>
  </si>
  <si>
    <t>AROMA</t>
  </si>
  <si>
    <t>lisinaliq50pct</t>
  </si>
  <si>
    <t>L-LISINA 50</t>
  </si>
  <si>
    <t>llisinahcl</t>
  </si>
  <si>
    <t>lisinaliq_50PRC</t>
  </si>
  <si>
    <t>hidroxianmetionina</t>
  </si>
  <si>
    <t>HIDROXI-ANAL MET</t>
  </si>
  <si>
    <t>hidroxian.metionina</t>
  </si>
  <si>
    <t>metioninaliquida</t>
  </si>
  <si>
    <t>mgo</t>
  </si>
  <si>
    <t>mineralesavicultura</t>
  </si>
  <si>
    <t>premezclamineral</t>
  </si>
  <si>
    <t>oleina</t>
  </si>
  <si>
    <t>oleinas</t>
  </si>
  <si>
    <t>coccidiostato</t>
  </si>
  <si>
    <t>adsorbentedemicotoxinas</t>
  </si>
  <si>
    <t>ADSORBENTE DE MICOTOXINAS</t>
  </si>
  <si>
    <t>tres_fitasal500ftu</t>
  </si>
  <si>
    <t>TRES_FITASA_750</t>
  </si>
  <si>
    <t>tres_fitasal750ftu</t>
  </si>
  <si>
    <t>TRES_FITASA_500</t>
  </si>
  <si>
    <t>seis_fitasa5000l750ftu</t>
  </si>
  <si>
    <t>6fitasa</t>
  </si>
  <si>
    <t>3fitasa</t>
  </si>
  <si>
    <t>pigmentanterojo</t>
  </si>
  <si>
    <t>pigmentanteamarillo</t>
  </si>
  <si>
    <t>carbonatopotasico</t>
  </si>
  <si>
    <t>CARBONATO POTASICO</t>
  </si>
  <si>
    <t>sal</t>
  </si>
  <si>
    <t>SAL</t>
  </si>
  <si>
    <t>butiratosodico</t>
  </si>
  <si>
    <t>BUTIRATO SODICO</t>
  </si>
  <si>
    <t>fosfatomonocalcicomonohidratado</t>
  </si>
  <si>
    <t>FOSFATO_MONOCALCICO</t>
  </si>
  <si>
    <t>fosfatobicalcicodihidratado</t>
  </si>
  <si>
    <t>FOSFATO BICALCICO DIHR.</t>
  </si>
  <si>
    <t>fosfatobicalcico</t>
  </si>
  <si>
    <t>almidon</t>
  </si>
  <si>
    <t>ALMIDON</t>
  </si>
  <si>
    <t>l_treonina</t>
  </si>
  <si>
    <t>L-TREONINA</t>
  </si>
  <si>
    <t>ltreonina</t>
  </si>
  <si>
    <t>l_triptofano</t>
  </si>
  <si>
    <t>L-TRIPTOFANO</t>
  </si>
  <si>
    <t>urea</t>
  </si>
  <si>
    <t>UREA</t>
  </si>
  <si>
    <t>l_valina</t>
  </si>
  <si>
    <t>L-VALINA</t>
  </si>
  <si>
    <t>premezclavitaminas_minerales</t>
  </si>
  <si>
    <t>PREMEZCLAVITAMINAS_MINERALES</t>
  </si>
  <si>
    <t>correctorminvit</t>
  </si>
  <si>
    <t>CORRECTOR VITAMINICO MINERAL</t>
  </si>
  <si>
    <t>vitaminaspollitas</t>
  </si>
  <si>
    <t>vitaminasponedoras</t>
  </si>
  <si>
    <t>premezclavitaminica</t>
  </si>
  <si>
    <t>vitaminasreproductoras</t>
  </si>
  <si>
    <t>correctorvitaminico/mineral</t>
  </si>
  <si>
    <t>correctorvitaminico_mineral</t>
  </si>
  <si>
    <t>vitaminas_minerales</t>
  </si>
  <si>
    <t>VITAMINAS MINERALES</t>
  </si>
  <si>
    <t>vitaminas</t>
  </si>
  <si>
    <t>levaduracerveza</t>
  </si>
  <si>
    <t>LEVADURA CERVEZA</t>
  </si>
  <si>
    <t>levaduracervezaseca</t>
  </si>
  <si>
    <t>manteca</t>
  </si>
  <si>
    <t>MANTECA</t>
  </si>
  <si>
    <t>cascarilladeavena</t>
  </si>
  <si>
    <t>CASCARILLA AVENA</t>
  </si>
  <si>
    <t>salvadodetrigo</t>
  </si>
  <si>
    <t>SALVADO TRIGO 15% ALMIDÓN</t>
  </si>
  <si>
    <t>salvadodetrigo20prcalmidon</t>
  </si>
  <si>
    <t>SALVADO TRIGO 20% ALMIDÓN</t>
  </si>
  <si>
    <t>trigosalvadoytercerillas</t>
  </si>
  <si>
    <t>TERCERILLAS TRIGO 25% ALMIDÓN</t>
  </si>
  <si>
    <t>salvadodetrigopctalmidon</t>
  </si>
  <si>
    <t>salvadodetrigo20PRCalmidon</t>
  </si>
  <si>
    <t>salvadodetrigo20pctalmidon</t>
  </si>
  <si>
    <t>salvadotrigo</t>
  </si>
  <si>
    <t>cascarillasoja</t>
  </si>
  <si>
    <t>CASCARILLA SOJA 10%PB</t>
  </si>
  <si>
    <t>sojacascarilla</t>
  </si>
  <si>
    <t>cascarilladesoja</t>
  </si>
  <si>
    <t>CASCARILLA DE SOJA</t>
  </si>
  <si>
    <t>tortadepresiondepalmiste</t>
  </si>
  <si>
    <t>TORTA PALMISTE PRESION</t>
  </si>
  <si>
    <t>colzaharina33</t>
  </si>
  <si>
    <t>HNA. COLZA 00 SOLVENTES 33%PB</t>
  </si>
  <si>
    <t>harinadecolza00</t>
  </si>
  <si>
    <t>harinadecolza33_5</t>
  </si>
  <si>
    <t>harinadecolza36_5</t>
  </si>
  <si>
    <t>HNA. COLZA 00 SOLVENTES 36%PB</t>
  </si>
  <si>
    <t>harinadeextracciondesemilladecolza00</t>
  </si>
  <si>
    <t>concentradoproteicodesojaextraido</t>
  </si>
  <si>
    <t>CONC.PROTEINA SOJA-EXTR.</t>
  </si>
  <si>
    <t>habadesojaextrusionada</t>
  </si>
  <si>
    <t>HABA SOJA EXTRUSIONADA</t>
  </si>
  <si>
    <t>harinadesoja44</t>
  </si>
  <si>
    <t>HNA.SOJA 44</t>
  </si>
  <si>
    <t>harinadesoja47</t>
  </si>
  <si>
    <t>HNA.SOJA 47</t>
  </si>
  <si>
    <t>harinasoja44pctpb</t>
  </si>
  <si>
    <t>harinasoja47pctpb</t>
  </si>
  <si>
    <t>sojaharina44</t>
  </si>
  <si>
    <t>sojaharina47</t>
  </si>
  <si>
    <t>harinadesojapctpb</t>
  </si>
  <si>
    <t>habadesojacocidaoextrusionada</t>
  </si>
  <si>
    <t>girasolharina32</t>
  </si>
  <si>
    <t>HNA.GIRASOL 32</t>
  </si>
  <si>
    <t>harinadegirasol36pct</t>
  </si>
  <si>
    <t>HNA.GIRASOL 36</t>
  </si>
  <si>
    <t>harinagirasol34pctpb</t>
  </si>
  <si>
    <t>harinagirasol28pctpb</t>
  </si>
  <si>
    <t>HNA.GIRASOL 28</t>
  </si>
  <si>
    <t>harinadeextracciondegirasol</t>
  </si>
  <si>
    <t>harinadegiraso36pct</t>
  </si>
  <si>
    <t>cebada11c3pctpb</t>
  </si>
  <si>
    <t>CEBADA 2C 11.3 PB</t>
  </si>
  <si>
    <t>cebada6carreras</t>
  </si>
  <si>
    <t>CEBADA PROMEDIO</t>
  </si>
  <si>
    <t>cebadaharina</t>
  </si>
  <si>
    <t>harinacebada11c3pctpb</t>
  </si>
  <si>
    <t>cebadadoscarrerasnacionalcpctpb</t>
  </si>
  <si>
    <t>cebada</t>
  </si>
  <si>
    <t>harinamaiznacional</t>
  </si>
  <si>
    <t>HARINILLAS MAIZ 6%EE</t>
  </si>
  <si>
    <t>maizgrano</t>
  </si>
  <si>
    <t>MAIZ PROMEDIO</t>
  </si>
  <si>
    <t>maizgranonacional</t>
  </si>
  <si>
    <t>MAIZ NACIONAL</t>
  </si>
  <si>
    <t>maizharina</t>
  </si>
  <si>
    <t>glutenfeed19pctpb</t>
  </si>
  <si>
    <t>GLUTEN FEED MAIZ 19%</t>
  </si>
  <si>
    <t>glutenfeeddemaiz21pctpb</t>
  </si>
  <si>
    <t>GLUTEN FEED MAIZ 20.5%</t>
  </si>
  <si>
    <t>glutenfeed</t>
  </si>
  <si>
    <t>glutendemaiz60</t>
  </si>
  <si>
    <t>GLUTEN MEAL MAIZ 60%</t>
  </si>
  <si>
    <t>maiznacional</t>
  </si>
  <si>
    <t>glutenfeeddemaizpctpb</t>
  </si>
  <si>
    <t>glutendemain60</t>
  </si>
  <si>
    <t>maiznacionalprocesadoporcalor</t>
  </si>
  <si>
    <t>MAIZ TRATADO CALOR</t>
  </si>
  <si>
    <t>avena</t>
  </si>
  <si>
    <t>AVENA</t>
  </si>
  <si>
    <t>proteinadetrigohidrolizada</t>
  </si>
  <si>
    <t>PROT. TRIGO HIDROLIZADO</t>
  </si>
  <si>
    <t>trigoblando</t>
  </si>
  <si>
    <t>TRIGO BLANDO PROMEDIO</t>
  </si>
  <si>
    <t>trigoblandonacional</t>
  </si>
  <si>
    <t>TRIGO BLANDO NO INGLES</t>
  </si>
  <si>
    <t>trigoinglesblando</t>
  </si>
  <si>
    <t>TRIGO BLANDO INGLES</t>
  </si>
  <si>
    <t>trigoharina</t>
  </si>
  <si>
    <t>harinatrigoblando</t>
  </si>
  <si>
    <t>harinillas40pctalmidon</t>
  </si>
  <si>
    <t>HARINILLAS TRIGO 30% ALM</t>
  </si>
  <si>
    <t>trigoblandonacionalcpctpb</t>
  </si>
  <si>
    <t>pulpadecitricos</t>
  </si>
  <si>
    <t>PULPA CÍTRICOS (NARANJA+MANDARINA)</t>
  </si>
  <si>
    <t>ddgsdemaiz</t>
  </si>
  <si>
    <t>DDGS MAIZ PROMEDIO</t>
  </si>
  <si>
    <t>ddgsmaiz</t>
  </si>
  <si>
    <t>granosysolublesdecebadaddgs</t>
  </si>
  <si>
    <t>DDGS CEBADA</t>
  </si>
  <si>
    <t>bagazocerveza</t>
  </si>
  <si>
    <t>BAGAZO CERVEZA</t>
  </si>
  <si>
    <t>pulparemolacha</t>
  </si>
  <si>
    <t>PULPA REMOLACHA 4% CENIZAS</t>
  </si>
  <si>
    <t>pulpaderemolacha</t>
  </si>
  <si>
    <t>alfalfaensilado</t>
  </si>
  <si>
    <t>ALFALFA HENO PROMEDIO</t>
  </si>
  <si>
    <t>henoalfalfaprimera</t>
  </si>
  <si>
    <t>Alfalfa heno PRIMERA</t>
  </si>
  <si>
    <t>alfalfaheno</t>
  </si>
  <si>
    <t>cerealesensilado</t>
  </si>
  <si>
    <t>CEBADA SILO PROMEDIO</t>
  </si>
  <si>
    <t>hierbasilotercera</t>
  </si>
  <si>
    <t>Hierba silo TERCERA</t>
  </si>
  <si>
    <t>maizensilado</t>
  </si>
  <si>
    <t>Maiz silo PROMEDIO</t>
  </si>
  <si>
    <t>raygrassensilado</t>
  </si>
  <si>
    <t>RAY-GRASS SILO PROMEDIO</t>
  </si>
  <si>
    <t>raygrassheno</t>
  </si>
  <si>
    <t>Ray-grass heno PROMEDIO</t>
  </si>
  <si>
    <t>raygrasshenoprimera</t>
  </si>
  <si>
    <t>Ray-grass heno PRIMERA</t>
  </si>
  <si>
    <t>raygrasshenosegunda</t>
  </si>
  <si>
    <t>Ray-grass heno SEGUNDA</t>
  </si>
  <si>
    <t>raygrasshenotercera</t>
  </si>
  <si>
    <t>Ray-grass heno TERCERA</t>
  </si>
  <si>
    <t>raygrassverdeprimera</t>
  </si>
  <si>
    <t>Ray-grass verde PRIMERA</t>
  </si>
  <si>
    <t>raygrassverdesegunda</t>
  </si>
  <si>
    <t>Ray-grass verde SEGUNDA</t>
  </si>
  <si>
    <t>raygrassverdetercera</t>
  </si>
  <si>
    <t>Ray-grass verde TERCERA</t>
  </si>
  <si>
    <t>henoderaygrasssegunda</t>
  </si>
  <si>
    <t>avenaensilado</t>
  </si>
  <si>
    <t>AVENA ENSILADO</t>
  </si>
  <si>
    <t>sorgoensilado</t>
  </si>
  <si>
    <t>SORGO ENSILADO</t>
  </si>
  <si>
    <t>vezahenotercera</t>
  </si>
  <si>
    <t>Veza heno TERCERA</t>
  </si>
  <si>
    <t>harinamezclaforrajera</t>
  </si>
  <si>
    <t>HARINA FORRAJERA MEZCLA (12.5%PB)</t>
  </si>
  <si>
    <t>harinaforraje13</t>
  </si>
  <si>
    <t>harinaforraje16</t>
  </si>
  <si>
    <t>Fodder and pasture</t>
  </si>
  <si>
    <t>lechematernabovino</t>
  </si>
  <si>
    <t>SC</t>
  </si>
  <si>
    <t>lechematernacaprino</t>
  </si>
  <si>
    <t>lechematernaovino</t>
  </si>
  <si>
    <t>harinadecarne44_15_25</t>
  </si>
  <si>
    <t>CARNE 44/15/28</t>
  </si>
  <si>
    <t>harinadecarne52_14_25</t>
  </si>
  <si>
    <t>CARNE 52/14/25</t>
  </si>
  <si>
    <t>harinadecarne50_14_26</t>
  </si>
  <si>
    <t>CARNE 50/14/26</t>
  </si>
  <si>
    <t>harinadecarne52/14/25</t>
  </si>
  <si>
    <t>harinadecarne44/15/25</t>
  </si>
  <si>
    <t>lechedescremada</t>
  </si>
  <si>
    <t>LECHE DESCREMADA</t>
  </si>
  <si>
    <t>lechedescremadadeshidratada</t>
  </si>
  <si>
    <t>lactosuero</t>
  </si>
  <si>
    <t>SUERO PROMEDIO</t>
  </si>
  <si>
    <t>suerodulcevacuno</t>
  </si>
  <si>
    <t>SUERO DULCE VACUNO</t>
  </si>
  <si>
    <t>lactosuerodulce</t>
  </si>
  <si>
    <t>melazacana</t>
  </si>
  <si>
    <t>MELAZA CAÑA</t>
  </si>
  <si>
    <t>melazasderemolachaazucarera</t>
  </si>
  <si>
    <t>MELAZA REMOLACHA</t>
  </si>
  <si>
    <t>melazasdecana</t>
  </si>
  <si>
    <t>melazasderemolacha</t>
  </si>
  <si>
    <t>aceitepalma</t>
  </si>
  <si>
    <t>AC. PALMA</t>
  </si>
  <si>
    <t>aceitedepalma</t>
  </si>
  <si>
    <t>grasaaceite</t>
  </si>
  <si>
    <t>GRASA MEZCLA 3/5</t>
  </si>
  <si>
    <t>aceitedesoja</t>
  </si>
  <si>
    <t>AC. SOJA</t>
  </si>
  <si>
    <t>semillaalgodon</t>
  </si>
  <si>
    <t>SEMILLA ALGODON</t>
  </si>
  <si>
    <t>algodonsemilla</t>
  </si>
  <si>
    <t>semilaalgodon</t>
  </si>
  <si>
    <t>sojaintegral</t>
  </si>
  <si>
    <t>HABA SOJA TOSTADA</t>
  </si>
  <si>
    <t>semillagirasol</t>
  </si>
  <si>
    <t>SEMILLA GIRASOL</t>
  </si>
  <si>
    <t>guisantedeprimavera</t>
  </si>
  <si>
    <t>GUISANTES PRIMAVERA</t>
  </si>
  <si>
    <t>mandioca65</t>
  </si>
  <si>
    <t>MANDIOCA_65</t>
  </si>
  <si>
    <t>pajadecereal</t>
  </si>
  <si>
    <t>PAJA DE CEREALES</t>
  </si>
  <si>
    <t>Residue</t>
  </si>
  <si>
    <t>pajadecereales</t>
  </si>
  <si>
    <t>garrofa</t>
  </si>
  <si>
    <t>GARROFA</t>
  </si>
  <si>
    <t>lechematerna</t>
  </si>
  <si>
    <t>LECHE MATERNA BOVINO</t>
  </si>
  <si>
    <t>seis_fitasa</t>
  </si>
  <si>
    <t>SEIS_FITASA</t>
  </si>
  <si>
    <t>bellota</t>
  </si>
  <si>
    <t>BELLOTA DECORTICADA</t>
  </si>
  <si>
    <t>Correspondencia directa FEDNA 2019</t>
  </si>
  <si>
    <t>Sin correspondencia</t>
  </si>
  <si>
    <t>Corr. dir. FEDNA forrajes 2016</t>
  </si>
  <si>
    <t>Repeticiones</t>
  </si>
  <si>
    <t>Corr. dir. FEDNA forrajes 2016 fresco</t>
  </si>
  <si>
    <t>item_bouwman</t>
  </si>
  <si>
    <t>Dairy cattle</t>
  </si>
  <si>
    <t>Beef cattle</t>
  </si>
  <si>
    <t>Sheep and goats</t>
  </si>
  <si>
    <t>ISSCAAP_Group_En</t>
  </si>
  <si>
    <t>Yearbook_Group_En</t>
  </si>
  <si>
    <t>Brown seaweeds</t>
  </si>
  <si>
    <t>Aquatic plants</t>
  </si>
  <si>
    <t>Green seaweeds</t>
  </si>
  <si>
    <t>Miscellaneous aquatic plants</t>
  </si>
  <si>
    <t>Red seaweeds</t>
  </si>
  <si>
    <t>Abalones, winkles, conchs</t>
  </si>
  <si>
    <t>Fish, crustaceans and molluscs, etc.</t>
  </si>
  <si>
    <t>Carps, barbels and other cyprinids</t>
  </si>
  <si>
    <t>Clams, cockles, arkshells</t>
  </si>
  <si>
    <t>Cods, hakes, haddocks</t>
  </si>
  <si>
    <t>Crabs, sea-spiders</t>
  </si>
  <si>
    <t>Flounders, halibuts, soles</t>
  </si>
  <si>
    <t>Freshwater crustaceans</t>
  </si>
  <si>
    <t>Freshwater molluscs</t>
  </si>
  <si>
    <t>Frogs and other amphibians</t>
  </si>
  <si>
    <t>Herrings, sardines, anchovies</t>
  </si>
  <si>
    <t>Horseshoe crabs and other arachnoids</t>
  </si>
  <si>
    <t>King crabs, squat-lobsters</t>
  </si>
  <si>
    <t>Krill, planktonic crustaceans</t>
  </si>
  <si>
    <t>Lobsters, spiny-rock lobsters</t>
  </si>
  <si>
    <t>Marine fishes not identified</t>
  </si>
  <si>
    <t>Miscellaneous aquatic invertebrates</t>
  </si>
  <si>
    <t>Miscellaneous coastal fishes</t>
  </si>
  <si>
    <t>Miscellaneous demersal fishes</t>
  </si>
  <si>
    <t>Miscellaneous diadromous fishes</t>
  </si>
  <si>
    <t>Miscellaneous freshwater fishes</t>
  </si>
  <si>
    <t>Miscellaneous marine crustaceans</t>
  </si>
  <si>
    <t>Miscellaneous marine molluscs</t>
  </si>
  <si>
    <t>Miscellaneous pelagic fishes</t>
  </si>
  <si>
    <t>Mussels</t>
  </si>
  <si>
    <t>Oysters</t>
  </si>
  <si>
    <t>River eels</t>
  </si>
  <si>
    <t>Salmons, trouts, smelts</t>
  </si>
  <si>
    <t>Scallops, pectens</t>
  </si>
  <si>
    <t>Sea-squirts and other tunicates</t>
  </si>
  <si>
    <t>Sea-urchins and other echinoderms</t>
  </si>
  <si>
    <t>Shads</t>
  </si>
  <si>
    <t>Sharks, rays, chimaeras</t>
  </si>
  <si>
    <t>Shrimps, prawns</t>
  </si>
  <si>
    <t>Squids, cuttlefishes, octopuses</t>
  </si>
  <si>
    <t>Sturgeons, paddlefishes</t>
  </si>
  <si>
    <t>Tilapias and other cichlids</t>
  </si>
  <si>
    <t>Tunas, bonitos, billfishes</t>
  </si>
  <si>
    <t>Turtles</t>
  </si>
  <si>
    <t>Blue-whales, fin-whales</t>
  </si>
  <si>
    <t>Other aq. animals &amp; products</t>
  </si>
  <si>
    <t>Corals</t>
  </si>
  <si>
    <t>Crocodiles and alligators</t>
  </si>
  <si>
    <t>Eared seals, hair seals, walruses</t>
  </si>
  <si>
    <t>Miscellaneous aquatic mammals</t>
  </si>
  <si>
    <t>Pearls, mother-of-pearl, shells</t>
  </si>
  <si>
    <t>Sperm-whales, pilot-whales</t>
  </si>
  <si>
    <t>Sponges</t>
  </si>
  <si>
    <t>Agregado</t>
  </si>
  <si>
    <t>Categories</t>
  </si>
  <si>
    <t>Codes_Juan</t>
  </si>
  <si>
    <t>Code_Prov</t>
  </si>
  <si>
    <t>Name_Prov</t>
  </si>
  <si>
    <t>CROP_SPA</t>
  </si>
  <si>
    <t>CROP_CODE</t>
  </si>
  <si>
    <t>CROP_ENG</t>
  </si>
  <si>
    <t>CAT_JUAN</t>
  </si>
  <si>
    <t>Code</t>
  </si>
  <si>
    <t>Name_FAO</t>
  </si>
  <si>
    <t>Cereales</t>
  </si>
  <si>
    <t>Cereals, other</t>
  </si>
  <si>
    <t>Cereal</t>
  </si>
  <si>
    <t>alforfón o trigo sarraceno</t>
  </si>
  <si>
    <t>Alforfón o trigo sarraceno</t>
  </si>
  <si>
    <t>alpiste</t>
  </si>
  <si>
    <t>Alpiste</t>
  </si>
  <si>
    <t>arroz</t>
  </si>
  <si>
    <t>Arroz</t>
  </si>
  <si>
    <t>RIC</t>
  </si>
  <si>
    <t>Avena</t>
  </si>
  <si>
    <t>OAT</t>
  </si>
  <si>
    <t>Cebada</t>
  </si>
  <si>
    <t>BAR</t>
  </si>
  <si>
    <t>centeno</t>
  </si>
  <si>
    <t>Centeno</t>
  </si>
  <si>
    <t>RYE</t>
  </si>
  <si>
    <t>escaña</t>
  </si>
  <si>
    <t>Escaña</t>
  </si>
  <si>
    <t>maíz</t>
  </si>
  <si>
    <t>Maíz</t>
  </si>
  <si>
    <t>MAZ</t>
  </si>
  <si>
    <t>mijo</t>
  </si>
  <si>
    <t>Mijo</t>
  </si>
  <si>
    <t>mijo y panizo</t>
  </si>
  <si>
    <t>Mijo y panizo</t>
  </si>
  <si>
    <t>otras mezclas de cereales de invierno</t>
  </si>
  <si>
    <t>Mezclas de cereales de invierno</t>
  </si>
  <si>
    <t>otros cereales de primavera</t>
  </si>
  <si>
    <t>Otros cereales de primavera</t>
  </si>
  <si>
    <t>panizo</t>
  </si>
  <si>
    <t>Panizo</t>
  </si>
  <si>
    <t>sorgo</t>
  </si>
  <si>
    <t>Sorgo</t>
  </si>
  <si>
    <t>SOR</t>
  </si>
  <si>
    <t>tranquillón</t>
  </si>
  <si>
    <t>Tranquillón</t>
  </si>
  <si>
    <t>TRA</t>
  </si>
  <si>
    <t>Tranquillion</t>
  </si>
  <si>
    <t>trigo</t>
  </si>
  <si>
    <t>Trigo</t>
  </si>
  <si>
    <t>WHB</t>
  </si>
  <si>
    <t>Bread_wheat</t>
  </si>
  <si>
    <t>triticale</t>
  </si>
  <si>
    <t>TRI</t>
  </si>
  <si>
    <t>zaniha</t>
  </si>
  <si>
    <t>Zaniha</t>
  </si>
  <si>
    <t>Barbecho</t>
  </si>
  <si>
    <t>Varios</t>
  </si>
  <si>
    <t>Leguminosas de otoño y primavera</t>
  </si>
  <si>
    <t>Leguminosas</t>
  </si>
  <si>
    <t>algarrobas</t>
  </si>
  <si>
    <t>Algarrobas</t>
  </si>
  <si>
    <t>alhovas</t>
  </si>
  <si>
    <t>Alhovas</t>
  </si>
  <si>
    <t>almorta</t>
  </si>
  <si>
    <t>Almorta</t>
  </si>
  <si>
    <t>altramuces</t>
  </si>
  <si>
    <t>Altramuces</t>
  </si>
  <si>
    <t>Altramuz</t>
  </si>
  <si>
    <t>LUP</t>
  </si>
  <si>
    <t>alverjones</t>
  </si>
  <si>
    <t>Alverjones</t>
  </si>
  <si>
    <t>garbanzos</t>
  </si>
  <si>
    <t>Garbanzos</t>
  </si>
  <si>
    <t>CHP</t>
  </si>
  <si>
    <t>guisantes en verde</t>
  </si>
  <si>
    <t>guisantes para grano</t>
  </si>
  <si>
    <t>Guisantes secos</t>
  </si>
  <si>
    <t>PEA</t>
  </si>
  <si>
    <t>habas en verde</t>
  </si>
  <si>
    <t>Habas verdes</t>
  </si>
  <si>
    <t>FBG</t>
  </si>
  <si>
    <t>Faba_bean_green</t>
  </si>
  <si>
    <t>habas para grano</t>
  </si>
  <si>
    <t>Habas secas</t>
  </si>
  <si>
    <t>FBN</t>
  </si>
  <si>
    <t>Faba_bean</t>
  </si>
  <si>
    <t>judías para grano</t>
  </si>
  <si>
    <t>Judías secas</t>
  </si>
  <si>
    <t>BND</t>
  </si>
  <si>
    <t>Dry_bean</t>
  </si>
  <si>
    <t>lentejas</t>
  </si>
  <si>
    <t>Lentejas</t>
  </si>
  <si>
    <t>LEN</t>
  </si>
  <si>
    <t>Lentil</t>
  </si>
  <si>
    <t>Legumbres, nep</t>
  </si>
  <si>
    <t>Otras leguminosas</t>
  </si>
  <si>
    <t>veza o alverjas</t>
  </si>
  <si>
    <t>Veza o alverjas</t>
  </si>
  <si>
    <t>Veza</t>
  </si>
  <si>
    <t>VET</t>
  </si>
  <si>
    <t>yeros</t>
  </si>
  <si>
    <t>Yeros</t>
  </si>
  <si>
    <t>ERV</t>
  </si>
  <si>
    <t>Ervil</t>
  </si>
  <si>
    <t>Tubérculos</t>
  </si>
  <si>
    <t>patata</t>
  </si>
  <si>
    <t>Patata extratemprana</t>
  </si>
  <si>
    <t>Patata</t>
  </si>
  <si>
    <t>POT</t>
  </si>
  <si>
    <t>Patata temprana</t>
  </si>
  <si>
    <t>Patata media estación</t>
  </si>
  <si>
    <t>Patata tardía</t>
  </si>
  <si>
    <t>Hortalizas en huerta</t>
  </si>
  <si>
    <t>Hortalizas</t>
  </si>
  <si>
    <t>acelga</t>
  </si>
  <si>
    <t>Acelga</t>
  </si>
  <si>
    <t>CHA</t>
  </si>
  <si>
    <t>achicoria huerta</t>
  </si>
  <si>
    <t>Achicoria huerta</t>
  </si>
  <si>
    <t>Ajo</t>
  </si>
  <si>
    <t>GAR</t>
  </si>
  <si>
    <t>alcachofa</t>
  </si>
  <si>
    <t>Alcachofa</t>
  </si>
  <si>
    <t>ACK</t>
  </si>
  <si>
    <t>apio</t>
  </si>
  <si>
    <t>Apio</t>
  </si>
  <si>
    <t>berenjena</t>
  </si>
  <si>
    <t>Berenjena</t>
  </si>
  <si>
    <t>EGP</t>
  </si>
  <si>
    <t>Eggplant</t>
  </si>
  <si>
    <t>berza</t>
  </si>
  <si>
    <t>Berza</t>
  </si>
  <si>
    <t>borraja</t>
  </si>
  <si>
    <t>Borraja</t>
  </si>
  <si>
    <t>calabacín</t>
  </si>
  <si>
    <t>Calabacín</t>
  </si>
  <si>
    <t>COU</t>
  </si>
  <si>
    <t>Courgette</t>
  </si>
  <si>
    <t>Calabaza</t>
  </si>
  <si>
    <t>PMK</t>
  </si>
  <si>
    <t>Pumpkin</t>
  </si>
  <si>
    <t>cardo</t>
  </si>
  <si>
    <t>Cardo</t>
  </si>
  <si>
    <t>Cebolla</t>
  </si>
  <si>
    <t>ONI</t>
  </si>
  <si>
    <t>cebolleta</t>
  </si>
  <si>
    <t>Cebolleta</t>
  </si>
  <si>
    <t>ONC</t>
  </si>
  <si>
    <t>Chives</t>
  </si>
  <si>
    <t>Coles y repollos</t>
  </si>
  <si>
    <t>Coliflor</t>
  </si>
  <si>
    <t>CAU</t>
  </si>
  <si>
    <t>endivia</t>
  </si>
  <si>
    <t>Endivia</t>
  </si>
  <si>
    <t>escarola</t>
  </si>
  <si>
    <t>Escarola</t>
  </si>
  <si>
    <t>ESC</t>
  </si>
  <si>
    <t>Ruff</t>
  </si>
  <si>
    <t>espárrago</t>
  </si>
  <si>
    <t>Espárrago</t>
  </si>
  <si>
    <t>ASP</t>
  </si>
  <si>
    <t>espinaca</t>
  </si>
  <si>
    <t>Espinaca</t>
  </si>
  <si>
    <t>SPN</t>
  </si>
  <si>
    <t>fresa y fresón</t>
  </si>
  <si>
    <t>Fresa y fresón</t>
  </si>
  <si>
    <t>STB</t>
  </si>
  <si>
    <t>guindilla</t>
  </si>
  <si>
    <t>Guindilla</t>
  </si>
  <si>
    <t>Peppers</t>
  </si>
  <si>
    <t>Guisantes verde</t>
  </si>
  <si>
    <t>Guisantes en verde</t>
  </si>
  <si>
    <t>Guisantes verdes</t>
  </si>
  <si>
    <t>PEG</t>
  </si>
  <si>
    <t>Pea_green</t>
  </si>
  <si>
    <t>Habas en verde huerta</t>
  </si>
  <si>
    <t>Habas en verde</t>
  </si>
  <si>
    <t>judías para grano (hortícola)</t>
  </si>
  <si>
    <t>Judías secas huerta</t>
  </si>
  <si>
    <t>Judías verdes huerta</t>
  </si>
  <si>
    <t>Judías verdes</t>
  </si>
  <si>
    <t>BNG</t>
  </si>
  <si>
    <t>Green_bean</t>
  </si>
  <si>
    <t>lechuga</t>
  </si>
  <si>
    <t>Lechuga</t>
  </si>
  <si>
    <t>LET</t>
  </si>
  <si>
    <t>melón</t>
  </si>
  <si>
    <t>Melón</t>
  </si>
  <si>
    <t>Cantaloupe</t>
  </si>
  <si>
    <t>Nabos y rábanos</t>
  </si>
  <si>
    <t>Nabo</t>
  </si>
  <si>
    <t>TNP</t>
  </si>
  <si>
    <t>otras hortalizas</t>
  </si>
  <si>
    <t>Otras hortalizas</t>
  </si>
  <si>
    <t>patata hortícola</t>
  </si>
  <si>
    <t>Patata huerta</t>
  </si>
  <si>
    <t>pepinillo</t>
  </si>
  <si>
    <t>Pepinillo</t>
  </si>
  <si>
    <t>pepino</t>
  </si>
  <si>
    <t>Pepino</t>
  </si>
  <si>
    <t>CUC</t>
  </si>
  <si>
    <t>perejil</t>
  </si>
  <si>
    <t>Perejil</t>
  </si>
  <si>
    <t>Pimiento</t>
  </si>
  <si>
    <t>PEP</t>
  </si>
  <si>
    <t>puerro</t>
  </si>
  <si>
    <t>Puerro</t>
  </si>
  <si>
    <t>LEE</t>
  </si>
  <si>
    <t>remolacha</t>
  </si>
  <si>
    <t>Remolacha</t>
  </si>
  <si>
    <t>Remolacha de mesa</t>
  </si>
  <si>
    <t>BET</t>
  </si>
  <si>
    <t>Beet_table</t>
  </si>
  <si>
    <t>sandía</t>
  </si>
  <si>
    <t>Sandía</t>
  </si>
  <si>
    <t>WML</t>
  </si>
  <si>
    <t>Tomate</t>
  </si>
  <si>
    <t>TOM</t>
  </si>
  <si>
    <t>Zanahoria</t>
  </si>
  <si>
    <t>CAR</t>
  </si>
  <si>
    <t>Viñedo</t>
  </si>
  <si>
    <t>vid dedicado a uva de mesa</t>
  </si>
  <si>
    <t>Vid para pasas</t>
  </si>
  <si>
    <t>vid dedicado a uva para transformación</t>
  </si>
  <si>
    <t>Viña para uva de mesa</t>
  </si>
  <si>
    <t>Uva mesa</t>
  </si>
  <si>
    <t>TGR</t>
  </si>
  <si>
    <t>Table grape</t>
  </si>
  <si>
    <t>vid dedicado a pasificación</t>
  </si>
  <si>
    <t>601, 602, 603, 604</t>
  </si>
  <si>
    <t>Viña para vino (plena producción cultivo único)</t>
  </si>
  <si>
    <t>Uva vino</t>
  </si>
  <si>
    <t>VIN</t>
  </si>
  <si>
    <t>Wine grape</t>
  </si>
  <si>
    <t>Viña para vino (plena producción cultivo asociado)</t>
  </si>
  <si>
    <t>Viña para vino (que aun no produce cultivo único)</t>
  </si>
  <si>
    <t>Frutas</t>
  </si>
  <si>
    <t>Frutales</t>
  </si>
  <si>
    <t>acerola</t>
  </si>
  <si>
    <t>Acerola</t>
  </si>
  <si>
    <t>aguacate</t>
  </si>
  <si>
    <t>Aguacate</t>
  </si>
  <si>
    <t>AVC</t>
  </si>
  <si>
    <t>albaricoque</t>
  </si>
  <si>
    <t>Albaricoque</t>
  </si>
  <si>
    <t>Albaricoquero</t>
  </si>
  <si>
    <t>APR</t>
  </si>
  <si>
    <t>Algarrobo</t>
  </si>
  <si>
    <t>CRT</t>
  </si>
  <si>
    <t>Carob_tree</t>
  </si>
  <si>
    <t>Frutos secos</t>
  </si>
  <si>
    <t>almendra</t>
  </si>
  <si>
    <t>Almendra</t>
  </si>
  <si>
    <t>Almendro</t>
  </si>
  <si>
    <t>ALD</t>
  </si>
  <si>
    <t>Almond</t>
  </si>
  <si>
    <t>Arandanos</t>
  </si>
  <si>
    <t>Arandanos trepadores</t>
  </si>
  <si>
    <t>Grosellas</t>
  </si>
  <si>
    <t>Uva espina</t>
  </si>
  <si>
    <t>avellano</t>
  </si>
  <si>
    <t>Avellano</t>
  </si>
  <si>
    <t>HZN</t>
  </si>
  <si>
    <t>azufaifa</t>
  </si>
  <si>
    <t>Azufaifa</t>
  </si>
  <si>
    <t>Jujube</t>
  </si>
  <si>
    <t>cafeto</t>
  </si>
  <si>
    <t>Cafeto</t>
  </si>
  <si>
    <t>caqui</t>
  </si>
  <si>
    <t>Caqui</t>
  </si>
  <si>
    <t>castaña</t>
  </si>
  <si>
    <t>Castaña</t>
  </si>
  <si>
    <t>cereza y guinda</t>
  </si>
  <si>
    <t>Cereza y guinda</t>
  </si>
  <si>
    <t>Cerezo y guindo</t>
  </si>
  <si>
    <t>CHR</t>
  </si>
  <si>
    <t>Guindas</t>
  </si>
  <si>
    <t>Guinda</t>
  </si>
  <si>
    <t>Cherry_sour</t>
  </si>
  <si>
    <t>Cerezas</t>
  </si>
  <si>
    <t>Cereza</t>
  </si>
  <si>
    <t>chirimoya</t>
  </si>
  <si>
    <t>Chirimoya</t>
  </si>
  <si>
    <t>Chirimoyo</t>
  </si>
  <si>
    <t>CUS</t>
  </si>
  <si>
    <t>Custard_apple</t>
  </si>
  <si>
    <t>ciruela</t>
  </si>
  <si>
    <t>Ciruela</t>
  </si>
  <si>
    <t>Ciruelo</t>
  </si>
  <si>
    <t>PLM</t>
  </si>
  <si>
    <t>dátiles</t>
  </si>
  <si>
    <t>Dátiles</t>
  </si>
  <si>
    <t>granada</t>
  </si>
  <si>
    <t>Granada</t>
  </si>
  <si>
    <t>Granado</t>
  </si>
  <si>
    <t>POM</t>
  </si>
  <si>
    <t>guayaba</t>
  </si>
  <si>
    <t>Guayaba</t>
  </si>
  <si>
    <t>higos chumbos</t>
  </si>
  <si>
    <t>Higos chumbos</t>
  </si>
  <si>
    <t>higos</t>
  </si>
  <si>
    <t>Higos</t>
  </si>
  <si>
    <t>Higuera</t>
  </si>
  <si>
    <t>FIG</t>
  </si>
  <si>
    <t>Fig</t>
  </si>
  <si>
    <t>lima</t>
  </si>
  <si>
    <t>Lima</t>
  </si>
  <si>
    <t>Cítricos</t>
  </si>
  <si>
    <t>limón total</t>
  </si>
  <si>
    <t>Limón</t>
  </si>
  <si>
    <t>Limonero</t>
  </si>
  <si>
    <t>CIT</t>
  </si>
  <si>
    <t>Kiwis</t>
  </si>
  <si>
    <t>kiwifruit</t>
  </si>
  <si>
    <t>Kiwi</t>
  </si>
  <si>
    <t>KIW</t>
  </si>
  <si>
    <t>mandarina en plena producción</t>
  </si>
  <si>
    <t>Mandarina</t>
  </si>
  <si>
    <t>Mandarino</t>
  </si>
  <si>
    <t>MAN</t>
  </si>
  <si>
    <t>mandarina que no ha alcanzado la plena producción</t>
  </si>
  <si>
    <t>Mandarina no en plena producción</t>
  </si>
  <si>
    <t>mango</t>
  </si>
  <si>
    <t>Mango</t>
  </si>
  <si>
    <t>manzana para sidra</t>
  </si>
  <si>
    <t>Manzana para sidra</t>
  </si>
  <si>
    <t>Manzano</t>
  </si>
  <si>
    <t>APL</t>
  </si>
  <si>
    <t>manzana</t>
  </si>
  <si>
    <t>Manzana</t>
  </si>
  <si>
    <t>melocotón</t>
  </si>
  <si>
    <t>Melocotón</t>
  </si>
  <si>
    <t>Melocotonero</t>
  </si>
  <si>
    <t>PEC</t>
  </si>
  <si>
    <t>membrillero</t>
  </si>
  <si>
    <t>Membrillero</t>
  </si>
  <si>
    <t>Membrillo</t>
  </si>
  <si>
    <t>QUI</t>
  </si>
  <si>
    <t>naranja en plena producción</t>
  </si>
  <si>
    <t>Naranja</t>
  </si>
  <si>
    <t>Naranjo</t>
  </si>
  <si>
    <t>ORA</t>
  </si>
  <si>
    <t>naranjas que no han alcanzado la plena producción</t>
  </si>
  <si>
    <t>Naranjas no en plena producción</t>
  </si>
  <si>
    <t>naranjo amargo en producción</t>
  </si>
  <si>
    <t>Naranjo amargo</t>
  </si>
  <si>
    <t>ORB</t>
  </si>
  <si>
    <t>Orange_bitter</t>
  </si>
  <si>
    <t>níspero</t>
  </si>
  <si>
    <t>Níspero</t>
  </si>
  <si>
    <t>LOQ</t>
  </si>
  <si>
    <t>Loquat</t>
  </si>
  <si>
    <t>nuez</t>
  </si>
  <si>
    <t>Nuez</t>
  </si>
  <si>
    <t>Nogal</t>
  </si>
  <si>
    <t>WNT</t>
  </si>
  <si>
    <t>otros cítricos</t>
  </si>
  <si>
    <t>Otros cítricos</t>
  </si>
  <si>
    <t>CIO</t>
  </si>
  <si>
    <t>Citrus_other</t>
  </si>
  <si>
    <t>otros frutales de fruto carnoso</t>
  </si>
  <si>
    <t>Otros frutales de fruto carnoso</t>
  </si>
  <si>
    <t>Fruit_trees_Other</t>
  </si>
  <si>
    <t>otros frutales de pepita</t>
  </si>
  <si>
    <t>Otros frutales de pepita</t>
  </si>
  <si>
    <t>PTO</t>
  </si>
  <si>
    <t>Pip_tree_other</t>
  </si>
  <si>
    <t>pera</t>
  </si>
  <si>
    <t>Pera</t>
  </si>
  <si>
    <t>Peral</t>
  </si>
  <si>
    <t>plátano total</t>
  </si>
  <si>
    <t>Plátano</t>
  </si>
  <si>
    <t>pomelo</t>
  </si>
  <si>
    <t>Pomelo</t>
  </si>
  <si>
    <t>GRF</t>
  </si>
  <si>
    <t>pistacho</t>
  </si>
  <si>
    <t>serbal</t>
  </si>
  <si>
    <t>Serbal</t>
  </si>
  <si>
    <t>Nueces nep</t>
  </si>
  <si>
    <t>Nectarino</t>
  </si>
  <si>
    <t>NEC</t>
  </si>
  <si>
    <t>Nectarine</t>
  </si>
  <si>
    <t>Fruta, tropical (fresca) nep</t>
  </si>
  <si>
    <t>Frambuesas</t>
  </si>
  <si>
    <t>Bayas nep</t>
  </si>
  <si>
    <t>Olivar</t>
  </si>
  <si>
    <t>Aceituna de mesa</t>
  </si>
  <si>
    <t>Olivar para aceituna de mesa</t>
  </si>
  <si>
    <t>Olivar aceituna de mesa</t>
  </si>
  <si>
    <t>OLV</t>
  </si>
  <si>
    <t>Olives_table</t>
  </si>
  <si>
    <t>Aceituna para aceite</t>
  </si>
  <si>
    <t>Olivar (plena producción cultivo unico)</t>
  </si>
  <si>
    <t>Olivar aceituna de almazara</t>
  </si>
  <si>
    <t>OLO</t>
  </si>
  <si>
    <t>Olives_oil</t>
  </si>
  <si>
    <t>Plantas textiles y oleaginosas</t>
  </si>
  <si>
    <t>Oleaginosas, textiles e industriales</t>
  </si>
  <si>
    <t>Industriales</t>
  </si>
  <si>
    <t>algodón</t>
  </si>
  <si>
    <t>Fiber</t>
  </si>
  <si>
    <t>Algodón</t>
  </si>
  <si>
    <t>Algodón bruto</t>
  </si>
  <si>
    <t>COT</t>
  </si>
  <si>
    <t>Cotton</t>
  </si>
  <si>
    <t>Algodón semilla</t>
  </si>
  <si>
    <t>cañamo fibra</t>
  </si>
  <si>
    <t>Cañamo fibra</t>
  </si>
  <si>
    <t>cañamo mies</t>
  </si>
  <si>
    <t>Cañamo mies</t>
  </si>
  <si>
    <t>cañamo semilla</t>
  </si>
  <si>
    <t>Cañamo semilla</t>
  </si>
  <si>
    <t>cártamo</t>
  </si>
  <si>
    <t>Cártamo</t>
  </si>
  <si>
    <t>colza</t>
  </si>
  <si>
    <t>Colza</t>
  </si>
  <si>
    <t>RAP</t>
  </si>
  <si>
    <t>esparto</t>
  </si>
  <si>
    <t>Esparto</t>
  </si>
  <si>
    <t>lino para artesanía</t>
  </si>
  <si>
    <t>Lino para artesanía</t>
  </si>
  <si>
    <t>lino para factoría (en mies)o lino oleaginoso para producción de linaza</t>
  </si>
  <si>
    <t>Lino en mies u oleaginoso</t>
  </si>
  <si>
    <t>lino para producción de semillas</t>
  </si>
  <si>
    <t>Lino para producción de semillas</t>
  </si>
  <si>
    <t>mimbrera</t>
  </si>
  <si>
    <t>Mimbrera</t>
  </si>
  <si>
    <t>mostaza</t>
  </si>
  <si>
    <t>Mostaza</t>
  </si>
  <si>
    <t>otros cultivos leñosos</t>
  </si>
  <si>
    <t>Otros cultivos leñosos</t>
  </si>
  <si>
    <t>palmito</t>
  </si>
  <si>
    <t>Palmito</t>
  </si>
  <si>
    <t>pita</t>
  </si>
  <si>
    <t>Pita</t>
  </si>
  <si>
    <t>soja</t>
  </si>
  <si>
    <t>Soja</t>
  </si>
  <si>
    <t>SBN</t>
  </si>
  <si>
    <t>Soybean</t>
  </si>
  <si>
    <t>Plantas azucareras</t>
  </si>
  <si>
    <t>Plantas Azucareras</t>
  </si>
  <si>
    <t>remolacha azucarera</t>
  </si>
  <si>
    <t>Sugarbeet</t>
  </si>
  <si>
    <t>Remolacha azucarera</t>
  </si>
  <si>
    <t>SBT</t>
  </si>
  <si>
    <t>Beet_sugar</t>
  </si>
  <si>
    <t>caña de azúcar</t>
  </si>
  <si>
    <t>Caña de azúcar</t>
  </si>
  <si>
    <t>lavanda y lavandín</t>
  </si>
  <si>
    <t>Lavanda y lavandín</t>
  </si>
  <si>
    <t>lúpulo en verde</t>
  </si>
  <si>
    <t>Lúpulo</t>
  </si>
  <si>
    <t>HOP</t>
  </si>
  <si>
    <t>otros cultivos industriales (lavanda, cardón, manzanilla, adormidera, colza, ajonjolí, orégano)</t>
  </si>
  <si>
    <t>Otros cultivos industriales</t>
  </si>
  <si>
    <t>Semillas de adormidera</t>
  </si>
  <si>
    <t>tabaco</t>
  </si>
  <si>
    <t>Tabaco</t>
  </si>
  <si>
    <t>TOB</t>
  </si>
  <si>
    <t>Condimentos</t>
  </si>
  <si>
    <t>Spices, other</t>
  </si>
  <si>
    <t>azafrán</t>
  </si>
  <si>
    <t>Azafrán</t>
  </si>
  <si>
    <t>comino</t>
  </si>
  <si>
    <t>Comino</t>
  </si>
  <si>
    <t>menta en verde</t>
  </si>
  <si>
    <t xml:space="preserve">Menta </t>
  </si>
  <si>
    <t>pimiento para pimentón</t>
  </si>
  <si>
    <t>Pimiento para pimentón</t>
  </si>
  <si>
    <t>Raices de achicoria</t>
  </si>
  <si>
    <t>Achicoria</t>
  </si>
  <si>
    <t>alcaparro</t>
  </si>
  <si>
    <t>Alcaparro</t>
  </si>
  <si>
    <t>anís</t>
  </si>
  <si>
    <t>Anís</t>
  </si>
  <si>
    <t>Cacahuete</t>
  </si>
  <si>
    <t>batata y boniato</t>
  </si>
  <si>
    <t>Batata y boniato</t>
  </si>
  <si>
    <t>caña vulgar</t>
  </si>
  <si>
    <t>Caña vulgar</t>
  </si>
  <si>
    <t>chufa</t>
  </si>
  <si>
    <t>Chufa</t>
  </si>
  <si>
    <t>girasol</t>
  </si>
  <si>
    <t>Girasol</t>
  </si>
  <si>
    <t>Sunflower</t>
  </si>
  <si>
    <t>morera</t>
  </si>
  <si>
    <t>Morera</t>
  </si>
  <si>
    <t>Morera y otros</t>
  </si>
  <si>
    <t>MUL</t>
  </si>
  <si>
    <t>Mulberry</t>
  </si>
  <si>
    <t>nopal</t>
  </si>
  <si>
    <t>Nopal</t>
  </si>
  <si>
    <t>regaliz</t>
  </si>
  <si>
    <t>Regaliz</t>
  </si>
  <si>
    <t>ricino</t>
  </si>
  <si>
    <t>Ricino</t>
  </si>
  <si>
    <t>zumaque</t>
  </si>
  <si>
    <t>Zumaque</t>
  </si>
  <si>
    <t>Hongos y trufas</t>
  </si>
  <si>
    <t>Champiñón</t>
  </si>
  <si>
    <t>Mushroom</t>
  </si>
  <si>
    <t>Pelitre, flores secas</t>
  </si>
  <si>
    <t>Praderas artificiales y forrajes</t>
  </si>
  <si>
    <t>Forage, other</t>
  </si>
  <si>
    <t>Praderas cultivadas y forrajes</t>
  </si>
  <si>
    <t>Forraje</t>
  </si>
  <si>
    <t>alfalfa arborea</t>
  </si>
  <si>
    <t>Alfalfa arborea</t>
  </si>
  <si>
    <t>alfalfa</t>
  </si>
  <si>
    <t>ALF</t>
  </si>
  <si>
    <t>Alfalfa/Lucerne</t>
  </si>
  <si>
    <t>algarroba para forraje</t>
  </si>
  <si>
    <t>Algarroba para forraje</t>
  </si>
  <si>
    <t>alhova forrajera</t>
  </si>
  <si>
    <t>Alhova para forraje</t>
  </si>
  <si>
    <t>avena para forraje</t>
  </si>
  <si>
    <t>Avena para forraje</t>
  </si>
  <si>
    <t>H35</t>
  </si>
  <si>
    <t>ballico</t>
  </si>
  <si>
    <t>Ballico</t>
  </si>
  <si>
    <t>BAL</t>
  </si>
  <si>
    <t>Italian_ryegrass</t>
  </si>
  <si>
    <t>H38</t>
  </si>
  <si>
    <t>calabaza para forraje</t>
  </si>
  <si>
    <t>Calabaza para forraje</t>
  </si>
  <si>
    <t>cardo forrajero</t>
  </si>
  <si>
    <t>Cardo para forraje</t>
  </si>
  <si>
    <t>Cardo y otros forrajes</t>
  </si>
  <si>
    <t>CRF</t>
  </si>
  <si>
    <t>Cardoon_forage</t>
  </si>
  <si>
    <t>H51</t>
  </si>
  <si>
    <t>cebada para forrajes</t>
  </si>
  <si>
    <t>Cebada para forraje</t>
  </si>
  <si>
    <t>centeno para forrajes</t>
  </si>
  <si>
    <t>Centeno para forraje</t>
  </si>
  <si>
    <t>cereales (trigo, avena, cebada, centeno y mezclas) para forraje</t>
  </si>
  <si>
    <t>Cereales de invierno para forraje</t>
  </si>
  <si>
    <t>Cereales invierno forraje</t>
  </si>
  <si>
    <t>WCF</t>
  </si>
  <si>
    <t>Winter_cereal_forage</t>
  </si>
  <si>
    <t xml:space="preserve">chirivía </t>
  </si>
  <si>
    <t xml:space="preserve">Chirivía </t>
  </si>
  <si>
    <t>H50</t>
  </si>
  <si>
    <t>col forrajera</t>
  </si>
  <si>
    <t>Col para forraje</t>
  </si>
  <si>
    <t>esparceta</t>
  </si>
  <si>
    <t>Esparceta</t>
  </si>
  <si>
    <t>SAI</t>
  </si>
  <si>
    <t>guisante forrajero</t>
  </si>
  <si>
    <t>Guisante para forraje</t>
  </si>
  <si>
    <t>H44</t>
  </si>
  <si>
    <t>habas para forraje</t>
  </si>
  <si>
    <t>Habas para forraje</t>
  </si>
  <si>
    <t>maíz para forraje</t>
  </si>
  <si>
    <t>Maíz para forraje</t>
  </si>
  <si>
    <t>Maíz forrajero</t>
  </si>
  <si>
    <t>Maize_forage</t>
  </si>
  <si>
    <t>nabo forrajero</t>
  </si>
  <si>
    <t>Nabo para forraje</t>
  </si>
  <si>
    <t>Nabo forrajero</t>
  </si>
  <si>
    <t>TUF</t>
  </si>
  <si>
    <t>Turnip_forage</t>
  </si>
  <si>
    <t>otras gramíneas como forrajes</t>
  </si>
  <si>
    <t>Otras gramíneas como forraje</t>
  </si>
  <si>
    <t>Otras gramíneas forrajeras</t>
  </si>
  <si>
    <t>OCF</t>
  </si>
  <si>
    <t>Other_cereal_forage</t>
  </si>
  <si>
    <t>otras leguminosas forraje</t>
  </si>
  <si>
    <t>Otras leguminosas forraje</t>
  </si>
  <si>
    <t>Otras leguminosas forrajeras</t>
  </si>
  <si>
    <t>OLF</t>
  </si>
  <si>
    <t>Other_leguminous_forage</t>
  </si>
  <si>
    <t>otras pratenses monofitas</t>
  </si>
  <si>
    <t>Otras pratenses monofitas</t>
  </si>
  <si>
    <t>otras raíces y tubérculos forrajeros</t>
  </si>
  <si>
    <t>Otras raíces y tubérculos forrajeros</t>
  </si>
  <si>
    <t>otros forrajes (altramuz, cardo, chirivia, salgue, alfalfa arbórea, etc.)</t>
  </si>
  <si>
    <t>Otros forrajes</t>
  </si>
  <si>
    <t>otros tréboles (blanco, híbrico, subterráneo, etc.)</t>
  </si>
  <si>
    <t xml:space="preserve">Otros tréboles </t>
  </si>
  <si>
    <t>pataca</t>
  </si>
  <si>
    <t>Pataca</t>
  </si>
  <si>
    <t>praderas artificiales</t>
  </si>
  <si>
    <t>Praderas artificiales</t>
  </si>
  <si>
    <t>pratenses polífitas</t>
  </si>
  <si>
    <t>Pratenses polífitas</t>
  </si>
  <si>
    <t>Praderas polifitas</t>
  </si>
  <si>
    <t>GRA</t>
  </si>
  <si>
    <t>Grass_cultivated</t>
  </si>
  <si>
    <t>ray-grass</t>
  </si>
  <si>
    <t>Ray-grass</t>
  </si>
  <si>
    <t>remolacha forrajera</t>
  </si>
  <si>
    <t>Remolacha forrajera</t>
  </si>
  <si>
    <t>BEF</t>
  </si>
  <si>
    <t>Beet_forage</t>
  </si>
  <si>
    <t>salgue</t>
  </si>
  <si>
    <t>Salgue</t>
  </si>
  <si>
    <t>sorgo forrajero</t>
  </si>
  <si>
    <t>Sorgo para forraje</t>
  </si>
  <si>
    <t>Sorgo forrajero</t>
  </si>
  <si>
    <t>SOF</t>
  </si>
  <si>
    <t>Sorghum_forage</t>
  </si>
  <si>
    <t>trébol encarnado</t>
  </si>
  <si>
    <t>Trébol encarnado</t>
  </si>
  <si>
    <t>H40</t>
  </si>
  <si>
    <t>trebol rojo o violeta</t>
  </si>
  <si>
    <t>Trébol rojo o violeta</t>
  </si>
  <si>
    <t>Trébol</t>
  </si>
  <si>
    <t>CLV</t>
  </si>
  <si>
    <t>trebol</t>
  </si>
  <si>
    <t>trigo para forraje</t>
  </si>
  <si>
    <t>Trigo para forraje</t>
  </si>
  <si>
    <t>veza para forraje</t>
  </si>
  <si>
    <t>Veza para forraje</t>
  </si>
  <si>
    <t>Veza forrajera</t>
  </si>
  <si>
    <t>VEF</t>
  </si>
  <si>
    <t>Vetch_forage</t>
  </si>
  <si>
    <t>zanahoria forrajera</t>
  </si>
  <si>
    <t>Zanahoria para forraje</t>
  </si>
  <si>
    <t>zulla</t>
  </si>
  <si>
    <t>Zulla</t>
  </si>
  <si>
    <t>SUL</t>
  </si>
  <si>
    <t>Sulla</t>
  </si>
  <si>
    <t>Zanahorias</t>
  </si>
  <si>
    <t>Pastizal</t>
  </si>
  <si>
    <t>Pasture_shrubland</t>
  </si>
  <si>
    <t>Pastizal-matorral</t>
  </si>
  <si>
    <t>Mediterranean shrubland</t>
  </si>
  <si>
    <t>Dehesa</t>
  </si>
  <si>
    <t>Low_forest</t>
  </si>
  <si>
    <t>Frondosas</t>
  </si>
  <si>
    <t>Holm oak forest</t>
  </si>
  <si>
    <t>High_forest</t>
  </si>
  <si>
    <t>Coniferas</t>
  </si>
  <si>
    <t>Code_FAO</t>
  </si>
  <si>
    <t>Crop</t>
  </si>
  <si>
    <t>G0000</t>
  </si>
  <si>
    <t>Plants harvested green from arable land</t>
  </si>
  <si>
    <t>G1000</t>
  </si>
  <si>
    <t>G2000</t>
  </si>
  <si>
    <t>Leguminous plants harvested green</t>
  </si>
  <si>
    <t>G2100</t>
  </si>
  <si>
    <t>G2900</t>
  </si>
  <si>
    <t>G3000</t>
  </si>
  <si>
    <t>G9000</t>
  </si>
  <si>
    <t>G9100</t>
  </si>
  <si>
    <t>Other cereals harvested green (excluding green maize)</t>
  </si>
  <si>
    <t>G9900</t>
  </si>
  <si>
    <t>Other plants harvested green from arable land n.e.c.</t>
  </si>
  <si>
    <t>R0000</t>
  </si>
  <si>
    <t>Root crops</t>
  </si>
  <si>
    <t>R1000</t>
  </si>
  <si>
    <t>Potatoes (including seed potatoes)</t>
  </si>
  <si>
    <t>R2000</t>
  </si>
  <si>
    <t>Sugar beet (excluding seed)</t>
  </si>
  <si>
    <t>R9000</t>
  </si>
  <si>
    <t>Name_MAPA</t>
  </si>
  <si>
    <t>COD_CULTI</t>
  </si>
  <si>
    <t>H02</t>
  </si>
  <si>
    <t>Otros cereales</t>
  </si>
  <si>
    <t>H10</t>
  </si>
  <si>
    <t>H05</t>
  </si>
  <si>
    <t>H06</t>
  </si>
  <si>
    <t>Maíz grano</t>
  </si>
  <si>
    <t>H08</t>
  </si>
  <si>
    <t>H03</t>
  </si>
  <si>
    <t>H07</t>
  </si>
  <si>
    <t>H04</t>
  </si>
  <si>
    <t>H09</t>
  </si>
  <si>
    <t>H01</t>
  </si>
  <si>
    <t>H11</t>
  </si>
  <si>
    <t>H14</t>
  </si>
  <si>
    <t>H12</t>
  </si>
  <si>
    <t>H13</t>
  </si>
  <si>
    <t>H17</t>
  </si>
  <si>
    <t>Guisante seco</t>
  </si>
  <si>
    <t>H15</t>
  </si>
  <si>
    <t>Otras</t>
  </si>
  <si>
    <t>H19</t>
  </si>
  <si>
    <t>H18</t>
  </si>
  <si>
    <t>Veza grano</t>
  </si>
  <si>
    <t>H16</t>
  </si>
  <si>
    <t>Otras patatas</t>
  </si>
  <si>
    <t>H21</t>
  </si>
  <si>
    <t>Patata temprana y extra-temprana</t>
  </si>
  <si>
    <t>H20</t>
  </si>
  <si>
    <t>Otros tubérculos</t>
  </si>
  <si>
    <t>H22</t>
  </si>
  <si>
    <t>Rábano</t>
  </si>
  <si>
    <t>H83</t>
  </si>
  <si>
    <t>H75</t>
  </si>
  <si>
    <t>H54</t>
  </si>
  <si>
    <t>H71</t>
  </si>
  <si>
    <t>H85</t>
  </si>
  <si>
    <t>H53</t>
  </si>
  <si>
    <t>Col y repollo</t>
  </si>
  <si>
    <t>H52</t>
  </si>
  <si>
    <t>H84</t>
  </si>
  <si>
    <t>H82</t>
  </si>
  <si>
    <t>H76</t>
  </si>
  <si>
    <t>H70</t>
  </si>
  <si>
    <t>H69</t>
  </si>
  <si>
    <t>H77</t>
  </si>
  <si>
    <t>H80</t>
  </si>
  <si>
    <t>H87</t>
  </si>
  <si>
    <t>H57</t>
  </si>
  <si>
    <t>H58</t>
  </si>
  <si>
    <t>H56</t>
  </si>
  <si>
    <t>H66</t>
  </si>
  <si>
    <t>H78</t>
  </si>
  <si>
    <t>H79</t>
  </si>
  <si>
    <t>H86</t>
  </si>
  <si>
    <t>Pimiento y guindilla</t>
  </si>
  <si>
    <t>H73</t>
  </si>
  <si>
    <t>H67</t>
  </si>
  <si>
    <t>H59</t>
  </si>
  <si>
    <t>H72</t>
  </si>
  <si>
    <t>H60</t>
  </si>
  <si>
    <t>H62</t>
  </si>
  <si>
    <t>H55</t>
  </si>
  <si>
    <t>H63</t>
  </si>
  <si>
    <t>H68</t>
  </si>
  <si>
    <t>H61</t>
  </si>
  <si>
    <t>Grelo</t>
  </si>
  <si>
    <t>H64</t>
  </si>
  <si>
    <t>H88</t>
  </si>
  <si>
    <t>H24</t>
  </si>
  <si>
    <t>H81</t>
  </si>
  <si>
    <t>H65</t>
  </si>
  <si>
    <t>Uva de mesa</t>
  </si>
  <si>
    <t>L24</t>
  </si>
  <si>
    <t>Uva para pasas</t>
  </si>
  <si>
    <t>L26</t>
  </si>
  <si>
    <t>Uva para vino</t>
  </si>
  <si>
    <t>L25</t>
  </si>
  <si>
    <t>Olivar (aderezo)</t>
  </si>
  <si>
    <t>L27</t>
  </si>
  <si>
    <t>Olivar (almazara)</t>
  </si>
  <si>
    <t>L28</t>
  </si>
  <si>
    <t>L05</t>
  </si>
  <si>
    <t>L09</t>
  </si>
  <si>
    <t>L16</t>
  </si>
  <si>
    <t>L17</t>
  </si>
  <si>
    <t>Cerezo</t>
  </si>
  <si>
    <t>L10</t>
  </si>
  <si>
    <t>L14</t>
  </si>
  <si>
    <t>L15</t>
  </si>
  <si>
    <t>H74</t>
  </si>
  <si>
    <t>L08</t>
  </si>
  <si>
    <t>Otros frutales</t>
  </si>
  <si>
    <t>L23</t>
  </si>
  <si>
    <t>Otros leñosos</t>
  </si>
  <si>
    <t>L29</t>
  </si>
  <si>
    <t>L11</t>
  </si>
  <si>
    <t>L12</t>
  </si>
  <si>
    <t>L06</t>
  </si>
  <si>
    <t>L13</t>
  </si>
  <si>
    <t>L07</t>
  </si>
  <si>
    <t>Pomelo y otros</t>
  </si>
  <si>
    <t>L04</t>
  </si>
  <si>
    <t>L03</t>
  </si>
  <si>
    <t>L01</t>
  </si>
  <si>
    <t>L02</t>
  </si>
  <si>
    <t>L18</t>
  </si>
  <si>
    <t>Castaño</t>
  </si>
  <si>
    <t>L22</t>
  </si>
  <si>
    <t>L20</t>
  </si>
  <si>
    <t>Pistacho</t>
  </si>
  <si>
    <t>L21</t>
  </si>
  <si>
    <t>L19</t>
  </si>
  <si>
    <t>Lino oleaginoso</t>
  </si>
  <si>
    <t>H27</t>
  </si>
  <si>
    <t>H33</t>
  </si>
  <si>
    <t>H29</t>
  </si>
  <si>
    <t>H28</t>
  </si>
  <si>
    <t>H26</t>
  </si>
  <si>
    <t>Cáñamo Textil</t>
  </si>
  <si>
    <t>H25</t>
  </si>
  <si>
    <t>H31</t>
  </si>
  <si>
    <t>H30</t>
  </si>
  <si>
    <t>H23</t>
  </si>
  <si>
    <t>H39</t>
  </si>
  <si>
    <t>H48</t>
  </si>
  <si>
    <t>Col forrajera</t>
  </si>
  <si>
    <t>H46</t>
  </si>
  <si>
    <t>Zanahoria forrajera</t>
  </si>
  <si>
    <t>H49</t>
  </si>
  <si>
    <t>Otras forrajeras</t>
  </si>
  <si>
    <t>H41</t>
  </si>
  <si>
    <t>H42</t>
  </si>
  <si>
    <t>H36</t>
  </si>
  <si>
    <t>H45</t>
  </si>
  <si>
    <t>Prados Naturales</t>
  </si>
  <si>
    <t>P01</t>
  </si>
  <si>
    <t>H37</t>
  </si>
  <si>
    <t>Calabaza forrajera</t>
  </si>
  <si>
    <t>H47</t>
  </si>
  <si>
    <t>H43</t>
  </si>
  <si>
    <t>Flores</t>
  </si>
  <si>
    <t>H34</t>
  </si>
  <si>
    <t>Otros</t>
  </si>
  <si>
    <t>H32</t>
  </si>
  <si>
    <t>Nombre_Lab</t>
  </si>
  <si>
    <t>otras leguminosas</t>
  </si>
  <si>
    <t>judías verdes</t>
  </si>
  <si>
    <t>achicoria</t>
  </si>
  <si>
    <t>liwi total</t>
  </si>
  <si>
    <t>Cat_irrig</t>
  </si>
  <si>
    <t>Industrial</t>
  </si>
  <si>
    <t>CB_Item</t>
  </si>
  <si>
    <t>CropNames</t>
  </si>
  <si>
    <t>almond</t>
  </si>
  <si>
    <t>aniseetc</t>
  </si>
  <si>
    <t>apple</t>
  </si>
  <si>
    <t>apricot</t>
  </si>
  <si>
    <t>barley</t>
  </si>
  <si>
    <t>berrynes</t>
  </si>
  <si>
    <t>cotton</t>
  </si>
  <si>
    <t>fig</t>
  </si>
  <si>
    <t>citrusnes</t>
  </si>
  <si>
    <t>fruitnes</t>
  </si>
  <si>
    <t>stonefruitnes</t>
  </si>
  <si>
    <t>grape</t>
  </si>
  <si>
    <t>linseed</t>
  </si>
  <si>
    <t>maize</t>
  </si>
  <si>
    <t>melonetc</t>
  </si>
  <si>
    <t>millet</t>
  </si>
  <si>
    <t>Nuts, nes</t>
  </si>
  <si>
    <t>nutnes</t>
  </si>
  <si>
    <t>olive</t>
  </si>
  <si>
    <t>onion</t>
  </si>
  <si>
    <t>orange</t>
  </si>
  <si>
    <t>peachetc</t>
  </si>
  <si>
    <t>pear</t>
  </si>
  <si>
    <t>pistachio</t>
  </si>
  <si>
    <t>plum</t>
  </si>
  <si>
    <t>potato</t>
  </si>
  <si>
    <t>Pulses, nes</t>
  </si>
  <si>
    <t>pulsenes</t>
  </si>
  <si>
    <t>rice</t>
  </si>
  <si>
    <t>sesame</t>
  </si>
  <si>
    <t>Spices, nes</t>
  </si>
  <si>
    <t>spicenes</t>
  </si>
  <si>
    <t>sugarbeet</t>
  </si>
  <si>
    <t>sugarcane</t>
  </si>
  <si>
    <t>sunflower</t>
  </si>
  <si>
    <t>vegetablenes</t>
  </si>
  <si>
    <t>walnut</t>
  </si>
  <si>
    <t>watermelon</t>
  </si>
  <si>
    <t>wheat</t>
  </si>
  <si>
    <t>bean</t>
  </si>
  <si>
    <t>greenbean</t>
  </si>
  <si>
    <t>broadbean</t>
  </si>
  <si>
    <t>cabbage</t>
  </si>
  <si>
    <t>carrot</t>
  </si>
  <si>
    <t>cauliflower</t>
  </si>
  <si>
    <t>cherry</t>
  </si>
  <si>
    <t>sourcherry</t>
  </si>
  <si>
    <t>chestnut</t>
  </si>
  <si>
    <t>chilleetc</t>
  </si>
  <si>
    <t>cucumberetc</t>
  </si>
  <si>
    <t>date</t>
  </si>
  <si>
    <t>eggplant</t>
  </si>
  <si>
    <t>garlic</t>
  </si>
  <si>
    <t>hop</t>
  </si>
  <si>
    <t>lemonlime</t>
  </si>
  <si>
    <t>lettuce</t>
  </si>
  <si>
    <t>mushroom</t>
  </si>
  <si>
    <t>oats</t>
  </si>
  <si>
    <t>okra</t>
  </si>
  <si>
    <t>greenonion</t>
  </si>
  <si>
    <t>greenpea</t>
  </si>
  <si>
    <t>pumpkinetc</t>
  </si>
  <si>
    <t>quince</t>
  </si>
  <si>
    <t>rye</t>
  </si>
  <si>
    <t>sorghum</t>
  </si>
  <si>
    <t>soybean</t>
  </si>
  <si>
    <t>spinach</t>
  </si>
  <si>
    <t>tangetc</t>
  </si>
  <si>
    <t>tobacco</t>
  </si>
  <si>
    <t>tomato</t>
  </si>
  <si>
    <t>greenbroadbean</t>
  </si>
  <si>
    <t>vetch</t>
  </si>
  <si>
    <t>artichoke</t>
  </si>
  <si>
    <t>banana</t>
  </si>
  <si>
    <t>carob</t>
  </si>
  <si>
    <t>chickpea</t>
  </si>
  <si>
    <t>pimento</t>
  </si>
  <si>
    <t>tropicalnes</t>
  </si>
  <si>
    <t>grapefruitetc</t>
  </si>
  <si>
    <t>Groundnuts (in Shell Eq)</t>
  </si>
  <si>
    <t>groundnut</t>
  </si>
  <si>
    <t>lentil</t>
  </si>
  <si>
    <t>pea</t>
  </si>
  <si>
    <t>rapeseed</t>
  </si>
  <si>
    <t>strawberry</t>
  </si>
  <si>
    <t>cassava</t>
  </si>
  <si>
    <t>cocoa</t>
  </si>
  <si>
    <t>coconut</t>
  </si>
  <si>
    <t>greencorn</t>
  </si>
  <si>
    <t>pineapple</t>
  </si>
  <si>
    <t>taro</t>
  </si>
  <si>
    <t>yam</t>
  </si>
  <si>
    <t>jutelikefiber</t>
  </si>
  <si>
    <t>cashew</t>
  </si>
  <si>
    <t>castor</t>
  </si>
  <si>
    <t>coffee</t>
  </si>
  <si>
    <t>oilpalm</t>
  </si>
  <si>
    <t>sisal</t>
  </si>
  <si>
    <t>sweetpotato</t>
  </si>
  <si>
    <t>asparagus</t>
  </si>
  <si>
    <t>avocado</t>
  </si>
  <si>
    <t>canaryseed</t>
  </si>
  <si>
    <t>Cereals, nes</t>
  </si>
  <si>
    <t>cerealnes</t>
  </si>
  <si>
    <t>fibrenes</t>
  </si>
  <si>
    <t>flax</t>
  </si>
  <si>
    <t>lupin</t>
  </si>
  <si>
    <t>mate</t>
  </si>
  <si>
    <t>oilseednes</t>
  </si>
  <si>
    <t>papaya</t>
  </si>
  <si>
    <t>peppermint</t>
  </si>
  <si>
    <t>safflower</t>
  </si>
  <si>
    <t>stringbean</t>
  </si>
  <si>
    <t>tea</t>
  </si>
  <si>
    <t>tung</t>
  </si>
  <si>
    <t>hazelnut</t>
  </si>
  <si>
    <t>blueberry</t>
  </si>
  <si>
    <t>cowpea</t>
  </si>
  <si>
    <t>currant</t>
  </si>
  <si>
    <t>kiwi</t>
  </si>
  <si>
    <t>mustard</t>
  </si>
  <si>
    <t>persimmon</t>
  </si>
  <si>
    <t>rasberry</t>
  </si>
  <si>
    <t>buckwheat</t>
  </si>
  <si>
    <t>gooseberry</t>
  </si>
  <si>
    <t>mixedgrain</t>
  </si>
  <si>
    <t>hemp</t>
  </si>
  <si>
    <t>poppy</t>
  </si>
  <si>
    <t>cranberry</t>
  </si>
  <si>
    <t>pigeonpea</t>
  </si>
  <si>
    <t>plantain</t>
  </si>
  <si>
    <t>areca</t>
  </si>
  <si>
    <t>ginger</t>
  </si>
  <si>
    <t>jute</t>
  </si>
  <si>
    <t>rubber</t>
  </si>
  <si>
    <t>Sugar crops, nes</t>
  </si>
  <si>
    <t>sugarnes</t>
  </si>
  <si>
    <t>chicory</t>
  </si>
  <si>
    <t>Roots and tubers, nes</t>
  </si>
  <si>
    <t>rootnes</t>
  </si>
  <si>
    <t>yautia</t>
  </si>
  <si>
    <t>fonio</t>
  </si>
  <si>
    <t>karite</t>
  </si>
  <si>
    <t>kolanut</t>
  </si>
  <si>
    <t>pepper</t>
  </si>
  <si>
    <t>nutmeg</t>
  </si>
  <si>
    <t>brazil</t>
  </si>
  <si>
    <t>pyrethrum</t>
  </si>
  <si>
    <t>quinoa</t>
  </si>
  <si>
    <t>cashewapple</t>
  </si>
  <si>
    <t>Gums, natural</t>
  </si>
  <si>
    <t>ramie</t>
  </si>
  <si>
    <t>hempseed</t>
  </si>
  <si>
    <t>melonseed</t>
  </si>
  <si>
    <t>bambara</t>
  </si>
  <si>
    <t>Cinnamon (canella)</t>
  </si>
  <si>
    <t>cinnamon</t>
  </si>
  <si>
    <t>clove</t>
  </si>
  <si>
    <t>vanilla</t>
  </si>
  <si>
    <t>agave</t>
  </si>
  <si>
    <t>abaca</t>
  </si>
  <si>
    <t>kapokfiber</t>
  </si>
  <si>
    <t>kapokseed</t>
  </si>
  <si>
    <t>Code_HS</t>
  </si>
  <si>
    <t>Item_HS</t>
  </si>
  <si>
    <t>Self-explanatory texts_HS</t>
  </si>
  <si>
    <t>Item_FAO</t>
  </si>
  <si>
    <t>0701</t>
  </si>
  <si>
    <t>Potatoes, fresh or chilled</t>
  </si>
  <si>
    <t>0702 00</t>
  </si>
  <si>
    <t>Tomatoes, fresh or chilled</t>
  </si>
  <si>
    <t>0703</t>
  </si>
  <si>
    <t>Onions, shallots, garlic, leeks and other alliaceous vegetables, fresh or chilled</t>
  </si>
  <si>
    <t>0704</t>
  </si>
  <si>
    <t>Cabbages, cauliflowers, kohlrabi, kale and similar edible brassicas, fresh or chilled</t>
  </si>
  <si>
    <t>0705</t>
  </si>
  <si>
    <t>Lettuce (Lactuca sativa) and chicory (Cichorium spp.), fresh or chilled</t>
  </si>
  <si>
    <t>Lettuce "Lactuca sativa" and chicory "Cichorium spp.", fresh or chilled</t>
  </si>
  <si>
    <t>0706</t>
  </si>
  <si>
    <t>Carrots, turnips, salad beetroot, salsify, celeriac, radishes and similar edible roots, fresh or chilled</t>
  </si>
  <si>
    <t>0707 00</t>
  </si>
  <si>
    <t>Cucumbers and gherkins, fresh or chilled</t>
  </si>
  <si>
    <t>0708</t>
  </si>
  <si>
    <t>Leguminous vegetables, shelled or unshelled, fresh or chilled</t>
  </si>
  <si>
    <t>0714</t>
  </si>
  <si>
    <t>Manioc, arrowroot, salep, Jerusalem artichokes, sweet potatoes and similar roots and tubers with high starch or inulin content, fresh, chilled, frozen or dried, whether or not sliced or in the form of pellets; sago pith</t>
  </si>
  <si>
    <t>Roots and tubers of manioc, arrowroot, salep, Jerusalem artichokes, sweet potatoes and similar roots and tubers with high starch or inulin content, fresh, chilled, frozen or dried, whether or not sliced or in the form of pellets; sago pith</t>
  </si>
  <si>
    <t>0801</t>
  </si>
  <si>
    <t>Coconuts, Brazil nuts and cashew nuts, fresh or dried, whether or not shelled or peeled</t>
  </si>
  <si>
    <t>0803 00</t>
  </si>
  <si>
    <t>Bananas, including plantains, fresh or dried</t>
  </si>
  <si>
    <t>Bananas, incl. plantains, fresh or dried</t>
  </si>
  <si>
    <t>0804</t>
  </si>
  <si>
    <t>Dates, figs, pineapples, avocados, guavas, mangoes and mangosteens, fresh or dried</t>
  </si>
  <si>
    <t>0805</t>
  </si>
  <si>
    <t>Citrus fruit, fresh or dried</t>
  </si>
  <si>
    <t>0806</t>
  </si>
  <si>
    <t>Grapes, fresh or dried</t>
  </si>
  <si>
    <t>0807</t>
  </si>
  <si>
    <t>Melons (including watermelons) and papaws (papayas), fresh</t>
  </si>
  <si>
    <t>Melons, incl. watermelons, and papaws "papayas", fresh</t>
  </si>
  <si>
    <t>0808 10</t>
  </si>
  <si>
    <t xml:space="preserve"> - Apples</t>
  </si>
  <si>
    <t>Fresh apples</t>
  </si>
  <si>
    <t>0808 30</t>
  </si>
  <si>
    <t xml:space="preserve"> - Pears</t>
  </si>
  <si>
    <t>Fresh pears</t>
  </si>
  <si>
    <t>0808 40</t>
  </si>
  <si>
    <t xml:space="preserve"> - Quinces</t>
  </si>
  <si>
    <t>Fresh quinces</t>
  </si>
  <si>
    <t xml:space="preserve">0809 10 </t>
  </si>
  <si>
    <t xml:space="preserve"> - Apricots</t>
  </si>
  <si>
    <t>Fresh apricots</t>
  </si>
  <si>
    <t>0809 21</t>
  </si>
  <si>
    <t xml:space="preserve"> - Sour cherries</t>
  </si>
  <si>
    <t>Fresh sour cherries "Prunus cerasus"(2012-2500)</t>
  </si>
  <si>
    <t>0809 29</t>
  </si>
  <si>
    <t xml:space="preserve"> - Cherries</t>
  </si>
  <si>
    <t>Fresh cherries (excl. sour cherries)(2012-2500)</t>
  </si>
  <si>
    <t>0809 30</t>
  </si>
  <si>
    <t xml:space="preserve"> - Peaches, including nectarines</t>
  </si>
  <si>
    <t>Fresh peaches, incl. nectarines</t>
  </si>
  <si>
    <t>0809 40</t>
  </si>
  <si>
    <t xml:space="preserve"> - Plums and sloes</t>
  </si>
  <si>
    <t>Fresh plums and sloes</t>
  </si>
  <si>
    <t>0810</t>
  </si>
  <si>
    <t>Other fruit, fresh</t>
  </si>
  <si>
    <t>Fresh strawberries, raspberries, blackberries, back, white or redcurrants, gooseberries and other edible fruits (excl. nuts, bananas, dates, figs, pineapples, avocadoes, guavas, mangoes, mangosteens, papaws "papayas", citrus fruit, grapes, melons, apples, pears, quinces, apricots, cherries, peaches, plums and sloes)</t>
  </si>
  <si>
    <t>0901</t>
  </si>
  <si>
    <t>Coffee, whether or not roasted or decaffeinated; coffee husks and skins; coffee substitutes containing coffee in any proportion</t>
  </si>
  <si>
    <t>0902</t>
  </si>
  <si>
    <t>Tea, whether or not flavoured</t>
  </si>
  <si>
    <t>0903 00</t>
  </si>
  <si>
    <t>Mate</t>
  </si>
  <si>
    <t>0905 00</t>
  </si>
  <si>
    <t>0906</t>
  </si>
  <si>
    <t>Cinnamon and cinnamon-tree flowers</t>
  </si>
  <si>
    <t>0907 00</t>
  </si>
  <si>
    <t>Cloves (whole fruit, cloves and stems)</t>
  </si>
  <si>
    <t>Cloves, whole fruit, cloves and stems</t>
  </si>
  <si>
    <t>0908</t>
  </si>
  <si>
    <t>0909</t>
  </si>
  <si>
    <t>Seeds of anise, badian, fennel, coriander, cumin or caraway; juniper berries</t>
  </si>
  <si>
    <t>Seeds of anis, badian, fennel, coriander, cumin or caraway; juniper berries</t>
  </si>
  <si>
    <t>0910</t>
  </si>
  <si>
    <t>Ginger, saffron, turmeric (curcuma), thyme, bay leaves, curry and other spices</t>
  </si>
  <si>
    <t>Ginger, saffron, turmeric "curcuma", thyme, bay leaves, curry and other spices (excl. pepper of the genus Piper, fruit of the genus Capsicum or of the genus Pimenta, vanilla, cinnamon, cinnamontree flowers, cloves [wholefruit], clove stems, nutmeg, mace, cardamoms, seeds of anise, badian, fennel, coriander, cumin and caraway, and juniper berries)</t>
  </si>
  <si>
    <t>1001</t>
  </si>
  <si>
    <t>Wheat and meslin</t>
  </si>
  <si>
    <t>1002 00</t>
  </si>
  <si>
    <t>1003 00</t>
  </si>
  <si>
    <t>1004 00</t>
  </si>
  <si>
    <t>1005</t>
  </si>
  <si>
    <t>Maize or corn</t>
  </si>
  <si>
    <t>1007 00</t>
  </si>
  <si>
    <t>Grain sorghum</t>
  </si>
  <si>
    <t>1008</t>
  </si>
  <si>
    <t>Buckwheat, millet and canary seed; other cereals</t>
  </si>
  <si>
    <t>Buckwheat, millet, canary seed and other cereals (excl. wheat and meslin, rye, barley, oats, maize, rice and grain sorghum)</t>
  </si>
  <si>
    <t>1201 00</t>
  </si>
  <si>
    <t>Soya beans, whether or not broken</t>
  </si>
  <si>
    <t>1202</t>
  </si>
  <si>
    <t>Ground-nuts, not roasted or otherwise cooked, whether or not shelled or broken</t>
  </si>
  <si>
    <t>Ground-nuts, whether or not shelled or broken (excl. roasted or otherwise cooked)</t>
  </si>
  <si>
    <t>1204 00</t>
  </si>
  <si>
    <t>Linseed, whether or not broken</t>
  </si>
  <si>
    <t>1205</t>
  </si>
  <si>
    <t>Rape or colza seeds, whether or not broken</t>
  </si>
  <si>
    <t>1206 00</t>
  </si>
  <si>
    <t>Sunflower seeds, whether or not broken</t>
  </si>
  <si>
    <t>1207 30</t>
  </si>
  <si>
    <t xml:space="preserve"> - Castor oil seeds</t>
  </si>
  <si>
    <t>Castor oil seeds, whether or not broken</t>
  </si>
  <si>
    <t>1207 40</t>
  </si>
  <si>
    <t xml:space="preserve"> - Sesamum seeds</t>
  </si>
  <si>
    <t>Sesamum seeds, whether or not broken</t>
  </si>
  <si>
    <t>1207 50</t>
  </si>
  <si>
    <t xml:space="preserve"> - Mustard seeds</t>
  </si>
  <si>
    <t>Mustard seeds, whether or not broken</t>
  </si>
  <si>
    <t>1207 60</t>
  </si>
  <si>
    <t xml:space="preserve"> - Safflower seeds</t>
  </si>
  <si>
    <t>Safflower seeds, whether or not broken</t>
  </si>
  <si>
    <t>1210</t>
  </si>
  <si>
    <t>Hop cones, fresh or dried, whether or not ground, powdered or in the form of pellets; lupulin</t>
  </si>
  <si>
    <t>1212 91</t>
  </si>
  <si>
    <t xml:space="preserve"> -  - Sugar beet</t>
  </si>
  <si>
    <t>Sugar beet, fresh, chilled, frozen or dried, whether or not ground</t>
  </si>
  <si>
    <t>1214</t>
  </si>
  <si>
    <t>Swedes, mangolds, fodder roots, hay, lucerne (alfalfa), clover, sainfoin, forage kale, lupines, vetches and similar forage products, whether or not in the form of pellets</t>
  </si>
  <si>
    <t>Swedes, mangolds, fodder roots, hay, alfalfa, clover, sainfoin, forage kale, lupines, vetches and similar forage products, whether or not in the form of pellets</t>
  </si>
  <si>
    <t>1801 00</t>
  </si>
  <si>
    <t>Cocoa beans, whole or broken, raw or roasted</t>
  </si>
  <si>
    <t>4001</t>
  </si>
  <si>
    <t>Natural rubber, balata, gutta-percha, guayule, chicle and similar natural gums, in primary forms or in plates, sheets or strip</t>
  </si>
  <si>
    <t>5201 00</t>
  </si>
  <si>
    <t>Cotton, not carded or combed</t>
  </si>
  <si>
    <t>Cotton, neither carded nor combed</t>
  </si>
  <si>
    <t>5301</t>
  </si>
  <si>
    <t>Flax, raw or processed but not spun; flax tow and waste (including yarn waste and garnetted stock)</t>
  </si>
  <si>
    <t>Flax, raw or processed, but not spun; flax tow and waste, incl. yarn waste and garnetted stock</t>
  </si>
  <si>
    <t>5302</t>
  </si>
  <si>
    <t>True hemp (Cannabis sativa L.), raw or processed but not spun; tow and waste of true hemp (including yarn waste and garnetted stock)</t>
  </si>
  <si>
    <t>True hemp "Cannabis sativa L.", raw or processed, but not spun; tow and waste of true hemp, incl. yarn waste and garnetted stock</t>
  </si>
  <si>
    <t>5303</t>
  </si>
  <si>
    <t>Jute and other textile bast fibres (excluding flax, true hemp and ramie), raw or processed but not spun; tow and waste of these fibres (including yarn waste and garnetted stock)</t>
  </si>
  <si>
    <t>Jute and other textile bast fibres, raw or processed, but not spun; tow and waste of such fibres, incl. yarn waste and garnetted stock (excl. flax, true hemp and ramie)</t>
  </si>
  <si>
    <t>1212 99</t>
  </si>
  <si>
    <t xml:space="preserve"> -  - Other</t>
  </si>
  <si>
    <t>Fruit stones and kernels and other vegetable products, incl. unroasted chicory roots of the variety cichorium intybus sativum, of a kind used primarily for human consumption, n.e.s.</t>
  </si>
  <si>
    <t>1207 21</t>
  </si>
  <si>
    <t>- Seed</t>
  </si>
  <si>
    <t>Cotton seeds for sowing</t>
  </si>
  <si>
    <t>4501</t>
  </si>
  <si>
    <t>Natural cork, raw or simply prepared; waste cork; crushed, granulated or ground cork</t>
  </si>
  <si>
    <t>Natural cork, raw or merely surface-worked or otherwise cleaned; cork waste; crushed, powdered or ground cork</t>
  </si>
  <si>
    <t>N/A (**)</t>
  </si>
  <si>
    <t>N/A</t>
  </si>
  <si>
    <t>0802</t>
  </si>
  <si>
    <t>Other nuts, fresh or dried, whether or not shelled or peeled</t>
  </si>
  <si>
    <t>Other nuts, fresh or dried, whether or not shelled or peeled (excl. coconuts, Brazil nuts and cashew nuts)</t>
  </si>
  <si>
    <t>First root product</t>
  </si>
  <si>
    <t>Second root product</t>
  </si>
  <si>
    <t>Third root product</t>
  </si>
  <si>
    <t>HS Code</t>
  </si>
  <si>
    <t>Parent</t>
  </si>
  <si>
    <t>Description</t>
  </si>
  <si>
    <t>Self-explanatory texts</t>
  </si>
  <si>
    <t>Product fraction</t>
  </si>
  <si>
    <t>Value fraction</t>
  </si>
  <si>
    <t>Rootproduct of first order (HS code if not else specified)</t>
  </si>
  <si>
    <t>Notes</t>
  </si>
  <si>
    <t>Source</t>
  </si>
  <si>
    <t>0711 20</t>
  </si>
  <si>
    <t xml:space="preserve"> - Olives</t>
  </si>
  <si>
    <t>Olives, provisionally preserved, e.g. by sulphur dioxide gas, in brine, in sulphur water or in other preservative solutions, but unsuitable in that state for immediate consumption</t>
  </si>
  <si>
    <t>FAO code 260/APRO code O1000</t>
  </si>
  <si>
    <t>Mekonnen and Hoekstra (2010a)</t>
  </si>
  <si>
    <t xml:space="preserve">0711 40 </t>
  </si>
  <si>
    <t xml:space="preserve"> - Cucumbers and gherkins</t>
  </si>
  <si>
    <t>Cucumbers and gherkins provisionally preserved, e.g. by sulphur dioxide gas, in brine, in sulphur water or in other preservative solutions, but unsuitable in that state for immediate consumption</t>
  </si>
  <si>
    <t>0712</t>
  </si>
  <si>
    <t>07</t>
  </si>
  <si>
    <t>Dried vegetables, whole, cut, sliced, broken or in powder, but not further prepared</t>
  </si>
  <si>
    <t>0709</t>
  </si>
  <si>
    <t>0713</t>
  </si>
  <si>
    <t>Dried leguminous vegetables, shelled, whether or not skinned or split</t>
  </si>
  <si>
    <t xml:space="preserve">0813 10 </t>
  </si>
  <si>
    <t>Dried apricots</t>
  </si>
  <si>
    <t>080910</t>
  </si>
  <si>
    <t xml:space="preserve">0813 20 </t>
  </si>
  <si>
    <t xml:space="preserve"> - Prunes</t>
  </si>
  <si>
    <t>Dried prunes</t>
  </si>
  <si>
    <t>080940</t>
  </si>
  <si>
    <t xml:space="preserve">0813 30 </t>
  </si>
  <si>
    <t>Dried apples</t>
  </si>
  <si>
    <t>080810</t>
  </si>
  <si>
    <t>0813 40</t>
  </si>
  <si>
    <t xml:space="preserve"> - Other fruit</t>
  </si>
  <si>
    <t>Dried peaches, pears, papaws "papayas", tamarinds and other edible fruits (excl. nuts, bananas, dates, figs, pineapples, avocadoes, guavas, mangoes, mangosteens, citrus fruit, grapes apricots, prunes and apples, unmixed)</t>
  </si>
  <si>
    <t>0904</t>
  </si>
  <si>
    <t>09</t>
  </si>
  <si>
    <t>Pepper of the genus Piper; dried or crushed or ground fruits of the genus Capsicum or of the genus Pimenta</t>
  </si>
  <si>
    <t>FAO code 689</t>
  </si>
  <si>
    <t>1006</t>
  </si>
  <si>
    <t>10</t>
  </si>
  <si>
    <t>FAO code 27/APRO code C2000</t>
  </si>
  <si>
    <t>As rice is mostly imported as husked or milled (76% are imports of 100620 and 100630), a factor is used to convert it to paddy. Value fraction taken as 1 as there is no code for rice hulls.</t>
  </si>
  <si>
    <t>FAO (2000)</t>
  </si>
  <si>
    <t>1101 00</t>
  </si>
  <si>
    <t>11</t>
  </si>
  <si>
    <t>Wheat or meslin flour</t>
  </si>
  <si>
    <t>1102 20</t>
  </si>
  <si>
    <t xml:space="preserve"> - Maize (corn) flour</t>
  </si>
  <si>
    <t>Maize "corn" flour</t>
  </si>
  <si>
    <t>1102 90</t>
  </si>
  <si>
    <t xml:space="preserve"> - Other</t>
  </si>
  <si>
    <t>Cereal flours (excl. wheat, meslin, rye, maize and rice)</t>
  </si>
  <si>
    <t>1103 11</t>
  </si>
  <si>
    <t xml:space="preserve"> -  - Of wheat</t>
  </si>
  <si>
    <t>Groats and meal of wheat</t>
  </si>
  <si>
    <t>1103 20</t>
  </si>
  <si>
    <t>1103 13</t>
  </si>
  <si>
    <t xml:space="preserve"> -  - Of maize (corn)</t>
  </si>
  <si>
    <t>Groats and meal of maize "corn"</t>
  </si>
  <si>
    <t>1103 19</t>
  </si>
  <si>
    <t xml:space="preserve"> -  - Of other cereals</t>
  </si>
  <si>
    <t>Groats and meal of cereals (excl. wheat and maize)</t>
  </si>
  <si>
    <t xml:space="preserve"> - Pellets</t>
  </si>
  <si>
    <t>Pellets</t>
  </si>
  <si>
    <t>1104 12</t>
  </si>
  <si>
    <t xml:space="preserve"> -  - Of oats</t>
  </si>
  <si>
    <t>Rolled or flaked grains of oats</t>
  </si>
  <si>
    <t>1104 19</t>
  </si>
  <si>
    <t>Rolled or flaked grains of cereals (excl. barley and oats)</t>
  </si>
  <si>
    <t>1104 22</t>
  </si>
  <si>
    <t>Hulled, pearled, sliced, kibbled or otherwise worked oat grains (excl. oat flour)</t>
  </si>
  <si>
    <t>1104 23</t>
  </si>
  <si>
    <t>Hulled, pearled, sliced, kibbled or otherwise worked maize grains (excl. maize flour)</t>
  </si>
  <si>
    <t>1104 29</t>
  </si>
  <si>
    <t>Grains of cereals, hulled, pearled, sliced, kibbled or otherwise worked (excl. oats and maize, grain flour and husked and semi- or wholly milled rice and broken rice)</t>
  </si>
  <si>
    <t>1104 30</t>
  </si>
  <si>
    <t xml:space="preserve"> - Germ of cereals, whole, rolled, flaked or ground</t>
  </si>
  <si>
    <t>Germ of cereals, whole, rolled, flaked or ground</t>
  </si>
  <si>
    <t>1105</t>
  </si>
  <si>
    <t>Flour, meal, powder, flakes, granules and pellets of potatoes</t>
  </si>
  <si>
    <t>1106</t>
  </si>
  <si>
    <t>Flour, meal and powder of the dried leguminous vegetables of heading 0713, of sago or of roots or tubers of heading 0714 or of the products of Chapter 8</t>
  </si>
  <si>
    <t>Flour, meal and powder of peas, beans, lentils and other dried leguminous vegetables of heading 0713, of sago and manioc, arrowroot and salep, Jerusalem artichoke, sweet potatoes and similar roots and tubers with high starch or inulin content of heading 0714, produce of chapter 8 "Edible fruit and nuts; peel of citrus fruits or melons"</t>
  </si>
  <si>
    <t>1107 10</t>
  </si>
  <si>
    <t xml:space="preserve"> - Not roasted</t>
  </si>
  <si>
    <t>Malt (excl. roasted)</t>
  </si>
  <si>
    <t xml:space="preserve">1107 20 </t>
  </si>
  <si>
    <t xml:space="preserve"> - Roasted</t>
  </si>
  <si>
    <t>Roasted malt</t>
  </si>
  <si>
    <t xml:space="preserve">1108 11 </t>
  </si>
  <si>
    <t xml:space="preserve"> -  - Wheat starch</t>
  </si>
  <si>
    <t>Wheat starch</t>
  </si>
  <si>
    <t xml:space="preserve">1108 12 </t>
  </si>
  <si>
    <t xml:space="preserve"> -  - Maize (corn) starch</t>
  </si>
  <si>
    <t>Maize starch</t>
  </si>
  <si>
    <t xml:space="preserve">1108 13 </t>
  </si>
  <si>
    <t xml:space="preserve"> -  - Potato starch</t>
  </si>
  <si>
    <t>Potato starch</t>
  </si>
  <si>
    <t xml:space="preserve">1108 14 </t>
  </si>
  <si>
    <t xml:space="preserve"> -  - Manioc (cassava) starch</t>
  </si>
  <si>
    <t>Manioc starch</t>
  </si>
  <si>
    <t>1109 00</t>
  </si>
  <si>
    <t>Wheat gluten, whether or not dried</t>
  </si>
  <si>
    <t>1203 00</t>
  </si>
  <si>
    <t>12</t>
  </si>
  <si>
    <t>1207 10</t>
  </si>
  <si>
    <t xml:space="preserve"> - Palm nuts and kernels</t>
  </si>
  <si>
    <t>Palm nuts and kernels, whether or not broken</t>
  </si>
  <si>
    <t>FAO code 254</t>
  </si>
  <si>
    <t>1208</t>
  </si>
  <si>
    <t>Flours and meals of oil seeds or oleaginous fruits, other than those of mustard</t>
  </si>
  <si>
    <t>Flours and meals of oil seeds or oleaginous fruits (excl. mustard)</t>
  </si>
  <si>
    <t>1507</t>
  </si>
  <si>
    <t>15</t>
  </si>
  <si>
    <t>Soya-bean oil and its fractions, whether or not refined, but not chemically modified</t>
  </si>
  <si>
    <t>Soya-bean oil and its fractions, whether or not refined (excl. chemically modified)</t>
  </si>
  <si>
    <t>1508</t>
  </si>
  <si>
    <t>Ground-nut oil and its fractions, whether or not refined, but not chemically modified</t>
  </si>
  <si>
    <t>1509</t>
  </si>
  <si>
    <t>Olive oil and its fractions, whether or not refined, but not chemically modified</t>
  </si>
  <si>
    <t>Olive oil and its fractions obtained from the fruit of the olive tree solely by mechanical or other physical means under conditions that do not lead to deterioration of the oil, whether or not refined, but not chemically modified</t>
  </si>
  <si>
    <t>1510 00</t>
  </si>
  <si>
    <t>Other oils and their fractions, obtained solely from olives, whether or not refined, but not chemically modified, including blends of these oils or fractions with oils or fractions of heading No 1509</t>
  </si>
  <si>
    <t>Other oils and their fractions, obtained solely from olives, whether or not refined, but not chemically modified, incl. blends of these oils or fractions with oils or fractions of heading 1509</t>
  </si>
  <si>
    <t>1511</t>
  </si>
  <si>
    <t>Palm oil and its fractions, whether or not refined, but not chemically modified</t>
  </si>
  <si>
    <t>Palm oil and its fractions, whether or not refined (excl. chemically modified)</t>
  </si>
  <si>
    <t>1512</t>
  </si>
  <si>
    <t>Sunflower-seed, safflower or cotton-seed oil and fractions thereof, whether or not refined, but not chemically modified</t>
  </si>
  <si>
    <t>1206</t>
  </si>
  <si>
    <t>1513 11</t>
  </si>
  <si>
    <t xml:space="preserve"> -  - Crude oil</t>
  </si>
  <si>
    <t>Crude coconut oil</t>
  </si>
  <si>
    <t>1513 19</t>
  </si>
  <si>
    <t>Coconut oil and its fractions, whether or not refined, but not chemically modified (excl. crude)</t>
  </si>
  <si>
    <t>1513 21</t>
  </si>
  <si>
    <t>Crude palm kernel and babassu oil</t>
  </si>
  <si>
    <t>1513 29</t>
  </si>
  <si>
    <t>Palm kernel and babassu oil and their fractions, whether or not refined, but not chemically modified (excl. crude)</t>
  </si>
  <si>
    <t>1514</t>
  </si>
  <si>
    <t>Rape, colza or mustard oil and fractions thereof, whether or not refined, but not chemically modified</t>
  </si>
  <si>
    <t>1517</t>
  </si>
  <si>
    <t>Margarine; edible mixtures or preparations of animal or vegetable fats or oils or of fractions of different fats or oils of this chapter, other than edible fats or oils or their fractions of heading No 1516</t>
  </si>
  <si>
    <t>Margarine, other edible mixtures or preparations of animal or vegetable fats or oils and edible fractions of different fats or oils (excl. fats, oils and their fractions, partly or wholly hydrogenated, inter-esterified, re-esterified or elaidinized, whether or not refined, but not further prepared, and mixtures of olive oils and their fractions)</t>
  </si>
  <si>
    <t>Modelled with the quantities reported for fresh margarine from source</t>
  </si>
  <si>
    <t>Nilson et al. (2010)</t>
  </si>
  <si>
    <t>1701 14</t>
  </si>
  <si>
    <t>1701</t>
  </si>
  <si>
    <t>- - Cane sugar</t>
  </si>
  <si>
    <t>Raw cane sugar (excl. added flavouring or colouring)</t>
  </si>
  <si>
    <t>1701 12</t>
  </si>
  <si>
    <t>- - Beet sugar</t>
  </si>
  <si>
    <t>Raw beet sugar (excl. added flavouring or colouring)</t>
  </si>
  <si>
    <t xml:space="preserve">1701 91 </t>
  </si>
  <si>
    <t xml:space="preserve"> -  - Containing added flavouring or colouring matter</t>
  </si>
  <si>
    <t>Refined cane or beet sugar, containing added flavouring or colouring, in solid form</t>
  </si>
  <si>
    <t>assuming 50-50 split</t>
  </si>
  <si>
    <t>1701 99</t>
  </si>
  <si>
    <t>Cane or beet sugar and chemically pure sucrose, in solid form (excl. cane and beet sugar containing added flavouring or colouring and raw sugar)</t>
  </si>
  <si>
    <t>1703</t>
  </si>
  <si>
    <t>Molasses resulting from the extraction or refining of sugar</t>
  </si>
  <si>
    <t>1803</t>
  </si>
  <si>
    <t>18</t>
  </si>
  <si>
    <t>Cocoa paste, whether or not defatted</t>
  </si>
  <si>
    <t>1804 00</t>
  </si>
  <si>
    <t>Cocoa butter, fat and oil</t>
  </si>
  <si>
    <t>1805 00</t>
  </si>
  <si>
    <t>Cocoa powder, not containing added sugar or other sweetening matter</t>
  </si>
  <si>
    <t>1806</t>
  </si>
  <si>
    <t>Chocolate and other food preparations containing cocoa</t>
  </si>
  <si>
    <t>1701 91</t>
  </si>
  <si>
    <t>Recanati et al. (2018)</t>
  </si>
  <si>
    <t>1902 19</t>
  </si>
  <si>
    <t>Uncooked pasta, not stuffed or otherwise prepared, not containing eggs</t>
  </si>
  <si>
    <t>1905</t>
  </si>
  <si>
    <t>19</t>
  </si>
  <si>
    <t>Bread, pastry, cakes, biscuits and other bakers' wares, whether or not containing cocoa; communion wafers, empty cachets of a kind suitable for pharmaceutical use, sealing wafers, rice paper and similar products</t>
  </si>
  <si>
    <t>modelled as bread</t>
  </si>
  <si>
    <t>2001</t>
  </si>
  <si>
    <t>20</t>
  </si>
  <si>
    <t>Vegetables, fruit, nuts and other edible parts of plants, prepared or preserved by vinegar or acetic acid</t>
  </si>
  <si>
    <t>modelled as cucumbers and gerkins</t>
  </si>
  <si>
    <t>2002</t>
  </si>
  <si>
    <t>Tomatoes prepared or preserved otherwise than by vinegar or acetic acid</t>
  </si>
  <si>
    <t>Tomatoes, prepared or preserved otherwise than by vinegar or acetic acid</t>
  </si>
  <si>
    <t>2003</t>
  </si>
  <si>
    <t>Mushrooms and truffles, prepared or preserved otherwise than by vinegar or acetic acid</t>
  </si>
  <si>
    <t>FAO code 449/APRO code U1000</t>
  </si>
  <si>
    <t>2007</t>
  </si>
  <si>
    <t>Jams, fruit jellies, marmalades, fruit or nut purée and fruit or nut pastes, obtained by cooking, whether or not containing added sugar or other sweetening matter</t>
  </si>
  <si>
    <t>Jams, fruit jellies, marmalades, fruit or nut puree and fruit or nut pastes, obtained by cooking, whether or not containing added sugar or other sweetening matter</t>
  </si>
  <si>
    <t>Scaccabarozzi et al. (2015)</t>
  </si>
  <si>
    <t>2009 11</t>
  </si>
  <si>
    <t xml:space="preserve"> -  - Frozen</t>
  </si>
  <si>
    <t>Frozen orange juice, unfermented, whether or not containing added sugar or other sweetening matter (excl. containing spirit)</t>
  </si>
  <si>
    <t xml:space="preserve">2009 21 </t>
  </si>
  <si>
    <t xml:space="preserve"> -  - Of a Brix value not exceeding 20</t>
  </si>
  <si>
    <t>Grapefruit juice, unfermented, Brix value &lt;= 20 at 20°C, whether or not containing added sugar or other sweetening matter (excl. containing spirit)</t>
  </si>
  <si>
    <t>2009 41</t>
  </si>
  <si>
    <t xml:space="preserve"> -  - Of a Brix value not exceeding  20</t>
  </si>
  <si>
    <t>Pineapple juice, unfermented, Brix value &lt;= 20 at 20°C, whether or not containing added sugar or other sweetening matter (excl. containing spirit)</t>
  </si>
  <si>
    <t>2009 50</t>
  </si>
  <si>
    <t xml:space="preserve"> - Tomato juice</t>
  </si>
  <si>
    <t>Tomato juice, unfermented, whether or not containing added sugar or other sweetening matter (excl. containing spirit)</t>
  </si>
  <si>
    <t>2009 61</t>
  </si>
  <si>
    <t xml:space="preserve"> -  - Of a Brix value not exceeding 30</t>
  </si>
  <si>
    <t>Grape juice, incl. grape must, unfermented, Brix value &lt;= 30 at 20°C, whether or not containing added sugar or other sweetening matter (excl. containing spirit)</t>
  </si>
  <si>
    <t>2009 71</t>
  </si>
  <si>
    <t>Apple juice, unfermented, Brix value &lt;= 20 at 20°C, whether or not containing added sugar or other sweetening matter (excl. containing spirit)</t>
  </si>
  <si>
    <t>2009 81</t>
  </si>
  <si>
    <t>2009</t>
  </si>
  <si>
    <t>Cranberry "Vaccinium macrocarpon, Vaccinium oxycoccos, Vaccinium vitis-idaea" juice, unfermented, whether or not containing added sugar or other sweetening matter (excl. containing spirit)(2012-2500)</t>
  </si>
  <si>
    <t>2103 10</t>
  </si>
  <si>
    <t>2103</t>
  </si>
  <si>
    <t>- Soya sauce</t>
  </si>
  <si>
    <t>2103 20</t>
  </si>
  <si>
    <t>- Tomato ketchup and other tomato sauces</t>
  </si>
  <si>
    <t>Tomato ketchup and other tomato sauces</t>
  </si>
  <si>
    <t>2103 30</t>
  </si>
  <si>
    <t>- Mustard flour and meal and prepared mustard</t>
  </si>
  <si>
    <t>Mustard flour and meal, whether or not prepared, and mustard</t>
  </si>
  <si>
    <t>2203 00</t>
  </si>
  <si>
    <t>22</t>
  </si>
  <si>
    <t>Beer made from malt</t>
  </si>
  <si>
    <t>110710</t>
  </si>
  <si>
    <t>2204</t>
  </si>
  <si>
    <t>Wine of fresh grapes, including fortified wines; grape must other than that of heading No 2009</t>
  </si>
  <si>
    <t>Wine of fresh grapes, incl. fortified wines; grape must, partly fermented and of an actual alcoholic strength of &gt; 0,5% vol or grape must with added alcohol of an actual alcoholic strength of &gt; 0,5% vol</t>
  </si>
  <si>
    <t>2206 00</t>
  </si>
  <si>
    <t>Other fermented beverages (for example, cider, perry, mead); mixtures of fermented beverages and mixtures of fermented beverages and non-alcoholic beverages, not elsewhere specified or included</t>
  </si>
  <si>
    <t>Cider, perry, mead and other fermented beverages and mixtures of fermented beverages and non-alcoholic beverages, n.e.s. (excl. beer, wine or fresh grapes, grape must, vermouth and other wine of fresh grapes flavoured with plants or aromatic substances)</t>
  </si>
  <si>
    <t>2209 00</t>
  </si>
  <si>
    <t>Vinegar and substitutes for vinegar obtained from acetic acid</t>
  </si>
  <si>
    <t>Vinegar, fermented vinegar and substitutes for vinegar obtained from acetic acid</t>
  </si>
  <si>
    <t>Bartocci et al. (2017)</t>
  </si>
  <si>
    <t>2304 00</t>
  </si>
  <si>
    <t>23</t>
  </si>
  <si>
    <t>Oil-cake and other solid residues, whether or not ground or in the form of pellets, resulting from the extraction of soya-bean oil</t>
  </si>
  <si>
    <t>2305 00</t>
  </si>
  <si>
    <t>Oil-cake and other solid residues, whether or not ground or in the form of pellets, resulting from the extraction of ground-nut oil</t>
  </si>
  <si>
    <t xml:space="preserve">2306 10 </t>
  </si>
  <si>
    <t xml:space="preserve"> - Of cotton seeds</t>
  </si>
  <si>
    <t>Oil-cake and other solid residues, whether or not ground or in the form of pellets, resulting from the extraction of cotton seeds</t>
  </si>
  <si>
    <t xml:space="preserve">2306 20 </t>
  </si>
  <si>
    <t xml:space="preserve"> - Of linseed</t>
  </si>
  <si>
    <t>Oil-cake and other solid residues, whether or not ground or in the form of pellets, resulting from the extraction of linseed</t>
  </si>
  <si>
    <t xml:space="preserve">2306 30 </t>
  </si>
  <si>
    <t xml:space="preserve"> - Of sunflower seeds</t>
  </si>
  <si>
    <t>Oil-cake and other solid residues, whether or not ground or in the form of pellets, resulting from the extraction of sunflower seeds</t>
  </si>
  <si>
    <t xml:space="preserve">2306 41 </t>
  </si>
  <si>
    <t xml:space="preserve"> -  - Of low erucic acid rape or colza seeds</t>
  </si>
  <si>
    <t>Oil-cake and other solid residues, whether or not ground or in the form of pellets, resulting from the extraction of low erucic acid rape or colza seeds "yielding a fixed oil which has an erucic acid content of &lt; 2% and yielding a solid component of glucosinolates of &lt; 30 micromoles/g"</t>
  </si>
  <si>
    <t xml:space="preserve">2306 50 </t>
  </si>
  <si>
    <t xml:space="preserve"> - Of coconut or copra</t>
  </si>
  <si>
    <t>Oil-cake and other solid residues, whether or not ground or in the form of pellets, resulting from the extraction of coconut or copra</t>
  </si>
  <si>
    <t xml:space="preserve">2306 60 </t>
  </si>
  <si>
    <t xml:space="preserve"> - Of palm nuts or kernels</t>
  </si>
  <si>
    <t>Oil-cake and other solid residues, whether or not ground or in the form of pellets, resulting from the extraction of palm nuts or kernels</t>
  </si>
  <si>
    <t>2401</t>
  </si>
  <si>
    <t>24</t>
  </si>
  <si>
    <t>Unmanufactured tobacco; tobacco refuse</t>
  </si>
  <si>
    <t>FAO code 826/APRO code I3000</t>
  </si>
  <si>
    <t>5203 00</t>
  </si>
  <si>
    <t>52</t>
  </si>
  <si>
    <t>Cotton, carded or combed</t>
  </si>
  <si>
    <t>5204</t>
  </si>
  <si>
    <t>Cotton sewing thread, whether or not put up for retail sale</t>
  </si>
  <si>
    <t>Hauser (2015)</t>
  </si>
  <si>
    <t>5205</t>
  </si>
  <si>
    <t>Cotton yarn (other than sewing thread), containing 85 % or more by weight of cotton, not put up for retail sale</t>
  </si>
  <si>
    <t>Cotton yarn other than sewing thread, containing &gt;= 85% cotton by weight (excl. that put up for retail sale)</t>
  </si>
  <si>
    <t>5305</t>
  </si>
  <si>
    <t>53</t>
  </si>
  <si>
    <t>Coconut, abaca (Manila hemp or Musa textilis Nee), ramie and other vegetable textile fibres, not elsewhere specified or included, raw or processed but not spun; tow, noils and waste of these fibres (including yarn waste and garnetted stock)</t>
  </si>
  <si>
    <t>Coconut, abaca "Manila hemp or Musa textilis Nee", ramie and other vegetable textile fibres, n.e.s., raw or processed, but not spun; tow, noils and waste of such fibres, incl. yarn waste and garnetted stock</t>
  </si>
  <si>
    <t>5306</t>
  </si>
  <si>
    <t>Flax yarn</t>
  </si>
  <si>
    <t>EcoInvent process "fibre production, flax, retting {GLO}". The co-product flax husks is not assigned an economic value as it is not included in trade statistics</t>
  </si>
  <si>
    <t>Wernet et al. (2016)</t>
  </si>
  <si>
    <t>5307</t>
  </si>
  <si>
    <t>Yarn of jute or of other textile bast fibres of heading No 5303</t>
  </si>
  <si>
    <t>Yarn of jute or of other textile bast fibres of heading 5303</t>
  </si>
  <si>
    <t>EcoInvent process "fibre production, jute, retting {BD}". The co-product jute stalk is not assigned an economic value as it is not included in trade statistics</t>
  </si>
  <si>
    <t>Irrig_cat</t>
  </si>
  <si>
    <t>Cultivos_agregados</t>
  </si>
  <si>
    <t>Rainfed</t>
  </si>
  <si>
    <t>Cereal y otros cultivos de secano</t>
  </si>
  <si>
    <t>Horticolas de secano</t>
  </si>
  <si>
    <t>Viñedo de secano</t>
  </si>
  <si>
    <t>Olivar de secano</t>
  </si>
  <si>
    <t>Almendro y otros frutales de secano</t>
  </si>
  <si>
    <t>Citricos de secano</t>
  </si>
  <si>
    <t xml:space="preserve">Linseed </t>
  </si>
  <si>
    <t>Irrigated</t>
  </si>
  <si>
    <t>Cereal y otros cultivos de regadio</t>
  </si>
  <si>
    <t>Horticolas de regadio</t>
  </si>
  <si>
    <t>Viñedo de regadio</t>
  </si>
  <si>
    <t>Olivar de regadio</t>
  </si>
  <si>
    <t>Otros frutales de regadio</t>
  </si>
  <si>
    <t>Citricos de regadio</t>
  </si>
  <si>
    <t>Greenhouse</t>
  </si>
  <si>
    <t>Horticolas cubiertas</t>
  </si>
  <si>
    <t>GRUPO_CULT</t>
  </si>
  <si>
    <t>orden2</t>
  </si>
  <si>
    <t>GRUPO2</t>
  </si>
  <si>
    <t>SUPERGRUPO</t>
  </si>
  <si>
    <t>C. Herbáceos</t>
  </si>
  <si>
    <t>C. Leñosos</t>
  </si>
  <si>
    <t>C. forrajeros</t>
  </si>
  <si>
    <t>C. Industriales</t>
  </si>
  <si>
    <t>Leguminosas grano</t>
  </si>
  <si>
    <t>Cereales Primavera</t>
  </si>
  <si>
    <t>Cereales Invierno</t>
  </si>
  <si>
    <t>Otros c. leñosos</t>
  </si>
  <si>
    <t>Prados</t>
  </si>
  <si>
    <t>Pastos</t>
  </si>
  <si>
    <t>Prickly pears</t>
  </si>
  <si>
    <t>beetfor</t>
  </si>
  <si>
    <t>cabbagefor</t>
  </si>
  <si>
    <t>carrotfor</t>
  </si>
  <si>
    <t>clover</t>
  </si>
  <si>
    <t>fornes</t>
  </si>
  <si>
    <t>grassnes</t>
  </si>
  <si>
    <t>legumenes</t>
  </si>
  <si>
    <t>maizefor</t>
  </si>
  <si>
    <t>Maté leaves</t>
  </si>
  <si>
    <t>mixedgrass</t>
  </si>
  <si>
    <t>oilseedfor</t>
  </si>
  <si>
    <t>ryefor</t>
  </si>
  <si>
    <t>sorghumfor</t>
  </si>
  <si>
    <t>swedefor</t>
  </si>
  <si>
    <t>turnipfor</t>
  </si>
  <si>
    <t>vegfor</t>
  </si>
  <si>
    <t>moisture</t>
  </si>
  <si>
    <t>Grazing</t>
  </si>
  <si>
    <t>fao_code</t>
  </si>
  <si>
    <t>fao_item</t>
  </si>
  <si>
    <t>water_item</t>
  </si>
  <si>
    <t>water_colname</t>
  </si>
  <si>
    <t>description</t>
  </si>
  <si>
    <t>Triticum spp.: common (T. aestivum) durum (T. durum) spelt (T. spelta). Common and durum wheat are the main types. Among common wheat, the main varieties are spring and winter, hard and soft, and red and white. At the national level, different varieties s</t>
  </si>
  <si>
    <t>Oryza spp., mainly oryza sativa. Rice grain after threshing and winnowing. Also known as rice in the husk and rough rice. Used mainly for human food.</t>
  </si>
  <si>
    <t>Barely</t>
  </si>
  <si>
    <t>Hordeum spp.: two-row barley (H. disticum) six-row barley (H. hexasticum) four-row barley (H. vulgare). Tolerates poorer soils and lower temperatures better than does wheat. Varieties include with husk and without (naked). Used as a livestock feed, for ma</t>
  </si>
  <si>
    <t>Zea mays Corn, Indian corn, mealies. A grain with a high germ content. At the national level, hybrid and ordinary maize should be reported separately owing to widely different yields and uses. Used largely for animal feed and commercial starch production.</t>
  </si>
  <si>
    <t>Secale cereale. A grain that is tolerant of poor soils, high latitudes and altitudes. Mainly used in making bread, whisky and beer. When fed to livestock, it is generally mixed with other grains.</t>
  </si>
  <si>
    <t>Avena spp., mainly Avena sativa. A plant with open, spreading panicle-bearing large spikelets. Used primarily in breakfast foods. Makes excellent fodder for horses.</t>
  </si>
  <si>
    <t>Including inter alia: barnyard or Japanese millet (Echinocloa frumentacea); ragi, finger or African millet (Eleusine coracana); teff (Eragrostis abyssinica); common, golden or proso millet (Panicum miliaceum); koda or ditch millet (Paspalum scrobiculatum)</t>
  </si>
  <si>
    <t xml:space="preserve">Sorghum spp.: guinea corn (S. guineense); common, milo, feterita, kaffir corn (S. vulgare); durra, jowar, kaoliang (S. dura). A cereal that has both food and feed uses. Sorghum is a major food grain in most of Africa, where it is also used in traditional </t>
  </si>
  <si>
    <t>Fagopyrum esculentum (Polygonaceae). A minor cereal cultivated primarily in northern regions. Buckwheat is considered a cereal, although it does not belong to the gramineous family.</t>
  </si>
  <si>
    <t>Chenopodium quinoa (Chenopodiaceae). A minor cereal, which tolerates high altitudes, quinoa is cultivated primarily in andean countries. Used for food and to make chicha, a fermented beverage.</t>
  </si>
  <si>
    <t>Digitaria spp.: fonio or findi (D. exilis); black fonio or hungry rice (D. iburua). A minor cereal of importance only in West Africa where it is eaten in place of rice during famines. The seeds are cooked by steaming the whole grain.</t>
  </si>
  <si>
    <t>A minor cereal that is a cross between wheat and rye, combining the quality and yield of wheat with the hardiness of rye.</t>
  </si>
  <si>
    <t>Canary.seed</t>
  </si>
  <si>
    <t>Phalaris canariensis. Minor cereal normally used as bird feed.</t>
  </si>
  <si>
    <t>Mixed.grain</t>
  </si>
  <si>
    <t>A mixture of cereal species that are sown and harvested together. The mixture wheat/rye is known as meslin, but in trade is usually classified with wheat.</t>
  </si>
  <si>
    <t>Cereals..nes</t>
  </si>
  <si>
    <t>Including inter alia: canagua or coaihua (Chenopodium pallidicaule); quihuicha or Inca wheat (Amaranthus caudatus); adlay or Job's tears (Coix lacryma-jobi); wild rice (Zizania aquatica). Other cereal crops that are not identified separately because of th</t>
  </si>
  <si>
    <t>Solanum tuberosum Irish potato. A seasonal crop grown in temperate zones all over the world, but primarily in the northern hemisphere.</t>
  </si>
  <si>
    <t>Sweet.potatoes</t>
  </si>
  <si>
    <t>Ipomoea batatas. A seasonal crop grown in tropical and subtropical regions. Used mainly for human food. Trade data cover fresh and dried tubers, whether or not sliced or in the form or pellets.</t>
  </si>
  <si>
    <t>Manioc, mandioca, yuca (Manihot esculenta, syn. M. utilissima); yuca dulce (M. palmata, syn. M. dulcis). A semi-permanent crop grown in tropical and subtropical regions. Sometimes bitter and sweet cassavas are referred to as separate species, the former b</t>
  </si>
  <si>
    <t>Yautia..cocoyam.</t>
  </si>
  <si>
    <t>Xanthosoma spp.; malanga, new cocoyam, ocumo, tannia (X. sagittifolium). Several plants are included in this group, some with edible tubers and others with edible stems (also called aroids). Yautia is grown mainly in the Caribbean and is used for food. Tr</t>
  </si>
  <si>
    <t>Taro (coco yam)</t>
  </si>
  <si>
    <t>Taro..coco.yam.</t>
  </si>
  <si>
    <t>Dasheen, eddoe, taro, old cocoyam(Colocasia esculenta). Aroids cultivated for their edible starchy corms or underground stems. Taro is grown throughout the tropics for food. Trade data cover both fresh and dried taro.</t>
  </si>
  <si>
    <t>Dioscorea spp.. The principal edible yams are widely grown throughout the tropics. A starchy staple foodstuff, normally eaten as a vegetable, boiled, baked or fried. In West Africa they are consumed mainly as "fufu", a stiff glutinous dough. Trade data co</t>
  </si>
  <si>
    <t>Roots.and.tubers.nes</t>
  </si>
  <si>
    <t>Including inter alia: arracacha (Arracacoa xanthorrhiza); arrowroot (Maranta arundinacea); chufa (Cyperus esculentus); sago palm (Metroxylon spp.); oca and ullucu (Oxalis tuberosa and Ullucus tuberosus); yam bean, jicama (Pachyrxhizus erosus, P. angulatus</t>
  </si>
  <si>
    <t>Saccharum officinarum. In some producing countries, marginal quantities of sugar cane are consumed, either directly as food or in the form of juice.</t>
  </si>
  <si>
    <t>Beta vulgaris var. altissima. In some producing countries, marginal quantities are consumed, either directly as food or in the preparation of jams.</t>
  </si>
  <si>
    <t>Sugar.crops.nes</t>
  </si>
  <si>
    <t>Including inter alia: sugar maple (Acer saccharum); sweet sorghum (Sorghum saccharatum); sugar palm (Arenga saccharifera). Includes minor sugar crops of local importance. In the case of saps, production is to be expressed in liquid equivalent.</t>
  </si>
  <si>
    <t>Beans..dry</t>
  </si>
  <si>
    <t>Phaseolus spp.: kidney, haricot bean (Ph. vulgaris); lima, butter bean (Ph. lunatus); adzuki bean (Ph. angularis); mungo bean, golden, green gram (Ph. aureus); black gram, urd (Ph. mungo); scarlet runner bean (Ph. coccineus); rice bean (Ph. calcaratus); m</t>
  </si>
  <si>
    <t>Broad beans, dry</t>
  </si>
  <si>
    <t>Broad.beans..dry</t>
  </si>
  <si>
    <t>Vicia faba: horse-bean (var. equina); broad bean (var. major); field bean (var. minor).</t>
  </si>
  <si>
    <t>Peas..dry</t>
  </si>
  <si>
    <t>Garden pea (Pisum sativum); field pea (P. arvense).</t>
  </si>
  <si>
    <t>Chik-peas</t>
  </si>
  <si>
    <t>Chik.peas</t>
  </si>
  <si>
    <t>Chickpea, Bengal gram, garbanzos (Cicer arietinum).</t>
  </si>
  <si>
    <t>Cow.peas..dry</t>
  </si>
  <si>
    <t>Cowpea, blackeye pea/bean (Vigna sinensis; Dolichos sinensis).</t>
  </si>
  <si>
    <t>Pigeon.peas</t>
  </si>
  <si>
    <t>Pigeon pea, cajan pea, Congo bean (Cajanus cajan).</t>
  </si>
  <si>
    <t>Lens esculenta; Ervum lens.</t>
  </si>
  <si>
    <t>Bambara.beans</t>
  </si>
  <si>
    <t>Bambara groundnut, earth pea (Voandzeia subterranea). These beand are grown underground in a similar way to groundnuts.</t>
  </si>
  <si>
    <t>Spring/common vetch (Vicia sativa). Used mainly for animal feed.</t>
  </si>
  <si>
    <t>Lupinus spp.. Used primarily for feed, though in some parts of Africa and in Latin America some varieties are cultivated for human food.</t>
  </si>
  <si>
    <t>Pulses.nes</t>
  </si>
  <si>
    <t>Including inter alia: lablab or hyacinth bean (Dolichos spp.); jack or sword bean (Canavalia spp.); winged bean (Psophocarpus tetragonolobus); guar bean (Cyamopsis tetragonoloba); velvet bean (Stizolobium spp.); yam bean (Pachyrrhizus erosus);. Vigna spp.</t>
  </si>
  <si>
    <t>Brazil nuts</t>
  </si>
  <si>
    <t>Brazil.nuts</t>
  </si>
  <si>
    <t>Brazil, Para or cream nut (Bertholletia excelsa).</t>
  </si>
  <si>
    <t>Cashew nuts</t>
  </si>
  <si>
    <t>Cashew.nuts</t>
  </si>
  <si>
    <t>Anacardium occidentale. Produced mainly in East Africa, India and Brazil.</t>
  </si>
  <si>
    <t>Chestnuts</t>
  </si>
  <si>
    <t>Castanea spp.: C. vesca; C. vulgaris; C. sativa. Produced mainly in Europe and Asia.</t>
  </si>
  <si>
    <t>Prunus amygdalus; P. communis; Amygdalus communis. Produced mainly in Mediterranean countries, the United States and Asia.</t>
  </si>
  <si>
    <t>Jugland spp.: J. regia. Produced in temperate zones of the Northern Hemisphere, particularly in the United States.</t>
  </si>
  <si>
    <t>Pistacia vera. Produced mainly in the Near East and the United States.</t>
  </si>
  <si>
    <t>Kolanuts</t>
  </si>
  <si>
    <t>Kola, cola, Sudan cola nut (Cola nitida; C. vera; C. acuminata). Produced mainly in Africa. Kola nuts, containing 2.4 to 2.6% caffeine, are commonly chewed by the local population. Much used in Europe and America in the production of beverages.</t>
  </si>
  <si>
    <t>Hazelnuts (filberts)</t>
  </si>
  <si>
    <t>Hazelnuts..filberts.</t>
  </si>
  <si>
    <t>Corylus avellana. Produced mainly in Mediterranean countries and the United States.</t>
  </si>
  <si>
    <t>Areca nuts (betel)</t>
  </si>
  <si>
    <t>Areca.nuts..betel.</t>
  </si>
  <si>
    <t>Areca, betel nut (Areca catechu). Produced mainly in the Far East. Areca nuts are used mainly as masticatory. These nuts contain alkaloids (arecoline and arecaidine).</t>
  </si>
  <si>
    <t>Nuts.nes</t>
  </si>
  <si>
    <t>Including inter alia: pecan nut (Carya illinoensis); butter or swarri nut (Caryocar nuciferum); pili nut, Java almond, Chinese olives (Canarium spp.); paradise or sapucaia nut (Lecythis zabucajo); Queensland, macadamia nut (Macadamia ternifolia); pignolia</t>
  </si>
  <si>
    <t>Glycine soja. The most important oil crop. Also widely consumed as a bean and in the form of various derived products because of its high protein content, e.g. soya milk, meat, etc.</t>
  </si>
  <si>
    <t>Ground nut</t>
  </si>
  <si>
    <t>Ground.nut</t>
  </si>
  <si>
    <t>Arachis hypogaea. For trade data, groundnuts in shell are converted at 70% and reported on a shelled basis.</t>
  </si>
  <si>
    <t>Cocos nucifera Husked coconut. In shell, covered by the endocarp, while exocarp (the smooth outer skin) and mesocarp (the fibrous covering) are removed. Immature nuts contain a milky juice that is consumed as a refreshing drink. Mature nuts are consumed a</t>
  </si>
  <si>
    <t>Oil.palm</t>
  </si>
  <si>
    <t>Elaeis guineensis. The oil palm produces bunches containing a large number of fruits with the fleshy mesocarp enclosing a kernel that is covered by a very hard shell. FAO considers palm oil (coming from the pulp) and palm kernels to be primary products. T</t>
  </si>
  <si>
    <t>Seeds of the oil palm. Babassu kernels (Orbignya speciosa) are often reported as palm kernels.</t>
  </si>
  <si>
    <t>Obtained from the mesocarp of the fruit of the oil palm by pressure, and also by solvent from the residues of the pressure extraction.</t>
  </si>
  <si>
    <t>Olea europaea. Includes table olives and olives for oil.</t>
  </si>
  <si>
    <t>Butyrospermum parkii. Production data refer only to the nut contained in the fruit although the pulp around the nut is also edible.</t>
  </si>
  <si>
    <t>Castor beans</t>
  </si>
  <si>
    <t>Castor.beans</t>
  </si>
  <si>
    <t>Ricinus communis. Valued mainly for their oil, which is used in pharmaceutical products. Ground seedcakes are used as fertilizers (castor oil pomace).</t>
  </si>
  <si>
    <t>Helianthus annuus. Valued mainly for its oil. Minor uses include as a human food and as feed for birds.</t>
  </si>
  <si>
    <t>Brassica napus var. oleifera. Valued mainly for its oil. Older varieties are rich in Erucic acid, which is considered unhealthy.</t>
  </si>
  <si>
    <t>Aleurites cordata; A. fordii. Valued mainly for their oil.</t>
  </si>
  <si>
    <t>Oilseeds.nes</t>
  </si>
  <si>
    <t>Simmondsia californica (syn. S. chinensis). From the shrub or small tree of the Buxaceae family.</t>
  </si>
  <si>
    <t>Safflower.seed</t>
  </si>
  <si>
    <t>Carthamus tinctorius. Valued mainly for its oil. Minor uses include as a human food and as poultry feed.</t>
  </si>
  <si>
    <t>sesame seed</t>
  </si>
  <si>
    <t>sesame.seed</t>
  </si>
  <si>
    <t>Sesamum indicum. Valued for its oil, but also as a food, either raw or roasted, as well as in bakery products and other food preparations.</t>
  </si>
  <si>
    <t>Mustard.seed</t>
  </si>
  <si>
    <t>White mustard (Brassica alba; B. hirta; Sinapis alba); black mustard (Brassica nigra; Sinapis nigra). In addition to the oil extracted from them, white mustard seeds, may be processed into flour for food use. Black mustard seeds also yield oil and are pro</t>
  </si>
  <si>
    <t>Poppy.seed</t>
  </si>
  <si>
    <t>Papaver somniferum. The source of opium, poppy seeds are also used in baking and confectionery.</t>
  </si>
  <si>
    <t>Cucumis melo. Includes seeds of other Cucurbitaceae.</t>
  </si>
  <si>
    <t>Borneo tallow tree (Shorea aptera; S. stenocarpa); Chinese tallow tree (Sapium sebiferum; Stillingia sebifera). Grown wild and cultivated. FAO considers vegetable tallow and stillingia oil to be primary products (see below).</t>
  </si>
  <si>
    <t>Kapok.fruit</t>
  </si>
  <si>
    <t>Ceiba pentandra, Bombacaceae. The fruit of kapok contains fibre and seeds, which FAO treats as primary crops.</t>
  </si>
  <si>
    <t>The soft shell is approximately 40-50% of the total weight of the nut.</t>
  </si>
  <si>
    <t>Gossypium spp.: Unginned cotton. Grown for both seed and for fibre. FAO considers cottonseed, cotton lint and linters to be primary products. Lint content ranges from 30 to 40%, seed 55 to 65%, and linters 2 to 5% though they are not always separated.</t>
  </si>
  <si>
    <t>Used for extracting oil.</t>
  </si>
  <si>
    <t>Linum usitatissimum Flaxseed. An annual herbaceous that is cultivated for its fibre as well as its oil.</t>
  </si>
  <si>
    <t>Cannabis sativa. An annual herbaceous that is cultivated for its fibre as well as its oil. In major producing countries oil is extracted from the seeds.</t>
  </si>
  <si>
    <t>Includes inter alia: beech nut (Fagus sylvatica);(Aleurites moluccana);(Carapa guineensis);(Croton tiglium);(Bassia latifolia);(Guizotia abyssinica);(Licania rigida);(Perilla frutescens);(Jatropha curcas);(Shorea robusta);(Pongamia glabra);(Astrocaryum sp</t>
  </si>
  <si>
    <t>Chinese, mustard cabbage, pak-choi (Brassica chinensis); white, red, savoy cabbage, Brussels sprouts, collards, kale and kohlrabi (Brassica oleracea all var. except botrytis).</t>
  </si>
  <si>
    <t>Cynara scolymus.</t>
  </si>
  <si>
    <t>Asparagus officinalis.</t>
  </si>
  <si>
    <t>Lactuca sativa; witloof chicory (Cichorium intybus var. foliosum); endive (C. endivia var. crispa); escarole chicory (C. endivia var. latifolia).</t>
  </si>
  <si>
    <t>Spinacia oleracea. Trade figures may include New Zealand spinach (Tetragonia espansa) and orache (garden) spinach (Atriplex hortensis).</t>
  </si>
  <si>
    <t>Manihot esculenta; M. utilissima. Young cassava leaves are eaten in some areas of Africa as a vegetable.</t>
  </si>
  <si>
    <t>Lycopersicon esculentum.</t>
  </si>
  <si>
    <t>Brassica oleracea var. botrytis, subvariety cauliflora and cymosa. Includes headed broccoli.</t>
  </si>
  <si>
    <t>Pumpkins, squash, gourds</t>
  </si>
  <si>
    <t>Pumpkins..squash..gourds</t>
  </si>
  <si>
    <t>Cucurbita spp. Includes marrows.</t>
  </si>
  <si>
    <t>Cucumbers.and.gherkins</t>
  </si>
  <si>
    <t>Cucumis sativus.</t>
  </si>
  <si>
    <t>Eggplants</t>
  </si>
  <si>
    <t>Solanum melongena. Also called aubergines.</t>
  </si>
  <si>
    <t>Chillies.and.peppers..green</t>
  </si>
  <si>
    <t>Capsicum annuum; C. fructescens; Pimenta officinalis. Production data exclude crops cultivated explicitly as spices. In contrast, trade data include these crops, provided they are fresh, uncrushed and unground.</t>
  </si>
  <si>
    <t>Onions + shallots, green</t>
  </si>
  <si>
    <t>Onions...shallots..green</t>
  </si>
  <si>
    <t>Shallots (Allium ascalonicum); onions (A. cepa); welsh onions (A. fistulosum). Young onions pulled before the bulb has enlarged; used especially in salads. Includes onion sets.</t>
  </si>
  <si>
    <t>Allium cepa. Includes onions at a mature stage, but not dehydrated onions.</t>
  </si>
  <si>
    <t>Allium sativum.</t>
  </si>
  <si>
    <t>Leeks (Allium porrum); chives (A. schoenoprasum); other alliac. (Allium varieties except those of 402, 403 and 406).</t>
  </si>
  <si>
    <t>Beans..green</t>
  </si>
  <si>
    <t>Phaseolus and Vigna spp.. For shelling.</t>
  </si>
  <si>
    <t>Peas..green</t>
  </si>
  <si>
    <t>Pisum sativum. Mostly for shelling, but including edible- podded peas or sugar peas.</t>
  </si>
  <si>
    <t>Vicia faba. For shelling.</t>
  </si>
  <si>
    <t>String.beans</t>
  </si>
  <si>
    <t>Phaseolus vulgaris; Vigna spp. Not for shelling.</t>
  </si>
  <si>
    <t>Carrots</t>
  </si>
  <si>
    <t>Daucus carota. Trade data may include turnips (Brassica rapa var. rapifera).</t>
  </si>
  <si>
    <t>Abelmoschus esculentus; Hibiscus esculentus. Also called gombo.</t>
  </si>
  <si>
    <t>Green maize (corn)</t>
  </si>
  <si>
    <t>Green.maize..corn.</t>
  </si>
  <si>
    <t>Zea mays, particularly var. saccharata. Maize harvested green for food. Saccharata variety is commonly known as sweet corn.</t>
  </si>
  <si>
    <t>Vegetables fresh nes</t>
  </si>
  <si>
    <t>Vegetables.fresh.nes</t>
  </si>
  <si>
    <t>Including inter alia: Boletus edulis; Agaricus campestris; Morchella spp. and Tuber magnatum. Cultivated or spontaneous. Includes truffles.</t>
  </si>
  <si>
    <t>Horium intybus; C. sativum. Unroasted chicory roots.</t>
  </si>
  <si>
    <t>Ceratonia siliqua Carob-tree, locust bean. Includes also seeds. Mainly used as an animal feed and for industrial purposes. Rich in pectin.</t>
  </si>
  <si>
    <t>Including inter alia: bamboo shoots (Bambusa spp.); beets, chards (Beta vulgaris); capers (Capparis spinosa); cardoons (Cynara cardunculus); celery (Apium graveolens); chervil (Anthriscus cerefolium); cress (Lepidium sativum); fennel (Foeniculum vulgare);</t>
  </si>
  <si>
    <t>Banana</t>
  </si>
  <si>
    <t>Musa sapientum; M. cavendishii; M. nana. Bananas are normally eaten raw. Trade figures may include dried bananas. Data should be reported excluding the weight of the central stalk.</t>
  </si>
  <si>
    <t>Musa paradisiaca. Generally known as a cooking banana. Data should be reported excluding the weight of the central stalk.</t>
  </si>
  <si>
    <t>Common, sweet orange (Citrus sinensis); bitter orange (C. aurantium). Bitter oranges are used primarily in the preparation of marmalade.</t>
  </si>
  <si>
    <t>Tangerin, mandarin, clement, satsma</t>
  </si>
  <si>
    <t>Tangerin..mandarin..clement..satsma</t>
  </si>
  <si>
    <t>Mandarin, tangerine (Citrus reticulata); clementine, satsuma (C. unshiu).</t>
  </si>
  <si>
    <t>Lemons.and.limes</t>
  </si>
  <si>
    <t>Lemon (Citrus limon); sour lime (C. aurantifolia); sweet lime (C. limetta).</t>
  </si>
  <si>
    <t>Grapefruit and pomelos</t>
  </si>
  <si>
    <t>Grapefruit.and.pomelos</t>
  </si>
  <si>
    <t>Citrus maxima; C. grandis; C. paradisi.</t>
  </si>
  <si>
    <t>Citrus fruit nes</t>
  </si>
  <si>
    <t>Citrus.fruit.nes</t>
  </si>
  <si>
    <t>Including inter alia: bergamot (Citrus bergamia); citron (C. medica var. cedrata); chinotto (C. myrtifolia); kumquat (Fortunella japonica). Some minor varieties of citrus are used primarily in the preparation of perfumes and soft drinks.</t>
  </si>
  <si>
    <t>Appels</t>
  </si>
  <si>
    <t>Malus pumila; M. sylvestris; M. communis; Pyrus malus.</t>
  </si>
  <si>
    <t>Pyrus communis.</t>
  </si>
  <si>
    <t>Cydonia oblonga; C. vulgaris; C. japonica.</t>
  </si>
  <si>
    <t>Prunus armeniaca.</t>
  </si>
  <si>
    <t>Sour.cherries</t>
  </si>
  <si>
    <t>Prunus cerasus; Cerasus acida.</t>
  </si>
  <si>
    <t>Mazzard, sweet cherry (Prunus avium; Cerasus avium); hard-fleshed cherry (var. duracina); heart cherry (var. juliana).</t>
  </si>
  <si>
    <t>Peaches.and.nectarines</t>
  </si>
  <si>
    <t>Prunus persica; Amygdalus persica; Persica laevis.</t>
  </si>
  <si>
    <t>Greengage, mirabelle, damson (Prunus domestica); sloe (P. spinosa).</t>
  </si>
  <si>
    <t>Stone fruit nes, fresh</t>
  </si>
  <si>
    <t>Stone.fruit.nes..fresh</t>
  </si>
  <si>
    <t>Other stone fruit not separately identified. In some countries, apricots, cherries, peaches, nectarines and plums are reported under this general category.</t>
  </si>
  <si>
    <t>Other pome fruit not separately identified. In some countries apples, pears and quinces are reported under this general category.</t>
  </si>
  <si>
    <t>Fragaria spp..</t>
  </si>
  <si>
    <t>Ubus idaeus. Trade data may include blackberries, mulberries and loganberries (a cross between the raspberry and blackberry).</t>
  </si>
  <si>
    <t>Ribes grossularia. Trade data may sometimes include black, white or red currants.</t>
  </si>
  <si>
    <t>Black (Ribes nigrum); red and white (R. rubrum). Trade data may sometimes include gooseberries.</t>
  </si>
  <si>
    <t>European blueberry, wild bilberry, whortleberry (Vaccinium myrtillus); American blueberry (V. corymbosum). Trade data may include cranberries, myrtle berries and other fruits of the genus Vaccinium.</t>
  </si>
  <si>
    <t>American cranberry (Vaccinium macrocarpon); European cranberry (V. oxycoccus). Trade data may include blueberries, myrtle berries and other fruits of the genus Vaccinium.</t>
  </si>
  <si>
    <t>Berries.nes</t>
  </si>
  <si>
    <t>Including inter alia: blackberry (Morus nigra); loganberry; white, red mulberry (M. alba; M. rubra); myrtle berry (Myrtus communis) huckleberry, dangleberry (Gaylussacia spp.). Other berries not separately identified. In some countries, some or all of the</t>
  </si>
  <si>
    <t>Vitis vinifera. Includes both table and wine grapes.</t>
  </si>
  <si>
    <t>Citrullus vulgaris.</t>
  </si>
  <si>
    <t>Cantaloupes.and.other.melons</t>
  </si>
  <si>
    <t>Cucumis melo;.</t>
  </si>
  <si>
    <t>Ficus carica.</t>
  </si>
  <si>
    <t>Mangoes</t>
  </si>
  <si>
    <t>Mangifera indica. Trade figures may include dried mangoes, guavas and mangosteens, including both fresh and dried.</t>
  </si>
  <si>
    <t>Persea americana.</t>
  </si>
  <si>
    <t>Ananas comosus; A. sativ. Trade figures may include dried pineapples.</t>
  </si>
  <si>
    <t>Date palm</t>
  </si>
  <si>
    <t>Date.palm</t>
  </si>
  <si>
    <t>Phoenix dactylifera. Includes fresh and dried fruit.</t>
  </si>
  <si>
    <t>Fruit fresh nes</t>
  </si>
  <si>
    <t>Fruit.fresh.nes</t>
  </si>
  <si>
    <t>Diospyros kaki: D. virginiana.</t>
  </si>
  <si>
    <t>Anacardium occidentale. The thickened, fleshy stem below the cashew nut. When soft it is used for jam.</t>
  </si>
  <si>
    <t>Kiwi.fruit</t>
  </si>
  <si>
    <t>Actinidia chinensis.</t>
  </si>
  <si>
    <t>Carica papaya.</t>
  </si>
  <si>
    <t>Fruit tropical fresh nes</t>
  </si>
  <si>
    <t>Fruit.tropical.fresh.nes</t>
  </si>
  <si>
    <t>Including inter alia: breadfruit (Artocarpus incisa); carambola (Averrhoa carambola); cherimoya, custard apple (Annona spp.); durian (Durio zibethinus); feijoa (Feijoa sellowiana); guava (Psidium guajava); hog plum, mombin (Spondias spp.); jackfruit (Arto</t>
  </si>
  <si>
    <t>Including inter alia: azarole (Crataegus azarolus); babaco (Carica pentagona); elderberry (Sambucus nigra); jujube (Zizyphus jujuba); litchi (nephelium litchi); loquat (Eriobotrya japonica); medlar (Mespilus germanica); pawpaw (Asimina triloba); pomegrana</t>
  </si>
  <si>
    <t>Coffea spp. (arabica, robusta, liberica). Raw coffee in all forms.</t>
  </si>
  <si>
    <t>Cocoa</t>
  </si>
  <si>
    <t>Theobroma cacao. The seeds contained in the fruit of the cacao- tree, including whole or broken, raw or roasted.</t>
  </si>
  <si>
    <t>Camellia sinensis; Thea sinensis; Thea assaamica. Includes green tea (unfermented), black tea (fermented), and partially fermented tea. Excludes green tea eaten as a vegetable.</t>
  </si>
  <si>
    <t>Mat?</t>
  </si>
  <si>
    <t>Ilex paraguayensis. The dried leaves of certain shrubs of the holly family which grow in South America. Prepared in a way similar to tea.</t>
  </si>
  <si>
    <t>Humulus lupulus. Hop cones, fresh or dried, whether or not ground, powdered or in the form of pellets. Includes lupuline, a yellow resinous powder that covers the hop cones. Mainly used in the brewing industry to give flavour to beer.</t>
  </si>
  <si>
    <t>Pepper, white/long/black</t>
  </si>
  <si>
    <t>Pepper..white.long.black</t>
  </si>
  <si>
    <t xml:space="preserve">Black, white pepper (Piper nigrum); long pepper (P. longum). Perennial climbing vines. Includes whole, crushed or ground berries. Black pepper is produced from partially ripe berries, while white pepper is from fully ripe berries which have had the outer </t>
  </si>
  <si>
    <t>Pimento, allspice</t>
  </si>
  <si>
    <t>Pimento..allspice</t>
  </si>
  <si>
    <t>Red and cayenne pepper, paprika, chillies (Capsicum frutescens; C. annuum); allspice, Jamaica pepper (Pimenta officinalis). Uncrushed or unground fresh pimentos are considered to be vegetables.</t>
  </si>
  <si>
    <t>Vanilla planifolia; V. pompona. The fruit (or bean) of a climbing plant of the orchid family. Includes whole, crushed or ground.</t>
  </si>
  <si>
    <t>Cinnamon..canella.</t>
  </si>
  <si>
    <t>Ceylon cinnamon (Cinnamomum zeylanicum); Chinese, common cinnamon, cassia (C. cassia). The inner bark of young branches of certain trees of the Laurus family. Includes cinnamon- tree flowers, cinnamon fruit and cinnamon waste (chips), whether whole, crush</t>
  </si>
  <si>
    <t>Cloves, whole + stem</t>
  </si>
  <si>
    <t>Cloves..whole...stem</t>
  </si>
  <si>
    <t>Eugenia caryophyllata; Caryophyllus aromaticus. The whole fruit of the clove tree, including the flowers picked before maturity and dried in the sun, and the stems of the clove flowers.</t>
  </si>
  <si>
    <t>Nutmeg, Mace., Cardamons</t>
  </si>
  <si>
    <t>Nutmeg..Mace...Cardamons</t>
  </si>
  <si>
    <t>Nutmeg, mace (Myristica fragrans); cluster cardamon (Elettaria cardamomum); other cardamons (Aframomum angustifolium; A. hambury; Amomun aromaticum; A. cardamomum); Malaguetta pepper, grains of paradise (Aframomum melegueta). Nutmeg is the inner brown ker</t>
  </si>
  <si>
    <t>Ansie, badian, fennel</t>
  </si>
  <si>
    <t>Ansie..badian..fennel</t>
  </si>
  <si>
    <t>Include: anise (Pimpinella anisum); badian or star anise (Illicium verum); caraway (Carum carvi); coriander (Coriandrum sativum); cumin (Cuminum cyminum); fennel (Foeniculum vulgare); juniper berries (Juniperus communis). Seeds and berries from the variou</t>
  </si>
  <si>
    <t>Zingiber officinale. Rhizome of a perennial herb. It also is used for making beverages. Includes fresh, provisionally preserved or dried, whereas ginger preserved in sugar or syrup is excluded.</t>
  </si>
  <si>
    <t>Spices.nes</t>
  </si>
  <si>
    <t>Including inter alia: bay leaves (Laurus nobilis); dill seed (Anethum graveolens); fenugreek seed (Trigonella foenum-graecum); saffron (Crocus sativus); thyme (Thymus vulgaris); turmeric (Curcuma longa). Other spices that are not identified separately bec</t>
  </si>
  <si>
    <t>Mentha spp.: M. piperita. Leaves and flowers are used in the perfumery, food and other industries.</t>
  </si>
  <si>
    <t>Chrysanthemum cinerariifolium. Includes leaves, stems and flowers. For insecticides, fungicides and similar products.</t>
  </si>
  <si>
    <t>Gossypium spp. Fibres from ginning seed cotton that have not been carded or combed. Trade data also include fibres that have been cleaned, bleached, dyed or rendered absorbent.</t>
  </si>
  <si>
    <t>Flax.fibre.and.tow</t>
  </si>
  <si>
    <t>Broken, scutched, hackled etc. but not spun. Traditionally, FAO has used this commodity to identify production in its raw state; in reality, the primary agricultural product is the commodity 771, which can either be used for the production of fibre or for</t>
  </si>
  <si>
    <t>Hemp fiber and tow (hemp tow waste)</t>
  </si>
  <si>
    <t>Hemp.fiber.and.tow..hemp.tow.waste.</t>
  </si>
  <si>
    <t>Cannabis sativa. This plant is cultivated for seed as well as for fibre. The fibre is obtained from the stem of the plant. Trade data include raw, retted, scutched, combed fibre, tow and waste.</t>
  </si>
  <si>
    <t>Ceiba pentandra. This plant is cultivated for seed as well as for fibre. Trade data cover only fibres that have been crushed, carded or combed for spinning.</t>
  </si>
  <si>
    <t>White jute (Corchorus capsularis); red jute, tossa (C. olitorius). Trade data cover raw or processed jute (but not spun), tow and waste, yarn waste and garnetted stock and may include jute-like fibres.</t>
  </si>
  <si>
    <t>Jute-like fibres</t>
  </si>
  <si>
    <t>Jute.like.fibres</t>
  </si>
  <si>
    <t>Including inter alia: China jute (Abutilon avicennae); Congo jute, malva, paka (Urena lobata; U. sinuata); Indian flax (Abroma augusta); kenaf, meshta (Hibiscus cannabinus); rosella hemp (H. sabdariffa); sunn hemp (Crotalaria juncea). This definition cove</t>
  </si>
  <si>
    <t>China grass, white ramie (Boehmeria nivea); rhea, green ramie (B. tenacissima). Ramie fibre is obtained from the bast of the plant. For trade coverage see 780.</t>
  </si>
  <si>
    <t>Agave sisalana. Sisal fibre is obtained from the leaves of the plant. It also is used as an ornamental plant. Trade data cover fibres that are raw, prepared for spinning, and tow and waste, including yarn waste and garnetted stock.</t>
  </si>
  <si>
    <t>Agave fibers nes</t>
  </si>
  <si>
    <t>Agave.fibers.nes</t>
  </si>
  <si>
    <t xml:space="preserve">Including inter alia: Haiti hemp (Agave foetida); henequen (A. fourcroydes); ixtle, tampico (A. lecheguilla); maguey (A. cantala); pita (A. americana); Salvador hemp (A. letonae). See 789. The leaves of some agave varieties are used for the production of </t>
  </si>
  <si>
    <t>Abaca (Manila hemp)</t>
  </si>
  <si>
    <t>Abaca..Manila.hemp.</t>
  </si>
  <si>
    <t>Musa textilis. The fibre is obtained from stalks of certain banana trees. For trade coverage see 789.</t>
  </si>
  <si>
    <t>Cocos nucifera. Coir fibre is obtained from the fibrous covering of the mesocarp. For trade coverage see 789.</t>
  </si>
  <si>
    <t>Fiber crops nes</t>
  </si>
  <si>
    <t>Fiber.crops.nes</t>
  </si>
  <si>
    <t>Including inter alia: alfa, esparto (Lygeum spartum; Stipa tenacissima); bowstring hemp (Sansevieria spp.); caroa (Neoglaziovia variegata); fuque fibre (Furcraea macrophylla); Mauritius hemp (F. gigantea); New Zealand flax (Phormium tenax); palma ixtle (S</t>
  </si>
  <si>
    <t>Nicotiana tabacum. Unmanufactured dry tobacco, including refuse that is not stemmed or stripped, or is partly or wholly stemmed or stripped.</t>
  </si>
  <si>
    <t>Natural rubber</t>
  </si>
  <si>
    <t>Natural.rubber</t>
  </si>
  <si>
    <t>Hevea brasiliensis Latex. The liquid secreted by the rubber tree. Includes stabilized or concentrated latex and prevulcanized rubber latex. In trade figures, liquid weight is converted to dry weight at 60%.</t>
  </si>
  <si>
    <t>Fodder crops/Managed grass</t>
  </si>
  <si>
    <t>Fodder.crops.Managed.grass</t>
  </si>
  <si>
    <t>feedtype</t>
  </si>
  <si>
    <t>year</t>
  </si>
  <si>
    <t>conversion</t>
  </si>
  <si>
    <t>original_value</t>
  </si>
  <si>
    <t>p098</t>
  </si>
  <si>
    <t>Live animals husbandry, other</t>
  </si>
  <si>
    <t>Year</t>
  </si>
  <si>
    <t>HI_changes</t>
  </si>
  <si>
    <t>ResidueDM_ProductDM</t>
  </si>
  <si>
    <t>Recovery_rates</t>
  </si>
  <si>
    <t>Sugar Crops nes</t>
  </si>
  <si>
    <t>Oil Palm Fruit</t>
  </si>
  <si>
    <t>kcal_per_kg</t>
  </si>
  <si>
    <t>LU_head</t>
  </si>
  <si>
    <t>Ostriches</t>
  </si>
  <si>
    <t>Small_birds</t>
  </si>
  <si>
    <t>CLORURO COLINA PROMEDIO</t>
  </si>
  <si>
    <t>OXIDO MAGNESIO (magnesita calcinada)</t>
  </si>
  <si>
    <t>AC. FORMICO</t>
  </si>
  <si>
    <t>FOSFATO MONOCALCICO MONOHIDR.</t>
  </si>
  <si>
    <t>CARBONATO SODIO</t>
  </si>
  <si>
    <t>AC. CITRICO</t>
  </si>
  <si>
    <t>PROTEINA DE PATATA</t>
  </si>
  <si>
    <t>ALMIDON 96</t>
  </si>
  <si>
    <t>GRASA MEZCLA 5/9</t>
  </si>
  <si>
    <t>AC. COLZA</t>
  </si>
  <si>
    <t>CLORURO SODICO MARINO 98</t>
  </si>
  <si>
    <t>MET HIDROXI SAL CALCICA</t>
  </si>
  <si>
    <t>PROPIONATO SODICO</t>
  </si>
  <si>
    <t>AC. GIRASOL</t>
  </si>
  <si>
    <t>c3</t>
  </si>
  <si>
    <t>c4</t>
  </si>
  <si>
    <t>ann</t>
  </si>
  <si>
    <t>nfx</t>
  </si>
  <si>
    <t>c3_c4</t>
  </si>
  <si>
    <t>ann_per_nfx</t>
  </si>
  <si>
    <t>per</t>
  </si>
  <si>
    <t>default_destiny</t>
  </si>
  <si>
    <t>Other_uses</t>
  </si>
  <si>
    <t>Processing</t>
  </si>
  <si>
    <t>Potato offals</t>
  </si>
  <si>
    <t>Olive residues</t>
  </si>
  <si>
    <t>Grapes, marc</t>
  </si>
  <si>
    <t>Mango pulp</t>
  </si>
  <si>
    <t>Cane tops</t>
  </si>
  <si>
    <t>Forage and silage, maize</t>
  </si>
  <si>
    <t>Forage and silage, alfalfa</t>
  </si>
  <si>
    <t>Turnips, for forage</t>
  </si>
  <si>
    <t>Beets for fodder</t>
  </si>
  <si>
    <t>Swedes for fodder</t>
  </si>
  <si>
    <t>Vegetables and roots fodder</t>
  </si>
  <si>
    <t>Cocoa husks and shells</t>
  </si>
  <si>
    <t>Balata, gutta-percha, guayule, chicle and similar natural gums in primary forms or in plates, sheets or strip</t>
  </si>
  <si>
    <t>Feed, compound, cattle</t>
  </si>
  <si>
    <t>Feed, compound, poultry</t>
  </si>
  <si>
    <t>Feed, compound, pigs</t>
  </si>
  <si>
    <t>Compound feed n.e.c.</t>
  </si>
  <si>
    <t>Feed supplements</t>
  </si>
  <si>
    <t>Feed, other concentrates nes</t>
  </si>
  <si>
    <t>Feed additives</t>
  </si>
  <si>
    <t>Feed minerals</t>
  </si>
  <si>
    <t>Hay, non-leguminous</t>
  </si>
  <si>
    <t>Hay for forage, from legumes</t>
  </si>
  <si>
    <t>Hay for forage, from other crops n.e.c.</t>
  </si>
  <si>
    <t>Wool, shoddy</t>
  </si>
  <si>
    <t>Hair, carded/combed</t>
  </si>
  <si>
    <t>Hair, goat, fine</t>
  </si>
  <si>
    <t>Coarse goat hair</t>
  </si>
  <si>
    <t>Pig, butcher fat</t>
  </si>
  <si>
    <t>Hair, horse</t>
  </si>
  <si>
    <t>Hides, dry-salted of horses</t>
  </si>
  <si>
    <t>Hides, horse nes</t>
  </si>
  <si>
    <t>Other rodents</t>
  </si>
  <si>
    <t>Other camelids</t>
  </si>
  <si>
    <t>Other raw skins of other animals, preserved</t>
  </si>
  <si>
    <t>Leather used &amp; waste</t>
  </si>
  <si>
    <t>Hair, coarse nes</t>
  </si>
  <si>
    <t>Feed, food waste preparations</t>
  </si>
  <si>
    <t>Balata, gutta-percha, guayule, chicle and similar natural gums in primary forms or in plates, sheets or strip</t>
  </si>
  <si>
    <t>Spermaceti</t>
  </si>
  <si>
    <t>Other live animals non food, n.e.c.</t>
  </si>
  <si>
    <t>Draught</t>
  </si>
  <si>
    <t>Animal draught</t>
  </si>
  <si>
    <t>Non-dairy Cattle husbandry</t>
  </si>
  <si>
    <t>Poultry farming</t>
  </si>
  <si>
    <t>Other birds farming</t>
  </si>
  <si>
    <t>Hunting</t>
  </si>
  <si>
    <t>Other animals husbandry</t>
  </si>
  <si>
    <t>Beverages, others</t>
  </si>
  <si>
    <t>HNA.CACAHUETE 52</t>
  </si>
  <si>
    <t>HNA. COPRA SOLVENTE</t>
  </si>
  <si>
    <t>HARINA DE ALGODON 38</t>
  </si>
  <si>
    <t>TORTA LINO PRESION</t>
  </si>
  <si>
    <t>HNA COLZA PROMEDIO</t>
  </si>
  <si>
    <t>Animal Feed Processed</t>
  </si>
  <si>
    <t>DDGS Wheat</t>
  </si>
  <si>
    <t>Palm and Copra Oil</t>
  </si>
  <si>
    <t>Foragge</t>
  </si>
  <si>
    <t>Fuelwood and charcoal</t>
  </si>
  <si>
    <t>PESCADO PROMEDIO</t>
  </si>
  <si>
    <t>OLEINAS PESCADO</t>
  </si>
  <si>
    <t>Animal Fats</t>
  </si>
  <si>
    <t>HARINA HUEVO</t>
  </si>
  <si>
    <t>Skins</t>
  </si>
  <si>
    <t>Processed Food</t>
  </si>
  <si>
    <t>CARNE PROMEDIO</t>
  </si>
  <si>
    <t>Butter</t>
  </si>
  <si>
    <t>Cereals, others</t>
  </si>
  <si>
    <t>SORGO BLANCO</t>
  </si>
  <si>
    <t>CENTENO NACIONAL</t>
  </si>
  <si>
    <t>TRITICALE</t>
  </si>
  <si>
    <t>ARROZ PARTIDO</t>
  </si>
  <si>
    <t>VEZA HENO PROMEDIO</t>
  </si>
  <si>
    <t>Groundnuts and other small nuts</t>
  </si>
  <si>
    <t>HNA.GIRASOL 33</t>
  </si>
  <si>
    <t>SEMILLA LINO</t>
  </si>
  <si>
    <t xml:space="preserve">SEMILLA COLZA 00 </t>
  </si>
  <si>
    <t>Tuber and roots</t>
  </si>
  <si>
    <t>MANDIOCA 65</t>
  </si>
  <si>
    <t>PATATA</t>
  </si>
  <si>
    <t>BATATA</t>
  </si>
  <si>
    <t>PULPA REMOLACHA PROMEDIO</t>
  </si>
  <si>
    <t>AC. PALMISTE</t>
  </si>
  <si>
    <t>Bananas and tropical</t>
  </si>
  <si>
    <t>PULPA MANZANA</t>
  </si>
  <si>
    <t>Species</t>
  </si>
  <si>
    <t>Grapes and sim.</t>
  </si>
  <si>
    <t>ORUJO UVA</t>
  </si>
  <si>
    <t>VEZA COMUN</t>
  </si>
  <si>
    <t>YEROS</t>
  </si>
  <si>
    <t>Nuts</t>
  </si>
  <si>
    <t>Apples and sim.</t>
  </si>
  <si>
    <t>Lemons</t>
  </si>
  <si>
    <t>Fruits Processed</t>
  </si>
  <si>
    <t>polity_name</t>
  </si>
  <si>
    <t>polity_code</t>
  </si>
  <si>
    <t>polity_name_source</t>
  </si>
  <si>
    <t>polity_code_source</t>
  </si>
  <si>
    <t>FAOSTAT</t>
  </si>
  <si>
    <t>ISO3</t>
  </si>
  <si>
    <t>WHEP</t>
  </si>
  <si>
    <t>Africa Other</t>
  </si>
  <si>
    <t>Asia Other</t>
  </si>
  <si>
    <t>Europe Other</t>
  </si>
  <si>
    <t>Latin America Other</t>
  </si>
  <si>
    <t>North America Other</t>
  </si>
  <si>
    <t>Oceania Other</t>
  </si>
  <si>
    <t>RAFR</t>
  </si>
  <si>
    <t>RASI</t>
  </si>
  <si>
    <t>REUR</t>
  </si>
  <si>
    <t>RLAM</t>
  </si>
  <si>
    <t>RNAM</t>
  </si>
  <si>
    <t>ROCE</t>
  </si>
  <si>
    <t>start_year</t>
  </si>
  <si>
    <t>end_year</t>
  </si>
  <si>
    <t>FAOSTAT_name</t>
  </si>
  <si>
    <t>Czechia</t>
  </si>
  <si>
    <t>FAOSTAT shortened</t>
  </si>
  <si>
    <t>FAOSTAT unified (Ethiopia and Ethiopia PDR)</t>
  </si>
  <si>
    <t>FAOSTAT unified (Sudan (Former) and Sudan)</t>
  </si>
  <si>
    <t>Net Food Importing Developing Countries</t>
  </si>
  <si>
    <t>'902</t>
  </si>
  <si>
    <t>Low Income Food Deficit Countries</t>
  </si>
  <si>
    <t>'901</t>
  </si>
  <si>
    <t>Small Island Developing States</t>
  </si>
  <si>
    <t>'722</t>
  </si>
  <si>
    <t>Land Locked Developing Countries</t>
  </si>
  <si>
    <t>'432</t>
  </si>
  <si>
    <t>'199</t>
  </si>
  <si>
    <t>European Union (27)</t>
  </si>
  <si>
    <t>'097</t>
  </si>
  <si>
    <t>'061</t>
  </si>
  <si>
    <t>'057</t>
  </si>
  <si>
    <t>'054</t>
  </si>
  <si>
    <t>'053</t>
  </si>
  <si>
    <t>'009</t>
  </si>
  <si>
    <t>'155</t>
  </si>
  <si>
    <t>'039</t>
  </si>
  <si>
    <t>'154</t>
  </si>
  <si>
    <t>'151</t>
  </si>
  <si>
    <t>'150</t>
  </si>
  <si>
    <t>'145</t>
  </si>
  <si>
    <t>'035</t>
  </si>
  <si>
    <t>'034</t>
  </si>
  <si>
    <t>'030</t>
  </si>
  <si>
    <t>'143</t>
  </si>
  <si>
    <t>'142</t>
  </si>
  <si>
    <t>'005</t>
  </si>
  <si>
    <t>'029</t>
  </si>
  <si>
    <t>'013</t>
  </si>
  <si>
    <t>'021</t>
  </si>
  <si>
    <t>'019</t>
  </si>
  <si>
    <t>'011</t>
  </si>
  <si>
    <t>'018</t>
  </si>
  <si>
    <t>'015</t>
  </si>
  <si>
    <t>'017</t>
  </si>
  <si>
    <t>'014</t>
  </si>
  <si>
    <t>'002</t>
  </si>
  <si>
    <t>World</t>
  </si>
  <si>
    <t>'001</t>
  </si>
  <si>
    <t>'159</t>
  </si>
  <si>
    <t>'275</t>
  </si>
  <si>
    <t>'728</t>
  </si>
  <si>
    <t>'729</t>
  </si>
  <si>
    <t>'499</t>
  </si>
  <si>
    <t>'688</t>
  </si>
  <si>
    <t>'442</t>
  </si>
  <si>
    <t>'056</t>
  </si>
  <si>
    <t>'894</t>
  </si>
  <si>
    <t>'180</t>
  </si>
  <si>
    <t>'887</t>
  </si>
  <si>
    <t>'890</t>
  </si>
  <si>
    <t>'882</t>
  </si>
  <si>
    <t>'231</t>
  </si>
  <si>
    <t>'704</t>
  </si>
  <si>
    <t>'862</t>
  </si>
  <si>
    <t>'860</t>
  </si>
  <si>
    <t>'858</t>
  </si>
  <si>
    <t>'854</t>
  </si>
  <si>
    <t>'840</t>
  </si>
  <si>
    <t>'804</t>
  </si>
  <si>
    <t>United Kingdom of Great Britain and Northern Ireland</t>
  </si>
  <si>
    <t>'826</t>
  </si>
  <si>
    <t>'810</t>
  </si>
  <si>
    <t>'798</t>
  </si>
  <si>
    <t>'800</t>
  </si>
  <si>
    <t>'784</t>
  </si>
  <si>
    <t>Türkiye</t>
  </si>
  <si>
    <t>'792</t>
  </si>
  <si>
    <t>'788</t>
  </si>
  <si>
    <t>'512</t>
  </si>
  <si>
    <t>'780</t>
  </si>
  <si>
    <t>'776</t>
  </si>
  <si>
    <t>'772</t>
  </si>
  <si>
    <t>'768</t>
  </si>
  <si>
    <t>'764</t>
  </si>
  <si>
    <t>'834</t>
  </si>
  <si>
    <t>'158</t>
  </si>
  <si>
    <t>'795</t>
  </si>
  <si>
    <t>'760</t>
  </si>
  <si>
    <t>'756</t>
  </si>
  <si>
    <t>'752</t>
  </si>
  <si>
    <t>'748</t>
  </si>
  <si>
    <t>'762</t>
  </si>
  <si>
    <t>'740</t>
  </si>
  <si>
    <t>'736</t>
  </si>
  <si>
    <t>'724</t>
  </si>
  <si>
    <t>'710</t>
  </si>
  <si>
    <t>'706</t>
  </si>
  <si>
    <t>'702</t>
  </si>
  <si>
    <t>'703</t>
  </si>
  <si>
    <t>'705</t>
  </si>
  <si>
    <t>'694</t>
  </si>
  <si>
    <t>'690</t>
  </si>
  <si>
    <t>'686</t>
  </si>
  <si>
    <t>'682</t>
  </si>
  <si>
    <t>'678</t>
  </si>
  <si>
    <t>'670</t>
  </si>
  <si>
    <t>'662</t>
  </si>
  <si>
    <t>'659</t>
  </si>
  <si>
    <t>'891</t>
  </si>
  <si>
    <t>'643</t>
  </si>
  <si>
    <t>'646</t>
  </si>
  <si>
    <t>'642</t>
  </si>
  <si>
    <t>Réunion</t>
  </si>
  <si>
    <t>'638</t>
  </si>
  <si>
    <t>'716</t>
  </si>
  <si>
    <t>'634</t>
  </si>
  <si>
    <t>'232</t>
  </si>
  <si>
    <t>'630</t>
  </si>
  <si>
    <t>'626</t>
  </si>
  <si>
    <t>'624</t>
  </si>
  <si>
    <t>'620</t>
  </si>
  <si>
    <t>'616</t>
  </si>
  <si>
    <t>'608</t>
  </si>
  <si>
    <t>'604</t>
  </si>
  <si>
    <t>'600</t>
  </si>
  <si>
    <t>'598</t>
  </si>
  <si>
    <t>'203</t>
  </si>
  <si>
    <t>'591</t>
  </si>
  <si>
    <t>'586</t>
  </si>
  <si>
    <t>'578</t>
  </si>
  <si>
    <t>'570</t>
  </si>
  <si>
    <t>'566</t>
  </si>
  <si>
    <t>'562</t>
  </si>
  <si>
    <t>'558</t>
  </si>
  <si>
    <t>'554</t>
  </si>
  <si>
    <t>'548</t>
  </si>
  <si>
    <t>'807</t>
  </si>
  <si>
    <t>'540</t>
  </si>
  <si>
    <t>Netherlands (Kingdom of the)</t>
  </si>
  <si>
    <t>'528</t>
  </si>
  <si>
    <t>'524</t>
  </si>
  <si>
    <t>'520</t>
  </si>
  <si>
    <t>'516</t>
  </si>
  <si>
    <t>'498</t>
  </si>
  <si>
    <t>'583</t>
  </si>
  <si>
    <t>'508</t>
  </si>
  <si>
    <t>'504</t>
  </si>
  <si>
    <t>'496</t>
  </si>
  <si>
    <t>'484</t>
  </si>
  <si>
    <t>'480</t>
  </si>
  <si>
    <t>'478</t>
  </si>
  <si>
    <t>'474</t>
  </si>
  <si>
    <t>'470</t>
  </si>
  <si>
    <t>'466</t>
  </si>
  <si>
    <t>'462</t>
  </si>
  <si>
    <t>'458</t>
  </si>
  <si>
    <t>'454</t>
  </si>
  <si>
    <t>'450</t>
  </si>
  <si>
    <t>'446</t>
  </si>
  <si>
    <t>'584</t>
  </si>
  <si>
    <t>'440</t>
  </si>
  <si>
    <t>'434</t>
  </si>
  <si>
    <t>'430</t>
  </si>
  <si>
    <t>'426</t>
  </si>
  <si>
    <t>'422</t>
  </si>
  <si>
    <t>'418</t>
  </si>
  <si>
    <t>'428</t>
  </si>
  <si>
    <t>'414</t>
  </si>
  <si>
    <t>'410</t>
  </si>
  <si>
    <t>'408</t>
  </si>
  <si>
    <t>'116</t>
  </si>
  <si>
    <t>'404</t>
  </si>
  <si>
    <t>'417</t>
  </si>
  <si>
    <t>'400</t>
  </si>
  <si>
    <t>'392</t>
  </si>
  <si>
    <t>'388</t>
  </si>
  <si>
    <t>'398</t>
  </si>
  <si>
    <t>Côte d'Ivoire</t>
  </si>
  <si>
    <t>'384</t>
  </si>
  <si>
    <t>'380</t>
  </si>
  <si>
    <t>'376</t>
  </si>
  <si>
    <t>'372</t>
  </si>
  <si>
    <t>'368</t>
  </si>
  <si>
    <t>'364</t>
  </si>
  <si>
    <t>'360</t>
  </si>
  <si>
    <t>'356</t>
  </si>
  <si>
    <t>'352</t>
  </si>
  <si>
    <t>'191</t>
  </si>
  <si>
    <t>'348</t>
  </si>
  <si>
    <t>'344</t>
  </si>
  <si>
    <t>'340</t>
  </si>
  <si>
    <t>'332</t>
  </si>
  <si>
    <t>'328</t>
  </si>
  <si>
    <t>'324</t>
  </si>
  <si>
    <t>'320</t>
  </si>
  <si>
    <t>'312</t>
  </si>
  <si>
    <t>'308</t>
  </si>
  <si>
    <t>'300</t>
  </si>
  <si>
    <t>'296</t>
  </si>
  <si>
    <t>'288</t>
  </si>
  <si>
    <t>'070</t>
  </si>
  <si>
    <t>'276</t>
  </si>
  <si>
    <t>'270</t>
  </si>
  <si>
    <t>'266</t>
  </si>
  <si>
    <t>'268</t>
  </si>
  <si>
    <t>'262</t>
  </si>
  <si>
    <t>'258</t>
  </si>
  <si>
    <t>'254</t>
  </si>
  <si>
    <t>'250</t>
  </si>
  <si>
    <t>'246</t>
  </si>
  <si>
    <t>'242</t>
  </si>
  <si>
    <t>'234</t>
  </si>
  <si>
    <t>'233</t>
  </si>
  <si>
    <t>'230</t>
  </si>
  <si>
    <t>'226</t>
  </si>
  <si>
    <t>'222</t>
  </si>
  <si>
    <t>'818</t>
  </si>
  <si>
    <t>'218</t>
  </si>
  <si>
    <t>'112</t>
  </si>
  <si>
    <t>'214</t>
  </si>
  <si>
    <t>'212</t>
  </si>
  <si>
    <t>'208</t>
  </si>
  <si>
    <t>'204</t>
  </si>
  <si>
    <t>'031</t>
  </si>
  <si>
    <t>'200</t>
  </si>
  <si>
    <t>'196</t>
  </si>
  <si>
    <t>'192</t>
  </si>
  <si>
    <t>'188</t>
  </si>
  <si>
    <t>'184</t>
  </si>
  <si>
    <t>'178</t>
  </si>
  <si>
    <t>'174</t>
  </si>
  <si>
    <t>'170</t>
  </si>
  <si>
    <t>'156</t>
  </si>
  <si>
    <t>'152</t>
  </si>
  <si>
    <t>'148</t>
  </si>
  <si>
    <t>'144</t>
  </si>
  <si>
    <t>'140</t>
  </si>
  <si>
    <t>'132</t>
  </si>
  <si>
    <t>'124</t>
  </si>
  <si>
    <t>'120</t>
  </si>
  <si>
    <t>'108</t>
  </si>
  <si>
    <t>'104</t>
  </si>
  <si>
    <t>'100</t>
  </si>
  <si>
    <t>'096</t>
  </si>
  <si>
    <t>'090</t>
  </si>
  <si>
    <t>'084</t>
  </si>
  <si>
    <t>'076</t>
  </si>
  <si>
    <t>'072</t>
  </si>
  <si>
    <t>'068</t>
  </si>
  <si>
    <t>'064</t>
  </si>
  <si>
    <t>'050</t>
  </si>
  <si>
    <t>'058</t>
  </si>
  <si>
    <t>'052</t>
  </si>
  <si>
    <t>'048</t>
  </si>
  <si>
    <t>'044</t>
  </si>
  <si>
    <t>'040</t>
  </si>
  <si>
    <t>'036</t>
  </si>
  <si>
    <t>'032</t>
  </si>
  <si>
    <t>'028</t>
  </si>
  <si>
    <t>'024</t>
  </si>
  <si>
    <t>'012</t>
  </si>
  <si>
    <t>'008</t>
  </si>
  <si>
    <t>'004</t>
  </si>
  <si>
    <t>'051</t>
  </si>
  <si>
    <t>Area</t>
  </si>
  <si>
    <t>Area.Code..M49.</t>
  </si>
  <si>
    <t>Area.Code</t>
  </si>
  <si>
    <t>polity_name_FAO</t>
  </si>
  <si>
    <t>ADB_Region</t>
  </si>
  <si>
    <t>BE</t>
  </si>
  <si>
    <t>BE_LU</t>
  </si>
  <si>
    <t>BG</t>
  </si>
  <si>
    <t>HR</t>
  </si>
  <si>
    <t>CZ</t>
  </si>
  <si>
    <t>CZ_SK</t>
  </si>
  <si>
    <t>DK</t>
  </si>
  <si>
    <t>EE</t>
  </si>
  <si>
    <t>FI</t>
  </si>
  <si>
    <t>FR</t>
  </si>
  <si>
    <t>DE</t>
  </si>
  <si>
    <t>GR</t>
  </si>
  <si>
    <t>HU</t>
  </si>
  <si>
    <t>IE</t>
  </si>
  <si>
    <t>IT</t>
  </si>
  <si>
    <t>LV</t>
  </si>
  <si>
    <t>LT</t>
  </si>
  <si>
    <t>LU</t>
  </si>
  <si>
    <t>NL</t>
  </si>
  <si>
    <t>PL</t>
  </si>
  <si>
    <t>PT</t>
  </si>
  <si>
    <t>RO</t>
  </si>
  <si>
    <t>SK</t>
  </si>
  <si>
    <t>SI</t>
  </si>
  <si>
    <t>ES</t>
  </si>
  <si>
    <t>SE</t>
  </si>
  <si>
    <t>polity_name_FT</t>
  </si>
  <si>
    <t>Australia Commonwealth</t>
  </si>
  <si>
    <t>Leeward Islands (Antigua, Dominica, St.Christopher, Montserrat, Nevis, Virgin Island)</t>
  </si>
  <si>
    <t>Leeward Islands</t>
  </si>
  <si>
    <t>FT shortened</t>
  </si>
  <si>
    <t>Comments FT</t>
  </si>
  <si>
    <t>in 1816 it was divided in two, with Antigua, Barbuda and Montserrat in one colony, and Saint Christopher, Nevis, Anguilla, and the Virgin Islands in another</t>
  </si>
  <si>
    <t>polity_name_full</t>
  </si>
  <si>
    <t>polity_code_full</t>
  </si>
  <si>
    <t>area_FAOold</t>
  </si>
  <si>
    <t>area_LUH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</si>
</sst>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 _€_-;\-* #,##0.00\ _€_-;_-* &quot;-&quot;??\ _€_-;_-@_-"/>
    <numFmt numFmtId="165" formatCode="_-* #,##0\ _€_-;\-* #,##0\ _€_-;_-* &quot;-&quot;??\ _€_-;_-@_-"/>
    <numFmt numFmtId="166" formatCode="0.0"/>
  </numFmts>
  <fonts count="20" x14ac:knownFonts="1">
    <font>
      <sz val="11"/>
      <color theme="1"/>
      <name val="Calibri"/>
      <family val="2"/>
      <scheme val="minor"/>
    </font>
    <font>
      <sz val="11"/>
      <color rgb="FFFF0000"/>
      <name val="Calibri"/>
      <family val="2"/>
      <scheme val="minor"/>
    </font>
    <font>
      <sz val="10"/>
      <name val="Arial"/>
      <family val="2"/>
    </font>
    <font>
      <sz val="8"/>
      <name val="Calibri"/>
      <family val="2"/>
      <scheme val="minor"/>
    </font>
    <font>
      <sz val="11"/>
      <color rgb="FFC00000"/>
      <name val="Calibri"/>
      <family val="2"/>
      <scheme val="minor"/>
    </font>
    <font>
      <sz val="11"/>
      <color theme="1"/>
      <name val="Calibri"/>
      <family val="2"/>
      <scheme val="minor"/>
    </font>
    <font>
      <sz val="11"/>
      <name val="Calibri"/>
      <family val="2"/>
      <scheme val="minor"/>
    </font>
    <font>
      <b/>
      <sz val="11"/>
      <color theme="1"/>
      <name val="Calibri"/>
      <family val="2"/>
      <scheme val="minor"/>
    </font>
    <font>
      <b/>
      <sz val="12"/>
      <color theme="1"/>
      <name val="Calibri"/>
      <family val="2"/>
      <scheme val="minor"/>
    </font>
    <font>
      <sz val="12"/>
      <name val="Calibri"/>
      <family val="2"/>
      <scheme val="minor"/>
    </font>
    <font>
      <sz val="11"/>
      <color rgb="FF000000"/>
      <name val="Calibri"/>
      <family val="2"/>
      <scheme val="minor"/>
    </font>
    <font>
      <b/>
      <sz val="12"/>
      <name val="Calibri"/>
      <family val="2"/>
      <scheme val="minor"/>
    </font>
    <font>
      <sz val="12"/>
      <color theme="1"/>
      <name val="Calibri"/>
      <family val="2"/>
      <scheme val="minor"/>
    </font>
    <font>
      <sz val="12"/>
      <name val="Arial Narrow"/>
      <family val="2"/>
    </font>
    <font>
      <sz val="12"/>
      <color rgb="FF000000"/>
      <name val="Arial Narrow"/>
      <family val="2"/>
    </font>
    <font>
      <b/>
      <sz val="12"/>
      <name val="Arial Narrow"/>
      <family val="2"/>
    </font>
    <font>
      <sz val="11"/>
      <color rgb="FF000000"/>
      <name val="Calibri"/>
      <family val="2"/>
    </font>
    <font>
      <sz val="8"/>
      <color rgb="FF000000"/>
      <name val="Calibri"/>
      <family val="2"/>
    </font>
    <font>
      <sz val="10"/>
      <color rgb="FF000000"/>
      <name val="Calibri"/>
      <family val="2"/>
      <scheme val="minor"/>
    </font>
    <font>
      <sz val="10"/>
      <color theme="1"/>
      <name val="Calibri"/>
      <family val="2"/>
      <scheme val="minor"/>
    </font>
  </fonts>
  <fills count="19">
    <fill>
      <patternFill patternType="none"/>
    </fill>
    <fill>
      <patternFill patternType="gray125"/>
    </fill>
    <fill>
      <patternFill patternType="solid">
        <fgColor rgb="FFFFFF00"/>
        <bgColor indexed="64"/>
      </patternFill>
    </fill>
    <fill>
      <patternFill patternType="solid">
        <fgColor rgb="FFF2F2F2"/>
        <bgColor rgb="FF000000"/>
      </patternFill>
    </fill>
    <fill>
      <patternFill patternType="solid">
        <fgColor theme="9"/>
        <bgColor indexed="64"/>
      </patternFill>
    </fill>
    <fill>
      <patternFill patternType="solid">
        <fgColor theme="9" tint="0.59999389629810485"/>
        <bgColor indexed="64"/>
      </patternFill>
    </fill>
    <fill>
      <patternFill patternType="solid">
        <fgColor theme="7" tint="0.79998168889431442"/>
        <bgColor indexed="64"/>
      </patternFill>
    </fill>
    <fill>
      <patternFill patternType="solid">
        <fgColor rgb="FFFF0000"/>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5"/>
        <bgColor indexed="64"/>
      </patternFill>
    </fill>
    <fill>
      <patternFill patternType="solid">
        <fgColor theme="7"/>
        <bgColor indexed="64"/>
      </patternFill>
    </fill>
    <fill>
      <patternFill patternType="solid">
        <fgColor theme="5" tint="0.39997558519241921"/>
        <bgColor indexed="64"/>
      </patternFill>
    </fill>
    <fill>
      <patternFill patternType="solid">
        <fgColor theme="0"/>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theme="0" tint="-4.9989318521683403E-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top/>
      <bottom/>
      <diagonal/>
    </border>
    <border>
      <left/>
      <right style="medium">
        <color indexed="64"/>
      </right>
      <top/>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4">
    <xf numFmtId="0" fontId="0" fillId="0" borderId="0"/>
    <xf numFmtId="0" fontId="2" fillId="0" borderId="0"/>
    <xf numFmtId="164" fontId="5" fillId="0" borderId="0" applyFont="0" applyFill="0" applyBorder="0" applyAlignment="0" applyProtection="0"/>
    <xf numFmtId="0" fontId="10" fillId="0" borderId="0"/>
  </cellStyleXfs>
  <cellXfs count="144">
    <xf numFmtId="0" fontId="0" fillId="0" borderId="0" xfId="0"/>
    <xf numFmtId="0" fontId="1" fillId="0" borderId="0" xfId="0" applyFont="1"/>
    <xf numFmtId="0" fontId="0" fillId="2" borderId="0" xfId="0" applyFill="1"/>
    <xf numFmtId="0" fontId="1" fillId="2" borderId="0" xfId="0" applyFont="1" applyFill="1"/>
    <xf numFmtId="0" fontId="2" fillId="0" borderId="0" xfId="1" applyAlignment="1">
      <alignment horizontal="left"/>
    </xf>
    <xf numFmtId="2" fontId="0" fillId="0" borderId="0" xfId="0" applyNumberFormat="1"/>
    <xf numFmtId="2" fontId="1" fillId="0" borderId="0" xfId="0" applyNumberFormat="1" applyFont="1"/>
    <xf numFmtId="2" fontId="0" fillId="2" borderId="0" xfId="0" applyNumberFormat="1" applyFill="1"/>
    <xf numFmtId="0" fontId="0" fillId="0" borderId="0" xfId="0" applyAlignment="1">
      <alignment wrapText="1"/>
    </xf>
    <xf numFmtId="0" fontId="1" fillId="0" borderId="0" xfId="0" applyFont="1" applyAlignment="1">
      <alignment wrapText="1"/>
    </xf>
    <xf numFmtId="0" fontId="0" fillId="0" borderId="0" xfId="0" applyAlignment="1">
      <alignment horizontal="left"/>
    </xf>
    <xf numFmtId="0" fontId="4" fillId="0" borderId="0" xfId="0" applyFont="1"/>
    <xf numFmtId="3" fontId="0" fillId="0" borderId="0" xfId="0" applyNumberFormat="1"/>
    <xf numFmtId="0" fontId="2" fillId="3" borderId="0" xfId="1" applyFill="1" applyAlignment="1">
      <alignment horizontal="left"/>
    </xf>
    <xf numFmtId="0" fontId="6" fillId="0" borderId="0" xfId="0" applyFont="1"/>
    <xf numFmtId="0" fontId="7" fillId="0" borderId="0" xfId="0" applyFont="1"/>
    <xf numFmtId="0" fontId="0" fillId="4" borderId="0" xfId="0" applyFill="1"/>
    <xf numFmtId="0" fontId="8" fillId="5" borderId="0" xfId="0" applyFont="1" applyFill="1"/>
    <xf numFmtId="0" fontId="9" fillId="6" borderId="0" xfId="0" applyFont="1" applyFill="1"/>
    <xf numFmtId="0" fontId="10" fillId="0" borderId="0" xfId="3"/>
    <xf numFmtId="0" fontId="0" fillId="6" borderId="0" xfId="0" applyFill="1" applyAlignment="1">
      <alignment horizontal="left"/>
    </xf>
    <xf numFmtId="0" fontId="11" fillId="4" borderId="1" xfId="0" applyFont="1" applyFill="1" applyBorder="1"/>
    <xf numFmtId="0" fontId="8" fillId="0" borderId="0" xfId="0" applyFont="1"/>
    <xf numFmtId="0" fontId="11" fillId="5" borderId="1" xfId="0" applyFont="1" applyFill="1" applyBorder="1"/>
    <xf numFmtId="0" fontId="11" fillId="6" borderId="1" xfId="0" applyFont="1" applyFill="1" applyBorder="1"/>
    <xf numFmtId="0" fontId="0" fillId="6" borderId="0" xfId="0" applyFill="1"/>
    <xf numFmtId="0" fontId="0" fillId="7" borderId="0" xfId="0" applyFill="1"/>
    <xf numFmtId="0" fontId="12" fillId="8" borderId="0" xfId="0" applyFont="1" applyFill="1" applyAlignment="1">
      <alignment horizontal="left"/>
    </xf>
    <xf numFmtId="0" fontId="13" fillId="9" borderId="0" xfId="0" applyFont="1" applyFill="1"/>
    <xf numFmtId="0" fontId="13" fillId="0" borderId="0" xfId="0" applyFont="1"/>
    <xf numFmtId="0" fontId="9" fillId="8" borderId="0" xfId="1" applyFont="1" applyFill="1" applyAlignment="1">
      <alignment horizontal="left"/>
    </xf>
    <xf numFmtId="0" fontId="12" fillId="7" borderId="0" xfId="0" applyFont="1" applyFill="1" applyAlignment="1">
      <alignment horizontal="left"/>
    </xf>
    <xf numFmtId="0" fontId="12" fillId="6" borderId="0" xfId="0" applyFont="1" applyFill="1" applyAlignment="1">
      <alignment horizontal="left"/>
    </xf>
    <xf numFmtId="0" fontId="11" fillId="6" borderId="0" xfId="0" applyFont="1" applyFill="1"/>
    <xf numFmtId="0" fontId="14" fillId="10" borderId="0" xfId="0" applyFont="1" applyFill="1" applyAlignment="1">
      <alignment vertical="center"/>
    </xf>
    <xf numFmtId="0" fontId="2" fillId="4" borderId="0" xfId="0" applyFont="1" applyFill="1"/>
    <xf numFmtId="0" fontId="2" fillId="5" borderId="0" xfId="0" applyFont="1" applyFill="1"/>
    <xf numFmtId="0" fontId="2" fillId="5" borderId="0" xfId="1" applyFill="1"/>
    <xf numFmtId="0" fontId="12" fillId="11" borderId="0" xfId="0" applyFont="1" applyFill="1" applyAlignment="1">
      <alignment horizontal="left"/>
    </xf>
    <xf numFmtId="0" fontId="2" fillId="0" borderId="0" xfId="1"/>
    <xf numFmtId="0" fontId="9" fillId="12" borderId="0" xfId="1" applyFont="1" applyFill="1" applyAlignment="1">
      <alignment horizontal="left"/>
    </xf>
    <xf numFmtId="0" fontId="15" fillId="6" borderId="0" xfId="0" applyFont="1" applyFill="1"/>
    <xf numFmtId="0" fontId="8" fillId="6" borderId="0" xfId="0" applyFont="1" applyFill="1"/>
    <xf numFmtId="0" fontId="12" fillId="12" borderId="0" xfId="0" applyFont="1" applyFill="1" applyAlignment="1">
      <alignment horizontal="left"/>
    </xf>
    <xf numFmtId="0" fontId="0" fillId="11" borderId="0" xfId="0" applyFill="1" applyAlignment="1">
      <alignment horizontal="left"/>
    </xf>
    <xf numFmtId="0" fontId="12" fillId="13" borderId="0" xfId="0" applyFont="1" applyFill="1" applyAlignment="1">
      <alignment horizontal="left"/>
    </xf>
    <xf numFmtId="0" fontId="12" fillId="6" borderId="0" xfId="0" applyFont="1" applyFill="1"/>
    <xf numFmtId="0" fontId="13" fillId="14" borderId="0" xfId="0" applyFont="1" applyFill="1"/>
    <xf numFmtId="0" fontId="11" fillId="6" borderId="2" xfId="0" applyFont="1" applyFill="1" applyBorder="1"/>
    <xf numFmtId="1" fontId="0" fillId="0" borderId="0" xfId="0" applyNumberFormat="1"/>
    <xf numFmtId="1" fontId="0" fillId="2" borderId="0" xfId="0" applyNumberFormat="1" applyFill="1"/>
    <xf numFmtId="1" fontId="10" fillId="0" borderId="0" xfId="2" applyNumberFormat="1" applyFont="1" applyFill="1" applyBorder="1" applyAlignment="1">
      <alignment horizontal="right" vertical="center"/>
    </xf>
    <xf numFmtId="0" fontId="10" fillId="0" borderId="0" xfId="2" applyNumberFormat="1" applyFont="1" applyFill="1" applyBorder="1" applyAlignment="1">
      <alignment vertical="center"/>
    </xf>
    <xf numFmtId="1" fontId="10" fillId="2" borderId="0" xfId="2" applyNumberFormat="1" applyFont="1" applyFill="1" applyBorder="1" applyAlignment="1">
      <alignment horizontal="right" vertical="center"/>
    </xf>
    <xf numFmtId="0" fontId="10" fillId="2" borderId="0" xfId="2" applyNumberFormat="1" applyFont="1" applyFill="1" applyBorder="1" applyAlignment="1">
      <alignment vertical="center"/>
    </xf>
    <xf numFmtId="1" fontId="5" fillId="0" borderId="0" xfId="0" applyNumberFormat="1" applyFont="1"/>
    <xf numFmtId="0" fontId="5" fillId="0" borderId="0" xfId="0" applyFont="1"/>
    <xf numFmtId="1" fontId="16" fillId="0" borderId="0" xfId="2" applyNumberFormat="1" applyFont="1" applyFill="1" applyBorder="1" applyAlignment="1">
      <alignment horizontal="right" vertical="center"/>
    </xf>
    <xf numFmtId="0" fontId="16" fillId="0" borderId="0" xfId="2" applyNumberFormat="1" applyFont="1" applyFill="1" applyBorder="1" applyAlignment="1">
      <alignment vertical="center"/>
    </xf>
    <xf numFmtId="1" fontId="17" fillId="0" borderId="0" xfId="2" applyNumberFormat="1" applyFont="1" applyFill="1" applyBorder="1" applyAlignment="1">
      <alignment horizontal="right" vertical="center"/>
    </xf>
    <xf numFmtId="0" fontId="17" fillId="0" borderId="0" xfId="2" applyNumberFormat="1" applyFont="1" applyFill="1" applyBorder="1" applyAlignment="1">
      <alignment vertical="center"/>
    </xf>
    <xf numFmtId="1" fontId="17" fillId="2" borderId="0" xfId="2" applyNumberFormat="1" applyFont="1" applyFill="1" applyBorder="1" applyAlignment="1">
      <alignment horizontal="right" vertical="center"/>
    </xf>
    <xf numFmtId="0" fontId="17" fillId="2" borderId="0" xfId="2" applyNumberFormat="1" applyFont="1" applyFill="1" applyBorder="1" applyAlignment="1">
      <alignment vertical="center"/>
    </xf>
    <xf numFmtId="1" fontId="18" fillId="0" borderId="0" xfId="2" applyNumberFormat="1" applyFont="1" applyFill="1" applyBorder="1" applyAlignment="1">
      <alignment horizontal="right" vertical="center"/>
    </xf>
    <xf numFmtId="0" fontId="18" fillId="0" borderId="0" xfId="2" applyNumberFormat="1" applyFont="1" applyFill="1" applyBorder="1" applyAlignment="1">
      <alignment vertical="center"/>
    </xf>
    <xf numFmtId="1" fontId="19" fillId="0" borderId="0" xfId="0" applyNumberFormat="1" applyFont="1"/>
    <xf numFmtId="0" fontId="19" fillId="0" borderId="0" xfId="0" applyFont="1"/>
    <xf numFmtId="165" fontId="17" fillId="6" borderId="0" xfId="2" applyNumberFormat="1" applyFont="1" applyFill="1" applyAlignment="1">
      <alignment horizontal="right" vertical="center"/>
    </xf>
    <xf numFmtId="3" fontId="0" fillId="6" borderId="3" xfId="0" applyNumberFormat="1" applyFill="1" applyBorder="1"/>
    <xf numFmtId="3" fontId="0" fillId="6" borderId="4" xfId="0" applyNumberFormat="1" applyFill="1" applyBorder="1"/>
    <xf numFmtId="165" fontId="16" fillId="6" borderId="0" xfId="2" applyNumberFormat="1" applyFont="1" applyFill="1" applyAlignment="1">
      <alignment vertical="center"/>
    </xf>
    <xf numFmtId="1" fontId="17" fillId="6" borderId="0" xfId="2" applyNumberFormat="1" applyFont="1" applyFill="1" applyAlignment="1">
      <alignment horizontal="right" vertical="center"/>
    </xf>
    <xf numFmtId="3" fontId="0" fillId="6" borderId="5" xfId="0" applyNumberFormat="1" applyFill="1" applyBorder="1"/>
    <xf numFmtId="4" fontId="0" fillId="15" borderId="0" xfId="0" applyNumberFormat="1" applyFill="1"/>
    <xf numFmtId="4" fontId="0" fillId="6" borderId="0" xfId="0" applyNumberFormat="1" applyFill="1"/>
    <xf numFmtId="165" fontId="16" fillId="0" borderId="0" xfId="2" applyNumberFormat="1" applyFont="1" applyAlignment="1">
      <alignment vertical="center"/>
    </xf>
    <xf numFmtId="165" fontId="17" fillId="0" borderId="0" xfId="2" applyNumberFormat="1" applyFont="1" applyAlignment="1">
      <alignment horizontal="right" vertical="center"/>
    </xf>
    <xf numFmtId="1" fontId="17" fillId="0" borderId="0" xfId="2" applyNumberFormat="1" applyFont="1" applyAlignment="1">
      <alignment horizontal="right" vertical="center"/>
    </xf>
    <xf numFmtId="3" fontId="0" fillId="15" borderId="4" xfId="0" applyNumberFormat="1" applyFill="1" applyBorder="1"/>
    <xf numFmtId="4" fontId="0" fillId="0" borderId="0" xfId="0" applyNumberFormat="1"/>
    <xf numFmtId="165" fontId="17" fillId="6" borderId="0" xfId="2" applyNumberFormat="1" applyFont="1" applyFill="1" applyAlignment="1">
      <alignment vertical="center"/>
    </xf>
    <xf numFmtId="165" fontId="17" fillId="0" borderId="0" xfId="2" applyNumberFormat="1" applyFont="1" applyAlignment="1">
      <alignment vertical="center"/>
    </xf>
    <xf numFmtId="0" fontId="16" fillId="0" borderId="0" xfId="0" applyFont="1" applyAlignment="1">
      <alignment vertical="center"/>
    </xf>
    <xf numFmtId="1" fontId="17" fillId="0" borderId="0" xfId="0" applyNumberFormat="1" applyFont="1" applyAlignment="1">
      <alignment horizontal="right" vertical="center"/>
    </xf>
    <xf numFmtId="1" fontId="17" fillId="0" borderId="0" xfId="0" applyNumberFormat="1" applyFont="1" applyAlignment="1">
      <alignment vertical="center"/>
    </xf>
    <xf numFmtId="3" fontId="0" fillId="16" borderId="3" xfId="0" applyNumberFormat="1" applyFill="1" applyBorder="1"/>
    <xf numFmtId="4" fontId="1" fillId="0" borderId="0" xfId="0" applyNumberFormat="1" applyFont="1"/>
    <xf numFmtId="3" fontId="1" fillId="15" borderId="4" xfId="0" applyNumberFormat="1" applyFont="1" applyFill="1" applyBorder="1"/>
    <xf numFmtId="165" fontId="16" fillId="0" borderId="0" xfId="2" applyNumberFormat="1" applyFont="1" applyFill="1" applyAlignment="1">
      <alignment vertical="center"/>
    </xf>
    <xf numFmtId="165" fontId="17" fillId="0" borderId="0" xfId="2" applyNumberFormat="1" applyFont="1" applyFill="1" applyAlignment="1">
      <alignment horizontal="right" vertical="center"/>
    </xf>
    <xf numFmtId="1" fontId="17" fillId="0" borderId="0" xfId="2" applyNumberFormat="1" applyFont="1" applyFill="1" applyAlignment="1">
      <alignment horizontal="right" vertical="center"/>
    </xf>
    <xf numFmtId="3" fontId="0" fillId="0" borderId="4" xfId="0" applyNumberFormat="1" applyBorder="1"/>
    <xf numFmtId="4" fontId="1" fillId="6" borderId="0" xfId="0" applyNumberFormat="1" applyFont="1" applyFill="1"/>
    <xf numFmtId="3" fontId="0" fillId="6" borderId="0" xfId="0" applyNumberFormat="1" applyFill="1"/>
    <xf numFmtId="165" fontId="16" fillId="2" borderId="0" xfId="2" applyNumberFormat="1" applyFont="1" applyFill="1" applyAlignment="1">
      <alignment vertical="center"/>
    </xf>
    <xf numFmtId="165" fontId="17" fillId="2" borderId="0" xfId="2" applyNumberFormat="1" applyFont="1" applyFill="1" applyAlignment="1">
      <alignment horizontal="right" vertical="center"/>
    </xf>
    <xf numFmtId="1" fontId="17" fillId="2" borderId="0" xfId="2" applyNumberFormat="1" applyFont="1" applyFill="1" applyAlignment="1">
      <alignment horizontal="right" vertical="center"/>
    </xf>
    <xf numFmtId="1" fontId="17" fillId="0" borderId="0" xfId="2" applyNumberFormat="1" applyFont="1" applyAlignment="1">
      <alignment vertical="center"/>
    </xf>
    <xf numFmtId="1" fontId="17" fillId="6" borderId="0" xfId="2" applyNumberFormat="1" applyFont="1" applyFill="1" applyAlignment="1">
      <alignment vertical="center"/>
    </xf>
    <xf numFmtId="165" fontId="16" fillId="0" borderId="0" xfId="2" applyNumberFormat="1" applyFont="1" applyAlignment="1">
      <alignment horizontal="left" vertical="center"/>
    </xf>
    <xf numFmtId="0" fontId="7" fillId="17" borderId="0" xfId="0" applyFont="1" applyFill="1"/>
    <xf numFmtId="0" fontId="0" fillId="8" borderId="0" xfId="0" applyFill="1"/>
    <xf numFmtId="1" fontId="7" fillId="18" borderId="0" xfId="2" applyNumberFormat="1" applyFont="1" applyFill="1"/>
    <xf numFmtId="0" fontId="1" fillId="0" borderId="0" xfId="0" applyFont="1" applyAlignment="1">
      <alignment horizontal="left"/>
    </xf>
    <xf numFmtId="3" fontId="0" fillId="0" borderId="0" xfId="0" applyNumberFormat="1" applyAlignment="1">
      <alignment wrapText="1"/>
    </xf>
    <xf numFmtId="0" fontId="0" fillId="13" borderId="0" xfId="0" applyFill="1"/>
    <xf numFmtId="1" fontId="7" fillId="18" borderId="0" xfId="0" applyNumberFormat="1" applyFont="1" applyFill="1"/>
    <xf numFmtId="0" fontId="0" fillId="0" borderId="0" xfId="0" pivotButton="1"/>
    <xf numFmtId="0" fontId="0" fillId="0" borderId="6" xfId="0" applyBorder="1"/>
    <xf numFmtId="0" fontId="0" fillId="0" borderId="7" xfId="0" applyBorder="1" applyAlignment="1">
      <alignment wrapText="1"/>
    </xf>
    <xf numFmtId="0" fontId="0" fillId="0" borderId="7" xfId="0" applyBorder="1"/>
    <xf numFmtId="49" fontId="1" fillId="0" borderId="7" xfId="0" applyNumberFormat="1" applyFont="1" applyBorder="1"/>
    <xf numFmtId="2" fontId="0" fillId="0" borderId="7" xfId="0" applyNumberFormat="1" applyBorder="1"/>
    <xf numFmtId="49" fontId="0" fillId="0" borderId="0" xfId="0" applyNumberFormat="1"/>
    <xf numFmtId="49" fontId="0" fillId="0" borderId="7" xfId="0" applyNumberFormat="1" applyBorder="1"/>
    <xf numFmtId="49" fontId="0" fillId="0" borderId="8" xfId="0" applyNumberFormat="1" applyBorder="1"/>
    <xf numFmtId="0" fontId="0" fillId="0" borderId="2" xfId="0" applyBorder="1"/>
    <xf numFmtId="49" fontId="1" fillId="0" borderId="0" xfId="0" applyNumberFormat="1" applyFont="1"/>
    <xf numFmtId="49" fontId="0" fillId="0" borderId="9" xfId="0" applyNumberFormat="1" applyBorder="1"/>
    <xf numFmtId="49" fontId="1" fillId="0" borderId="0" xfId="0" applyNumberFormat="1" applyFont="1" applyAlignment="1">
      <alignment wrapText="1"/>
    </xf>
    <xf numFmtId="49" fontId="0" fillId="0" borderId="0" xfId="0" applyNumberFormat="1" applyAlignment="1">
      <alignment wrapText="1"/>
    </xf>
    <xf numFmtId="166" fontId="0" fillId="0" borderId="0" xfId="0" applyNumberFormat="1"/>
    <xf numFmtId="0" fontId="7" fillId="0" borderId="0" xfId="0" applyFont="1" applyAlignment="1">
      <alignment wrapText="1"/>
    </xf>
    <xf numFmtId="49" fontId="8" fillId="0" borderId="0" xfId="0" applyNumberFormat="1" applyFont="1" applyAlignment="1">
      <alignment wrapText="1"/>
    </xf>
    <xf numFmtId="49" fontId="7" fillId="0" borderId="0" xfId="0" applyNumberFormat="1" applyFont="1" applyAlignment="1">
      <alignment wrapText="1"/>
    </xf>
    <xf numFmtId="0" fontId="0" fillId="0" borderId="10" xfId="0" applyBorder="1"/>
    <xf numFmtId="0" fontId="0" fillId="0" borderId="11" xfId="0" applyBorder="1"/>
    <xf numFmtId="49" fontId="7" fillId="0" borderId="11" xfId="0" applyNumberFormat="1" applyFont="1" applyBorder="1" applyAlignment="1">
      <alignment wrapText="1"/>
    </xf>
    <xf numFmtId="49" fontId="8" fillId="0" borderId="1" xfId="0" applyNumberFormat="1" applyFont="1" applyBorder="1" applyAlignment="1">
      <alignment wrapText="1"/>
    </xf>
    <xf numFmtId="49" fontId="8" fillId="0" borderId="12" xfId="0" applyNumberFormat="1" applyFont="1" applyBorder="1" applyAlignment="1">
      <alignment wrapText="1"/>
    </xf>
    <xf numFmtId="49" fontId="8" fillId="0" borderId="13" xfId="0" applyNumberFormat="1" applyFont="1" applyBorder="1" applyAlignment="1">
      <alignment wrapText="1"/>
    </xf>
    <xf numFmtId="49" fontId="8" fillId="0" borderId="11" xfId="0" applyNumberFormat="1" applyFont="1" applyBorder="1" applyAlignment="1">
      <alignment wrapText="1"/>
    </xf>
    <xf numFmtId="0" fontId="8" fillId="0" borderId="13" xfId="0" applyFont="1" applyBorder="1" applyAlignment="1">
      <alignment wrapText="1"/>
    </xf>
    <xf numFmtId="49" fontId="8" fillId="0" borderId="14" xfId="0" applyNumberFormat="1" applyFont="1" applyBorder="1" applyAlignment="1">
      <alignment wrapText="1"/>
    </xf>
    <xf numFmtId="0" fontId="0" fillId="0" borderId="15" xfId="0" applyBorder="1"/>
    <xf numFmtId="0" fontId="0" fillId="0" borderId="13" xfId="0" applyBorder="1" applyAlignment="1">
      <alignment wrapText="1"/>
    </xf>
    <xf numFmtId="0" fontId="0" fillId="0" borderId="13" xfId="0" applyBorder="1"/>
    <xf numFmtId="49" fontId="0" fillId="0" borderId="13" xfId="0" applyNumberFormat="1" applyBorder="1"/>
    <xf numFmtId="49" fontId="0" fillId="0" borderId="14" xfId="0" applyNumberFormat="1" applyBorder="1"/>
    <xf numFmtId="0" fontId="7" fillId="0" borderId="13" xfId="0" applyFont="1" applyBorder="1" applyAlignment="1">
      <alignment horizontal="center" vertical="top" wrapText="1"/>
    </xf>
    <xf numFmtId="0" fontId="0" fillId="0" borderId="3" xfId="0" applyBorder="1"/>
    <xf numFmtId="0" fontId="0" fillId="16" borderId="0" xfId="0" applyFill="1"/>
    <xf numFmtId="0" fontId="6" fillId="2" borderId="0" xfId="0" applyFont="1" applyFill="1"/>
    <xf numFmtId="0" fontId="7" fillId="0" borderId="13" xfId="0" applyFont="1" applyBorder="1" applyAlignment="1">
      <alignment horizontal="center"/>
    </xf>
  </cellXfs>
  <cellStyles count="4">
    <cellStyle name="Comma 2" xfId="2" xr:uid="{FD307AB6-7D21-452C-911B-5C52EE4B024E}"/>
    <cellStyle name="Normal" xfId="0" builtinId="0"/>
    <cellStyle name="Normal 2" xfId="3" xr:uid="{20B6C398-6489-4482-9609-9D2DE166DF72}"/>
    <cellStyle name="Normal 2 2" xfId="1" xr:uid="{77D9F303-E0E5-44FA-AF90-0ED5934FDC9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externalLink" Target="externalLinks/externalLink2.xml"/><Relationship Id="rId55" Type="http://schemas.openxmlformats.org/officeDocument/2006/relationships/externalLink" Target="externalLinks/externalLink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externalLink" Target="externalLinks/externalLink5.xml"/><Relationship Id="rId58"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heetMetadata" Target="metadata.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externalLink" Target="externalLinks/externalLink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externalLink" Target="externalLinks/externalLink4.xml"/><Relationship Id="rId6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leuco/AppData/Local/Temp/ANNEX%202_LAFO.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valer/OneDrive/Documents/JRC_03_2021/LAFO/Results/NAI_unece%20and%20O'brien.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Usuario\OneDrive\Documents\GitHub\WHEP\inst\extdata\input\raw\items_supply.csv" TargetMode="External"/><Relationship Id="rId1" Type="http://schemas.openxmlformats.org/officeDocument/2006/relationships/externalLinkPath" Target="file:///C:\Users\Usuario\OneDrive\Documents\GitHub\WHEP\inst\extdata\input\raw\items_supply.csv"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leuco/Downloads/Copia%20de%20Crop_codes.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leuco/Documents/GitHub/Global/input/Codes_coefs.xlsx"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https://d.docs.live.net/0dd767e02e6ada6c/Documents/GitHub/Spain_Hist/input/FEDNA%202016_2019.xlsx" TargetMode="External"/><Relationship Id="rId1" Type="http://schemas.openxmlformats.org/officeDocument/2006/relationships/externalLinkPath" Target="/0dd767e02e6ada6c/Documents/GitHub/Spain_Hist/input/FEDNA%202016_2019.xlsx"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https://d.docs.live.net/0dd767e02e6ada6c/Documents/GitHub/General/input/Biomass_coefs.xlsx" TargetMode="External"/><Relationship Id="rId1" Type="http://schemas.openxmlformats.org/officeDocument/2006/relationships/externalLinkPath" Target="Biomass_coef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Table A.1.1"/>
      <sheetName val="Table A.1.2"/>
      <sheetName val="HS4_list"/>
      <sheetName val="HS6_list"/>
      <sheetName val="HS_APRO"/>
      <sheetName val="HS_FAO"/>
      <sheetName val="Crops_yields"/>
      <sheetName val="Grass_yields"/>
      <sheetName val="TF_livestock"/>
      <sheetName val="TF_plant"/>
      <sheetName val="TF_fish"/>
      <sheetName val="Timber_yields"/>
      <sheetName val="TF_timber"/>
      <sheetName val="Regions"/>
      <sheetName val="List of references"/>
      <sheetName val="Geographic regions"/>
      <sheetName val="TF_livestock+calculations"/>
    </sheetNames>
    <sheetDataSet>
      <sheetData sheetId="0"/>
      <sheetData sheetId="1"/>
      <sheetData sheetId="2"/>
      <sheetData sheetId="3"/>
      <sheetData sheetId="4">
        <row r="6">
          <cell r="E6" t="str">
            <v>Code</v>
          </cell>
          <cell r="F6" t="str">
            <v>Parent</v>
          </cell>
          <cell r="G6" t="str">
            <v>Description</v>
          </cell>
          <cell r="H6" t="str">
            <v>Self-explanatory texts</v>
          </cell>
          <cell r="I6" t="str">
            <v>Inclusion in LAFO</v>
          </cell>
          <cell r="J6" t="str">
            <v>comment</v>
          </cell>
          <cell r="K6" t="str">
            <v>Representative product?</v>
          </cell>
          <cell r="L6" t="str">
            <v>Proxy</v>
          </cell>
        </row>
        <row r="7">
          <cell r="E7" t="str">
            <v>03</v>
          </cell>
          <cell r="F7" t="str">
            <v>I</v>
          </cell>
          <cell r="G7" t="str">
            <v>CHAPTER 3 - FISH AND CRUSTACEANS, MOLLUSCS AND OTHER AQUATIC INVERTEBRATES</v>
          </cell>
          <cell r="H7" t="str">
            <v>FISH AND CRUSTACEANS, MOLLUSCS AND OTHER AQUATIC INVERTEBRATES</v>
          </cell>
        </row>
        <row r="8">
          <cell r="E8" t="str">
            <v>0301</v>
          </cell>
          <cell r="F8" t="str">
            <v>3</v>
          </cell>
          <cell r="G8" t="str">
            <v>Live fish</v>
          </cell>
          <cell r="H8" t="str">
            <v>Live fish</v>
          </cell>
        </row>
        <row r="9">
          <cell r="E9" t="str">
            <v>0301 10</v>
          </cell>
          <cell r="F9" t="str">
            <v>301</v>
          </cell>
          <cell r="G9" t="str">
            <v>- Ornamental fish</v>
          </cell>
          <cell r="H9" t="str">
            <v>Live ornamental fish</v>
          </cell>
          <cell r="I9" t="str">
            <v>no</v>
          </cell>
        </row>
        <row r="10">
          <cell r="F10" t="str">
            <v>301</v>
          </cell>
          <cell r="G10" t="str">
            <v>- Other live fish</v>
          </cell>
        </row>
        <row r="11">
          <cell r="E11" t="str">
            <v>0301 91</v>
          </cell>
          <cell r="F11" t="str">
            <v>301</v>
          </cell>
          <cell r="G11" t="str">
            <v>- - Trout (Salmo trutta, Oncorhynchus mykiss, Oncorhynchus clarki, Oncorhynchus aguabonita, Oncorhynchus gilae, Oncorhynchus apache and Oncorhynchus chrysogaster)</v>
          </cell>
          <cell r="H11" t="str">
            <v>Live trout "Salmo trutta, Oncorhynchus mykiss, Oncorhynchus clarki, Oncorhynchus aguabonita, Oncorhynchus gilae, Oncorhynchus apache and Oncorhynchus chrysogaster"</v>
          </cell>
          <cell r="I11" t="str">
            <v>yes</v>
          </cell>
          <cell r="J11" t="str">
            <v>Salmonids</v>
          </cell>
          <cell r="K11" t="str">
            <v>Y</v>
          </cell>
        </row>
        <row r="12">
          <cell r="E12" t="str">
            <v>0301 92</v>
          </cell>
          <cell r="F12" t="str">
            <v>301</v>
          </cell>
          <cell r="G12" t="str">
            <v>- - Eels (Anguilla spp.)</v>
          </cell>
          <cell r="H12" t="str">
            <v>Live eels "Anguilla spp."</v>
          </cell>
          <cell r="I12" t="str">
            <v>yes</v>
          </cell>
          <cell r="J12" t="str">
            <v>Freshwater fish</v>
          </cell>
          <cell r="K12" t="str">
            <v>Y</v>
          </cell>
        </row>
        <row r="13">
          <cell r="E13" t="str">
            <v>0301 93</v>
          </cell>
          <cell r="F13" t="str">
            <v>301</v>
          </cell>
          <cell r="G13" t="str">
            <v>- - Carp</v>
          </cell>
          <cell r="H13" t="str">
            <v>Live carp</v>
          </cell>
          <cell r="I13" t="str">
            <v>yes</v>
          </cell>
          <cell r="J13" t="str">
            <v>Freshwater fish</v>
          </cell>
          <cell r="K13" t="str">
            <v>Y</v>
          </cell>
        </row>
        <row r="14">
          <cell r="E14" t="str">
            <v>0301 94</v>
          </cell>
          <cell r="F14" t="str">
            <v>301</v>
          </cell>
          <cell r="G14" t="str">
            <v>-- Atlantic and Pacific bluefin tuna (Thunnus thynnus, Thunnus orientalis)</v>
          </cell>
          <cell r="H14" t="str">
            <v>Live Atlantic and Pacific bluefin tuna (Thunnus thynnus, Thunnus orientalis)</v>
          </cell>
          <cell r="I14" t="str">
            <v>no</v>
          </cell>
          <cell r="J14" t="str">
            <v>Tuna and tuna like species</v>
          </cell>
        </row>
        <row r="15">
          <cell r="E15" t="str">
            <v>0301 95</v>
          </cell>
          <cell r="F15" t="str">
            <v>301</v>
          </cell>
          <cell r="G15" t="str">
            <v>-- Southern bluefin tuna (Thunnus maccoyii)</v>
          </cell>
          <cell r="H15" t="str">
            <v>Live southern bluefin tunas "Thunnus maccoyii"</v>
          </cell>
          <cell r="I15" t="str">
            <v>no</v>
          </cell>
          <cell r="J15" t="str">
            <v>Tuna and tuna like species</v>
          </cell>
        </row>
        <row r="16">
          <cell r="E16" t="str">
            <v>0301 99</v>
          </cell>
          <cell r="F16" t="str">
            <v>301</v>
          </cell>
          <cell r="G16" t="str">
            <v>- - Other</v>
          </cell>
          <cell r="H16" t="str">
            <v>Live fish (excl. ornamental fish, trout [Salmo trutta, Oncorhynchus mykiss, Oncorhynchus clarki, Oncorhynchus aguabonita, Oncorhynchus gilae, Oncorhynchus apache and Oncorhynchus chrysogaster], eels [Anguilla spp.] and carp)</v>
          </cell>
          <cell r="I16" t="str">
            <v>yes</v>
          </cell>
          <cell r="J16" t="str">
            <v>Other marine fish</v>
          </cell>
          <cell r="K16" t="str">
            <v>Y</v>
          </cell>
        </row>
        <row r="17">
          <cell r="E17" t="str">
            <v>0302</v>
          </cell>
          <cell r="F17" t="str">
            <v>3</v>
          </cell>
          <cell r="G17" t="str">
            <v>Fish, fresh or chilled, excluding fish fillets and other fish meat of heading No 0304</v>
          </cell>
          <cell r="H17" t="str">
            <v>Fish, fresh or chilled (excl. fish fillets and other fish meat of heading 0304)</v>
          </cell>
        </row>
        <row r="18">
          <cell r="F18" t="str">
            <v>302</v>
          </cell>
          <cell r="G18" t="str">
            <v>- Salmonidae, excluding livers and roes</v>
          </cell>
        </row>
        <row r="19">
          <cell r="E19" t="str">
            <v>0302 11</v>
          </cell>
          <cell r="F19" t="str">
            <v>302</v>
          </cell>
          <cell r="G19" t="str">
            <v>- - Trout (Salmo trutta, Oncorhynchus mykiss, Oncorhynchus clarki, Oncorhynchus aguabonita, Oncorhynchus gilae, Oncorhynchus apache and Oncorhynchus chrysogaster)</v>
          </cell>
          <cell r="H19" t="str">
            <v>Fresh or chilled trout "Salmo trutta, Oncorhynchus mykiss, Oncorhynchus clarki, Oncorhynchus aguabonita, Oncorhynchus gilae, Oncorhynchus apache and Oncorhynchus chrysogaster"</v>
          </cell>
          <cell r="I19" t="str">
            <v>yes</v>
          </cell>
          <cell r="J19" t="str">
            <v>Salmonids</v>
          </cell>
          <cell r="K19" t="str">
            <v>Y</v>
          </cell>
        </row>
        <row r="20">
          <cell r="E20" t="str">
            <v>0302 13</v>
          </cell>
          <cell r="F20" t="str">
            <v>302</v>
          </cell>
          <cell r="G20" t="str">
            <v>-- Pacific salmon (Oncorhynchus nerka, Oncorhynchus gorbuscha, Oncorhynchus keta, Oncorhynchus tschawytscha, Oncorhynchus kisutch, Oncorhynchus masou and Oncorhynchus rhodurus)</v>
          </cell>
          <cell r="H20" t="str">
            <v>Fresh or chilled Pacific salmon "Oncorhynchus nerka, Oncorhynchus gorbuscha, Oncorhynchus keta, Oncorhynchus tschawytscha, Oncorhynchus kisutch, Oncorhynchus masou and Oncorhynchus rhodurus"(2012-2500)</v>
          </cell>
          <cell r="I20" t="str">
            <v>yes</v>
          </cell>
          <cell r="J20" t="str">
            <v>Salmonids</v>
          </cell>
          <cell r="K20" t="str">
            <v>Y</v>
          </cell>
        </row>
        <row r="21">
          <cell r="E21" t="str">
            <v>0302 14</v>
          </cell>
          <cell r="F21" t="str">
            <v>302</v>
          </cell>
          <cell r="G21" t="str">
            <v>-- Atlantic salmon (Salmo salar) and Danube salmon (Hucho hucho)</v>
          </cell>
          <cell r="H21" t="str">
            <v>Fresh or chilled Atlantic salmon "Salmo salar" and Danube salmon "Hucho hucho"(2012-2500)</v>
          </cell>
          <cell r="I21" t="str">
            <v>yes</v>
          </cell>
          <cell r="J21" t="str">
            <v>Salmonids</v>
          </cell>
          <cell r="K21" t="str">
            <v>Y</v>
          </cell>
        </row>
        <row r="22">
          <cell r="E22" t="str">
            <v>0302 99</v>
          </cell>
          <cell r="F22" t="str">
            <v>302</v>
          </cell>
          <cell r="G22" t="str">
            <v>-- Other</v>
          </cell>
          <cell r="H22" t="str">
            <v>Fresh or chilled flat fish "Pleuronectidae, Bothidae, Cynoglossidae, Soleidae, Scophthalmidae and Catharidae" (excl. halibut "Reinhardtius hippoglossoides, Hippoglossus hippoglossus and Hippoglossus stenolepis", plaice "Pleuronectes platessa", sole "Solea spp." and turbot "Psetta maxima")(1988-2500)</v>
          </cell>
          <cell r="I22" t="str">
            <v>no</v>
          </cell>
          <cell r="J22" t="str">
            <v>Flatfish</v>
          </cell>
        </row>
        <row r="23">
          <cell r="E23" t="str">
            <v>0302 19</v>
          </cell>
          <cell r="F23" t="str">
            <v>302</v>
          </cell>
          <cell r="G23" t="str">
            <v>- - Other</v>
          </cell>
          <cell r="H23" t="str">
            <v>Fresh or chilled salmonidae (excl. trout "Salmo trutta, Oncorhynchus mykiss, Oncorhynchus clarki, Oncorhynchus aguabonita, Oncorhynchus gilae, Oncorhynchus apache and Oncorhynchus chrysogaster", Pacific salmon "Oncorhynchus nerka, Oncorhynchus gorbuscha, Oncorhynchus keta, Oncorhynchus tschawytscha, Oncorhynchus kisutch, Oncorhynchus masou and Oncorhynchus rhodurus", Atlantic salmon "Salmo salar" and Danube salmon "Hucho hucho")</v>
          </cell>
          <cell r="I23" t="str">
            <v>yes</v>
          </cell>
          <cell r="J23" t="str">
            <v>Salmonids</v>
          </cell>
          <cell r="K23" t="str">
            <v>Y</v>
          </cell>
        </row>
        <row r="24">
          <cell r="F24" t="str">
            <v>302</v>
          </cell>
          <cell r="G24" t="str">
            <v>- Flat fish (Pleuronectidae, Bothidae, Cynoglossidae, Soleidae, Scophthalmidae and Citharidae), excluding livers and roes</v>
          </cell>
        </row>
        <row r="25">
          <cell r="E25" t="str">
            <v>0302 21</v>
          </cell>
          <cell r="F25" t="str">
            <v>302</v>
          </cell>
          <cell r="G25" t="str">
            <v>- - Halibut (Reinhardtius hippoglossoides, Hippoglossus hippoglossus, Hippoglossus stenolepis)</v>
          </cell>
          <cell r="H25" t="str">
            <v>Fresh or chilled lesser or Greenland halibut "Reinhardtius hippoglossoides, Atlantic halibut "Hippoglossus hippoglossus" and Pacific halibut "Hippoglossus stenolepsis"</v>
          </cell>
          <cell r="I25" t="str">
            <v>no</v>
          </cell>
          <cell r="J25" t="str">
            <v>Flatfish</v>
          </cell>
        </row>
        <row r="26">
          <cell r="E26" t="str">
            <v>0302 22</v>
          </cell>
          <cell r="F26" t="str">
            <v>302</v>
          </cell>
          <cell r="G26" t="str">
            <v>- - Plaice (Pleuronectes platessa)</v>
          </cell>
          <cell r="H26" t="str">
            <v>Fresh or chilled plaice "Pleuronectes platessa"</v>
          </cell>
          <cell r="I26" t="str">
            <v>no</v>
          </cell>
          <cell r="J26" t="str">
            <v>Flatfish</v>
          </cell>
        </row>
        <row r="27">
          <cell r="E27" t="str">
            <v>0302 23</v>
          </cell>
          <cell r="F27" t="str">
            <v>302</v>
          </cell>
          <cell r="G27" t="str">
            <v>- - Sole (Solea spp.)</v>
          </cell>
          <cell r="H27" t="str">
            <v>Fresh or chilled sole "Solea spp."</v>
          </cell>
          <cell r="I27" t="str">
            <v>no</v>
          </cell>
          <cell r="J27" t="str">
            <v>Flatfish</v>
          </cell>
        </row>
        <row r="28">
          <cell r="E28" t="str">
            <v>0302 24</v>
          </cell>
          <cell r="F28" t="str">
            <v>302</v>
          </cell>
          <cell r="G28" t="str">
            <v>-- Turbots (Psetta maxima)</v>
          </cell>
          <cell r="H28" t="str">
            <v>Fresh or chilled turbot "Psetta maxima"</v>
          </cell>
          <cell r="I28" t="str">
            <v>no</v>
          </cell>
          <cell r="J28" t="str">
            <v>Flatfish</v>
          </cell>
        </row>
        <row r="29">
          <cell r="E29" t="str">
            <v>0302 29</v>
          </cell>
          <cell r="F29" t="str">
            <v>302</v>
          </cell>
          <cell r="G29" t="str">
            <v>- - Other</v>
          </cell>
          <cell r="H29" t="str">
            <v>Fresh or chilled flat fish "Pleuronectidae, Bothidae, Cynoglossidae, Soleidae, Scophthalmidae and Catharidae" (excl. halibut "Reinhardtius hippoglossoides, Hippoglossus hippoglossus and Hippoglossus stenolepsis", plaice "Pleuronectes platessa" and sole "Solea spp.")</v>
          </cell>
          <cell r="I29" t="str">
            <v>no</v>
          </cell>
          <cell r="J29" t="str">
            <v>Flatfish</v>
          </cell>
        </row>
        <row r="30">
          <cell r="F30" t="str">
            <v>302</v>
          </cell>
          <cell r="G30" t="str">
            <v>- Tunas (of the genus Thunnus), skipjack or stripe-bellied bonito (Euthynnus (Katsuwonus) pelamis), excluding livers and roes</v>
          </cell>
        </row>
        <row r="31">
          <cell r="E31" t="str">
            <v>0302 31</v>
          </cell>
          <cell r="F31" t="str">
            <v>302</v>
          </cell>
          <cell r="G31" t="str">
            <v>- - Albacore or longfinned tunas (Thunnus alalunga)</v>
          </cell>
          <cell r="H31" t="str">
            <v>Fresh or chilled albacore or longfinned tunas "Thunnus alalunga"</v>
          </cell>
          <cell r="I31" t="str">
            <v>no</v>
          </cell>
          <cell r="J31" t="str">
            <v>Tuna and tuna like species</v>
          </cell>
        </row>
        <row r="32">
          <cell r="E32" t="str">
            <v>0302 32</v>
          </cell>
          <cell r="F32" t="str">
            <v>302</v>
          </cell>
          <cell r="G32" t="str">
            <v>- - Yellowfin tunas (Thunnus albacares)</v>
          </cell>
          <cell r="H32" t="str">
            <v>Fresh or chilled yellowfin tunas "Thunnus albacares"</v>
          </cell>
          <cell r="I32" t="str">
            <v>no</v>
          </cell>
          <cell r="J32" t="str">
            <v>Tuna and tuna like species</v>
          </cell>
        </row>
        <row r="33">
          <cell r="E33" t="str">
            <v>0302 33</v>
          </cell>
          <cell r="F33" t="str">
            <v>302</v>
          </cell>
          <cell r="G33" t="str">
            <v>- - Skipjack or stripe-bellied bonito</v>
          </cell>
          <cell r="H33" t="str">
            <v>Fresh or chilled skipjack or stripe-bellied bonito</v>
          </cell>
          <cell r="I33" t="str">
            <v>no</v>
          </cell>
          <cell r="J33" t="str">
            <v>Tuna and tuna like species</v>
          </cell>
        </row>
        <row r="34">
          <cell r="E34" t="str">
            <v>0302 34</v>
          </cell>
          <cell r="F34" t="str">
            <v>302</v>
          </cell>
          <cell r="G34" t="str">
            <v>- - Bigeye tunas (Thunnus obesus)</v>
          </cell>
          <cell r="H34" t="str">
            <v>Fresh or chilled bigeye tunas "Thunnus obesus"</v>
          </cell>
          <cell r="I34" t="str">
            <v>no</v>
          </cell>
          <cell r="J34" t="str">
            <v>Tuna and tuna like species</v>
          </cell>
        </row>
        <row r="35">
          <cell r="E35" t="str">
            <v>0302 35</v>
          </cell>
          <cell r="F35" t="str">
            <v>302</v>
          </cell>
          <cell r="G35" t="str">
            <v>- - Bluefin tunas (Thunnus thynnus)</v>
          </cell>
          <cell r="H35" t="str">
            <v>Fresh or chilled bluefin tunas "Thunnus thynnus"</v>
          </cell>
          <cell r="I35" t="str">
            <v>no</v>
          </cell>
          <cell r="J35" t="str">
            <v>Tuna and tuna like species</v>
          </cell>
        </row>
        <row r="36">
          <cell r="E36" t="str">
            <v>0302 36</v>
          </cell>
          <cell r="F36" t="str">
            <v>302</v>
          </cell>
          <cell r="G36" t="str">
            <v>- - Southern bluefin tunas (Thunnus maccoyii)</v>
          </cell>
          <cell r="H36" t="str">
            <v>Fresh or chilled Southern bluefin tunas "Thunnus maccoyii"</v>
          </cell>
          <cell r="I36" t="str">
            <v>no</v>
          </cell>
          <cell r="J36" t="str">
            <v>Tuna and tuna like species</v>
          </cell>
        </row>
        <row r="37">
          <cell r="E37" t="str">
            <v>0302 39</v>
          </cell>
          <cell r="F37" t="str">
            <v>302</v>
          </cell>
          <cell r="G37" t="str">
            <v>- - Other</v>
          </cell>
          <cell r="H37" t="str">
            <v>Fresh or chilled tunas of the genus "Thunnus" (excl. Thunnus alalunga, Thunnus albacares, Thunnus obesus, Thunnus thynnus and Thunnus maccoyii)</v>
          </cell>
          <cell r="I37" t="str">
            <v>no</v>
          </cell>
          <cell r="J37" t="str">
            <v>Tuna and tuna like species</v>
          </cell>
        </row>
        <row r="38">
          <cell r="E38" t="str">
            <v>0302 40</v>
          </cell>
          <cell r="F38" t="str">
            <v>302</v>
          </cell>
          <cell r="G38" t="str">
            <v>- Herrings (Clupea harengus, Clupea pallasii), excluding livers and roes</v>
          </cell>
          <cell r="H38" t="str">
            <v>Fresh or chilled herrings "Clupea harengus, clupea pallasii"</v>
          </cell>
          <cell r="I38" t="str">
            <v>no</v>
          </cell>
          <cell r="J38" t="str">
            <v>Small pelagics</v>
          </cell>
        </row>
        <row r="39">
          <cell r="E39" t="str">
            <v>0302 50</v>
          </cell>
          <cell r="F39" t="str">
            <v>302</v>
          </cell>
          <cell r="G39" t="str">
            <v>- Cod (Gadus morhua, Gadus ogac, Gadus macrocephalus), excluding livers and roes</v>
          </cell>
          <cell r="H39" t="str">
            <v>Fresh or chilled cod "gadus morhua, gadus ogac, gadus macrocephalus"</v>
          </cell>
          <cell r="I39" t="str">
            <v>no</v>
          </cell>
          <cell r="J39" t="str">
            <v>Groundfish</v>
          </cell>
        </row>
        <row r="40">
          <cell r="F40" t="str">
            <v>302</v>
          </cell>
          <cell r="G40" t="str">
            <v>- Other fish, excluding livers and roes</v>
          </cell>
        </row>
        <row r="41">
          <cell r="E41" t="str">
            <v>0302 61</v>
          </cell>
          <cell r="F41" t="str">
            <v>302</v>
          </cell>
          <cell r="G41" t="str">
            <v>- - Sardines (Sardina pilchardus, Sardinops spp.), sardinella (Sardinella spp.), brisling or sprats (Sprattus sprattus)</v>
          </cell>
          <cell r="H41" t="str">
            <v>Fresh or chilled sardines "Sardina pilchardus, Sardinops spp.", sardinella "Sardinella spp.", brisling or sprats "Sprattus sprattus"</v>
          </cell>
          <cell r="I41" t="str">
            <v>no</v>
          </cell>
          <cell r="J41" t="str">
            <v>Small pelagics</v>
          </cell>
        </row>
        <row r="42">
          <cell r="E42" t="str">
            <v>0302 62</v>
          </cell>
          <cell r="F42" t="str">
            <v>302</v>
          </cell>
          <cell r="G42" t="str">
            <v>- - Haddock (Melanogrammus aeglefinus)</v>
          </cell>
          <cell r="H42" t="str">
            <v>Fresh or chilled haddock "Melanogrammus aeglefinus"</v>
          </cell>
          <cell r="I42" t="str">
            <v>no</v>
          </cell>
          <cell r="J42" t="str">
            <v>Groundfish</v>
          </cell>
        </row>
        <row r="43">
          <cell r="E43" t="str">
            <v>0302 63</v>
          </cell>
          <cell r="F43" t="str">
            <v>302</v>
          </cell>
          <cell r="G43" t="str">
            <v>- - Coalfish (Pollachius virens)</v>
          </cell>
          <cell r="H43" t="str">
            <v>Fresh or chilled coalfish "Pollachius virens"</v>
          </cell>
          <cell r="I43" t="str">
            <v>no</v>
          </cell>
          <cell r="J43" t="str">
            <v>Groundfish</v>
          </cell>
        </row>
        <row r="44">
          <cell r="E44" t="str">
            <v>0302 64</v>
          </cell>
          <cell r="F44" t="str">
            <v>302</v>
          </cell>
          <cell r="G44" t="str">
            <v>- - Mackerel (Scomber scombrus, Scomber australasicus, Scomber japonicus)</v>
          </cell>
          <cell r="H44" t="str">
            <v>Fresh or chilled mackerel "Scomber scombrus, Scomber australasicus, Scomber japonicus"</v>
          </cell>
          <cell r="I44" t="str">
            <v>no</v>
          </cell>
          <cell r="J44" t="str">
            <v>Small pelagics</v>
          </cell>
        </row>
        <row r="45">
          <cell r="E45" t="str">
            <v>0302 81</v>
          </cell>
          <cell r="F45" t="str">
            <v>302</v>
          </cell>
          <cell r="G45" t="str">
            <v>-- Dogfish and other sharks</v>
          </cell>
          <cell r="H45" t="str">
            <v>Fresh or chilled dogfish and other sharks(2012-2500)</v>
          </cell>
          <cell r="I45" t="str">
            <v>yes</v>
          </cell>
          <cell r="J45" t="str">
            <v>Other marine fish</v>
          </cell>
          <cell r="K45" t="str">
            <v>Y</v>
          </cell>
        </row>
        <row r="46">
          <cell r="E46" t="str">
            <v>0302 92</v>
          </cell>
          <cell r="F46" t="str">
            <v>302</v>
          </cell>
          <cell r="G46" t="str">
            <v>-- Shark fins</v>
          </cell>
          <cell r="H46" t="str">
            <v>Fresh or chilled shark fins(2017-2500)</v>
          </cell>
          <cell r="I46" t="str">
            <v>yes</v>
          </cell>
          <cell r="J46" t="str">
            <v>Other marine fish</v>
          </cell>
          <cell r="K46" t="str">
            <v>Y</v>
          </cell>
        </row>
        <row r="47">
          <cell r="E47" t="str">
            <v>0302 99</v>
          </cell>
          <cell r="F47" t="str">
            <v>302</v>
          </cell>
          <cell r="G47" t="str">
            <v>-- Other</v>
          </cell>
          <cell r="H47" t="str">
            <v>Fresh or chilled fish fins, heads, tails, maws and other edible fish offal (excl. livers, roes, milt and shark fins)(2017-2500)</v>
          </cell>
          <cell r="I47" t="str">
            <v>no</v>
          </cell>
          <cell r="J47" t="str">
            <v>Other marine fish</v>
          </cell>
        </row>
        <row r="48">
          <cell r="E48" t="str">
            <v>0302 74</v>
          </cell>
          <cell r="F48" t="str">
            <v>302</v>
          </cell>
          <cell r="G48" t="str">
            <v>-- Eels (Anguilla spp.)</v>
          </cell>
          <cell r="H48" t="str">
            <v>Fresh or chilled eels "Anguilla spp."(2012-2500)</v>
          </cell>
          <cell r="I48" t="str">
            <v>yes</v>
          </cell>
          <cell r="J48" t="str">
            <v>Freshwater fish</v>
          </cell>
          <cell r="K48" t="str">
            <v>Y</v>
          </cell>
        </row>
        <row r="49">
          <cell r="E49" t="str">
            <v>0302 99</v>
          </cell>
          <cell r="F49" t="str">
            <v>302</v>
          </cell>
          <cell r="G49" t="str">
            <v>-- Other</v>
          </cell>
          <cell r="H49" t="str">
            <v>Fresh or chilled fish fins, heads, tails, maws and other edible fish offal (excl. livers, roes, milt and shark fins)(2017-2500)</v>
          </cell>
          <cell r="I49" t="str">
            <v>no</v>
          </cell>
          <cell r="J49" t="str">
            <v>Freshwater fish</v>
          </cell>
        </row>
        <row r="50">
          <cell r="E50" t="str">
            <v>0302 41</v>
          </cell>
          <cell r="F50" t="str">
            <v>302</v>
          </cell>
          <cell r="G50" t="str">
            <v>-- Herrings (Clupea harengus, Clupea pallasii)</v>
          </cell>
          <cell r="H50" t="str">
            <v>Fresh or chilled herring "Clupea harengus, clupea pallasii"</v>
          </cell>
          <cell r="I50" t="str">
            <v>no</v>
          </cell>
          <cell r="J50" t="str">
            <v>Small pelagics</v>
          </cell>
        </row>
        <row r="51">
          <cell r="E51" t="str">
            <v>0302 42</v>
          </cell>
          <cell r="F51" t="str">
            <v>302</v>
          </cell>
          <cell r="G51" t="str">
            <v>-- Anchovies (Engraulis spp.)</v>
          </cell>
          <cell r="H51" t="str">
            <v>Fresh or chilled anchovies "Engraulis spp."(2012-2500)</v>
          </cell>
          <cell r="I51" t="str">
            <v>no</v>
          </cell>
          <cell r="J51" t="str">
            <v>Small pelagics</v>
          </cell>
        </row>
        <row r="52">
          <cell r="E52" t="str">
            <v>0302 43</v>
          </cell>
          <cell r="F52" t="str">
            <v>302</v>
          </cell>
          <cell r="G52" t="str">
            <v>-- Sardines (Sardina pilchardus, Sardinops spp.), sardinella (Sardinella spp.), brisling or sprats (Sprattus sprattus)</v>
          </cell>
          <cell r="H52" t="str">
            <v>Fresh or chilled sardines "Sardina pilchardus, Sardinops spp.", sardinella "Sardinella spp.", brisling or sprats "Sprattus sprattus"</v>
          </cell>
          <cell r="I52" t="str">
            <v>no</v>
          </cell>
          <cell r="J52" t="str">
            <v>Small pelagics</v>
          </cell>
        </row>
        <row r="53">
          <cell r="E53" t="str">
            <v>0302 44</v>
          </cell>
          <cell r="F53" t="str">
            <v>302</v>
          </cell>
          <cell r="G53" t="str">
            <v>-- Mackerel (Scomber scombrus, Scomber australasicus, Scomber japonicus)</v>
          </cell>
          <cell r="H53" t="str">
            <v>Fresh or chilled mackerel "Scomber scombrus, Scomber australasicus, Scomber japonicus"</v>
          </cell>
          <cell r="I53" t="str">
            <v>no</v>
          </cell>
          <cell r="J53" t="str">
            <v>Small pelagics</v>
          </cell>
        </row>
        <row r="54">
          <cell r="E54" t="str">
            <v>0302 45</v>
          </cell>
          <cell r="F54" t="str">
            <v>302</v>
          </cell>
          <cell r="G54" t="str">
            <v>-- Jack and horse mackerel (Trachurus spp.)</v>
          </cell>
          <cell r="H54" t="str">
            <v>Fresh or chilled jack and horse mackerel "Trachurus spp."(2012-2500)</v>
          </cell>
          <cell r="I54" t="str">
            <v>no</v>
          </cell>
          <cell r="J54" t="str">
            <v>Small pelagics</v>
          </cell>
        </row>
        <row r="55">
          <cell r="E55" t="str">
            <v>0302 46</v>
          </cell>
          <cell r="F55" t="str">
            <v>302</v>
          </cell>
          <cell r="G55" t="str">
            <v>-- Cobia (Rachycentron canadum)</v>
          </cell>
          <cell r="H55" t="str">
            <v>Fresh or chilled cobia "Rachycentron canadum"(2012-2500)</v>
          </cell>
          <cell r="I55" t="str">
            <v>yes</v>
          </cell>
          <cell r="J55" t="str">
            <v>Other marine fish</v>
          </cell>
          <cell r="K55" t="str">
            <v>Y</v>
          </cell>
        </row>
        <row r="56">
          <cell r="E56" t="str">
            <v>0302 47</v>
          </cell>
          <cell r="F56" t="str">
            <v>302</v>
          </cell>
          <cell r="G56" t="str">
            <v>-- Swordfish (Xiphias gladius)</v>
          </cell>
          <cell r="H56" t="str">
            <v>Fresh or chilled swordfish "Xiphias gladius"(2012-2500)</v>
          </cell>
          <cell r="I56" t="str">
            <v>no</v>
          </cell>
          <cell r="J56" t="str">
            <v>Tuna and tuna like species</v>
          </cell>
        </row>
        <row r="57">
          <cell r="E57" t="str">
            <v>0302 49</v>
          </cell>
          <cell r="F57" t="str">
            <v>302</v>
          </cell>
          <cell r="G57" t="str">
            <v>-- Other</v>
          </cell>
          <cell r="H57" t="str">
            <v>Fresh or chilled Indian mackerels "Rastrelliger spp.", seerfishes "Scomberomorus spp.", jacks, crevalles "Caranx spp.", silver pomfrets "Pampus spp.", Pacific saury "Cololabis saira", scads "Decapterus spp.", capelin "Mallotus villosus", Kawakawa "Euthynnus affinis", bonitos "Sarda spp.", marlins, sailfishes and spearfish "Istiophoridae"(2017-2500)</v>
          </cell>
          <cell r="I57" t="str">
            <v>no</v>
          </cell>
          <cell r="J57" t="str">
            <v>Tuna and tuna like species</v>
          </cell>
        </row>
        <row r="58">
          <cell r="E58" t="str">
            <v>0302 51</v>
          </cell>
          <cell r="F58" t="str">
            <v>302</v>
          </cell>
          <cell r="G58" t="str">
            <v>-- Cod (Gadus morhua, Gadus ogac, Gadus macrocephalus)</v>
          </cell>
          <cell r="H58" t="str">
            <v>Fresh or chilled cod "Gadus morhua, Gadus ogac, Gadus macrocephalus"</v>
          </cell>
          <cell r="I58" t="str">
            <v>no</v>
          </cell>
          <cell r="J58" t="str">
            <v>Groundfish</v>
          </cell>
        </row>
        <row r="59">
          <cell r="E59" t="str">
            <v>0302 52</v>
          </cell>
          <cell r="F59" t="str">
            <v>302</v>
          </cell>
          <cell r="G59" t="str">
            <v>-- Haddock (Melanogrammus aeglefinus)</v>
          </cell>
          <cell r="H59" t="str">
            <v>Fresh or chilled haddock "Melanogrammus aeglefinus"</v>
          </cell>
          <cell r="I59" t="str">
            <v>no</v>
          </cell>
          <cell r="J59" t="str">
            <v>Groundfish</v>
          </cell>
        </row>
        <row r="60">
          <cell r="E60" t="str">
            <v>0302 53</v>
          </cell>
          <cell r="F60" t="str">
            <v>302</v>
          </cell>
          <cell r="G60" t="str">
            <v>-- Coalfish (Pollachius virens)</v>
          </cell>
          <cell r="H60" t="str">
            <v>Fresh or chilled coalfish "Pollachius virens"</v>
          </cell>
          <cell r="I60" t="str">
            <v>no</v>
          </cell>
          <cell r="J60" t="str">
            <v>Groundfish</v>
          </cell>
        </row>
        <row r="61">
          <cell r="E61" t="str">
            <v>0302 54</v>
          </cell>
          <cell r="F61" t="str">
            <v>302</v>
          </cell>
          <cell r="G61" t="str">
            <v>-- Hake (Merluccius spp., Urophycis spp.)</v>
          </cell>
          <cell r="H61" t="str">
            <v>Fresh or chilled hake "Merluccius spp., Urophycis spp."(2012-2500)</v>
          </cell>
          <cell r="I61" t="str">
            <v>no</v>
          </cell>
          <cell r="J61" t="str">
            <v>Groundfish</v>
          </cell>
        </row>
        <row r="62">
          <cell r="E62" t="str">
            <v>0302 55</v>
          </cell>
          <cell r="F62" t="str">
            <v>302</v>
          </cell>
          <cell r="G62" t="str">
            <v>-- Alaska pollock (Theragra chalcogramma)</v>
          </cell>
          <cell r="H62" t="str">
            <v>Fresh or chilled Alaska pollack "Theragra chalcogramma"(2012-2500)</v>
          </cell>
          <cell r="I62" t="str">
            <v>no</v>
          </cell>
          <cell r="J62" t="str">
            <v>Groundfish</v>
          </cell>
        </row>
        <row r="63">
          <cell r="E63" t="str">
            <v>0302 56</v>
          </cell>
          <cell r="F63" t="str">
            <v>302</v>
          </cell>
          <cell r="G63" t="str">
            <v>-- Blue whiting (Micromesistius poutassou, Micromesistius australis)</v>
          </cell>
          <cell r="H63" t="str">
            <v>Fresh or chilled blue whiting "Micromesistius poutassou, Micromesistius australis"(2012-2500)</v>
          </cell>
          <cell r="I63" t="str">
            <v>no</v>
          </cell>
          <cell r="J63" t="str">
            <v>Groundfish</v>
          </cell>
        </row>
        <row r="64">
          <cell r="E64" t="str">
            <v>0302 59</v>
          </cell>
          <cell r="F64" t="str">
            <v>302</v>
          </cell>
          <cell r="G64" t="str">
            <v>-- Other</v>
          </cell>
          <cell r="H64" t="str">
            <v>Fresh or chilled fish of the families Bregmacerotidae, Euclichthyidae, Gadidae, Macrouridae, Melanonidae, Merlucciidae, Moridae and Muraenolepididae (excl. cod, haddock, coalfish, hake, Alaska pollack and blue whitings)(2012-2500)</v>
          </cell>
          <cell r="I64" t="str">
            <v>no</v>
          </cell>
          <cell r="J64" t="str">
            <v>Groundfish</v>
          </cell>
        </row>
        <row r="65">
          <cell r="E65" t="str">
            <v>0302 71</v>
          </cell>
          <cell r="F65" t="str">
            <v>302</v>
          </cell>
          <cell r="G65" t="str">
            <v>-- Tilapias (Oreochromis spp.)</v>
          </cell>
          <cell r="H65" t="str">
            <v>Fresh or chilled tilapia "Oreochromis spp."(2012-2500)</v>
          </cell>
          <cell r="I65" t="str">
            <v>yes</v>
          </cell>
          <cell r="J65" t="str">
            <v>Freshwater fish</v>
          </cell>
          <cell r="K65" t="str">
            <v>Y</v>
          </cell>
        </row>
        <row r="66">
          <cell r="E66" t="str">
            <v>0302 72</v>
          </cell>
          <cell r="F66" t="str">
            <v>302</v>
          </cell>
          <cell r="G66" t="str">
            <v>-- Catfish (Pangasius spp., Silurus spp., Clarias spp., Ictalurus spp.)</v>
          </cell>
          <cell r="H66" t="str">
            <v>Fresh or chilled catfish "Pangasius spp., Silurus spp., Clarias spp., Ictalurus spp."(2012-2500)</v>
          </cell>
          <cell r="I66" t="str">
            <v>yes</v>
          </cell>
          <cell r="J66" t="str">
            <v>Freshwater fish</v>
          </cell>
          <cell r="K66" t="str">
            <v>Y</v>
          </cell>
        </row>
        <row r="67">
          <cell r="E67" t="str">
            <v>0302 73</v>
          </cell>
          <cell r="F67" t="str">
            <v>302</v>
          </cell>
          <cell r="G67" t="str">
            <v>-- Carp (Cyprinus spp., Carassius spp., Ctenopharyngodon idellus, Hypophthalmichthys spp., Cirrhinus spp., Mylopharyngodon piceus, Catla catla, Labeo spp., Osteochilus hasselti, Leptobarbus hoeveni, Megalobrama spp.)</v>
          </cell>
          <cell r="H67" t="str">
            <v>Fresh or chilled carp "Cyprinus spp., Carassius spp., Ctenopharyngodon idellus, Hypophthalmichthys spp., Cirrhinus spp., Mylopharyngodon piceus, Catla catla, Labeo spp., Osteochilus hasselti, Leptobarbus hoeveni, Megalobrama spp."(2012-2500)</v>
          </cell>
          <cell r="I67" t="str">
            <v>yes</v>
          </cell>
          <cell r="J67" t="str">
            <v>Freshwater fish</v>
          </cell>
          <cell r="K67" t="str">
            <v>Y</v>
          </cell>
        </row>
        <row r="68">
          <cell r="E68" t="str">
            <v>0302 79</v>
          </cell>
          <cell r="F68" t="str">
            <v>302</v>
          </cell>
          <cell r="G68" t="str">
            <v>-- Other</v>
          </cell>
          <cell r="H68" t="str">
            <v>Fresh or chilled, Nile perch "Lates niloticus" and snakeheads "Channa spp."(2012-2500)</v>
          </cell>
          <cell r="I68" t="str">
            <v>yes</v>
          </cell>
          <cell r="J68" t="str">
            <v>Freshwater fish</v>
          </cell>
          <cell r="K68" t="str">
            <v>Y</v>
          </cell>
        </row>
        <row r="69">
          <cell r="E69" t="str">
            <v>0302 82</v>
          </cell>
          <cell r="F69" t="str">
            <v>302</v>
          </cell>
          <cell r="G69" t="str">
            <v>-- Rays and skates (Rajidae)</v>
          </cell>
          <cell r="H69" t="str">
            <v>Fresh or chilled, rays and skates "Rajidae"(2012-2500)</v>
          </cell>
          <cell r="I69" t="str">
            <v>yes</v>
          </cell>
          <cell r="J69" t="str">
            <v>Other marine fish</v>
          </cell>
          <cell r="K69" t="str">
            <v>Y</v>
          </cell>
        </row>
        <row r="70">
          <cell r="E70" t="str">
            <v>0302 83</v>
          </cell>
          <cell r="F70" t="str">
            <v>302</v>
          </cell>
          <cell r="G70" t="str">
            <v>-- Toothfish (Dissostichus spp.)</v>
          </cell>
          <cell r="H70" t="str">
            <v>Fresh or chilled toothfish "Dissostichus spp."(2012-2500)</v>
          </cell>
          <cell r="I70" t="str">
            <v>no</v>
          </cell>
          <cell r="J70" t="str">
            <v>Groundfish</v>
          </cell>
        </row>
        <row r="71">
          <cell r="E71" t="str">
            <v>0302 84</v>
          </cell>
          <cell r="F71" t="str">
            <v>302</v>
          </cell>
          <cell r="G71" t="str">
            <v>-- Sea bass (Dicentrarchus spp.)</v>
          </cell>
          <cell r="H71" t="str">
            <v>Fresh or chilled sea bass "Dicentrarchus spp."(2012-2500)</v>
          </cell>
          <cell r="I71" t="str">
            <v>yes</v>
          </cell>
          <cell r="J71" t="str">
            <v>Other marine fish</v>
          </cell>
          <cell r="K71" t="str">
            <v>Y</v>
          </cell>
        </row>
        <row r="72">
          <cell r="E72" t="str">
            <v>0302 85</v>
          </cell>
          <cell r="F72" t="str">
            <v>302</v>
          </cell>
          <cell r="G72" t="str">
            <v>-- Sea bream (Sparidae)</v>
          </cell>
          <cell r="H72" t="str">
            <v>Fresh or chilled sea bream "Sparidae"(2012-2500)</v>
          </cell>
          <cell r="I72" t="str">
            <v>yes</v>
          </cell>
          <cell r="J72" t="str">
            <v>Other marine fish</v>
          </cell>
          <cell r="K72" t="str">
            <v>Y</v>
          </cell>
        </row>
        <row r="73">
          <cell r="E73" t="str">
            <v>0302 89</v>
          </cell>
          <cell r="F73" t="str">
            <v>302</v>
          </cell>
          <cell r="G73" t="str">
            <v>-- Other</v>
          </cell>
          <cell r="H73" t="str">
            <v>Fresh or chilled fish, n.e.s.(2012-2500)</v>
          </cell>
          <cell r="I73" t="str">
            <v>yes</v>
          </cell>
          <cell r="J73" t="str">
            <v>Undefined</v>
          </cell>
          <cell r="K73" t="str">
            <v>Y</v>
          </cell>
        </row>
        <row r="74">
          <cell r="E74" t="str">
            <v>0302 91</v>
          </cell>
          <cell r="F74" t="str">
            <v>302</v>
          </cell>
          <cell r="G74" t="str">
            <v>-- Livers, roes and milt</v>
          </cell>
          <cell r="H74" t="str">
            <v>Fresh or chilled fish livers, roes and milt</v>
          </cell>
          <cell r="I74" t="str">
            <v>no</v>
          </cell>
        </row>
        <row r="75">
          <cell r="E75" t="str">
            <v>0302 99</v>
          </cell>
          <cell r="F75" t="str">
            <v>302</v>
          </cell>
          <cell r="G75" t="str">
            <v>-- Other</v>
          </cell>
          <cell r="H75" t="str">
            <v>Fresh or chilled fish fins, heads, tails, maws and other edible fish offal (excl. livers, roes, milt and shark fins)(2017-2500)</v>
          </cell>
          <cell r="I75" t="str">
            <v>no</v>
          </cell>
        </row>
        <row r="76">
          <cell r="E76" t="str">
            <v>0303</v>
          </cell>
          <cell r="F76" t="str">
            <v>3</v>
          </cell>
          <cell r="G76" t="str">
            <v>Fish, frozen, excluding fish fillets and other fish meat of heading 0304</v>
          </cell>
          <cell r="H76" t="str">
            <v>Frozen fish (excl. fish fillets and other fish meat of heading 0304)</v>
          </cell>
        </row>
        <row r="77">
          <cell r="F77" t="str">
            <v>303</v>
          </cell>
          <cell r="G77" t="str">
            <v>- Pacific salmon (Oncorhynchus nerka, Oncorhynchus gorbuscha, Onchorhynchus keta, Oncorhynchus tschawytscha, Oncorhynchus kisutch, Oncorhynchus masou and Oncorhynchus rhodurus), excluding livers and roes</v>
          </cell>
        </row>
        <row r="78">
          <cell r="E78" t="str">
            <v>0303 11</v>
          </cell>
          <cell r="F78" t="str">
            <v>303</v>
          </cell>
          <cell r="G78" t="str">
            <v>- - Sockeye salmon (red salmon) (Oncorhynchus nerka)</v>
          </cell>
          <cell r="H78" t="str">
            <v>Frozen sockeye salmon [red salmon] "Oncorhynchus nerka"</v>
          </cell>
          <cell r="I78" t="str">
            <v>yes</v>
          </cell>
          <cell r="J78" t="str">
            <v>Salmonids</v>
          </cell>
          <cell r="K78" t="str">
            <v>Y</v>
          </cell>
        </row>
        <row r="79">
          <cell r="E79" t="str">
            <v>0303 12</v>
          </cell>
          <cell r="F79" t="str">
            <v>303</v>
          </cell>
          <cell r="G79" t="str">
            <v>-- Other Pacific salmon (Oncorhynchus gorbuscha, Oncorhynchus keta, Oncorhynchus tschawytscha, Oncorhynchus kisutch, Oncorhynchus masou and Oncorhynchus rhodurus)</v>
          </cell>
          <cell r="H79" t="str">
            <v>Frozen Pacific salmon (excl. sockeye salmon "red salmon")</v>
          </cell>
          <cell r="I79" t="str">
            <v>yes</v>
          </cell>
          <cell r="J79" t="str">
            <v>Salmonids</v>
          </cell>
          <cell r="K79" t="str">
            <v>Y</v>
          </cell>
        </row>
        <row r="80">
          <cell r="E80" t="str">
            <v>0303 19</v>
          </cell>
          <cell r="F80" t="str">
            <v>303</v>
          </cell>
          <cell r="G80" t="str">
            <v>-- Other</v>
          </cell>
          <cell r="H80" t="str">
            <v>Frozen salmonidae (excl. trout and Pacific, Atlantic and Danube salmon)</v>
          </cell>
          <cell r="I80" t="str">
            <v>yes</v>
          </cell>
          <cell r="J80" t="str">
            <v>Salmonids</v>
          </cell>
          <cell r="K80" t="str">
            <v>Y</v>
          </cell>
        </row>
        <row r="81">
          <cell r="F81" t="str">
            <v>303</v>
          </cell>
          <cell r="G81" t="str">
            <v>- Other salmonidae, excluding livers and roes</v>
          </cell>
        </row>
        <row r="82">
          <cell r="E82" t="str">
            <v>0303 14</v>
          </cell>
          <cell r="F82" t="str">
            <v>303</v>
          </cell>
          <cell r="G82" t="str">
            <v>-- Trout (Salmo trutta, Oncorhynchus mykiss, Oncorhynchus clarki, Oncorhynchus aguabonita, Oncorhynchus gilae, Oncorhynchus apache and Oncorhynchus chrysogaster)</v>
          </cell>
          <cell r="H82" t="str">
            <v>Frozen trout "Salmo trutta, Oncorhynchus mykiss, Oncorhynchus clarki, Oncorhynchus aguabonita, Oncorhynchus gilae, Oncorhynchus apache and Oncorhynchus chrysogaster"(2012-2500)</v>
          </cell>
          <cell r="I82" t="str">
            <v>yes</v>
          </cell>
          <cell r="J82" t="str">
            <v>Salmonids</v>
          </cell>
          <cell r="K82" t="str">
            <v>N</v>
          </cell>
          <cell r="L82" t="str">
            <v>0302 11</v>
          </cell>
        </row>
        <row r="83">
          <cell r="E83" t="str">
            <v>0303 99</v>
          </cell>
          <cell r="F83" t="str">
            <v>303</v>
          </cell>
          <cell r="G83" t="str">
            <v>-- Other</v>
          </cell>
          <cell r="H83" t="str">
            <v>Frozen fish fins, heads, tails, maws and other edible fish offal (excl. livers, roes, milt and shark fins)(2017-2500)</v>
          </cell>
          <cell r="I83" t="str">
            <v>no</v>
          </cell>
        </row>
        <row r="84">
          <cell r="E84" t="str">
            <v>0303 13</v>
          </cell>
          <cell r="F84" t="str">
            <v>303</v>
          </cell>
          <cell r="G84" t="str">
            <v>-- Atlantic salmon (Salmo salar) and Danube salmon (Hucho hucho)</v>
          </cell>
          <cell r="H84" t="str">
            <v>Frozen, Atlantic salmon "Salmo salar" and Danube salmon "Hucho hucho"(2012-2500)</v>
          </cell>
          <cell r="I84" t="str">
            <v>yes</v>
          </cell>
          <cell r="J84" t="str">
            <v>Salmonids</v>
          </cell>
          <cell r="K84" t="str">
            <v>N</v>
          </cell>
          <cell r="L84" t="str">
            <v>0302 14</v>
          </cell>
        </row>
        <row r="85">
          <cell r="E85" t="str">
            <v>0303 99</v>
          </cell>
          <cell r="F85" t="str">
            <v>303</v>
          </cell>
          <cell r="G85" t="str">
            <v>-- Other</v>
          </cell>
          <cell r="H85" t="str">
            <v>Frozen fish fins, heads, tails, maws and other edible fish offal (excl. livers, roes, milt and shark fins)(2017-2500)</v>
          </cell>
          <cell r="I85" t="str">
            <v>no</v>
          </cell>
        </row>
        <row r="86">
          <cell r="F86" t="str">
            <v>303</v>
          </cell>
          <cell r="G86" t="str">
            <v>- Flat fish (Pleuronectidae, Bothidae, Cynoglossidae, Soleidae, Scophthalmidae and Citharidae), excluding livers and roes</v>
          </cell>
        </row>
        <row r="87">
          <cell r="E87" t="str">
            <v>0303 31</v>
          </cell>
          <cell r="F87" t="str">
            <v>303</v>
          </cell>
          <cell r="G87" t="str">
            <v>- - Halibut (Reinhardtius hippoglossoides, Hippoglossus hippoglossus, Hippoglossus stenolepis)</v>
          </cell>
          <cell r="H87" t="str">
            <v>Frozen lesser or Greenland halibut "Reinhardtius hippoglossoides", Atlantic halibut "Hippoglossus hippoglossus" and Pacific halibut "Hippoglossus stenolepis"</v>
          </cell>
          <cell r="I87" t="str">
            <v>no</v>
          </cell>
          <cell r="J87" t="str">
            <v>Flatfish</v>
          </cell>
        </row>
        <row r="88">
          <cell r="E88" t="str">
            <v>0303 32</v>
          </cell>
          <cell r="F88" t="str">
            <v>303</v>
          </cell>
          <cell r="G88" t="str">
            <v>- - Plaice (Pleuronectes platessa)</v>
          </cell>
          <cell r="H88" t="str">
            <v>Frozen plaice "Pleuronectes platessa"</v>
          </cell>
          <cell r="I88" t="str">
            <v>no</v>
          </cell>
          <cell r="J88" t="str">
            <v>Flatfish</v>
          </cell>
        </row>
        <row r="89">
          <cell r="E89" t="str">
            <v>0303 33</v>
          </cell>
          <cell r="F89" t="str">
            <v>303</v>
          </cell>
          <cell r="G89" t="str">
            <v>- - Sole (Solea spp.)</v>
          </cell>
          <cell r="H89" t="str">
            <v>Frozen sole "Solea spp."</v>
          </cell>
          <cell r="I89" t="str">
            <v>no</v>
          </cell>
          <cell r="J89" t="str">
            <v>Flatfish</v>
          </cell>
        </row>
        <row r="90">
          <cell r="E90" t="str">
            <v>0303 34</v>
          </cell>
          <cell r="F90" t="str">
            <v>303</v>
          </cell>
          <cell r="G90" t="str">
            <v>-- Turbots (Psetta maxima)</v>
          </cell>
          <cell r="H90" t="str">
            <v>Frozen turbot "Psetta maxima"</v>
          </cell>
          <cell r="I90" t="str">
            <v>no</v>
          </cell>
          <cell r="J90" t="str">
            <v>Flatfish</v>
          </cell>
        </row>
        <row r="91">
          <cell r="E91" t="str">
            <v>0303 39</v>
          </cell>
          <cell r="F91" t="str">
            <v>303</v>
          </cell>
          <cell r="G91" t="str">
            <v>- - Other</v>
          </cell>
          <cell r="H91" t="str">
            <v>Frozen flat fish "Pleuronectidae, Bothidae, Cynoglossidae, Soleidae, Scophthalmidae und Citharidae" (excl. halibut, plaice and sole)</v>
          </cell>
          <cell r="I91" t="str">
            <v>no</v>
          </cell>
          <cell r="J91" t="str">
            <v>Flatfish</v>
          </cell>
        </row>
        <row r="92">
          <cell r="F92" t="str">
            <v>303</v>
          </cell>
          <cell r="G92" t="str">
            <v>- Tunas (of the genus Thunnus), skipjack or stripe-bellied bonito (Euthynnus (Katsuwonus) pelamis), excluding livers and roes</v>
          </cell>
        </row>
        <row r="93">
          <cell r="E93" t="str">
            <v>0303 41</v>
          </cell>
          <cell r="F93" t="str">
            <v>303</v>
          </cell>
          <cell r="G93" t="str">
            <v>- - Albacore or longfinned tunas (Thunnus alalunga)</v>
          </cell>
          <cell r="H93" t="str">
            <v>Frozen albacore or longfinned tunas "Thunnus alalunga"</v>
          </cell>
          <cell r="I93" t="str">
            <v>no</v>
          </cell>
          <cell r="J93" t="str">
            <v>Tuna and tuna like species</v>
          </cell>
        </row>
        <row r="94">
          <cell r="E94" t="str">
            <v>0303 42</v>
          </cell>
          <cell r="F94" t="str">
            <v>303</v>
          </cell>
          <cell r="G94" t="str">
            <v>- - Yellowfin tunas (Thunnus albacares)</v>
          </cell>
          <cell r="H94" t="str">
            <v>Frozen yellowfin tunas "Thunnus albacares"</v>
          </cell>
          <cell r="I94" t="str">
            <v>no</v>
          </cell>
          <cell r="J94" t="str">
            <v>Tuna and tuna like species</v>
          </cell>
        </row>
        <row r="95">
          <cell r="E95" t="str">
            <v>0303 43</v>
          </cell>
          <cell r="F95" t="str">
            <v>303</v>
          </cell>
          <cell r="G95" t="str">
            <v>- - Skipjack or stripe-bellied bonito</v>
          </cell>
          <cell r="H95" t="str">
            <v>Frozen skipjack or stripe-bellied bonito "Euthynnus -Katsuwonus- pelamis"</v>
          </cell>
          <cell r="I95" t="str">
            <v>no</v>
          </cell>
          <cell r="J95" t="str">
            <v>Tuna and tuna like species</v>
          </cell>
        </row>
        <row r="96">
          <cell r="E96" t="str">
            <v>0303 44</v>
          </cell>
          <cell r="F96" t="str">
            <v>303</v>
          </cell>
          <cell r="G96" t="str">
            <v>- - Bigeye tunas (Thunnus obesus)</v>
          </cell>
          <cell r="H96" t="str">
            <v>Frozen bigeye tunas "Thunnus obesus"</v>
          </cell>
          <cell r="I96" t="str">
            <v>no</v>
          </cell>
          <cell r="J96" t="str">
            <v>Tuna and tuna like species</v>
          </cell>
        </row>
        <row r="97">
          <cell r="E97" t="str">
            <v>0303 45</v>
          </cell>
          <cell r="F97" t="str">
            <v>303</v>
          </cell>
          <cell r="G97" t="str">
            <v>- - Bluefin tunas (Thunnus thynnus)</v>
          </cell>
          <cell r="H97" t="str">
            <v>Frozen bluefin tunas "Thunnus thynnus"</v>
          </cell>
          <cell r="I97" t="str">
            <v>no</v>
          </cell>
          <cell r="J97" t="str">
            <v>Tuna and tuna like species</v>
          </cell>
        </row>
        <row r="98">
          <cell r="E98" t="str">
            <v>0303 46</v>
          </cell>
          <cell r="F98" t="str">
            <v>303</v>
          </cell>
          <cell r="G98" t="str">
            <v>- - Southern bluefin tunas (Thunnus maccoyii)</v>
          </cell>
          <cell r="H98" t="str">
            <v>Frozen Southern bluefin tunas "Thunnus maccoyii"</v>
          </cell>
          <cell r="I98" t="str">
            <v>no</v>
          </cell>
          <cell r="J98" t="str">
            <v>Tuna and tuna like species</v>
          </cell>
        </row>
        <row r="99">
          <cell r="E99" t="str">
            <v>0303 49</v>
          </cell>
          <cell r="F99" t="str">
            <v>303</v>
          </cell>
          <cell r="G99" t="str">
            <v>- - Other</v>
          </cell>
          <cell r="H99" t="str">
            <v>Frozen tunas of the genus "Thunnus" (excl. Thunnus alalunga, Thunnus albacares, Thunnus obesus, Thunnus thynnus and Thunnus maccoyii)</v>
          </cell>
          <cell r="I99" t="str">
            <v>no</v>
          </cell>
          <cell r="J99" t="str">
            <v>Tuna and tuna like species</v>
          </cell>
        </row>
        <row r="100">
          <cell r="E100" t="str">
            <v>0303 50</v>
          </cell>
          <cell r="F100" t="str">
            <v>303</v>
          </cell>
          <cell r="G100" t="str">
            <v>- Herrings (Clupea harengus, Clupea pallasii), excluding livers and roes</v>
          </cell>
          <cell r="H100" t="str">
            <v>Frozen herrings "Clupea harengus, Clupea pallasii"</v>
          </cell>
          <cell r="I100" t="str">
            <v>no</v>
          </cell>
          <cell r="J100" t="str">
            <v>Small pelagics</v>
          </cell>
        </row>
        <row r="101">
          <cell r="E101" t="str">
            <v>0303 60</v>
          </cell>
          <cell r="F101" t="str">
            <v>303</v>
          </cell>
          <cell r="G101" t="str">
            <v>- Cod (Gadus morhua, Gadus ogac, Gadus macrocephalus), excluding livers and roes</v>
          </cell>
          <cell r="H101" t="str">
            <v>Frozen cod "Gadus morhua, Gadus ogac and Gadus macrocephalus"</v>
          </cell>
          <cell r="I101" t="str">
            <v>no</v>
          </cell>
          <cell r="J101" t="str">
            <v>Groundfish</v>
          </cell>
        </row>
        <row r="102">
          <cell r="F102" t="str">
            <v>303</v>
          </cell>
          <cell r="G102" t="str">
            <v>- Other fish, excluding livers and roes</v>
          </cell>
        </row>
        <row r="103">
          <cell r="E103" t="str">
            <v>0303 71</v>
          </cell>
          <cell r="F103" t="str">
            <v>303</v>
          </cell>
          <cell r="G103" t="str">
            <v>- - Sardines (Sardina pilchardus, Sardinops spp.), sardinella (Sardinella spp.), brisling or sprats (Sprattus sprattus)</v>
          </cell>
          <cell r="H103" t="str">
            <v>Frozen sardines "Sardina pilchardus, Sardinops spp.", sardinella "Sardinella spp." and brisling or sprats "Sprattus sprattus"</v>
          </cell>
          <cell r="I103" t="str">
            <v>no</v>
          </cell>
          <cell r="J103" t="str">
            <v>Small pelagics</v>
          </cell>
        </row>
        <row r="104">
          <cell r="E104" t="str">
            <v>0303 72</v>
          </cell>
          <cell r="F104" t="str">
            <v>303</v>
          </cell>
          <cell r="G104" t="str">
            <v>- - Haddock (Melanogrammus aeglefinus)</v>
          </cell>
          <cell r="H104" t="str">
            <v>Frozen haddock "Melanogrammus aeglefinus"</v>
          </cell>
          <cell r="I104" t="str">
            <v>no</v>
          </cell>
          <cell r="J104" t="str">
            <v>Groundfish</v>
          </cell>
        </row>
        <row r="105">
          <cell r="E105" t="str">
            <v>0303 73</v>
          </cell>
          <cell r="F105" t="str">
            <v>303</v>
          </cell>
          <cell r="G105" t="str">
            <v>- - Coalfish (Pollachius virens)</v>
          </cell>
          <cell r="H105" t="str">
            <v>Frozen coalfish "Pollachius virens"</v>
          </cell>
          <cell r="I105" t="str">
            <v>no</v>
          </cell>
          <cell r="J105" t="str">
            <v>Groundfish</v>
          </cell>
        </row>
        <row r="106">
          <cell r="E106" t="str">
            <v>0303 74</v>
          </cell>
          <cell r="F106" t="str">
            <v>303</v>
          </cell>
          <cell r="G106" t="str">
            <v>- - Mackerel (Scomber scombrus, Scomber australasicus, Scomber japonicus)</v>
          </cell>
          <cell r="H106" t="str">
            <v>Frozen mackerel "Scomber scombrus, Scomber australasicus, Scomber japonicus"</v>
          </cell>
          <cell r="I106" t="str">
            <v>no</v>
          </cell>
          <cell r="J106" t="str">
            <v>Small pelagics</v>
          </cell>
        </row>
        <row r="107">
          <cell r="E107" t="str">
            <v>0303 81</v>
          </cell>
          <cell r="F107" t="str">
            <v>303</v>
          </cell>
          <cell r="G107" t="str">
            <v>-- Dogfish and other sharks</v>
          </cell>
          <cell r="H107" t="str">
            <v>Frozen dogfish and other sharks(2012-2500)</v>
          </cell>
          <cell r="I107" t="str">
            <v>yes</v>
          </cell>
          <cell r="J107" t="str">
            <v>Other marine fish</v>
          </cell>
          <cell r="K107" t="str">
            <v>N</v>
          </cell>
          <cell r="L107" t="str">
            <v>0302 81</v>
          </cell>
        </row>
        <row r="108">
          <cell r="E108" t="str">
            <v>0303 91</v>
          </cell>
          <cell r="F108" t="str">
            <v>303</v>
          </cell>
          <cell r="G108" t="str">
            <v>-- Livers, roes and milt</v>
          </cell>
          <cell r="H108" t="str">
            <v>Frozen fish livers, roes and milt</v>
          </cell>
          <cell r="I108" t="str">
            <v>no</v>
          </cell>
        </row>
        <row r="109">
          <cell r="E109" t="str">
            <v>0303 92</v>
          </cell>
          <cell r="F109" t="str">
            <v>303</v>
          </cell>
          <cell r="G109" t="str">
            <v>-- Shark fins</v>
          </cell>
          <cell r="H109" t="str">
            <v>Frozen shark fins(2017-2500)</v>
          </cell>
          <cell r="I109" t="str">
            <v>yes</v>
          </cell>
          <cell r="J109" t="str">
            <v>Other marine fish</v>
          </cell>
          <cell r="K109" t="str">
            <v>N</v>
          </cell>
          <cell r="L109" t="str">
            <v>0302 92</v>
          </cell>
        </row>
        <row r="110">
          <cell r="E110" t="str">
            <v>0303 99</v>
          </cell>
          <cell r="F110" t="str">
            <v>303</v>
          </cell>
          <cell r="G110" t="str">
            <v>-- Other</v>
          </cell>
          <cell r="H110" t="str">
            <v>Frozen fish fins, heads, tails, maws and other edible fish offal (excl. livers, roes, milt and shark fins)(2017-2500)</v>
          </cell>
          <cell r="I110" t="str">
            <v>no</v>
          </cell>
        </row>
        <row r="111">
          <cell r="E111" t="str">
            <v>0303 26</v>
          </cell>
          <cell r="F111" t="str">
            <v>303</v>
          </cell>
          <cell r="G111" t="str">
            <v>-- Eels (Anguilla spp.)</v>
          </cell>
          <cell r="H111" t="str">
            <v>Frozen eels "Anguilla spp."(2012-2500)</v>
          </cell>
          <cell r="I111" t="str">
            <v>yes</v>
          </cell>
          <cell r="J111" t="str">
            <v>Freshwater fish</v>
          </cell>
          <cell r="K111" t="str">
            <v>N</v>
          </cell>
          <cell r="L111" t="str">
            <v>0302 74</v>
          </cell>
        </row>
        <row r="112">
          <cell r="E112" t="str">
            <v>0303 99</v>
          </cell>
          <cell r="F112" t="str">
            <v>303</v>
          </cell>
          <cell r="G112" t="str">
            <v>-- Other</v>
          </cell>
          <cell r="H112" t="str">
            <v>Frozen fish fins, heads, tails, maws and other edible fish offal (excl. livers, roes, milt and shark fins)(2017-2500)</v>
          </cell>
          <cell r="I112" t="str">
            <v>no</v>
          </cell>
        </row>
        <row r="113">
          <cell r="E113" t="str">
            <v>0303 84</v>
          </cell>
          <cell r="F113" t="str">
            <v>303</v>
          </cell>
          <cell r="G113" t="str">
            <v>-- Sea bass (Dicentrarchus spp.)</v>
          </cell>
          <cell r="H113" t="str">
            <v>Frozen sea bass "Dicentrarchus spp."(2012-2500)</v>
          </cell>
          <cell r="I113" t="str">
            <v>yes</v>
          </cell>
          <cell r="J113" t="str">
            <v>Other marine fish</v>
          </cell>
          <cell r="K113" t="str">
            <v>N</v>
          </cell>
          <cell r="L113" t="str">
            <v>0302 84</v>
          </cell>
        </row>
        <row r="114">
          <cell r="E114" t="str">
            <v>0303 99</v>
          </cell>
          <cell r="F114" t="str">
            <v>303</v>
          </cell>
          <cell r="G114" t="str">
            <v>-- Other</v>
          </cell>
          <cell r="H114" t="str">
            <v>Frozen fish fins, heads, tails, maws and other edible fish offal (excl. livers, roes, milt and shark fins)(2017-2500)</v>
          </cell>
          <cell r="I114" t="str">
            <v>no</v>
          </cell>
        </row>
        <row r="115">
          <cell r="E115" t="str">
            <v>0303 78</v>
          </cell>
          <cell r="F115" t="str">
            <v>303</v>
          </cell>
          <cell r="G115" t="str">
            <v>- - Hake (Merluccius spp., Urophycis spp.)</v>
          </cell>
          <cell r="H115" t="str">
            <v>Frozen hake "Merluccius spp., Urophycis spp."</v>
          </cell>
          <cell r="I115" t="str">
            <v>no</v>
          </cell>
          <cell r="J115" t="str">
            <v>Groundfish</v>
          </cell>
        </row>
        <row r="116">
          <cell r="E116" t="str">
            <v>0303 23</v>
          </cell>
          <cell r="F116" t="str">
            <v>303</v>
          </cell>
          <cell r="G116" t="str">
            <v>-- Tilapias (Oreochromis spp.)</v>
          </cell>
          <cell r="H116" t="str">
            <v>Frozen tilapia "Oreochromis spp."(2012-2500)</v>
          </cell>
          <cell r="I116" t="str">
            <v>yes</v>
          </cell>
          <cell r="J116" t="str">
            <v>Freshwater fish</v>
          </cell>
          <cell r="K116" t="str">
            <v>N</v>
          </cell>
          <cell r="L116" t="str">
            <v>0302 71</v>
          </cell>
        </row>
        <row r="117">
          <cell r="E117" t="str">
            <v>0303 24</v>
          </cell>
          <cell r="F117" t="str">
            <v>303</v>
          </cell>
          <cell r="G117" t="str">
            <v>-- Catfish (Pangasius spp., Silurus spp., Clarias spp., Ictalurus spp.)</v>
          </cell>
          <cell r="H117" t="str">
            <v>Frozen catfish "Pangasius spp., Silurus spp., Clarias spp., Ictalurus spp."(2012-2500)</v>
          </cell>
          <cell r="I117" t="str">
            <v>yes</v>
          </cell>
          <cell r="J117" t="str">
            <v>Freshwater fish</v>
          </cell>
          <cell r="K117" t="str">
            <v>N</v>
          </cell>
          <cell r="L117" t="str">
            <v>0302 72</v>
          </cell>
        </row>
        <row r="118">
          <cell r="E118" t="str">
            <v>0303 25</v>
          </cell>
          <cell r="F118" t="str">
            <v>303</v>
          </cell>
          <cell r="G118" t="str">
            <v>-- Carp (Cyprinus spp., Carassius spp., Ctenopharyngodon idellus, Hypophthalmichthys spp., Cirrhinus spp., Mylopharyngodon piceus, Catla catla, Labeo spp., Osteochilus hasselti, Leptobarbus hoeveni, Megalobrama spp.)</v>
          </cell>
          <cell r="H118" t="str">
            <v>Frozen carp "Cyprinus spp., Carassius spp., Ctenopharyngodon idellus, Hypophthalmichthys spp., Cirrhinus spp., Mylopharyngodon piceus, Catla catla, Labeo spp., Osteochilus hasselti, Leptobarbus hoeveni, Megalobrama spp."(2012-2500)</v>
          </cell>
          <cell r="I118" t="str">
            <v>yes</v>
          </cell>
          <cell r="J118" t="str">
            <v>Freshwater fish</v>
          </cell>
          <cell r="K118" t="str">
            <v>N</v>
          </cell>
          <cell r="L118" t="str">
            <v>0302 73</v>
          </cell>
        </row>
        <row r="119">
          <cell r="E119" t="str">
            <v>0303 29</v>
          </cell>
          <cell r="F119" t="str">
            <v>303</v>
          </cell>
          <cell r="G119" t="str">
            <v>-- Other</v>
          </cell>
          <cell r="H119" t="str">
            <v>Frozen, Nile perch (Lates niloticus) and snakeheads (Channa spp.)(1988-2500)</v>
          </cell>
          <cell r="I119" t="str">
            <v>yes</v>
          </cell>
          <cell r="J119" t="str">
            <v>Freshwater fish</v>
          </cell>
          <cell r="K119" t="str">
            <v>N</v>
          </cell>
          <cell r="L119" t="str">
            <v>0302 79</v>
          </cell>
        </row>
        <row r="120">
          <cell r="E120" t="str">
            <v>0303 51</v>
          </cell>
          <cell r="F120" t="str">
            <v>303</v>
          </cell>
          <cell r="G120" t="str">
            <v>-- Herrings (Clupea harengus, Clupea pallasii)</v>
          </cell>
          <cell r="H120" t="str">
            <v>Frozen herrings "Clupea harengus, Clupea pallasii"</v>
          </cell>
          <cell r="I120" t="str">
            <v>no</v>
          </cell>
          <cell r="J120" t="str">
            <v>Small pelagics</v>
          </cell>
        </row>
        <row r="121">
          <cell r="E121" t="str">
            <v>0303 53</v>
          </cell>
          <cell r="F121" t="str">
            <v>303</v>
          </cell>
          <cell r="G121" t="str">
            <v>-- Sardines (Sardina pilchardus, Sardinops spp.), sardinella (Sardinella spp.), brisling or sprats (Sprattus sprattus)</v>
          </cell>
          <cell r="H121" t="str">
            <v>Frozen sardines "Sardina pilchardus, Sardinops spp.", sardinella "Sardinella spp.", brisling or sprats "Sprattus sprattus"</v>
          </cell>
          <cell r="I121" t="str">
            <v>no</v>
          </cell>
          <cell r="J121" t="str">
            <v>Small pelagics</v>
          </cell>
        </row>
        <row r="122">
          <cell r="E122" t="str">
            <v>0303 54</v>
          </cell>
          <cell r="F122" t="str">
            <v>303</v>
          </cell>
          <cell r="G122" t="str">
            <v>-- Mackerel (Scomber scombrus, Scomber australasicus, Scomber japonicus)</v>
          </cell>
          <cell r="H122" t="str">
            <v>Frozen mackerel "Scomber scombrus, Scomber australasicus, Scomber japonicus"</v>
          </cell>
          <cell r="I122" t="str">
            <v>no</v>
          </cell>
          <cell r="J122" t="str">
            <v>Small pelagics</v>
          </cell>
        </row>
        <row r="123">
          <cell r="E123" t="str">
            <v>0303 55</v>
          </cell>
          <cell r="F123" t="str">
            <v>303</v>
          </cell>
          <cell r="G123" t="str">
            <v>-- Jack and horse mackerel (Trachurus spp.)</v>
          </cell>
          <cell r="H123" t="str">
            <v>Frozen jack and horse mackerel "Trachurus spp."(2012-2500)</v>
          </cell>
          <cell r="I123" t="str">
            <v>no</v>
          </cell>
          <cell r="J123" t="str">
            <v>Small pelagics</v>
          </cell>
        </row>
        <row r="124">
          <cell r="E124" t="str">
            <v>0303 56</v>
          </cell>
          <cell r="F124" t="str">
            <v>303</v>
          </cell>
          <cell r="G124" t="str">
            <v>-- Cobia (Rachycentron canadum)</v>
          </cell>
          <cell r="H124" t="str">
            <v>Frozen cobia "Rachycentron canadum"(2012-2500)</v>
          </cell>
          <cell r="I124" t="str">
            <v>yes</v>
          </cell>
          <cell r="J124" t="str">
            <v>Other marine fish</v>
          </cell>
          <cell r="K124" t="str">
            <v>N</v>
          </cell>
          <cell r="L124" t="str">
            <v>0302 46</v>
          </cell>
        </row>
        <row r="125">
          <cell r="E125" t="str">
            <v>0303 57</v>
          </cell>
          <cell r="F125" t="str">
            <v>303</v>
          </cell>
          <cell r="G125" t="str">
            <v>-- Swordfish (Xiphias gladius)</v>
          </cell>
          <cell r="H125" t="str">
            <v>Frozen swordfish "Xiphias gladius"(2012-2500)</v>
          </cell>
          <cell r="I125" t="str">
            <v>no</v>
          </cell>
          <cell r="J125" t="str">
            <v>Tuna and tuna like species</v>
          </cell>
        </row>
        <row r="126">
          <cell r="E126" t="str">
            <v>0303 59</v>
          </cell>
          <cell r="F126" t="str">
            <v>303</v>
          </cell>
          <cell r="G126" t="str">
            <v>-- Other</v>
          </cell>
          <cell r="H126" t="str">
            <v>Frozen anchovies "Engraulis spp.", Indian mackerels "Rastrelliger spp.", seerfishes "Scomberomorus spp.", jacks, crevalles "Caranx spp.", silver pomfrets "Pampus spp.", Pacific saury "Cololabis saira", scads "Decapterus spp.", capelin "Mallotus villosus", Kawakawa "Euthynnus affinis", bonitos "Sarda spp.", marlins, sailfishes and spearfish "Istiophoridae"(2017-2500)</v>
          </cell>
          <cell r="I126" t="str">
            <v>no</v>
          </cell>
          <cell r="J126" t="str">
            <v>Small pelagics</v>
          </cell>
        </row>
        <row r="127">
          <cell r="E127" t="str">
            <v>0303 63</v>
          </cell>
          <cell r="F127" t="str">
            <v>303</v>
          </cell>
          <cell r="G127" t="str">
            <v>-- Cod (Gadus morhua, Gadus ogac, Gadus macrocephalus)</v>
          </cell>
          <cell r="H127" t="str">
            <v>Frozen cod "Gadus morhua, Gadus ogac, Gadus macrocephalus"</v>
          </cell>
          <cell r="I127" t="str">
            <v>no</v>
          </cell>
          <cell r="J127" t="str">
            <v>Groundfish</v>
          </cell>
        </row>
        <row r="128">
          <cell r="E128" t="str">
            <v>0303 64</v>
          </cell>
          <cell r="F128" t="str">
            <v>303</v>
          </cell>
          <cell r="G128" t="str">
            <v>-- Haddock (Melanogrammus aeglefinus)</v>
          </cell>
          <cell r="H128" t="str">
            <v>Frozen haddock "Melanogrammus aeglefinus"</v>
          </cell>
          <cell r="I128" t="str">
            <v>no</v>
          </cell>
          <cell r="J128" t="str">
            <v>Groundfish</v>
          </cell>
        </row>
        <row r="129">
          <cell r="E129" t="str">
            <v>0303 65</v>
          </cell>
          <cell r="F129" t="str">
            <v>303</v>
          </cell>
          <cell r="G129" t="str">
            <v>-- Coalfish (Pollachius virens)</v>
          </cell>
          <cell r="H129" t="str">
            <v>Frozen coalfish "Pollachius virens"</v>
          </cell>
          <cell r="I129" t="str">
            <v>no</v>
          </cell>
          <cell r="J129" t="str">
            <v>Groundfish</v>
          </cell>
        </row>
        <row r="130">
          <cell r="E130" t="str">
            <v>0303 66</v>
          </cell>
          <cell r="F130" t="str">
            <v>303</v>
          </cell>
          <cell r="G130" t="str">
            <v>-- Hake (Merluccius spp., Urophycis spp.)</v>
          </cell>
          <cell r="H130" t="str">
            <v>Frozen hake "Merluccius spp., Urophycis spp."</v>
          </cell>
          <cell r="I130" t="str">
            <v>no</v>
          </cell>
          <cell r="J130" t="str">
            <v>Groundfish</v>
          </cell>
        </row>
        <row r="131">
          <cell r="E131" t="str">
            <v>0303 67</v>
          </cell>
          <cell r="F131" t="str">
            <v>303</v>
          </cell>
          <cell r="G131" t="str">
            <v>-- Alaska pollock (Theragra chalcogramma)</v>
          </cell>
          <cell r="H131" t="str">
            <v>Frozen Alaska pollack "Theragra chalcogramma"(2012-2500)</v>
          </cell>
          <cell r="I131" t="str">
            <v>no</v>
          </cell>
          <cell r="J131" t="str">
            <v>Groundfish</v>
          </cell>
        </row>
        <row r="132">
          <cell r="E132" t="str">
            <v>0303 68</v>
          </cell>
          <cell r="F132" t="str">
            <v>303</v>
          </cell>
          <cell r="G132" t="str">
            <v>-- Blue whiting (Micromesistius poutassou, Micromesistius australis)</v>
          </cell>
          <cell r="H132" t="str">
            <v>Frozen blue whiting "Micromesistius poutassou, Micromesistius australis"(2012-2500)</v>
          </cell>
          <cell r="I132" t="str">
            <v>no</v>
          </cell>
          <cell r="J132" t="str">
            <v>Groundfish</v>
          </cell>
        </row>
        <row r="133">
          <cell r="E133" t="str">
            <v>0303 69</v>
          </cell>
          <cell r="F133" t="str">
            <v>303</v>
          </cell>
          <cell r="G133" t="str">
            <v>-- Other</v>
          </cell>
          <cell r="H133" t="str">
            <v>Frozen fish of the families Bregmacerotidae, Euclichthyidae, Gadidae, Macrouridae, Melanonidae, Merlucciidae, Moridae and Muraenolepididae (excl. cod, haddock, coalfish, hake, Alaska pollack and blue whiting)(2012-2500)</v>
          </cell>
          <cell r="I133" t="str">
            <v>no</v>
          </cell>
          <cell r="J133" t="str">
            <v>Groundfish</v>
          </cell>
        </row>
        <row r="134">
          <cell r="E134" t="str">
            <v>0303 82</v>
          </cell>
          <cell r="F134" t="str">
            <v>303</v>
          </cell>
          <cell r="G134" t="str">
            <v>-- Rays and skates (Rajidae)</v>
          </cell>
          <cell r="H134" t="str">
            <v>Frozen rays and skates "Rajidae"(2012-2500)</v>
          </cell>
          <cell r="I134" t="str">
            <v>yes</v>
          </cell>
          <cell r="J134" t="str">
            <v>Other marine fish</v>
          </cell>
          <cell r="K134" t="str">
            <v>N</v>
          </cell>
          <cell r="L134" t="str">
            <v>0302 82</v>
          </cell>
        </row>
        <row r="135">
          <cell r="E135" t="str">
            <v>0303 83</v>
          </cell>
          <cell r="F135" t="str">
            <v>303</v>
          </cell>
          <cell r="G135" t="str">
            <v>-- Toothfish (Dissostichus spp.)</v>
          </cell>
          <cell r="H135" t="str">
            <v>Frozen toothfish "Dissostichus spp."(2012-2500)</v>
          </cell>
          <cell r="I135" t="str">
            <v>no</v>
          </cell>
          <cell r="J135" t="str">
            <v>Groundfish</v>
          </cell>
        </row>
        <row r="136">
          <cell r="E136" t="str">
            <v>0303 89</v>
          </cell>
          <cell r="F136" t="str">
            <v>303</v>
          </cell>
          <cell r="G136" t="str">
            <v>-- Other</v>
          </cell>
          <cell r="H136" t="str">
            <v>Frozen fish, n.e.s.(2012-2500)</v>
          </cell>
          <cell r="I136" t="str">
            <v>yes</v>
          </cell>
          <cell r="J136" t="str">
            <v>Undefined</v>
          </cell>
          <cell r="K136" t="str">
            <v>Y</v>
          </cell>
        </row>
        <row r="137">
          <cell r="E137" t="str">
            <v>0303 99</v>
          </cell>
          <cell r="F137" t="str">
            <v>303</v>
          </cell>
          <cell r="G137" t="str">
            <v>-- Other</v>
          </cell>
          <cell r="H137" t="str">
            <v>Frozen fish fins, heads, tails, maws and other edible fish offal (excl. livers, roes, milt and shark fins)(2017-2500)</v>
          </cell>
          <cell r="I137" t="str">
            <v>no</v>
          </cell>
        </row>
        <row r="138">
          <cell r="E138" t="str">
            <v>0303 80</v>
          </cell>
          <cell r="F138" t="str">
            <v>303</v>
          </cell>
          <cell r="G138" t="str">
            <v>- Livers and roes</v>
          </cell>
          <cell r="H138" t="str">
            <v>Frozen fish livers and roes</v>
          </cell>
          <cell r="I138" t="str">
            <v>no</v>
          </cell>
        </row>
        <row r="139">
          <cell r="E139" t="str">
            <v>0304</v>
          </cell>
          <cell r="F139" t="str">
            <v>3</v>
          </cell>
          <cell r="G139" t="str">
            <v>Fish fillets and other fish meat (whether or not minced), fresh, chilled or frozen</v>
          </cell>
          <cell r="H139" t="str">
            <v>Fish fillets and other fish meat, whether or not minced, fresh, chilled or frozen</v>
          </cell>
        </row>
        <row r="140">
          <cell r="E140" t="str">
            <v>0304 31</v>
          </cell>
          <cell r="F140" t="str">
            <v>304</v>
          </cell>
          <cell r="G140" t="str">
            <v>-- Tilapias (Oreochromis spp.)</v>
          </cell>
          <cell r="H140" t="str">
            <v>Fresh or chilled fillets of tilapia "Oreochromis spp."(2012-2500)</v>
          </cell>
          <cell r="I140" t="str">
            <v>yes</v>
          </cell>
          <cell r="J140" t="str">
            <v>Freshwater fish</v>
          </cell>
          <cell r="K140" t="str">
            <v>Y</v>
          </cell>
        </row>
        <row r="141">
          <cell r="E141" t="str">
            <v>0304 32</v>
          </cell>
          <cell r="F141" t="str">
            <v>304</v>
          </cell>
          <cell r="G141" t="str">
            <v>-- Catfish (Pangasius spp., Silurus spp., Clarias spp., Ictalurus spp.)</v>
          </cell>
          <cell r="H141" t="str">
            <v>Fresh or chilled fillets of catfish "Pangasius spp., Silurus spp., Clarias spp., Ictalurus spp."(2012-2500)</v>
          </cell>
          <cell r="I141" t="str">
            <v>yes</v>
          </cell>
          <cell r="J141" t="str">
            <v>Freshwater fish</v>
          </cell>
          <cell r="K141" t="str">
            <v>Y</v>
          </cell>
        </row>
        <row r="142">
          <cell r="E142" t="str">
            <v>0304 33</v>
          </cell>
          <cell r="F142" t="str">
            <v>304</v>
          </cell>
          <cell r="G142" t="str">
            <v>-- Nile perch (Lates niloticus)</v>
          </cell>
          <cell r="H142" t="str">
            <v>Fresh or chilled fillets of Nile perch "Lates niloticus"(2012-2500)</v>
          </cell>
          <cell r="I142" t="str">
            <v>yes</v>
          </cell>
          <cell r="J142" t="str">
            <v>Freshwater fish</v>
          </cell>
          <cell r="K142" t="str">
            <v>Y</v>
          </cell>
        </row>
        <row r="143">
          <cell r="E143" t="str">
            <v>0304 39</v>
          </cell>
          <cell r="F143" t="str">
            <v>304</v>
          </cell>
          <cell r="G143" t="str">
            <v>-- Other</v>
          </cell>
          <cell r="H143" t="str">
            <v>Fresh or chilled fillets of carp "Cyprinus spp., Carassius spp., Ctenopharyngodon idellus, Hypophthalmichthys spp., Cirrhinus spp., Mylopharyngodon piceus, Catla catla, Labeo spp., Osteochilus hasselti, Leptobarbus hoeveni, Megalobrama spp.", eels "Anguilla spp." and snakeheads "Channa spp."(2012-2500)</v>
          </cell>
          <cell r="I143" t="str">
            <v>yes</v>
          </cell>
          <cell r="J143" t="str">
            <v>Freshwater fish</v>
          </cell>
          <cell r="K143" t="str">
            <v>Y</v>
          </cell>
        </row>
        <row r="144">
          <cell r="E144" t="str">
            <v>0304 41</v>
          </cell>
          <cell r="F144" t="str">
            <v>304</v>
          </cell>
          <cell r="G144" t="str">
            <v>-- Pacific salmon (Oncorhynchus nerka, Oncorhynchus gorbuscha, Oncorhynchus keta, Oncorhynchus tschawytscha, Oncorhynchus kisutch, Oncorhynchus masou and Oncorhynchus rhodurus), Atlantic salmon (Salmo salar) and Danube salmon (Hucho hucho)</v>
          </cell>
          <cell r="H144" t="str">
            <v>Fresh or chilled fillets of Pacific salmon "Oncorhynchus nerka, Oncorhynchus gorbuscha, Oncorhynchus keta, Oncorhynchus tschawytscha, Oncorhynchus kisutch, Oncorhynchus masou and Oncorhynchus rhodurus", Atlantic salmon "Salmo salar" and Danube salmon "Hucho hucho"(2012-2500)</v>
          </cell>
          <cell r="I144" t="str">
            <v>yes</v>
          </cell>
          <cell r="J144" t="str">
            <v>Salmonids</v>
          </cell>
          <cell r="K144" t="str">
            <v>Y</v>
          </cell>
        </row>
        <row r="145">
          <cell r="E145" t="str">
            <v>0304 42</v>
          </cell>
          <cell r="F145" t="str">
            <v>304</v>
          </cell>
          <cell r="G145" t="str">
            <v>-- Trout (Salmo trutta, Oncorhynchus mykiss, Oncorhynchus clarki, Oncorhynchus aguabonita, Oncorhynchus gilae, Oncorhynchus apache and Oncorhynchus chrysogaster)</v>
          </cell>
          <cell r="H145" t="str">
            <v>Fresh or chilled fillets of trout "Salmo trutta, Oncorhynchus mykiss, Oncorhynchus clarki, Oncorhynchus aguabonita, Oncorhynchus gilae, Oncorhynchus apache and Oncorhynchus chrysogaster"(2012-2500)</v>
          </cell>
          <cell r="I145" t="str">
            <v>yes</v>
          </cell>
          <cell r="J145" t="str">
            <v>Salmonids</v>
          </cell>
          <cell r="K145" t="str">
            <v>Y</v>
          </cell>
        </row>
        <row r="146">
          <cell r="E146" t="str">
            <v>0304 43</v>
          </cell>
          <cell r="F146" t="str">
            <v>304</v>
          </cell>
          <cell r="G146" t="str">
            <v>-- Flat fish (Pleuronectidae, Bothidae, Cynoglossidae, Soleidae, Scophthalmidae and Citharidae)</v>
          </cell>
          <cell r="H146" t="str">
            <v>Fresh or chilled fillets of flat fish "Pleuronectidae, Bothidae, Cynoglossidae, Soleidae, Scophthalmidae and Citharidae"(2012-2500)</v>
          </cell>
          <cell r="I146" t="str">
            <v>no</v>
          </cell>
          <cell r="J146" t="str">
            <v>Flatfish</v>
          </cell>
        </row>
        <row r="147">
          <cell r="E147" t="str">
            <v>0304 44</v>
          </cell>
          <cell r="F147" t="str">
            <v>304</v>
          </cell>
          <cell r="G147" t="str">
            <v>-- Fish of the families Bregmacerotidae, Euclichthyidae, Gadidae, Macrouridae, Melanonidae, Merlucciidae, Moridae and Muraenolepididae</v>
          </cell>
          <cell r="H147" t="str">
            <v>Fresh or chilled fillets of fish of the families Bregmacerotidae, Euclichthyidae, Gadidae, Macrouridae, Melanonidae, Merlucciidae, Moridae and Muraenolepididae(2012-2500)</v>
          </cell>
          <cell r="I147" t="str">
            <v>no</v>
          </cell>
          <cell r="J147" t="str">
            <v>Groundfish</v>
          </cell>
        </row>
        <row r="148">
          <cell r="E148" t="str">
            <v>0304 45</v>
          </cell>
          <cell r="F148" t="str">
            <v>304</v>
          </cell>
          <cell r="G148" t="str">
            <v>-- Swordfish (Xiphias gladius)</v>
          </cell>
          <cell r="H148" t="str">
            <v>Fresh or chilled fillets of swordfish "Xiphias gladius"(2012-2500)</v>
          </cell>
          <cell r="I148" t="str">
            <v>no</v>
          </cell>
          <cell r="J148" t="str">
            <v>Tuna and tuna like species</v>
          </cell>
        </row>
        <row r="149">
          <cell r="E149" t="str">
            <v>0304 46</v>
          </cell>
          <cell r="F149" t="str">
            <v>304</v>
          </cell>
          <cell r="G149" t="str">
            <v>-- Toothfish (Dissostichus spp.)</v>
          </cell>
          <cell r="H149" t="str">
            <v>Fresh or chilled fillets of toothfish "Dissostichus spp."(2012-2500)</v>
          </cell>
          <cell r="I149" t="str">
            <v>no</v>
          </cell>
          <cell r="J149" t="str">
            <v>Groundfish</v>
          </cell>
        </row>
        <row r="150">
          <cell r="E150" t="str">
            <v>0304 47</v>
          </cell>
          <cell r="F150" t="str">
            <v>304</v>
          </cell>
          <cell r="G150" t="str">
            <v>-- Dogfish and other sharks</v>
          </cell>
          <cell r="H150" t="str">
            <v>Fresh or chilled fillets of dogfish and other sharks(2017-2500)</v>
          </cell>
          <cell r="I150" t="str">
            <v>yes</v>
          </cell>
          <cell r="J150" t="str">
            <v>Other marine fish</v>
          </cell>
          <cell r="K150" t="str">
            <v>Y</v>
          </cell>
        </row>
        <row r="151">
          <cell r="E151" t="str">
            <v>0304 48</v>
          </cell>
          <cell r="F151" t="str">
            <v>304</v>
          </cell>
          <cell r="G151" t="str">
            <v>-- Rays and skates (Rajidae)</v>
          </cell>
          <cell r="H151" t="str">
            <v>Fresh or chilled fillets of rays and skates "Rajidae"(2017-2500)</v>
          </cell>
          <cell r="I151" t="str">
            <v>yes</v>
          </cell>
          <cell r="J151" t="str">
            <v>Other marine fish</v>
          </cell>
          <cell r="K151" t="str">
            <v>Y</v>
          </cell>
        </row>
        <row r="152">
          <cell r="E152" t="str">
            <v>0304 49</v>
          </cell>
          <cell r="F152" t="str">
            <v>304</v>
          </cell>
          <cell r="G152" t="str">
            <v>-- Other</v>
          </cell>
          <cell r="H152" t="str">
            <v>Fresh or chilled fillets of fish, n.e.s.(2012-2500)</v>
          </cell>
          <cell r="I152" t="str">
            <v>yes</v>
          </cell>
          <cell r="J152" t="str">
            <v>Undefined</v>
          </cell>
          <cell r="K152" t="str">
            <v>Y</v>
          </cell>
        </row>
        <row r="153">
          <cell r="E153" t="str">
            <v>0304 51</v>
          </cell>
          <cell r="F153" t="str">
            <v>304</v>
          </cell>
          <cell r="G153" t="str">
            <v>--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v>
          </cell>
          <cell r="H153" t="str">
            <v>Fresh or chilled meat, whether or not minced, of tilapia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 fillets)(2012-2500)</v>
          </cell>
          <cell r="I153" t="str">
            <v>no</v>
          </cell>
          <cell r="J153" t="str">
            <v>Freshwater fish</v>
          </cell>
        </row>
        <row r="154">
          <cell r="E154" t="str">
            <v>0304 52</v>
          </cell>
          <cell r="F154" t="str">
            <v>304</v>
          </cell>
          <cell r="G154" t="str">
            <v>-- Salmonidae</v>
          </cell>
          <cell r="H154" t="str">
            <v>Fresh or chilled meat, whether or not minced, of salmonidae (excl. fillets)(2012-2500)</v>
          </cell>
          <cell r="I154" t="str">
            <v>no</v>
          </cell>
          <cell r="J154" t="str">
            <v>Salmonids</v>
          </cell>
        </row>
        <row r="155">
          <cell r="E155" t="str">
            <v>0304 53</v>
          </cell>
          <cell r="F155" t="str">
            <v>304</v>
          </cell>
          <cell r="G155" t="str">
            <v>-- Fish of the families Bregmacerotidae, Euclichthyidae, Gadidae, Macrouridae, Melanonidae, Merlucciidae, Moridae and Muraenolepididae</v>
          </cell>
          <cell r="H155" t="str">
            <v>Fresh or chilled meat, whether or not minced, of fish of the families Bregmacerotidae, Euclichthyidae, Gadidae, Macrouridae, Melanonidae, Merlucciidae, Moridae and Muraenolepididae (excl. fillets)(2012-2500)</v>
          </cell>
          <cell r="I155" t="str">
            <v>no</v>
          </cell>
          <cell r="J155" t="str">
            <v>Groundfish</v>
          </cell>
        </row>
        <row r="156">
          <cell r="E156" t="str">
            <v>0304 54</v>
          </cell>
          <cell r="F156" t="str">
            <v>304</v>
          </cell>
          <cell r="G156" t="str">
            <v>-- Swordfish (Xiphias gladius)</v>
          </cell>
          <cell r="H156" t="str">
            <v>Fresh or chilled meat, whether or not minced, of swordfish "Xiphias gladius" (excl. fillets)(2012-2500)</v>
          </cell>
          <cell r="I156" t="str">
            <v>no</v>
          </cell>
          <cell r="J156" t="str">
            <v>Tuna and tuna like species</v>
          </cell>
        </row>
        <row r="157">
          <cell r="E157" t="str">
            <v>0304 55</v>
          </cell>
          <cell r="F157" t="str">
            <v>304</v>
          </cell>
          <cell r="G157" t="str">
            <v>-- Toothfish (Dissostichus spp.)</v>
          </cell>
          <cell r="H157" t="str">
            <v>Fresh or chilled meat, whether or not minced, of toothfish "Dissostichus spp." (excl. fillets)(2012-2500)</v>
          </cell>
          <cell r="I157" t="str">
            <v>no</v>
          </cell>
          <cell r="J157" t="str">
            <v>Groundfish</v>
          </cell>
        </row>
        <row r="158">
          <cell r="E158" t="str">
            <v>0304 56</v>
          </cell>
          <cell r="F158" t="str">
            <v>304</v>
          </cell>
          <cell r="G158" t="str">
            <v>-- Dogfish and other sharks</v>
          </cell>
          <cell r="H158" t="str">
            <v>Fresh or chilled meat, whether or not minced, of dogfish and other sharks (excl. fillets)(2017-2500)</v>
          </cell>
          <cell r="I158" t="str">
            <v>no</v>
          </cell>
          <cell r="J158" t="str">
            <v>Other marine fish</v>
          </cell>
        </row>
        <row r="159">
          <cell r="E159" t="str">
            <v>0304 57</v>
          </cell>
          <cell r="F159" t="str">
            <v>304</v>
          </cell>
          <cell r="G159" t="str">
            <v>-- Rays and skates (Rajidae)</v>
          </cell>
          <cell r="H159" t="str">
            <v>Fresh or chilled meat, whether or not minced, of rays and skates "Rajidae" (excl. fillets)(2017-2500)</v>
          </cell>
          <cell r="I159" t="str">
            <v>no</v>
          </cell>
          <cell r="J159" t="str">
            <v>Other marine fish</v>
          </cell>
        </row>
        <row r="160">
          <cell r="E160" t="str">
            <v>0304 59</v>
          </cell>
          <cell r="F160" t="str">
            <v>304</v>
          </cell>
          <cell r="G160" t="str">
            <v>-- Other</v>
          </cell>
          <cell r="H160" t="str">
            <v>Fresh or chilled fish meat, whether or not minced (excl. all fillets, tilapias, catfish, carp, eels, Nile perch, snakeheads, salmonidae, swordfish, toothfish, rays, skates, dogfish and other sharks, and fish of the families Bregmacerotidae, Euclichthyidae, Gadidae, Macrouridae, Melanonidae, Merlucciidae, Moridae and Muraenolepididae)(2012-2500)</v>
          </cell>
          <cell r="I160" t="str">
            <v>no</v>
          </cell>
          <cell r="J160" t="str">
            <v>Undefined</v>
          </cell>
        </row>
        <row r="161">
          <cell r="E161" t="str">
            <v>0304 61</v>
          </cell>
          <cell r="F161" t="str">
            <v>304</v>
          </cell>
          <cell r="G161" t="str">
            <v>-- Tilapias (Oreochromis spp.)</v>
          </cell>
          <cell r="H161" t="str">
            <v>Frozen fillets of tilapia "Oreochromis spp."(2012-2500)</v>
          </cell>
          <cell r="I161" t="str">
            <v>yes</v>
          </cell>
          <cell r="J161" t="str">
            <v>Freshwater fish</v>
          </cell>
          <cell r="K161" t="str">
            <v>N</v>
          </cell>
          <cell r="L161" t="str">
            <v>0304 31</v>
          </cell>
        </row>
        <row r="162">
          <cell r="E162" t="str">
            <v>0304 62</v>
          </cell>
          <cell r="F162" t="str">
            <v>304</v>
          </cell>
          <cell r="G162" t="str">
            <v>-- Catfish (Pangasius spp., Silurus spp., Clarias spp., Ictalurus spp.)</v>
          </cell>
          <cell r="H162" t="str">
            <v>Frozen fillets of catfish "Pangasius spp., Silurus spp., Clarias spp., Ictalurus spp."(2012-2500)</v>
          </cell>
          <cell r="I162" t="str">
            <v>yes</v>
          </cell>
          <cell r="J162" t="str">
            <v>Freshwater fish</v>
          </cell>
          <cell r="K162" t="str">
            <v>N</v>
          </cell>
          <cell r="L162" t="str">
            <v>0304 32</v>
          </cell>
        </row>
        <row r="163">
          <cell r="E163" t="str">
            <v>0304 63</v>
          </cell>
          <cell r="F163" t="str">
            <v>304</v>
          </cell>
          <cell r="G163" t="str">
            <v>-- Nile perch (Lates niloticus)</v>
          </cell>
          <cell r="H163" t="str">
            <v>Frozen fillets of Nile perch "Lates niloticus"(2012-2500)</v>
          </cell>
          <cell r="I163" t="str">
            <v>yes</v>
          </cell>
          <cell r="J163" t="str">
            <v>Freshwater fish</v>
          </cell>
          <cell r="K163" t="str">
            <v>N</v>
          </cell>
          <cell r="L163" t="str">
            <v>0304 33</v>
          </cell>
        </row>
        <row r="164">
          <cell r="E164" t="str">
            <v>0304 69</v>
          </cell>
          <cell r="F164" t="str">
            <v>304</v>
          </cell>
          <cell r="G164" t="str">
            <v>-- Other</v>
          </cell>
          <cell r="H164" t="str">
            <v>Frozen fillets of carp "Cyprinus spp., Carassius spp., Ctenopharyngodon idellus, Hypophthalmichthys spp., Cirrhinus spp., Mylopharyngodon piceus, Catla catla, Labeo spp., Osteochilus hasselti, Leptobarbus hoeveni, Megalobrama spp.", eels "Anguilla spp." and snakeheads "Channa spp."(2012-2500)</v>
          </cell>
          <cell r="I164" t="str">
            <v>yes</v>
          </cell>
          <cell r="J164" t="str">
            <v>Freshwater fish</v>
          </cell>
          <cell r="K164" t="str">
            <v>N</v>
          </cell>
          <cell r="L164" t="str">
            <v>0304 39</v>
          </cell>
        </row>
        <row r="165">
          <cell r="E165" t="str">
            <v>0304 71</v>
          </cell>
          <cell r="F165" t="str">
            <v>304</v>
          </cell>
          <cell r="G165" t="str">
            <v>-- Cod (Gadus morhua, Gadus ogac, Gadus macrocephalus)</v>
          </cell>
          <cell r="H165" t="str">
            <v>Frozen fillets of cod "Gadus morhua, Gadus ogac, Gadus macrocephalus"(2012-2500)</v>
          </cell>
          <cell r="I165" t="str">
            <v>no</v>
          </cell>
          <cell r="J165" t="str">
            <v>Groundfish</v>
          </cell>
        </row>
        <row r="166">
          <cell r="E166" t="str">
            <v>0304 72</v>
          </cell>
          <cell r="F166" t="str">
            <v>304</v>
          </cell>
          <cell r="G166" t="str">
            <v>-- Haddock (Melanogrammus aeglefinus)</v>
          </cell>
          <cell r="H166" t="str">
            <v>Frozen fillets of haddock "Melanogrammus aeglefinus"(2012-2500)</v>
          </cell>
          <cell r="I166" t="str">
            <v>no</v>
          </cell>
          <cell r="J166" t="str">
            <v>Groundfish</v>
          </cell>
        </row>
        <row r="167">
          <cell r="E167" t="str">
            <v>0304 73</v>
          </cell>
          <cell r="F167" t="str">
            <v>304</v>
          </cell>
          <cell r="G167" t="str">
            <v>-- Coalfish (Pollachius virens)</v>
          </cell>
          <cell r="H167" t="str">
            <v>Frozen fillets of coalfish "Pollachius virens"(2012-2500)</v>
          </cell>
          <cell r="I167" t="str">
            <v>no</v>
          </cell>
          <cell r="J167" t="str">
            <v>Groundfish</v>
          </cell>
        </row>
        <row r="168">
          <cell r="E168" t="str">
            <v>0304 74</v>
          </cell>
          <cell r="F168" t="str">
            <v>304</v>
          </cell>
          <cell r="G168" t="str">
            <v>-- Hake (Merluccius spp., Urophycis spp.)</v>
          </cell>
          <cell r="H168" t="str">
            <v>Frozen fillets of hake "Merluccius spp., Urophycis spp."(2012-2500)</v>
          </cell>
          <cell r="I168" t="str">
            <v>no</v>
          </cell>
          <cell r="J168" t="str">
            <v>Groundfish</v>
          </cell>
        </row>
        <row r="169">
          <cell r="E169" t="str">
            <v>0304 75</v>
          </cell>
          <cell r="F169" t="str">
            <v>304</v>
          </cell>
          <cell r="G169" t="str">
            <v>-- Alaska pollock (Theragra chalcogramma)</v>
          </cell>
          <cell r="H169" t="str">
            <v>Frozen fillets of Alaska pollack "Theragra chalcogramma"(2012-2500)</v>
          </cell>
          <cell r="I169" t="str">
            <v>no</v>
          </cell>
          <cell r="J169" t="str">
            <v>Groundfish</v>
          </cell>
        </row>
        <row r="170">
          <cell r="E170" t="str">
            <v>0304 79</v>
          </cell>
          <cell r="F170" t="str">
            <v>304</v>
          </cell>
          <cell r="G170" t="str">
            <v>-- Other</v>
          </cell>
          <cell r="H170" t="str">
            <v>Frozen fillets of fish of the families Bregmacerotidae, Euclichthyidae, Gadidae, Macrouridae, Melanonidae, Merlucciidae, Moridae and Muraenolepididae (excl. cod, haddock, coalfish, hake and Alaska pollack)(2012-2500)</v>
          </cell>
          <cell r="I170" t="str">
            <v>no</v>
          </cell>
          <cell r="J170" t="str">
            <v>Groundfish</v>
          </cell>
        </row>
        <row r="171">
          <cell r="E171" t="str">
            <v>0304 81</v>
          </cell>
          <cell r="F171" t="str">
            <v>304</v>
          </cell>
          <cell r="G171" t="str">
            <v>-- Pacific salmon (Oncorhynchus nerka, Oncorhynchus gorbuscha, Oncorhynchus keta, Oncorhynchus tschawytscha, Oncorhynchus kisutch, Oncorhynchus masou and Oncorhynchus rhodurus), Atlantic salmon (Salmo salar) and Danube salmon (Hucho hucho)</v>
          </cell>
          <cell r="H171" t="str">
            <v>Frozen fillets of Pacific salmon "Oncorhynchus nerka, Oncorhynchus gorbuscha, Oncorhynchus keta, Oncorhynchus tschawytscha, Oncorhynchus kisutch, Oncorhynchus masou and Oncorhynchus rhodurus", Atlantic salmon "Salmo salar" and Danube salmon "Hucho hucho"(2012-2500)</v>
          </cell>
          <cell r="I171" t="str">
            <v>yes</v>
          </cell>
          <cell r="J171" t="str">
            <v>Salmonids</v>
          </cell>
          <cell r="K171" t="str">
            <v>N</v>
          </cell>
          <cell r="L171" t="str">
            <v>0304 41</v>
          </cell>
        </row>
        <row r="172">
          <cell r="E172" t="str">
            <v>0304 82</v>
          </cell>
          <cell r="F172" t="str">
            <v>304</v>
          </cell>
          <cell r="G172" t="str">
            <v>-- Trout (Salmo trutta, Oncorhynchus mykiss, Oncorhynchus clarki, Oncorhynchus aguabonita, Oncorhynchus gilae, Oncorhynchus apache and Oncorhynchus chrysogaster)</v>
          </cell>
          <cell r="H172" t="str">
            <v>Frozen fillets of trout "Salmo trutta, Oncorhynchus mykiss, Oncorhynchus clarki, Oncorhynchus aguabonita, Oncorhynchus gilae, Oncorhynchus apache and Oncorhynchus chrysogaster"(2012-2500)</v>
          </cell>
          <cell r="I172" t="str">
            <v>yes</v>
          </cell>
          <cell r="J172" t="str">
            <v>Salmonids</v>
          </cell>
          <cell r="K172" t="str">
            <v>N</v>
          </cell>
          <cell r="L172" t="str">
            <v>0304 42</v>
          </cell>
        </row>
        <row r="173">
          <cell r="E173" t="str">
            <v>0304 83</v>
          </cell>
          <cell r="F173" t="str">
            <v>304</v>
          </cell>
          <cell r="G173" t="str">
            <v>-- Flat fish (Pleuronectidae, Bothidae, Cynoglossidae, Soleidae, Scophthalmidae and Citharidae)</v>
          </cell>
          <cell r="H173" t="str">
            <v>Frozen fillets of flat fish "Pleuronectidae, Bothidae, Cynoglossidae, Soleidae, Scophthalmidae and Citharidae"(2012-2500)</v>
          </cell>
          <cell r="I173" t="str">
            <v>no</v>
          </cell>
          <cell r="J173" t="str">
            <v>Groundfish</v>
          </cell>
        </row>
        <row r="174">
          <cell r="E174" t="str">
            <v>0304 84</v>
          </cell>
          <cell r="F174" t="str">
            <v>304</v>
          </cell>
          <cell r="G174" t="str">
            <v>-- Swordfish (Xiphias gladius)</v>
          </cell>
          <cell r="H174" t="str">
            <v>Frozen fillets of swordfish "Xiphias gladius"(2012-2500)</v>
          </cell>
          <cell r="I174" t="str">
            <v>no</v>
          </cell>
          <cell r="J174" t="str">
            <v>Tuna and tuna like species</v>
          </cell>
        </row>
        <row r="175">
          <cell r="E175" t="str">
            <v>0304 85</v>
          </cell>
          <cell r="F175" t="str">
            <v>304</v>
          </cell>
          <cell r="G175" t="str">
            <v>-- Toothfish (Dissostichus spp.)</v>
          </cell>
          <cell r="H175" t="str">
            <v>Frozen fillets of toothfish "Dissostichus spp."(2012-2500)</v>
          </cell>
          <cell r="I175" t="str">
            <v>no</v>
          </cell>
          <cell r="J175" t="str">
            <v>Groundfish</v>
          </cell>
        </row>
        <row r="176">
          <cell r="E176" t="str">
            <v>0304 86</v>
          </cell>
          <cell r="F176" t="str">
            <v>304</v>
          </cell>
          <cell r="G176" t="str">
            <v>-- Herrings (Clupea harengus, Clupea pallasii)</v>
          </cell>
          <cell r="H176" t="str">
            <v>Frozen fillets of herring "Clupea harengus, Clupea pallasii"(2012-2500)</v>
          </cell>
          <cell r="I176" t="str">
            <v>no</v>
          </cell>
          <cell r="J176" t="str">
            <v>Small pelagics</v>
          </cell>
        </row>
        <row r="177">
          <cell r="E177" t="str">
            <v>0304 87</v>
          </cell>
          <cell r="F177" t="str">
            <v>304</v>
          </cell>
          <cell r="G177" t="str">
            <v>-- Tuna (of the genus Thunnus), skipjack or stripe-bellied bonito (Euthynnus (Katsuwonus) pelamis)</v>
          </cell>
          <cell r="H177" t="str">
            <v>Frozen fillets of tuna "of the genus Thunnus", skipjack or stripe-bellied bonito "Euthynnus {Katsuwonus} pelamis"(2012-2500)</v>
          </cell>
          <cell r="I177" t="str">
            <v>no</v>
          </cell>
          <cell r="J177" t="str">
            <v>Tuna and tuna like species</v>
          </cell>
        </row>
        <row r="178">
          <cell r="E178" t="str">
            <v>0304 88</v>
          </cell>
          <cell r="F178" t="str">
            <v>304</v>
          </cell>
          <cell r="G178" t="str">
            <v>-- Dogfish, other sharks, rays and skates (Rajidae)</v>
          </cell>
          <cell r="H178" t="str">
            <v>Frozen fillets of dogfish, other sharks, rays and skates "Rajidae"(2017-2500)</v>
          </cell>
          <cell r="I178" t="str">
            <v>yes</v>
          </cell>
          <cell r="J178" t="str">
            <v>Other marine fish</v>
          </cell>
          <cell r="K178" t="str">
            <v>N</v>
          </cell>
          <cell r="L178" t="str">
            <v>0304 47</v>
          </cell>
        </row>
        <row r="179">
          <cell r="E179" t="str">
            <v>0304 89</v>
          </cell>
          <cell r="F179" t="str">
            <v>304</v>
          </cell>
          <cell r="G179" t="str">
            <v>-- Other</v>
          </cell>
          <cell r="H179" t="str">
            <v>Frozen fish fillets, n.e.s.(2012-2500)</v>
          </cell>
          <cell r="I179" t="str">
            <v>yes</v>
          </cell>
          <cell r="J179" t="str">
            <v>Undefined</v>
          </cell>
          <cell r="K179" t="str">
            <v>N</v>
          </cell>
          <cell r="L179" t="str">
            <v>0304 49</v>
          </cell>
        </row>
        <row r="180">
          <cell r="E180" t="str">
            <v>0304 91</v>
          </cell>
          <cell r="F180" t="str">
            <v>304</v>
          </cell>
          <cell r="G180" t="str">
            <v>-- Swordfish (Xiphias gladius)</v>
          </cell>
          <cell r="H180" t="str">
            <v>Frozen meat, whether or not minced, of swordfish "Xiphias gladius" (excl. fillets)(2007-2500)</v>
          </cell>
          <cell r="I180" t="str">
            <v>no</v>
          </cell>
          <cell r="J180" t="str">
            <v>Tuna and tuna like species</v>
          </cell>
        </row>
        <row r="181">
          <cell r="E181" t="str">
            <v>0304 92</v>
          </cell>
          <cell r="F181" t="str">
            <v>304</v>
          </cell>
          <cell r="G181" t="str">
            <v>-- Toothfish (Dissostichus spp.)</v>
          </cell>
          <cell r="H181" t="str">
            <v>Frozen meat, whether or not minced, of toothfish "Dissostichus spp." (excl. fillets)(2007-2500)</v>
          </cell>
          <cell r="I181" t="str">
            <v>no</v>
          </cell>
          <cell r="J181" t="str">
            <v>Groundfish</v>
          </cell>
        </row>
        <row r="182">
          <cell r="E182" t="str">
            <v>0304 93</v>
          </cell>
          <cell r="F182" t="str">
            <v>304</v>
          </cell>
          <cell r="G182" t="str">
            <v>--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v>
          </cell>
          <cell r="H182" t="str">
            <v>Frozen meat, whether or not minced, of tilapia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 fillets)(2012-2500)</v>
          </cell>
          <cell r="I182" t="str">
            <v>no</v>
          </cell>
          <cell r="J182" t="str">
            <v>Freshwater fish</v>
          </cell>
        </row>
        <row r="183">
          <cell r="E183" t="str">
            <v>0304 94</v>
          </cell>
          <cell r="F183" t="str">
            <v>304</v>
          </cell>
          <cell r="G183" t="str">
            <v>-- Alaska pollock (Theragra chalcogramma)</v>
          </cell>
          <cell r="H183" t="str">
            <v>Frozen meat, whether or not minced, of Alaska pollack "Theragra chalcogramma" (excl. fillets)(2012-2500)</v>
          </cell>
          <cell r="I183" t="str">
            <v>no</v>
          </cell>
          <cell r="J183" t="str">
            <v>Groundfish</v>
          </cell>
        </row>
        <row r="184">
          <cell r="E184" t="str">
            <v>0304 95</v>
          </cell>
          <cell r="F184" t="str">
            <v>304</v>
          </cell>
          <cell r="G184" t="str">
            <v>-- Fish of the families Bregmacerotidae, Euclichthyidae, Gadidae, Macrouridae, Melanonidae, Merlucciidae, Moridae and Muraenolepididae, other than Alaska pollock (Theragra chalcogramma)</v>
          </cell>
          <cell r="H184" t="str">
            <v>Frozen meat, whether or not minced, of fish of the families Bregmacerotidae, Euclichthyidae, Gadidae, Macrouridae, Melanonidae, Merlucciidae, Moridae and Muraenolepididae (excl. fillets and Alaska pollack "Theragra chalcogramma")(2012-2500)</v>
          </cell>
          <cell r="I184" t="str">
            <v>no</v>
          </cell>
          <cell r="J184" t="str">
            <v>Groundfish</v>
          </cell>
        </row>
        <row r="185">
          <cell r="E185" t="str">
            <v>0304 96</v>
          </cell>
          <cell r="F185" t="str">
            <v>304</v>
          </cell>
          <cell r="G185" t="str">
            <v>-- Dogfish and other sharks</v>
          </cell>
          <cell r="H185" t="str">
            <v>Frozen meat, whether or not minced, of dogfish and other sharks(2017-2500)</v>
          </cell>
          <cell r="I185" t="str">
            <v>no</v>
          </cell>
          <cell r="J185" t="str">
            <v>Other marine fish</v>
          </cell>
        </row>
        <row r="186">
          <cell r="E186" t="str">
            <v>0304 97</v>
          </cell>
          <cell r="F186" t="str">
            <v>304</v>
          </cell>
          <cell r="G186" t="str">
            <v>-- Rays and skates (Rajidae)</v>
          </cell>
          <cell r="H186" t="str">
            <v>Frozen meat, whether or not minced, of rays and skates "Rajidae"(2017-2500)</v>
          </cell>
          <cell r="I186" t="str">
            <v>no</v>
          </cell>
          <cell r="J186" t="str">
            <v>Other marine fish</v>
          </cell>
        </row>
        <row r="187">
          <cell r="E187" t="str">
            <v>0304 99</v>
          </cell>
          <cell r="F187" t="str">
            <v>304</v>
          </cell>
          <cell r="G187" t="str">
            <v>-- Other</v>
          </cell>
          <cell r="H187" t="str">
            <v>Frozen fish meat n.e.s. (excl. fillets)(2007-2500)</v>
          </cell>
          <cell r="I187" t="str">
            <v>no</v>
          </cell>
          <cell r="J187" t="str">
            <v>Undefined</v>
          </cell>
        </row>
        <row r="188">
          <cell r="E188" t="str">
            <v>030489</v>
          </cell>
          <cell r="F188" t="str">
            <v>3</v>
          </cell>
          <cell r="G188" t="str">
            <v>Fish, dried, salted or in brine; smoked fish, whether or not cooked before or during the smoking process; flours, meals and pellets of fish, fit for human consumption</v>
          </cell>
          <cell r="H188" t="str">
            <v>Fish, fit for human consumption, dried, salted or in brine; smoked fish, fit for human consumption, whether or not cooked before or during the smoking process; flours, meals and pellets of fish, fit for human consumption</v>
          </cell>
        </row>
        <row r="189">
          <cell r="E189" t="str">
            <v>0305 10</v>
          </cell>
          <cell r="F189" t="str">
            <v>305</v>
          </cell>
          <cell r="G189" t="str">
            <v>- Flours, meals and pellets of fish, fit for human consumption</v>
          </cell>
          <cell r="H189" t="str">
            <v>Flours, meals and pellets of fish, fit for human consumption</v>
          </cell>
          <cell r="I189" t="str">
            <v>no</v>
          </cell>
          <cell r="J189" t="str">
            <v>Undefined</v>
          </cell>
        </row>
        <row r="190">
          <cell r="E190" t="str">
            <v>0305 20</v>
          </cell>
          <cell r="F190" t="str">
            <v>305</v>
          </cell>
          <cell r="G190" t="str">
            <v>- Livers and roes of fish, dried, smoked, salted or in brine</v>
          </cell>
          <cell r="H190" t="str">
            <v>Fish livers and roes, dried, smoked, salted or in brine</v>
          </cell>
          <cell r="I190" t="str">
            <v>no</v>
          </cell>
          <cell r="J190" t="str">
            <v>Undefined</v>
          </cell>
        </row>
        <row r="191">
          <cell r="E191" t="str">
            <v>0305 31</v>
          </cell>
          <cell r="F191" t="str">
            <v>305</v>
          </cell>
          <cell r="G191" t="str">
            <v>--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v>
          </cell>
          <cell r="H191" t="str">
            <v>Fillets, dried, salted or in brine, but not smoked, of tilapia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spp."(2012-2500)</v>
          </cell>
          <cell r="I191" t="str">
            <v>yes</v>
          </cell>
          <cell r="J191" t="str">
            <v>Freshwater fish</v>
          </cell>
          <cell r="K191" t="str">
            <v>Y</v>
          </cell>
        </row>
        <row r="192">
          <cell r="E192" t="str">
            <v>0305 32</v>
          </cell>
          <cell r="F192" t="str">
            <v>305</v>
          </cell>
          <cell r="G192" t="str">
            <v>-- Fish of the families Bregmacerotidae, Euclichthyidae, Gadidae, Macrouridae, Melanonidae, Merlucciidae, Moridae and Muraenolepididae</v>
          </cell>
          <cell r="H192" t="str">
            <v>Fillets, dried, salted or in brine, but not smoked, of fish of the families Bregmacerotidae, Euclichthyidae, Gadidae, Macrouridae, Melanonidae, Merlucciidae, Moridae and Muraenolepididae(2012-2500)</v>
          </cell>
          <cell r="I192" t="str">
            <v>no</v>
          </cell>
          <cell r="J192" t="str">
            <v>Groundfish</v>
          </cell>
        </row>
        <row r="193">
          <cell r="E193" t="str">
            <v>0305 39</v>
          </cell>
          <cell r="F193" t="str">
            <v>305</v>
          </cell>
          <cell r="G193" t="str">
            <v>-- Other</v>
          </cell>
          <cell r="H193" t="str">
            <v>Fish fillets, dried, salted or in brine, but not smoked (excl. tilapia, catfish, carp, eels, Nile perch, snakeheads and fish of the families Bregmacerotidae, Euclichthyidae, Gadidae, Macrouridae, Melanonidae, Merlucciidae, Moridae and Muraenolepididae)(2012-2500)</v>
          </cell>
          <cell r="I193" t="str">
            <v>yes</v>
          </cell>
          <cell r="J193" t="str">
            <v>Undefined</v>
          </cell>
          <cell r="K193" t="str">
            <v>Y</v>
          </cell>
        </row>
        <row r="194">
          <cell r="F194" t="str">
            <v>305</v>
          </cell>
          <cell r="G194" t="str">
            <v>- Smoked fish, including fillets</v>
          </cell>
        </row>
        <row r="195">
          <cell r="E195" t="str">
            <v>0305 41</v>
          </cell>
          <cell r="F195" t="str">
            <v>305</v>
          </cell>
          <cell r="G195" t="str">
            <v>- - Pacific salmon (Oncorhynchus nerka, Oncorhynchus gorbuscha, Oncorhynchus keta, Oncorhynchus tschawytscha, Oncorhynchus kisutch, Oncorhynchus masou and Oncorhynchus rhodurus), Atlantic salmon (Salmo salar) and Danube salmon (Hucho hucho)</v>
          </cell>
          <cell r="H195" t="str">
            <v>Pacific salmon "Oncorhynchus nerka, Oncorhynchus gorbuscha, Oncorhynchus keta, Oncorhynchus tschawytscha, Oncorhynchus kisutch, Oncorhynchus masou and Oncorhynchus rhodurus", Atlantic salmon "Salmo salar" and Danube salmon "Hucho hucho", smoked, incl. fillets</v>
          </cell>
          <cell r="I195" t="str">
            <v>yes</v>
          </cell>
          <cell r="J195" t="str">
            <v>Salmonids</v>
          </cell>
          <cell r="K195" t="str">
            <v>Y</v>
          </cell>
        </row>
        <row r="196">
          <cell r="E196" t="str">
            <v>0305 42</v>
          </cell>
          <cell r="F196" t="str">
            <v>305</v>
          </cell>
          <cell r="G196" t="str">
            <v>- - Herrings (Clupea harengus, Clupea pallasii)</v>
          </cell>
          <cell r="H196" t="str">
            <v>Herrings "Clupea harengus, Clupea pallasii", smoked, incl. fillets</v>
          </cell>
          <cell r="I196" t="str">
            <v>no</v>
          </cell>
          <cell r="J196" t="str">
            <v>Small Pelagics</v>
          </cell>
        </row>
        <row r="197">
          <cell r="E197" t="str">
            <v>0305 43</v>
          </cell>
          <cell r="F197" t="str">
            <v>305</v>
          </cell>
          <cell r="G197" t="str">
            <v>-- Trout (Salmo trutta, Oncorhynchus mykiss, Oncorhynchus clarki, Oncorhynchus aguabonita, Oncorhynchus gilae, Oncorhynchus apache and Oncorhynchus chrysogaster)</v>
          </cell>
          <cell r="H197" t="str">
            <v>Smoked trout "Salmo trutta, Oncorhynchus mykiss, Oncorhynchus clarki, Oncorhynchus aguabonita, Oncorhynchus gilae, Oncorhynchus apache and Oncorhynchus chrysogaster", incl. fillets (excl. offal)</v>
          </cell>
          <cell r="I197" t="str">
            <v>yes</v>
          </cell>
          <cell r="J197" t="str">
            <v>Salmonids</v>
          </cell>
          <cell r="K197" t="str">
            <v>Y</v>
          </cell>
        </row>
        <row r="198">
          <cell r="E198" t="str">
            <v>0305 44</v>
          </cell>
          <cell r="F198" t="str">
            <v>305</v>
          </cell>
          <cell r="G198" t="str">
            <v>--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v>
          </cell>
          <cell r="H198" t="str">
            <v>Smoked tilapia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incl. fillets (excl. offal)</v>
          </cell>
          <cell r="I198" t="str">
            <v>yes</v>
          </cell>
          <cell r="J198" t="str">
            <v>Freshwater fish</v>
          </cell>
          <cell r="K198" t="str">
            <v>Y</v>
          </cell>
        </row>
        <row r="199">
          <cell r="E199" t="str">
            <v>0305 49</v>
          </cell>
          <cell r="F199" t="str">
            <v>305</v>
          </cell>
          <cell r="G199" t="str">
            <v>- - Other</v>
          </cell>
          <cell r="H199" t="str">
            <v>Smoked fish, incl. fillets (excl. Pacific salmon, Atlantic salmon, Danube salmon and herrings)</v>
          </cell>
          <cell r="I199" t="str">
            <v>yes</v>
          </cell>
          <cell r="J199" t="str">
            <v>Undefined</v>
          </cell>
          <cell r="K199" t="str">
            <v>Y</v>
          </cell>
        </row>
        <row r="200">
          <cell r="F200" t="str">
            <v>305</v>
          </cell>
          <cell r="G200" t="str">
            <v>- Dried fish, whether or not salted but not smoked</v>
          </cell>
        </row>
        <row r="201">
          <cell r="E201" t="str">
            <v>0305 51</v>
          </cell>
          <cell r="F201" t="str">
            <v>305</v>
          </cell>
          <cell r="G201" t="str">
            <v>- - Cod (Gadus morhua, Gadus ogac, Gadus macrocephalus)</v>
          </cell>
          <cell r="H201" t="str">
            <v>Dried cod "Gadus morhua, Gadus ogac, Gadus macrocephalus", whether or not salted, not smoked (excl. fillets)</v>
          </cell>
          <cell r="I201" t="str">
            <v>no</v>
          </cell>
          <cell r="J201" t="str">
            <v>Groundfish</v>
          </cell>
        </row>
        <row r="202">
          <cell r="E202" t="str">
            <v>0305 52</v>
          </cell>
          <cell r="F202" t="str">
            <v>305</v>
          </cell>
          <cell r="G202" t="str">
            <v>--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v>
          </cell>
          <cell r="H202" t="str">
            <v>Dried tilapia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even salted but not smoked (excl. fillets and offal)</v>
          </cell>
          <cell r="I202" t="str">
            <v>yes</v>
          </cell>
          <cell r="J202" t="str">
            <v>Freshwater fish</v>
          </cell>
          <cell r="K202" t="str">
            <v>Y</v>
          </cell>
        </row>
        <row r="203">
          <cell r="E203" t="str">
            <v>0305 53</v>
          </cell>
          <cell r="F203" t="str">
            <v>305</v>
          </cell>
          <cell r="G203" t="str">
            <v>-- Fish of the families Bregmacerotidae, Euclichthyidae, Gadidae, Macrouridae, Melanonidae, Merlucciidae, Moridae and Muraenolepididae, other than cod (Gadus morhua, Gadus ogac, Gadus macrocephalus)</v>
          </cell>
          <cell r="H203" t="str">
            <v>Dried fish of the families Bregmacerotidae, Euclichthyidae, Gadidae, Macrouridae, Melanonidae, Merlucciidae, Moridae and Muraenolepididae, even salted but not smoked (excl. fillets, offal and cod "Gadus morhua, Gadus ogac, Gadus macrocephalus")</v>
          </cell>
          <cell r="I203" t="str">
            <v>no</v>
          </cell>
          <cell r="J203" t="str">
            <v>Groundfish</v>
          </cell>
        </row>
        <row r="204">
          <cell r="E204" t="str">
            <v>0305 54</v>
          </cell>
          <cell r="F204" t="str">
            <v>305</v>
          </cell>
          <cell r="G204" t="str">
            <v>--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v>
          </cell>
          <cell r="H204" t="str">
            <v>Dried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and spearfish "Istiophoridae", even salted but not smoked (excl. fillets and offal)</v>
          </cell>
          <cell r="I204" t="str">
            <v>no</v>
          </cell>
          <cell r="J204" t="str">
            <v>Small Pelagics</v>
          </cell>
        </row>
        <row r="205">
          <cell r="E205" t="str">
            <v>0305 59</v>
          </cell>
          <cell r="F205" t="str">
            <v>305</v>
          </cell>
          <cell r="G205" t="str">
            <v>- - Other</v>
          </cell>
          <cell r="H205" t="str">
            <v>Dried fish, salted, not smoked (excl. cod and other fillets)</v>
          </cell>
          <cell r="I205" t="str">
            <v>yes</v>
          </cell>
          <cell r="J205" t="str">
            <v>Undefined</v>
          </cell>
          <cell r="K205" t="str">
            <v>Y</v>
          </cell>
        </row>
        <row r="206">
          <cell r="F206" t="str">
            <v>305</v>
          </cell>
          <cell r="G206" t="str">
            <v>- Fish, salted but not dried or smoked and fish in brine</v>
          </cell>
        </row>
        <row r="207">
          <cell r="E207" t="str">
            <v>0305 61</v>
          </cell>
          <cell r="F207" t="str">
            <v>305</v>
          </cell>
          <cell r="G207" t="str">
            <v>- - Herrings (Clupea harengus, Clupea pallasii)</v>
          </cell>
          <cell r="H207" t="str">
            <v>Herrings "Clupea harengus, Clupea pallasii", salted or in brine only (excl. fillets)</v>
          </cell>
          <cell r="I207" t="str">
            <v>no</v>
          </cell>
          <cell r="J207" t="str">
            <v>Small Pelagics</v>
          </cell>
        </row>
        <row r="208">
          <cell r="E208" t="str">
            <v>0305 62</v>
          </cell>
          <cell r="F208" t="str">
            <v>305</v>
          </cell>
          <cell r="G208" t="str">
            <v>- - Cod (Gadus morhua, Gadus ogac, Gadus macrocephalus)</v>
          </cell>
          <cell r="H208" t="str">
            <v>Cod "Gadus morhua, Gadus ogac, Gadus macrocephalus", salted or in brine only (excl. fillets)</v>
          </cell>
          <cell r="I208" t="str">
            <v>no</v>
          </cell>
          <cell r="J208" t="str">
            <v>Groundfish</v>
          </cell>
        </row>
        <row r="209">
          <cell r="E209" t="str">
            <v>0305 63</v>
          </cell>
          <cell r="F209" t="str">
            <v>305</v>
          </cell>
          <cell r="G209" t="str">
            <v>- - Anchovies (Engraulis spp.)</v>
          </cell>
          <cell r="H209" t="str">
            <v>Anchovies "Engraulis spp.", salted or in brine only (excl. fillets)</v>
          </cell>
          <cell r="I209" t="str">
            <v>no</v>
          </cell>
          <cell r="J209" t="str">
            <v>Small Pelagics</v>
          </cell>
        </row>
        <row r="210">
          <cell r="E210" t="str">
            <v>0305 64</v>
          </cell>
          <cell r="F210" t="str">
            <v>305</v>
          </cell>
          <cell r="G210" t="str">
            <v>--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v>
          </cell>
          <cell r="H210" t="str">
            <v>Tilapia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salted or in brine only (excl. fillets and offal)</v>
          </cell>
          <cell r="I210" t="str">
            <v>yes</v>
          </cell>
          <cell r="J210" t="str">
            <v>Freshwater fish</v>
          </cell>
          <cell r="K210" t="str">
            <v>Y</v>
          </cell>
        </row>
        <row r="211">
          <cell r="E211" t="str">
            <v>0305 69</v>
          </cell>
          <cell r="F211" t="str">
            <v>305</v>
          </cell>
          <cell r="G211" t="str">
            <v>- - Other</v>
          </cell>
          <cell r="H211" t="str">
            <v>Fish, salted or in brine only (excl. herrings, cod, anchovies and fillets in general)</v>
          </cell>
          <cell r="I211" t="str">
            <v>yes</v>
          </cell>
          <cell r="J211" t="str">
            <v>Undefined</v>
          </cell>
          <cell r="K211" t="str">
            <v>Y</v>
          </cell>
        </row>
        <row r="212">
          <cell r="E212" t="str">
            <v>0305 71</v>
          </cell>
          <cell r="F212" t="str">
            <v>305</v>
          </cell>
          <cell r="G212" t="str">
            <v>-- Shark fins</v>
          </cell>
          <cell r="H212" t="str">
            <v>Shark fins, smoked, dried, salted or in brine</v>
          </cell>
          <cell r="I212" t="str">
            <v>yes</v>
          </cell>
          <cell r="J212" t="str">
            <v>Other marine fish</v>
          </cell>
          <cell r="K212" t="str">
            <v>Y</v>
          </cell>
        </row>
        <row r="213">
          <cell r="E213" t="str">
            <v>0305 72</v>
          </cell>
          <cell r="F213" t="str">
            <v>305</v>
          </cell>
          <cell r="G213" t="str">
            <v>-- Fish heads, tails and maws</v>
          </cell>
          <cell r="H213" t="str">
            <v>Fish heads, tails and maws, smoked, dried, salted or in brine</v>
          </cell>
          <cell r="I213" t="str">
            <v>no</v>
          </cell>
        </row>
        <row r="214">
          <cell r="E214" t="str">
            <v>0305 79</v>
          </cell>
          <cell r="F214" t="str">
            <v>305</v>
          </cell>
          <cell r="G214" t="str">
            <v>-- Other</v>
          </cell>
          <cell r="H214" t="str">
            <v>Fish fins and other edible fish offal, smoked, dried, salted or in brine (excl. heads, tails, maws and shark fins)</v>
          </cell>
          <cell r="I214" t="str">
            <v>no</v>
          </cell>
        </row>
        <row r="215">
          <cell r="E215" t="str">
            <v>0306</v>
          </cell>
          <cell r="F215" t="str">
            <v>3</v>
          </cell>
          <cell r="G215" t="str">
            <v>Crustaceans, whether in shell or not, live, fresh, chilled, frozen, dried, salted or in brine; crustaceans, in shell, cooked by steaming or by boiling in water, whether or not chilled, frozen, dried, salted or in brine; flours, meals and pellets of crustaceans, fit for human consumption</v>
          </cell>
          <cell r="H215" t="str">
            <v>Crustaceans, fit for human consumption, whether in shell or not, live, fresh, chilled, frozen, dried, salted or in brine, incl. crustaceans in shell cooked beforehand by steaming or by boiling in water; flours, meals and pellets of crustaceans, fit for human consumption</v>
          </cell>
        </row>
        <row r="216">
          <cell r="F216" t="str">
            <v>306</v>
          </cell>
          <cell r="G216" t="str">
            <v>- Frozen</v>
          </cell>
        </row>
        <row r="217">
          <cell r="E217" t="str">
            <v>0306 11</v>
          </cell>
          <cell r="F217" t="str">
            <v>306</v>
          </cell>
          <cell r="G217" t="str">
            <v>- - Rock lobster and other sea crawfish (Palinurus spp., Panulirus spp., Jasus spp.)</v>
          </cell>
          <cell r="H217" t="str">
            <v>Frozen rock lobster and other sea crawfish "Palinurus spp.", "Panulirus spp." and "Jasus spp.", whether in shell or not, incl. rock lobster and other sea crawfish in shell, cooked by steaming or by boiling in water</v>
          </cell>
          <cell r="I217" t="str">
            <v>yes</v>
          </cell>
          <cell r="J217" t="str">
            <v>Crustaceans</v>
          </cell>
          <cell r="K217" t="str">
            <v>Y</v>
          </cell>
        </row>
        <row r="218">
          <cell r="E218" t="str">
            <v>0306 12</v>
          </cell>
          <cell r="F218" t="str">
            <v>306</v>
          </cell>
          <cell r="G218" t="str">
            <v>- - Lobsters (Homarus spp.)</v>
          </cell>
          <cell r="H218" t="str">
            <v>Frozen lobsters "Homarus spp.", whether in shell or not, incl. lobsters in shell, cooked by steaming or by boiling in water</v>
          </cell>
          <cell r="I218" t="str">
            <v>yes</v>
          </cell>
          <cell r="J218" t="str">
            <v>Crustaceans</v>
          </cell>
          <cell r="K218" t="str">
            <v>Y</v>
          </cell>
        </row>
        <row r="219">
          <cell r="E219" t="str">
            <v>0306 16</v>
          </cell>
          <cell r="F219" t="str">
            <v>306</v>
          </cell>
          <cell r="G219" t="str">
            <v>-- Cold-water shrimps and prawns (Pandalus spp., Crangon crangon)</v>
          </cell>
          <cell r="H219" t="str">
            <v>Frozen cold-water shrimps and prawns "Pandalus spp., Crangon crangon", even smoked, whether in shell or not, incl. shrimps and prawns in shell, cooked by steaming or by boiling in water</v>
          </cell>
          <cell r="I219" t="str">
            <v>yes</v>
          </cell>
          <cell r="J219" t="str">
            <v>Crustaceans</v>
          </cell>
          <cell r="K219" t="str">
            <v>Y</v>
          </cell>
        </row>
        <row r="220">
          <cell r="E220" t="str">
            <v>0306 17</v>
          </cell>
          <cell r="F220" t="str">
            <v>306</v>
          </cell>
          <cell r="G220" t="str">
            <v>-- Other shrimps and prawns</v>
          </cell>
          <cell r="H220" t="str">
            <v>Frozen shrimps and prawns, even smoked, whether in shell or not, incl. shrimps and prawns in shell, cooked by steaming or by boiling in water (excl. cold-water shrimps and prawns)</v>
          </cell>
          <cell r="I220" t="str">
            <v>yes</v>
          </cell>
          <cell r="J220" t="str">
            <v>Crustaceans</v>
          </cell>
          <cell r="K220" t="str">
            <v>Y</v>
          </cell>
        </row>
        <row r="221">
          <cell r="E221" t="str">
            <v>0306 14</v>
          </cell>
          <cell r="F221" t="str">
            <v>306</v>
          </cell>
          <cell r="G221" t="str">
            <v>- - Crabs</v>
          </cell>
          <cell r="H221" t="str">
            <v>Frozen crabs, whether in shell or not, incl. crabs in shell, cooked by steaming or by boiling in water</v>
          </cell>
          <cell r="I221" t="str">
            <v>yes</v>
          </cell>
          <cell r="J221" t="str">
            <v>Crustaceans</v>
          </cell>
          <cell r="K221" t="str">
            <v>Y</v>
          </cell>
        </row>
        <row r="222">
          <cell r="E222" t="str">
            <v>0306 15</v>
          </cell>
          <cell r="F222" t="str">
            <v>306</v>
          </cell>
          <cell r="G222" t="str">
            <v>-- Norway lobsters (Nephrops norvegicus)</v>
          </cell>
          <cell r="H222" t="str">
            <v>Frozen Norway lobsters "Nephrops norvegicus", even smoked, whether in shell or not, incl. lobsters in shell, cooked by steaming or by boiling in water</v>
          </cell>
          <cell r="I222" t="str">
            <v>yes</v>
          </cell>
          <cell r="J222" t="str">
            <v>Crustaceans</v>
          </cell>
          <cell r="K222" t="str">
            <v>Y</v>
          </cell>
        </row>
        <row r="223">
          <cell r="E223" t="str">
            <v>0306 19</v>
          </cell>
          <cell r="F223" t="str">
            <v>306</v>
          </cell>
          <cell r="G223" t="str">
            <v>- - Other, including flours, meals and pellets of crustaceans, fit for human consumption</v>
          </cell>
          <cell r="H223" t="str">
            <v>Frozen crustaceans, fit for human consumption, whether in shell or not, incl. crustaceans in shell, cooked beforehand by steaming or by boiling in water (excl. rock lobster and other sea crawfish, lobsters, shrimps, prawns and crabs); frozen flours, meals, and pellets of crustaceans, fit for human consumption</v>
          </cell>
          <cell r="I223" t="str">
            <v>yes</v>
          </cell>
          <cell r="J223" t="str">
            <v>Crustaceans</v>
          </cell>
          <cell r="K223" t="str">
            <v>Y</v>
          </cell>
        </row>
        <row r="224">
          <cell r="F224" t="str">
            <v>306</v>
          </cell>
          <cell r="G224" t="str">
            <v>- Not frozen</v>
          </cell>
        </row>
        <row r="225">
          <cell r="E225" t="str">
            <v>0306 31</v>
          </cell>
          <cell r="F225" t="str">
            <v>306</v>
          </cell>
          <cell r="G225" t="str">
            <v>-- Rock lobster and other sea crawfish (Palinurus spp., Panulirus spp., Jasus spp.)</v>
          </cell>
          <cell r="H225" t="str">
            <v>Rock lobster and other sea crawfish "Palinurus spp., Panulirus spp. and Jasus spp.", whether in shell or not, live, fresh or chilled(2017-2500)</v>
          </cell>
          <cell r="I225" t="str">
            <v>yes</v>
          </cell>
          <cell r="J225" t="str">
            <v>Crustaceans</v>
          </cell>
          <cell r="K225" t="str">
            <v>Y</v>
          </cell>
        </row>
        <row r="226">
          <cell r="E226" t="str">
            <v>0306 91</v>
          </cell>
          <cell r="F226" t="str">
            <v>306</v>
          </cell>
          <cell r="G226" t="str">
            <v>-- Rock lobster and other sea crawfish (Palinurus spp., Panulirus spp., Jasus spp.)</v>
          </cell>
          <cell r="H226" t="str">
            <v>Rock lobster and other sea crawfish "Palinurus spp., Panulirus spp. and Jasus spp.", whether in shell or not, dried, salted, smoked or in brine, incl. in shell, cooked by steaming or by boiling in water(2017-2500)</v>
          </cell>
          <cell r="I226" t="str">
            <v>yes</v>
          </cell>
          <cell r="J226" t="str">
            <v>Crustaceans</v>
          </cell>
          <cell r="K226" t="str">
            <v>Y</v>
          </cell>
        </row>
        <row r="227">
          <cell r="E227" t="str">
            <v>0306 32</v>
          </cell>
          <cell r="F227" t="str">
            <v>306</v>
          </cell>
          <cell r="G227" t="str">
            <v>-- Lobsters (Homarus spp.)</v>
          </cell>
          <cell r="H227" t="str">
            <v>Lobsters "Homarus spp.", whether in shell or not, live, fresh or chilled(2017-2500)</v>
          </cell>
          <cell r="I227" t="str">
            <v>yes</v>
          </cell>
          <cell r="J227" t="str">
            <v>Crustaceans</v>
          </cell>
          <cell r="K227" t="str">
            <v>Y</v>
          </cell>
        </row>
        <row r="228">
          <cell r="E228" t="str">
            <v>0306 92</v>
          </cell>
          <cell r="F228" t="str">
            <v>306</v>
          </cell>
          <cell r="G228" t="str">
            <v>-- Lobsters (Homarus spp.)</v>
          </cell>
          <cell r="H228" t="str">
            <v>Lobsters "Homarus spp.", whether in shell or not, dried, salted, smoked or in brine, incl. lobsters in shell, cooked by steaming or by boiling in water(2017-2500)</v>
          </cell>
          <cell r="I228" t="str">
            <v>yes</v>
          </cell>
          <cell r="J228" t="str">
            <v>Crustaceans</v>
          </cell>
          <cell r="K228" t="str">
            <v>Y</v>
          </cell>
        </row>
        <row r="229">
          <cell r="E229" t="str">
            <v>0306 35</v>
          </cell>
          <cell r="F229" t="str">
            <v>306</v>
          </cell>
          <cell r="G229" t="str">
            <v>-- Cold-water shrimps and prawns (Pandalus spp., Crangon crangon)</v>
          </cell>
          <cell r="H229" t="str">
            <v>Cold-water shrimps and prawns "Pandalus spp., Crangon crangon", whether in shell or not, live, fresh or chilled(2017-2500)</v>
          </cell>
          <cell r="I229" t="str">
            <v>yes</v>
          </cell>
          <cell r="J229" t="str">
            <v>Crustaceans</v>
          </cell>
          <cell r="K229" t="str">
            <v>Y</v>
          </cell>
        </row>
        <row r="230">
          <cell r="E230" t="str">
            <v>0306 36</v>
          </cell>
          <cell r="F230" t="str">
            <v>306</v>
          </cell>
          <cell r="G230" t="str">
            <v>-- Other shrimps and prawns</v>
          </cell>
          <cell r="H230" t="str">
            <v>Shrimps and prawns, whether in shell or not, live, fresh or chilled (excl. cold-water shrimps and prawns "Pandalus spp., Crangon crangon")(2017-2500)</v>
          </cell>
          <cell r="I230" t="str">
            <v>yes</v>
          </cell>
          <cell r="J230" t="str">
            <v>Crustaceans</v>
          </cell>
          <cell r="K230" t="str">
            <v>Y</v>
          </cell>
        </row>
        <row r="231">
          <cell r="E231" t="str">
            <v>0306 95</v>
          </cell>
          <cell r="F231" t="str">
            <v>306</v>
          </cell>
          <cell r="G231" t="str">
            <v>-- Shrimps and prawns</v>
          </cell>
          <cell r="H231" t="str">
            <v>Shrimps and prawns, whether in shell or not, dried, salted, smoked or in brine, incl. ones in shell, cooked by steaming or by boiling in water(2017-2500)</v>
          </cell>
          <cell r="I231" t="str">
            <v>yes</v>
          </cell>
          <cell r="J231" t="str">
            <v>Crustaceans</v>
          </cell>
          <cell r="K231" t="str">
            <v>Y</v>
          </cell>
        </row>
        <row r="232">
          <cell r="E232" t="str">
            <v>0306 33</v>
          </cell>
          <cell r="F232" t="str">
            <v>306</v>
          </cell>
          <cell r="G232" t="str">
            <v>-- Crabs</v>
          </cell>
          <cell r="H232" t="str">
            <v>Crabs, whether in shell or not, live, fresh or chilled(2017-2500)</v>
          </cell>
          <cell r="I232" t="str">
            <v>yes</v>
          </cell>
          <cell r="J232" t="str">
            <v>Crustaceans</v>
          </cell>
          <cell r="K232" t="str">
            <v>Y</v>
          </cell>
        </row>
        <row r="233">
          <cell r="E233" t="str">
            <v>0306 93</v>
          </cell>
          <cell r="F233" t="str">
            <v>306</v>
          </cell>
          <cell r="G233" t="str">
            <v>-- Crabs</v>
          </cell>
          <cell r="H233" t="str">
            <v>Crabs, whether in shell or not, dried, salted, smoked or in brine, incl. crabs in shell, cooked by steaming or by boiling in water(2017-2500)</v>
          </cell>
          <cell r="I233" t="str">
            <v>yes</v>
          </cell>
          <cell r="J233" t="str">
            <v>Crustaceans</v>
          </cell>
          <cell r="K233" t="str">
            <v>Y</v>
          </cell>
        </row>
        <row r="234">
          <cell r="E234" t="str">
            <v>0306 34</v>
          </cell>
          <cell r="F234" t="str">
            <v>306</v>
          </cell>
          <cell r="G234" t="str">
            <v>-- Norway lobsters (Nephrops norvegicus)</v>
          </cell>
          <cell r="H234" t="str">
            <v>Norway lobsters "Nephrops norvegicus", whether in shell or not, live, fresh or chilled(2017-2500)</v>
          </cell>
          <cell r="I234" t="str">
            <v>yes</v>
          </cell>
          <cell r="J234" t="str">
            <v>Crustaceans</v>
          </cell>
          <cell r="K234" t="str">
            <v>Y</v>
          </cell>
        </row>
        <row r="235">
          <cell r="E235" t="str">
            <v>0306 39</v>
          </cell>
          <cell r="F235" t="str">
            <v>306</v>
          </cell>
          <cell r="G235" t="str">
            <v>-- Other, including flours, meals and pellets of crustaceans, fit for human consumption</v>
          </cell>
          <cell r="H235" t="str">
            <v>Crustaceans, fit for human consumption, whether in shell or not, live, fresh or chilled (excl. rock lobster and other sea crawfish, lobsters, crabs, Norway lobsters, shrimps and prawns); flours, meals and pellets of crustaceans, fit for human consumption, fresh or chilled(2017-2500)</v>
          </cell>
          <cell r="I235" t="str">
            <v>yes</v>
          </cell>
          <cell r="J235" t="str">
            <v>Crustaceans</v>
          </cell>
          <cell r="K235" t="str">
            <v>Y</v>
          </cell>
        </row>
        <row r="236">
          <cell r="E236" t="str">
            <v>0306 94</v>
          </cell>
          <cell r="F236" t="str">
            <v>306</v>
          </cell>
          <cell r="G236" t="str">
            <v>-- Norway lobsters (Nephrops norvegicus)</v>
          </cell>
          <cell r="H236" t="str">
            <v>Norway lobsters "Nephrops norvegicus", whether in shell or not, dried, salted, smoked or in brine, incl. lobsters in shell, cooked by steaming or by boiling in water(2017-2500)</v>
          </cell>
          <cell r="I236" t="str">
            <v>yes</v>
          </cell>
          <cell r="J236" t="str">
            <v>Crustaceans</v>
          </cell>
          <cell r="K236" t="str">
            <v>Y</v>
          </cell>
        </row>
        <row r="237">
          <cell r="E237" t="str">
            <v>0306 99</v>
          </cell>
          <cell r="F237" t="str">
            <v>306</v>
          </cell>
          <cell r="G237" t="str">
            <v>-- Other, including flours, meals and pellets of crustaceans, fit for human consumption</v>
          </cell>
          <cell r="H237" t="str">
            <v>Crustaceans, fit for human consumption, whether in shell or not, dried, salted, smoked or in brine, incl. crustaceans in shell, cooked by steaming or by boiling in water (excl. rock lobster and other sea crawfish, lobsters, crabs, Norway lobsters, shrimps and prawns); flours, meals and pellets of crustaceans, dried, salted, smoked or in brine, fit for human consumption(2017-2500)</v>
          </cell>
          <cell r="I237" t="str">
            <v>yes</v>
          </cell>
          <cell r="J237" t="str">
            <v>Crustaceans</v>
          </cell>
          <cell r="K237" t="str">
            <v>Y</v>
          </cell>
        </row>
        <row r="238">
          <cell r="E238" t="str">
            <v>0307</v>
          </cell>
          <cell r="F238" t="str">
            <v>3</v>
          </cell>
          <cell r="G238" t="str">
            <v>Molluscs, whether in shell or not, live, fresh, chilled, frozen, dried, salted or in brine; smoked molluscs, whether in shell or not, whether or not cooked before or during the smoking process; flours, meals and pellets of molluscs, fit for human consumption</v>
          </cell>
          <cell r="H238" t="str">
            <v>Molluscs, fit for human consumption, even smoked, whether in shell or not, live, fresh, chilled, frozen, dried, salted or in brine; flours, meals and pellets of molluscs, fit for human consumption</v>
          </cell>
        </row>
        <row r="239">
          <cell r="E239" t="str">
            <v>0307 11</v>
          </cell>
          <cell r="F239" t="str">
            <v>307</v>
          </cell>
          <cell r="G239" t="str">
            <v>-- Live, fresh or chilled</v>
          </cell>
          <cell r="H239" t="str">
            <v>Oysters, even in shell, live, fresh or chilled(2012-2500)</v>
          </cell>
          <cell r="I239" t="str">
            <v>no</v>
          </cell>
          <cell r="J239" t="str">
            <v>Bivalvs and other molluscs and aquatic invertebrates</v>
          </cell>
        </row>
        <row r="240">
          <cell r="E240" t="str">
            <v>0307 12</v>
          </cell>
          <cell r="F240" t="str">
            <v>307</v>
          </cell>
          <cell r="G240" t="str">
            <v>-- Frozen</v>
          </cell>
          <cell r="H240" t="str">
            <v>Oysters, even in shell, frozen(2017-2500)</v>
          </cell>
          <cell r="I240" t="str">
            <v>no</v>
          </cell>
          <cell r="J240" t="str">
            <v>Bivalvs and other molluscs and aquatic invertebrates</v>
          </cell>
        </row>
        <row r="241">
          <cell r="E241" t="str">
            <v>0307 19</v>
          </cell>
          <cell r="F241" t="str">
            <v>307</v>
          </cell>
          <cell r="G241" t="str">
            <v>-- Other</v>
          </cell>
          <cell r="H241" t="str">
            <v>Oysters, even in shell, smoked, dried, salted or in brine(2012-2500)</v>
          </cell>
          <cell r="I241" t="str">
            <v>no</v>
          </cell>
          <cell r="J241" t="str">
            <v>Bivalvs and other molluscs and aquatic invertebrates</v>
          </cell>
        </row>
        <row r="242">
          <cell r="F242" t="str">
            <v>307</v>
          </cell>
          <cell r="G242" t="str">
            <v>- Scallops, including queen scallops, of the genera Pecten, Chlamys or Placopecten</v>
          </cell>
        </row>
        <row r="243">
          <cell r="E243" t="str">
            <v>0307 21</v>
          </cell>
          <cell r="F243" t="str">
            <v>307</v>
          </cell>
          <cell r="G243" t="str">
            <v>- - Live, fresh or chilled</v>
          </cell>
          <cell r="H243" t="str">
            <v>Live, fresh or chilled scallops, incl. queen scallops, of the genera Pecten, Chlamys or Placopecten, with or without shell</v>
          </cell>
          <cell r="I243" t="str">
            <v>no</v>
          </cell>
          <cell r="J243" t="str">
            <v>Bivalvs and other molluscs and aquatic invertebrates</v>
          </cell>
        </row>
        <row r="244">
          <cell r="E244" t="str">
            <v>0307 22</v>
          </cell>
          <cell r="F244" t="str">
            <v>307</v>
          </cell>
          <cell r="G244" t="str">
            <v>-- Frozen</v>
          </cell>
          <cell r="H244" t="str">
            <v>Scallops, incl. queen scallops, of the genera Pecten, Chlamys or Placopecten, frozen, even in shell</v>
          </cell>
          <cell r="I244" t="str">
            <v>no</v>
          </cell>
          <cell r="J244" t="str">
            <v>Bivalvs and other molluscs and aquatic invertebrates</v>
          </cell>
        </row>
        <row r="245">
          <cell r="E245" t="str">
            <v>0307 29</v>
          </cell>
          <cell r="F245" t="str">
            <v>307</v>
          </cell>
          <cell r="G245" t="str">
            <v>- - Other</v>
          </cell>
          <cell r="H245" t="str">
            <v>Scallops, incl. queen scallops, of the genera Pecten, Chlamys or Placopecten, frozen, dried, salted or in brine, with or without shell</v>
          </cell>
          <cell r="I245" t="str">
            <v>no</v>
          </cell>
          <cell r="J245" t="str">
            <v>Bivalvs and other molluscs and aquatic invertebrates</v>
          </cell>
        </row>
        <row r="246">
          <cell r="F246" t="str">
            <v>307</v>
          </cell>
          <cell r="G246" t="str">
            <v>- Mussels (Mytilus spp., Perna spp.)</v>
          </cell>
        </row>
        <row r="247">
          <cell r="E247" t="str">
            <v>0307 31</v>
          </cell>
          <cell r="F247" t="str">
            <v>307</v>
          </cell>
          <cell r="G247" t="str">
            <v>- - Live, fresh or chilled</v>
          </cell>
          <cell r="H247" t="str">
            <v>Live, fresh or chilled mussels "Mytilus spp., Perna spp.", with or without shell</v>
          </cell>
          <cell r="I247" t="str">
            <v>no</v>
          </cell>
          <cell r="J247" t="str">
            <v>Bivalvs and other molluscs and aquatic invertebrates</v>
          </cell>
        </row>
        <row r="248">
          <cell r="E248" t="str">
            <v>0307 32</v>
          </cell>
          <cell r="F248" t="str">
            <v>307</v>
          </cell>
          <cell r="G248" t="str">
            <v>-- Frozen</v>
          </cell>
          <cell r="H248" t="str">
            <v>Mussels "Mytilus spp., Perna spp.", frozen, even in shell</v>
          </cell>
          <cell r="I248" t="str">
            <v>no</v>
          </cell>
          <cell r="J248" t="str">
            <v>Bivalvs and other molluscs and aquatic invertebrates</v>
          </cell>
        </row>
        <row r="249">
          <cell r="E249" t="str">
            <v>0307 39</v>
          </cell>
          <cell r="F249" t="str">
            <v>307</v>
          </cell>
          <cell r="G249" t="str">
            <v>- - Other</v>
          </cell>
          <cell r="H249" t="str">
            <v>Mussels "Mytilus spp., Perna spp.", frozen, dried, salted or in brine, with or without shell</v>
          </cell>
          <cell r="I249" t="str">
            <v>no</v>
          </cell>
          <cell r="J249" t="str">
            <v>Bivalvs and other molluscs and aquatic invertebrates</v>
          </cell>
        </row>
        <row r="250">
          <cell r="F250" t="str">
            <v>307</v>
          </cell>
          <cell r="G250" t="str">
            <v>- Cuttle fish (Sepia officinalis, Rossia macrosoma, Sepiola spp.) and squid (Ommastrephes spp., Loligo spp., Nototodarus spp., Sepioteuthis spp.)</v>
          </cell>
        </row>
        <row r="251">
          <cell r="E251" t="str">
            <v>0307 42</v>
          </cell>
          <cell r="F251" t="str">
            <v>307</v>
          </cell>
          <cell r="G251" t="str">
            <v>-- Live, fresh or chilled</v>
          </cell>
          <cell r="H251" t="str">
            <v>Cuttle fish and squid, live, fresh or chilled, with or without shell</v>
          </cell>
          <cell r="I251" t="str">
            <v>no</v>
          </cell>
          <cell r="J251" t="str">
            <v>Bivalvs and other molluscs and aquatic invertebrates</v>
          </cell>
        </row>
        <row r="252">
          <cell r="E252" t="str">
            <v>0307 43</v>
          </cell>
          <cell r="F252" t="str">
            <v>307</v>
          </cell>
          <cell r="G252" t="str">
            <v>-- Frozen</v>
          </cell>
          <cell r="H252" t="str">
            <v>Cuttle fish and squid, frozen, with or without shell</v>
          </cell>
          <cell r="I252" t="str">
            <v>no</v>
          </cell>
          <cell r="J252" t="str">
            <v>Bivalvs and other molluscs and aquatic invertebrates</v>
          </cell>
        </row>
        <row r="253">
          <cell r="E253" t="str">
            <v>0307 49</v>
          </cell>
          <cell r="F253" t="str">
            <v>307</v>
          </cell>
          <cell r="G253" t="str">
            <v>- - Other</v>
          </cell>
          <cell r="H253" t="str">
            <v>Cuttle fish "Sepia officinalis, Rossia macrosoma, Sepiola spp." and squid "Ommastrephes spp., Loligo spp., Nototodarus spp., Sepioteuthis spp.", frozen, dried, salted or in brine, with or without shell</v>
          </cell>
          <cell r="I253" t="str">
            <v>no</v>
          </cell>
          <cell r="J253" t="str">
            <v>Bivalvs and other molluscs and aquatic invertebrates</v>
          </cell>
        </row>
        <row r="254">
          <cell r="F254" t="str">
            <v>307</v>
          </cell>
          <cell r="G254" t="str">
            <v>- Octopus (Octopus spp.)</v>
          </cell>
        </row>
        <row r="255">
          <cell r="E255" t="str">
            <v>0307 51</v>
          </cell>
          <cell r="F255" t="str">
            <v>307</v>
          </cell>
          <cell r="G255" t="str">
            <v>- - Live, fresh or chilled</v>
          </cell>
          <cell r="H255" t="str">
            <v>Live, fresh or chilled octopus "Octopus spp.", with or without shell</v>
          </cell>
          <cell r="I255" t="str">
            <v>no</v>
          </cell>
          <cell r="J255" t="str">
            <v>Bivalvs and other molluscs and aquatic invertebrates</v>
          </cell>
        </row>
        <row r="256">
          <cell r="E256" t="str">
            <v>0307 52</v>
          </cell>
          <cell r="F256" t="str">
            <v>307</v>
          </cell>
          <cell r="G256" t="str">
            <v>-- Frozen</v>
          </cell>
          <cell r="H256" t="str">
            <v>Octopus "Octopus spp.", frozen</v>
          </cell>
          <cell r="I256" t="str">
            <v>no</v>
          </cell>
          <cell r="J256" t="str">
            <v>Bivalvs and other molluscs and aquatic invertebrates</v>
          </cell>
        </row>
        <row r="257">
          <cell r="E257" t="str">
            <v>0307 59</v>
          </cell>
          <cell r="F257" t="str">
            <v>307</v>
          </cell>
          <cell r="G257" t="str">
            <v>- - Other</v>
          </cell>
          <cell r="H257" t="str">
            <v>Octopus "Octopus spp.", frozen, dried, salted or in brine, with or without shell</v>
          </cell>
          <cell r="I257" t="str">
            <v>no</v>
          </cell>
          <cell r="J257" t="str">
            <v>Bivalvs and other molluscs and aquatic invertebrates</v>
          </cell>
        </row>
        <row r="258">
          <cell r="E258" t="str">
            <v>0307 60</v>
          </cell>
          <cell r="F258" t="str">
            <v>307</v>
          </cell>
          <cell r="G258" t="str">
            <v>- Snails, other than sea snails</v>
          </cell>
          <cell r="H258" t="str">
            <v>Snails, live, fresh, chilled, frozen, salted, dried or in brine, with or without shell (excl. sea snails)</v>
          </cell>
          <cell r="I258" t="str">
            <v>no</v>
          </cell>
          <cell r="J258" t="str">
            <v>Bivalvs and other molluscs and aquatic invertebrates</v>
          </cell>
        </row>
        <row r="259">
          <cell r="F259" t="str">
            <v>307</v>
          </cell>
          <cell r="G259" t="str">
            <v>- Other, including flours, meals and pellets of aquatic invertebrates other than crustaceans, fit for human consumption</v>
          </cell>
        </row>
        <row r="260">
          <cell r="E260" t="str">
            <v>0307 71</v>
          </cell>
          <cell r="F260" t="str">
            <v>307</v>
          </cell>
          <cell r="G260" t="str">
            <v>-- Live, fresh or chilled</v>
          </cell>
          <cell r="H260" t="str">
            <v>Live, fresh or chilled, even in shell, clams, cockles and ark shells "families Arcidae, Arcticidae, Cardiidae, Donacidae, Hiatellidae, Mactridae, Mesodesmatidae, Myidae, Semelidae, Solecurtidae, Solenidae, Tridacnidae and Veneridae"</v>
          </cell>
          <cell r="I260" t="str">
            <v>no</v>
          </cell>
          <cell r="J260" t="str">
            <v>Bivalvs and other molluscs and aquatic invertebrates</v>
          </cell>
        </row>
        <row r="261">
          <cell r="E261" t="str">
            <v>0307 72</v>
          </cell>
          <cell r="F261" t="str">
            <v>307</v>
          </cell>
          <cell r="G261" t="str">
            <v>-- Frozen</v>
          </cell>
          <cell r="H261" t="str">
            <v>Frozen, even in shell, clams, cockles and ark shells "families Arcidae, Arcticidae, Cardiidae, Donacidae, Hiatellidae, Mactridae, Mesodesmatidae, Myidae, Semelidae, Solecurtidae, Solenidae, Tridacnidae and Veneridae"</v>
          </cell>
          <cell r="I261" t="str">
            <v>no</v>
          </cell>
          <cell r="J261" t="str">
            <v>Bivalvs and other molluscs and aquatic invertebrates</v>
          </cell>
        </row>
        <row r="262">
          <cell r="E262" t="str">
            <v>0307 79</v>
          </cell>
          <cell r="F262" t="str">
            <v>307</v>
          </cell>
          <cell r="G262" t="str">
            <v>-- Other</v>
          </cell>
          <cell r="H262" t="str">
            <v>Smoked, dried, salted or in brine, even in shell, clams, cockles and ark shells "families Arcidae, Arcticidae, Cardiidae, Donacidae, Hiatellidae, Mactridae, Mesodesmatidae, Myidae, Semelidae, Solecurtidae, Solenidae, Tridacnidae and Veneridae"</v>
          </cell>
          <cell r="I262" t="str">
            <v>no</v>
          </cell>
          <cell r="J262" t="str">
            <v>Bivalvs and other molluscs and aquatic invertebrates</v>
          </cell>
        </row>
        <row r="263">
          <cell r="E263" t="str">
            <v>0307 81</v>
          </cell>
          <cell r="F263" t="str">
            <v>307</v>
          </cell>
          <cell r="G263" t="str">
            <v>-- Live, fresh or chilled abalone (Haliotis spp.)</v>
          </cell>
          <cell r="H263" t="str">
            <v>Live, fresh or chilled, even in shell, abalone "Haliotis spp."</v>
          </cell>
          <cell r="I263" t="str">
            <v>no</v>
          </cell>
          <cell r="J263" t="str">
            <v>Bivalvs and other molluscs and aquatic invertebrates</v>
          </cell>
        </row>
        <row r="264">
          <cell r="E264" t="str">
            <v>0307 82</v>
          </cell>
          <cell r="F264" t="str">
            <v>307</v>
          </cell>
          <cell r="G264" t="str">
            <v>-- Live, fresh or chilled stromboid conchs (Strombus spp.)</v>
          </cell>
          <cell r="H264" t="str">
            <v>Live, fresh or chilled, even in shell, stromboid conchs "Strombus spp."</v>
          </cell>
          <cell r="I264" t="str">
            <v>no</v>
          </cell>
          <cell r="J264" t="str">
            <v>Bivalvs and other molluscs and aquatic invertebrates</v>
          </cell>
        </row>
        <row r="265">
          <cell r="E265" t="str">
            <v>0307 83</v>
          </cell>
          <cell r="F265" t="str">
            <v>307</v>
          </cell>
          <cell r="G265" t="str">
            <v>-- Frozen abalone (Haliotis spp.)</v>
          </cell>
          <cell r="H265" t="str">
            <v>Frozen, even in shell, abalone "Haliotis spp."</v>
          </cell>
          <cell r="I265" t="str">
            <v>no</v>
          </cell>
          <cell r="J265" t="str">
            <v>Bivalvs and other molluscs and aquatic invertebrates</v>
          </cell>
        </row>
        <row r="266">
          <cell r="E266" t="str">
            <v>0307 84</v>
          </cell>
          <cell r="F266" t="str">
            <v>307</v>
          </cell>
          <cell r="G266" t="str">
            <v>-- Frozen stromboid conchs (Strombus spp.)</v>
          </cell>
          <cell r="H266" t="str">
            <v>Frozen, even in shell, stromboid conchs "Strombus spp."</v>
          </cell>
          <cell r="I266" t="str">
            <v>no</v>
          </cell>
          <cell r="J266" t="str">
            <v>Bivalvs and other molluscs and aquatic invertebrates</v>
          </cell>
        </row>
        <row r="267">
          <cell r="E267" t="str">
            <v>0307 87</v>
          </cell>
          <cell r="F267" t="str">
            <v>307</v>
          </cell>
          <cell r="G267" t="str">
            <v>-- Other abalone (Haliotis spp.)</v>
          </cell>
          <cell r="H267" t="str">
            <v>Smoked, dried, salted or in brine, even in shell, abalone "Haliotis spp."</v>
          </cell>
          <cell r="I267" t="str">
            <v>no</v>
          </cell>
          <cell r="J267" t="str">
            <v>Bivalvs and other molluscs and aquatic invertebrates</v>
          </cell>
        </row>
        <row r="268">
          <cell r="E268" t="str">
            <v>0307 88</v>
          </cell>
          <cell r="F268" t="str">
            <v>307</v>
          </cell>
          <cell r="G268" t="str">
            <v>-- Other stromboid conchs (Strombus spp.)</v>
          </cell>
          <cell r="H268" t="str">
            <v>Smoked, dried, salted or in brine, even in shell, stromboid conchs "Strombus spp."</v>
          </cell>
          <cell r="I268" t="str">
            <v>no</v>
          </cell>
          <cell r="J268" t="str">
            <v>Bivalvs and other molluscs and aquatic invertebrates</v>
          </cell>
        </row>
        <row r="269">
          <cell r="E269" t="str">
            <v>0307 91</v>
          </cell>
          <cell r="F269" t="str">
            <v>307</v>
          </cell>
          <cell r="G269" t="str">
            <v>- - Live, fresh or chilled</v>
          </cell>
          <cell r="H269" t="str">
            <v>Live, fresh or chilled molluscs, fit for human consumption, whether in shell or not, incl. sea urchins, sea cucumbers and other aquatic invertebrates (other than crustaceans); fresh or chilled flours, meals and pellets of aquatic invertebrates (other than crustaceans), fit for human consumption (excl. oysters, scallops, queen scallops, mussels, cuttlefish, squids, octopus and snails other than sea snails)</v>
          </cell>
          <cell r="I269" t="str">
            <v>no</v>
          </cell>
          <cell r="J269" t="str">
            <v>Bivalvs and other molluscs and aquatic invertebrates</v>
          </cell>
        </row>
        <row r="270">
          <cell r="E270" t="str">
            <v>0307 92</v>
          </cell>
          <cell r="F270" t="str">
            <v>307</v>
          </cell>
          <cell r="G270" t="str">
            <v>-- Frozen</v>
          </cell>
          <cell r="H270" t="str">
            <v>Molluscs, even in shell, frozen (excl. oysters, scallops of the genera Pecten, Chlamys or Placopecten, mussels "Mytilus spp., Perna spp.", cuttle fish and squid, octopus "Octopus spp.", snails other than sea snails, clams, cockles and ark shells, abalone and stromboid conchs); flours, meals and pellets of molluscs, frozen, fit for human consumption</v>
          </cell>
          <cell r="I270" t="str">
            <v>no</v>
          </cell>
          <cell r="J270" t="str">
            <v>Bivalvs and other molluscs and aquatic invertebrates</v>
          </cell>
        </row>
        <row r="271">
          <cell r="E271" t="str">
            <v>0307 99</v>
          </cell>
          <cell r="F271" t="str">
            <v>307</v>
          </cell>
          <cell r="G271" t="str">
            <v>- - Other</v>
          </cell>
          <cell r="H271" t="str">
            <v>Molluscs, fit for human consumption, whether in shell or not, frozen, dried, salted or in brine, incl. sea urchins, sea cucumbers and other aquatic invertebrates (other than crustaceans); flours, meals and pellets of aquatic invertebrates (other than crustaceans), fit for human consumption (excl. chilled, and oysters, scallops, queen scallops, mussels, cuttlefish, squids, octopus and snails other than sea snails)</v>
          </cell>
          <cell r="I271" t="str">
            <v>no</v>
          </cell>
          <cell r="J271" t="str">
            <v>Bivalvs and other molluscs and aquatic invertebrates</v>
          </cell>
        </row>
        <row r="272">
          <cell r="E272" t="str">
            <v>1604</v>
          </cell>
          <cell r="F272" t="str">
            <v>16</v>
          </cell>
          <cell r="G272" t="str">
            <v>Prepared or preserved fish; caviar and caviar substitutes prepared from fish eggs</v>
          </cell>
          <cell r="H272" t="str">
            <v>Prepared or preserved fish; caviar and caviar substitutes prepared from fish eggs</v>
          </cell>
        </row>
        <row r="273">
          <cell r="E273" t="str">
            <v>1604 11</v>
          </cell>
          <cell r="F273" t="str">
            <v>1604</v>
          </cell>
          <cell r="G273" t="str">
            <v>- - Salmon</v>
          </cell>
          <cell r="H273" t="str">
            <v>Prepared or preserved salmon, whole or in pieces (excl. minced)</v>
          </cell>
          <cell r="I273" t="str">
            <v>yes</v>
          </cell>
          <cell r="J273" t="str">
            <v>Salmonids</v>
          </cell>
          <cell r="K273" t="str">
            <v>Y</v>
          </cell>
        </row>
        <row r="274">
          <cell r="E274" t="str">
            <v>1604 12</v>
          </cell>
          <cell r="F274" t="str">
            <v>1604</v>
          </cell>
          <cell r="G274" t="str">
            <v>- - Herrings</v>
          </cell>
          <cell r="H274" t="str">
            <v>Prepared or preserved herrings, whole or in pieces (excl. minced)</v>
          </cell>
          <cell r="I274" t="str">
            <v>no</v>
          </cell>
          <cell r="J274" t="str">
            <v>Small pelagics</v>
          </cell>
        </row>
        <row r="275">
          <cell r="E275" t="str">
            <v>1604 13</v>
          </cell>
          <cell r="F275" t="str">
            <v>1604</v>
          </cell>
          <cell r="G275" t="str">
            <v>- - Sardines, sardinella and brisling or sprats</v>
          </cell>
          <cell r="H275" t="str">
            <v>Prepared or preserved sardines, sardinella and brisling or sprats, whole or in pieces (excl. minced)</v>
          </cell>
          <cell r="I275" t="str">
            <v>no</v>
          </cell>
          <cell r="J275" t="str">
            <v>Small pelagics</v>
          </cell>
        </row>
        <row r="276">
          <cell r="E276" t="str">
            <v>1604 14</v>
          </cell>
          <cell r="F276" t="str">
            <v>1604</v>
          </cell>
          <cell r="G276" t="str">
            <v>- - Tunas, skipjack and bonito (Sarda spp.)</v>
          </cell>
          <cell r="H276" t="str">
            <v>Prepared or preserved tunas, skipjack and Atlantic bonito, whole or in pieces (excl. minced)</v>
          </cell>
          <cell r="I276" t="str">
            <v>no</v>
          </cell>
          <cell r="J276" t="str">
            <v>Tuna and tuna like species</v>
          </cell>
        </row>
        <row r="277">
          <cell r="E277" t="str">
            <v>1604 15</v>
          </cell>
          <cell r="F277" t="str">
            <v>1604</v>
          </cell>
          <cell r="G277" t="str">
            <v>- - Mackerel</v>
          </cell>
          <cell r="H277" t="str">
            <v>Prepared or preserved mackerel, whole or in pieces (excl. minced)</v>
          </cell>
          <cell r="I277" t="str">
            <v>no</v>
          </cell>
          <cell r="J277" t="str">
            <v>Small pelagics</v>
          </cell>
        </row>
        <row r="278">
          <cell r="E278" t="str">
            <v>1604 16</v>
          </cell>
          <cell r="F278" t="str">
            <v>1604</v>
          </cell>
          <cell r="G278" t="str">
            <v>- - Anchovies</v>
          </cell>
          <cell r="H278" t="str">
            <v>Prepared or preserved anchovies, whole or in pieces (excl. minced)</v>
          </cell>
          <cell r="I278" t="str">
            <v>no</v>
          </cell>
          <cell r="J278" t="str">
            <v>Small Pelagics</v>
          </cell>
        </row>
        <row r="279">
          <cell r="E279" t="str">
            <v>1604 19</v>
          </cell>
          <cell r="F279" t="str">
            <v>1604</v>
          </cell>
          <cell r="G279" t="str">
            <v>- - Other</v>
          </cell>
          <cell r="H279" t="str">
            <v>Prepared or preserved fish, whole or in pieces (excl. minced and salmon, herrings, sardines, sardinella, brisling or sprats, tunas, skipjack and Atlantic bonito, bonito "sarda spp.", mackerel and anchovies)</v>
          </cell>
          <cell r="I279" t="str">
            <v>yes</v>
          </cell>
          <cell r="J279" t="str">
            <v>Undefined</v>
          </cell>
          <cell r="K279" t="str">
            <v>Y</v>
          </cell>
        </row>
        <row r="280">
          <cell r="E280" t="str">
            <v>1604 20</v>
          </cell>
          <cell r="F280" t="str">
            <v>1604</v>
          </cell>
          <cell r="G280" t="str">
            <v>- Other prepared or preserved fish</v>
          </cell>
          <cell r="H280" t="str">
            <v>Prepared or preserved fish (excl. whole or in pieces)</v>
          </cell>
          <cell r="I280" t="str">
            <v>yes</v>
          </cell>
          <cell r="J280" t="str">
            <v>Undefined</v>
          </cell>
          <cell r="K280" t="str">
            <v>Y</v>
          </cell>
        </row>
        <row r="281">
          <cell r="E281" t="str">
            <v>1604 30</v>
          </cell>
          <cell r="F281" t="str">
            <v>1604</v>
          </cell>
          <cell r="G281" t="str">
            <v>- Caviar and caviar substitutes</v>
          </cell>
          <cell r="H281" t="str">
            <v>Caviar and caviar substitutes prepared from fish eggs</v>
          </cell>
          <cell r="I281" t="str">
            <v>no</v>
          </cell>
        </row>
        <row r="282">
          <cell r="E282" t="str">
            <v>1605</v>
          </cell>
          <cell r="F282" t="str">
            <v>16</v>
          </cell>
          <cell r="G282" t="str">
            <v>Crustaceans, molluscs and other aquatic invertebrates, prepared or preserved</v>
          </cell>
          <cell r="H282" t="str">
            <v>Crustaceans, molluscs and other aquatic invertebrates, prepared or preserved</v>
          </cell>
        </row>
        <row r="283">
          <cell r="E283" t="str">
            <v>1605 10</v>
          </cell>
          <cell r="F283" t="str">
            <v>1605</v>
          </cell>
          <cell r="G283" t="str">
            <v>- Crab</v>
          </cell>
          <cell r="H283" t="str">
            <v>Crab, prepared or preserved</v>
          </cell>
          <cell r="I283" t="str">
            <v>yes</v>
          </cell>
          <cell r="J283" t="str">
            <v>Crustaceans</v>
          </cell>
          <cell r="K283" t="str">
            <v>Y</v>
          </cell>
        </row>
        <row r="284">
          <cell r="E284" t="str">
            <v>1605 21</v>
          </cell>
          <cell r="F284" t="str">
            <v>1605</v>
          </cell>
          <cell r="G284" t="str">
            <v>- Shrimps and prawns</v>
          </cell>
          <cell r="H284" t="str">
            <v>Shrimps and prawns, prepared or preserved, not in airtight containers (exc. Smoked)</v>
          </cell>
          <cell r="I284" t="str">
            <v>yes</v>
          </cell>
          <cell r="J284" t="str">
            <v>Crustaceans</v>
          </cell>
          <cell r="K284" t="str">
            <v>Y</v>
          </cell>
        </row>
        <row r="285">
          <cell r="E285" t="str">
            <v>1605 29</v>
          </cell>
          <cell r="F285" t="str">
            <v>1605</v>
          </cell>
          <cell r="G285" t="str">
            <v>- Shrimps and prawns</v>
          </cell>
          <cell r="H285" t="str">
            <v>Shrimps and prawns, prepared or preserved, in airtight containers (exc. Smoked)</v>
          </cell>
          <cell r="I285" t="str">
            <v>yes</v>
          </cell>
          <cell r="K285" t="str">
            <v>N</v>
          </cell>
          <cell r="L285" t="str">
            <v>1605 21</v>
          </cell>
        </row>
        <row r="286">
          <cell r="E286" t="str">
            <v>1605 30</v>
          </cell>
          <cell r="F286" t="str">
            <v>1605</v>
          </cell>
          <cell r="G286" t="str">
            <v>- Lobster</v>
          </cell>
          <cell r="H286" t="str">
            <v>Lobster, prepared or preserved</v>
          </cell>
          <cell r="I286" t="str">
            <v>yes</v>
          </cell>
          <cell r="J286" t="str">
            <v>Crustaceans</v>
          </cell>
          <cell r="K286" t="str">
            <v>Y</v>
          </cell>
        </row>
        <row r="287">
          <cell r="E287" t="str">
            <v>1605 40</v>
          </cell>
          <cell r="F287" t="str">
            <v>1605</v>
          </cell>
          <cell r="G287" t="str">
            <v>- Other crustaceans</v>
          </cell>
          <cell r="H287" t="str">
            <v>Crustaceans, prepared or preserved (excl. crabs, shrimps, prawns and lobster)</v>
          </cell>
          <cell r="I287" t="str">
            <v>yes</v>
          </cell>
          <cell r="J287" t="str">
            <v>Crustaceans</v>
          </cell>
          <cell r="K287" t="str">
            <v>Y</v>
          </cell>
        </row>
        <row r="288">
          <cell r="E288" t="str">
            <v>1605 51</v>
          </cell>
          <cell r="F288" t="str">
            <v>1605</v>
          </cell>
          <cell r="H288" t="str">
            <v>Oysters, prepared or preserved (excl. smoked)(2012-2500)</v>
          </cell>
          <cell r="I288" t="str">
            <v>no</v>
          </cell>
          <cell r="J288" t="str">
            <v>Bivalvs and other molluscs and aquatic invertebrates</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I&amp;TF"/>
      <sheetName val="NAI_Comparison"/>
      <sheetName val="Harvest_Comparison"/>
      <sheetName val="net increment_UNECE"/>
      <sheetName val="missing countries"/>
      <sheetName val="FAWS areas"/>
    </sheetNames>
    <sheetDataSet>
      <sheetData sheetId="0" refreshError="1"/>
      <sheetData sheetId="1" refreshError="1"/>
      <sheetData sheetId="2" refreshError="1"/>
      <sheetData sheetId="3">
        <row r="4">
          <cell r="B4" t="str">
            <v>Albania</v>
          </cell>
          <cell r="C4">
            <v>223.6</v>
          </cell>
          <cell r="D4">
            <v>0.38085505024697663</v>
          </cell>
        </row>
        <row r="5">
          <cell r="B5" t="str">
            <v>Andorra</v>
          </cell>
          <cell r="C5" t="str">
            <v>..</v>
          </cell>
        </row>
        <row r="6">
          <cell r="B6" t="str">
            <v>Austria</v>
          </cell>
          <cell r="C6">
            <v>25136</v>
          </cell>
          <cell r="D6">
            <v>7.5234959592936246</v>
          </cell>
        </row>
        <row r="7">
          <cell r="B7" t="str">
            <v>Belarus</v>
          </cell>
          <cell r="C7">
            <v>25670</v>
          </cell>
          <cell r="D7">
            <v>3.9622758003272311</v>
          </cell>
        </row>
        <row r="8">
          <cell r="B8" t="str">
            <v>Belgium</v>
          </cell>
          <cell r="C8">
            <v>4609.74</v>
          </cell>
          <cell r="D8">
            <v>6.9023583139926625</v>
          </cell>
        </row>
        <row r="9">
          <cell r="B9" t="str">
            <v>Bosnia and Herzegovina</v>
          </cell>
          <cell r="C9" t="str">
            <v>..</v>
          </cell>
        </row>
        <row r="10">
          <cell r="B10" t="str">
            <v>Bulgaria</v>
          </cell>
          <cell r="C10">
            <v>14361</v>
          </cell>
          <cell r="D10">
            <v>6.0163385002094678</v>
          </cell>
        </row>
        <row r="11">
          <cell r="B11" t="str">
            <v>Croatia</v>
          </cell>
          <cell r="C11">
            <v>8144</v>
          </cell>
          <cell r="D11">
            <v>4.677771395749569</v>
          </cell>
        </row>
        <row r="12">
          <cell r="B12" t="str">
            <v>Cyprus</v>
          </cell>
          <cell r="C12">
            <v>46.87</v>
          </cell>
          <cell r="D12">
            <v>1.1321256038647343</v>
          </cell>
        </row>
        <row r="13">
          <cell r="B13" t="str">
            <v>Czechia</v>
          </cell>
          <cell r="C13">
            <v>20462.97</v>
          </cell>
          <cell r="D13">
            <v>8.8570099161606155</v>
          </cell>
        </row>
        <row r="14">
          <cell r="B14" t="str">
            <v>Denmark</v>
          </cell>
          <cell r="C14">
            <v>6263.36</v>
          </cell>
          <cell r="D14">
            <v>11.345022460512968</v>
          </cell>
        </row>
        <row r="15">
          <cell r="B15" t="str">
            <v>Estonia</v>
          </cell>
          <cell r="C15">
            <v>11514</v>
          </cell>
          <cell r="D15">
            <v>5.733207190160833</v>
          </cell>
        </row>
        <row r="16">
          <cell r="B16" t="str">
            <v>Finland</v>
          </cell>
          <cell r="C16">
            <v>93379.17</v>
          </cell>
          <cell r="D16">
            <v>4.79728589776522</v>
          </cell>
        </row>
        <row r="17">
          <cell r="B17" t="str">
            <v>France</v>
          </cell>
          <cell r="C17">
            <v>82871</v>
          </cell>
          <cell r="D17">
            <v>5.3098609598257189</v>
          </cell>
        </row>
        <row r="18">
          <cell r="B18" t="str">
            <v>Georgia</v>
          </cell>
          <cell r="C18" t="str">
            <v>..</v>
          </cell>
        </row>
        <row r="19">
          <cell r="B19" t="str">
            <v>Germany</v>
          </cell>
          <cell r="C19">
            <v>118589.6</v>
          </cell>
          <cell r="D19">
            <v>10.89404201647478</v>
          </cell>
        </row>
        <row r="20">
          <cell r="B20" t="str">
            <v>Greece</v>
          </cell>
          <cell r="C20" t="str">
            <v>..</v>
          </cell>
        </row>
        <row r="21">
          <cell r="B21" t="str">
            <v>Holy See</v>
          </cell>
          <cell r="C21" t="str">
            <v>..</v>
          </cell>
        </row>
        <row r="22">
          <cell r="B22" t="str">
            <v>Hungary</v>
          </cell>
          <cell r="C22">
            <v>9774.75</v>
          </cell>
          <cell r="D22">
            <v>5.6523662480049968</v>
          </cell>
        </row>
        <row r="23">
          <cell r="B23" t="str">
            <v>Iceland</v>
          </cell>
          <cell r="C23">
            <v>23.83</v>
          </cell>
          <cell r="D23">
            <v>1.1022201665124882</v>
          </cell>
        </row>
        <row r="24">
          <cell r="B24" t="str">
            <v>Ireland</v>
          </cell>
          <cell r="C24">
            <v>6677.58</v>
          </cell>
          <cell r="D24">
            <v>10.978889217717272</v>
          </cell>
        </row>
        <row r="25">
          <cell r="B25" t="str">
            <v>Italy</v>
          </cell>
          <cell r="C25">
            <v>32543</v>
          </cell>
          <cell r="D25">
            <v>4.0787141829411659</v>
          </cell>
        </row>
        <row r="26">
          <cell r="B26" t="str">
            <v>Latvia</v>
          </cell>
          <cell r="C26">
            <v>19680</v>
          </cell>
          <cell r="D26">
            <v>6.2496030485868532</v>
          </cell>
        </row>
        <row r="27">
          <cell r="B27" t="str">
            <v>Liechtenstein</v>
          </cell>
          <cell r="C27">
            <v>25</v>
          </cell>
          <cell r="D27">
            <v>6.25</v>
          </cell>
        </row>
        <row r="28">
          <cell r="B28" t="str">
            <v>Lithuania</v>
          </cell>
          <cell r="C28">
            <v>11030</v>
          </cell>
          <cell r="D28">
            <v>5.9557235421166306</v>
          </cell>
        </row>
        <row r="29">
          <cell r="B29" t="str">
            <v>Luxembourg</v>
          </cell>
          <cell r="C29">
            <v>650</v>
          </cell>
          <cell r="D29">
            <v>7.5493612078977934</v>
          </cell>
        </row>
        <row r="30">
          <cell r="B30" t="str">
            <v>Malta</v>
          </cell>
          <cell r="C30" t="str">
            <v>..</v>
          </cell>
        </row>
        <row r="31">
          <cell r="B31" t="str">
            <v>Monaco</v>
          </cell>
          <cell r="C31" t="str">
            <v>..</v>
          </cell>
        </row>
        <row r="32">
          <cell r="B32" t="str">
            <v>Montenegro</v>
          </cell>
          <cell r="C32">
            <v>2020.2</v>
          </cell>
          <cell r="D32">
            <v>2.9911606627282015</v>
          </cell>
        </row>
        <row r="33">
          <cell r="B33" t="str">
            <v>Netherlands</v>
          </cell>
          <cell r="C33">
            <v>2738</v>
          </cell>
          <cell r="D33">
            <v>9.1633199464524768</v>
          </cell>
        </row>
        <row r="34">
          <cell r="B34" t="str">
            <v>North Macedonia</v>
          </cell>
          <cell r="C34" t="str">
            <v>..</v>
          </cell>
        </row>
        <row r="35">
          <cell r="B35" t="str">
            <v>Norway</v>
          </cell>
          <cell r="C35">
            <v>25750</v>
          </cell>
          <cell r="D35">
            <v>3.0927215950036033</v>
          </cell>
        </row>
        <row r="36">
          <cell r="B36" t="str">
            <v>Poland</v>
          </cell>
          <cell r="C36">
            <v>62300</v>
          </cell>
          <cell r="D36">
            <v>7.6648622047244093</v>
          </cell>
        </row>
        <row r="37">
          <cell r="B37" t="str">
            <v>Portugal</v>
          </cell>
          <cell r="C37" t="str">
            <v>..</v>
          </cell>
        </row>
        <row r="38">
          <cell r="B38" t="str">
            <v>Republic of Moldova</v>
          </cell>
          <cell r="C38">
            <v>1462.32</v>
          </cell>
        </row>
        <row r="39">
          <cell r="B39" t="str">
            <v>Romania</v>
          </cell>
          <cell r="C39">
            <v>29259.98</v>
          </cell>
          <cell r="D39">
            <v>5.684861084126676</v>
          </cell>
        </row>
        <row r="40">
          <cell r="B40" t="str">
            <v>Russian Federation</v>
          </cell>
          <cell r="C40">
            <v>852927</v>
          </cell>
          <cell r="D40">
            <v>1.2594836679126238</v>
          </cell>
        </row>
        <row r="41">
          <cell r="B41" t="str">
            <v>San Marino</v>
          </cell>
          <cell r="C41" t="str">
            <v>..</v>
          </cell>
        </row>
        <row r="42">
          <cell r="B42" t="str">
            <v>Serbia</v>
          </cell>
          <cell r="C42" t="str">
            <v>..</v>
          </cell>
        </row>
        <row r="43">
          <cell r="B43" t="str">
            <v>Slovakia</v>
          </cell>
          <cell r="C43">
            <v>13465</v>
          </cell>
          <cell r="D43">
            <v>7.5688589094997187</v>
          </cell>
        </row>
        <row r="44">
          <cell r="B44" t="str">
            <v>Slovenia</v>
          </cell>
          <cell r="C44">
            <v>9165</v>
          </cell>
          <cell r="D44">
            <v>7.8</v>
          </cell>
        </row>
        <row r="45">
          <cell r="B45" t="str">
            <v>Spain</v>
          </cell>
          <cell r="C45">
            <v>35479.03</v>
          </cell>
          <cell r="D45">
            <v>2.4342721684002524</v>
          </cell>
        </row>
        <row r="46">
          <cell r="B46" t="str">
            <v>Sweden</v>
          </cell>
          <cell r="C46">
            <v>79346.850000000006</v>
          </cell>
          <cell r="D46">
            <v>3.9608249625241667</v>
          </cell>
        </row>
        <row r="47">
          <cell r="B47" t="str">
            <v>Switzerland</v>
          </cell>
          <cell r="C47">
            <v>9001</v>
          </cell>
          <cell r="D47">
            <v>7.544844928751048</v>
          </cell>
        </row>
        <row r="48">
          <cell r="B48" t="str">
            <v>Turkey</v>
          </cell>
          <cell r="C48">
            <v>35664.379999999997</v>
          </cell>
          <cell r="D48">
            <v>4.6481510685133598</v>
          </cell>
        </row>
        <row r="49">
          <cell r="B49" t="str">
            <v>Ukraine</v>
          </cell>
          <cell r="C49">
            <v>45000</v>
          </cell>
          <cell r="D49">
            <v>8.7856306130417803</v>
          </cell>
        </row>
        <row r="50">
          <cell r="B50" t="str">
            <v>United Kingdom</v>
          </cell>
          <cell r="C50">
            <v>23113</v>
          </cell>
          <cell r="D50">
            <v>7.5557371690094799</v>
          </cell>
        </row>
      </sheetData>
      <sheetData sheetId="4" refreshError="1"/>
      <sheetData sheetId="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tems_supply"/>
    </sheetNames>
    <sheetDataSet>
      <sheetData sheetId="0" refreshError="1">
        <row r="2">
          <cell r="A2">
            <v>2666</v>
          </cell>
          <cell r="B2" t="str">
            <v>Abaca</v>
          </cell>
          <cell r="C2" t="str">
            <v>p2666</v>
          </cell>
          <cell r="D2" t="str">
            <v>p057</v>
          </cell>
          <cell r="E2" t="str">
            <v>Abaca production</v>
          </cell>
        </row>
        <row r="3">
          <cell r="A3">
            <v>2108</v>
          </cell>
          <cell r="B3" t="str">
            <v>Acorns</v>
          </cell>
          <cell r="C3" t="str">
            <v>p2108</v>
          </cell>
          <cell r="D3" t="str">
            <v>p128</v>
          </cell>
          <cell r="E3" t="str">
            <v>Acorns production</v>
          </cell>
        </row>
        <row r="4">
          <cell r="A4">
            <v>2101</v>
          </cell>
          <cell r="B4" t="str">
            <v>DDGS</v>
          </cell>
          <cell r="C4" t="str">
            <v>p2101</v>
          </cell>
          <cell r="D4" t="str">
            <v>p084</v>
          </cell>
          <cell r="E4" t="str">
            <v>Alcohol production, Non-Food</v>
          </cell>
        </row>
        <row r="5">
          <cell r="A5">
            <v>2102</v>
          </cell>
          <cell r="B5" t="str">
            <v>DDGS Barley</v>
          </cell>
          <cell r="C5" t="str">
            <v>p2102</v>
          </cell>
          <cell r="D5" t="str">
            <v>p084</v>
          </cell>
          <cell r="E5" t="str">
            <v>Alcohol production, Non-Food</v>
          </cell>
        </row>
        <row r="6">
          <cell r="A6">
            <v>2659</v>
          </cell>
          <cell r="B6" t="str">
            <v>Alcohol, Non-Food</v>
          </cell>
          <cell r="C6" t="str">
            <v>p2659</v>
          </cell>
          <cell r="D6" t="str">
            <v>p084</v>
          </cell>
          <cell r="E6" t="str">
            <v>Alcohol production, Non-Food</v>
          </cell>
        </row>
        <row r="7">
          <cell r="A7">
            <v>2617</v>
          </cell>
          <cell r="B7" t="str">
            <v>Apples and products</v>
          </cell>
          <cell r="C7" t="str">
            <v>p2617</v>
          </cell>
          <cell r="D7" t="str">
            <v>p040</v>
          </cell>
          <cell r="E7" t="str">
            <v>Apples production</v>
          </cell>
        </row>
        <row r="8">
          <cell r="A8">
            <v>2761</v>
          </cell>
          <cell r="B8" t="str">
            <v>Freshwater Fish</v>
          </cell>
          <cell r="C8" t="str">
            <v>p2761</v>
          </cell>
          <cell r="D8" t="str">
            <v>p132</v>
          </cell>
          <cell r="E8" t="str">
            <v>Aquaculture</v>
          </cell>
        </row>
        <row r="9">
          <cell r="A9">
            <v>2762</v>
          </cell>
          <cell r="B9" t="str">
            <v>Demersal Fish</v>
          </cell>
          <cell r="C9" t="str">
            <v>p2762</v>
          </cell>
          <cell r="D9" t="str">
            <v>p132</v>
          </cell>
          <cell r="E9" t="str">
            <v>Aquaculture</v>
          </cell>
        </row>
        <row r="10">
          <cell r="A10">
            <v>2763</v>
          </cell>
          <cell r="B10" t="str">
            <v>Pelagic Fish</v>
          </cell>
          <cell r="C10" t="str">
            <v>p2763</v>
          </cell>
          <cell r="D10" t="str">
            <v>p132</v>
          </cell>
          <cell r="E10" t="str">
            <v>Aquaculture</v>
          </cell>
        </row>
        <row r="11">
          <cell r="A11">
            <v>2764</v>
          </cell>
          <cell r="B11" t="str">
            <v>Marine Fish, Other</v>
          </cell>
          <cell r="C11" t="str">
            <v>p2764</v>
          </cell>
          <cell r="D11" t="str">
            <v>p132</v>
          </cell>
          <cell r="E11" t="str">
            <v>Aquaculture</v>
          </cell>
        </row>
        <row r="12">
          <cell r="A12">
            <v>2765</v>
          </cell>
          <cell r="B12" t="str">
            <v>Crustaceans</v>
          </cell>
          <cell r="C12" t="str">
            <v>p2765</v>
          </cell>
          <cell r="D12" t="str">
            <v>p132</v>
          </cell>
          <cell r="E12" t="str">
            <v>Aquaculture</v>
          </cell>
        </row>
        <row r="13">
          <cell r="A13">
            <v>2766</v>
          </cell>
          <cell r="B13" t="str">
            <v>Cephalopods</v>
          </cell>
          <cell r="C13" t="str">
            <v>p2766</v>
          </cell>
          <cell r="D13" t="str">
            <v>p132</v>
          </cell>
          <cell r="E13" t="str">
            <v>Aquaculture</v>
          </cell>
        </row>
        <row r="14">
          <cell r="A14">
            <v>2767</v>
          </cell>
          <cell r="B14" t="str">
            <v>Molluscs, Other</v>
          </cell>
          <cell r="C14" t="str">
            <v>p2767</v>
          </cell>
          <cell r="D14" t="str">
            <v>p132</v>
          </cell>
          <cell r="E14" t="str">
            <v>Aquaculture</v>
          </cell>
        </row>
        <row r="15">
          <cell r="A15">
            <v>2769</v>
          </cell>
          <cell r="B15" t="str">
            <v>Aquatic Animals, Others</v>
          </cell>
          <cell r="C15" t="str">
            <v>p2769</v>
          </cell>
          <cell r="D15" t="str">
            <v>p132</v>
          </cell>
          <cell r="E15" t="str">
            <v>Aquaculture</v>
          </cell>
        </row>
        <row r="16">
          <cell r="A16">
            <v>2775</v>
          </cell>
          <cell r="B16" t="str">
            <v>Aquatic Plants</v>
          </cell>
          <cell r="C16" t="str">
            <v>p2775</v>
          </cell>
          <cell r="D16" t="str">
            <v>p132</v>
          </cell>
          <cell r="E16" t="str">
            <v>Aquaculture</v>
          </cell>
        </row>
        <row r="17">
          <cell r="A17">
            <v>2781</v>
          </cell>
          <cell r="B17" t="str">
            <v>Fish, Body Oil</v>
          </cell>
          <cell r="C17" t="str">
            <v>p2781</v>
          </cell>
          <cell r="D17" t="str">
            <v>p132</v>
          </cell>
          <cell r="E17" t="str">
            <v>Aquaculture</v>
          </cell>
        </row>
        <row r="18">
          <cell r="A18">
            <v>2782</v>
          </cell>
          <cell r="B18" t="str">
            <v>Fish, Liver Oil</v>
          </cell>
          <cell r="C18" t="str">
            <v>p2782</v>
          </cell>
          <cell r="D18" t="str">
            <v>p132</v>
          </cell>
          <cell r="E18" t="str">
            <v>Aquaculture</v>
          </cell>
        </row>
        <row r="19">
          <cell r="A19">
            <v>2790</v>
          </cell>
          <cell r="B19" t="str">
            <v>Fish meal</v>
          </cell>
          <cell r="C19" t="str">
            <v>p2790</v>
          </cell>
          <cell r="D19" t="str">
            <v>p132</v>
          </cell>
          <cell r="E19" t="str">
            <v>Aquaculture</v>
          </cell>
        </row>
        <row r="20">
          <cell r="A20">
            <v>1107</v>
          </cell>
          <cell r="B20" t="str">
            <v>Asses</v>
          </cell>
          <cell r="C20" t="str">
            <v>p1107</v>
          </cell>
          <cell r="D20" t="str">
            <v>p092</v>
          </cell>
          <cell r="E20" t="str">
            <v>Asses husbandry</v>
          </cell>
        </row>
        <row r="21">
          <cell r="A21">
            <v>2735</v>
          </cell>
          <cell r="B21" t="str">
            <v>Meat, Other</v>
          </cell>
          <cell r="C21" t="str">
            <v>p2735</v>
          </cell>
          <cell r="D21" t="str">
            <v>p092</v>
          </cell>
          <cell r="E21" t="str">
            <v>Asses husbandry</v>
          </cell>
        </row>
        <row r="22">
          <cell r="A22">
            <v>2736</v>
          </cell>
          <cell r="B22" t="str">
            <v>Offals, Edible</v>
          </cell>
          <cell r="C22" t="str">
            <v>p2736</v>
          </cell>
          <cell r="D22" t="str">
            <v>p092</v>
          </cell>
          <cell r="E22" t="str">
            <v>Asses husbandry</v>
          </cell>
        </row>
        <row r="23">
          <cell r="A23">
            <v>4000</v>
          </cell>
          <cell r="B23" t="str">
            <v>Animal draught</v>
          </cell>
          <cell r="C23" t="str">
            <v>p4000</v>
          </cell>
          <cell r="D23" t="str">
            <v>p092</v>
          </cell>
          <cell r="E23" t="str">
            <v>Asses husbandry</v>
          </cell>
        </row>
        <row r="24">
          <cell r="A24">
            <v>2615</v>
          </cell>
          <cell r="B24" t="str">
            <v>Bananas</v>
          </cell>
          <cell r="C24" t="str">
            <v>p2615</v>
          </cell>
          <cell r="D24" t="str">
            <v>p038</v>
          </cell>
          <cell r="E24" t="str">
            <v>Bananas production</v>
          </cell>
        </row>
        <row r="25">
          <cell r="A25">
            <v>2513</v>
          </cell>
          <cell r="B25" t="str">
            <v>Barley and products</v>
          </cell>
          <cell r="C25" t="str">
            <v>p2513</v>
          </cell>
          <cell r="D25" t="str">
            <v>p003</v>
          </cell>
          <cell r="E25" t="str">
            <v>Barley production</v>
          </cell>
        </row>
        <row r="26">
          <cell r="A26">
            <v>2546</v>
          </cell>
          <cell r="B26" t="str">
            <v>Beans</v>
          </cell>
          <cell r="C26" t="str">
            <v>p2546</v>
          </cell>
          <cell r="D26" t="str">
            <v>p017</v>
          </cell>
          <cell r="E26" t="str">
            <v>Beans production</v>
          </cell>
        </row>
        <row r="27">
          <cell r="A27">
            <v>1181</v>
          </cell>
          <cell r="B27" t="str">
            <v>Bees</v>
          </cell>
          <cell r="C27" t="str">
            <v>p1181</v>
          </cell>
          <cell r="D27" t="str">
            <v>p114</v>
          </cell>
          <cell r="E27" t="str">
            <v>Beekeeping</v>
          </cell>
        </row>
        <row r="28">
          <cell r="A28">
            <v>1183</v>
          </cell>
          <cell r="B28" t="str">
            <v>Beeswax</v>
          </cell>
          <cell r="C28" t="str">
            <v>p1183</v>
          </cell>
          <cell r="D28" t="str">
            <v>p114</v>
          </cell>
          <cell r="E28" t="str">
            <v>Beekeeping</v>
          </cell>
        </row>
        <row r="29">
          <cell r="A29">
            <v>2745</v>
          </cell>
          <cell r="B29" t="str">
            <v>Honey</v>
          </cell>
          <cell r="C29" t="str">
            <v>p2745</v>
          </cell>
          <cell r="D29" t="str">
            <v>p114</v>
          </cell>
          <cell r="E29" t="str">
            <v>Beekeeping</v>
          </cell>
        </row>
        <row r="30">
          <cell r="A30">
            <v>2101</v>
          </cell>
          <cell r="B30" t="str">
            <v>DDGS</v>
          </cell>
          <cell r="C30" t="str">
            <v>p2101</v>
          </cell>
          <cell r="D30" t="str">
            <v>p081</v>
          </cell>
          <cell r="E30" t="str">
            <v>Beer production</v>
          </cell>
        </row>
        <row r="31">
          <cell r="A31">
            <v>2102</v>
          </cell>
          <cell r="B31" t="str">
            <v>DDGS Barley</v>
          </cell>
          <cell r="C31" t="str">
            <v>p2102</v>
          </cell>
          <cell r="D31" t="str">
            <v>p081</v>
          </cell>
          <cell r="E31" t="str">
            <v>Beer production</v>
          </cell>
        </row>
        <row r="32">
          <cell r="A32">
            <v>2656</v>
          </cell>
          <cell r="B32" t="str">
            <v>Beer</v>
          </cell>
          <cell r="C32" t="str">
            <v>p2656</v>
          </cell>
          <cell r="D32" t="str">
            <v>p081</v>
          </cell>
          <cell r="E32" t="str">
            <v>Beer production</v>
          </cell>
        </row>
        <row r="33">
          <cell r="A33">
            <v>2101</v>
          </cell>
          <cell r="B33" t="str">
            <v>DDGS</v>
          </cell>
          <cell r="C33" t="str">
            <v>p2101</v>
          </cell>
          <cell r="D33" t="str">
            <v>p083</v>
          </cell>
          <cell r="E33" t="str">
            <v>Beverages production, Alcoholic</v>
          </cell>
        </row>
        <row r="34">
          <cell r="A34">
            <v>2102</v>
          </cell>
          <cell r="B34" t="str">
            <v>DDGS Barley</v>
          </cell>
          <cell r="C34" t="str">
            <v>p2102</v>
          </cell>
          <cell r="D34" t="str">
            <v>p083</v>
          </cell>
          <cell r="E34" t="str">
            <v>Beverages production, Alcoholic</v>
          </cell>
        </row>
        <row r="35">
          <cell r="A35">
            <v>2658</v>
          </cell>
          <cell r="B35" t="str">
            <v>Beverages, Alcoholic</v>
          </cell>
          <cell r="C35" t="str">
            <v>p2658</v>
          </cell>
          <cell r="D35" t="str">
            <v>p083</v>
          </cell>
          <cell r="E35" t="str">
            <v>Beverages production, Alcoholic</v>
          </cell>
        </row>
        <row r="36">
          <cell r="A36">
            <v>2101</v>
          </cell>
          <cell r="B36" t="str">
            <v>DDGS</v>
          </cell>
          <cell r="C36" t="str">
            <v>p2101</v>
          </cell>
          <cell r="D36" t="str">
            <v>p082</v>
          </cell>
          <cell r="E36" t="str">
            <v>Beverages production, Fermented</v>
          </cell>
        </row>
        <row r="37">
          <cell r="A37">
            <v>2102</v>
          </cell>
          <cell r="B37" t="str">
            <v>DDGS Barley</v>
          </cell>
          <cell r="C37" t="str">
            <v>p2102</v>
          </cell>
          <cell r="D37" t="str">
            <v>p082</v>
          </cell>
          <cell r="E37" t="str">
            <v>Beverages production, Fermented</v>
          </cell>
        </row>
        <row r="38">
          <cell r="A38">
            <v>2657</v>
          </cell>
          <cell r="B38" t="str">
            <v>Beverages, Fermented</v>
          </cell>
          <cell r="C38" t="str">
            <v>p2657</v>
          </cell>
          <cell r="D38" t="str">
            <v>p082</v>
          </cell>
          <cell r="E38" t="str">
            <v>Beverages production, Fermented</v>
          </cell>
        </row>
        <row r="39">
          <cell r="A39">
            <v>1053</v>
          </cell>
          <cell r="B39" t="str">
            <v>Chickens, broilers</v>
          </cell>
          <cell r="C39" t="str">
            <v>p1053</v>
          </cell>
          <cell r="D39" t="str">
            <v>p109</v>
          </cell>
          <cell r="E39" t="str">
            <v>Broilers chickens farming</v>
          </cell>
        </row>
        <row r="40">
          <cell r="A40">
            <v>2734</v>
          </cell>
          <cell r="B40" t="str">
            <v>Poultry Meat</v>
          </cell>
          <cell r="C40" t="str">
            <v>p2734</v>
          </cell>
          <cell r="D40" t="str">
            <v>p109</v>
          </cell>
          <cell r="E40" t="str">
            <v>Broilers chickens farming</v>
          </cell>
        </row>
        <row r="41">
          <cell r="A41">
            <v>946</v>
          </cell>
          <cell r="B41" t="str">
            <v>Buffaloes</v>
          </cell>
          <cell r="C41" t="str">
            <v>p946</v>
          </cell>
          <cell r="D41" t="str">
            <v>p086</v>
          </cell>
          <cell r="E41" t="str">
            <v>Buffaloes husbandry</v>
          </cell>
        </row>
        <row r="42">
          <cell r="A42">
            <v>2731</v>
          </cell>
          <cell r="B42" t="str">
            <v>Bovine Meat</v>
          </cell>
          <cell r="C42" t="str">
            <v>p2731</v>
          </cell>
          <cell r="D42" t="str">
            <v>p086</v>
          </cell>
          <cell r="E42" t="str">
            <v>Buffaloes husbandry</v>
          </cell>
        </row>
        <row r="43">
          <cell r="A43">
            <v>2736</v>
          </cell>
          <cell r="B43" t="str">
            <v>Offals, Edible</v>
          </cell>
          <cell r="C43" t="str">
            <v>p2736</v>
          </cell>
          <cell r="D43" t="str">
            <v>p086</v>
          </cell>
          <cell r="E43" t="str">
            <v>Buffaloes husbandry</v>
          </cell>
        </row>
        <row r="44">
          <cell r="A44">
            <v>2737</v>
          </cell>
          <cell r="B44" t="str">
            <v>Fats, Animals, Raw</v>
          </cell>
          <cell r="C44" t="str">
            <v>p2737</v>
          </cell>
          <cell r="D44" t="str">
            <v>p086</v>
          </cell>
          <cell r="E44" t="str">
            <v>Buffaloes husbandry</v>
          </cell>
        </row>
        <row r="45">
          <cell r="A45">
            <v>2748</v>
          </cell>
          <cell r="B45" t="str">
            <v>Hides and skins</v>
          </cell>
          <cell r="C45" t="str">
            <v>p2748</v>
          </cell>
          <cell r="D45" t="str">
            <v>p086</v>
          </cell>
          <cell r="E45" t="str">
            <v>Buffaloes husbandry</v>
          </cell>
        </row>
        <row r="46">
          <cell r="A46">
            <v>2848</v>
          </cell>
          <cell r="B46" t="str">
            <v>Milk - Excluding Butter</v>
          </cell>
          <cell r="C46" t="str">
            <v>p2848</v>
          </cell>
          <cell r="D46" t="str">
            <v>p086</v>
          </cell>
          <cell r="E46" t="str">
            <v>Buffaloes husbandry</v>
          </cell>
        </row>
        <row r="47">
          <cell r="A47">
            <v>4000</v>
          </cell>
          <cell r="B47" t="str">
            <v>Animal draught</v>
          </cell>
          <cell r="C47" t="str">
            <v>p4000</v>
          </cell>
          <cell r="D47" t="str">
            <v>p086</v>
          </cell>
          <cell r="E47" t="str">
            <v>Buffaloes husbandry</v>
          </cell>
        </row>
        <row r="48">
          <cell r="A48">
            <v>2740</v>
          </cell>
          <cell r="B48" t="str">
            <v>Butter, Ghee</v>
          </cell>
          <cell r="C48" t="str">
            <v>p2740</v>
          </cell>
          <cell r="D48" t="str">
            <v>p116</v>
          </cell>
          <cell r="E48" t="str">
            <v>Butter production</v>
          </cell>
        </row>
        <row r="49">
          <cell r="A49">
            <v>1157</v>
          </cell>
          <cell r="B49" t="str">
            <v>Camelids, other</v>
          </cell>
          <cell r="C49" t="str">
            <v>p1157</v>
          </cell>
          <cell r="D49" t="str">
            <v>p095</v>
          </cell>
          <cell r="E49" t="str">
            <v>Camelids husbandry, other</v>
          </cell>
        </row>
        <row r="50">
          <cell r="A50">
            <v>2735</v>
          </cell>
          <cell r="B50" t="str">
            <v>Meat, Other</v>
          </cell>
          <cell r="C50" t="str">
            <v>p2735</v>
          </cell>
          <cell r="D50" t="str">
            <v>p095</v>
          </cell>
          <cell r="E50" t="str">
            <v>Camelids husbandry, other</v>
          </cell>
        </row>
        <row r="51">
          <cell r="A51">
            <v>2736</v>
          </cell>
          <cell r="B51" t="str">
            <v>Offals, Edible</v>
          </cell>
          <cell r="C51" t="str">
            <v>p2736</v>
          </cell>
          <cell r="D51" t="str">
            <v>p095</v>
          </cell>
          <cell r="E51" t="str">
            <v>Camelids husbandry, other</v>
          </cell>
        </row>
        <row r="52">
          <cell r="A52">
            <v>4000</v>
          </cell>
          <cell r="B52" t="str">
            <v>Animal draught</v>
          </cell>
          <cell r="C52" t="str">
            <v>p4000</v>
          </cell>
          <cell r="D52" t="str">
            <v>p095</v>
          </cell>
          <cell r="E52" t="str">
            <v>Camelids husbandry, other</v>
          </cell>
        </row>
        <row r="53">
          <cell r="A53">
            <v>1126</v>
          </cell>
          <cell r="B53" t="str">
            <v>Camels</v>
          </cell>
          <cell r="C53" t="str">
            <v>p1126</v>
          </cell>
          <cell r="D53" t="str">
            <v>p094</v>
          </cell>
          <cell r="E53" t="str">
            <v>Camels husbandry</v>
          </cell>
        </row>
        <row r="54">
          <cell r="A54">
            <v>2735</v>
          </cell>
          <cell r="B54" t="str">
            <v>Meat, Other</v>
          </cell>
          <cell r="C54" t="str">
            <v>p2735</v>
          </cell>
          <cell r="D54" t="str">
            <v>p094</v>
          </cell>
          <cell r="E54" t="str">
            <v>Camels husbandry</v>
          </cell>
        </row>
        <row r="55">
          <cell r="A55">
            <v>2736</v>
          </cell>
          <cell r="B55" t="str">
            <v>Offals, Edible</v>
          </cell>
          <cell r="C55" t="str">
            <v>p2736</v>
          </cell>
          <cell r="D55" t="str">
            <v>p094</v>
          </cell>
          <cell r="E55" t="str">
            <v>Camels husbandry</v>
          </cell>
        </row>
        <row r="56">
          <cell r="A56">
            <v>2737</v>
          </cell>
          <cell r="B56" t="str">
            <v>Fats, Animals, Raw</v>
          </cell>
          <cell r="C56" t="str">
            <v>p2737</v>
          </cell>
          <cell r="D56" t="str">
            <v>p094</v>
          </cell>
          <cell r="E56" t="str">
            <v>Camels husbandry</v>
          </cell>
        </row>
        <row r="57">
          <cell r="A57">
            <v>2848</v>
          </cell>
          <cell r="B57" t="str">
            <v>Milk - Excluding Butter</v>
          </cell>
          <cell r="C57" t="str">
            <v>p2848</v>
          </cell>
          <cell r="D57" t="str">
            <v>p094</v>
          </cell>
          <cell r="E57" t="str">
            <v>Camels husbandry</v>
          </cell>
        </row>
        <row r="58">
          <cell r="A58">
            <v>4000</v>
          </cell>
          <cell r="B58" t="str">
            <v>Animal draught</v>
          </cell>
          <cell r="C58" t="str">
            <v>p4000</v>
          </cell>
          <cell r="D58" t="str">
            <v>p094</v>
          </cell>
          <cell r="E58" t="str">
            <v>Camels husbandry</v>
          </cell>
        </row>
        <row r="59">
          <cell r="A59">
            <v>2532</v>
          </cell>
          <cell r="B59" t="str">
            <v>Cassava and products</v>
          </cell>
          <cell r="C59" t="str">
            <v>p2532</v>
          </cell>
          <cell r="D59" t="str">
            <v>p011</v>
          </cell>
          <cell r="E59" t="str">
            <v>Cassava production</v>
          </cell>
        </row>
        <row r="60">
          <cell r="A60">
            <v>2520</v>
          </cell>
          <cell r="B60" t="str">
            <v>Cereals, Other</v>
          </cell>
          <cell r="C60" t="str">
            <v>p2520</v>
          </cell>
          <cell r="D60" t="str">
            <v>p009</v>
          </cell>
          <cell r="E60" t="str">
            <v>Cereals production, Other</v>
          </cell>
        </row>
        <row r="61">
          <cell r="A61">
            <v>2614</v>
          </cell>
          <cell r="B61" t="str">
            <v>Citrus, Other</v>
          </cell>
          <cell r="C61" t="str">
            <v>p2614</v>
          </cell>
          <cell r="D61" t="str">
            <v>p037</v>
          </cell>
          <cell r="E61" t="str">
            <v>Citrus production, Other</v>
          </cell>
        </row>
        <row r="62">
          <cell r="A62">
            <v>2642</v>
          </cell>
          <cell r="B62" t="str">
            <v>Cloves</v>
          </cell>
          <cell r="C62" t="str">
            <v>p2642</v>
          </cell>
          <cell r="D62" t="str">
            <v>p051</v>
          </cell>
          <cell r="E62" t="str">
            <v>Cloves production</v>
          </cell>
        </row>
        <row r="63">
          <cell r="A63">
            <v>2633</v>
          </cell>
          <cell r="B63" t="str">
            <v>Cocoa Beans and products</v>
          </cell>
          <cell r="C63" t="str">
            <v>p2633</v>
          </cell>
          <cell r="D63" t="str">
            <v>p046</v>
          </cell>
          <cell r="E63" t="str">
            <v>Cocoa Beans production</v>
          </cell>
        </row>
        <row r="64">
          <cell r="A64">
            <v>2578</v>
          </cell>
          <cell r="B64" t="str">
            <v>Coconut Oil</v>
          </cell>
          <cell r="C64" t="str">
            <v>p2578</v>
          </cell>
          <cell r="D64" t="str">
            <v>p074</v>
          </cell>
          <cell r="E64" t="str">
            <v>Coconut Oil extraction</v>
          </cell>
        </row>
        <row r="65">
          <cell r="A65">
            <v>2596</v>
          </cell>
          <cell r="B65" t="str">
            <v>Copra Cake</v>
          </cell>
          <cell r="C65" t="str">
            <v>p2596</v>
          </cell>
          <cell r="D65" t="str">
            <v>p074</v>
          </cell>
          <cell r="E65" t="str">
            <v>Coconut Oil extraction</v>
          </cell>
        </row>
        <row r="66">
          <cell r="A66">
            <v>2560</v>
          </cell>
          <cell r="B66" t="str">
            <v>Coconuts - Incl Copra</v>
          </cell>
          <cell r="C66" t="str">
            <v>p2560</v>
          </cell>
          <cell r="D66" t="str">
            <v>p026</v>
          </cell>
          <cell r="E66" t="str">
            <v>Coconuts production</v>
          </cell>
        </row>
        <row r="67">
          <cell r="A67">
            <v>2667</v>
          </cell>
          <cell r="B67" t="str">
            <v>Hard Fibres, Other</v>
          </cell>
          <cell r="C67" t="str">
            <v>p2667</v>
          </cell>
          <cell r="D67" t="str">
            <v>p026</v>
          </cell>
          <cell r="E67" t="str">
            <v>Coconuts production</v>
          </cell>
        </row>
        <row r="68">
          <cell r="A68">
            <v>248</v>
          </cell>
          <cell r="B68" t="str">
            <v>Coconuts</v>
          </cell>
          <cell r="C68" t="str">
            <v>p248</v>
          </cell>
          <cell r="D68" t="str">
            <v>p026</v>
          </cell>
          <cell r="E68" t="str">
            <v>Coconuts production</v>
          </cell>
        </row>
        <row r="69">
          <cell r="A69">
            <v>248</v>
          </cell>
          <cell r="B69" t="str">
            <v>Coconuts</v>
          </cell>
          <cell r="C69" t="str">
            <v>p248</v>
          </cell>
          <cell r="D69" t="str">
            <v>p117</v>
          </cell>
          <cell r="E69" t="str">
            <v>Coconuts production</v>
          </cell>
        </row>
        <row r="70">
          <cell r="A70">
            <v>2630</v>
          </cell>
          <cell r="B70" t="str">
            <v>Coffee and products</v>
          </cell>
          <cell r="C70" t="str">
            <v>p2630</v>
          </cell>
          <cell r="D70" t="str">
            <v>p045</v>
          </cell>
          <cell r="E70" t="str">
            <v>Coffee production</v>
          </cell>
        </row>
        <row r="71">
          <cell r="A71">
            <v>2559</v>
          </cell>
          <cell r="B71" t="str">
            <v>Cottonseed</v>
          </cell>
          <cell r="C71" t="str">
            <v>p2559</v>
          </cell>
          <cell r="D71" t="str">
            <v>p025</v>
          </cell>
          <cell r="E71" t="str">
            <v>Cotton production</v>
          </cell>
        </row>
        <row r="72">
          <cell r="A72">
            <v>2661</v>
          </cell>
          <cell r="B72" t="str">
            <v>Cotton lint</v>
          </cell>
          <cell r="C72" t="str">
            <v>p2661</v>
          </cell>
          <cell r="D72" t="str">
            <v>p025</v>
          </cell>
          <cell r="E72" t="str">
            <v>Cotton production</v>
          </cell>
        </row>
        <row r="73">
          <cell r="A73">
            <v>328</v>
          </cell>
          <cell r="B73" t="str">
            <v>Seed cotton, unginned</v>
          </cell>
          <cell r="C73" t="str">
            <v>p328</v>
          </cell>
          <cell r="D73" t="str">
            <v>p025</v>
          </cell>
          <cell r="E73" t="str">
            <v>Cotton production</v>
          </cell>
        </row>
        <row r="74">
          <cell r="A74">
            <v>2575</v>
          </cell>
          <cell r="B74" t="str">
            <v>Cottonseed Oil</v>
          </cell>
          <cell r="C74" t="str">
            <v>p2575</v>
          </cell>
          <cell r="D74" t="str">
            <v>p071</v>
          </cell>
          <cell r="E74" t="str">
            <v>Cottonseed Oil extraction</v>
          </cell>
        </row>
        <row r="75">
          <cell r="A75">
            <v>2594</v>
          </cell>
          <cell r="B75" t="str">
            <v>Cottonseed Cake</v>
          </cell>
          <cell r="C75" t="str">
            <v>p2594</v>
          </cell>
          <cell r="D75" t="str">
            <v>p071</v>
          </cell>
          <cell r="E75" t="str">
            <v>Cottonseed Oil extraction</v>
          </cell>
        </row>
        <row r="76">
          <cell r="A76">
            <v>960</v>
          </cell>
          <cell r="B76" t="str">
            <v>Cattle, dairy</v>
          </cell>
          <cell r="C76" t="str">
            <v>p960</v>
          </cell>
          <cell r="D76" t="str">
            <v>p099</v>
          </cell>
          <cell r="E76" t="str">
            <v>Dairy cattle husbandry</v>
          </cell>
        </row>
        <row r="77">
          <cell r="A77">
            <v>2848</v>
          </cell>
          <cell r="B77" t="str">
            <v>Milk - Excluding Butter</v>
          </cell>
          <cell r="C77" t="str">
            <v>p2848</v>
          </cell>
          <cell r="D77" t="str">
            <v>p099</v>
          </cell>
          <cell r="E77" t="str">
            <v>Dairy cattle husbandry</v>
          </cell>
        </row>
        <row r="78">
          <cell r="A78">
            <v>4000</v>
          </cell>
          <cell r="B78" t="str">
            <v>Animal draught</v>
          </cell>
          <cell r="C78" t="str">
            <v>p4000</v>
          </cell>
          <cell r="D78" t="str">
            <v>p099</v>
          </cell>
          <cell r="E78" t="str">
            <v>Dairy cattle husbandry</v>
          </cell>
        </row>
        <row r="79">
          <cell r="A79">
            <v>2619</v>
          </cell>
          <cell r="B79" t="str">
            <v>Dates</v>
          </cell>
          <cell r="C79" t="str">
            <v>p2619</v>
          </cell>
          <cell r="D79" t="str">
            <v>p042</v>
          </cell>
          <cell r="E79" t="str">
            <v>Dates production</v>
          </cell>
        </row>
        <row r="80">
          <cell r="A80">
            <v>3003</v>
          </cell>
          <cell r="B80" t="str">
            <v>Fallow</v>
          </cell>
          <cell r="C80" t="str">
            <v>p3003</v>
          </cell>
          <cell r="D80" t="str">
            <v>p129</v>
          </cell>
          <cell r="E80" t="str">
            <v>Fallowing</v>
          </cell>
        </row>
        <row r="81">
          <cell r="A81">
            <v>2761</v>
          </cell>
          <cell r="B81" t="str">
            <v>Freshwater Fish</v>
          </cell>
          <cell r="C81" t="str">
            <v>p2761</v>
          </cell>
          <cell r="D81" t="str">
            <v>p133</v>
          </cell>
          <cell r="E81" t="str">
            <v>Fishing</v>
          </cell>
        </row>
        <row r="82">
          <cell r="A82">
            <v>2762</v>
          </cell>
          <cell r="B82" t="str">
            <v>Demersal Fish</v>
          </cell>
          <cell r="C82" t="str">
            <v>p2762</v>
          </cell>
          <cell r="D82" t="str">
            <v>p133</v>
          </cell>
          <cell r="E82" t="str">
            <v>Fishing</v>
          </cell>
        </row>
        <row r="83">
          <cell r="A83">
            <v>2763</v>
          </cell>
          <cell r="B83" t="str">
            <v>Pelagic Fish</v>
          </cell>
          <cell r="C83" t="str">
            <v>p2763</v>
          </cell>
          <cell r="D83" t="str">
            <v>p133</v>
          </cell>
          <cell r="E83" t="str">
            <v>Fishing</v>
          </cell>
        </row>
        <row r="84">
          <cell r="A84">
            <v>2764</v>
          </cell>
          <cell r="B84" t="str">
            <v>Marine Fish, Other</v>
          </cell>
          <cell r="C84" t="str">
            <v>p2764</v>
          </cell>
          <cell r="D84" t="str">
            <v>p133</v>
          </cell>
          <cell r="E84" t="str">
            <v>Fishing</v>
          </cell>
        </row>
        <row r="85">
          <cell r="A85">
            <v>2765</v>
          </cell>
          <cell r="B85" t="str">
            <v>Crustaceans</v>
          </cell>
          <cell r="C85" t="str">
            <v>p2765</v>
          </cell>
          <cell r="D85" t="str">
            <v>p133</v>
          </cell>
          <cell r="E85" t="str">
            <v>Fishing</v>
          </cell>
        </row>
        <row r="86">
          <cell r="A86">
            <v>2766</v>
          </cell>
          <cell r="B86" t="str">
            <v>Cephalopods</v>
          </cell>
          <cell r="C86" t="str">
            <v>p2766</v>
          </cell>
          <cell r="D86" t="str">
            <v>p133</v>
          </cell>
          <cell r="E86" t="str">
            <v>Fishing</v>
          </cell>
        </row>
        <row r="87">
          <cell r="A87">
            <v>2767</v>
          </cell>
          <cell r="B87" t="str">
            <v>Molluscs, Other</v>
          </cell>
          <cell r="C87" t="str">
            <v>p2767</v>
          </cell>
          <cell r="D87" t="str">
            <v>p133</v>
          </cell>
          <cell r="E87" t="str">
            <v>Fishing</v>
          </cell>
        </row>
        <row r="88">
          <cell r="A88">
            <v>2769</v>
          </cell>
          <cell r="B88" t="str">
            <v>Aquatic Animals, Others</v>
          </cell>
          <cell r="C88" t="str">
            <v>p2769</v>
          </cell>
          <cell r="D88" t="str">
            <v>p133</v>
          </cell>
          <cell r="E88" t="str">
            <v>Fishing</v>
          </cell>
        </row>
        <row r="89">
          <cell r="A89">
            <v>2775</v>
          </cell>
          <cell r="B89" t="str">
            <v>Aquatic Plants</v>
          </cell>
          <cell r="C89" t="str">
            <v>p2775</v>
          </cell>
          <cell r="D89" t="str">
            <v>p133</v>
          </cell>
          <cell r="E89" t="str">
            <v>Fishing</v>
          </cell>
        </row>
        <row r="90">
          <cell r="A90">
            <v>2781</v>
          </cell>
          <cell r="B90" t="str">
            <v>Fish, Body Oil</v>
          </cell>
          <cell r="C90" t="str">
            <v>p2781</v>
          </cell>
          <cell r="D90" t="str">
            <v>p133</v>
          </cell>
          <cell r="E90" t="str">
            <v>Fishing</v>
          </cell>
        </row>
        <row r="91">
          <cell r="A91">
            <v>2782</v>
          </cell>
          <cell r="B91" t="str">
            <v>Fish, Liver Oil</v>
          </cell>
          <cell r="C91" t="str">
            <v>p2782</v>
          </cell>
          <cell r="D91" t="str">
            <v>p133</v>
          </cell>
          <cell r="E91" t="str">
            <v>Fishing</v>
          </cell>
        </row>
        <row r="92">
          <cell r="A92">
            <v>2790</v>
          </cell>
          <cell r="B92" t="str">
            <v>Fish meal</v>
          </cell>
          <cell r="C92" t="str">
            <v>p2790</v>
          </cell>
          <cell r="D92" t="str">
            <v>p133</v>
          </cell>
          <cell r="E92" t="str">
            <v>Fishing</v>
          </cell>
        </row>
        <row r="93">
          <cell r="A93">
            <v>2690</v>
          </cell>
          <cell r="B93" t="str">
            <v>Flowers</v>
          </cell>
          <cell r="C93" t="str">
            <v>p2690</v>
          </cell>
          <cell r="D93" t="str">
            <v>p126</v>
          </cell>
          <cell r="E93" t="str">
            <v>Flowers production</v>
          </cell>
        </row>
        <row r="94">
          <cell r="A94">
            <v>2000</v>
          </cell>
          <cell r="B94" t="str">
            <v>Fodder cereal and grasses</v>
          </cell>
          <cell r="C94" t="str">
            <v>p2000</v>
          </cell>
          <cell r="D94" t="str">
            <v>p061</v>
          </cell>
          <cell r="E94" t="str">
            <v>Fodder cereals and grasses production</v>
          </cell>
        </row>
        <row r="95">
          <cell r="A95">
            <v>2001</v>
          </cell>
          <cell r="B95" t="str">
            <v>Fodder legumes</v>
          </cell>
          <cell r="C95" t="str">
            <v>p2001</v>
          </cell>
          <cell r="D95" t="str">
            <v>p118</v>
          </cell>
          <cell r="E95" t="str">
            <v>Fodder legumes production</v>
          </cell>
        </row>
        <row r="96">
          <cell r="A96">
            <v>2003</v>
          </cell>
          <cell r="B96" t="str">
            <v>Fodder mix</v>
          </cell>
          <cell r="C96" t="str">
            <v>p2003</v>
          </cell>
          <cell r="D96" t="str">
            <v>p119</v>
          </cell>
          <cell r="E96" t="str">
            <v>Fodder mix production</v>
          </cell>
        </row>
        <row r="97">
          <cell r="A97">
            <v>2002</v>
          </cell>
          <cell r="B97" t="str">
            <v>Fodder vegetables and roots</v>
          </cell>
          <cell r="C97" t="str">
            <v>p2002</v>
          </cell>
          <cell r="D97" t="str">
            <v>p120</v>
          </cell>
          <cell r="E97" t="str">
            <v>Fodder vegetables and roots production</v>
          </cell>
        </row>
        <row r="98">
          <cell r="A98">
            <v>2107</v>
          </cell>
          <cell r="B98" t="str">
            <v>Firewood</v>
          </cell>
          <cell r="C98" t="str">
            <v>p2107</v>
          </cell>
          <cell r="D98" t="str">
            <v>p131</v>
          </cell>
          <cell r="E98" t="str">
            <v>Forestry</v>
          </cell>
        </row>
        <row r="99">
          <cell r="A99">
            <v>3004</v>
          </cell>
          <cell r="B99" t="str">
            <v>Wood</v>
          </cell>
          <cell r="C99" t="str">
            <v>p3004</v>
          </cell>
          <cell r="D99" t="str">
            <v>p131</v>
          </cell>
          <cell r="E99" t="str">
            <v>Forestry</v>
          </cell>
        </row>
        <row r="100">
          <cell r="A100">
            <v>2625</v>
          </cell>
          <cell r="B100" t="str">
            <v>Fruits, Other</v>
          </cell>
          <cell r="C100" t="str">
            <v>p2625</v>
          </cell>
          <cell r="D100" t="str">
            <v>p044</v>
          </cell>
          <cell r="E100" t="str">
            <v>Fruits production, Other</v>
          </cell>
        </row>
        <row r="101">
          <cell r="A101">
            <v>1016</v>
          </cell>
          <cell r="B101" t="str">
            <v>Goats</v>
          </cell>
          <cell r="C101" t="str">
            <v>p1016</v>
          </cell>
          <cell r="D101" t="str">
            <v>p088</v>
          </cell>
          <cell r="E101" t="str">
            <v>Goats husbandry</v>
          </cell>
        </row>
        <row r="102">
          <cell r="A102">
            <v>2732</v>
          </cell>
          <cell r="B102" t="str">
            <v>Mutton &amp; Goat Meat</v>
          </cell>
          <cell r="C102" t="str">
            <v>p2732</v>
          </cell>
          <cell r="D102" t="str">
            <v>p088</v>
          </cell>
          <cell r="E102" t="str">
            <v>Goats husbandry</v>
          </cell>
        </row>
        <row r="103">
          <cell r="A103">
            <v>2736</v>
          </cell>
          <cell r="B103" t="str">
            <v>Offals, Edible</v>
          </cell>
          <cell r="C103" t="str">
            <v>p2736</v>
          </cell>
          <cell r="D103" t="str">
            <v>p088</v>
          </cell>
          <cell r="E103" t="str">
            <v>Goats husbandry</v>
          </cell>
        </row>
        <row r="104">
          <cell r="A104">
            <v>2737</v>
          </cell>
          <cell r="B104" t="str">
            <v>Fats, Animals, Raw</v>
          </cell>
          <cell r="C104" t="str">
            <v>p2737</v>
          </cell>
          <cell r="D104" t="str">
            <v>p088</v>
          </cell>
          <cell r="E104" t="str">
            <v>Goats husbandry</v>
          </cell>
        </row>
        <row r="105">
          <cell r="A105">
            <v>2748</v>
          </cell>
          <cell r="B105" t="str">
            <v>Hides and skins</v>
          </cell>
          <cell r="C105" t="str">
            <v>p2748</v>
          </cell>
          <cell r="D105" t="str">
            <v>p088</v>
          </cell>
          <cell r="E105" t="str">
            <v>Goats husbandry</v>
          </cell>
        </row>
        <row r="106">
          <cell r="A106">
            <v>2848</v>
          </cell>
          <cell r="B106" t="str">
            <v>Milk - Excluding Butter</v>
          </cell>
          <cell r="C106" t="str">
            <v>p2848</v>
          </cell>
          <cell r="D106" t="str">
            <v>p088</v>
          </cell>
          <cell r="E106" t="str">
            <v>Goats husbandry</v>
          </cell>
        </row>
        <row r="107">
          <cell r="A107">
            <v>2613</v>
          </cell>
          <cell r="B107" t="str">
            <v>Grapefruit and products</v>
          </cell>
          <cell r="C107" t="str">
            <v>p2613</v>
          </cell>
          <cell r="D107" t="str">
            <v>p036</v>
          </cell>
          <cell r="E107" t="str">
            <v>Grapefruit production</v>
          </cell>
        </row>
        <row r="108">
          <cell r="A108">
            <v>2620</v>
          </cell>
          <cell r="B108" t="str">
            <v>Grapes and products (excl wine)</v>
          </cell>
          <cell r="C108" t="str">
            <v>p2620</v>
          </cell>
          <cell r="D108" t="str">
            <v>p043</v>
          </cell>
          <cell r="E108" t="str">
            <v>Grapes production</v>
          </cell>
        </row>
        <row r="109">
          <cell r="A109">
            <v>3000</v>
          </cell>
          <cell r="B109" t="str">
            <v>Grassland</v>
          </cell>
          <cell r="C109" t="str">
            <v>p3000</v>
          </cell>
          <cell r="D109" t="str">
            <v>p130</v>
          </cell>
          <cell r="E109" t="str">
            <v>Grassland production</v>
          </cell>
        </row>
        <row r="110">
          <cell r="A110">
            <v>2572</v>
          </cell>
          <cell r="B110" t="str">
            <v>Groundnut Oil</v>
          </cell>
          <cell r="C110" t="str">
            <v>p2572</v>
          </cell>
          <cell r="D110" t="str">
            <v>p068</v>
          </cell>
          <cell r="E110" t="str">
            <v>Groundnut Oil extraction</v>
          </cell>
        </row>
        <row r="111">
          <cell r="A111">
            <v>2591</v>
          </cell>
          <cell r="B111" t="str">
            <v>Groundnut Cake</v>
          </cell>
          <cell r="C111" t="str">
            <v>p2591</v>
          </cell>
          <cell r="D111" t="str">
            <v>p068</v>
          </cell>
          <cell r="E111" t="str">
            <v>Groundnut Oil extraction</v>
          </cell>
        </row>
        <row r="112">
          <cell r="A112">
            <v>2552</v>
          </cell>
          <cell r="B112" t="str">
            <v>Groundnuts</v>
          </cell>
          <cell r="C112" t="str">
            <v>p2552</v>
          </cell>
          <cell r="D112" t="str">
            <v>p022</v>
          </cell>
          <cell r="E112" t="str">
            <v>Groundnuts production</v>
          </cell>
        </row>
        <row r="113">
          <cell r="A113">
            <v>2667</v>
          </cell>
          <cell r="B113" t="str">
            <v>Hard Fibres, Other</v>
          </cell>
          <cell r="C113" t="str">
            <v>p2667</v>
          </cell>
          <cell r="D113" t="str">
            <v>p058</v>
          </cell>
          <cell r="E113" t="str">
            <v>Hard Fibres production, Other</v>
          </cell>
        </row>
        <row r="114">
          <cell r="A114">
            <v>776</v>
          </cell>
          <cell r="B114" t="str">
            <v>Hemp</v>
          </cell>
          <cell r="C114" t="str">
            <v>p776</v>
          </cell>
          <cell r="D114" t="str">
            <v>p122</v>
          </cell>
          <cell r="E114" t="str">
            <v>Hemp production</v>
          </cell>
        </row>
        <row r="115">
          <cell r="A115">
            <v>677</v>
          </cell>
          <cell r="B115" t="str">
            <v>Hops</v>
          </cell>
          <cell r="C115" t="str">
            <v>p677</v>
          </cell>
          <cell r="D115" t="str">
            <v>p048</v>
          </cell>
          <cell r="E115" t="str">
            <v>Hops production</v>
          </cell>
        </row>
        <row r="116">
          <cell r="A116">
            <v>1096</v>
          </cell>
          <cell r="B116" t="str">
            <v>Horses</v>
          </cell>
          <cell r="C116" t="str">
            <v>p1096</v>
          </cell>
          <cell r="D116" t="str">
            <v>p091</v>
          </cell>
          <cell r="E116" t="str">
            <v>Horses husbandry</v>
          </cell>
        </row>
        <row r="117">
          <cell r="A117">
            <v>2735</v>
          </cell>
          <cell r="B117" t="str">
            <v>Meat, Other</v>
          </cell>
          <cell r="C117" t="str">
            <v>p2735</v>
          </cell>
          <cell r="D117" t="str">
            <v>p091</v>
          </cell>
          <cell r="E117" t="str">
            <v>Horses husbandry</v>
          </cell>
        </row>
        <row r="118">
          <cell r="A118">
            <v>2736</v>
          </cell>
          <cell r="B118" t="str">
            <v>Offals, Edible</v>
          </cell>
          <cell r="C118" t="str">
            <v>p2736</v>
          </cell>
          <cell r="D118" t="str">
            <v>p091</v>
          </cell>
          <cell r="E118" t="str">
            <v>Horses husbandry</v>
          </cell>
        </row>
        <row r="119">
          <cell r="A119">
            <v>4000</v>
          </cell>
          <cell r="B119" t="str">
            <v>Animal draught</v>
          </cell>
          <cell r="C119" t="str">
            <v>p4000</v>
          </cell>
          <cell r="D119" t="str">
            <v>p091</v>
          </cell>
          <cell r="E119" t="str">
            <v>Horses husbandry</v>
          </cell>
        </row>
        <row r="120">
          <cell r="A120">
            <v>1190</v>
          </cell>
          <cell r="B120" t="str">
            <v>Game</v>
          </cell>
          <cell r="C120" t="str">
            <v>p1190</v>
          </cell>
          <cell r="D120" t="str">
            <v>p113</v>
          </cell>
          <cell r="E120" t="str">
            <v>Hunting</v>
          </cell>
        </row>
        <row r="121">
          <cell r="A121">
            <v>2735</v>
          </cell>
          <cell r="B121" t="str">
            <v>Meat, Other</v>
          </cell>
          <cell r="C121" t="str">
            <v>p2735</v>
          </cell>
          <cell r="D121" t="str">
            <v>p113</v>
          </cell>
          <cell r="E121" t="str">
            <v>Hunting</v>
          </cell>
        </row>
        <row r="122">
          <cell r="A122">
            <v>2662</v>
          </cell>
          <cell r="B122" t="str">
            <v>Jute</v>
          </cell>
          <cell r="C122" t="str">
            <v>p2662</v>
          </cell>
          <cell r="D122" t="str">
            <v>p053</v>
          </cell>
          <cell r="E122" t="str">
            <v>Jute production</v>
          </cell>
        </row>
        <row r="123">
          <cell r="A123">
            <v>2663</v>
          </cell>
          <cell r="B123" t="str">
            <v>Jute-Like Fibres</v>
          </cell>
          <cell r="C123" t="str">
            <v>p2663</v>
          </cell>
          <cell r="D123" t="str">
            <v>p054</v>
          </cell>
          <cell r="E123" t="str">
            <v>Jute-Like Fibres production</v>
          </cell>
        </row>
        <row r="124">
          <cell r="A124">
            <v>310</v>
          </cell>
          <cell r="B124" t="str">
            <v>Kapok fruit</v>
          </cell>
          <cell r="C124" t="str">
            <v>p310</v>
          </cell>
          <cell r="D124" t="str">
            <v>p123</v>
          </cell>
          <cell r="E124" t="str">
            <v>Kapok production</v>
          </cell>
        </row>
        <row r="125">
          <cell r="A125">
            <v>1052</v>
          </cell>
          <cell r="B125" t="str">
            <v>Chickens, layers</v>
          </cell>
          <cell r="C125" t="str">
            <v>p1052</v>
          </cell>
          <cell r="D125" t="str">
            <v>p110</v>
          </cell>
          <cell r="E125" t="str">
            <v>Layers chickens farming</v>
          </cell>
        </row>
        <row r="126">
          <cell r="A126">
            <v>2744</v>
          </cell>
          <cell r="B126" t="str">
            <v>Eggs</v>
          </cell>
          <cell r="C126" t="str">
            <v>p2744</v>
          </cell>
          <cell r="D126" t="str">
            <v>p110</v>
          </cell>
          <cell r="E126" t="str">
            <v>Layers chickens farming</v>
          </cell>
        </row>
        <row r="127">
          <cell r="A127">
            <v>2612</v>
          </cell>
          <cell r="B127" t="str">
            <v>Lemons, Limes and products</v>
          </cell>
          <cell r="C127" t="str">
            <v>p2612</v>
          </cell>
          <cell r="D127" t="str">
            <v>p035</v>
          </cell>
          <cell r="E127" t="str">
            <v>Lemons, Limes production</v>
          </cell>
        </row>
        <row r="128">
          <cell r="A128">
            <v>772</v>
          </cell>
          <cell r="B128" t="str">
            <v>Linum</v>
          </cell>
          <cell r="C128" t="str">
            <v>p772</v>
          </cell>
          <cell r="D128" t="str">
            <v>p124</v>
          </cell>
          <cell r="E128" t="str">
            <v>Linum production</v>
          </cell>
        </row>
        <row r="129">
          <cell r="A129">
            <v>2570</v>
          </cell>
          <cell r="B129" t="str">
            <v>Oilcrops, Other</v>
          </cell>
          <cell r="C129" t="str">
            <v>p2570</v>
          </cell>
          <cell r="D129" t="str">
            <v>p124</v>
          </cell>
          <cell r="E129" t="str">
            <v>Linum production</v>
          </cell>
        </row>
        <row r="130">
          <cell r="A130">
            <v>2664</v>
          </cell>
          <cell r="B130" t="str">
            <v>Soft-Fibres, Other</v>
          </cell>
          <cell r="C130" t="str">
            <v>p2664</v>
          </cell>
          <cell r="D130" t="str">
            <v>p124</v>
          </cell>
          <cell r="E130" t="str">
            <v>Linum production</v>
          </cell>
        </row>
        <row r="131">
          <cell r="A131">
            <v>2582</v>
          </cell>
          <cell r="B131" t="str">
            <v>Maize Germ Oil</v>
          </cell>
          <cell r="C131" t="str">
            <v>p2582</v>
          </cell>
          <cell r="D131" t="str">
            <v>p078</v>
          </cell>
          <cell r="E131" t="str">
            <v>Maize Germ Oil extraction</v>
          </cell>
        </row>
        <row r="132">
          <cell r="A132">
            <v>2598</v>
          </cell>
          <cell r="B132" t="str">
            <v>Oilseed Cakes, Other</v>
          </cell>
          <cell r="C132" t="str">
            <v>p2598</v>
          </cell>
          <cell r="D132" t="str">
            <v>p078</v>
          </cell>
          <cell r="E132" t="str">
            <v>Maize Germ Oil extraction</v>
          </cell>
        </row>
        <row r="133">
          <cell r="A133">
            <v>2514</v>
          </cell>
          <cell r="B133" t="str">
            <v>Maize and products</v>
          </cell>
          <cell r="C133" t="str">
            <v>p2514</v>
          </cell>
          <cell r="D133" t="str">
            <v>p004</v>
          </cell>
          <cell r="E133" t="str">
            <v>Maize production</v>
          </cell>
        </row>
        <row r="134">
          <cell r="A134">
            <v>2112</v>
          </cell>
          <cell r="B134" t="str">
            <v>Meat Meal</v>
          </cell>
          <cell r="C134" t="str">
            <v>p2112</v>
          </cell>
          <cell r="D134" t="str">
            <v>p125</v>
          </cell>
          <cell r="E134" t="str">
            <v>Meat meal production</v>
          </cell>
        </row>
        <row r="135">
          <cell r="A135">
            <v>2517</v>
          </cell>
          <cell r="B135" t="str">
            <v>Millet and products</v>
          </cell>
          <cell r="C135" t="str">
            <v>p2517</v>
          </cell>
          <cell r="D135" t="str">
            <v>p007</v>
          </cell>
          <cell r="E135" t="str">
            <v>Millet production</v>
          </cell>
        </row>
        <row r="136">
          <cell r="A136">
            <v>1110</v>
          </cell>
          <cell r="B136" t="str">
            <v>Mules</v>
          </cell>
          <cell r="C136" t="str">
            <v>p1110</v>
          </cell>
          <cell r="D136" t="str">
            <v>p093</v>
          </cell>
          <cell r="E136" t="str">
            <v>Mules husbandry</v>
          </cell>
        </row>
        <row r="137">
          <cell r="A137">
            <v>2735</v>
          </cell>
          <cell r="B137" t="str">
            <v>Meat, Other</v>
          </cell>
          <cell r="C137" t="str">
            <v>p2735</v>
          </cell>
          <cell r="D137" t="str">
            <v>p093</v>
          </cell>
          <cell r="E137" t="str">
            <v>Mules husbandry</v>
          </cell>
        </row>
        <row r="138">
          <cell r="A138">
            <v>2736</v>
          </cell>
          <cell r="B138" t="str">
            <v>Offals, Edible</v>
          </cell>
          <cell r="C138" t="str">
            <v>p2736</v>
          </cell>
          <cell r="D138" t="str">
            <v>p093</v>
          </cell>
          <cell r="E138" t="str">
            <v>Mules husbandry</v>
          </cell>
        </row>
        <row r="139">
          <cell r="A139">
            <v>4000</v>
          </cell>
          <cell r="B139" t="str">
            <v>Animal draught</v>
          </cell>
          <cell r="C139" t="str">
            <v>p4000</v>
          </cell>
          <cell r="D139" t="str">
            <v>p093</v>
          </cell>
          <cell r="E139" t="str">
            <v>Mules husbandry</v>
          </cell>
        </row>
        <row r="140">
          <cell r="A140">
            <v>961</v>
          </cell>
          <cell r="B140" t="str">
            <v>Cattle, non-dairy</v>
          </cell>
          <cell r="C140" t="str">
            <v>p961</v>
          </cell>
          <cell r="D140" t="str">
            <v>p085</v>
          </cell>
          <cell r="E140" t="str">
            <v>Non-dairy Cattle husbandry</v>
          </cell>
        </row>
        <row r="141">
          <cell r="A141">
            <v>2731</v>
          </cell>
          <cell r="B141" t="str">
            <v>Bovine Meat</v>
          </cell>
          <cell r="C141" t="str">
            <v>p2731</v>
          </cell>
          <cell r="D141" t="str">
            <v>p085</v>
          </cell>
          <cell r="E141" t="str">
            <v>Non-dairy Cattle husbandry</v>
          </cell>
        </row>
        <row r="142">
          <cell r="A142">
            <v>2736</v>
          </cell>
          <cell r="B142" t="str">
            <v>Offals, Edible</v>
          </cell>
          <cell r="C142" t="str">
            <v>p2736</v>
          </cell>
          <cell r="D142" t="str">
            <v>p085</v>
          </cell>
          <cell r="E142" t="str">
            <v>Non-dairy Cattle husbandry</v>
          </cell>
        </row>
        <row r="143">
          <cell r="A143">
            <v>2737</v>
          </cell>
          <cell r="B143" t="str">
            <v>Fats, Animals, Raw</v>
          </cell>
          <cell r="C143" t="str">
            <v>p2737</v>
          </cell>
          <cell r="D143" t="str">
            <v>p085</v>
          </cell>
          <cell r="E143" t="str">
            <v>Non-dairy Cattle husbandry</v>
          </cell>
        </row>
        <row r="144">
          <cell r="A144">
            <v>2748</v>
          </cell>
          <cell r="B144" t="str">
            <v>Hides and skins</v>
          </cell>
          <cell r="C144" t="str">
            <v>p2748</v>
          </cell>
          <cell r="D144" t="str">
            <v>p085</v>
          </cell>
          <cell r="E144" t="str">
            <v>Non-dairy Cattle husbandry</v>
          </cell>
        </row>
        <row r="145">
          <cell r="A145">
            <v>4000</v>
          </cell>
          <cell r="B145" t="str">
            <v>Animal draught</v>
          </cell>
          <cell r="C145" t="str">
            <v>p4000</v>
          </cell>
          <cell r="D145" t="str">
            <v>p085</v>
          </cell>
          <cell r="E145" t="str">
            <v>Non-dairy Cattle husbandry</v>
          </cell>
        </row>
        <row r="146">
          <cell r="A146">
            <v>2551</v>
          </cell>
          <cell r="B146" t="str">
            <v>Nuts and products</v>
          </cell>
          <cell r="C146" t="str">
            <v>p2551</v>
          </cell>
          <cell r="D146" t="str">
            <v>p020</v>
          </cell>
          <cell r="E146" t="str">
            <v>Nuts production</v>
          </cell>
        </row>
        <row r="147">
          <cell r="A147">
            <v>2516</v>
          </cell>
          <cell r="B147" t="str">
            <v>Oats</v>
          </cell>
          <cell r="C147" t="str">
            <v>p2516</v>
          </cell>
          <cell r="D147" t="str">
            <v>p006</v>
          </cell>
          <cell r="E147" t="str">
            <v>Oat production</v>
          </cell>
        </row>
        <row r="148">
          <cell r="A148">
            <v>254</v>
          </cell>
          <cell r="B148" t="str">
            <v>Oil, palm fruit</v>
          </cell>
          <cell r="C148" t="str">
            <v>p254</v>
          </cell>
          <cell r="D148" t="str">
            <v>p028</v>
          </cell>
          <cell r="E148" t="str">
            <v>Oil Palm production</v>
          </cell>
        </row>
        <row r="149">
          <cell r="A149">
            <v>2586</v>
          </cell>
          <cell r="B149" t="str">
            <v>Oilcrops Oil, Other</v>
          </cell>
          <cell r="C149" t="str">
            <v>p2586</v>
          </cell>
          <cell r="D149" t="str">
            <v>p079</v>
          </cell>
          <cell r="E149" t="str">
            <v>Oilcrops Oil extraction, Other</v>
          </cell>
        </row>
        <row r="150">
          <cell r="A150">
            <v>2598</v>
          </cell>
          <cell r="B150" t="str">
            <v>Oilseed Cakes, Other</v>
          </cell>
          <cell r="C150" t="str">
            <v>p2598</v>
          </cell>
          <cell r="D150" t="str">
            <v>p079</v>
          </cell>
          <cell r="E150" t="str">
            <v>Oilcrops Oil extraction, Other</v>
          </cell>
        </row>
        <row r="151">
          <cell r="A151">
            <v>2570</v>
          </cell>
          <cell r="B151" t="str">
            <v>Oilcrops, Other</v>
          </cell>
          <cell r="C151" t="str">
            <v>p2570</v>
          </cell>
          <cell r="D151" t="str">
            <v>p030</v>
          </cell>
          <cell r="E151" t="str">
            <v>Oilcrops production, Other</v>
          </cell>
        </row>
        <row r="152">
          <cell r="A152">
            <v>2580</v>
          </cell>
          <cell r="B152" t="str">
            <v>Olive Oil</v>
          </cell>
          <cell r="C152" t="str">
            <v>p2580</v>
          </cell>
          <cell r="D152" t="str">
            <v>p076</v>
          </cell>
          <cell r="E152" t="str">
            <v>Olive Oil extraction</v>
          </cell>
        </row>
        <row r="153">
          <cell r="A153">
            <v>2563</v>
          </cell>
          <cell r="B153" t="str">
            <v>Olives (including preserved)</v>
          </cell>
          <cell r="C153" t="str">
            <v>p2563</v>
          </cell>
          <cell r="D153" t="str">
            <v>p029</v>
          </cell>
          <cell r="E153" t="str">
            <v>Olives production</v>
          </cell>
        </row>
        <row r="154">
          <cell r="A154">
            <v>2602</v>
          </cell>
          <cell r="B154" t="str">
            <v>Onions</v>
          </cell>
          <cell r="C154" t="str">
            <v>p2602</v>
          </cell>
          <cell r="D154" t="str">
            <v>p032</v>
          </cell>
          <cell r="E154" t="str">
            <v>Onions production</v>
          </cell>
        </row>
        <row r="155">
          <cell r="A155">
            <v>2611</v>
          </cell>
          <cell r="B155" t="str">
            <v>Oranges, Mandarines</v>
          </cell>
          <cell r="C155" t="str">
            <v>p2611</v>
          </cell>
          <cell r="D155" t="str">
            <v>p034</v>
          </cell>
          <cell r="E155" t="str">
            <v>Oranges, Mandarines production</v>
          </cell>
        </row>
        <row r="156">
          <cell r="A156">
            <v>1171</v>
          </cell>
          <cell r="B156" t="str">
            <v>Animals live nes</v>
          </cell>
          <cell r="C156" t="str">
            <v>p1171</v>
          </cell>
          <cell r="D156" t="str">
            <v>p112</v>
          </cell>
          <cell r="E156" t="str">
            <v>Other animals husbandry</v>
          </cell>
        </row>
        <row r="157">
          <cell r="A157">
            <v>2735</v>
          </cell>
          <cell r="B157" t="str">
            <v>Meat, Other</v>
          </cell>
          <cell r="C157" t="str">
            <v>p2735</v>
          </cell>
          <cell r="D157" t="str">
            <v>p112</v>
          </cell>
          <cell r="E157" t="str">
            <v>Other animals husbandry</v>
          </cell>
        </row>
        <row r="158">
          <cell r="A158">
            <v>1068</v>
          </cell>
          <cell r="B158" t="str">
            <v>Ducks</v>
          </cell>
          <cell r="C158" t="str">
            <v>p1068</v>
          </cell>
          <cell r="D158" t="str">
            <v>p111</v>
          </cell>
          <cell r="E158" t="str">
            <v>Other birds farming</v>
          </cell>
        </row>
        <row r="159">
          <cell r="A159">
            <v>1072</v>
          </cell>
          <cell r="B159" t="str">
            <v>Geese</v>
          </cell>
          <cell r="C159" t="str">
            <v>p1072</v>
          </cell>
          <cell r="D159" t="str">
            <v>p111</v>
          </cell>
          <cell r="E159" t="str">
            <v>Other birds farming</v>
          </cell>
        </row>
        <row r="160">
          <cell r="A160">
            <v>1079</v>
          </cell>
          <cell r="B160" t="str">
            <v>Turkeys</v>
          </cell>
          <cell r="C160" t="str">
            <v>p1079</v>
          </cell>
          <cell r="D160" t="str">
            <v>p111</v>
          </cell>
          <cell r="E160" t="str">
            <v>Other birds farming</v>
          </cell>
        </row>
        <row r="161">
          <cell r="A161">
            <v>2734</v>
          </cell>
          <cell r="B161" t="str">
            <v>Poultry Meat</v>
          </cell>
          <cell r="C161" t="str">
            <v>p2734</v>
          </cell>
          <cell r="D161" t="str">
            <v>p111</v>
          </cell>
          <cell r="E161" t="str">
            <v>Other birds farming</v>
          </cell>
        </row>
        <row r="162">
          <cell r="A162">
            <v>2744</v>
          </cell>
          <cell r="B162" t="str">
            <v>Eggs</v>
          </cell>
          <cell r="C162" t="str">
            <v>p2744</v>
          </cell>
          <cell r="D162" t="str">
            <v>p111</v>
          </cell>
          <cell r="E162" t="str">
            <v>Other birds farming</v>
          </cell>
        </row>
        <row r="163">
          <cell r="A163">
            <v>2562</v>
          </cell>
          <cell r="B163" t="str">
            <v>Palm kernels</v>
          </cell>
          <cell r="C163" t="str">
            <v>p2562</v>
          </cell>
          <cell r="D163" t="str">
            <v>p028</v>
          </cell>
          <cell r="E163" t="str">
            <v>Oil Palm production</v>
          </cell>
        </row>
        <row r="164">
          <cell r="A164">
            <v>2577</v>
          </cell>
          <cell r="B164" t="str">
            <v>Palm Oil</v>
          </cell>
          <cell r="C164" t="str">
            <v>p2577</v>
          </cell>
          <cell r="D164" t="str">
            <v>p028</v>
          </cell>
          <cell r="E164" t="str">
            <v>Oil Palm production</v>
          </cell>
        </row>
        <row r="165">
          <cell r="A165">
            <v>2576</v>
          </cell>
          <cell r="B165" t="str">
            <v>Palmkernel Oil</v>
          </cell>
          <cell r="C165" t="str">
            <v>p2576</v>
          </cell>
          <cell r="D165" t="str">
            <v>p072</v>
          </cell>
          <cell r="E165" t="str">
            <v>Palmkernel Oil extraction</v>
          </cell>
        </row>
        <row r="166">
          <cell r="A166">
            <v>2595</v>
          </cell>
          <cell r="B166" t="str">
            <v>Palmkernel Cake</v>
          </cell>
          <cell r="C166" t="str">
            <v>p2595</v>
          </cell>
          <cell r="D166" t="str">
            <v>p072</v>
          </cell>
          <cell r="E166" t="str">
            <v>Palmkernel Oil extraction</v>
          </cell>
        </row>
        <row r="167">
          <cell r="A167">
            <v>2547</v>
          </cell>
          <cell r="B167" t="str">
            <v>Peas</v>
          </cell>
          <cell r="C167" t="str">
            <v>p2547</v>
          </cell>
          <cell r="D167" t="str">
            <v>p018</v>
          </cell>
          <cell r="E167" t="str">
            <v>Peas production</v>
          </cell>
        </row>
        <row r="168">
          <cell r="A168">
            <v>2640</v>
          </cell>
          <cell r="B168" t="str">
            <v>Pepper</v>
          </cell>
          <cell r="C168" t="str">
            <v>p2640</v>
          </cell>
          <cell r="D168" t="str">
            <v>p049</v>
          </cell>
          <cell r="E168" t="str">
            <v>Pepper production</v>
          </cell>
        </row>
        <row r="169">
          <cell r="A169">
            <v>1049</v>
          </cell>
          <cell r="B169" t="str">
            <v>Pigs</v>
          </cell>
          <cell r="C169" t="str">
            <v>p1049</v>
          </cell>
          <cell r="D169" t="str">
            <v>p089</v>
          </cell>
          <cell r="E169" t="str">
            <v>Pigs farming</v>
          </cell>
        </row>
        <row r="170">
          <cell r="A170">
            <v>2733</v>
          </cell>
          <cell r="B170" t="str">
            <v>Pigmeat</v>
          </cell>
          <cell r="C170" t="str">
            <v>p2733</v>
          </cell>
          <cell r="D170" t="str">
            <v>p089</v>
          </cell>
          <cell r="E170" t="str">
            <v>Pigs farming</v>
          </cell>
        </row>
        <row r="171">
          <cell r="A171">
            <v>2736</v>
          </cell>
          <cell r="B171" t="str">
            <v>Offals, Edible</v>
          </cell>
          <cell r="C171" t="str">
            <v>p2736</v>
          </cell>
          <cell r="D171" t="str">
            <v>p089</v>
          </cell>
          <cell r="E171" t="str">
            <v>Pigs farming</v>
          </cell>
        </row>
        <row r="172">
          <cell r="A172">
            <v>2737</v>
          </cell>
          <cell r="B172" t="str">
            <v>Fats, Animals, Raw</v>
          </cell>
          <cell r="C172" t="str">
            <v>p2737</v>
          </cell>
          <cell r="D172" t="str">
            <v>p089</v>
          </cell>
          <cell r="E172" t="str">
            <v>Pigs farming</v>
          </cell>
        </row>
        <row r="173">
          <cell r="A173">
            <v>2641</v>
          </cell>
          <cell r="B173" t="str">
            <v>Pimento</v>
          </cell>
          <cell r="C173" t="str">
            <v>p2641</v>
          </cell>
          <cell r="D173" t="str">
            <v>p050</v>
          </cell>
          <cell r="E173" t="str">
            <v>Pimento production</v>
          </cell>
        </row>
        <row r="174">
          <cell r="A174">
            <v>2618</v>
          </cell>
          <cell r="B174" t="str">
            <v>Pineapples and products</v>
          </cell>
          <cell r="C174" t="str">
            <v>p2618</v>
          </cell>
          <cell r="D174" t="str">
            <v>p041</v>
          </cell>
          <cell r="E174" t="str">
            <v>Pineapples production</v>
          </cell>
        </row>
        <row r="175">
          <cell r="A175">
            <v>2616</v>
          </cell>
          <cell r="B175" t="str">
            <v>Plantains</v>
          </cell>
          <cell r="C175" t="str">
            <v>p2616</v>
          </cell>
          <cell r="D175" t="str">
            <v>p039</v>
          </cell>
          <cell r="E175" t="str">
            <v>Plantains production</v>
          </cell>
        </row>
        <row r="176">
          <cell r="A176">
            <v>2531</v>
          </cell>
          <cell r="B176" t="str">
            <v>Potatoes and products</v>
          </cell>
          <cell r="C176" t="str">
            <v>p2531</v>
          </cell>
          <cell r="D176" t="str">
            <v>p010</v>
          </cell>
          <cell r="E176" t="str">
            <v>Potatoes  production</v>
          </cell>
        </row>
        <row r="177">
          <cell r="A177">
            <v>2549</v>
          </cell>
          <cell r="B177" t="str">
            <v>Pulses, Other and products</v>
          </cell>
          <cell r="C177" t="str">
            <v>p2549</v>
          </cell>
          <cell r="D177" t="str">
            <v>p019</v>
          </cell>
          <cell r="E177" t="str">
            <v>Pulses  production, Other</v>
          </cell>
        </row>
        <row r="178">
          <cell r="A178">
            <v>1140</v>
          </cell>
          <cell r="B178" t="str">
            <v>Rabbits and hares</v>
          </cell>
          <cell r="C178" t="str">
            <v>p1140</v>
          </cell>
          <cell r="D178" t="str">
            <v>p096</v>
          </cell>
          <cell r="E178" t="str">
            <v>Rabbits farming</v>
          </cell>
        </row>
        <row r="179">
          <cell r="A179">
            <v>2735</v>
          </cell>
          <cell r="B179" t="str">
            <v>Meat, Other</v>
          </cell>
          <cell r="C179" t="str">
            <v>p2735</v>
          </cell>
          <cell r="D179" t="str">
            <v>p096</v>
          </cell>
          <cell r="E179" t="str">
            <v>Rabbits farming</v>
          </cell>
        </row>
        <row r="180">
          <cell r="A180">
            <v>2574</v>
          </cell>
          <cell r="B180" t="str">
            <v>Rape and Mustard Oil</v>
          </cell>
          <cell r="C180" t="str">
            <v>p2574</v>
          </cell>
          <cell r="D180" t="str">
            <v>p070</v>
          </cell>
          <cell r="E180" t="str">
            <v>Rape and Mustard Oil extraction</v>
          </cell>
        </row>
        <row r="181">
          <cell r="A181">
            <v>2593</v>
          </cell>
          <cell r="B181" t="str">
            <v>Rape and Mustard Cake</v>
          </cell>
          <cell r="C181" t="str">
            <v>p2593</v>
          </cell>
          <cell r="D181" t="str">
            <v>p070</v>
          </cell>
          <cell r="E181" t="str">
            <v>Rape and Mustard Oil extraction</v>
          </cell>
        </row>
        <row r="182">
          <cell r="A182">
            <v>2558</v>
          </cell>
          <cell r="B182" t="str">
            <v>Rape and Mustardseed</v>
          </cell>
          <cell r="C182" t="str">
            <v>p2558</v>
          </cell>
          <cell r="D182" t="str">
            <v>p024</v>
          </cell>
          <cell r="E182" t="str">
            <v>Rape and Mustardseed production</v>
          </cell>
        </row>
        <row r="183">
          <cell r="A183">
            <v>2807</v>
          </cell>
          <cell r="B183" t="str">
            <v>Rice and products</v>
          </cell>
          <cell r="C183" t="str">
            <v>p2807</v>
          </cell>
          <cell r="D183" t="str">
            <v>p001</v>
          </cell>
          <cell r="E183" t="str">
            <v>Rice production</v>
          </cell>
        </row>
        <row r="184">
          <cell r="A184">
            <v>2581</v>
          </cell>
          <cell r="B184" t="str">
            <v>Ricebran Oil</v>
          </cell>
          <cell r="C184" t="str">
            <v>p2581</v>
          </cell>
          <cell r="D184" t="str">
            <v>p077</v>
          </cell>
          <cell r="E184" t="str">
            <v>Ricebran Oil extraction</v>
          </cell>
        </row>
        <row r="185">
          <cell r="A185">
            <v>2598</v>
          </cell>
          <cell r="B185" t="str">
            <v>Oilseed Cakes, Other</v>
          </cell>
          <cell r="C185" t="str">
            <v>p2598</v>
          </cell>
          <cell r="D185" t="str">
            <v>p077</v>
          </cell>
          <cell r="E185" t="str">
            <v>Ricebran Oil extraction</v>
          </cell>
        </row>
        <row r="186">
          <cell r="A186">
            <v>1150</v>
          </cell>
          <cell r="B186" t="str">
            <v>Rodents, other</v>
          </cell>
          <cell r="C186" t="str">
            <v>p1150</v>
          </cell>
          <cell r="D186" t="str">
            <v>p097</v>
          </cell>
          <cell r="E186" t="str">
            <v>Rodents farming, other</v>
          </cell>
        </row>
        <row r="187">
          <cell r="A187">
            <v>2735</v>
          </cell>
          <cell r="B187" t="str">
            <v>Meat, Other</v>
          </cell>
          <cell r="C187" t="str">
            <v>p2735</v>
          </cell>
          <cell r="D187" t="str">
            <v>p097</v>
          </cell>
          <cell r="E187" t="str">
            <v>Rodents farming, other</v>
          </cell>
        </row>
        <row r="188">
          <cell r="A188">
            <v>2534</v>
          </cell>
          <cell r="B188" t="str">
            <v>Roots, Other</v>
          </cell>
          <cell r="C188" t="str">
            <v>p2534</v>
          </cell>
          <cell r="D188" t="str">
            <v>p013</v>
          </cell>
          <cell r="E188" t="str">
            <v>Roots production, Other</v>
          </cell>
        </row>
        <row r="189">
          <cell r="A189">
            <v>2672</v>
          </cell>
          <cell r="B189" t="str">
            <v>Rubber</v>
          </cell>
          <cell r="C189" t="str">
            <v>p2672</v>
          </cell>
          <cell r="D189" t="str">
            <v>p060</v>
          </cell>
          <cell r="E189" t="str">
            <v>Rubber production</v>
          </cell>
        </row>
        <row r="190">
          <cell r="A190">
            <v>2515</v>
          </cell>
          <cell r="B190" t="str">
            <v>Rye and products</v>
          </cell>
          <cell r="C190" t="str">
            <v>p2515</v>
          </cell>
          <cell r="D190" t="str">
            <v>p005</v>
          </cell>
          <cell r="E190" t="str">
            <v>Rye production</v>
          </cell>
        </row>
        <row r="191">
          <cell r="A191">
            <v>3500</v>
          </cell>
          <cell r="B191" t="str">
            <v>Scavenging</v>
          </cell>
          <cell r="C191" t="str">
            <v>p3500</v>
          </cell>
          <cell r="D191" t="str">
            <v>p127</v>
          </cell>
          <cell r="E191" t="str">
            <v>Scavenging production</v>
          </cell>
        </row>
        <row r="192">
          <cell r="A192">
            <v>2561</v>
          </cell>
          <cell r="B192" t="str">
            <v>Sesame seed</v>
          </cell>
          <cell r="C192" t="str">
            <v>p2561</v>
          </cell>
          <cell r="D192" t="str">
            <v>p027</v>
          </cell>
          <cell r="E192" t="str">
            <v>Sesame seed production</v>
          </cell>
        </row>
        <row r="193">
          <cell r="A193">
            <v>2579</v>
          </cell>
          <cell r="B193" t="str">
            <v>Sesameseed Oil</v>
          </cell>
          <cell r="C193" t="str">
            <v>p2579</v>
          </cell>
          <cell r="D193" t="str">
            <v>p075</v>
          </cell>
          <cell r="E193" t="str">
            <v>Sesameseed Oil extraction</v>
          </cell>
        </row>
        <row r="194">
          <cell r="A194">
            <v>2597</v>
          </cell>
          <cell r="B194" t="str">
            <v>Sesameseed Cake</v>
          </cell>
          <cell r="C194" t="str">
            <v>p2597</v>
          </cell>
          <cell r="D194" t="str">
            <v>p075</v>
          </cell>
          <cell r="E194" t="str">
            <v>Sesameseed Oil extraction</v>
          </cell>
        </row>
        <row r="195">
          <cell r="A195">
            <v>976</v>
          </cell>
          <cell r="B195" t="str">
            <v>Sheep</v>
          </cell>
          <cell r="C195" t="str">
            <v>p976</v>
          </cell>
          <cell r="D195" t="str">
            <v>p087</v>
          </cell>
          <cell r="E195" t="str">
            <v>Sheep husbandry</v>
          </cell>
        </row>
        <row r="196">
          <cell r="A196">
            <v>2732</v>
          </cell>
          <cell r="B196" t="str">
            <v>Mutton &amp; Goat Meat</v>
          </cell>
          <cell r="C196" t="str">
            <v>p2732</v>
          </cell>
          <cell r="D196" t="str">
            <v>p087</v>
          </cell>
          <cell r="E196" t="str">
            <v>Sheep husbandry</v>
          </cell>
        </row>
        <row r="197">
          <cell r="A197">
            <v>2736</v>
          </cell>
          <cell r="B197" t="str">
            <v>Offals, Edible</v>
          </cell>
          <cell r="C197" t="str">
            <v>p2736</v>
          </cell>
          <cell r="D197" t="str">
            <v>p087</v>
          </cell>
          <cell r="E197" t="str">
            <v>Sheep husbandry</v>
          </cell>
        </row>
        <row r="198">
          <cell r="A198">
            <v>2737</v>
          </cell>
          <cell r="B198" t="str">
            <v>Fats, Animals, Raw</v>
          </cell>
          <cell r="C198" t="str">
            <v>p2737</v>
          </cell>
          <cell r="D198" t="str">
            <v>p087</v>
          </cell>
          <cell r="E198" t="str">
            <v>Sheep husbandry</v>
          </cell>
        </row>
        <row r="199">
          <cell r="A199">
            <v>2746</v>
          </cell>
          <cell r="B199" t="str">
            <v>Wool (Clean Eq.)</v>
          </cell>
          <cell r="C199" t="str">
            <v>p2746</v>
          </cell>
          <cell r="D199" t="str">
            <v>p087</v>
          </cell>
          <cell r="E199" t="str">
            <v>Sheep husbandry</v>
          </cell>
        </row>
        <row r="200">
          <cell r="A200">
            <v>2748</v>
          </cell>
          <cell r="B200" t="str">
            <v>Hides and skins</v>
          </cell>
          <cell r="C200" t="str">
            <v>p2748</v>
          </cell>
          <cell r="D200" t="str">
            <v>p087</v>
          </cell>
          <cell r="E200" t="str">
            <v>Sheep husbandry</v>
          </cell>
        </row>
        <row r="201">
          <cell r="A201">
            <v>2848</v>
          </cell>
          <cell r="B201" t="str">
            <v>Milk - Excluding Butter</v>
          </cell>
          <cell r="C201" t="str">
            <v>p2848</v>
          </cell>
          <cell r="D201" t="str">
            <v>p087</v>
          </cell>
          <cell r="E201" t="str">
            <v>Sheep husbandry</v>
          </cell>
        </row>
        <row r="202">
          <cell r="A202">
            <v>2747</v>
          </cell>
          <cell r="B202" t="str">
            <v>Silk</v>
          </cell>
          <cell r="C202" t="str">
            <v>p2747</v>
          </cell>
          <cell r="D202" t="str">
            <v>p115</v>
          </cell>
          <cell r="E202" t="str">
            <v>Silkworm breeding</v>
          </cell>
        </row>
        <row r="203">
          <cell r="A203">
            <v>2665</v>
          </cell>
          <cell r="B203" t="str">
            <v>Sisal</v>
          </cell>
          <cell r="C203" t="str">
            <v>p2665</v>
          </cell>
          <cell r="D203" t="str">
            <v>p056</v>
          </cell>
          <cell r="E203" t="str">
            <v>Sisal production</v>
          </cell>
        </row>
        <row r="204">
          <cell r="A204">
            <v>2664</v>
          </cell>
          <cell r="B204" t="str">
            <v>Soft-Fibres, Other</v>
          </cell>
          <cell r="C204" t="str">
            <v>p2664</v>
          </cell>
          <cell r="D204" t="str">
            <v>p055</v>
          </cell>
          <cell r="E204" t="str">
            <v>Soft-Fibres production, Other</v>
          </cell>
        </row>
        <row r="205">
          <cell r="A205">
            <v>2518</v>
          </cell>
          <cell r="B205" t="str">
            <v>Sorghum and products</v>
          </cell>
          <cell r="C205" t="str">
            <v>p2518</v>
          </cell>
          <cell r="D205" t="str">
            <v>p008</v>
          </cell>
          <cell r="E205" t="str">
            <v>Sorghum production</v>
          </cell>
        </row>
        <row r="206">
          <cell r="A206">
            <v>2103</v>
          </cell>
          <cell r="B206" t="str">
            <v>Soy hulls</v>
          </cell>
          <cell r="C206" t="str">
            <v>p2103</v>
          </cell>
          <cell r="D206" t="str">
            <v>p067</v>
          </cell>
          <cell r="E206" t="str">
            <v>Soyabean Oil extraction</v>
          </cell>
        </row>
        <row r="207">
          <cell r="A207">
            <v>2571</v>
          </cell>
          <cell r="B207" t="str">
            <v>Soyabean Oil</v>
          </cell>
          <cell r="C207" t="str">
            <v>p2571</v>
          </cell>
          <cell r="D207" t="str">
            <v>p067</v>
          </cell>
          <cell r="E207" t="str">
            <v>Soyabean Oil extraction</v>
          </cell>
        </row>
        <row r="208">
          <cell r="A208">
            <v>2590</v>
          </cell>
          <cell r="B208" t="str">
            <v>Soyabean Cake</v>
          </cell>
          <cell r="C208" t="str">
            <v>p2590</v>
          </cell>
          <cell r="D208" t="str">
            <v>p067</v>
          </cell>
          <cell r="E208" t="str">
            <v>Soyabean Oil extraction</v>
          </cell>
        </row>
        <row r="209">
          <cell r="A209">
            <v>2555</v>
          </cell>
          <cell r="B209" t="str">
            <v>Soyabeans</v>
          </cell>
          <cell r="C209" t="str">
            <v>p2555</v>
          </cell>
          <cell r="D209" t="str">
            <v>p021</v>
          </cell>
          <cell r="E209" t="str">
            <v>Soyabeans production</v>
          </cell>
        </row>
        <row r="210">
          <cell r="A210">
            <v>2645</v>
          </cell>
          <cell r="B210" t="str">
            <v>Spices, Other</v>
          </cell>
          <cell r="C210" t="str">
            <v>p2645</v>
          </cell>
          <cell r="D210" t="str">
            <v>p052</v>
          </cell>
          <cell r="E210" t="str">
            <v>Spices production, Other</v>
          </cell>
        </row>
        <row r="211">
          <cell r="A211">
            <v>2537</v>
          </cell>
          <cell r="B211" t="str">
            <v>Sugar beet</v>
          </cell>
          <cell r="C211" t="str">
            <v>p2537</v>
          </cell>
          <cell r="D211" t="str">
            <v>p016</v>
          </cell>
          <cell r="E211" t="str">
            <v>Sugar beet production</v>
          </cell>
        </row>
        <row r="212">
          <cell r="A212">
            <v>2536</v>
          </cell>
          <cell r="B212" t="str">
            <v>Sugar cane</v>
          </cell>
          <cell r="C212" t="str">
            <v>p2536</v>
          </cell>
          <cell r="D212" t="str">
            <v>p015</v>
          </cell>
          <cell r="E212" t="str">
            <v>Sugar cane production</v>
          </cell>
        </row>
        <row r="213">
          <cell r="A213">
            <v>2104</v>
          </cell>
          <cell r="B213" t="str">
            <v>Sugarbeet pulp</v>
          </cell>
          <cell r="C213" t="str">
            <v>p2104</v>
          </cell>
          <cell r="D213" t="str">
            <v>p065</v>
          </cell>
          <cell r="E213" t="str">
            <v>Sugar production</v>
          </cell>
        </row>
        <row r="214">
          <cell r="A214">
            <v>2542</v>
          </cell>
          <cell r="B214" t="str">
            <v>Sugar (Raw Equivalent)</v>
          </cell>
          <cell r="C214" t="str">
            <v>p2542</v>
          </cell>
          <cell r="D214" t="str">
            <v>p065</v>
          </cell>
          <cell r="E214" t="str">
            <v>Sugar production</v>
          </cell>
        </row>
        <row r="215">
          <cell r="A215">
            <v>2544</v>
          </cell>
          <cell r="B215" t="str">
            <v>Molasses</v>
          </cell>
          <cell r="C215" t="str">
            <v>p2544</v>
          </cell>
          <cell r="D215" t="str">
            <v>p065</v>
          </cell>
          <cell r="E215" t="str">
            <v>Sugar production</v>
          </cell>
        </row>
        <row r="216">
          <cell r="A216">
            <v>2541</v>
          </cell>
          <cell r="B216" t="str">
            <v>Sugar non-centrifugal</v>
          </cell>
          <cell r="C216" t="str">
            <v>p2541</v>
          </cell>
          <cell r="D216" t="str">
            <v>p064</v>
          </cell>
          <cell r="E216" t="str">
            <v>Sugar production, non-centrifugal</v>
          </cell>
        </row>
        <row r="217">
          <cell r="A217">
            <v>2557</v>
          </cell>
          <cell r="B217" t="str">
            <v>Sunflower seed</v>
          </cell>
          <cell r="C217" t="str">
            <v>p2557</v>
          </cell>
          <cell r="D217" t="str">
            <v>p023</v>
          </cell>
          <cell r="E217" t="str">
            <v>Sunflower seed production</v>
          </cell>
        </row>
        <row r="218">
          <cell r="A218">
            <v>2573</v>
          </cell>
          <cell r="B218" t="str">
            <v>Sunflowerseed Oil</v>
          </cell>
          <cell r="C218" t="str">
            <v>p2573</v>
          </cell>
          <cell r="D218" t="str">
            <v>p069</v>
          </cell>
          <cell r="E218" t="str">
            <v>Sunflowerseed Oil extraction</v>
          </cell>
        </row>
        <row r="219">
          <cell r="A219">
            <v>2592</v>
          </cell>
          <cell r="B219" t="str">
            <v>Sunflowerseed Cake</v>
          </cell>
          <cell r="C219" t="str">
            <v>p2592</v>
          </cell>
          <cell r="D219" t="str">
            <v>p069</v>
          </cell>
          <cell r="E219" t="str">
            <v>Sunflowerseed Oil extraction</v>
          </cell>
        </row>
        <row r="220">
          <cell r="A220">
            <v>2533</v>
          </cell>
          <cell r="B220" t="str">
            <v>Sweet potatoes</v>
          </cell>
          <cell r="C220" t="str">
            <v>p2533</v>
          </cell>
          <cell r="D220" t="str">
            <v>p012</v>
          </cell>
          <cell r="E220" t="str">
            <v>Sweet potatoes production</v>
          </cell>
        </row>
        <row r="221">
          <cell r="A221">
            <v>2543</v>
          </cell>
          <cell r="B221" t="str">
            <v>Sweeteners, Other</v>
          </cell>
          <cell r="C221" t="str">
            <v>p2543</v>
          </cell>
          <cell r="D221" t="str">
            <v>p066</v>
          </cell>
          <cell r="E221" t="str">
            <v>Sweeteners production, Other</v>
          </cell>
        </row>
        <row r="222">
          <cell r="A222">
            <v>2635</v>
          </cell>
          <cell r="B222" t="str">
            <v>Tea (including mate)</v>
          </cell>
          <cell r="C222" t="str">
            <v>p2635</v>
          </cell>
          <cell r="D222" t="str">
            <v>p047</v>
          </cell>
          <cell r="E222" t="str">
            <v>Tea production</v>
          </cell>
        </row>
        <row r="223">
          <cell r="A223">
            <v>3002</v>
          </cell>
          <cell r="B223" t="str">
            <v>Temporary grassland</v>
          </cell>
          <cell r="C223" t="str">
            <v>p3002</v>
          </cell>
          <cell r="D223" t="str">
            <v>p121</v>
          </cell>
          <cell r="E223" t="str">
            <v>Temporary grassland production</v>
          </cell>
        </row>
        <row r="224">
          <cell r="A224">
            <v>2671</v>
          </cell>
          <cell r="B224" t="str">
            <v>Tobacco</v>
          </cell>
          <cell r="C224" t="str">
            <v>p2671</v>
          </cell>
          <cell r="D224" t="str">
            <v>p059</v>
          </cell>
          <cell r="E224" t="str">
            <v>Tobacco production</v>
          </cell>
        </row>
        <row r="225">
          <cell r="A225">
            <v>2601</v>
          </cell>
          <cell r="B225" t="str">
            <v>Tomatoes and products</v>
          </cell>
          <cell r="C225" t="str">
            <v>p2601</v>
          </cell>
          <cell r="D225" t="str">
            <v>p031</v>
          </cell>
          <cell r="E225" t="str">
            <v>Tomatoes production</v>
          </cell>
        </row>
        <row r="226">
          <cell r="A226">
            <v>2605</v>
          </cell>
          <cell r="B226" t="str">
            <v>Vegetables, Other</v>
          </cell>
          <cell r="C226" t="str">
            <v>p2605</v>
          </cell>
          <cell r="D226" t="str">
            <v>p033</v>
          </cell>
          <cell r="E226" t="str">
            <v>Vegetables production, Other</v>
          </cell>
        </row>
        <row r="227">
          <cell r="A227">
            <v>2511</v>
          </cell>
          <cell r="B227" t="str">
            <v>Wheat and products</v>
          </cell>
          <cell r="C227" t="str">
            <v>p2511</v>
          </cell>
          <cell r="D227" t="str">
            <v>p002</v>
          </cell>
          <cell r="E227" t="str">
            <v>Wheat production</v>
          </cell>
        </row>
        <row r="228">
          <cell r="A228">
            <v>2655</v>
          </cell>
          <cell r="B228" t="str">
            <v>Wine</v>
          </cell>
          <cell r="C228" t="str">
            <v>p2655</v>
          </cell>
          <cell r="D228" t="str">
            <v>p080</v>
          </cell>
          <cell r="E228" t="str">
            <v>Wine production</v>
          </cell>
        </row>
        <row r="229">
          <cell r="A229">
            <v>2535</v>
          </cell>
          <cell r="B229" t="str">
            <v>Yams</v>
          </cell>
          <cell r="C229" t="str">
            <v>p2535</v>
          </cell>
          <cell r="D229" t="str">
            <v>p014</v>
          </cell>
          <cell r="E229" t="str">
            <v>Yams production</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v"/>
      <sheetName val="Names_Prov"/>
      <sheetName val="FAO_Sp"/>
      <sheetName val="Names_cats"/>
      <sheetName val="Names_FAO"/>
      <sheetName val="Names_MAPA"/>
      <sheetName val="Names_Lab"/>
      <sheetName val="Names_biomass"/>
      <sheetName val="Biomass_names"/>
      <sheetName val="Cats_MAPA"/>
      <sheetName val="Item_cats"/>
      <sheetName val="Cats_feed"/>
      <sheetName val="Cat_0"/>
      <sheetName val="Cat_Waste"/>
      <sheetName val="Cat_diets_agg"/>
      <sheetName val="Names_biomass_CB"/>
      <sheetName val="Hoja2"/>
      <sheetName val="Names_CB_biomass"/>
      <sheetName val="Feedstuff_FEDNA"/>
      <sheetName val="CBS_Trade_codes"/>
      <sheetName val="FBS_Trade_codes"/>
      <sheetName val="Hoja3"/>
      <sheetName val="Cats_Murcia"/>
      <sheetName val="CB_processing"/>
      <sheetName val="TF_plant_JRC"/>
      <sheetName val="HS_FAO_JRC"/>
      <sheetName val="CB_item"/>
      <sheetName val="Cats_eq"/>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ow r="3">
          <cell r="G3">
            <v>1</v>
          </cell>
          <cell r="H3">
            <v>1</v>
          </cell>
        </row>
        <row r="4">
          <cell r="G4">
            <v>1</v>
          </cell>
          <cell r="H4">
            <v>1</v>
          </cell>
        </row>
        <row r="5">
          <cell r="G5">
            <v>0.35</v>
          </cell>
          <cell r="H5">
            <v>1</v>
          </cell>
        </row>
        <row r="6">
          <cell r="G6">
            <v>0.35</v>
          </cell>
          <cell r="H6">
            <v>1</v>
          </cell>
        </row>
        <row r="7">
          <cell r="G7">
            <v>0.28999999999999998</v>
          </cell>
          <cell r="H7">
            <v>1</v>
          </cell>
        </row>
        <row r="8">
          <cell r="G8">
            <v>0.35</v>
          </cell>
          <cell r="H8">
            <v>1</v>
          </cell>
        </row>
        <row r="9">
          <cell r="G9">
            <v>0.12</v>
          </cell>
          <cell r="H9">
            <v>1</v>
          </cell>
        </row>
        <row r="10">
          <cell r="G10">
            <v>0.25</v>
          </cell>
          <cell r="H10">
            <v>1</v>
          </cell>
        </row>
        <row r="11">
          <cell r="G11">
            <v>1</v>
          </cell>
          <cell r="H11">
            <v>1</v>
          </cell>
        </row>
        <row r="12">
          <cell r="G12">
            <v>0.72</v>
          </cell>
          <cell r="H12">
            <v>1</v>
          </cell>
        </row>
        <row r="13">
          <cell r="F13" t="str">
            <v>Flour</v>
          </cell>
          <cell r="G13">
            <v>0.79</v>
          </cell>
          <cell r="H13">
            <v>0.7993920558187525</v>
          </cell>
        </row>
        <row r="14">
          <cell r="G14">
            <v>0.82</v>
          </cell>
          <cell r="H14">
            <v>0.84082340966631186</v>
          </cell>
        </row>
        <row r="15">
          <cell r="G15">
            <v>0.79</v>
          </cell>
          <cell r="H15">
            <v>0.82620187438434589</v>
          </cell>
        </row>
        <row r="16">
          <cell r="G16">
            <v>1</v>
          </cell>
          <cell r="H16">
            <v>1</v>
          </cell>
        </row>
        <row r="17">
          <cell r="F17" t="str">
            <v>Cake, maize</v>
          </cell>
          <cell r="G17">
            <v>0.11</v>
          </cell>
          <cell r="H17">
            <v>9.7234849621385649E-2</v>
          </cell>
        </row>
        <row r="18">
          <cell r="G18">
            <v>0.18</v>
          </cell>
          <cell r="H18">
            <v>0.20060794418124744</v>
          </cell>
        </row>
        <row r="19">
          <cell r="G19">
            <v>0.18</v>
          </cell>
          <cell r="H19">
            <v>0.20060794418124744</v>
          </cell>
        </row>
        <row r="20">
          <cell r="G20">
            <v>0.53</v>
          </cell>
          <cell r="H20">
            <v>0.7162895961710084</v>
          </cell>
        </row>
        <row r="21">
          <cell r="G21">
            <v>0.85</v>
          </cell>
          <cell r="H21">
            <v>1</v>
          </cell>
        </row>
        <row r="22">
          <cell r="G22">
            <v>0.73</v>
          </cell>
          <cell r="H22">
            <v>1</v>
          </cell>
        </row>
        <row r="23">
          <cell r="G23">
            <v>0.93</v>
          </cell>
          <cell r="H23">
            <v>1</v>
          </cell>
        </row>
        <row r="24">
          <cell r="G24">
            <v>0.85</v>
          </cell>
          <cell r="H24">
            <v>1</v>
          </cell>
        </row>
        <row r="25">
          <cell r="G25">
            <v>0.02</v>
          </cell>
          <cell r="H25">
            <v>1.6626538028498762E-2</v>
          </cell>
        </row>
        <row r="26">
          <cell r="G26">
            <v>0.24</v>
          </cell>
          <cell r="H26">
            <v>1</v>
          </cell>
        </row>
        <row r="27">
          <cell r="G27">
            <v>0.72</v>
          </cell>
          <cell r="H27">
            <v>1</v>
          </cell>
        </row>
        <row r="28">
          <cell r="G28">
            <v>0.73</v>
          </cell>
          <cell r="H28">
            <v>1</v>
          </cell>
        </row>
        <row r="29">
          <cell r="G29">
            <v>0.8</v>
          </cell>
          <cell r="H29">
            <v>1</v>
          </cell>
        </row>
        <row r="30">
          <cell r="G30">
            <v>0.85</v>
          </cell>
          <cell r="H30">
            <v>0.66017029339966815</v>
          </cell>
        </row>
        <row r="31">
          <cell r="G31">
            <v>0.75</v>
          </cell>
          <cell r="H31">
            <v>1</v>
          </cell>
        </row>
        <row r="32">
          <cell r="G32">
            <v>0.19</v>
          </cell>
          <cell r="H32">
            <v>1</v>
          </cell>
        </row>
        <row r="33">
          <cell r="G33">
            <v>0.25</v>
          </cell>
          <cell r="H33">
            <v>1</v>
          </cell>
        </row>
        <row r="34">
          <cell r="G34">
            <v>0.15</v>
          </cell>
          <cell r="H34">
            <v>0.3398297066003319</v>
          </cell>
        </row>
        <row r="35">
          <cell r="G35">
            <v>0.6</v>
          </cell>
          <cell r="H35">
            <v>1</v>
          </cell>
        </row>
        <row r="36">
          <cell r="F36" t="str">
            <v>Palm kernels</v>
          </cell>
          <cell r="G36">
            <v>0.06</v>
          </cell>
          <cell r="H36">
            <v>0.16</v>
          </cell>
        </row>
        <row r="37">
          <cell r="G37">
            <v>0.85</v>
          </cell>
          <cell r="H37">
            <v>1</v>
          </cell>
        </row>
        <row r="38">
          <cell r="F38" t="str">
            <v>Soyabean Oil</v>
          </cell>
          <cell r="G38">
            <v>0.18</v>
          </cell>
          <cell r="H38">
            <v>0.34464473273854535</v>
          </cell>
        </row>
        <row r="39">
          <cell r="F39" t="str">
            <v>Groundnut Oil</v>
          </cell>
          <cell r="G39">
            <v>0.43</v>
          </cell>
          <cell r="H39">
            <v>0.79836076351489982</v>
          </cell>
        </row>
        <row r="40">
          <cell r="F40" t="str">
            <v>Olive Oil</v>
          </cell>
          <cell r="G40">
            <v>0.2</v>
          </cell>
          <cell r="H40">
            <v>0.95741496292538231</v>
          </cell>
        </row>
        <row r="41">
          <cell r="G41">
            <v>0.02</v>
          </cell>
          <cell r="H41">
            <v>4.2585037074617665E-2</v>
          </cell>
        </row>
        <row r="42">
          <cell r="F42" t="str">
            <v>Palm Oil</v>
          </cell>
          <cell r="G42">
            <v>0.19</v>
          </cell>
          <cell r="H42">
            <v>0.84323650658249738</v>
          </cell>
        </row>
        <row r="43">
          <cell r="F43" t="str">
            <v>Sunflowerseed Oil</v>
          </cell>
          <cell r="G43">
            <v>0.41</v>
          </cell>
          <cell r="H43">
            <v>0.81072538253005644</v>
          </cell>
        </row>
        <row r="44">
          <cell r="F44" t="str">
            <v>Coconut Oil</v>
          </cell>
          <cell r="G44">
            <v>0.36</v>
          </cell>
          <cell r="H44">
            <v>0.76</v>
          </cell>
        </row>
        <row r="45">
          <cell r="G45">
            <v>0.98</v>
          </cell>
          <cell r="H45">
            <v>1</v>
          </cell>
        </row>
        <row r="46">
          <cell r="F46" t="str">
            <v>Palmkernel Oil</v>
          </cell>
          <cell r="G46">
            <v>0.46</v>
          </cell>
          <cell r="H46">
            <v>0.85</v>
          </cell>
        </row>
        <row r="47">
          <cell r="G47">
            <v>0.98</v>
          </cell>
          <cell r="H47">
            <v>1</v>
          </cell>
        </row>
        <row r="48">
          <cell r="F48" t="str">
            <v>Rape and Mustard Oil</v>
          </cell>
          <cell r="G48">
            <v>0.38</v>
          </cell>
          <cell r="H48">
            <v>0.705300524341818</v>
          </cell>
        </row>
        <row r="49">
          <cell r="G49">
            <v>4.7619047619047619</v>
          </cell>
          <cell r="H49">
            <v>1</v>
          </cell>
        </row>
        <row r="50">
          <cell r="F50" t="str">
            <v>Sugar (Raw Equivalent)</v>
          </cell>
          <cell r="G50">
            <v>0.11</v>
          </cell>
          <cell r="H50">
            <v>0.87436129775170701</v>
          </cell>
        </row>
        <row r="51">
          <cell r="G51">
            <v>0.14000000000000001</v>
          </cell>
          <cell r="H51">
            <v>0.91538969664631897</v>
          </cell>
        </row>
        <row r="52">
          <cell r="G52">
            <v>1.87</v>
          </cell>
          <cell r="H52">
            <v>1</v>
          </cell>
        </row>
        <row r="53">
          <cell r="G53">
            <v>1</v>
          </cell>
          <cell r="H53">
            <v>1</v>
          </cell>
        </row>
        <row r="54">
          <cell r="F54" t="str">
            <v>Molasses</v>
          </cell>
          <cell r="G54">
            <v>0.05</v>
          </cell>
          <cell r="H54">
            <v>0.08</v>
          </cell>
        </row>
        <row r="55">
          <cell r="G55">
            <v>0.8</v>
          </cell>
          <cell r="H55">
            <v>0.97303548356782177</v>
          </cell>
        </row>
        <row r="56">
          <cell r="G56">
            <v>0.47</v>
          </cell>
          <cell r="H56">
            <v>0.65809438643593587</v>
          </cell>
        </row>
        <row r="57">
          <cell r="G57">
            <v>0.53</v>
          </cell>
          <cell r="H57">
            <v>0.34190561356406401</v>
          </cell>
        </row>
        <row r="58">
          <cell r="G58">
            <v>0.89285714285714279</v>
          </cell>
          <cell r="H58">
            <v>1</v>
          </cell>
        </row>
        <row r="59">
          <cell r="G59">
            <v>1</v>
          </cell>
          <cell r="H59">
            <v>1</v>
          </cell>
        </row>
        <row r="60">
          <cell r="G60">
            <v>1.1499999999999999</v>
          </cell>
          <cell r="H60">
            <v>1</v>
          </cell>
        </row>
        <row r="61">
          <cell r="G61">
            <v>1</v>
          </cell>
          <cell r="H61">
            <v>1</v>
          </cell>
        </row>
        <row r="62">
          <cell r="G62">
            <v>1</v>
          </cell>
          <cell r="H62">
            <v>1</v>
          </cell>
        </row>
        <row r="63">
          <cell r="G63">
            <v>1</v>
          </cell>
          <cell r="H63">
            <v>1</v>
          </cell>
        </row>
        <row r="64">
          <cell r="G64">
            <v>0.43859649122807021</v>
          </cell>
          <cell r="H64">
            <v>1</v>
          </cell>
        </row>
        <row r="65">
          <cell r="G65">
            <v>0.55000000000000004</v>
          </cell>
          <cell r="H65">
            <v>1</v>
          </cell>
        </row>
        <row r="66">
          <cell r="G66">
            <v>0.75</v>
          </cell>
          <cell r="H66">
            <v>1</v>
          </cell>
        </row>
        <row r="67">
          <cell r="G67">
            <v>0.2</v>
          </cell>
          <cell r="H67">
            <v>1</v>
          </cell>
        </row>
        <row r="68">
          <cell r="G68">
            <v>0.8</v>
          </cell>
          <cell r="H68">
            <v>1</v>
          </cell>
        </row>
        <row r="69">
          <cell r="G69">
            <v>0.75</v>
          </cell>
          <cell r="H69">
            <v>1</v>
          </cell>
        </row>
        <row r="70">
          <cell r="G70">
            <v>0.72</v>
          </cell>
          <cell r="H70">
            <v>1</v>
          </cell>
        </row>
        <row r="71">
          <cell r="G71">
            <v>1</v>
          </cell>
          <cell r="H71">
            <v>1</v>
          </cell>
        </row>
        <row r="72">
          <cell r="G72">
            <v>3.5</v>
          </cell>
          <cell r="H72">
            <v>1</v>
          </cell>
        </row>
        <row r="73">
          <cell r="G73">
            <v>0.4</v>
          </cell>
          <cell r="H73">
            <v>1</v>
          </cell>
        </row>
        <row r="74">
          <cell r="G74">
            <v>0.85</v>
          </cell>
          <cell r="H74">
            <v>1</v>
          </cell>
        </row>
        <row r="75">
          <cell r="F75" t="str">
            <v>Beer</v>
          </cell>
          <cell r="G75">
            <v>6.55</v>
          </cell>
          <cell r="H75">
            <v>1</v>
          </cell>
        </row>
        <row r="76">
          <cell r="F76" t="str">
            <v>Wine</v>
          </cell>
          <cell r="G76">
            <v>0.86</v>
          </cell>
          <cell r="H76">
            <v>1</v>
          </cell>
        </row>
        <row r="77">
          <cell r="F77" t="str">
            <v>Beverages, Fermented</v>
          </cell>
          <cell r="G77">
            <v>0.7</v>
          </cell>
          <cell r="H77">
            <v>1</v>
          </cell>
        </row>
        <row r="78">
          <cell r="G78">
            <v>0.5714285714285714</v>
          </cell>
          <cell r="H78">
            <v>1</v>
          </cell>
        </row>
        <row r="79">
          <cell r="F79" t="str">
            <v>Soyabean Cake</v>
          </cell>
          <cell r="G79">
            <v>0.79</v>
          </cell>
          <cell r="H79">
            <v>0.65535526726145477</v>
          </cell>
        </row>
        <row r="80">
          <cell r="F80" t="str">
            <v>Groundnut Cake</v>
          </cell>
          <cell r="G80">
            <v>0.54</v>
          </cell>
          <cell r="H80">
            <v>0.20163923648510021</v>
          </cell>
        </row>
        <row r="81">
          <cell r="F81" t="str">
            <v>Cottonseed Cake</v>
          </cell>
          <cell r="G81">
            <v>0.51</v>
          </cell>
          <cell r="H81">
            <v>0.32937551139078125</v>
          </cell>
        </row>
        <row r="82">
          <cell r="F82" t="str">
            <v>Oilseed Cakes, Other</v>
          </cell>
          <cell r="G82">
            <v>0.63</v>
          </cell>
          <cell r="H82">
            <v>0.3750720990127574</v>
          </cell>
        </row>
        <row r="83">
          <cell r="F83" t="str">
            <v>Sunflowerseed Cake</v>
          </cell>
          <cell r="G83">
            <v>0.47</v>
          </cell>
          <cell r="H83">
            <v>0.18927461746994348</v>
          </cell>
        </row>
        <row r="84">
          <cell r="F84" t="str">
            <v>Rape and Mustard Cake</v>
          </cell>
          <cell r="G84">
            <v>0.6</v>
          </cell>
          <cell r="H84">
            <v>0.29469947565818211</v>
          </cell>
        </row>
        <row r="85">
          <cell r="F85" t="str">
            <v>Copra Cake</v>
          </cell>
          <cell r="G85">
            <v>0.61</v>
          </cell>
          <cell r="H85">
            <v>0.24</v>
          </cell>
        </row>
        <row r="86">
          <cell r="F86" t="str">
            <v>Palmkernel Cake</v>
          </cell>
          <cell r="G86">
            <v>0.52</v>
          </cell>
          <cell r="H86">
            <v>0.15097806180408466</v>
          </cell>
        </row>
        <row r="87">
          <cell r="G87">
            <v>1</v>
          </cell>
          <cell r="H87">
            <v>1</v>
          </cell>
        </row>
        <row r="88">
          <cell r="G88">
            <v>0.95</v>
          </cell>
          <cell r="H88">
            <v>0.9861919399429242</v>
          </cell>
        </row>
        <row r="89">
          <cell r="G89">
            <v>0.94</v>
          </cell>
          <cell r="H89">
            <v>1</v>
          </cell>
        </row>
        <row r="90">
          <cell r="G90">
            <v>0.94</v>
          </cell>
          <cell r="H90">
            <v>1</v>
          </cell>
        </row>
        <row r="91">
          <cell r="G91">
            <v>0.5</v>
          </cell>
          <cell r="H91">
            <v>0.46</v>
          </cell>
        </row>
        <row r="92">
          <cell r="G92">
            <v>0.12820512820512822</v>
          </cell>
          <cell r="H92">
            <v>1</v>
          </cell>
        </row>
        <row r="93">
          <cell r="G93">
            <v>0.41666666666666669</v>
          </cell>
          <cell r="H93">
            <v>1</v>
          </cell>
        </row>
      </sheetData>
      <sheetData sheetId="25" refreshError="1"/>
      <sheetData sheetId="26" refreshError="1"/>
      <sheetData sheetId="2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tems_bouwman"/>
      <sheetName val="CBS_prod_items"/>
      <sheetName val="CBS_Trade_codes"/>
      <sheetName val="items_full"/>
      <sheetName val="conc_water"/>
      <sheetName val="regions_fabio"/>
      <sheetName val="regions_full"/>
      <sheetName val="Names_Liv_Prod"/>
      <sheetName val="Liv_LU_coefs"/>
      <sheetName val="Animals_codes"/>
      <sheetName val="ListPrimary"/>
      <sheetName val="TradetoPrimary"/>
      <sheetName val="CB_processing"/>
      <sheetName val="water_fab"/>
      <sheetName val="energy_fab"/>
      <sheetName val="conv_krausmann"/>
      <sheetName val="conv_bouwman"/>
      <sheetName val="Primary_double"/>
    </sheetNames>
    <sheetDataSet>
      <sheetData sheetId="0" refreshError="1"/>
      <sheetData sheetId="1" refreshError="1"/>
      <sheetData sheetId="2">
        <row r="2">
          <cell r="B2" t="str">
            <v>Manila fibre (abaca)</v>
          </cell>
          <cell r="C2" t="str">
            <v>Abaca</v>
          </cell>
        </row>
        <row r="3">
          <cell r="B3" t="str">
            <v>Alcohol non food</v>
          </cell>
          <cell r="C3" t="str">
            <v>Alcohol, Non-Food</v>
          </cell>
        </row>
        <row r="4">
          <cell r="B4" t="str">
            <v>Apples</v>
          </cell>
          <cell r="C4" t="str">
            <v>Apples and products</v>
          </cell>
        </row>
        <row r="5">
          <cell r="B5" t="str">
            <v>Juice, apple, single strength</v>
          </cell>
          <cell r="C5" t="str">
            <v>Apples and products</v>
          </cell>
        </row>
        <row r="6">
          <cell r="B6" t="str">
            <v>Juice, apple, concentrated</v>
          </cell>
          <cell r="C6" t="str">
            <v>Apples and products</v>
          </cell>
        </row>
        <row r="7">
          <cell r="B7" t="str">
            <v>Bananas</v>
          </cell>
          <cell r="C7" t="str">
            <v>Bananas</v>
          </cell>
        </row>
        <row r="8">
          <cell r="B8" t="str">
            <v>Barley</v>
          </cell>
          <cell r="C8" t="str">
            <v>Barley and products</v>
          </cell>
        </row>
        <row r="9">
          <cell r="B9" t="str">
            <v>Barley, pot</v>
          </cell>
          <cell r="C9" t="str">
            <v>Barley and products</v>
          </cell>
        </row>
        <row r="10">
          <cell r="B10" t="str">
            <v>Barley, pearled</v>
          </cell>
          <cell r="C10" t="str">
            <v>Barley and products</v>
          </cell>
        </row>
        <row r="11">
          <cell r="B11" t="str">
            <v>Bran, barley</v>
          </cell>
          <cell r="C11" t="str">
            <v>Barley and products</v>
          </cell>
        </row>
        <row r="12">
          <cell r="B12" t="str">
            <v>Flour, barley and grits</v>
          </cell>
          <cell r="C12" t="str">
            <v>Barley and products</v>
          </cell>
        </row>
        <row r="13">
          <cell r="B13" t="str">
            <v>Malt</v>
          </cell>
          <cell r="C13" t="str">
            <v>Barley and products</v>
          </cell>
        </row>
        <row r="14">
          <cell r="B14" t="str">
            <v>Malt extract</v>
          </cell>
          <cell r="C14" t="str">
            <v>Barley and products</v>
          </cell>
        </row>
        <row r="15">
          <cell r="B15" t="str">
            <v>Beans, dry</v>
          </cell>
          <cell r="C15" t="str">
            <v>Beans</v>
          </cell>
        </row>
        <row r="16">
          <cell r="B16" t="str">
            <v>Beer of barley</v>
          </cell>
          <cell r="C16" t="str">
            <v>Beer</v>
          </cell>
        </row>
        <row r="17">
          <cell r="B17" t="str">
            <v>Beverages, distilled alcoholic</v>
          </cell>
          <cell r="C17" t="str">
            <v>Beverages, Alcoholic</v>
          </cell>
        </row>
        <row r="18">
          <cell r="B18" t="str">
            <v>Beverages, fermented wheat</v>
          </cell>
          <cell r="C18" t="str">
            <v>Beverages, Fermented</v>
          </cell>
        </row>
        <row r="19">
          <cell r="B19" t="str">
            <v>Beverages, fermented rice</v>
          </cell>
          <cell r="C19" t="str">
            <v>Beverages, Fermented</v>
          </cell>
        </row>
        <row r="20">
          <cell r="B20" t="str">
            <v>Beer of maize</v>
          </cell>
          <cell r="C20" t="str">
            <v>Beverages, Fermented</v>
          </cell>
        </row>
        <row r="21">
          <cell r="B21" t="str">
            <v>Beer of millet</v>
          </cell>
          <cell r="C21" t="str">
            <v>Beverages, Fermented</v>
          </cell>
        </row>
        <row r="22">
          <cell r="B22" t="str">
            <v>Beer of sorghum</v>
          </cell>
          <cell r="C22" t="str">
            <v>Beverages, Fermented</v>
          </cell>
        </row>
        <row r="23">
          <cell r="B23" t="str">
            <v>Cider etc</v>
          </cell>
          <cell r="C23" t="str">
            <v>Beverages, Fermented</v>
          </cell>
        </row>
        <row r="24">
          <cell r="B24" t="str">
            <v>Bran, wheat</v>
          </cell>
          <cell r="C24" t="str">
            <v>Wheat and products</v>
          </cell>
        </row>
        <row r="25">
          <cell r="B25" t="str">
            <v>Bran, rice</v>
          </cell>
          <cell r="C25" t="str">
            <v>Rice and products</v>
          </cell>
        </row>
        <row r="26">
          <cell r="B26" t="str">
            <v>Bran, barley</v>
          </cell>
          <cell r="C26" t="str">
            <v>Barley and products</v>
          </cell>
        </row>
        <row r="27">
          <cell r="B27" t="str">
            <v>Bran, maize</v>
          </cell>
          <cell r="C27" t="str">
            <v>Maize and products</v>
          </cell>
        </row>
        <row r="28">
          <cell r="B28" t="str">
            <v>Bran, rye</v>
          </cell>
          <cell r="C28" t="str">
            <v>Rye and products</v>
          </cell>
        </row>
        <row r="29">
          <cell r="B29" t="str">
            <v>Bran, oats</v>
          </cell>
          <cell r="C29" t="str">
            <v>Oats</v>
          </cell>
        </row>
        <row r="30">
          <cell r="B30" t="str">
            <v>Bran, millet</v>
          </cell>
          <cell r="C30" t="str">
            <v>Millet and products</v>
          </cell>
        </row>
        <row r="31">
          <cell r="B31" t="str">
            <v>Bran, sorghum</v>
          </cell>
          <cell r="C31" t="str">
            <v>Sorghum and products</v>
          </cell>
        </row>
        <row r="32">
          <cell r="B32" t="str">
            <v>Bran, buckwheat</v>
          </cell>
          <cell r="C32" t="str">
            <v>Cereals, Other</v>
          </cell>
        </row>
        <row r="33">
          <cell r="B33" t="str">
            <v>Bran, fonio</v>
          </cell>
          <cell r="C33" t="str">
            <v>Cereals, Other</v>
          </cell>
        </row>
        <row r="34">
          <cell r="B34" t="str">
            <v>Bran, triticale</v>
          </cell>
          <cell r="C34" t="str">
            <v>Cereals, Other</v>
          </cell>
        </row>
        <row r="35">
          <cell r="B35" t="str">
            <v>Bran, mixed grains</v>
          </cell>
          <cell r="C35" t="str">
            <v>Cereals, Other</v>
          </cell>
        </row>
        <row r="36">
          <cell r="B36" t="str">
            <v>Bran, cereals nes</v>
          </cell>
          <cell r="C36" t="str">
            <v>Cereals, Other</v>
          </cell>
        </row>
        <row r="37">
          <cell r="B37" t="str">
            <v>Bran, pulses</v>
          </cell>
          <cell r="C37" t="str">
            <v>Pulses, Other and products</v>
          </cell>
        </row>
        <row r="38">
          <cell r="B38" t="str">
            <v>Cassava</v>
          </cell>
          <cell r="C38" t="str">
            <v>Cassava and products</v>
          </cell>
        </row>
        <row r="39">
          <cell r="B39" t="str">
            <v>Flour, cassava</v>
          </cell>
          <cell r="C39" t="str">
            <v>Cassava and products</v>
          </cell>
        </row>
        <row r="40">
          <cell r="B40" t="str">
            <v>Tapioca, cassava</v>
          </cell>
          <cell r="C40" t="str">
            <v>Cassava and products</v>
          </cell>
        </row>
        <row r="41">
          <cell r="B41" t="str">
            <v>Cassava dried</v>
          </cell>
          <cell r="C41" t="str">
            <v>Cassava and products</v>
          </cell>
        </row>
        <row r="42">
          <cell r="B42" t="str">
            <v>Starch, cassava</v>
          </cell>
          <cell r="C42" t="str">
            <v>Cassava and products</v>
          </cell>
        </row>
        <row r="43">
          <cell r="B43" t="str">
            <v>Popcorn</v>
          </cell>
          <cell r="C43" t="str">
            <v>Cereals, Other</v>
          </cell>
        </row>
        <row r="44">
          <cell r="B44" t="str">
            <v>Buckwheat</v>
          </cell>
          <cell r="C44" t="str">
            <v>Cereals, Other</v>
          </cell>
        </row>
        <row r="45">
          <cell r="B45" t="str">
            <v>Flour, buckwheat</v>
          </cell>
          <cell r="C45" t="str">
            <v>Cereals, Other</v>
          </cell>
        </row>
        <row r="46">
          <cell r="B46" t="str">
            <v>Bran, buckwheat</v>
          </cell>
          <cell r="C46" t="str">
            <v>Cereals, Other</v>
          </cell>
        </row>
        <row r="47">
          <cell r="B47" t="str">
            <v>Quinoa</v>
          </cell>
          <cell r="C47" t="str">
            <v>Cereals, Other</v>
          </cell>
        </row>
        <row r="48">
          <cell r="B48" t="str">
            <v>Fonio</v>
          </cell>
          <cell r="C48" t="str">
            <v>Cereals, Other</v>
          </cell>
        </row>
        <row r="49">
          <cell r="B49" t="str">
            <v>Flour, fonio</v>
          </cell>
          <cell r="C49" t="str">
            <v>Cereals, Other</v>
          </cell>
        </row>
        <row r="50">
          <cell r="B50" t="str">
            <v>Bran, fonio</v>
          </cell>
          <cell r="C50" t="str">
            <v>Cereals, Other</v>
          </cell>
        </row>
        <row r="51">
          <cell r="B51" t="str">
            <v>Triticale</v>
          </cell>
          <cell r="C51" t="str">
            <v>Cereals, Other</v>
          </cell>
        </row>
        <row r="52">
          <cell r="B52" t="str">
            <v>Flour, triticale</v>
          </cell>
          <cell r="C52" t="str">
            <v>Cereals, Other</v>
          </cell>
        </row>
        <row r="53">
          <cell r="B53" t="str">
            <v>Bran, triticale</v>
          </cell>
          <cell r="C53" t="str">
            <v>Cereals, Other</v>
          </cell>
        </row>
        <row r="54">
          <cell r="B54" t="str">
            <v>Canary seed</v>
          </cell>
          <cell r="C54" t="str">
            <v>Cereals, Other</v>
          </cell>
        </row>
        <row r="55">
          <cell r="B55" t="str">
            <v>Grain, mixed</v>
          </cell>
          <cell r="C55" t="str">
            <v>Cereals, Other</v>
          </cell>
        </row>
        <row r="56">
          <cell r="B56" t="str">
            <v>Flour, mixed grain</v>
          </cell>
          <cell r="C56" t="str">
            <v>Cereals, Other</v>
          </cell>
        </row>
        <row r="57">
          <cell r="B57" t="str">
            <v>Bran, mixed grains</v>
          </cell>
          <cell r="C57" t="str">
            <v>Cereals, Other</v>
          </cell>
        </row>
        <row r="58">
          <cell r="B58" t="str">
            <v>Cereals nes</v>
          </cell>
          <cell r="C58" t="str">
            <v>Cereals, Other</v>
          </cell>
        </row>
        <row r="59">
          <cell r="B59" t="str">
            <v>Flour, cereals</v>
          </cell>
          <cell r="C59" t="str">
            <v>Cereals, Other</v>
          </cell>
        </row>
        <row r="60">
          <cell r="B60" t="str">
            <v>Bran, cereals nes</v>
          </cell>
          <cell r="C60" t="str">
            <v>Cereals, Other</v>
          </cell>
        </row>
        <row r="61">
          <cell r="B61" t="str">
            <v>Cereal preparations nes</v>
          </cell>
          <cell r="C61" t="str">
            <v>Cereals, Other</v>
          </cell>
        </row>
        <row r="62">
          <cell r="B62" t="str">
            <v>Fruit, citrus nes</v>
          </cell>
          <cell r="C62" t="str">
            <v>Citrus, Other</v>
          </cell>
        </row>
        <row r="63">
          <cell r="B63" t="str">
            <v>Juice, citrus, single strength</v>
          </cell>
          <cell r="C63" t="str">
            <v>Citrus, Other</v>
          </cell>
        </row>
        <row r="64">
          <cell r="B64" t="str">
            <v>Juice, citrus, concentrated</v>
          </cell>
          <cell r="C64" t="str">
            <v>Citrus, Other</v>
          </cell>
        </row>
        <row r="65">
          <cell r="B65" t="str">
            <v>Cloves</v>
          </cell>
          <cell r="C65" t="str">
            <v>Cloves</v>
          </cell>
        </row>
        <row r="66">
          <cell r="B66" t="str">
            <v>Cocoa, beans</v>
          </cell>
          <cell r="C66" t="str">
            <v>Cocoa Beans and products</v>
          </cell>
        </row>
        <row r="67">
          <cell r="B67" t="str">
            <v>Cocoa, paste</v>
          </cell>
          <cell r="C67" t="str">
            <v>Cocoa Beans and products</v>
          </cell>
        </row>
        <row r="68">
          <cell r="B68" t="str">
            <v>Cocoa, powder &amp; cake</v>
          </cell>
          <cell r="C68" t="str">
            <v>Cocoa Beans and products</v>
          </cell>
        </row>
        <row r="69">
          <cell r="B69" t="str">
            <v>Chocolate products nes</v>
          </cell>
          <cell r="C69" t="str">
            <v>Cocoa Beans and products</v>
          </cell>
        </row>
        <row r="70">
          <cell r="B70" t="str">
            <v>Oil, coconut (copra)</v>
          </cell>
          <cell r="C70" t="str">
            <v>Coconut Oil</v>
          </cell>
        </row>
        <row r="71">
          <cell r="B71" t="str">
            <v>Coconuts</v>
          </cell>
          <cell r="C71" t="str">
            <v>Coconuts - Incl Copra</v>
          </cell>
        </row>
        <row r="72">
          <cell r="B72" t="str">
            <v>Coconuts, desiccated</v>
          </cell>
          <cell r="C72" t="str">
            <v>Coconuts - Incl Copra</v>
          </cell>
        </row>
        <row r="73">
          <cell r="B73" t="str">
            <v>Copra</v>
          </cell>
          <cell r="C73" t="str">
            <v>Coconuts - Incl Copra</v>
          </cell>
        </row>
        <row r="74">
          <cell r="B74" t="str">
            <v>Coffee, green</v>
          </cell>
          <cell r="C74" t="str">
            <v>Coffee and products</v>
          </cell>
        </row>
        <row r="75">
          <cell r="B75" t="str">
            <v>Coffee, roasted</v>
          </cell>
          <cell r="C75" t="str">
            <v>Coffee and products</v>
          </cell>
        </row>
        <row r="76">
          <cell r="B76" t="str">
            <v>Coffee, extracts</v>
          </cell>
          <cell r="C76" t="str">
            <v>Coffee and products</v>
          </cell>
        </row>
        <row r="77">
          <cell r="B77" t="str">
            <v>Coffee, husks and skins</v>
          </cell>
          <cell r="C77" t="str">
            <v>Coffee and products</v>
          </cell>
        </row>
        <row r="78">
          <cell r="B78" t="str">
            <v>Cake, copra</v>
          </cell>
          <cell r="C78" t="str">
            <v>Copra Cake</v>
          </cell>
        </row>
        <row r="79">
          <cell r="B79" t="str">
            <v>Cotton lint</v>
          </cell>
          <cell r="C79" t="str">
            <v>Cotton lint</v>
          </cell>
        </row>
        <row r="80">
          <cell r="B80" t="str">
            <v>Cotton linter</v>
          </cell>
          <cell r="C80" t="str">
            <v>Cotton lint</v>
          </cell>
        </row>
        <row r="81">
          <cell r="B81" t="str">
            <v>Cotton waste</v>
          </cell>
          <cell r="C81" t="str">
            <v>Cotton lint</v>
          </cell>
        </row>
        <row r="82">
          <cell r="B82" t="str">
            <v>Cotton, carded, combed</v>
          </cell>
          <cell r="C82" t="str">
            <v>Cotton lint</v>
          </cell>
        </row>
        <row r="83">
          <cell r="B83" t="str">
            <v>Cottonseed</v>
          </cell>
          <cell r="C83" t="str">
            <v>Cottonseed</v>
          </cell>
        </row>
        <row r="84">
          <cell r="B84" t="str">
            <v>Cake, cottonseed</v>
          </cell>
          <cell r="C84" t="str">
            <v>Cottonseed Cake</v>
          </cell>
        </row>
        <row r="85">
          <cell r="B85" t="str">
            <v>Oil, cottonseed</v>
          </cell>
          <cell r="C85" t="str">
            <v>Cottonseed Oil</v>
          </cell>
        </row>
        <row r="86">
          <cell r="B86" t="str">
            <v>Dates</v>
          </cell>
          <cell r="C86" t="str">
            <v>Dates</v>
          </cell>
        </row>
        <row r="87">
          <cell r="B87" t="str">
            <v>Pears</v>
          </cell>
          <cell r="C87" t="str">
            <v>Fruits, Other</v>
          </cell>
        </row>
        <row r="88">
          <cell r="B88" t="str">
            <v>Quinces</v>
          </cell>
          <cell r="C88" t="str">
            <v>Fruits, Other</v>
          </cell>
        </row>
        <row r="89">
          <cell r="B89" t="str">
            <v>Apricots</v>
          </cell>
          <cell r="C89" t="str">
            <v>Fruits, Other</v>
          </cell>
        </row>
        <row r="90">
          <cell r="B90" t="str">
            <v>Apricots, dry</v>
          </cell>
          <cell r="C90" t="str">
            <v>Fruits, Other</v>
          </cell>
        </row>
        <row r="91">
          <cell r="B91" t="str">
            <v>Cherries, sour</v>
          </cell>
          <cell r="C91" t="str">
            <v>Fruits, Other</v>
          </cell>
        </row>
        <row r="92">
          <cell r="B92" t="str">
            <v>Cherries</v>
          </cell>
          <cell r="C92" t="str">
            <v>Fruits, Other</v>
          </cell>
        </row>
        <row r="93">
          <cell r="B93" t="str">
            <v>Peaches and nectarines</v>
          </cell>
          <cell r="C93" t="str">
            <v>Fruits, Other</v>
          </cell>
        </row>
        <row r="94">
          <cell r="B94" t="str">
            <v>Plums and sloes</v>
          </cell>
          <cell r="C94" t="str">
            <v>Fruits, Other</v>
          </cell>
        </row>
        <row r="95">
          <cell r="B95" t="str">
            <v>Plums dried (prunes)</v>
          </cell>
          <cell r="C95" t="str">
            <v>Fruits, Other</v>
          </cell>
        </row>
        <row r="96">
          <cell r="B96" t="str">
            <v>Juice, plum, single strength</v>
          </cell>
          <cell r="C96" t="str">
            <v>Fruits, Other</v>
          </cell>
        </row>
        <row r="97">
          <cell r="B97" t="str">
            <v>Juice, plum, concentrated</v>
          </cell>
          <cell r="C97" t="str">
            <v>Fruits, Other</v>
          </cell>
        </row>
        <row r="98">
          <cell r="B98" t="str">
            <v>Fruit, stone nes</v>
          </cell>
          <cell r="C98" t="str">
            <v>Fruits, Other</v>
          </cell>
        </row>
        <row r="99">
          <cell r="B99" t="str">
            <v>Fruit, pome nes</v>
          </cell>
          <cell r="C99" t="str">
            <v>Fruits, Other</v>
          </cell>
        </row>
        <row r="100">
          <cell r="B100" t="str">
            <v>Strawberries</v>
          </cell>
          <cell r="C100" t="str">
            <v>Fruits, Other</v>
          </cell>
        </row>
        <row r="101">
          <cell r="B101" t="str">
            <v>Raspberries</v>
          </cell>
          <cell r="C101" t="str">
            <v>Fruits, Other</v>
          </cell>
        </row>
        <row r="102">
          <cell r="B102" t="str">
            <v>Gooseberries</v>
          </cell>
          <cell r="C102" t="str">
            <v>Fruits, Other</v>
          </cell>
        </row>
        <row r="103">
          <cell r="B103" t="str">
            <v>Currants</v>
          </cell>
          <cell r="C103" t="str">
            <v>Fruits, Other</v>
          </cell>
        </row>
        <row r="104">
          <cell r="B104" t="str">
            <v>Blueberries</v>
          </cell>
          <cell r="C104" t="str">
            <v>Fruits, Other</v>
          </cell>
        </row>
        <row r="105">
          <cell r="B105" t="str">
            <v>Cranberries</v>
          </cell>
          <cell r="C105" t="str">
            <v>Fruits, Other</v>
          </cell>
        </row>
        <row r="106">
          <cell r="B106" t="str">
            <v>Berries nes</v>
          </cell>
          <cell r="C106" t="str">
            <v>Fruits, Other</v>
          </cell>
        </row>
        <row r="107">
          <cell r="B107" t="str">
            <v>Watermelons</v>
          </cell>
          <cell r="C107" t="str">
            <v>Fruits, Other</v>
          </cell>
        </row>
        <row r="108">
          <cell r="B108" t="str">
            <v>Melons, other (inc.cantaloupes)</v>
          </cell>
          <cell r="C108" t="str">
            <v>Fruits, Other</v>
          </cell>
        </row>
        <row r="109">
          <cell r="B109" t="str">
            <v>Figs</v>
          </cell>
          <cell r="C109" t="str">
            <v>Fruits, Other</v>
          </cell>
        </row>
        <row r="110">
          <cell r="B110" t="str">
            <v>Figs dried</v>
          </cell>
          <cell r="C110" t="str">
            <v>Fruits, Other</v>
          </cell>
        </row>
        <row r="111">
          <cell r="B111" t="str">
            <v>Mangoes, mangosteens, guavas</v>
          </cell>
          <cell r="C111" t="str">
            <v>Fruits, Other</v>
          </cell>
        </row>
        <row r="112">
          <cell r="B112" t="str">
            <v>Avocados</v>
          </cell>
          <cell r="C112" t="str">
            <v>Fruits, Other</v>
          </cell>
        </row>
        <row r="113">
          <cell r="B113" t="str">
            <v>Juice, mango</v>
          </cell>
          <cell r="C113" t="str">
            <v>Fruits, Other</v>
          </cell>
        </row>
        <row r="114">
          <cell r="B114" t="str">
            <v>Persimmons</v>
          </cell>
          <cell r="C114" t="str">
            <v>Fruits, Other</v>
          </cell>
        </row>
        <row r="115">
          <cell r="B115" t="str">
            <v>Cashewapple</v>
          </cell>
          <cell r="C115" t="str">
            <v>Fruits, Other</v>
          </cell>
        </row>
        <row r="116">
          <cell r="B116" t="str">
            <v>Kiwi fruit</v>
          </cell>
          <cell r="C116" t="str">
            <v>Fruits, Other</v>
          </cell>
        </row>
        <row r="117">
          <cell r="B117" t="str">
            <v>Papayas</v>
          </cell>
          <cell r="C117" t="str">
            <v>Fruits, Other</v>
          </cell>
        </row>
        <row r="118">
          <cell r="B118" t="str">
            <v>Fruit, tropical fresh nes</v>
          </cell>
          <cell r="C118" t="str">
            <v>Fruits, Other</v>
          </cell>
        </row>
        <row r="119">
          <cell r="B119" t="str">
            <v>Fruit, tropical dried nes</v>
          </cell>
          <cell r="C119" t="str">
            <v>Fruits, Other</v>
          </cell>
        </row>
        <row r="120">
          <cell r="B120" t="str">
            <v>Fruit, fresh nes</v>
          </cell>
          <cell r="C120" t="str">
            <v>Fruits, Other</v>
          </cell>
        </row>
        <row r="121">
          <cell r="B121" t="str">
            <v>Fruit, dried nes</v>
          </cell>
          <cell r="C121" t="str">
            <v>Fruits, Other</v>
          </cell>
        </row>
        <row r="122">
          <cell r="B122" t="str">
            <v>Juice, fruit nes</v>
          </cell>
          <cell r="C122" t="str">
            <v>Fruits, Other</v>
          </cell>
        </row>
        <row r="123">
          <cell r="B123" t="str">
            <v>Fruit, prepared nes</v>
          </cell>
          <cell r="C123" t="str">
            <v>Fruits, Other</v>
          </cell>
        </row>
        <row r="124">
          <cell r="B124" t="str">
            <v>Flour, fruit</v>
          </cell>
          <cell r="C124" t="str">
            <v>Fruits, Other</v>
          </cell>
        </row>
        <row r="125">
          <cell r="B125" t="str">
            <v>Fruits, nuts, peel, sugar preserved</v>
          </cell>
          <cell r="C125" t="str">
            <v>Fruits, Other</v>
          </cell>
        </row>
        <row r="126">
          <cell r="B126" t="str">
            <v>Fruit, cooked, homogenized preparations</v>
          </cell>
          <cell r="C126" t="str">
            <v>Fruits, Other</v>
          </cell>
        </row>
        <row r="127">
          <cell r="B127" t="str">
            <v>Grapefruit (inc. pomelos)</v>
          </cell>
          <cell r="C127" t="str">
            <v>Grapefruit and products</v>
          </cell>
        </row>
        <row r="128">
          <cell r="B128" t="str">
            <v>Juice, grapefruit</v>
          </cell>
          <cell r="C128" t="str">
            <v>Grapefruit and products</v>
          </cell>
        </row>
        <row r="129">
          <cell r="B129" t="str">
            <v>Juice, grapefruit, concentrated</v>
          </cell>
          <cell r="C129" t="str">
            <v>Grapefruit and products</v>
          </cell>
        </row>
        <row r="130">
          <cell r="B130" t="str">
            <v>Grapes</v>
          </cell>
          <cell r="C130" t="str">
            <v>Grapes and products (excl wine)</v>
          </cell>
        </row>
        <row r="131">
          <cell r="B131" t="str">
            <v>Raisins</v>
          </cell>
          <cell r="C131" t="str">
            <v>Grapes and products (excl wine)</v>
          </cell>
        </row>
        <row r="132">
          <cell r="B132" t="str">
            <v>Juice, grape</v>
          </cell>
          <cell r="C132" t="str">
            <v>Grapes and products (excl wine)</v>
          </cell>
        </row>
        <row r="133">
          <cell r="B133" t="str">
            <v>Grapes, must</v>
          </cell>
          <cell r="C133" t="str">
            <v>Grapes and products (excl wine)</v>
          </cell>
        </row>
        <row r="134">
          <cell r="B134" t="str">
            <v>Cake, groundnuts</v>
          </cell>
          <cell r="C134" t="str">
            <v>Groundnut Cake</v>
          </cell>
        </row>
        <row r="135">
          <cell r="B135" t="str">
            <v>Oil, groundnut</v>
          </cell>
          <cell r="C135" t="str">
            <v>Groundnut Oil</v>
          </cell>
        </row>
        <row r="136">
          <cell r="B136" t="str">
            <v>Groundnuts, with shell</v>
          </cell>
          <cell r="C136" t="str">
            <v>Groundnuts</v>
          </cell>
        </row>
        <row r="137">
          <cell r="B137" t="str">
            <v>Groundnuts, shelled</v>
          </cell>
          <cell r="C137" t="str">
            <v>Groundnuts</v>
          </cell>
        </row>
        <row r="138">
          <cell r="B138" t="str">
            <v>Groundnuts, prepared</v>
          </cell>
          <cell r="C138" t="str">
            <v>Groundnuts</v>
          </cell>
        </row>
        <row r="139">
          <cell r="B139" t="str">
            <v>Peanut butter</v>
          </cell>
          <cell r="C139" t="str">
            <v>Groundnut Oil</v>
          </cell>
        </row>
        <row r="140">
          <cell r="B140" t="str">
            <v>Agave fibres nes</v>
          </cell>
          <cell r="C140" t="str">
            <v>Hard Fibres, Other</v>
          </cell>
        </row>
        <row r="141">
          <cell r="B141" t="str">
            <v>Coir</v>
          </cell>
          <cell r="C141" t="str">
            <v>Hard Fibres, Other</v>
          </cell>
        </row>
        <row r="142">
          <cell r="B142" t="str">
            <v>Fibre crops nes</v>
          </cell>
          <cell r="C142" t="str">
            <v>Hard Fibres, Other</v>
          </cell>
        </row>
        <row r="143">
          <cell r="B143" t="str">
            <v>Infant food</v>
          </cell>
          <cell r="C143" t="str">
            <v>Infant food</v>
          </cell>
        </row>
        <row r="144">
          <cell r="B144" t="str">
            <v>Jute</v>
          </cell>
          <cell r="C144" t="str">
            <v>Jute</v>
          </cell>
        </row>
        <row r="145">
          <cell r="B145" t="str">
            <v>Bastfibres, other</v>
          </cell>
          <cell r="C145" t="str">
            <v>Jute-Like Fibres</v>
          </cell>
        </row>
        <row r="146">
          <cell r="B146" t="str">
            <v>Lemons and limes</v>
          </cell>
          <cell r="C146" t="str">
            <v>Lemons, Limes and products</v>
          </cell>
        </row>
        <row r="147">
          <cell r="B147" t="str">
            <v>Juice, lemon, single strength</v>
          </cell>
          <cell r="C147" t="str">
            <v>Lemons, Limes and products</v>
          </cell>
        </row>
        <row r="148">
          <cell r="B148" t="str">
            <v>Juice, lemon, concentrated</v>
          </cell>
          <cell r="C148" t="str">
            <v>Lemons, Limes and products</v>
          </cell>
        </row>
        <row r="149">
          <cell r="B149" t="str">
            <v>Maize</v>
          </cell>
          <cell r="C149" t="str">
            <v>Maize and products</v>
          </cell>
        </row>
        <row r="150">
          <cell r="B150" t="str">
            <v>Germ, maize</v>
          </cell>
          <cell r="C150" t="str">
            <v>Maize and products</v>
          </cell>
        </row>
        <row r="151">
          <cell r="B151" t="str">
            <v>Flour, maize</v>
          </cell>
          <cell r="C151" t="str">
            <v>Maize and products</v>
          </cell>
        </row>
        <row r="152">
          <cell r="B152" t="str">
            <v>Bran, maize</v>
          </cell>
          <cell r="C152" t="str">
            <v>Maize and products</v>
          </cell>
        </row>
        <row r="153">
          <cell r="B153" t="str">
            <v>Gluten, maize</v>
          </cell>
          <cell r="C153" t="str">
            <v>Maize and products</v>
          </cell>
        </row>
        <row r="154">
          <cell r="B154" t="str">
            <v>Starch, maize</v>
          </cell>
          <cell r="C154" t="str">
            <v>Maize and products</v>
          </cell>
        </row>
        <row r="155">
          <cell r="B155" t="str">
            <v>Feed and meal, gluten</v>
          </cell>
          <cell r="C155" t="str">
            <v>Maize and products</v>
          </cell>
        </row>
        <row r="156">
          <cell r="B156" t="str">
            <v>Oil, maize</v>
          </cell>
          <cell r="C156" t="str">
            <v>Maize Germ Oil</v>
          </cell>
        </row>
        <row r="157">
          <cell r="B157" t="str">
            <v>Millet</v>
          </cell>
          <cell r="C157" t="str">
            <v>Millet and products</v>
          </cell>
        </row>
        <row r="158">
          <cell r="B158" t="str">
            <v>Flour, millet</v>
          </cell>
          <cell r="C158" t="str">
            <v>Millet and products</v>
          </cell>
        </row>
        <row r="159">
          <cell r="B159" t="str">
            <v>Bran, millet</v>
          </cell>
          <cell r="C159" t="str">
            <v>Millet and products</v>
          </cell>
        </row>
        <row r="160">
          <cell r="B160" t="str">
            <v>Molasses</v>
          </cell>
          <cell r="C160" t="str">
            <v>Molasses</v>
          </cell>
        </row>
        <row r="161">
          <cell r="B161" t="str">
            <v>Brazil nuts, with shell</v>
          </cell>
          <cell r="C161" t="str">
            <v>Nuts and products</v>
          </cell>
        </row>
        <row r="162">
          <cell r="B162" t="str">
            <v>Cashew nuts, with shell</v>
          </cell>
          <cell r="C162" t="str">
            <v>Nuts and products</v>
          </cell>
        </row>
        <row r="163">
          <cell r="B163" t="str">
            <v>Chestnut</v>
          </cell>
          <cell r="C163" t="str">
            <v>Nuts and products</v>
          </cell>
        </row>
        <row r="164">
          <cell r="B164" t="str">
            <v>Almonds, with shell</v>
          </cell>
          <cell r="C164" t="str">
            <v>Nuts and products</v>
          </cell>
        </row>
        <row r="165">
          <cell r="B165" t="str">
            <v>Walnuts, with shell</v>
          </cell>
          <cell r="C165" t="str">
            <v>Nuts and products</v>
          </cell>
        </row>
        <row r="166">
          <cell r="B166" t="str">
            <v>Pistachios</v>
          </cell>
          <cell r="C166" t="str">
            <v>Nuts and products</v>
          </cell>
        </row>
        <row r="167">
          <cell r="B167" t="str">
            <v>Kola nuts</v>
          </cell>
          <cell r="C167" t="str">
            <v>Nuts and products</v>
          </cell>
        </row>
        <row r="168">
          <cell r="B168" t="str">
            <v>Hazelnuts, with shell</v>
          </cell>
          <cell r="C168" t="str">
            <v>Nuts and products</v>
          </cell>
        </row>
        <row r="169">
          <cell r="B169" t="str">
            <v>Areca nuts</v>
          </cell>
          <cell r="C169" t="str">
            <v>Nuts and products</v>
          </cell>
        </row>
        <row r="170">
          <cell r="B170" t="str">
            <v>Brazil nuts, shelled</v>
          </cell>
          <cell r="C170" t="str">
            <v>Nuts and products</v>
          </cell>
        </row>
        <row r="171">
          <cell r="B171" t="str">
            <v>Cashew nuts, shelled</v>
          </cell>
          <cell r="C171" t="str">
            <v>Nuts and products</v>
          </cell>
        </row>
        <row r="172">
          <cell r="B172" t="str">
            <v>Almonds shelled</v>
          </cell>
          <cell r="C172" t="str">
            <v>Nuts and products</v>
          </cell>
        </row>
        <row r="173">
          <cell r="B173" t="str">
            <v>Walnuts, shelled</v>
          </cell>
          <cell r="C173" t="str">
            <v>Nuts and products</v>
          </cell>
        </row>
        <row r="174">
          <cell r="B174" t="str">
            <v>Hazelnuts, shelled</v>
          </cell>
          <cell r="C174" t="str">
            <v>Nuts and products</v>
          </cell>
        </row>
        <row r="175">
          <cell r="B175" t="str">
            <v>Nuts nes</v>
          </cell>
          <cell r="C175" t="str">
            <v>Nuts and products</v>
          </cell>
        </row>
        <row r="176">
          <cell r="B176" t="str">
            <v>Nuts, prepared (exc. groundnuts)</v>
          </cell>
          <cell r="C176" t="str">
            <v>Nuts and products</v>
          </cell>
        </row>
        <row r="177">
          <cell r="B177" t="str">
            <v>Oats</v>
          </cell>
          <cell r="C177" t="str">
            <v>Oats</v>
          </cell>
        </row>
        <row r="178">
          <cell r="B178" t="str">
            <v>Oats rolled</v>
          </cell>
          <cell r="C178" t="str">
            <v>Oats</v>
          </cell>
        </row>
        <row r="179">
          <cell r="B179" t="str">
            <v>Bran, oats</v>
          </cell>
          <cell r="C179" t="str">
            <v>Oats</v>
          </cell>
        </row>
        <row r="180">
          <cell r="B180" t="str">
            <v>Butter of karite nuts</v>
          </cell>
          <cell r="C180" t="str">
            <v>Oilcrops Oil, Other</v>
          </cell>
        </row>
        <row r="181">
          <cell r="B181" t="str">
            <v>Oil, castor beans</v>
          </cell>
          <cell r="C181" t="str">
            <v>Oilcrops Oil, Other</v>
          </cell>
        </row>
        <row r="182">
          <cell r="B182" t="str">
            <v>Oil, tung nuts</v>
          </cell>
          <cell r="C182" t="str">
            <v>Oilcrops Oil, Other</v>
          </cell>
        </row>
        <row r="183">
          <cell r="B183" t="str">
            <v>Oil, jojoba</v>
          </cell>
          <cell r="C183" t="str">
            <v>Oilcrops Oil, Other</v>
          </cell>
        </row>
        <row r="184">
          <cell r="B184" t="str">
            <v>Oil, safflower</v>
          </cell>
          <cell r="C184" t="str">
            <v>Oilcrops Oil, Other</v>
          </cell>
        </row>
        <row r="185">
          <cell r="B185" t="str">
            <v>Oil, poppy</v>
          </cell>
          <cell r="C185" t="str">
            <v>Oilcrops Oil, Other</v>
          </cell>
        </row>
        <row r="186">
          <cell r="B186" t="str">
            <v>Vegetable tallow</v>
          </cell>
          <cell r="C186" t="str">
            <v>Oilcrops Oil, Other</v>
          </cell>
        </row>
        <row r="187">
          <cell r="B187" t="str">
            <v>Oil, stillingia</v>
          </cell>
          <cell r="C187" t="str">
            <v>Oilcrops Oil, Other</v>
          </cell>
        </row>
        <row r="188">
          <cell r="B188" t="str">
            <v>Oil, kapok</v>
          </cell>
          <cell r="C188" t="str">
            <v>Oilcrops Oil, Other</v>
          </cell>
        </row>
        <row r="189">
          <cell r="B189" t="str">
            <v>Oil, linseed</v>
          </cell>
          <cell r="C189" t="str">
            <v>Oilcrops Oil, Other</v>
          </cell>
        </row>
        <row r="190">
          <cell r="B190" t="str">
            <v>Oil, hempseed</v>
          </cell>
          <cell r="C190" t="str">
            <v>Oilcrops Oil, Other</v>
          </cell>
        </row>
        <row r="191">
          <cell r="B191" t="str">
            <v>Oil, vegetable origin nes</v>
          </cell>
          <cell r="C191" t="str">
            <v>Oilcrops Oil, Other</v>
          </cell>
        </row>
        <row r="192">
          <cell r="B192" t="str">
            <v>Cocoa, butter</v>
          </cell>
          <cell r="C192" t="str">
            <v>Oilcrops Oil, Other</v>
          </cell>
        </row>
        <row r="193">
          <cell r="B193" t="str">
            <v>Margarine, liquid</v>
          </cell>
          <cell r="C193" t="str">
            <v>Oilcrops Oil, Other</v>
          </cell>
        </row>
        <row r="194">
          <cell r="B194" t="str">
            <v>Margarine, short</v>
          </cell>
          <cell r="C194" t="str">
            <v>Oilcrops Oil, Other</v>
          </cell>
        </row>
        <row r="195">
          <cell r="B195" t="str">
            <v>Castor oil, hydrogenated (opal wax)</v>
          </cell>
          <cell r="C195" t="str">
            <v>Oilcrops Oil, Other</v>
          </cell>
        </row>
        <row r="196">
          <cell r="B196" t="str">
            <v>Oil, boiled etc</v>
          </cell>
          <cell r="C196" t="str">
            <v>Oilcrops Oil, Other</v>
          </cell>
        </row>
        <row r="197">
          <cell r="B197" t="str">
            <v>Oil, hydrogenated</v>
          </cell>
          <cell r="C197" t="str">
            <v>Oilcrops Oil, Other</v>
          </cell>
        </row>
        <row r="198">
          <cell r="B198" t="str">
            <v>Karite nuts (sheanuts)</v>
          </cell>
          <cell r="C198" t="str">
            <v>Oilcrops, Other</v>
          </cell>
        </row>
        <row r="199">
          <cell r="B199" t="str">
            <v>Castor oil seed</v>
          </cell>
          <cell r="C199" t="str">
            <v>Oilcrops, Other</v>
          </cell>
        </row>
        <row r="200">
          <cell r="B200" t="str">
            <v>Tung nuts</v>
          </cell>
          <cell r="C200" t="str">
            <v>Oilcrops, Other</v>
          </cell>
        </row>
        <row r="201">
          <cell r="B201" t="str">
            <v>Jojoba seed</v>
          </cell>
          <cell r="C201" t="str">
            <v>Oilcrops, Other</v>
          </cell>
        </row>
        <row r="202">
          <cell r="B202" t="str">
            <v>Safflower seed</v>
          </cell>
          <cell r="C202" t="str">
            <v>Oilcrops, Other</v>
          </cell>
        </row>
        <row r="203">
          <cell r="B203" t="str">
            <v>Poppy seed</v>
          </cell>
          <cell r="C203" t="str">
            <v>Oilcrops, Other</v>
          </cell>
        </row>
        <row r="204">
          <cell r="B204" t="str">
            <v>Melonseed</v>
          </cell>
          <cell r="C204" t="str">
            <v>Oilcrops, Other</v>
          </cell>
        </row>
        <row r="205">
          <cell r="B205" t="str">
            <v>Tallowtree seed</v>
          </cell>
          <cell r="C205" t="str">
            <v>Oilcrops, Other</v>
          </cell>
        </row>
        <row r="206">
          <cell r="B206" t="str">
            <v>Kapok fruit</v>
          </cell>
          <cell r="C206" t="str">
            <v>Oilcrops, Other</v>
          </cell>
        </row>
        <row r="207">
          <cell r="B207" t="str">
            <v>Kapokseed in shell</v>
          </cell>
          <cell r="C207" t="str">
            <v>Oilcrops, Other</v>
          </cell>
        </row>
        <row r="208">
          <cell r="B208" t="str">
            <v>Kapokseed shelled</v>
          </cell>
          <cell r="C208" t="str">
            <v>Oilcrops, Other</v>
          </cell>
        </row>
        <row r="209">
          <cell r="B209" t="str">
            <v>Linseed</v>
          </cell>
          <cell r="C209" t="str">
            <v>Oilcrops, Other</v>
          </cell>
        </row>
        <row r="210">
          <cell r="B210" t="str">
            <v>Hempseed</v>
          </cell>
          <cell r="C210" t="str">
            <v>Oilcrops, Other</v>
          </cell>
        </row>
        <row r="211">
          <cell r="B211" t="str">
            <v>Oilseeds nes</v>
          </cell>
          <cell r="C211" t="str">
            <v>Oilcrops, Other</v>
          </cell>
        </row>
        <row r="212">
          <cell r="B212" t="str">
            <v>Flour, oilseeds</v>
          </cell>
          <cell r="C212" t="str">
            <v>Oilcrops, Other</v>
          </cell>
        </row>
        <row r="213">
          <cell r="B213" t="str">
            <v>Cake, rice bran</v>
          </cell>
          <cell r="C213" t="str">
            <v>Oilseed Cakes, Other</v>
          </cell>
        </row>
        <row r="214">
          <cell r="B214" t="str">
            <v>Cake, maize</v>
          </cell>
          <cell r="C214" t="str">
            <v>Oilseed Cakes, Other</v>
          </cell>
        </row>
        <row r="215">
          <cell r="B215" t="str">
            <v>Cake, safflower</v>
          </cell>
          <cell r="C215" t="str">
            <v>Oilseed Cakes, Other</v>
          </cell>
        </row>
        <row r="216">
          <cell r="B216" t="str">
            <v>Cake, poppy seed</v>
          </cell>
          <cell r="C216" t="str">
            <v>Oilseed Cakes, Other</v>
          </cell>
        </row>
        <row r="217">
          <cell r="B217" t="str">
            <v>Cake, kapok</v>
          </cell>
          <cell r="C217" t="str">
            <v>Oilseed Cakes, Other</v>
          </cell>
        </row>
        <row r="218">
          <cell r="B218" t="str">
            <v>Cake, linseed</v>
          </cell>
          <cell r="C218" t="str">
            <v>Oilseed Cakes, Other</v>
          </cell>
        </row>
        <row r="219">
          <cell r="B219" t="str">
            <v>Cake, hempseed</v>
          </cell>
          <cell r="C219" t="str">
            <v>Oilseed Cakes, Other</v>
          </cell>
        </row>
        <row r="220">
          <cell r="B220" t="str">
            <v>Cake, oilseed nes</v>
          </cell>
          <cell r="C220" t="str">
            <v>Oilseed Cakes, Other</v>
          </cell>
        </row>
        <row r="221">
          <cell r="B221" t="str">
            <v>Oil, olive, virgin</v>
          </cell>
          <cell r="C221" t="str">
            <v>Olive Oil</v>
          </cell>
        </row>
        <row r="222">
          <cell r="B222" t="str">
            <v>Oil, olive residues</v>
          </cell>
          <cell r="C222" t="str">
            <v>Olive Oil</v>
          </cell>
        </row>
        <row r="223">
          <cell r="B223" t="str">
            <v>Olives</v>
          </cell>
          <cell r="C223" t="str">
            <v>Olives (including preserved)</v>
          </cell>
        </row>
        <row r="224">
          <cell r="B224" t="str">
            <v>Olives preserved</v>
          </cell>
          <cell r="C224" t="str">
            <v>Olives (including preserved)</v>
          </cell>
        </row>
        <row r="225">
          <cell r="B225" t="str">
            <v>Onions, dry</v>
          </cell>
          <cell r="C225" t="str">
            <v>Onions</v>
          </cell>
        </row>
        <row r="226">
          <cell r="B226" t="str">
            <v>Oranges</v>
          </cell>
          <cell r="C226" t="str">
            <v>Oranges, Mandarines</v>
          </cell>
        </row>
        <row r="227">
          <cell r="B227" t="str">
            <v>Juice, orange, single strength</v>
          </cell>
          <cell r="C227" t="str">
            <v>Oranges, Mandarines</v>
          </cell>
        </row>
        <row r="228">
          <cell r="B228" t="str">
            <v>Juice, orange, concentrated</v>
          </cell>
          <cell r="C228" t="str">
            <v>Oranges, Mandarines</v>
          </cell>
        </row>
        <row r="229">
          <cell r="B229" t="str">
            <v>Tangerines, mandarins, clementines, satsumas</v>
          </cell>
          <cell r="C229" t="str">
            <v>Oranges, Mandarines</v>
          </cell>
        </row>
        <row r="230">
          <cell r="B230" t="str">
            <v>Juice, tangerine</v>
          </cell>
          <cell r="C230" t="str">
            <v>Oranges, Mandarines</v>
          </cell>
        </row>
        <row r="231">
          <cell r="B231" t="str">
            <v>Oil palm fruit</v>
          </cell>
          <cell r="C231" t="str">
            <v>Oil palm fruit</v>
          </cell>
        </row>
        <row r="232">
          <cell r="B232" t="str">
            <v>Palm kernels</v>
          </cell>
          <cell r="C232" t="str">
            <v>Palm kernels</v>
          </cell>
        </row>
        <row r="233">
          <cell r="B233" t="str">
            <v>Oil, palm</v>
          </cell>
          <cell r="C233" t="str">
            <v>Palm Oil</v>
          </cell>
        </row>
        <row r="234">
          <cell r="B234" t="str">
            <v>Fatty acids</v>
          </cell>
          <cell r="C234" t="str">
            <v>Palm Oil</v>
          </cell>
        </row>
        <row r="235">
          <cell r="B235" t="str">
            <v>Fatty substance residues</v>
          </cell>
          <cell r="C235" t="str">
            <v>Palm Oil</v>
          </cell>
        </row>
        <row r="236">
          <cell r="B236" t="str">
            <v>Cake, palm kernel</v>
          </cell>
          <cell r="C236" t="str">
            <v>Palmkernel Cake</v>
          </cell>
        </row>
        <row r="237">
          <cell r="B237" t="str">
            <v>Oil, palm kernel</v>
          </cell>
          <cell r="C237" t="str">
            <v>Palmkernel Oil</v>
          </cell>
        </row>
        <row r="238">
          <cell r="B238" t="str">
            <v>Peas, dry</v>
          </cell>
          <cell r="C238" t="str">
            <v>Peas</v>
          </cell>
        </row>
        <row r="239">
          <cell r="B239" t="str">
            <v>Pepper (piper spp.)</v>
          </cell>
          <cell r="C239" t="str">
            <v>Pepper</v>
          </cell>
        </row>
        <row r="240">
          <cell r="B240" t="str">
            <v>Chillies and peppers, dry</v>
          </cell>
          <cell r="C240" t="str">
            <v>Pimento</v>
          </cell>
        </row>
        <row r="241">
          <cell r="B241" t="str">
            <v>Pineapples</v>
          </cell>
          <cell r="C241" t="str">
            <v>Pineapples and products</v>
          </cell>
        </row>
        <row r="242">
          <cell r="B242" t="str">
            <v>Pineapples canned</v>
          </cell>
          <cell r="C242" t="str">
            <v>Pineapples and products</v>
          </cell>
        </row>
        <row r="243">
          <cell r="B243" t="str">
            <v>Juice, pineapple</v>
          </cell>
          <cell r="C243" t="str">
            <v>Pineapples and products</v>
          </cell>
        </row>
        <row r="244">
          <cell r="B244" t="str">
            <v>Juice, pineapple, concentrated</v>
          </cell>
          <cell r="C244" t="str">
            <v>Pineapples and products</v>
          </cell>
        </row>
        <row r="245">
          <cell r="B245" t="str">
            <v>Plantains and others</v>
          </cell>
          <cell r="C245" t="str">
            <v>Plantains</v>
          </cell>
        </row>
        <row r="246">
          <cell r="B246" t="str">
            <v>Potatoes</v>
          </cell>
          <cell r="C246" t="str">
            <v>Potatoes and products</v>
          </cell>
        </row>
        <row r="247">
          <cell r="B247" t="str">
            <v>Flour, potatoes</v>
          </cell>
          <cell r="C247" t="str">
            <v>Potatoes and products</v>
          </cell>
        </row>
        <row r="248">
          <cell r="B248" t="str">
            <v>Potatoes, frozen</v>
          </cell>
          <cell r="C248" t="str">
            <v>Potatoes and products</v>
          </cell>
        </row>
        <row r="249">
          <cell r="B249" t="str">
            <v>Starch, potatoes</v>
          </cell>
          <cell r="C249" t="str">
            <v>Potatoes and products</v>
          </cell>
        </row>
        <row r="250">
          <cell r="B250" t="str">
            <v>Tapioca, potatoes</v>
          </cell>
          <cell r="C250" t="str">
            <v>Potatoes and products</v>
          </cell>
        </row>
        <row r="251">
          <cell r="B251" t="str">
            <v>Broad beans, horse beans, dry</v>
          </cell>
          <cell r="C251" t="str">
            <v>Pulses, Other and products</v>
          </cell>
        </row>
        <row r="252">
          <cell r="B252" t="str">
            <v>Chick peas</v>
          </cell>
          <cell r="C252" t="str">
            <v>Pulses, Other and products</v>
          </cell>
        </row>
        <row r="253">
          <cell r="B253" t="str">
            <v>Cow peas, dry</v>
          </cell>
          <cell r="C253" t="str">
            <v>Pulses, Other and products</v>
          </cell>
        </row>
        <row r="254">
          <cell r="B254" t="str">
            <v>Pigeon peas</v>
          </cell>
          <cell r="C254" t="str">
            <v>Pulses, Other and products</v>
          </cell>
        </row>
        <row r="255">
          <cell r="B255" t="str">
            <v>Lentils</v>
          </cell>
          <cell r="C255" t="str">
            <v>Pulses, Other and products</v>
          </cell>
        </row>
        <row r="256">
          <cell r="B256" t="str">
            <v>Bambara beans</v>
          </cell>
          <cell r="C256" t="str">
            <v>Pulses, Other and products</v>
          </cell>
        </row>
        <row r="257">
          <cell r="B257" t="str">
            <v>Vetches</v>
          </cell>
          <cell r="C257" t="str">
            <v>Pulses, Other and products</v>
          </cell>
        </row>
        <row r="258">
          <cell r="B258" t="str">
            <v>Lupins</v>
          </cell>
          <cell r="C258" t="str">
            <v>Pulses, Other and products</v>
          </cell>
        </row>
        <row r="259">
          <cell r="B259" t="str">
            <v>Pulses nes</v>
          </cell>
          <cell r="C259" t="str">
            <v>Pulses, Other and products</v>
          </cell>
        </row>
        <row r="260">
          <cell r="B260" t="str">
            <v>Flour, pulses</v>
          </cell>
          <cell r="C260" t="str">
            <v>Pulses, Other and products</v>
          </cell>
        </row>
        <row r="261">
          <cell r="B261" t="str">
            <v>Bran, pulses</v>
          </cell>
          <cell r="C261" t="str">
            <v>Pulses, Other and products</v>
          </cell>
        </row>
        <row r="262">
          <cell r="B262" t="str">
            <v>Cake, rapeseed</v>
          </cell>
          <cell r="C262" t="str">
            <v>Rape and Mustard Cake</v>
          </cell>
        </row>
        <row r="263">
          <cell r="B263" t="str">
            <v>Cake, mustard</v>
          </cell>
          <cell r="C263" t="str">
            <v>Rape and Mustard Cake</v>
          </cell>
        </row>
        <row r="264">
          <cell r="B264" t="str">
            <v>Oil, rapeseed</v>
          </cell>
          <cell r="C264" t="str">
            <v>Rape and Mustard Oil</v>
          </cell>
        </row>
        <row r="265">
          <cell r="B265" t="str">
            <v>Oil, mustard</v>
          </cell>
          <cell r="C265" t="str">
            <v>Rape and Mustard Oil</v>
          </cell>
        </row>
        <row r="266">
          <cell r="B266" t="str">
            <v>Rapeseed</v>
          </cell>
          <cell r="C266" t="str">
            <v>Rape and Mustardseed</v>
          </cell>
        </row>
        <row r="267">
          <cell r="B267" t="str">
            <v>Mustard seed</v>
          </cell>
          <cell r="C267" t="str">
            <v>Rape and Mustardseed</v>
          </cell>
        </row>
        <row r="268">
          <cell r="B268" t="str">
            <v>Flour, mustard</v>
          </cell>
          <cell r="C268" t="str">
            <v>Rape and Mustardseed</v>
          </cell>
        </row>
        <row r="269">
          <cell r="B269" t="str">
            <v>Rice, paddy</v>
          </cell>
          <cell r="C269" t="str">
            <v>Rice and products</v>
          </cell>
        </row>
        <row r="270">
          <cell r="B270" t="str">
            <v>Gluten, rice</v>
          </cell>
          <cell r="C270" t="str">
            <v>Rice and products</v>
          </cell>
        </row>
        <row r="271">
          <cell r="B271" t="str">
            <v>Bran, rice</v>
          </cell>
          <cell r="C271" t="str">
            <v>Rice and products</v>
          </cell>
        </row>
        <row r="272">
          <cell r="B272" t="str">
            <v>Rice, paddy</v>
          </cell>
          <cell r="C272" t="str">
            <v>Rice and products</v>
          </cell>
        </row>
        <row r="273">
          <cell r="B273" t="str">
            <v>Rice, husked</v>
          </cell>
          <cell r="C273" t="str">
            <v>Rice and products</v>
          </cell>
        </row>
        <row r="274">
          <cell r="B274" t="str">
            <v>Rice, milled/husked</v>
          </cell>
          <cell r="C274" t="str">
            <v>Rice and products</v>
          </cell>
        </row>
        <row r="275">
          <cell r="B275" t="str">
            <v>Rice, paddy (rice milled equivalent)</v>
          </cell>
          <cell r="C275" t="str">
            <v>Rice and products</v>
          </cell>
        </row>
        <row r="276">
          <cell r="B276" t="str">
            <v>Rice, milled</v>
          </cell>
          <cell r="C276" t="str">
            <v>Rice and products</v>
          </cell>
        </row>
        <row r="277">
          <cell r="B277" t="str">
            <v>Rice, broken</v>
          </cell>
          <cell r="C277" t="str">
            <v>Rice and products</v>
          </cell>
        </row>
        <row r="278">
          <cell r="B278" t="str">
            <v>Gluten, rice</v>
          </cell>
          <cell r="C278" t="str">
            <v>Rice and products</v>
          </cell>
        </row>
        <row r="279">
          <cell r="B279" t="str">
            <v>Starch, rice</v>
          </cell>
          <cell r="C279" t="str">
            <v>Rice and products</v>
          </cell>
        </row>
        <row r="280">
          <cell r="B280" t="str">
            <v>Bran, rice</v>
          </cell>
          <cell r="C280" t="str">
            <v>Rice and products</v>
          </cell>
        </row>
        <row r="281">
          <cell r="B281" t="str">
            <v>Oil, rice bran</v>
          </cell>
          <cell r="C281" t="str">
            <v>Rice and products</v>
          </cell>
        </row>
        <row r="282">
          <cell r="B282" t="str">
            <v>Cake, rice bran</v>
          </cell>
          <cell r="C282" t="str">
            <v>Rice and products</v>
          </cell>
        </row>
        <row r="283">
          <cell r="B283" t="str">
            <v>Flour, rice</v>
          </cell>
          <cell r="C283" t="str">
            <v>Rice and products</v>
          </cell>
        </row>
        <row r="284">
          <cell r="B284" t="str">
            <v>Oil, rice bran</v>
          </cell>
          <cell r="C284" t="str">
            <v>Ricebran Oil</v>
          </cell>
        </row>
        <row r="285">
          <cell r="B285" t="str">
            <v>Yautia (cocoyam)</v>
          </cell>
          <cell r="C285" t="str">
            <v>Roots, Other</v>
          </cell>
        </row>
        <row r="286">
          <cell r="B286" t="str">
            <v>Taro (cocoyam)</v>
          </cell>
          <cell r="C286" t="str">
            <v>Roots, Other</v>
          </cell>
        </row>
        <row r="287">
          <cell r="B287" t="str">
            <v>Roots and tubers nes</v>
          </cell>
          <cell r="C287" t="str">
            <v>Roots, Other</v>
          </cell>
        </row>
        <row r="288">
          <cell r="B288" t="str">
            <v>Flour, roots and tubers nes</v>
          </cell>
          <cell r="C288" t="str">
            <v>Roots, Other</v>
          </cell>
        </row>
        <row r="289">
          <cell r="B289" t="str">
            <v>Roots and tubers dried</v>
          </cell>
          <cell r="C289" t="str">
            <v>Roots, Other</v>
          </cell>
        </row>
        <row r="290">
          <cell r="B290" t="str">
            <v>Natural Rubber</v>
          </cell>
          <cell r="C290" t="str">
            <v>Rubber</v>
          </cell>
        </row>
        <row r="291">
          <cell r="B291" t="str">
            <v>Rubber, natural</v>
          </cell>
          <cell r="C291" t="str">
            <v>Rubber</v>
          </cell>
        </row>
        <row r="292">
          <cell r="B292" t="str">
            <v>Rubber natural dry</v>
          </cell>
          <cell r="C292" t="str">
            <v>Rubber</v>
          </cell>
        </row>
        <row r="293">
          <cell r="B293" t="str">
            <v>Rye</v>
          </cell>
          <cell r="C293" t="str">
            <v>Rye and products</v>
          </cell>
        </row>
        <row r="294">
          <cell r="B294" t="str">
            <v>Flour, rye</v>
          </cell>
          <cell r="C294" t="str">
            <v>Rye and products</v>
          </cell>
        </row>
        <row r="295">
          <cell r="B295" t="str">
            <v>Bran, rye</v>
          </cell>
          <cell r="C295" t="str">
            <v>Rye and products</v>
          </cell>
        </row>
        <row r="296">
          <cell r="B296" t="str">
            <v>Sesame seed</v>
          </cell>
          <cell r="C296" t="str">
            <v>Sesame seed</v>
          </cell>
        </row>
        <row r="297">
          <cell r="B297" t="str">
            <v>Cake, sesame seed</v>
          </cell>
          <cell r="C297" t="str">
            <v>Sesameseed Cake</v>
          </cell>
        </row>
        <row r="298">
          <cell r="B298" t="str">
            <v>Oil, sesame</v>
          </cell>
          <cell r="C298" t="str">
            <v>Sesameseed Oil</v>
          </cell>
        </row>
        <row r="299">
          <cell r="B299" t="str">
            <v>Sisal</v>
          </cell>
          <cell r="C299" t="str">
            <v>Sisal</v>
          </cell>
        </row>
        <row r="300">
          <cell r="B300" t="str">
            <v>Flax fibre raw</v>
          </cell>
          <cell r="C300" t="str">
            <v>Soft-Fibres, Other</v>
          </cell>
        </row>
        <row r="301">
          <cell r="B301" t="str">
            <v>Flax fibre and tow</v>
          </cell>
          <cell r="C301" t="str">
            <v>Soft-Fibres, Other</v>
          </cell>
        </row>
        <row r="302">
          <cell r="B302" t="str">
            <v>Flax tow waste</v>
          </cell>
          <cell r="C302" t="str">
            <v>Soft-Fibres, Other</v>
          </cell>
        </row>
        <row r="303">
          <cell r="B303" t="str">
            <v>Hemp tow waste</v>
          </cell>
          <cell r="C303" t="str">
            <v>Soft-Fibres, Other</v>
          </cell>
        </row>
        <row r="304">
          <cell r="B304" t="str">
            <v>Kapok fibre</v>
          </cell>
          <cell r="C304" t="str">
            <v>Soft-Fibres, Other</v>
          </cell>
        </row>
        <row r="305">
          <cell r="B305" t="str">
            <v>Ramie</v>
          </cell>
          <cell r="C305" t="str">
            <v>Soft-Fibres, Other</v>
          </cell>
        </row>
        <row r="306">
          <cell r="B306" t="str">
            <v>Sorghum</v>
          </cell>
          <cell r="C306" t="str">
            <v>Sorghum and products</v>
          </cell>
        </row>
        <row r="307">
          <cell r="B307" t="str">
            <v>Flour, sorghum</v>
          </cell>
          <cell r="C307" t="str">
            <v>Sorghum and products</v>
          </cell>
        </row>
        <row r="308">
          <cell r="B308" t="str">
            <v>Bran, sorghum</v>
          </cell>
          <cell r="C308" t="str">
            <v>Sorghum and products</v>
          </cell>
        </row>
        <row r="309">
          <cell r="B309" t="str">
            <v>Cake, soybeans</v>
          </cell>
          <cell r="C309" t="str">
            <v>Soyabean Cake</v>
          </cell>
        </row>
        <row r="310">
          <cell r="B310" t="str">
            <v>Oil, soybean</v>
          </cell>
          <cell r="C310" t="str">
            <v>Soyabean Oil</v>
          </cell>
        </row>
        <row r="311">
          <cell r="B311" t="str">
            <v>Soybeans</v>
          </cell>
          <cell r="C311" t="str">
            <v>Soyabeans</v>
          </cell>
        </row>
        <row r="312">
          <cell r="B312" t="str">
            <v>Soya sauce</v>
          </cell>
          <cell r="C312" t="str">
            <v>Soyabeans</v>
          </cell>
        </row>
        <row r="313">
          <cell r="B313" t="str">
            <v>Soya paste</v>
          </cell>
          <cell r="C313" t="str">
            <v>Soyabeans</v>
          </cell>
        </row>
        <row r="314">
          <cell r="B314" t="str">
            <v>Soya curd</v>
          </cell>
          <cell r="C314" t="str">
            <v>Soyabeans</v>
          </cell>
        </row>
        <row r="315">
          <cell r="B315" t="str">
            <v>Vanilla</v>
          </cell>
          <cell r="C315" t="str">
            <v>Spices, Other</v>
          </cell>
        </row>
        <row r="316">
          <cell r="B316" t="str">
            <v>Cinnamon (cannella)</v>
          </cell>
          <cell r="C316" t="str">
            <v>Spices, Other</v>
          </cell>
        </row>
        <row r="317">
          <cell r="B317" t="str">
            <v>Nutmeg, mace and cardamoms</v>
          </cell>
          <cell r="C317" t="str">
            <v>Spices, Other</v>
          </cell>
        </row>
        <row r="318">
          <cell r="B318" t="str">
            <v>Anise, badian, fennel, coriander</v>
          </cell>
          <cell r="C318" t="str">
            <v>Spices, Other</v>
          </cell>
        </row>
        <row r="319">
          <cell r="B319" t="str">
            <v>Ginger</v>
          </cell>
          <cell r="C319" t="str">
            <v>Spices, Other</v>
          </cell>
        </row>
        <row r="320">
          <cell r="B320" t="str">
            <v>Spices nes</v>
          </cell>
          <cell r="C320" t="str">
            <v>Spices, Other</v>
          </cell>
        </row>
        <row r="321">
          <cell r="B321" t="str">
            <v>Sugar, cane, raw, centrifugal</v>
          </cell>
          <cell r="C321" t="str">
            <v>Sugar (Raw Equivalent)</v>
          </cell>
        </row>
        <row r="322">
          <cell r="B322" t="str">
            <v>Sugar, beet, raw, centrifugal</v>
          </cell>
          <cell r="C322" t="str">
            <v>Sugar (Raw Equivalent)</v>
          </cell>
        </row>
        <row r="323">
          <cell r="B323" t="str">
            <v>Sugar Raw Centrifugal</v>
          </cell>
          <cell r="C323" t="str">
            <v>Sugar (Raw Equivalent)</v>
          </cell>
        </row>
        <row r="324">
          <cell r="B324" t="str">
            <v>Sugar refined</v>
          </cell>
          <cell r="C324" t="str">
            <v>Sugar (Raw Equivalent)</v>
          </cell>
        </row>
        <row r="325">
          <cell r="B325" t="str">
            <v>Sugar confectionery</v>
          </cell>
          <cell r="C325" t="str">
            <v>Sugar (Raw Equivalent)</v>
          </cell>
        </row>
        <row r="326">
          <cell r="B326" t="str">
            <v>Sugar flavoured</v>
          </cell>
          <cell r="C326" t="str">
            <v>Sugar (Raw Equivalent)</v>
          </cell>
        </row>
        <row r="327">
          <cell r="B327" t="str">
            <v>Sugar beet</v>
          </cell>
          <cell r="C327" t="str">
            <v>Sugar beet</v>
          </cell>
        </row>
        <row r="328">
          <cell r="B328" t="str">
            <v>Sugar cane</v>
          </cell>
          <cell r="C328" t="str">
            <v>Sugar cane</v>
          </cell>
        </row>
        <row r="329">
          <cell r="B329" t="str">
            <v>Sugar non-centrifugal</v>
          </cell>
          <cell r="C329" t="str">
            <v>Sugar non-centrifugal</v>
          </cell>
        </row>
        <row r="330">
          <cell r="B330" t="str">
            <v>Fructose chemically pure</v>
          </cell>
          <cell r="C330" t="str">
            <v>Sugar (Raw Equivalent)</v>
          </cell>
        </row>
        <row r="331">
          <cell r="B331" t="str">
            <v>Maltose chemically pure</v>
          </cell>
          <cell r="C331" t="str">
            <v>Sugar (Raw Equivalent)</v>
          </cell>
        </row>
        <row r="332">
          <cell r="B332" t="str">
            <v>Maple sugar and syrups</v>
          </cell>
          <cell r="C332" t="str">
            <v>Sugar (Raw Equivalent)</v>
          </cell>
        </row>
        <row r="333">
          <cell r="B333" t="str">
            <v>Sugar crops nes</v>
          </cell>
          <cell r="C333" t="str">
            <v>Sugar (Raw Equivalent)</v>
          </cell>
        </row>
        <row r="334">
          <cell r="B334" t="str">
            <v>Sugar Raw Centrifugal</v>
          </cell>
          <cell r="C334" t="str">
            <v>Sugar (Raw Equivalent)</v>
          </cell>
        </row>
        <row r="335">
          <cell r="B335" t="str">
            <v>Sugar non-centrifugal</v>
          </cell>
          <cell r="C335" t="str">
            <v>Sugar (Raw Equivalent)</v>
          </cell>
        </row>
        <row r="336">
          <cell r="B336" t="str">
            <v>Fructose and syrup, other</v>
          </cell>
          <cell r="C336" t="str">
            <v>Sugar (Raw Equivalent)</v>
          </cell>
        </row>
        <row r="337">
          <cell r="B337" t="str">
            <v>Sugar nes</v>
          </cell>
          <cell r="C337" t="str">
            <v>Sugar (Raw Equivalent)</v>
          </cell>
        </row>
        <row r="338">
          <cell r="B338" t="str">
            <v>Glucose and dextrose</v>
          </cell>
          <cell r="C338" t="str">
            <v>Sugar (Raw Equivalent)</v>
          </cell>
        </row>
        <row r="339">
          <cell r="B339" t="str">
            <v>Lactose</v>
          </cell>
          <cell r="C339" t="str">
            <v>Sugar (Raw Equivalent)</v>
          </cell>
        </row>
        <row r="340">
          <cell r="B340" t="str">
            <v>Sugar Raw Centrifugal</v>
          </cell>
          <cell r="C340" t="str">
            <v>Sugar (Raw Equivalent)</v>
          </cell>
        </row>
        <row r="341">
          <cell r="B341" t="str">
            <v>Sunflower seed</v>
          </cell>
          <cell r="C341" t="str">
            <v>Sunflower seed</v>
          </cell>
        </row>
        <row r="342">
          <cell r="B342" t="str">
            <v>Cake, sunflower</v>
          </cell>
          <cell r="C342" t="str">
            <v>Sunflowerseed Cake</v>
          </cell>
        </row>
        <row r="343">
          <cell r="B343" t="str">
            <v>Oil, sunflower</v>
          </cell>
          <cell r="C343" t="str">
            <v>Sunflowerseed Oil</v>
          </cell>
        </row>
        <row r="344">
          <cell r="B344" t="str">
            <v>Sweet potatoes</v>
          </cell>
          <cell r="C344" t="str">
            <v>Sweet potatoes</v>
          </cell>
        </row>
        <row r="345">
          <cell r="B345" t="str">
            <v>Fructose chemically pure</v>
          </cell>
          <cell r="C345" t="str">
            <v>Sweeteners, Other</v>
          </cell>
        </row>
        <row r="346">
          <cell r="B346" t="str">
            <v>Maltose chemically pure</v>
          </cell>
          <cell r="C346" t="str">
            <v>Sweeteners, Other</v>
          </cell>
        </row>
        <row r="347">
          <cell r="B347" t="str">
            <v>Maple sugar and syrups</v>
          </cell>
          <cell r="C347" t="str">
            <v>Sweeteners, Other</v>
          </cell>
        </row>
        <row r="348">
          <cell r="B348" t="str">
            <v>Sugar crops nes</v>
          </cell>
          <cell r="C348" t="str">
            <v>Sweeteners, Other</v>
          </cell>
        </row>
        <row r="349">
          <cell r="B349" t="str">
            <v>Fructose and syrup, other</v>
          </cell>
          <cell r="C349" t="str">
            <v>Sweeteners, Other</v>
          </cell>
        </row>
        <row r="350">
          <cell r="B350" t="str">
            <v>Sugar nes</v>
          </cell>
          <cell r="C350" t="str">
            <v>Sweeteners, Other</v>
          </cell>
        </row>
        <row r="351">
          <cell r="B351" t="str">
            <v>Glucose and dextrose</v>
          </cell>
          <cell r="C351" t="str">
            <v>Sweeteners, Other</v>
          </cell>
        </row>
        <row r="352">
          <cell r="B352" t="str">
            <v>Lactose</v>
          </cell>
          <cell r="C352" t="str">
            <v>Sweeteners, Other</v>
          </cell>
        </row>
        <row r="353">
          <cell r="B353" t="str">
            <v>Isoglucose</v>
          </cell>
          <cell r="C353" t="str">
            <v>Sweeteners, Other</v>
          </cell>
        </row>
        <row r="354">
          <cell r="B354" t="str">
            <v>Beverages, non alcoholic</v>
          </cell>
          <cell r="C354" t="str">
            <v>Sweeteners, Other</v>
          </cell>
        </row>
        <row r="355">
          <cell r="B355" t="str">
            <v>Tea</v>
          </cell>
          <cell r="C355" t="str">
            <v>Tea (including mate)</v>
          </cell>
        </row>
        <row r="356">
          <cell r="B356" t="str">
            <v>Maté</v>
          </cell>
          <cell r="C356" t="str">
            <v>Tea (including mate)</v>
          </cell>
        </row>
        <row r="357">
          <cell r="B357" t="str">
            <v>Tea, mate extracts</v>
          </cell>
          <cell r="C357" t="str">
            <v>Tea (including mate)</v>
          </cell>
        </row>
        <row r="358">
          <cell r="B358" t="str">
            <v>Tobacco, unmanufactured</v>
          </cell>
          <cell r="C358" t="str">
            <v>Tobacco</v>
          </cell>
        </row>
        <row r="359">
          <cell r="B359" t="str">
            <v>Cigarettes</v>
          </cell>
          <cell r="C359" t="str">
            <v>Tobacco</v>
          </cell>
        </row>
        <row r="360">
          <cell r="B360" t="str">
            <v>Cigars, cheroots</v>
          </cell>
          <cell r="C360" t="str">
            <v>Tobacco</v>
          </cell>
        </row>
        <row r="361">
          <cell r="B361" t="str">
            <v>Tobacco products nes</v>
          </cell>
          <cell r="C361" t="str">
            <v>Tobacco</v>
          </cell>
        </row>
        <row r="362">
          <cell r="B362" t="str">
            <v>Tobacco</v>
          </cell>
          <cell r="C362" t="str">
            <v>Tobacco</v>
          </cell>
        </row>
        <row r="363">
          <cell r="B363" t="str">
            <v>Tomatoes</v>
          </cell>
          <cell r="C363" t="str">
            <v>Tomatoes and products</v>
          </cell>
        </row>
        <row r="364">
          <cell r="B364" t="str">
            <v>Juice, tomato, concentrated</v>
          </cell>
          <cell r="C364" t="str">
            <v>Tomatoes and products</v>
          </cell>
        </row>
        <row r="365">
          <cell r="B365" t="str">
            <v>Juice, tomato</v>
          </cell>
          <cell r="C365" t="str">
            <v>Tomatoes and products</v>
          </cell>
        </row>
        <row r="366">
          <cell r="B366" t="str">
            <v>Tomatoes, paste</v>
          </cell>
          <cell r="C366" t="str">
            <v>Tomatoes and products</v>
          </cell>
        </row>
        <row r="367">
          <cell r="B367" t="str">
            <v>Tomatoes, peeled</v>
          </cell>
          <cell r="C367" t="str">
            <v>Tomatoes and products</v>
          </cell>
        </row>
        <row r="368">
          <cell r="B368" t="str">
            <v>Pumpkins, squash and gourds</v>
          </cell>
          <cell r="C368" t="str">
            <v>Vegetables, Other</v>
          </cell>
        </row>
        <row r="369">
          <cell r="B369" t="str">
            <v>Cabbages and other brassicas</v>
          </cell>
          <cell r="C369" t="str">
            <v>Vegetables, Other</v>
          </cell>
        </row>
        <row r="370">
          <cell r="B370" t="str">
            <v>Artichokes</v>
          </cell>
          <cell r="C370" t="str">
            <v>Vegetables, Other</v>
          </cell>
        </row>
        <row r="371">
          <cell r="B371" t="str">
            <v>Asparagus</v>
          </cell>
          <cell r="C371" t="str">
            <v>Vegetables, Other</v>
          </cell>
        </row>
        <row r="372">
          <cell r="B372" t="str">
            <v>Lettuce and chicory</v>
          </cell>
          <cell r="C372" t="str">
            <v>Vegetables, Other</v>
          </cell>
        </row>
        <row r="373">
          <cell r="B373" t="str">
            <v>Spinach</v>
          </cell>
          <cell r="C373" t="str">
            <v>Vegetables, Other</v>
          </cell>
        </row>
        <row r="374">
          <cell r="B374" t="str">
            <v>Cassava leaves</v>
          </cell>
          <cell r="C374" t="str">
            <v>Vegetables, Other</v>
          </cell>
        </row>
        <row r="375">
          <cell r="B375" t="str">
            <v>Cauliflowers and broccoli</v>
          </cell>
          <cell r="C375" t="str">
            <v>Vegetables, Other</v>
          </cell>
        </row>
        <row r="376">
          <cell r="B376" t="str">
            <v>Cucumbers and gherkins</v>
          </cell>
          <cell r="C376" t="str">
            <v>Vegetables, Other</v>
          </cell>
        </row>
        <row r="377">
          <cell r="B377" t="str">
            <v>Eggplants (aubergines)</v>
          </cell>
          <cell r="C377" t="str">
            <v>Vegetables, Other</v>
          </cell>
        </row>
        <row r="378">
          <cell r="B378" t="str">
            <v>Chillies and peppers, green</v>
          </cell>
          <cell r="C378" t="str">
            <v>Vegetables, Other</v>
          </cell>
        </row>
        <row r="379">
          <cell r="B379" t="str">
            <v>Onions, shallots, green</v>
          </cell>
          <cell r="C379" t="str">
            <v>Vegetables, Other</v>
          </cell>
        </row>
        <row r="380">
          <cell r="B380" t="str">
            <v>Garlic</v>
          </cell>
          <cell r="C380" t="str">
            <v>Vegetables, Other</v>
          </cell>
        </row>
        <row r="381">
          <cell r="B381" t="str">
            <v>Leeks, other alliaceous vegetables</v>
          </cell>
          <cell r="C381" t="str">
            <v>Vegetables, Other</v>
          </cell>
        </row>
        <row r="382">
          <cell r="B382" t="str">
            <v>Beans, green</v>
          </cell>
          <cell r="C382" t="str">
            <v>Vegetables, Other</v>
          </cell>
        </row>
        <row r="383">
          <cell r="B383" t="str">
            <v>Peas, green</v>
          </cell>
          <cell r="C383" t="str">
            <v>Vegetables, Other</v>
          </cell>
        </row>
        <row r="384">
          <cell r="B384" t="str">
            <v>Vegetables, leguminous nes</v>
          </cell>
          <cell r="C384" t="str">
            <v>Vegetables, Other</v>
          </cell>
        </row>
        <row r="385">
          <cell r="B385" t="str">
            <v>String beans</v>
          </cell>
          <cell r="C385" t="str">
            <v>Vegetables, Other</v>
          </cell>
        </row>
        <row r="386">
          <cell r="B386" t="str">
            <v>Carrots and turnips</v>
          </cell>
          <cell r="C386" t="str">
            <v>Vegetables, Other</v>
          </cell>
        </row>
        <row r="387">
          <cell r="B387" t="str">
            <v>Okra</v>
          </cell>
          <cell r="C387" t="str">
            <v>Vegetables, Other</v>
          </cell>
        </row>
        <row r="388">
          <cell r="B388" t="str">
            <v>Sweet corn frozen</v>
          </cell>
          <cell r="C388" t="str">
            <v>Vegetables, Other</v>
          </cell>
        </row>
        <row r="389">
          <cell r="B389" t="str">
            <v>Sweet corn prep or preserved</v>
          </cell>
          <cell r="C389" t="str">
            <v>Vegetables, Other</v>
          </cell>
        </row>
        <row r="390">
          <cell r="B390" t="str">
            <v>Mushrooms and truffles</v>
          </cell>
          <cell r="C390" t="str">
            <v>Vegetables, Other</v>
          </cell>
        </row>
        <row r="391">
          <cell r="B391" t="str">
            <v>Mushrooms, dried</v>
          </cell>
          <cell r="C391" t="str">
            <v>Vegetables, Other</v>
          </cell>
        </row>
        <row r="392">
          <cell r="B392" t="str">
            <v>Mushrooms, canned</v>
          </cell>
          <cell r="C392" t="str">
            <v>Vegetables, Other</v>
          </cell>
        </row>
        <row r="393">
          <cell r="B393" t="str">
            <v>Chicory roots</v>
          </cell>
          <cell r="C393" t="str">
            <v>Vegetables, Other</v>
          </cell>
        </row>
        <row r="394">
          <cell r="B394" t="str">
            <v>Vegetables, fresh or dried products nes</v>
          </cell>
          <cell r="C394" t="str">
            <v>Vegetables, Other</v>
          </cell>
        </row>
        <row r="395">
          <cell r="B395" t="str">
            <v>Carobs</v>
          </cell>
          <cell r="C395" t="str">
            <v>Vegetables, Other</v>
          </cell>
        </row>
        <row r="396">
          <cell r="B396" t="str">
            <v>Vegetables, fresh nes</v>
          </cell>
          <cell r="C396" t="str">
            <v>Vegetables, Other</v>
          </cell>
        </row>
        <row r="397">
          <cell r="B397" t="str">
            <v>Vegetables, dried nes</v>
          </cell>
          <cell r="C397" t="str">
            <v>Vegetables, Other</v>
          </cell>
        </row>
        <row r="398">
          <cell r="B398" t="str">
            <v>Vegetables, canned nes</v>
          </cell>
          <cell r="C398" t="str">
            <v>Vegetables, Other</v>
          </cell>
        </row>
        <row r="399">
          <cell r="B399" t="str">
            <v>Juice, vegetables nes</v>
          </cell>
          <cell r="C399" t="str">
            <v>Vegetables, Other</v>
          </cell>
        </row>
        <row r="400">
          <cell r="B400" t="str">
            <v>Vegetables, dehydrated</v>
          </cell>
          <cell r="C400" t="str">
            <v>Vegetables, Other</v>
          </cell>
        </row>
        <row r="401">
          <cell r="B401" t="str">
            <v>Vegetables in vinegar</v>
          </cell>
          <cell r="C401" t="str">
            <v>Vegetables, Other</v>
          </cell>
        </row>
        <row r="402">
          <cell r="B402" t="str">
            <v>Vegetables, preserved nes</v>
          </cell>
          <cell r="C402" t="str">
            <v>Vegetables, Other</v>
          </cell>
        </row>
        <row r="403">
          <cell r="B403" t="str">
            <v>Vegetables, frozen</v>
          </cell>
          <cell r="C403" t="str">
            <v>Vegetables, Other</v>
          </cell>
        </row>
        <row r="404">
          <cell r="B404" t="str">
            <v>Vegetables, temporarily preserved</v>
          </cell>
          <cell r="C404" t="str">
            <v>Vegetables, Other</v>
          </cell>
        </row>
        <row r="405">
          <cell r="B405" t="str">
            <v>Vegetables, preserved, frozen</v>
          </cell>
          <cell r="C405" t="str">
            <v>Vegetables, Other</v>
          </cell>
        </row>
        <row r="406">
          <cell r="B406" t="str">
            <v>Vegetables, homogenized preparations</v>
          </cell>
          <cell r="C406" t="str">
            <v>Vegetables, Other</v>
          </cell>
        </row>
        <row r="407">
          <cell r="B407" t="str">
            <v>Watermelons</v>
          </cell>
          <cell r="C407" t="str">
            <v>Vegetables, Other</v>
          </cell>
        </row>
        <row r="408">
          <cell r="B408" t="str">
            <v>Melons, other (inc.cantaloupes)</v>
          </cell>
          <cell r="C408" t="str">
            <v>Vegetables, Other</v>
          </cell>
        </row>
        <row r="409">
          <cell r="B409" t="str">
            <v>Coffee, substitutes containing coffee</v>
          </cell>
          <cell r="C409" t="str">
            <v>Vegetables, Other</v>
          </cell>
        </row>
        <row r="410">
          <cell r="B410" t="str">
            <v>Wheat</v>
          </cell>
          <cell r="C410" t="str">
            <v>Wheat and products</v>
          </cell>
        </row>
        <row r="411">
          <cell r="B411" t="str">
            <v>Flour, wheat</v>
          </cell>
          <cell r="C411" t="str">
            <v>Wheat and products</v>
          </cell>
        </row>
        <row r="412">
          <cell r="B412" t="str">
            <v>Bran, wheat</v>
          </cell>
          <cell r="C412" t="str">
            <v>Wheat and products</v>
          </cell>
        </row>
        <row r="413">
          <cell r="B413" t="str">
            <v>Macaroni</v>
          </cell>
          <cell r="C413" t="str">
            <v>Wheat and products</v>
          </cell>
        </row>
        <row r="414">
          <cell r="B414" t="str">
            <v>Germ, wheat</v>
          </cell>
          <cell r="C414" t="str">
            <v>Wheat and products</v>
          </cell>
        </row>
        <row r="415">
          <cell r="B415" t="str">
            <v>Bread</v>
          </cell>
          <cell r="C415" t="str">
            <v>Wheat and products</v>
          </cell>
        </row>
        <row r="416">
          <cell r="B416" t="str">
            <v>Bulgur</v>
          </cell>
          <cell r="C416" t="str">
            <v>Wheat and products</v>
          </cell>
        </row>
        <row r="417">
          <cell r="B417" t="str">
            <v>Pastry</v>
          </cell>
          <cell r="C417" t="str">
            <v>Wheat and products</v>
          </cell>
        </row>
        <row r="418">
          <cell r="B418" t="str">
            <v>Starch, wheat</v>
          </cell>
          <cell r="C418" t="str">
            <v>Wheat and products</v>
          </cell>
        </row>
        <row r="419">
          <cell r="B419" t="str">
            <v>Gluten, wheat</v>
          </cell>
          <cell r="C419" t="str">
            <v>Wheat and products</v>
          </cell>
        </row>
        <row r="420">
          <cell r="B420" t="str">
            <v>Cereals, breakfast</v>
          </cell>
          <cell r="C420" t="str">
            <v>Wheat and products</v>
          </cell>
        </row>
        <row r="421">
          <cell r="B421" t="str">
            <v>Wafers</v>
          </cell>
          <cell r="C421" t="str">
            <v>Wheat and products</v>
          </cell>
        </row>
        <row r="422">
          <cell r="B422" t="str">
            <v>Mixes and doughs</v>
          </cell>
          <cell r="C422" t="str">
            <v>Wheat and products</v>
          </cell>
        </row>
        <row r="423">
          <cell r="B423" t="str">
            <v>Food preparations, flour, malt extract</v>
          </cell>
          <cell r="C423" t="str">
            <v>Wheat and products</v>
          </cell>
        </row>
        <row r="424">
          <cell r="B424" t="str">
            <v>Wine</v>
          </cell>
          <cell r="C424" t="str">
            <v>Wine</v>
          </cell>
        </row>
        <row r="425">
          <cell r="B425" t="str">
            <v>Vermouths &amp; similar</v>
          </cell>
          <cell r="C425" t="str">
            <v>Wine</v>
          </cell>
        </row>
        <row r="426">
          <cell r="B426" t="str">
            <v>Yams</v>
          </cell>
          <cell r="C426" t="str">
            <v>Yams</v>
          </cell>
        </row>
        <row r="427">
          <cell r="B427" t="str">
            <v>Aqutc anim</v>
          </cell>
          <cell r="C427" t="str">
            <v>Fish, Seafood</v>
          </cell>
        </row>
        <row r="428">
          <cell r="B428" t="str">
            <v>Aq A Cured</v>
          </cell>
          <cell r="C428" t="str">
            <v>Fish, Seafood</v>
          </cell>
        </row>
        <row r="429">
          <cell r="B429" t="str">
            <v>Aquatic Animal Meals</v>
          </cell>
          <cell r="C429" t="str">
            <v>Fish, Seafood</v>
          </cell>
        </row>
        <row r="430">
          <cell r="B430" t="str">
            <v>Aq A Prep Ns</v>
          </cell>
          <cell r="C430" t="str">
            <v>Fish, Seafood</v>
          </cell>
        </row>
        <row r="431">
          <cell r="B431" t="str">
            <v>Aquatic plants, fresh</v>
          </cell>
          <cell r="C431" t="str">
            <v>Fish, Seafood</v>
          </cell>
        </row>
        <row r="432">
          <cell r="B432" t="str">
            <v>Aquatic plants, dried</v>
          </cell>
          <cell r="C432" t="str">
            <v>Fish, Seafood</v>
          </cell>
        </row>
        <row r="433">
          <cell r="B433" t="str">
            <v>Aquatic plants, other preparations</v>
          </cell>
          <cell r="C433" t="str">
            <v>Fish, Seafood</v>
          </cell>
        </row>
        <row r="434">
          <cell r="B434" t="str">
            <v>Meat, cattle</v>
          </cell>
          <cell r="C434" t="str">
            <v>Bovine Meat</v>
          </cell>
        </row>
        <row r="435">
          <cell r="B435" t="str">
            <v>Meat, cattle, boneless (beef &amp; veal)</v>
          </cell>
          <cell r="C435" t="str">
            <v>Bovine Meat</v>
          </cell>
        </row>
        <row r="436">
          <cell r="B436" t="str">
            <v>Meat, beef, dried, salted, smoked</v>
          </cell>
          <cell r="C436" t="str">
            <v>Bovine Meat</v>
          </cell>
        </row>
        <row r="437">
          <cell r="B437" t="str">
            <v>Meat, extracts</v>
          </cell>
          <cell r="C437" t="str">
            <v>Bovine Meat</v>
          </cell>
        </row>
        <row r="438">
          <cell r="B438" t="str">
            <v>Meat, beef and veal sausages</v>
          </cell>
          <cell r="C438" t="str">
            <v>Bovine Meat</v>
          </cell>
        </row>
        <row r="439">
          <cell r="B439" t="str">
            <v>Meat, beef, preparations</v>
          </cell>
          <cell r="C439" t="str">
            <v>Bovine Meat</v>
          </cell>
        </row>
        <row r="440">
          <cell r="B440" t="str">
            <v>Meat, beef, canned</v>
          </cell>
          <cell r="C440" t="str">
            <v>Bovine Meat</v>
          </cell>
        </row>
        <row r="441">
          <cell r="B441" t="str">
            <v>Meat, homogenized preparations</v>
          </cell>
          <cell r="C441" t="str">
            <v>Bovine Meat</v>
          </cell>
        </row>
        <row r="442">
          <cell r="B442" t="str">
            <v>Meat, buffalo</v>
          </cell>
          <cell r="C442" t="str">
            <v>Bovine Meat</v>
          </cell>
        </row>
        <row r="443">
          <cell r="B443" t="str">
            <v>Butter, cow milk</v>
          </cell>
          <cell r="C443" t="str">
            <v>Butter, Ghee</v>
          </cell>
        </row>
        <row r="444">
          <cell r="B444" t="str">
            <v>Ghee, butteroil of cow milk</v>
          </cell>
          <cell r="C444" t="str">
            <v>Butter, Ghee</v>
          </cell>
        </row>
        <row r="445">
          <cell r="B445" t="str">
            <v>Butter, buffalo milk</v>
          </cell>
          <cell r="C445" t="str">
            <v>Butter, Ghee</v>
          </cell>
        </row>
        <row r="446">
          <cell r="B446" t="str">
            <v>Ghee, buffalo milk</v>
          </cell>
          <cell r="C446" t="str">
            <v>Butter, Ghee</v>
          </cell>
        </row>
        <row r="447">
          <cell r="B447" t="str">
            <v>Butter and ghee, sheep milk</v>
          </cell>
          <cell r="C447" t="str">
            <v>Butter, Ghee</v>
          </cell>
        </row>
        <row r="448">
          <cell r="B448" t="str">
            <v>Butter, goat milk</v>
          </cell>
          <cell r="C448" t="str">
            <v>Butter, Ghee</v>
          </cell>
        </row>
        <row r="449">
          <cell r="B449" t="str">
            <v>Cephlp Fresh</v>
          </cell>
          <cell r="C449" t="str">
            <v>Fish, Seafood</v>
          </cell>
        </row>
        <row r="450">
          <cell r="B450" t="str">
            <v>Cphlp Frozen</v>
          </cell>
          <cell r="C450" t="str">
            <v>Fish, Seafood</v>
          </cell>
        </row>
        <row r="451">
          <cell r="B451" t="e">
            <v>#N/A</v>
          </cell>
          <cell r="C451" t="str">
            <v>Fish, Seafood</v>
          </cell>
        </row>
        <row r="452">
          <cell r="B452" t="e">
            <v>#N/A</v>
          </cell>
          <cell r="C452" t="str">
            <v>Fish, Seafood</v>
          </cell>
        </row>
        <row r="453">
          <cell r="B453" t="e">
            <v>#N/A</v>
          </cell>
          <cell r="C453" t="str">
            <v>Fish, Seafood</v>
          </cell>
        </row>
        <row r="454">
          <cell r="B454" t="e">
            <v>#N/A</v>
          </cell>
          <cell r="C454" t="str">
            <v>Fish, Seafood</v>
          </cell>
        </row>
        <row r="455">
          <cell r="B455" t="str">
            <v>Cream fresh</v>
          </cell>
          <cell r="C455" t="str">
            <v>Milk - Excluding Butter</v>
          </cell>
        </row>
        <row r="456">
          <cell r="B456" t="e">
            <v>#N/A</v>
          </cell>
          <cell r="C456" t="str">
            <v>Fish, Seafood</v>
          </cell>
        </row>
        <row r="457">
          <cell r="B457" t="e">
            <v>#N/A</v>
          </cell>
          <cell r="C457" t="str">
            <v>Fish, Seafood</v>
          </cell>
        </row>
        <row r="458">
          <cell r="B458" t="e">
            <v>#N/A</v>
          </cell>
          <cell r="C458" t="str">
            <v>Fish, Seafood</v>
          </cell>
        </row>
        <row r="459">
          <cell r="B459" t="e">
            <v>#N/A</v>
          </cell>
          <cell r="C459" t="str">
            <v>Fish, Seafood</v>
          </cell>
        </row>
        <row r="460">
          <cell r="B460" t="e">
            <v>#N/A</v>
          </cell>
          <cell r="C460" t="str">
            <v>Fish, Seafood</v>
          </cell>
        </row>
        <row r="461">
          <cell r="B461" t="e">
            <v>#N/A</v>
          </cell>
          <cell r="C461" t="str">
            <v>Fish, Seafood</v>
          </cell>
        </row>
        <row r="462">
          <cell r="B462" t="e">
            <v>#N/A</v>
          </cell>
          <cell r="C462" t="str">
            <v>Fish, Seafood</v>
          </cell>
        </row>
        <row r="463">
          <cell r="B463" t="e">
            <v>#N/A</v>
          </cell>
          <cell r="C463" t="str">
            <v>Fish, Seafood</v>
          </cell>
        </row>
        <row r="464">
          <cell r="B464" t="e">
            <v>#N/A</v>
          </cell>
          <cell r="C464" t="str">
            <v>Fish, Seafood</v>
          </cell>
        </row>
        <row r="465">
          <cell r="B465" t="e">
            <v>#N/A</v>
          </cell>
          <cell r="C465" t="str">
            <v>Fish, Seafood</v>
          </cell>
        </row>
        <row r="466">
          <cell r="B466" t="e">
            <v>#N/A</v>
          </cell>
          <cell r="C466" t="str">
            <v>Fish, Seafood</v>
          </cell>
        </row>
        <row r="467">
          <cell r="B467" t="e">
            <v>#N/A</v>
          </cell>
          <cell r="C467" t="str">
            <v>Fish, Seafood</v>
          </cell>
        </row>
        <row r="468">
          <cell r="B468" t="e">
            <v>#N/A</v>
          </cell>
          <cell r="C468" t="str">
            <v>Fish, Seafood</v>
          </cell>
        </row>
        <row r="469">
          <cell r="B469" t="e">
            <v>#N/A</v>
          </cell>
          <cell r="C469" t="str">
            <v>Fish, Seafood</v>
          </cell>
        </row>
        <row r="470">
          <cell r="B470" t="str">
            <v>Egg albumine</v>
          </cell>
          <cell r="C470" t="str">
            <v>Eggs</v>
          </cell>
        </row>
        <row r="471">
          <cell r="B471" t="str">
            <v>Eggs, hen, in shell</v>
          </cell>
          <cell r="C471" t="str">
            <v>Eggs</v>
          </cell>
        </row>
        <row r="472">
          <cell r="B472" t="str">
            <v>Eggs, liquid</v>
          </cell>
          <cell r="C472" t="str">
            <v>Eggs</v>
          </cell>
        </row>
        <row r="473">
          <cell r="B473" t="str">
            <v>Eggs, dried</v>
          </cell>
          <cell r="C473" t="str">
            <v>Eggs</v>
          </cell>
        </row>
        <row r="474">
          <cell r="B474" t="str">
            <v>Eggs, other bird, in shell</v>
          </cell>
          <cell r="C474" t="str">
            <v>Eggs</v>
          </cell>
        </row>
        <row r="475">
          <cell r="B475" t="str">
            <v>Fat, cattle</v>
          </cell>
          <cell r="C475" t="str">
            <v>Fats, Animals, Raw</v>
          </cell>
        </row>
        <row r="476">
          <cell r="B476" t="str">
            <v>Fat, cattle butcher</v>
          </cell>
          <cell r="C476" t="str">
            <v>Fats, Animals, Raw</v>
          </cell>
        </row>
        <row r="477">
          <cell r="B477" t="str">
            <v>Fat, buffaloes</v>
          </cell>
          <cell r="C477" t="str">
            <v>Fats, Animals, Raw</v>
          </cell>
        </row>
        <row r="478">
          <cell r="B478" t="str">
            <v>Fat, sheep</v>
          </cell>
          <cell r="C478" t="str">
            <v>Fats, Animals, Raw</v>
          </cell>
        </row>
        <row r="479">
          <cell r="B479" t="str">
            <v>Grease incl. lanolin wool</v>
          </cell>
          <cell r="C479" t="str">
            <v>Fats, Animals, Raw</v>
          </cell>
        </row>
        <row r="480">
          <cell r="B480" t="str">
            <v>Fat, goats</v>
          </cell>
          <cell r="C480" t="str">
            <v>Fats, Animals, Raw</v>
          </cell>
        </row>
        <row r="481">
          <cell r="B481" t="str">
            <v>Fat, pigs</v>
          </cell>
          <cell r="C481" t="str">
            <v>Fats, Animals, Raw</v>
          </cell>
        </row>
        <row r="482">
          <cell r="B482" t="str">
            <v>Lard</v>
          </cell>
          <cell r="C482" t="str">
            <v>Fats, Animals, Raw</v>
          </cell>
        </row>
        <row r="483">
          <cell r="B483" t="str">
            <v>Fat, poultry</v>
          </cell>
          <cell r="C483" t="str">
            <v>Fats, Animals, Raw</v>
          </cell>
        </row>
        <row r="484">
          <cell r="B484" t="str">
            <v>Fat, poultry, rendered</v>
          </cell>
          <cell r="C484" t="str">
            <v>Fats, Animals, Raw</v>
          </cell>
        </row>
        <row r="485">
          <cell r="B485" t="str">
            <v>Fat, camels</v>
          </cell>
          <cell r="C485" t="str">
            <v>Fats, Animals, Raw</v>
          </cell>
        </row>
        <row r="486">
          <cell r="B486" t="str">
            <v>Fat, other camelids</v>
          </cell>
          <cell r="C486" t="str">
            <v>Fats, Animals, Raw</v>
          </cell>
        </row>
        <row r="487">
          <cell r="B487" t="str">
            <v>Oils, fats of animal nes</v>
          </cell>
          <cell r="C487" t="str">
            <v>Fats, Animals, Raw</v>
          </cell>
        </row>
        <row r="488">
          <cell r="B488" t="str">
            <v>Lard stearine oil</v>
          </cell>
          <cell r="C488" t="str">
            <v>Fats, Animals, Raw</v>
          </cell>
        </row>
        <row r="489">
          <cell r="B489" t="str">
            <v>Degras</v>
          </cell>
          <cell r="C489" t="str">
            <v>Fats, Animals, Raw</v>
          </cell>
        </row>
        <row r="490">
          <cell r="B490" t="str">
            <v>Tallow</v>
          </cell>
          <cell r="C490" t="str">
            <v>Fats, Animals, Raw</v>
          </cell>
        </row>
        <row r="491">
          <cell r="B491" t="str">
            <v>Fat nes, prepared</v>
          </cell>
          <cell r="C491" t="str">
            <v>Fats, Animals, Raw</v>
          </cell>
        </row>
        <row r="492">
          <cell r="B492" t="e">
            <v>#N/A</v>
          </cell>
          <cell r="C492" t="str">
            <v>Fish, Seafood</v>
          </cell>
        </row>
        <row r="493">
          <cell r="B493" t="e">
            <v>#N/A</v>
          </cell>
          <cell r="C493" t="str">
            <v>Fish, Seafood</v>
          </cell>
        </row>
        <row r="494">
          <cell r="B494" t="e">
            <v>#N/A</v>
          </cell>
          <cell r="C494" t="str">
            <v>Fish, Seafood</v>
          </cell>
        </row>
        <row r="495">
          <cell r="B495" t="e">
            <v>#N/A</v>
          </cell>
          <cell r="C495" t="str">
            <v>Fish, Seafood</v>
          </cell>
        </row>
        <row r="496">
          <cell r="B496" t="e">
            <v>#N/A</v>
          </cell>
          <cell r="C496" t="str">
            <v>Fish, Seafood</v>
          </cell>
        </row>
        <row r="497">
          <cell r="B497" t="e">
            <v>#N/A</v>
          </cell>
          <cell r="C497" t="str">
            <v>Fish, Seafood</v>
          </cell>
        </row>
        <row r="498">
          <cell r="B498" t="e">
            <v>#N/A</v>
          </cell>
          <cell r="C498" t="str">
            <v>Fish, Seafood</v>
          </cell>
        </row>
        <row r="499">
          <cell r="B499" t="e">
            <v>#N/A</v>
          </cell>
          <cell r="C499" t="str">
            <v>Fish, Seafood</v>
          </cell>
        </row>
        <row r="500">
          <cell r="B500" t="e">
            <v>#N/A</v>
          </cell>
          <cell r="C500" t="str">
            <v>Fish, Seafood</v>
          </cell>
        </row>
        <row r="501">
          <cell r="B501" t="e">
            <v>#N/A</v>
          </cell>
          <cell r="C501" t="str">
            <v>Fish, Seafood</v>
          </cell>
        </row>
        <row r="502">
          <cell r="B502" t="e">
            <v>#N/A</v>
          </cell>
          <cell r="C502" t="str">
            <v>Fish, Seafood</v>
          </cell>
        </row>
        <row r="503">
          <cell r="B503" t="e">
            <v>#N/A</v>
          </cell>
          <cell r="C503" t="str">
            <v>Fish, Seafood</v>
          </cell>
        </row>
        <row r="504">
          <cell r="B504" t="e">
            <v>#N/A</v>
          </cell>
          <cell r="C504" t="str">
            <v>Fish, Seafood</v>
          </cell>
        </row>
        <row r="505">
          <cell r="B505" t="e">
            <v>#N/A</v>
          </cell>
          <cell r="C505" t="str">
            <v>Fish, Seafood</v>
          </cell>
        </row>
        <row r="506">
          <cell r="B506" t="e">
            <v>#N/A</v>
          </cell>
          <cell r="C506" t="str">
            <v>Fish, Seafood</v>
          </cell>
        </row>
        <row r="507">
          <cell r="B507" t="e">
            <v>#N/A</v>
          </cell>
          <cell r="C507" t="str">
            <v>Fish, Seafood</v>
          </cell>
        </row>
        <row r="508">
          <cell r="B508" t="e">
            <v>#N/A</v>
          </cell>
          <cell r="C508" t="str">
            <v>Fish, Seafood</v>
          </cell>
        </row>
        <row r="509">
          <cell r="B509" t="e">
            <v>#N/A</v>
          </cell>
          <cell r="C509" t="str">
            <v>Fish, Seafood</v>
          </cell>
        </row>
        <row r="510">
          <cell r="B510" t="e">
            <v>#N/A</v>
          </cell>
          <cell r="C510" t="str">
            <v>Fish, Seafood</v>
          </cell>
        </row>
        <row r="511">
          <cell r="B511" t="e">
            <v>#N/A</v>
          </cell>
          <cell r="C511" t="str">
            <v>Fish, Seafood</v>
          </cell>
        </row>
        <row r="512">
          <cell r="B512" t="e">
            <v>#N/A</v>
          </cell>
          <cell r="C512" t="str">
            <v>Fish, Seafood</v>
          </cell>
        </row>
        <row r="513">
          <cell r="B513" t="e">
            <v>#N/A</v>
          </cell>
          <cell r="C513" t="str">
            <v>Fish, Seafood</v>
          </cell>
        </row>
        <row r="514">
          <cell r="B514" t="e">
            <v>#N/A</v>
          </cell>
          <cell r="C514" t="str">
            <v>Fish, Seafood</v>
          </cell>
        </row>
        <row r="515">
          <cell r="B515" t="e">
            <v>#N/A</v>
          </cell>
          <cell r="C515" t="str">
            <v>Fish, Seafood</v>
          </cell>
        </row>
        <row r="516">
          <cell r="B516" t="e">
            <v>#N/A</v>
          </cell>
          <cell r="C516" t="str">
            <v>Fish, Seafood</v>
          </cell>
        </row>
        <row r="517">
          <cell r="B517" t="str">
            <v>Hides and skins</v>
          </cell>
          <cell r="C517" t="str">
            <v>Hides and skins</v>
          </cell>
        </row>
        <row r="518">
          <cell r="B518" t="str">
            <v>Hides, cattle, fresh</v>
          </cell>
          <cell r="C518" t="str">
            <v>Hides and skins</v>
          </cell>
        </row>
        <row r="519">
          <cell r="B519" t="str">
            <v>Hides, cattle, wet salted</v>
          </cell>
          <cell r="C519" t="str">
            <v>Hides and skins</v>
          </cell>
        </row>
        <row r="520">
          <cell r="B520" t="e">
            <v>#N/A</v>
          </cell>
          <cell r="C520" t="str">
            <v>Hides and skins</v>
          </cell>
        </row>
        <row r="521">
          <cell r="B521" t="e">
            <v>#N/A</v>
          </cell>
          <cell r="C521" t="str">
            <v>Hides and skins</v>
          </cell>
        </row>
        <row r="522">
          <cell r="B522" t="str">
            <v>Skins, calve, wet salted</v>
          </cell>
          <cell r="C522" t="str">
            <v>Hides and skins</v>
          </cell>
        </row>
        <row r="523">
          <cell r="B523" t="e">
            <v>#N/A</v>
          </cell>
          <cell r="C523" t="str">
            <v>Hides and skins</v>
          </cell>
        </row>
        <row r="524">
          <cell r="B524" t="e">
            <v>#N/A</v>
          </cell>
          <cell r="C524" t="str">
            <v>Hides and skins</v>
          </cell>
        </row>
        <row r="525">
          <cell r="B525" t="str">
            <v>Hides, buffalo, fresh</v>
          </cell>
          <cell r="C525" t="str">
            <v>Hides and skins</v>
          </cell>
        </row>
        <row r="526">
          <cell r="B526" t="str">
            <v>Hides, buffalo, wet salted</v>
          </cell>
          <cell r="C526" t="str">
            <v>Hides and skins</v>
          </cell>
        </row>
        <row r="527">
          <cell r="B527" t="str">
            <v>Hides, buffalo, dry salted</v>
          </cell>
          <cell r="C527" t="str">
            <v>Hides and skins</v>
          </cell>
        </row>
        <row r="528">
          <cell r="B528" t="str">
            <v>Skins, sheep, fresh</v>
          </cell>
          <cell r="C528" t="str">
            <v>Hides and skins</v>
          </cell>
        </row>
        <row r="529">
          <cell r="B529" t="str">
            <v>Skins, sheep, wet salted</v>
          </cell>
          <cell r="C529" t="str">
            <v>Hides and skins</v>
          </cell>
        </row>
        <row r="530">
          <cell r="B530" t="str">
            <v>Skins, sheep, dry salted</v>
          </cell>
          <cell r="C530" t="str">
            <v>Hides and skins</v>
          </cell>
        </row>
        <row r="531">
          <cell r="B531" t="e">
            <v>#N/A</v>
          </cell>
          <cell r="C531" t="str">
            <v>Hides and skins</v>
          </cell>
        </row>
        <row r="532">
          <cell r="B532" t="str">
            <v>Skins, sheep, with wool</v>
          </cell>
          <cell r="C532" t="str">
            <v>Hides and skins</v>
          </cell>
        </row>
        <row r="533">
          <cell r="B533" t="e">
            <v>#N/A</v>
          </cell>
          <cell r="C533" t="str">
            <v>Hides and skins</v>
          </cell>
        </row>
        <row r="534">
          <cell r="B534" t="str">
            <v>Skins, goat, fresh</v>
          </cell>
          <cell r="C534" t="str">
            <v>Hides and skins</v>
          </cell>
        </row>
        <row r="535">
          <cell r="B535" t="str">
            <v>Skins, goat, wet salted</v>
          </cell>
          <cell r="C535" t="str">
            <v>Hides and skins</v>
          </cell>
        </row>
        <row r="536">
          <cell r="B536" t="e">
            <v>#N/A</v>
          </cell>
          <cell r="C536" t="str">
            <v>Hides and skins</v>
          </cell>
        </row>
        <row r="537">
          <cell r="B537" t="e">
            <v>#N/A</v>
          </cell>
          <cell r="C537" t="str">
            <v>Hides and skins</v>
          </cell>
        </row>
        <row r="538">
          <cell r="B538" t="e">
            <v>#N/A</v>
          </cell>
          <cell r="C538" t="str">
            <v>Hides and skins</v>
          </cell>
        </row>
        <row r="539">
          <cell r="B539" t="e">
            <v>#N/A</v>
          </cell>
          <cell r="C539" t="str">
            <v>Hides and skins</v>
          </cell>
        </row>
        <row r="540">
          <cell r="B540" t="e">
            <v>#N/A</v>
          </cell>
          <cell r="C540" t="str">
            <v>Hides and skins</v>
          </cell>
        </row>
        <row r="541">
          <cell r="B541" t="e">
            <v>#N/A</v>
          </cell>
          <cell r="C541" t="str">
            <v>Hides and skins</v>
          </cell>
        </row>
        <row r="542">
          <cell r="B542" t="e">
            <v>#N/A</v>
          </cell>
          <cell r="C542" t="str">
            <v>Hides and skins</v>
          </cell>
        </row>
        <row r="543">
          <cell r="B543" t="str">
            <v>Hides, camel, wet salted</v>
          </cell>
          <cell r="C543" t="str">
            <v>Hides and skins</v>
          </cell>
        </row>
        <row r="544">
          <cell r="B544" t="e">
            <v>#N/A</v>
          </cell>
          <cell r="C544" t="str">
            <v>Hides and skins</v>
          </cell>
        </row>
        <row r="545">
          <cell r="B545" t="str">
            <v>Hides, camel nes</v>
          </cell>
          <cell r="C545" t="str">
            <v>Hides and skins</v>
          </cell>
        </row>
        <row r="546">
          <cell r="B546" t="e">
            <v>#N/A</v>
          </cell>
          <cell r="C546" t="str">
            <v>Hides and skins</v>
          </cell>
        </row>
        <row r="547">
          <cell r="B547" t="e">
            <v>#N/A</v>
          </cell>
          <cell r="C547" t="str">
            <v>Hides and skins</v>
          </cell>
        </row>
        <row r="548">
          <cell r="B548" t="str">
            <v>Hides and skins nes, fresh</v>
          </cell>
          <cell r="C548" t="str">
            <v>Hides and skins</v>
          </cell>
        </row>
        <row r="549">
          <cell r="B549" t="e">
            <v>#N/A</v>
          </cell>
          <cell r="C549" t="str">
            <v>Hides and skins</v>
          </cell>
        </row>
        <row r="550">
          <cell r="B550" t="e">
            <v>#N/A</v>
          </cell>
          <cell r="C550" t="str">
            <v>Hides and skins</v>
          </cell>
        </row>
        <row r="551">
          <cell r="B551" t="str">
            <v>Honey, natural</v>
          </cell>
          <cell r="C551" t="str">
            <v>Honey</v>
          </cell>
        </row>
        <row r="552">
          <cell r="B552" t="e">
            <v>#N/A</v>
          </cell>
          <cell r="C552" t="str">
            <v>Fish, Seafood</v>
          </cell>
        </row>
        <row r="553">
          <cell r="B553" t="e">
            <v>#N/A</v>
          </cell>
          <cell r="C553" t="str">
            <v>Fish, Seafood</v>
          </cell>
        </row>
        <row r="554">
          <cell r="B554" t="e">
            <v>#N/A</v>
          </cell>
          <cell r="C554" t="str">
            <v>Fish, Seafood</v>
          </cell>
        </row>
        <row r="555">
          <cell r="B555" t="e">
            <v>#N/A</v>
          </cell>
          <cell r="C555" t="str">
            <v>Fish, Seafood</v>
          </cell>
        </row>
        <row r="556">
          <cell r="B556" t="e">
            <v>#N/A</v>
          </cell>
          <cell r="C556" t="str">
            <v>Fish, Seafood</v>
          </cell>
        </row>
        <row r="557">
          <cell r="B557" t="e">
            <v>#N/A</v>
          </cell>
          <cell r="C557" t="str">
            <v>Fish, Seafood</v>
          </cell>
        </row>
        <row r="558">
          <cell r="B558" t="e">
            <v>#N/A</v>
          </cell>
          <cell r="C558" t="str">
            <v>Fish, Seafood</v>
          </cell>
        </row>
        <row r="559">
          <cell r="B559" t="e">
            <v>#N/A</v>
          </cell>
          <cell r="C559" t="str">
            <v>Fish, Seafood</v>
          </cell>
        </row>
        <row r="560">
          <cell r="B560" t="str">
            <v>Meal, meat</v>
          </cell>
          <cell r="C560" t="str">
            <v>Fish, Seafood</v>
          </cell>
        </row>
        <row r="561">
          <cell r="B561" t="str">
            <v>Meal, blood</v>
          </cell>
          <cell r="C561" t="str">
            <v>Fish, Seafood</v>
          </cell>
        </row>
        <row r="562">
          <cell r="B562" t="e">
            <v>#N/A</v>
          </cell>
          <cell r="C562" t="str">
            <v>Fish, Seafood</v>
          </cell>
        </row>
        <row r="563">
          <cell r="B563" t="e">
            <v>#N/A</v>
          </cell>
          <cell r="C563" t="str">
            <v>Fish, Seafood</v>
          </cell>
        </row>
        <row r="564">
          <cell r="B564" t="str">
            <v>Meat, bird nes</v>
          </cell>
          <cell r="C564" t="str">
            <v>Meat, Other</v>
          </cell>
        </row>
        <row r="565">
          <cell r="B565" t="str">
            <v>Meat, horse</v>
          </cell>
          <cell r="C565" t="str">
            <v>Meat, Other</v>
          </cell>
        </row>
        <row r="566">
          <cell r="B566" t="str">
            <v>Meat, ass</v>
          </cell>
          <cell r="C566" t="str">
            <v>Meat, Other</v>
          </cell>
        </row>
        <row r="567">
          <cell r="B567" t="str">
            <v>Meat, mule</v>
          </cell>
          <cell r="C567" t="str">
            <v>Meat, Other</v>
          </cell>
        </row>
        <row r="568">
          <cell r="B568" t="str">
            <v>Meat, camel</v>
          </cell>
          <cell r="C568" t="str">
            <v>Meat, Other</v>
          </cell>
        </row>
        <row r="569">
          <cell r="B569" t="str">
            <v>Meat, rabbit</v>
          </cell>
          <cell r="C569" t="str">
            <v>Meat, Other</v>
          </cell>
        </row>
        <row r="570">
          <cell r="B570" t="str">
            <v>Meat, other rodents</v>
          </cell>
          <cell r="C570" t="str">
            <v>Meat, Other</v>
          </cell>
        </row>
        <row r="571">
          <cell r="B571" t="str">
            <v>Meat, camel nes</v>
          </cell>
          <cell r="C571" t="str">
            <v>Meat, Other</v>
          </cell>
        </row>
        <row r="572">
          <cell r="B572" t="str">
            <v>Meat, game</v>
          </cell>
          <cell r="C572" t="str">
            <v>Meat, Other</v>
          </cell>
        </row>
        <row r="573">
          <cell r="B573" t="str">
            <v>Meat, dried nes</v>
          </cell>
          <cell r="C573" t="str">
            <v>Meat, Other</v>
          </cell>
        </row>
        <row r="574">
          <cell r="B574" t="str">
            <v>Meat nes</v>
          </cell>
          <cell r="C574" t="str">
            <v>Meat, Other</v>
          </cell>
        </row>
        <row r="575">
          <cell r="B575" t="str">
            <v>Meat nes, preparations</v>
          </cell>
          <cell r="C575" t="str">
            <v>Meat, Other</v>
          </cell>
        </row>
        <row r="576">
          <cell r="B576" t="str">
            <v>Snails, not sea</v>
          </cell>
          <cell r="C576" t="str">
            <v>Meat, Other</v>
          </cell>
        </row>
        <row r="577">
          <cell r="B577" t="str">
            <v>Milk, whole fresh cow</v>
          </cell>
          <cell r="C577" t="str">
            <v>Milk - Excluding Butter</v>
          </cell>
        </row>
        <row r="578">
          <cell r="B578" t="str">
            <v>Milk, skimmed cow</v>
          </cell>
          <cell r="C578" t="str">
            <v>Milk - Excluding Butter</v>
          </cell>
        </row>
        <row r="579">
          <cell r="B579" t="str">
            <v>Milk, whole condensed</v>
          </cell>
          <cell r="C579" t="str">
            <v>Milk - Excluding Butter</v>
          </cell>
        </row>
        <row r="580">
          <cell r="B580" t="str">
            <v>Whey, condensed</v>
          </cell>
          <cell r="C580" t="str">
            <v>Milk - Excluding Butter</v>
          </cell>
        </row>
        <row r="581">
          <cell r="B581" t="str">
            <v>Yoghurt</v>
          </cell>
          <cell r="C581" t="str">
            <v>Milk - Excluding Butter</v>
          </cell>
        </row>
        <row r="582">
          <cell r="B582" t="str">
            <v>Yoghurt, concentrated or not</v>
          </cell>
          <cell r="C582" t="str">
            <v>Milk - Excluding Butter</v>
          </cell>
        </row>
        <row r="583">
          <cell r="B583" t="str">
            <v>Buttermilk, curdled, acidified milk</v>
          </cell>
          <cell r="C583" t="str">
            <v>Milk - Excluding Butter</v>
          </cell>
        </row>
        <row r="584">
          <cell r="B584" t="str">
            <v>Milk, whole evaporated</v>
          </cell>
          <cell r="C584" t="str">
            <v>Milk - Excluding Butter</v>
          </cell>
        </row>
        <row r="585">
          <cell r="B585" t="str">
            <v>Milk, skimmed evaporated</v>
          </cell>
          <cell r="C585" t="str">
            <v>Milk - Excluding Butter</v>
          </cell>
        </row>
        <row r="586">
          <cell r="B586" t="str">
            <v>Milk, skimmed condensed</v>
          </cell>
          <cell r="C586" t="str">
            <v>Milk - Excluding Butter</v>
          </cell>
        </row>
        <row r="587">
          <cell r="B587" t="str">
            <v>Milk, whole dried</v>
          </cell>
          <cell r="C587" t="str">
            <v>Milk - Excluding Butter</v>
          </cell>
        </row>
        <row r="588">
          <cell r="B588" t="str">
            <v>Milk, skimmed dried</v>
          </cell>
          <cell r="C588" t="str">
            <v>Milk - Excluding Butter</v>
          </cell>
        </row>
        <row r="589">
          <cell r="B589" t="str">
            <v>Milk, dry buttermilk</v>
          </cell>
          <cell r="C589" t="str">
            <v>Milk - Excluding Butter</v>
          </cell>
        </row>
        <row r="590">
          <cell r="B590" t="str">
            <v>Whey, dry</v>
          </cell>
          <cell r="C590" t="str">
            <v>Milk - Excluding Butter</v>
          </cell>
        </row>
        <row r="591">
          <cell r="B591" t="str">
            <v>Cheese, whole cow milk</v>
          </cell>
          <cell r="C591" t="str">
            <v>Milk - Excluding Butter</v>
          </cell>
        </row>
        <row r="592">
          <cell r="B592" t="str">
            <v>Whey, fresh</v>
          </cell>
          <cell r="C592" t="str">
            <v>Milk - Excluding Butter</v>
          </cell>
        </row>
        <row r="593">
          <cell r="B593" t="str">
            <v>Cheese, skimmed cow milk</v>
          </cell>
          <cell r="C593" t="str">
            <v>Milk - Excluding Butter</v>
          </cell>
        </row>
        <row r="594">
          <cell r="B594" t="str">
            <v>Whey, cheese</v>
          </cell>
          <cell r="C594" t="str">
            <v>Milk - Excluding Butter</v>
          </cell>
        </row>
        <row r="595">
          <cell r="B595" t="str">
            <v>Cheese, processed</v>
          </cell>
          <cell r="C595" t="str">
            <v>Milk - Excluding Butter</v>
          </cell>
        </row>
        <row r="596">
          <cell r="B596" t="str">
            <v>Milk, reconstituted</v>
          </cell>
          <cell r="C596" t="str">
            <v>Milk - Excluding Butter</v>
          </cell>
        </row>
        <row r="597">
          <cell r="B597" t="str">
            <v>Milk, products of natural constituents nes</v>
          </cell>
          <cell r="C597" t="str">
            <v>Milk - Excluding Butter</v>
          </cell>
        </row>
        <row r="598">
          <cell r="B598" t="str">
            <v>Ice cream and edible ice</v>
          </cell>
          <cell r="C598" t="str">
            <v>Milk - Excluding Butter</v>
          </cell>
        </row>
        <row r="599">
          <cell r="B599" t="str">
            <v>Casein</v>
          </cell>
          <cell r="C599" t="str">
            <v>Milk - Excluding Butter</v>
          </cell>
        </row>
        <row r="600">
          <cell r="B600" t="str">
            <v>Milk, whole fresh buffalo</v>
          </cell>
          <cell r="C600" t="str">
            <v>Milk - Excluding Butter</v>
          </cell>
        </row>
        <row r="601">
          <cell r="B601" t="str">
            <v>Milk, skimmed buffalo</v>
          </cell>
          <cell r="C601" t="str">
            <v>Milk - Excluding Butter</v>
          </cell>
        </row>
        <row r="602">
          <cell r="B602" t="str">
            <v>Cheese, buffalo milk</v>
          </cell>
          <cell r="C602" t="str">
            <v>Milk - Excluding Butter</v>
          </cell>
        </row>
        <row r="603">
          <cell r="B603" t="str">
            <v>Milk, whole fresh sheep</v>
          </cell>
          <cell r="C603" t="str">
            <v>Milk - Excluding Butter</v>
          </cell>
        </row>
        <row r="604">
          <cell r="B604" t="str">
            <v>Cheese, sheep milk</v>
          </cell>
          <cell r="C604" t="str">
            <v>Milk - Excluding Butter</v>
          </cell>
        </row>
        <row r="605">
          <cell r="B605" t="str">
            <v>Milk, skimmed sheep</v>
          </cell>
          <cell r="C605" t="str">
            <v>Milk - Excluding Butter</v>
          </cell>
        </row>
        <row r="606">
          <cell r="B606" t="str">
            <v>Milk, whole fresh goat</v>
          </cell>
          <cell r="C606" t="str">
            <v>Milk - Excluding Butter</v>
          </cell>
        </row>
        <row r="607">
          <cell r="B607" t="str">
            <v>Cheese, goat milk</v>
          </cell>
          <cell r="C607" t="str">
            <v>Milk - Excluding Butter</v>
          </cell>
        </row>
        <row r="608">
          <cell r="B608" t="str">
            <v>Milk, skimmed goat</v>
          </cell>
          <cell r="C608" t="str">
            <v>Milk - Excluding Butter</v>
          </cell>
        </row>
        <row r="609">
          <cell r="B609" t="str">
            <v>Milk, whole fresh camel</v>
          </cell>
          <cell r="C609" t="str">
            <v>Milk - Excluding Butter</v>
          </cell>
        </row>
        <row r="610">
          <cell r="B610" t="e">
            <v>#N/A</v>
          </cell>
          <cell r="C610" t="str">
            <v>Fish, Seafood</v>
          </cell>
        </row>
        <row r="611">
          <cell r="B611" t="e">
            <v>#N/A</v>
          </cell>
          <cell r="C611" t="str">
            <v>Fish, Seafood</v>
          </cell>
        </row>
        <row r="612">
          <cell r="B612" t="e">
            <v>#N/A</v>
          </cell>
          <cell r="C612" t="str">
            <v>Fish, Seafood</v>
          </cell>
        </row>
        <row r="613">
          <cell r="B613" t="e">
            <v>#N/A</v>
          </cell>
          <cell r="C613" t="str">
            <v>Fish, Seafood</v>
          </cell>
        </row>
        <row r="614">
          <cell r="B614" t="e">
            <v>#N/A</v>
          </cell>
          <cell r="C614" t="str">
            <v>Fish, Seafood</v>
          </cell>
        </row>
        <row r="615">
          <cell r="B615" t="str">
            <v>Meat, sheep</v>
          </cell>
          <cell r="C615" t="str">
            <v>Mutton &amp; Goat Meat</v>
          </cell>
        </row>
        <row r="616">
          <cell r="B616" t="str">
            <v>Meat, goat</v>
          </cell>
          <cell r="C616" t="str">
            <v>Mutton &amp; Goat Meat</v>
          </cell>
        </row>
        <row r="617">
          <cell r="B617" t="str">
            <v>Offals, edible, cattle</v>
          </cell>
          <cell r="C617" t="str">
            <v>Offals, Edible</v>
          </cell>
        </row>
        <row r="618">
          <cell r="B618" t="str">
            <v>Liver prep.</v>
          </cell>
          <cell r="C618" t="str">
            <v>Offals, Edible</v>
          </cell>
        </row>
        <row r="619">
          <cell r="B619" t="str">
            <v>Offals, edible, buffaloes</v>
          </cell>
          <cell r="C619" t="str">
            <v>Offals, Edible</v>
          </cell>
        </row>
        <row r="620">
          <cell r="B620" t="str">
            <v>Offals, sheep,edible</v>
          </cell>
          <cell r="C620" t="str">
            <v>Offals, Edible</v>
          </cell>
        </row>
        <row r="621">
          <cell r="B621" t="str">
            <v>Offals, edible, goats</v>
          </cell>
          <cell r="C621" t="str">
            <v>Offals, Edible</v>
          </cell>
        </row>
        <row r="622">
          <cell r="B622" t="str">
            <v>Offals, pigs, edible</v>
          </cell>
          <cell r="C622" t="str">
            <v>Offals, Edible</v>
          </cell>
        </row>
        <row r="623">
          <cell r="B623" t="str">
            <v>Offals, liver chicken</v>
          </cell>
          <cell r="C623" t="str">
            <v>Offals, Edible</v>
          </cell>
        </row>
        <row r="624">
          <cell r="B624" t="str">
            <v>Offals, liver geese</v>
          </cell>
          <cell r="C624" t="str">
            <v>Offals, Edible</v>
          </cell>
        </row>
        <row r="625">
          <cell r="B625" t="str">
            <v>Offals, liver duck</v>
          </cell>
          <cell r="C625" t="str">
            <v>Offals, Edible</v>
          </cell>
        </row>
        <row r="626">
          <cell r="B626" t="str">
            <v>Offals, liver turkeys</v>
          </cell>
          <cell r="C626" t="str">
            <v>Offals, Edible</v>
          </cell>
        </row>
        <row r="627">
          <cell r="B627" t="str">
            <v>Offals, horses</v>
          </cell>
          <cell r="C627" t="str">
            <v>Offals, Edible</v>
          </cell>
        </row>
        <row r="628">
          <cell r="B628" t="str">
            <v>Offals, edible, camels</v>
          </cell>
          <cell r="C628" t="str">
            <v>Offals, Edible</v>
          </cell>
        </row>
        <row r="629">
          <cell r="B629" t="str">
            <v>Offals, other camelids</v>
          </cell>
          <cell r="C629" t="str">
            <v>Offals, Edible</v>
          </cell>
        </row>
        <row r="630">
          <cell r="B630" t="str">
            <v>Offals nes</v>
          </cell>
          <cell r="C630" t="str">
            <v>Offals, Edible</v>
          </cell>
        </row>
        <row r="631">
          <cell r="B631" t="e">
            <v>#N/A</v>
          </cell>
          <cell r="C631" t="str">
            <v>Fish, Seafood</v>
          </cell>
        </row>
        <row r="632">
          <cell r="B632" t="e">
            <v>#N/A</v>
          </cell>
          <cell r="C632" t="str">
            <v>Fish, Seafood</v>
          </cell>
        </row>
        <row r="633">
          <cell r="B633" t="e">
            <v>#N/A</v>
          </cell>
          <cell r="C633" t="str">
            <v>Fish, Seafood</v>
          </cell>
        </row>
        <row r="634">
          <cell r="B634" t="e">
            <v>#N/A</v>
          </cell>
          <cell r="C634" t="str">
            <v>Fish, Seafood</v>
          </cell>
        </row>
        <row r="635">
          <cell r="B635" t="e">
            <v>#N/A</v>
          </cell>
          <cell r="C635" t="str">
            <v>Fish, Seafood</v>
          </cell>
        </row>
        <row r="636">
          <cell r="B636" t="e">
            <v>#N/A</v>
          </cell>
          <cell r="C636" t="str">
            <v>Fish, Seafood</v>
          </cell>
        </row>
        <row r="637">
          <cell r="B637" t="e">
            <v>#N/A</v>
          </cell>
          <cell r="C637" t="str">
            <v>Fish, Seafood</v>
          </cell>
        </row>
        <row r="638">
          <cell r="B638" t="e">
            <v>#N/A</v>
          </cell>
          <cell r="C638" t="str">
            <v>Fish, Seafood</v>
          </cell>
        </row>
        <row r="639">
          <cell r="B639" t="str">
            <v>Meat, pig</v>
          </cell>
          <cell r="C639" t="str">
            <v>Pigmeat</v>
          </cell>
        </row>
        <row r="640">
          <cell r="B640" t="str">
            <v>Meat, pork</v>
          </cell>
          <cell r="C640" t="str">
            <v>Pigmeat</v>
          </cell>
        </row>
        <row r="641">
          <cell r="B641" t="str">
            <v>Bacon and ham</v>
          </cell>
          <cell r="C641" t="str">
            <v>Pigmeat</v>
          </cell>
        </row>
        <row r="642">
          <cell r="B642" t="str">
            <v>Meat, pig sausages</v>
          </cell>
          <cell r="C642" t="str">
            <v>Pigmeat</v>
          </cell>
        </row>
        <row r="643">
          <cell r="B643" t="str">
            <v>Meat, pig, preparations</v>
          </cell>
          <cell r="C643" t="str">
            <v>Pigmeat</v>
          </cell>
        </row>
        <row r="644">
          <cell r="B644" t="str">
            <v>Meat, chicken</v>
          </cell>
          <cell r="C644" t="str">
            <v>Poultry Meat</v>
          </cell>
        </row>
        <row r="645">
          <cell r="B645" t="str">
            <v>Fat, liver prepared (foie gras)</v>
          </cell>
          <cell r="C645" t="str">
            <v>Poultry Meat</v>
          </cell>
        </row>
        <row r="646">
          <cell r="B646" t="str">
            <v>Meat, chicken, canned</v>
          </cell>
          <cell r="C646" t="str">
            <v>Poultry Meat</v>
          </cell>
        </row>
        <row r="647">
          <cell r="B647" t="str">
            <v>Meat, duck</v>
          </cell>
          <cell r="C647" t="str">
            <v>Poultry Meat</v>
          </cell>
        </row>
        <row r="648">
          <cell r="B648" t="str">
            <v>Meat, goose and guinea fowl</v>
          </cell>
          <cell r="C648" t="str">
            <v>Poultry Meat</v>
          </cell>
        </row>
        <row r="649">
          <cell r="B649" t="str">
            <v>Meat, turkey</v>
          </cell>
          <cell r="C649" t="str">
            <v>Poultry Meat</v>
          </cell>
        </row>
        <row r="650">
          <cell r="B650" t="str">
            <v>Silk-worm cocoons, reelable</v>
          </cell>
          <cell r="C650" t="str">
            <v>Silk</v>
          </cell>
        </row>
        <row r="651">
          <cell r="B651" t="str">
            <v>Silk, raw</v>
          </cell>
          <cell r="C651" t="str">
            <v>Silk</v>
          </cell>
        </row>
        <row r="652">
          <cell r="B652" t="str">
            <v>Cocoons, unreelable &amp; waste</v>
          </cell>
          <cell r="C652" t="str">
            <v>Silk</v>
          </cell>
        </row>
        <row r="653">
          <cell r="B653" t="str">
            <v>Wool, greasy</v>
          </cell>
          <cell r="C653" t="str">
            <v>Wool (Clean Eq.)</v>
          </cell>
        </row>
        <row r="654">
          <cell r="B654" t="str">
            <v>Wool, degreased</v>
          </cell>
          <cell r="C654" t="str">
            <v>Wool (Clean Eq.)</v>
          </cell>
        </row>
        <row r="655">
          <cell r="B655" t="str">
            <v>Wool, hair waste</v>
          </cell>
          <cell r="C655" t="str">
            <v>Wool (Clean Eq.)</v>
          </cell>
        </row>
        <row r="656">
          <cell r="B656" t="str">
            <v>Fish meal</v>
          </cell>
          <cell r="C656" t="str">
            <v>Fish, Seafood</v>
          </cell>
        </row>
        <row r="657">
          <cell r="B657" t="str">
            <v>Buffaloes</v>
          </cell>
          <cell r="C657" t="str">
            <v>Buffaloes</v>
          </cell>
        </row>
        <row r="658">
          <cell r="B658" t="str">
            <v>Camels</v>
          </cell>
          <cell r="C658" t="str">
            <v>Camels</v>
          </cell>
        </row>
        <row r="659">
          <cell r="B659" t="str">
            <v>Cattle</v>
          </cell>
          <cell r="C659" t="str">
            <v>Cattle, non-dairy</v>
          </cell>
        </row>
        <row r="660">
          <cell r="B660" t="str">
            <v>Chickens</v>
          </cell>
          <cell r="C660" t="str">
            <v>Chickens, broilers</v>
          </cell>
        </row>
        <row r="661">
          <cell r="B661" t="str">
            <v>Ducks</v>
          </cell>
          <cell r="C661" t="str">
            <v>Ducks</v>
          </cell>
        </row>
        <row r="662">
          <cell r="B662" t="str">
            <v>Goats</v>
          </cell>
          <cell r="C662" t="str">
            <v>Goats</v>
          </cell>
        </row>
        <row r="663">
          <cell r="B663" t="str">
            <v>Horses</v>
          </cell>
          <cell r="C663" t="str">
            <v>Horses</v>
          </cell>
        </row>
        <row r="664">
          <cell r="B664" t="str">
            <v>Mules</v>
          </cell>
          <cell r="C664" t="str">
            <v>Mules</v>
          </cell>
        </row>
        <row r="665">
          <cell r="B665" t="str">
            <v>Animals live nes</v>
          </cell>
          <cell r="C665" t="str">
            <v>Animals live nes</v>
          </cell>
        </row>
        <row r="666">
          <cell r="B666" t="str">
            <v>Asses</v>
          </cell>
          <cell r="C666" t="str">
            <v>Asses</v>
          </cell>
        </row>
        <row r="667">
          <cell r="B667" t="str">
            <v>Beehives</v>
          </cell>
          <cell r="C667" t="str">
            <v>Beehives</v>
          </cell>
        </row>
        <row r="668">
          <cell r="B668" t="str">
            <v>Pigs</v>
          </cell>
          <cell r="C668" t="str">
            <v>Pigs</v>
          </cell>
        </row>
        <row r="669">
          <cell r="B669" t="str">
            <v>Rabbits and hares</v>
          </cell>
          <cell r="C669" t="str">
            <v>Rabbits and hares</v>
          </cell>
        </row>
        <row r="670">
          <cell r="B670" t="str">
            <v>Sheep</v>
          </cell>
          <cell r="C670" t="str">
            <v>Sheep</v>
          </cell>
        </row>
        <row r="671">
          <cell r="B671" t="str">
            <v>Turkeys</v>
          </cell>
          <cell r="C671" t="str">
            <v>Turkeys</v>
          </cell>
        </row>
        <row r="672">
          <cell r="B672" t="str">
            <v>Pigeons, other birds</v>
          </cell>
          <cell r="C672" t="str">
            <v>Chickens, broilers</v>
          </cell>
        </row>
        <row r="673">
          <cell r="B673" t="str">
            <v>Beet pulp</v>
          </cell>
          <cell r="C673" t="str">
            <v>Sugarbeet pulp</v>
          </cell>
        </row>
        <row r="674">
          <cell r="B674" t="str">
            <v>Dregs from brewing, distillation</v>
          </cell>
          <cell r="C674" t="str">
            <v>DDGS</v>
          </cell>
        </row>
        <row r="675">
          <cell r="B675" t="str">
            <v>Maize, green</v>
          </cell>
          <cell r="C675" t="str">
            <v>Fodder crops</v>
          </cell>
        </row>
        <row r="676">
          <cell r="B676" t="str">
            <v>Alfalfa meal and pellets</v>
          </cell>
          <cell r="C676" t="str">
            <v>Fodder crops</v>
          </cell>
        </row>
        <row r="677">
          <cell r="B677" t="str">
            <v>Forage products</v>
          </cell>
          <cell r="C677" t="str">
            <v>Fodder crops</v>
          </cell>
        </row>
        <row r="678">
          <cell r="B678" t="str">
            <v>Hops</v>
          </cell>
          <cell r="C678" t="str">
            <v>Hops</v>
          </cell>
        </row>
        <row r="679">
          <cell r="B679" t="str">
            <v>Hair, fine</v>
          </cell>
          <cell r="C679" t="str">
            <v>Other</v>
          </cell>
        </row>
        <row r="680">
          <cell r="B680" t="str">
            <v>Pyrethrum, dried</v>
          </cell>
          <cell r="C680" t="str">
            <v>Other</v>
          </cell>
        </row>
        <row r="681">
          <cell r="B681" t="str">
            <v>Pyrethrum, extraction</v>
          </cell>
          <cell r="C681" t="str">
            <v>Other</v>
          </cell>
        </row>
        <row r="682">
          <cell r="B682" t="str">
            <v>Beeswax</v>
          </cell>
          <cell r="C682" t="str">
            <v>Other</v>
          </cell>
        </row>
        <row r="683">
          <cell r="B683" t="str">
            <v>Crude materials</v>
          </cell>
          <cell r="C683" t="str">
            <v>Other</v>
          </cell>
        </row>
        <row r="684">
          <cell r="B684" t="str">
            <v>Feed, pulp of fruit</v>
          </cell>
          <cell r="C684" t="str">
            <v>Fruits, Other</v>
          </cell>
        </row>
        <row r="685">
          <cell r="B685" t="str">
            <v>Feed, vegetable products nes</v>
          </cell>
          <cell r="C685" t="str">
            <v>Other fodder</v>
          </cell>
        </row>
        <row r="686">
          <cell r="B686" t="str">
            <v>Food prep nes</v>
          </cell>
          <cell r="C686" t="str">
            <v>Other</v>
          </cell>
        </row>
        <row r="687">
          <cell r="B687" t="str">
            <v>Food wastes</v>
          </cell>
          <cell r="C687" t="str">
            <v>Other</v>
          </cell>
        </row>
        <row r="688">
          <cell r="B688" t="str">
            <v>Oil, citronella</v>
          </cell>
          <cell r="C688" t="str">
            <v>Other</v>
          </cell>
        </row>
        <row r="689">
          <cell r="B689" t="str">
            <v>Oil, essential nes</v>
          </cell>
          <cell r="C689" t="str">
            <v>Other</v>
          </cell>
        </row>
        <row r="690">
          <cell r="B690" t="str">
            <v>Pet food</v>
          </cell>
          <cell r="C690" t="str">
            <v>Other</v>
          </cell>
        </row>
        <row r="691">
          <cell r="B691" t="str">
            <v>Straw husks</v>
          </cell>
          <cell r="C691" t="str">
            <v>Straw</v>
          </cell>
        </row>
        <row r="692">
          <cell r="B692" t="str">
            <v>Waters,ice etc</v>
          </cell>
          <cell r="C692" t="str">
            <v>Other</v>
          </cell>
        </row>
        <row r="693">
          <cell r="B693" t="str">
            <v>Waxes vegetable</v>
          </cell>
          <cell r="C693" t="str">
            <v>Other</v>
          </cell>
        </row>
        <row r="694">
          <cell r="B694" t="str">
            <v>Fodder and Feeding Stuff</v>
          </cell>
          <cell r="C694" t="str">
            <v>Fodder cereal and grasses</v>
          </cell>
        </row>
        <row r="695">
          <cell r="B695" t="str">
            <v>Peppermint</v>
          </cell>
          <cell r="C695" t="str">
            <v>Spices, Other</v>
          </cell>
        </row>
        <row r="696">
          <cell r="B696" t="str">
            <v>Alcoholic beverages</v>
          </cell>
          <cell r="C696" t="str">
            <v>Beverages, Alcoholic</v>
          </cell>
        </row>
        <row r="697">
          <cell r="B697" t="str">
            <v>Animal Fats and Oils (excl. Butter)</v>
          </cell>
          <cell r="C697" t="str">
            <v>Fats, Animals, Raw</v>
          </cell>
        </row>
        <row r="698">
          <cell r="B698" t="str">
            <v>Bagasse</v>
          </cell>
          <cell r="C698" t="str">
            <v>Other</v>
          </cell>
        </row>
        <row r="699">
          <cell r="B699" t="str">
            <v>Beverages</v>
          </cell>
          <cell r="C699" t="str">
            <v>Beverages, Fermented</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breviaturas"/>
      <sheetName val="FEDNA_2019"/>
      <sheetName val="Forrajes sobre MS_2016"/>
      <sheetName val="Forrajes sobre FRESCO_2016"/>
    </sheetNames>
    <sheetDataSet>
      <sheetData sheetId="0"/>
      <sheetData sheetId="1">
        <row r="3">
          <cell r="A3" t="str">
            <v>AC. ACETICO</v>
          </cell>
          <cell r="B3" t="str">
            <v>.</v>
          </cell>
          <cell r="C3" t="str">
            <v>.</v>
          </cell>
          <cell r="D3">
            <v>0</v>
          </cell>
        </row>
        <row r="4">
          <cell r="A4" t="str">
            <v>AC. ALGODÓN</v>
          </cell>
          <cell r="B4">
            <v>0</v>
          </cell>
          <cell r="C4">
            <v>0</v>
          </cell>
          <cell r="D4">
            <v>0</v>
          </cell>
        </row>
        <row r="5">
          <cell r="A5" t="str">
            <v>AC. BENZOICO</v>
          </cell>
          <cell r="B5" t="str">
            <v>.</v>
          </cell>
          <cell r="C5" t="str">
            <v>.</v>
          </cell>
          <cell r="D5">
            <v>0</v>
          </cell>
        </row>
        <row r="6">
          <cell r="A6" t="str">
            <v>AC. BUTIRICO</v>
          </cell>
          <cell r="B6" t="str">
            <v>.</v>
          </cell>
          <cell r="C6" t="str">
            <v>.</v>
          </cell>
          <cell r="D6">
            <v>0</v>
          </cell>
        </row>
        <row r="7">
          <cell r="A7" t="str">
            <v>AC. CACAHUETE</v>
          </cell>
          <cell r="B7">
            <v>0</v>
          </cell>
          <cell r="C7">
            <v>0</v>
          </cell>
          <cell r="D7">
            <v>0</v>
          </cell>
        </row>
        <row r="8">
          <cell r="A8" t="str">
            <v>AC. CITRICO</v>
          </cell>
          <cell r="B8" t="str">
            <v>.</v>
          </cell>
          <cell r="C8" t="str">
            <v>.</v>
          </cell>
          <cell r="D8">
            <v>0</v>
          </cell>
        </row>
        <row r="9">
          <cell r="A9" t="str">
            <v>AC. COCO</v>
          </cell>
          <cell r="B9">
            <v>0</v>
          </cell>
          <cell r="C9">
            <v>0</v>
          </cell>
          <cell r="D9">
            <v>0</v>
          </cell>
        </row>
        <row r="10">
          <cell r="A10" t="str">
            <v>AC. COLZA</v>
          </cell>
          <cell r="B10">
            <v>0</v>
          </cell>
          <cell r="C10">
            <v>0</v>
          </cell>
          <cell r="D10">
            <v>0</v>
          </cell>
        </row>
        <row r="11">
          <cell r="A11" t="str">
            <v>AC. FORMICO</v>
          </cell>
          <cell r="B11" t="str">
            <v>.</v>
          </cell>
          <cell r="C11" t="str">
            <v>.</v>
          </cell>
          <cell r="D11">
            <v>0</v>
          </cell>
        </row>
        <row r="12">
          <cell r="A12" t="str">
            <v>AC. FUMARICO</v>
          </cell>
          <cell r="B12" t="str">
            <v>.</v>
          </cell>
          <cell r="C12" t="str">
            <v>.</v>
          </cell>
          <cell r="D12">
            <v>0</v>
          </cell>
        </row>
        <row r="13">
          <cell r="A13" t="str">
            <v>AC. GIRASOL</v>
          </cell>
          <cell r="B13">
            <v>0</v>
          </cell>
          <cell r="C13">
            <v>0</v>
          </cell>
          <cell r="D13">
            <v>0</v>
          </cell>
        </row>
        <row r="14">
          <cell r="A14" t="str">
            <v>AC. GIRASOL ALTO OLEICO</v>
          </cell>
          <cell r="B14">
            <v>0</v>
          </cell>
          <cell r="C14">
            <v>0</v>
          </cell>
          <cell r="D14">
            <v>0</v>
          </cell>
        </row>
        <row r="15">
          <cell r="A15" t="str">
            <v>AC. LACTICO</v>
          </cell>
          <cell r="B15" t="str">
            <v>.</v>
          </cell>
          <cell r="C15" t="str">
            <v>.</v>
          </cell>
          <cell r="D15">
            <v>0</v>
          </cell>
        </row>
        <row r="16">
          <cell r="A16" t="str">
            <v>AC. LINAZA</v>
          </cell>
          <cell r="B16">
            <v>0</v>
          </cell>
          <cell r="C16">
            <v>0</v>
          </cell>
          <cell r="D16">
            <v>0</v>
          </cell>
        </row>
        <row r="17">
          <cell r="A17" t="str">
            <v>AC. MAIZ</v>
          </cell>
          <cell r="B17">
            <v>0</v>
          </cell>
          <cell r="C17">
            <v>0</v>
          </cell>
          <cell r="D17">
            <v>0</v>
          </cell>
        </row>
        <row r="18">
          <cell r="A18" t="str">
            <v>AC. MALICO</v>
          </cell>
          <cell r="B18" t="str">
            <v>.</v>
          </cell>
          <cell r="C18" t="str">
            <v>.</v>
          </cell>
          <cell r="D18">
            <v>0</v>
          </cell>
        </row>
        <row r="19">
          <cell r="A19" t="str">
            <v>AC. OLIVA</v>
          </cell>
          <cell r="B19">
            <v>0</v>
          </cell>
          <cell r="C19">
            <v>0</v>
          </cell>
          <cell r="D19">
            <v>0</v>
          </cell>
        </row>
        <row r="20">
          <cell r="A20" t="str">
            <v>AC. PALMA</v>
          </cell>
          <cell r="B20">
            <v>0</v>
          </cell>
          <cell r="C20">
            <v>0</v>
          </cell>
          <cell r="D20">
            <v>0</v>
          </cell>
        </row>
        <row r="21">
          <cell r="A21" t="str">
            <v>AC. PALMISTE</v>
          </cell>
          <cell r="B21">
            <v>0</v>
          </cell>
          <cell r="C21">
            <v>0</v>
          </cell>
          <cell r="D21">
            <v>0</v>
          </cell>
        </row>
        <row r="22">
          <cell r="A22" t="str">
            <v>AC. PROPIONICO</v>
          </cell>
          <cell r="B22" t="str">
            <v>.</v>
          </cell>
          <cell r="C22" t="str">
            <v>.</v>
          </cell>
          <cell r="D22">
            <v>0</v>
          </cell>
        </row>
        <row r="23">
          <cell r="A23" t="str">
            <v>AC. SOJA</v>
          </cell>
          <cell r="B23">
            <v>0</v>
          </cell>
          <cell r="C23">
            <v>0</v>
          </cell>
          <cell r="D23">
            <v>0</v>
          </cell>
        </row>
        <row r="24">
          <cell r="A24" t="str">
            <v>AC. SORBICO</v>
          </cell>
          <cell r="B24" t="str">
            <v>.</v>
          </cell>
          <cell r="C24" t="str">
            <v>.</v>
          </cell>
          <cell r="D24">
            <v>0</v>
          </cell>
        </row>
        <row r="25">
          <cell r="A25" t="str">
            <v>AISLADO PROTEINA GUISANTE</v>
          </cell>
          <cell r="B25">
            <v>8.5</v>
          </cell>
          <cell r="C25">
            <v>4</v>
          </cell>
          <cell r="D25">
            <v>76.400000000000006</v>
          </cell>
        </row>
        <row r="26">
          <cell r="A26" t="str">
            <v>AISLADO PROTEINA SOJA</v>
          </cell>
          <cell r="B26">
            <v>6.6</v>
          </cell>
          <cell r="C26">
            <v>3.2</v>
          </cell>
          <cell r="D26">
            <v>87</v>
          </cell>
        </row>
        <row r="27">
          <cell r="A27" t="str">
            <v>ALFALFA EN RAMA DESH.</v>
          </cell>
          <cell r="B27">
            <v>10</v>
          </cell>
          <cell r="C27">
            <v>9.8000000000000007</v>
          </cell>
          <cell r="D27">
            <v>20</v>
          </cell>
        </row>
        <row r="28">
          <cell r="A28" t="str">
            <v>ALFALFA HENIF. GRANULADA (15%PB)</v>
          </cell>
          <cell r="B28">
            <v>8.9</v>
          </cell>
          <cell r="C28">
            <v>10.4</v>
          </cell>
          <cell r="D28">
            <v>15</v>
          </cell>
        </row>
        <row r="29">
          <cell r="A29" t="str">
            <v>ALFALFA HENIF. GRANULADA (17.5%PB)</v>
          </cell>
          <cell r="B29">
            <v>9.5</v>
          </cell>
          <cell r="C29">
            <v>10.1</v>
          </cell>
          <cell r="D29">
            <v>17.5</v>
          </cell>
        </row>
        <row r="30">
          <cell r="A30" t="str">
            <v>ALGAS MARINAS MAERL</v>
          </cell>
          <cell r="B30">
            <v>0.5</v>
          </cell>
          <cell r="C30">
            <v>97</v>
          </cell>
          <cell r="D30">
            <v>0</v>
          </cell>
        </row>
        <row r="31">
          <cell r="A31" t="str">
            <v>ALMIDON 84</v>
          </cell>
          <cell r="B31">
            <v>11</v>
          </cell>
          <cell r="C31">
            <v>0.2</v>
          </cell>
          <cell r="D31">
            <v>0</v>
          </cell>
        </row>
        <row r="32">
          <cell r="A32" t="str">
            <v>ALMIDON 96</v>
          </cell>
          <cell r="B32">
            <v>3</v>
          </cell>
          <cell r="C32">
            <v>0.15</v>
          </cell>
          <cell r="D32">
            <v>0</v>
          </cell>
        </row>
        <row r="33">
          <cell r="A33" t="str">
            <v>ALTRAMUZ DULCE AUSTRALIANO</v>
          </cell>
          <cell r="B33">
            <v>9.3000000000000007</v>
          </cell>
          <cell r="C33">
            <v>3.5</v>
          </cell>
          <cell r="D33">
            <v>31.7</v>
          </cell>
        </row>
        <row r="34">
          <cell r="A34" t="str">
            <v>ARROZ PARTIDO</v>
          </cell>
          <cell r="B34">
            <v>12.8</v>
          </cell>
          <cell r="C34">
            <v>1</v>
          </cell>
          <cell r="D34">
            <v>7.5</v>
          </cell>
        </row>
        <row r="35">
          <cell r="A35" t="str">
            <v>ARROZ TRATADO CALOR</v>
          </cell>
          <cell r="B35">
            <v>12.8</v>
          </cell>
          <cell r="C35">
            <v>1</v>
          </cell>
          <cell r="D35">
            <v>7.5</v>
          </cell>
        </row>
        <row r="36">
          <cell r="A36" t="str">
            <v>AVENA</v>
          </cell>
          <cell r="B36">
            <v>9.5</v>
          </cell>
          <cell r="C36">
            <v>2.8</v>
          </cell>
          <cell r="D36">
            <v>9.9</v>
          </cell>
        </row>
        <row r="37">
          <cell r="A37" t="str">
            <v>AVENA DECORTICADA</v>
          </cell>
          <cell r="B37">
            <v>11.5</v>
          </cell>
          <cell r="C37">
            <v>2.8</v>
          </cell>
          <cell r="D37">
            <v>14</v>
          </cell>
        </row>
        <row r="38">
          <cell r="A38" t="str">
            <v>BAGAZO CERVEZA</v>
          </cell>
          <cell r="B38">
            <v>8.5</v>
          </cell>
          <cell r="C38">
            <v>3.6</v>
          </cell>
          <cell r="D38">
            <v>24.3</v>
          </cell>
        </row>
        <row r="39">
          <cell r="A39" t="str">
            <v>BATATA</v>
          </cell>
          <cell r="B39">
            <v>12</v>
          </cell>
          <cell r="C39">
            <v>2.8</v>
          </cell>
          <cell r="D39">
            <v>3.3</v>
          </cell>
        </row>
        <row r="40">
          <cell r="A40" t="str">
            <v>BELLOTA DECORTICADA</v>
          </cell>
          <cell r="B40">
            <v>42.8</v>
          </cell>
          <cell r="C40">
            <v>1.2</v>
          </cell>
          <cell r="D40">
            <v>3.2</v>
          </cell>
        </row>
        <row r="41">
          <cell r="A41" t="str">
            <v>BELLOTA ENTERA</v>
          </cell>
          <cell r="B41">
            <v>37.5</v>
          </cell>
          <cell r="C41">
            <v>1.6</v>
          </cell>
          <cell r="D41">
            <v>2.6</v>
          </cell>
        </row>
        <row r="42">
          <cell r="A42" t="str">
            <v>BETAINA ANHIDRA 93</v>
          </cell>
          <cell r="B42">
            <v>1.5</v>
          </cell>
          <cell r="C42" t="str">
            <v>.</v>
          </cell>
          <cell r="D42">
            <v>0</v>
          </cell>
        </row>
        <row r="43">
          <cell r="A43" t="str">
            <v>BETAINA ANHIDRA 97</v>
          </cell>
          <cell r="B43">
            <v>1.5</v>
          </cell>
          <cell r="C43" t="str">
            <v>.</v>
          </cell>
          <cell r="D43">
            <v>0</v>
          </cell>
        </row>
        <row r="44">
          <cell r="A44" t="str">
            <v>BETAINA HIDROCLORURO</v>
          </cell>
          <cell r="B44">
            <v>2</v>
          </cell>
          <cell r="C44" t="str">
            <v>.</v>
          </cell>
          <cell r="D44">
            <v>0</v>
          </cell>
        </row>
        <row r="45">
          <cell r="A45" t="str">
            <v>BICARBONATO SODICO</v>
          </cell>
          <cell r="B45">
            <v>0.2</v>
          </cell>
          <cell r="C45">
            <v>99</v>
          </cell>
          <cell r="D45">
            <v>0</v>
          </cell>
        </row>
        <row r="46">
          <cell r="A46" t="str">
            <v>BUTIRATO CALCICO</v>
          </cell>
          <cell r="B46" t="str">
            <v>.</v>
          </cell>
          <cell r="C46" t="str">
            <v>.</v>
          </cell>
          <cell r="D46">
            <v>0</v>
          </cell>
        </row>
        <row r="47">
          <cell r="A47" t="str">
            <v>BUTIRATO SODICO</v>
          </cell>
          <cell r="B47" t="str">
            <v>.</v>
          </cell>
          <cell r="C47" t="str">
            <v>.</v>
          </cell>
          <cell r="D47">
            <v>0</v>
          </cell>
        </row>
        <row r="48">
          <cell r="A48" t="str">
            <v>CARBONATO CALCICO</v>
          </cell>
          <cell r="B48">
            <v>2</v>
          </cell>
          <cell r="C48">
            <v>98</v>
          </cell>
          <cell r="D48">
            <v>0</v>
          </cell>
        </row>
        <row r="49">
          <cell r="A49" t="str">
            <v>CARBONATO DOLOMITICO</v>
          </cell>
          <cell r="B49">
            <v>0.5</v>
          </cell>
          <cell r="C49">
            <v>98</v>
          </cell>
          <cell r="D49">
            <v>0</v>
          </cell>
        </row>
        <row r="50">
          <cell r="A50" t="str">
            <v>CARBONATO FERROSO</v>
          </cell>
          <cell r="B50">
            <v>0.5</v>
          </cell>
          <cell r="C50" t="str">
            <v>.</v>
          </cell>
          <cell r="D50">
            <v>0</v>
          </cell>
        </row>
        <row r="51">
          <cell r="A51" t="str">
            <v>CARBONATO SODIO</v>
          </cell>
          <cell r="B51">
            <v>0.8</v>
          </cell>
          <cell r="C51">
            <v>99</v>
          </cell>
          <cell r="D51">
            <v>0</v>
          </cell>
        </row>
        <row r="52">
          <cell r="A52" t="str">
            <v>CARNE 44/15/28</v>
          </cell>
          <cell r="B52">
            <v>6.4</v>
          </cell>
          <cell r="C52">
            <v>28</v>
          </cell>
          <cell r="D52">
            <v>43.7</v>
          </cell>
        </row>
        <row r="53">
          <cell r="A53" t="str">
            <v>CARNE 50/14/26</v>
          </cell>
          <cell r="B53">
            <v>5.4</v>
          </cell>
          <cell r="C53">
            <v>26</v>
          </cell>
          <cell r="D53">
            <v>49.3</v>
          </cell>
        </row>
        <row r="54">
          <cell r="A54" t="str">
            <v>CARNE 52/14/25</v>
          </cell>
          <cell r="B54">
            <v>4.2</v>
          </cell>
          <cell r="C54">
            <v>25.2</v>
          </cell>
          <cell r="D54">
            <v>52.3</v>
          </cell>
        </row>
        <row r="55">
          <cell r="A55" t="str">
            <v>CARNE 57/13/24</v>
          </cell>
          <cell r="B55">
            <v>4</v>
          </cell>
          <cell r="C55">
            <v>23.6</v>
          </cell>
          <cell r="D55">
            <v>56.6</v>
          </cell>
        </row>
        <row r="56">
          <cell r="A56" t="str">
            <v>CARNE AVES  65/13/16</v>
          </cell>
          <cell r="B56">
            <v>3.5</v>
          </cell>
          <cell r="C56">
            <v>15.8</v>
          </cell>
          <cell r="D56">
            <v>64.8</v>
          </cell>
        </row>
        <row r="57">
          <cell r="A57" t="str">
            <v>CASCARA DE ALGODON</v>
          </cell>
          <cell r="B57">
            <v>8.6</v>
          </cell>
          <cell r="C57">
            <v>3</v>
          </cell>
          <cell r="D57">
            <v>6.3</v>
          </cell>
        </row>
        <row r="58">
          <cell r="A58" t="str">
            <v>CASCARILLA ARROZ</v>
          </cell>
          <cell r="B58">
            <v>9.3000000000000007</v>
          </cell>
          <cell r="C58">
            <v>13.4</v>
          </cell>
          <cell r="D58">
            <v>2.6</v>
          </cell>
        </row>
        <row r="59">
          <cell r="A59" t="str">
            <v>CASCARILLA AVENA</v>
          </cell>
          <cell r="B59">
            <v>10</v>
          </cell>
          <cell r="C59">
            <v>3.7</v>
          </cell>
          <cell r="D59">
            <v>3.8</v>
          </cell>
        </row>
        <row r="60">
          <cell r="A60" t="str">
            <v>CASCARILLA GIRASOL</v>
          </cell>
          <cell r="B60">
            <v>8.6</v>
          </cell>
          <cell r="C60">
            <v>3.3</v>
          </cell>
          <cell r="D60">
            <v>5.7</v>
          </cell>
        </row>
        <row r="61">
          <cell r="A61" t="str">
            <v>CASCARILLA HABA CABALLAR</v>
          </cell>
          <cell r="B61">
            <v>10.4</v>
          </cell>
          <cell r="C61">
            <v>2.5</v>
          </cell>
          <cell r="D61">
            <v>9.5</v>
          </cell>
        </row>
        <row r="62">
          <cell r="A62" t="str">
            <v>CASCARILLA SOJA 10%PB</v>
          </cell>
          <cell r="B62">
            <v>11.7</v>
          </cell>
          <cell r="C62">
            <v>4.5</v>
          </cell>
          <cell r="D62">
            <v>10</v>
          </cell>
        </row>
        <row r="63">
          <cell r="A63" t="str">
            <v>CASCARILLA SOJA 12%PB</v>
          </cell>
          <cell r="B63">
            <v>11.2</v>
          </cell>
          <cell r="C63">
            <v>4.5999999999999996</v>
          </cell>
          <cell r="D63">
            <v>12</v>
          </cell>
        </row>
        <row r="64">
          <cell r="A64" t="str">
            <v>CASEINA</v>
          </cell>
          <cell r="B64">
            <v>9</v>
          </cell>
          <cell r="C64">
            <v>2.6</v>
          </cell>
          <cell r="D64">
            <v>87</v>
          </cell>
        </row>
        <row r="65">
          <cell r="A65" t="str">
            <v>CEBADA 2C 11.3 PB</v>
          </cell>
          <cell r="B65">
            <v>10.1</v>
          </cell>
          <cell r="C65">
            <v>2.2000000000000002</v>
          </cell>
          <cell r="D65">
            <v>11.3</v>
          </cell>
        </row>
        <row r="66">
          <cell r="A66" t="str">
            <v>CEBADA 2C 9.6 PB</v>
          </cell>
          <cell r="B66">
            <v>11.1</v>
          </cell>
          <cell r="C66">
            <v>2.2000000000000002</v>
          </cell>
          <cell r="D66">
            <v>9.6</v>
          </cell>
        </row>
        <row r="67">
          <cell r="A67" t="str">
            <v>CENTENO ALEMÁN</v>
          </cell>
          <cell r="B67">
            <v>12.5</v>
          </cell>
          <cell r="C67">
            <v>1.8</v>
          </cell>
          <cell r="D67">
            <v>10</v>
          </cell>
        </row>
        <row r="68">
          <cell r="A68" t="str">
            <v>CENTENO NACIONAL</v>
          </cell>
          <cell r="B68">
            <v>10.6</v>
          </cell>
          <cell r="C68">
            <v>1.6</v>
          </cell>
          <cell r="D68">
            <v>9.4</v>
          </cell>
        </row>
        <row r="69">
          <cell r="A69" t="str">
            <v>CLORURO AMONICO</v>
          </cell>
          <cell r="B69">
            <v>0.9</v>
          </cell>
          <cell r="C69">
            <v>0.6</v>
          </cell>
          <cell r="D69">
            <v>163.6</v>
          </cell>
        </row>
        <row r="70">
          <cell r="A70" t="str">
            <v>CLORURO COLINA 50 MIN</v>
          </cell>
          <cell r="B70">
            <v>12</v>
          </cell>
          <cell r="C70" t="str">
            <v>.</v>
          </cell>
          <cell r="D70">
            <v>0</v>
          </cell>
        </row>
        <row r="71">
          <cell r="A71" t="str">
            <v>CLORURO COLINA 50 VEG</v>
          </cell>
          <cell r="B71">
            <v>2.5</v>
          </cell>
          <cell r="C71" t="str">
            <v>.</v>
          </cell>
          <cell r="D71">
            <v>0</v>
          </cell>
        </row>
        <row r="72">
          <cell r="A72" t="str">
            <v>CLORURO COLINA 60</v>
          </cell>
          <cell r="B72">
            <v>2</v>
          </cell>
          <cell r="C72" t="str">
            <v>.</v>
          </cell>
          <cell r="D72">
            <v>0</v>
          </cell>
        </row>
        <row r="73">
          <cell r="A73" t="str">
            <v>CLORURO COLINA 75</v>
          </cell>
          <cell r="B73">
            <v>25</v>
          </cell>
          <cell r="C73" t="str">
            <v>.</v>
          </cell>
          <cell r="D73">
            <v>0</v>
          </cell>
        </row>
        <row r="74">
          <cell r="A74" t="str">
            <v>CLORURO MAGNESIO hexahidrato</v>
          </cell>
          <cell r="B74" t="str">
            <v>.</v>
          </cell>
          <cell r="C74" t="str">
            <v>.</v>
          </cell>
          <cell r="D74">
            <v>0</v>
          </cell>
        </row>
        <row r="75">
          <cell r="A75" t="str">
            <v>CLORURO SODICO MARINO 98</v>
          </cell>
          <cell r="B75">
            <v>0.2</v>
          </cell>
          <cell r="C75">
            <v>98</v>
          </cell>
          <cell r="D75">
            <v>0</v>
          </cell>
        </row>
        <row r="76">
          <cell r="A76" t="str">
            <v>CLORURO SODICO MINA 92</v>
          </cell>
          <cell r="B76">
            <v>0.7</v>
          </cell>
          <cell r="C76">
            <v>92</v>
          </cell>
          <cell r="D76">
            <v>0</v>
          </cell>
        </row>
        <row r="77">
          <cell r="A77" t="str">
            <v>CLORURO SODICO MINA 96</v>
          </cell>
          <cell r="B77">
            <v>0.7</v>
          </cell>
          <cell r="C77">
            <v>96</v>
          </cell>
          <cell r="D77">
            <v>0</v>
          </cell>
        </row>
        <row r="78">
          <cell r="A78" t="str">
            <v>CLORURO SODICO MINA 99</v>
          </cell>
          <cell r="B78">
            <v>0.2</v>
          </cell>
          <cell r="C78">
            <v>96</v>
          </cell>
          <cell r="D78">
            <v>0</v>
          </cell>
        </row>
        <row r="79">
          <cell r="A79" t="str">
            <v>COBALTO ACETATO TETRAHIDR.</v>
          </cell>
          <cell r="B79" t="str">
            <v>.</v>
          </cell>
          <cell r="C79" t="str">
            <v>.</v>
          </cell>
          <cell r="D79">
            <v>0</v>
          </cell>
        </row>
        <row r="80">
          <cell r="A80" t="str">
            <v>COBALTO CARBONATO</v>
          </cell>
          <cell r="B80" t="str">
            <v>.</v>
          </cell>
          <cell r="C80" t="str">
            <v>.</v>
          </cell>
          <cell r="D80">
            <v>0</v>
          </cell>
        </row>
        <row r="81">
          <cell r="A81" t="str">
            <v>COBALTO CARBONATO granulado recubierto</v>
          </cell>
          <cell r="B81" t="str">
            <v>.</v>
          </cell>
          <cell r="C81" t="str">
            <v>.</v>
          </cell>
          <cell r="D81">
            <v>0</v>
          </cell>
        </row>
        <row r="82">
          <cell r="A82" t="str">
            <v>CONC. PROTEINA ARROZ</v>
          </cell>
          <cell r="B82">
            <v>8.6</v>
          </cell>
          <cell r="C82">
            <v>3.9</v>
          </cell>
          <cell r="D82">
            <v>65.599999999999994</v>
          </cell>
        </row>
        <row r="83">
          <cell r="A83" t="str">
            <v>CONC. PROTEINA GUISANTE</v>
          </cell>
          <cell r="B83">
            <v>7.5</v>
          </cell>
          <cell r="C83">
            <v>5</v>
          </cell>
          <cell r="D83">
            <v>51.5</v>
          </cell>
        </row>
        <row r="84">
          <cell r="A84" t="str">
            <v>CONC.PROTEINA SOJA-EXTR.</v>
          </cell>
          <cell r="B84">
            <v>7</v>
          </cell>
          <cell r="C84">
            <v>6.1</v>
          </cell>
          <cell r="D84">
            <v>65</v>
          </cell>
        </row>
        <row r="85">
          <cell r="A85" t="str">
            <v>CONC.PROTEINA SOJA-FERM.</v>
          </cell>
          <cell r="B85">
            <v>8</v>
          </cell>
          <cell r="C85">
            <v>6.7</v>
          </cell>
          <cell r="D85">
            <v>53.8</v>
          </cell>
        </row>
        <row r="86">
          <cell r="A86" t="str">
            <v>CONCHILLA MOLUSCOS</v>
          </cell>
          <cell r="B86">
            <v>1</v>
          </cell>
          <cell r="C86">
            <v>96.7</v>
          </cell>
          <cell r="D86">
            <v>0</v>
          </cell>
        </row>
        <row r="87">
          <cell r="A87" t="str">
            <v>CONCHILLA OSTRAS</v>
          </cell>
          <cell r="B87">
            <v>0.3</v>
          </cell>
          <cell r="C87">
            <v>98.5</v>
          </cell>
          <cell r="D87">
            <v>0</v>
          </cell>
        </row>
        <row r="88">
          <cell r="A88" t="str">
            <v>DDGS CEBADA</v>
          </cell>
          <cell r="B88">
            <v>8.1</v>
          </cell>
          <cell r="C88">
            <v>5</v>
          </cell>
          <cell r="D88">
            <v>24.9</v>
          </cell>
        </row>
        <row r="89">
          <cell r="A89" t="str">
            <v>DDGS MAIZ 12.5%EE-3.5%ALM</v>
          </cell>
          <cell r="B89">
            <v>9.6999999999999993</v>
          </cell>
          <cell r="C89">
            <v>4.5</v>
          </cell>
          <cell r="D89">
            <v>28</v>
          </cell>
        </row>
        <row r="90">
          <cell r="A90" t="str">
            <v>DDGS MAIZ 12.5%EE-6.8%ALM</v>
          </cell>
          <cell r="B90">
            <v>9.6</v>
          </cell>
          <cell r="C90">
            <v>4</v>
          </cell>
          <cell r="D90">
            <v>27.4</v>
          </cell>
        </row>
        <row r="91">
          <cell r="A91" t="str">
            <v>DDGS MAIZ 7.5%EE-6.8%ALM</v>
          </cell>
          <cell r="B91">
            <v>11.5</v>
          </cell>
          <cell r="C91">
            <v>4.5999999999999996</v>
          </cell>
          <cell r="D91">
            <v>27.5</v>
          </cell>
        </row>
        <row r="92">
          <cell r="A92" t="str">
            <v>DDGS SORGO</v>
          </cell>
          <cell r="B92">
            <v>9.4</v>
          </cell>
          <cell r="C92">
            <v>4.7</v>
          </cell>
          <cell r="D92">
            <v>30.2</v>
          </cell>
        </row>
        <row r="93">
          <cell r="A93" t="str">
            <v>DDGS TRIGO</v>
          </cell>
          <cell r="B93">
            <v>8.8000000000000007</v>
          </cell>
          <cell r="C93">
            <v>4.4000000000000004</v>
          </cell>
          <cell r="D93">
            <v>33.6</v>
          </cell>
        </row>
        <row r="94">
          <cell r="A94" t="str">
            <v>DESTILADOS PALMA</v>
          </cell>
          <cell r="B94">
            <v>0</v>
          </cell>
          <cell r="C94">
            <v>0</v>
          </cell>
          <cell r="D94">
            <v>0</v>
          </cell>
        </row>
        <row r="95">
          <cell r="A95" t="str">
            <v>DEXTROSA</v>
          </cell>
          <cell r="B95">
            <v>8.5</v>
          </cell>
          <cell r="C95">
            <v>0.2</v>
          </cell>
          <cell r="D95">
            <v>0</v>
          </cell>
        </row>
        <row r="96">
          <cell r="A96" t="str">
            <v>DIFORMATO POTASICO</v>
          </cell>
          <cell r="B96" t="str">
            <v>.</v>
          </cell>
          <cell r="C96" t="str">
            <v>.</v>
          </cell>
          <cell r="D96">
            <v>0</v>
          </cell>
        </row>
        <row r="97">
          <cell r="A97" t="str">
            <v>DL METIONINA</v>
          </cell>
          <cell r="B97">
            <v>0.5</v>
          </cell>
          <cell r="C97">
            <v>0.5</v>
          </cell>
          <cell r="D97">
            <v>58.4</v>
          </cell>
        </row>
        <row r="98">
          <cell r="A98" t="str">
            <v>DL-MET SODICA</v>
          </cell>
          <cell r="B98">
            <v>54</v>
          </cell>
          <cell r="C98">
            <v>6.5</v>
          </cell>
          <cell r="D98">
            <v>23.6</v>
          </cell>
        </row>
        <row r="99">
          <cell r="A99" t="str">
            <v>ESTEARINA PALMA</v>
          </cell>
          <cell r="B99">
            <v>0</v>
          </cell>
          <cell r="C99">
            <v>0</v>
          </cell>
          <cell r="D99">
            <v>0</v>
          </cell>
        </row>
        <row r="100">
          <cell r="A100" t="str">
            <v>FORMIATO AMONICO</v>
          </cell>
          <cell r="B100" t="str">
            <v>.</v>
          </cell>
          <cell r="C100" t="str">
            <v>.</v>
          </cell>
          <cell r="D100">
            <v>135.5</v>
          </cell>
        </row>
        <row r="101">
          <cell r="A101" t="str">
            <v>FORMIATO CALCICO</v>
          </cell>
          <cell r="B101" t="str">
            <v>.</v>
          </cell>
          <cell r="C101" t="str">
            <v>.</v>
          </cell>
          <cell r="D101">
            <v>0</v>
          </cell>
        </row>
        <row r="102">
          <cell r="A102" t="str">
            <v>FORMIATO SODICO</v>
          </cell>
          <cell r="B102" t="str">
            <v>.</v>
          </cell>
          <cell r="C102" t="str">
            <v>.</v>
          </cell>
          <cell r="D102">
            <v>0</v>
          </cell>
        </row>
        <row r="103">
          <cell r="A103" t="str">
            <v>FOSFATO BICALCICO ANH.</v>
          </cell>
          <cell r="B103">
            <v>0.3</v>
          </cell>
          <cell r="C103">
            <v>88</v>
          </cell>
          <cell r="D103">
            <v>0</v>
          </cell>
        </row>
        <row r="104">
          <cell r="A104" t="str">
            <v>FOSFATO BICALCICO DIHR.</v>
          </cell>
          <cell r="B104">
            <v>2</v>
          </cell>
          <cell r="C104">
            <v>80</v>
          </cell>
          <cell r="D104">
            <v>0</v>
          </cell>
        </row>
        <row r="105">
          <cell r="A105" t="str">
            <v>FOSFATO MAGNESIO HIDR.</v>
          </cell>
          <cell r="B105">
            <v>2.5</v>
          </cell>
          <cell r="C105">
            <v>76</v>
          </cell>
          <cell r="D105">
            <v>0</v>
          </cell>
        </row>
        <row r="106">
          <cell r="A106" t="str">
            <v>FOSFATO MONOAMONICO</v>
          </cell>
          <cell r="B106">
            <v>0.5</v>
          </cell>
          <cell r="C106" t="str">
            <v>.</v>
          </cell>
          <cell r="D106">
            <v>68.8</v>
          </cell>
        </row>
        <row r="107">
          <cell r="A107" t="str">
            <v>FOSFATO MONOBICALCICO</v>
          </cell>
          <cell r="B107">
            <v>2</v>
          </cell>
          <cell r="C107">
            <v>83</v>
          </cell>
          <cell r="D107">
            <v>0</v>
          </cell>
        </row>
        <row r="108">
          <cell r="A108" t="str">
            <v>FOSFATO MONOCALCICO MONOHIDR.</v>
          </cell>
          <cell r="B108">
            <v>2</v>
          </cell>
          <cell r="C108">
            <v>78</v>
          </cell>
          <cell r="D108">
            <v>0</v>
          </cell>
        </row>
        <row r="109">
          <cell r="A109" t="str">
            <v>FOSFATO MONOSODICO MONOHIDR.</v>
          </cell>
          <cell r="B109">
            <v>1.5</v>
          </cell>
          <cell r="C109">
            <v>81</v>
          </cell>
          <cell r="D109">
            <v>0</v>
          </cell>
        </row>
        <row r="110">
          <cell r="A110" t="str">
            <v>FOSFATO ROCA DEFLOUR.</v>
          </cell>
          <cell r="B110">
            <v>0.6</v>
          </cell>
          <cell r="C110">
            <v>99</v>
          </cell>
          <cell r="D110">
            <v>0</v>
          </cell>
        </row>
        <row r="111">
          <cell r="A111" t="str">
            <v>FOSFATO SÓDICO CÁLCICO</v>
          </cell>
          <cell r="B111">
            <v>1.5</v>
          </cell>
          <cell r="C111">
            <v>98</v>
          </cell>
          <cell r="D111"/>
        </row>
        <row r="112">
          <cell r="A112" t="str">
            <v>FOSFATO TRIPLE Na, Ca, Mg</v>
          </cell>
          <cell r="B112" t="str">
            <v>.</v>
          </cell>
          <cell r="C112" t="str">
            <v>.</v>
          </cell>
          <cell r="D112">
            <v>0</v>
          </cell>
        </row>
        <row r="113">
          <cell r="A113" t="str">
            <v>GARROFA</v>
          </cell>
          <cell r="B113">
            <v>15</v>
          </cell>
          <cell r="C113">
            <v>2.7</v>
          </cell>
          <cell r="D113">
            <v>4.5</v>
          </cell>
        </row>
        <row r="114">
          <cell r="A114" t="str">
            <v>GLICERINA-85</v>
          </cell>
          <cell r="B114">
            <v>9.3000000000000007</v>
          </cell>
          <cell r="C114">
            <v>4.5</v>
          </cell>
          <cell r="D114">
            <v>0</v>
          </cell>
        </row>
        <row r="115">
          <cell r="A115" t="str">
            <v>GLUTEN FEED MAIZ 19%</v>
          </cell>
          <cell r="B115">
            <v>11.2</v>
          </cell>
          <cell r="C115">
            <v>6.9</v>
          </cell>
          <cell r="D115">
            <v>19</v>
          </cell>
        </row>
        <row r="116">
          <cell r="A116" t="str">
            <v>GLUTEN FEED MAIZ 20.5%</v>
          </cell>
          <cell r="B116">
            <v>11.5</v>
          </cell>
          <cell r="C116">
            <v>6.5</v>
          </cell>
          <cell r="D116">
            <v>20.5</v>
          </cell>
        </row>
        <row r="117">
          <cell r="A117" t="str">
            <v>GLUTEN MEAL MAIZ 60%</v>
          </cell>
          <cell r="B117">
            <v>10.4</v>
          </cell>
          <cell r="C117">
            <v>1.7</v>
          </cell>
          <cell r="D117">
            <v>60</v>
          </cell>
        </row>
        <row r="118">
          <cell r="A118" t="str">
            <v>GRANILLA DE UVA ENTERA</v>
          </cell>
          <cell r="B118">
            <v>8.1999999999999993</v>
          </cell>
          <cell r="C118">
            <v>2.9</v>
          </cell>
          <cell r="D118">
            <v>9.3000000000000007</v>
          </cell>
        </row>
        <row r="119">
          <cell r="A119" t="str">
            <v>GRASA MEZCLA 3/5</v>
          </cell>
          <cell r="B119">
            <v>0</v>
          </cell>
          <cell r="C119">
            <v>0</v>
          </cell>
          <cell r="D119">
            <v>0</v>
          </cell>
        </row>
        <row r="120">
          <cell r="A120" t="str">
            <v>GRASA MEZCLA 5/9</v>
          </cell>
          <cell r="B120">
            <v>0</v>
          </cell>
          <cell r="C120">
            <v>0</v>
          </cell>
          <cell r="D120">
            <v>0</v>
          </cell>
        </row>
        <row r="121">
          <cell r="A121" t="str">
            <v>GRASA MEZCLA 9/12</v>
          </cell>
          <cell r="B121">
            <v>0</v>
          </cell>
          <cell r="C121">
            <v>0</v>
          </cell>
          <cell r="D121">
            <v>0</v>
          </cell>
        </row>
        <row r="122">
          <cell r="A122" t="str">
            <v>GRASOLEINAS &lt;20</v>
          </cell>
          <cell r="B122">
            <v>0</v>
          </cell>
          <cell r="C122">
            <v>0</v>
          </cell>
          <cell r="D122">
            <v>0</v>
          </cell>
        </row>
        <row r="123">
          <cell r="A123" t="str">
            <v>GRASOLEINAS &gt;35</v>
          </cell>
          <cell r="B123">
            <v>0</v>
          </cell>
          <cell r="C123">
            <v>0</v>
          </cell>
          <cell r="D123">
            <v>0</v>
          </cell>
        </row>
        <row r="124">
          <cell r="A124" t="str">
            <v>GRASOLEINAS &gt;50</v>
          </cell>
          <cell r="B124">
            <v>0</v>
          </cell>
          <cell r="C124">
            <v>0</v>
          </cell>
          <cell r="D124">
            <v>0</v>
          </cell>
        </row>
        <row r="125">
          <cell r="A125" t="str">
            <v>GUISANTES PRIMAVERA</v>
          </cell>
          <cell r="B125">
            <v>10.7</v>
          </cell>
          <cell r="C125">
            <v>2.8</v>
          </cell>
          <cell r="D125">
            <v>21.5</v>
          </cell>
        </row>
        <row r="126">
          <cell r="A126" t="str">
            <v>GUISANTES TRATADOS CALOR</v>
          </cell>
          <cell r="B126">
            <v>11.9</v>
          </cell>
          <cell r="C126">
            <v>2.8</v>
          </cell>
          <cell r="D126">
            <v>20.6</v>
          </cell>
        </row>
        <row r="127">
          <cell r="A127" t="str">
            <v>HABA CABALLAR &lt;0.5% Taninos</v>
          </cell>
          <cell r="B127">
            <v>11.7</v>
          </cell>
          <cell r="C127">
            <v>2.9</v>
          </cell>
          <cell r="D127">
            <v>26.5</v>
          </cell>
        </row>
        <row r="128">
          <cell r="A128" t="str">
            <v>HABA CABALLAR DESCASCARILLADA</v>
          </cell>
          <cell r="B128">
            <v>11.3</v>
          </cell>
          <cell r="C128">
            <v>3</v>
          </cell>
          <cell r="D128">
            <v>30</v>
          </cell>
        </row>
        <row r="129">
          <cell r="A129" t="str">
            <v>HABA SOJA EXTRUSIONADA</v>
          </cell>
          <cell r="B129">
            <v>9.1999999999999993</v>
          </cell>
          <cell r="C129">
            <v>5.0999999999999996</v>
          </cell>
          <cell r="D129">
            <v>37</v>
          </cell>
        </row>
        <row r="130">
          <cell r="A130" t="str">
            <v>HABA SOJA TOSTADA</v>
          </cell>
          <cell r="B130">
            <v>9.1999999999999993</v>
          </cell>
          <cell r="C130">
            <v>5.0999999999999996</v>
          </cell>
          <cell r="D130">
            <v>37</v>
          </cell>
        </row>
        <row r="131">
          <cell r="A131" t="str">
            <v>HARINA DE ALGODON 38</v>
          </cell>
          <cell r="B131">
            <v>10</v>
          </cell>
          <cell r="C131">
            <v>6</v>
          </cell>
          <cell r="D131">
            <v>38.700000000000003</v>
          </cell>
        </row>
        <row r="132">
          <cell r="A132" t="str">
            <v>HARINA FORRAJERA MEZCLA (12.5%PB)</v>
          </cell>
          <cell r="B132">
            <v>8.4</v>
          </cell>
          <cell r="C132">
            <v>10.7</v>
          </cell>
          <cell r="D132">
            <v>12.5</v>
          </cell>
        </row>
        <row r="133">
          <cell r="A133" t="str">
            <v>HARINA GALLETA 2.5% CENIZAS</v>
          </cell>
          <cell r="B133">
            <v>9.1999999999999993</v>
          </cell>
          <cell r="C133">
            <v>2.5</v>
          </cell>
          <cell r="D133">
            <v>10.4</v>
          </cell>
        </row>
        <row r="134">
          <cell r="A134" t="str">
            <v>HARINA GALLETA 6% CENIZAS</v>
          </cell>
          <cell r="B134">
            <v>10.4</v>
          </cell>
          <cell r="C134">
            <v>6</v>
          </cell>
          <cell r="D134">
            <v>10.7</v>
          </cell>
        </row>
        <row r="135">
          <cell r="A135" t="str">
            <v>HARINA HUESOS</v>
          </cell>
          <cell r="B135">
            <v>2.5</v>
          </cell>
          <cell r="C135">
            <v>84</v>
          </cell>
          <cell r="D135">
            <v>8</v>
          </cell>
        </row>
        <row r="136">
          <cell r="A136" t="str">
            <v>HARINA HUEVO</v>
          </cell>
          <cell r="B136">
            <v>6</v>
          </cell>
          <cell r="C136">
            <v>5</v>
          </cell>
          <cell r="D136">
            <v>47</v>
          </cell>
        </row>
        <row r="137">
          <cell r="A137" t="str">
            <v>HARINILLAS MAIZ 6%EE</v>
          </cell>
          <cell r="B137">
            <v>13.7</v>
          </cell>
          <cell r="C137">
            <v>1.9</v>
          </cell>
          <cell r="D137">
            <v>8.3000000000000007</v>
          </cell>
        </row>
        <row r="138">
          <cell r="A138" t="str">
            <v>HARINILLAS TRIGO 30% ALM</v>
          </cell>
          <cell r="B138">
            <v>11.8</v>
          </cell>
          <cell r="C138">
            <v>3.9</v>
          </cell>
          <cell r="D138">
            <v>14.7</v>
          </cell>
        </row>
        <row r="139">
          <cell r="A139" t="str">
            <v>HEMOGLOBINA</v>
          </cell>
          <cell r="B139">
            <v>6.5</v>
          </cell>
          <cell r="C139">
            <v>3.3</v>
          </cell>
          <cell r="D139">
            <v>91.5</v>
          </cell>
        </row>
        <row r="140">
          <cell r="A140" t="str">
            <v>HIDR. MUCOSA PORC. 52</v>
          </cell>
          <cell r="B140">
            <v>5.8</v>
          </cell>
          <cell r="C140">
            <v>12.4</v>
          </cell>
          <cell r="D140">
            <v>52.9</v>
          </cell>
        </row>
        <row r="141">
          <cell r="A141" t="str">
            <v>HIDR. MUCOSA PORC. 62</v>
          </cell>
          <cell r="B141">
            <v>4.5</v>
          </cell>
          <cell r="C141">
            <v>24.6</v>
          </cell>
          <cell r="D141">
            <v>62</v>
          </cell>
        </row>
        <row r="142">
          <cell r="A142" t="str">
            <v>HIDR. MUCOSA PORC. 70</v>
          </cell>
          <cell r="B142">
            <v>3.6</v>
          </cell>
          <cell r="C142">
            <v>17.3</v>
          </cell>
          <cell r="D142">
            <v>70.099999999999994</v>
          </cell>
        </row>
        <row r="143">
          <cell r="A143" t="str">
            <v>HIDROGENADA &gt;55</v>
          </cell>
          <cell r="B143">
            <v>0</v>
          </cell>
          <cell r="C143">
            <v>0</v>
          </cell>
          <cell r="D143">
            <v>0</v>
          </cell>
        </row>
        <row r="144">
          <cell r="A144" t="str">
            <v>HIDROGENADA &gt;90</v>
          </cell>
          <cell r="B144">
            <v>0</v>
          </cell>
          <cell r="C144">
            <v>0</v>
          </cell>
          <cell r="D144">
            <v>0</v>
          </cell>
        </row>
        <row r="145">
          <cell r="A145" t="str">
            <v>HIDROXI-ANAL MET</v>
          </cell>
          <cell r="B145">
            <v>12</v>
          </cell>
          <cell r="C145">
            <v>0</v>
          </cell>
          <cell r="D145">
            <v>0</v>
          </cell>
        </row>
        <row r="146">
          <cell r="A146" t="str">
            <v>HIDROXICLORURO DE ZINC monohidrato</v>
          </cell>
          <cell r="B146" t="str">
            <v>.</v>
          </cell>
          <cell r="C146" t="str">
            <v>.</v>
          </cell>
          <cell r="D146">
            <v>0</v>
          </cell>
        </row>
        <row r="147">
          <cell r="A147" t="str">
            <v xml:space="preserve">HNA EXTRACCION GRANILLA UVA </v>
          </cell>
          <cell r="B147">
            <v>11.4</v>
          </cell>
          <cell r="C147">
            <v>4.5</v>
          </cell>
          <cell r="D147">
            <v>11.1</v>
          </cell>
        </row>
        <row r="148">
          <cell r="A148" t="str">
            <v>HNA SANGRE SPRAY</v>
          </cell>
          <cell r="B148">
            <v>8</v>
          </cell>
          <cell r="C148">
            <v>3.5</v>
          </cell>
          <cell r="D148">
            <v>87</v>
          </cell>
        </row>
        <row r="149">
          <cell r="A149" t="str">
            <v>HNA. CAMELINA SOLVENTES</v>
          </cell>
          <cell r="B149">
            <v>8.8000000000000007</v>
          </cell>
          <cell r="C149">
            <v>5.9</v>
          </cell>
          <cell r="D149">
            <v>37</v>
          </cell>
        </row>
        <row r="150">
          <cell r="A150" t="str">
            <v>HNA. COLZA 00 SOLVENTES 33%PB</v>
          </cell>
          <cell r="B150">
            <v>11.6</v>
          </cell>
          <cell r="C150">
            <v>6.9</v>
          </cell>
          <cell r="D150">
            <v>33</v>
          </cell>
        </row>
        <row r="151">
          <cell r="A151" t="str">
            <v>HNA. COLZA 00 SOLVENTES 36%PB</v>
          </cell>
          <cell r="B151">
            <v>11.5</v>
          </cell>
          <cell r="C151">
            <v>6.8</v>
          </cell>
          <cell r="D151">
            <v>36</v>
          </cell>
        </row>
        <row r="152">
          <cell r="A152" t="str">
            <v>HNA. COPRA SOLVENTE</v>
          </cell>
          <cell r="B152">
            <v>9</v>
          </cell>
          <cell r="C152">
            <v>6.3</v>
          </cell>
          <cell r="D152">
            <v>21.4</v>
          </cell>
        </row>
        <row r="153">
          <cell r="A153" t="str">
            <v>HNA.CACAHUETE 48</v>
          </cell>
          <cell r="B153">
            <v>9.5</v>
          </cell>
          <cell r="C153">
            <v>6</v>
          </cell>
          <cell r="D153">
            <v>48.1</v>
          </cell>
        </row>
        <row r="154">
          <cell r="A154" t="str">
            <v>HNA.CACAHUETE 52</v>
          </cell>
          <cell r="B154">
            <v>8.1</v>
          </cell>
          <cell r="C154">
            <v>5</v>
          </cell>
          <cell r="D154">
            <v>52.5</v>
          </cell>
        </row>
        <row r="155">
          <cell r="A155" t="str">
            <v>HNA.GIRASOL 28</v>
          </cell>
          <cell r="B155">
            <v>10.6</v>
          </cell>
          <cell r="C155">
            <v>6</v>
          </cell>
          <cell r="D155">
            <v>28</v>
          </cell>
        </row>
        <row r="156">
          <cell r="A156" t="str">
            <v>HNA.GIRASOL 32</v>
          </cell>
          <cell r="B156">
            <v>10.1</v>
          </cell>
          <cell r="C156">
            <v>6.2</v>
          </cell>
          <cell r="D156">
            <v>32</v>
          </cell>
        </row>
        <row r="157">
          <cell r="A157" t="str">
            <v>HNA.GIRASOL 36</v>
          </cell>
          <cell r="B157">
            <v>9.6</v>
          </cell>
          <cell r="C157">
            <v>6.4</v>
          </cell>
          <cell r="D157">
            <v>36</v>
          </cell>
        </row>
        <row r="158">
          <cell r="A158" t="str">
            <v>HNA.LINO SOLVENTE</v>
          </cell>
          <cell r="B158">
            <v>10.5</v>
          </cell>
          <cell r="C158">
            <v>6</v>
          </cell>
          <cell r="D158">
            <v>34</v>
          </cell>
        </row>
        <row r="159">
          <cell r="A159" t="str">
            <v>HNA.PALMISTE SOLVENTES</v>
          </cell>
          <cell r="B159">
            <v>9.8000000000000007</v>
          </cell>
          <cell r="C159">
            <v>4.5</v>
          </cell>
          <cell r="D159">
            <v>16.3</v>
          </cell>
        </row>
        <row r="160">
          <cell r="A160" t="str">
            <v>HNA.SOJA 44</v>
          </cell>
          <cell r="B160">
            <v>12.1</v>
          </cell>
          <cell r="C160">
            <v>6.2</v>
          </cell>
          <cell r="D160">
            <v>44</v>
          </cell>
        </row>
        <row r="161">
          <cell r="A161" t="str">
            <v>HNA.SOJA 45,5</v>
          </cell>
          <cell r="B161">
            <v>11.9</v>
          </cell>
          <cell r="C161">
            <v>6.3</v>
          </cell>
          <cell r="D161">
            <v>45.5</v>
          </cell>
        </row>
        <row r="162">
          <cell r="A162" t="str">
            <v>HNA.SOJA 47</v>
          </cell>
          <cell r="B162">
            <v>11.8</v>
          </cell>
          <cell r="C162">
            <v>6.3</v>
          </cell>
          <cell r="D162">
            <v>47</v>
          </cell>
        </row>
        <row r="163">
          <cell r="A163" t="str">
            <v>HNA.SOJA 48.5</v>
          </cell>
          <cell r="B163">
            <v>11.8</v>
          </cell>
          <cell r="C163">
            <v>6.3</v>
          </cell>
          <cell r="D163">
            <v>48.5</v>
          </cell>
        </row>
        <row r="164">
          <cell r="A164" t="str">
            <v>HNA.SOJA 51 MICRONIZADA</v>
          </cell>
          <cell r="B164">
            <v>8.9</v>
          </cell>
          <cell r="C164">
            <v>6.7</v>
          </cell>
          <cell r="D164">
            <v>51.4</v>
          </cell>
        </row>
        <row r="165">
          <cell r="A165" t="str">
            <v>HOJA DE OLIVO</v>
          </cell>
          <cell r="B165">
            <v>8.6999999999999993</v>
          </cell>
          <cell r="C165">
            <v>10.9</v>
          </cell>
          <cell r="D165">
            <v>8.4</v>
          </cell>
        </row>
        <row r="166">
          <cell r="A166" t="str">
            <v>IODATO CALCICO ANHIDRO</v>
          </cell>
          <cell r="B166" t="str">
            <v>.</v>
          </cell>
          <cell r="C166" t="str">
            <v>.</v>
          </cell>
          <cell r="D166">
            <v>0</v>
          </cell>
        </row>
        <row r="167">
          <cell r="A167" t="str">
            <v>IODURO POTASICO</v>
          </cell>
          <cell r="B167" t="str">
            <v>.</v>
          </cell>
          <cell r="C167" t="str">
            <v>.</v>
          </cell>
          <cell r="D167">
            <v>0</v>
          </cell>
        </row>
        <row r="168">
          <cell r="A168" t="str">
            <v>JABON MEZCLA</v>
          </cell>
          <cell r="B168">
            <v>0</v>
          </cell>
          <cell r="C168">
            <v>16</v>
          </cell>
          <cell r="D168">
            <v>0</v>
          </cell>
        </row>
        <row r="169">
          <cell r="A169" t="str">
            <v>JABON PALMA</v>
          </cell>
          <cell r="B169">
            <v>0</v>
          </cell>
          <cell r="C169">
            <v>16</v>
          </cell>
          <cell r="D169">
            <v>0</v>
          </cell>
        </row>
        <row r="170">
          <cell r="A170" t="str">
            <v>L METIONINA</v>
          </cell>
          <cell r="B170">
            <v>0.5</v>
          </cell>
          <cell r="C170">
            <v>0.5</v>
          </cell>
          <cell r="D170">
            <v>58.4</v>
          </cell>
        </row>
        <row r="171">
          <cell r="A171" t="str">
            <v>L-ARGININA</v>
          </cell>
          <cell r="B171">
            <v>0.5</v>
          </cell>
          <cell r="C171">
            <v>0.1</v>
          </cell>
          <cell r="D171">
            <v>196.9</v>
          </cell>
        </row>
        <row r="172">
          <cell r="A172" t="str">
            <v>L-HISTIDINA HCl</v>
          </cell>
          <cell r="B172">
            <v>1</v>
          </cell>
          <cell r="C172">
            <v>0.5</v>
          </cell>
          <cell r="D172">
            <v>125.3</v>
          </cell>
        </row>
        <row r="173">
          <cell r="A173" t="str">
            <v>L-ISOLEUCINA</v>
          </cell>
          <cell r="B173">
            <v>1</v>
          </cell>
          <cell r="C173" t="str">
            <v>.</v>
          </cell>
          <cell r="D173">
            <v>68</v>
          </cell>
        </row>
        <row r="174">
          <cell r="A174" t="str">
            <v>L-LISINA 50</v>
          </cell>
          <cell r="B174">
            <v>46</v>
          </cell>
          <cell r="C174">
            <v>0.3</v>
          </cell>
          <cell r="D174">
            <v>60</v>
          </cell>
        </row>
        <row r="175">
          <cell r="A175" t="str">
            <v>L-LISINA HCL</v>
          </cell>
          <cell r="B175">
            <v>0.5</v>
          </cell>
          <cell r="C175">
            <v>0.3</v>
          </cell>
          <cell r="D175">
            <v>94.4</v>
          </cell>
        </row>
        <row r="176">
          <cell r="A176" t="str">
            <v>L-TREONINA</v>
          </cell>
          <cell r="B176">
            <v>0.5</v>
          </cell>
          <cell r="C176">
            <v>0.5</v>
          </cell>
          <cell r="D176">
            <v>72.5</v>
          </cell>
        </row>
        <row r="177">
          <cell r="A177" t="str">
            <v>L-TRIPTOFANO</v>
          </cell>
          <cell r="B177">
            <v>0.6</v>
          </cell>
          <cell r="C177">
            <v>0.7</v>
          </cell>
          <cell r="D177">
            <v>84.5</v>
          </cell>
        </row>
        <row r="178">
          <cell r="A178" t="str">
            <v>L-VALINA</v>
          </cell>
          <cell r="B178">
            <v>1</v>
          </cell>
          <cell r="C178">
            <v>0.5</v>
          </cell>
          <cell r="D178">
            <v>72.400000000000006</v>
          </cell>
        </row>
        <row r="179">
          <cell r="A179" t="str">
            <v>LACTOSA</v>
          </cell>
          <cell r="B179">
            <v>3.5</v>
          </cell>
          <cell r="C179">
            <v>0.4</v>
          </cell>
          <cell r="D179">
            <v>0</v>
          </cell>
        </row>
        <row r="180">
          <cell r="A180" t="str">
            <v>LECHE DESCREM.DESNATURA</v>
          </cell>
          <cell r="B180">
            <v>5.6</v>
          </cell>
          <cell r="C180">
            <v>8.1</v>
          </cell>
          <cell r="D180">
            <v>34</v>
          </cell>
        </row>
        <row r="181">
          <cell r="A181" t="str">
            <v>LECHE DESCREMADA</v>
          </cell>
          <cell r="B181">
            <v>5</v>
          </cell>
          <cell r="C181">
            <v>7.8</v>
          </cell>
          <cell r="D181">
            <v>34.200000000000003</v>
          </cell>
        </row>
        <row r="182">
          <cell r="A182" t="str">
            <v>LECITINA COMERCIAL SOJA</v>
          </cell>
          <cell r="B182">
            <v>1</v>
          </cell>
          <cell r="C182">
            <v>4.5</v>
          </cell>
          <cell r="D182">
            <v>0</v>
          </cell>
        </row>
        <row r="183">
          <cell r="A183" t="str">
            <v>LENTEJAS</v>
          </cell>
          <cell r="B183">
            <v>12</v>
          </cell>
          <cell r="C183">
            <v>2.6</v>
          </cell>
          <cell r="D183">
            <v>24.4</v>
          </cell>
        </row>
        <row r="184">
          <cell r="A184" t="str">
            <v>LEVADURA CERVEZA</v>
          </cell>
          <cell r="B184">
            <v>8.1999999999999993</v>
          </cell>
          <cell r="C184">
            <v>7</v>
          </cell>
          <cell r="D184">
            <v>46</v>
          </cell>
        </row>
        <row r="185">
          <cell r="A185" t="str">
            <v>MAIZ NACIONAL</v>
          </cell>
          <cell r="B185">
            <v>13.6</v>
          </cell>
          <cell r="C185">
            <v>1.1000000000000001</v>
          </cell>
          <cell r="D185">
            <v>7.3</v>
          </cell>
        </row>
        <row r="186">
          <cell r="A186" t="str">
            <v>MAIZ RICO EN ACEITE</v>
          </cell>
          <cell r="B186">
            <v>13.8</v>
          </cell>
          <cell r="C186">
            <v>1.3</v>
          </cell>
          <cell r="D186">
            <v>8.4</v>
          </cell>
        </row>
        <row r="187">
          <cell r="A187" t="str">
            <v>MAIZ TRATADO CALOR</v>
          </cell>
          <cell r="B187">
            <v>13.8</v>
          </cell>
          <cell r="C187">
            <v>1.1000000000000001</v>
          </cell>
          <cell r="D187">
            <v>7.3</v>
          </cell>
        </row>
        <row r="188">
          <cell r="A188" t="str">
            <v>MANDIOCA 62.5</v>
          </cell>
          <cell r="B188">
            <v>11.6</v>
          </cell>
          <cell r="C188">
            <v>6.1</v>
          </cell>
          <cell r="D188">
            <v>2.4</v>
          </cell>
        </row>
        <row r="189">
          <cell r="A189" t="str">
            <v>MANDIOCA 65</v>
          </cell>
          <cell r="B189">
            <v>11.8</v>
          </cell>
          <cell r="C189">
            <v>5.5</v>
          </cell>
          <cell r="D189">
            <v>2.4</v>
          </cell>
        </row>
        <row r="190">
          <cell r="A190" t="str">
            <v>MANDIOCA 70</v>
          </cell>
          <cell r="B190">
            <v>11</v>
          </cell>
          <cell r="C190">
            <v>4.5</v>
          </cell>
          <cell r="D190">
            <v>2.5</v>
          </cell>
        </row>
        <row r="191">
          <cell r="A191" t="str">
            <v>MANTECA</v>
          </cell>
          <cell r="B191">
            <v>0</v>
          </cell>
          <cell r="C191">
            <v>0</v>
          </cell>
          <cell r="D191">
            <v>0</v>
          </cell>
        </row>
        <row r="192">
          <cell r="A192" t="str">
            <v>MANTEQUILLA</v>
          </cell>
          <cell r="B192">
            <v>0</v>
          </cell>
          <cell r="C192">
            <v>0</v>
          </cell>
          <cell r="D192">
            <v>0</v>
          </cell>
        </row>
        <row r="193">
          <cell r="A193" t="str">
            <v>MELAZA CAÑA</v>
          </cell>
          <cell r="B193">
            <v>27.4</v>
          </cell>
          <cell r="C193">
            <v>9.4</v>
          </cell>
          <cell r="D193">
            <v>4.3</v>
          </cell>
        </row>
        <row r="194">
          <cell r="A194" t="str">
            <v>MELAZA REMOLACHA</v>
          </cell>
          <cell r="B194">
            <v>28.2</v>
          </cell>
          <cell r="C194">
            <v>8.6999999999999993</v>
          </cell>
          <cell r="D194">
            <v>9.1</v>
          </cell>
        </row>
        <row r="195">
          <cell r="A195" t="str">
            <v>MET HIDROXI SAL CALCICA</v>
          </cell>
          <cell r="B195">
            <v>1</v>
          </cell>
          <cell r="C195">
            <v>18</v>
          </cell>
          <cell r="D195">
            <v>0</v>
          </cell>
        </row>
        <row r="196">
          <cell r="A196" t="str">
            <v>MOLIBDATO DE SODIO</v>
          </cell>
          <cell r="B196" t="str">
            <v>.</v>
          </cell>
          <cell r="C196" t="str">
            <v>.</v>
          </cell>
          <cell r="D196">
            <v>0</v>
          </cell>
        </row>
        <row r="197">
          <cell r="A197" t="str">
            <v>OLEINAS COCO</v>
          </cell>
          <cell r="B197">
            <v>0</v>
          </cell>
          <cell r="C197">
            <v>0</v>
          </cell>
          <cell r="D197">
            <v>0</v>
          </cell>
        </row>
        <row r="198">
          <cell r="A198" t="str">
            <v>OLEINAS GIRASOL</v>
          </cell>
          <cell r="B198">
            <v>0</v>
          </cell>
          <cell r="C198">
            <v>0</v>
          </cell>
          <cell r="D198">
            <v>0</v>
          </cell>
        </row>
        <row r="199">
          <cell r="A199" t="str">
            <v>OLEINAS OLIVA</v>
          </cell>
          <cell r="B199">
            <v>0</v>
          </cell>
          <cell r="C199">
            <v>0</v>
          </cell>
          <cell r="D199">
            <v>0</v>
          </cell>
        </row>
        <row r="200">
          <cell r="A200" t="str">
            <v>OLEINAS PESCADO</v>
          </cell>
          <cell r="B200">
            <v>0</v>
          </cell>
          <cell r="C200">
            <v>0</v>
          </cell>
          <cell r="D200">
            <v>0</v>
          </cell>
        </row>
        <row r="201">
          <cell r="A201" t="str">
            <v>OLEINAS SOJA</v>
          </cell>
          <cell r="B201">
            <v>0</v>
          </cell>
          <cell r="C201">
            <v>0</v>
          </cell>
          <cell r="D201">
            <v>0</v>
          </cell>
        </row>
        <row r="202">
          <cell r="A202" t="str">
            <v>ORUJO ACEITUNA EXTRACTADO</v>
          </cell>
          <cell r="B202">
            <v>10.3</v>
          </cell>
          <cell r="C202">
            <v>8.8000000000000007</v>
          </cell>
          <cell r="D202">
            <v>10.9</v>
          </cell>
        </row>
        <row r="203">
          <cell r="A203" t="str">
            <v>ORUJO UVA</v>
          </cell>
          <cell r="B203">
            <v>8.1999999999999993</v>
          </cell>
          <cell r="C203">
            <v>5.8</v>
          </cell>
          <cell r="D203">
            <v>11.2</v>
          </cell>
        </row>
        <row r="204">
          <cell r="A204" t="str">
            <v>OXIDO DE COBRE (II)</v>
          </cell>
          <cell r="B204">
            <v>0.2</v>
          </cell>
          <cell r="C204" t="str">
            <v>.</v>
          </cell>
          <cell r="D204">
            <v>0</v>
          </cell>
        </row>
        <row r="205">
          <cell r="A205" t="str">
            <v>OXIDO DE ZINC 72</v>
          </cell>
          <cell r="B205">
            <v>0.5</v>
          </cell>
          <cell r="C205" t="str">
            <v>.</v>
          </cell>
          <cell r="D205">
            <v>0</v>
          </cell>
        </row>
        <row r="206">
          <cell r="A206" t="str">
            <v>OXIDO DE ZINC 75</v>
          </cell>
          <cell r="B206">
            <v>0.5</v>
          </cell>
          <cell r="C206" t="str">
            <v>.</v>
          </cell>
          <cell r="D206">
            <v>0</v>
          </cell>
        </row>
        <row r="207">
          <cell r="A207" t="str">
            <v>OXIDO MAGNESIO (magnesita calcinada)</v>
          </cell>
          <cell r="B207" t="str">
            <v>.</v>
          </cell>
          <cell r="C207" t="str">
            <v>.</v>
          </cell>
          <cell r="D207">
            <v>0</v>
          </cell>
        </row>
        <row r="208">
          <cell r="A208" t="str">
            <v>OXIDO MANGANOSO</v>
          </cell>
          <cell r="B208">
            <v>0.5</v>
          </cell>
          <cell r="C208" t="str">
            <v>.</v>
          </cell>
          <cell r="D208">
            <v>0</v>
          </cell>
        </row>
        <row r="209">
          <cell r="A209" t="str">
            <v>PAJA DE CEREALES</v>
          </cell>
          <cell r="B209">
            <v>8.6</v>
          </cell>
          <cell r="C209">
            <v>6.9</v>
          </cell>
          <cell r="D209">
            <v>4.5999999999999996</v>
          </cell>
        </row>
        <row r="210">
          <cell r="A210" t="str">
            <v>PAJA DE LENTEJA</v>
          </cell>
          <cell r="B210">
            <v>10</v>
          </cell>
          <cell r="C210">
            <v>10.1</v>
          </cell>
          <cell r="D210">
            <v>6</v>
          </cell>
        </row>
        <row r="211">
          <cell r="A211" t="str">
            <v>PAJA TRATADA CON SOSA</v>
          </cell>
          <cell r="B211">
            <v>8.1999999999999993</v>
          </cell>
          <cell r="C211">
            <v>9.1</v>
          </cell>
          <cell r="D211">
            <v>3.6</v>
          </cell>
        </row>
        <row r="212">
          <cell r="A212" t="str">
            <v>PAN RALLADO</v>
          </cell>
          <cell r="B212">
            <v>7.9</v>
          </cell>
          <cell r="C212">
            <v>2.6</v>
          </cell>
          <cell r="D212">
            <v>13</v>
          </cell>
        </row>
        <row r="213">
          <cell r="A213" t="str">
            <v>PATATA</v>
          </cell>
          <cell r="B213">
            <v>11</v>
          </cell>
          <cell r="C213">
            <v>5.8</v>
          </cell>
          <cell r="D213">
            <v>8.9</v>
          </cell>
        </row>
        <row r="214">
          <cell r="A214" t="str">
            <v>PERMEATO DE SUERO</v>
          </cell>
          <cell r="B214">
            <v>4.0999999999999996</v>
          </cell>
          <cell r="C214">
            <v>8.5</v>
          </cell>
          <cell r="D214">
            <v>3.5</v>
          </cell>
        </row>
        <row r="215">
          <cell r="A215" t="str">
            <v>PESCADO 59/9/21</v>
          </cell>
          <cell r="B215">
            <v>8</v>
          </cell>
          <cell r="C215">
            <v>21.5</v>
          </cell>
          <cell r="D215">
            <v>59</v>
          </cell>
        </row>
        <row r="216">
          <cell r="A216" t="str">
            <v>PESCADO 62/9/18</v>
          </cell>
          <cell r="B216">
            <v>7.8</v>
          </cell>
          <cell r="C216">
            <v>18.5</v>
          </cell>
          <cell r="D216">
            <v>62.2</v>
          </cell>
        </row>
        <row r="217">
          <cell r="A217" t="str">
            <v>PESCADO 67/10/15</v>
          </cell>
          <cell r="B217">
            <v>7.2</v>
          </cell>
          <cell r="C217">
            <v>15.1</v>
          </cell>
          <cell r="D217">
            <v>66.599999999999994</v>
          </cell>
        </row>
        <row r="218">
          <cell r="A218" t="str">
            <v>PESCADO 70/9/13</v>
          </cell>
          <cell r="B218">
            <v>7</v>
          </cell>
          <cell r="C218">
            <v>12.5</v>
          </cell>
          <cell r="D218">
            <v>70</v>
          </cell>
        </row>
        <row r="219">
          <cell r="A219" t="str">
            <v>PESCADO CHILENO</v>
          </cell>
          <cell r="B219">
            <v>0</v>
          </cell>
          <cell r="C219">
            <v>0</v>
          </cell>
          <cell r="D219">
            <v>0</v>
          </cell>
        </row>
        <row r="220">
          <cell r="A220" t="str">
            <v>PESCADO NACIONAL</v>
          </cell>
          <cell r="B220">
            <v>0</v>
          </cell>
          <cell r="C220">
            <v>0</v>
          </cell>
          <cell r="D220">
            <v>0</v>
          </cell>
        </row>
        <row r="221">
          <cell r="A221" t="str">
            <v>PESCADO NORDICO</v>
          </cell>
          <cell r="B221">
            <v>0</v>
          </cell>
          <cell r="C221">
            <v>0</v>
          </cell>
          <cell r="D221">
            <v>0</v>
          </cell>
        </row>
        <row r="222">
          <cell r="A222" t="str">
            <v>PLASMA ANIMAL 70% PB</v>
          </cell>
          <cell r="B222">
            <v>8.6</v>
          </cell>
          <cell r="C222">
            <v>17.2</v>
          </cell>
          <cell r="D222">
            <v>70.599999999999994</v>
          </cell>
        </row>
        <row r="223">
          <cell r="A223" t="str">
            <v>PLASMA ANIMAL 78% PB</v>
          </cell>
          <cell r="B223">
            <v>8.6</v>
          </cell>
          <cell r="C223">
            <v>7.6</v>
          </cell>
          <cell r="D223">
            <v>78</v>
          </cell>
        </row>
        <row r="224">
          <cell r="A224" t="str">
            <v>PLUMAS HIDROLIZADA</v>
          </cell>
          <cell r="B224">
            <v>6.8</v>
          </cell>
          <cell r="C224">
            <v>2.2000000000000002</v>
          </cell>
          <cell r="D224">
            <v>83.9</v>
          </cell>
        </row>
        <row r="225">
          <cell r="A225" t="str">
            <v>POLLO</v>
          </cell>
          <cell r="B225">
            <v>0</v>
          </cell>
          <cell r="C225">
            <v>0</v>
          </cell>
          <cell r="D225">
            <v>0</v>
          </cell>
        </row>
        <row r="226">
          <cell r="A226" t="str">
            <v>PROPILENGLICOL</v>
          </cell>
          <cell r="B226" t="str">
            <v>.</v>
          </cell>
          <cell r="C226" t="str">
            <v>.</v>
          </cell>
          <cell r="D226">
            <v>0</v>
          </cell>
        </row>
        <row r="227">
          <cell r="A227" t="str">
            <v>PROPIONATO AMONICO</v>
          </cell>
          <cell r="B227" t="str">
            <v>.</v>
          </cell>
          <cell r="C227" t="str">
            <v>.</v>
          </cell>
          <cell r="D227">
            <v>96.15</v>
          </cell>
        </row>
        <row r="228">
          <cell r="A228" t="str">
            <v>PROPIONATO CALCICO</v>
          </cell>
          <cell r="B228" t="str">
            <v>.</v>
          </cell>
          <cell r="C228" t="str">
            <v>.</v>
          </cell>
          <cell r="D228">
            <v>0</v>
          </cell>
        </row>
        <row r="229">
          <cell r="A229" t="str">
            <v>PROPIONATO MAGNESIO dihidratado</v>
          </cell>
          <cell r="B229" t="str">
            <v>.</v>
          </cell>
          <cell r="C229" t="str">
            <v>.</v>
          </cell>
          <cell r="D229">
            <v>0</v>
          </cell>
        </row>
        <row r="230">
          <cell r="A230" t="str">
            <v>PROPIONATO SODICO</v>
          </cell>
          <cell r="B230" t="str">
            <v>.</v>
          </cell>
          <cell r="C230" t="str">
            <v>.</v>
          </cell>
          <cell r="D230">
            <v>0</v>
          </cell>
        </row>
        <row r="231">
          <cell r="A231" t="str">
            <v>PROT. TRIGO HIDROLIZADO</v>
          </cell>
          <cell r="B231">
            <v>7.5</v>
          </cell>
          <cell r="C231">
            <v>1</v>
          </cell>
          <cell r="D231">
            <v>78</v>
          </cell>
        </row>
        <row r="232">
          <cell r="A232" t="str">
            <v>PROTEINA DE PATATA</v>
          </cell>
          <cell r="B232">
            <v>7.5</v>
          </cell>
          <cell r="C232">
            <v>2.4</v>
          </cell>
          <cell r="D232">
            <v>79</v>
          </cell>
        </row>
        <row r="233">
          <cell r="A233" t="str">
            <v>PULPA ACEITUNA INTEGRAL</v>
          </cell>
          <cell r="B233">
            <v>6.8</v>
          </cell>
          <cell r="C233">
            <v>8.3000000000000007</v>
          </cell>
          <cell r="D233">
            <v>9.6</v>
          </cell>
        </row>
        <row r="234">
          <cell r="A234" t="str">
            <v>PULPA ACEITUNA PARC. DESENGRASADA</v>
          </cell>
          <cell r="B234">
            <v>6.3</v>
          </cell>
          <cell r="C234">
            <v>9</v>
          </cell>
          <cell r="D234">
            <v>9.9</v>
          </cell>
        </row>
        <row r="235">
          <cell r="A235" t="str">
            <v>PULPA CÍTRICOS (NARANJA+MANDARINA)</v>
          </cell>
          <cell r="B235">
            <v>12.3</v>
          </cell>
          <cell r="C235">
            <v>6</v>
          </cell>
          <cell r="D235">
            <v>6.1</v>
          </cell>
        </row>
        <row r="236">
          <cell r="A236" t="str">
            <v>PULPA MANZANA</v>
          </cell>
          <cell r="B236">
            <v>10.8</v>
          </cell>
          <cell r="C236">
            <v>2</v>
          </cell>
          <cell r="D236">
            <v>5.5</v>
          </cell>
        </row>
        <row r="237">
          <cell r="A237" t="str">
            <v>PULPA REMOLACHA 4% CENIZAS</v>
          </cell>
          <cell r="B237">
            <v>10.7</v>
          </cell>
          <cell r="C237">
            <v>4</v>
          </cell>
          <cell r="D237">
            <v>8.6</v>
          </cell>
        </row>
        <row r="238">
          <cell r="A238" t="str">
            <v>PULPA REMOLACHA 7.5% CENIZAS</v>
          </cell>
          <cell r="B238">
            <v>10.7</v>
          </cell>
          <cell r="C238">
            <v>7.5</v>
          </cell>
          <cell r="D238">
            <v>7.9</v>
          </cell>
        </row>
        <row r="239">
          <cell r="A239" t="str">
            <v>RAICILLAS MALTA 19</v>
          </cell>
          <cell r="B239">
            <v>9.5</v>
          </cell>
          <cell r="C239">
            <v>6.5</v>
          </cell>
          <cell r="D239">
            <v>19.100000000000001</v>
          </cell>
        </row>
        <row r="240">
          <cell r="A240" t="str">
            <v>SACAROSA</v>
          </cell>
          <cell r="B240">
            <v>0.5</v>
          </cell>
          <cell r="C240">
            <v>0.2</v>
          </cell>
          <cell r="D240">
            <v>0</v>
          </cell>
        </row>
        <row r="241">
          <cell r="A241" t="str">
            <v>SALVADO ARROZ 14%EE</v>
          </cell>
          <cell r="B241">
            <v>10.3</v>
          </cell>
          <cell r="C241">
            <v>8.3000000000000007</v>
          </cell>
          <cell r="D241">
            <v>13.8</v>
          </cell>
        </row>
        <row r="242">
          <cell r="A242" t="str">
            <v>SALVADO ARROZ 17 EE</v>
          </cell>
          <cell r="B242">
            <v>10.199999999999999</v>
          </cell>
          <cell r="C242">
            <v>8.6</v>
          </cell>
          <cell r="D242">
            <v>13.6</v>
          </cell>
        </row>
        <row r="243">
          <cell r="A243" t="str">
            <v>SALVADO ARROZ DESENGRASADO</v>
          </cell>
          <cell r="B243">
            <v>9.9</v>
          </cell>
          <cell r="C243">
            <v>11.6</v>
          </cell>
          <cell r="D243">
            <v>14.8</v>
          </cell>
        </row>
        <row r="244">
          <cell r="A244" t="str">
            <v>SALVADO TRIGO 15% ALMIDÓN</v>
          </cell>
          <cell r="B244">
            <v>12.6</v>
          </cell>
          <cell r="C244">
            <v>5.4</v>
          </cell>
          <cell r="D244">
            <v>15.4</v>
          </cell>
        </row>
        <row r="245">
          <cell r="A245" t="str">
            <v>SALVADO TRIGO 20% ALMIDÓN</v>
          </cell>
          <cell r="B245">
            <v>12.4</v>
          </cell>
          <cell r="C245">
            <v>4.9000000000000004</v>
          </cell>
          <cell r="D245">
            <v>15</v>
          </cell>
        </row>
        <row r="246">
          <cell r="A246" t="str">
            <v>SEBO</v>
          </cell>
          <cell r="B246">
            <v>0</v>
          </cell>
          <cell r="C246">
            <v>0</v>
          </cell>
          <cell r="D246">
            <v>0</v>
          </cell>
        </row>
        <row r="247">
          <cell r="A247" t="str">
            <v>SELENITO SODICO</v>
          </cell>
          <cell r="B247" t="str">
            <v>.</v>
          </cell>
          <cell r="C247" t="str">
            <v>.</v>
          </cell>
          <cell r="D247">
            <v>0</v>
          </cell>
        </row>
        <row r="248">
          <cell r="A248" t="str">
            <v>SEMILLA ALGODON</v>
          </cell>
          <cell r="B248">
            <v>9.1</v>
          </cell>
          <cell r="C248">
            <v>3.7</v>
          </cell>
          <cell r="D248">
            <v>20.8</v>
          </cell>
        </row>
        <row r="249">
          <cell r="A249" t="str">
            <v xml:space="preserve">SEMILLA COLZA 00 </v>
          </cell>
          <cell r="B249">
            <v>8.8000000000000007</v>
          </cell>
          <cell r="C249">
            <v>4</v>
          </cell>
          <cell r="D249">
            <v>19</v>
          </cell>
        </row>
        <row r="250">
          <cell r="A250" t="str">
            <v>SEMILLA GIRASOL</v>
          </cell>
          <cell r="B250">
            <v>4.4000000000000004</v>
          </cell>
          <cell r="C250">
            <v>3.2</v>
          </cell>
          <cell r="D250">
            <v>16.399999999999999</v>
          </cell>
        </row>
        <row r="251">
          <cell r="A251" t="str">
            <v>SEMILLA GIRASOL ALTO OLEICO</v>
          </cell>
          <cell r="B251">
            <v>6.1</v>
          </cell>
          <cell r="C251">
            <v>3.5</v>
          </cell>
          <cell r="D251">
            <v>16.899999999999999</v>
          </cell>
        </row>
        <row r="252">
          <cell r="A252" t="str">
            <v>SEMILLA LINO</v>
          </cell>
          <cell r="B252">
            <v>9.3000000000000007</v>
          </cell>
          <cell r="C252">
            <v>4.8</v>
          </cell>
          <cell r="D252">
            <v>22</v>
          </cell>
        </row>
        <row r="253">
          <cell r="A253" t="str">
            <v>SORGO BLANCO</v>
          </cell>
          <cell r="B253">
            <v>13</v>
          </cell>
          <cell r="C253">
            <v>1.3</v>
          </cell>
          <cell r="D253">
            <v>8.9</v>
          </cell>
        </row>
        <row r="254">
          <cell r="A254" t="str">
            <v>SORGO TRATADO CALOR</v>
          </cell>
          <cell r="B254">
            <v>13</v>
          </cell>
          <cell r="C254">
            <v>1.3</v>
          </cell>
          <cell r="D254">
            <v>8.9</v>
          </cell>
        </row>
        <row r="255">
          <cell r="A255" t="str">
            <v>SUBP. MATADERO AVES</v>
          </cell>
          <cell r="B255">
            <v>9.6999999999999993</v>
          </cell>
          <cell r="C255">
            <v>6.1</v>
          </cell>
          <cell r="D255">
            <v>61.8</v>
          </cell>
        </row>
        <row r="256">
          <cell r="A256" t="str">
            <v>SUERO ACIDO</v>
          </cell>
          <cell r="B256">
            <v>4.4000000000000004</v>
          </cell>
          <cell r="C256">
            <v>12</v>
          </cell>
          <cell r="D256">
            <v>9.4</v>
          </cell>
        </row>
        <row r="257">
          <cell r="A257" t="str">
            <v>SUERO DELACTOS.20 GRASA</v>
          </cell>
          <cell r="B257">
            <v>4.5</v>
          </cell>
          <cell r="C257">
            <v>15.6</v>
          </cell>
          <cell r="D257">
            <v>20.399999999999999</v>
          </cell>
        </row>
        <row r="258">
          <cell r="A258" t="str">
            <v>SUERO DELACTOS.22/39/22</v>
          </cell>
          <cell r="B258">
            <v>5</v>
          </cell>
          <cell r="C258">
            <v>23.5</v>
          </cell>
          <cell r="D258">
            <v>21</v>
          </cell>
        </row>
        <row r="259">
          <cell r="A259" t="str">
            <v>SUERO DELACTOS.25/45/20</v>
          </cell>
          <cell r="B259">
            <v>4.5</v>
          </cell>
          <cell r="C259">
            <v>19.5</v>
          </cell>
          <cell r="D259">
            <v>25.5</v>
          </cell>
        </row>
        <row r="260">
          <cell r="A260" t="str">
            <v>SUERO DULCE OVINO</v>
          </cell>
          <cell r="B260">
            <v>4.3</v>
          </cell>
          <cell r="C260">
            <v>8.4</v>
          </cell>
          <cell r="D260">
            <v>14.1</v>
          </cell>
        </row>
        <row r="261">
          <cell r="A261" t="str">
            <v>SUERO DULCE VACUNO</v>
          </cell>
          <cell r="B261">
            <v>4.5</v>
          </cell>
          <cell r="C261">
            <v>8.6</v>
          </cell>
          <cell r="D261">
            <v>12.5</v>
          </cell>
        </row>
        <row r="262">
          <cell r="A262" t="str">
            <v>SUERO REENGRAS. 50</v>
          </cell>
          <cell r="B262">
            <v>2.8</v>
          </cell>
          <cell r="C262">
            <v>4.5</v>
          </cell>
          <cell r="D262">
            <v>6.2</v>
          </cell>
        </row>
        <row r="263">
          <cell r="A263" t="str">
            <v>SULFATO DE AMONIO</v>
          </cell>
          <cell r="B263">
            <v>0.8</v>
          </cell>
          <cell r="C263" t="str">
            <v>.</v>
          </cell>
          <cell r="D263">
            <v>130</v>
          </cell>
        </row>
        <row r="264">
          <cell r="A264" t="str">
            <v>SULFATO DE COBRE pentahidrato</v>
          </cell>
          <cell r="B264" t="str">
            <v>.</v>
          </cell>
          <cell r="C264" t="str">
            <v>.</v>
          </cell>
          <cell r="D264">
            <v>0</v>
          </cell>
        </row>
        <row r="265">
          <cell r="A265" t="str">
            <v>SULFATO DE L-LISINA</v>
          </cell>
          <cell r="B265">
            <v>4</v>
          </cell>
          <cell r="C265">
            <v>4</v>
          </cell>
          <cell r="D265">
            <v>80</v>
          </cell>
        </row>
        <row r="266">
          <cell r="A266" t="str">
            <v>SULFATO DE ZINC</v>
          </cell>
          <cell r="B266" t="str">
            <v>.</v>
          </cell>
          <cell r="C266" t="str">
            <v>.</v>
          </cell>
          <cell r="D266">
            <v>0</v>
          </cell>
        </row>
        <row r="267">
          <cell r="A267" t="str">
            <v>SULFATO DE ZINC monohidratado</v>
          </cell>
          <cell r="B267">
            <v>1</v>
          </cell>
          <cell r="C267" t="str">
            <v>.</v>
          </cell>
          <cell r="D267">
            <v>0</v>
          </cell>
        </row>
        <row r="268">
          <cell r="A268" t="str">
            <v>SULFATO FERROSO HEPTA</v>
          </cell>
          <cell r="B268" t="str">
            <v>.</v>
          </cell>
          <cell r="C268" t="str">
            <v>.</v>
          </cell>
          <cell r="D268">
            <v>0</v>
          </cell>
        </row>
        <row r="269">
          <cell r="A269" t="str">
            <v>SULFATO FERROSO MONO</v>
          </cell>
          <cell r="B269" t="str">
            <v>.</v>
          </cell>
          <cell r="C269" t="str">
            <v>.</v>
          </cell>
          <cell r="D269">
            <v>0</v>
          </cell>
        </row>
        <row r="270">
          <cell r="A270" t="str">
            <v>SULFATO MAGNESIO anhidro</v>
          </cell>
          <cell r="B270">
            <v>0.5</v>
          </cell>
          <cell r="C270" t="str">
            <v>.</v>
          </cell>
          <cell r="D270">
            <v>0</v>
          </cell>
        </row>
        <row r="271">
          <cell r="A271" t="str">
            <v>SULFATO MAGNESIO heptahidrato</v>
          </cell>
          <cell r="B271" t="str">
            <v>.</v>
          </cell>
          <cell r="C271" t="str">
            <v>.</v>
          </cell>
          <cell r="D271">
            <v>0</v>
          </cell>
        </row>
        <row r="272">
          <cell r="A272" t="str">
            <v>SULFATO MANGANESO MONO</v>
          </cell>
          <cell r="B272">
            <v>0.5</v>
          </cell>
          <cell r="C272" t="str">
            <v>.</v>
          </cell>
          <cell r="D272">
            <v>0</v>
          </cell>
        </row>
        <row r="273">
          <cell r="A273" t="str">
            <v>SULFATO SODICO</v>
          </cell>
          <cell r="B273">
            <v>0.2</v>
          </cell>
          <cell r="C273">
            <v>99</v>
          </cell>
          <cell r="D273">
            <v>0</v>
          </cell>
        </row>
        <row r="274">
          <cell r="A274" t="str">
            <v>TERCERILLAS TRIGO 25% ALMIDÓN</v>
          </cell>
          <cell r="B274">
            <v>12.1</v>
          </cell>
          <cell r="C274">
            <v>4.5</v>
          </cell>
          <cell r="D274">
            <v>14.3</v>
          </cell>
        </row>
        <row r="275">
          <cell r="A275" t="str">
            <v>TORTA CAMELINA PRESION</v>
          </cell>
          <cell r="B275">
            <v>7.5</v>
          </cell>
          <cell r="C275">
            <v>5.7</v>
          </cell>
          <cell r="D275">
            <v>33.9</v>
          </cell>
        </row>
        <row r="276">
          <cell r="A276" t="str">
            <v>TORTA COLZA 00 PRESION 12.7EE</v>
          </cell>
          <cell r="B276">
            <v>8.4</v>
          </cell>
          <cell r="C276">
            <v>6.4</v>
          </cell>
          <cell r="D276">
            <v>29.7</v>
          </cell>
        </row>
        <row r="277">
          <cell r="A277" t="str">
            <v>TORTA COLZA 00 PRESION 7.3%EE</v>
          </cell>
          <cell r="B277">
            <v>10.8</v>
          </cell>
          <cell r="C277">
            <v>7</v>
          </cell>
          <cell r="D277">
            <v>31.2</v>
          </cell>
        </row>
        <row r="278">
          <cell r="A278" t="str">
            <v>TORTA COPRA PRESION</v>
          </cell>
          <cell r="B278">
            <v>9.1</v>
          </cell>
          <cell r="C278">
            <v>5.8</v>
          </cell>
          <cell r="D278">
            <v>20.8</v>
          </cell>
        </row>
        <row r="279">
          <cell r="A279" t="str">
            <v>TORTA GIRASOL PRESION 31%PB</v>
          </cell>
          <cell r="B279">
            <v>5.5</v>
          </cell>
          <cell r="C279">
            <v>7</v>
          </cell>
          <cell r="D279">
            <v>31</v>
          </cell>
        </row>
        <row r="280">
          <cell r="A280" t="str">
            <v>TORTA GIRASOL PRESION 34%PB</v>
          </cell>
          <cell r="B280">
            <v>5.2</v>
          </cell>
          <cell r="C280">
            <v>7</v>
          </cell>
          <cell r="D280">
            <v>34</v>
          </cell>
        </row>
        <row r="281">
          <cell r="A281" t="str">
            <v>TORTA LINO PRESION</v>
          </cell>
          <cell r="B281">
            <v>9</v>
          </cell>
          <cell r="C281">
            <v>5.6</v>
          </cell>
          <cell r="D281">
            <v>31.5</v>
          </cell>
        </row>
        <row r="282">
          <cell r="A282" t="str">
            <v>TORTA PALMISTE PRESION</v>
          </cell>
          <cell r="B282">
            <v>8.4</v>
          </cell>
          <cell r="C282">
            <v>4.4000000000000004</v>
          </cell>
          <cell r="D282">
            <v>15.6</v>
          </cell>
        </row>
        <row r="283">
          <cell r="A283" t="str">
            <v>TRIGO BLANDO 10.2 PB</v>
          </cell>
          <cell r="B283">
            <v>11.5</v>
          </cell>
          <cell r="C283">
            <v>1.5</v>
          </cell>
          <cell r="D283">
            <v>10.199999999999999</v>
          </cell>
        </row>
        <row r="284">
          <cell r="A284" t="str">
            <v>TRIGO BLANDO 11.2 PB</v>
          </cell>
          <cell r="B284">
            <v>10.9</v>
          </cell>
          <cell r="C284">
            <v>1.6</v>
          </cell>
          <cell r="D284">
            <v>11.2</v>
          </cell>
        </row>
        <row r="285">
          <cell r="A285" t="str">
            <v>TRIGO BLANDO 12.9 PB</v>
          </cell>
          <cell r="B285">
            <v>10.3</v>
          </cell>
          <cell r="C285">
            <v>1.8</v>
          </cell>
          <cell r="D285">
            <v>12.9</v>
          </cell>
        </row>
        <row r="286">
          <cell r="A286" t="str">
            <v>TRIGO BLANDO INGLES</v>
          </cell>
          <cell r="B286">
            <v>13</v>
          </cell>
          <cell r="C286">
            <v>1.7</v>
          </cell>
          <cell r="D286">
            <v>11</v>
          </cell>
        </row>
        <row r="287">
          <cell r="A287" t="str">
            <v>TRIGO DURO</v>
          </cell>
          <cell r="B287">
            <v>10</v>
          </cell>
          <cell r="C287">
            <v>1.6</v>
          </cell>
          <cell r="D287">
            <v>13.8</v>
          </cell>
        </row>
        <row r="288">
          <cell r="A288" t="str">
            <v>TRIHIDROXICLORURO DICOBRE (TBCC)</v>
          </cell>
          <cell r="B288">
            <v>2</v>
          </cell>
          <cell r="C288" t="str">
            <v>.</v>
          </cell>
          <cell r="D288">
            <v>0</v>
          </cell>
        </row>
        <row r="289">
          <cell r="A289" t="str">
            <v>TRIHIDROXICLORURO DIMANGANESO</v>
          </cell>
          <cell r="B289" t="str">
            <v>.</v>
          </cell>
          <cell r="C289" t="str">
            <v>.</v>
          </cell>
          <cell r="D289">
            <v>0</v>
          </cell>
        </row>
        <row r="290">
          <cell r="A290" t="str">
            <v>TRITICALE</v>
          </cell>
          <cell r="B290">
            <v>10.5</v>
          </cell>
          <cell r="C290">
            <v>1.7</v>
          </cell>
          <cell r="D290">
            <v>10.7</v>
          </cell>
        </row>
        <row r="291">
          <cell r="A291" t="str">
            <v>UREA</v>
          </cell>
          <cell r="B291">
            <v>1</v>
          </cell>
          <cell r="C291">
            <v>0.7</v>
          </cell>
          <cell r="D291">
            <v>287.5</v>
          </cell>
        </row>
        <row r="292">
          <cell r="A292" t="str">
            <v>VEZA COMUN</v>
          </cell>
          <cell r="B292">
            <v>10</v>
          </cell>
          <cell r="C292">
            <v>3.5</v>
          </cell>
          <cell r="D292">
            <v>26.5</v>
          </cell>
        </row>
        <row r="293">
          <cell r="A293" t="str">
            <v>VINAZAS REMOLACHA</v>
          </cell>
          <cell r="B293">
            <v>47</v>
          </cell>
          <cell r="C293">
            <v>17.600000000000001</v>
          </cell>
          <cell r="D293">
            <v>17.899999999999999</v>
          </cell>
        </row>
        <row r="294">
          <cell r="A294" t="str">
            <v>YELLOW GREASE</v>
          </cell>
          <cell r="B294">
            <v>0</v>
          </cell>
          <cell r="C294">
            <v>0</v>
          </cell>
          <cell r="D294">
            <v>0</v>
          </cell>
        </row>
        <row r="295">
          <cell r="A295" t="str">
            <v>YEROS</v>
          </cell>
          <cell r="B295">
            <v>8.4</v>
          </cell>
          <cell r="C295">
            <v>3.2</v>
          </cell>
          <cell r="D295">
            <v>22</v>
          </cell>
        </row>
        <row r="296">
          <cell r="A296" t="str">
            <v>CEBADA PROMEDIO</v>
          </cell>
          <cell r="B296">
            <v>10.6</v>
          </cell>
          <cell r="C296">
            <v>2.2000000000000002</v>
          </cell>
          <cell r="D296">
            <v>10.45</v>
          </cell>
        </row>
        <row r="297">
          <cell r="A297" t="str">
            <v>HNA COLZA PROMEDIO</v>
          </cell>
          <cell r="B297">
            <v>11.55</v>
          </cell>
          <cell r="C297">
            <v>6.85</v>
          </cell>
          <cell r="D297">
            <v>34.5</v>
          </cell>
        </row>
        <row r="298">
          <cell r="A298" t="str">
            <v>SUERO PROMEDIO</v>
          </cell>
          <cell r="B298">
            <v>4.5333333333333332</v>
          </cell>
          <cell r="C298">
            <v>14.6</v>
          </cell>
          <cell r="D298">
            <v>17.149999999999999</v>
          </cell>
        </row>
        <row r="299">
          <cell r="A299" t="str">
            <v>MAIZ PROMEDIO</v>
          </cell>
          <cell r="B299">
            <v>13.733333333333334</v>
          </cell>
          <cell r="C299">
            <v>1.1666666666666667</v>
          </cell>
          <cell r="D299">
            <v>7.666666666666667</v>
          </cell>
        </row>
        <row r="300">
          <cell r="A300" t="str">
            <v>TRIGO BLANDO PROMEDIO</v>
          </cell>
          <cell r="B300">
            <v>11.425000000000001</v>
          </cell>
          <cell r="C300">
            <v>1.6500000000000001</v>
          </cell>
          <cell r="D300">
            <v>11.324999999999999</v>
          </cell>
        </row>
        <row r="301">
          <cell r="A301" t="str">
            <v>TRIGO BLANDO NO INGLES PROMEDIO</v>
          </cell>
          <cell r="B301">
            <v>10.9</v>
          </cell>
          <cell r="C301">
            <v>1.6333333333333335</v>
          </cell>
          <cell r="D301">
            <v>11.433333333333332</v>
          </cell>
        </row>
        <row r="302">
          <cell r="A302" t="str">
            <v>DDGS MAIZ PROMEDIO</v>
          </cell>
          <cell r="B302">
            <v>10.266666666666666</v>
          </cell>
          <cell r="C302">
            <v>4.3666666666666663</v>
          </cell>
          <cell r="D302">
            <v>27.633333333333336</v>
          </cell>
        </row>
        <row r="303">
          <cell r="A303" t="str">
            <v>PULPA REMOLACHA PROMEDIO</v>
          </cell>
          <cell r="B303">
            <v>10.7</v>
          </cell>
          <cell r="C303">
            <v>5.75</v>
          </cell>
          <cell r="D303">
            <v>8.25</v>
          </cell>
        </row>
        <row r="304">
          <cell r="A304" t="str">
            <v>PESCADO PROMEDIO</v>
          </cell>
          <cell r="B304">
            <v>7.5</v>
          </cell>
          <cell r="C304">
            <v>16.899999999999999</v>
          </cell>
          <cell r="D304">
            <v>64.45</v>
          </cell>
        </row>
        <row r="305">
          <cell r="A305" t="str">
            <v>CARNE PROMEDIO</v>
          </cell>
          <cell r="B305">
            <v>4.7</v>
          </cell>
          <cell r="C305">
            <v>23.720000000000002</v>
          </cell>
          <cell r="D305">
            <v>53.339999999999996</v>
          </cell>
        </row>
        <row r="306">
          <cell r="A306" t="str">
            <v>CLORURO COLINA PROMEDIO</v>
          </cell>
          <cell r="B306">
            <v>10.375</v>
          </cell>
          <cell r="C306" t="e">
            <v>#DIV/0!</v>
          </cell>
          <cell r="D306">
            <v>0</v>
          </cell>
        </row>
        <row r="307">
          <cell r="A307" t="str">
            <v>ACIDO PROMEDIO</v>
          </cell>
          <cell r="B307" t="e">
            <v>#DIV/0!</v>
          </cell>
          <cell r="C307" t="e">
            <v>#DIV/0!</v>
          </cell>
          <cell r="D307">
            <v>0</v>
          </cell>
        </row>
      </sheetData>
      <sheetData sheetId="2"/>
      <sheetData sheetId="3"/>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efs"/>
      <sheetName val="Sources"/>
      <sheetName val="Conversores_Dieta"/>
      <sheetName val="Nutrients_energy"/>
    </sheetNames>
    <sheetDataSet>
      <sheetData sheetId="0">
        <row r="3">
          <cell r="A3">
            <v>75</v>
          </cell>
          <cell r="B3" t="str">
            <v>Oats</v>
          </cell>
        </row>
        <row r="4">
          <cell r="A4">
            <v>44</v>
          </cell>
          <cell r="B4" t="str">
            <v>Barley</v>
          </cell>
        </row>
        <row r="5">
          <cell r="A5">
            <v>27</v>
          </cell>
          <cell r="B5" t="str">
            <v>Rice</v>
          </cell>
        </row>
        <row r="6">
          <cell r="A6">
            <v>79</v>
          </cell>
          <cell r="B6" t="str">
            <v>Millet</v>
          </cell>
        </row>
        <row r="7">
          <cell r="A7">
            <v>71</v>
          </cell>
          <cell r="B7" t="str">
            <v>Rye</v>
          </cell>
        </row>
        <row r="8">
          <cell r="A8">
            <v>83</v>
          </cell>
          <cell r="B8" t="str">
            <v>Sorghum</v>
          </cell>
        </row>
        <row r="9">
          <cell r="A9">
            <v>15</v>
          </cell>
          <cell r="B9" t="str">
            <v>Wheat</v>
          </cell>
        </row>
        <row r="10">
          <cell r="A10">
            <v>56</v>
          </cell>
          <cell r="B10" t="str">
            <v>Maize</v>
          </cell>
        </row>
        <row r="11">
          <cell r="B11" t="str">
            <v>Winter cereals, other</v>
          </cell>
        </row>
        <row r="12">
          <cell r="B12" t="str">
            <v>Summer cereals, other</v>
          </cell>
        </row>
        <row r="13">
          <cell r="A13">
            <v>97</v>
          </cell>
          <cell r="B13" t="str">
            <v>Triticale</v>
          </cell>
        </row>
        <row r="14">
          <cell r="A14">
            <v>101</v>
          </cell>
          <cell r="B14" t="str">
            <v>Canary grass</v>
          </cell>
        </row>
        <row r="15">
          <cell r="A15">
            <v>108</v>
          </cell>
          <cell r="B15" t="str">
            <v>Cereals nes</v>
          </cell>
        </row>
        <row r="16">
          <cell r="A16">
            <v>103</v>
          </cell>
          <cell r="B16" t="str">
            <v>Grain, mixed</v>
          </cell>
        </row>
        <row r="17">
          <cell r="A17" t="str">
            <v>OLD</v>
          </cell>
          <cell r="B17" t="str">
            <v>Oats old</v>
          </cell>
        </row>
        <row r="18">
          <cell r="A18" t="str">
            <v>OLD</v>
          </cell>
          <cell r="B18" t="str">
            <v>Barley old</v>
          </cell>
        </row>
        <row r="19">
          <cell r="A19" t="str">
            <v>OLD</v>
          </cell>
          <cell r="B19" t="str">
            <v>Rice old</v>
          </cell>
        </row>
        <row r="20">
          <cell r="A20" t="str">
            <v>OLD</v>
          </cell>
          <cell r="B20" t="str">
            <v>Wheat old</v>
          </cell>
        </row>
        <row r="21">
          <cell r="A21" t="str">
            <v>OLD</v>
          </cell>
          <cell r="B21" t="str">
            <v>Maize old</v>
          </cell>
        </row>
        <row r="22">
          <cell r="B22" t="str">
            <v>Straw</v>
          </cell>
        </row>
        <row r="23">
          <cell r="B23" t="str">
            <v>Other crop residues</v>
          </cell>
        </row>
        <row r="24">
          <cell r="A24">
            <v>242</v>
          </cell>
          <cell r="B24" t="str">
            <v>Groundnuts, with shell</v>
          </cell>
        </row>
        <row r="25">
          <cell r="A25">
            <v>191</v>
          </cell>
          <cell r="B25" t="str">
            <v>Chickpea</v>
          </cell>
        </row>
        <row r="26">
          <cell r="A26">
            <v>236</v>
          </cell>
          <cell r="B26" t="str">
            <v>Soyabeans</v>
          </cell>
        </row>
        <row r="27">
          <cell r="A27">
            <v>201</v>
          </cell>
          <cell r="B27" t="str">
            <v>Lentils</v>
          </cell>
        </row>
        <row r="28">
          <cell r="A28">
            <v>210</v>
          </cell>
          <cell r="B28" t="str">
            <v>Lupin</v>
          </cell>
        </row>
        <row r="29">
          <cell r="A29">
            <v>187</v>
          </cell>
          <cell r="B29" t="str">
            <v>Pea</v>
          </cell>
        </row>
        <row r="30">
          <cell r="A30">
            <v>181</v>
          </cell>
          <cell r="B30" t="str">
            <v>Fava bean</v>
          </cell>
        </row>
        <row r="31">
          <cell r="A31">
            <v>205</v>
          </cell>
          <cell r="B31" t="str">
            <v>Vetch</v>
          </cell>
        </row>
        <row r="32">
          <cell r="A32">
            <v>176</v>
          </cell>
          <cell r="B32" t="str">
            <v>Beans</v>
          </cell>
        </row>
        <row r="33">
          <cell r="A33">
            <v>211</v>
          </cell>
          <cell r="B33" t="str">
            <v>Pulses nes</v>
          </cell>
        </row>
        <row r="34">
          <cell r="B34" t="str">
            <v>Tigernuts</v>
          </cell>
        </row>
        <row r="35">
          <cell r="A35">
            <v>122</v>
          </cell>
          <cell r="B35" t="str">
            <v>Sweet potato</v>
          </cell>
        </row>
        <row r="36">
          <cell r="A36">
            <v>116</v>
          </cell>
          <cell r="B36" t="str">
            <v>Potato</v>
          </cell>
        </row>
        <row r="37">
          <cell r="B37" t="str">
            <v>Cassava</v>
          </cell>
        </row>
        <row r="38">
          <cell r="A38">
            <v>149</v>
          </cell>
          <cell r="B38" t="str">
            <v>Roots, other</v>
          </cell>
        </row>
        <row r="39">
          <cell r="B39" t="str">
            <v>Roots, dry equivalent</v>
          </cell>
        </row>
        <row r="40">
          <cell r="A40">
            <v>407</v>
          </cell>
          <cell r="B40" t="str">
            <v>Leek</v>
          </cell>
        </row>
        <row r="41">
          <cell r="A41">
            <v>403</v>
          </cell>
          <cell r="B41" t="str">
            <v>Onion</v>
          </cell>
        </row>
        <row r="42">
          <cell r="A42">
            <v>406</v>
          </cell>
          <cell r="B42" t="str">
            <v>Garlic</v>
          </cell>
        </row>
        <row r="43">
          <cell r="B43" t="str">
            <v>Celery</v>
          </cell>
        </row>
        <row r="44">
          <cell r="A44">
            <v>367</v>
          </cell>
          <cell r="B44" t="str">
            <v>Asparagus</v>
          </cell>
        </row>
        <row r="45">
          <cell r="B45" t="str">
            <v>Beet</v>
          </cell>
        </row>
        <row r="46">
          <cell r="B46" t="str">
            <v>Chard</v>
          </cell>
        </row>
        <row r="47">
          <cell r="B47" t="str">
            <v>Borage</v>
          </cell>
        </row>
        <row r="48">
          <cell r="A48">
            <v>358</v>
          </cell>
          <cell r="B48" t="str">
            <v>Cabbage, Broccoli</v>
          </cell>
        </row>
        <row r="49">
          <cell r="A49">
            <v>393</v>
          </cell>
          <cell r="B49" t="str">
            <v>Cauliflower</v>
          </cell>
        </row>
        <row r="50">
          <cell r="B50" t="str">
            <v>Turnip</v>
          </cell>
        </row>
        <row r="51">
          <cell r="A51">
            <v>401</v>
          </cell>
          <cell r="B51" t="str">
            <v>Chili pepper</v>
          </cell>
        </row>
        <row r="52">
          <cell r="A52">
            <v>689</v>
          </cell>
          <cell r="B52" t="str">
            <v>Chili pepper and peppers, dry</v>
          </cell>
        </row>
        <row r="53">
          <cell r="B53" t="str">
            <v>Pepper</v>
          </cell>
        </row>
        <row r="54">
          <cell r="B54" t="str">
            <v>Endive</v>
          </cell>
        </row>
        <row r="55">
          <cell r="A55">
            <v>459</v>
          </cell>
          <cell r="B55" t="str">
            <v>Chicory roots</v>
          </cell>
        </row>
        <row r="56">
          <cell r="B56" t="str">
            <v>Belgian endive</v>
          </cell>
        </row>
        <row r="57">
          <cell r="A57">
            <v>567</v>
          </cell>
          <cell r="B57" t="str">
            <v>Watermelon</v>
          </cell>
        </row>
        <row r="58">
          <cell r="A58">
            <v>568</v>
          </cell>
          <cell r="B58" t="str">
            <v>Melon</v>
          </cell>
        </row>
        <row r="59">
          <cell r="B59" t="str">
            <v>cultivar for pickled cucumber, gherkins</v>
          </cell>
        </row>
        <row r="60">
          <cell r="A60">
            <v>397</v>
          </cell>
          <cell r="B60" t="str">
            <v>Cucumber</v>
          </cell>
        </row>
        <row r="61">
          <cell r="A61">
            <v>394</v>
          </cell>
          <cell r="B61" t="str">
            <v>Squash, pumpkin</v>
          </cell>
        </row>
        <row r="62">
          <cell r="B62" t="str">
            <v>Zucchini</v>
          </cell>
        </row>
        <row r="63">
          <cell r="B63" t="str">
            <v>Artichoke thistle</v>
          </cell>
        </row>
        <row r="64">
          <cell r="A64">
            <v>366</v>
          </cell>
          <cell r="B64" t="str">
            <v>Artichoke</v>
          </cell>
        </row>
        <row r="65">
          <cell r="A65">
            <v>426</v>
          </cell>
          <cell r="B65" t="str">
            <v>Carrot</v>
          </cell>
        </row>
        <row r="66">
          <cell r="A66">
            <v>544</v>
          </cell>
          <cell r="B66" t="str">
            <v>Strawberry</v>
          </cell>
        </row>
        <row r="67">
          <cell r="A67">
            <v>372</v>
          </cell>
          <cell r="B67" t="str">
            <v>Lettuce</v>
          </cell>
        </row>
        <row r="68">
          <cell r="A68">
            <v>748</v>
          </cell>
          <cell r="B68" t="str">
            <v>Peppermint</v>
          </cell>
        </row>
        <row r="69">
          <cell r="B69" t="str">
            <v>Parsley</v>
          </cell>
        </row>
        <row r="70">
          <cell r="A70">
            <v>414</v>
          </cell>
          <cell r="B70" t="str">
            <v>Beans, green</v>
          </cell>
        </row>
        <row r="71">
          <cell r="A71">
            <v>417</v>
          </cell>
          <cell r="B71" t="str">
            <v>Pea, green, with pod</v>
          </cell>
        </row>
        <row r="72">
          <cell r="B72" t="str">
            <v>Radish</v>
          </cell>
        </row>
        <row r="73">
          <cell r="A73">
            <v>388</v>
          </cell>
          <cell r="B73" t="str">
            <v>Tomato</v>
          </cell>
        </row>
        <row r="74">
          <cell r="A74">
            <v>399</v>
          </cell>
          <cell r="B74" t="str">
            <v>Aubergine</v>
          </cell>
        </row>
        <row r="75">
          <cell r="A75">
            <v>373</v>
          </cell>
          <cell r="B75" t="str">
            <v>Spinach</v>
          </cell>
        </row>
        <row r="76">
          <cell r="B76" t="str">
            <v>Fava bean, green, without pod</v>
          </cell>
        </row>
        <row r="77">
          <cell r="A77">
            <v>401</v>
          </cell>
          <cell r="B77" t="str">
            <v>Onions, shallots, green</v>
          </cell>
        </row>
        <row r="78">
          <cell r="A78">
            <v>420</v>
          </cell>
          <cell r="B78" t="str">
            <v>Vegetables, leguminous nes</v>
          </cell>
        </row>
        <row r="79">
          <cell r="A79">
            <v>463</v>
          </cell>
          <cell r="B79" t="str">
            <v>Vegetables, other</v>
          </cell>
        </row>
        <row r="80">
          <cell r="B80" t="str">
            <v>Industrial crops</v>
          </cell>
        </row>
        <row r="81">
          <cell r="A81">
            <v>157</v>
          </cell>
          <cell r="B81" t="str">
            <v>Sugar beet</v>
          </cell>
        </row>
        <row r="82">
          <cell r="A82">
            <v>270</v>
          </cell>
          <cell r="B82" t="str">
            <v>Rape</v>
          </cell>
        </row>
        <row r="83">
          <cell r="B83" t="str">
            <v>Mustard</v>
          </cell>
        </row>
        <row r="84">
          <cell r="A84">
            <v>777</v>
          </cell>
          <cell r="B84" t="str">
            <v>Hemp</v>
          </cell>
        </row>
        <row r="85">
          <cell r="B85" t="str">
            <v>Caper</v>
          </cell>
        </row>
        <row r="86">
          <cell r="A86">
            <v>280</v>
          </cell>
          <cell r="B86" t="str">
            <v>Safflower</v>
          </cell>
        </row>
        <row r="87">
          <cell r="B87" t="str">
            <v>Saffron</v>
          </cell>
        </row>
        <row r="88">
          <cell r="B88" t="str">
            <v>Cumin</v>
          </cell>
        </row>
        <row r="89">
          <cell r="A89">
            <v>767</v>
          </cell>
          <cell r="B89" t="str">
            <v>Cotton fiber</v>
          </cell>
        </row>
        <row r="90">
          <cell r="A90">
            <v>329</v>
          </cell>
          <cell r="B90" t="str">
            <v>Cottonseed</v>
          </cell>
        </row>
        <row r="91">
          <cell r="A91">
            <v>328</v>
          </cell>
          <cell r="B91" t="str">
            <v>Seed cotton</v>
          </cell>
        </row>
        <row r="92">
          <cell r="A92">
            <v>267</v>
          </cell>
          <cell r="B92" t="str">
            <v>Sunflower seed</v>
          </cell>
        </row>
        <row r="93">
          <cell r="A93">
            <v>677</v>
          </cell>
          <cell r="B93" t="str">
            <v>Hop</v>
          </cell>
        </row>
        <row r="94">
          <cell r="A94">
            <v>333</v>
          </cell>
          <cell r="B94" t="str">
            <v>Linseed</v>
          </cell>
        </row>
        <row r="95">
          <cell r="A95">
            <v>826</v>
          </cell>
          <cell r="B95" t="str">
            <v>Tobacco</v>
          </cell>
        </row>
        <row r="96">
          <cell r="A96">
            <v>711</v>
          </cell>
          <cell r="B96" t="str">
            <v>Anise</v>
          </cell>
        </row>
        <row r="97">
          <cell r="B97" t="str">
            <v>Castor oil plant</v>
          </cell>
        </row>
        <row r="98">
          <cell r="B98" t="str">
            <v>Sumac</v>
          </cell>
        </row>
        <row r="99">
          <cell r="A99">
            <v>156</v>
          </cell>
          <cell r="B99" t="str">
            <v>Sugarcane</v>
          </cell>
        </row>
        <row r="100">
          <cell r="B100" t="str">
            <v>Rubber</v>
          </cell>
        </row>
        <row r="101">
          <cell r="B101" t="str">
            <v>Tea</v>
          </cell>
        </row>
        <row r="102">
          <cell r="A102">
            <v>296</v>
          </cell>
          <cell r="B102" t="str">
            <v>Poppy seeds</v>
          </cell>
        </row>
        <row r="103">
          <cell r="A103">
            <v>782</v>
          </cell>
          <cell r="B103" t="str">
            <v>Bastfibres, other</v>
          </cell>
        </row>
        <row r="104">
          <cell r="A104">
            <v>773</v>
          </cell>
          <cell r="B104" t="str">
            <v>Flax fibre and tow</v>
          </cell>
        </row>
        <row r="105">
          <cell r="B105" t="str">
            <v>Fibres, other</v>
          </cell>
        </row>
        <row r="106">
          <cell r="A106">
            <v>723</v>
          </cell>
          <cell r="B106" t="str">
            <v>Spices, Other</v>
          </cell>
        </row>
        <row r="107">
          <cell r="B107" t="str">
            <v>Oilcrops, other</v>
          </cell>
        </row>
        <row r="108">
          <cell r="A108">
            <v>336</v>
          </cell>
          <cell r="B108" t="str">
            <v>Hemp seed</v>
          </cell>
        </row>
        <row r="109">
          <cell r="A109">
            <v>449</v>
          </cell>
          <cell r="B109" t="str">
            <v>Mushrooms</v>
          </cell>
        </row>
        <row r="110">
          <cell r="A110">
            <v>754</v>
          </cell>
          <cell r="B110" t="str">
            <v>Pyrethrum, dried</v>
          </cell>
        </row>
        <row r="111">
          <cell r="B111" t="str">
            <v>Giant reed</v>
          </cell>
        </row>
        <row r="112">
          <cell r="B112" t="str">
            <v>Esparto grass</v>
          </cell>
        </row>
        <row r="113">
          <cell r="B113" t="str">
            <v>Crack willow</v>
          </cell>
        </row>
        <row r="114">
          <cell r="B114" t="str">
            <v>Flowers</v>
          </cell>
        </row>
        <row r="115">
          <cell r="B115" t="str">
            <v>Other crops</v>
          </cell>
        </row>
        <row r="116">
          <cell r="B116" t="str">
            <v>Cocoa beans</v>
          </cell>
        </row>
        <row r="117">
          <cell r="A117">
            <v>656</v>
          </cell>
          <cell r="B117" t="str">
            <v>Coffee</v>
          </cell>
        </row>
        <row r="118">
          <cell r="B118" t="str">
            <v>Coconut</v>
          </cell>
        </row>
        <row r="119">
          <cell r="B119" t="str">
            <v>Pineapple</v>
          </cell>
        </row>
        <row r="120">
          <cell r="A120">
            <v>577</v>
          </cell>
          <cell r="B120" t="str">
            <v>Dates</v>
          </cell>
        </row>
        <row r="121">
          <cell r="A121">
            <v>461</v>
          </cell>
          <cell r="B121" t="str">
            <v>Carob</v>
          </cell>
        </row>
        <row r="122">
          <cell r="A122">
            <v>592</v>
          </cell>
          <cell r="B122" t="str">
            <v>Kiwifruit</v>
          </cell>
        </row>
        <row r="123">
          <cell r="B123" t="str">
            <v>Papaya</v>
          </cell>
        </row>
        <row r="124">
          <cell r="A124">
            <v>495</v>
          </cell>
          <cell r="B124" t="str">
            <v>Mandarin</v>
          </cell>
        </row>
        <row r="125">
          <cell r="A125">
            <v>497</v>
          </cell>
          <cell r="B125" t="str">
            <v>Lemon</v>
          </cell>
        </row>
        <row r="126">
          <cell r="A126">
            <v>490</v>
          </cell>
          <cell r="B126" t="str">
            <v>Orange</v>
          </cell>
        </row>
        <row r="127">
          <cell r="A127">
            <v>225</v>
          </cell>
          <cell r="B127" t="str">
            <v>Hazelnut</v>
          </cell>
        </row>
        <row r="128">
          <cell r="B128" t="str">
            <v>Oil palm</v>
          </cell>
        </row>
        <row r="129">
          <cell r="A129">
            <v>569</v>
          </cell>
          <cell r="B129" t="str">
            <v>Figs</v>
          </cell>
        </row>
        <row r="130">
          <cell r="A130">
            <v>222</v>
          </cell>
          <cell r="B130" t="str">
            <v>Walnut</v>
          </cell>
        </row>
        <row r="131">
          <cell r="A131">
            <v>220</v>
          </cell>
          <cell r="B131" t="str">
            <v>Chestnut</v>
          </cell>
        </row>
        <row r="132">
          <cell r="A132">
            <v>515</v>
          </cell>
          <cell r="B132" t="str">
            <v>Apple</v>
          </cell>
        </row>
        <row r="133">
          <cell r="A133">
            <v>486</v>
          </cell>
          <cell r="B133" t="str">
            <v>Bananas, platains</v>
          </cell>
        </row>
        <row r="134">
          <cell r="A134">
            <v>260</v>
          </cell>
          <cell r="B134" t="str">
            <v>Olive</v>
          </cell>
        </row>
        <row r="135">
          <cell r="A135">
            <v>572</v>
          </cell>
          <cell r="B135" t="str">
            <v>Avocado</v>
          </cell>
        </row>
        <row r="136">
          <cell r="A136">
            <v>223</v>
          </cell>
          <cell r="B136" t="str">
            <v>Pistachios</v>
          </cell>
        </row>
        <row r="137">
          <cell r="A137">
            <v>526</v>
          </cell>
          <cell r="B137" t="str">
            <v>Apricot</v>
          </cell>
        </row>
        <row r="138">
          <cell r="A138">
            <v>531</v>
          </cell>
          <cell r="B138" t="str">
            <v>Cherries</v>
          </cell>
        </row>
        <row r="139">
          <cell r="A139">
            <v>221</v>
          </cell>
          <cell r="B139" t="str">
            <v>Almonds</v>
          </cell>
        </row>
        <row r="140">
          <cell r="A140">
            <v>534</v>
          </cell>
          <cell r="B140" t="str">
            <v>Peach</v>
          </cell>
        </row>
        <row r="141">
          <cell r="B141" t="str">
            <v>Pomegranate</v>
          </cell>
        </row>
        <row r="142">
          <cell r="A142">
            <v>521</v>
          </cell>
          <cell r="B142" t="str">
            <v>Pear</v>
          </cell>
        </row>
        <row r="143">
          <cell r="A143">
            <v>536</v>
          </cell>
          <cell r="B143" t="str">
            <v>Plum</v>
          </cell>
        </row>
        <row r="144">
          <cell r="B144" t="str">
            <v>Holm oak</v>
          </cell>
        </row>
        <row r="145">
          <cell r="A145">
            <v>560</v>
          </cell>
          <cell r="B145" t="str">
            <v>Grapevine</v>
          </cell>
        </row>
        <row r="146">
          <cell r="A146">
            <v>512</v>
          </cell>
          <cell r="B146" t="str">
            <v>Citrus</v>
          </cell>
        </row>
        <row r="147">
          <cell r="A147">
            <v>234</v>
          </cell>
          <cell r="B147" t="str">
            <v>Nuts nes</v>
          </cell>
        </row>
        <row r="148">
          <cell r="A148">
            <v>619</v>
          </cell>
          <cell r="B148" t="str">
            <v>Fruits</v>
          </cell>
        </row>
        <row r="149">
          <cell r="A149">
            <v>507</v>
          </cell>
          <cell r="B149" t="str">
            <v>Grapefruit</v>
          </cell>
        </row>
        <row r="150">
          <cell r="A150">
            <v>523</v>
          </cell>
          <cell r="B150" t="str">
            <v>Quince</v>
          </cell>
        </row>
        <row r="151">
          <cell r="A151">
            <v>530</v>
          </cell>
          <cell r="B151" t="str">
            <v>Cherries, sour</v>
          </cell>
        </row>
        <row r="152">
          <cell r="A152">
            <v>603</v>
          </cell>
          <cell r="B152" t="str">
            <v>Fruit, tropical fresh nes</v>
          </cell>
        </row>
        <row r="153">
          <cell r="A153">
            <v>552</v>
          </cell>
          <cell r="B153" t="str">
            <v>Blueberries</v>
          </cell>
        </row>
        <row r="154">
          <cell r="A154">
            <v>554</v>
          </cell>
          <cell r="B154" t="str">
            <v>Cranberries</v>
          </cell>
        </row>
        <row r="155">
          <cell r="A155">
            <v>558</v>
          </cell>
          <cell r="B155" t="str">
            <v>Berries nes</v>
          </cell>
        </row>
        <row r="156">
          <cell r="A156">
            <v>550</v>
          </cell>
          <cell r="B156" t="str">
            <v>Currants</v>
          </cell>
        </row>
        <row r="157">
          <cell r="A157">
            <v>549</v>
          </cell>
          <cell r="B157" t="str">
            <v>Gooseberries</v>
          </cell>
        </row>
        <row r="158">
          <cell r="A158">
            <v>587</v>
          </cell>
          <cell r="B158" t="str">
            <v>Persimmon</v>
          </cell>
          <cell r="D158" t="str">
            <v>Fruits</v>
          </cell>
        </row>
        <row r="159">
          <cell r="A159">
            <v>547</v>
          </cell>
          <cell r="B159" t="str">
            <v>Raspberries</v>
          </cell>
        </row>
        <row r="160">
          <cell r="B160" t="str">
            <v>Prickly pears</v>
          </cell>
        </row>
        <row r="161">
          <cell r="B161" t="str">
            <v>European beech</v>
          </cell>
        </row>
        <row r="162">
          <cell r="B162" t="str">
            <v>Spruce</v>
          </cell>
        </row>
        <row r="163">
          <cell r="B163" t="str">
            <v>Poplar</v>
          </cell>
        </row>
        <row r="164">
          <cell r="B164" t="str">
            <v>Willow, Sallow</v>
          </cell>
        </row>
        <row r="165">
          <cell r="B165" t="str">
            <v>Eucalyptus</v>
          </cell>
        </row>
        <row r="166">
          <cell r="B166" t="str">
            <v>Conifers</v>
          </cell>
        </row>
        <row r="167">
          <cell r="B167" t="str">
            <v>Bark (conifers)</v>
          </cell>
        </row>
        <row r="168">
          <cell r="B168" t="str">
            <v>Bark (broad-leaved tree)</v>
          </cell>
        </row>
        <row r="169">
          <cell r="B169" t="str">
            <v>Broad-leaved tree</v>
          </cell>
        </row>
        <row r="170">
          <cell r="B170" t="str">
            <v>Temperate wood</v>
          </cell>
        </row>
        <row r="171">
          <cell r="B171" t="str">
            <v>Tropical wood</v>
          </cell>
        </row>
        <row r="172">
          <cell r="B172" t="str">
            <v>Average wood</v>
          </cell>
        </row>
        <row r="173">
          <cell r="B173" t="str">
            <v>Holm oak forest</v>
          </cell>
        </row>
        <row r="174">
          <cell r="B174" t="str">
            <v>Mediterranean shrubland</v>
          </cell>
        </row>
        <row r="175">
          <cell r="B175" t="str">
            <v>Shrubland</v>
          </cell>
        </row>
        <row r="176">
          <cell r="B176" t="str">
            <v>Savanna</v>
          </cell>
        </row>
        <row r="177">
          <cell r="B177" t="str">
            <v>Paper</v>
          </cell>
        </row>
        <row r="178">
          <cell r="B178" t="str">
            <v>Charcoal</v>
          </cell>
        </row>
        <row r="179">
          <cell r="B179" t="str">
            <v>Oats, green</v>
          </cell>
        </row>
        <row r="180">
          <cell r="A180" t="str">
            <v>H48</v>
          </cell>
          <cell r="B180" t="str">
            <v>Fodder beet</v>
          </cell>
        </row>
        <row r="181">
          <cell r="B181" t="str">
            <v>Sugar beet, neck</v>
          </cell>
        </row>
        <row r="182">
          <cell r="A182" t="str">
            <v>H50</v>
          </cell>
          <cell r="B182" t="str">
            <v>Turnip, for fodder</v>
          </cell>
        </row>
        <row r="183">
          <cell r="A183" t="str">
            <v>H46</v>
          </cell>
          <cell r="B183" t="str">
            <v>Fodder cabbage</v>
          </cell>
        </row>
        <row r="184">
          <cell r="A184" t="str">
            <v>H47</v>
          </cell>
          <cell r="B184" t="str">
            <v>Squash, for fodder</v>
          </cell>
        </row>
        <row r="185">
          <cell r="B185" t="str">
            <v>Artichoke thistle, for fodder</v>
          </cell>
        </row>
        <row r="186">
          <cell r="A186" t="str">
            <v>H49</v>
          </cell>
          <cell r="B186" t="str">
            <v>Carrot, for fodder</v>
          </cell>
        </row>
        <row r="187">
          <cell r="A187" t="str">
            <v>H42</v>
          </cell>
          <cell r="B187" t="str">
            <v>French honeysuckle</v>
          </cell>
        </row>
        <row r="188">
          <cell r="B188" t="str">
            <v>Jerusalem artichoke</v>
          </cell>
        </row>
        <row r="189">
          <cell r="B189" t="str">
            <v>Barley, green</v>
          </cell>
        </row>
        <row r="190">
          <cell r="B190" t="str">
            <v>Perennial ryegrass</v>
          </cell>
        </row>
        <row r="191">
          <cell r="B191" t="str">
            <v>Ryegrass</v>
          </cell>
        </row>
        <row r="192">
          <cell r="B192" t="str">
            <v>Tree medick</v>
          </cell>
        </row>
        <row r="193">
          <cell r="A193" t="str">
            <v>H39</v>
          </cell>
          <cell r="B193" t="str">
            <v>Alfalfa</v>
          </cell>
        </row>
        <row r="194">
          <cell r="A194" t="str">
            <v>H41</v>
          </cell>
          <cell r="B194" t="str">
            <v>Common sainfoin</v>
          </cell>
        </row>
        <row r="195">
          <cell r="B195" t="str">
            <v>Pea, green, for fodder</v>
          </cell>
        </row>
        <row r="196">
          <cell r="B196" t="str">
            <v>Rye, green</v>
          </cell>
        </row>
        <row r="197">
          <cell r="A197" t="str">
            <v>H37</v>
          </cell>
          <cell r="B197" t="str">
            <v>Sorghum, green</v>
          </cell>
        </row>
        <row r="198">
          <cell r="B198" t="str">
            <v>Crimson clover, in bloom</v>
          </cell>
        </row>
        <row r="199">
          <cell r="A199" t="str">
            <v>H40</v>
          </cell>
          <cell r="B199" t="str">
            <v>Clover</v>
          </cell>
        </row>
        <row r="200">
          <cell r="B200" t="str">
            <v>Subterranean clover</v>
          </cell>
        </row>
        <row r="201">
          <cell r="B201" t="str">
            <v>Fenugreek, green</v>
          </cell>
        </row>
        <row r="202">
          <cell r="B202" t="str">
            <v>Wheat, green</v>
          </cell>
        </row>
        <row r="203">
          <cell r="B203" t="str">
            <v>Bard vetch/Oneflower vetch, green</v>
          </cell>
        </row>
        <row r="204">
          <cell r="B204" t="str">
            <v>Bitter vetch, green</v>
          </cell>
        </row>
        <row r="205">
          <cell r="B205" t="str">
            <v>Faba bean, Broad bean, green, for fodder</v>
          </cell>
        </row>
        <row r="206">
          <cell r="A206" t="str">
            <v>H43</v>
          </cell>
          <cell r="B206" t="str">
            <v>Vetch, green</v>
          </cell>
        </row>
        <row r="207">
          <cell r="A207" t="str">
            <v>H36</v>
          </cell>
          <cell r="B207" t="str">
            <v>Maize, green</v>
          </cell>
        </row>
        <row r="208">
          <cell r="B208" t="str">
            <v>Brome</v>
          </cell>
        </row>
        <row r="209">
          <cell r="B209" t="str">
            <v>Brome grasses</v>
          </cell>
        </row>
        <row r="210">
          <cell r="B210" t="str">
            <v>Cocksfoot</v>
          </cell>
        </row>
        <row r="211">
          <cell r="B211" t="str">
            <v>Fescue grass</v>
          </cell>
        </row>
        <row r="212">
          <cell r="B212" t="str">
            <v>Alfalfa (mixed cropping)</v>
          </cell>
        </row>
        <row r="213">
          <cell r="B213" t="str">
            <v>Switchgrass</v>
          </cell>
        </row>
        <row r="214">
          <cell r="B214" t="str">
            <v>Cat's-tail</v>
          </cell>
        </row>
        <row r="215">
          <cell r="A215" t="str">
            <v>H38</v>
          </cell>
          <cell r="B215" t="str">
            <v>Other true grasses for fodder</v>
          </cell>
        </row>
        <row r="216">
          <cell r="A216" t="str">
            <v>H44</v>
          </cell>
          <cell r="B216" t="str">
            <v>Other legumes for green fodder</v>
          </cell>
        </row>
        <row r="217">
          <cell r="B217" t="str">
            <v>Other monospecific swards</v>
          </cell>
        </row>
        <row r="218">
          <cell r="B218" t="str">
            <v>Other roots and tubers for fodder</v>
          </cell>
        </row>
        <row r="219">
          <cell r="A219" t="str">
            <v>H51</v>
          </cell>
          <cell r="B219" t="str">
            <v>Fodder, other</v>
          </cell>
        </row>
        <row r="220">
          <cell r="A220" t="str">
            <v>H45</v>
          </cell>
          <cell r="B220" t="str">
            <v>Mixed swards</v>
          </cell>
        </row>
        <row r="221">
          <cell r="A221" t="str">
            <v>H35</v>
          </cell>
          <cell r="B221" t="str">
            <v>Cereals, green</v>
          </cell>
        </row>
        <row r="222">
          <cell r="B222" t="str">
            <v>Cereal-legume mixture</v>
          </cell>
        </row>
        <row r="223">
          <cell r="B223" t="str">
            <v>Grass</v>
          </cell>
        </row>
        <row r="224">
          <cell r="A224">
            <v>118</v>
          </cell>
          <cell r="B224" t="str">
            <v>Fallow</v>
          </cell>
        </row>
        <row r="225">
          <cell r="A225" t="str">
            <v>P01</v>
          </cell>
          <cell r="B225" t="str">
            <v>Meadows</v>
          </cell>
        </row>
        <row r="226">
          <cell r="B226" t="str">
            <v>Temperate grassland</v>
          </cell>
        </row>
        <row r="227">
          <cell r="B227" t="str">
            <v>Tropical/subtropical grassland</v>
          </cell>
        </row>
        <row r="228">
          <cell r="B228" t="str">
            <v>Herbaceous crops</v>
          </cell>
        </row>
        <row r="229">
          <cell r="B229" t="str">
            <v>TRANSFORMED PRODUCTS</v>
          </cell>
        </row>
        <row r="230">
          <cell r="B230" t="str">
            <v>Sugars</v>
          </cell>
        </row>
        <row r="231">
          <cell r="B231" t="str">
            <v>White sugar</v>
          </cell>
        </row>
        <row r="232">
          <cell r="B232" t="str">
            <v>Brown sugar</v>
          </cell>
        </row>
        <row r="233">
          <cell r="B233" t="str">
            <v>Alcohol</v>
          </cell>
        </row>
        <row r="234">
          <cell r="B234" t="str">
            <v>Beer</v>
          </cell>
        </row>
      </sheetData>
      <sheetData sheetId="1"/>
      <sheetData sheetId="2"/>
      <sheetData sheetId="3"/>
    </sheetDataSet>
  </externalBook>
</externalLink>
</file>

<file path=xl/persons/person.xml><?xml version="1.0" encoding="utf-8"?>
<personList xmlns="http://schemas.microsoft.com/office/spreadsheetml/2018/threadedcomments" xmlns:x="http://schemas.openxmlformats.org/spreadsheetml/2006/main">
  <person displayName="Eduardo Aguilera" id="{565EF34C-3611-4571-AF14-E7E3A4996F53}" userId="Eduardo Aguilera" providerId="None"/>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12" dT="2021-09-29T09:16:38.11" personId="{565EF34C-3611-4571-AF14-E7E3A4996F53}" id="{E609524A-DFA6-4131-B060-45EFCC16C6D9}">
    <text>Recalculate based on fat to meat price ratio in cattle!!</text>
  </threadedComment>
</ThreadedComments>
</file>

<file path=xl/threadedComments/threadedComment2.xml><?xml version="1.0" encoding="utf-8"?>
<ThreadedComments xmlns="http://schemas.microsoft.com/office/spreadsheetml/2018/threadedcomments" xmlns:x="http://schemas.openxmlformats.org/spreadsheetml/2006/main">
  <threadedComment ref="C68" dT="2023-04-18T16:18:46.43" personId="{565EF34C-3611-4571-AF14-E7E3A4996F53}" id="{C4155530-3253-49B9-B470-5329BA365E15}">
    <text>0.21. Removed because the item is not in Fabio (CHECK)</text>
  </threadedComment>
  <threadedComment ref="C82" dT="2023-04-18T16:18:46.43" personId="{565EF34C-3611-4571-AF14-E7E3A4996F53}" id="{DE70043B-29ED-4DA6-8DD1-1AD77F75FC31}">
    <text>0.79. Removed because the item is not in Fabio nor in CBS (CHECK)</text>
  </threadedComment>
</ThreadedComments>
</file>

<file path=xl/threadedComments/threadedComment3.xml><?xml version="1.0" encoding="utf-8"?>
<ThreadedComments xmlns="http://schemas.microsoft.com/office/spreadsheetml/2018/threadedcomments" xmlns:x="http://schemas.openxmlformats.org/spreadsheetml/2006/main">
  <threadedComment ref="A143" dT="2023-04-28T18:36:07.39" personId="{565EF34C-3611-4571-AF14-E7E3A4996F53}" id="{E7DD40E7-974D-4F0D-AF6A-D4B04C18424B}">
    <text>I only classify them as vegetables, other but FAO and Fabio classify them both in Vegetables, Other and Fruit, Other</text>
  </threadedComment>
  <threadedComment ref="A144" dT="2023-04-28T18:36:01.18" personId="{565EF34C-3611-4571-AF14-E7E3A4996F53}" id="{6919B334-7CFC-496A-982F-61E4184EFC4D}">
    <text>I only classify them as vegetables, other but FAO and Fabio classify them both in Vegetables, Other and Fruit, Other</text>
  </threadedComment>
</ThreadedComments>
</file>

<file path=xl/threadedComments/threadedComment4.xml><?xml version="1.0" encoding="utf-8"?>
<ThreadedComments xmlns="http://schemas.microsoft.com/office/spreadsheetml/2018/threadedcomments" xmlns:x="http://schemas.openxmlformats.org/spreadsheetml/2006/main">
  <threadedComment ref="H1" dT="2024-06-08T07:17:58.65" personId="{565EF34C-3611-4571-AF14-E7E3A4996F53}" id="{6E9CB6B5-F5CD-4C2A-B825-50E798A5AE85}">
    <text>Feedtype categories of krausmann are adjusted to the digestion capabilities of animals. In particular, "residues" are classified in those that can be eaten by granivores (pigs and poultry) (agroindustry residues, root and veg fodder crops, Other crop residues) and those that can only be eaten by grazers (fibrous fodder crops, Straw)</text>
  </threadedComment>
  <threadedComment ref="I1" dT="2024-06-08T07:17:58.65" personId="{565EF34C-3611-4571-AF14-E7E3A4996F53}" id="{CF700020-B88E-418F-9CA3-D0FFAD868D47}">
    <text>Feedtype categories of krausmann are adjusted to the digestion capabilities of animals. In particular, "residues" are classified in those that can be eaten by granivores (pigs and poultry) (agroindustry residues, root and veg fodder crops, Other crop residues) and those that can only be eaten by grazers (fibrous fodder crops, Straw)</text>
  </threadedComment>
</ThreadedComments>
</file>

<file path=xl/threadedComments/threadedComment5.xml><?xml version="1.0" encoding="utf-8"?>
<ThreadedComments xmlns="http://schemas.microsoft.com/office/spreadsheetml/2018/threadedcomments" xmlns:x="http://schemas.openxmlformats.org/spreadsheetml/2006/main">
  <threadedComment ref="B17" dT="2023-04-10T16:06:42.17" personId="{565EF34C-3611-4571-AF14-E7E3A4996F53}" id="{5B64810D-3F04-4204-9929-4B386AB83696}">
    <text>Arbitrary value</text>
  </threadedComment>
</ThreadedComment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 Id="rId4" Type="http://schemas.microsoft.com/office/2017/10/relationships/threadedComment" Target="../threadedComments/threadedComment2.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 Id="rId4" Type="http://schemas.microsoft.com/office/2017/10/relationships/threadedComment" Target="../threadedComments/threadedComment3.xml"/></Relationships>
</file>

<file path=xl/worksheets/_rels/sheet1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 Id="rId4" Type="http://schemas.microsoft.com/office/2017/10/relationships/threadedComment" Target="../threadedComments/threadedComment4.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34.xml.rels><?xml version="1.0" encoding="UTF-8" standalone="yes"?>
<Relationships xmlns="http://schemas.openxmlformats.org/package/2006/relationships"><Relationship Id="rId1" Type="http://schemas.openxmlformats.org/officeDocument/2006/relationships/hyperlink" Target="https://www.sciencedirect.com/science/article/pii/S0048969717325378" TargetMode="External"/></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47.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A5D08-0292-424A-B10E-896D395D8F5C}">
  <dimension ref="A1:BL246"/>
  <sheetViews>
    <sheetView zoomScale="80" zoomScaleNormal="80" workbookViewId="0">
      <pane xSplit="3" ySplit="1" topLeftCell="D198" activePane="bottomRight" state="frozen"/>
      <selection pane="topRight" activeCell="D1" sqref="D1"/>
      <selection pane="bottomLeft" activeCell="A2" sqref="A2"/>
      <selection pane="bottomRight" activeCell="AC269" sqref="AC269"/>
    </sheetView>
  </sheetViews>
  <sheetFormatPr defaultColWidth="8.77734375" defaultRowHeight="14.4" x14ac:dyDescent="0.3"/>
  <cols>
    <col min="1" max="2" width="8.77734375" style="49"/>
    <col min="3" max="3" width="15.6640625" style="49" customWidth="1"/>
    <col min="4" max="64" width="4.5546875" style="49" customWidth="1"/>
    <col min="65" max="16384" width="8.77734375" style="49"/>
  </cols>
  <sheetData>
    <row r="1" spans="1:64" x14ac:dyDescent="0.3">
      <c r="A1" s="49" t="s">
        <v>5036</v>
      </c>
      <c r="B1" s="49" t="s">
        <v>5035</v>
      </c>
      <c r="C1" s="49" t="s">
        <v>5034</v>
      </c>
      <c r="D1" s="49">
        <v>1961</v>
      </c>
      <c r="E1" s="49">
        <v>1962</v>
      </c>
      <c r="F1" s="49">
        <v>1963</v>
      </c>
      <c r="G1" s="49">
        <v>1964</v>
      </c>
      <c r="H1" s="49">
        <v>1965</v>
      </c>
      <c r="I1" s="49">
        <v>1966</v>
      </c>
      <c r="J1" s="49">
        <v>1967</v>
      </c>
      <c r="K1" s="49">
        <v>1968</v>
      </c>
      <c r="L1" s="49">
        <v>1969</v>
      </c>
      <c r="M1" s="49">
        <v>1970</v>
      </c>
      <c r="N1" s="49">
        <v>1971</v>
      </c>
      <c r="O1" s="49">
        <v>1972</v>
      </c>
      <c r="P1" s="49">
        <v>1973</v>
      </c>
      <c r="Q1" s="49">
        <v>1974</v>
      </c>
      <c r="R1" s="49">
        <v>1975</v>
      </c>
      <c r="S1" s="49">
        <v>1976</v>
      </c>
      <c r="T1" s="49">
        <v>1977</v>
      </c>
      <c r="U1" s="49">
        <v>1978</v>
      </c>
      <c r="V1" s="49">
        <v>1979</v>
      </c>
      <c r="W1" s="49">
        <v>1980</v>
      </c>
      <c r="X1" s="49">
        <v>1981</v>
      </c>
      <c r="Y1" s="49">
        <v>1982</v>
      </c>
      <c r="Z1" s="49">
        <v>1983</v>
      </c>
      <c r="AA1" s="49">
        <v>1984</v>
      </c>
      <c r="AB1" s="49">
        <v>1985</v>
      </c>
      <c r="AC1" s="49">
        <v>1986</v>
      </c>
      <c r="AD1" s="49">
        <v>1987</v>
      </c>
      <c r="AE1" s="49">
        <v>1988</v>
      </c>
      <c r="AF1" s="49">
        <v>1989</v>
      </c>
      <c r="AG1" s="49">
        <v>1990</v>
      </c>
      <c r="AH1" s="49">
        <v>1991</v>
      </c>
      <c r="AI1" s="49">
        <v>1992</v>
      </c>
      <c r="AJ1" s="49">
        <v>1993</v>
      </c>
      <c r="AK1" s="49">
        <v>1994</v>
      </c>
      <c r="AL1" s="49">
        <v>1995</v>
      </c>
      <c r="AM1" s="49">
        <v>1996</v>
      </c>
      <c r="AN1" s="49">
        <v>1997</v>
      </c>
      <c r="AO1" s="49">
        <v>1998</v>
      </c>
      <c r="AP1" s="49">
        <v>1999</v>
      </c>
      <c r="AQ1" s="49">
        <v>2000</v>
      </c>
      <c r="AR1" s="49">
        <v>2001</v>
      </c>
      <c r="AS1" s="49">
        <v>2002</v>
      </c>
      <c r="AT1" s="49">
        <v>2003</v>
      </c>
      <c r="AU1" s="49">
        <v>2004</v>
      </c>
      <c r="AV1" s="49">
        <v>2005</v>
      </c>
      <c r="AW1" s="49">
        <v>2006</v>
      </c>
      <c r="AX1" s="49">
        <v>2007</v>
      </c>
      <c r="AY1" s="49">
        <v>2008</v>
      </c>
      <c r="AZ1" s="49">
        <v>2009</v>
      </c>
      <c r="BA1" s="49">
        <v>2010</v>
      </c>
      <c r="BB1" s="49">
        <v>2011</v>
      </c>
      <c r="BC1" s="49">
        <v>2012</v>
      </c>
      <c r="BD1" s="49">
        <v>2013</v>
      </c>
      <c r="BE1" s="49">
        <v>2014</v>
      </c>
      <c r="BF1" s="49">
        <v>2015</v>
      </c>
      <c r="BG1" s="49">
        <v>2016</v>
      </c>
      <c r="BH1" s="49">
        <v>2017</v>
      </c>
      <c r="BI1" s="49">
        <v>2018</v>
      </c>
      <c r="BJ1" s="49">
        <v>2019</v>
      </c>
      <c r="BK1" s="49">
        <v>2020</v>
      </c>
      <c r="BL1" s="49">
        <v>2021</v>
      </c>
    </row>
    <row r="2" spans="1:64" x14ac:dyDescent="0.3">
      <c r="A2" s="49">
        <v>1</v>
      </c>
      <c r="B2" s="49" t="s">
        <v>5033</v>
      </c>
      <c r="C2" s="49" t="s">
        <v>106</v>
      </c>
      <c r="AI2" s="49">
        <v>0.55880399999999997</v>
      </c>
      <c r="AJ2" s="49">
        <v>0.58231599999999994</v>
      </c>
      <c r="AK2" s="49">
        <v>0.54920400000000003</v>
      </c>
      <c r="AL2" s="49">
        <v>0.49712400000000001</v>
      </c>
      <c r="AM2" s="49">
        <v>0.55965699999999996</v>
      </c>
      <c r="AN2" s="49">
        <v>0.57303400000000004</v>
      </c>
      <c r="AO2" s="49">
        <v>0.54973399999999994</v>
      </c>
      <c r="AP2" s="49">
        <v>0.51456900000000005</v>
      </c>
      <c r="AQ2" s="49">
        <v>0.50254399999999999</v>
      </c>
      <c r="AR2" s="49">
        <v>0.57066600000000001</v>
      </c>
      <c r="AS2" s="49">
        <v>0.55121500000000001</v>
      </c>
      <c r="AT2" s="49">
        <v>0.57891999999999999</v>
      </c>
      <c r="AU2" s="49">
        <v>0.61067800000000005</v>
      </c>
      <c r="AV2" s="49">
        <v>0.61922100000000002</v>
      </c>
      <c r="AW2" s="49">
        <v>0.53520299999999998</v>
      </c>
      <c r="AX2" s="49">
        <v>0.57280299999999995</v>
      </c>
      <c r="AY2" s="49">
        <v>0.56876499999999997</v>
      </c>
      <c r="AZ2" s="49">
        <v>0.55085700000000004</v>
      </c>
      <c r="BA2" s="49">
        <v>0.52633399999999997</v>
      </c>
      <c r="BB2" s="49">
        <v>0.53689600000000004</v>
      </c>
      <c r="BC2" s="49">
        <v>0.57482</v>
      </c>
      <c r="BD2" s="49">
        <v>0.59165699999999999</v>
      </c>
      <c r="BE2" s="49">
        <v>0.60218499999999997</v>
      </c>
      <c r="BF2" s="49">
        <v>0.63430600000000004</v>
      </c>
      <c r="BG2" s="49">
        <v>0.64974299999999996</v>
      </c>
      <c r="BH2" s="49">
        <v>0.55126900000000001</v>
      </c>
      <c r="BI2" s="49">
        <v>0.47629199999999999</v>
      </c>
      <c r="BJ2" s="49">
        <v>0.44229099999999999</v>
      </c>
      <c r="BK2" s="49">
        <v>0.45192500000000002</v>
      </c>
      <c r="BL2" s="49">
        <v>0.35721599999999998</v>
      </c>
    </row>
    <row r="3" spans="1:64" x14ac:dyDescent="0.3">
      <c r="A3" s="49">
        <v>2</v>
      </c>
      <c r="B3" s="49" t="s">
        <v>5032</v>
      </c>
      <c r="C3" s="49" t="s">
        <v>33</v>
      </c>
      <c r="D3" s="49">
        <v>7.2454239999999999</v>
      </c>
      <c r="E3" s="49">
        <v>7.4847159999999997</v>
      </c>
      <c r="F3" s="49">
        <v>7.5200680000000002</v>
      </c>
      <c r="G3" s="49">
        <v>7.5799979999999998</v>
      </c>
      <c r="H3" s="49">
        <v>7.562049</v>
      </c>
      <c r="I3" s="49">
        <v>7.55436</v>
      </c>
      <c r="J3" s="49">
        <v>6.9076700000000004</v>
      </c>
      <c r="K3" s="49">
        <v>6.7461099999999998</v>
      </c>
      <c r="L3" s="49">
        <v>6.8322500000000002</v>
      </c>
      <c r="M3" s="49">
        <v>7.0257699999999996</v>
      </c>
      <c r="N3" s="49">
        <v>7.4655699999999996</v>
      </c>
      <c r="O3" s="49">
        <v>8.5238600000000009</v>
      </c>
      <c r="P3" s="49">
        <v>7.3965199999999998</v>
      </c>
      <c r="Q3" s="49">
        <v>7.4726699999999999</v>
      </c>
      <c r="R3" s="49">
        <v>7.5775800000000002</v>
      </c>
      <c r="S3" s="49">
        <v>7.6694800000000001</v>
      </c>
      <c r="T3" s="49">
        <v>7.5755800000000004</v>
      </c>
      <c r="U3" s="49">
        <v>7.5659369999999999</v>
      </c>
      <c r="V3" s="49">
        <v>7.1109600000000004</v>
      </c>
      <c r="W3" s="49">
        <v>6.7380599999999999</v>
      </c>
      <c r="X3" s="49">
        <v>6.5449000000000002</v>
      </c>
      <c r="Y3" s="49">
        <v>6.2974300000000003</v>
      </c>
      <c r="Z3" s="49">
        <v>5.9798600000000004</v>
      </c>
      <c r="AA3" s="49">
        <v>5.7922650000000004</v>
      </c>
      <c r="AB3" s="49">
        <v>5.5418950000000002</v>
      </c>
      <c r="AC3" s="49">
        <v>5.314235</v>
      </c>
      <c r="AD3" s="49">
        <v>5.5621700000000001</v>
      </c>
      <c r="AE3" s="49">
        <v>5.2321600000000004</v>
      </c>
      <c r="AF3" s="49">
        <v>5.1481899999999996</v>
      </c>
      <c r="AG3" s="49">
        <v>5.0485579999999999</v>
      </c>
      <c r="AH3" s="49">
        <v>5.7017550000000004</v>
      </c>
      <c r="AI3" s="49">
        <v>5.4918870000000002</v>
      </c>
      <c r="AJ3" s="49">
        <v>6.2814800000000002</v>
      </c>
      <c r="AK3" s="49">
        <v>6.5254099999999999</v>
      </c>
      <c r="AL3" s="49">
        <v>6.3558570000000003</v>
      </c>
      <c r="AM3" s="49">
        <v>6.4335659999999999</v>
      </c>
      <c r="AN3" s="49">
        <v>6.4803470000000001</v>
      </c>
      <c r="AO3" s="49">
        <v>6.6042569999999996</v>
      </c>
      <c r="AP3" s="49">
        <v>6.0700880000000002</v>
      </c>
      <c r="AQ3" s="49">
        <v>5.7622270000000002</v>
      </c>
      <c r="AR3" s="49">
        <v>5.1310599999999997</v>
      </c>
      <c r="AS3" s="49">
        <v>5.4123890000000001</v>
      </c>
      <c r="AT3" s="49">
        <v>6.9049769999999997</v>
      </c>
      <c r="AU3" s="49">
        <v>6.178623</v>
      </c>
      <c r="AV3" s="49">
        <v>7.0668480000000002</v>
      </c>
      <c r="AW3" s="49">
        <v>6.939692</v>
      </c>
      <c r="AX3" s="49">
        <v>7.022634</v>
      </c>
      <c r="AY3" s="49">
        <v>6.4120819999999998</v>
      </c>
      <c r="AZ3" s="49">
        <v>7.3966900000000004</v>
      </c>
      <c r="BA3" s="49">
        <v>6.9651820000000004</v>
      </c>
      <c r="BB3" s="49">
        <v>6.5600779999999999</v>
      </c>
      <c r="BC3" s="49">
        <v>7.2162300000000004</v>
      </c>
      <c r="BD3" s="49">
        <v>7.2725299999999997</v>
      </c>
      <c r="BE3" s="49">
        <v>7.7271869999999998</v>
      </c>
      <c r="BF3" s="49">
        <v>6.7084780000000004</v>
      </c>
      <c r="BG3" s="49">
        <v>7.1356739999999999</v>
      </c>
      <c r="BH3" s="49">
        <v>6.1254239999999998</v>
      </c>
      <c r="BI3" s="49">
        <v>5.0680160000000001</v>
      </c>
      <c r="BJ3" s="49">
        <v>6.9783330000000001</v>
      </c>
      <c r="BK3" s="49">
        <v>7.9264270000000003</v>
      </c>
      <c r="BL3" s="49">
        <v>6.1408690000000004</v>
      </c>
    </row>
    <row r="4" spans="1:64" x14ac:dyDescent="0.3">
      <c r="A4" s="49">
        <v>3</v>
      </c>
      <c r="B4" s="49" t="s">
        <v>5031</v>
      </c>
      <c r="C4" s="49" t="s">
        <v>45</v>
      </c>
      <c r="D4" s="49">
        <v>0.85541699999999998</v>
      </c>
      <c r="E4" s="49">
        <v>0.83895900000000001</v>
      </c>
      <c r="F4" s="49">
        <v>0.79943600000000004</v>
      </c>
      <c r="G4" s="49">
        <v>0.88768899999999995</v>
      </c>
      <c r="H4" s="49">
        <v>0.83871200000000001</v>
      </c>
      <c r="I4" s="49">
        <v>0.87019800000000003</v>
      </c>
      <c r="J4" s="49">
        <v>0.89693299999999998</v>
      </c>
      <c r="K4" s="49">
        <v>0.89733399999999996</v>
      </c>
      <c r="L4" s="49">
        <v>0.90280700000000003</v>
      </c>
      <c r="M4" s="49">
        <v>0.91056599999999999</v>
      </c>
      <c r="N4" s="49">
        <v>0.87243000000000004</v>
      </c>
      <c r="O4" s="49">
        <v>0.91203999999999996</v>
      </c>
      <c r="P4" s="49">
        <v>0.92400000000000004</v>
      </c>
      <c r="Q4" s="49">
        <v>0.92757999999999996</v>
      </c>
      <c r="R4" s="49">
        <v>0.91090000000000004</v>
      </c>
      <c r="S4" s="49">
        <v>0.98160000000000003</v>
      </c>
      <c r="T4" s="49">
        <v>1.0027999999999999</v>
      </c>
      <c r="U4" s="49">
        <v>1.0065</v>
      </c>
      <c r="V4" s="49">
        <v>1.0326</v>
      </c>
      <c r="W4" s="49">
        <v>1.060632</v>
      </c>
      <c r="X4" s="49">
        <v>1.0397000000000001</v>
      </c>
      <c r="Y4" s="49">
        <v>1.0258</v>
      </c>
      <c r="Z4" s="49">
        <v>1.0094000000000001</v>
      </c>
      <c r="AA4" s="49">
        <v>0.98519999999999996</v>
      </c>
      <c r="AB4" s="49">
        <v>1.0486420000000001</v>
      </c>
      <c r="AC4" s="49">
        <v>1.0653600000000001</v>
      </c>
      <c r="AD4" s="49">
        <v>1.0668960000000001</v>
      </c>
      <c r="AE4" s="49">
        <v>1.070416</v>
      </c>
      <c r="AF4" s="49">
        <v>1.0582819999999999</v>
      </c>
      <c r="AG4" s="49">
        <v>0.96220600000000001</v>
      </c>
      <c r="AH4" s="49">
        <v>0.74718099999999998</v>
      </c>
      <c r="AI4" s="49">
        <v>0.71187199999999995</v>
      </c>
      <c r="AJ4" s="49">
        <v>0.78276400000000002</v>
      </c>
      <c r="AK4" s="49">
        <v>0.79935299999999998</v>
      </c>
      <c r="AL4" s="49">
        <v>0.72522399999999998</v>
      </c>
      <c r="AM4" s="49">
        <v>0.69203300000000001</v>
      </c>
      <c r="AN4" s="49">
        <v>0.70337899999999998</v>
      </c>
      <c r="AO4" s="49">
        <v>0.70377900000000004</v>
      </c>
      <c r="AP4" s="49">
        <v>0.63578500000000004</v>
      </c>
      <c r="AQ4" s="49">
        <v>0.61669200000000002</v>
      </c>
      <c r="AR4" s="49">
        <v>0.57474599999999998</v>
      </c>
      <c r="AS4" s="49">
        <v>0.55743399999999999</v>
      </c>
      <c r="AT4" s="49">
        <v>0.567357</v>
      </c>
      <c r="AU4" s="49">
        <v>0.55440699999999998</v>
      </c>
      <c r="AV4" s="49">
        <v>0.54837499999999995</v>
      </c>
      <c r="AW4" s="49">
        <v>0.54600899999999997</v>
      </c>
      <c r="AX4" s="49">
        <v>0.50876600000000005</v>
      </c>
      <c r="AY4" s="49">
        <v>0.583125</v>
      </c>
      <c r="AZ4" s="49">
        <v>0.56840999999999997</v>
      </c>
      <c r="BA4" s="49">
        <v>0.56159400000000004</v>
      </c>
      <c r="BB4" s="49">
        <v>0.56357599999999997</v>
      </c>
      <c r="BC4" s="49">
        <v>0.57544799999999996</v>
      </c>
      <c r="BD4" s="49">
        <v>0.572627</v>
      </c>
      <c r="BE4" s="49">
        <v>0.57825300000000002</v>
      </c>
      <c r="BF4" s="49">
        <v>0.58364700000000003</v>
      </c>
      <c r="BG4" s="49">
        <v>0.58733199999999997</v>
      </c>
      <c r="BH4" s="49">
        <v>0.59558500000000003</v>
      </c>
      <c r="BI4" s="49">
        <v>0.58687599999999995</v>
      </c>
      <c r="BJ4" s="49">
        <v>0.57918700000000001</v>
      </c>
      <c r="BK4" s="49">
        <v>0.58097600000000005</v>
      </c>
      <c r="BL4" s="49">
        <v>0.58982000000000001</v>
      </c>
    </row>
    <row r="5" spans="1:64" x14ac:dyDescent="0.3">
      <c r="A5" s="49">
        <v>4</v>
      </c>
      <c r="B5" s="49" t="s">
        <v>5030</v>
      </c>
      <c r="C5" s="49" t="s">
        <v>55</v>
      </c>
      <c r="D5" s="49">
        <v>6.8176459999999999</v>
      </c>
      <c r="E5" s="49">
        <v>7.2963199999999997</v>
      </c>
      <c r="F5" s="49">
        <v>7.2723250000000004</v>
      </c>
      <c r="G5" s="49">
        <v>7.0844300000000002</v>
      </c>
      <c r="H5" s="49">
        <v>7.1517379999999999</v>
      </c>
      <c r="I5" s="49">
        <v>5.19543</v>
      </c>
      <c r="J5" s="49">
        <v>6.5704900000000004</v>
      </c>
      <c r="K5" s="49">
        <v>7.4683599999999997</v>
      </c>
      <c r="L5" s="49">
        <v>7.54359</v>
      </c>
      <c r="M5" s="49">
        <v>7.9788100000000002</v>
      </c>
      <c r="N5" s="49">
        <v>7.4864100000000002</v>
      </c>
      <c r="O5" s="49">
        <v>8.6221300000000003</v>
      </c>
      <c r="P5" s="49">
        <v>8.0546699999999998</v>
      </c>
      <c r="Q5" s="49">
        <v>7.5904299999999996</v>
      </c>
      <c r="R5" s="49">
        <v>8.0555900000000005</v>
      </c>
      <c r="S5" s="49">
        <v>8.4150799999999997</v>
      </c>
      <c r="T5" s="49">
        <v>7.2307899999999998</v>
      </c>
      <c r="U5" s="49">
        <v>6.9294900000000004</v>
      </c>
      <c r="V5" s="49">
        <v>7.5243799999999998</v>
      </c>
      <c r="W5" s="49">
        <v>8.1173099999999998</v>
      </c>
      <c r="X5" s="49">
        <v>7.4569900000000002</v>
      </c>
      <c r="Y5" s="49">
        <v>6.7555100000000001</v>
      </c>
      <c r="Z5" s="49">
        <v>6.1577359999999999</v>
      </c>
      <c r="AA5" s="49">
        <v>7.0985740000000002</v>
      </c>
      <c r="AB5" s="49">
        <v>8.3328500000000005</v>
      </c>
      <c r="AC5" s="49">
        <v>7.6252700000000004</v>
      </c>
      <c r="AD5" s="49">
        <v>7.3694899999999999</v>
      </c>
      <c r="AE5" s="49">
        <v>5.4199400000000004</v>
      </c>
      <c r="AF5" s="49">
        <v>7.0650399999999998</v>
      </c>
      <c r="AG5" s="49">
        <v>6.4549539999999999</v>
      </c>
      <c r="AH5" s="49">
        <v>8.8953480000000003</v>
      </c>
      <c r="AI5" s="49">
        <v>9.0642569999999996</v>
      </c>
      <c r="AJ5" s="49">
        <v>5.8874849999999999</v>
      </c>
      <c r="AK5" s="49">
        <v>4.5098320000000003</v>
      </c>
      <c r="AL5" s="49">
        <v>7.0871779999999998</v>
      </c>
      <c r="AM5" s="49">
        <v>9.2281860000000009</v>
      </c>
      <c r="AN5" s="49">
        <v>4.2185879999999996</v>
      </c>
      <c r="AO5" s="49">
        <v>8.9889399999999995</v>
      </c>
      <c r="AP5" s="49">
        <v>5.6419889999999997</v>
      </c>
      <c r="AQ5" s="49">
        <v>3.902215</v>
      </c>
      <c r="AR5" s="49">
        <v>6.625521</v>
      </c>
      <c r="AS5" s="49">
        <v>5.6172440000000003</v>
      </c>
      <c r="AT5" s="49">
        <v>7.9029509999999998</v>
      </c>
      <c r="AU5" s="49">
        <v>8.2272780000000001</v>
      </c>
      <c r="AV5" s="49">
        <v>7.0668410000000002</v>
      </c>
      <c r="AW5" s="49">
        <v>7.8388780000000002</v>
      </c>
      <c r="AX5" s="49">
        <v>8.2516689999999997</v>
      </c>
      <c r="AY5" s="49">
        <v>5.5059529999999999</v>
      </c>
      <c r="AZ5" s="49">
        <v>8.9664699999999993</v>
      </c>
      <c r="BA5" s="49">
        <v>8.6127109999999991</v>
      </c>
      <c r="BB5" s="49">
        <v>8.1689530000000001</v>
      </c>
      <c r="BC5" s="49">
        <v>9.1783560000000008</v>
      </c>
      <c r="BD5" s="49">
        <v>8.5729790000000001</v>
      </c>
      <c r="BE5" s="49">
        <v>8.1138499999999993</v>
      </c>
      <c r="BF5" s="49">
        <v>8.5331480000000006</v>
      </c>
      <c r="BG5" s="49">
        <v>10.045954</v>
      </c>
      <c r="BH5" s="49">
        <v>10.359991000000001</v>
      </c>
      <c r="BI5" s="49">
        <v>9.4585860000000004</v>
      </c>
      <c r="BJ5" s="49">
        <v>9.6725600000000007</v>
      </c>
      <c r="BK5" s="49">
        <v>9.0634370000000004</v>
      </c>
      <c r="BL5" s="49">
        <v>7.0819640000000001</v>
      </c>
    </row>
    <row r="6" spans="1:64" x14ac:dyDescent="0.3">
      <c r="A6" s="49">
        <v>7</v>
      </c>
      <c r="B6" s="49" t="s">
        <v>5029</v>
      </c>
      <c r="C6" s="49" t="s">
        <v>78</v>
      </c>
      <c r="D6" s="49">
        <v>2.990275</v>
      </c>
      <c r="E6" s="49">
        <v>3.2488969999999999</v>
      </c>
      <c r="F6" s="49">
        <v>3.2466379999999999</v>
      </c>
      <c r="G6" s="49">
        <v>3.2570000000000001</v>
      </c>
      <c r="H6" s="49">
        <v>3.221724</v>
      </c>
      <c r="I6" s="49">
        <v>3.2936570000000001</v>
      </c>
      <c r="J6" s="49">
        <v>3.3479890000000001</v>
      </c>
      <c r="K6" s="49">
        <v>3.3965670000000001</v>
      </c>
      <c r="L6" s="49">
        <v>3.5590229999999998</v>
      </c>
      <c r="M6" s="49">
        <v>3.3961749999999999</v>
      </c>
      <c r="N6" s="49">
        <v>3.4534750000000001</v>
      </c>
      <c r="O6" s="49">
        <v>3.4485700000000001</v>
      </c>
      <c r="P6" s="49">
        <v>3.5581700000000001</v>
      </c>
      <c r="Q6" s="49">
        <v>3.5026700000000002</v>
      </c>
      <c r="R6" s="49">
        <v>3.2477</v>
      </c>
      <c r="S6" s="49">
        <v>3.0659000000000001</v>
      </c>
      <c r="T6" s="49">
        <v>3.0366</v>
      </c>
      <c r="U6" s="49">
        <v>3.0169999999999999</v>
      </c>
      <c r="V6" s="49">
        <v>2.9685000000000001</v>
      </c>
      <c r="W6" s="49">
        <v>2.895</v>
      </c>
      <c r="X6" s="49">
        <v>2.8401000000000001</v>
      </c>
      <c r="Y6" s="49">
        <v>2.8831000000000002</v>
      </c>
      <c r="Z6" s="49">
        <v>2.9159000000000002</v>
      </c>
      <c r="AA6" s="49">
        <v>2.9613</v>
      </c>
      <c r="AB6" s="49">
        <v>3.0065</v>
      </c>
      <c r="AC6" s="49">
        <v>3.4148999999999998</v>
      </c>
      <c r="AD6" s="49">
        <v>3.5278999999999998</v>
      </c>
      <c r="AE6" s="49">
        <v>3.5348000000000002</v>
      </c>
      <c r="AF6" s="49">
        <v>3.4832000000000001</v>
      </c>
      <c r="AG6" s="49">
        <v>3.007091</v>
      </c>
      <c r="AH6" s="49">
        <v>3.5740669999999999</v>
      </c>
      <c r="AI6" s="49">
        <v>3.8801730000000001</v>
      </c>
      <c r="AJ6" s="49">
        <v>4.205419</v>
      </c>
      <c r="AK6" s="49">
        <v>3.9828990000000002</v>
      </c>
      <c r="AL6" s="49">
        <v>3.6085989999999999</v>
      </c>
      <c r="AM6" s="49">
        <v>3.5861830000000001</v>
      </c>
      <c r="AN6" s="49">
        <v>3.626611</v>
      </c>
      <c r="AO6" s="49">
        <v>3.9730259999999999</v>
      </c>
      <c r="AP6" s="49">
        <v>3.7977439999999998</v>
      </c>
      <c r="AQ6" s="49">
        <v>4.0523999999999996</v>
      </c>
      <c r="AR6" s="49">
        <v>4.5856539999999999</v>
      </c>
      <c r="AS6" s="49">
        <v>5.0009680000000003</v>
      </c>
      <c r="AT6" s="49">
        <v>5.5132339999999997</v>
      </c>
      <c r="AU6" s="49">
        <v>6.5945280000000004</v>
      </c>
      <c r="AV6" s="49">
        <v>6.9457440000000004</v>
      </c>
      <c r="AW6" s="49">
        <v>6.908741</v>
      </c>
      <c r="AX6" s="49">
        <v>7.661619</v>
      </c>
      <c r="AY6" s="49">
        <v>6.3048289999999998</v>
      </c>
      <c r="AZ6" s="49">
        <v>9.0078669999999992</v>
      </c>
      <c r="BA6" s="49">
        <v>9.2096330000000002</v>
      </c>
      <c r="BB6" s="49">
        <v>10.425454</v>
      </c>
      <c r="BC6" s="49">
        <v>7.3029539999999997</v>
      </c>
      <c r="BD6" s="49">
        <v>10.696133</v>
      </c>
      <c r="BE6" s="49">
        <v>9.9510500000000004</v>
      </c>
      <c r="BF6" s="49">
        <v>10.028192000000001</v>
      </c>
      <c r="BG6" s="49">
        <v>12.256618</v>
      </c>
      <c r="BH6" s="49">
        <v>12.575324999999999</v>
      </c>
      <c r="BI6" s="49">
        <v>12.340178</v>
      </c>
      <c r="BJ6" s="49">
        <v>12.156901</v>
      </c>
      <c r="BK6" s="49">
        <v>12.405009</v>
      </c>
      <c r="BL6" s="49">
        <v>12.464356</v>
      </c>
    </row>
    <row r="7" spans="1:64" x14ac:dyDescent="0.3">
      <c r="A7" s="49">
        <v>8</v>
      </c>
      <c r="B7" s="49" t="s">
        <v>5028</v>
      </c>
      <c r="C7" s="49" t="s">
        <v>100</v>
      </c>
      <c r="D7" s="49">
        <v>1.1011999999999999E-2</v>
      </c>
      <c r="E7" s="49">
        <v>1.0411E-2</v>
      </c>
      <c r="F7" s="49">
        <v>1.0855E-2</v>
      </c>
      <c r="G7" s="49">
        <v>9.3880000000000005E-3</v>
      </c>
      <c r="H7" s="49">
        <v>7.3860000000000002E-3</v>
      </c>
      <c r="I7" s="49">
        <v>3.5260000000000001E-3</v>
      </c>
      <c r="J7" s="49">
        <v>3.5690000000000001E-3</v>
      </c>
      <c r="K7" s="49">
        <v>1.3550000000000001E-3</v>
      </c>
      <c r="L7" s="49">
        <v>2.8180000000000002E-3</v>
      </c>
      <c r="M7" s="49">
        <v>3.1939999999999998E-3</v>
      </c>
      <c r="N7" s="49">
        <v>8.4639999999999993E-3</v>
      </c>
      <c r="O7" s="49">
        <v>1.408E-3</v>
      </c>
      <c r="P7" s="49">
        <v>1.1479999999999999E-3</v>
      </c>
      <c r="Q7" s="49">
        <v>7.6400000000000003E-4</v>
      </c>
      <c r="R7" s="49">
        <v>7.7300000000000003E-4</v>
      </c>
      <c r="S7" s="49">
        <v>9.5100000000000002E-4</v>
      </c>
      <c r="T7" s="49">
        <v>7.1599999999999995E-4</v>
      </c>
      <c r="U7" s="49">
        <v>8.6899999999999998E-4</v>
      </c>
      <c r="V7" s="49">
        <v>1.14E-3</v>
      </c>
      <c r="W7" s="49">
        <v>1.0629999999999999E-3</v>
      </c>
      <c r="X7" s="49">
        <v>1.1360000000000001E-3</v>
      </c>
      <c r="Y7" s="49">
        <v>1.0870000000000001E-3</v>
      </c>
      <c r="Z7" s="49">
        <v>8.8599999999999996E-4</v>
      </c>
      <c r="AA7" s="49">
        <v>7.1400000000000001E-4</v>
      </c>
      <c r="AB7" s="49">
        <v>4.2100000000000002E-3</v>
      </c>
      <c r="AC7" s="49">
        <v>4.1520000000000003E-3</v>
      </c>
      <c r="AD7" s="49">
        <v>4.2640000000000004E-3</v>
      </c>
      <c r="AE7" s="49">
        <v>4.3819999999999996E-3</v>
      </c>
      <c r="AF7" s="49">
        <v>4.0679999999999996E-3</v>
      </c>
      <c r="AG7" s="49">
        <v>3.8470000000000002E-3</v>
      </c>
      <c r="AH7" s="49">
        <v>6.1079999999999997E-3</v>
      </c>
      <c r="AI7" s="49">
        <v>6.228E-3</v>
      </c>
      <c r="AJ7" s="49">
        <v>6.1830000000000001E-3</v>
      </c>
      <c r="AK7" s="49">
        <v>6.1760000000000001E-3</v>
      </c>
      <c r="AL7" s="49">
        <v>5.6039999999999996E-3</v>
      </c>
      <c r="AM7" s="49">
        <v>5.6979999999999999E-3</v>
      </c>
      <c r="AN7" s="49">
        <v>5.7749999999999998E-3</v>
      </c>
      <c r="AO7" s="49">
        <v>5.7479999999999996E-3</v>
      </c>
      <c r="AP7" s="49">
        <v>5.8320000000000004E-3</v>
      </c>
      <c r="AQ7" s="49">
        <v>6.0299999999999998E-3</v>
      </c>
      <c r="AR7" s="49">
        <v>6.0010000000000003E-3</v>
      </c>
      <c r="AS7" s="49">
        <v>6.3639999999999999E-3</v>
      </c>
      <c r="AT7" s="49">
        <v>6.692E-3</v>
      </c>
      <c r="AU7" s="49">
        <v>6.8370000000000002E-3</v>
      </c>
      <c r="AV7" s="49">
        <v>6.0140000000000002E-3</v>
      </c>
      <c r="AW7" s="49">
        <v>6.2379999999999996E-3</v>
      </c>
      <c r="AX7" s="49">
        <v>6.4700000000000001E-3</v>
      </c>
      <c r="AY7" s="49">
        <v>6.6189999999999999E-3</v>
      </c>
      <c r="AZ7" s="49">
        <v>6.7149999999999996E-3</v>
      </c>
      <c r="BA7" s="49">
        <v>6.8700000000000002E-3</v>
      </c>
      <c r="BB7" s="49">
        <v>6.9150000000000001E-3</v>
      </c>
      <c r="BC7" s="49">
        <v>6.6020000000000002E-3</v>
      </c>
      <c r="BD7" s="49">
        <v>6.5929999999999999E-3</v>
      </c>
      <c r="BE7" s="49">
        <v>6.5719999999999997E-3</v>
      </c>
      <c r="BF7" s="49">
        <v>6.6379999999999998E-3</v>
      </c>
      <c r="BG7" s="49">
        <v>6.4780000000000003E-3</v>
      </c>
      <c r="BH7" s="49">
        <v>6.2370000000000004E-3</v>
      </c>
      <c r="BI7" s="49">
        <v>6.0790000000000002E-3</v>
      </c>
      <c r="BJ7" s="49">
        <v>5.973E-3</v>
      </c>
      <c r="BK7" s="49">
        <v>5.7330000000000002E-3</v>
      </c>
      <c r="BL7" s="49">
        <v>6.0939999999999996E-3</v>
      </c>
    </row>
    <row r="8" spans="1:64" x14ac:dyDescent="0.3">
      <c r="A8" s="49">
        <v>9</v>
      </c>
      <c r="B8" s="49" t="s">
        <v>5027</v>
      </c>
      <c r="C8" s="49" t="s">
        <v>102</v>
      </c>
      <c r="D8" s="49">
        <v>25.314554000000001</v>
      </c>
      <c r="E8" s="49">
        <v>22.530842</v>
      </c>
      <c r="F8" s="49">
        <v>27.849174000000001</v>
      </c>
      <c r="G8" s="49">
        <v>29.496231999999999</v>
      </c>
      <c r="H8" s="49">
        <v>25.002891000000002</v>
      </c>
      <c r="I8" s="49">
        <v>27.188079999999999</v>
      </c>
      <c r="J8" s="49">
        <v>29.171299000000001</v>
      </c>
      <c r="K8" s="49">
        <v>29.242528</v>
      </c>
      <c r="L8" s="49">
        <v>28.727747000000001</v>
      </c>
      <c r="M8" s="49">
        <v>27.507349999999999</v>
      </c>
      <c r="N8" s="49">
        <v>29.788684</v>
      </c>
      <c r="O8" s="49">
        <v>28.170517</v>
      </c>
      <c r="P8" s="49">
        <v>28.422198000000002</v>
      </c>
      <c r="Q8" s="49">
        <v>28.274080999999999</v>
      </c>
      <c r="R8" s="49">
        <v>28.848047999999999</v>
      </c>
      <c r="S8" s="49">
        <v>31.610761</v>
      </c>
      <c r="T8" s="49">
        <v>27.272659999999998</v>
      </c>
      <c r="U8" s="49">
        <v>30.698869999999999</v>
      </c>
      <c r="V8" s="49">
        <v>30.082827000000002</v>
      </c>
      <c r="W8" s="49">
        <v>29.029615</v>
      </c>
      <c r="X8" s="49">
        <v>32.424636999999997</v>
      </c>
      <c r="Y8" s="49">
        <v>36.488959999999999</v>
      </c>
      <c r="Z8" s="49">
        <v>35.964427999999998</v>
      </c>
      <c r="AA8" s="49">
        <v>34.243211000000002</v>
      </c>
      <c r="AB8" s="49">
        <v>33.105144000000003</v>
      </c>
      <c r="AC8" s="49">
        <v>31.093689000000001</v>
      </c>
      <c r="AD8" s="49">
        <v>28.910945999999999</v>
      </c>
      <c r="AE8" s="49">
        <v>28.583307999999999</v>
      </c>
      <c r="AF8" s="49">
        <v>27.278829999999999</v>
      </c>
      <c r="AG8" s="49">
        <v>28.890194000000001</v>
      </c>
      <c r="AH8" s="49">
        <v>47.615077999999997</v>
      </c>
      <c r="AI8" s="49">
        <v>47.129821999999997</v>
      </c>
      <c r="AJ8" s="49">
        <v>43.510446000000002</v>
      </c>
      <c r="AK8" s="49">
        <v>46.743648999999998</v>
      </c>
      <c r="AL8" s="49">
        <v>51.612780000000001</v>
      </c>
      <c r="AM8" s="49">
        <v>53.61204</v>
      </c>
      <c r="AN8" s="49">
        <v>60.590139999999998</v>
      </c>
      <c r="AO8" s="49">
        <v>60.447507000000002</v>
      </c>
      <c r="AP8" s="49">
        <v>63.086210999999999</v>
      </c>
      <c r="AQ8" s="49">
        <v>63.695599999999999</v>
      </c>
      <c r="AR8" s="49">
        <v>64.222114000000005</v>
      </c>
      <c r="AS8" s="49">
        <v>66.367943999999994</v>
      </c>
      <c r="AT8" s="49">
        <v>68.114490000000004</v>
      </c>
      <c r="AU8" s="49">
        <v>71.779567</v>
      </c>
      <c r="AV8" s="49">
        <v>73.944018</v>
      </c>
      <c r="AW8" s="49">
        <v>74.599204</v>
      </c>
      <c r="AX8" s="49">
        <v>80.537724999999995</v>
      </c>
      <c r="AY8" s="49">
        <v>84.306284000000005</v>
      </c>
      <c r="AZ8" s="49">
        <v>77.776228000000003</v>
      </c>
      <c r="BA8" s="49">
        <v>81.425679000000002</v>
      </c>
      <c r="BB8" s="49">
        <v>90.850568999999993</v>
      </c>
      <c r="BC8" s="49">
        <v>88.499056999999993</v>
      </c>
      <c r="BD8" s="49">
        <v>90.736303000000007</v>
      </c>
      <c r="BE8" s="49">
        <v>90.088102000000006</v>
      </c>
      <c r="BF8" s="49">
        <v>93.516935000000004</v>
      </c>
      <c r="BG8" s="49">
        <v>93.038928999999996</v>
      </c>
      <c r="BH8" s="49">
        <v>92.125701000000007</v>
      </c>
      <c r="BI8" s="49">
        <v>91.111519999999999</v>
      </c>
      <c r="BJ8" s="49">
        <v>92.762084000000002</v>
      </c>
      <c r="BK8" s="49">
        <v>95.159328000000002</v>
      </c>
      <c r="BL8" s="49">
        <v>95.422349999999994</v>
      </c>
    </row>
    <row r="9" spans="1:64" x14ac:dyDescent="0.3">
      <c r="A9" s="49">
        <v>10</v>
      </c>
      <c r="B9" s="49" t="s">
        <v>5026</v>
      </c>
      <c r="C9" s="49" t="s">
        <v>115</v>
      </c>
      <c r="D9" s="49">
        <v>17.820914999999999</v>
      </c>
      <c r="E9" s="49">
        <v>19.264129000000001</v>
      </c>
      <c r="F9" s="49">
        <v>19.399336000000002</v>
      </c>
      <c r="G9" s="49">
        <v>20.708313</v>
      </c>
      <c r="H9" s="49">
        <v>20.748557999999999</v>
      </c>
      <c r="I9" s="49">
        <v>24.158353000000002</v>
      </c>
      <c r="J9" s="49">
        <v>24.927578</v>
      </c>
      <c r="K9" s="49">
        <v>29.436834000000001</v>
      </c>
      <c r="L9" s="49">
        <v>26.786750000000001</v>
      </c>
      <c r="M9" s="49">
        <v>22.497741000000001</v>
      </c>
      <c r="N9" s="49">
        <v>24.863225</v>
      </c>
      <c r="O9" s="49">
        <v>24.807914</v>
      </c>
      <c r="P9" s="49">
        <v>27.357289000000002</v>
      </c>
      <c r="Q9" s="49">
        <v>25.173010999999999</v>
      </c>
      <c r="R9" s="49">
        <v>26.912875</v>
      </c>
      <c r="S9" s="49">
        <v>27.596543</v>
      </c>
      <c r="T9" s="49">
        <v>30.893882000000001</v>
      </c>
      <c r="U9" s="49">
        <v>31.801524000000001</v>
      </c>
      <c r="V9" s="49">
        <v>32.811855999999999</v>
      </c>
      <c r="W9" s="49">
        <v>33.083711000000001</v>
      </c>
      <c r="X9" s="49">
        <v>35.918398000000003</v>
      </c>
      <c r="Y9" s="49">
        <v>34.603630000000003</v>
      </c>
      <c r="Z9" s="49">
        <v>40.368844000000003</v>
      </c>
      <c r="AA9" s="49">
        <v>38.861055</v>
      </c>
      <c r="AB9" s="49">
        <v>38.025646999999999</v>
      </c>
      <c r="AC9" s="49">
        <v>35.847808000000001</v>
      </c>
      <c r="AD9" s="49">
        <v>32.652757000000001</v>
      </c>
      <c r="AE9" s="49">
        <v>31.653625000000002</v>
      </c>
      <c r="AF9" s="49">
        <v>31.110855999999998</v>
      </c>
      <c r="AG9" s="49">
        <v>31.363890000000001</v>
      </c>
      <c r="AH9" s="49">
        <v>33.679175999999998</v>
      </c>
      <c r="AI9" s="49">
        <v>30.889745999999999</v>
      </c>
      <c r="AJ9" s="49">
        <v>33.196306999999997</v>
      </c>
      <c r="AK9" s="49">
        <v>35.451338</v>
      </c>
      <c r="AL9" s="49">
        <v>32.956235999999997</v>
      </c>
      <c r="AM9" s="49">
        <v>37.868377000000002</v>
      </c>
      <c r="AN9" s="49">
        <v>42.840670000000003</v>
      </c>
      <c r="AO9" s="49">
        <v>42.502696999999998</v>
      </c>
      <c r="AP9" s="49">
        <v>46.630859999999998</v>
      </c>
      <c r="AQ9" s="49">
        <v>48.149855000000002</v>
      </c>
      <c r="AR9" s="49">
        <v>48.174382000000001</v>
      </c>
      <c r="AS9" s="49">
        <v>46.858092999999997</v>
      </c>
      <c r="AT9" s="49">
        <v>44.610551000000001</v>
      </c>
      <c r="AU9" s="49">
        <v>50.088676</v>
      </c>
      <c r="AV9" s="49">
        <v>51.343443999999998</v>
      </c>
      <c r="AW9" s="49">
        <v>48.462412999999998</v>
      </c>
      <c r="AX9" s="49">
        <v>45.351812000000002</v>
      </c>
      <c r="AY9" s="49">
        <v>49.421841000000001</v>
      </c>
      <c r="AZ9" s="49">
        <v>52.638987</v>
      </c>
      <c r="BA9" s="49">
        <v>52.678410999999997</v>
      </c>
      <c r="BB9" s="49">
        <v>52.201912</v>
      </c>
      <c r="BC9" s="49">
        <v>54.109122999999997</v>
      </c>
      <c r="BD9" s="49">
        <v>53.336632999999999</v>
      </c>
      <c r="BE9" s="49">
        <v>50.704999999999998</v>
      </c>
      <c r="BF9" s="49">
        <v>51.387954999999998</v>
      </c>
      <c r="BG9" s="49">
        <v>48.634577</v>
      </c>
      <c r="BH9" s="49">
        <v>55.279510000000002</v>
      </c>
      <c r="BI9" s="49">
        <v>52.442053999999999</v>
      </c>
      <c r="BJ9" s="49">
        <v>46.420915999999998</v>
      </c>
      <c r="BK9" s="49">
        <v>43.933647000000001</v>
      </c>
      <c r="BL9" s="49">
        <v>55.798344999999998</v>
      </c>
    </row>
    <row r="10" spans="1:64" x14ac:dyDescent="0.3">
      <c r="A10" s="49">
        <v>11</v>
      </c>
      <c r="B10" s="49" t="s">
        <v>5025</v>
      </c>
      <c r="C10" s="49" t="s">
        <v>120</v>
      </c>
      <c r="D10" s="49">
        <v>2.3506179999999999</v>
      </c>
      <c r="E10" s="49">
        <v>2.3542369999999999</v>
      </c>
      <c r="F10" s="49">
        <v>2.338705</v>
      </c>
      <c r="G10" s="49">
        <v>2.3557489999999999</v>
      </c>
      <c r="H10" s="49">
        <v>2.2570760000000001</v>
      </c>
      <c r="I10" s="49">
        <v>2.3325650000000002</v>
      </c>
      <c r="J10" s="49">
        <v>2.3238789999999998</v>
      </c>
      <c r="K10" s="49">
        <v>2.336605</v>
      </c>
      <c r="L10" s="49">
        <v>2.389996</v>
      </c>
      <c r="M10" s="49">
        <v>2.3841039999999998</v>
      </c>
      <c r="N10" s="49">
        <v>2.3841589999999999</v>
      </c>
      <c r="O10" s="49">
        <v>2.4061300000000001</v>
      </c>
      <c r="P10" s="49">
        <v>2.3874770000000001</v>
      </c>
      <c r="Q10" s="49">
        <v>2.4000339999999998</v>
      </c>
      <c r="R10" s="49">
        <v>2.3783500000000002</v>
      </c>
      <c r="S10" s="49">
        <v>2.4480590000000002</v>
      </c>
      <c r="T10" s="49">
        <v>2.4366370000000002</v>
      </c>
      <c r="U10" s="49">
        <v>2.469401</v>
      </c>
      <c r="V10" s="49">
        <v>2.5091649999999999</v>
      </c>
      <c r="W10" s="49">
        <v>2.5306709999999999</v>
      </c>
      <c r="X10" s="49">
        <v>2.5094400000000001</v>
      </c>
      <c r="Y10" s="49">
        <v>2.5046490000000001</v>
      </c>
      <c r="Z10" s="49">
        <v>2.4798360000000002</v>
      </c>
      <c r="AA10" s="49">
        <v>2.469487</v>
      </c>
      <c r="AB10" s="49">
        <v>2.5542859999999998</v>
      </c>
      <c r="AC10" s="49">
        <v>2.5376599999999998</v>
      </c>
      <c r="AD10" s="49">
        <v>2.4959120000000001</v>
      </c>
      <c r="AE10" s="49">
        <v>2.4446599999999998</v>
      </c>
      <c r="AF10" s="49">
        <v>2.4312019999999999</v>
      </c>
      <c r="AG10" s="49">
        <v>2.4419810000000002</v>
      </c>
      <c r="AH10" s="49">
        <v>2.5678920000000001</v>
      </c>
      <c r="AI10" s="49">
        <v>2.5633490000000001</v>
      </c>
      <c r="AJ10" s="49">
        <v>2.5512959999999998</v>
      </c>
      <c r="AK10" s="49">
        <v>2.5529860000000002</v>
      </c>
      <c r="AL10" s="49">
        <v>2.4175960000000001</v>
      </c>
      <c r="AM10" s="49">
        <v>2.3999899999999998</v>
      </c>
      <c r="AN10" s="49">
        <v>2.4491499999999999</v>
      </c>
      <c r="AO10" s="49">
        <v>2.4524170000000001</v>
      </c>
      <c r="AP10" s="49">
        <v>2.4157510000000002</v>
      </c>
      <c r="AQ10" s="49">
        <v>2.3714230000000001</v>
      </c>
      <c r="AR10" s="49">
        <v>2.3748170000000002</v>
      </c>
      <c r="AS10" s="49">
        <v>2.3507289999999998</v>
      </c>
      <c r="AT10" s="49">
        <v>2.3201239999999999</v>
      </c>
      <c r="AU10" s="49">
        <v>2.3121239999999998</v>
      </c>
      <c r="AV10" s="49">
        <v>2.3028650000000002</v>
      </c>
      <c r="AW10" s="49">
        <v>2.305269</v>
      </c>
      <c r="AX10" s="49">
        <v>2.3403100000000001</v>
      </c>
      <c r="AY10" s="49">
        <v>2.394139</v>
      </c>
      <c r="AZ10" s="49">
        <v>2.4063599999999998</v>
      </c>
      <c r="BA10" s="49">
        <v>2.3962240000000001</v>
      </c>
      <c r="BB10" s="49">
        <v>2.3787729999999998</v>
      </c>
      <c r="BC10" s="49">
        <v>2.3685930000000002</v>
      </c>
      <c r="BD10" s="49">
        <v>2.3141600000000002</v>
      </c>
      <c r="BE10" s="49">
        <v>2.3728210000000001</v>
      </c>
      <c r="BF10" s="49">
        <v>2.3289659999999999</v>
      </c>
      <c r="BG10" s="49">
        <v>2.3471220000000002</v>
      </c>
      <c r="BH10" s="49">
        <v>2.3420420000000002</v>
      </c>
      <c r="BI10" s="49">
        <v>2.0158999999999998</v>
      </c>
      <c r="BJ10" s="49">
        <v>1.99837</v>
      </c>
      <c r="BK10" s="49">
        <v>1.9817499999999999</v>
      </c>
      <c r="BL10" s="49">
        <v>1.9748600000000001</v>
      </c>
    </row>
    <row r="11" spans="1:64" x14ac:dyDescent="0.3">
      <c r="A11" s="49">
        <v>12</v>
      </c>
      <c r="B11" s="49" t="s">
        <v>5024</v>
      </c>
      <c r="C11" s="49" t="s">
        <v>124</v>
      </c>
      <c r="D11" s="49">
        <v>5.2859999999999999E-3</v>
      </c>
      <c r="E11" s="49">
        <v>5.5339999999999999E-3</v>
      </c>
      <c r="F11" s="49">
        <v>5.7860000000000003E-3</v>
      </c>
      <c r="G11" s="49">
        <v>6.0540000000000004E-3</v>
      </c>
      <c r="H11" s="49">
        <v>6.2859999999999999E-3</v>
      </c>
      <c r="I11" s="49">
        <v>7.3839999999999999E-3</v>
      </c>
      <c r="J11" s="49">
        <v>8.1539999999999998E-3</v>
      </c>
      <c r="K11" s="49">
        <v>8.0940000000000005E-3</v>
      </c>
      <c r="L11" s="49">
        <v>7.6839999999999999E-3</v>
      </c>
      <c r="M11" s="49">
        <v>8.7080000000000005E-3</v>
      </c>
      <c r="N11" s="49">
        <v>7.4599999999999996E-3</v>
      </c>
      <c r="O11" s="49">
        <v>1.0048E-2</v>
      </c>
      <c r="P11" s="49">
        <v>1.005E-2</v>
      </c>
      <c r="Q11" s="49">
        <v>1.0342E-2</v>
      </c>
      <c r="R11" s="49">
        <v>1.1206000000000001E-2</v>
      </c>
      <c r="S11" s="49">
        <v>1.1757999999999999E-2</v>
      </c>
      <c r="T11" s="49">
        <v>1.1627999999999999E-2</v>
      </c>
      <c r="U11" s="49">
        <v>1.111E-2</v>
      </c>
      <c r="V11" s="49">
        <v>1.1261999999999999E-2</v>
      </c>
      <c r="W11" s="49">
        <v>1.1128000000000001E-2</v>
      </c>
      <c r="X11" s="49">
        <v>1.1724E-2</v>
      </c>
      <c r="Y11" s="49">
        <v>1.163E-2</v>
      </c>
      <c r="Z11" s="49">
        <v>1.1228E-2</v>
      </c>
      <c r="AA11" s="49">
        <v>1.1705999999999999E-2</v>
      </c>
      <c r="AB11" s="49">
        <v>1.37E-2</v>
      </c>
      <c r="AC11" s="49">
        <v>1.3306E-2</v>
      </c>
      <c r="AD11" s="49">
        <v>1.3152E-2</v>
      </c>
      <c r="AE11" s="49">
        <v>1.3611E-2</v>
      </c>
      <c r="AF11" s="49">
        <v>1.3932E-2</v>
      </c>
      <c r="AG11" s="49">
        <v>1.3986E-2</v>
      </c>
      <c r="AH11" s="49">
        <v>1.3332E-2</v>
      </c>
      <c r="AI11" s="49">
        <v>1.2395E-2</v>
      </c>
      <c r="AJ11" s="49">
        <v>1.2128E-2</v>
      </c>
      <c r="AK11" s="49">
        <v>1.2005E-2</v>
      </c>
      <c r="AL11" s="49">
        <v>1.2370000000000001E-2</v>
      </c>
      <c r="AM11" s="49">
        <v>1.2362E-2</v>
      </c>
      <c r="AN11" s="49">
        <v>1.2806E-2</v>
      </c>
      <c r="AO11" s="49">
        <v>1.2566000000000001E-2</v>
      </c>
      <c r="AP11" s="49">
        <v>1.3103999999999999E-2</v>
      </c>
      <c r="AQ11" s="49">
        <v>1.4546E-2</v>
      </c>
      <c r="AR11" s="49">
        <v>1.5469999999999999E-2</v>
      </c>
      <c r="AS11" s="49">
        <v>1.4121999999999999E-2</v>
      </c>
      <c r="AT11" s="49">
        <v>1.4236E-2</v>
      </c>
      <c r="AU11" s="49">
        <v>1.474E-2</v>
      </c>
      <c r="AV11" s="49">
        <v>1.4631999999999999E-2</v>
      </c>
      <c r="AW11" s="49">
        <v>1.5599999999999999E-2</v>
      </c>
      <c r="AX11" s="49">
        <v>1.5687E-2</v>
      </c>
      <c r="AY11" s="49">
        <v>1.5546000000000001E-2</v>
      </c>
      <c r="AZ11" s="49">
        <v>1.5073E-2</v>
      </c>
      <c r="BA11" s="49">
        <v>1.7741E-2</v>
      </c>
      <c r="BB11" s="49">
        <v>1.8053E-2</v>
      </c>
      <c r="BC11" s="49">
        <v>1.8796E-2</v>
      </c>
      <c r="BD11" s="49">
        <v>1.8311999999999998E-2</v>
      </c>
      <c r="BE11" s="49">
        <v>1.9344E-2</v>
      </c>
      <c r="BF11" s="49">
        <v>1.9608E-2</v>
      </c>
      <c r="BG11" s="49">
        <v>1.9623999999999999E-2</v>
      </c>
      <c r="BH11" s="49">
        <v>1.9793000000000002E-2</v>
      </c>
      <c r="BI11" s="49">
        <v>2.0001999999999999E-2</v>
      </c>
      <c r="BJ11" s="49">
        <v>2.0126000000000002E-2</v>
      </c>
      <c r="BK11" s="49">
        <v>2.035E-2</v>
      </c>
      <c r="BL11" s="49">
        <v>2.0524000000000001E-2</v>
      </c>
    </row>
    <row r="12" spans="1:64" x14ac:dyDescent="0.3">
      <c r="A12" s="49">
        <v>13</v>
      </c>
      <c r="B12" s="49" t="s">
        <v>5023</v>
      </c>
      <c r="C12" s="49" t="s">
        <v>127</v>
      </c>
      <c r="D12" s="49">
        <v>4.3759999999999997E-3</v>
      </c>
      <c r="E12" s="49">
        <v>4.4860000000000004E-3</v>
      </c>
      <c r="F12" s="49">
        <v>4.5360000000000001E-3</v>
      </c>
      <c r="G12" s="49">
        <v>4.5360000000000001E-3</v>
      </c>
      <c r="H12" s="49">
        <v>4.555E-3</v>
      </c>
      <c r="I12" s="49">
        <v>4.2300000000000003E-3</v>
      </c>
      <c r="J12" s="49">
        <v>4.2529999999999998E-3</v>
      </c>
      <c r="K12" s="49">
        <v>4.2620000000000002E-3</v>
      </c>
      <c r="L12" s="49">
        <v>4.2940000000000001E-3</v>
      </c>
      <c r="M12" s="49">
        <v>4.3449999999999999E-3</v>
      </c>
      <c r="N12" s="49">
        <v>4.3769999999999998E-3</v>
      </c>
      <c r="O12" s="49">
        <v>4.4380000000000001E-3</v>
      </c>
      <c r="P12" s="49">
        <v>4.5030000000000001E-3</v>
      </c>
      <c r="Q12" s="49">
        <v>4.7650000000000001E-3</v>
      </c>
      <c r="R12" s="49">
        <v>6.2480000000000001E-3</v>
      </c>
      <c r="S12" s="49">
        <v>7.9279999999999993E-3</v>
      </c>
      <c r="T12" s="49">
        <v>9.7909999999999994E-3</v>
      </c>
      <c r="U12" s="49">
        <v>1.0057999999999999E-2</v>
      </c>
      <c r="V12" s="49">
        <v>1.0151E-2</v>
      </c>
      <c r="W12" s="49">
        <v>1.0251E-2</v>
      </c>
      <c r="X12" s="49">
        <v>5.6759999999999996E-3</v>
      </c>
      <c r="Y12" s="49">
        <v>4.5129999999999997E-3</v>
      </c>
      <c r="Z12" s="49">
        <v>4.6439999999999997E-3</v>
      </c>
      <c r="AA12" s="49">
        <v>4.6740000000000002E-3</v>
      </c>
      <c r="AB12" s="49">
        <v>5.4770000000000001E-3</v>
      </c>
      <c r="AC12" s="49">
        <v>5.803E-3</v>
      </c>
      <c r="AD12" s="49">
        <v>6.3379999999999999E-3</v>
      </c>
      <c r="AE12" s="49">
        <v>6.3829999999999998E-3</v>
      </c>
      <c r="AF12" s="49">
        <v>6.4339999999999996E-3</v>
      </c>
      <c r="AG12" s="49">
        <v>5.11E-3</v>
      </c>
      <c r="AH12" s="49">
        <v>4.9810000000000002E-3</v>
      </c>
      <c r="AI12" s="49">
        <v>5.1200000000000004E-3</v>
      </c>
      <c r="AJ12" s="49">
        <v>5.3249999999999999E-3</v>
      </c>
      <c r="AK12" s="49">
        <v>5.3759999999999997E-3</v>
      </c>
      <c r="AL12" s="49">
        <v>5.4130000000000003E-3</v>
      </c>
      <c r="AM12" s="49">
        <v>5.4039999999999999E-3</v>
      </c>
      <c r="AN12" s="49">
        <v>5.3499999999999997E-3</v>
      </c>
      <c r="AO12" s="49">
        <v>5.5589999999999997E-3</v>
      </c>
      <c r="AP12" s="49">
        <v>5.1190000000000003E-3</v>
      </c>
      <c r="AQ12" s="49">
        <v>5.1630000000000001E-3</v>
      </c>
      <c r="AR12" s="49">
        <v>4.8580000000000003E-3</v>
      </c>
      <c r="AS12" s="49">
        <v>6.4270000000000004E-3</v>
      </c>
      <c r="AT12" s="49">
        <v>6.496E-3</v>
      </c>
      <c r="AU12" s="49">
        <v>6.2940000000000001E-3</v>
      </c>
      <c r="AV12" s="49">
        <v>5.9360000000000003E-3</v>
      </c>
      <c r="AW12" s="49">
        <v>7.3920000000000001E-3</v>
      </c>
      <c r="AX12" s="49">
        <v>7.3049999999999999E-3</v>
      </c>
      <c r="AY12" s="49">
        <v>6.0749999999999997E-3</v>
      </c>
      <c r="AZ12" s="49">
        <v>6.1720000000000004E-3</v>
      </c>
      <c r="BA12" s="49">
        <v>6.4729999999999996E-3</v>
      </c>
      <c r="BB12" s="49">
        <v>7.5969999999999996E-3</v>
      </c>
      <c r="BC12" s="49">
        <v>8.3739999999999995E-3</v>
      </c>
      <c r="BD12" s="49">
        <v>9.0969999999999992E-3</v>
      </c>
      <c r="BE12" s="49">
        <v>9.9389999999999999E-3</v>
      </c>
      <c r="BF12" s="49">
        <v>9.4730000000000005E-3</v>
      </c>
      <c r="BG12" s="49">
        <v>9.9120000000000007E-3</v>
      </c>
      <c r="BH12" s="49">
        <v>7.7250000000000001E-3</v>
      </c>
      <c r="BI12" s="49">
        <v>7.7190000000000002E-3</v>
      </c>
      <c r="BJ12" s="49">
        <v>7.8169999999999993E-3</v>
      </c>
      <c r="BK12" s="49">
        <v>7.8770000000000003E-3</v>
      </c>
      <c r="BL12" s="49">
        <v>7.8980000000000005E-3</v>
      </c>
    </row>
    <row r="13" spans="1:64" x14ac:dyDescent="0.3">
      <c r="A13" s="49">
        <v>14</v>
      </c>
      <c r="B13" s="49" t="s">
        <v>5022</v>
      </c>
      <c r="C13" s="49" t="s">
        <v>133</v>
      </c>
      <c r="D13" s="49">
        <v>4.6811999999999999E-2</v>
      </c>
      <c r="E13" s="49">
        <v>4.6626000000000001E-2</v>
      </c>
      <c r="F13" s="49">
        <v>4.4409999999999998E-2</v>
      </c>
      <c r="G13" s="49">
        <v>4.7955999999999999E-2</v>
      </c>
      <c r="H13" s="49">
        <v>4.8092000000000003E-2</v>
      </c>
      <c r="I13" s="49">
        <v>4.8016000000000003E-2</v>
      </c>
      <c r="J13" s="49">
        <v>4.9036000000000003E-2</v>
      </c>
      <c r="K13" s="49">
        <v>4.8930000000000001E-2</v>
      </c>
      <c r="L13" s="49">
        <v>4.7620000000000003E-2</v>
      </c>
      <c r="M13" s="49">
        <v>4.7761999999999999E-2</v>
      </c>
      <c r="N13" s="49">
        <v>4.7284E-2</v>
      </c>
      <c r="O13" s="49">
        <v>4.3676E-2</v>
      </c>
      <c r="P13" s="49">
        <v>4.4228000000000003E-2</v>
      </c>
      <c r="Q13" s="49">
        <v>3.9412000000000003E-2</v>
      </c>
      <c r="R13" s="49">
        <v>3.8831999999999998E-2</v>
      </c>
      <c r="S13" s="49">
        <v>3.7886000000000003E-2</v>
      </c>
      <c r="T13" s="49">
        <v>3.8396E-2</v>
      </c>
      <c r="U13" s="49">
        <v>3.9402E-2</v>
      </c>
      <c r="V13" s="49">
        <v>3.9477999999999999E-2</v>
      </c>
      <c r="W13" s="49">
        <v>4.1410000000000002E-2</v>
      </c>
      <c r="X13" s="49">
        <v>4.0284E-2</v>
      </c>
      <c r="Y13" s="49">
        <v>4.0641999999999998E-2</v>
      </c>
      <c r="Z13" s="49">
        <v>3.7839999999999999E-2</v>
      </c>
      <c r="AA13" s="49">
        <v>3.5468E-2</v>
      </c>
      <c r="AB13" s="49">
        <v>3.5021999999999998E-2</v>
      </c>
      <c r="AC13" s="49">
        <v>3.5108E-2</v>
      </c>
      <c r="AD13" s="49">
        <v>3.3624000000000001E-2</v>
      </c>
      <c r="AE13" s="49">
        <v>3.0536000000000001E-2</v>
      </c>
      <c r="AF13" s="49">
        <v>3.0055999999999999E-2</v>
      </c>
      <c r="AG13" s="49">
        <v>2.8933E-2</v>
      </c>
      <c r="AH13" s="49">
        <v>2.8683E-2</v>
      </c>
      <c r="AI13" s="49">
        <v>2.6171E-2</v>
      </c>
      <c r="AJ13" s="49">
        <v>2.3650000000000001E-2</v>
      </c>
      <c r="AK13" s="49">
        <v>2.7764E-2</v>
      </c>
      <c r="AL13" s="49">
        <v>2.6324E-2</v>
      </c>
      <c r="AM13" s="49">
        <v>2.7125E-2</v>
      </c>
      <c r="AN13" s="49">
        <v>2.5472999999999999E-2</v>
      </c>
      <c r="AO13" s="49">
        <v>2.409E-2</v>
      </c>
      <c r="AP13" s="49">
        <v>2.2586999999999999E-2</v>
      </c>
      <c r="AQ13" s="49">
        <v>2.3358E-2</v>
      </c>
      <c r="AR13" s="49">
        <v>2.2483E-2</v>
      </c>
      <c r="AS13" s="49">
        <v>2.1576999999999999E-2</v>
      </c>
      <c r="AT13" s="49">
        <v>2.1256000000000001E-2</v>
      </c>
      <c r="AU13" s="49">
        <v>1.9739E-2</v>
      </c>
      <c r="AV13" s="49">
        <v>2.0206999999999999E-2</v>
      </c>
      <c r="AW13" s="49">
        <v>1.9673E-2</v>
      </c>
      <c r="AX13" s="49">
        <v>1.8967999999999999E-2</v>
      </c>
      <c r="AY13" s="49">
        <v>1.9713999999999999E-2</v>
      </c>
      <c r="AZ13" s="49">
        <v>1.9560000000000001E-2</v>
      </c>
      <c r="BA13" s="49">
        <v>1.6730999999999999E-2</v>
      </c>
      <c r="BB13" s="49">
        <v>1.6518999999999999E-2</v>
      </c>
      <c r="BC13" s="49">
        <v>1.5629000000000001E-2</v>
      </c>
      <c r="BD13" s="49">
        <v>1.4409999999999999E-2</v>
      </c>
      <c r="BE13" s="49">
        <v>1.3505E-2</v>
      </c>
      <c r="BF13" s="49">
        <v>1.1993999999999999E-2</v>
      </c>
      <c r="BG13" s="49">
        <v>9.1059999999999995E-3</v>
      </c>
      <c r="BH13" s="49">
        <v>1.1207999999999999E-2</v>
      </c>
      <c r="BI13" s="49">
        <v>1.2278000000000001E-2</v>
      </c>
      <c r="BJ13" s="49">
        <v>1.2369E-2</v>
      </c>
      <c r="BK13" s="49">
        <v>1.0585000000000001E-2</v>
      </c>
      <c r="BL13" s="49">
        <v>9.2569999999999996E-3</v>
      </c>
    </row>
    <row r="14" spans="1:64" x14ac:dyDescent="0.3">
      <c r="A14" s="49">
        <v>15</v>
      </c>
      <c r="B14" s="49" t="s">
        <v>5021</v>
      </c>
      <c r="C14" s="49" t="s">
        <v>139</v>
      </c>
      <c r="D14" s="49">
        <v>1.486415</v>
      </c>
      <c r="E14" s="49">
        <v>1.475185</v>
      </c>
      <c r="F14" s="49">
        <v>1.420987</v>
      </c>
      <c r="G14" s="49">
        <v>1.4297200000000001</v>
      </c>
      <c r="H14" s="49">
        <v>1.4198740000000001</v>
      </c>
      <c r="I14" s="49">
        <v>1.500726</v>
      </c>
      <c r="J14" s="49">
        <v>1.471975</v>
      </c>
      <c r="K14" s="49">
        <v>1.468307</v>
      </c>
      <c r="L14" s="49">
        <v>1.451695</v>
      </c>
      <c r="M14" s="49">
        <v>1.4144829999999999</v>
      </c>
      <c r="N14" s="49">
        <v>1.408026</v>
      </c>
      <c r="O14" s="49">
        <v>1.4167149999999999</v>
      </c>
      <c r="P14" s="49">
        <v>1.4096679999999999</v>
      </c>
      <c r="Q14" s="49">
        <v>1.3712420000000001</v>
      </c>
      <c r="R14" s="49">
        <v>1.3277950000000001</v>
      </c>
      <c r="S14" s="49">
        <v>1.3146850000000001</v>
      </c>
      <c r="T14" s="49">
        <v>1.2972220000000001</v>
      </c>
      <c r="U14" s="49">
        <v>1.3134049999999999</v>
      </c>
      <c r="V14" s="49">
        <v>1.299947</v>
      </c>
      <c r="W14" s="49">
        <v>1.2762199999999999</v>
      </c>
      <c r="X14" s="49">
        <v>1.2566059999999999</v>
      </c>
      <c r="Y14" s="49">
        <v>1.2570110000000001</v>
      </c>
      <c r="Z14" s="49">
        <v>1.2217929999999999</v>
      </c>
      <c r="AA14" s="49">
        <v>1.2449170000000001</v>
      </c>
      <c r="AB14" s="49">
        <v>1.231231</v>
      </c>
      <c r="AC14" s="49">
        <v>1.224669</v>
      </c>
      <c r="AD14" s="49">
        <v>1.2118979999999999</v>
      </c>
      <c r="AE14" s="49">
        <v>1.2320690000000001</v>
      </c>
      <c r="AF14" s="49">
        <v>1.2295959999999999</v>
      </c>
      <c r="AG14" s="49">
        <v>1.2036340000000001</v>
      </c>
      <c r="AH14" s="49">
        <v>1.2159139999999999</v>
      </c>
      <c r="AI14" s="49">
        <v>1.210653</v>
      </c>
      <c r="AJ14" s="49">
        <v>1.191284</v>
      </c>
      <c r="AK14" s="49">
        <v>1.162744</v>
      </c>
      <c r="AL14" s="49">
        <v>1.1709229999999999</v>
      </c>
      <c r="AM14" s="49">
        <v>1.1639999999999999</v>
      </c>
      <c r="AN14" s="49">
        <v>1.16292</v>
      </c>
      <c r="AO14" s="49">
        <v>1.2384090000000001</v>
      </c>
      <c r="AP14" s="49">
        <v>1.1916519999999999</v>
      </c>
    </row>
    <row r="15" spans="1:64" x14ac:dyDescent="0.3">
      <c r="A15" s="49">
        <v>16</v>
      </c>
      <c r="B15" s="49" t="s">
        <v>5020</v>
      </c>
      <c r="C15" s="49" t="s">
        <v>131</v>
      </c>
      <c r="D15" s="49">
        <v>20.466749</v>
      </c>
      <c r="E15" s="49">
        <v>20.812562</v>
      </c>
      <c r="F15" s="49">
        <v>21.461093000000002</v>
      </c>
      <c r="G15" s="49">
        <v>21.872807999999999</v>
      </c>
      <c r="H15" s="49">
        <v>22.341619000000001</v>
      </c>
      <c r="I15" s="49">
        <v>21.827772</v>
      </c>
      <c r="J15" s="49">
        <v>23.720075999999999</v>
      </c>
      <c r="K15" s="49">
        <v>23.418340000000001</v>
      </c>
      <c r="L15" s="49">
        <v>24.883088000000001</v>
      </c>
      <c r="M15" s="49">
        <v>24.021363000000001</v>
      </c>
      <c r="N15" s="49">
        <v>22.59994</v>
      </c>
      <c r="O15" s="49">
        <v>23.479265000000002</v>
      </c>
      <c r="P15" s="49">
        <v>24.076509999999999</v>
      </c>
      <c r="Q15" s="49">
        <v>23.796420999999999</v>
      </c>
      <c r="R15" s="49">
        <v>25.037441000000001</v>
      </c>
      <c r="S15" s="49">
        <v>24.549012000000001</v>
      </c>
      <c r="T15" s="49">
        <v>25.132694999999998</v>
      </c>
      <c r="U15" s="49">
        <v>25.411867000000001</v>
      </c>
      <c r="V15" s="49">
        <v>25.668426</v>
      </c>
      <c r="W15" s="49">
        <v>26.213360000000002</v>
      </c>
      <c r="X15" s="49">
        <v>26.802315</v>
      </c>
      <c r="Y15" s="49">
        <v>26.811727000000001</v>
      </c>
      <c r="Z15" s="49">
        <v>25.284244999999999</v>
      </c>
      <c r="AA15" s="49">
        <v>26.300692999999999</v>
      </c>
      <c r="AB15" s="49">
        <v>27.205696</v>
      </c>
      <c r="AC15" s="49">
        <v>27.360935000000001</v>
      </c>
      <c r="AD15" s="49">
        <v>26.47954</v>
      </c>
      <c r="AE15" s="49">
        <v>26.103020000000001</v>
      </c>
      <c r="AF15" s="49">
        <v>26.592873000000001</v>
      </c>
      <c r="AG15" s="49">
        <v>26.624419</v>
      </c>
      <c r="AH15" s="49">
        <v>28.088376</v>
      </c>
      <c r="AI15" s="49">
        <v>27.900845</v>
      </c>
      <c r="AJ15" s="49">
        <v>27.219028000000002</v>
      </c>
      <c r="AK15" s="49">
        <v>27.426707</v>
      </c>
      <c r="AL15" s="49">
        <v>27.408014000000001</v>
      </c>
      <c r="AM15" s="49">
        <v>28.046438999999999</v>
      </c>
      <c r="AN15" s="49">
        <v>28.308796000000001</v>
      </c>
      <c r="AO15" s="49">
        <v>27.900599</v>
      </c>
      <c r="AP15" s="49">
        <v>29.211178</v>
      </c>
      <c r="AQ15" s="49">
        <v>28.892005999999999</v>
      </c>
      <c r="AR15" s="49">
        <v>28.500033999999999</v>
      </c>
      <c r="AS15" s="49">
        <v>28.604714999999999</v>
      </c>
      <c r="AT15" s="49">
        <v>28.356279000000001</v>
      </c>
      <c r="AU15" s="49">
        <v>27.404782999999998</v>
      </c>
      <c r="AV15" s="49">
        <v>28.277628</v>
      </c>
      <c r="AW15" s="49">
        <v>28.361124</v>
      </c>
      <c r="AX15" s="49">
        <v>28.350717</v>
      </c>
      <c r="AY15" s="49">
        <v>29.925943</v>
      </c>
      <c r="AZ15" s="49">
        <v>29.893177999999999</v>
      </c>
      <c r="BA15" s="49">
        <v>30.408888999999999</v>
      </c>
      <c r="BB15" s="49">
        <v>31.133768</v>
      </c>
      <c r="BC15" s="49">
        <v>31.157896000000001</v>
      </c>
      <c r="BD15" s="49">
        <v>31.340799000000001</v>
      </c>
      <c r="BE15" s="49">
        <v>31.790911000000001</v>
      </c>
      <c r="BF15" s="49">
        <v>32.025013999999999</v>
      </c>
      <c r="BG15" s="49">
        <v>31.215274000000001</v>
      </c>
      <c r="BH15" s="49">
        <v>33.000802</v>
      </c>
      <c r="BI15" s="49">
        <v>32.546824000000001</v>
      </c>
      <c r="BJ15" s="49">
        <v>32.772151000000001</v>
      </c>
      <c r="BK15" s="49">
        <v>32.807918000000001</v>
      </c>
      <c r="BL15" s="49">
        <v>33.908259999999999</v>
      </c>
    </row>
    <row r="16" spans="1:64" x14ac:dyDescent="0.3">
      <c r="A16" s="49">
        <v>18</v>
      </c>
      <c r="B16" s="49" t="s">
        <v>5019</v>
      </c>
      <c r="C16" s="49" t="s">
        <v>151</v>
      </c>
      <c r="D16" s="49">
        <v>0.1726</v>
      </c>
      <c r="E16" s="49">
        <v>0.17793500000000001</v>
      </c>
      <c r="F16" s="49">
        <v>0.18345</v>
      </c>
      <c r="G16" s="49">
        <v>0.18818499999999999</v>
      </c>
      <c r="H16" s="49">
        <v>0.19292500000000001</v>
      </c>
      <c r="I16" s="49">
        <v>0.19794</v>
      </c>
      <c r="J16" s="49">
        <v>0.203569</v>
      </c>
      <c r="K16" s="49">
        <v>0.21035999999999999</v>
      </c>
      <c r="L16" s="49">
        <v>0.21512999999999999</v>
      </c>
      <c r="M16" s="49">
        <v>0.220105</v>
      </c>
      <c r="N16" s="49">
        <v>0.225415</v>
      </c>
      <c r="O16" s="49">
        <v>0.23028499999999999</v>
      </c>
      <c r="P16" s="49">
        <v>0.23541500000000001</v>
      </c>
      <c r="Q16" s="49">
        <v>0.240485</v>
      </c>
      <c r="R16" s="49">
        <v>0.244868</v>
      </c>
      <c r="S16" s="49">
        <v>0.25059799999999999</v>
      </c>
      <c r="T16" s="49">
        <v>0.25505</v>
      </c>
      <c r="U16" s="49">
        <v>0.26119999999999999</v>
      </c>
      <c r="V16" s="49">
        <v>0.26906000000000002</v>
      </c>
      <c r="W16" s="49">
        <v>0.27855999999999997</v>
      </c>
      <c r="X16" s="49">
        <v>0.28375499999999998</v>
      </c>
      <c r="Y16" s="49">
        <v>0.29092600000000002</v>
      </c>
      <c r="Z16" s="49">
        <v>0.30369000000000002</v>
      </c>
      <c r="AA16" s="49">
        <v>0.31734099999999998</v>
      </c>
      <c r="AB16" s="49">
        <v>0.30742999999999998</v>
      </c>
      <c r="AC16" s="49">
        <v>0.30872500000000003</v>
      </c>
      <c r="AD16" s="49">
        <v>0.31461499999999998</v>
      </c>
      <c r="AE16" s="49">
        <v>0.25035800000000002</v>
      </c>
      <c r="AF16" s="49">
        <v>0.25283499999999998</v>
      </c>
      <c r="AG16" s="49">
        <v>0.26058100000000001</v>
      </c>
      <c r="AH16" s="49">
        <v>0.27704099999999998</v>
      </c>
      <c r="AI16" s="49">
        <v>0.27363100000000001</v>
      </c>
      <c r="AJ16" s="49">
        <v>0.28396199999999999</v>
      </c>
      <c r="AK16" s="49">
        <v>0.28556199999999998</v>
      </c>
      <c r="AL16" s="49">
        <v>0.29613200000000001</v>
      </c>
      <c r="AM16" s="49">
        <v>0.29468</v>
      </c>
      <c r="AN16" s="49">
        <v>0.28730699999999998</v>
      </c>
      <c r="AO16" s="49">
        <v>0.279943</v>
      </c>
      <c r="AP16" s="49">
        <v>0.26596199999999998</v>
      </c>
      <c r="AQ16" s="49">
        <v>0.21347099999999999</v>
      </c>
      <c r="AR16" s="49">
        <v>0.228683</v>
      </c>
      <c r="AS16" s="49">
        <v>0.19090199999999999</v>
      </c>
      <c r="AT16" s="49">
        <v>0.178393</v>
      </c>
      <c r="AU16" s="49">
        <v>0.16053899999999999</v>
      </c>
      <c r="AV16" s="49">
        <v>0.26051999999999997</v>
      </c>
      <c r="AW16" s="49">
        <v>0.27159</v>
      </c>
      <c r="AX16" s="49">
        <v>0.29455399999999998</v>
      </c>
      <c r="AY16" s="49">
        <v>0.21294399999999999</v>
      </c>
      <c r="AZ16" s="49">
        <v>0.20601800000000001</v>
      </c>
      <c r="BA16" s="49">
        <v>0.18600700000000001</v>
      </c>
      <c r="BB16" s="49">
        <v>0.22892100000000001</v>
      </c>
      <c r="BC16" s="49">
        <v>0.18732099999999999</v>
      </c>
      <c r="BD16" s="49">
        <v>0.182446</v>
      </c>
      <c r="BE16" s="49">
        <v>0.178202</v>
      </c>
      <c r="BF16" s="49">
        <v>0.16131300000000001</v>
      </c>
      <c r="BG16" s="49">
        <v>0.178507</v>
      </c>
      <c r="BH16" s="49">
        <v>0.18881700000000001</v>
      </c>
      <c r="BI16" s="49">
        <v>0.13587299999999999</v>
      </c>
      <c r="BJ16" s="49">
        <v>0.12884100000000001</v>
      </c>
      <c r="BK16" s="49">
        <v>0.12285500000000001</v>
      </c>
      <c r="BL16" s="49">
        <v>9.7687999999999997E-2</v>
      </c>
    </row>
    <row r="17" spans="1:64" x14ac:dyDescent="0.3">
      <c r="A17" s="49">
        <v>19</v>
      </c>
      <c r="B17" s="49" t="s">
        <v>5018</v>
      </c>
      <c r="C17" s="49" t="s">
        <v>154</v>
      </c>
      <c r="D17" s="49">
        <v>1.4088080000000001</v>
      </c>
      <c r="E17" s="49">
        <v>1.448998</v>
      </c>
      <c r="F17" s="49">
        <v>1.5502819999999999</v>
      </c>
      <c r="G17" s="49">
        <v>1.571153</v>
      </c>
      <c r="H17" s="49">
        <v>1.4972300000000001</v>
      </c>
      <c r="I17" s="49">
        <v>1.519199</v>
      </c>
      <c r="J17" s="49">
        <v>1.4391910000000001</v>
      </c>
      <c r="K17" s="49">
        <v>1.538384</v>
      </c>
      <c r="L17" s="49">
        <v>1.562554</v>
      </c>
      <c r="M17" s="49">
        <v>1.5522800000000001</v>
      </c>
      <c r="N17" s="49">
        <v>1.5815600000000001</v>
      </c>
      <c r="O17" s="49">
        <v>1.652255</v>
      </c>
      <c r="P17" s="49">
        <v>1.7245170000000001</v>
      </c>
      <c r="Q17" s="49">
        <v>1.7805850000000001</v>
      </c>
      <c r="R17" s="49">
        <v>1.913905</v>
      </c>
      <c r="S17" s="49">
        <v>1.962315</v>
      </c>
      <c r="T17" s="49">
        <v>2.0119919999999998</v>
      </c>
      <c r="U17" s="49">
        <v>1.99214</v>
      </c>
      <c r="V17" s="49">
        <v>2.0340590000000001</v>
      </c>
      <c r="W17" s="49">
        <v>2.1168399999999998</v>
      </c>
      <c r="X17" s="49">
        <v>2.1956449999999998</v>
      </c>
      <c r="Y17" s="49">
        <v>2.119631</v>
      </c>
      <c r="Z17" s="49">
        <v>1.737409</v>
      </c>
      <c r="AA17" s="49">
        <v>2.3910309999999999</v>
      </c>
      <c r="AB17" s="49">
        <v>2.6818979999999999</v>
      </c>
      <c r="AC17" s="49">
        <v>2.5057330000000002</v>
      </c>
      <c r="AD17" s="49">
        <v>2.4837889999999998</v>
      </c>
      <c r="AE17" s="49">
        <v>2.453535</v>
      </c>
      <c r="AF17" s="49">
        <v>2.4507850000000002</v>
      </c>
      <c r="AG17" s="49">
        <v>2.4165070000000002</v>
      </c>
      <c r="AH17" s="49">
        <v>3.1637460000000002</v>
      </c>
      <c r="AI17" s="49">
        <v>3.3500939999999999</v>
      </c>
      <c r="AJ17" s="49">
        <v>3.3630949999999999</v>
      </c>
      <c r="AK17" s="49">
        <v>3.5887259999999999</v>
      </c>
      <c r="AL17" s="49">
        <v>4.0879669999999999</v>
      </c>
      <c r="AM17" s="49">
        <v>4.3142649999999998</v>
      </c>
      <c r="AN17" s="49">
        <v>4.6387840000000002</v>
      </c>
      <c r="AO17" s="49">
        <v>5.1758879999999996</v>
      </c>
      <c r="AP17" s="49">
        <v>5.2075630000000004</v>
      </c>
      <c r="AQ17" s="49">
        <v>4.958958</v>
      </c>
      <c r="AR17" s="49">
        <v>4.9597670000000003</v>
      </c>
      <c r="AS17" s="49">
        <v>5.2411799999999999</v>
      </c>
      <c r="AT17" s="49">
        <v>5.0712429999999999</v>
      </c>
      <c r="AU17" s="49">
        <v>5.5722990000000001</v>
      </c>
      <c r="AV17" s="49">
        <v>6.2297390000000004</v>
      </c>
      <c r="AW17" s="49">
        <v>6.3162890000000003</v>
      </c>
      <c r="AX17" s="49">
        <v>6.6107480000000001</v>
      </c>
      <c r="AY17" s="49">
        <v>6.3261209999999997</v>
      </c>
      <c r="AZ17" s="49">
        <v>7.2288670000000002</v>
      </c>
      <c r="BA17" s="49">
        <v>7.2526729999999997</v>
      </c>
      <c r="BB17" s="49">
        <v>7.6228499999999997</v>
      </c>
      <c r="BC17" s="49">
        <v>8.1551229999999997</v>
      </c>
      <c r="BD17" s="49">
        <v>8.8545940000000005</v>
      </c>
      <c r="BE17" s="49">
        <v>8.6163430000000005</v>
      </c>
      <c r="BF17" s="49">
        <v>8.5700900000000004</v>
      </c>
      <c r="BG17" s="49">
        <v>8.7139939999999996</v>
      </c>
      <c r="BH17" s="49">
        <v>8.3292699999999993</v>
      </c>
      <c r="BI17" s="49">
        <v>9.0200610000000001</v>
      </c>
      <c r="BJ17" s="49">
        <v>9.1950620000000001</v>
      </c>
      <c r="BK17" s="49">
        <v>9.2110620000000001</v>
      </c>
      <c r="BL17" s="49">
        <v>9.5375720000000008</v>
      </c>
    </row>
    <row r="18" spans="1:64" x14ac:dyDescent="0.3">
      <c r="A18" s="49">
        <v>20</v>
      </c>
      <c r="B18" s="49" t="s">
        <v>5017</v>
      </c>
      <c r="C18" s="49" t="s">
        <v>159</v>
      </c>
      <c r="D18" s="49">
        <v>0.43343100000000001</v>
      </c>
      <c r="E18" s="49">
        <v>0.160082</v>
      </c>
      <c r="F18" s="49">
        <v>0.15909999999999999</v>
      </c>
      <c r="G18" s="49">
        <v>0.145367</v>
      </c>
      <c r="H18" s="49">
        <v>0.13100999999999999</v>
      </c>
      <c r="I18" s="49">
        <v>0.22333600000000001</v>
      </c>
      <c r="J18" s="49">
        <v>0.47753499999999999</v>
      </c>
      <c r="K18" s="49">
        <v>0.26439299999999999</v>
      </c>
      <c r="L18" s="49">
        <v>0.38981500000000002</v>
      </c>
      <c r="M18" s="49">
        <v>0.43095899999999998</v>
      </c>
      <c r="N18" s="49">
        <v>0.50955799999999996</v>
      </c>
      <c r="O18" s="49">
        <v>0.24587800000000001</v>
      </c>
      <c r="P18" s="49">
        <v>0.32926</v>
      </c>
      <c r="Q18" s="49">
        <v>0.39950000000000002</v>
      </c>
      <c r="R18" s="49">
        <v>0.39152999999999999</v>
      </c>
      <c r="S18" s="49">
        <v>0.47495999999999999</v>
      </c>
      <c r="T18" s="49">
        <v>0.44935000000000003</v>
      </c>
      <c r="U18" s="49">
        <v>0.35077999999999998</v>
      </c>
      <c r="V18" s="49">
        <v>0.24107999999999999</v>
      </c>
      <c r="W18" s="49">
        <v>0.48368</v>
      </c>
      <c r="X18" s="49">
        <v>0.48718</v>
      </c>
      <c r="Y18" s="49">
        <v>0.223971</v>
      </c>
      <c r="Z18" s="49">
        <v>0.21461</v>
      </c>
      <c r="AA18" s="49">
        <v>0.21661</v>
      </c>
      <c r="AB18" s="49">
        <v>0.29531000000000002</v>
      </c>
      <c r="AC18" s="49">
        <v>0.32630999999999999</v>
      </c>
      <c r="AD18" s="49">
        <v>0.34381</v>
      </c>
      <c r="AE18" s="49">
        <v>0.66540999999999995</v>
      </c>
      <c r="AF18" s="49">
        <v>0.62731000000000003</v>
      </c>
      <c r="AG18" s="49">
        <v>0.505857</v>
      </c>
      <c r="AH18" s="49">
        <v>0.33350299999999999</v>
      </c>
      <c r="AI18" s="49">
        <v>0.212895</v>
      </c>
      <c r="AJ18" s="49">
        <v>0.27780500000000002</v>
      </c>
      <c r="AK18" s="49">
        <v>0.556168</v>
      </c>
      <c r="AL18" s="49">
        <v>0.33436399999999999</v>
      </c>
      <c r="AM18" s="49">
        <v>0.62159399999999998</v>
      </c>
      <c r="AN18" s="49">
        <v>0.39757300000000001</v>
      </c>
      <c r="AO18" s="49">
        <v>0.19511800000000001</v>
      </c>
      <c r="AP18" s="49">
        <v>0.26077699999999998</v>
      </c>
      <c r="AQ18" s="49">
        <v>0.39757999999999999</v>
      </c>
      <c r="AR18" s="49">
        <v>0.16376299999999999</v>
      </c>
      <c r="AS18" s="49">
        <v>0.27290799999999998</v>
      </c>
      <c r="AT18" s="49">
        <v>0.13499900000000001</v>
      </c>
      <c r="AU18" s="49">
        <v>0.27007500000000001</v>
      </c>
      <c r="AV18" s="49">
        <v>0.24139099999999999</v>
      </c>
      <c r="AW18" s="49">
        <v>0.29431200000000002</v>
      </c>
      <c r="AX18" s="49">
        <v>0.144784</v>
      </c>
      <c r="AY18" s="49">
        <v>0.29202</v>
      </c>
      <c r="AZ18" s="49">
        <v>0.38963300000000001</v>
      </c>
      <c r="BA18" s="49">
        <v>0.36152200000000001</v>
      </c>
      <c r="BB18" s="49">
        <v>0.44420900000000002</v>
      </c>
      <c r="BC18" s="49">
        <v>0.27801999999999999</v>
      </c>
      <c r="BD18" s="49">
        <v>0.25683099999999998</v>
      </c>
      <c r="BE18" s="49">
        <v>0.41810999999999998</v>
      </c>
      <c r="BF18" s="49">
        <v>0.161382</v>
      </c>
      <c r="BG18" s="49">
        <v>0.28194900000000001</v>
      </c>
      <c r="BH18" s="49">
        <v>0.21618299999999999</v>
      </c>
      <c r="BI18" s="49">
        <v>0.41208</v>
      </c>
      <c r="BJ18" s="49">
        <v>0.21392800000000001</v>
      </c>
      <c r="BK18" s="49">
        <v>0.44904500000000003</v>
      </c>
      <c r="BL18" s="49">
        <v>0.363788</v>
      </c>
    </row>
    <row r="19" spans="1:64" x14ac:dyDescent="0.3">
      <c r="A19" s="49">
        <v>21</v>
      </c>
      <c r="B19" s="49" t="s">
        <v>5016</v>
      </c>
      <c r="C19" s="49" t="s">
        <v>163</v>
      </c>
      <c r="D19" s="49">
        <v>44.768594999999998</v>
      </c>
      <c r="E19" s="49">
        <v>46.679628000000001</v>
      </c>
      <c r="F19" s="49">
        <v>49.694648000000001</v>
      </c>
      <c r="G19" s="49">
        <v>51.039987000000004</v>
      </c>
      <c r="H19" s="49">
        <v>54.238860000000003</v>
      </c>
      <c r="I19" s="49">
        <v>52.467210999999999</v>
      </c>
      <c r="J19" s="49">
        <v>57.034236999999997</v>
      </c>
      <c r="K19" s="49">
        <v>58.516005999999997</v>
      </c>
      <c r="L19" s="49">
        <v>60.196827999999996</v>
      </c>
      <c r="M19" s="49">
        <v>62.488098000000001</v>
      </c>
      <c r="N19" s="49">
        <v>65.904066</v>
      </c>
      <c r="O19" s="49">
        <v>65.816689999999994</v>
      </c>
      <c r="P19" s="49">
        <v>66.211848000000003</v>
      </c>
      <c r="Q19" s="49">
        <v>70.351264999999998</v>
      </c>
      <c r="R19" s="49">
        <v>73.462418</v>
      </c>
      <c r="S19" s="49">
        <v>77.031632000000002</v>
      </c>
      <c r="T19" s="49">
        <v>80.099706999999995</v>
      </c>
      <c r="U19" s="49">
        <v>78.610629000000003</v>
      </c>
      <c r="V19" s="49">
        <v>80.596253000000004</v>
      </c>
      <c r="W19" s="49">
        <v>82.839068999999995</v>
      </c>
      <c r="X19" s="49">
        <v>81.581083000000007</v>
      </c>
      <c r="Y19" s="49">
        <v>87.334209000000001</v>
      </c>
      <c r="Z19" s="49">
        <v>76.056117</v>
      </c>
      <c r="AA19" s="49">
        <v>83.357097999999993</v>
      </c>
      <c r="AB19" s="49">
        <v>86.091948000000002</v>
      </c>
      <c r="AC19" s="49">
        <v>91.149386000000007</v>
      </c>
      <c r="AD19" s="49">
        <v>92.229855999999998</v>
      </c>
      <c r="AE19" s="49">
        <v>94.151763000000003</v>
      </c>
      <c r="AF19" s="49">
        <v>92.559629999999999</v>
      </c>
      <c r="AG19" s="49">
        <v>85.404003000000003</v>
      </c>
      <c r="AH19" s="49">
        <v>114.256636</v>
      </c>
      <c r="AI19" s="49">
        <v>114.55999799999999</v>
      </c>
      <c r="AJ19" s="49">
        <v>105.98232299999999</v>
      </c>
      <c r="AK19" s="49">
        <v>116.797219</v>
      </c>
      <c r="AL19" s="49">
        <v>116.008534</v>
      </c>
      <c r="AM19" s="49">
        <v>103.485776</v>
      </c>
      <c r="AN19" s="49">
        <v>108.153099</v>
      </c>
      <c r="AO19" s="49">
        <v>108.78433099999999</v>
      </c>
      <c r="AP19" s="49">
        <v>112.616162</v>
      </c>
      <c r="AQ19" s="49">
        <v>115.792773</v>
      </c>
      <c r="AR19" s="49">
        <v>116.41605300000001</v>
      </c>
      <c r="AS19" s="49">
        <v>124.271643</v>
      </c>
      <c r="AT19" s="49">
        <v>135.315665</v>
      </c>
      <c r="AU19" s="49">
        <v>147.80937299999999</v>
      </c>
      <c r="AV19" s="49">
        <v>150.77521400000001</v>
      </c>
      <c r="AW19" s="49">
        <v>146.514544</v>
      </c>
      <c r="AX19" s="49">
        <v>146.257586</v>
      </c>
      <c r="AY19" s="49">
        <v>152.843873</v>
      </c>
      <c r="AZ19" s="49">
        <v>152.78891300000001</v>
      </c>
      <c r="BA19" s="49">
        <v>154.36711099999999</v>
      </c>
      <c r="BB19" s="49">
        <v>161.61556899999999</v>
      </c>
      <c r="BC19" s="49">
        <v>162.70503500000001</v>
      </c>
      <c r="BD19" s="49">
        <v>172.54027500000001</v>
      </c>
      <c r="BE19" s="49">
        <v>183.442545</v>
      </c>
      <c r="BF19" s="49">
        <v>186.130833</v>
      </c>
      <c r="BG19" s="49">
        <v>185.77090899999999</v>
      </c>
      <c r="BH19" s="49">
        <v>191.909265</v>
      </c>
      <c r="BI19" s="49">
        <v>192.571922</v>
      </c>
      <c r="BJ19" s="49">
        <v>200.41834800000001</v>
      </c>
      <c r="BK19" s="49">
        <v>206.565056</v>
      </c>
      <c r="BL19" s="49">
        <v>213.45743200000001</v>
      </c>
    </row>
    <row r="20" spans="1:64" x14ac:dyDescent="0.3">
      <c r="A20" s="49">
        <v>23</v>
      </c>
      <c r="B20" s="49" t="s">
        <v>5015</v>
      </c>
      <c r="C20" s="49" t="s">
        <v>142</v>
      </c>
      <c r="D20" s="49">
        <v>3.3813000000000003E-2</v>
      </c>
      <c r="E20" s="49">
        <v>2.7536000000000001E-2</v>
      </c>
      <c r="F20" s="49">
        <v>3.0372E-2</v>
      </c>
      <c r="G20" s="49">
        <v>3.7183000000000001E-2</v>
      </c>
      <c r="H20" s="49">
        <v>4.1694000000000002E-2</v>
      </c>
      <c r="I20" s="49">
        <v>4.6136999999999997E-2</v>
      </c>
      <c r="J20" s="49">
        <v>5.3790999999999999E-2</v>
      </c>
      <c r="K20" s="49">
        <v>6.5584000000000003E-2</v>
      </c>
      <c r="L20" s="49">
        <v>5.9612999999999999E-2</v>
      </c>
      <c r="M20" s="49">
        <v>6.7308999999999994E-2</v>
      </c>
      <c r="N20" s="49">
        <v>6.8429000000000004E-2</v>
      </c>
      <c r="O20" s="49">
        <v>7.3181999999999997E-2</v>
      </c>
      <c r="P20" s="49">
        <v>6.9399000000000002E-2</v>
      </c>
      <c r="Q20" s="49">
        <v>8.1291000000000002E-2</v>
      </c>
      <c r="R20" s="49">
        <v>8.9659000000000003E-2</v>
      </c>
      <c r="S20" s="49">
        <v>9.4890000000000002E-2</v>
      </c>
      <c r="T20" s="49">
        <v>9.2189999999999994E-2</v>
      </c>
      <c r="U20" s="49">
        <v>9.2128000000000002E-2</v>
      </c>
      <c r="V20" s="49">
        <v>8.9704000000000006E-2</v>
      </c>
      <c r="W20" s="49">
        <v>0.100647</v>
      </c>
      <c r="X20" s="49">
        <v>0.10467600000000001</v>
      </c>
      <c r="Y20" s="49">
        <v>0.103779</v>
      </c>
      <c r="Z20" s="49">
        <v>9.1696E-2</v>
      </c>
      <c r="AA20" s="49">
        <v>9.5231999999999997E-2</v>
      </c>
      <c r="AB20" s="49">
        <v>0.101982</v>
      </c>
      <c r="AC20" s="49">
        <v>9.8706000000000002E-2</v>
      </c>
      <c r="AD20" s="49">
        <v>0.11286400000000001</v>
      </c>
      <c r="AE20" s="49">
        <v>0.110584</v>
      </c>
      <c r="AF20" s="49">
        <v>0.14071400000000001</v>
      </c>
      <c r="AG20" s="49">
        <v>0.14541699999999999</v>
      </c>
      <c r="AH20" s="49">
        <v>0.17072000000000001</v>
      </c>
      <c r="AI20" s="49">
        <v>0.17938699999999999</v>
      </c>
      <c r="AJ20" s="49">
        <v>0.197348</v>
      </c>
      <c r="AK20" s="49">
        <v>0.14610699999999999</v>
      </c>
      <c r="AL20" s="49">
        <v>0.17824899999999999</v>
      </c>
      <c r="AM20" s="49">
        <v>0.17455000000000001</v>
      </c>
      <c r="AN20" s="49">
        <v>0.19303500000000001</v>
      </c>
      <c r="AO20" s="49">
        <v>0.19486300000000001</v>
      </c>
      <c r="AP20" s="49">
        <v>0.207618</v>
      </c>
      <c r="AQ20" s="49">
        <v>0.18629699999999999</v>
      </c>
      <c r="AR20" s="49">
        <v>0.178424</v>
      </c>
      <c r="AS20" s="49">
        <v>0.174315</v>
      </c>
      <c r="AT20" s="49">
        <v>0.16750100000000001</v>
      </c>
      <c r="AU20" s="49">
        <v>0.17091000000000001</v>
      </c>
      <c r="AV20" s="49">
        <v>0.177393</v>
      </c>
      <c r="AW20" s="49">
        <v>0.16422500000000001</v>
      </c>
      <c r="AX20" s="49">
        <v>0.181227</v>
      </c>
      <c r="AY20" s="49">
        <v>0.18732299999999999</v>
      </c>
      <c r="AZ20" s="49">
        <v>0.199765</v>
      </c>
      <c r="BA20" s="49">
        <v>0.19764599999999999</v>
      </c>
      <c r="BB20" s="49">
        <v>0.200823</v>
      </c>
      <c r="BC20" s="49">
        <v>0.200518</v>
      </c>
      <c r="BD20" s="49">
        <v>0.21757599999999999</v>
      </c>
      <c r="BE20" s="49">
        <v>0.212086</v>
      </c>
      <c r="BF20" s="49">
        <v>0.231215</v>
      </c>
      <c r="BG20" s="49">
        <v>0.22528300000000001</v>
      </c>
      <c r="BH20" s="49">
        <v>0.23569799999999999</v>
      </c>
      <c r="BI20" s="49">
        <v>0.23708899999999999</v>
      </c>
      <c r="BJ20" s="49">
        <v>0.23680000000000001</v>
      </c>
      <c r="BK20" s="49">
        <v>0.25773299999999999</v>
      </c>
      <c r="BL20" s="49">
        <v>0.25312299999999999</v>
      </c>
    </row>
    <row r="21" spans="1:64" x14ac:dyDescent="0.3">
      <c r="A21" s="49">
        <v>25</v>
      </c>
      <c r="B21" s="49" t="s">
        <v>5014</v>
      </c>
      <c r="C21" s="49" t="s">
        <v>582</v>
      </c>
      <c r="D21" s="49">
        <v>4.7657999999999999E-2</v>
      </c>
      <c r="E21" s="49">
        <v>4.6837999999999998E-2</v>
      </c>
      <c r="F21" s="49">
        <v>4.8996999999999999E-2</v>
      </c>
      <c r="G21" s="49">
        <v>4.9248E-2</v>
      </c>
      <c r="H21" s="49">
        <v>4.9439999999999998E-2</v>
      </c>
      <c r="I21" s="49">
        <v>4.7926999999999997E-2</v>
      </c>
      <c r="J21" s="49">
        <v>4.8037999999999997E-2</v>
      </c>
      <c r="K21" s="49">
        <v>4.6625E-2</v>
      </c>
      <c r="L21" s="49">
        <v>5.2033999999999997E-2</v>
      </c>
      <c r="M21" s="49">
        <v>5.1813999999999999E-2</v>
      </c>
      <c r="N21" s="49">
        <v>5.2942000000000003E-2</v>
      </c>
      <c r="O21" s="49">
        <v>5.1515999999999999E-2</v>
      </c>
      <c r="P21" s="49">
        <v>5.1686000000000003E-2</v>
      </c>
      <c r="Q21" s="49">
        <v>5.2033999999999997E-2</v>
      </c>
      <c r="R21" s="49">
        <v>5.3088000000000003E-2</v>
      </c>
      <c r="S21" s="49">
        <v>5.4757E-2</v>
      </c>
      <c r="T21" s="49">
        <v>5.8108E-2</v>
      </c>
      <c r="U21" s="49">
        <v>6.0470000000000003E-2</v>
      </c>
      <c r="V21" s="49">
        <v>6.6825999999999997E-2</v>
      </c>
      <c r="W21" s="49">
        <v>6.8789000000000003E-2</v>
      </c>
      <c r="X21" s="49">
        <v>6.9794999999999996E-2</v>
      </c>
      <c r="Y21" s="49">
        <v>6.7521999999999999E-2</v>
      </c>
      <c r="Z21" s="49">
        <v>6.7818000000000003E-2</v>
      </c>
      <c r="AA21" s="49">
        <v>6.9180000000000005E-2</v>
      </c>
      <c r="AB21" s="49">
        <v>7.2066000000000005E-2</v>
      </c>
      <c r="AC21" s="49">
        <v>7.3188000000000003E-2</v>
      </c>
      <c r="AD21" s="49">
        <v>7.0847999999999994E-2</v>
      </c>
      <c r="AE21" s="49">
        <v>7.4584999999999999E-2</v>
      </c>
      <c r="AF21" s="49">
        <v>7.2730000000000003E-2</v>
      </c>
      <c r="AG21" s="49">
        <v>7.6204999999999995E-2</v>
      </c>
      <c r="AH21" s="49">
        <v>0.15803200000000001</v>
      </c>
      <c r="AI21" s="49">
        <v>0.16658700000000001</v>
      </c>
      <c r="AJ21" s="49">
        <v>0.16720399999999999</v>
      </c>
      <c r="AK21" s="49">
        <v>0.167714</v>
      </c>
      <c r="AL21" s="49">
        <v>0.17063600000000001</v>
      </c>
      <c r="AM21" s="49">
        <v>0.16823299999999999</v>
      </c>
      <c r="AN21" s="49">
        <v>0.17122999999999999</v>
      </c>
      <c r="AO21" s="49">
        <v>0.17179900000000001</v>
      </c>
      <c r="AP21" s="49">
        <v>0.171401</v>
      </c>
      <c r="AQ21" s="49">
        <v>0.176814</v>
      </c>
      <c r="AR21" s="49">
        <v>0.17601800000000001</v>
      </c>
      <c r="AS21" s="49">
        <v>0.17924499999999999</v>
      </c>
      <c r="AT21" s="49">
        <v>0.18443499999999999</v>
      </c>
      <c r="AU21" s="49">
        <v>0.18501699999999999</v>
      </c>
      <c r="AV21" s="49">
        <v>0.22134300000000001</v>
      </c>
      <c r="AW21" s="49">
        <v>0.229099</v>
      </c>
      <c r="AX21" s="49">
        <v>0.23861499999999999</v>
      </c>
      <c r="AY21" s="49">
        <v>0.23394400000000001</v>
      </c>
      <c r="AZ21" s="49">
        <v>0.24149000000000001</v>
      </c>
      <c r="BA21" s="49">
        <v>0.20852399999999999</v>
      </c>
      <c r="BB21" s="49">
        <v>0.21449299999999999</v>
      </c>
      <c r="BC21" s="49">
        <v>0.21773100000000001</v>
      </c>
      <c r="BD21" s="49">
        <v>0.22221099999999999</v>
      </c>
      <c r="BE21" s="49">
        <v>0.22639799999999999</v>
      </c>
      <c r="BF21" s="49">
        <v>0.228465</v>
      </c>
      <c r="BG21" s="49">
        <v>0.23158799999999999</v>
      </c>
      <c r="BH21" s="49">
        <v>0.23524300000000001</v>
      </c>
      <c r="BI21" s="49">
        <v>0.238783</v>
      </c>
      <c r="BJ21" s="49">
        <v>0.241448</v>
      </c>
      <c r="BK21" s="49">
        <v>0.25491999999999998</v>
      </c>
      <c r="BL21" s="49">
        <v>0.26889000000000002</v>
      </c>
    </row>
    <row r="22" spans="1:64" x14ac:dyDescent="0.3">
      <c r="A22" s="49">
        <v>26</v>
      </c>
      <c r="B22" s="49" t="s">
        <v>5013</v>
      </c>
      <c r="C22" s="49" t="s">
        <v>170</v>
      </c>
      <c r="D22" s="49">
        <v>4.3603999999999997E-2</v>
      </c>
      <c r="E22" s="49">
        <v>4.1109E-2</v>
      </c>
      <c r="F22" s="49">
        <v>3.4862999999999998E-2</v>
      </c>
      <c r="G22" s="49">
        <v>3.4347000000000003E-2</v>
      </c>
      <c r="H22" s="49">
        <v>3.5333999999999997E-2</v>
      </c>
      <c r="I22" s="49">
        <v>3.6032000000000002E-2</v>
      </c>
      <c r="J22" s="49">
        <v>3.7977999999999998E-2</v>
      </c>
      <c r="K22" s="49">
        <v>3.7692000000000003E-2</v>
      </c>
      <c r="L22" s="49">
        <v>3.5879000000000001E-2</v>
      </c>
      <c r="M22" s="49">
        <v>3.5607E-2</v>
      </c>
      <c r="N22" s="49">
        <v>3.3730000000000003E-2</v>
      </c>
      <c r="O22" s="49">
        <v>1.6288E-2</v>
      </c>
      <c r="P22" s="49">
        <v>1.8336000000000002E-2</v>
      </c>
      <c r="Q22" s="49">
        <v>2.0351999999999999E-2</v>
      </c>
      <c r="R22" s="49">
        <v>1.9432000000000001E-2</v>
      </c>
      <c r="S22" s="49">
        <v>1.9431E-2</v>
      </c>
      <c r="T22" s="49">
        <v>1.6097E-2</v>
      </c>
      <c r="U22" s="49">
        <v>1.3185000000000001E-2</v>
      </c>
      <c r="V22" s="49">
        <v>1.2658000000000001E-2</v>
      </c>
      <c r="W22" s="49">
        <v>1.5506000000000001E-2</v>
      </c>
      <c r="X22" s="49">
        <v>1.3716000000000001E-2</v>
      </c>
      <c r="Y22" s="49">
        <v>1.2999999999999999E-2</v>
      </c>
      <c r="Z22" s="49">
        <v>1.3391E-2</v>
      </c>
      <c r="AA22" s="49">
        <v>2.1647E-2</v>
      </c>
      <c r="AB22" s="49">
        <v>1.9081999999999998E-2</v>
      </c>
      <c r="AC22" s="49">
        <v>1.9029000000000001E-2</v>
      </c>
      <c r="AD22" s="49">
        <v>1.9636000000000001E-2</v>
      </c>
      <c r="AE22" s="49">
        <v>1.9436999999999999E-2</v>
      </c>
      <c r="AF22" s="49">
        <v>1.8828999999999999E-2</v>
      </c>
      <c r="AG22" s="49">
        <v>1.9786999999999999E-2</v>
      </c>
      <c r="AH22" s="49">
        <v>1.9120000000000002E-2</v>
      </c>
      <c r="AI22" s="49">
        <v>1.8450999999999999E-2</v>
      </c>
      <c r="AJ22" s="49">
        <v>1.8383E-2</v>
      </c>
      <c r="AK22" s="49">
        <v>1.9417E-2</v>
      </c>
      <c r="AL22" s="49">
        <v>2.1884000000000001E-2</v>
      </c>
      <c r="AM22" s="49">
        <v>2.4046000000000001E-2</v>
      </c>
      <c r="AN22" s="49">
        <v>2.4079E-2</v>
      </c>
      <c r="AO22" s="49">
        <v>2.3453999999999999E-2</v>
      </c>
      <c r="AP22" s="49">
        <v>2.5881000000000001E-2</v>
      </c>
      <c r="AQ22" s="49">
        <v>3.109E-2</v>
      </c>
      <c r="AR22" s="49">
        <v>3.1654000000000002E-2</v>
      </c>
      <c r="AS22" s="49">
        <v>3.3418000000000003E-2</v>
      </c>
      <c r="AT22" s="49">
        <v>3.1415999999999999E-2</v>
      </c>
      <c r="AU22" s="49">
        <v>3.0719E-2</v>
      </c>
      <c r="AV22" s="49">
        <v>2.9742999999999999E-2</v>
      </c>
      <c r="AW22" s="49">
        <v>2.2363000000000001E-2</v>
      </c>
      <c r="AX22" s="49">
        <v>2.1876E-2</v>
      </c>
      <c r="AY22" s="49">
        <v>2.2943000000000002E-2</v>
      </c>
      <c r="AZ22" s="49">
        <v>2.4413000000000001E-2</v>
      </c>
      <c r="BA22" s="49">
        <v>2.5169E-2</v>
      </c>
      <c r="BB22" s="49">
        <v>2.5138000000000001E-2</v>
      </c>
      <c r="BC22" s="49">
        <v>2.6180999999999999E-2</v>
      </c>
      <c r="BD22" s="49">
        <v>2.5631999999999999E-2</v>
      </c>
      <c r="BE22" s="49">
        <v>2.5308000000000001E-2</v>
      </c>
      <c r="BF22" s="49">
        <v>2.1741E-2</v>
      </c>
      <c r="BG22" s="49">
        <v>2.4908E-2</v>
      </c>
      <c r="BH22" s="49">
        <v>2.4504999999999999E-2</v>
      </c>
      <c r="BI22" s="49">
        <v>2.3487000000000001E-2</v>
      </c>
      <c r="BJ22" s="49">
        <v>2.3945999999999999E-2</v>
      </c>
      <c r="BK22" s="49">
        <v>2.3605000000000001E-2</v>
      </c>
      <c r="BL22" s="49">
        <v>2.3401999999999999E-2</v>
      </c>
    </row>
    <row r="23" spans="1:64" x14ac:dyDescent="0.3">
      <c r="A23" s="49">
        <v>27</v>
      </c>
      <c r="B23" s="49" t="s">
        <v>5012</v>
      </c>
      <c r="C23" s="49" t="s">
        <v>178</v>
      </c>
      <c r="D23" s="49">
        <v>7.056254</v>
      </c>
      <c r="E23" s="49">
        <v>6.9042969999999997</v>
      </c>
      <c r="F23" s="49">
        <v>6.8594929999999996</v>
      </c>
      <c r="G23" s="49">
        <v>7.0258029999999998</v>
      </c>
      <c r="H23" s="49">
        <v>6.6712980000000002</v>
      </c>
      <c r="I23" s="49">
        <v>6.7016039999999997</v>
      </c>
      <c r="J23" s="49">
        <v>6.424264</v>
      </c>
      <c r="K23" s="49">
        <v>6.2316739999999999</v>
      </c>
      <c r="L23" s="49">
        <v>6.1043979999999998</v>
      </c>
      <c r="M23" s="49">
        <v>6.1149290000000001</v>
      </c>
      <c r="N23" s="49">
        <v>6.1441480000000004</v>
      </c>
      <c r="O23" s="49">
        <v>6.1070330000000004</v>
      </c>
      <c r="P23" s="49">
        <v>5.8334510000000002</v>
      </c>
      <c r="Q23" s="49">
        <v>5.8877769999999998</v>
      </c>
      <c r="R23" s="49">
        <v>6.1820430000000002</v>
      </c>
      <c r="S23" s="49">
        <v>6.187284</v>
      </c>
      <c r="T23" s="49">
        <v>6.151173</v>
      </c>
      <c r="U23" s="49">
        <v>5.8989979999999997</v>
      </c>
      <c r="V23" s="49">
        <v>5.9950429999999999</v>
      </c>
      <c r="W23" s="49">
        <v>5.682175</v>
      </c>
      <c r="X23" s="49">
        <v>5.7915320000000001</v>
      </c>
      <c r="Y23" s="49">
        <v>5.885008</v>
      </c>
      <c r="Z23" s="49">
        <v>5.7946580000000001</v>
      </c>
      <c r="AA23" s="49">
        <v>5.6527240000000001</v>
      </c>
      <c r="AB23" s="49">
        <v>5.2829220000000001</v>
      </c>
      <c r="AC23" s="49">
        <v>5.730461</v>
      </c>
      <c r="AD23" s="49">
        <v>5.4425780000000001</v>
      </c>
      <c r="AE23" s="49">
        <v>5.6865969999999999</v>
      </c>
      <c r="AF23" s="49">
        <v>5.7664980000000003</v>
      </c>
      <c r="AG23" s="49">
        <v>5.5496790000000003</v>
      </c>
      <c r="AH23" s="49">
        <v>6.579796</v>
      </c>
      <c r="AI23" s="49">
        <v>7.0515790000000003</v>
      </c>
      <c r="AJ23" s="49">
        <v>6.9374739999999999</v>
      </c>
      <c r="AK23" s="49">
        <v>7.091825</v>
      </c>
      <c r="AL23" s="49">
        <v>7.1369389999999999</v>
      </c>
      <c r="AM23" s="49">
        <v>6.0819349999999996</v>
      </c>
      <c r="AN23" s="49">
        <v>6.4759289999999998</v>
      </c>
      <c r="AO23" s="49">
        <v>6.7328760000000001</v>
      </c>
      <c r="AP23" s="49">
        <v>6.4102030000000001</v>
      </c>
      <c r="AQ23" s="49">
        <v>6.1758699999999997</v>
      </c>
      <c r="AR23" s="49">
        <v>6.3074979999999998</v>
      </c>
      <c r="AS23" s="49">
        <v>6.5562110000000002</v>
      </c>
      <c r="AT23" s="49">
        <v>6.0383449999999996</v>
      </c>
      <c r="AU23" s="49">
        <v>6.2424910000000002</v>
      </c>
      <c r="AV23" s="49">
        <v>5.9924379999999999</v>
      </c>
      <c r="AW23" s="49">
        <v>5.9838959999999997</v>
      </c>
      <c r="AX23" s="49">
        <v>5.6133639999999998</v>
      </c>
      <c r="AY23" s="49">
        <v>6.3528279999999997</v>
      </c>
      <c r="AZ23" s="49">
        <v>6.5002890000000004</v>
      </c>
      <c r="BA23" s="49">
        <v>6.8757539999999997</v>
      </c>
      <c r="BB23" s="49">
        <v>6.9230609999999997</v>
      </c>
      <c r="BC23" s="49">
        <v>6.9179599999999999</v>
      </c>
      <c r="BD23" s="49">
        <v>7.3896259999999998</v>
      </c>
      <c r="BE23" s="49">
        <v>7.3065110000000004</v>
      </c>
      <c r="BF23" s="49">
        <v>7.1121759999999998</v>
      </c>
      <c r="BG23" s="49">
        <v>7.090395</v>
      </c>
      <c r="BH23" s="49">
        <v>7.1632540000000002</v>
      </c>
      <c r="BI23" s="49">
        <v>5.051857</v>
      </c>
      <c r="BJ23" s="49">
        <v>5.1249209999999996</v>
      </c>
      <c r="BK23" s="49">
        <v>5.1500199999999996</v>
      </c>
      <c r="BL23" s="49">
        <v>5.1620200000000001</v>
      </c>
    </row>
    <row r="24" spans="1:64" x14ac:dyDescent="0.3">
      <c r="A24" s="49">
        <v>28</v>
      </c>
      <c r="B24" s="49" t="s">
        <v>5011</v>
      </c>
      <c r="C24" s="49" t="s">
        <v>451</v>
      </c>
      <c r="D24" s="49">
        <v>11.933714999999999</v>
      </c>
      <c r="E24" s="49">
        <v>13.109983</v>
      </c>
      <c r="F24" s="49">
        <v>13.948517000000001</v>
      </c>
      <c r="G24" s="49">
        <v>14.120862000000001</v>
      </c>
      <c r="H24" s="49">
        <v>13.998816</v>
      </c>
      <c r="I24" s="49">
        <v>13.262518</v>
      </c>
      <c r="J24" s="49">
        <v>13.582689999999999</v>
      </c>
      <c r="K24" s="49">
        <v>13.777002</v>
      </c>
      <c r="L24" s="49">
        <v>13.605867999999999</v>
      </c>
      <c r="M24" s="49">
        <v>13.856716</v>
      </c>
      <c r="N24" s="49">
        <v>13.989639</v>
      </c>
      <c r="O24" s="49">
        <v>13.662570000000001</v>
      </c>
      <c r="P24" s="49">
        <v>14.087747999999999</v>
      </c>
      <c r="Q24" s="49">
        <v>14.310594</v>
      </c>
      <c r="R24" s="49">
        <v>14.566235000000001</v>
      </c>
      <c r="S24" s="49">
        <v>14.301662</v>
      </c>
      <c r="T24" s="49">
        <v>14.097156999999999</v>
      </c>
      <c r="U24" s="49">
        <v>14.581685999999999</v>
      </c>
      <c r="V24" s="49">
        <v>13.93496</v>
      </c>
      <c r="W24" s="49">
        <v>14.028570999999999</v>
      </c>
      <c r="X24" s="49">
        <v>14.599453</v>
      </c>
      <c r="Y24" s="49">
        <v>14.11637</v>
      </c>
      <c r="Z24" s="49">
        <v>14.647334000000001</v>
      </c>
      <c r="AA24" s="49">
        <v>14.70562</v>
      </c>
      <c r="AB24" s="49">
        <v>15.170845</v>
      </c>
      <c r="AC24" s="49">
        <v>15.154566000000001</v>
      </c>
      <c r="AD24" s="49">
        <v>14.235498</v>
      </c>
      <c r="AE24" s="49">
        <v>14.014355999999999</v>
      </c>
      <c r="AF24" s="49">
        <v>14.229528999999999</v>
      </c>
      <c r="AG24" s="49">
        <v>14.829280000000001</v>
      </c>
      <c r="AH24" s="49">
        <v>17.820046999999999</v>
      </c>
      <c r="AI24" s="49">
        <v>20.081969999999998</v>
      </c>
      <c r="AJ24" s="49">
        <v>21.007944999999999</v>
      </c>
      <c r="AK24" s="49">
        <v>22.401968</v>
      </c>
      <c r="AL24" s="49">
        <v>23.813124999999999</v>
      </c>
      <c r="AM24" s="49">
        <v>24.100182</v>
      </c>
      <c r="AN24" s="49">
        <v>22.713999999999999</v>
      </c>
      <c r="AO24" s="49">
        <v>22.920964000000001</v>
      </c>
      <c r="AP24" s="49">
        <v>27.511848000000001</v>
      </c>
      <c r="AQ24" s="49">
        <v>29.400552000000001</v>
      </c>
      <c r="AR24" s="49">
        <v>30.009126999999999</v>
      </c>
      <c r="AS24" s="49">
        <v>30.736114000000001</v>
      </c>
      <c r="AT24" s="49">
        <v>31.920127999999998</v>
      </c>
      <c r="AU24" s="49">
        <v>32.869072000000003</v>
      </c>
      <c r="AV24" s="49">
        <v>34.344799999999999</v>
      </c>
      <c r="AW24" s="49">
        <v>37.445152999999998</v>
      </c>
      <c r="AX24" s="49">
        <v>38.016074000000003</v>
      </c>
      <c r="AY24" s="49">
        <v>39.785521000000003</v>
      </c>
      <c r="AZ24" s="49">
        <v>40.330714999999998</v>
      </c>
      <c r="BA24" s="49">
        <v>40.217824</v>
      </c>
      <c r="BB24" s="49">
        <v>38.246226</v>
      </c>
      <c r="BC24" s="49">
        <v>37.010632000000001</v>
      </c>
      <c r="BD24" s="49">
        <v>37.674574</v>
      </c>
      <c r="BE24" s="49">
        <v>37.823016000000003</v>
      </c>
      <c r="BF24" s="49">
        <v>37.964426000000003</v>
      </c>
      <c r="BG24" s="49">
        <v>37.672834000000002</v>
      </c>
      <c r="BH24" s="49">
        <v>37.187004000000002</v>
      </c>
      <c r="BI24" s="49">
        <v>36.858474000000001</v>
      </c>
      <c r="BJ24" s="49">
        <v>36.436549999999997</v>
      </c>
      <c r="BK24" s="49">
        <v>35.984740000000002</v>
      </c>
      <c r="BL24" s="49">
        <v>35.202913000000002</v>
      </c>
    </row>
    <row r="25" spans="1:64" x14ac:dyDescent="0.3">
      <c r="A25" s="49">
        <v>29</v>
      </c>
      <c r="B25" s="49" t="s">
        <v>5010</v>
      </c>
      <c r="C25" s="49" t="s">
        <v>182</v>
      </c>
      <c r="D25" s="49">
        <v>1.5284260000000001</v>
      </c>
      <c r="E25" s="49">
        <v>1.5061359999999999</v>
      </c>
      <c r="F25" s="49">
        <v>1.555018</v>
      </c>
      <c r="G25" s="49">
        <v>1.6392949999999999</v>
      </c>
      <c r="H25" s="49">
        <v>1.673753</v>
      </c>
      <c r="I25" s="49">
        <v>1.687522</v>
      </c>
      <c r="J25" s="49">
        <v>1.7361899999999999</v>
      </c>
      <c r="K25" s="49">
        <v>1.7670760000000001</v>
      </c>
      <c r="L25" s="49">
        <v>1.685764</v>
      </c>
      <c r="M25" s="49">
        <v>1.7166090000000001</v>
      </c>
      <c r="N25" s="49">
        <v>1.7406839999999999</v>
      </c>
      <c r="O25" s="49">
        <v>1.66425</v>
      </c>
      <c r="P25" s="49">
        <v>1.7799959999999999</v>
      </c>
      <c r="Q25" s="49">
        <v>1.630269</v>
      </c>
      <c r="R25" s="49">
        <v>1.7990489999999999</v>
      </c>
      <c r="S25" s="49">
        <v>1.81267</v>
      </c>
      <c r="T25" s="49">
        <v>1.8388409999999999</v>
      </c>
      <c r="U25" s="49">
        <v>1.771792</v>
      </c>
      <c r="V25" s="49">
        <v>1.8314550000000001</v>
      </c>
      <c r="W25" s="49">
        <v>1.9620919999999999</v>
      </c>
      <c r="X25" s="49">
        <v>1.929046</v>
      </c>
      <c r="Y25" s="49">
        <v>2.0202840000000002</v>
      </c>
      <c r="Z25" s="49">
        <v>2.017595</v>
      </c>
      <c r="AA25" s="49">
        <v>1.8972439999999999</v>
      </c>
      <c r="AB25" s="49">
        <v>2.1567750000000001</v>
      </c>
      <c r="AC25" s="49">
        <v>2.2316959999999999</v>
      </c>
      <c r="AD25" s="49">
        <v>2.3068019999999998</v>
      </c>
      <c r="AE25" s="49">
        <v>2.3698619999999999</v>
      </c>
      <c r="AF25" s="49">
        <v>2.1980559999999998</v>
      </c>
      <c r="AG25" s="49">
        <v>2.219662</v>
      </c>
      <c r="AH25" s="49">
        <v>2.380198</v>
      </c>
      <c r="AI25" s="49">
        <v>2.420134</v>
      </c>
      <c r="AJ25" s="49">
        <v>2.3807299999999998</v>
      </c>
      <c r="AK25" s="49">
        <v>2.0548510000000002</v>
      </c>
      <c r="AL25" s="49">
        <v>2.2177910000000001</v>
      </c>
      <c r="AM25" s="49">
        <v>2.2562989999999998</v>
      </c>
      <c r="AN25" s="49">
        <v>2.2650220000000001</v>
      </c>
      <c r="AO25" s="49">
        <v>2.2270379999999999</v>
      </c>
      <c r="AP25" s="49">
        <v>2.1703290000000002</v>
      </c>
      <c r="AQ25" s="49">
        <v>2.1185369999999999</v>
      </c>
      <c r="AR25" s="49">
        <v>2.326695</v>
      </c>
      <c r="AS25" s="49">
        <v>2.515387</v>
      </c>
      <c r="AT25" s="49">
        <v>2.3524240000000001</v>
      </c>
      <c r="AU25" s="49">
        <v>2.4791240000000001</v>
      </c>
      <c r="AV25" s="49">
        <v>2.3840490000000001</v>
      </c>
      <c r="AW25" s="49">
        <v>2.3770229999999999</v>
      </c>
      <c r="AX25" s="49">
        <v>2.2353489999999998</v>
      </c>
      <c r="AY25" s="49">
        <v>2.3489429999999998</v>
      </c>
      <c r="AZ25" s="49">
        <v>2.365653</v>
      </c>
      <c r="BA25" s="49">
        <v>2.495981</v>
      </c>
      <c r="BB25" s="49">
        <v>2.4596789999999999</v>
      </c>
      <c r="BC25" s="49">
        <v>2.665095</v>
      </c>
      <c r="BD25" s="49">
        <v>2.6709459999999998</v>
      </c>
      <c r="BE25" s="49">
        <v>2.634585</v>
      </c>
      <c r="BF25" s="49">
        <v>2.7089539999999999</v>
      </c>
      <c r="BG25" s="49">
        <v>2.9681649999999999</v>
      </c>
      <c r="BH25" s="49">
        <v>3.1351520000000002</v>
      </c>
      <c r="BI25" s="49">
        <v>3.4419759999999999</v>
      </c>
      <c r="BJ25" s="49">
        <v>4.2372670000000001</v>
      </c>
      <c r="BK25" s="49">
        <v>4.328824</v>
      </c>
      <c r="BL25" s="49">
        <v>3.767048</v>
      </c>
    </row>
    <row r="26" spans="1:64" x14ac:dyDescent="0.3">
      <c r="A26" s="49">
        <v>32</v>
      </c>
      <c r="B26" s="49" t="s">
        <v>5009</v>
      </c>
      <c r="C26" s="49" t="s">
        <v>190</v>
      </c>
      <c r="D26" s="49">
        <v>3.5320279999999999</v>
      </c>
      <c r="E26" s="49">
        <v>3.8031700000000002</v>
      </c>
      <c r="F26" s="49">
        <v>4.0172639999999999</v>
      </c>
      <c r="G26" s="49">
        <v>3.9770089999999998</v>
      </c>
      <c r="H26" s="49">
        <v>3.8573719999999998</v>
      </c>
      <c r="I26" s="49">
        <v>3.9445749999999999</v>
      </c>
      <c r="J26" s="49">
        <v>4.1791999999999998</v>
      </c>
      <c r="K26" s="49">
        <v>4.2495940000000001</v>
      </c>
      <c r="L26" s="49">
        <v>4.4476639999999996</v>
      </c>
      <c r="M26" s="49">
        <v>4.6042540000000001</v>
      </c>
      <c r="N26" s="49">
        <v>4.8729769999999997</v>
      </c>
      <c r="O26" s="49">
        <v>4.7534720000000004</v>
      </c>
      <c r="P26" s="49">
        <v>4.965713</v>
      </c>
      <c r="Q26" s="49">
        <v>5.2224519999999997</v>
      </c>
      <c r="R26" s="49">
        <v>5.4521459999999999</v>
      </c>
      <c r="S26" s="49">
        <v>5.219595</v>
      </c>
      <c r="T26" s="49">
        <v>5.2492530000000004</v>
      </c>
      <c r="U26" s="49">
        <v>5.3070760000000003</v>
      </c>
      <c r="V26" s="49">
        <v>5.3154300000000001</v>
      </c>
      <c r="W26" s="49">
        <v>5.3086909999999996</v>
      </c>
      <c r="X26" s="49">
        <v>5.153537</v>
      </c>
      <c r="Y26" s="49">
        <v>5.4933509999999997</v>
      </c>
      <c r="Z26" s="49">
        <v>5.6231910000000003</v>
      </c>
      <c r="AA26" s="49">
        <v>4.6132879999999998</v>
      </c>
      <c r="AB26" s="49">
        <v>4.9971079999999999</v>
      </c>
      <c r="AC26" s="49">
        <v>5.3257110000000001</v>
      </c>
      <c r="AD26" s="49">
        <v>4.3341839999999996</v>
      </c>
      <c r="AE26" s="49">
        <v>4.7709349999999997</v>
      </c>
      <c r="AF26" s="49">
        <v>4.6962859999999997</v>
      </c>
      <c r="AG26" s="49">
        <v>4.5247019999999996</v>
      </c>
      <c r="AH26" s="49">
        <v>6.2101129999999998</v>
      </c>
      <c r="AI26" s="49">
        <v>6.5120950000000004</v>
      </c>
      <c r="AJ26" s="49">
        <v>6.9259370000000002</v>
      </c>
      <c r="AK26" s="49">
        <v>7.1781439999999996</v>
      </c>
      <c r="AL26" s="49">
        <v>7.5118029999999996</v>
      </c>
      <c r="AM26" s="49">
        <v>7.5576290000000004</v>
      </c>
      <c r="AN26" s="49">
        <v>7.4904109999999999</v>
      </c>
      <c r="AO26" s="49">
        <v>7.8904550000000002</v>
      </c>
      <c r="AP26" s="49">
        <v>6.7754849999999998</v>
      </c>
      <c r="AQ26" s="49">
        <v>7.1430300000000004</v>
      </c>
      <c r="AR26" s="49">
        <v>7.4315309999999997</v>
      </c>
      <c r="AS26" s="49">
        <v>8.1978849999999994</v>
      </c>
      <c r="AT26" s="49">
        <v>8.6301279999999991</v>
      </c>
      <c r="AU26" s="49">
        <v>8.8664280000000009</v>
      </c>
      <c r="AV26" s="49">
        <v>8.7228290000000008</v>
      </c>
      <c r="AW26" s="49">
        <v>9.0823140000000002</v>
      </c>
      <c r="AX26" s="49">
        <v>9.4305260000000004</v>
      </c>
      <c r="AY26" s="49">
        <v>9.6745169999999998</v>
      </c>
      <c r="AZ26" s="49">
        <v>10.837097999999999</v>
      </c>
      <c r="BA26" s="49">
        <v>11.768393</v>
      </c>
      <c r="BB26" s="49">
        <v>12.102304</v>
      </c>
      <c r="BC26" s="49">
        <v>12.476197000000001</v>
      </c>
      <c r="BD26" s="49">
        <v>12.699782000000001</v>
      </c>
      <c r="BE26" s="49">
        <v>13.016738999999999</v>
      </c>
      <c r="BF26" s="49">
        <v>13.828144999999999</v>
      </c>
      <c r="BG26" s="49">
        <v>14.027765</v>
      </c>
      <c r="BH26" s="49">
        <v>13.507481</v>
      </c>
      <c r="BI26" s="49">
        <v>14.009791</v>
      </c>
      <c r="BJ26" s="49">
        <v>14.151619</v>
      </c>
      <c r="BK26" s="49">
        <v>14.103481</v>
      </c>
      <c r="BL26" s="49">
        <v>14.163854000000001</v>
      </c>
    </row>
    <row r="27" spans="1:64" x14ac:dyDescent="0.3">
      <c r="A27" s="49">
        <v>33</v>
      </c>
      <c r="B27" s="49" t="s">
        <v>5008</v>
      </c>
      <c r="C27" s="49" t="s">
        <v>192</v>
      </c>
      <c r="D27" s="49">
        <v>36.059458999999997</v>
      </c>
      <c r="E27" s="49">
        <v>38.345683999999999</v>
      </c>
      <c r="F27" s="49">
        <v>38.966884999999998</v>
      </c>
      <c r="G27" s="49">
        <v>39.469771999999999</v>
      </c>
      <c r="H27" s="49">
        <v>39.810597999999999</v>
      </c>
      <c r="I27" s="49">
        <v>41.715243000000001</v>
      </c>
      <c r="J27" s="49">
        <v>41.763224000000001</v>
      </c>
      <c r="K27" s="49">
        <v>41.936267000000001</v>
      </c>
      <c r="L27" s="49">
        <v>39.555360999999998</v>
      </c>
      <c r="M27" s="49">
        <v>31.159925999999999</v>
      </c>
      <c r="N27" s="49">
        <v>40.246554000000003</v>
      </c>
      <c r="O27" s="49">
        <v>38.678116000000003</v>
      </c>
      <c r="P27" s="49">
        <v>40.589846000000001</v>
      </c>
      <c r="Q27" s="49">
        <v>38.842677000000002</v>
      </c>
      <c r="R27" s="49">
        <v>39.721620000000001</v>
      </c>
      <c r="S27" s="49">
        <v>41.41301</v>
      </c>
      <c r="T27" s="49">
        <v>40.594389</v>
      </c>
      <c r="U27" s="49">
        <v>41.716348000000004</v>
      </c>
      <c r="V27" s="49">
        <v>41.105995999999998</v>
      </c>
      <c r="W27" s="49">
        <v>42.776147000000002</v>
      </c>
      <c r="X27" s="49">
        <v>46.736902000000001</v>
      </c>
      <c r="Y27" s="49">
        <v>47.009808</v>
      </c>
      <c r="Z27" s="49">
        <v>47.341560999999999</v>
      </c>
      <c r="AA27" s="49">
        <v>47.719081000000003</v>
      </c>
      <c r="AB27" s="49">
        <v>48.636645000000001</v>
      </c>
      <c r="AC27" s="49">
        <v>49.617744000000002</v>
      </c>
      <c r="AD27" s="49">
        <v>48.760444</v>
      </c>
      <c r="AE27" s="49">
        <v>47.013244</v>
      </c>
      <c r="AF27" s="49">
        <v>49.473551999999998</v>
      </c>
      <c r="AG27" s="49">
        <v>48.452773999999998</v>
      </c>
      <c r="AH27" s="49">
        <v>57.230804999999997</v>
      </c>
      <c r="AI27" s="49">
        <v>54.922648000000002</v>
      </c>
      <c r="AJ27" s="49">
        <v>58.704501999999998</v>
      </c>
      <c r="AK27" s="49">
        <v>62.54392</v>
      </c>
      <c r="AL27" s="49">
        <v>62.058863000000002</v>
      </c>
      <c r="AM27" s="49">
        <v>59.736535000000003</v>
      </c>
      <c r="AN27" s="49">
        <v>63.284981999999999</v>
      </c>
      <c r="AO27" s="49">
        <v>63.999844000000003</v>
      </c>
      <c r="AP27" s="49">
        <v>62.501289999999997</v>
      </c>
      <c r="AQ27" s="49">
        <v>62.820549999999997</v>
      </c>
      <c r="AR27" s="49">
        <v>60.769598000000002</v>
      </c>
      <c r="AS27" s="49">
        <v>51.989629000000001</v>
      </c>
      <c r="AT27" s="49">
        <v>61.514457999999998</v>
      </c>
      <c r="AU27" s="49">
        <v>58.610197999999997</v>
      </c>
      <c r="AV27" s="49">
        <v>59.546391999999997</v>
      </c>
      <c r="AW27" s="49">
        <v>59.723762000000001</v>
      </c>
      <c r="AX27" s="49">
        <v>63.177720999999998</v>
      </c>
      <c r="AY27" s="49">
        <v>64.847420999999997</v>
      </c>
      <c r="AZ27" s="49">
        <v>63.018115000000002</v>
      </c>
      <c r="BA27" s="49">
        <v>59.814431999999996</v>
      </c>
      <c r="BB27" s="49">
        <v>60.982171000000001</v>
      </c>
      <c r="BC27" s="49">
        <v>69.509372999999997</v>
      </c>
      <c r="BD27" s="49">
        <v>70.131379999999993</v>
      </c>
      <c r="BE27" s="49">
        <v>69.747415000000004</v>
      </c>
      <c r="BF27" s="49">
        <v>70.741753000000003</v>
      </c>
      <c r="BG27" s="49">
        <v>70.036713000000006</v>
      </c>
      <c r="BH27" s="49">
        <v>74.187679000000003</v>
      </c>
      <c r="BI27" s="49">
        <v>74.060794000000001</v>
      </c>
      <c r="BJ27" s="49">
        <v>72.360629000000003</v>
      </c>
      <c r="BK27" s="49">
        <v>72.820305000000005</v>
      </c>
      <c r="BL27" s="49">
        <v>73.124329000000003</v>
      </c>
    </row>
    <row r="28" spans="1:64" x14ac:dyDescent="0.3">
      <c r="A28" s="49">
        <v>35</v>
      </c>
      <c r="B28" s="49" t="s">
        <v>5007</v>
      </c>
      <c r="C28" s="49" t="s">
        <v>185</v>
      </c>
      <c r="D28" s="49">
        <v>9.2200000000000004E-2</v>
      </c>
      <c r="E28" s="49">
        <v>9.2560000000000003E-2</v>
      </c>
      <c r="F28" s="49">
        <v>9.307E-2</v>
      </c>
      <c r="G28" s="49">
        <v>9.1060000000000002E-2</v>
      </c>
      <c r="H28" s="49">
        <v>0.12102</v>
      </c>
      <c r="I28" s="49">
        <v>0.12762000000000001</v>
      </c>
      <c r="J28" s="49">
        <v>0.134212</v>
      </c>
      <c r="K28" s="49">
        <v>6.8940000000000001E-2</v>
      </c>
      <c r="L28" s="49">
        <v>5.5600999999999998E-2</v>
      </c>
      <c r="M28" s="49">
        <v>2.2948E-2</v>
      </c>
      <c r="N28" s="49">
        <v>2.0794E-2</v>
      </c>
      <c r="O28" s="49">
        <v>1.9598000000000001E-2</v>
      </c>
      <c r="P28" s="49">
        <v>1.7408E-2</v>
      </c>
      <c r="Q28" s="49">
        <v>2.7570000000000001E-2</v>
      </c>
      <c r="R28" s="49">
        <v>3.2649999999999998E-2</v>
      </c>
      <c r="S28" s="49">
        <v>4.1984E-2</v>
      </c>
      <c r="T28" s="49">
        <v>2.1329999999999998E-2</v>
      </c>
      <c r="U28" s="49">
        <v>2.8750000000000001E-2</v>
      </c>
      <c r="V28" s="49">
        <v>6.2850000000000003E-2</v>
      </c>
      <c r="W28" s="49">
        <v>8.6459999999999995E-2</v>
      </c>
      <c r="X28" s="49">
        <v>3.424E-2</v>
      </c>
      <c r="Y28" s="49">
        <v>5.3384000000000001E-2</v>
      </c>
      <c r="Z28" s="49">
        <v>4.3543999999999999E-2</v>
      </c>
      <c r="AA28" s="49">
        <v>5.8610000000000002E-2</v>
      </c>
      <c r="AB28" s="49">
        <v>3.8016000000000001E-2</v>
      </c>
      <c r="AC28" s="49">
        <v>9.7379999999999994E-2</v>
      </c>
      <c r="AD28" s="49">
        <v>0.18154999999999999</v>
      </c>
      <c r="AE28" s="49">
        <v>0.16589999999999999</v>
      </c>
      <c r="AF28" s="49">
        <v>0.17879</v>
      </c>
      <c r="AG28" s="49">
        <v>0.17135800000000001</v>
      </c>
      <c r="AH28" s="49">
        <v>0.169266</v>
      </c>
      <c r="AI28" s="49">
        <v>0.160164</v>
      </c>
      <c r="AJ28" s="49">
        <v>0.15579999999999999</v>
      </c>
      <c r="AK28" s="49">
        <v>0.15632299999999999</v>
      </c>
      <c r="AL28" s="49">
        <v>0.14752100000000001</v>
      </c>
      <c r="AM28" s="49">
        <v>0.150059</v>
      </c>
      <c r="AN28" s="49">
        <v>0.14879100000000001</v>
      </c>
      <c r="AO28" s="49">
        <v>0.13844999999999999</v>
      </c>
      <c r="AP28" s="49">
        <v>0.121547</v>
      </c>
      <c r="AQ28" s="49">
        <v>0.15219199999999999</v>
      </c>
      <c r="AR28" s="49">
        <v>0.13795099999999999</v>
      </c>
      <c r="AS28" s="49">
        <v>0.144341</v>
      </c>
      <c r="AT28" s="49">
        <v>0.139239</v>
      </c>
      <c r="AU28" s="49">
        <v>0.12518699999999999</v>
      </c>
      <c r="AV28" s="49">
        <v>0.103061</v>
      </c>
      <c r="AW28" s="49">
        <v>0.132856</v>
      </c>
      <c r="AX28" s="49">
        <v>0.12965099999999999</v>
      </c>
      <c r="AY28" s="49">
        <v>0.14043700000000001</v>
      </c>
      <c r="AZ28" s="49">
        <v>0.132856</v>
      </c>
      <c r="BA28" s="49">
        <v>0.12418700000000001</v>
      </c>
      <c r="BB28" s="49">
        <v>0.13223599999999999</v>
      </c>
      <c r="BC28" s="49">
        <v>0.14543300000000001</v>
      </c>
      <c r="BD28" s="49">
        <v>0.14185200000000001</v>
      </c>
      <c r="BE28" s="49">
        <v>0.148175</v>
      </c>
      <c r="BF28" s="49">
        <v>0.14380499999999999</v>
      </c>
      <c r="BG28" s="49">
        <v>0.14293800000000001</v>
      </c>
      <c r="BH28" s="49">
        <v>0.14382</v>
      </c>
      <c r="BI28" s="49">
        <v>0.13666400000000001</v>
      </c>
      <c r="BJ28" s="49">
        <v>0.13544400000000001</v>
      </c>
      <c r="BK28" s="49">
        <v>0.13456299999999999</v>
      </c>
      <c r="BL28" s="49">
        <v>0.13413800000000001</v>
      </c>
    </row>
    <row r="29" spans="1:64" x14ac:dyDescent="0.3">
      <c r="A29" s="49">
        <v>37</v>
      </c>
      <c r="B29" s="49" t="s">
        <v>5006</v>
      </c>
      <c r="C29" s="49" t="s">
        <v>198</v>
      </c>
      <c r="D29" s="49">
        <v>1.17608</v>
      </c>
      <c r="E29" s="49">
        <v>1.1506700000000001</v>
      </c>
      <c r="F29" s="49">
        <v>1.14245</v>
      </c>
      <c r="G29" s="49">
        <v>1.0841099999999999</v>
      </c>
      <c r="H29" s="49">
        <v>1.0314000000000001</v>
      </c>
      <c r="I29" s="49">
        <v>1.12138</v>
      </c>
      <c r="J29" s="49">
        <v>1.1956629999999999</v>
      </c>
      <c r="K29" s="49">
        <v>1.2119580000000001</v>
      </c>
      <c r="L29" s="49">
        <v>1.2511460000000001</v>
      </c>
      <c r="M29" s="49">
        <v>1.280988</v>
      </c>
      <c r="N29" s="49">
        <v>1.3137810000000001</v>
      </c>
      <c r="O29" s="49">
        <v>1.3570199999999999</v>
      </c>
      <c r="P29" s="49">
        <v>1.405033</v>
      </c>
      <c r="Q29" s="49">
        <v>1.5646899999999999</v>
      </c>
      <c r="R29" s="49">
        <v>1.452216</v>
      </c>
      <c r="S29" s="49">
        <v>1.471814</v>
      </c>
      <c r="T29" s="49">
        <v>1.480855</v>
      </c>
      <c r="U29" s="49">
        <v>1.4168229999999999</v>
      </c>
      <c r="V29" s="49">
        <v>1.4813050000000001</v>
      </c>
      <c r="W29" s="49">
        <v>1.471781</v>
      </c>
      <c r="X29" s="49">
        <v>1.449767</v>
      </c>
      <c r="Y29" s="49">
        <v>1.3969199999999999</v>
      </c>
      <c r="Z29" s="49">
        <v>1.1989019999999999</v>
      </c>
      <c r="AA29" s="49">
        <v>1.0819449999999999</v>
      </c>
      <c r="AB29" s="49">
        <v>0.98190200000000005</v>
      </c>
      <c r="AC29" s="49">
        <v>1.14331</v>
      </c>
      <c r="AD29" s="49">
        <v>1.0784720000000001</v>
      </c>
      <c r="AE29" s="49">
        <v>1.103891</v>
      </c>
      <c r="AF29" s="49">
        <v>1.055968</v>
      </c>
      <c r="AG29" s="49">
        <v>1.1182620000000001</v>
      </c>
      <c r="AH29" s="49">
        <v>1.4973799999999999</v>
      </c>
      <c r="AI29" s="49">
        <v>1.465257</v>
      </c>
      <c r="AJ29" s="49">
        <v>1.4253309999999999</v>
      </c>
      <c r="AK29" s="49">
        <v>1.615934</v>
      </c>
      <c r="AL29" s="49">
        <v>1.694669</v>
      </c>
      <c r="AM29" s="49">
        <v>1.875041</v>
      </c>
      <c r="AN29" s="49">
        <v>1.9407700000000001</v>
      </c>
      <c r="AO29" s="49">
        <v>1.9642029999999999</v>
      </c>
      <c r="AP29" s="49">
        <v>1.983446</v>
      </c>
      <c r="AQ29" s="49">
        <v>1.9725440000000001</v>
      </c>
      <c r="AR29" s="49">
        <v>2.028464</v>
      </c>
      <c r="AS29" s="49">
        <v>1.956372</v>
      </c>
      <c r="AT29" s="49">
        <v>1.9359770000000001</v>
      </c>
      <c r="AU29" s="49">
        <v>2.0239379999999998</v>
      </c>
      <c r="AV29" s="49">
        <v>2.049471</v>
      </c>
      <c r="AW29" s="49">
        <v>2.120768</v>
      </c>
      <c r="AX29" s="49">
        <v>2.331906</v>
      </c>
      <c r="AY29" s="49">
        <v>2.3445559999999999</v>
      </c>
      <c r="AZ29" s="49">
        <v>2.4408400000000001</v>
      </c>
      <c r="BA29" s="49">
        <v>2.0316920000000001</v>
      </c>
      <c r="BB29" s="49">
        <v>2.1060159999999999</v>
      </c>
      <c r="BC29" s="49">
        <v>2.1190349999999998</v>
      </c>
      <c r="BD29" s="49">
        <v>2.1743260000000002</v>
      </c>
      <c r="BE29" s="49">
        <v>2.183713</v>
      </c>
      <c r="BF29" s="49">
        <v>2.2096140000000002</v>
      </c>
      <c r="BG29" s="49">
        <v>2.2448480000000002</v>
      </c>
      <c r="BH29" s="49">
        <v>2.359051</v>
      </c>
      <c r="BI29" s="49">
        <v>2.4261029999999999</v>
      </c>
      <c r="BJ29" s="49">
        <v>2.478281</v>
      </c>
      <c r="BK29" s="49">
        <v>2.548578</v>
      </c>
      <c r="BL29" s="49">
        <v>2.4316620000000002</v>
      </c>
    </row>
    <row r="30" spans="1:64" x14ac:dyDescent="0.3">
      <c r="A30" s="49">
        <v>38</v>
      </c>
      <c r="B30" s="49" t="s">
        <v>5005</v>
      </c>
      <c r="C30" s="49" t="s">
        <v>601</v>
      </c>
      <c r="D30" s="49">
        <v>2.3698389999999998</v>
      </c>
      <c r="E30" s="49">
        <v>2.459222</v>
      </c>
      <c r="F30" s="49">
        <v>2.5662910000000001</v>
      </c>
      <c r="G30" s="49">
        <v>2.5357460000000001</v>
      </c>
      <c r="H30" s="49">
        <v>2.381983</v>
      </c>
      <c r="I30" s="49">
        <v>2.5274580000000002</v>
      </c>
      <c r="J30" s="49">
        <v>2.6190950000000002</v>
      </c>
      <c r="K30" s="49">
        <v>2.7328030000000001</v>
      </c>
      <c r="L30" s="49">
        <v>2.6488139999999998</v>
      </c>
      <c r="M30" s="49">
        <v>2.96583</v>
      </c>
      <c r="N30" s="49">
        <v>2.935041</v>
      </c>
      <c r="O30" s="49">
        <v>2.8617210000000002</v>
      </c>
      <c r="P30" s="49">
        <v>3.0504099999999998</v>
      </c>
      <c r="Q30" s="49">
        <v>3.5347369999999998</v>
      </c>
      <c r="R30" s="49">
        <v>3.190572</v>
      </c>
      <c r="S30" s="49">
        <v>3.259055</v>
      </c>
      <c r="T30" s="49">
        <v>3.400601</v>
      </c>
      <c r="U30" s="49">
        <v>3.4242029999999999</v>
      </c>
      <c r="V30" s="49">
        <v>3.22986</v>
      </c>
      <c r="W30" s="49">
        <v>3.3528560000000001</v>
      </c>
      <c r="X30" s="49">
        <v>3.4308169999999998</v>
      </c>
      <c r="Y30" s="49">
        <v>3.2340909999999998</v>
      </c>
      <c r="Z30" s="49">
        <v>3.334749</v>
      </c>
      <c r="AA30" s="49">
        <v>3.5490840000000001</v>
      </c>
      <c r="AB30" s="49">
        <v>3.444712</v>
      </c>
      <c r="AC30" s="49">
        <v>3.4223560000000002</v>
      </c>
      <c r="AD30" s="49">
        <v>3.06853</v>
      </c>
      <c r="AE30" s="49">
        <v>3.378422</v>
      </c>
      <c r="AF30" s="49">
        <v>3.0796039999999998</v>
      </c>
      <c r="AG30" s="49">
        <v>3.3523559999999999</v>
      </c>
      <c r="AH30" s="49">
        <v>4.1321479999999999</v>
      </c>
      <c r="AI30" s="49">
        <v>4.0882810000000003</v>
      </c>
      <c r="AJ30" s="49">
        <v>4.2405480000000004</v>
      </c>
      <c r="AK30" s="49">
        <v>4.3808939999999996</v>
      </c>
      <c r="AL30" s="49">
        <v>4.341634</v>
      </c>
      <c r="AM30" s="49">
        <v>3.8645930000000002</v>
      </c>
      <c r="AN30" s="49">
        <v>3.9060540000000001</v>
      </c>
      <c r="AO30" s="49">
        <v>4.0367959999999998</v>
      </c>
      <c r="AP30" s="49">
        <v>4.252421</v>
      </c>
      <c r="AQ30" s="49">
        <v>4.1565580000000004</v>
      </c>
      <c r="AR30" s="49">
        <v>3.9869819999999998</v>
      </c>
      <c r="AS30" s="49">
        <v>4.0813079999999999</v>
      </c>
      <c r="AT30" s="49">
        <v>4.311636</v>
      </c>
      <c r="AU30" s="49">
        <v>3.7161420000000001</v>
      </c>
      <c r="AV30" s="49">
        <v>4.1722939999999999</v>
      </c>
      <c r="AW30" s="49">
        <v>4.1487069999999999</v>
      </c>
      <c r="AX30" s="49">
        <v>3.9496440000000002</v>
      </c>
      <c r="AY30" s="49">
        <v>4.4739579999999997</v>
      </c>
      <c r="AZ30" s="49">
        <v>4.2582389999999997</v>
      </c>
      <c r="BA30" s="49">
        <v>4.68398</v>
      </c>
      <c r="BB30" s="49">
        <v>4.7177930000000003</v>
      </c>
      <c r="BC30" s="49">
        <v>4.7737090000000002</v>
      </c>
      <c r="BD30" s="49">
        <v>5.0202299999999997</v>
      </c>
      <c r="BE30" s="49">
        <v>4.5451730000000001</v>
      </c>
      <c r="BF30" s="49">
        <v>5.2999780000000003</v>
      </c>
      <c r="BG30" s="49">
        <v>5.0430729999999997</v>
      </c>
      <c r="BH30" s="49">
        <v>4.2810860000000002</v>
      </c>
      <c r="BI30" s="49">
        <v>4.8396929999999996</v>
      </c>
      <c r="BJ30" s="49">
        <v>4.8180180000000004</v>
      </c>
      <c r="BK30" s="49">
        <v>5.2253360000000004</v>
      </c>
      <c r="BL30" s="49">
        <v>5.3962469999999998</v>
      </c>
    </row>
    <row r="31" spans="1:64" x14ac:dyDescent="0.3">
      <c r="A31" s="49">
        <v>39</v>
      </c>
      <c r="B31" s="49" t="s">
        <v>5004</v>
      </c>
      <c r="C31" s="49" t="s">
        <v>200</v>
      </c>
      <c r="D31" s="49">
        <v>3.4217399999999998</v>
      </c>
      <c r="E31" s="49">
        <v>3.4621400000000002</v>
      </c>
      <c r="F31" s="49">
        <v>3.3521399999999999</v>
      </c>
      <c r="G31" s="49">
        <v>3.3121480000000001</v>
      </c>
      <c r="H31" s="49">
        <v>3.3338839999999998</v>
      </c>
      <c r="I31" s="49">
        <v>2.9785750000000002</v>
      </c>
      <c r="J31" s="49">
        <v>3.0255879999999999</v>
      </c>
      <c r="K31" s="49">
        <v>3.0633949999999999</v>
      </c>
      <c r="L31" s="49">
        <v>2.8955099999999998</v>
      </c>
      <c r="M31" s="49">
        <v>2.821987</v>
      </c>
      <c r="N31" s="49">
        <v>2.9940920000000002</v>
      </c>
      <c r="O31" s="49">
        <v>2.8864230000000002</v>
      </c>
      <c r="P31" s="49">
        <v>2.700923</v>
      </c>
      <c r="Q31" s="49">
        <v>2.7268430000000001</v>
      </c>
      <c r="R31" s="49">
        <v>3.003234</v>
      </c>
      <c r="S31" s="49">
        <v>3.262731</v>
      </c>
      <c r="T31" s="49">
        <v>3.284618</v>
      </c>
      <c r="U31" s="49">
        <v>3.383337</v>
      </c>
      <c r="V31" s="49">
        <v>3.0525129999999998</v>
      </c>
      <c r="W31" s="49">
        <v>2.9137249999999999</v>
      </c>
      <c r="X31" s="49">
        <v>1.893203</v>
      </c>
      <c r="Y31" s="49">
        <v>1.8877120000000001</v>
      </c>
      <c r="Z31" s="49">
        <v>2.5054439999999998</v>
      </c>
      <c r="AA31" s="49">
        <v>2.1693479999999998</v>
      </c>
      <c r="AB31" s="49">
        <v>3.0972369999999998</v>
      </c>
      <c r="AC31" s="49">
        <v>2.9487749999999999</v>
      </c>
      <c r="AD31" s="49">
        <v>2.7800440000000002</v>
      </c>
      <c r="AE31" s="49">
        <v>2.9994540000000001</v>
      </c>
      <c r="AF31" s="49">
        <v>3.0331579999999998</v>
      </c>
      <c r="AG31" s="49">
        <v>3.0332750000000002</v>
      </c>
      <c r="AH31" s="49">
        <v>5.0177779999999998</v>
      </c>
      <c r="AI31" s="49">
        <v>4.8967299999999998</v>
      </c>
      <c r="AJ31" s="49">
        <v>4.4517819999999997</v>
      </c>
      <c r="AK31" s="49">
        <v>5.4082100000000004</v>
      </c>
      <c r="AL31" s="49">
        <v>5.5429589999999997</v>
      </c>
      <c r="AM31" s="49">
        <v>5.6116260000000002</v>
      </c>
      <c r="AN31" s="49">
        <v>6.8450879999999996</v>
      </c>
      <c r="AO31" s="49">
        <v>7.2288709999999998</v>
      </c>
      <c r="AP31" s="49">
        <v>6.8410270000000004</v>
      </c>
      <c r="AQ31" s="49">
        <v>6.8598619999999997</v>
      </c>
      <c r="AR31" s="49">
        <v>7.886266</v>
      </c>
      <c r="AS31" s="49">
        <v>6.5797460000000001</v>
      </c>
      <c r="AT31" s="49">
        <v>7.1249149999999997</v>
      </c>
      <c r="AU31" s="49">
        <v>6.5100709999999999</v>
      </c>
      <c r="AV31" s="49">
        <v>8.3346660000000004</v>
      </c>
      <c r="AW31" s="49">
        <v>8.3105820000000001</v>
      </c>
      <c r="AX31" s="49">
        <v>7.9232060000000004</v>
      </c>
      <c r="AY31" s="49">
        <v>8.2337939999999996</v>
      </c>
      <c r="AZ31" s="49">
        <v>8.5722819999999995</v>
      </c>
      <c r="BA31" s="49">
        <v>13.774549</v>
      </c>
      <c r="BB31" s="49">
        <v>9.2616200000000006</v>
      </c>
      <c r="BC31" s="49">
        <v>11.848599999999999</v>
      </c>
      <c r="BD31" s="49">
        <v>11.522055</v>
      </c>
      <c r="BE31" s="49">
        <v>11.969761</v>
      </c>
      <c r="BF31" s="49">
        <v>10.864971000000001</v>
      </c>
      <c r="BG31" s="49">
        <v>12.252549999999999</v>
      </c>
      <c r="BH31" s="49">
        <v>11.244838</v>
      </c>
      <c r="BI31" s="49">
        <v>11.953151</v>
      </c>
      <c r="BJ31" s="49">
        <v>12.054665</v>
      </c>
      <c r="BK31" s="49">
        <v>12.033442000000001</v>
      </c>
      <c r="BL31" s="49">
        <v>12.177916</v>
      </c>
    </row>
    <row r="32" spans="1:64" x14ac:dyDescent="0.3">
      <c r="A32" s="49">
        <v>40</v>
      </c>
      <c r="B32" s="49" t="s">
        <v>5003</v>
      </c>
      <c r="C32" s="49" t="s">
        <v>202</v>
      </c>
      <c r="D32" s="49">
        <v>3.0357530000000001</v>
      </c>
      <c r="E32" s="49">
        <v>2.9978259999999999</v>
      </c>
      <c r="F32" s="49">
        <v>2.9633409999999998</v>
      </c>
      <c r="G32" s="49">
        <v>2.954342</v>
      </c>
      <c r="H32" s="49">
        <v>2.903127</v>
      </c>
      <c r="I32" s="49">
        <v>3.0193159999999999</v>
      </c>
      <c r="J32" s="49">
        <v>2.8941560000000002</v>
      </c>
      <c r="K32" s="49">
        <v>2.995269</v>
      </c>
      <c r="L32" s="49">
        <v>2.812214</v>
      </c>
      <c r="M32" s="49">
        <v>2.9214479999999998</v>
      </c>
      <c r="N32" s="49">
        <v>2.9535779999999998</v>
      </c>
      <c r="O32" s="49">
        <v>3.0009049999999999</v>
      </c>
      <c r="P32" s="49">
        <v>2.4977149999999999</v>
      </c>
      <c r="Q32" s="49">
        <v>2.7532869999999998</v>
      </c>
      <c r="R32" s="49">
        <v>2.9202050000000002</v>
      </c>
      <c r="S32" s="49">
        <v>3.011228</v>
      </c>
      <c r="T32" s="49">
        <v>3.001614</v>
      </c>
      <c r="U32" s="49">
        <v>2.8636379999999999</v>
      </c>
      <c r="V32" s="49">
        <v>3.0067629999999999</v>
      </c>
      <c r="W32" s="49">
        <v>2.9817779999999998</v>
      </c>
      <c r="X32" s="49">
        <v>2.761949</v>
      </c>
      <c r="Y32" s="49">
        <v>2.517954</v>
      </c>
      <c r="Z32" s="49">
        <v>2.369497</v>
      </c>
      <c r="AA32" s="49">
        <v>2.7248929999999998</v>
      </c>
      <c r="AB32" s="49">
        <v>2.7444709999999999</v>
      </c>
      <c r="AC32" s="49">
        <v>2.7945890000000002</v>
      </c>
      <c r="AD32" s="49">
        <v>2.9835310000000002</v>
      </c>
      <c r="AE32" s="49">
        <v>2.8293539999999999</v>
      </c>
      <c r="AF32" s="49">
        <v>2.8035999999999999</v>
      </c>
      <c r="AG32" s="49">
        <v>2.80823</v>
      </c>
      <c r="AH32" s="49">
        <v>2.7798980000000002</v>
      </c>
      <c r="AI32" s="49">
        <v>2.7671640000000002</v>
      </c>
      <c r="AJ32" s="49">
        <v>2.4989569999999999</v>
      </c>
      <c r="AK32" s="49">
        <v>2.4097729999999999</v>
      </c>
      <c r="AL32" s="49">
        <v>2.504883</v>
      </c>
      <c r="AM32" s="49">
        <v>2.4916610000000001</v>
      </c>
      <c r="AN32" s="49">
        <v>2.5834359999999998</v>
      </c>
      <c r="AO32" s="49">
        <v>2.5025059999999999</v>
      </c>
      <c r="AP32" s="49">
        <v>2.3798110000000001</v>
      </c>
      <c r="AQ32" s="49">
        <v>2.524384</v>
      </c>
      <c r="AR32" s="49">
        <v>2.6070530000000001</v>
      </c>
      <c r="AS32" s="49">
        <v>2.570246</v>
      </c>
      <c r="AT32" s="49">
        <v>2.6073740000000001</v>
      </c>
      <c r="AU32" s="49">
        <v>2.6885970000000001</v>
      </c>
      <c r="AV32" s="49">
        <v>2.6716449999999998</v>
      </c>
      <c r="AW32" s="49">
        <v>2.5225070000000001</v>
      </c>
      <c r="AX32" s="49">
        <v>2.2326640000000002</v>
      </c>
      <c r="AY32" s="49">
        <v>2.4241899999999998</v>
      </c>
      <c r="AZ32" s="49">
        <v>2.4754640000000001</v>
      </c>
      <c r="BA32" s="49">
        <v>2.3886949999999998</v>
      </c>
      <c r="BB32" s="49">
        <v>2.4915940000000001</v>
      </c>
      <c r="BC32" s="49">
        <v>2.4967229999999998</v>
      </c>
      <c r="BD32" s="49">
        <v>2.601416</v>
      </c>
      <c r="BE32" s="49">
        <v>2.5522870000000002</v>
      </c>
      <c r="BF32" s="49">
        <v>2.5284040000000001</v>
      </c>
      <c r="BG32" s="49">
        <v>2.6200459999999999</v>
      </c>
      <c r="BH32" s="49">
        <v>2.533315</v>
      </c>
      <c r="BI32" s="49">
        <v>2.5757370000000002</v>
      </c>
      <c r="BJ32" s="49">
        <v>2.461875</v>
      </c>
      <c r="BK32" s="49">
        <v>2.3753199999999999</v>
      </c>
      <c r="BL32" s="49">
        <v>2.4624980000000001</v>
      </c>
    </row>
    <row r="33" spans="1:64" x14ac:dyDescent="0.3">
      <c r="A33" s="49">
        <v>41</v>
      </c>
      <c r="B33" s="49" t="s">
        <v>5002</v>
      </c>
      <c r="C33" s="49" t="s">
        <v>214</v>
      </c>
      <c r="D33" s="49">
        <v>254.57787999999999</v>
      </c>
      <c r="E33" s="49">
        <v>253.91324599999999</v>
      </c>
      <c r="F33" s="49">
        <v>249.36471599999999</v>
      </c>
      <c r="G33" s="49">
        <v>255.25316599999999</v>
      </c>
      <c r="H33" s="49">
        <v>251.268182</v>
      </c>
      <c r="I33" s="49">
        <v>255.47298000000001</v>
      </c>
      <c r="J33" s="49">
        <v>252.09514999999999</v>
      </c>
      <c r="K33" s="49">
        <v>245.46841599999999</v>
      </c>
      <c r="L33" s="49">
        <v>248.03141600000001</v>
      </c>
      <c r="M33" s="49">
        <v>250.233566</v>
      </c>
      <c r="N33" s="49">
        <v>254.742366</v>
      </c>
      <c r="O33" s="49">
        <v>257.26825000000002</v>
      </c>
      <c r="P33" s="49">
        <v>257.54246599999999</v>
      </c>
      <c r="Q33" s="49">
        <v>257.656766</v>
      </c>
      <c r="R33" s="49">
        <v>258.957832</v>
      </c>
      <c r="S33" s="49">
        <v>259.09214800000001</v>
      </c>
      <c r="T33" s="49">
        <v>258.53614800000003</v>
      </c>
      <c r="U33" s="49">
        <v>260.60634800000003</v>
      </c>
      <c r="V33" s="49">
        <v>257.97240799999997</v>
      </c>
      <c r="W33" s="49">
        <v>255.04926599999999</v>
      </c>
      <c r="X33" s="49">
        <v>252.42349200000001</v>
      </c>
      <c r="Y33" s="49">
        <v>250.73663199999999</v>
      </c>
      <c r="Z33" s="49">
        <v>253.344245</v>
      </c>
      <c r="AA33" s="49">
        <v>253.57823099999999</v>
      </c>
      <c r="AB33" s="49">
        <v>251.927582</v>
      </c>
      <c r="AC33" s="49">
        <v>257.63210400000003</v>
      </c>
      <c r="AD33" s="49">
        <v>261.38646299999999</v>
      </c>
      <c r="AE33" s="49">
        <v>262.34344499999997</v>
      </c>
      <c r="AF33" s="49">
        <v>266.80685199999999</v>
      </c>
      <c r="AG33" s="49">
        <v>270.17995500000001</v>
      </c>
      <c r="AH33" s="49">
        <v>330.396568</v>
      </c>
      <c r="AI33" s="49">
        <v>331.58539200000001</v>
      </c>
      <c r="AJ33" s="49">
        <v>327.99228900000003</v>
      </c>
      <c r="AK33" s="49">
        <v>333.85070300000001</v>
      </c>
      <c r="AL33" s="49">
        <v>339.81161300000002</v>
      </c>
      <c r="AM33" s="49">
        <v>343.52388500000001</v>
      </c>
      <c r="AN33" s="49">
        <v>346.98115899999999</v>
      </c>
      <c r="AO33" s="49">
        <v>350.76854800000001</v>
      </c>
      <c r="AP33" s="49">
        <v>351.97062599999998</v>
      </c>
      <c r="AQ33" s="49">
        <v>353.65523300000001</v>
      </c>
      <c r="AR33" s="49">
        <v>352.43827499999998</v>
      </c>
      <c r="AS33" s="49">
        <v>347.89163100000002</v>
      </c>
      <c r="AT33" s="49">
        <v>345.35864800000002</v>
      </c>
      <c r="AU33" s="49">
        <v>352.75659300000001</v>
      </c>
      <c r="AV33" s="49">
        <v>357.61128400000001</v>
      </c>
      <c r="AW33" s="49">
        <v>356.19993199999999</v>
      </c>
      <c r="AX33" s="49">
        <v>357.15753100000001</v>
      </c>
      <c r="AY33" s="49">
        <v>364.50808599999999</v>
      </c>
      <c r="AZ33" s="49">
        <v>369.68589900000001</v>
      </c>
      <c r="BA33" s="49">
        <v>371.17969299999999</v>
      </c>
      <c r="BB33" s="49">
        <v>375.21448099999998</v>
      </c>
      <c r="BC33" s="49">
        <v>375.12015000000002</v>
      </c>
      <c r="BD33" s="49">
        <v>375.78944200000001</v>
      </c>
      <c r="BE33" s="49">
        <v>377.8954</v>
      </c>
      <c r="BF33" s="49">
        <v>391.89083199999999</v>
      </c>
      <c r="BG33" s="49">
        <v>386.248761</v>
      </c>
      <c r="BH33" s="49">
        <v>393.909448</v>
      </c>
      <c r="BI33" s="49">
        <v>386.71779299999997</v>
      </c>
      <c r="BJ33" s="49">
        <v>386.12549000000001</v>
      </c>
      <c r="BK33" s="49">
        <v>388.20987600000001</v>
      </c>
      <c r="BL33" s="49">
        <v>390.19104800000002</v>
      </c>
    </row>
    <row r="34" spans="1:64" x14ac:dyDescent="0.3">
      <c r="A34" s="49">
        <v>44</v>
      </c>
      <c r="B34" s="49" t="s">
        <v>5001</v>
      </c>
      <c r="C34" s="49" t="s">
        <v>225</v>
      </c>
      <c r="D34" s="49">
        <v>5.1888500000000004</v>
      </c>
      <c r="E34" s="49">
        <v>5.4143129999999999</v>
      </c>
      <c r="F34" s="49">
        <v>5.2831989999999998</v>
      </c>
      <c r="G34" s="49">
        <v>5.5877600000000003</v>
      </c>
      <c r="H34" s="49">
        <v>5.9286240000000001</v>
      </c>
      <c r="I34" s="49">
        <v>5.8047959999999996</v>
      </c>
      <c r="J34" s="49">
        <v>5.5256819999999998</v>
      </c>
      <c r="K34" s="49">
        <v>5.6748519999999996</v>
      </c>
      <c r="L34" s="49">
        <v>5.4689959999999997</v>
      </c>
      <c r="M34" s="49">
        <v>5.3385220000000002</v>
      </c>
      <c r="N34" s="49">
        <v>5.8131399999999998</v>
      </c>
      <c r="O34" s="49">
        <v>5.9037499999999996</v>
      </c>
      <c r="P34" s="49">
        <v>5.9886999999999997</v>
      </c>
      <c r="Q34" s="49">
        <v>6.1505380000000001</v>
      </c>
      <c r="R34" s="49">
        <v>6.3225220000000002</v>
      </c>
      <c r="S34" s="49">
        <v>6.4671419999999999</v>
      </c>
      <c r="T34" s="49">
        <v>6.6585799999999997</v>
      </c>
      <c r="U34" s="49">
        <v>7.2678700000000003</v>
      </c>
      <c r="V34" s="49">
        <v>7.0325090000000001</v>
      </c>
      <c r="W34" s="49">
        <v>7.0486199999999997</v>
      </c>
      <c r="X34" s="49">
        <v>7.0990000000000002</v>
      </c>
      <c r="Y34" s="49">
        <v>6.94747</v>
      </c>
      <c r="Z34" s="49">
        <v>6.5573940000000004</v>
      </c>
      <c r="AA34" s="49">
        <v>6.4304930000000002</v>
      </c>
      <c r="AB34" s="49">
        <v>6.5145799999999996</v>
      </c>
      <c r="AC34" s="49">
        <v>6.6724420000000002</v>
      </c>
      <c r="AD34" s="49">
        <v>6.9890739999999996</v>
      </c>
      <c r="AE34" s="49">
        <v>7.2516999999999996</v>
      </c>
      <c r="AF34" s="49">
        <v>7.7968419999999998</v>
      </c>
      <c r="AG34" s="49">
        <v>8.0751449999999991</v>
      </c>
      <c r="AH34" s="49">
        <v>8.8983329999999992</v>
      </c>
      <c r="AI34" s="49">
        <v>8.4512090000000004</v>
      </c>
      <c r="AJ34" s="49">
        <v>8.2234990000000003</v>
      </c>
      <c r="AK34" s="49">
        <v>8.1101759999999992</v>
      </c>
      <c r="AL34" s="49">
        <v>7.6813799999999999</v>
      </c>
      <c r="AM34" s="49">
        <v>7.5361320000000003</v>
      </c>
      <c r="AN34" s="49">
        <v>7.2238040000000003</v>
      </c>
      <c r="AO34" s="49">
        <v>6.7218939999999998</v>
      </c>
      <c r="AP34" s="49">
        <v>7.140968</v>
      </c>
      <c r="AQ34" s="49">
        <v>7.0475390000000004</v>
      </c>
      <c r="AR34" s="49">
        <v>7.1997330000000002</v>
      </c>
      <c r="AS34" s="49">
        <v>7.0063329999999997</v>
      </c>
      <c r="AT34" s="49">
        <v>7.3046610000000003</v>
      </c>
      <c r="AU34" s="49">
        <v>7.6093739999999999</v>
      </c>
      <c r="AV34" s="49">
        <v>7.4681430000000004</v>
      </c>
      <c r="AW34" s="49">
        <v>7.4802330000000001</v>
      </c>
      <c r="AX34" s="49">
        <v>7.6434499999999996</v>
      </c>
      <c r="AY34" s="49">
        <v>7.5598960000000002</v>
      </c>
      <c r="AZ34" s="49">
        <v>7.4452699999999998</v>
      </c>
      <c r="BA34" s="49">
        <v>7.2761089999999999</v>
      </c>
      <c r="BB34" s="49">
        <v>7.5401170000000004</v>
      </c>
      <c r="BC34" s="49">
        <v>7.9503110000000001</v>
      </c>
      <c r="BD34" s="49">
        <v>8.1951370000000008</v>
      </c>
      <c r="BE34" s="49">
        <v>7.8184940000000003</v>
      </c>
      <c r="BF34" s="49">
        <v>8.0509900000000005</v>
      </c>
      <c r="BG34" s="49">
        <v>8.2327860000000008</v>
      </c>
      <c r="BH34" s="49">
        <v>7.8428620000000002</v>
      </c>
      <c r="BI34" s="49">
        <v>8.0326229999999992</v>
      </c>
      <c r="BJ34" s="49">
        <v>8.7066560000000006</v>
      </c>
      <c r="BK34" s="49">
        <v>8.5836590000000008</v>
      </c>
      <c r="BL34" s="49">
        <v>8.4471170000000004</v>
      </c>
    </row>
    <row r="35" spans="1:64" x14ac:dyDescent="0.3">
      <c r="A35" s="49">
        <v>45</v>
      </c>
      <c r="B35" s="49" t="s">
        <v>5000</v>
      </c>
      <c r="C35" s="49" t="s">
        <v>227</v>
      </c>
      <c r="D35" s="49">
        <v>6.148E-2</v>
      </c>
      <c r="E35" s="49">
        <v>6.1765E-2</v>
      </c>
      <c r="F35" s="49">
        <v>6.4490000000000006E-2</v>
      </c>
      <c r="G35" s="49">
        <v>6.5196000000000004E-2</v>
      </c>
      <c r="H35" s="49">
        <v>6.9760000000000003E-2</v>
      </c>
      <c r="I35" s="49">
        <v>7.2739999999999999E-2</v>
      </c>
      <c r="J35" s="49">
        <v>7.0795999999999998E-2</v>
      </c>
      <c r="K35" s="49">
        <v>6.719E-2</v>
      </c>
      <c r="L35" s="49">
        <v>6.8092E-2</v>
      </c>
      <c r="M35" s="49">
        <v>6.8589999999999998E-2</v>
      </c>
      <c r="N35" s="49">
        <v>6.8940000000000001E-2</v>
      </c>
      <c r="O35" s="49">
        <v>6.8339999999999998E-2</v>
      </c>
      <c r="P35" s="49">
        <v>6.9260000000000002E-2</v>
      </c>
      <c r="Q35" s="49">
        <v>7.1639999999999995E-2</v>
      </c>
      <c r="R35" s="49">
        <v>7.2010000000000005E-2</v>
      </c>
      <c r="S35" s="49">
        <v>7.0379999999999998E-2</v>
      </c>
      <c r="T35" s="49">
        <v>7.3649999999999993E-2</v>
      </c>
      <c r="U35" s="49">
        <v>7.7329999999999996E-2</v>
      </c>
      <c r="V35" s="49">
        <v>8.1809999999999994E-2</v>
      </c>
      <c r="W35" s="49">
        <v>8.2612000000000005E-2</v>
      </c>
      <c r="X35" s="49">
        <v>8.3864999999999995E-2</v>
      </c>
      <c r="Y35" s="49">
        <v>8.8713E-2</v>
      </c>
      <c r="Z35" s="49">
        <v>8.8035000000000002E-2</v>
      </c>
      <c r="AA35" s="49">
        <v>8.6345000000000005E-2</v>
      </c>
      <c r="AB35" s="49">
        <v>9.6454999999999999E-2</v>
      </c>
      <c r="AC35" s="49">
        <v>0.100578</v>
      </c>
      <c r="AD35" s="49">
        <v>0.10870299999999999</v>
      </c>
      <c r="AE35" s="49">
        <v>0.110564</v>
      </c>
      <c r="AF35" s="49">
        <v>0.112665</v>
      </c>
      <c r="AG35" s="49">
        <v>0.11855499999999999</v>
      </c>
      <c r="AH35" s="49">
        <v>0.16281799999999999</v>
      </c>
      <c r="AI35" s="49">
        <v>0.168071</v>
      </c>
      <c r="AJ35" s="49">
        <v>0.173149</v>
      </c>
      <c r="AK35" s="49">
        <v>0.169243</v>
      </c>
      <c r="AL35" s="49">
        <v>0.18429000000000001</v>
      </c>
      <c r="AM35" s="49">
        <v>0.19212499999999999</v>
      </c>
      <c r="AN35" s="49">
        <v>0.19541</v>
      </c>
      <c r="AO35" s="49">
        <v>0.19583100000000001</v>
      </c>
      <c r="AP35" s="49">
        <v>0.19883300000000001</v>
      </c>
      <c r="AQ35" s="49">
        <v>0.19733700000000001</v>
      </c>
      <c r="AR35" s="49">
        <v>0.204787</v>
      </c>
      <c r="AS35" s="49">
        <v>0.20483599999999999</v>
      </c>
      <c r="AT35" s="49">
        <v>0.209954</v>
      </c>
      <c r="AU35" s="49">
        <v>0.21458099999999999</v>
      </c>
      <c r="AV35" s="49">
        <v>0.21099200000000001</v>
      </c>
      <c r="AW35" s="49">
        <v>0.21934999999999999</v>
      </c>
      <c r="AX35" s="49">
        <v>0.22425700000000001</v>
      </c>
      <c r="AY35" s="49">
        <v>0.23272100000000001</v>
      </c>
      <c r="AZ35" s="49">
        <v>0.23369300000000001</v>
      </c>
      <c r="BA35" s="49">
        <v>0.23570199999999999</v>
      </c>
      <c r="BB35" s="49">
        <v>0.242566</v>
      </c>
      <c r="BC35" s="49">
        <v>0.24639900000000001</v>
      </c>
      <c r="BD35" s="49">
        <v>0.25123299999999998</v>
      </c>
      <c r="BE35" s="49">
        <v>0.22667699999999999</v>
      </c>
      <c r="BF35" s="49">
        <v>0.226795</v>
      </c>
      <c r="BG35" s="49">
        <v>0.23857999999999999</v>
      </c>
      <c r="BH35" s="49">
        <v>0.25749</v>
      </c>
      <c r="BI35" s="49">
        <v>0.26121499999999997</v>
      </c>
      <c r="BJ35" s="49">
        <v>0.26057799999999998</v>
      </c>
      <c r="BK35" s="49">
        <v>0.25906099999999999</v>
      </c>
      <c r="BL35" s="49">
        <v>0.259297</v>
      </c>
    </row>
    <row r="36" spans="1:64" x14ac:dyDescent="0.3">
      <c r="A36" s="49">
        <v>46</v>
      </c>
      <c r="B36" s="49" t="s">
        <v>4999</v>
      </c>
      <c r="C36" s="49" t="s">
        <v>229</v>
      </c>
      <c r="D36" s="49">
        <v>0.33616000000000001</v>
      </c>
      <c r="E36" s="49">
        <v>0.34381</v>
      </c>
      <c r="F36" s="49">
        <v>0.34344999999999998</v>
      </c>
      <c r="G36" s="49">
        <v>0.35127000000000003</v>
      </c>
      <c r="H36" s="49">
        <v>0.35357</v>
      </c>
      <c r="I36" s="49">
        <v>0.35249000000000003</v>
      </c>
      <c r="J36" s="49">
        <v>0.36969000000000002</v>
      </c>
      <c r="K36" s="49">
        <v>0.38012000000000001</v>
      </c>
      <c r="L36" s="49">
        <v>0.38119999999999998</v>
      </c>
      <c r="M36" s="49">
        <v>0.38263200000000003</v>
      </c>
      <c r="N36" s="49">
        <v>0.39701999999999998</v>
      </c>
      <c r="O36" s="49">
        <v>0.39336399999999999</v>
      </c>
      <c r="P36" s="49">
        <v>0.403835</v>
      </c>
      <c r="Q36" s="49">
        <v>0.41512300000000002</v>
      </c>
      <c r="R36" s="49">
        <v>0.40364899999999998</v>
      </c>
      <c r="S36" s="49">
        <v>0.370309</v>
      </c>
      <c r="T36" s="49">
        <v>0.41177900000000001</v>
      </c>
      <c r="U36" s="49">
        <v>0.394484</v>
      </c>
      <c r="V36" s="49">
        <v>0.37809999999999999</v>
      </c>
      <c r="W36" s="49">
        <v>0.34306599999999998</v>
      </c>
      <c r="X36" s="49">
        <v>0.35278999999999999</v>
      </c>
      <c r="Y36" s="49">
        <v>0.36059000000000002</v>
      </c>
      <c r="Z36" s="49">
        <v>0.36706499999999997</v>
      </c>
      <c r="AA36" s="49">
        <v>0.39297399999999999</v>
      </c>
      <c r="AB36" s="49">
        <v>0.41250100000000001</v>
      </c>
      <c r="AC36" s="49">
        <v>0.40933700000000001</v>
      </c>
      <c r="AD36" s="49">
        <v>0.41879899999999998</v>
      </c>
      <c r="AE36" s="49">
        <v>0.434359</v>
      </c>
      <c r="AF36" s="49">
        <v>0.44245600000000002</v>
      </c>
      <c r="AG36" s="49">
        <v>0.411827</v>
      </c>
      <c r="AH36" s="49">
        <v>0.44613799999999998</v>
      </c>
      <c r="AI36" s="49">
        <v>0.447189</v>
      </c>
      <c r="AJ36" s="49">
        <v>0.481846</v>
      </c>
      <c r="AK36" s="49">
        <v>0.48339500000000002</v>
      </c>
      <c r="AL36" s="49">
        <v>0.48947499999999999</v>
      </c>
      <c r="AM36" s="49">
        <v>0.49339499999999997</v>
      </c>
      <c r="AN36" s="49">
        <v>0.50207400000000002</v>
      </c>
      <c r="AO36" s="49">
        <v>0.46683599999999997</v>
      </c>
      <c r="AP36" s="49">
        <v>0.52225299999999997</v>
      </c>
      <c r="AQ36" s="49">
        <v>0.53436600000000001</v>
      </c>
      <c r="AR36" s="49">
        <v>0.56048200000000004</v>
      </c>
      <c r="AS36" s="49">
        <v>0.57134099999999999</v>
      </c>
      <c r="AT36" s="49">
        <v>0.58964700000000003</v>
      </c>
      <c r="AU36" s="49">
        <v>0.61451100000000003</v>
      </c>
      <c r="AV36" s="49">
        <v>0.63453499999999996</v>
      </c>
      <c r="AW36" s="49">
        <v>0.65264100000000003</v>
      </c>
      <c r="AX36" s="49">
        <v>0.67162299999999997</v>
      </c>
      <c r="AY36" s="49">
        <v>0.69087600000000005</v>
      </c>
      <c r="AZ36" s="49">
        <v>0.71675800000000001</v>
      </c>
      <c r="BA36" s="49">
        <v>0.71877199999999997</v>
      </c>
      <c r="BB36" s="49">
        <v>0.73199700000000001</v>
      </c>
      <c r="BC36" s="49">
        <v>0.75049600000000005</v>
      </c>
      <c r="BD36" s="49">
        <v>0.77063599999999999</v>
      </c>
      <c r="BE36" s="49">
        <v>0.82221200000000005</v>
      </c>
      <c r="BF36" s="49">
        <v>0.80964100000000006</v>
      </c>
      <c r="BG36" s="49">
        <v>0.80485200000000001</v>
      </c>
      <c r="BH36" s="49">
        <v>0.81845299999999999</v>
      </c>
      <c r="BI36" s="49">
        <v>0.81968600000000003</v>
      </c>
      <c r="BJ36" s="49">
        <v>0.82425499999999996</v>
      </c>
      <c r="BK36" s="49">
        <v>0.83456699999999995</v>
      </c>
      <c r="BL36" s="49">
        <v>0.87812800000000002</v>
      </c>
    </row>
    <row r="37" spans="1:64" x14ac:dyDescent="0.3">
      <c r="A37" s="49">
        <v>47</v>
      </c>
      <c r="B37" s="49" t="s">
        <v>4998</v>
      </c>
      <c r="C37" s="49" t="s">
        <v>233</v>
      </c>
      <c r="D37" s="49">
        <v>1.4848E-2</v>
      </c>
      <c r="E37" s="49">
        <v>1.4874E-2</v>
      </c>
      <c r="F37" s="49">
        <v>1.4945999999999999E-2</v>
      </c>
      <c r="G37" s="49">
        <v>1.5152000000000001E-2</v>
      </c>
      <c r="H37" s="49">
        <v>1.5271E-2</v>
      </c>
      <c r="I37" s="49">
        <v>1.5233E-2</v>
      </c>
      <c r="J37" s="49">
        <v>9.8259999999999997E-3</v>
      </c>
      <c r="K37" s="49">
        <v>1.4928E-2</v>
      </c>
      <c r="L37" s="49">
        <v>1.5421000000000001E-2</v>
      </c>
      <c r="M37" s="49">
        <v>1.5557E-2</v>
      </c>
      <c r="N37" s="49">
        <v>1.5911999999999999E-2</v>
      </c>
      <c r="O37" s="49">
        <v>1.3733E-2</v>
      </c>
      <c r="P37" s="49">
        <v>1.2540000000000001E-2</v>
      </c>
      <c r="Q37" s="49">
        <v>1.3507999999999999E-2</v>
      </c>
      <c r="R37" s="49">
        <v>1.2373E-2</v>
      </c>
      <c r="S37" s="49">
        <v>1.0173E-2</v>
      </c>
      <c r="T37" s="49">
        <v>8.2909999999999998E-3</v>
      </c>
      <c r="U37" s="49">
        <v>8.2509999999999997E-3</v>
      </c>
      <c r="V37" s="49">
        <v>7.7380000000000001E-3</v>
      </c>
      <c r="W37" s="49">
        <v>7.9719999999999999E-3</v>
      </c>
      <c r="X37" s="49">
        <v>8.0440000000000008E-3</v>
      </c>
      <c r="Y37" s="49">
        <v>8.1860000000000006E-3</v>
      </c>
      <c r="Z37" s="49">
        <v>7.1720000000000004E-3</v>
      </c>
      <c r="AA37" s="49">
        <v>6.7140000000000003E-3</v>
      </c>
      <c r="AB37" s="49">
        <v>6.8500000000000002E-3</v>
      </c>
      <c r="AC37" s="49">
        <v>6.8989999999999998E-3</v>
      </c>
      <c r="AD37" s="49">
        <v>5.9890000000000004E-3</v>
      </c>
      <c r="AE37" s="49">
        <v>6.149E-3</v>
      </c>
      <c r="AF37" s="49">
        <v>5.2310000000000004E-3</v>
      </c>
      <c r="AG37" s="49">
        <v>4.0959999999999998E-3</v>
      </c>
      <c r="AH37" s="49">
        <v>8.3180000000000007E-3</v>
      </c>
      <c r="AI37" s="49">
        <v>7.3839999999999999E-3</v>
      </c>
      <c r="AJ37" s="49">
        <v>8.4220000000000007E-3</v>
      </c>
      <c r="AK37" s="49">
        <v>7.8410000000000007E-3</v>
      </c>
      <c r="AL37" s="49">
        <v>7.803E-3</v>
      </c>
      <c r="AM37" s="49">
        <v>8.1040000000000001E-3</v>
      </c>
      <c r="AN37" s="49">
        <v>8.4060000000000003E-3</v>
      </c>
      <c r="AO37" s="49">
        <v>8.1729999999999997E-3</v>
      </c>
      <c r="AP37" s="49">
        <v>6.9420000000000003E-3</v>
      </c>
      <c r="AQ37" s="49">
        <v>6.5490000000000001E-3</v>
      </c>
      <c r="AR37" s="49">
        <v>6.3839999999999999E-3</v>
      </c>
      <c r="AS37" s="49">
        <v>5.8399999999999997E-3</v>
      </c>
      <c r="AT37" s="49">
        <v>3.437E-3</v>
      </c>
      <c r="AU37" s="49">
        <v>3.156E-3</v>
      </c>
      <c r="AV37" s="49">
        <v>3.2399999999999998E-3</v>
      </c>
      <c r="AW37" s="49">
        <v>4.2050000000000004E-3</v>
      </c>
      <c r="AX37" s="49">
        <v>3.4459999999999998E-3</v>
      </c>
      <c r="AY37" s="49">
        <v>3.5070000000000001E-3</v>
      </c>
      <c r="AZ37" s="49">
        <v>3.189E-3</v>
      </c>
      <c r="BA37" s="49">
        <v>3.4020000000000001E-3</v>
      </c>
      <c r="BB37" s="49">
        <v>3.5149999999999999E-3</v>
      </c>
      <c r="BC37" s="49">
        <v>3.882E-3</v>
      </c>
      <c r="BD37" s="49">
        <v>3.9870000000000001E-3</v>
      </c>
      <c r="BE37" s="49">
        <v>4.0080000000000003E-3</v>
      </c>
      <c r="BF37" s="49">
        <v>4.3010000000000001E-3</v>
      </c>
      <c r="BG37" s="49">
        <v>4.1999999999999997E-3</v>
      </c>
      <c r="BH37" s="49">
        <v>4.1000000000000003E-3</v>
      </c>
      <c r="BI37" s="49">
        <v>4.1830000000000001E-3</v>
      </c>
      <c r="BJ37" s="49">
        <v>4.1529999999999996E-3</v>
      </c>
      <c r="BK37" s="49">
        <v>4.1460000000000004E-3</v>
      </c>
      <c r="BL37" s="49">
        <v>4.1590000000000004E-3</v>
      </c>
    </row>
    <row r="38" spans="1:64" x14ac:dyDescent="0.3">
      <c r="A38" s="49">
        <v>48</v>
      </c>
      <c r="B38" s="49" t="s">
        <v>4997</v>
      </c>
      <c r="C38" s="49" t="s">
        <v>235</v>
      </c>
      <c r="D38" s="49">
        <v>0.52793400000000001</v>
      </c>
      <c r="E38" s="49">
        <v>0.56592600000000004</v>
      </c>
      <c r="F38" s="49">
        <v>0.59109999999999996</v>
      </c>
      <c r="G38" s="49">
        <v>0.62368400000000002</v>
      </c>
      <c r="H38" s="49">
        <v>0.61541900000000005</v>
      </c>
      <c r="I38" s="49">
        <v>0.63325900000000002</v>
      </c>
      <c r="J38" s="49">
        <v>0.63245899999999999</v>
      </c>
      <c r="K38" s="49">
        <v>0.62278999999999995</v>
      </c>
      <c r="L38" s="49">
        <v>0.63827999999999996</v>
      </c>
      <c r="M38" s="49">
        <v>0.63173500000000005</v>
      </c>
      <c r="N38" s="49">
        <v>0.58088600000000001</v>
      </c>
      <c r="O38" s="49">
        <v>0.60348400000000002</v>
      </c>
      <c r="P38" s="49">
        <v>0.65612300000000001</v>
      </c>
      <c r="Q38" s="49">
        <v>0.65435200000000004</v>
      </c>
      <c r="R38" s="49">
        <v>0.702519</v>
      </c>
      <c r="S38" s="49">
        <v>0.713167</v>
      </c>
      <c r="T38" s="49">
        <v>0.68431699999999995</v>
      </c>
      <c r="U38" s="49">
        <v>0.68072999999999995</v>
      </c>
      <c r="V38" s="49">
        <v>0.69275200000000003</v>
      </c>
      <c r="W38" s="49">
        <v>0.62443700000000002</v>
      </c>
      <c r="X38" s="49">
        <v>0.69077699999999997</v>
      </c>
      <c r="Y38" s="49">
        <v>0.70840800000000004</v>
      </c>
      <c r="Z38" s="49">
        <v>0.727603</v>
      </c>
      <c r="AA38" s="49">
        <v>0.75311300000000003</v>
      </c>
      <c r="AB38" s="49">
        <v>0.76761599999999997</v>
      </c>
      <c r="AC38" s="49">
        <v>0.80194600000000005</v>
      </c>
      <c r="AD38" s="49">
        <v>0.74350400000000005</v>
      </c>
      <c r="AE38" s="49">
        <v>0.73961900000000003</v>
      </c>
      <c r="AF38" s="49">
        <v>0.70226699999999997</v>
      </c>
      <c r="AG38" s="49">
        <v>0.74922299999999997</v>
      </c>
      <c r="AH38" s="49">
        <v>0.82421999999999995</v>
      </c>
      <c r="AI38" s="49">
        <v>0.83726</v>
      </c>
      <c r="AJ38" s="49">
        <v>0.82600600000000002</v>
      </c>
      <c r="AK38" s="49">
        <v>0.85747399999999996</v>
      </c>
      <c r="AL38" s="49">
        <v>0.86384700000000003</v>
      </c>
      <c r="AM38" s="49">
        <v>0.86103200000000002</v>
      </c>
      <c r="AN38" s="49">
        <v>0.87305299999999997</v>
      </c>
      <c r="AO38" s="49">
        <v>0.85593300000000005</v>
      </c>
      <c r="AP38" s="49">
        <v>0.94428100000000004</v>
      </c>
      <c r="AQ38" s="49">
        <v>0.92144499999999996</v>
      </c>
      <c r="AR38" s="49">
        <v>0.90740600000000005</v>
      </c>
      <c r="AS38" s="49">
        <v>0.88065800000000005</v>
      </c>
      <c r="AT38" s="49">
        <v>0.90770799999999996</v>
      </c>
      <c r="AU38" s="49">
        <v>0.906663</v>
      </c>
      <c r="AV38" s="49">
        <v>0.93765600000000004</v>
      </c>
      <c r="AW38" s="49">
        <v>0.93598499999999996</v>
      </c>
      <c r="AX38" s="49">
        <v>0.94772299999999998</v>
      </c>
      <c r="AY38" s="49">
        <v>0.95851200000000003</v>
      </c>
      <c r="AZ38" s="49">
        <v>1.0150490000000001</v>
      </c>
      <c r="BA38" s="49">
        <v>1.0969329999999999</v>
      </c>
      <c r="BB38" s="49">
        <v>1.098166</v>
      </c>
      <c r="BC38" s="49">
        <v>1.035266</v>
      </c>
      <c r="BD38" s="49">
        <v>1.096352</v>
      </c>
      <c r="BE38" s="49">
        <v>1.0851519999999999</v>
      </c>
      <c r="BF38" s="49">
        <v>1.070567</v>
      </c>
      <c r="BG38" s="49">
        <v>1.1062860000000001</v>
      </c>
      <c r="BH38" s="49">
        <v>1.1146240000000001</v>
      </c>
      <c r="BI38" s="49">
        <v>1.033588</v>
      </c>
      <c r="BJ38" s="49">
        <v>1.0067969999999999</v>
      </c>
      <c r="BK38" s="49">
        <v>1.036484</v>
      </c>
      <c r="BL38" s="49">
        <v>1.068349</v>
      </c>
    </row>
    <row r="39" spans="1:64" x14ac:dyDescent="0.3">
      <c r="A39" s="49">
        <v>49</v>
      </c>
      <c r="B39" s="49" t="s">
        <v>4996</v>
      </c>
      <c r="C39" s="49" t="s">
        <v>239</v>
      </c>
      <c r="D39" s="49">
        <v>3.8242440000000002</v>
      </c>
      <c r="E39" s="49">
        <v>3.6921279999999999</v>
      </c>
      <c r="F39" s="49">
        <v>3.479298</v>
      </c>
      <c r="G39" s="49">
        <v>3.1819679999999999</v>
      </c>
      <c r="H39" s="49">
        <v>3.174512</v>
      </c>
      <c r="I39" s="49">
        <v>3.091262</v>
      </c>
      <c r="J39" s="49">
        <v>3.2371690000000002</v>
      </c>
      <c r="K39" s="49">
        <v>3.245247</v>
      </c>
      <c r="L39" s="49">
        <v>3.0516399999999999</v>
      </c>
      <c r="M39" s="49">
        <v>4.240488</v>
      </c>
      <c r="N39" s="49">
        <v>3.9315639999999998</v>
      </c>
      <c r="O39" s="49">
        <v>3.8459460000000001</v>
      </c>
      <c r="P39" s="49">
        <v>3.6807340000000002</v>
      </c>
      <c r="Q39" s="49">
        <v>3.7292679999999998</v>
      </c>
      <c r="R39" s="49">
        <v>3.6444700000000001</v>
      </c>
      <c r="S39" s="49">
        <v>3.7195649999999998</v>
      </c>
      <c r="T39" s="49">
        <v>3.4918960000000001</v>
      </c>
      <c r="U39" s="49">
        <v>3.6693410000000002</v>
      </c>
      <c r="V39" s="49">
        <v>3.8497340000000002</v>
      </c>
      <c r="W39" s="49">
        <v>3.9976129999999999</v>
      </c>
      <c r="X39" s="49">
        <v>3.6356709999999999</v>
      </c>
      <c r="Y39" s="49">
        <v>3.9253100000000001</v>
      </c>
      <c r="Z39" s="49">
        <v>3.700332</v>
      </c>
      <c r="AA39" s="49">
        <v>3.9920460000000002</v>
      </c>
      <c r="AB39" s="49">
        <v>4.2501629999999997</v>
      </c>
      <c r="AC39" s="49">
        <v>4.225352</v>
      </c>
      <c r="AD39" s="49">
        <v>4.2888909999999996</v>
      </c>
      <c r="AE39" s="49">
        <v>4.2256090000000004</v>
      </c>
      <c r="AF39" s="49">
        <v>4.4533820000000004</v>
      </c>
      <c r="AG39" s="49">
        <v>4.6440109999999999</v>
      </c>
      <c r="AH39" s="49">
        <v>4.8988399999999999</v>
      </c>
      <c r="AI39" s="49">
        <v>5.1821080000000004</v>
      </c>
      <c r="AJ39" s="49">
        <v>4.5111679999999996</v>
      </c>
      <c r="AK39" s="49">
        <v>4.7875019999999999</v>
      </c>
      <c r="AL39" s="49">
        <v>4.4950029999999996</v>
      </c>
      <c r="AM39" s="49">
        <v>4.8350390000000001</v>
      </c>
      <c r="AN39" s="49">
        <v>4.8816879999999996</v>
      </c>
      <c r="AO39" s="49">
        <v>4.4595549999999999</v>
      </c>
      <c r="AP39" s="49">
        <v>4.1593749999999998</v>
      </c>
      <c r="AQ39" s="49">
        <v>4.474945</v>
      </c>
      <c r="AR39" s="49">
        <v>4.4350110000000003</v>
      </c>
      <c r="AS39" s="49">
        <v>4.5809839999999999</v>
      </c>
      <c r="AT39" s="49">
        <v>3.9879319999999998</v>
      </c>
      <c r="AU39" s="49">
        <v>4.0692259999999996</v>
      </c>
      <c r="AV39" s="49">
        <v>3.6086640000000001</v>
      </c>
      <c r="AW39" s="49">
        <v>3.0028670000000002</v>
      </c>
      <c r="AX39" s="49">
        <v>2.9883980000000001</v>
      </c>
      <c r="AY39" s="49">
        <v>3.0602100000000001</v>
      </c>
      <c r="AZ39" s="49">
        <v>3.7551999999999999</v>
      </c>
      <c r="BA39" s="49">
        <v>3.5844659999999999</v>
      </c>
      <c r="BB39" s="49">
        <v>3.3913489999999999</v>
      </c>
      <c r="BC39" s="49">
        <v>3.0451860000000002</v>
      </c>
      <c r="BD39" s="49">
        <v>3.1742059999999999</v>
      </c>
      <c r="BE39" s="49">
        <v>2.9287939999999999</v>
      </c>
      <c r="BF39" s="49">
        <v>2.8692739999999999</v>
      </c>
      <c r="BG39" s="49">
        <v>3.0579390000000002</v>
      </c>
      <c r="BH39" s="49">
        <v>3.1225990000000001</v>
      </c>
      <c r="BI39" s="49">
        <v>2.7864</v>
      </c>
      <c r="BJ39" s="49">
        <v>2.773571</v>
      </c>
      <c r="BK39" s="49">
        <v>2.433646</v>
      </c>
      <c r="BL39" s="49">
        <v>2.3288350000000002</v>
      </c>
    </row>
    <row r="40" spans="1:64" x14ac:dyDescent="0.3">
      <c r="A40" s="49">
        <v>50</v>
      </c>
      <c r="B40" s="49" t="s">
        <v>4995</v>
      </c>
      <c r="C40" s="49" t="s">
        <v>243</v>
      </c>
      <c r="D40" s="49">
        <v>0.52789200000000003</v>
      </c>
      <c r="E40" s="49">
        <v>0.53138099999999999</v>
      </c>
      <c r="F40" s="49">
        <v>0.544713</v>
      </c>
      <c r="G40" s="49">
        <v>0.53923200000000004</v>
      </c>
      <c r="H40" s="49">
        <v>0.54467699999999997</v>
      </c>
      <c r="I40" s="49">
        <v>0.54373199999999999</v>
      </c>
      <c r="J40" s="49">
        <v>0.55511299999999997</v>
      </c>
      <c r="K40" s="49">
        <v>0.57876499999999997</v>
      </c>
      <c r="L40" s="49">
        <v>0.57287399999999999</v>
      </c>
      <c r="M40" s="49">
        <v>0.61862200000000001</v>
      </c>
      <c r="N40" s="49">
        <v>0.64415599999999995</v>
      </c>
      <c r="O40" s="49">
        <v>0.61894199999999999</v>
      </c>
      <c r="P40" s="49">
        <v>0.63661500000000004</v>
      </c>
      <c r="Q40" s="49">
        <v>0.60526199999999997</v>
      </c>
      <c r="R40" s="49">
        <v>0.33069900000000002</v>
      </c>
      <c r="S40" s="49">
        <v>0.35119</v>
      </c>
      <c r="T40" s="49">
        <v>0.35189900000000002</v>
      </c>
      <c r="U40" s="49">
        <v>0.25653399999999998</v>
      </c>
      <c r="V40" s="49">
        <v>0.25436399999999998</v>
      </c>
      <c r="W40" s="49">
        <v>0.26045499999999999</v>
      </c>
      <c r="X40" s="49">
        <v>0.25829999999999997</v>
      </c>
      <c r="Y40" s="49">
        <v>0.26303100000000001</v>
      </c>
      <c r="Z40" s="49">
        <v>0.26493699999999998</v>
      </c>
      <c r="AA40" s="49">
        <v>0.26831500000000003</v>
      </c>
      <c r="AB40" s="49">
        <v>0.24943599999999999</v>
      </c>
      <c r="AC40" s="49">
        <v>0.24476100000000001</v>
      </c>
      <c r="AD40" s="49">
        <v>0.24877199999999999</v>
      </c>
      <c r="AE40" s="49">
        <v>0.25627100000000003</v>
      </c>
      <c r="AF40" s="49">
        <v>0.255436</v>
      </c>
      <c r="AG40" s="49">
        <v>0.247891</v>
      </c>
      <c r="AH40" s="49">
        <v>0.234102</v>
      </c>
      <c r="AI40" s="49">
        <v>0.26563199999999998</v>
      </c>
      <c r="AJ40" s="49">
        <v>0.26786399999999999</v>
      </c>
      <c r="AK40" s="49">
        <v>0.24560100000000001</v>
      </c>
      <c r="AL40" s="49">
        <v>0.24615400000000001</v>
      </c>
      <c r="AM40" s="49">
        <v>0.24230099999999999</v>
      </c>
      <c r="AN40" s="49">
        <v>0.20384099999999999</v>
      </c>
      <c r="AO40" s="49">
        <v>0.23580899999999999</v>
      </c>
      <c r="AP40" s="49">
        <v>0.233319</v>
      </c>
      <c r="AQ40" s="49">
        <v>0.21593599999999999</v>
      </c>
      <c r="AR40" s="49">
        <v>0.222719</v>
      </c>
      <c r="AS40" s="49">
        <v>0.225136</v>
      </c>
      <c r="AT40" s="49">
        <v>0.25376700000000002</v>
      </c>
      <c r="AU40" s="49">
        <v>0.25119000000000002</v>
      </c>
      <c r="AV40" s="49">
        <v>0.229628</v>
      </c>
      <c r="AW40" s="49">
        <v>0.216253</v>
      </c>
      <c r="AX40" s="49">
        <v>0.17738799999999999</v>
      </c>
      <c r="AY40" s="49">
        <v>0.15825700000000001</v>
      </c>
      <c r="AZ40" s="49">
        <v>0.15481500000000001</v>
      </c>
      <c r="BA40" s="49">
        <v>0.144285</v>
      </c>
      <c r="BB40" s="49">
        <v>0.15259900000000001</v>
      </c>
      <c r="BC40" s="49">
        <v>0.152866</v>
      </c>
      <c r="BD40" s="49">
        <v>0.133967</v>
      </c>
      <c r="BE40" s="49">
        <v>0.12532799999999999</v>
      </c>
      <c r="BF40" s="49">
        <v>0.13930400000000001</v>
      </c>
      <c r="BG40" s="49">
        <v>0.12084</v>
      </c>
      <c r="BH40" s="49">
        <v>0.109065</v>
      </c>
      <c r="BI40" s="49">
        <v>0.105382</v>
      </c>
      <c r="BJ40" s="49">
        <v>0.10358199999999999</v>
      </c>
      <c r="BK40" s="49">
        <v>0.12113400000000001</v>
      </c>
      <c r="BL40" s="49">
        <v>0.1077</v>
      </c>
    </row>
    <row r="41" spans="1:64" x14ac:dyDescent="0.3">
      <c r="A41" s="49">
        <v>51</v>
      </c>
      <c r="B41" s="49" t="s">
        <v>4994</v>
      </c>
      <c r="C41" s="49" t="s">
        <v>247</v>
      </c>
      <c r="D41" s="49">
        <v>7.1213300000000004</v>
      </c>
      <c r="E41" s="49">
        <v>7.2133529999999997</v>
      </c>
      <c r="F41" s="49">
        <v>7.2219499999999996</v>
      </c>
      <c r="G41" s="49">
        <v>7.3098799999999997</v>
      </c>
      <c r="H41" s="49">
        <v>6.4818879999999996</v>
      </c>
      <c r="I41" s="49">
        <v>7.0797239999999997</v>
      </c>
      <c r="J41" s="49">
        <v>7.0219379999999996</v>
      </c>
      <c r="K41" s="49">
        <v>6.959797</v>
      </c>
      <c r="L41" s="49">
        <v>6.8756529999999998</v>
      </c>
      <c r="M41" s="49">
        <v>6.7358710000000004</v>
      </c>
      <c r="N41" s="49">
        <v>6.8273010000000003</v>
      </c>
      <c r="O41" s="49">
        <v>6.9367359999999998</v>
      </c>
      <c r="P41" s="49">
        <v>6.9272049999999998</v>
      </c>
      <c r="Q41" s="49">
        <v>6.8678549999999996</v>
      </c>
      <c r="R41" s="49">
        <v>6.894012</v>
      </c>
      <c r="S41" s="49">
        <v>6.6498730000000004</v>
      </c>
      <c r="T41" s="49">
        <v>6.8156330000000001</v>
      </c>
      <c r="U41" s="49">
        <v>6.7265949999999997</v>
      </c>
      <c r="V41" s="49">
        <v>6.56074</v>
      </c>
      <c r="W41" s="49">
        <v>6.5060169999999999</v>
      </c>
      <c r="X41" s="49">
        <v>6.5207170000000003</v>
      </c>
      <c r="Y41" s="49">
        <v>6.4968789999999998</v>
      </c>
      <c r="Z41" s="49">
        <v>6.4823849999999998</v>
      </c>
      <c r="AA41" s="49">
        <v>6.4335060000000004</v>
      </c>
      <c r="AB41" s="49">
        <v>6.7063430000000004</v>
      </c>
      <c r="AC41" s="49">
        <v>6.6909200000000002</v>
      </c>
      <c r="AD41" s="49">
        <v>6.6733469999999997</v>
      </c>
      <c r="AE41" s="49">
        <v>6.5751160000000004</v>
      </c>
      <c r="AF41" s="49">
        <v>6.6297860000000002</v>
      </c>
      <c r="AG41" s="49">
        <v>6.4761620000000004</v>
      </c>
      <c r="AH41" s="49">
        <v>7.1145909999999999</v>
      </c>
      <c r="AI41" s="49">
        <v>7.0768190000000004</v>
      </c>
    </row>
    <row r="42" spans="1:64" x14ac:dyDescent="0.3">
      <c r="A42" s="49">
        <v>52</v>
      </c>
      <c r="B42" s="49" t="s">
        <v>4993</v>
      </c>
      <c r="C42" s="49" t="s">
        <v>122</v>
      </c>
      <c r="AI42" s="49">
        <v>2.8205819999999999</v>
      </c>
      <c r="AJ42" s="49">
        <v>2.913904</v>
      </c>
      <c r="AK42" s="49">
        <v>2.6699809999999999</v>
      </c>
      <c r="AL42" s="49">
        <v>2.567831</v>
      </c>
      <c r="AM42" s="49">
        <v>2.596622</v>
      </c>
      <c r="AN42" s="49">
        <v>2.5775049999999999</v>
      </c>
      <c r="AO42" s="49">
        <v>2.1847240000000001</v>
      </c>
      <c r="AP42" s="49">
        <v>1.850476</v>
      </c>
      <c r="AQ42" s="49">
        <v>2.208609</v>
      </c>
      <c r="AR42" s="49">
        <v>2.4143430000000001</v>
      </c>
      <c r="AS42" s="49">
        <v>2.4504709999999998</v>
      </c>
      <c r="AT42" s="49">
        <v>2.405402</v>
      </c>
      <c r="AU42" s="49">
        <v>2.5488140000000001</v>
      </c>
      <c r="AV42" s="49">
        <v>2.6935850000000001</v>
      </c>
      <c r="AW42" s="49">
        <v>2.6146820000000002</v>
      </c>
      <c r="AX42" s="49">
        <v>2.4457049999999998</v>
      </c>
      <c r="AY42" s="49">
        <v>2.6422300000000001</v>
      </c>
      <c r="AZ42" s="49">
        <v>2.9707379999999999</v>
      </c>
      <c r="BA42" s="49">
        <v>2.7172999999999998</v>
      </c>
      <c r="BB42" s="49">
        <v>2.7869160000000002</v>
      </c>
      <c r="BC42" s="49">
        <v>2.8482449999999999</v>
      </c>
      <c r="BD42" s="49">
        <v>2.9147120000000002</v>
      </c>
      <c r="BE42" s="49">
        <v>2.7551040000000002</v>
      </c>
      <c r="BF42" s="49">
        <v>2.6652209999999998</v>
      </c>
      <c r="BG42" s="49">
        <v>2.8937759999999999</v>
      </c>
      <c r="BH42" s="49">
        <v>3.2168019999999999</v>
      </c>
      <c r="BI42" s="49">
        <v>3.4034529999999998</v>
      </c>
      <c r="BJ42" s="49">
        <v>3.273126</v>
      </c>
      <c r="BK42" s="49">
        <v>3.091777</v>
      </c>
      <c r="BL42" s="49">
        <v>3.130217</v>
      </c>
    </row>
    <row r="43" spans="1:64" x14ac:dyDescent="0.3">
      <c r="A43" s="49">
        <v>53</v>
      </c>
      <c r="B43" s="49" t="s">
        <v>4992</v>
      </c>
      <c r="C43" s="49" t="s">
        <v>144</v>
      </c>
      <c r="D43" s="49">
        <v>1.8213250000000001</v>
      </c>
      <c r="E43" s="49">
        <v>1.8965190000000001</v>
      </c>
      <c r="F43" s="49">
        <v>1.8292299999999999</v>
      </c>
      <c r="G43" s="49">
        <v>1.745827</v>
      </c>
      <c r="H43" s="49">
        <v>1.7326729999999999</v>
      </c>
      <c r="I43" s="49">
        <v>1.657986</v>
      </c>
      <c r="J43" s="49">
        <v>1.806657</v>
      </c>
      <c r="K43" s="49">
        <v>1.7587729999999999</v>
      </c>
      <c r="L43" s="49">
        <v>1.7766329999999999</v>
      </c>
      <c r="M43" s="49">
        <v>1.8220320000000001</v>
      </c>
      <c r="N43" s="49">
        <v>1.671673</v>
      </c>
      <c r="O43" s="49">
        <v>1.71601</v>
      </c>
      <c r="P43" s="49">
        <v>1.692623</v>
      </c>
      <c r="Q43" s="49">
        <v>1.5993679999999999</v>
      </c>
      <c r="R43" s="49">
        <v>1.4187419999999999</v>
      </c>
      <c r="S43" s="49">
        <v>1.439567</v>
      </c>
      <c r="T43" s="49">
        <v>1.552495</v>
      </c>
      <c r="U43" s="49">
        <v>1.957063</v>
      </c>
      <c r="V43" s="49">
        <v>1.9172739999999999</v>
      </c>
      <c r="W43" s="49">
        <v>1.701093</v>
      </c>
      <c r="X43" s="49">
        <v>1.871772</v>
      </c>
      <c r="Y43" s="49">
        <v>1.87374</v>
      </c>
      <c r="Z43" s="49">
        <v>1.9465539999999999</v>
      </c>
      <c r="AA43" s="49">
        <v>2.062376</v>
      </c>
      <c r="AB43" s="49">
        <v>2.198763</v>
      </c>
      <c r="AC43" s="49">
        <v>2.1919409999999999</v>
      </c>
      <c r="AD43" s="49">
        <v>2.0325259999999998</v>
      </c>
      <c r="AE43" s="49">
        <v>2.4090069999999999</v>
      </c>
      <c r="AF43" s="49">
        <v>2.40049</v>
      </c>
      <c r="AG43" s="49">
        <v>2.4348010000000002</v>
      </c>
      <c r="AH43" s="49">
        <v>3.3301669999999999</v>
      </c>
      <c r="AI43" s="49">
        <v>3.2391019999999999</v>
      </c>
      <c r="AJ43" s="49">
        <v>3.420525</v>
      </c>
      <c r="AK43" s="49">
        <v>3.639805</v>
      </c>
      <c r="AL43" s="49">
        <v>4.0813819999999996</v>
      </c>
      <c r="AM43" s="49">
        <v>4.6659139999999999</v>
      </c>
      <c r="AN43" s="49">
        <v>5.0651859999999997</v>
      </c>
      <c r="AO43" s="49">
        <v>5.2013040000000004</v>
      </c>
      <c r="AP43" s="49">
        <v>5.2836720000000001</v>
      </c>
      <c r="AQ43" s="49">
        <v>5.3450689999999996</v>
      </c>
      <c r="AR43" s="49">
        <v>5.2867800000000003</v>
      </c>
      <c r="AS43" s="49">
        <v>5.639043</v>
      </c>
      <c r="AT43" s="49">
        <v>5.4735319999999996</v>
      </c>
      <c r="AU43" s="49">
        <v>5.581836</v>
      </c>
      <c r="AV43" s="49">
        <v>5.2167159999999999</v>
      </c>
      <c r="AW43" s="49">
        <v>4.9751089999999998</v>
      </c>
      <c r="AX43" s="49">
        <v>5.1998490000000004</v>
      </c>
      <c r="AY43" s="49">
        <v>6.1238460000000003</v>
      </c>
      <c r="AZ43" s="49">
        <v>6.1285040000000004</v>
      </c>
      <c r="BA43" s="49">
        <v>5.9891120000000004</v>
      </c>
      <c r="BB43" s="49">
        <v>5.9596030000000004</v>
      </c>
      <c r="BC43" s="49">
        <v>7.0527629999999997</v>
      </c>
      <c r="BD43" s="49">
        <v>7.6321719999999997</v>
      </c>
      <c r="BE43" s="49">
        <v>7.9231030000000002</v>
      </c>
      <c r="BF43" s="49">
        <v>7.8915129999999998</v>
      </c>
      <c r="BG43" s="49">
        <v>7.8277830000000002</v>
      </c>
      <c r="BH43" s="49">
        <v>8.5997249999999994</v>
      </c>
      <c r="BI43" s="49">
        <v>9.8093400000000006</v>
      </c>
      <c r="BJ43" s="49">
        <v>10.209046000000001</v>
      </c>
      <c r="BK43" s="49">
        <v>9.6509289999999996</v>
      </c>
      <c r="BL43" s="49">
        <v>10.324299</v>
      </c>
    </row>
    <row r="44" spans="1:64" x14ac:dyDescent="0.3">
      <c r="A44" s="49">
        <v>54</v>
      </c>
      <c r="B44" s="49" t="s">
        <v>4991</v>
      </c>
      <c r="C44" s="49" t="s">
        <v>250</v>
      </c>
      <c r="D44" s="49">
        <v>3.3830939999999998</v>
      </c>
      <c r="E44" s="49">
        <v>3.3914559999999998</v>
      </c>
      <c r="F44" s="49">
        <v>3.4836469999999999</v>
      </c>
      <c r="G44" s="49">
        <v>3.4906389999999998</v>
      </c>
      <c r="H44" s="49">
        <v>3.4667910000000002</v>
      </c>
      <c r="I44" s="49">
        <v>3.467778</v>
      </c>
      <c r="J44" s="49">
        <v>3.5289790000000001</v>
      </c>
      <c r="K44" s="49">
        <v>3.6204999999999998</v>
      </c>
      <c r="L44" s="49">
        <v>3.6714190000000002</v>
      </c>
      <c r="M44" s="49">
        <v>3.740774</v>
      </c>
      <c r="N44" s="49">
        <v>3.774146</v>
      </c>
      <c r="O44" s="49">
        <v>3.8040780000000001</v>
      </c>
      <c r="P44" s="49">
        <v>3.7990379999999999</v>
      </c>
      <c r="Q44" s="49">
        <v>3.7606229999999998</v>
      </c>
      <c r="R44" s="49">
        <v>3.7774329999999998</v>
      </c>
      <c r="S44" s="49">
        <v>3.8887450000000001</v>
      </c>
      <c r="T44" s="49">
        <v>3.9625590000000002</v>
      </c>
      <c r="U44" s="49">
        <v>3.997735</v>
      </c>
      <c r="V44" s="49">
        <v>4.0127540000000002</v>
      </c>
      <c r="W44" s="49">
        <v>3.9852650000000001</v>
      </c>
      <c r="X44" s="49">
        <v>3.9654509999999998</v>
      </c>
      <c r="Y44" s="49">
        <v>3.9584579999999998</v>
      </c>
      <c r="Z44" s="49">
        <v>3.8399299999999998</v>
      </c>
      <c r="AA44" s="49">
        <v>3.9327559999999999</v>
      </c>
      <c r="AB44" s="49">
        <v>3.9283100000000002</v>
      </c>
      <c r="AC44" s="49">
        <v>3.9238469999999999</v>
      </c>
      <c r="AD44" s="49">
        <v>3.8905150000000002</v>
      </c>
      <c r="AE44" s="49">
        <v>3.9110879999999999</v>
      </c>
      <c r="AF44" s="49">
        <v>3.8438620000000001</v>
      </c>
      <c r="AG44" s="49">
        <v>3.8917459999999999</v>
      </c>
      <c r="AH44" s="49">
        <v>4.4277230000000003</v>
      </c>
      <c r="AI44" s="49">
        <v>4.259493</v>
      </c>
      <c r="AJ44" s="49">
        <v>3.8951099999999999</v>
      </c>
      <c r="AK44" s="49">
        <v>3.7886449999999998</v>
      </c>
      <c r="AL44" s="49">
        <v>3.7802530000000001</v>
      </c>
      <c r="AM44" s="49">
        <v>3.7793869999999998</v>
      </c>
      <c r="AN44" s="49">
        <v>3.8347120000000001</v>
      </c>
      <c r="AO44" s="49">
        <v>3.8768349999999998</v>
      </c>
      <c r="AP44" s="49">
        <v>3.8510749999999998</v>
      </c>
      <c r="AQ44" s="49">
        <v>3.6454879999999998</v>
      </c>
      <c r="AR44" s="49">
        <v>3.6066150000000001</v>
      </c>
      <c r="AS44" s="49">
        <v>3.6136509999999999</v>
      </c>
      <c r="AT44" s="49">
        <v>3.5557759999999998</v>
      </c>
      <c r="AU44" s="49">
        <v>3.611154</v>
      </c>
      <c r="AV44" s="49">
        <v>3.5908090000000001</v>
      </c>
      <c r="AW44" s="49">
        <v>3.5778919999999999</v>
      </c>
      <c r="AX44" s="49">
        <v>3.6406100000000001</v>
      </c>
      <c r="AY44" s="49">
        <v>3.7409569999999999</v>
      </c>
      <c r="AZ44" s="49">
        <v>3.6922929999999998</v>
      </c>
      <c r="BA44" s="49">
        <v>3.7293759999999998</v>
      </c>
      <c r="BB44" s="49">
        <v>3.6636299999999999</v>
      </c>
      <c r="BC44" s="49">
        <v>3.6031170000000001</v>
      </c>
      <c r="BD44" s="49">
        <v>3.622779</v>
      </c>
      <c r="BE44" s="49">
        <v>3.6066060000000002</v>
      </c>
      <c r="BF44" s="49">
        <v>3.6913070000000001</v>
      </c>
      <c r="BG44" s="49">
        <v>3.6564239999999999</v>
      </c>
      <c r="BH44" s="49">
        <v>3.67503</v>
      </c>
      <c r="BI44" s="49">
        <v>3.2410000000000001</v>
      </c>
      <c r="BJ44" s="49">
        <v>3.1587999999999998</v>
      </c>
      <c r="BK44" s="49">
        <v>3.1553</v>
      </c>
      <c r="BL44" s="49">
        <v>3.1550799999999999</v>
      </c>
    </row>
    <row r="45" spans="1:64" x14ac:dyDescent="0.3">
      <c r="A45" s="49">
        <v>55</v>
      </c>
      <c r="B45" s="49" t="s">
        <v>4990</v>
      </c>
      <c r="C45" s="49" t="s">
        <v>255</v>
      </c>
      <c r="D45" s="49">
        <v>1.3764E-2</v>
      </c>
      <c r="E45" s="49">
        <v>1.3642E-2</v>
      </c>
      <c r="F45" s="49">
        <v>1.5774E-2</v>
      </c>
      <c r="G45" s="49">
        <v>1.7866E-2</v>
      </c>
      <c r="H45" s="49">
        <v>1.7860000000000001E-2</v>
      </c>
      <c r="I45" s="49">
        <v>2.2148000000000001E-2</v>
      </c>
      <c r="J45" s="49">
        <v>1.9019999999999999E-2</v>
      </c>
      <c r="K45" s="49">
        <v>1.9089999999999999E-2</v>
      </c>
      <c r="L45" s="49">
        <v>1.924E-2</v>
      </c>
      <c r="M45" s="49">
        <v>1.6539999999999999E-2</v>
      </c>
      <c r="N45" s="49">
        <v>1.6490000000000001E-2</v>
      </c>
      <c r="O45" s="49">
        <v>1.6830000000000001E-2</v>
      </c>
      <c r="P45" s="49">
        <v>1.506E-2</v>
      </c>
      <c r="Q45" s="49">
        <v>1.728E-2</v>
      </c>
      <c r="R45" s="49">
        <v>1.7611999999999999E-2</v>
      </c>
      <c r="S45" s="49">
        <v>1.8780000000000002E-2</v>
      </c>
      <c r="T45" s="49">
        <v>2.0029999999999999E-2</v>
      </c>
      <c r="U45" s="49">
        <v>2.2839999999999999E-2</v>
      </c>
      <c r="V45" s="49">
        <v>1.7649999999999999E-2</v>
      </c>
      <c r="W45" s="49">
        <v>1.4326E-2</v>
      </c>
      <c r="X45" s="49">
        <v>1.5812E-2</v>
      </c>
      <c r="Y45" s="49">
        <v>1.6146000000000001E-2</v>
      </c>
      <c r="Z45" s="49">
        <v>1.7330000000000002E-2</v>
      </c>
      <c r="AA45" s="49">
        <v>1.6403999999999998E-2</v>
      </c>
      <c r="AB45" s="49">
        <v>3.5208000000000003E-2</v>
      </c>
      <c r="AC45" s="49">
        <v>3.8467000000000001E-2</v>
      </c>
      <c r="AD45" s="49">
        <v>4.3546000000000001E-2</v>
      </c>
      <c r="AE45" s="49">
        <v>4.8004999999999999E-2</v>
      </c>
      <c r="AF45" s="49">
        <v>4.5913000000000002E-2</v>
      </c>
      <c r="AG45" s="49">
        <v>4.0120999999999997E-2</v>
      </c>
      <c r="AH45" s="49">
        <v>4.3898E-2</v>
      </c>
      <c r="AI45" s="49">
        <v>4.6102999999999998E-2</v>
      </c>
      <c r="AJ45" s="49">
        <v>4.6321000000000001E-2</v>
      </c>
      <c r="AK45" s="49">
        <v>4.3783000000000002E-2</v>
      </c>
      <c r="AL45" s="49">
        <v>4.0253999999999998E-2</v>
      </c>
      <c r="AM45" s="49">
        <v>4.7106000000000002E-2</v>
      </c>
      <c r="AN45" s="49">
        <v>4.9292999999999997E-2</v>
      </c>
      <c r="AO45" s="49">
        <v>4.7014E-2</v>
      </c>
      <c r="AP45" s="49">
        <v>4.6932000000000001E-2</v>
      </c>
      <c r="AQ45" s="49">
        <v>4.6646E-2</v>
      </c>
      <c r="AR45" s="49">
        <v>4.367E-2</v>
      </c>
      <c r="AS45" s="49">
        <v>4.3756000000000003E-2</v>
      </c>
      <c r="AT45" s="49">
        <v>3.7961000000000002E-2</v>
      </c>
      <c r="AU45" s="49">
        <v>4.0707E-2</v>
      </c>
      <c r="AV45" s="49">
        <v>4.0858999999999999E-2</v>
      </c>
      <c r="AW45" s="49">
        <v>4.2664000000000001E-2</v>
      </c>
      <c r="AX45" s="49">
        <v>4.3228000000000003E-2</v>
      </c>
      <c r="AY45" s="49">
        <v>4.0221E-2</v>
      </c>
      <c r="AZ45" s="49">
        <v>4.0391999999999997E-2</v>
      </c>
      <c r="BA45" s="49">
        <v>4.7877000000000003E-2</v>
      </c>
      <c r="BB45" s="49">
        <v>4.0403000000000001E-2</v>
      </c>
      <c r="BC45" s="49">
        <v>4.1745999999999998E-2</v>
      </c>
      <c r="BD45" s="49">
        <v>4.2500000000000003E-2</v>
      </c>
      <c r="BE45" s="49">
        <v>4.4123999999999997E-2</v>
      </c>
      <c r="BF45" s="49">
        <v>4.8250000000000001E-2</v>
      </c>
      <c r="BG45" s="49">
        <v>5.4905000000000002E-2</v>
      </c>
      <c r="BH45" s="49">
        <v>4.9841999999999997E-2</v>
      </c>
      <c r="BI45" s="49">
        <v>4.8963E-2</v>
      </c>
      <c r="BJ45" s="49">
        <v>4.9214000000000001E-2</v>
      </c>
      <c r="BK45" s="49">
        <v>4.9446999999999998E-2</v>
      </c>
      <c r="BL45" s="49">
        <v>4.9197999999999999E-2</v>
      </c>
    </row>
    <row r="46" spans="1:64" x14ac:dyDescent="0.3">
      <c r="A46" s="49">
        <v>56</v>
      </c>
      <c r="B46" s="49" t="s">
        <v>4989</v>
      </c>
      <c r="C46" s="49" t="s">
        <v>257</v>
      </c>
      <c r="D46" s="49">
        <v>1.1186860000000001</v>
      </c>
      <c r="E46" s="49">
        <v>1.1620349999999999</v>
      </c>
      <c r="F46" s="49">
        <v>1.0816790000000001</v>
      </c>
      <c r="G46" s="49">
        <v>1.099675</v>
      </c>
      <c r="H46" s="49">
        <v>1.0488900000000001</v>
      </c>
      <c r="I46" s="49">
        <v>1.130058</v>
      </c>
      <c r="J46" s="49">
        <v>1.1236170000000001</v>
      </c>
      <c r="K46" s="49">
        <v>1.12029</v>
      </c>
      <c r="L46" s="49">
        <v>1.2426539999999999</v>
      </c>
      <c r="M46" s="49">
        <v>1.276259</v>
      </c>
      <c r="N46" s="49">
        <v>1.3245039999999999</v>
      </c>
      <c r="O46" s="49">
        <v>1.33352</v>
      </c>
      <c r="P46" s="49">
        <v>1.392476</v>
      </c>
      <c r="Q46" s="49">
        <v>1.412639</v>
      </c>
      <c r="R46" s="49">
        <v>1.374428</v>
      </c>
      <c r="S46" s="49">
        <v>1.4786900000000001</v>
      </c>
      <c r="T46" s="49">
        <v>1.4609939999999999</v>
      </c>
      <c r="U46" s="49">
        <v>1.5141089999999999</v>
      </c>
      <c r="V46" s="49">
        <v>1.432493</v>
      </c>
      <c r="W46" s="49">
        <v>1.4686349999999999</v>
      </c>
      <c r="X46" s="49">
        <v>1.4802150000000001</v>
      </c>
      <c r="Y46" s="49">
        <v>1.450861</v>
      </c>
      <c r="Z46" s="49">
        <v>1.529272</v>
      </c>
      <c r="AA46" s="49">
        <v>1.634938</v>
      </c>
      <c r="AB46" s="49">
        <v>1.6979869999999999</v>
      </c>
      <c r="AC46" s="49">
        <v>1.59287</v>
      </c>
      <c r="AD46" s="49">
        <v>1.702636</v>
      </c>
      <c r="AE46" s="49">
        <v>1.7057629999999999</v>
      </c>
      <c r="AF46" s="49">
        <v>1.7936319999999999</v>
      </c>
      <c r="AG46" s="49">
        <v>1.5112019999999999</v>
      </c>
      <c r="AH46" s="49">
        <v>1.696555</v>
      </c>
      <c r="AI46" s="49">
        <v>1.6815990000000001</v>
      </c>
      <c r="AJ46" s="49">
        <v>1.7202649999999999</v>
      </c>
      <c r="AK46" s="49">
        <v>1.626784</v>
      </c>
      <c r="AL46" s="49">
        <v>1.7809919999999999</v>
      </c>
      <c r="AM46" s="49">
        <v>1.7007460000000001</v>
      </c>
      <c r="AN46" s="49">
        <v>1.665686</v>
      </c>
      <c r="AO46" s="49">
        <v>1.7052830000000001</v>
      </c>
      <c r="AP46" s="49">
        <v>1.4957780000000001</v>
      </c>
      <c r="AQ46" s="49">
        <v>1.5398449999999999</v>
      </c>
      <c r="AR46" s="49">
        <v>1.6144639999999999</v>
      </c>
      <c r="AS46" s="49">
        <v>1.588984</v>
      </c>
      <c r="AT46" s="49">
        <v>1.47675</v>
      </c>
      <c r="AU46" s="49">
        <v>1.425726</v>
      </c>
      <c r="AV46" s="49">
        <v>1.482518</v>
      </c>
      <c r="AW46" s="49">
        <v>1.492035</v>
      </c>
      <c r="AX46" s="49">
        <v>1.5356099999999999</v>
      </c>
      <c r="AY46" s="49">
        <v>1.4940659999999999</v>
      </c>
      <c r="AZ46" s="49">
        <v>1.585707</v>
      </c>
      <c r="BA46" s="49">
        <v>1.5875239999999999</v>
      </c>
      <c r="BB46" s="49">
        <v>1.705355</v>
      </c>
      <c r="BC46" s="49">
        <v>1.6062209999999999</v>
      </c>
      <c r="BD46" s="49">
        <v>1.6513249999999999</v>
      </c>
      <c r="BE46" s="49">
        <v>1.659753</v>
      </c>
      <c r="BF46" s="49">
        <v>1.641278</v>
      </c>
      <c r="BG46" s="49">
        <v>1.8494360000000001</v>
      </c>
      <c r="BH46" s="49">
        <v>1.8882080000000001</v>
      </c>
      <c r="BI46" s="49">
        <v>1.964928</v>
      </c>
      <c r="BJ46" s="49">
        <v>1.9764390000000001</v>
      </c>
      <c r="BK46" s="49">
        <v>1.8754299999999999</v>
      </c>
      <c r="BL46" s="49">
        <v>1.8673249999999999</v>
      </c>
    </row>
    <row r="47" spans="1:64" x14ac:dyDescent="0.3">
      <c r="A47" s="49">
        <v>57</v>
      </c>
      <c r="B47" s="49" t="s">
        <v>4988</v>
      </c>
      <c r="C47" s="49" t="s">
        <v>135</v>
      </c>
      <c r="AI47" s="49">
        <v>8.1595999999999993</v>
      </c>
      <c r="AJ47" s="49">
        <v>7.9426860000000001</v>
      </c>
      <c r="AK47" s="49">
        <v>7.846768</v>
      </c>
      <c r="AL47" s="49">
        <v>8.0056460000000005</v>
      </c>
      <c r="AM47" s="49">
        <v>7.7919280000000004</v>
      </c>
      <c r="AN47" s="49">
        <v>7.8411340000000003</v>
      </c>
      <c r="AO47" s="49">
        <v>7.8276370000000002</v>
      </c>
      <c r="AP47" s="49">
        <v>7.6766160000000001</v>
      </c>
      <c r="AQ47" s="49">
        <v>7.6886060000000001</v>
      </c>
      <c r="AR47" s="49">
        <v>7.8123560000000003</v>
      </c>
      <c r="AS47" s="49">
        <v>7.1501200000000003</v>
      </c>
      <c r="AT47" s="49">
        <v>6.6859739999999999</v>
      </c>
      <c r="AU47" s="49">
        <v>7.1143369999999999</v>
      </c>
      <c r="AV47" s="49">
        <v>6.8422859999999996</v>
      </c>
      <c r="AW47" s="49">
        <v>6.9194940000000003</v>
      </c>
      <c r="AX47" s="49">
        <v>7.4163030000000001</v>
      </c>
      <c r="AY47" s="49">
        <v>7.7573150000000002</v>
      </c>
      <c r="AZ47" s="49">
        <v>7.7712700000000003</v>
      </c>
      <c r="BA47" s="49">
        <v>7.5388229999999998</v>
      </c>
      <c r="BB47" s="49">
        <v>7.5475310000000002</v>
      </c>
      <c r="BC47" s="49">
        <v>8.1164419999999993</v>
      </c>
      <c r="BD47" s="49">
        <v>7.698804</v>
      </c>
      <c r="BE47" s="49">
        <v>7.7502810000000002</v>
      </c>
      <c r="BF47" s="49">
        <v>6.7677019999999999</v>
      </c>
      <c r="BG47" s="49">
        <v>6.6164490000000002</v>
      </c>
      <c r="BH47" s="49">
        <v>7.0263460000000002</v>
      </c>
      <c r="BI47" s="49">
        <v>6.8762179999999997</v>
      </c>
      <c r="BJ47" s="49">
        <v>7.0761419999999999</v>
      </c>
      <c r="BK47" s="49">
        <v>7.2167310000000002</v>
      </c>
      <c r="BL47" s="49">
        <v>7.3749359999999999</v>
      </c>
    </row>
    <row r="48" spans="1:64" x14ac:dyDescent="0.3">
      <c r="A48" s="49">
        <v>58</v>
      </c>
      <c r="B48" s="49" t="s">
        <v>4987</v>
      </c>
      <c r="C48" s="49" t="s">
        <v>264</v>
      </c>
      <c r="D48" s="49">
        <v>2.301199</v>
      </c>
      <c r="E48" s="49">
        <v>2.416153</v>
      </c>
      <c r="F48" s="49">
        <v>2.5239579999999999</v>
      </c>
      <c r="G48" s="49">
        <v>2.8344339999999999</v>
      </c>
      <c r="H48" s="49">
        <v>3.0152869999999998</v>
      </c>
      <c r="I48" s="49">
        <v>2.9453520000000002</v>
      </c>
      <c r="J48" s="49">
        <v>3.2075179999999999</v>
      </c>
      <c r="K48" s="49">
        <v>3.0128689999999998</v>
      </c>
      <c r="L48" s="49">
        <v>2.9437310000000001</v>
      </c>
      <c r="M48" s="49">
        <v>2.9149620000000001</v>
      </c>
      <c r="N48" s="49">
        <v>2.9072979999999999</v>
      </c>
      <c r="O48" s="49">
        <v>2.8725200000000002</v>
      </c>
      <c r="P48" s="49">
        <v>2.6440809999999999</v>
      </c>
      <c r="Q48" s="49">
        <v>2.752777</v>
      </c>
      <c r="R48" s="49">
        <v>2.7738719999999999</v>
      </c>
      <c r="S48" s="49">
        <v>2.8159700000000001</v>
      </c>
      <c r="T48" s="49">
        <v>2.6553719999999998</v>
      </c>
      <c r="U48" s="49">
        <v>2.256745</v>
      </c>
      <c r="V48" s="49">
        <v>2.3314979999999998</v>
      </c>
      <c r="W48" s="49">
        <v>2.469954</v>
      </c>
      <c r="X48" s="49">
        <v>2.5681660000000002</v>
      </c>
      <c r="Y48" s="49">
        <v>2.4771079999999999</v>
      </c>
      <c r="Z48" s="49">
        <v>2.253349</v>
      </c>
      <c r="AA48" s="49">
        <v>2.516823</v>
      </c>
      <c r="AB48" s="49">
        <v>2.6039509999999999</v>
      </c>
      <c r="AC48" s="49">
        <v>3.6175449999999998</v>
      </c>
      <c r="AD48" s="49">
        <v>3.7166199999999998</v>
      </c>
      <c r="AE48" s="49">
        <v>3.6852819999999999</v>
      </c>
      <c r="AF48" s="49">
        <v>3.7344219999999999</v>
      </c>
      <c r="AG48" s="49">
        <v>3.7501850000000001</v>
      </c>
      <c r="AH48" s="49">
        <v>3.6644269999999999</v>
      </c>
      <c r="AI48" s="49">
        <v>4.624638</v>
      </c>
      <c r="AJ48" s="49">
        <v>4.6790019999999997</v>
      </c>
      <c r="AK48" s="49">
        <v>4.844792</v>
      </c>
      <c r="AL48" s="49">
        <v>4.8012600000000001</v>
      </c>
      <c r="AM48" s="49">
        <v>4.7934580000000002</v>
      </c>
      <c r="AN48" s="49">
        <v>4.7870590000000002</v>
      </c>
      <c r="AO48" s="49">
        <v>3.9981330000000002</v>
      </c>
      <c r="AP48" s="49">
        <v>4.3893430000000002</v>
      </c>
      <c r="AQ48" s="49">
        <v>4.6708249999999998</v>
      </c>
      <c r="AR48" s="49">
        <v>4.6383650000000003</v>
      </c>
      <c r="AS48" s="49">
        <v>4.5767959999999999</v>
      </c>
      <c r="AT48" s="49">
        <v>4.5186489999999999</v>
      </c>
      <c r="AU48" s="49">
        <v>4.6593559999999998</v>
      </c>
      <c r="AV48" s="49">
        <v>4.4585379999999999</v>
      </c>
      <c r="AW48" s="49">
        <v>4.304748</v>
      </c>
      <c r="AX48" s="49">
        <v>4.4319819999999996</v>
      </c>
      <c r="AY48" s="49">
        <v>4.3374920000000001</v>
      </c>
      <c r="AZ48" s="49">
        <v>4.6919909999999998</v>
      </c>
      <c r="BA48" s="49">
        <v>4.7301710000000003</v>
      </c>
      <c r="BB48" s="49">
        <v>4.9015560000000002</v>
      </c>
      <c r="BC48" s="49">
        <v>4.6232759999999997</v>
      </c>
      <c r="BD48" s="49">
        <v>4.7823859999999998</v>
      </c>
      <c r="BE48" s="49">
        <v>4.6265939999999999</v>
      </c>
      <c r="BF48" s="49">
        <v>4.6446079999999998</v>
      </c>
      <c r="BG48" s="49">
        <v>4.2713419999999998</v>
      </c>
      <c r="BH48" s="49">
        <v>4.3763860000000001</v>
      </c>
      <c r="BI48" s="49">
        <v>4.084911</v>
      </c>
      <c r="BJ48" s="49">
        <v>4.0471599999999999</v>
      </c>
      <c r="BK48" s="49">
        <v>4.1203029999999998</v>
      </c>
      <c r="BL48" s="49">
        <v>4.120736</v>
      </c>
    </row>
    <row r="49" spans="1:64" x14ac:dyDescent="0.3">
      <c r="A49" s="49">
        <v>59</v>
      </c>
      <c r="B49" s="49" t="s">
        <v>4986</v>
      </c>
      <c r="C49" s="49" t="s">
        <v>266</v>
      </c>
      <c r="D49" s="49">
        <v>5.5399219999999998</v>
      </c>
      <c r="E49" s="49">
        <v>5.9923539999999997</v>
      </c>
      <c r="F49" s="49">
        <v>6.0023</v>
      </c>
      <c r="G49" s="49">
        <v>6.0010579999999996</v>
      </c>
      <c r="H49" s="49">
        <v>5.5769700000000002</v>
      </c>
      <c r="I49" s="49">
        <v>5.9438389999999997</v>
      </c>
      <c r="J49" s="49">
        <v>5.8992560000000003</v>
      </c>
      <c r="K49" s="49">
        <v>6.2507900000000003</v>
      </c>
      <c r="L49" s="49">
        <v>6.1345869999999998</v>
      </c>
      <c r="M49" s="49">
        <v>6.079796</v>
      </c>
      <c r="N49" s="49">
        <v>6.0763790000000002</v>
      </c>
      <c r="O49" s="49">
        <v>6.1151739999999997</v>
      </c>
      <c r="P49" s="49">
        <v>6.1233550000000001</v>
      </c>
      <c r="Q49" s="49">
        <v>6.3273650000000004</v>
      </c>
      <c r="R49" s="49">
        <v>6.4325200000000002</v>
      </c>
      <c r="S49" s="49">
        <v>6.5859579999999998</v>
      </c>
      <c r="T49" s="49">
        <v>6.3476949999999999</v>
      </c>
      <c r="U49" s="49">
        <v>6.4771549999999998</v>
      </c>
      <c r="V49" s="49">
        <v>6.5379199999999997</v>
      </c>
      <c r="W49" s="49">
        <v>6.4771260000000002</v>
      </c>
      <c r="X49" s="49">
        <v>6.4736779999999996</v>
      </c>
      <c r="Y49" s="49">
        <v>6.5475260000000004</v>
      </c>
      <c r="Z49" s="49">
        <v>6.5435449999999999</v>
      </c>
      <c r="AA49" s="49">
        <v>6.4289719999999999</v>
      </c>
      <c r="AB49" s="49">
        <v>6.4802070000000001</v>
      </c>
      <c r="AC49" s="49">
        <v>6.6176550000000001</v>
      </c>
      <c r="AD49" s="49">
        <v>6.7540230000000001</v>
      </c>
      <c r="AE49" s="49">
        <v>6.8866820000000004</v>
      </c>
      <c r="AF49" s="49">
        <v>7.109388</v>
      </c>
      <c r="AG49" s="49">
        <v>7.4219499999999998</v>
      </c>
      <c r="AH49" s="49">
        <v>9.0933050000000009</v>
      </c>
      <c r="AI49" s="49">
        <v>9.2464030000000008</v>
      </c>
      <c r="AJ49" s="49">
        <v>9.3751460000000009</v>
      </c>
      <c r="AK49" s="49">
        <v>9.2204949999999997</v>
      </c>
      <c r="AL49" s="49">
        <v>9.7681939999999994</v>
      </c>
      <c r="AM49" s="49">
        <v>9.8230039999999992</v>
      </c>
      <c r="AN49" s="49">
        <v>10.064945</v>
      </c>
      <c r="AO49" s="49">
        <v>9.9185800000000004</v>
      </c>
      <c r="AP49" s="49">
        <v>10.059533999999999</v>
      </c>
      <c r="AQ49" s="49">
        <v>9.9812980000000007</v>
      </c>
      <c r="AR49" s="49">
        <v>10.075828</v>
      </c>
      <c r="AS49" s="49">
        <v>10.249043</v>
      </c>
      <c r="AT49" s="49">
        <v>10.120284</v>
      </c>
      <c r="AU49" s="49">
        <v>10.470124999999999</v>
      </c>
      <c r="AV49" s="49">
        <v>10.898997</v>
      </c>
      <c r="AW49" s="49">
        <v>10.951954000000001</v>
      </c>
      <c r="AX49" s="49">
        <v>11.017588</v>
      </c>
      <c r="AY49" s="49">
        <v>10.988398</v>
      </c>
      <c r="AZ49" s="49">
        <v>11.143748</v>
      </c>
      <c r="BA49" s="49">
        <v>10.943932999999999</v>
      </c>
      <c r="BB49" s="49">
        <v>11.312961</v>
      </c>
      <c r="BC49" s="49">
        <v>11.53557</v>
      </c>
      <c r="BD49" s="49">
        <v>11.490885</v>
      </c>
      <c r="BE49" s="49">
        <v>11.802536999999999</v>
      </c>
      <c r="BF49" s="49">
        <v>11.681028</v>
      </c>
      <c r="BG49" s="49">
        <v>11.302433000000001</v>
      </c>
      <c r="BH49" s="49">
        <v>11.290889</v>
      </c>
      <c r="BI49" s="49">
        <v>10.340002</v>
      </c>
      <c r="BJ49" s="49">
        <v>12.352175000000001</v>
      </c>
      <c r="BK49" s="49">
        <v>11.715572</v>
      </c>
      <c r="BL49" s="49">
        <v>11.466267999999999</v>
      </c>
    </row>
    <row r="50" spans="1:64" x14ac:dyDescent="0.3">
      <c r="A50" s="49">
        <v>60</v>
      </c>
      <c r="B50" s="49" t="s">
        <v>4985</v>
      </c>
      <c r="C50" s="49" t="s">
        <v>268</v>
      </c>
      <c r="D50" s="49">
        <v>0.92323699999999997</v>
      </c>
      <c r="E50" s="49">
        <v>0.98184499999999997</v>
      </c>
      <c r="F50" s="49">
        <v>0.93069500000000005</v>
      </c>
      <c r="G50" s="49">
        <v>0.92718</v>
      </c>
      <c r="H50" s="49">
        <v>1.0400739999999999</v>
      </c>
      <c r="I50" s="49">
        <v>1.0625849999999999</v>
      </c>
      <c r="J50" s="49">
        <v>1.0105869999999999</v>
      </c>
      <c r="K50" s="49">
        <v>1.022078</v>
      </c>
      <c r="L50" s="49">
        <v>0.99015600000000004</v>
      </c>
      <c r="M50" s="49">
        <v>1.055736</v>
      </c>
      <c r="N50" s="49">
        <v>1.12378</v>
      </c>
      <c r="O50" s="49">
        <v>1.1287259999999999</v>
      </c>
      <c r="P50" s="49">
        <v>1.109858</v>
      </c>
      <c r="Q50" s="49">
        <v>1.181711</v>
      </c>
      <c r="R50" s="49">
        <v>1.2911079999999999</v>
      </c>
      <c r="S50" s="49">
        <v>1.2262189999999999</v>
      </c>
      <c r="T50" s="49">
        <v>1.2675909999999999</v>
      </c>
      <c r="U50" s="49">
        <v>1.338063</v>
      </c>
      <c r="V50" s="49">
        <v>1.40743</v>
      </c>
      <c r="W50" s="49">
        <v>1.3849819999999999</v>
      </c>
      <c r="X50" s="49">
        <v>1.276629</v>
      </c>
      <c r="Y50" s="49">
        <v>1.232883</v>
      </c>
      <c r="Z50" s="49">
        <v>1.2249080000000001</v>
      </c>
      <c r="AA50" s="49">
        <v>1.2387589999999999</v>
      </c>
      <c r="AB50" s="49">
        <v>1.279827</v>
      </c>
      <c r="AC50" s="49">
        <v>1.290807</v>
      </c>
      <c r="AD50" s="49">
        <v>1.326751</v>
      </c>
      <c r="AE50" s="49">
        <v>1.325941</v>
      </c>
      <c r="AF50" s="49">
        <v>1.2905610000000001</v>
      </c>
      <c r="AG50" s="49">
        <v>1.3572649999999999</v>
      </c>
      <c r="AH50" s="49">
        <v>1.5658049999999999</v>
      </c>
      <c r="AI50" s="49">
        <v>1.6055729999999999</v>
      </c>
      <c r="AJ50" s="49">
        <v>1.5296959999999999</v>
      </c>
      <c r="AK50" s="49">
        <v>1.5110889999999999</v>
      </c>
      <c r="AL50" s="49">
        <v>1.4401090000000001</v>
      </c>
      <c r="AM50" s="49">
        <v>1.404385</v>
      </c>
      <c r="AN50" s="49">
        <v>1.5275810000000001</v>
      </c>
      <c r="AO50" s="49">
        <v>1.4635309999999999</v>
      </c>
      <c r="AP50" s="49">
        <v>1.388801</v>
      </c>
      <c r="AQ50" s="49">
        <v>1.336465</v>
      </c>
      <c r="AR50" s="49">
        <v>1.4114</v>
      </c>
      <c r="AS50" s="49">
        <v>1.2294560000000001</v>
      </c>
      <c r="AT50" s="49">
        <v>1.226691</v>
      </c>
      <c r="AU50" s="49">
        <v>1.250213</v>
      </c>
      <c r="AV50" s="49">
        <v>1.2628490000000001</v>
      </c>
      <c r="AW50" s="49">
        <v>1.2601039999999999</v>
      </c>
      <c r="AX50" s="49">
        <v>1.2418549999999999</v>
      </c>
      <c r="AY50" s="49">
        <v>1.3769229999999999</v>
      </c>
      <c r="AZ50" s="49">
        <v>1.3680129999999999</v>
      </c>
      <c r="BA50" s="49">
        <v>1.3333680000000001</v>
      </c>
      <c r="BB50" s="49">
        <v>1.3557900000000001</v>
      </c>
      <c r="BC50" s="49">
        <v>1.4559869999999999</v>
      </c>
      <c r="BD50" s="49">
        <v>1.433724</v>
      </c>
      <c r="BE50" s="49">
        <v>1.474173</v>
      </c>
      <c r="BF50" s="49">
        <v>1.402876</v>
      </c>
      <c r="BG50" s="49">
        <v>1.4520280000000001</v>
      </c>
      <c r="BH50" s="49">
        <v>1.327601</v>
      </c>
      <c r="BI50" s="49">
        <v>1.3057369999999999</v>
      </c>
      <c r="BJ50" s="49">
        <v>1.282314</v>
      </c>
      <c r="BK50" s="49">
        <v>1.2800370000000001</v>
      </c>
      <c r="BL50" s="49">
        <v>1.372546</v>
      </c>
    </row>
    <row r="51" spans="1:64" x14ac:dyDescent="0.3">
      <c r="A51" s="49">
        <v>61</v>
      </c>
      <c r="B51" s="49" t="s">
        <v>4984</v>
      </c>
      <c r="C51" s="49" t="s">
        <v>270</v>
      </c>
      <c r="D51" s="49">
        <v>0.15190000000000001</v>
      </c>
      <c r="E51" s="49">
        <v>0.15340000000000001</v>
      </c>
      <c r="F51" s="49">
        <v>0.14649999999999999</v>
      </c>
      <c r="G51" s="49">
        <v>0.14699999999999999</v>
      </c>
      <c r="H51" s="49">
        <v>0.14649999999999999</v>
      </c>
      <c r="I51" s="49">
        <v>0.15060000000000001</v>
      </c>
      <c r="J51" s="49">
        <v>0.15359999999999999</v>
      </c>
      <c r="K51" s="49">
        <v>0.17</v>
      </c>
      <c r="L51" s="49">
        <v>0.16</v>
      </c>
      <c r="M51" s="49">
        <v>0.16</v>
      </c>
      <c r="N51" s="49">
        <v>0.16220000000000001</v>
      </c>
      <c r="O51" s="49">
        <v>0.1404</v>
      </c>
      <c r="P51" s="49">
        <v>0.13639999999999999</v>
      </c>
      <c r="Q51" s="49">
        <v>0.13489999999999999</v>
      </c>
      <c r="R51" s="49">
        <v>0.13539999999999999</v>
      </c>
      <c r="S51" s="49">
        <v>0.13489999999999999</v>
      </c>
      <c r="T51" s="49">
        <v>0.13389999999999999</v>
      </c>
      <c r="U51" s="49">
        <v>0.13589999999999999</v>
      </c>
      <c r="V51" s="49">
        <v>0.13589999999999999</v>
      </c>
      <c r="W51" s="49">
        <v>0.13780000000000001</v>
      </c>
      <c r="X51" s="49">
        <v>0.13789999999999999</v>
      </c>
      <c r="Y51" s="49">
        <v>0.1434</v>
      </c>
      <c r="Z51" s="49">
        <v>0.14069999999999999</v>
      </c>
      <c r="AA51" s="49">
        <v>0.14499999999999999</v>
      </c>
      <c r="AB51" s="49">
        <v>0.15</v>
      </c>
      <c r="AC51" s="49">
        <v>0.1522</v>
      </c>
      <c r="AD51" s="49">
        <v>0.1542</v>
      </c>
      <c r="AE51" s="49">
        <v>0.1542</v>
      </c>
      <c r="AF51" s="49">
        <v>0.15429999999999999</v>
      </c>
      <c r="AG51" s="49">
        <v>0.16303999999999999</v>
      </c>
      <c r="AH51" s="49">
        <v>0.18676100000000001</v>
      </c>
      <c r="AI51" s="49">
        <v>0.197606</v>
      </c>
      <c r="AJ51" s="49">
        <v>0.168571</v>
      </c>
      <c r="AK51" s="49">
        <v>0.182752</v>
      </c>
      <c r="AL51" s="49">
        <v>0.171517</v>
      </c>
      <c r="AM51" s="49">
        <v>0.17827499999999999</v>
      </c>
      <c r="AN51" s="49">
        <v>0.17954100000000001</v>
      </c>
      <c r="AO51" s="49">
        <v>0.165717</v>
      </c>
      <c r="AP51" s="49">
        <v>0.17547699999999999</v>
      </c>
      <c r="AQ51" s="49">
        <v>0.17634900000000001</v>
      </c>
      <c r="AR51" s="49">
        <v>0.17560100000000001</v>
      </c>
      <c r="AS51" s="49">
        <v>0.15895500000000001</v>
      </c>
      <c r="AT51" s="49">
        <v>0.16609699999999999</v>
      </c>
      <c r="AU51" s="49">
        <v>0.17329700000000001</v>
      </c>
      <c r="AV51" s="49">
        <v>0.17424100000000001</v>
      </c>
      <c r="AW51" s="49">
        <v>0.16682</v>
      </c>
      <c r="AX51" s="49">
        <v>0.17519199999999999</v>
      </c>
      <c r="AY51" s="49">
        <v>0.17194999999999999</v>
      </c>
      <c r="AZ51" s="49">
        <v>0.16481699999999999</v>
      </c>
      <c r="BA51" s="49">
        <v>0.167347</v>
      </c>
      <c r="BB51" s="49">
        <v>0.167876</v>
      </c>
      <c r="BC51" s="49">
        <v>0.16564000000000001</v>
      </c>
      <c r="BD51" s="49">
        <v>0.167043</v>
      </c>
      <c r="BE51" s="49">
        <v>0.169458</v>
      </c>
      <c r="BF51" s="49">
        <v>0.17413999999999999</v>
      </c>
      <c r="BG51" s="49">
        <v>0.17383199999999999</v>
      </c>
      <c r="BH51" s="49">
        <v>0.17613899999999999</v>
      </c>
      <c r="BI51" s="49">
        <v>0.17907500000000001</v>
      </c>
      <c r="BJ51" s="49">
        <v>0.18021599999999999</v>
      </c>
      <c r="BK51" s="49">
        <v>0.18027199999999999</v>
      </c>
      <c r="BL51" s="49">
        <v>0.17675199999999999</v>
      </c>
    </row>
    <row r="52" spans="1:64" x14ac:dyDescent="0.3">
      <c r="A52" s="49">
        <v>62</v>
      </c>
      <c r="B52" s="49" t="s">
        <v>4983</v>
      </c>
      <c r="C52" s="49" t="s">
        <v>280</v>
      </c>
      <c r="D52" s="49">
        <v>15.347200000000001</v>
      </c>
      <c r="E52" s="49">
        <v>15.997</v>
      </c>
      <c r="F52" s="49">
        <v>16.13466</v>
      </c>
      <c r="G52" s="49">
        <v>16.25713</v>
      </c>
      <c r="H52" s="49">
        <v>16.452850000000002</v>
      </c>
      <c r="I52" s="49">
        <v>16.64235</v>
      </c>
      <c r="J52" s="49">
        <v>16.838000000000001</v>
      </c>
      <c r="K52" s="49">
        <v>17.083770000000001</v>
      </c>
      <c r="L52" s="49">
        <v>17.307569999999998</v>
      </c>
      <c r="M52" s="49">
        <v>17.546800000000001</v>
      </c>
      <c r="N52" s="49">
        <v>17.808430000000001</v>
      </c>
      <c r="O52" s="49">
        <v>17.31906</v>
      </c>
      <c r="P52" s="49">
        <v>15.12795</v>
      </c>
      <c r="Q52" s="49">
        <v>15.124067999999999</v>
      </c>
      <c r="R52" s="49">
        <v>13.35915</v>
      </c>
      <c r="S52" s="49">
        <v>12.866914</v>
      </c>
      <c r="T52" s="49">
        <v>12.544456</v>
      </c>
      <c r="U52" s="49">
        <v>12.90558</v>
      </c>
      <c r="V52" s="49">
        <v>13.329592999999999</v>
      </c>
      <c r="W52" s="49">
        <v>14.549526999999999</v>
      </c>
      <c r="X52" s="49">
        <v>13.693152</v>
      </c>
      <c r="Y52" s="49">
        <v>13.707481</v>
      </c>
      <c r="Z52" s="49">
        <v>14.480622</v>
      </c>
      <c r="AA52" s="49">
        <v>13.695333</v>
      </c>
      <c r="AB52" s="49">
        <v>14.109978</v>
      </c>
      <c r="AC52" s="49">
        <v>14.333262</v>
      </c>
      <c r="AD52" s="49">
        <v>14.060797000000001</v>
      </c>
      <c r="AE52" s="49">
        <v>14.531458000000001</v>
      </c>
      <c r="AF52" s="49">
        <v>14.079212</v>
      </c>
      <c r="AG52" s="49">
        <v>14.316497</v>
      </c>
      <c r="AH52" s="49">
        <v>14.945415000000001</v>
      </c>
      <c r="AI52" s="49">
        <v>14.673054</v>
      </c>
    </row>
    <row r="53" spans="1:64" x14ac:dyDescent="0.3">
      <c r="A53" s="49">
        <v>63</v>
      </c>
      <c r="B53" s="49" t="s">
        <v>4982</v>
      </c>
      <c r="C53" s="49" t="s">
        <v>274</v>
      </c>
      <c r="AI53" s="49">
        <v>0.99714199999999997</v>
      </c>
      <c r="AJ53" s="49">
        <v>0.87713600000000003</v>
      </c>
      <c r="AK53" s="49">
        <v>0.76605800000000002</v>
      </c>
      <c r="AL53" s="49">
        <v>0.74304099999999995</v>
      </c>
      <c r="AM53" s="49">
        <v>0.71817699999999995</v>
      </c>
      <c r="AN53" s="49">
        <v>0.79836200000000002</v>
      </c>
      <c r="AO53" s="49">
        <v>0.87241400000000002</v>
      </c>
      <c r="AP53" s="49">
        <v>0.81424099999999999</v>
      </c>
      <c r="AQ53" s="49">
        <v>0.846414</v>
      </c>
      <c r="AR53" s="49">
        <v>0.72725399999999996</v>
      </c>
      <c r="AS53" s="49">
        <v>0.69583399999999995</v>
      </c>
      <c r="AT53" s="49">
        <v>0.74673500000000004</v>
      </c>
      <c r="AU53" s="49">
        <v>0.75373500000000004</v>
      </c>
      <c r="AV53" s="49">
        <v>0.77166299999999999</v>
      </c>
      <c r="AW53" s="49">
        <v>0.80593499999999996</v>
      </c>
      <c r="AX53" s="49">
        <v>0.86298399999999997</v>
      </c>
      <c r="AY53" s="49">
        <v>0.90114899999999998</v>
      </c>
      <c r="AZ53" s="49">
        <v>0.93035299999999999</v>
      </c>
      <c r="BA53" s="49">
        <v>0.89934099999999995</v>
      </c>
      <c r="BB53" s="49">
        <v>0.91734400000000005</v>
      </c>
      <c r="BC53" s="49">
        <v>0.89994499999999999</v>
      </c>
      <c r="BD53" s="49">
        <v>0.94061499999999998</v>
      </c>
      <c r="BE53" s="49">
        <v>0.97640700000000002</v>
      </c>
      <c r="BF53" s="49">
        <v>1.0077499999999999</v>
      </c>
      <c r="BG53" s="49">
        <v>1.054956</v>
      </c>
      <c r="BH53" s="49">
        <v>1.0461959999999999</v>
      </c>
      <c r="BI53" s="49">
        <v>0.88492999999999999</v>
      </c>
      <c r="BJ53" s="49">
        <v>0.90678999999999998</v>
      </c>
      <c r="BK53" s="49">
        <v>0.93069000000000002</v>
      </c>
      <c r="BL53" s="49">
        <v>0.93022000000000005</v>
      </c>
    </row>
    <row r="54" spans="1:64" x14ac:dyDescent="0.3">
      <c r="A54" s="49">
        <v>64</v>
      </c>
      <c r="B54" s="49" t="s">
        <v>4981</v>
      </c>
      <c r="C54" s="49" t="s">
        <v>285</v>
      </c>
      <c r="D54" s="49">
        <v>2.7E-4</v>
      </c>
      <c r="E54" s="49">
        <v>2.3800000000000001E-4</v>
      </c>
      <c r="F54" s="49">
        <v>2.5999999999999998E-4</v>
      </c>
      <c r="G54" s="49">
        <v>2.4800000000000001E-4</v>
      </c>
      <c r="H54" s="49">
        <v>2.22E-4</v>
      </c>
      <c r="I54" s="49">
        <v>2.02E-4</v>
      </c>
      <c r="J54" s="49">
        <v>2.02E-4</v>
      </c>
      <c r="K54" s="49">
        <v>1.92E-4</v>
      </c>
      <c r="L54" s="49">
        <v>1.8000000000000001E-4</v>
      </c>
      <c r="M54" s="49">
        <v>1.9599999999999999E-4</v>
      </c>
      <c r="N54" s="49">
        <v>1.94E-4</v>
      </c>
      <c r="O54" s="49">
        <v>1.8799999999999999E-4</v>
      </c>
      <c r="P54" s="49">
        <v>1.66E-4</v>
      </c>
      <c r="Q54" s="49">
        <v>1.3799999999999999E-4</v>
      </c>
      <c r="R54" s="49">
        <v>1.54E-4</v>
      </c>
      <c r="S54" s="49">
        <v>1.9000000000000001E-4</v>
      </c>
      <c r="T54" s="49">
        <v>1.9000000000000001E-4</v>
      </c>
      <c r="U54" s="49">
        <v>1.9000000000000001E-4</v>
      </c>
      <c r="V54" s="49">
        <v>1.9000000000000001E-4</v>
      </c>
      <c r="W54" s="49">
        <v>1.9000000000000001E-4</v>
      </c>
      <c r="X54" s="49">
        <v>1.9000000000000001E-4</v>
      </c>
      <c r="Y54" s="49">
        <v>1.9000000000000001E-4</v>
      </c>
      <c r="Z54" s="49">
        <v>1.94E-4</v>
      </c>
      <c r="AA54" s="49">
        <v>1.9799999999999999E-4</v>
      </c>
      <c r="AB54" s="49">
        <v>2.04E-4</v>
      </c>
      <c r="AC54" s="49">
        <v>2.0599999999999999E-4</v>
      </c>
      <c r="AD54" s="49">
        <v>2.0599999999999999E-4</v>
      </c>
      <c r="AE54" s="49">
        <v>2.0799999999999999E-4</v>
      </c>
      <c r="AF54" s="49">
        <v>2.1000000000000001E-4</v>
      </c>
      <c r="AG54" s="49">
        <v>2.12E-4</v>
      </c>
      <c r="AH54" s="49">
        <v>2.14E-4</v>
      </c>
      <c r="AI54" s="49">
        <v>2.2000000000000001E-4</v>
      </c>
      <c r="AJ54" s="49">
        <v>2.1800000000000001E-4</v>
      </c>
      <c r="AK54" s="49">
        <v>2.1800000000000001E-4</v>
      </c>
      <c r="AL54" s="49">
        <v>2.1800000000000001E-4</v>
      </c>
      <c r="AM54" s="49">
        <v>2.1800000000000001E-4</v>
      </c>
      <c r="AN54" s="49">
        <v>2.1800000000000001E-4</v>
      </c>
      <c r="AO54" s="49">
        <v>2.1599999999999999E-4</v>
      </c>
      <c r="AP54" s="49">
        <v>2.14E-4</v>
      </c>
      <c r="AQ54" s="49">
        <v>2.14E-4</v>
      </c>
      <c r="AR54" s="49">
        <v>2.12E-4</v>
      </c>
      <c r="AS54" s="49">
        <v>2.1000000000000001E-4</v>
      </c>
      <c r="AT54" s="49">
        <v>2.0799999999999999E-4</v>
      </c>
      <c r="AU54" s="49">
        <v>2.0599999999999999E-4</v>
      </c>
      <c r="AV54" s="49">
        <v>2.04E-4</v>
      </c>
      <c r="AW54" s="49">
        <v>2.04E-4</v>
      </c>
      <c r="AX54" s="49">
        <v>2.0000000000000001E-4</v>
      </c>
      <c r="AY54" s="49">
        <v>2.02E-4</v>
      </c>
      <c r="AZ54" s="49">
        <v>2.02E-4</v>
      </c>
      <c r="BA54" s="49">
        <v>2.0000000000000001E-4</v>
      </c>
      <c r="BB54" s="49">
        <v>2.0599999999999999E-4</v>
      </c>
      <c r="BC54" s="49">
        <v>2.1000000000000001E-4</v>
      </c>
      <c r="BD54" s="49">
        <v>2.2000000000000001E-4</v>
      </c>
      <c r="BE54" s="49">
        <v>2.32E-4</v>
      </c>
      <c r="BF54" s="49">
        <v>1.94E-4</v>
      </c>
      <c r="BG54" s="49">
        <v>2.0599999999999999E-4</v>
      </c>
      <c r="BH54" s="49">
        <v>2.0599999999999999E-4</v>
      </c>
      <c r="BI54" s="49">
        <v>2.0599999999999999E-4</v>
      </c>
      <c r="BJ54" s="49">
        <v>2.0599999999999999E-4</v>
      </c>
      <c r="BK54" s="49">
        <v>2.0599999999999999E-4</v>
      </c>
      <c r="BL54" s="49">
        <v>2.0599999999999999E-4</v>
      </c>
    </row>
    <row r="55" spans="1:64" x14ac:dyDescent="0.3">
      <c r="A55" s="49">
        <v>66</v>
      </c>
      <c r="B55" s="49" t="s">
        <v>4980</v>
      </c>
      <c r="C55" s="49" t="s">
        <v>287</v>
      </c>
      <c r="D55" s="49">
        <v>0.136687</v>
      </c>
      <c r="E55" s="49">
        <v>0.137459</v>
      </c>
      <c r="F55" s="49">
        <v>0.13669500000000001</v>
      </c>
      <c r="G55" s="49">
        <v>0.14330000000000001</v>
      </c>
      <c r="H55" s="49">
        <v>0.14338000000000001</v>
      </c>
      <c r="I55" s="49">
        <v>0.14285200000000001</v>
      </c>
      <c r="J55" s="49">
        <v>0.14752499999999999</v>
      </c>
      <c r="K55" s="49">
        <v>0.15756999999999999</v>
      </c>
      <c r="L55" s="49">
        <v>0.15671199999999999</v>
      </c>
      <c r="M55" s="49">
        <v>0.15232000000000001</v>
      </c>
      <c r="N55" s="49">
        <v>0.13966100000000001</v>
      </c>
      <c r="O55" s="49">
        <v>0.12667999999999999</v>
      </c>
      <c r="P55" s="49">
        <v>0.12393899999999999</v>
      </c>
      <c r="Q55" s="49">
        <v>0.12415</v>
      </c>
      <c r="R55" s="49">
        <v>0.12726699999999999</v>
      </c>
      <c r="S55" s="49">
        <v>0.12759499999999999</v>
      </c>
      <c r="T55" s="49">
        <v>0.138076</v>
      </c>
      <c r="U55" s="49">
        <v>0.141125</v>
      </c>
      <c r="V55" s="49">
        <v>0.15737100000000001</v>
      </c>
      <c r="W55" s="49">
        <v>0.168374</v>
      </c>
      <c r="X55" s="49">
        <v>0.16703599999999999</v>
      </c>
      <c r="Y55" s="49">
        <v>0.176015</v>
      </c>
      <c r="Z55" s="49">
        <v>0.16011900000000001</v>
      </c>
      <c r="AA55" s="49">
        <v>0.18806</v>
      </c>
      <c r="AB55" s="49">
        <v>0.255971</v>
      </c>
      <c r="AC55" s="49">
        <v>0.25189600000000001</v>
      </c>
      <c r="AD55" s="49">
        <v>0.245446</v>
      </c>
      <c r="AE55" s="49">
        <v>0.22888700000000001</v>
      </c>
      <c r="AF55" s="49">
        <v>0.23438700000000001</v>
      </c>
      <c r="AG55" s="49">
        <v>0.274536</v>
      </c>
      <c r="AH55" s="49">
        <v>0.36284899999999998</v>
      </c>
      <c r="AI55" s="49">
        <v>0.38851799999999997</v>
      </c>
      <c r="AJ55" s="49">
        <v>0.39119399999999999</v>
      </c>
      <c r="AK55" s="49">
        <v>0.395316</v>
      </c>
      <c r="AL55" s="49">
        <v>0.38578299999999999</v>
      </c>
      <c r="AM55" s="49">
        <v>0.39120300000000002</v>
      </c>
      <c r="AN55" s="49">
        <v>0.39235700000000001</v>
      </c>
      <c r="AO55" s="49">
        <v>0.35606900000000002</v>
      </c>
      <c r="AP55" s="49">
        <v>0.33312999999999998</v>
      </c>
      <c r="AQ55" s="49">
        <v>0.32965699999999998</v>
      </c>
      <c r="AR55" s="49">
        <v>0.37131199999999998</v>
      </c>
      <c r="AS55" s="49">
        <v>0.370558</v>
      </c>
      <c r="AT55" s="49">
        <v>0.35037200000000002</v>
      </c>
      <c r="AU55" s="49">
        <v>0.36158499999999999</v>
      </c>
      <c r="AV55" s="49">
        <v>0.35610999999999998</v>
      </c>
      <c r="AW55" s="49">
        <v>0.35772900000000002</v>
      </c>
      <c r="AX55" s="49">
        <v>0.35083599999999998</v>
      </c>
      <c r="AY55" s="49">
        <v>0.363817</v>
      </c>
      <c r="AZ55" s="49">
        <v>0.33172200000000002</v>
      </c>
      <c r="BA55" s="49">
        <v>0.149704</v>
      </c>
      <c r="BB55" s="49">
        <v>0.16952100000000001</v>
      </c>
      <c r="BC55" s="49">
        <v>0.13392899999999999</v>
      </c>
      <c r="BD55" s="49">
        <v>0.157198</v>
      </c>
      <c r="BE55" s="49">
        <v>0.15711600000000001</v>
      </c>
      <c r="BF55" s="49">
        <v>0.13453399999999999</v>
      </c>
      <c r="BG55" s="49">
        <v>0.12645100000000001</v>
      </c>
      <c r="BH55" s="49">
        <v>0.12776000000000001</v>
      </c>
      <c r="BI55" s="49">
        <v>0.125719</v>
      </c>
      <c r="BJ55" s="49">
        <v>0.12933800000000001</v>
      </c>
      <c r="BK55" s="49">
        <v>0.14647399999999999</v>
      </c>
      <c r="BL55" s="49">
        <v>0.13930200000000001</v>
      </c>
    </row>
    <row r="56" spans="1:64" x14ac:dyDescent="0.3">
      <c r="A56" s="49">
        <v>67</v>
      </c>
      <c r="B56" s="49" t="s">
        <v>4979</v>
      </c>
      <c r="C56" s="49" t="s">
        <v>290</v>
      </c>
      <c r="D56" s="49">
        <v>2.273177</v>
      </c>
      <c r="E56" s="49">
        <v>2.3261240000000001</v>
      </c>
      <c r="F56" s="49">
        <v>2.3179820000000002</v>
      </c>
      <c r="G56" s="49">
        <v>2.4523459999999999</v>
      </c>
      <c r="H56" s="49">
        <v>2.4656020000000001</v>
      </c>
      <c r="I56" s="49">
        <v>2.4494560000000001</v>
      </c>
      <c r="J56" s="49">
        <v>2.543002</v>
      </c>
      <c r="K56" s="49">
        <v>2.559434</v>
      </c>
      <c r="L56" s="49">
        <v>2.4732919999999998</v>
      </c>
      <c r="M56" s="49">
        <v>2.5621740000000002</v>
      </c>
      <c r="N56" s="49">
        <v>2.5748980000000001</v>
      </c>
      <c r="O56" s="49">
        <v>2.6079979999999998</v>
      </c>
      <c r="P56" s="49">
        <v>2.6544460000000001</v>
      </c>
      <c r="Q56" s="49">
        <v>2.7898779999999999</v>
      </c>
      <c r="R56" s="49">
        <v>2.804306</v>
      </c>
      <c r="S56" s="49">
        <v>2.914866</v>
      </c>
      <c r="T56" s="49">
        <v>2.58806</v>
      </c>
      <c r="U56" s="49">
        <v>2.6771940000000001</v>
      </c>
      <c r="V56" s="49">
        <v>2.6869839999999998</v>
      </c>
      <c r="W56" s="49">
        <v>2.565448</v>
      </c>
      <c r="X56" s="49">
        <v>2.550484</v>
      </c>
      <c r="Y56" s="49">
        <v>2.577528</v>
      </c>
      <c r="Z56" s="49">
        <v>2.690404</v>
      </c>
      <c r="AA56" s="49">
        <v>2.6208900000000002</v>
      </c>
      <c r="AB56" s="49">
        <v>2.737412</v>
      </c>
      <c r="AC56" s="49">
        <v>2.6376780000000002</v>
      </c>
      <c r="AD56" s="49">
        <v>2.5260319999999998</v>
      </c>
      <c r="AE56" s="49">
        <v>2.6945920000000001</v>
      </c>
      <c r="AF56" s="49">
        <v>2.6427619999999998</v>
      </c>
      <c r="AG56" s="49">
        <v>2.6658080000000002</v>
      </c>
      <c r="AH56" s="49">
        <v>2.4124020000000002</v>
      </c>
      <c r="AI56" s="49">
        <v>2.2381540000000002</v>
      </c>
      <c r="AJ56" s="49">
        <v>2.2493479999999999</v>
      </c>
      <c r="AK56" s="49">
        <v>2.279042</v>
      </c>
      <c r="AL56" s="49">
        <v>2.396026</v>
      </c>
      <c r="AM56" s="49">
        <v>2.5307080000000002</v>
      </c>
      <c r="AN56" s="49">
        <v>2.603056</v>
      </c>
      <c r="AO56" s="49">
        <v>2.6865839999999999</v>
      </c>
      <c r="AP56" s="49">
        <v>2.636298</v>
      </c>
      <c r="AQ56" s="49">
        <v>2.6791320000000001</v>
      </c>
      <c r="AR56" s="49">
        <v>2.7080160000000002</v>
      </c>
      <c r="AS56" s="49">
        <v>2.7585060000000001</v>
      </c>
      <c r="AT56" s="49">
        <v>2.767128</v>
      </c>
      <c r="AU56" s="49">
        <v>2.6121080000000001</v>
      </c>
      <c r="AV56" s="49">
        <v>2.7616320000000001</v>
      </c>
      <c r="AW56" s="49">
        <v>2.7694100000000001</v>
      </c>
      <c r="AX56" s="49">
        <v>2.659376</v>
      </c>
      <c r="AY56" s="49">
        <v>2.697298</v>
      </c>
      <c r="AZ56" s="49">
        <v>2.631742</v>
      </c>
      <c r="BA56" s="49">
        <v>2.5053960000000002</v>
      </c>
      <c r="BB56" s="49">
        <v>2.4770639999999999</v>
      </c>
      <c r="BC56" s="49">
        <v>2.349342</v>
      </c>
      <c r="BD56" s="49">
        <v>2.4706920000000001</v>
      </c>
      <c r="BE56" s="49">
        <v>2.480318</v>
      </c>
      <c r="BF56" s="49">
        <v>2.3294959999999998</v>
      </c>
      <c r="BG56" s="49">
        <v>2.2972700000000001</v>
      </c>
      <c r="BH56" s="49">
        <v>2.0053160000000001</v>
      </c>
      <c r="BI56" s="49">
        <v>2.0281199999999999</v>
      </c>
      <c r="BJ56" s="49">
        <v>2.0812200000000001</v>
      </c>
      <c r="BK56" s="49">
        <v>2.0977800000000002</v>
      </c>
      <c r="BL56" s="49">
        <v>2.0991</v>
      </c>
    </row>
    <row r="57" spans="1:64" x14ac:dyDescent="0.3">
      <c r="A57" s="49">
        <v>68</v>
      </c>
      <c r="B57" s="49" t="s">
        <v>4978</v>
      </c>
      <c r="C57" s="49" t="s">
        <v>292</v>
      </c>
      <c r="D57" s="49">
        <v>25.872028</v>
      </c>
      <c r="E57" s="49">
        <v>26.377586000000001</v>
      </c>
      <c r="F57" s="49">
        <v>25.946327</v>
      </c>
      <c r="G57" s="49">
        <v>25.807212</v>
      </c>
      <c r="H57" s="49">
        <v>25.769162000000001</v>
      </c>
      <c r="I57" s="49">
        <v>25.086835000000001</v>
      </c>
      <c r="J57" s="49">
        <v>25.225676</v>
      </c>
      <c r="K57" s="49">
        <v>25.248904</v>
      </c>
      <c r="L57" s="49">
        <v>25.157287</v>
      </c>
      <c r="M57" s="49">
        <v>24.966982999999999</v>
      </c>
      <c r="N57" s="49">
        <v>25.352485000000001</v>
      </c>
      <c r="O57" s="49">
        <v>25.491233999999999</v>
      </c>
      <c r="P57" s="49">
        <v>25.735693000000001</v>
      </c>
      <c r="Q57" s="49">
        <v>25.879877</v>
      </c>
      <c r="R57" s="49">
        <v>25.659110999999999</v>
      </c>
      <c r="S57" s="49">
        <v>25.351617999999998</v>
      </c>
      <c r="T57" s="49">
        <v>25.698226999999999</v>
      </c>
      <c r="U57" s="49">
        <v>25.768546000000001</v>
      </c>
      <c r="V57" s="49">
        <v>25.664999999999999</v>
      </c>
      <c r="W57" s="49">
        <v>25.861898</v>
      </c>
      <c r="X57" s="49">
        <v>25.597788000000001</v>
      </c>
      <c r="Y57" s="49">
        <v>25.735893000000001</v>
      </c>
      <c r="Z57" s="49">
        <v>25.042252999999999</v>
      </c>
      <c r="AA57" s="49">
        <v>25.862717</v>
      </c>
      <c r="AB57" s="49">
        <v>26.133286999999999</v>
      </c>
      <c r="AC57" s="49">
        <v>25.896733999999999</v>
      </c>
      <c r="AD57" s="49">
        <v>26.242918</v>
      </c>
      <c r="AE57" s="49">
        <v>26.085238</v>
      </c>
      <c r="AF57" s="49">
        <v>26.540144999999999</v>
      </c>
      <c r="AG57" s="49">
        <v>26.137761999999999</v>
      </c>
      <c r="AH57" s="49">
        <v>29.631415000000001</v>
      </c>
      <c r="AI57" s="49">
        <v>29.510473999999999</v>
      </c>
      <c r="AJ57" s="49">
        <v>27.061067000000001</v>
      </c>
      <c r="AK57" s="49">
        <v>27.347650999999999</v>
      </c>
      <c r="AL57" s="49">
        <v>27.702772</v>
      </c>
      <c r="AM57" s="49">
        <v>28.499092000000001</v>
      </c>
      <c r="AN57" s="49">
        <v>29.63374</v>
      </c>
      <c r="AO57" s="49">
        <v>29.862829000000001</v>
      </c>
      <c r="AP57" s="49">
        <v>29.675145000000001</v>
      </c>
      <c r="AQ57" s="49">
        <v>29.143979999999999</v>
      </c>
      <c r="AR57" s="49">
        <v>28.692720999999999</v>
      </c>
      <c r="AS57" s="49">
        <v>28.86215</v>
      </c>
      <c r="AT57" s="49">
        <v>28.508863000000002</v>
      </c>
      <c r="AU57" s="49">
        <v>29.065733999999999</v>
      </c>
      <c r="AV57" s="49">
        <v>29.041785999999998</v>
      </c>
      <c r="AW57" s="49">
        <v>29.124737</v>
      </c>
      <c r="AX57" s="49">
        <v>29.164871999999999</v>
      </c>
      <c r="AY57" s="49">
        <v>29.719884</v>
      </c>
      <c r="AZ57" s="49">
        <v>29.961376999999999</v>
      </c>
      <c r="BA57" s="49">
        <v>29.874638999999998</v>
      </c>
      <c r="BB57" s="49">
        <v>29.868362999999999</v>
      </c>
      <c r="BC57" s="49">
        <v>29.978966</v>
      </c>
      <c r="BD57" s="49">
        <v>29.954046999999999</v>
      </c>
      <c r="BE57" s="49">
        <v>30.206607999999999</v>
      </c>
      <c r="BF57" s="49">
        <v>30.373574000000001</v>
      </c>
      <c r="BG57" s="49">
        <v>30.426780999999998</v>
      </c>
      <c r="BH57" s="49">
        <v>30.050350000000002</v>
      </c>
      <c r="BI57" s="49">
        <v>24.874732000000002</v>
      </c>
      <c r="BJ57" s="49">
        <v>25.110914000000001</v>
      </c>
      <c r="BK57" s="49">
        <v>24.478086000000001</v>
      </c>
      <c r="BL57" s="49">
        <v>25.090152</v>
      </c>
    </row>
    <row r="58" spans="1:64" x14ac:dyDescent="0.3">
      <c r="A58" s="49">
        <v>69</v>
      </c>
      <c r="B58" s="49" t="s">
        <v>4977</v>
      </c>
      <c r="C58" s="49" t="s">
        <v>294</v>
      </c>
      <c r="D58" s="49">
        <v>5.1799999999999997E-3</v>
      </c>
      <c r="E58" s="49">
        <v>5.7060000000000001E-3</v>
      </c>
      <c r="F58" s="49">
        <v>3.96E-3</v>
      </c>
      <c r="G58" s="49">
        <v>3.6440000000000001E-3</v>
      </c>
      <c r="H58" s="49">
        <v>3.6740000000000002E-3</v>
      </c>
      <c r="I58" s="49">
        <v>3.3999999999999998E-3</v>
      </c>
      <c r="J58" s="49">
        <v>3.2499999999999999E-3</v>
      </c>
      <c r="K58" s="49">
        <v>3.3400000000000001E-3</v>
      </c>
      <c r="L58" s="49">
        <v>3.3E-3</v>
      </c>
      <c r="M58" s="49">
        <v>3.9389999999999998E-3</v>
      </c>
      <c r="N58" s="49">
        <v>4.9059999999999998E-3</v>
      </c>
      <c r="O58" s="49">
        <v>4.908E-3</v>
      </c>
      <c r="P58" s="49">
        <v>4.8650000000000004E-3</v>
      </c>
      <c r="Q58" s="49">
        <v>4.9750000000000003E-3</v>
      </c>
      <c r="R58" s="49">
        <v>6.2950000000000002E-3</v>
      </c>
      <c r="S58" s="49">
        <v>6.4440000000000001E-3</v>
      </c>
      <c r="T58" s="49">
        <v>7.0060000000000001E-3</v>
      </c>
      <c r="U58" s="49">
        <v>8.2439999999999996E-3</v>
      </c>
      <c r="V58" s="49">
        <v>8.9079999999999993E-3</v>
      </c>
      <c r="W58" s="49">
        <v>7.3299999999999997E-3</v>
      </c>
      <c r="X58" s="49">
        <v>7.0070000000000002E-3</v>
      </c>
      <c r="Y58" s="49">
        <v>6.881E-3</v>
      </c>
      <c r="Z58" s="49">
        <v>8.0510000000000009E-3</v>
      </c>
      <c r="AA58" s="49">
        <v>9.5069999999999998E-3</v>
      </c>
      <c r="AB58" s="49">
        <v>8.9280000000000002E-3</v>
      </c>
      <c r="AC58" s="49">
        <v>1.1724E-2</v>
      </c>
      <c r="AD58" s="49">
        <v>1.3100000000000001E-2</v>
      </c>
      <c r="AE58" s="49">
        <v>1.5434E-2</v>
      </c>
      <c r="AF58" s="49">
        <v>2.0185999999999999E-2</v>
      </c>
      <c r="AG58" s="49">
        <v>2.2714000000000002E-2</v>
      </c>
      <c r="AH58" s="49">
        <v>2.7063E-2</v>
      </c>
      <c r="AI58" s="49">
        <v>2.7632E-2</v>
      </c>
      <c r="AJ58" s="49">
        <v>2.6787999999999999E-2</v>
      </c>
      <c r="AK58" s="49">
        <v>2.8948999999999999E-2</v>
      </c>
      <c r="AL58" s="49">
        <v>3.0074E-2</v>
      </c>
      <c r="AM58" s="49">
        <v>3.2177999999999998E-2</v>
      </c>
      <c r="AN58" s="49">
        <v>3.2523999999999997E-2</v>
      </c>
      <c r="AO58" s="49">
        <v>3.2140000000000002E-2</v>
      </c>
      <c r="AP58" s="49">
        <v>2.9496000000000001E-2</v>
      </c>
      <c r="AQ58" s="49">
        <v>3.2049000000000001E-2</v>
      </c>
      <c r="AR58" s="49">
        <v>3.1406999999999997E-2</v>
      </c>
      <c r="AS58" s="49">
        <v>3.1704999999999997E-2</v>
      </c>
      <c r="AT58" s="49">
        <v>2.8872999999999999E-2</v>
      </c>
      <c r="AU58" s="49">
        <v>3.6322E-2</v>
      </c>
      <c r="AV58" s="49">
        <v>3.8441999999999997E-2</v>
      </c>
      <c r="AW58" s="49">
        <v>4.0566999999999999E-2</v>
      </c>
    </row>
    <row r="59" spans="1:64" x14ac:dyDescent="0.3">
      <c r="A59" s="49">
        <v>70</v>
      </c>
      <c r="B59" s="49" t="s">
        <v>4976</v>
      </c>
      <c r="C59" s="49" t="s">
        <v>296</v>
      </c>
      <c r="D59" s="49">
        <v>3.8177000000000003E-2</v>
      </c>
      <c r="E59" s="49">
        <v>4.4004000000000001E-2</v>
      </c>
      <c r="F59" s="49">
        <v>4.1711999999999999E-2</v>
      </c>
      <c r="G59" s="49">
        <v>3.9010999999999997E-2</v>
      </c>
      <c r="H59" s="49">
        <v>3.4846000000000002E-2</v>
      </c>
      <c r="I59" s="49">
        <v>3.4477000000000001E-2</v>
      </c>
      <c r="J59" s="49">
        <v>3.1217999999999999E-2</v>
      </c>
      <c r="K59" s="49">
        <v>3.0374999999999999E-2</v>
      </c>
      <c r="L59" s="49">
        <v>4.0162000000000003E-2</v>
      </c>
      <c r="M59" s="49">
        <v>3.7122000000000002E-2</v>
      </c>
      <c r="N59" s="49">
        <v>3.4476E-2</v>
      </c>
      <c r="O59" s="49">
        <v>3.2639000000000001E-2</v>
      </c>
      <c r="P59" s="49">
        <v>2.6497E-2</v>
      </c>
      <c r="Q59" s="49">
        <v>2.4473000000000002E-2</v>
      </c>
      <c r="R59" s="49">
        <v>3.9555E-2</v>
      </c>
      <c r="S59" s="49">
        <v>3.4640999999999998E-2</v>
      </c>
      <c r="T59" s="49">
        <v>2.6651000000000001E-2</v>
      </c>
      <c r="U59" s="49">
        <v>2.4590000000000001E-2</v>
      </c>
      <c r="V59" s="49">
        <v>2.7692999999999999E-2</v>
      </c>
      <c r="W59" s="49">
        <v>3.4574000000000001E-2</v>
      </c>
      <c r="X59" s="49">
        <v>2.9839000000000001E-2</v>
      </c>
      <c r="Y59" s="49">
        <v>3.4923999999999997E-2</v>
      </c>
      <c r="Z59" s="49">
        <v>2.2860999999999999E-2</v>
      </c>
      <c r="AA59" s="49">
        <v>2.0195999999999999E-2</v>
      </c>
      <c r="AB59" s="49">
        <v>2.5187000000000001E-2</v>
      </c>
      <c r="AC59" s="49">
        <v>2.5113E-2</v>
      </c>
      <c r="AD59" s="49">
        <v>2.3872000000000001E-2</v>
      </c>
      <c r="AE59" s="49">
        <v>2.4865999999999999E-2</v>
      </c>
      <c r="AF59" s="49">
        <v>2.4875999999999999E-2</v>
      </c>
      <c r="AG59" s="49">
        <v>2.5191000000000002E-2</v>
      </c>
      <c r="AH59" s="49">
        <v>6.6074999999999995E-2</v>
      </c>
      <c r="AI59" s="49">
        <v>6.6479999999999997E-2</v>
      </c>
      <c r="AJ59" s="49">
        <v>6.5997E-2</v>
      </c>
      <c r="AK59" s="49">
        <v>6.6503999999999994E-2</v>
      </c>
      <c r="AL59" s="49">
        <v>7.1557999999999997E-2</v>
      </c>
      <c r="AM59" s="49">
        <v>6.7682999999999993E-2</v>
      </c>
      <c r="AN59" s="49">
        <v>6.6556000000000004E-2</v>
      </c>
      <c r="AO59" s="49">
        <v>4.9979000000000003E-2</v>
      </c>
      <c r="AP59" s="49">
        <v>5.3131999999999999E-2</v>
      </c>
      <c r="AQ59" s="49">
        <v>6.2507999999999994E-2</v>
      </c>
      <c r="AR59" s="49">
        <v>5.9457999999999997E-2</v>
      </c>
      <c r="AS59" s="49">
        <v>6.5869999999999998E-2</v>
      </c>
      <c r="AT59" s="49">
        <v>6.6111000000000003E-2</v>
      </c>
      <c r="AU59" s="49">
        <v>6.3349000000000003E-2</v>
      </c>
      <c r="AV59" s="49">
        <v>7.2786000000000003E-2</v>
      </c>
      <c r="AW59" s="49">
        <v>6.6314999999999999E-2</v>
      </c>
      <c r="AX59" s="49">
        <v>7.3671E-2</v>
      </c>
      <c r="AY59" s="49">
        <v>7.0711999999999997E-2</v>
      </c>
      <c r="AZ59" s="49">
        <v>6.3199000000000005E-2</v>
      </c>
      <c r="BA59" s="49">
        <v>6.7324999999999996E-2</v>
      </c>
      <c r="BB59" s="49">
        <v>7.2392999999999999E-2</v>
      </c>
      <c r="BC59" s="49">
        <v>7.2499999999999995E-2</v>
      </c>
      <c r="BD59" s="49">
        <v>7.2232000000000005E-2</v>
      </c>
      <c r="BE59" s="49">
        <v>7.1827000000000002E-2</v>
      </c>
      <c r="BF59" s="49">
        <v>6.8323999999999996E-2</v>
      </c>
      <c r="BG59" s="49">
        <v>7.2147000000000003E-2</v>
      </c>
      <c r="BH59" s="49">
        <v>7.2872000000000006E-2</v>
      </c>
      <c r="BI59" s="49">
        <v>7.4631000000000003E-2</v>
      </c>
      <c r="BJ59" s="49">
        <v>7.5230000000000005E-2</v>
      </c>
      <c r="BK59" s="49">
        <v>7.8174999999999994E-2</v>
      </c>
      <c r="BL59" s="49">
        <v>7.7828999999999995E-2</v>
      </c>
    </row>
    <row r="60" spans="1:64" x14ac:dyDescent="0.3">
      <c r="A60" s="49">
        <v>72</v>
      </c>
      <c r="B60" s="49" t="s">
        <v>4975</v>
      </c>
      <c r="C60" s="49" t="s">
        <v>253</v>
      </c>
      <c r="D60" s="49">
        <v>4.0000000000000002E-4</v>
      </c>
      <c r="E60" s="49">
        <v>4.0000000000000002E-4</v>
      </c>
      <c r="F60" s="49">
        <v>4.0000000000000002E-4</v>
      </c>
      <c r="G60" s="49">
        <v>4.0000000000000002E-4</v>
      </c>
      <c r="H60" s="49">
        <v>5.5999999999999995E-4</v>
      </c>
      <c r="I60" s="49">
        <v>5.8E-4</v>
      </c>
      <c r="J60" s="49">
        <v>6.2E-4</v>
      </c>
      <c r="K60" s="49">
        <v>6.6E-4</v>
      </c>
      <c r="L60" s="49">
        <v>6.8000000000000005E-4</v>
      </c>
      <c r="M60" s="49">
        <v>6.9999999999999999E-4</v>
      </c>
      <c r="N60" s="49">
        <v>6.9999999999999999E-4</v>
      </c>
      <c r="O60" s="49">
        <v>9.2000000000000003E-4</v>
      </c>
      <c r="P60" s="49">
        <v>9.3999999999999997E-4</v>
      </c>
      <c r="Q60" s="49">
        <v>9.6000000000000002E-4</v>
      </c>
      <c r="R60" s="49">
        <v>9.6000000000000002E-4</v>
      </c>
      <c r="S60" s="49">
        <v>1.06E-3</v>
      </c>
      <c r="T60" s="49">
        <v>1.14E-3</v>
      </c>
      <c r="U60" s="49">
        <v>1.1999999999999999E-3</v>
      </c>
      <c r="V60" s="49">
        <v>1.8E-3</v>
      </c>
      <c r="W60" s="49">
        <v>6.6E-3</v>
      </c>
      <c r="X60" s="49">
        <v>6.8040000000000002E-3</v>
      </c>
      <c r="Y60" s="49">
        <v>7.0039999999999998E-3</v>
      </c>
      <c r="Z60" s="49">
        <v>7.0039999999999998E-3</v>
      </c>
      <c r="AA60" s="49">
        <v>7.6059999999999999E-3</v>
      </c>
      <c r="AB60" s="49">
        <v>8.0879999999999997E-3</v>
      </c>
      <c r="AC60" s="49">
        <v>8.8920000000000006E-3</v>
      </c>
      <c r="AD60" s="49">
        <v>9.0670000000000004E-3</v>
      </c>
      <c r="AE60" s="49">
        <v>8.1139999999999997E-3</v>
      </c>
      <c r="AF60" s="49">
        <v>9.2510000000000005E-3</v>
      </c>
      <c r="AG60" s="49">
        <v>2.3061000000000002E-2</v>
      </c>
      <c r="AH60" s="49">
        <v>2.4371E-2</v>
      </c>
      <c r="AI60" s="49">
        <v>2.4674999999999999E-2</v>
      </c>
      <c r="AJ60" s="49">
        <v>2.4577999999999999E-2</v>
      </c>
      <c r="AK60" s="49">
        <v>2.4759E-2</v>
      </c>
      <c r="AL60" s="49">
        <v>2.4738E-2</v>
      </c>
      <c r="AM60" s="49">
        <v>2.4885999999999998E-2</v>
      </c>
      <c r="AN60" s="49">
        <v>2.5257000000000002E-2</v>
      </c>
      <c r="AO60" s="49">
        <v>2.5461999999999999E-2</v>
      </c>
      <c r="AP60" s="49">
        <v>2.6509999999999999E-2</v>
      </c>
      <c r="AQ60" s="49">
        <v>2.7390999999999999E-2</v>
      </c>
      <c r="AR60" s="49">
        <v>2.8461E-2</v>
      </c>
      <c r="AS60" s="49">
        <v>2.9257999999999999E-2</v>
      </c>
      <c r="AT60" s="49">
        <v>2.1812999999999999E-2</v>
      </c>
      <c r="AU60" s="49">
        <v>2.5585E-2</v>
      </c>
      <c r="AV60" s="49">
        <v>2.5835E-2</v>
      </c>
      <c r="AW60" s="49">
        <v>2.1805999999999999E-2</v>
      </c>
      <c r="AX60" s="49">
        <v>2.4639000000000001E-2</v>
      </c>
      <c r="AY60" s="49">
        <v>2.4840999999999998E-2</v>
      </c>
      <c r="AZ60" s="49">
        <v>2.5307E-2</v>
      </c>
      <c r="BA60" s="49">
        <v>2.3519000000000002E-2</v>
      </c>
      <c r="BB60" s="49">
        <v>2.4025000000000001E-2</v>
      </c>
      <c r="BC60" s="49">
        <v>2.8396999999999999E-2</v>
      </c>
      <c r="BD60" s="49">
        <v>2.8389000000000001E-2</v>
      </c>
      <c r="BE60" s="49">
        <v>2.6960999999999999E-2</v>
      </c>
      <c r="BF60" s="49">
        <v>2.6467000000000001E-2</v>
      </c>
      <c r="BG60" s="49">
        <v>2.7556000000000001E-2</v>
      </c>
      <c r="BH60" s="49">
        <v>5.5225000000000003E-2</v>
      </c>
      <c r="BI60" s="49">
        <v>7.6213000000000003E-2</v>
      </c>
      <c r="BJ60" s="49">
        <v>0.102065</v>
      </c>
      <c r="BK60" s="49">
        <v>0.114217</v>
      </c>
      <c r="BL60" s="49">
        <v>0.13450000000000001</v>
      </c>
    </row>
    <row r="61" spans="1:64" x14ac:dyDescent="0.3">
      <c r="A61" s="49">
        <v>73</v>
      </c>
      <c r="B61" s="49" t="s">
        <v>4974</v>
      </c>
      <c r="C61" s="49" t="s">
        <v>305</v>
      </c>
      <c r="AI61" s="49">
        <v>1.1342000000000001</v>
      </c>
      <c r="AJ61" s="49">
        <v>1.033307</v>
      </c>
      <c r="AK61" s="49">
        <v>1.0827800000000001</v>
      </c>
      <c r="AL61" s="49">
        <v>1.1548940000000001</v>
      </c>
      <c r="AM61" s="49">
        <v>1.181379</v>
      </c>
      <c r="AN61" s="49">
        <v>1.4557899999999999</v>
      </c>
      <c r="AO61" s="49">
        <v>1.4322410000000001</v>
      </c>
      <c r="AP61" s="49">
        <v>1.488958</v>
      </c>
      <c r="AQ61" s="49">
        <v>1.1641870000000001</v>
      </c>
      <c r="AR61" s="49">
        <v>1.2948649999999999</v>
      </c>
      <c r="AS61" s="49">
        <v>1.2393700000000001</v>
      </c>
      <c r="AT61" s="49">
        <v>1.3641129999999999</v>
      </c>
      <c r="AU61" s="49">
        <v>1.2163250000000001</v>
      </c>
      <c r="AV61" s="49">
        <v>1.383901</v>
      </c>
      <c r="AW61" s="49">
        <v>0.80813500000000005</v>
      </c>
      <c r="AX61" s="49">
        <v>0.88243199999999999</v>
      </c>
      <c r="AY61" s="49">
        <v>0.88412400000000002</v>
      </c>
      <c r="AZ61" s="49">
        <v>0.792458</v>
      </c>
      <c r="BA61" s="49">
        <v>0.68685399999999996</v>
      </c>
      <c r="BB61" s="49">
        <v>0.77031099999999997</v>
      </c>
      <c r="BC61" s="49">
        <v>0.74960599999999999</v>
      </c>
      <c r="BD61" s="49">
        <v>0.96895100000000001</v>
      </c>
      <c r="BE61" s="49">
        <v>0.77450799999999997</v>
      </c>
      <c r="BF61" s="49">
        <v>0.77754699999999999</v>
      </c>
      <c r="BG61" s="49">
        <v>0.72329299999999996</v>
      </c>
      <c r="BH61" s="49">
        <v>0.63647299999999996</v>
      </c>
      <c r="BI61" s="49">
        <v>0.71288399999999996</v>
      </c>
      <c r="BJ61" s="49">
        <v>0.71984999999999999</v>
      </c>
      <c r="BK61" s="49">
        <v>0.78216200000000002</v>
      </c>
      <c r="BL61" s="49">
        <v>0.77426200000000001</v>
      </c>
    </row>
    <row r="62" spans="1:64" x14ac:dyDescent="0.3">
      <c r="A62" s="49">
        <v>74</v>
      </c>
      <c r="B62" s="49" t="s">
        <v>4973</v>
      </c>
      <c r="C62" s="49" t="s">
        <v>300</v>
      </c>
      <c r="D62" s="49">
        <v>0.1666</v>
      </c>
      <c r="E62" s="49">
        <v>0.16946</v>
      </c>
      <c r="F62" s="49">
        <v>0.16400000000000001</v>
      </c>
      <c r="G62" s="49">
        <v>0.16520799999999999</v>
      </c>
      <c r="H62" s="49">
        <v>0.168072</v>
      </c>
      <c r="I62" s="49">
        <v>0.17935999999999999</v>
      </c>
      <c r="J62" s="49">
        <v>0.18098</v>
      </c>
      <c r="K62" s="49">
        <v>0.19023999999999999</v>
      </c>
      <c r="L62" s="49">
        <v>0.18794</v>
      </c>
      <c r="M62" s="49">
        <v>0.18962999999999999</v>
      </c>
      <c r="N62" s="49">
        <v>0.2001</v>
      </c>
      <c r="O62" s="49">
        <v>0.20130000000000001</v>
      </c>
      <c r="P62" s="49">
        <v>0.21152000000000001</v>
      </c>
      <c r="Q62" s="49">
        <v>0.21648000000000001</v>
      </c>
      <c r="R62" s="49">
        <v>0.21615699999999999</v>
      </c>
      <c r="S62" s="49">
        <v>0.22495699999999999</v>
      </c>
      <c r="T62" s="49">
        <v>0.24887699999999999</v>
      </c>
      <c r="U62" s="49">
        <v>0.26640200000000003</v>
      </c>
      <c r="V62" s="49">
        <v>0.27689000000000002</v>
      </c>
      <c r="W62" s="49">
        <v>0.29339599999999999</v>
      </c>
      <c r="X62" s="49">
        <v>0.28177999999999997</v>
      </c>
      <c r="Y62" s="49">
        <v>0.28349999999999997</v>
      </c>
      <c r="Z62" s="49">
        <v>0.29113</v>
      </c>
      <c r="AA62" s="49">
        <v>0.29315799999999997</v>
      </c>
      <c r="AB62" s="49">
        <v>0.29937999999999998</v>
      </c>
      <c r="AC62" s="49">
        <v>0.31296000000000002</v>
      </c>
      <c r="AD62" s="49">
        <v>0.31953999999999999</v>
      </c>
      <c r="AE62" s="49">
        <v>0.33912999999999999</v>
      </c>
      <c r="AF62" s="49">
        <v>0.33999800000000002</v>
      </c>
      <c r="AG62" s="49">
        <v>0.35494399999999998</v>
      </c>
      <c r="AH62" s="49">
        <v>0.38767000000000001</v>
      </c>
      <c r="AI62" s="49">
        <v>0.39172899999999999</v>
      </c>
      <c r="AJ62" s="49">
        <v>0.38231399999999999</v>
      </c>
      <c r="AK62" s="49">
        <v>0.38381500000000002</v>
      </c>
      <c r="AL62" s="49">
        <v>0.382882</v>
      </c>
      <c r="AM62" s="49">
        <v>0.40040500000000001</v>
      </c>
      <c r="AN62" s="49">
        <v>0.39882699999999999</v>
      </c>
      <c r="AO62" s="49">
        <v>0.41050300000000001</v>
      </c>
      <c r="AP62" s="49">
        <v>0.408771</v>
      </c>
      <c r="AQ62" s="49">
        <v>0.42036699999999999</v>
      </c>
      <c r="AR62" s="49">
        <v>0.415794</v>
      </c>
      <c r="AS62" s="49">
        <v>0.42412499999999997</v>
      </c>
      <c r="AT62" s="49">
        <v>0.43153999999999998</v>
      </c>
      <c r="AU62" s="49">
        <v>0.419207</v>
      </c>
      <c r="AV62" s="49">
        <v>0.42841400000000002</v>
      </c>
      <c r="AW62" s="49">
        <v>0.43018400000000001</v>
      </c>
      <c r="AX62" s="49">
        <v>0.43572</v>
      </c>
      <c r="AY62" s="49">
        <v>0.46428399999999997</v>
      </c>
      <c r="AZ62" s="49">
        <v>0.470302</v>
      </c>
      <c r="BA62" s="49">
        <v>0.48829600000000001</v>
      </c>
      <c r="BB62" s="49">
        <v>0.52109399999999995</v>
      </c>
      <c r="BC62" s="49">
        <v>0.533636</v>
      </c>
      <c r="BD62" s="49">
        <v>0.55294100000000002</v>
      </c>
      <c r="BE62" s="49">
        <v>0.56362699999999999</v>
      </c>
      <c r="BF62" s="49">
        <v>0.57044300000000003</v>
      </c>
      <c r="BG62" s="49">
        <v>0.56886400000000004</v>
      </c>
      <c r="BH62" s="49">
        <v>0.587646</v>
      </c>
      <c r="BI62" s="49">
        <v>0.58472900000000005</v>
      </c>
      <c r="BJ62" s="49">
        <v>0.58936599999999995</v>
      </c>
      <c r="BK62" s="49">
        <v>0.594414</v>
      </c>
      <c r="BL62" s="49">
        <v>0.60157499999999997</v>
      </c>
    </row>
    <row r="63" spans="1:64" x14ac:dyDescent="0.3">
      <c r="A63" s="49">
        <v>75</v>
      </c>
      <c r="B63" s="49" t="s">
        <v>4972</v>
      </c>
      <c r="C63" s="49" t="s">
        <v>302</v>
      </c>
      <c r="D63" s="49">
        <v>0.28525800000000001</v>
      </c>
      <c r="E63" s="49">
        <v>0.29552</v>
      </c>
      <c r="F63" s="49">
        <v>0.28421999999999997</v>
      </c>
      <c r="G63" s="49">
        <v>0.28847800000000001</v>
      </c>
      <c r="H63" s="49">
        <v>0.29078199999999998</v>
      </c>
      <c r="I63" s="49">
        <v>0.29368</v>
      </c>
      <c r="J63" s="49">
        <v>0.26268000000000002</v>
      </c>
      <c r="K63" s="49">
        <v>0.28894399999999998</v>
      </c>
      <c r="L63" s="49">
        <v>0.28208800000000001</v>
      </c>
      <c r="M63" s="49">
        <v>0.28933500000000001</v>
      </c>
      <c r="N63" s="49">
        <v>0.303564</v>
      </c>
      <c r="O63" s="49">
        <v>0.28914000000000001</v>
      </c>
      <c r="P63" s="49">
        <v>0.30071700000000001</v>
      </c>
      <c r="Q63" s="49">
        <v>0.25650000000000001</v>
      </c>
      <c r="R63" s="49">
        <v>0.246951</v>
      </c>
      <c r="S63" s="49">
        <v>0.241928</v>
      </c>
      <c r="T63" s="49">
        <v>0.24237800000000001</v>
      </c>
      <c r="U63" s="49">
        <v>0.26334600000000002</v>
      </c>
      <c r="V63" s="49">
        <v>0.18945400000000001</v>
      </c>
      <c r="W63" s="49">
        <v>0.217253</v>
      </c>
      <c r="X63" s="49">
        <v>0.259405</v>
      </c>
      <c r="Y63" s="49">
        <v>0.28982000000000002</v>
      </c>
      <c r="Z63" s="49">
        <v>0.24793499999999999</v>
      </c>
      <c r="AA63" s="49">
        <v>0.25563200000000003</v>
      </c>
      <c r="AB63" s="49">
        <v>0.28922300000000001</v>
      </c>
      <c r="AC63" s="49">
        <v>0.284804</v>
      </c>
      <c r="AD63" s="49">
        <v>0.30387500000000001</v>
      </c>
      <c r="AE63" s="49">
        <v>0.30717699999999998</v>
      </c>
      <c r="AF63" s="49">
        <v>0.30633899999999997</v>
      </c>
      <c r="AG63" s="49">
        <v>0.31796000000000002</v>
      </c>
      <c r="AH63" s="49">
        <v>0.50693299999999997</v>
      </c>
      <c r="AI63" s="49">
        <v>0.41816500000000001</v>
      </c>
      <c r="AJ63" s="49">
        <v>0.42305100000000001</v>
      </c>
      <c r="AK63" s="49">
        <v>0.46307900000000002</v>
      </c>
      <c r="AL63" s="49">
        <v>0.49682999999999999</v>
      </c>
      <c r="AM63" s="49">
        <v>0.44882699999999998</v>
      </c>
      <c r="AN63" s="49">
        <v>0.50201200000000001</v>
      </c>
      <c r="AO63" s="49">
        <v>0.48422300000000001</v>
      </c>
      <c r="AP63" s="49">
        <v>0.60213799999999995</v>
      </c>
      <c r="AQ63" s="49">
        <v>0.70035800000000004</v>
      </c>
      <c r="AR63" s="49">
        <v>0.79940599999999995</v>
      </c>
      <c r="AS63" s="49">
        <v>0.67858499999999999</v>
      </c>
      <c r="AT63" s="49">
        <v>0.737514</v>
      </c>
      <c r="AU63" s="49">
        <v>0.80409900000000001</v>
      </c>
      <c r="AV63" s="49">
        <v>0.78196299999999996</v>
      </c>
      <c r="AW63" s="49">
        <v>0.82116100000000003</v>
      </c>
      <c r="AX63" s="49">
        <v>0.80527099999999996</v>
      </c>
      <c r="AY63" s="49">
        <v>0.95992100000000002</v>
      </c>
      <c r="AZ63" s="49">
        <v>1.1127180000000001</v>
      </c>
      <c r="BA63" s="49">
        <v>1.129257</v>
      </c>
      <c r="BB63" s="49">
        <v>0.835951</v>
      </c>
      <c r="BC63" s="49">
        <v>0.92287699999999995</v>
      </c>
      <c r="BD63" s="49">
        <v>0.83871499999999999</v>
      </c>
      <c r="BE63" s="49">
        <v>0.77608900000000003</v>
      </c>
      <c r="BF63" s="49">
        <v>0.85595299999999996</v>
      </c>
      <c r="BG63" s="49">
        <v>0.76894700000000005</v>
      </c>
      <c r="BH63" s="49">
        <v>0.68400899999999998</v>
      </c>
      <c r="BI63" s="49">
        <v>0.48336000000000001</v>
      </c>
      <c r="BJ63" s="49">
        <v>0.60353000000000001</v>
      </c>
      <c r="BK63" s="49">
        <v>0.61284400000000006</v>
      </c>
      <c r="BL63" s="49">
        <v>0.62536199999999997</v>
      </c>
    </row>
    <row r="64" spans="1:64" x14ac:dyDescent="0.3">
      <c r="A64" s="49">
        <v>79</v>
      </c>
      <c r="B64" s="49" t="s">
        <v>4971</v>
      </c>
      <c r="C64" s="49" t="s">
        <v>307</v>
      </c>
      <c r="D64" s="49">
        <v>19.747349</v>
      </c>
      <c r="E64" s="49">
        <v>19.997817999999999</v>
      </c>
      <c r="F64" s="49">
        <v>19.988769999999999</v>
      </c>
      <c r="G64" s="49">
        <v>20.091584000000001</v>
      </c>
      <c r="H64" s="49">
        <v>19.662738999999998</v>
      </c>
      <c r="I64" s="49">
        <v>19.414998000000001</v>
      </c>
      <c r="J64" s="49">
        <v>19.463183999999998</v>
      </c>
      <c r="K64" s="49">
        <v>19.552057000000001</v>
      </c>
      <c r="L64" s="49">
        <v>19.381979000000001</v>
      </c>
      <c r="M64" s="49">
        <v>19.454982000000001</v>
      </c>
      <c r="N64" s="49">
        <v>19.632712000000001</v>
      </c>
      <c r="O64" s="49">
        <v>19.682003999999999</v>
      </c>
      <c r="P64" s="49">
        <v>19.743320000000001</v>
      </c>
      <c r="Q64" s="49">
        <v>19.876477000000001</v>
      </c>
      <c r="R64" s="49">
        <v>19.928822</v>
      </c>
      <c r="S64" s="49">
        <v>20.013451</v>
      </c>
      <c r="T64" s="49">
        <v>19.910252</v>
      </c>
      <c r="U64" s="49">
        <v>19.927987000000002</v>
      </c>
      <c r="V64" s="49">
        <v>19.457086</v>
      </c>
      <c r="W64" s="49">
        <v>19.370799999999999</v>
      </c>
      <c r="X64" s="49">
        <v>19.177164999999999</v>
      </c>
      <c r="Y64" s="49">
        <v>19.090337000000002</v>
      </c>
      <c r="Z64" s="49">
        <v>18.947213000000001</v>
      </c>
      <c r="AA64" s="49">
        <v>18.914929000000001</v>
      </c>
      <c r="AB64" s="49">
        <v>19.308869999999999</v>
      </c>
      <c r="AC64" s="49">
        <v>19.103283000000001</v>
      </c>
      <c r="AD64" s="49">
        <v>18.967129</v>
      </c>
      <c r="AE64" s="49">
        <v>18.780366999999998</v>
      </c>
      <c r="AF64" s="49">
        <v>18.670231999999999</v>
      </c>
      <c r="AG64" s="49">
        <v>18.230001999999999</v>
      </c>
      <c r="AH64" s="49">
        <v>18.772424999999998</v>
      </c>
      <c r="AI64" s="49">
        <v>19.057983</v>
      </c>
      <c r="AJ64" s="49">
        <v>18.282641000000002</v>
      </c>
      <c r="AK64" s="49">
        <v>18.717265000000001</v>
      </c>
      <c r="AL64" s="49">
        <v>18.797799000000001</v>
      </c>
      <c r="AM64" s="49">
        <v>18.984323</v>
      </c>
      <c r="AN64" s="49">
        <v>19.708496</v>
      </c>
      <c r="AO64" s="49">
        <v>20.189767</v>
      </c>
      <c r="AP64" s="49">
        <v>20.204488999999999</v>
      </c>
      <c r="AQ64" s="49">
        <v>20.340060999999999</v>
      </c>
      <c r="AR64" s="49">
        <v>20.231389</v>
      </c>
      <c r="AS64" s="49">
        <v>20.384920000000001</v>
      </c>
      <c r="AT64" s="49">
        <v>20.147124999999999</v>
      </c>
      <c r="AU64" s="49">
        <v>20.337451000000001</v>
      </c>
      <c r="AV64" s="49">
        <v>20.191141999999999</v>
      </c>
      <c r="AW64" s="49">
        <v>20.02477</v>
      </c>
      <c r="AX64" s="49">
        <v>20.073512000000001</v>
      </c>
      <c r="AY64" s="49">
        <v>20.349055</v>
      </c>
      <c r="AZ64" s="49">
        <v>20.42409</v>
      </c>
      <c r="BA64" s="49">
        <v>19.733888</v>
      </c>
      <c r="BB64" s="49">
        <v>19.219037</v>
      </c>
      <c r="BC64" s="49">
        <v>19.149097000000001</v>
      </c>
      <c r="BD64" s="49">
        <v>19.539926999999999</v>
      </c>
      <c r="BE64" s="49">
        <v>19.263335000000001</v>
      </c>
      <c r="BF64" s="49">
        <v>19.041672999999999</v>
      </c>
      <c r="BG64" s="49">
        <v>18.908711</v>
      </c>
      <c r="BH64" s="49">
        <v>18.896093</v>
      </c>
      <c r="BI64" s="49">
        <v>15.804598</v>
      </c>
      <c r="BJ64" s="49">
        <v>15.93268</v>
      </c>
      <c r="BK64" s="49">
        <v>15.43872</v>
      </c>
      <c r="BL64" s="49">
        <v>15.49704</v>
      </c>
    </row>
    <row r="65" spans="1:64" x14ac:dyDescent="0.3">
      <c r="A65" s="49">
        <v>80</v>
      </c>
      <c r="B65" s="49" t="s">
        <v>4970</v>
      </c>
      <c r="C65" s="49" t="s">
        <v>157</v>
      </c>
      <c r="AI65" s="49">
        <v>1.109111</v>
      </c>
      <c r="AJ65" s="49">
        <v>1.0083979999999999</v>
      </c>
      <c r="AK65" s="49">
        <v>0.89943600000000001</v>
      </c>
      <c r="AL65" s="49">
        <v>0.85415700000000006</v>
      </c>
      <c r="AM65" s="49">
        <v>0.90932199999999996</v>
      </c>
      <c r="AN65" s="49">
        <v>1.1646570000000001</v>
      </c>
      <c r="AO65" s="49">
        <v>1.2430760000000001</v>
      </c>
      <c r="AP65" s="49">
        <v>1.2073480000000001</v>
      </c>
      <c r="AQ65" s="49">
        <v>1.190977</v>
      </c>
      <c r="AR65" s="49">
        <v>1.1919569999999999</v>
      </c>
      <c r="AS65" s="49">
        <v>1.2015400000000001</v>
      </c>
      <c r="AT65" s="49">
        <v>1.1868510000000001</v>
      </c>
      <c r="AU65" s="49">
        <v>1.2939350000000001</v>
      </c>
      <c r="AV65" s="49">
        <v>1.22512</v>
      </c>
      <c r="AW65" s="49">
        <v>1.241541</v>
      </c>
      <c r="AX65" s="49">
        <v>1.258202</v>
      </c>
      <c r="AY65" s="49">
        <v>1.255253</v>
      </c>
      <c r="AZ65" s="49">
        <v>1.244348</v>
      </c>
      <c r="BA65" s="49">
        <v>1.206286</v>
      </c>
      <c r="BB65" s="49">
        <v>1.2504059999999999</v>
      </c>
      <c r="BC65" s="49">
        <v>1.1856660000000001</v>
      </c>
      <c r="BD65" s="49">
        <v>1.323744</v>
      </c>
      <c r="BE65" s="49">
        <v>1.07758</v>
      </c>
      <c r="BF65" s="49">
        <v>1.2447710000000001</v>
      </c>
      <c r="BG65" s="49">
        <v>1.2924260000000001</v>
      </c>
      <c r="BH65" s="49">
        <v>1.198801</v>
      </c>
      <c r="BI65" s="49">
        <v>1.4171819999999999</v>
      </c>
      <c r="BJ65" s="49">
        <v>1.292181</v>
      </c>
      <c r="BK65" s="49">
        <v>1.408477</v>
      </c>
      <c r="BL65" s="49">
        <v>1.310983</v>
      </c>
    </row>
    <row r="66" spans="1:64" x14ac:dyDescent="0.3">
      <c r="A66" s="49">
        <v>81</v>
      </c>
      <c r="B66" s="49" t="s">
        <v>4969</v>
      </c>
      <c r="C66" s="49" t="s">
        <v>309</v>
      </c>
      <c r="D66" s="49">
        <v>4.2450760000000001</v>
      </c>
      <c r="E66" s="49">
        <v>4.26837</v>
      </c>
      <c r="F66" s="49">
        <v>4.352169</v>
      </c>
      <c r="G66" s="49">
        <v>4.4958720000000003</v>
      </c>
      <c r="H66" s="49">
        <v>4.2376050000000003</v>
      </c>
      <c r="I66" s="49">
        <v>4.1637279999999999</v>
      </c>
      <c r="J66" s="49">
        <v>4.4343599999999999</v>
      </c>
      <c r="K66" s="49">
        <v>4.3073399999999999</v>
      </c>
      <c r="L66" s="49">
        <v>4.6818359999999997</v>
      </c>
      <c r="M66" s="49">
        <v>5.9347370000000002</v>
      </c>
      <c r="N66" s="49">
        <v>5.904128</v>
      </c>
      <c r="O66" s="49">
        <v>5.5957090000000003</v>
      </c>
      <c r="P66" s="49">
        <v>5.6137540000000001</v>
      </c>
      <c r="Q66" s="49">
        <v>5.9970420000000004</v>
      </c>
      <c r="R66" s="49">
        <v>5.6870039999999999</v>
      </c>
      <c r="S66" s="49">
        <v>5.4121899999999998</v>
      </c>
      <c r="T66" s="49">
        <v>4.8777169999999996</v>
      </c>
      <c r="U66" s="49">
        <v>4.5484869999999997</v>
      </c>
      <c r="V66" s="49">
        <v>5.1206399999999999</v>
      </c>
      <c r="W66" s="49">
        <v>5.136317</v>
      </c>
      <c r="X66" s="49">
        <v>5.0368000000000004</v>
      </c>
      <c r="Y66" s="49">
        <v>4.7214999999999998</v>
      </c>
      <c r="Z66" s="49">
        <v>4.5137999999999998</v>
      </c>
      <c r="AA66" s="49">
        <v>6.44102</v>
      </c>
      <c r="AB66" s="49">
        <v>5.8181430000000001</v>
      </c>
      <c r="AC66" s="49">
        <v>5.6615159999999998</v>
      </c>
      <c r="AD66" s="49">
        <v>5.946968</v>
      </c>
      <c r="AE66" s="49">
        <v>5.574681</v>
      </c>
      <c r="AF66" s="49">
        <v>6.2155319999999996</v>
      </c>
      <c r="AG66" s="49">
        <v>4.7754719999999997</v>
      </c>
      <c r="AH66" s="49">
        <v>6.897748</v>
      </c>
      <c r="AI66" s="49">
        <v>7.0862360000000004</v>
      </c>
      <c r="AJ66" s="49">
        <v>7.1548590000000001</v>
      </c>
      <c r="AK66" s="49">
        <v>7.1237339999999998</v>
      </c>
      <c r="AL66" s="49">
        <v>7.9008950000000002</v>
      </c>
      <c r="AM66" s="49">
        <v>8.3522259999999999</v>
      </c>
      <c r="AN66" s="49">
        <v>8.3636160000000004</v>
      </c>
      <c r="AO66" s="49">
        <v>9.2196020000000001</v>
      </c>
      <c r="AP66" s="49">
        <v>9.1250300000000006</v>
      </c>
      <c r="AQ66" s="49">
        <v>9.4920720000000003</v>
      </c>
      <c r="AR66" s="49">
        <v>9.9790969999999994</v>
      </c>
      <c r="AS66" s="49">
        <v>11.143611</v>
      </c>
      <c r="AT66" s="49">
        <v>11.686638</v>
      </c>
      <c r="AU66" s="49">
        <v>12.021082</v>
      </c>
      <c r="AV66" s="49">
        <v>12.043316000000001</v>
      </c>
      <c r="AW66" s="49">
        <v>12.301292999999999</v>
      </c>
      <c r="AX66" s="49">
        <v>11.035411</v>
      </c>
      <c r="AY66" s="49">
        <v>12.260864</v>
      </c>
      <c r="AZ66" s="49">
        <v>12.5792</v>
      </c>
      <c r="BA66" s="49">
        <v>12.639723999999999</v>
      </c>
      <c r="BB66" s="49">
        <v>13.31766</v>
      </c>
      <c r="BC66" s="49">
        <v>13.309498</v>
      </c>
      <c r="BD66" s="49">
        <v>13.003688</v>
      </c>
      <c r="BE66" s="49">
        <v>13.353669999999999</v>
      </c>
      <c r="BF66" s="49">
        <v>13.196294999999999</v>
      </c>
      <c r="BG66" s="49">
        <v>13.249758</v>
      </c>
      <c r="BH66" s="49">
        <v>14.083868000000001</v>
      </c>
      <c r="BI66" s="49">
        <v>14.594495</v>
      </c>
      <c r="BJ66" s="49">
        <v>14.702705999999999</v>
      </c>
      <c r="BK66" s="49">
        <v>14.825191999999999</v>
      </c>
      <c r="BL66" s="49">
        <v>15.001931000000001</v>
      </c>
    </row>
    <row r="67" spans="1:64" x14ac:dyDescent="0.3">
      <c r="A67" s="49">
        <v>83</v>
      </c>
      <c r="B67" s="49" t="s">
        <v>4968</v>
      </c>
      <c r="C67" s="49" t="s">
        <v>379</v>
      </c>
      <c r="D67" s="49">
        <v>3.8854E-2</v>
      </c>
      <c r="E67" s="49">
        <v>3.9135999999999997E-2</v>
      </c>
      <c r="F67" s="49">
        <v>2.8247999999999999E-2</v>
      </c>
      <c r="G67" s="49">
        <v>3.2379999999999999E-2</v>
      </c>
      <c r="H67" s="49">
        <v>3.5602000000000002E-2</v>
      </c>
      <c r="I67" s="49">
        <v>3.2104000000000001E-2</v>
      </c>
      <c r="J67" s="49">
        <v>3.2196000000000002E-2</v>
      </c>
      <c r="K67" s="49">
        <v>3.9743000000000001E-2</v>
      </c>
      <c r="L67" s="49">
        <v>3.9824999999999999E-2</v>
      </c>
      <c r="M67" s="49">
        <v>3.9917000000000001E-2</v>
      </c>
      <c r="N67" s="49">
        <v>3.4493999999999997E-2</v>
      </c>
      <c r="O67" s="49">
        <v>2.4445999999999999E-2</v>
      </c>
      <c r="P67" s="49">
        <v>3.2598000000000002E-2</v>
      </c>
      <c r="Q67" s="49">
        <v>3.4729999999999997E-2</v>
      </c>
      <c r="R67" s="49">
        <v>3.2882000000000002E-2</v>
      </c>
      <c r="S67" s="49">
        <v>3.1963999999999999E-2</v>
      </c>
      <c r="T67" s="49">
        <v>2.9975999999999999E-2</v>
      </c>
      <c r="U67" s="49">
        <v>3.4978000000000002E-2</v>
      </c>
      <c r="V67" s="49">
        <v>3.4979999999999997E-2</v>
      </c>
      <c r="W67" s="49">
        <v>3.4981999999999999E-2</v>
      </c>
      <c r="X67" s="49">
        <v>4.2014000000000003E-2</v>
      </c>
      <c r="Y67" s="49">
        <v>4.1036000000000003E-2</v>
      </c>
      <c r="Z67" s="49">
        <v>3.6058E-2</v>
      </c>
      <c r="AA67" s="49">
        <v>4.1079999999999998E-2</v>
      </c>
      <c r="AB67" s="49">
        <v>4.0062E-2</v>
      </c>
      <c r="AC67" s="49">
        <v>4.7573999999999998E-2</v>
      </c>
      <c r="AD67" s="49">
        <v>4.5066000000000002E-2</v>
      </c>
      <c r="AE67" s="49">
        <v>4.1017999999999999E-2</v>
      </c>
      <c r="AF67" s="49">
        <v>3.8989999999999997E-2</v>
      </c>
      <c r="AG67" s="49">
        <v>4.1947999999999999E-2</v>
      </c>
      <c r="AH67" s="49">
        <v>8.1720000000000001E-2</v>
      </c>
      <c r="AI67" s="49">
        <v>8.4699999999999998E-2</v>
      </c>
      <c r="AJ67" s="49">
        <v>7.8715999999999994E-2</v>
      </c>
      <c r="AK67" s="49">
        <v>7.8780000000000003E-2</v>
      </c>
      <c r="AL67" s="49">
        <v>7.8838000000000005E-2</v>
      </c>
      <c r="AM67" s="49">
        <v>9.6956000000000001E-2</v>
      </c>
      <c r="AN67" s="49">
        <v>9.6993999999999997E-2</v>
      </c>
      <c r="AO67" s="49">
        <v>8.2036999999999999E-2</v>
      </c>
      <c r="AP67" s="49">
        <v>8.2059999999999994E-2</v>
      </c>
      <c r="AQ67" s="49">
        <v>7.9061000000000006E-2</v>
      </c>
      <c r="AR67" s="49">
        <v>7.9177999999999998E-2</v>
      </c>
      <c r="AS67" s="49">
        <v>7.9329999999999998E-2</v>
      </c>
      <c r="AT67" s="49">
        <v>7.9425999999999997E-2</v>
      </c>
      <c r="AU67" s="49">
        <v>8.5554000000000005E-2</v>
      </c>
      <c r="AV67" s="49">
        <v>8.5641999999999996E-2</v>
      </c>
      <c r="AW67" s="49">
        <v>8.8634000000000004E-2</v>
      </c>
      <c r="AX67" s="49">
        <v>9.1899999999999996E-2</v>
      </c>
      <c r="AY67" s="49">
        <v>9.2018000000000003E-2</v>
      </c>
      <c r="AZ67" s="49">
        <v>9.2032000000000003E-2</v>
      </c>
      <c r="BA67" s="49">
        <v>6.241E-2</v>
      </c>
      <c r="BB67" s="49">
        <v>6.2834000000000001E-2</v>
      </c>
      <c r="BC67" s="49">
        <v>6.3454999999999998E-2</v>
      </c>
      <c r="BD67" s="49">
        <v>6.4236000000000001E-2</v>
      </c>
      <c r="BE67" s="49">
        <v>6.4984E-2</v>
      </c>
      <c r="BF67" s="49">
        <v>6.5133999999999997E-2</v>
      </c>
      <c r="BG67" s="49">
        <v>7.3135000000000006E-2</v>
      </c>
      <c r="BH67" s="49">
        <v>7.3153999999999997E-2</v>
      </c>
      <c r="BI67" s="49">
        <v>8.5663000000000003E-2</v>
      </c>
      <c r="BJ67" s="49">
        <v>9.7483E-2</v>
      </c>
      <c r="BK67" s="49">
        <v>9.7494999999999998E-2</v>
      </c>
      <c r="BL67" s="49">
        <v>9.3105999999999994E-2</v>
      </c>
    </row>
    <row r="68" spans="1:64" x14ac:dyDescent="0.3">
      <c r="A68" s="49">
        <v>84</v>
      </c>
      <c r="B68" s="49" t="s">
        <v>4967</v>
      </c>
      <c r="C68" s="49" t="s">
        <v>313</v>
      </c>
      <c r="D68" s="49">
        <v>5.6214440000000003</v>
      </c>
      <c r="E68" s="49">
        <v>5.6130930000000001</v>
      </c>
      <c r="F68" s="49">
        <v>5.3579030000000003</v>
      </c>
      <c r="G68" s="49">
        <v>5.4576700000000002</v>
      </c>
      <c r="H68" s="49">
        <v>5.4515599999999997</v>
      </c>
      <c r="I68" s="49">
        <v>5.3049400000000002</v>
      </c>
      <c r="J68" s="49">
        <v>5.2418440000000004</v>
      </c>
      <c r="K68" s="49">
        <v>5.1751870000000002</v>
      </c>
      <c r="L68" s="49">
        <v>5.0046080000000002</v>
      </c>
      <c r="M68" s="49">
        <v>4.9441110000000004</v>
      </c>
      <c r="N68" s="49">
        <v>4.9566100000000004</v>
      </c>
      <c r="O68" s="49">
        <v>4.815728</v>
      </c>
      <c r="P68" s="49">
        <v>4.7025420000000002</v>
      </c>
      <c r="Q68" s="49">
        <v>4.783093</v>
      </c>
      <c r="R68" s="49">
        <v>4.7619490000000004</v>
      </c>
      <c r="S68" s="49">
        <v>4.7394590000000001</v>
      </c>
      <c r="T68" s="49">
        <v>4.702744</v>
      </c>
      <c r="U68" s="49">
        <v>4.7356790000000002</v>
      </c>
      <c r="V68" s="49">
        <v>4.762861</v>
      </c>
      <c r="W68" s="49">
        <v>4.7833670000000001</v>
      </c>
      <c r="X68" s="49">
        <v>4.7778910000000003</v>
      </c>
      <c r="Y68" s="49">
        <v>4.752237</v>
      </c>
      <c r="Z68" s="49">
        <v>4.7141159999999998</v>
      </c>
      <c r="AA68" s="49">
        <v>4.6620140000000001</v>
      </c>
      <c r="AB68" s="49">
        <v>5.6143150000000004</v>
      </c>
      <c r="AC68" s="49">
        <v>5.5557189999999999</v>
      </c>
      <c r="AD68" s="49">
        <v>5.5625099999999996</v>
      </c>
      <c r="AE68" s="49">
        <v>5.4499510000000004</v>
      </c>
      <c r="AF68" s="49">
        <v>5.4567540000000001</v>
      </c>
      <c r="AG68" s="49">
        <v>5.4418069999999998</v>
      </c>
      <c r="AH68" s="49">
        <v>6.9159940000000004</v>
      </c>
      <c r="AI68" s="49">
        <v>7.0583970000000003</v>
      </c>
      <c r="AJ68" s="49">
        <v>6.9185129999999999</v>
      </c>
      <c r="AK68" s="49">
        <v>6.9842959999999996</v>
      </c>
      <c r="AL68" s="49">
        <v>7.0933450000000002</v>
      </c>
      <c r="AM68" s="49">
        <v>7.1085570000000002</v>
      </c>
      <c r="AN68" s="49">
        <v>7.0823609999999997</v>
      </c>
      <c r="AO68" s="49">
        <v>7.1043229999999999</v>
      </c>
      <c r="AP68" s="49">
        <v>7.1332630000000004</v>
      </c>
      <c r="AQ68" s="49">
        <v>7.0829940000000002</v>
      </c>
      <c r="AR68" s="49">
        <v>7.0351800000000004</v>
      </c>
      <c r="AS68" s="49">
        <v>6.9620030000000002</v>
      </c>
      <c r="AT68" s="49">
        <v>6.8714969999999997</v>
      </c>
      <c r="AU68" s="49">
        <v>6.8081199999999997</v>
      </c>
      <c r="AV68" s="49">
        <v>6.7549210000000004</v>
      </c>
      <c r="AW68" s="49">
        <v>6.6455599999999997</v>
      </c>
      <c r="AX68" s="49">
        <v>6.5182479999999998</v>
      </c>
      <c r="AY68" s="49">
        <v>6.1846909999999999</v>
      </c>
      <c r="AZ68" s="49">
        <v>6.1616850000000003</v>
      </c>
      <c r="BA68" s="49">
        <v>6.216018</v>
      </c>
      <c r="BB68" s="49">
        <v>6.3633170000000003</v>
      </c>
      <c r="BC68" s="49">
        <v>6.3137650000000001</v>
      </c>
      <c r="BD68" s="49">
        <v>6.1830550000000004</v>
      </c>
      <c r="BE68" s="49">
        <v>5.8648170000000004</v>
      </c>
      <c r="BF68" s="49">
        <v>6.0787930000000001</v>
      </c>
      <c r="BG68" s="49">
        <v>5.6488180000000003</v>
      </c>
      <c r="BH68" s="49">
        <v>5.6641250000000003</v>
      </c>
      <c r="BI68" s="49">
        <v>4.0081899999999999</v>
      </c>
      <c r="BJ68" s="49">
        <v>3.8240500000000002</v>
      </c>
      <c r="BK68" s="49">
        <v>3.6468500000000001</v>
      </c>
      <c r="BL68" s="49">
        <v>3.4128799999999999</v>
      </c>
    </row>
    <row r="69" spans="1:64" x14ac:dyDescent="0.3">
      <c r="A69" s="49">
        <v>86</v>
      </c>
      <c r="B69" s="49" t="s">
        <v>4966</v>
      </c>
      <c r="C69" s="49" t="s">
        <v>317</v>
      </c>
      <c r="D69" s="49">
        <v>1.9741000000000002E-2</v>
      </c>
      <c r="E69" s="49">
        <v>1.9949000000000001E-2</v>
      </c>
      <c r="F69" s="49">
        <v>2.0285000000000001E-2</v>
      </c>
      <c r="G69" s="49">
        <v>1.9043000000000001E-2</v>
      </c>
      <c r="H69" s="49">
        <v>2.3491000000000001E-2</v>
      </c>
      <c r="I69" s="49">
        <v>2.3635E-2</v>
      </c>
      <c r="J69" s="49">
        <v>2.3951E-2</v>
      </c>
      <c r="K69" s="49">
        <v>2.4673E-2</v>
      </c>
      <c r="L69" s="49">
        <v>2.4218E-2</v>
      </c>
      <c r="M69" s="49">
        <v>2.3827999999999998E-2</v>
      </c>
      <c r="N69" s="49">
        <v>2.3022000000000001E-2</v>
      </c>
      <c r="O69" s="49">
        <v>2.3075999999999999E-2</v>
      </c>
      <c r="P69" s="49">
        <v>2.0736999999999998E-2</v>
      </c>
      <c r="Q69" s="49">
        <v>1.9528E-2</v>
      </c>
      <c r="R69" s="49">
        <v>2.2584E-2</v>
      </c>
      <c r="S69" s="49">
        <v>2.3594E-2</v>
      </c>
      <c r="T69" s="49">
        <v>2.3893999999999999E-2</v>
      </c>
      <c r="U69" s="49">
        <v>2.5583999999999999E-2</v>
      </c>
      <c r="V69" s="49">
        <v>2.6020000000000001E-2</v>
      </c>
      <c r="W69" s="49">
        <v>2.1399999999999999E-2</v>
      </c>
      <c r="X69" s="49">
        <v>2.0788000000000001E-2</v>
      </c>
      <c r="Y69" s="49">
        <v>1.8981999999999999E-2</v>
      </c>
      <c r="Z69" s="49">
        <v>1.9345999999999999E-2</v>
      </c>
      <c r="AA69" s="49">
        <v>1.9958E-2</v>
      </c>
      <c r="AB69" s="49">
        <v>2.6520999999999999E-2</v>
      </c>
      <c r="AC69" s="49">
        <v>2.3983999999999998E-2</v>
      </c>
      <c r="AD69" s="49">
        <v>2.4046000000000001E-2</v>
      </c>
      <c r="AE69" s="49">
        <v>2.3720000000000001E-2</v>
      </c>
      <c r="AF69" s="49">
        <v>2.3432000000000001E-2</v>
      </c>
      <c r="AG69" s="49">
        <v>2.3959000000000001E-2</v>
      </c>
      <c r="AH69" s="49">
        <v>2.8912E-2</v>
      </c>
      <c r="AI69" s="49">
        <v>2.7938999999999999E-2</v>
      </c>
      <c r="AJ69" s="49">
        <v>2.8490999999999999E-2</v>
      </c>
      <c r="AK69" s="49">
        <v>2.9236999999999999E-2</v>
      </c>
      <c r="AL69" s="49">
        <v>2.7075999999999999E-2</v>
      </c>
      <c r="AM69" s="49">
        <v>2.5398E-2</v>
      </c>
      <c r="AN69" s="49">
        <v>2.4702999999999999E-2</v>
      </c>
      <c r="AO69" s="49">
        <v>2.4025000000000001E-2</v>
      </c>
      <c r="AP69" s="49">
        <v>2.4763E-2</v>
      </c>
      <c r="AQ69" s="49">
        <v>2.4760999999999998E-2</v>
      </c>
      <c r="AR69" s="49">
        <v>2.3331999999999999E-2</v>
      </c>
      <c r="AS69" s="49">
        <v>2.5453E-2</v>
      </c>
      <c r="AT69" s="49">
        <v>2.3199999999999998E-2</v>
      </c>
      <c r="AU69" s="49">
        <v>2.3588999999999999E-2</v>
      </c>
      <c r="AV69" s="49">
        <v>1.5580999999999999E-2</v>
      </c>
      <c r="AW69" s="49">
        <v>1.8112E-2</v>
      </c>
      <c r="AX69" s="49">
        <v>1.8561000000000001E-2</v>
      </c>
      <c r="AY69" s="49">
        <v>1.8831000000000001E-2</v>
      </c>
      <c r="AZ69" s="49">
        <v>1.8335000000000001E-2</v>
      </c>
      <c r="BA69" s="49">
        <v>2.2112E-2</v>
      </c>
      <c r="BB69" s="49">
        <v>2.3132E-2</v>
      </c>
      <c r="BC69" s="49">
        <v>2.3005999999999999E-2</v>
      </c>
      <c r="BD69" s="49">
        <v>2.351E-2</v>
      </c>
      <c r="BE69" s="49">
        <v>2.5936000000000001E-2</v>
      </c>
      <c r="BF69" s="49">
        <v>2.6977000000000001E-2</v>
      </c>
      <c r="BG69" s="49">
        <v>2.6258E-2</v>
      </c>
      <c r="BH69" s="49">
        <v>2.4964E-2</v>
      </c>
      <c r="BI69" s="49">
        <v>2.4236000000000001E-2</v>
      </c>
      <c r="BJ69" s="49">
        <v>2.2425E-2</v>
      </c>
      <c r="BK69" s="49">
        <v>2.1017000000000001E-2</v>
      </c>
      <c r="BL69" s="49">
        <v>2.1864000000000001E-2</v>
      </c>
    </row>
    <row r="70" spans="1:64" x14ac:dyDescent="0.3">
      <c r="A70" s="49">
        <v>87</v>
      </c>
      <c r="B70" s="49" t="s">
        <v>4965</v>
      </c>
      <c r="C70" s="49" t="s">
        <v>319</v>
      </c>
      <c r="D70" s="49">
        <v>9.5866000000000007E-2</v>
      </c>
      <c r="E70" s="49">
        <v>9.4392000000000004E-2</v>
      </c>
      <c r="F70" s="49">
        <v>9.2069999999999999E-2</v>
      </c>
      <c r="G70" s="49">
        <v>8.9754E-2</v>
      </c>
      <c r="H70" s="49">
        <v>9.1357999999999995E-2</v>
      </c>
      <c r="I70" s="49">
        <v>9.5915E-2</v>
      </c>
      <c r="J70" s="49">
        <v>8.8258000000000003E-2</v>
      </c>
      <c r="K70" s="49">
        <v>9.1318999999999997E-2</v>
      </c>
      <c r="L70" s="49">
        <v>8.7778999999999996E-2</v>
      </c>
      <c r="M70" s="49">
        <v>8.6537000000000003E-2</v>
      </c>
      <c r="N70" s="49">
        <v>8.6050000000000001E-2</v>
      </c>
      <c r="O70" s="49">
        <v>8.6330000000000004E-2</v>
      </c>
      <c r="P70" s="49">
        <v>8.1103999999999996E-2</v>
      </c>
      <c r="Q70" s="49">
        <v>8.0598000000000003E-2</v>
      </c>
      <c r="R70" s="49">
        <v>7.3301000000000005E-2</v>
      </c>
      <c r="S70" s="49">
        <v>6.8540000000000004E-2</v>
      </c>
      <c r="T70" s="49">
        <v>6.8071999999999994E-2</v>
      </c>
      <c r="U70" s="49">
        <v>6.6709000000000004E-2</v>
      </c>
      <c r="V70" s="49">
        <v>6.5502000000000005E-2</v>
      </c>
      <c r="W70" s="49">
        <v>6.4759999999999998E-2</v>
      </c>
      <c r="X70" s="49">
        <v>6.8598000000000006E-2</v>
      </c>
      <c r="Y70" s="49">
        <v>6.3561999999999994E-2</v>
      </c>
      <c r="Z70" s="49">
        <v>5.9013999999999997E-2</v>
      </c>
      <c r="AA70" s="49">
        <v>5.2622000000000002E-2</v>
      </c>
      <c r="AB70" s="49">
        <v>5.4993E-2</v>
      </c>
      <c r="AC70" s="49">
        <v>5.7768E-2</v>
      </c>
      <c r="AD70" s="49">
        <v>6.0074000000000002E-2</v>
      </c>
      <c r="AE70" s="49">
        <v>5.9907000000000002E-2</v>
      </c>
      <c r="AF70" s="49">
        <v>6.3731999999999997E-2</v>
      </c>
      <c r="AG70" s="49">
        <v>5.3288000000000002E-2</v>
      </c>
      <c r="AH70" s="49">
        <v>5.3870000000000001E-2</v>
      </c>
      <c r="AI70" s="49">
        <v>5.3399000000000002E-2</v>
      </c>
      <c r="AJ70" s="49">
        <v>5.6533E-2</v>
      </c>
      <c r="AK70" s="49">
        <v>4.8798000000000001E-2</v>
      </c>
      <c r="AL70" s="49">
        <v>5.0649E-2</v>
      </c>
      <c r="AM70" s="49">
        <v>4.7578000000000002E-2</v>
      </c>
      <c r="AN70" s="49">
        <v>4.9806999999999997E-2</v>
      </c>
      <c r="AO70" s="49">
        <v>4.9097000000000002E-2</v>
      </c>
      <c r="AP70" s="49">
        <v>4.8957000000000001E-2</v>
      </c>
      <c r="AQ70" s="49">
        <v>4.6844999999999998E-2</v>
      </c>
      <c r="AR70" s="49">
        <v>4.6808000000000002E-2</v>
      </c>
      <c r="AS70" s="49">
        <v>4.7763E-2</v>
      </c>
      <c r="AT70" s="49">
        <v>4.8618000000000001E-2</v>
      </c>
      <c r="AU70" s="49">
        <v>5.0377999999999999E-2</v>
      </c>
      <c r="AV70" s="49">
        <v>4.4720999999999997E-2</v>
      </c>
      <c r="AW70" s="49">
        <v>4.3691000000000001E-2</v>
      </c>
    </row>
    <row r="71" spans="1:64" x14ac:dyDescent="0.3">
      <c r="A71" s="49">
        <v>89</v>
      </c>
      <c r="B71" s="49" t="s">
        <v>4964</v>
      </c>
      <c r="C71" s="49" t="s">
        <v>324</v>
      </c>
      <c r="D71" s="49">
        <v>2.0145520000000001</v>
      </c>
      <c r="E71" s="49">
        <v>2.0902500000000002</v>
      </c>
      <c r="F71" s="49">
        <v>2.2664740000000001</v>
      </c>
      <c r="G71" s="49">
        <v>2.3645580000000002</v>
      </c>
      <c r="H71" s="49">
        <v>2.28356</v>
      </c>
      <c r="I71" s="49">
        <v>2.23543</v>
      </c>
      <c r="J71" s="49">
        <v>2.3406479999999998</v>
      </c>
      <c r="K71" s="49">
        <v>2.3734479999999998</v>
      </c>
      <c r="L71" s="49">
        <v>2.3413620000000002</v>
      </c>
      <c r="M71" s="49">
        <v>2.403931</v>
      </c>
      <c r="N71" s="49">
        <v>2.4596589999999998</v>
      </c>
      <c r="O71" s="49">
        <v>2.3543240000000001</v>
      </c>
      <c r="P71" s="49">
        <v>2.0634260000000002</v>
      </c>
      <c r="Q71" s="49">
        <v>2.222283</v>
      </c>
      <c r="R71" s="49">
        <v>2.39316</v>
      </c>
      <c r="S71" s="49">
        <v>2.4899170000000002</v>
      </c>
      <c r="T71" s="49">
        <v>2.4504760000000001</v>
      </c>
      <c r="U71" s="49">
        <v>2.389694</v>
      </c>
      <c r="V71" s="49">
        <v>2.1853319999999998</v>
      </c>
      <c r="W71" s="49">
        <v>2.412229</v>
      </c>
      <c r="X71" s="49">
        <v>2.5422400000000001</v>
      </c>
      <c r="Y71" s="49">
        <v>2.465049</v>
      </c>
      <c r="Z71" s="49">
        <v>2.3036219999999998</v>
      </c>
      <c r="AA71" s="49">
        <v>2.4178190000000002</v>
      </c>
      <c r="AB71" s="49">
        <v>2.6720609999999998</v>
      </c>
      <c r="AC71" s="49">
        <v>2.7358039999999999</v>
      </c>
      <c r="AD71" s="49">
        <v>2.872023</v>
      </c>
      <c r="AE71" s="49">
        <v>2.6144020000000001</v>
      </c>
      <c r="AF71" s="49">
        <v>2.4200270000000002</v>
      </c>
      <c r="AG71" s="49">
        <v>2.6204519999999998</v>
      </c>
      <c r="AH71" s="49">
        <v>3.027606</v>
      </c>
      <c r="AI71" s="49">
        <v>3.1653920000000002</v>
      </c>
      <c r="AJ71" s="49">
        <v>3.0215169999999998</v>
      </c>
      <c r="AK71" s="49">
        <v>2.805507</v>
      </c>
      <c r="AL71" s="49">
        <v>2.6601439999999998</v>
      </c>
      <c r="AM71" s="49">
        <v>2.8421500000000002</v>
      </c>
      <c r="AN71" s="49">
        <v>2.797383</v>
      </c>
      <c r="AO71" s="49">
        <v>2.9843790000000001</v>
      </c>
      <c r="AP71" s="49">
        <v>2.9289939999999999</v>
      </c>
      <c r="AQ71" s="49">
        <v>2.9600240000000002</v>
      </c>
      <c r="AR71" s="49">
        <v>3.1055760000000001</v>
      </c>
      <c r="AS71" s="49">
        <v>3.1988029999999998</v>
      </c>
      <c r="AT71" s="49">
        <v>3.2441179999999998</v>
      </c>
      <c r="AU71" s="49">
        <v>3.2585120000000001</v>
      </c>
      <c r="AV71" s="49">
        <v>3.2888929999999998</v>
      </c>
      <c r="AW71" s="49">
        <v>3.3628390000000001</v>
      </c>
      <c r="AX71" s="49">
        <v>3.744354</v>
      </c>
      <c r="AY71" s="49">
        <v>4.0838219999999996</v>
      </c>
      <c r="AZ71" s="49">
        <v>4.0644229999999997</v>
      </c>
      <c r="BA71" s="49">
        <v>4.104603</v>
      </c>
      <c r="BB71" s="49">
        <v>4.2058559999999998</v>
      </c>
      <c r="BC71" s="49">
        <v>4.3457600000000003</v>
      </c>
      <c r="BD71" s="49">
        <v>4.4663149999999998</v>
      </c>
      <c r="BE71" s="49">
        <v>4.5559770000000004</v>
      </c>
      <c r="BF71" s="49">
        <v>4.6788990000000004</v>
      </c>
      <c r="BG71" s="49">
        <v>4.7126979999999996</v>
      </c>
      <c r="BH71" s="49">
        <v>4.7395569999999996</v>
      </c>
      <c r="BI71" s="49">
        <v>4.9473760000000002</v>
      </c>
      <c r="BJ71" s="49">
        <v>4.5952019999999996</v>
      </c>
      <c r="BK71" s="49">
        <v>4.7461270000000004</v>
      </c>
      <c r="BL71" s="49">
        <v>4.7144709999999996</v>
      </c>
    </row>
    <row r="72" spans="1:64" x14ac:dyDescent="0.3">
      <c r="A72" s="49">
        <v>90</v>
      </c>
      <c r="B72" s="49" t="s">
        <v>4963</v>
      </c>
      <c r="C72" s="49" t="s">
        <v>326</v>
      </c>
      <c r="D72" s="49">
        <v>1.899645</v>
      </c>
      <c r="E72" s="49">
        <v>1.9061300000000001</v>
      </c>
      <c r="F72" s="49">
        <v>1.8617900000000001</v>
      </c>
      <c r="G72" s="49">
        <v>1.90235</v>
      </c>
      <c r="H72" s="49">
        <v>1.8603499999999999</v>
      </c>
      <c r="I72" s="49">
        <v>1.92502</v>
      </c>
      <c r="J72" s="49">
        <v>2.0012699999999999</v>
      </c>
      <c r="K72" s="49">
        <v>2.0409600000000001</v>
      </c>
      <c r="L72" s="49">
        <v>2.0397699999999999</v>
      </c>
      <c r="M72" s="49">
        <v>2.1096499999999998</v>
      </c>
      <c r="N72" s="49">
        <v>2.1213299999999999</v>
      </c>
      <c r="O72" s="49">
        <v>2.0777700000000001</v>
      </c>
      <c r="P72" s="49">
        <v>2.1044299999999998</v>
      </c>
      <c r="Q72" s="49">
        <v>2.1395400000000002</v>
      </c>
      <c r="R72" s="49">
        <v>2.17544</v>
      </c>
      <c r="S72" s="49">
        <v>2.23813</v>
      </c>
      <c r="T72" s="49">
        <v>2.2698200000000002</v>
      </c>
      <c r="U72" s="49">
        <v>2.3089789999999999</v>
      </c>
      <c r="V72" s="49">
        <v>2.356312</v>
      </c>
      <c r="W72" s="49">
        <v>2.4004859999999999</v>
      </c>
      <c r="X72" s="49">
        <v>2.436588</v>
      </c>
      <c r="Y72" s="49">
        <v>2.461128</v>
      </c>
      <c r="Z72" s="49">
        <v>2.499355</v>
      </c>
      <c r="AA72" s="49">
        <v>2.6209859999999998</v>
      </c>
      <c r="AB72" s="49">
        <v>2.6673789999999999</v>
      </c>
      <c r="AC72" s="49">
        <v>2.6461809999999999</v>
      </c>
      <c r="AD72" s="49">
        <v>2.6566939999999999</v>
      </c>
      <c r="AE72" s="49">
        <v>2.7429220000000001</v>
      </c>
      <c r="AF72" s="49">
        <v>2.8431030000000002</v>
      </c>
      <c r="AG72" s="49">
        <v>2.9871859999999999</v>
      </c>
      <c r="AH72" s="49">
        <v>3.9972560000000001</v>
      </c>
      <c r="AI72" s="49">
        <v>4.2893939999999997</v>
      </c>
      <c r="AJ72" s="49">
        <v>4.4410249999999998</v>
      </c>
      <c r="AK72" s="49">
        <v>4.547237</v>
      </c>
      <c r="AL72" s="49">
        <v>4.6334179999999998</v>
      </c>
      <c r="AM72" s="49">
        <v>4.7786819999999999</v>
      </c>
      <c r="AN72" s="49">
        <v>4.929799</v>
      </c>
      <c r="AO72" s="49">
        <v>5.1109910000000003</v>
      </c>
      <c r="AP72" s="49">
        <v>5.2991390000000003</v>
      </c>
      <c r="AQ72" s="49">
        <v>5.4751260000000004</v>
      </c>
      <c r="AR72" s="49">
        <v>5.3952429999999998</v>
      </c>
      <c r="AS72" s="49">
        <v>5.6148540000000002</v>
      </c>
      <c r="AT72" s="49">
        <v>5.8736699999999997</v>
      </c>
      <c r="AU72" s="49">
        <v>6.1217860000000002</v>
      </c>
      <c r="AV72" s="49">
        <v>6.3757910000000004</v>
      </c>
      <c r="AW72" s="49">
        <v>6.5746739999999999</v>
      </c>
      <c r="AX72" s="49">
        <v>6.8226719999999998</v>
      </c>
      <c r="AY72" s="49">
        <v>7.1288819999999999</v>
      </c>
      <c r="AZ72" s="49">
        <v>6.8784369999999999</v>
      </c>
      <c r="BA72" s="49">
        <v>8.3490230000000007</v>
      </c>
      <c r="BB72" s="49">
        <v>8.4804569999999995</v>
      </c>
      <c r="BC72" s="49">
        <v>9.4672680000000007</v>
      </c>
      <c r="BD72" s="49">
        <v>9.6446930000000002</v>
      </c>
      <c r="BE72" s="49">
        <v>10.669115</v>
      </c>
      <c r="BF72" s="49">
        <v>11.147843999999999</v>
      </c>
      <c r="BG72" s="49">
        <v>11.435644</v>
      </c>
      <c r="BH72" s="49">
        <v>11.882736</v>
      </c>
      <c r="BI72" s="49">
        <v>12.256532</v>
      </c>
      <c r="BJ72" s="49">
        <v>11.650392999999999</v>
      </c>
      <c r="BK72" s="49">
        <v>11.776024</v>
      </c>
      <c r="BL72" s="49">
        <v>11.976153999999999</v>
      </c>
    </row>
    <row r="73" spans="1:64" x14ac:dyDescent="0.3">
      <c r="A73" s="49">
        <v>91</v>
      </c>
      <c r="B73" s="49" t="s">
        <v>4962</v>
      </c>
      <c r="C73" s="49" t="s">
        <v>330</v>
      </c>
      <c r="D73" s="49">
        <v>0.33403699999999997</v>
      </c>
      <c r="E73" s="49">
        <v>0.31702399999999997</v>
      </c>
      <c r="F73" s="49">
        <v>0.27300400000000002</v>
      </c>
      <c r="G73" s="49">
        <v>0.41372100000000001</v>
      </c>
      <c r="H73" s="49">
        <v>0.36566700000000002</v>
      </c>
      <c r="I73" s="49">
        <v>0.39339000000000002</v>
      </c>
      <c r="J73" s="49">
        <v>0.36185099999999998</v>
      </c>
      <c r="K73" s="49">
        <v>0.34909299999999999</v>
      </c>
      <c r="L73" s="49">
        <v>0.36339700000000003</v>
      </c>
      <c r="M73" s="49">
        <v>0.34731299999999998</v>
      </c>
      <c r="N73" s="49">
        <v>0.35769400000000001</v>
      </c>
      <c r="O73" s="49">
        <v>0.30950499999999997</v>
      </c>
      <c r="P73" s="49">
        <v>0.32050000000000001</v>
      </c>
      <c r="Q73" s="49">
        <v>0.37165999999999999</v>
      </c>
      <c r="R73" s="49">
        <v>0.38688699999999998</v>
      </c>
      <c r="S73" s="49">
        <v>0.33727299999999999</v>
      </c>
      <c r="T73" s="49">
        <v>0.41544599999999998</v>
      </c>
      <c r="U73" s="49">
        <v>0.38674700000000001</v>
      </c>
      <c r="V73" s="49">
        <v>0.32519700000000001</v>
      </c>
      <c r="W73" s="49">
        <v>0.32011000000000001</v>
      </c>
      <c r="X73" s="49">
        <v>0.34113399999999999</v>
      </c>
      <c r="Y73" s="49">
        <v>0.35761999999999999</v>
      </c>
      <c r="Z73" s="49">
        <v>0.280304</v>
      </c>
      <c r="AA73" s="49">
        <v>0.32975399999999999</v>
      </c>
      <c r="AB73" s="49">
        <v>0.28931200000000001</v>
      </c>
      <c r="AC73" s="49">
        <v>0.319714</v>
      </c>
      <c r="AD73" s="49">
        <v>0.29461399999999999</v>
      </c>
      <c r="AE73" s="49">
        <v>0.287968</v>
      </c>
      <c r="AF73" s="49">
        <v>0.26877000000000001</v>
      </c>
      <c r="AG73" s="49">
        <v>0.235238</v>
      </c>
      <c r="AH73" s="49">
        <v>0.29556500000000002</v>
      </c>
      <c r="AI73" s="49">
        <v>0.31303599999999998</v>
      </c>
      <c r="AJ73" s="49">
        <v>0.35969400000000001</v>
      </c>
      <c r="AK73" s="49">
        <v>0.369338</v>
      </c>
      <c r="AL73" s="49">
        <v>0.43696600000000002</v>
      </c>
      <c r="AM73" s="49">
        <v>0.45252199999999998</v>
      </c>
      <c r="AN73" s="49">
        <v>0.50115200000000004</v>
      </c>
      <c r="AO73" s="49">
        <v>0.43268699999999999</v>
      </c>
      <c r="AP73" s="49">
        <v>0.472997</v>
      </c>
      <c r="AQ73" s="49">
        <v>0.43170599999999998</v>
      </c>
      <c r="AR73" s="49">
        <v>0.44880599999999998</v>
      </c>
      <c r="AS73" s="49">
        <v>0.393235</v>
      </c>
      <c r="AT73" s="49">
        <v>0.44204599999999999</v>
      </c>
      <c r="AU73" s="49">
        <v>0.42785299999999998</v>
      </c>
      <c r="AV73" s="49">
        <v>0.401194</v>
      </c>
      <c r="AW73" s="49">
        <v>0.40570000000000001</v>
      </c>
      <c r="AX73" s="49">
        <v>0.38945299999999999</v>
      </c>
      <c r="AY73" s="49">
        <v>0.43566500000000002</v>
      </c>
      <c r="AZ73" s="49">
        <v>0.45099099999999998</v>
      </c>
      <c r="BA73" s="49">
        <v>0.42974200000000001</v>
      </c>
      <c r="BB73" s="49">
        <v>0.44830300000000001</v>
      </c>
      <c r="BC73" s="49">
        <v>0.44485200000000003</v>
      </c>
      <c r="BD73" s="49">
        <v>0.48622799999999999</v>
      </c>
      <c r="BE73" s="49">
        <v>0.52585499999999996</v>
      </c>
      <c r="BF73" s="49">
        <v>0.54389200000000004</v>
      </c>
      <c r="BG73" s="49">
        <v>0.44923600000000002</v>
      </c>
      <c r="BH73" s="49">
        <v>0.484599</v>
      </c>
      <c r="BI73" s="49">
        <v>0.46433200000000002</v>
      </c>
      <c r="BJ73" s="49">
        <v>0.47829100000000002</v>
      </c>
      <c r="BK73" s="49">
        <v>0.49461300000000002</v>
      </c>
      <c r="BL73" s="49">
        <v>0.434249</v>
      </c>
    </row>
    <row r="74" spans="1:64" x14ac:dyDescent="0.3">
      <c r="A74" s="49">
        <v>93</v>
      </c>
      <c r="B74" s="49" t="s">
        <v>4961</v>
      </c>
      <c r="C74" s="49" t="s">
        <v>332</v>
      </c>
      <c r="D74" s="49">
        <v>1.900544</v>
      </c>
      <c r="E74" s="49">
        <v>1.893222</v>
      </c>
      <c r="F74" s="49">
        <v>1.918436</v>
      </c>
      <c r="G74" s="49">
        <v>1.955206</v>
      </c>
      <c r="H74" s="49">
        <v>1.97618</v>
      </c>
      <c r="I74" s="49">
        <v>1.988882</v>
      </c>
      <c r="J74" s="49">
        <v>2.0118100000000001</v>
      </c>
      <c r="K74" s="49">
        <v>2.0004379999999999</v>
      </c>
      <c r="L74" s="49">
        <v>2.0394679999999998</v>
      </c>
      <c r="M74" s="49">
        <v>2.0710419999999998</v>
      </c>
      <c r="N74" s="49">
        <v>2.105334</v>
      </c>
      <c r="O74" s="49">
        <v>2.1216900000000001</v>
      </c>
      <c r="P74" s="49">
        <v>2.0221149999999999</v>
      </c>
      <c r="Q74" s="49">
        <v>1.95753</v>
      </c>
      <c r="R74" s="49">
        <v>1.9241649999999999</v>
      </c>
      <c r="S74" s="49">
        <v>1.8949860000000001</v>
      </c>
      <c r="T74" s="49">
        <v>2.0005329999999999</v>
      </c>
      <c r="U74" s="49">
        <v>2.2149709999999998</v>
      </c>
      <c r="V74" s="49">
        <v>2.2474029999999998</v>
      </c>
      <c r="W74" s="49">
        <v>2.1482950000000001</v>
      </c>
      <c r="X74" s="49">
        <v>2.0896599999999999</v>
      </c>
      <c r="Y74" s="49">
        <v>2.0610460000000002</v>
      </c>
      <c r="Z74" s="49">
        <v>2.1503559999999999</v>
      </c>
      <c r="AA74" s="49">
        <v>2.14771</v>
      </c>
      <c r="AB74" s="49">
        <v>2.4162180000000002</v>
      </c>
      <c r="AC74" s="49">
        <v>2.4175800000000001</v>
      </c>
      <c r="AD74" s="49">
        <v>2.3834249999999999</v>
      </c>
      <c r="AE74" s="49">
        <v>2.404401</v>
      </c>
      <c r="AF74" s="49">
        <v>2.328303</v>
      </c>
      <c r="AG74" s="49">
        <v>2.0657489999999998</v>
      </c>
      <c r="AH74" s="49">
        <v>2.3403580000000002</v>
      </c>
      <c r="AI74" s="49">
        <v>2.3852880000000001</v>
      </c>
      <c r="AJ74" s="49">
        <v>2.2698670000000001</v>
      </c>
      <c r="AK74" s="49">
        <v>2.2729159999999999</v>
      </c>
      <c r="AL74" s="49">
        <v>2.1748609999999999</v>
      </c>
      <c r="AM74" s="49">
        <v>2.1609579999999999</v>
      </c>
      <c r="AN74" s="49">
        <v>2.3203550000000002</v>
      </c>
      <c r="AO74" s="49">
        <v>2.136409</v>
      </c>
      <c r="AP74" s="49">
        <v>2.2483050000000002</v>
      </c>
      <c r="AQ74" s="49">
        <v>2.20581</v>
      </c>
      <c r="AR74" s="49">
        <v>2.126147</v>
      </c>
      <c r="AS74" s="49">
        <v>2.0998019999999999</v>
      </c>
      <c r="AT74" s="49">
        <v>2.1520760000000001</v>
      </c>
      <c r="AU74" s="49">
        <v>2.1940940000000002</v>
      </c>
      <c r="AV74" s="49">
        <v>2.3311869999999999</v>
      </c>
      <c r="AW74" s="49">
        <v>2.3153649999999999</v>
      </c>
      <c r="AX74" s="49">
        <v>2.8058399999999999</v>
      </c>
      <c r="AY74" s="49">
        <v>2.5510700000000002</v>
      </c>
      <c r="AZ74" s="49">
        <v>2.8615919999999999</v>
      </c>
      <c r="BA74" s="49">
        <v>3.2362470000000001</v>
      </c>
      <c r="BB74" s="49">
        <v>3.232135</v>
      </c>
      <c r="BC74" s="49">
        <v>2.8208700000000002</v>
      </c>
      <c r="BD74" s="49">
        <v>3.3758699999999999</v>
      </c>
      <c r="BE74" s="49">
        <v>3.7889200000000001</v>
      </c>
      <c r="BF74" s="49">
        <v>3.1482260000000002</v>
      </c>
      <c r="BG74" s="49">
        <v>3.1071900000000001</v>
      </c>
      <c r="BH74" s="49">
        <v>3.235446</v>
      </c>
      <c r="BI74" s="49">
        <v>3.3814760000000001</v>
      </c>
      <c r="BJ74" s="49">
        <v>2.4182410000000001</v>
      </c>
      <c r="BK74" s="49">
        <v>2.3890310000000001</v>
      </c>
      <c r="BL74" s="49">
        <v>2.6876449999999998</v>
      </c>
    </row>
    <row r="75" spans="1:64" x14ac:dyDescent="0.3">
      <c r="A75" s="49">
        <v>95</v>
      </c>
      <c r="B75" s="49" t="s">
        <v>4960</v>
      </c>
      <c r="C75" s="49" t="s">
        <v>338</v>
      </c>
      <c r="D75" s="49">
        <v>1.005044</v>
      </c>
      <c r="E75" s="49">
        <v>1.0414490000000001</v>
      </c>
      <c r="F75" s="49">
        <v>1.0445409999999999</v>
      </c>
      <c r="G75" s="49">
        <v>1.1531750000000001</v>
      </c>
      <c r="H75" s="49">
        <v>1.088498</v>
      </c>
      <c r="I75" s="49">
        <v>1.087448</v>
      </c>
      <c r="J75" s="49">
        <v>1.1153169999999999</v>
      </c>
      <c r="K75" s="49">
        <v>1.133186</v>
      </c>
      <c r="L75" s="49">
        <v>1.156172</v>
      </c>
      <c r="M75" s="49">
        <v>1.1619729999999999</v>
      </c>
      <c r="N75" s="49">
        <v>1.181735</v>
      </c>
      <c r="O75" s="49">
        <v>1.2058169999999999</v>
      </c>
      <c r="P75" s="49">
        <v>1.1942729999999999</v>
      </c>
      <c r="Q75" s="49">
        <v>1.1646339999999999</v>
      </c>
      <c r="R75" s="49">
        <v>1.337925</v>
      </c>
      <c r="S75" s="49">
        <v>1.4527749999999999</v>
      </c>
      <c r="T75" s="49">
        <v>1.6854020000000001</v>
      </c>
      <c r="U75" s="49">
        <v>1.732939</v>
      </c>
      <c r="V75" s="49">
        <v>1.456248</v>
      </c>
      <c r="W75" s="49">
        <v>1.4673419999999999</v>
      </c>
      <c r="X75" s="49">
        <v>1.461022</v>
      </c>
      <c r="Y75" s="49">
        <v>1.258564</v>
      </c>
      <c r="Z75" s="49">
        <v>1.2955840000000001</v>
      </c>
      <c r="AA75" s="49">
        <v>1.403905</v>
      </c>
      <c r="AB75" s="49">
        <v>1.2520089999999999</v>
      </c>
      <c r="AC75" s="49">
        <v>1.3631150000000001</v>
      </c>
      <c r="AD75" s="49">
        <v>1.3298049999999999</v>
      </c>
      <c r="AE75" s="49">
        <v>1.3959440000000001</v>
      </c>
      <c r="AF75" s="49">
        <v>1.474297</v>
      </c>
      <c r="AG75" s="49">
        <v>1.542441</v>
      </c>
      <c r="AH75" s="49">
        <v>1.773433</v>
      </c>
      <c r="AI75" s="49">
        <v>1.706091</v>
      </c>
      <c r="AJ75" s="49">
        <v>1.725155</v>
      </c>
      <c r="AK75" s="49">
        <v>1.846446</v>
      </c>
      <c r="AL75" s="49">
        <v>1.7380119999999999</v>
      </c>
      <c r="AM75" s="49">
        <v>1.7952459999999999</v>
      </c>
      <c r="AN75" s="49">
        <v>1.7340690000000001</v>
      </c>
      <c r="AO75" s="49">
        <v>1.869794</v>
      </c>
      <c r="AP75" s="49">
        <v>1.8019259999999999</v>
      </c>
      <c r="AQ75" s="49">
        <v>1.751854</v>
      </c>
      <c r="AR75" s="49">
        <v>1.6758299999999999</v>
      </c>
      <c r="AS75" s="49">
        <v>1.854449</v>
      </c>
      <c r="AT75" s="49">
        <v>1.7788919999999999</v>
      </c>
      <c r="AU75" s="49">
        <v>1.8049770000000001</v>
      </c>
      <c r="AV75" s="49">
        <v>1.8403119999999999</v>
      </c>
      <c r="AW75" s="49">
        <v>1.831644</v>
      </c>
      <c r="AX75" s="49">
        <v>1.9463459999999999</v>
      </c>
      <c r="AY75" s="49">
        <v>1.8841699999999999</v>
      </c>
      <c r="AZ75" s="49">
        <v>1.942358</v>
      </c>
      <c r="BA75" s="49">
        <v>1.968556</v>
      </c>
      <c r="BB75" s="49">
        <v>2.0117970000000001</v>
      </c>
      <c r="BC75" s="49">
        <v>2.0690879999999998</v>
      </c>
      <c r="BD75" s="49">
        <v>2.1210550000000001</v>
      </c>
      <c r="BE75" s="49">
        <v>1.9246350000000001</v>
      </c>
      <c r="BF75" s="49">
        <v>2.1093329999999999</v>
      </c>
      <c r="BG75" s="49">
        <v>2.2125539999999999</v>
      </c>
      <c r="BH75" s="49">
        <v>2.403686</v>
      </c>
      <c r="BI75" s="49">
        <v>2.492915</v>
      </c>
      <c r="BJ75" s="49">
        <v>2.378091</v>
      </c>
      <c r="BK75" s="49">
        <v>2.3650500000000001</v>
      </c>
      <c r="BL75" s="49">
        <v>2.3854579999999999</v>
      </c>
    </row>
    <row r="76" spans="1:64" x14ac:dyDescent="0.3">
      <c r="A76" s="49">
        <v>96</v>
      </c>
      <c r="B76" s="49" t="s">
        <v>4959</v>
      </c>
      <c r="C76" s="49" t="s">
        <v>207</v>
      </c>
      <c r="D76" s="49">
        <v>5.2058E-2</v>
      </c>
      <c r="E76" s="49">
        <v>4.2950000000000002E-2</v>
      </c>
      <c r="F76" s="49">
        <v>3.5172000000000002E-2</v>
      </c>
      <c r="G76" s="49">
        <v>3.4627999999999999E-2</v>
      </c>
      <c r="H76" s="49">
        <v>3.3658E-2</v>
      </c>
      <c r="I76" s="49">
        <v>4.4423999999999998E-2</v>
      </c>
      <c r="J76" s="49">
        <v>4.1287999999999998E-2</v>
      </c>
      <c r="K76" s="49">
        <v>4.3672000000000002E-2</v>
      </c>
      <c r="L76" s="49">
        <v>4.0980000000000003E-2</v>
      </c>
      <c r="M76" s="49">
        <v>3.8719000000000003E-2</v>
      </c>
      <c r="N76" s="49">
        <v>3.5796000000000001E-2</v>
      </c>
      <c r="O76" s="49">
        <v>3.4355999999999998E-2</v>
      </c>
      <c r="P76" s="49">
        <v>3.2703999999999997E-2</v>
      </c>
      <c r="Q76" s="49">
        <v>3.0612E-2</v>
      </c>
      <c r="R76" s="49">
        <v>2.9978000000000001E-2</v>
      </c>
      <c r="S76" s="49">
        <v>3.057E-2</v>
      </c>
      <c r="T76" s="49">
        <v>3.0456E-2</v>
      </c>
      <c r="U76" s="49">
        <v>2.9284000000000001E-2</v>
      </c>
      <c r="V76" s="49">
        <v>2.0396000000000001E-2</v>
      </c>
      <c r="W76" s="49">
        <v>1.891E-2</v>
      </c>
      <c r="X76" s="49">
        <v>1.8890000000000001E-2</v>
      </c>
      <c r="Y76" s="49">
        <v>1.8665999999999999E-2</v>
      </c>
      <c r="Z76" s="49">
        <v>1.9358E-2</v>
      </c>
      <c r="AA76" s="49">
        <v>1.8282E-2</v>
      </c>
      <c r="AB76" s="49">
        <v>1.7181999999999999E-2</v>
      </c>
      <c r="AC76" s="49">
        <v>1.762E-2</v>
      </c>
      <c r="AD76" s="49">
        <v>1.6777E-2</v>
      </c>
      <c r="AE76" s="49">
        <v>1.6011999999999998E-2</v>
      </c>
      <c r="AF76" s="49">
        <v>1.4635E-2</v>
      </c>
      <c r="AG76" s="49">
        <v>1.4012999999999999E-2</v>
      </c>
      <c r="AH76" s="49">
        <v>1.3184E-2</v>
      </c>
      <c r="AI76" s="49">
        <v>1.1279000000000001E-2</v>
      </c>
      <c r="AJ76" s="49">
        <v>1.0267999999999999E-2</v>
      </c>
      <c r="AK76" s="49">
        <v>1.0181000000000001E-2</v>
      </c>
      <c r="AL76" s="49">
        <v>8.6630000000000006E-3</v>
      </c>
      <c r="AM76" s="49">
        <v>8.1899999999999994E-3</v>
      </c>
      <c r="AN76" s="49">
        <v>8.0309999999999999E-3</v>
      </c>
      <c r="AO76" s="49">
        <v>7.0689999999999998E-3</v>
      </c>
      <c r="AP76" s="49">
        <v>6.1630000000000001E-3</v>
      </c>
      <c r="AQ76" s="49">
        <v>5.097E-3</v>
      </c>
      <c r="AR76" s="49">
        <v>4.169E-3</v>
      </c>
      <c r="AS76" s="49">
        <v>4.071E-3</v>
      </c>
      <c r="AT76" s="49">
        <v>4.0429999999999997E-3</v>
      </c>
      <c r="AU76" s="49">
        <v>4.104E-3</v>
      </c>
      <c r="AV76" s="49">
        <v>4.065E-3</v>
      </c>
      <c r="AW76" s="49">
        <v>4.1240000000000001E-3</v>
      </c>
      <c r="AX76" s="49">
        <v>4.1700000000000001E-3</v>
      </c>
      <c r="AY76" s="49">
        <v>4.1529999999999996E-3</v>
      </c>
      <c r="AZ76" s="49">
        <v>4.1120000000000002E-3</v>
      </c>
      <c r="BA76" s="49">
        <v>4.1200000000000004E-3</v>
      </c>
      <c r="BB76" s="49">
        <v>4.1460000000000004E-3</v>
      </c>
      <c r="BC76" s="49">
        <v>4.202E-3</v>
      </c>
      <c r="BD76" s="49">
        <v>4.1999999999999997E-3</v>
      </c>
      <c r="BE76" s="49">
        <v>4.1460000000000004E-3</v>
      </c>
      <c r="BF76" s="49">
        <v>4.0509999999999999E-3</v>
      </c>
      <c r="BG76" s="49">
        <v>4.1110000000000001E-3</v>
      </c>
      <c r="BH76" s="49">
        <v>4.1330000000000004E-3</v>
      </c>
      <c r="BI76" s="49">
        <v>4.1019999999999997E-3</v>
      </c>
      <c r="BJ76" s="49">
        <v>4.065E-3</v>
      </c>
      <c r="BK76" s="49">
        <v>4.0629999999999998E-3</v>
      </c>
      <c r="BL76" s="49">
        <v>4.0600000000000002E-3</v>
      </c>
    </row>
    <row r="77" spans="1:64" x14ac:dyDescent="0.3">
      <c r="A77" s="49">
        <v>97</v>
      </c>
      <c r="B77" s="49" t="s">
        <v>4958</v>
      </c>
      <c r="C77" s="49" t="s">
        <v>340</v>
      </c>
      <c r="D77" s="49">
        <v>8.7113870000000002</v>
      </c>
      <c r="E77" s="49">
        <v>8.7197790000000008</v>
      </c>
      <c r="F77" s="49">
        <v>8.5057369999999999</v>
      </c>
      <c r="G77" s="49">
        <v>8.6354109999999995</v>
      </c>
      <c r="H77" s="49">
        <v>8.5208890000000004</v>
      </c>
      <c r="I77" s="49">
        <v>8.4557120000000001</v>
      </c>
      <c r="J77" s="49">
        <v>8.3073440000000005</v>
      </c>
      <c r="K77" s="49">
        <v>8.3700259999999993</v>
      </c>
      <c r="L77" s="49">
        <v>8.3023369999999996</v>
      </c>
      <c r="M77" s="49">
        <v>7.7274120000000002</v>
      </c>
      <c r="N77" s="49">
        <v>7.9533690000000004</v>
      </c>
      <c r="O77" s="49">
        <v>8.0693230000000007</v>
      </c>
      <c r="P77" s="49">
        <v>8.0820600000000002</v>
      </c>
      <c r="Q77" s="49">
        <v>8.1176469999999998</v>
      </c>
      <c r="R77" s="49">
        <v>7.9644050000000002</v>
      </c>
      <c r="S77" s="49">
        <v>7.8444799999999999</v>
      </c>
      <c r="T77" s="49">
        <v>7.6878209999999996</v>
      </c>
      <c r="U77" s="49">
        <v>7.6713909999999998</v>
      </c>
      <c r="V77" s="49">
        <v>7.4898249999999997</v>
      </c>
      <c r="W77" s="49">
        <v>7.4227629999999998</v>
      </c>
      <c r="X77" s="49">
        <v>7.2416340000000003</v>
      </c>
      <c r="Y77" s="49">
        <v>7.3803400000000003</v>
      </c>
      <c r="Z77" s="49">
        <v>7.3767690000000004</v>
      </c>
      <c r="AA77" s="49">
        <v>7.4452590000000001</v>
      </c>
      <c r="AB77" s="49">
        <v>7.6986809999999997</v>
      </c>
      <c r="AC77" s="49">
        <v>7.7937440000000002</v>
      </c>
      <c r="AD77" s="49">
        <v>7.95322</v>
      </c>
      <c r="AE77" s="49">
        <v>8.0472839999999994</v>
      </c>
      <c r="AF77" s="49">
        <v>7.9198459999999997</v>
      </c>
      <c r="AG77" s="49">
        <v>7.602735</v>
      </c>
      <c r="AH77" s="49">
        <v>8.9074229999999996</v>
      </c>
      <c r="AI77" s="49">
        <v>8.5059819999999995</v>
      </c>
      <c r="AJ77" s="49">
        <v>8.3057649999999992</v>
      </c>
      <c r="AK77" s="49">
        <v>8.6473800000000001</v>
      </c>
      <c r="AL77" s="49">
        <v>8.5846599999999995</v>
      </c>
      <c r="AM77" s="49">
        <v>8.6586700000000008</v>
      </c>
      <c r="AN77" s="49">
        <v>8.7714639999999999</v>
      </c>
      <c r="AO77" s="49">
        <v>8.3956029999999995</v>
      </c>
      <c r="AP77" s="49">
        <v>8.1456370000000007</v>
      </c>
      <c r="AQ77" s="49">
        <v>7.7660210000000003</v>
      </c>
      <c r="AR77" s="49">
        <v>8.4884489999999992</v>
      </c>
      <c r="AS77" s="49">
        <v>8.5159719999999997</v>
      </c>
      <c r="AT77" s="49">
        <v>8.5948630000000001</v>
      </c>
      <c r="AU77" s="49">
        <v>8.8213279999999994</v>
      </c>
      <c r="AV77" s="49">
        <v>8.7496989999999997</v>
      </c>
      <c r="AW77" s="49">
        <v>8.5669380000000004</v>
      </c>
      <c r="AX77" s="49">
        <v>8.6108259999999994</v>
      </c>
      <c r="AY77" s="49">
        <v>8.9922409999999999</v>
      </c>
      <c r="AZ77" s="49">
        <v>8.9523159999999997</v>
      </c>
      <c r="BA77" s="49">
        <v>8.2578370000000003</v>
      </c>
      <c r="BB77" s="49">
        <v>8.5950690000000005</v>
      </c>
      <c r="BC77" s="49">
        <v>8.6538160000000008</v>
      </c>
      <c r="BD77" s="49">
        <v>8.7963760000000004</v>
      </c>
      <c r="BE77" s="49">
        <v>8.8756880000000002</v>
      </c>
      <c r="BF77" s="49">
        <v>8.8227720000000005</v>
      </c>
      <c r="BG77" s="49">
        <v>8.7073060000000009</v>
      </c>
      <c r="BH77" s="49">
        <v>8.7406140000000008</v>
      </c>
      <c r="BI77" s="49">
        <v>6.3336680000000003</v>
      </c>
      <c r="BJ77" s="49">
        <v>6.4187200000000004</v>
      </c>
      <c r="BK77" s="49">
        <v>6.1871900000000002</v>
      </c>
      <c r="BL77" s="49">
        <v>6.1427100000000001</v>
      </c>
    </row>
    <row r="78" spans="1:64" x14ac:dyDescent="0.3">
      <c r="A78" s="49">
        <v>98</v>
      </c>
      <c r="B78" s="49" t="s">
        <v>4957</v>
      </c>
      <c r="C78" s="49" t="s">
        <v>237</v>
      </c>
      <c r="AI78" s="49">
        <v>1.815472</v>
      </c>
      <c r="AJ78" s="49">
        <v>1.918463</v>
      </c>
      <c r="AK78" s="49">
        <v>1.886641</v>
      </c>
      <c r="AL78" s="49">
        <v>1.8759870000000001</v>
      </c>
      <c r="AM78" s="49">
        <v>1.870061</v>
      </c>
      <c r="AN78" s="49">
        <v>1.87418</v>
      </c>
      <c r="AO78" s="49">
        <v>2.1287970000000001</v>
      </c>
      <c r="AP78" s="49">
        <v>2.1100059999999998</v>
      </c>
      <c r="AQ78" s="49">
        <v>1.764122</v>
      </c>
      <c r="AR78" s="49">
        <v>1.7887770000000001</v>
      </c>
      <c r="AS78" s="49">
        <v>1.8113189999999999</v>
      </c>
      <c r="AT78" s="49">
        <v>1.7979590000000001</v>
      </c>
      <c r="AU78" s="49">
        <v>1.6711370000000001</v>
      </c>
      <c r="AV78" s="49">
        <v>1.757083</v>
      </c>
      <c r="AW78" s="49">
        <v>1.7699910000000001</v>
      </c>
      <c r="AX78" s="49">
        <v>1.705168</v>
      </c>
      <c r="AY78" s="49">
        <v>1.75207</v>
      </c>
      <c r="AZ78" s="49">
        <v>1.76953</v>
      </c>
      <c r="BA78" s="49">
        <v>1.7428159999999999</v>
      </c>
      <c r="BB78" s="49">
        <v>1.7505580000000001</v>
      </c>
      <c r="BC78" s="49">
        <v>1.78759</v>
      </c>
      <c r="BD78" s="49">
        <v>1.798689</v>
      </c>
      <c r="BE78" s="49">
        <v>1.620147</v>
      </c>
      <c r="BF78" s="49">
        <v>1.740065</v>
      </c>
      <c r="BG78" s="49">
        <v>1.853459</v>
      </c>
      <c r="BH78" s="49">
        <v>1.7517039999999999</v>
      </c>
      <c r="BI78" s="49">
        <v>1.338878</v>
      </c>
      <c r="BJ78" s="49">
        <v>1.3840300000000001</v>
      </c>
      <c r="BK78" s="49">
        <v>1.4975400000000001</v>
      </c>
      <c r="BL78" s="49">
        <v>1.39428</v>
      </c>
    </row>
    <row r="79" spans="1:64" x14ac:dyDescent="0.3">
      <c r="A79" s="49">
        <v>99</v>
      </c>
      <c r="B79" s="49" t="s">
        <v>4956</v>
      </c>
      <c r="C79" s="49" t="s">
        <v>342</v>
      </c>
      <c r="D79" s="49">
        <v>1.446E-3</v>
      </c>
      <c r="E79" s="49">
        <v>1.446E-3</v>
      </c>
      <c r="F79" s="49">
        <v>1.4660000000000001E-3</v>
      </c>
      <c r="G79" s="49">
        <v>1.4660000000000001E-3</v>
      </c>
      <c r="H79" s="49">
        <v>1.47E-3</v>
      </c>
      <c r="I79" s="49">
        <v>8.4999999999999995E-4</v>
      </c>
      <c r="J79" s="49">
        <v>1.0499999999999999E-3</v>
      </c>
      <c r="K79" s="49">
        <v>7.2999999999999996E-4</v>
      </c>
      <c r="L79" s="49">
        <v>1.2260000000000001E-3</v>
      </c>
      <c r="M79" s="49">
        <v>1.364E-3</v>
      </c>
      <c r="N79" s="49">
        <v>2.826E-3</v>
      </c>
      <c r="O79" s="49">
        <v>2.1459999999999999E-3</v>
      </c>
      <c r="P79" s="49">
        <v>1.346E-3</v>
      </c>
      <c r="Q79" s="49">
        <v>2.0460000000000001E-3</v>
      </c>
      <c r="R79" s="49">
        <v>1.4499999999999999E-3</v>
      </c>
      <c r="S79" s="49">
        <v>1.658E-3</v>
      </c>
      <c r="T79" s="49">
        <v>1.6620000000000001E-3</v>
      </c>
      <c r="U79" s="49">
        <v>2.0660000000000001E-3</v>
      </c>
      <c r="V79" s="49">
        <v>1.66E-3</v>
      </c>
      <c r="W79" s="49">
        <v>2.0699999999999998E-3</v>
      </c>
      <c r="X79" s="49">
        <v>1.792E-3</v>
      </c>
      <c r="Y79" s="49">
        <v>1.9719999999999998E-3</v>
      </c>
      <c r="Z79" s="49">
        <v>2.0720000000000001E-3</v>
      </c>
      <c r="AA79" s="49">
        <v>2.0720000000000001E-3</v>
      </c>
      <c r="AB79" s="49">
        <v>2.0720000000000001E-3</v>
      </c>
      <c r="AC79" s="49">
        <v>2.0820000000000001E-3</v>
      </c>
      <c r="AD79" s="49">
        <v>2.078E-3</v>
      </c>
      <c r="AE79" s="49">
        <v>2.0839999999999999E-3</v>
      </c>
      <c r="AF79" s="49">
        <v>1.8940000000000001E-3</v>
      </c>
      <c r="AG79" s="49">
        <v>2.0920000000000001E-3</v>
      </c>
      <c r="AH79" s="49">
        <v>3.0799999999999998E-3</v>
      </c>
      <c r="AI79" s="49">
        <v>2.0739999999999999E-3</v>
      </c>
      <c r="AJ79" s="49">
        <v>1.6999999999999999E-3</v>
      </c>
      <c r="AK79" s="49">
        <v>1.688E-3</v>
      </c>
      <c r="AL79" s="49">
        <v>1.694E-3</v>
      </c>
      <c r="AM79" s="49">
        <v>1.9E-3</v>
      </c>
      <c r="AN79" s="49">
        <v>1.7080000000000001E-3</v>
      </c>
      <c r="AO79" s="49">
        <v>2.0279999999999999E-3</v>
      </c>
      <c r="AP79" s="49">
        <v>1.5299999999999999E-3</v>
      </c>
      <c r="AQ79" s="49">
        <v>1.4679999999999999E-3</v>
      </c>
      <c r="AR79" s="49">
        <v>1.73E-3</v>
      </c>
      <c r="AS79" s="49">
        <v>1.73E-3</v>
      </c>
      <c r="AT79" s="49">
        <v>1.7539999999999999E-3</v>
      </c>
      <c r="AU79" s="49">
        <v>1.6739999999999999E-3</v>
      </c>
      <c r="AV79" s="49">
        <v>1.6180000000000001E-3</v>
      </c>
      <c r="AW79" s="49">
        <v>1.5120000000000001E-3</v>
      </c>
      <c r="AX79" s="49">
        <v>1.5120000000000001E-3</v>
      </c>
      <c r="AY79" s="49">
        <v>1.5120000000000001E-3</v>
      </c>
      <c r="AZ79" s="49">
        <v>1.5120000000000001E-3</v>
      </c>
      <c r="BA79" s="49">
        <v>1.5120000000000001E-3</v>
      </c>
      <c r="BB79" s="49">
        <v>1.129E-3</v>
      </c>
      <c r="BC79" s="49">
        <v>1.1100000000000001E-3</v>
      </c>
      <c r="BD79" s="49">
        <v>1.07E-3</v>
      </c>
      <c r="BE79" s="49">
        <v>1.276E-3</v>
      </c>
      <c r="BF79" s="49">
        <v>4.189E-3</v>
      </c>
      <c r="BG79" s="49">
        <v>5.8809999999999999E-3</v>
      </c>
      <c r="BH79" s="49">
        <v>5.4860000000000004E-3</v>
      </c>
      <c r="BI79" s="49">
        <v>4.2719999999999998E-3</v>
      </c>
      <c r="BJ79" s="49">
        <v>5.7019999999999996E-3</v>
      </c>
      <c r="BK79" s="49">
        <v>3.9259999999999998E-3</v>
      </c>
      <c r="BL79" s="49">
        <v>5.8279999999999998E-3</v>
      </c>
    </row>
    <row r="80" spans="1:64" x14ac:dyDescent="0.3">
      <c r="A80" s="49">
        <v>100</v>
      </c>
      <c r="B80" s="49" t="s">
        <v>4955</v>
      </c>
      <c r="C80" s="49" t="s">
        <v>344</v>
      </c>
      <c r="D80" s="49">
        <v>274.83072800000002</v>
      </c>
      <c r="E80" s="49">
        <v>280.62597399999999</v>
      </c>
      <c r="F80" s="49">
        <v>280.00494800000001</v>
      </c>
      <c r="G80" s="49">
        <v>282.60447799999997</v>
      </c>
      <c r="H80" s="49">
        <v>279.76678800000002</v>
      </c>
      <c r="I80" s="49">
        <v>276.54661299999998</v>
      </c>
      <c r="J80" s="49">
        <v>283.24342899999999</v>
      </c>
      <c r="K80" s="49">
        <v>287.66659700000002</v>
      </c>
      <c r="L80" s="49">
        <v>290.76683100000002</v>
      </c>
      <c r="M80" s="49">
        <v>293.416134</v>
      </c>
      <c r="N80" s="49">
        <v>292.54245100000003</v>
      </c>
      <c r="O80" s="49">
        <v>288.27296999999999</v>
      </c>
      <c r="P80" s="49">
        <v>299.88139100000001</v>
      </c>
      <c r="Q80" s="49">
        <v>294.87892099999999</v>
      </c>
      <c r="R80" s="49">
        <v>297.89160800000002</v>
      </c>
      <c r="S80" s="49">
        <v>300.198419</v>
      </c>
      <c r="T80" s="49">
        <v>304.84342600000002</v>
      </c>
      <c r="U80" s="49">
        <v>309.461162</v>
      </c>
      <c r="V80" s="49">
        <v>307.215801</v>
      </c>
      <c r="W80" s="49">
        <v>306.12321600000001</v>
      </c>
      <c r="X80" s="49">
        <v>309.68662599999999</v>
      </c>
      <c r="Y80" s="49">
        <v>304.82399500000002</v>
      </c>
      <c r="Z80" s="49">
        <v>316.25700999999998</v>
      </c>
      <c r="AA80" s="49">
        <v>313.812228</v>
      </c>
      <c r="AB80" s="49">
        <v>311.14730100000003</v>
      </c>
      <c r="AC80" s="49">
        <v>312.547641</v>
      </c>
      <c r="AD80" s="49">
        <v>298.58074900000003</v>
      </c>
      <c r="AE80" s="49">
        <v>311.27021500000001</v>
      </c>
      <c r="AF80" s="49">
        <v>316.45522099999999</v>
      </c>
      <c r="AG80" s="49">
        <v>314.17846800000001</v>
      </c>
      <c r="AH80" s="49">
        <v>393.78022800000002</v>
      </c>
      <c r="AI80" s="49">
        <v>387.03867000000002</v>
      </c>
      <c r="AJ80" s="49">
        <v>392.03989200000001</v>
      </c>
      <c r="AK80" s="49">
        <v>389.47516300000001</v>
      </c>
      <c r="AL80" s="49">
        <v>398.02898099999999</v>
      </c>
      <c r="AM80" s="49">
        <v>402.36059999999998</v>
      </c>
      <c r="AN80" s="49">
        <v>400.27385700000002</v>
      </c>
      <c r="AO80" s="49">
        <v>405.077628</v>
      </c>
      <c r="AP80" s="49">
        <v>399.98762099999999</v>
      </c>
      <c r="AQ80" s="49">
        <v>393.39312799999999</v>
      </c>
      <c r="AR80" s="49">
        <v>384.88124499999998</v>
      </c>
      <c r="AS80" s="49">
        <v>373.41670499999998</v>
      </c>
      <c r="AT80" s="49">
        <v>387.131103</v>
      </c>
      <c r="AU80" s="49">
        <v>398.53392000000002</v>
      </c>
      <c r="AV80" s="49">
        <v>406.96597600000001</v>
      </c>
      <c r="AW80" s="49">
        <v>410.98616199999998</v>
      </c>
      <c r="AX80" s="49">
        <v>424.60060600000003</v>
      </c>
      <c r="AY80" s="49">
        <v>420.75541199999998</v>
      </c>
      <c r="AZ80" s="49">
        <v>411.16459400000002</v>
      </c>
      <c r="BA80" s="49">
        <v>429.757924</v>
      </c>
      <c r="BB80" s="49">
        <v>444.40152399999999</v>
      </c>
      <c r="BC80" s="49">
        <v>434.81887999999998</v>
      </c>
      <c r="BD80" s="49">
        <v>441.32533799999999</v>
      </c>
      <c r="BE80" s="49">
        <v>449.70329099999998</v>
      </c>
      <c r="BF80" s="49">
        <v>440.17572200000001</v>
      </c>
      <c r="BG80" s="49">
        <v>440.30214100000001</v>
      </c>
      <c r="BH80" s="49">
        <v>457.67722800000001</v>
      </c>
      <c r="BI80" s="49">
        <v>450.30030299999999</v>
      </c>
      <c r="BJ80" s="49">
        <v>439.35659800000002</v>
      </c>
      <c r="BK80" s="49">
        <v>460.81654800000001</v>
      </c>
      <c r="BL80" s="49">
        <v>481.11318399999999</v>
      </c>
    </row>
    <row r="81" spans="1:64" x14ac:dyDescent="0.3">
      <c r="A81" s="49">
        <v>101</v>
      </c>
      <c r="B81" s="49" t="s">
        <v>4954</v>
      </c>
      <c r="C81" s="49" t="s">
        <v>346</v>
      </c>
      <c r="D81" s="49">
        <v>29.628055</v>
      </c>
      <c r="E81" s="49">
        <v>32.222574999999999</v>
      </c>
      <c r="F81" s="49">
        <v>30.228259000000001</v>
      </c>
      <c r="G81" s="49">
        <v>33.115662</v>
      </c>
      <c r="H81" s="49">
        <v>31.691331000000002</v>
      </c>
      <c r="I81" s="49">
        <v>34.536783</v>
      </c>
      <c r="J81" s="49">
        <v>31.640575999999999</v>
      </c>
      <c r="K81" s="49">
        <v>34.329484999999998</v>
      </c>
      <c r="L81" s="49">
        <v>32.830950000000001</v>
      </c>
      <c r="M81" s="49">
        <v>34.045198999999997</v>
      </c>
      <c r="N81" s="49">
        <v>34.172846999999997</v>
      </c>
      <c r="O81" s="49">
        <v>32.779774000000003</v>
      </c>
      <c r="P81" s="49">
        <v>36.672722999999998</v>
      </c>
      <c r="Q81" s="49">
        <v>35.593752000000002</v>
      </c>
      <c r="R81" s="49">
        <v>34.780552999999998</v>
      </c>
      <c r="S81" s="49">
        <v>32.988956999999999</v>
      </c>
      <c r="T81" s="49">
        <v>34.210700000000003</v>
      </c>
      <c r="U81" s="49">
        <v>36.604072000000002</v>
      </c>
      <c r="V81" s="49">
        <v>36.153060000000004</v>
      </c>
      <c r="W81" s="49">
        <v>37.192900000000002</v>
      </c>
      <c r="X81" s="49">
        <v>38.705581000000002</v>
      </c>
      <c r="Y81" s="49">
        <v>36.096482999999999</v>
      </c>
      <c r="Z81" s="49">
        <v>38.413952000000002</v>
      </c>
      <c r="AA81" s="49">
        <v>41.032620000000001</v>
      </c>
      <c r="AB81" s="49">
        <v>40.034939999999999</v>
      </c>
      <c r="AC81" s="49">
        <v>42.391952000000003</v>
      </c>
      <c r="AD81" s="49">
        <v>41.116208</v>
      </c>
      <c r="AE81" s="49">
        <v>43.763379999999998</v>
      </c>
      <c r="AF81" s="49">
        <v>44.348734</v>
      </c>
      <c r="AG81" s="49">
        <v>44.838245999999998</v>
      </c>
      <c r="AH81" s="49">
        <v>55.039741999999997</v>
      </c>
      <c r="AI81" s="49">
        <v>59.753580999999997</v>
      </c>
      <c r="AJ81" s="49">
        <v>58.109510999999998</v>
      </c>
      <c r="AK81" s="49">
        <v>58.668376000000002</v>
      </c>
      <c r="AL81" s="49">
        <v>63.034258999999999</v>
      </c>
      <c r="AM81" s="49">
        <v>63.121760000000002</v>
      </c>
      <c r="AN81" s="49">
        <v>61.149040999999997</v>
      </c>
      <c r="AO81" s="49">
        <v>63.681564999999999</v>
      </c>
      <c r="AP81" s="49">
        <v>63.885333000000003</v>
      </c>
      <c r="AQ81" s="49">
        <v>64.187898000000004</v>
      </c>
      <c r="AR81" s="49">
        <v>64.405092999999994</v>
      </c>
      <c r="AS81" s="49">
        <v>65.051671999999996</v>
      </c>
      <c r="AT81" s="49">
        <v>66.839579999999998</v>
      </c>
      <c r="AU81" s="49">
        <v>68.728787999999994</v>
      </c>
      <c r="AV81" s="49">
        <v>71.044449</v>
      </c>
      <c r="AW81" s="49">
        <v>70.657825000000003</v>
      </c>
      <c r="AX81" s="49">
        <v>72.987296000000001</v>
      </c>
      <c r="AY81" s="49">
        <v>76.422773000000007</v>
      </c>
      <c r="AZ81" s="49">
        <v>78.933621000000002</v>
      </c>
      <c r="BA81" s="49">
        <v>87.702163999999996</v>
      </c>
      <c r="BB81" s="49">
        <v>88.752346000000003</v>
      </c>
      <c r="BC81" s="49">
        <v>90.647222999999997</v>
      </c>
      <c r="BD81" s="49">
        <v>92.583539999999999</v>
      </c>
      <c r="BE81" s="49">
        <v>92.328524999999999</v>
      </c>
      <c r="BF81" s="49">
        <v>92.674957000000006</v>
      </c>
      <c r="BG81" s="49">
        <v>92.853592000000006</v>
      </c>
      <c r="BH81" s="49">
        <v>103.265764</v>
      </c>
      <c r="BI81" s="49">
        <v>106.172684</v>
      </c>
      <c r="BJ81" s="49">
        <v>99.565579</v>
      </c>
      <c r="BK81" s="49">
        <v>101.26556100000001</v>
      </c>
      <c r="BL81" s="49">
        <v>100.520939</v>
      </c>
    </row>
    <row r="82" spans="1:64" x14ac:dyDescent="0.3">
      <c r="A82" s="49">
        <v>102</v>
      </c>
      <c r="B82" s="49" t="s">
        <v>4953</v>
      </c>
      <c r="C82" s="49" t="s">
        <v>351</v>
      </c>
      <c r="D82" s="49">
        <v>12.324147999999999</v>
      </c>
      <c r="E82" s="49">
        <v>12.234158000000001</v>
      </c>
      <c r="F82" s="49">
        <v>11.863733</v>
      </c>
      <c r="G82" s="49">
        <v>12.486433</v>
      </c>
      <c r="H82" s="49">
        <v>15.221619</v>
      </c>
      <c r="I82" s="49">
        <v>17.484935</v>
      </c>
      <c r="J82" s="49">
        <v>15.879517</v>
      </c>
      <c r="K82" s="49">
        <v>17.849163999999998</v>
      </c>
      <c r="L82" s="49">
        <v>17.190805000000001</v>
      </c>
      <c r="M82" s="49">
        <v>17.523318</v>
      </c>
      <c r="N82" s="49">
        <v>16.794895</v>
      </c>
      <c r="O82" s="49">
        <v>17.927330999999999</v>
      </c>
      <c r="P82" s="49">
        <v>18.225769</v>
      </c>
      <c r="Q82" s="49">
        <v>18.756647999999998</v>
      </c>
      <c r="R82" s="49">
        <v>19.597021000000002</v>
      </c>
      <c r="S82" s="49">
        <v>18.728324000000001</v>
      </c>
      <c r="T82" s="49">
        <v>18.003029999999999</v>
      </c>
      <c r="U82" s="49">
        <v>17.775458</v>
      </c>
      <c r="V82" s="49">
        <v>17.653542000000002</v>
      </c>
      <c r="W82" s="49">
        <v>19.819226</v>
      </c>
      <c r="X82" s="49">
        <v>22.326148</v>
      </c>
      <c r="Y82" s="49">
        <v>21.308883000000002</v>
      </c>
      <c r="Z82" s="49">
        <v>21.650666000000001</v>
      </c>
      <c r="AA82" s="49">
        <v>21.449860000000001</v>
      </c>
      <c r="AB82" s="49">
        <v>22.553625</v>
      </c>
      <c r="AC82" s="49">
        <v>23.027888000000001</v>
      </c>
      <c r="AD82" s="49">
        <v>24.05397</v>
      </c>
      <c r="AE82" s="49">
        <v>23.823871</v>
      </c>
      <c r="AF82" s="49">
        <v>24.314366</v>
      </c>
      <c r="AG82" s="49">
        <v>24.633388</v>
      </c>
      <c r="AH82" s="49">
        <v>25.684225000000001</v>
      </c>
      <c r="AI82" s="49">
        <v>27.229264000000001</v>
      </c>
      <c r="AJ82" s="49">
        <v>27.169725</v>
      </c>
      <c r="AK82" s="49">
        <v>26.247745999999999</v>
      </c>
      <c r="AL82" s="49">
        <v>26.669257999999999</v>
      </c>
      <c r="AM82" s="49">
        <v>27.247564000000001</v>
      </c>
      <c r="AN82" s="49">
        <v>26.006443000000001</v>
      </c>
      <c r="AO82" s="49">
        <v>26.766743999999999</v>
      </c>
      <c r="AP82" s="49">
        <v>22.922446000000001</v>
      </c>
      <c r="AQ82" s="49">
        <v>23.102094000000001</v>
      </c>
      <c r="AR82" s="49">
        <v>24.763894000000001</v>
      </c>
      <c r="AS82" s="49">
        <v>27.005941</v>
      </c>
      <c r="AT82" s="49">
        <v>27.002942000000001</v>
      </c>
      <c r="AU82" s="49">
        <v>27.722224000000001</v>
      </c>
      <c r="AV82" s="49">
        <v>29.050094000000001</v>
      </c>
      <c r="AW82" s="49">
        <v>28.522926999999999</v>
      </c>
      <c r="AX82" s="49">
        <v>29.896435</v>
      </c>
      <c r="AY82" s="49">
        <v>23.100019</v>
      </c>
      <c r="AZ82" s="49">
        <v>27.140574999999998</v>
      </c>
      <c r="BA82" s="49">
        <v>26.725494999999999</v>
      </c>
      <c r="BB82" s="49">
        <v>26.476286999999999</v>
      </c>
      <c r="BC82" s="49">
        <v>27.665365999999999</v>
      </c>
      <c r="BD82" s="49">
        <v>27.467874999999999</v>
      </c>
      <c r="BE82" s="49">
        <v>26.319084</v>
      </c>
      <c r="BF82" s="49">
        <v>25.290458000000001</v>
      </c>
      <c r="BG82" s="49">
        <v>25.806293</v>
      </c>
      <c r="BH82" s="49">
        <v>25.441189000000001</v>
      </c>
      <c r="BI82" s="49">
        <v>25.328417000000002</v>
      </c>
      <c r="BJ82" s="49">
        <v>29.980626999999998</v>
      </c>
      <c r="BK82" s="49">
        <v>25.962198999999998</v>
      </c>
      <c r="BL82" s="49">
        <v>25.096042000000001</v>
      </c>
    </row>
    <row r="83" spans="1:64" x14ac:dyDescent="0.3">
      <c r="A83" s="49">
        <v>103</v>
      </c>
      <c r="B83" s="49" t="s">
        <v>4952</v>
      </c>
      <c r="C83" s="49" t="s">
        <v>353</v>
      </c>
      <c r="D83" s="49">
        <v>4.4951850000000002</v>
      </c>
      <c r="E83" s="49">
        <v>5.3396499999999998</v>
      </c>
      <c r="F83" s="49">
        <v>4.0833579999999996</v>
      </c>
      <c r="G83" s="49">
        <v>4.873653</v>
      </c>
      <c r="H83" s="49">
        <v>5.520486</v>
      </c>
      <c r="I83" s="49">
        <v>5.3366499999999997</v>
      </c>
      <c r="J83" s="49">
        <v>5.589658</v>
      </c>
      <c r="K83" s="49">
        <v>5.4679630000000001</v>
      </c>
      <c r="L83" s="49">
        <v>4.9509230000000004</v>
      </c>
      <c r="M83" s="49">
        <v>4.8205679999999997</v>
      </c>
      <c r="N83" s="49">
        <v>3.6225499999999999</v>
      </c>
      <c r="O83" s="49">
        <v>6.0827140000000002</v>
      </c>
      <c r="P83" s="49">
        <v>4.0751549999999996</v>
      </c>
      <c r="Q83" s="49">
        <v>4.9529569999999996</v>
      </c>
      <c r="R83" s="49">
        <v>4.6337830000000002</v>
      </c>
      <c r="S83" s="49">
        <v>4.9584919999999997</v>
      </c>
      <c r="T83" s="49">
        <v>3.6377359999999999</v>
      </c>
      <c r="U83" s="49">
        <v>5.2806340000000001</v>
      </c>
      <c r="V83" s="49">
        <v>4.4650290000000004</v>
      </c>
      <c r="W83" s="49">
        <v>5.2919919999999996</v>
      </c>
      <c r="X83" s="49">
        <v>5.2108999999999996</v>
      </c>
      <c r="Y83" s="49">
        <v>5.4451000000000001</v>
      </c>
      <c r="Z83" s="49">
        <v>5.6525999999999996</v>
      </c>
      <c r="AA83" s="49">
        <v>2.9304809999999999</v>
      </c>
      <c r="AB83" s="49">
        <v>7.2478990000000003</v>
      </c>
      <c r="AC83" s="49">
        <v>6.8513000000000002</v>
      </c>
      <c r="AD83" s="49">
        <v>5.0848050000000002</v>
      </c>
      <c r="AE83" s="49">
        <v>6.0423150000000003</v>
      </c>
      <c r="AF83" s="49">
        <v>4.5140529999999996</v>
      </c>
      <c r="AG83" s="49">
        <v>7.851572</v>
      </c>
      <c r="AH83" s="49">
        <v>7.8443969999999998</v>
      </c>
      <c r="AI83" s="49">
        <v>9.2655879999999993</v>
      </c>
      <c r="AJ83" s="49">
        <v>10.834814</v>
      </c>
      <c r="AK83" s="49">
        <v>8.7563139999999997</v>
      </c>
      <c r="AL83" s="49">
        <v>7.9685560000000004</v>
      </c>
      <c r="AM83" s="49">
        <v>8.3879350000000006</v>
      </c>
      <c r="AN83" s="49">
        <v>7.2625310000000001</v>
      </c>
      <c r="AO83" s="49">
        <v>7.4118570000000004</v>
      </c>
      <c r="AP83" s="49">
        <v>7.1338939999999997</v>
      </c>
      <c r="AQ83" s="49">
        <v>6.5858850000000002</v>
      </c>
      <c r="AR83" s="49">
        <v>7.0785049999999998</v>
      </c>
      <c r="AS83" s="49">
        <v>8.2167410000000007</v>
      </c>
      <c r="AT83" s="49">
        <v>7.4929079999999999</v>
      </c>
      <c r="AU83" s="49">
        <v>7.0777060000000001</v>
      </c>
      <c r="AV83" s="49">
        <v>9.3231129999999993</v>
      </c>
      <c r="AW83" s="49">
        <v>7.2293849999999997</v>
      </c>
      <c r="AX83" s="49">
        <v>7.3390779999999998</v>
      </c>
      <c r="AY83" s="49">
        <v>4.5007640000000002</v>
      </c>
      <c r="AZ83" s="49">
        <v>4.2008190000000001</v>
      </c>
      <c r="BA83" s="49">
        <v>6.3786110000000003</v>
      </c>
      <c r="BB83" s="49">
        <v>6.1121340000000002</v>
      </c>
      <c r="BC83" s="49">
        <v>5.5332239999999997</v>
      </c>
      <c r="BD83" s="49">
        <v>7.4201980000000001</v>
      </c>
      <c r="BE83" s="49">
        <v>8.2600180000000005</v>
      </c>
      <c r="BF83" s="49">
        <v>3.5504150000000001</v>
      </c>
      <c r="BG83" s="49">
        <v>3.6289929999999999</v>
      </c>
      <c r="BH83" s="49">
        <v>3.7829220000000001</v>
      </c>
      <c r="BI83" s="49">
        <v>3.0279199999999999</v>
      </c>
      <c r="BJ83" s="49">
        <v>6.7700279999999999</v>
      </c>
      <c r="BK83" s="49">
        <v>8.3681570000000001</v>
      </c>
      <c r="BL83" s="49">
        <v>5.3334700000000002</v>
      </c>
    </row>
    <row r="84" spans="1:64" x14ac:dyDescent="0.3">
      <c r="A84" s="49">
        <v>104</v>
      </c>
      <c r="B84" s="49" t="s">
        <v>4951</v>
      </c>
      <c r="C84" s="49" t="s">
        <v>355</v>
      </c>
      <c r="D84" s="49">
        <v>1.1222620000000001</v>
      </c>
      <c r="E84" s="49">
        <v>1.1124639999999999</v>
      </c>
      <c r="F84" s="49">
        <v>1.058416</v>
      </c>
      <c r="G84" s="49">
        <v>1.0017659999999999</v>
      </c>
      <c r="H84" s="49">
        <v>0.961364</v>
      </c>
      <c r="I84" s="49">
        <v>0.86723399999999995</v>
      </c>
      <c r="J84" s="49">
        <v>0.90379200000000004</v>
      </c>
      <c r="K84" s="49">
        <v>0.906524</v>
      </c>
      <c r="L84" s="49">
        <v>0.88861000000000001</v>
      </c>
      <c r="M84" s="49">
        <v>0.93242599999999998</v>
      </c>
      <c r="N84" s="49">
        <v>0.94776000000000005</v>
      </c>
      <c r="O84" s="49">
        <v>0.91085000000000005</v>
      </c>
      <c r="P84" s="49">
        <v>0.86881799999999998</v>
      </c>
      <c r="Q84" s="49">
        <v>0.83877000000000002</v>
      </c>
      <c r="R84" s="49">
        <v>0.83717600000000003</v>
      </c>
      <c r="S84" s="49">
        <v>0.87527999999999995</v>
      </c>
      <c r="T84" s="49">
        <v>0.93588400000000005</v>
      </c>
      <c r="U84" s="49">
        <v>0.94494</v>
      </c>
      <c r="V84" s="49">
        <v>0.96689700000000001</v>
      </c>
      <c r="W84" s="49">
        <v>1.0501750000000001</v>
      </c>
      <c r="X84" s="49">
        <v>1.012845</v>
      </c>
      <c r="Y84" s="49">
        <v>0.98629500000000003</v>
      </c>
      <c r="Z84" s="49">
        <v>0.94657899999999995</v>
      </c>
      <c r="AA84" s="49">
        <v>0.97322200000000003</v>
      </c>
      <c r="AB84" s="49">
        <v>0.95413300000000001</v>
      </c>
      <c r="AC84" s="49">
        <v>0.88218799999999997</v>
      </c>
      <c r="AD84" s="49">
        <v>0.82660599999999995</v>
      </c>
      <c r="AE84" s="49">
        <v>0.79597700000000005</v>
      </c>
      <c r="AF84" s="49">
        <v>0.77574699999999996</v>
      </c>
      <c r="AG84" s="49">
        <v>0.74387999999999999</v>
      </c>
      <c r="AH84" s="49">
        <v>0.75870700000000002</v>
      </c>
      <c r="AI84" s="49">
        <v>0.76339100000000004</v>
      </c>
      <c r="AJ84" s="49">
        <v>0.73344600000000004</v>
      </c>
      <c r="AK84" s="49">
        <v>0.72247899999999998</v>
      </c>
      <c r="AL84" s="49">
        <v>0.70852099999999996</v>
      </c>
      <c r="AM84" s="49">
        <v>0.74637100000000001</v>
      </c>
      <c r="AN84" s="49">
        <v>0.76820600000000006</v>
      </c>
      <c r="AO84" s="49">
        <v>0.75427900000000003</v>
      </c>
      <c r="AP84" s="49">
        <v>0.71867499999999995</v>
      </c>
      <c r="AQ84" s="49">
        <v>0.67940800000000001</v>
      </c>
      <c r="AR84" s="49">
        <v>0.69327000000000005</v>
      </c>
      <c r="AS84" s="49">
        <v>0.72077199999999997</v>
      </c>
      <c r="AT84" s="49">
        <v>0.72918499999999997</v>
      </c>
      <c r="AU84" s="49">
        <v>0.74105299999999996</v>
      </c>
      <c r="AV84" s="49">
        <v>0.68643799999999999</v>
      </c>
      <c r="AW84" s="49">
        <v>0.62730799999999998</v>
      </c>
      <c r="AX84" s="49">
        <v>0.63089399999999995</v>
      </c>
      <c r="AY84" s="49">
        <v>0.70895900000000001</v>
      </c>
      <c r="AZ84" s="49">
        <v>0.67059999999999997</v>
      </c>
      <c r="BA84" s="49">
        <v>0.62499499999999997</v>
      </c>
      <c r="BB84" s="49">
        <v>0.68007600000000001</v>
      </c>
      <c r="BC84" s="49">
        <v>0.729487</v>
      </c>
      <c r="BD84" s="49">
        <v>0.70680600000000005</v>
      </c>
      <c r="BE84" s="49">
        <v>0.68674999999999997</v>
      </c>
      <c r="BF84" s="49">
        <v>0.66833699999999996</v>
      </c>
      <c r="BG84" s="49">
        <v>0.65329400000000004</v>
      </c>
      <c r="BH84" s="49">
        <v>0.63831800000000005</v>
      </c>
      <c r="BI84" s="49">
        <v>0.57465999999999995</v>
      </c>
      <c r="BJ84" s="49">
        <v>0.58523000000000003</v>
      </c>
      <c r="BK84" s="49">
        <v>0.59604999999999997</v>
      </c>
      <c r="BL84" s="49">
        <v>0.60721999999999998</v>
      </c>
    </row>
    <row r="85" spans="1:64" x14ac:dyDescent="0.3">
      <c r="A85" s="49">
        <v>105</v>
      </c>
      <c r="B85" s="49" t="s">
        <v>4950</v>
      </c>
      <c r="C85" s="49" t="s">
        <v>357</v>
      </c>
      <c r="D85" s="49">
        <v>0.55899100000000002</v>
      </c>
      <c r="E85" s="49">
        <v>0.50774300000000006</v>
      </c>
      <c r="F85" s="49">
        <v>0.53620500000000004</v>
      </c>
      <c r="G85" s="49">
        <v>0.605182</v>
      </c>
      <c r="H85" s="49">
        <v>0.61466299999999996</v>
      </c>
      <c r="I85" s="49">
        <v>0.57316599999999995</v>
      </c>
      <c r="J85" s="49">
        <v>0.62117999999999995</v>
      </c>
      <c r="K85" s="49">
        <v>0.62542600000000004</v>
      </c>
      <c r="L85" s="49">
        <v>0.62397100000000005</v>
      </c>
      <c r="M85" s="49">
        <v>0.58830000000000005</v>
      </c>
      <c r="N85" s="49">
        <v>0.61245499999999997</v>
      </c>
      <c r="O85" s="49">
        <v>0.62732600000000005</v>
      </c>
      <c r="P85" s="49">
        <v>0.60775400000000002</v>
      </c>
      <c r="Q85" s="49">
        <v>0.65512000000000004</v>
      </c>
      <c r="R85" s="49">
        <v>0.62971600000000005</v>
      </c>
      <c r="S85" s="49">
        <v>0.617344</v>
      </c>
      <c r="T85" s="49">
        <v>0.63097800000000004</v>
      </c>
      <c r="U85" s="49">
        <v>0.62581200000000003</v>
      </c>
      <c r="V85" s="49">
        <v>0.61283799999999999</v>
      </c>
      <c r="W85" s="49">
        <v>0.62598399999999998</v>
      </c>
      <c r="X85" s="49">
        <v>0.61967300000000003</v>
      </c>
      <c r="Y85" s="49">
        <v>0.59553</v>
      </c>
      <c r="Z85" s="49">
        <v>0.61671299999999996</v>
      </c>
      <c r="AA85" s="49">
        <v>0.56203400000000003</v>
      </c>
      <c r="AB85" s="49">
        <v>0.58017099999999999</v>
      </c>
      <c r="AC85" s="49">
        <v>0.58746699999999996</v>
      </c>
      <c r="AD85" s="49">
        <v>0.57484100000000005</v>
      </c>
      <c r="AE85" s="49">
        <v>0.56745199999999996</v>
      </c>
      <c r="AF85" s="49">
        <v>0.57925199999999999</v>
      </c>
      <c r="AG85" s="49">
        <v>0.59033500000000005</v>
      </c>
      <c r="AH85" s="49">
        <v>0.65980399999999995</v>
      </c>
      <c r="AI85" s="49">
        <v>0.674956</v>
      </c>
      <c r="AJ85" s="49">
        <v>0.68207600000000002</v>
      </c>
      <c r="AK85" s="49">
        <v>0.67069699999999999</v>
      </c>
      <c r="AL85" s="49">
        <v>0.69249300000000003</v>
      </c>
      <c r="AM85" s="49">
        <v>0.68131699999999995</v>
      </c>
      <c r="AN85" s="49">
        <v>0.68145599999999995</v>
      </c>
      <c r="AO85" s="49">
        <v>0.70406500000000005</v>
      </c>
      <c r="AP85" s="49">
        <v>0.59926400000000002</v>
      </c>
      <c r="AQ85" s="49">
        <v>0.60292100000000004</v>
      </c>
      <c r="AR85" s="49">
        <v>0.64653300000000002</v>
      </c>
      <c r="AS85" s="49">
        <v>0.65948600000000002</v>
      </c>
      <c r="AT85" s="49">
        <v>0.67076899999999995</v>
      </c>
      <c r="AU85" s="49">
        <v>0.64499899999999999</v>
      </c>
      <c r="AV85" s="49">
        <v>0.66240100000000002</v>
      </c>
      <c r="AW85" s="49">
        <v>0.66178099999999995</v>
      </c>
      <c r="AX85" s="49">
        <v>0.65393400000000002</v>
      </c>
      <c r="AY85" s="49">
        <v>0.58776700000000004</v>
      </c>
      <c r="AZ85" s="49">
        <v>0.57584400000000002</v>
      </c>
      <c r="BA85" s="49">
        <v>0.57987299999999997</v>
      </c>
      <c r="BB85" s="49">
        <v>0.591117</v>
      </c>
      <c r="BC85" s="49">
        <v>0.64280999999999999</v>
      </c>
      <c r="BD85" s="49">
        <v>0.66658499999999998</v>
      </c>
      <c r="BE85" s="49">
        <v>0.66711200000000004</v>
      </c>
      <c r="BF85" s="49">
        <v>0.64605699999999999</v>
      </c>
      <c r="BG85" s="49">
        <v>0.59690600000000005</v>
      </c>
      <c r="BH85" s="49">
        <v>0.58528899999999995</v>
      </c>
      <c r="BI85" s="49">
        <v>0.63041800000000003</v>
      </c>
      <c r="BJ85" s="49">
        <v>0.62591200000000002</v>
      </c>
      <c r="BK85" s="49">
        <v>0.66179900000000003</v>
      </c>
      <c r="BL85" s="49">
        <v>0.63739999999999997</v>
      </c>
    </row>
    <row r="86" spans="1:64" x14ac:dyDescent="0.3">
      <c r="A86" s="49">
        <v>106</v>
      </c>
      <c r="B86" s="49" t="s">
        <v>4949</v>
      </c>
      <c r="C86" s="49" t="s">
        <v>359</v>
      </c>
      <c r="D86" s="49">
        <v>24.067332</v>
      </c>
      <c r="E86" s="49">
        <v>24.205414000000001</v>
      </c>
      <c r="F86" s="49">
        <v>23.709132</v>
      </c>
      <c r="G86" s="49">
        <v>23.375081000000002</v>
      </c>
      <c r="H86" s="49">
        <v>22.758205</v>
      </c>
      <c r="I86" s="49">
        <v>22.618907</v>
      </c>
      <c r="J86" s="49">
        <v>22.082360000000001</v>
      </c>
      <c r="K86" s="49">
        <v>22.034326</v>
      </c>
      <c r="L86" s="49">
        <v>21.715686999999999</v>
      </c>
      <c r="M86" s="49">
        <v>21.491600999999999</v>
      </c>
      <c r="N86" s="49">
        <v>20.198868000000001</v>
      </c>
      <c r="O86" s="49">
        <v>19.528167</v>
      </c>
      <c r="P86" s="49">
        <v>19.184366000000001</v>
      </c>
      <c r="Q86" s="49">
        <v>19.134366</v>
      </c>
      <c r="R86" s="49">
        <v>18.945072</v>
      </c>
      <c r="S86" s="49">
        <v>18.997202999999999</v>
      </c>
      <c r="T86" s="49">
        <v>17.546042</v>
      </c>
      <c r="U86" s="49">
        <v>18.824660999999999</v>
      </c>
      <c r="V86" s="49">
        <v>18.581837</v>
      </c>
      <c r="W86" s="49">
        <v>18.602287</v>
      </c>
      <c r="X86" s="49">
        <v>18.383683999999999</v>
      </c>
      <c r="Y86" s="49">
        <v>18.475155000000001</v>
      </c>
      <c r="Z86" s="49">
        <v>17.922564999999999</v>
      </c>
      <c r="AA86" s="49">
        <v>17.813157</v>
      </c>
      <c r="AB86" s="49">
        <v>17.270184</v>
      </c>
      <c r="AC86" s="49">
        <v>17.576322000000001</v>
      </c>
      <c r="AD86" s="49">
        <v>17.453516</v>
      </c>
      <c r="AE86" s="49">
        <v>17.052026000000001</v>
      </c>
      <c r="AF86" s="49">
        <v>17.253872999999999</v>
      </c>
      <c r="AG86" s="49">
        <v>16.765792999999999</v>
      </c>
      <c r="AH86" s="49">
        <v>18.923327</v>
      </c>
      <c r="AI86" s="49">
        <v>18.382090000000002</v>
      </c>
      <c r="AJ86" s="49">
        <v>17.438116000000001</v>
      </c>
      <c r="AK86" s="49">
        <v>17.812125000000002</v>
      </c>
      <c r="AL86" s="49">
        <v>17.900556999999999</v>
      </c>
      <c r="AM86" s="49">
        <v>17.974557000000001</v>
      </c>
      <c r="AN86" s="49">
        <v>18.168082999999999</v>
      </c>
      <c r="AO86" s="49">
        <v>18.149331</v>
      </c>
      <c r="AP86" s="49">
        <v>18.002468</v>
      </c>
      <c r="AQ86" s="49">
        <v>17.897200000000002</v>
      </c>
      <c r="AR86" s="49">
        <v>17.615383000000001</v>
      </c>
      <c r="AS86" s="49">
        <v>17.403652000000001</v>
      </c>
      <c r="AT86" s="49">
        <v>17.007024999999999</v>
      </c>
      <c r="AU86" s="49">
        <v>16.965012999999999</v>
      </c>
      <c r="AV86" s="49">
        <v>16.572472999999999</v>
      </c>
      <c r="AW86" s="49">
        <v>16.069997000000001</v>
      </c>
      <c r="AX86" s="49">
        <v>15.867729000000001</v>
      </c>
      <c r="AY86" s="49">
        <v>16.060946000000001</v>
      </c>
      <c r="AZ86" s="49">
        <v>15.099841</v>
      </c>
      <c r="BA86" s="49">
        <v>15.059666999999999</v>
      </c>
      <c r="BB86" s="49">
        <v>14.737475999999999</v>
      </c>
      <c r="BC86" s="49">
        <v>14.394012</v>
      </c>
      <c r="BD86" s="49">
        <v>14.582019000000001</v>
      </c>
      <c r="BE86" s="49">
        <v>14.533654</v>
      </c>
      <c r="BF86" s="49">
        <v>14.469454000000001</v>
      </c>
      <c r="BG86" s="49">
        <v>14.335227</v>
      </c>
      <c r="BH86" s="49">
        <v>14.202434</v>
      </c>
      <c r="BI86" s="49">
        <v>11.514313</v>
      </c>
      <c r="BJ86" s="49">
        <v>11.474460000000001</v>
      </c>
      <c r="BK86" s="49">
        <v>11.3813</v>
      </c>
      <c r="BL86" s="49">
        <v>11.29862</v>
      </c>
    </row>
    <row r="87" spans="1:64" x14ac:dyDescent="0.3">
      <c r="A87" s="49">
        <v>107</v>
      </c>
      <c r="B87" s="49" t="s">
        <v>4948</v>
      </c>
      <c r="C87" s="49" t="s">
        <v>4947</v>
      </c>
      <c r="D87" s="49">
        <v>3.375448</v>
      </c>
      <c r="E87" s="49">
        <v>3.8788119999999999</v>
      </c>
      <c r="F87" s="49">
        <v>4.00969</v>
      </c>
      <c r="G87" s="49">
        <v>4.2068709999999996</v>
      </c>
      <c r="H87" s="49">
        <v>4.2892739999999998</v>
      </c>
      <c r="I87" s="49">
        <v>4.3069519999999999</v>
      </c>
      <c r="J87" s="49">
        <v>4.5134480000000003</v>
      </c>
      <c r="K87" s="49">
        <v>4.5944950000000002</v>
      </c>
      <c r="L87" s="49">
        <v>4.743303</v>
      </c>
      <c r="M87" s="49">
        <v>4.7108860000000004</v>
      </c>
      <c r="N87" s="49">
        <v>4.7905829999999998</v>
      </c>
      <c r="O87" s="49">
        <v>4.9100950000000001</v>
      </c>
      <c r="P87" s="49">
        <v>5.1263940000000003</v>
      </c>
      <c r="Q87" s="49">
        <v>5.5380989999999999</v>
      </c>
      <c r="R87" s="49">
        <v>6.189686</v>
      </c>
      <c r="S87" s="49">
        <v>6.3805160000000001</v>
      </c>
      <c r="T87" s="49">
        <v>6.6783619999999999</v>
      </c>
      <c r="U87" s="49">
        <v>6.9950530000000004</v>
      </c>
      <c r="V87" s="49">
        <v>7.1180950000000003</v>
      </c>
      <c r="W87" s="49">
        <v>6.2275689999999999</v>
      </c>
      <c r="X87" s="49">
        <v>6.4261569999999999</v>
      </c>
      <c r="Y87" s="49">
        <v>6.7042609999999998</v>
      </c>
      <c r="Z87" s="49">
        <v>6.8389949999999997</v>
      </c>
      <c r="AA87" s="49">
        <v>7.1477110000000001</v>
      </c>
      <c r="AB87" s="49">
        <v>7.2349670000000001</v>
      </c>
      <c r="AC87" s="49">
        <v>7.6551200000000001</v>
      </c>
      <c r="AD87" s="49">
        <v>7.9411740000000002</v>
      </c>
      <c r="AE87" s="49">
        <v>8.4568250000000003</v>
      </c>
      <c r="AF87" s="49">
        <v>8.3817380000000004</v>
      </c>
      <c r="AG87" s="49">
        <v>8.5612709999999996</v>
      </c>
      <c r="AH87" s="49">
        <v>9.504607</v>
      </c>
      <c r="AI87" s="49">
        <v>9.5568639999999991</v>
      </c>
      <c r="AJ87" s="49">
        <v>9.3694790000000001</v>
      </c>
      <c r="AK87" s="49">
        <v>9.6895950000000006</v>
      </c>
      <c r="AL87" s="49">
        <v>10.330439999999999</v>
      </c>
      <c r="AM87" s="49">
        <v>10.157626</v>
      </c>
      <c r="AN87" s="49">
        <v>9.8418679999999998</v>
      </c>
      <c r="AO87" s="49">
        <v>9.7602320000000002</v>
      </c>
      <c r="AP87" s="49">
        <v>10.076052000000001</v>
      </c>
      <c r="AQ87" s="49">
        <v>10.229425000000001</v>
      </c>
      <c r="AR87" s="49">
        <v>9.5947119999999995</v>
      </c>
      <c r="AS87" s="49">
        <v>10.025512000000001</v>
      </c>
      <c r="AT87" s="49">
        <v>9.8799679999999999</v>
      </c>
      <c r="AU87" s="49">
        <v>10.695582999999999</v>
      </c>
      <c r="AV87" s="49">
        <v>11.303831000000001</v>
      </c>
      <c r="AW87" s="49">
        <v>12.03487</v>
      </c>
      <c r="AX87" s="49">
        <v>12.483479000000001</v>
      </c>
      <c r="AY87" s="49">
        <v>12.089575999999999</v>
      </c>
      <c r="AZ87" s="49">
        <v>12.363935</v>
      </c>
      <c r="BA87" s="49">
        <v>12.756497</v>
      </c>
      <c r="BB87" s="49">
        <v>13.096197</v>
      </c>
      <c r="BC87" s="49">
        <v>14.649596000000001</v>
      </c>
      <c r="BD87" s="49">
        <v>16.160377</v>
      </c>
      <c r="BE87" s="49">
        <v>17.587342</v>
      </c>
      <c r="BF87" s="49">
        <v>20.077102</v>
      </c>
      <c r="BG87" s="49">
        <v>19.347396</v>
      </c>
      <c r="BH87" s="49">
        <v>20.745691000000001</v>
      </c>
      <c r="BI87" s="49">
        <v>22.428059000000001</v>
      </c>
      <c r="BJ87" s="49">
        <v>22.663194000000001</v>
      </c>
      <c r="BK87" s="49">
        <v>24.312854999999999</v>
      </c>
      <c r="BL87" s="49">
        <v>23.836687000000001</v>
      </c>
    </row>
    <row r="88" spans="1:64" x14ac:dyDescent="0.3">
      <c r="A88" s="49">
        <v>108</v>
      </c>
      <c r="B88" s="49" t="s">
        <v>4946</v>
      </c>
      <c r="C88" s="49" t="s">
        <v>374</v>
      </c>
      <c r="AI88" s="49">
        <v>47.455018000000003</v>
      </c>
      <c r="AJ88" s="49">
        <v>46.535325999999998</v>
      </c>
      <c r="AK88" s="49">
        <v>41.981192</v>
      </c>
      <c r="AL88" s="49">
        <v>35.618104000000002</v>
      </c>
      <c r="AM88" s="49">
        <v>33.715575000000001</v>
      </c>
      <c r="AN88" s="49">
        <v>30.388442000000001</v>
      </c>
      <c r="AO88" s="49">
        <v>24.921175999999999</v>
      </c>
      <c r="AP88" s="49">
        <v>24.284361000000001</v>
      </c>
      <c r="AQ88" s="49">
        <v>27.112780999999998</v>
      </c>
      <c r="AR88" s="49">
        <v>28.825907000000001</v>
      </c>
      <c r="AS88" s="49">
        <v>30.649549</v>
      </c>
      <c r="AT88" s="49">
        <v>30.992284999999999</v>
      </c>
      <c r="AU88" s="49">
        <v>31.690908</v>
      </c>
      <c r="AV88" s="49">
        <v>31.292368</v>
      </c>
      <c r="AW88" s="49">
        <v>31.935655000000001</v>
      </c>
      <c r="AX88" s="49">
        <v>33.919955000000002</v>
      </c>
      <c r="AY88" s="49">
        <v>34.580086000000001</v>
      </c>
      <c r="AZ88" s="49">
        <v>37.894278999999997</v>
      </c>
      <c r="BA88" s="49">
        <v>36.363137999999999</v>
      </c>
      <c r="BB88" s="49">
        <v>38.619782000000001</v>
      </c>
      <c r="BC88" s="49">
        <v>36.145218</v>
      </c>
      <c r="BD88" s="49">
        <v>38.488782</v>
      </c>
      <c r="BE88" s="49">
        <v>36.84619</v>
      </c>
      <c r="BF88" s="49">
        <v>36.582715</v>
      </c>
      <c r="BG88" s="49">
        <v>38.363309999999998</v>
      </c>
      <c r="BH88" s="49">
        <v>40.423248000000001</v>
      </c>
      <c r="BI88" s="49">
        <v>41.051808000000001</v>
      </c>
      <c r="BJ88" s="49">
        <v>41.205407000000001</v>
      </c>
      <c r="BK88" s="49">
        <v>41.921045999999997</v>
      </c>
      <c r="BL88" s="49">
        <v>42.825589999999998</v>
      </c>
    </row>
    <row r="89" spans="1:64" x14ac:dyDescent="0.3">
      <c r="A89" s="49">
        <v>109</v>
      </c>
      <c r="B89" s="49" t="s">
        <v>4945</v>
      </c>
      <c r="C89" s="49" t="s">
        <v>366</v>
      </c>
      <c r="D89" s="49">
        <v>0.372307</v>
      </c>
      <c r="E89" s="49">
        <v>0.37550899999999998</v>
      </c>
      <c r="F89" s="49">
        <v>0.34386499999999998</v>
      </c>
      <c r="G89" s="49">
        <v>0.34470699999999999</v>
      </c>
      <c r="H89" s="49">
        <v>0.337785</v>
      </c>
      <c r="I89" s="49">
        <v>0.33465600000000001</v>
      </c>
      <c r="J89" s="49">
        <v>0.33417999999999998</v>
      </c>
      <c r="K89" s="49">
        <v>0.32938800000000001</v>
      </c>
      <c r="L89" s="49">
        <v>0.30524200000000001</v>
      </c>
      <c r="M89" s="49">
        <v>0.31685600000000003</v>
      </c>
      <c r="N89" s="49">
        <v>0.33921499999999999</v>
      </c>
      <c r="O89" s="49">
        <v>0.34818100000000002</v>
      </c>
      <c r="P89" s="49">
        <v>0.32007799999999997</v>
      </c>
      <c r="Q89" s="49">
        <v>0.33959400000000001</v>
      </c>
      <c r="R89" s="49">
        <v>0.344804</v>
      </c>
      <c r="S89" s="49">
        <v>0.34777599999999997</v>
      </c>
      <c r="T89" s="49">
        <v>0.31850000000000001</v>
      </c>
      <c r="U89" s="49">
        <v>0.33345399999999997</v>
      </c>
      <c r="V89" s="49">
        <v>0.31440899999999999</v>
      </c>
      <c r="W89" s="49">
        <v>0.31930399999999998</v>
      </c>
      <c r="X89" s="49">
        <v>0.30129600000000001</v>
      </c>
      <c r="Y89" s="49">
        <v>0.29137600000000002</v>
      </c>
      <c r="Z89" s="49">
        <v>0.29566599999999998</v>
      </c>
      <c r="AA89" s="49">
        <v>0.30451299999999998</v>
      </c>
      <c r="AB89" s="49">
        <v>0.33981</v>
      </c>
      <c r="AC89" s="49">
        <v>0.31656200000000001</v>
      </c>
      <c r="AD89" s="49">
        <v>0.31835999999999998</v>
      </c>
      <c r="AE89" s="49">
        <v>0.30199300000000001</v>
      </c>
      <c r="AF89" s="49">
        <v>0.28639399999999998</v>
      </c>
      <c r="AG89" s="49">
        <v>0.29528700000000002</v>
      </c>
      <c r="AH89" s="49">
        <v>0.36893599999999999</v>
      </c>
      <c r="AI89" s="49">
        <v>0.39223400000000003</v>
      </c>
      <c r="AJ89" s="49">
        <v>0.42357499999999998</v>
      </c>
      <c r="AK89" s="49">
        <v>0.45844400000000002</v>
      </c>
      <c r="AL89" s="49">
        <v>0.45550299999999999</v>
      </c>
      <c r="AM89" s="49">
        <v>0.48141</v>
      </c>
      <c r="AN89" s="49">
        <v>0.449799</v>
      </c>
      <c r="AO89" s="49">
        <v>0.42143399999999998</v>
      </c>
      <c r="AP89" s="49">
        <v>0.424651</v>
      </c>
      <c r="AQ89" s="49">
        <v>0.378498</v>
      </c>
      <c r="AR89" s="49">
        <v>0.36288900000000002</v>
      </c>
      <c r="AS89" s="49">
        <v>0.39730199999999999</v>
      </c>
      <c r="AT89" s="49">
        <v>0.39855299999999999</v>
      </c>
      <c r="AU89" s="49">
        <v>0.386156</v>
      </c>
      <c r="AV89" s="49">
        <v>0.36785099999999998</v>
      </c>
      <c r="AW89" s="49">
        <v>0.39600099999999999</v>
      </c>
      <c r="AX89" s="49">
        <v>0.39280100000000001</v>
      </c>
      <c r="AY89" s="49">
        <v>0.38481900000000002</v>
      </c>
      <c r="AZ89" s="49">
        <v>0.36031200000000002</v>
      </c>
      <c r="BA89" s="49">
        <v>0.26133600000000001</v>
      </c>
      <c r="BB89" s="49">
        <v>0.263345</v>
      </c>
      <c r="BC89" s="49">
        <v>0.26785500000000001</v>
      </c>
      <c r="BD89" s="49">
        <v>0.26485999999999998</v>
      </c>
      <c r="BE89" s="49">
        <v>0.25926399999999999</v>
      </c>
      <c r="BF89" s="49">
        <v>0.25584299999999999</v>
      </c>
      <c r="BG89" s="49">
        <v>0.25398900000000002</v>
      </c>
      <c r="BH89" s="49">
        <v>0.245394</v>
      </c>
      <c r="BI89" s="49">
        <v>0.24868699999999999</v>
      </c>
      <c r="BJ89" s="49">
        <v>0.24464</v>
      </c>
      <c r="BK89" s="49">
        <v>0.23608999999999999</v>
      </c>
      <c r="BL89" s="49">
        <v>0.24368400000000001</v>
      </c>
    </row>
    <row r="90" spans="1:64" x14ac:dyDescent="0.3">
      <c r="A90" s="49">
        <v>110</v>
      </c>
      <c r="B90" s="49" t="s">
        <v>4944</v>
      </c>
      <c r="C90" s="49" t="s">
        <v>368</v>
      </c>
      <c r="D90" s="49">
        <v>14.092320000000001</v>
      </c>
      <c r="E90" s="49">
        <v>13.94026</v>
      </c>
      <c r="F90" s="49">
        <v>13.592040000000001</v>
      </c>
      <c r="G90" s="49">
        <v>13.231820000000001</v>
      </c>
      <c r="H90" s="49">
        <v>12.911443999999999</v>
      </c>
      <c r="I90" s="49">
        <v>12.688639999999999</v>
      </c>
      <c r="J90" s="49">
        <v>12.30118</v>
      </c>
      <c r="K90" s="49">
        <v>12.028805</v>
      </c>
      <c r="L90" s="49">
        <v>11.693989999999999</v>
      </c>
      <c r="M90" s="49">
        <v>10.650829999999999</v>
      </c>
      <c r="N90" s="49">
        <v>9.8798940000000002</v>
      </c>
      <c r="O90" s="49">
        <v>9.4939999999999998</v>
      </c>
      <c r="P90" s="49">
        <v>9.1614599999999999</v>
      </c>
      <c r="Q90" s="49">
        <v>9.2357499999999995</v>
      </c>
      <c r="R90" s="49">
        <v>9.2471899999999998</v>
      </c>
      <c r="S90" s="49">
        <v>9.192914</v>
      </c>
      <c r="T90" s="49">
        <v>9.1123729999999998</v>
      </c>
      <c r="U90" s="49">
        <v>8.8160439999999998</v>
      </c>
      <c r="V90" s="49">
        <v>8.7891770000000005</v>
      </c>
      <c r="W90" s="49">
        <v>8.6623059999999992</v>
      </c>
      <c r="X90" s="49">
        <v>8.5437030000000007</v>
      </c>
      <c r="Y90" s="49">
        <v>8.5049939999999999</v>
      </c>
      <c r="Z90" s="49">
        <v>8.5218550000000004</v>
      </c>
      <c r="AA90" s="49">
        <v>8.5738500000000002</v>
      </c>
      <c r="AB90" s="49">
        <v>8.5657669999999992</v>
      </c>
      <c r="AC90" s="49">
        <v>8.4633120000000002</v>
      </c>
      <c r="AD90" s="49">
        <v>8.2251349999999999</v>
      </c>
      <c r="AE90" s="49">
        <v>8.1341909999999995</v>
      </c>
      <c r="AF90" s="49">
        <v>8.0163049999999991</v>
      </c>
      <c r="AG90" s="49">
        <v>7.8503889999999998</v>
      </c>
      <c r="AH90" s="49">
        <v>8.0338320000000003</v>
      </c>
      <c r="AI90" s="49">
        <v>7.9041759999999996</v>
      </c>
      <c r="AJ90" s="49">
        <v>7.7595299999999998</v>
      </c>
      <c r="AK90" s="49">
        <v>7.6758600000000001</v>
      </c>
      <c r="AL90" s="49">
        <v>7.4582540000000002</v>
      </c>
      <c r="AM90" s="49">
        <v>7.194191</v>
      </c>
      <c r="AN90" s="49">
        <v>7.0129099999999998</v>
      </c>
      <c r="AO90" s="49">
        <v>6.7468630000000003</v>
      </c>
      <c r="AP90" s="49">
        <v>6.7090370000000004</v>
      </c>
      <c r="AQ90" s="49">
        <v>6.693568</v>
      </c>
      <c r="AR90" s="49">
        <v>6.6309909999999999</v>
      </c>
      <c r="AS90" s="49">
        <v>6.6027769999999997</v>
      </c>
      <c r="AT90" s="49">
        <v>6.5652229999999996</v>
      </c>
      <c r="AU90" s="49">
        <v>6.5431970000000002</v>
      </c>
      <c r="AV90" s="49">
        <v>6.5251159999999997</v>
      </c>
      <c r="AW90" s="49">
        <v>6.4558299999999997</v>
      </c>
      <c r="AX90" s="49">
        <v>6.3705749999999997</v>
      </c>
      <c r="AY90" s="49">
        <v>6.3003900000000002</v>
      </c>
      <c r="AZ90" s="49">
        <v>6.2754500000000002</v>
      </c>
      <c r="BA90" s="49">
        <v>6.2746430000000002</v>
      </c>
      <c r="BB90" s="49">
        <v>6.187735</v>
      </c>
      <c r="BC90" s="49">
        <v>6.1733479999999998</v>
      </c>
      <c r="BD90" s="49">
        <v>6.1523779999999997</v>
      </c>
      <c r="BE90" s="49">
        <v>6.1259490000000003</v>
      </c>
      <c r="BF90" s="49">
        <v>6.0938879999999997</v>
      </c>
      <c r="BG90" s="49">
        <v>6.0698639999999999</v>
      </c>
      <c r="BH90" s="49">
        <v>6.0301689999999999</v>
      </c>
      <c r="BI90" s="49">
        <v>5.8286170000000004</v>
      </c>
      <c r="BJ90" s="49">
        <v>5.8036349999999999</v>
      </c>
      <c r="BK90" s="49">
        <v>5.7682130000000003</v>
      </c>
      <c r="BL90" s="49">
        <v>5.6542339999999998</v>
      </c>
    </row>
    <row r="91" spans="1:64" x14ac:dyDescent="0.3">
      <c r="A91" s="49">
        <v>112</v>
      </c>
      <c r="B91" s="49" t="s">
        <v>4943</v>
      </c>
      <c r="C91" s="49" t="s">
        <v>372</v>
      </c>
      <c r="D91" s="49">
        <v>1.108174</v>
      </c>
      <c r="E91" s="49">
        <v>1.123602</v>
      </c>
      <c r="F91" s="49">
        <v>0.916408</v>
      </c>
      <c r="G91" s="49">
        <v>1.191721</v>
      </c>
      <c r="H91" s="49">
        <v>1.178042</v>
      </c>
      <c r="I91" s="49">
        <v>0.90449299999999999</v>
      </c>
      <c r="J91" s="49">
        <v>0.87995900000000005</v>
      </c>
      <c r="K91" s="49">
        <v>0.76861500000000005</v>
      </c>
      <c r="L91" s="49">
        <v>0.62841599999999997</v>
      </c>
      <c r="M91" s="49">
        <v>0.68381099999999995</v>
      </c>
      <c r="N91" s="49">
        <v>0.75488599999999995</v>
      </c>
      <c r="O91" s="49">
        <v>0.76401200000000002</v>
      </c>
      <c r="P91" s="49">
        <v>0.46872200000000003</v>
      </c>
      <c r="Q91" s="49">
        <v>0.84371099999999999</v>
      </c>
      <c r="R91" s="49">
        <v>0.50009700000000001</v>
      </c>
      <c r="S91" s="49">
        <v>0.54090899999999997</v>
      </c>
      <c r="T91" s="49">
        <v>0.49814900000000001</v>
      </c>
      <c r="U91" s="49">
        <v>0.54424399999999995</v>
      </c>
      <c r="V91" s="49">
        <v>0.43430200000000002</v>
      </c>
      <c r="W91" s="49">
        <v>0.52022500000000005</v>
      </c>
      <c r="X91" s="49">
        <v>0.45504800000000001</v>
      </c>
      <c r="Y91" s="49">
        <v>0.46660600000000002</v>
      </c>
      <c r="Z91" s="49">
        <v>0.4753</v>
      </c>
      <c r="AA91" s="49">
        <v>0.36931000000000003</v>
      </c>
      <c r="AB91" s="49">
        <v>0.45115100000000002</v>
      </c>
      <c r="AC91" s="49">
        <v>0.28297299999999997</v>
      </c>
      <c r="AD91" s="49">
        <v>0.41040500000000002</v>
      </c>
      <c r="AE91" s="49">
        <v>0.41375299999999998</v>
      </c>
      <c r="AF91" s="49">
        <v>0.321127</v>
      </c>
      <c r="AG91" s="49">
        <v>0.39041199999999998</v>
      </c>
      <c r="AH91" s="49">
        <v>0.406497</v>
      </c>
      <c r="AI91" s="49">
        <v>0.43032599999999999</v>
      </c>
      <c r="AJ91" s="49">
        <v>0.32971099999999998</v>
      </c>
      <c r="AK91" s="49">
        <v>0.34108699999999997</v>
      </c>
      <c r="AL91" s="49">
        <v>0.396366</v>
      </c>
      <c r="AM91" s="49">
        <v>0.33193</v>
      </c>
      <c r="AN91" s="49">
        <v>0.411719</v>
      </c>
      <c r="AO91" s="49">
        <v>0.38788699999999998</v>
      </c>
      <c r="AP91" s="49">
        <v>0.27935900000000002</v>
      </c>
      <c r="AQ91" s="49">
        <v>0.32477800000000001</v>
      </c>
      <c r="AR91" s="49">
        <v>0.32223499999999999</v>
      </c>
      <c r="AS91" s="49">
        <v>0.44203199999999998</v>
      </c>
      <c r="AT91" s="49">
        <v>0.36577199999999999</v>
      </c>
      <c r="AU91" s="49">
        <v>0.34306900000000001</v>
      </c>
      <c r="AV91" s="49">
        <v>0.40239200000000003</v>
      </c>
      <c r="AW91" s="49">
        <v>0.40025500000000003</v>
      </c>
      <c r="AX91" s="49">
        <v>0.342254</v>
      </c>
      <c r="AY91" s="49">
        <v>0.34365499999999999</v>
      </c>
      <c r="AZ91" s="49">
        <v>0.35737000000000002</v>
      </c>
      <c r="BA91" s="49">
        <v>0.37635000000000002</v>
      </c>
      <c r="BB91" s="49">
        <v>0.384077</v>
      </c>
      <c r="BC91" s="49">
        <v>0.38802900000000001</v>
      </c>
      <c r="BD91" s="49">
        <v>0.41442499999999999</v>
      </c>
      <c r="BE91" s="49">
        <v>0.42168499999999998</v>
      </c>
      <c r="BF91" s="49">
        <v>0.41636200000000001</v>
      </c>
      <c r="BG91" s="49">
        <v>0.41001500000000002</v>
      </c>
      <c r="BH91" s="49">
        <v>0.34306999999999999</v>
      </c>
      <c r="BI91" s="49">
        <v>0.35582000000000003</v>
      </c>
      <c r="BJ91" s="49">
        <v>0.37739800000000001</v>
      </c>
      <c r="BK91" s="49">
        <v>0.36579299999999998</v>
      </c>
      <c r="BL91" s="49">
        <v>0.33327400000000001</v>
      </c>
    </row>
    <row r="92" spans="1:64" x14ac:dyDescent="0.3">
      <c r="A92" s="49">
        <v>113</v>
      </c>
      <c r="B92" s="49" t="s">
        <v>4942</v>
      </c>
      <c r="C92" s="49" t="s">
        <v>383</v>
      </c>
      <c r="AI92" s="49">
        <v>1.496005</v>
      </c>
      <c r="AJ92" s="49">
        <v>1.593459</v>
      </c>
      <c r="AK92" s="49">
        <v>1.627</v>
      </c>
      <c r="AL92" s="49">
        <v>1.7062900000000001</v>
      </c>
      <c r="AM92" s="49">
        <v>1.8706579999999999</v>
      </c>
      <c r="AN92" s="49">
        <v>1.968291</v>
      </c>
      <c r="AO92" s="49">
        <v>1.9720759999999999</v>
      </c>
      <c r="AP92" s="49">
        <v>2.051717</v>
      </c>
      <c r="AQ92" s="49">
        <v>1.9121379999999999</v>
      </c>
      <c r="AR92" s="49">
        <v>2.029309</v>
      </c>
      <c r="AS92" s="49">
        <v>2.0058609999999999</v>
      </c>
      <c r="AT92" s="49">
        <v>2.0114860000000001</v>
      </c>
      <c r="AU92" s="49">
        <v>2.1015769999999998</v>
      </c>
      <c r="AV92" s="49">
        <v>2.0745100000000001</v>
      </c>
      <c r="AW92" s="49">
        <v>2.067377</v>
      </c>
      <c r="AX92" s="49">
        <v>1.984243</v>
      </c>
      <c r="AY92" s="49">
        <v>2.029493</v>
      </c>
      <c r="AZ92" s="49">
        <v>1.987312</v>
      </c>
      <c r="BA92" s="49">
        <v>1.8878760000000001</v>
      </c>
      <c r="BB92" s="49">
        <v>1.9751810000000001</v>
      </c>
      <c r="BC92" s="49">
        <v>1.950928</v>
      </c>
      <c r="BD92" s="49">
        <v>1.9838560000000001</v>
      </c>
      <c r="BE92" s="49">
        <v>1.9450350000000001</v>
      </c>
      <c r="BF92" s="49">
        <v>2.0068600000000001</v>
      </c>
      <c r="BG92" s="49">
        <v>1.976092</v>
      </c>
      <c r="BH92" s="49">
        <v>1.9718439999999999</v>
      </c>
      <c r="BI92" s="49">
        <v>1.9940610000000001</v>
      </c>
      <c r="BJ92" s="49">
        <v>1.9814419999999999</v>
      </c>
      <c r="BK92" s="49">
        <v>1.963911</v>
      </c>
      <c r="BL92" s="49">
        <v>1.9545570000000001</v>
      </c>
    </row>
    <row r="93" spans="1:64" x14ac:dyDescent="0.3">
      <c r="A93" s="49">
        <v>114</v>
      </c>
      <c r="B93" s="49" t="s">
        <v>4941</v>
      </c>
      <c r="C93" s="49" t="s">
        <v>377</v>
      </c>
      <c r="D93" s="49">
        <v>4.2157450000000001</v>
      </c>
      <c r="E93" s="49">
        <v>4.6023259999999997</v>
      </c>
      <c r="F93" s="49">
        <v>4.8324480000000003</v>
      </c>
      <c r="G93" s="49">
        <v>4.9927020000000004</v>
      </c>
      <c r="H93" s="49">
        <v>5.2915029999999996</v>
      </c>
      <c r="I93" s="49">
        <v>5.0245480000000002</v>
      </c>
      <c r="J93" s="49">
        <v>5.4637739999999999</v>
      </c>
      <c r="K93" s="49">
        <v>5.8621629999999998</v>
      </c>
      <c r="L93" s="49">
        <v>5.8054829999999997</v>
      </c>
      <c r="M93" s="49">
        <v>5.6993020000000003</v>
      </c>
      <c r="N93" s="49">
        <v>5.6226760000000002</v>
      </c>
      <c r="O93" s="49">
        <v>5.9802679999999997</v>
      </c>
      <c r="P93" s="49">
        <v>6.4957310000000001</v>
      </c>
      <c r="Q93" s="49">
        <v>6.580991</v>
      </c>
      <c r="R93" s="49">
        <v>6.713597</v>
      </c>
      <c r="S93" s="49">
        <v>7.0907200000000001</v>
      </c>
      <c r="T93" s="49">
        <v>7.2504790000000003</v>
      </c>
      <c r="U93" s="49">
        <v>7.1991579999999997</v>
      </c>
      <c r="V93" s="49">
        <v>6.851013</v>
      </c>
      <c r="W93" s="49">
        <v>6.3098989999999997</v>
      </c>
      <c r="X93" s="49">
        <v>5.8931250000000004</v>
      </c>
      <c r="Y93" s="49">
        <v>6.1382830000000004</v>
      </c>
      <c r="Z93" s="49">
        <v>6.3323169999999998</v>
      </c>
      <c r="AA93" s="49">
        <v>5.4983839999999997</v>
      </c>
      <c r="AB93" s="49">
        <v>6.9652329999999996</v>
      </c>
      <c r="AC93" s="49">
        <v>7.0417820000000004</v>
      </c>
      <c r="AD93" s="49">
        <v>7.1612730000000004</v>
      </c>
      <c r="AE93" s="49">
        <v>7.7565540000000004</v>
      </c>
      <c r="AF93" s="49">
        <v>8.3259760000000007</v>
      </c>
      <c r="AG93" s="49">
        <v>7.8880780000000001</v>
      </c>
      <c r="AH93" s="49">
        <v>8.6269069999999992</v>
      </c>
      <c r="AI93" s="49">
        <v>9.1214130000000004</v>
      </c>
      <c r="AJ93" s="49">
        <v>8.5769549999999999</v>
      </c>
      <c r="AK93" s="49">
        <v>9.0772250000000003</v>
      </c>
      <c r="AL93" s="49">
        <v>9.0095700000000001</v>
      </c>
      <c r="AM93" s="49">
        <v>7.9017330000000001</v>
      </c>
      <c r="AN93" s="49">
        <v>8.2095970000000005</v>
      </c>
      <c r="AO93" s="49">
        <v>8.0116820000000004</v>
      </c>
      <c r="AP93" s="49">
        <v>8.6546409999999998</v>
      </c>
      <c r="AQ93" s="49">
        <v>8.3351749999999996</v>
      </c>
      <c r="AR93" s="49">
        <v>8.9618490000000008</v>
      </c>
      <c r="AS93" s="49">
        <v>9.0086469999999998</v>
      </c>
      <c r="AT93" s="49">
        <v>9.1745719999999995</v>
      </c>
      <c r="AU93" s="49">
        <v>8.3353649999999995</v>
      </c>
      <c r="AV93" s="49">
        <v>9.4193339999999992</v>
      </c>
      <c r="AW93" s="49">
        <v>10.216284</v>
      </c>
      <c r="AX93" s="49">
        <v>9.0960529999999995</v>
      </c>
      <c r="AY93" s="49">
        <v>8.6947910000000004</v>
      </c>
      <c r="AZ93" s="49">
        <v>9.8063800000000008</v>
      </c>
      <c r="BA93" s="49">
        <v>9.8983319999999999</v>
      </c>
      <c r="BB93" s="49">
        <v>10.821376000000001</v>
      </c>
      <c r="BC93" s="49">
        <v>11.448572</v>
      </c>
      <c r="BD93" s="49">
        <v>11.595484000000001</v>
      </c>
      <c r="BE93" s="49">
        <v>11.483109000000001</v>
      </c>
      <c r="BF93" s="49">
        <v>11.352841</v>
      </c>
      <c r="BG93" s="49">
        <v>11.713792</v>
      </c>
      <c r="BH93" s="49">
        <v>11.121252999999999</v>
      </c>
      <c r="BI93" s="49">
        <v>12.019208000000001</v>
      </c>
      <c r="BJ93" s="49">
        <v>12.278294000000001</v>
      </c>
      <c r="BK93" s="49">
        <v>11.73512</v>
      </c>
      <c r="BL93" s="49">
        <v>11.857991999999999</v>
      </c>
    </row>
    <row r="94" spans="1:64" x14ac:dyDescent="0.3">
      <c r="A94" s="49">
        <v>115</v>
      </c>
      <c r="B94" s="49" t="s">
        <v>4940</v>
      </c>
      <c r="C94" s="49" t="s">
        <v>188</v>
      </c>
      <c r="D94" s="49">
        <v>4.9048870000000004</v>
      </c>
      <c r="E94" s="49">
        <v>5.135033</v>
      </c>
      <c r="F94" s="49">
        <v>5.1013650000000004</v>
      </c>
      <c r="G94" s="49">
        <v>5.4349639999999999</v>
      </c>
      <c r="H94" s="49">
        <v>5.3903619999999997</v>
      </c>
      <c r="I94" s="49">
        <v>4.9776100000000003</v>
      </c>
      <c r="J94" s="49">
        <v>4.7248400000000004</v>
      </c>
      <c r="K94" s="49">
        <v>5.3682980000000002</v>
      </c>
      <c r="L94" s="49">
        <v>4.581169</v>
      </c>
      <c r="M94" s="49">
        <v>5.3551390000000003</v>
      </c>
      <c r="N94" s="49">
        <v>4.2937099999999999</v>
      </c>
      <c r="O94" s="49">
        <v>3.2420949999999999</v>
      </c>
      <c r="P94" s="49">
        <v>2.0700539999999998</v>
      </c>
      <c r="Q94" s="49">
        <v>1.55806</v>
      </c>
      <c r="R94" s="49">
        <v>2.2313999999999998</v>
      </c>
      <c r="S94" s="49">
        <v>2.4490249999999998</v>
      </c>
      <c r="T94" s="49">
        <v>2.4673799999999999</v>
      </c>
      <c r="U94" s="49">
        <v>2.430015</v>
      </c>
      <c r="V94" s="49">
        <v>1.9740800000000001</v>
      </c>
      <c r="W94" s="49">
        <v>3.3442599999999998</v>
      </c>
      <c r="X94" s="49">
        <v>3.1442000000000001</v>
      </c>
      <c r="Y94" s="49">
        <v>3.6847150000000002</v>
      </c>
      <c r="Z94" s="49">
        <v>3.6751399999999999</v>
      </c>
      <c r="AA94" s="49">
        <v>2.3710689999999999</v>
      </c>
      <c r="AB94" s="49">
        <v>3.4672710000000002</v>
      </c>
      <c r="AC94" s="49">
        <v>3.58982</v>
      </c>
      <c r="AD94" s="49">
        <v>3.2774399999999999</v>
      </c>
      <c r="AE94" s="49">
        <v>4.2748200000000001</v>
      </c>
      <c r="AF94" s="49">
        <v>4.2645249999999999</v>
      </c>
      <c r="AG94" s="49">
        <v>4.2678260000000003</v>
      </c>
      <c r="AH94" s="49">
        <v>4.1333039999999999</v>
      </c>
      <c r="AI94" s="49">
        <v>4.0815390000000003</v>
      </c>
      <c r="AJ94" s="49">
        <v>4.3183100000000003</v>
      </c>
      <c r="AK94" s="49">
        <v>3.6808200000000002</v>
      </c>
      <c r="AL94" s="49">
        <v>4.536492</v>
      </c>
      <c r="AM94" s="49">
        <v>4.4959540000000002</v>
      </c>
      <c r="AN94" s="49">
        <v>4.6249419999999999</v>
      </c>
      <c r="AO94" s="49">
        <v>4.6442579999999998</v>
      </c>
      <c r="AP94" s="49">
        <v>4.9959470000000001</v>
      </c>
      <c r="AQ94" s="49">
        <v>4.6198499999999996</v>
      </c>
      <c r="AR94" s="49">
        <v>4.7955990000000002</v>
      </c>
      <c r="AS94" s="49">
        <v>4.873424</v>
      </c>
      <c r="AT94" s="49">
        <v>5.5455439999999996</v>
      </c>
      <c r="AU94" s="49">
        <v>5.4314900000000002</v>
      </c>
      <c r="AV94" s="49">
        <v>6.21427</v>
      </c>
      <c r="AW94" s="49">
        <v>6.4402759999999999</v>
      </c>
      <c r="AX94" s="49">
        <v>6.6566729999999996</v>
      </c>
      <c r="AY94" s="49">
        <v>6.88035</v>
      </c>
      <c r="AZ94" s="49">
        <v>7.1850690000000004</v>
      </c>
      <c r="BA94" s="49">
        <v>7.5551329999999997</v>
      </c>
      <c r="BB94" s="49">
        <v>8.0786940000000005</v>
      </c>
      <c r="BC94" s="49">
        <v>8.1978930000000005</v>
      </c>
      <c r="BD94" s="49">
        <v>8.1666849999999993</v>
      </c>
      <c r="BE94" s="49">
        <v>7.8945350000000003</v>
      </c>
      <c r="BF94" s="49">
        <v>7.8724400000000001</v>
      </c>
      <c r="BG94" s="49">
        <v>8.0160420000000006</v>
      </c>
      <c r="BH94" s="49">
        <v>8.5768540000000009</v>
      </c>
      <c r="BI94" s="49">
        <v>9.0162279999999999</v>
      </c>
      <c r="BJ94" s="49">
        <v>9.0972000000000008</v>
      </c>
      <c r="BK94" s="49">
        <v>9.3158060000000003</v>
      </c>
      <c r="BL94" s="49">
        <v>9.2987079999999995</v>
      </c>
    </row>
    <row r="95" spans="1:64" x14ac:dyDescent="0.3">
      <c r="A95" s="49">
        <v>116</v>
      </c>
      <c r="B95" s="49" t="s">
        <v>4939</v>
      </c>
      <c r="C95" s="49" t="s">
        <v>483</v>
      </c>
      <c r="D95" s="49">
        <v>4.1684000000000001</v>
      </c>
      <c r="E95" s="49">
        <v>4.2503000000000002</v>
      </c>
      <c r="F95" s="49">
        <v>4.4412000000000003</v>
      </c>
      <c r="G95" s="49">
        <v>4.4863999999999997</v>
      </c>
      <c r="H95" s="49">
        <v>4.4306000000000001</v>
      </c>
      <c r="I95" s="49">
        <v>4.3532000000000002</v>
      </c>
      <c r="J95" s="49">
        <v>4.3712999999999997</v>
      </c>
      <c r="K95" s="49">
        <v>4.3640600000000003</v>
      </c>
      <c r="L95" s="49">
        <v>4.4265999999999996</v>
      </c>
      <c r="M95" s="49">
        <v>4.4477000000000002</v>
      </c>
      <c r="N95" s="49">
        <v>4.4938000000000002</v>
      </c>
      <c r="O95" s="49">
        <v>4.5262000000000002</v>
      </c>
      <c r="P95" s="49">
        <v>4.6238000000000001</v>
      </c>
      <c r="Q95" s="49">
        <v>4.7286999999999999</v>
      </c>
      <c r="R95" s="49">
        <v>4.8385999999999996</v>
      </c>
      <c r="S95" s="49">
        <v>4.8592000000000004</v>
      </c>
      <c r="T95" s="49">
        <v>4.9181999999999997</v>
      </c>
      <c r="U95" s="49">
        <v>4.9454000000000002</v>
      </c>
      <c r="V95" s="49">
        <v>4.9630000000000001</v>
      </c>
      <c r="W95" s="49">
        <v>4.9844999999999997</v>
      </c>
      <c r="X95" s="49">
        <v>5.0709</v>
      </c>
      <c r="Y95" s="49">
        <v>5.0284000000000004</v>
      </c>
      <c r="Z95" s="49">
        <v>5.0731999999999999</v>
      </c>
      <c r="AA95" s="49">
        <v>5.0932000000000004</v>
      </c>
      <c r="AB95" s="49">
        <v>5.149</v>
      </c>
      <c r="AC95" s="49">
        <v>5.1589</v>
      </c>
      <c r="AD95" s="49">
        <v>5.3434999999999997</v>
      </c>
      <c r="AE95" s="49">
        <v>5.3174000000000001</v>
      </c>
      <c r="AF95" s="49">
        <v>5.3727999999999998</v>
      </c>
      <c r="AG95" s="49">
        <v>5.4157500000000001</v>
      </c>
      <c r="AH95" s="49">
        <v>6.2041899999999996</v>
      </c>
      <c r="AI95" s="49">
        <v>6.0290010000000001</v>
      </c>
      <c r="AJ95" s="49">
        <v>5.7600129999999998</v>
      </c>
      <c r="AK95" s="49">
        <v>5.9764939999999998</v>
      </c>
      <c r="AL95" s="49">
        <v>5.803585</v>
      </c>
      <c r="AM95" s="49">
        <v>5.5998279999999996</v>
      </c>
      <c r="AN95" s="49">
        <v>5.7382600000000004</v>
      </c>
      <c r="AO95" s="49">
        <v>5.8197000000000001</v>
      </c>
      <c r="AP95" s="49">
        <v>5.8126899999999999</v>
      </c>
      <c r="AQ95" s="49">
        <v>5.6778940000000002</v>
      </c>
      <c r="AR95" s="49">
        <v>5.7593009999999998</v>
      </c>
      <c r="AS95" s="49">
        <v>5.8880520000000001</v>
      </c>
      <c r="AT95" s="49">
        <v>5.9096279999999997</v>
      </c>
      <c r="AU95" s="49">
        <v>5.833386</v>
      </c>
      <c r="AV95" s="49">
        <v>5.9581850000000003</v>
      </c>
      <c r="AW95" s="49">
        <v>5.8873569999999997</v>
      </c>
      <c r="AX95" s="49">
        <v>5.8634399999999998</v>
      </c>
      <c r="AY95" s="49">
        <v>5.9107010000000004</v>
      </c>
      <c r="AZ95" s="49">
        <v>5.8709499999999997</v>
      </c>
      <c r="BA95" s="49">
        <v>5.8424500000000004</v>
      </c>
      <c r="BB95" s="49">
        <v>5.806</v>
      </c>
      <c r="BC95" s="49">
        <v>5.7674000000000003</v>
      </c>
      <c r="BD95" s="49">
        <v>5.7854000000000001</v>
      </c>
      <c r="BE95" s="49">
        <v>5.7611400000000001</v>
      </c>
      <c r="BF95" s="49">
        <v>5.9058200000000003</v>
      </c>
      <c r="BG95" s="49">
        <v>5.361523</v>
      </c>
      <c r="BH95" s="49">
        <v>5.2308089999999998</v>
      </c>
      <c r="BI95" s="49">
        <v>5.1685100000000004</v>
      </c>
      <c r="BJ95" s="49">
        <v>5.4343320000000004</v>
      </c>
      <c r="BK95" s="49">
        <v>5.5312289999999997</v>
      </c>
      <c r="BL95" s="49">
        <v>5.5256889999999999</v>
      </c>
    </row>
    <row r="96" spans="1:64" x14ac:dyDescent="0.3">
      <c r="A96" s="49">
        <v>117</v>
      </c>
      <c r="B96" s="49" t="s">
        <v>4938</v>
      </c>
      <c r="C96" s="49" t="s">
        <v>594</v>
      </c>
      <c r="D96" s="49">
        <v>5.282953</v>
      </c>
      <c r="E96" s="49">
        <v>5.4252940000000001</v>
      </c>
      <c r="F96" s="49">
        <v>5.5260619999999996</v>
      </c>
      <c r="G96" s="49">
        <v>5.8679410000000001</v>
      </c>
      <c r="H96" s="49">
        <v>6.2402490000000004</v>
      </c>
      <c r="I96" s="49">
        <v>6.0346140000000004</v>
      </c>
      <c r="J96" s="49">
        <v>6.1391239999999998</v>
      </c>
      <c r="K96" s="49">
        <v>6.122617</v>
      </c>
      <c r="L96" s="49">
        <v>6.188923</v>
      </c>
      <c r="M96" s="49">
        <v>6.1424010000000004</v>
      </c>
      <c r="N96" s="49">
        <v>5.8562979999999998</v>
      </c>
      <c r="O96" s="49">
        <v>5.8084829999999998</v>
      </c>
      <c r="P96" s="49">
        <v>5.717123</v>
      </c>
      <c r="Q96" s="49">
        <v>5.857024</v>
      </c>
      <c r="R96" s="49">
        <v>5.7652840000000003</v>
      </c>
      <c r="S96" s="49">
        <v>5.8332879999999996</v>
      </c>
      <c r="T96" s="49">
        <v>5.529706</v>
      </c>
      <c r="U96" s="49">
        <v>5.5086219999999999</v>
      </c>
      <c r="V96" s="49">
        <v>5.3638459999999997</v>
      </c>
      <c r="W96" s="49">
        <v>5.1249060000000002</v>
      </c>
      <c r="X96" s="49">
        <v>5.1274259999999998</v>
      </c>
      <c r="Y96" s="49">
        <v>4.9382210000000004</v>
      </c>
      <c r="Z96" s="49">
        <v>4.9194800000000001</v>
      </c>
      <c r="AA96" s="49">
        <v>4.8818109999999999</v>
      </c>
      <c r="AB96" s="49">
        <v>4.6750619999999996</v>
      </c>
      <c r="AC96" s="49">
        <v>4.6637329999999997</v>
      </c>
      <c r="AD96" s="49">
        <v>4.7070069999999999</v>
      </c>
      <c r="AE96" s="49">
        <v>4.6409880000000001</v>
      </c>
      <c r="AF96" s="49">
        <v>4.567177</v>
      </c>
      <c r="AG96" s="49">
        <v>4.440887</v>
      </c>
      <c r="AH96" s="49">
        <v>4.7653800000000004</v>
      </c>
      <c r="AI96" s="49">
        <v>4.5959950000000003</v>
      </c>
      <c r="AJ96" s="49">
        <v>4.6064629999999998</v>
      </c>
      <c r="AK96" s="49">
        <v>4.46875</v>
      </c>
      <c r="AL96" s="49">
        <v>4.4750209999999999</v>
      </c>
      <c r="AM96" s="49">
        <v>4.4078119999999998</v>
      </c>
      <c r="AN96" s="49">
        <v>4.3184019999999999</v>
      </c>
      <c r="AO96" s="49">
        <v>4.3483770000000002</v>
      </c>
      <c r="AP96" s="49">
        <v>4.331467</v>
      </c>
      <c r="AQ96" s="49">
        <v>4.3309430000000004</v>
      </c>
      <c r="AR96" s="49">
        <v>4.3222189999999996</v>
      </c>
      <c r="AS96" s="49">
        <v>4.1393370000000003</v>
      </c>
      <c r="AT96" s="49">
        <v>3.961932</v>
      </c>
      <c r="AU96" s="49">
        <v>3.9423780000000002</v>
      </c>
      <c r="AV96" s="49">
        <v>3.8761410000000001</v>
      </c>
      <c r="AW96" s="49">
        <v>3.7510629999999998</v>
      </c>
      <c r="AX96" s="49">
        <v>3.6667890000000001</v>
      </c>
      <c r="AY96" s="49">
        <v>3.6234999999999999</v>
      </c>
      <c r="AZ96" s="49">
        <v>3.5769959999999998</v>
      </c>
      <c r="BA96" s="49">
        <v>3.5022350000000002</v>
      </c>
      <c r="BB96" s="49">
        <v>3.434097</v>
      </c>
      <c r="BC96" s="49">
        <v>3.4002829999999999</v>
      </c>
      <c r="BD96" s="49">
        <v>3.3662230000000002</v>
      </c>
      <c r="BE96" s="49">
        <v>3.3352390000000001</v>
      </c>
      <c r="BF96" s="49">
        <v>3.2164079999999999</v>
      </c>
      <c r="BG96" s="49">
        <v>3.1776909999999998</v>
      </c>
      <c r="BH96" s="49">
        <v>3.1068829999999998</v>
      </c>
      <c r="BI96" s="49">
        <v>3.0950449999999998</v>
      </c>
      <c r="BJ96" s="49">
        <v>3.0725389999999999</v>
      </c>
      <c r="BK96" s="49">
        <v>3.009789</v>
      </c>
      <c r="BL96" s="49">
        <v>2.9850059999999998</v>
      </c>
    </row>
    <row r="97" spans="1:64" x14ac:dyDescent="0.3">
      <c r="A97" s="49">
        <v>118</v>
      </c>
      <c r="B97" s="49" t="s">
        <v>4937</v>
      </c>
      <c r="C97" s="49" t="s">
        <v>381</v>
      </c>
      <c r="D97" s="49">
        <v>3.57E-4</v>
      </c>
      <c r="E97" s="49">
        <v>4.0499999999999998E-4</v>
      </c>
      <c r="F97" s="49">
        <v>4.4499999999999997E-4</v>
      </c>
      <c r="G97" s="49">
        <v>5.2700000000000002E-4</v>
      </c>
      <c r="H97" s="49">
        <v>5.7300000000000005E-4</v>
      </c>
      <c r="I97" s="49">
        <v>6.9200000000000002E-4</v>
      </c>
      <c r="J97" s="49">
        <v>7.7200000000000001E-4</v>
      </c>
      <c r="K97" s="49">
        <v>9.6000000000000002E-4</v>
      </c>
      <c r="L97" s="49">
        <v>1.168E-3</v>
      </c>
      <c r="M97" s="49">
        <v>1.3389999999999999E-3</v>
      </c>
      <c r="N97" s="49">
        <v>1.5560000000000001E-3</v>
      </c>
      <c r="O97" s="49">
        <v>1.2520000000000001E-3</v>
      </c>
      <c r="P97" s="49">
        <v>1.4250000000000001E-3</v>
      </c>
      <c r="Q97" s="49">
        <v>1.8010000000000001E-3</v>
      </c>
      <c r="R97" s="49">
        <v>1.6850000000000001E-3</v>
      </c>
      <c r="S97" s="49">
        <v>1.799E-3</v>
      </c>
      <c r="T97" s="49">
        <v>2.2139999999999998E-3</v>
      </c>
      <c r="U97" s="49">
        <v>2.2330000000000002E-3</v>
      </c>
      <c r="V97" s="49">
        <v>2.4269999999999999E-3</v>
      </c>
      <c r="W97" s="49">
        <v>2.8540000000000002E-3</v>
      </c>
      <c r="X97" s="49">
        <v>3.1029999999999999E-3</v>
      </c>
      <c r="Y97" s="49">
        <v>3.2490000000000002E-3</v>
      </c>
      <c r="Z97" s="49">
        <v>3.4789999999999999E-3</v>
      </c>
      <c r="AA97" s="49">
        <v>3.6080000000000001E-3</v>
      </c>
      <c r="AB97" s="49">
        <v>5.6800000000000002E-3</v>
      </c>
      <c r="AC97" s="49">
        <v>7.136E-3</v>
      </c>
      <c r="AD97" s="49">
        <v>7.783E-3</v>
      </c>
      <c r="AE97" s="49">
        <v>9.3039999999999998E-3</v>
      </c>
      <c r="AF97" s="49">
        <v>1.0281E-2</v>
      </c>
      <c r="AG97" s="49">
        <v>7.7840000000000001E-3</v>
      </c>
      <c r="AH97" s="49">
        <v>2.81E-3</v>
      </c>
      <c r="AI97" s="49">
        <v>1.3320000000000001E-3</v>
      </c>
      <c r="AJ97" s="49">
        <v>4.3369999999999997E-3</v>
      </c>
      <c r="AK97" s="49">
        <v>5.62E-3</v>
      </c>
      <c r="AL97" s="49">
        <v>7.43E-3</v>
      </c>
      <c r="AM97" s="49">
        <v>8.9470000000000001E-3</v>
      </c>
      <c r="AN97" s="49">
        <v>9.776E-3</v>
      </c>
      <c r="AO97" s="49">
        <v>1.2149999999999999E-2</v>
      </c>
      <c r="AP97" s="49">
        <v>1.2713E-2</v>
      </c>
      <c r="AQ97" s="49">
        <v>1.325E-2</v>
      </c>
      <c r="AR97" s="49">
        <v>1.3058999999999999E-2</v>
      </c>
      <c r="AS97" s="49">
        <v>1.4315E-2</v>
      </c>
      <c r="AT97" s="49">
        <v>1.6528000000000001E-2</v>
      </c>
      <c r="AU97" s="49">
        <v>1.6705999999999999E-2</v>
      </c>
      <c r="AV97" s="49">
        <v>1.8794999999999999E-2</v>
      </c>
      <c r="AW97" s="49">
        <v>2.0288E-2</v>
      </c>
      <c r="AX97" s="49">
        <v>2.1937000000000002E-2</v>
      </c>
      <c r="AY97" s="49">
        <v>2.0872000000000002E-2</v>
      </c>
      <c r="AZ97" s="49">
        <v>2.2447000000000002E-2</v>
      </c>
      <c r="BA97" s="49">
        <v>2.3227000000000001E-2</v>
      </c>
      <c r="BB97" s="49">
        <v>2.6705E-2</v>
      </c>
      <c r="BC97" s="49">
        <v>2.4060999999999999E-2</v>
      </c>
      <c r="BD97" s="49">
        <v>2.5308000000000001E-2</v>
      </c>
      <c r="BE97" s="49">
        <v>2.2953000000000001E-2</v>
      </c>
      <c r="BF97" s="49">
        <v>1.9841999999999999E-2</v>
      </c>
      <c r="BG97" s="49">
        <v>1.9654000000000001E-2</v>
      </c>
      <c r="BH97" s="49">
        <v>2.1663999999999999E-2</v>
      </c>
      <c r="BI97" s="49">
        <v>2.1156000000000001E-2</v>
      </c>
      <c r="BJ97" s="49">
        <v>2.3299E-2</v>
      </c>
      <c r="BK97" s="49">
        <v>2.426E-2</v>
      </c>
      <c r="BL97" s="49">
        <v>2.3060000000000001E-2</v>
      </c>
    </row>
    <row r="98" spans="1:64" x14ac:dyDescent="0.3">
      <c r="A98" s="49">
        <v>119</v>
      </c>
      <c r="B98" s="49" t="s">
        <v>4936</v>
      </c>
      <c r="C98" s="49" t="s">
        <v>389</v>
      </c>
      <c r="AI98" s="49">
        <v>1.762694</v>
      </c>
      <c r="AJ98" s="49">
        <v>1.6760900000000001</v>
      </c>
      <c r="AK98" s="49">
        <v>1.244464</v>
      </c>
      <c r="AL98" s="49">
        <v>1.079472</v>
      </c>
      <c r="AM98" s="49">
        <v>1.138908</v>
      </c>
      <c r="AN98" s="49">
        <v>1.2119120000000001</v>
      </c>
      <c r="AO98" s="49">
        <v>1.1666179999999999</v>
      </c>
      <c r="AP98" s="49">
        <v>1.0494520000000001</v>
      </c>
      <c r="AQ98" s="49">
        <v>1.0475540000000001</v>
      </c>
      <c r="AR98" s="49">
        <v>1.1230439999999999</v>
      </c>
      <c r="AS98" s="49">
        <v>1.096284</v>
      </c>
      <c r="AT98" s="49">
        <v>1.147896</v>
      </c>
      <c r="AU98" s="49">
        <v>1.238326</v>
      </c>
      <c r="AV98" s="49">
        <v>1.341602</v>
      </c>
      <c r="AW98" s="49">
        <v>1.461168</v>
      </c>
      <c r="AX98" s="49">
        <v>1.4950319999999999</v>
      </c>
      <c r="AY98" s="49">
        <v>1.460764</v>
      </c>
      <c r="AZ98" s="49">
        <v>1.4667159999999999</v>
      </c>
      <c r="BA98" s="49">
        <v>1.4513240000000001</v>
      </c>
      <c r="BB98" s="49">
        <v>1.487644</v>
      </c>
      <c r="BC98" s="49">
        <v>1.5692900000000001</v>
      </c>
      <c r="BD98" s="49">
        <v>1.6350720000000001</v>
      </c>
      <c r="BE98" s="49">
        <v>1.6665019999999999</v>
      </c>
      <c r="BF98" s="49">
        <v>1.7430429999999999</v>
      </c>
      <c r="BG98" s="49">
        <v>1.8696999999999999</v>
      </c>
      <c r="BH98" s="49">
        <v>1.776713</v>
      </c>
      <c r="BI98" s="49">
        <v>1.62714</v>
      </c>
      <c r="BJ98" s="49">
        <v>1.72468</v>
      </c>
      <c r="BK98" s="49">
        <v>1.7706999999999999</v>
      </c>
      <c r="BL98" s="49">
        <v>1.8149</v>
      </c>
    </row>
    <row r="99" spans="1:64" x14ac:dyDescent="0.3">
      <c r="A99" s="49">
        <v>120</v>
      </c>
      <c r="B99" s="49" t="s">
        <v>4935</v>
      </c>
      <c r="C99" s="49" t="s">
        <v>387</v>
      </c>
      <c r="D99" s="49">
        <v>1.3422890000000001</v>
      </c>
      <c r="E99" s="49">
        <v>1.29</v>
      </c>
      <c r="F99" s="49">
        <v>1.30803</v>
      </c>
      <c r="G99" s="49">
        <v>1.9498899999999999</v>
      </c>
      <c r="H99" s="49">
        <v>1.95865</v>
      </c>
      <c r="I99" s="49">
        <v>1.98201</v>
      </c>
      <c r="J99" s="49">
        <v>2.0471439999999999</v>
      </c>
      <c r="K99" s="49">
        <v>1.4391799999999999</v>
      </c>
      <c r="L99" s="49">
        <v>1.458426</v>
      </c>
      <c r="M99" s="49">
        <v>1.462966</v>
      </c>
      <c r="N99" s="49">
        <v>1.4664200000000001</v>
      </c>
      <c r="O99" s="49">
        <v>1.46549</v>
      </c>
      <c r="P99" s="49">
        <v>1.4659500000000001</v>
      </c>
      <c r="Q99" s="49">
        <v>1.5071570000000001</v>
      </c>
      <c r="R99" s="49">
        <v>1.49359</v>
      </c>
      <c r="S99" s="49">
        <v>1.2147460000000001</v>
      </c>
      <c r="T99" s="49">
        <v>1.291631</v>
      </c>
      <c r="U99" s="49">
        <v>1.336489</v>
      </c>
      <c r="V99" s="49">
        <v>1.572921</v>
      </c>
      <c r="W99" s="49">
        <v>1.6662220000000001</v>
      </c>
      <c r="X99" s="49">
        <v>1.7086060000000001</v>
      </c>
      <c r="Y99" s="49">
        <v>1.7001980000000001</v>
      </c>
      <c r="Z99" s="49">
        <v>1.6137950000000001</v>
      </c>
      <c r="AA99" s="49">
        <v>1.5407999999999999</v>
      </c>
      <c r="AB99" s="49">
        <v>1.550891</v>
      </c>
      <c r="AC99" s="49">
        <v>1.506775</v>
      </c>
      <c r="AD99" s="49">
        <v>1.32254</v>
      </c>
      <c r="AE99" s="49">
        <v>1.348454</v>
      </c>
      <c r="AF99" s="49">
        <v>1.477757</v>
      </c>
      <c r="AG99" s="49">
        <v>1.6058479999999999</v>
      </c>
      <c r="AH99" s="49">
        <v>1.4490860000000001</v>
      </c>
      <c r="AI99" s="49">
        <v>1.4854259999999999</v>
      </c>
      <c r="AJ99" s="49">
        <v>1.4543280000000001</v>
      </c>
      <c r="AK99" s="49">
        <v>1.5891999999999999</v>
      </c>
      <c r="AL99" s="49">
        <v>1.4796549999999999</v>
      </c>
      <c r="AM99" s="49">
        <v>1.489096</v>
      </c>
      <c r="AN99" s="49">
        <v>1.629813</v>
      </c>
      <c r="AO99" s="49">
        <v>1.7202679999999999</v>
      </c>
      <c r="AP99" s="49">
        <v>1.8967879999999999</v>
      </c>
      <c r="AQ99" s="49">
        <v>2.0675140000000001</v>
      </c>
      <c r="AR99" s="49">
        <v>2.0797979999999998</v>
      </c>
      <c r="AS99" s="49">
        <v>2.0954000000000002</v>
      </c>
      <c r="AT99" s="49">
        <v>2.1898979999999999</v>
      </c>
      <c r="AU99" s="49">
        <v>2.243093</v>
      </c>
      <c r="AV99" s="49">
        <v>2.1870340000000001</v>
      </c>
      <c r="AW99" s="49">
        <v>2.2786140000000001</v>
      </c>
      <c r="AX99" s="49">
        <v>2.3406440000000002</v>
      </c>
      <c r="AY99" s="49">
        <v>2.6156329999999999</v>
      </c>
      <c r="AZ99" s="49">
        <v>2.8087409999999999</v>
      </c>
      <c r="BA99" s="49">
        <v>2.9319639999999998</v>
      </c>
      <c r="BB99" s="49">
        <v>2.9767250000000001</v>
      </c>
      <c r="BC99" s="49">
        <v>3.1380349999999999</v>
      </c>
      <c r="BD99" s="49">
        <v>3.1885729999999999</v>
      </c>
      <c r="BE99" s="49">
        <v>3.5970260000000001</v>
      </c>
      <c r="BF99" s="49">
        <v>3.7722820000000001</v>
      </c>
      <c r="BG99" s="49">
        <v>3.8372999999999999</v>
      </c>
      <c r="BH99" s="49">
        <v>3.553461</v>
      </c>
      <c r="BI99" s="49">
        <v>3.3584010000000002</v>
      </c>
      <c r="BJ99" s="49">
        <v>3.3403849999999999</v>
      </c>
      <c r="BK99" s="49">
        <v>3.510459</v>
      </c>
      <c r="BL99" s="49">
        <v>3.718677</v>
      </c>
    </row>
    <row r="100" spans="1:64" x14ac:dyDescent="0.3">
      <c r="A100" s="49">
        <v>121</v>
      </c>
      <c r="B100" s="49" t="s">
        <v>4934</v>
      </c>
      <c r="C100" s="49" t="s">
        <v>391</v>
      </c>
      <c r="D100" s="49">
        <v>0.41061199999999998</v>
      </c>
      <c r="E100" s="49">
        <v>0.39910600000000002</v>
      </c>
      <c r="F100" s="49">
        <v>0.38773800000000003</v>
      </c>
      <c r="G100" s="49">
        <v>0.43370900000000001</v>
      </c>
      <c r="H100" s="49">
        <v>0.43614799999999998</v>
      </c>
      <c r="I100" s="49">
        <v>0.43344700000000003</v>
      </c>
      <c r="J100" s="49">
        <v>0.40481400000000001</v>
      </c>
      <c r="K100" s="49">
        <v>0.41855999999999999</v>
      </c>
      <c r="L100" s="49">
        <v>0.367755</v>
      </c>
      <c r="M100" s="49">
        <v>0.37215500000000001</v>
      </c>
      <c r="N100" s="49">
        <v>0.38284600000000002</v>
      </c>
      <c r="O100" s="49">
        <v>0.39027099999999998</v>
      </c>
      <c r="P100" s="49">
        <v>0.38558999999999999</v>
      </c>
      <c r="Q100" s="49">
        <v>0.39435300000000001</v>
      </c>
      <c r="R100" s="49">
        <v>0.37377199999999999</v>
      </c>
      <c r="S100" s="49">
        <v>0.34429199999999999</v>
      </c>
      <c r="T100" s="49">
        <v>0.350462</v>
      </c>
      <c r="U100" s="49">
        <v>0.34870200000000001</v>
      </c>
      <c r="V100" s="49">
        <v>0.35243000000000002</v>
      </c>
      <c r="W100" s="49">
        <v>0.30415999999999999</v>
      </c>
      <c r="X100" s="49">
        <v>0.30481000000000003</v>
      </c>
      <c r="Y100" s="49">
        <v>0.30410399999999999</v>
      </c>
      <c r="Z100" s="49">
        <v>0.30535800000000002</v>
      </c>
      <c r="AA100" s="49">
        <v>0.29910700000000001</v>
      </c>
      <c r="AB100" s="49">
        <v>0.33028000000000002</v>
      </c>
      <c r="AC100" s="49">
        <v>0.35755399999999998</v>
      </c>
      <c r="AD100" s="49">
        <v>0.41650700000000002</v>
      </c>
      <c r="AE100" s="49">
        <v>0.43344700000000003</v>
      </c>
      <c r="AF100" s="49">
        <v>0.44940200000000002</v>
      </c>
      <c r="AG100" s="49">
        <v>0.460144</v>
      </c>
      <c r="AH100" s="49">
        <v>0.52109399999999995</v>
      </c>
      <c r="AI100" s="49">
        <v>0.53114899999999998</v>
      </c>
      <c r="AJ100" s="49">
        <v>0.51622900000000005</v>
      </c>
      <c r="AK100" s="49">
        <v>0.51406200000000002</v>
      </c>
      <c r="AL100" s="49">
        <v>0.53449899999999995</v>
      </c>
      <c r="AM100" s="49">
        <v>0.55396599999999996</v>
      </c>
      <c r="AN100" s="49">
        <v>0.542408</v>
      </c>
      <c r="AO100" s="49">
        <v>0.52507400000000004</v>
      </c>
      <c r="AP100" s="49">
        <v>0.53146199999999999</v>
      </c>
      <c r="AQ100" s="49">
        <v>0.51890099999999995</v>
      </c>
      <c r="AR100" s="49">
        <v>0.504606</v>
      </c>
      <c r="AS100" s="49">
        <v>0.52892899999999998</v>
      </c>
      <c r="AT100" s="49">
        <v>0.54303199999999996</v>
      </c>
      <c r="AU100" s="49">
        <v>0.541578</v>
      </c>
      <c r="AV100" s="49">
        <v>0.54589399999999999</v>
      </c>
      <c r="AW100" s="49">
        <v>0.55838900000000002</v>
      </c>
      <c r="AX100" s="49">
        <v>0.55472900000000003</v>
      </c>
      <c r="AY100" s="49">
        <v>0.54559100000000005</v>
      </c>
      <c r="AZ100" s="49">
        <v>0.50539400000000001</v>
      </c>
      <c r="BA100" s="49">
        <v>0.45242900000000003</v>
      </c>
      <c r="BB100" s="49">
        <v>0.47996800000000001</v>
      </c>
      <c r="BC100" s="49">
        <v>0.49862299999999998</v>
      </c>
      <c r="BD100" s="49">
        <v>0.49360999999999999</v>
      </c>
      <c r="BE100" s="49">
        <v>0.49848700000000001</v>
      </c>
      <c r="BF100" s="49">
        <v>0.51773199999999997</v>
      </c>
      <c r="BG100" s="49">
        <v>0.52172099999999999</v>
      </c>
      <c r="BH100" s="49">
        <v>0.53134099999999995</v>
      </c>
      <c r="BI100" s="49">
        <v>0.52869699999999997</v>
      </c>
      <c r="BJ100" s="49">
        <v>0.53063800000000005</v>
      </c>
      <c r="BK100" s="49">
        <v>0.54885300000000004</v>
      </c>
      <c r="BL100" s="49">
        <v>0.54720500000000005</v>
      </c>
    </row>
    <row r="101" spans="1:64" x14ac:dyDescent="0.3">
      <c r="A101" s="49">
        <v>122</v>
      </c>
      <c r="B101" s="49" t="s">
        <v>4933</v>
      </c>
      <c r="C101" s="49" t="s">
        <v>393</v>
      </c>
      <c r="D101" s="49">
        <v>0.59519</v>
      </c>
      <c r="E101" s="49">
        <v>0.59286000000000005</v>
      </c>
      <c r="F101" s="49">
        <v>0.59097</v>
      </c>
      <c r="G101" s="49">
        <v>0.59609000000000001</v>
      </c>
      <c r="H101" s="49">
        <v>0.62097000000000002</v>
      </c>
      <c r="I101" s="49">
        <v>0.60770999999999997</v>
      </c>
      <c r="J101" s="49">
        <v>0.63231000000000004</v>
      </c>
      <c r="K101" s="49">
        <v>0.67627599999999999</v>
      </c>
      <c r="L101" s="49">
        <v>0.67808999999999997</v>
      </c>
      <c r="M101" s="49">
        <v>0.67149199999999998</v>
      </c>
      <c r="N101" s="49">
        <v>0.70297399999999999</v>
      </c>
      <c r="O101" s="49">
        <v>0.60778399999999999</v>
      </c>
      <c r="P101" s="49">
        <v>0.57130000000000003</v>
      </c>
      <c r="Q101" s="49">
        <v>0.65423399999999998</v>
      </c>
      <c r="R101" s="49">
        <v>0.52730200000000005</v>
      </c>
      <c r="S101" s="49">
        <v>0.46543000000000001</v>
      </c>
      <c r="T101" s="49">
        <v>0.38927600000000001</v>
      </c>
      <c r="U101" s="49">
        <v>0.45517400000000002</v>
      </c>
      <c r="V101" s="49">
        <v>0.44695600000000002</v>
      </c>
      <c r="W101" s="49">
        <v>0.44508599999999998</v>
      </c>
      <c r="X101" s="49">
        <v>0.45223200000000002</v>
      </c>
      <c r="Y101" s="49">
        <v>0.437504</v>
      </c>
      <c r="Z101" s="49">
        <v>0.40500399999999998</v>
      </c>
      <c r="AA101" s="49">
        <v>0.45457199999999998</v>
      </c>
      <c r="AB101" s="49">
        <v>0.50995400000000002</v>
      </c>
      <c r="AC101" s="49">
        <v>0.44832</v>
      </c>
      <c r="AD101" s="49">
        <v>0.53732999999999997</v>
      </c>
      <c r="AE101" s="49">
        <v>0.63875000000000004</v>
      </c>
      <c r="AF101" s="49">
        <v>0.49182199999999998</v>
      </c>
      <c r="AG101" s="49">
        <v>0.51763000000000003</v>
      </c>
      <c r="AH101" s="49">
        <v>0.34886800000000001</v>
      </c>
      <c r="AI101" s="49">
        <v>0.34359200000000001</v>
      </c>
      <c r="AJ101" s="49">
        <v>0.34912399999999999</v>
      </c>
      <c r="AK101" s="49">
        <v>0.59370800000000001</v>
      </c>
      <c r="AL101" s="49">
        <v>0.24524799999999999</v>
      </c>
      <c r="AM101" s="49">
        <v>0.48655199999999998</v>
      </c>
      <c r="AN101" s="49">
        <v>0.46406199999999997</v>
      </c>
      <c r="AO101" s="49">
        <v>0.30481399999999997</v>
      </c>
      <c r="AP101" s="49">
        <v>0.42880000000000001</v>
      </c>
      <c r="AQ101" s="49">
        <v>0.47888399999999998</v>
      </c>
      <c r="AR101" s="49">
        <v>0.57618100000000005</v>
      </c>
      <c r="AS101" s="49">
        <v>0.468665</v>
      </c>
      <c r="AT101" s="49">
        <v>0.44773600000000002</v>
      </c>
      <c r="AU101" s="49">
        <v>0.41622799999999999</v>
      </c>
      <c r="AV101" s="49">
        <v>0.37774600000000003</v>
      </c>
      <c r="AW101" s="49">
        <v>0.54497600000000002</v>
      </c>
      <c r="AX101" s="49">
        <v>0.40992800000000001</v>
      </c>
      <c r="AY101" s="49">
        <v>0.434944</v>
      </c>
      <c r="AZ101" s="49">
        <v>0.40509800000000001</v>
      </c>
      <c r="BA101" s="49">
        <v>0.46592800000000001</v>
      </c>
      <c r="BB101" s="49">
        <v>0.38030799999999998</v>
      </c>
      <c r="BC101" s="49">
        <v>0.37291200000000002</v>
      </c>
      <c r="BD101" s="49">
        <v>0.35190199999999999</v>
      </c>
      <c r="BE101" s="49">
        <v>0.40921800000000003</v>
      </c>
      <c r="BF101" s="49">
        <v>0.31875599999999998</v>
      </c>
      <c r="BG101" s="49">
        <v>0.14883199999999999</v>
      </c>
      <c r="BH101" s="49">
        <v>0.51363599999999998</v>
      </c>
      <c r="BI101" s="49">
        <v>0.52049199999999995</v>
      </c>
      <c r="BJ101" s="49">
        <v>0.135908</v>
      </c>
      <c r="BK101" s="49">
        <v>0.18257000000000001</v>
      </c>
      <c r="BL101" s="49">
        <v>0.39624799999999999</v>
      </c>
    </row>
    <row r="102" spans="1:64" x14ac:dyDescent="0.3">
      <c r="A102" s="49">
        <v>123</v>
      </c>
      <c r="B102" s="49" t="s">
        <v>4932</v>
      </c>
      <c r="C102" s="49" t="s">
        <v>395</v>
      </c>
      <c r="D102" s="49">
        <v>0.68764000000000003</v>
      </c>
      <c r="E102" s="49">
        <v>0.70904</v>
      </c>
      <c r="F102" s="49">
        <v>0.76705999999999996</v>
      </c>
      <c r="G102" s="49">
        <v>0.80325999999999997</v>
      </c>
      <c r="H102" s="49">
        <v>0.82228000000000001</v>
      </c>
      <c r="I102" s="49">
        <v>0.58157999999999999</v>
      </c>
      <c r="J102" s="49">
        <v>0.57969999999999999</v>
      </c>
      <c r="K102" s="49">
        <v>0.59831999999999996</v>
      </c>
      <c r="L102" s="49">
        <v>0.61636000000000002</v>
      </c>
      <c r="M102" s="49">
        <v>0.66247999999999996</v>
      </c>
      <c r="N102" s="49">
        <v>0.69611400000000001</v>
      </c>
      <c r="O102" s="49">
        <v>0.70499199999999995</v>
      </c>
      <c r="P102" s="49">
        <v>0.72645000000000004</v>
      </c>
      <c r="Q102" s="49">
        <v>0.77478999999999998</v>
      </c>
      <c r="R102" s="49">
        <v>0.74683999999999995</v>
      </c>
      <c r="S102" s="49">
        <v>0.75956000000000001</v>
      </c>
      <c r="T102" s="49">
        <v>0.77256000000000002</v>
      </c>
      <c r="U102" s="49">
        <v>0.76188</v>
      </c>
      <c r="V102" s="49">
        <v>0.77956000000000003</v>
      </c>
      <c r="W102" s="49">
        <v>0.78332000000000002</v>
      </c>
      <c r="X102" s="49">
        <v>0.82096000000000002</v>
      </c>
      <c r="Y102" s="49">
        <v>0.82892999999999994</v>
      </c>
      <c r="Z102" s="49">
        <v>0.86597000000000002</v>
      </c>
      <c r="AA102" s="49">
        <v>0.85753999999999997</v>
      </c>
      <c r="AB102" s="49">
        <v>0.87421199999999999</v>
      </c>
      <c r="AC102" s="49">
        <v>0.88086799999999998</v>
      </c>
      <c r="AD102" s="49">
        <v>0.88548099999999996</v>
      </c>
      <c r="AE102" s="49">
        <v>0.89724000000000004</v>
      </c>
      <c r="AF102" s="49">
        <v>0.94645000000000001</v>
      </c>
      <c r="AG102" s="49">
        <v>0.69309200000000004</v>
      </c>
      <c r="AH102" s="49">
        <v>0.56662100000000004</v>
      </c>
      <c r="AI102" s="49">
        <v>0.60846500000000003</v>
      </c>
      <c r="AJ102" s="49">
        <v>0.495342</v>
      </c>
      <c r="AK102" s="49">
        <v>0.44511699999999998</v>
      </c>
      <c r="AL102" s="49">
        <v>0.44400600000000001</v>
      </c>
      <c r="AM102" s="49">
        <v>0.52400199999999997</v>
      </c>
      <c r="AN102" s="49">
        <v>0.72013199999999999</v>
      </c>
      <c r="AO102" s="49">
        <v>0.80645599999999995</v>
      </c>
      <c r="AP102" s="49">
        <v>0.83166700000000005</v>
      </c>
      <c r="AQ102" s="49">
        <v>0.85390900000000003</v>
      </c>
      <c r="AR102" s="49">
        <v>0.82921699999999998</v>
      </c>
      <c r="AS102" s="49">
        <v>0.81804600000000005</v>
      </c>
      <c r="AT102" s="49">
        <v>0.82631200000000005</v>
      </c>
      <c r="AU102" s="49">
        <v>0.84108700000000003</v>
      </c>
      <c r="AV102" s="49">
        <v>0.847526</v>
      </c>
      <c r="AW102" s="49">
        <v>0.86926700000000001</v>
      </c>
      <c r="AX102" s="49">
        <v>0.95375600000000005</v>
      </c>
      <c r="AY102" s="49">
        <v>0.97710799999999998</v>
      </c>
      <c r="AZ102" s="49">
        <v>1.0321389999999999</v>
      </c>
      <c r="BA102" s="49">
        <v>1.050924</v>
      </c>
      <c r="BB102" s="49">
        <v>1.081245</v>
      </c>
      <c r="BC102" s="49">
        <v>1.0803990000000001</v>
      </c>
      <c r="BD102" s="49">
        <v>1.011155</v>
      </c>
      <c r="BE102" s="49">
        <v>1.04236</v>
      </c>
      <c r="BF102" s="49">
        <v>1.0574939999999999</v>
      </c>
      <c r="BG102" s="49">
        <v>1.4064840000000001</v>
      </c>
      <c r="BH102" s="49">
        <v>1.068206</v>
      </c>
      <c r="BI102" s="49">
        <v>1.098163</v>
      </c>
      <c r="BJ102" s="49">
        <v>1.149573</v>
      </c>
      <c r="BK102" s="49">
        <v>1.1817660000000001</v>
      </c>
      <c r="BL102" s="49">
        <v>1.172574</v>
      </c>
    </row>
    <row r="103" spans="1:64" x14ac:dyDescent="0.3">
      <c r="A103" s="49">
        <v>124</v>
      </c>
      <c r="B103" s="49" t="s">
        <v>4931</v>
      </c>
      <c r="C103" s="49" t="s">
        <v>397</v>
      </c>
      <c r="D103" s="49">
        <v>1.0391859999999999</v>
      </c>
      <c r="E103" s="49">
        <v>1.185057</v>
      </c>
      <c r="F103" s="49">
        <v>1.063121</v>
      </c>
      <c r="G103" s="49">
        <v>1.055801</v>
      </c>
      <c r="H103" s="49">
        <v>0.96226299999999998</v>
      </c>
      <c r="I103" s="49">
        <v>1.0535669999999999</v>
      </c>
      <c r="J103" s="49">
        <v>1.2570460000000001</v>
      </c>
      <c r="K103" s="49">
        <v>1.3273999999999999</v>
      </c>
      <c r="L103" s="49">
        <v>1.3259080000000001</v>
      </c>
      <c r="M103" s="49">
        <v>0.817052</v>
      </c>
      <c r="N103" s="49">
        <v>0.52024999999999999</v>
      </c>
      <c r="O103" s="49">
        <v>0.67402099999999998</v>
      </c>
      <c r="P103" s="49">
        <v>1.0241210000000001</v>
      </c>
      <c r="Q103" s="49">
        <v>1.1017809999999999</v>
      </c>
      <c r="R103" s="49">
        <v>1.3183180000000001</v>
      </c>
      <c r="S103" s="49">
        <v>1.6060639999999999</v>
      </c>
      <c r="T103" s="49">
        <v>0.94276899999999997</v>
      </c>
      <c r="U103" s="49">
        <v>1.543361</v>
      </c>
      <c r="V103" s="49">
        <v>1.3865419999999999</v>
      </c>
      <c r="W103" s="49">
        <v>1.2932870000000001</v>
      </c>
      <c r="X103" s="49">
        <v>1.0757000000000001</v>
      </c>
      <c r="Y103" s="49">
        <v>0.93428500000000003</v>
      </c>
      <c r="Z103" s="49">
        <v>1.2801100000000001</v>
      </c>
      <c r="AA103" s="49">
        <v>1.13331</v>
      </c>
      <c r="AB103" s="49">
        <v>1.1709400000000001</v>
      </c>
      <c r="AC103" s="49">
        <v>1.2634300000000001</v>
      </c>
      <c r="AD103" s="49">
        <v>1.3355939999999999</v>
      </c>
      <c r="AE103" s="49">
        <v>1.3116540000000001</v>
      </c>
      <c r="AF103" s="49">
        <v>1.4282969999999999</v>
      </c>
      <c r="AG103" s="49">
        <v>1.2886470000000001</v>
      </c>
      <c r="AH103" s="49">
        <v>1.301285</v>
      </c>
      <c r="AI103" s="49">
        <v>1.178526</v>
      </c>
      <c r="AJ103" s="49">
        <v>1.0949180000000001</v>
      </c>
      <c r="AK103" s="49">
        <v>1.06911</v>
      </c>
      <c r="AL103" s="49">
        <v>1.0204690000000001</v>
      </c>
      <c r="AM103" s="49">
        <v>1.081677</v>
      </c>
      <c r="AN103" s="49">
        <v>1.1266020000000001</v>
      </c>
      <c r="AO103" s="49">
        <v>1.237311</v>
      </c>
      <c r="AP103" s="49">
        <v>1.3721669999999999</v>
      </c>
      <c r="AQ103" s="49">
        <v>1.382368</v>
      </c>
      <c r="AR103" s="49">
        <v>1.313026</v>
      </c>
      <c r="AS103" s="49">
        <v>1.3203320000000001</v>
      </c>
      <c r="AT103" s="49">
        <v>1.3894660000000001</v>
      </c>
      <c r="AU103" s="49">
        <v>1.511903</v>
      </c>
      <c r="AV103" s="49">
        <v>1.561337</v>
      </c>
      <c r="AW103" s="49">
        <v>1.505846</v>
      </c>
      <c r="AX103" s="49">
        <v>1.5082089999999999</v>
      </c>
      <c r="AY103" s="49">
        <v>1.509714</v>
      </c>
      <c r="AZ103" s="49">
        <v>1.512551</v>
      </c>
      <c r="BA103" s="49">
        <v>1.622304</v>
      </c>
      <c r="BB103" s="49">
        <v>1.7410319999999999</v>
      </c>
      <c r="BC103" s="49">
        <v>1.840544</v>
      </c>
      <c r="BD103" s="49">
        <v>1.882247</v>
      </c>
      <c r="BE103" s="49">
        <v>1.8850690000000001</v>
      </c>
      <c r="BF103" s="49">
        <v>1.678439</v>
      </c>
      <c r="BG103" s="49">
        <v>1.8478749999999999</v>
      </c>
      <c r="BH103" s="49">
        <v>1.578309</v>
      </c>
      <c r="BI103" s="49">
        <v>1.7413380000000001</v>
      </c>
      <c r="BJ103" s="49">
        <v>1.597904</v>
      </c>
      <c r="BK103" s="49">
        <v>1.568651</v>
      </c>
      <c r="BL103" s="49">
        <v>1.5643940000000001</v>
      </c>
    </row>
    <row r="104" spans="1:64" x14ac:dyDescent="0.3">
      <c r="A104" s="49">
        <v>126</v>
      </c>
      <c r="B104" s="49" t="s">
        <v>4930</v>
      </c>
      <c r="C104" s="49" t="s">
        <v>402</v>
      </c>
      <c r="AI104" s="49">
        <v>2.8693919999999999</v>
      </c>
      <c r="AJ104" s="49">
        <v>3.0532949999999999</v>
      </c>
      <c r="AK104" s="49">
        <v>2.9479989999999998</v>
      </c>
      <c r="AL104" s="49">
        <v>2.6565620000000001</v>
      </c>
      <c r="AM104" s="49">
        <v>2.7642899999999999</v>
      </c>
      <c r="AN104" s="49">
        <v>3.0084499999999998</v>
      </c>
      <c r="AO104" s="49">
        <v>2.998354</v>
      </c>
      <c r="AP104" s="49">
        <v>2.8822369999999999</v>
      </c>
      <c r="AQ104" s="49">
        <v>2.6718999999999999</v>
      </c>
      <c r="AR104" s="49">
        <v>2.5548519999999999</v>
      </c>
      <c r="AS104" s="49">
        <v>2.5279050000000001</v>
      </c>
      <c r="AT104" s="49">
        <v>2.3673860000000002</v>
      </c>
      <c r="AU104" s="49">
        <v>2.4533640000000001</v>
      </c>
      <c r="AV104" s="49">
        <v>2.6288860000000001</v>
      </c>
      <c r="AW104" s="49">
        <v>2.71191</v>
      </c>
      <c r="AX104" s="49">
        <v>2.8367640000000001</v>
      </c>
      <c r="AY104" s="49">
        <v>2.7966839999999999</v>
      </c>
      <c r="AZ104" s="49">
        <v>3.078376</v>
      </c>
      <c r="BA104" s="49">
        <v>3.0716000000000001</v>
      </c>
      <c r="BB104" s="49">
        <v>3.2051400000000001</v>
      </c>
      <c r="BC104" s="49">
        <v>3.3923800000000002</v>
      </c>
      <c r="BD104" s="49">
        <v>3.4911819999999998</v>
      </c>
      <c r="BE104" s="49">
        <v>3.5771760000000001</v>
      </c>
      <c r="BF104" s="49">
        <v>3.6414740000000001</v>
      </c>
      <c r="BG104" s="49">
        <v>3.760205</v>
      </c>
      <c r="BH104" s="49">
        <v>3.5982590000000001</v>
      </c>
      <c r="BI104" s="49">
        <v>3.2369400000000002</v>
      </c>
      <c r="BJ104" s="49">
        <v>3.3659599999999998</v>
      </c>
      <c r="BK104" s="49">
        <v>3.4603000000000002</v>
      </c>
      <c r="BL104" s="49">
        <v>3.4667699999999999</v>
      </c>
    </row>
    <row r="105" spans="1:64" x14ac:dyDescent="0.3">
      <c r="A105" s="49">
        <v>127</v>
      </c>
      <c r="B105" s="49" t="s">
        <v>4929</v>
      </c>
      <c r="C105" s="49" t="s">
        <v>418</v>
      </c>
      <c r="AH105" s="49">
        <v>0.03</v>
      </c>
      <c r="AI105" s="49">
        <v>4.2000000000000003E-2</v>
      </c>
      <c r="AJ105" s="49">
        <v>3.5999999999999997E-2</v>
      </c>
      <c r="AK105" s="49">
        <v>3.3519E-2</v>
      </c>
      <c r="AL105" s="49">
        <v>4.2000000000000003E-2</v>
      </c>
      <c r="AM105" s="49">
        <v>4.4999999999999998E-2</v>
      </c>
      <c r="AN105" s="49">
        <v>4.2000000000000003E-2</v>
      </c>
      <c r="AO105" s="49">
        <v>0.03</v>
      </c>
      <c r="AP105" s="49">
        <v>2.4E-2</v>
      </c>
      <c r="AQ105" s="49">
        <v>2.4E-2</v>
      </c>
      <c r="AR105" s="49">
        <v>2.4E-2</v>
      </c>
      <c r="AS105" s="49">
        <v>2.4E-2</v>
      </c>
      <c r="AT105" s="49">
        <v>2.4E-2</v>
      </c>
      <c r="AU105" s="49">
        <v>2.4E-2</v>
      </c>
      <c r="AV105" s="49">
        <v>2.4E-2</v>
      </c>
      <c r="AW105" s="49">
        <v>2.4E-2</v>
      </c>
      <c r="AX105" s="49">
        <v>2.4E-2</v>
      </c>
      <c r="AY105" s="49">
        <v>2.4E-2</v>
      </c>
      <c r="AZ105" s="49">
        <v>2.4E-2</v>
      </c>
      <c r="BA105" s="49">
        <v>2.4E-2</v>
      </c>
      <c r="BB105" s="49">
        <v>2.4E-2</v>
      </c>
      <c r="BC105" s="49">
        <v>2.4E-2</v>
      </c>
      <c r="BD105" s="49">
        <v>2.4E-2</v>
      </c>
      <c r="BE105" s="49">
        <v>2.2872E-2</v>
      </c>
      <c r="BF105" s="49">
        <v>2.2872E-2</v>
      </c>
      <c r="BG105" s="49">
        <v>2.2872E-2</v>
      </c>
      <c r="BH105" s="49">
        <v>2.2872E-2</v>
      </c>
      <c r="BI105" s="49">
        <v>2.0351999999999999E-2</v>
      </c>
      <c r="BJ105" s="49">
        <v>1.9550999999999999E-2</v>
      </c>
      <c r="BK105" s="49">
        <v>1.9550999999999999E-2</v>
      </c>
      <c r="BL105" s="49">
        <v>2.0567999999999999E-2</v>
      </c>
    </row>
    <row r="106" spans="1:64" x14ac:dyDescent="0.3">
      <c r="A106" s="49">
        <v>128</v>
      </c>
      <c r="B106" s="49" t="s">
        <v>4928</v>
      </c>
      <c r="C106" s="49" t="s">
        <v>211</v>
      </c>
      <c r="D106" s="49">
        <v>6.9999999999999994E-5</v>
      </c>
      <c r="E106" s="49">
        <v>5.0000000000000002E-5</v>
      </c>
      <c r="F106" s="49">
        <v>5.0000000000000002E-5</v>
      </c>
      <c r="G106" s="49">
        <v>4.0000000000000003E-5</v>
      </c>
      <c r="H106" s="49">
        <v>4.0000000000000003E-5</v>
      </c>
      <c r="I106" s="49">
        <v>6.4999999999999994E-5</v>
      </c>
      <c r="J106" s="49">
        <v>5.0000000000000002E-5</v>
      </c>
      <c r="K106" s="49">
        <v>5.0000000000000002E-5</v>
      </c>
      <c r="L106" s="49">
        <v>6.0000000000000002E-5</v>
      </c>
      <c r="M106" s="49">
        <v>5.0000000000000002E-5</v>
      </c>
      <c r="N106" s="49">
        <v>5.0000000000000002E-5</v>
      </c>
      <c r="O106" s="49">
        <v>6.0000000000000002E-5</v>
      </c>
      <c r="P106" s="49">
        <v>6.0000000000000002E-5</v>
      </c>
      <c r="Q106" s="49">
        <v>6.0000000000000002E-5</v>
      </c>
      <c r="R106" s="49">
        <v>6.0000000000000002E-5</v>
      </c>
      <c r="S106" s="49">
        <v>6.0000000000000002E-5</v>
      </c>
      <c r="T106" s="49">
        <v>6.0000000000000002E-5</v>
      </c>
      <c r="U106" s="49">
        <v>6.9999999999999994E-5</v>
      </c>
      <c r="V106" s="49">
        <v>6.9999999999999994E-5</v>
      </c>
      <c r="W106" s="49">
        <v>8.0000000000000007E-5</v>
      </c>
      <c r="X106" s="49">
        <v>8.0000000000000007E-5</v>
      </c>
      <c r="Y106" s="49">
        <v>8.0000000000000007E-5</v>
      </c>
      <c r="Z106" s="49">
        <v>8.5000000000000006E-5</v>
      </c>
      <c r="AA106" s="49">
        <v>8.5000000000000006E-5</v>
      </c>
      <c r="AB106" s="49">
        <v>8.0000000000000007E-5</v>
      </c>
      <c r="AC106" s="49">
        <v>8.0000000000000007E-5</v>
      </c>
      <c r="AD106" s="49">
        <v>8.0000000000000007E-5</v>
      </c>
      <c r="AE106" s="49">
        <v>6.9999999999999994E-5</v>
      </c>
      <c r="AF106" s="49">
        <v>6.9999999999999994E-5</v>
      </c>
      <c r="AG106" s="49">
        <v>6.0000000000000002E-5</v>
      </c>
      <c r="AH106" s="49">
        <v>7.1000000000000005E-5</v>
      </c>
      <c r="AI106" s="49">
        <v>8.0000000000000007E-5</v>
      </c>
      <c r="AJ106" s="49">
        <v>8.5000000000000006E-5</v>
      </c>
      <c r="AK106" s="49">
        <v>9.0000000000000006E-5</v>
      </c>
      <c r="AL106" s="49">
        <v>9.3999999999999994E-5</v>
      </c>
      <c r="AM106" s="49">
        <v>1E-4</v>
      </c>
      <c r="AN106" s="49">
        <v>1.02E-4</v>
      </c>
      <c r="AO106" s="49">
        <v>1.05E-4</v>
      </c>
      <c r="AP106" s="49">
        <v>1.07E-4</v>
      </c>
      <c r="AQ106" s="49">
        <v>1.1E-4</v>
      </c>
      <c r="AR106" s="49">
        <v>1.12E-4</v>
      </c>
      <c r="AS106" s="49">
        <v>1.15E-4</v>
      </c>
      <c r="AT106" s="49">
        <v>1.17E-4</v>
      </c>
      <c r="AU106" s="49">
        <v>1.1900000000000001E-4</v>
      </c>
      <c r="AV106" s="49">
        <v>1.21E-4</v>
      </c>
      <c r="AW106" s="49">
        <v>1.2400000000000001E-4</v>
      </c>
      <c r="AX106" s="49">
        <v>1.25E-4</v>
      </c>
      <c r="AY106" s="49">
        <v>1.2799999999999999E-4</v>
      </c>
      <c r="AZ106" s="49">
        <v>1.2899999999999999E-4</v>
      </c>
      <c r="BA106" s="49">
        <v>1.2999999999999999E-4</v>
      </c>
      <c r="BB106" s="49">
        <v>1.27E-4</v>
      </c>
      <c r="BC106" s="49">
        <v>1.25E-4</v>
      </c>
      <c r="BD106" s="49">
        <v>1.25E-4</v>
      </c>
      <c r="BE106" s="49">
        <v>1.2999999999999999E-4</v>
      </c>
      <c r="BF106" s="49">
        <v>1.2999999999999999E-4</v>
      </c>
      <c r="BG106" s="49">
        <v>1.2899999999999999E-4</v>
      </c>
      <c r="BH106" s="49">
        <v>1.2799999999999999E-4</v>
      </c>
      <c r="BI106" s="49">
        <v>1.3200000000000001E-4</v>
      </c>
      <c r="BJ106" s="49">
        <v>1.3200000000000001E-4</v>
      </c>
      <c r="BK106" s="49">
        <v>1.3300000000000001E-4</v>
      </c>
      <c r="BL106" s="49">
        <v>1.34E-4</v>
      </c>
    </row>
    <row r="107" spans="1:64" x14ac:dyDescent="0.3">
      <c r="A107" s="49">
        <v>129</v>
      </c>
      <c r="B107" s="49" t="s">
        <v>4927</v>
      </c>
      <c r="C107" s="49" t="s">
        <v>406</v>
      </c>
      <c r="D107" s="49">
        <v>2.9795750000000001</v>
      </c>
      <c r="E107" s="49">
        <v>3.1099049999999999</v>
      </c>
      <c r="F107" s="49">
        <v>3.131005</v>
      </c>
      <c r="G107" s="49">
        <v>3.2276600000000002</v>
      </c>
      <c r="H107" s="49">
        <v>3.24132</v>
      </c>
      <c r="I107" s="49">
        <v>3.4906199999999998</v>
      </c>
      <c r="J107" s="49">
        <v>3.5616449999999999</v>
      </c>
      <c r="K107" s="49">
        <v>3.63862</v>
      </c>
      <c r="L107" s="49">
        <v>3.64161</v>
      </c>
      <c r="M107" s="49">
        <v>3.6167379999999998</v>
      </c>
      <c r="N107" s="49">
        <v>3.691983</v>
      </c>
      <c r="O107" s="49">
        <v>3.7705139999999999</v>
      </c>
      <c r="P107" s="49">
        <v>3.8053710000000001</v>
      </c>
      <c r="Q107" s="49">
        <v>3.9109240000000001</v>
      </c>
      <c r="R107" s="49">
        <v>3.9962650000000002</v>
      </c>
      <c r="S107" s="49">
        <v>4.0802560000000003</v>
      </c>
      <c r="T107" s="49">
        <v>4.215865</v>
      </c>
      <c r="U107" s="49">
        <v>4.2801270000000002</v>
      </c>
      <c r="V107" s="49">
        <v>4.3203990000000001</v>
      </c>
      <c r="W107" s="49">
        <v>4.4610110000000001</v>
      </c>
      <c r="X107" s="49">
        <v>4.4660159999999998</v>
      </c>
      <c r="Y107" s="49">
        <v>4.5367559999999996</v>
      </c>
      <c r="Z107" s="49">
        <v>4.6531919999999998</v>
      </c>
      <c r="AA107" s="49">
        <v>4.6610839999999998</v>
      </c>
      <c r="AB107" s="49">
        <v>4.7577470000000002</v>
      </c>
      <c r="AC107" s="49">
        <v>4.8515990000000002</v>
      </c>
      <c r="AD107" s="49">
        <v>4.5323820000000001</v>
      </c>
      <c r="AE107" s="49">
        <v>4.6300879999999998</v>
      </c>
      <c r="AF107" s="49">
        <v>4.746753</v>
      </c>
      <c r="AG107" s="49">
        <v>4.8523240000000003</v>
      </c>
      <c r="AH107" s="49">
        <v>5.1515329999999997</v>
      </c>
      <c r="AI107" s="49">
        <v>5.1163670000000003</v>
      </c>
      <c r="AJ107" s="49">
        <v>5.4078059999999999</v>
      </c>
      <c r="AK107" s="49">
        <v>5.0915679999999996</v>
      </c>
      <c r="AL107" s="49">
        <v>5.1820760000000003</v>
      </c>
      <c r="AM107" s="49">
        <v>5.2170259999999997</v>
      </c>
      <c r="AN107" s="49">
        <v>5.3161579999999997</v>
      </c>
      <c r="AO107" s="49">
        <v>5.3651730000000004</v>
      </c>
      <c r="AP107" s="49">
        <v>5.3750369999999998</v>
      </c>
      <c r="AQ107" s="49">
        <v>5.4145320000000003</v>
      </c>
      <c r="AR107" s="49">
        <v>5.4366859999999999</v>
      </c>
      <c r="AS107" s="49">
        <v>5.3929220000000004</v>
      </c>
      <c r="AT107" s="49">
        <v>5.4449050000000003</v>
      </c>
      <c r="AU107" s="49">
        <v>5.5012540000000003</v>
      </c>
      <c r="AV107" s="49">
        <v>5.669829</v>
      </c>
      <c r="AW107" s="49">
        <v>5.7803469999999999</v>
      </c>
      <c r="AX107" s="49">
        <v>5.832929</v>
      </c>
      <c r="AY107" s="49">
        <v>5.8786139999999998</v>
      </c>
      <c r="AZ107" s="49">
        <v>5.9457800000000001</v>
      </c>
      <c r="BA107" s="49">
        <v>5.9885859999999997</v>
      </c>
      <c r="BB107" s="49">
        <v>5.9593059999999998</v>
      </c>
      <c r="BC107" s="49">
        <v>6.1283979999999998</v>
      </c>
      <c r="BD107" s="49">
        <v>5.4285209999999999</v>
      </c>
      <c r="BE107" s="49">
        <v>5.8117539999999996</v>
      </c>
      <c r="BF107" s="49">
        <v>5.5658570000000003</v>
      </c>
      <c r="BG107" s="49">
        <v>5.8615380000000004</v>
      </c>
      <c r="BH107" s="49">
        <v>5.774616</v>
      </c>
      <c r="BI107" s="49">
        <v>6.1572760000000004</v>
      </c>
      <c r="BJ107" s="49">
        <v>6.5172929999999996</v>
      </c>
      <c r="BK107" s="49">
        <v>6.5153400000000001</v>
      </c>
      <c r="BL107" s="49">
        <v>6.3551900000000003</v>
      </c>
    </row>
    <row r="108" spans="1:64" x14ac:dyDescent="0.3">
      <c r="A108" s="49">
        <v>130</v>
      </c>
      <c r="B108" s="49" t="s">
        <v>4926</v>
      </c>
      <c r="C108" s="49" t="s">
        <v>408</v>
      </c>
      <c r="D108" s="49">
        <v>2.635049</v>
      </c>
      <c r="E108" s="49">
        <v>2.687589</v>
      </c>
      <c r="F108" s="49">
        <v>2.7625190000000002</v>
      </c>
      <c r="G108" s="49">
        <v>2.7712889999999999</v>
      </c>
      <c r="H108" s="49">
        <v>3.2712479999999999</v>
      </c>
      <c r="I108" s="49">
        <v>3.3074720000000002</v>
      </c>
      <c r="J108" s="49">
        <v>3.0385529999999998</v>
      </c>
      <c r="K108" s="49">
        <v>3.429989</v>
      </c>
      <c r="L108" s="49">
        <v>3.469058</v>
      </c>
      <c r="M108" s="49">
        <v>3.3630659999999999</v>
      </c>
      <c r="N108" s="49">
        <v>3.6007760000000002</v>
      </c>
      <c r="O108" s="49">
        <v>3.749854</v>
      </c>
      <c r="P108" s="49">
        <v>3.9309180000000001</v>
      </c>
      <c r="Q108" s="49">
        <v>3.8777110000000001</v>
      </c>
      <c r="R108" s="49">
        <v>3.6514180000000001</v>
      </c>
      <c r="S108" s="49">
        <v>3.7140919999999999</v>
      </c>
      <c r="T108" s="49">
        <v>3.7722609999999999</v>
      </c>
      <c r="U108" s="49">
        <v>3.9125100000000002</v>
      </c>
      <c r="V108" s="49">
        <v>3.9356010000000001</v>
      </c>
      <c r="W108" s="49">
        <v>3.5707409999999999</v>
      </c>
      <c r="X108" s="49">
        <v>3.8248669999999998</v>
      </c>
      <c r="Y108" s="49">
        <v>4.0524449999999996</v>
      </c>
      <c r="Z108" s="49">
        <v>3.9293740000000001</v>
      </c>
      <c r="AA108" s="49">
        <v>4.0111990000000004</v>
      </c>
      <c r="AB108" s="49">
        <v>4.0100300000000004</v>
      </c>
      <c r="AC108" s="49">
        <v>4.1428200000000004</v>
      </c>
      <c r="AD108" s="49">
        <v>4.1520429999999999</v>
      </c>
      <c r="AE108" s="49">
        <v>4.2030089999999998</v>
      </c>
      <c r="AF108" s="49">
        <v>4.2980539999999996</v>
      </c>
      <c r="AG108" s="49">
        <v>4.4897859999999996</v>
      </c>
      <c r="AH108" s="49">
        <v>5.0466559999999996</v>
      </c>
      <c r="AI108" s="49">
        <v>4.8219750000000001</v>
      </c>
      <c r="AJ108" s="49">
        <v>4.8761619999999999</v>
      </c>
      <c r="AK108" s="49">
        <v>4.4875999999999996</v>
      </c>
      <c r="AL108" s="49">
        <v>5.0273209999999997</v>
      </c>
      <c r="AM108" s="49">
        <v>5.2247250000000003</v>
      </c>
      <c r="AN108" s="49">
        <v>5.3107680000000004</v>
      </c>
      <c r="AO108" s="49">
        <v>5.5637499999999998</v>
      </c>
      <c r="AP108" s="49">
        <v>5.8390319999999996</v>
      </c>
      <c r="AQ108" s="49">
        <v>5.985544</v>
      </c>
      <c r="AR108" s="49">
        <v>6.3239140000000003</v>
      </c>
      <c r="AS108" s="49">
        <v>6.1437780000000002</v>
      </c>
      <c r="AT108" s="49">
        <v>6.7759179999999999</v>
      </c>
      <c r="AU108" s="49">
        <v>6.8331179999999998</v>
      </c>
      <c r="AV108" s="49">
        <v>7.0501990000000001</v>
      </c>
      <c r="AW108" s="49">
        <v>7.5000270000000002</v>
      </c>
      <c r="AX108" s="49">
        <v>6.5683369999999996</v>
      </c>
      <c r="AY108" s="49">
        <v>7.5423200000000001</v>
      </c>
      <c r="AZ108" s="49">
        <v>7.7402829999999998</v>
      </c>
      <c r="BA108" s="49">
        <v>8.022176</v>
      </c>
      <c r="BB108" s="49">
        <v>8.1253890000000002</v>
      </c>
      <c r="BC108" s="49">
        <v>9.0497110000000003</v>
      </c>
      <c r="BD108" s="49">
        <v>9.1571069999999999</v>
      </c>
      <c r="BE108" s="49">
        <v>9.3739360000000005</v>
      </c>
      <c r="BF108" s="49">
        <v>9.2017720000000001</v>
      </c>
      <c r="BG108" s="49">
        <v>9.0598880000000008</v>
      </c>
      <c r="BH108" s="49">
        <v>9.4798570000000009</v>
      </c>
      <c r="BI108" s="49">
        <v>9.5026159999999997</v>
      </c>
      <c r="BJ108" s="49">
        <v>9.8958759999999995</v>
      </c>
      <c r="BK108" s="49">
        <v>10.341154</v>
      </c>
      <c r="BL108" s="49">
        <v>10.445347</v>
      </c>
    </row>
    <row r="109" spans="1:64" x14ac:dyDescent="0.3">
      <c r="A109" s="49">
        <v>131</v>
      </c>
      <c r="B109" s="49" t="s">
        <v>4925</v>
      </c>
      <c r="C109" s="49" t="s">
        <v>410</v>
      </c>
      <c r="D109" s="49">
        <v>2.8638170000000001</v>
      </c>
      <c r="E109" s="49">
        <v>2.923352</v>
      </c>
      <c r="F109" s="49">
        <v>3.1008629999999999</v>
      </c>
      <c r="G109" s="49">
        <v>3.137483</v>
      </c>
      <c r="H109" s="49">
        <v>3.2989579999999998</v>
      </c>
      <c r="I109" s="49">
        <v>3.1817120000000001</v>
      </c>
      <c r="J109" s="49">
        <v>3.2374619999999998</v>
      </c>
      <c r="K109" s="49">
        <v>3.4270779999999998</v>
      </c>
      <c r="L109" s="49">
        <v>3.5941429999999999</v>
      </c>
      <c r="M109" s="49">
        <v>3.707433</v>
      </c>
      <c r="N109" s="49">
        <v>3.8599990000000002</v>
      </c>
      <c r="O109" s="49">
        <v>4.0273459999999996</v>
      </c>
      <c r="P109" s="49">
        <v>4.3035490000000003</v>
      </c>
      <c r="Q109" s="49">
        <v>4.3349909999999996</v>
      </c>
      <c r="R109" s="49">
        <v>4.3401680000000002</v>
      </c>
      <c r="S109" s="49">
        <v>4.5056339999999997</v>
      </c>
      <c r="T109" s="49">
        <v>4.5816629999999998</v>
      </c>
      <c r="U109" s="49">
        <v>4.4772379999999998</v>
      </c>
      <c r="V109" s="49">
        <v>4.6319280000000003</v>
      </c>
      <c r="W109" s="49">
        <v>4.6734770000000001</v>
      </c>
      <c r="X109" s="49">
        <v>4.7621409999999997</v>
      </c>
      <c r="Y109" s="49">
        <v>4.7416299999999998</v>
      </c>
      <c r="Z109" s="49">
        <v>4.8116320000000004</v>
      </c>
      <c r="AA109" s="49">
        <v>4.7810509999999997</v>
      </c>
      <c r="AB109" s="49">
        <v>5.0171970000000004</v>
      </c>
      <c r="AC109" s="49">
        <v>5.1758360000000003</v>
      </c>
      <c r="AD109" s="49">
        <v>5.2947620000000004</v>
      </c>
      <c r="AE109" s="49">
        <v>5.6439979999999998</v>
      </c>
      <c r="AF109" s="49">
        <v>5.7755809999999999</v>
      </c>
      <c r="AG109" s="49">
        <v>5.8907910000000001</v>
      </c>
      <c r="AH109" s="49">
        <v>11.560961000000001</v>
      </c>
      <c r="AI109" s="49">
        <v>11.741184000000001</v>
      </c>
      <c r="AJ109" s="49">
        <v>11.970238999999999</v>
      </c>
      <c r="AK109" s="49">
        <v>12.211921</v>
      </c>
      <c r="AL109" s="49">
        <v>12.389400999999999</v>
      </c>
      <c r="AM109" s="49">
        <v>12.796192</v>
      </c>
      <c r="AN109" s="49">
        <v>13.309125</v>
      </c>
      <c r="AO109" s="49">
        <v>13.722758000000001</v>
      </c>
      <c r="AP109" s="49">
        <v>14.337419000000001</v>
      </c>
      <c r="AQ109" s="49">
        <v>14.449</v>
      </c>
      <c r="AR109" s="49">
        <v>14.671412999999999</v>
      </c>
      <c r="AS109" s="49">
        <v>15.162038000000001</v>
      </c>
      <c r="AT109" s="49">
        <v>15.520068</v>
      </c>
      <c r="AU109" s="49">
        <v>15.715082000000001</v>
      </c>
      <c r="AV109" s="49">
        <v>16.227049999999998</v>
      </c>
      <c r="AW109" s="49">
        <v>16.286311000000001</v>
      </c>
      <c r="AX109" s="49">
        <v>16.715917000000001</v>
      </c>
      <c r="AY109" s="49">
        <v>17.193356000000001</v>
      </c>
      <c r="AZ109" s="49">
        <v>17.585535</v>
      </c>
      <c r="BA109" s="49">
        <v>18.064997999999999</v>
      </c>
      <c r="BB109" s="49">
        <v>18.607586999999999</v>
      </c>
      <c r="BC109" s="49">
        <v>18.787420000000001</v>
      </c>
      <c r="BD109" s="49">
        <v>19.220513</v>
      </c>
      <c r="BE109" s="49">
        <v>17.51238</v>
      </c>
      <c r="BF109" s="49">
        <v>18.104693999999999</v>
      </c>
      <c r="BG109" s="49">
        <v>18.552503000000002</v>
      </c>
      <c r="BH109" s="49">
        <v>18.902197000000001</v>
      </c>
      <c r="BI109" s="49">
        <v>19.161624</v>
      </c>
      <c r="BJ109" s="49">
        <v>19.246841</v>
      </c>
      <c r="BK109" s="49">
        <v>19.247323000000002</v>
      </c>
      <c r="BL109" s="49">
        <v>18.978756000000001</v>
      </c>
    </row>
    <row r="110" spans="1:64" x14ac:dyDescent="0.3">
      <c r="A110" s="49">
        <v>132</v>
      </c>
      <c r="B110" s="49" t="s">
        <v>4924</v>
      </c>
      <c r="C110" s="49" t="s">
        <v>412</v>
      </c>
      <c r="D110" s="49">
        <v>5.6730000000000001E-3</v>
      </c>
      <c r="E110" s="49">
        <v>5.875E-3</v>
      </c>
      <c r="F110" s="49">
        <v>6.0910000000000001E-3</v>
      </c>
      <c r="G110" s="49">
        <v>6.4850000000000003E-3</v>
      </c>
      <c r="H110" s="49">
        <v>6.6670000000000002E-3</v>
      </c>
      <c r="I110" s="49">
        <v>7.2810000000000001E-3</v>
      </c>
      <c r="J110" s="49">
        <v>7.1110000000000001E-3</v>
      </c>
      <c r="K110" s="49">
        <v>7.0730000000000003E-3</v>
      </c>
      <c r="L110" s="49">
        <v>6.9090000000000002E-3</v>
      </c>
      <c r="M110" s="49">
        <v>7.2049999999999996E-3</v>
      </c>
      <c r="N110" s="49">
        <v>7.0889999999999998E-3</v>
      </c>
      <c r="O110" s="49">
        <v>6.6649999999999999E-3</v>
      </c>
      <c r="P110" s="49">
        <v>8.8509999999999995E-3</v>
      </c>
      <c r="Q110" s="49">
        <v>9.3970000000000008E-3</v>
      </c>
      <c r="R110" s="49">
        <v>1.3044E-2</v>
      </c>
      <c r="S110" s="49">
        <v>8.2349999999999993E-3</v>
      </c>
      <c r="T110" s="49">
        <v>8.7810000000000006E-3</v>
      </c>
      <c r="U110" s="49">
        <v>8.4049999999999993E-3</v>
      </c>
      <c r="V110" s="49">
        <v>7.7929999999999996E-3</v>
      </c>
      <c r="W110" s="49">
        <v>8.3829999999999998E-3</v>
      </c>
      <c r="X110" s="49">
        <v>9.0729999999999995E-3</v>
      </c>
      <c r="Y110" s="49">
        <v>9.4330000000000004E-3</v>
      </c>
      <c r="Z110" s="49">
        <v>1.0129000000000001E-2</v>
      </c>
      <c r="AA110" s="49">
        <v>1.0913000000000001E-2</v>
      </c>
      <c r="AB110" s="49">
        <v>1.1049E-2</v>
      </c>
      <c r="AC110" s="49">
        <v>1.1171E-2</v>
      </c>
      <c r="AD110" s="49">
        <v>1.1157E-2</v>
      </c>
      <c r="AE110" s="49">
        <v>1.1107000000000001E-2</v>
      </c>
      <c r="AF110" s="49">
        <v>1.0900999999999999E-2</v>
      </c>
      <c r="AG110" s="49">
        <v>8.9789999999999991E-3</v>
      </c>
      <c r="AH110" s="49">
        <v>1.3616E-2</v>
      </c>
      <c r="AI110" s="49">
        <v>1.4629E-2</v>
      </c>
      <c r="AJ110" s="49">
        <v>1.4444E-2</v>
      </c>
      <c r="AK110" s="49">
        <v>1.3946999999999999E-2</v>
      </c>
      <c r="AL110" s="49">
        <v>1.4068000000000001E-2</v>
      </c>
      <c r="AM110" s="49">
        <v>1.5584000000000001E-2</v>
      </c>
      <c r="AN110" s="49">
        <v>1.41E-2</v>
      </c>
      <c r="AO110" s="49">
        <v>1.3048000000000001E-2</v>
      </c>
      <c r="AP110" s="49">
        <v>1.1532000000000001E-2</v>
      </c>
      <c r="AQ110" s="49">
        <v>1.4227999999999999E-2</v>
      </c>
      <c r="AR110" s="49">
        <v>1.9368E-2</v>
      </c>
      <c r="AS110" s="49">
        <v>2.3553999999999999E-2</v>
      </c>
      <c r="AT110" s="49">
        <v>2.5090999999999999E-2</v>
      </c>
      <c r="AU110" s="49">
        <v>2.5100999999999998E-2</v>
      </c>
      <c r="AV110" s="49">
        <v>1.4954E-2</v>
      </c>
      <c r="AW110" s="49">
        <v>6.875E-3</v>
      </c>
      <c r="AX110" s="49">
        <v>5.457E-3</v>
      </c>
      <c r="AY110" s="49">
        <v>5.9699999999999996E-3</v>
      </c>
      <c r="AZ110" s="49">
        <v>1.1152E-2</v>
      </c>
      <c r="BA110" s="49">
        <v>9.3410000000000003E-3</v>
      </c>
      <c r="BB110" s="49">
        <v>7.9660000000000009E-3</v>
      </c>
      <c r="BC110" s="49">
        <v>6.6969999999999998E-3</v>
      </c>
      <c r="BD110" s="49">
        <v>6.1110000000000001E-3</v>
      </c>
      <c r="BE110" s="49">
        <v>6.6499999999999997E-3</v>
      </c>
      <c r="BF110" s="49">
        <v>8.8690000000000001E-3</v>
      </c>
      <c r="BG110" s="49">
        <v>7.5319999999999996E-3</v>
      </c>
      <c r="BH110" s="49">
        <v>7.7359999999999998E-3</v>
      </c>
      <c r="BI110" s="49">
        <v>7.9839999999999998E-3</v>
      </c>
      <c r="BJ110" s="49">
        <v>8.1960000000000002E-3</v>
      </c>
      <c r="BK110" s="49">
        <v>8.4209999999999997E-3</v>
      </c>
      <c r="BL110" s="49">
        <v>7.2680000000000002E-3</v>
      </c>
    </row>
    <row r="111" spans="1:64" x14ac:dyDescent="0.3">
      <c r="A111" s="49">
        <v>133</v>
      </c>
      <c r="B111" s="49" t="s">
        <v>4923</v>
      </c>
      <c r="C111" s="49" t="s">
        <v>414</v>
      </c>
      <c r="D111" s="49">
        <v>3.7071049999999999</v>
      </c>
      <c r="E111" s="49">
        <v>3.7891900000000001</v>
      </c>
      <c r="F111" s="49">
        <v>3.8856169999999999</v>
      </c>
      <c r="G111" s="49">
        <v>3.0984189999999998</v>
      </c>
      <c r="H111" s="49">
        <v>3.0144579999999999</v>
      </c>
      <c r="I111" s="49">
        <v>3.2088999999999999</v>
      </c>
      <c r="J111" s="49">
        <v>3.6356389999999998</v>
      </c>
      <c r="K111" s="49">
        <v>3.283293</v>
      </c>
      <c r="L111" s="49">
        <v>3.341256</v>
      </c>
      <c r="M111" s="49">
        <v>3.1388919999999998</v>
      </c>
      <c r="N111" s="49">
        <v>3.0784449999999999</v>
      </c>
      <c r="O111" s="49">
        <v>3.07396</v>
      </c>
      <c r="P111" s="49">
        <v>3.283846</v>
      </c>
      <c r="Q111" s="49">
        <v>3.580295</v>
      </c>
      <c r="R111" s="49">
        <v>3.636206</v>
      </c>
      <c r="S111" s="49">
        <v>4.1749539999999996</v>
      </c>
      <c r="T111" s="49">
        <v>4.1777449999999998</v>
      </c>
      <c r="U111" s="49">
        <v>2.8896389999999998</v>
      </c>
      <c r="V111" s="49">
        <v>3.2368000000000001</v>
      </c>
      <c r="W111" s="49">
        <v>3.3568799999999999</v>
      </c>
      <c r="X111" s="49">
        <v>3.5375079999999999</v>
      </c>
      <c r="Y111" s="49">
        <v>3.9517690000000001</v>
      </c>
      <c r="Z111" s="49">
        <v>4.1618709999999997</v>
      </c>
      <c r="AA111" s="49">
        <v>4.0059990000000001</v>
      </c>
      <c r="AB111" s="49">
        <v>4.0945590000000003</v>
      </c>
      <c r="AC111" s="49">
        <v>3.9811169999999998</v>
      </c>
      <c r="AD111" s="49">
        <v>3.9802590000000002</v>
      </c>
      <c r="AE111" s="49">
        <v>5.7585150000000001</v>
      </c>
      <c r="AF111" s="49">
        <v>5.5158300000000002</v>
      </c>
      <c r="AG111" s="49">
        <v>6.0585639999999996</v>
      </c>
      <c r="AH111" s="49">
        <v>6.8837229999999998</v>
      </c>
      <c r="AI111" s="49">
        <v>7.9166369999999997</v>
      </c>
      <c r="AJ111" s="49">
        <v>8.8303209999999996</v>
      </c>
      <c r="AK111" s="49">
        <v>8.6700780000000002</v>
      </c>
      <c r="AL111" s="49">
        <v>8.1535430000000009</v>
      </c>
      <c r="AM111" s="49">
        <v>7.3699570000000003</v>
      </c>
      <c r="AN111" s="49">
        <v>7.5639149999999997</v>
      </c>
      <c r="AO111" s="49">
        <v>7.8145569999999998</v>
      </c>
      <c r="AP111" s="49">
        <v>8.7633209999999995</v>
      </c>
      <c r="AQ111" s="49">
        <v>7.2317460000000002</v>
      </c>
      <c r="AR111" s="49">
        <v>9.1609850000000002</v>
      </c>
      <c r="AS111" s="49">
        <v>10.050913</v>
      </c>
      <c r="AT111" s="49">
        <v>11.182544</v>
      </c>
      <c r="AU111" s="49">
        <v>8.8953550000000003</v>
      </c>
      <c r="AV111" s="49">
        <v>10.467658999999999</v>
      </c>
      <c r="AW111" s="49">
        <v>10.509912999999999</v>
      </c>
      <c r="AX111" s="49">
        <v>10.482472</v>
      </c>
      <c r="AY111" s="49">
        <v>10.217981999999999</v>
      </c>
      <c r="AZ111" s="49">
        <v>9.9201899999999998</v>
      </c>
      <c r="BA111" s="49">
        <v>10.799125</v>
      </c>
      <c r="BB111" s="49">
        <v>15.419390999999999</v>
      </c>
      <c r="BC111" s="49">
        <v>13.459386</v>
      </c>
      <c r="BD111" s="49">
        <v>13.831841000000001</v>
      </c>
      <c r="BE111" s="49">
        <v>13.910586</v>
      </c>
      <c r="BF111" s="49">
        <v>15.46632</v>
      </c>
      <c r="BG111" s="49">
        <v>17.022694999999999</v>
      </c>
      <c r="BH111" s="49">
        <v>17.713124000000001</v>
      </c>
      <c r="BI111" s="49">
        <v>18.634841000000002</v>
      </c>
      <c r="BJ111" s="49">
        <v>18.562747999999999</v>
      </c>
      <c r="BK111" s="49">
        <v>17.069945000000001</v>
      </c>
      <c r="BL111" s="49">
        <v>19.160157000000002</v>
      </c>
    </row>
    <row r="112" spans="1:64" x14ac:dyDescent="0.3">
      <c r="A112" s="49">
        <v>134</v>
      </c>
      <c r="B112" s="49" t="s">
        <v>4922</v>
      </c>
      <c r="C112" s="49" t="s">
        <v>416</v>
      </c>
      <c r="D112" s="49">
        <v>3.0093999999999999E-2</v>
      </c>
      <c r="E112" s="49">
        <v>2.9763999999999999E-2</v>
      </c>
      <c r="F112" s="49">
        <v>2.9319000000000001E-2</v>
      </c>
      <c r="G112" s="49">
        <v>2.8826999999999998E-2</v>
      </c>
      <c r="H112" s="49">
        <v>2.5846000000000001E-2</v>
      </c>
      <c r="I112" s="49">
        <v>2.3687E-2</v>
      </c>
      <c r="J112" s="49">
        <v>2.3439999999999999E-2</v>
      </c>
      <c r="K112" s="49">
        <v>2.2855E-2</v>
      </c>
      <c r="L112" s="49">
        <v>2.2693000000000001E-2</v>
      </c>
      <c r="M112" s="49">
        <v>2.026E-2</v>
      </c>
      <c r="N112" s="49">
        <v>1.9647999999999999E-2</v>
      </c>
      <c r="O112" s="49">
        <v>1.8887000000000001E-2</v>
      </c>
      <c r="P112" s="49">
        <v>1.8034000000000001E-2</v>
      </c>
      <c r="Q112" s="49">
        <v>1.95E-2</v>
      </c>
      <c r="R112" s="49">
        <v>1.9390000000000001E-2</v>
      </c>
      <c r="S112" s="49">
        <v>2.0114E-2</v>
      </c>
      <c r="T112" s="49">
        <v>1.9900999999999999E-2</v>
      </c>
      <c r="U112" s="49">
        <v>1.9470000000000001E-2</v>
      </c>
      <c r="V112" s="49">
        <v>1.9996E-2</v>
      </c>
      <c r="W112" s="49">
        <v>2.0346E-2</v>
      </c>
      <c r="X112" s="49">
        <v>1.8695E-2</v>
      </c>
      <c r="Y112" s="49">
        <v>1.9050000000000001E-2</v>
      </c>
      <c r="Z112" s="49">
        <v>1.9732E-2</v>
      </c>
      <c r="AA112" s="49">
        <v>1.9033999999999999E-2</v>
      </c>
      <c r="AB112" s="49">
        <v>2.2388000000000002E-2</v>
      </c>
      <c r="AC112" s="49">
        <v>2.1846000000000001E-2</v>
      </c>
      <c r="AD112" s="49">
        <v>2.1350000000000001E-2</v>
      </c>
      <c r="AE112" s="49">
        <v>2.1385999999999999E-2</v>
      </c>
      <c r="AF112" s="49">
        <v>2.0642000000000001E-2</v>
      </c>
      <c r="AG112" s="49">
        <v>2.0621E-2</v>
      </c>
      <c r="AH112" s="49">
        <v>2.0178000000000001E-2</v>
      </c>
      <c r="AI112" s="49">
        <v>2.1218999999999998E-2</v>
      </c>
      <c r="AJ112" s="49">
        <v>2.1749000000000001E-2</v>
      </c>
      <c r="AK112" s="49">
        <v>2.3019000000000001E-2</v>
      </c>
      <c r="AL112" s="49">
        <v>2.4211E-2</v>
      </c>
      <c r="AM112" s="49">
        <v>1.983E-2</v>
      </c>
      <c r="AN112" s="49">
        <v>2.1530000000000001E-2</v>
      </c>
      <c r="AO112" s="49">
        <v>2.3113999999999999E-2</v>
      </c>
      <c r="AP112" s="49">
        <v>2.2696999999999998E-2</v>
      </c>
      <c r="AQ112" s="49">
        <v>2.3037999999999999E-2</v>
      </c>
      <c r="AR112" s="49">
        <v>2.4091000000000001E-2</v>
      </c>
      <c r="AS112" s="49">
        <v>2.1402999999999998E-2</v>
      </c>
      <c r="AT112" s="49">
        <v>2.1384E-2</v>
      </c>
      <c r="AU112" s="49">
        <v>2.3317000000000001E-2</v>
      </c>
      <c r="AV112" s="49">
        <v>2.2790000000000001E-2</v>
      </c>
      <c r="AW112" s="49">
        <v>2.6001E-2</v>
      </c>
      <c r="AX112" s="49">
        <v>2.3588000000000001E-2</v>
      </c>
      <c r="AY112" s="49">
        <v>2.6487E-2</v>
      </c>
      <c r="AZ112" s="49">
        <v>2.5122999999999999E-2</v>
      </c>
      <c r="BA112" s="49">
        <v>2.4874E-2</v>
      </c>
      <c r="BB112" s="49">
        <v>2.5276E-2</v>
      </c>
      <c r="BC112" s="49">
        <v>2.5111999999999999E-2</v>
      </c>
      <c r="BD112" s="49">
        <v>2.5097000000000001E-2</v>
      </c>
      <c r="BE112" s="49">
        <v>2.6061000000000001E-2</v>
      </c>
      <c r="BF112" s="49">
        <v>2.6067E-2</v>
      </c>
      <c r="BG112" s="49">
        <v>2.3916E-2</v>
      </c>
      <c r="BH112" s="49">
        <v>2.5471000000000001E-2</v>
      </c>
      <c r="BI112" s="49">
        <v>2.5200000000000001E-3</v>
      </c>
      <c r="BJ112" s="49">
        <v>2.5200000000000001E-3</v>
      </c>
      <c r="BK112" s="49">
        <v>2.3400000000000001E-3</v>
      </c>
      <c r="BL112" s="49">
        <v>2.3600000000000001E-3</v>
      </c>
    </row>
    <row r="113" spans="1:64" x14ac:dyDescent="0.3">
      <c r="A113" s="49">
        <v>135</v>
      </c>
      <c r="B113" s="49" t="s">
        <v>4921</v>
      </c>
      <c r="C113" s="49" t="s">
        <v>420</v>
      </c>
      <c r="D113" s="49">
        <v>5.638E-2</v>
      </c>
      <c r="E113" s="49">
        <v>5.5629999999999999E-2</v>
      </c>
      <c r="F113" s="49">
        <v>5.6634999999999998E-2</v>
      </c>
      <c r="G113" s="49">
        <v>5.4429999999999999E-2</v>
      </c>
      <c r="H113" s="49">
        <v>5.4339999999999999E-2</v>
      </c>
      <c r="I113" s="49">
        <v>5.2699999999999997E-2</v>
      </c>
      <c r="J113" s="49">
        <v>4.7870000000000003E-2</v>
      </c>
      <c r="K113" s="49">
        <v>4.786E-2</v>
      </c>
      <c r="L113" s="49">
        <v>4.6190000000000002E-2</v>
      </c>
      <c r="M113" s="49">
        <v>4.4249999999999998E-2</v>
      </c>
      <c r="N113" s="49">
        <v>4.632E-2</v>
      </c>
      <c r="O113" s="49">
        <v>4.8329999999999998E-2</v>
      </c>
      <c r="P113" s="49">
        <v>4.4928000000000003E-2</v>
      </c>
      <c r="Q113" s="49">
        <v>4.4670000000000001E-2</v>
      </c>
      <c r="R113" s="49">
        <v>4.512E-2</v>
      </c>
      <c r="S113" s="49">
        <v>4.5775999999999997E-2</v>
      </c>
      <c r="T113" s="49">
        <v>4.5589999999999999E-2</v>
      </c>
      <c r="U113" s="49">
        <v>4.4642000000000001E-2</v>
      </c>
      <c r="V113" s="49">
        <v>4.0099999999999997E-2</v>
      </c>
      <c r="W113" s="49">
        <v>3.6850000000000001E-2</v>
      </c>
      <c r="X113" s="49">
        <v>3.4542000000000003E-2</v>
      </c>
      <c r="Y113" s="49">
        <v>3.6450000000000003E-2</v>
      </c>
      <c r="Z113" s="49">
        <v>3.6479999999999999E-2</v>
      </c>
      <c r="AA113" s="49">
        <v>3.6993999999999999E-2</v>
      </c>
      <c r="AB113" s="49">
        <v>4.0785000000000002E-2</v>
      </c>
      <c r="AC113" s="49">
        <v>4.2168999999999998E-2</v>
      </c>
      <c r="AD113" s="49">
        <v>4.0190999999999998E-2</v>
      </c>
      <c r="AE113" s="49">
        <v>3.8663999999999997E-2</v>
      </c>
      <c r="AF113" s="49">
        <v>3.6928000000000002E-2</v>
      </c>
      <c r="AG113" s="49">
        <v>3.5719000000000001E-2</v>
      </c>
      <c r="AH113" s="49">
        <v>3.6256999999999998E-2</v>
      </c>
      <c r="AI113" s="49">
        <v>3.6435000000000002E-2</v>
      </c>
      <c r="AJ113" s="49">
        <v>3.6176E-2</v>
      </c>
      <c r="AK113" s="49">
        <v>3.6713999999999997E-2</v>
      </c>
      <c r="AL113" s="49">
        <v>3.6155E-2</v>
      </c>
      <c r="AM113" s="49">
        <v>4.3468E-2</v>
      </c>
      <c r="AN113" s="49">
        <v>4.4825999999999998E-2</v>
      </c>
      <c r="AO113" s="49">
        <v>4.5367999999999999E-2</v>
      </c>
      <c r="AP113" s="49">
        <v>4.6158999999999999E-2</v>
      </c>
      <c r="AQ113" s="49">
        <v>4.3177E-2</v>
      </c>
      <c r="AR113" s="49">
        <v>4.3424999999999998E-2</v>
      </c>
      <c r="AS113" s="49">
        <v>4.5387999999999998E-2</v>
      </c>
      <c r="AT113" s="49">
        <v>6.5519999999999995E-2</v>
      </c>
      <c r="AU113" s="49">
        <v>5.6897000000000003E-2</v>
      </c>
      <c r="AV113" s="49">
        <v>3.6567000000000002E-2</v>
      </c>
      <c r="AW113" s="49">
        <v>3.5165000000000002E-2</v>
      </c>
    </row>
    <row r="114" spans="1:64" x14ac:dyDescent="0.3">
      <c r="A114" s="49">
        <v>136</v>
      </c>
      <c r="B114" s="49" t="s">
        <v>4920</v>
      </c>
      <c r="C114" s="49" t="s">
        <v>422</v>
      </c>
      <c r="D114" s="49">
        <v>0.59780800000000001</v>
      </c>
      <c r="E114" s="49">
        <v>0.59699800000000003</v>
      </c>
      <c r="F114" s="49">
        <v>0.614398</v>
      </c>
      <c r="G114" s="49">
        <v>0.61653800000000003</v>
      </c>
      <c r="H114" s="49">
        <v>0.72978799999999999</v>
      </c>
      <c r="I114" s="49">
        <v>0.62654799999999999</v>
      </c>
      <c r="J114" s="49">
        <v>0.62768800000000002</v>
      </c>
      <c r="K114" s="49">
        <v>0.62941400000000003</v>
      </c>
      <c r="L114" s="49">
        <v>0.69460200000000005</v>
      </c>
      <c r="M114" s="49">
        <v>0.64122400000000002</v>
      </c>
      <c r="N114" s="49">
        <v>0.66041799999999995</v>
      </c>
      <c r="O114" s="49">
        <v>0.53347800000000001</v>
      </c>
      <c r="P114" s="49">
        <v>0.380658</v>
      </c>
      <c r="Q114" s="49">
        <v>0.44639800000000002</v>
      </c>
      <c r="R114" s="49">
        <v>0.35716999999999999</v>
      </c>
      <c r="S114" s="49">
        <v>0.28107199999999999</v>
      </c>
      <c r="T114" s="49">
        <v>0.26485799999999998</v>
      </c>
      <c r="U114" s="49">
        <v>0.36770799999999998</v>
      </c>
      <c r="V114" s="49">
        <v>0.36455799999999999</v>
      </c>
      <c r="W114" s="49">
        <v>0.36524200000000001</v>
      </c>
      <c r="X114" s="49">
        <v>0.42616599999999999</v>
      </c>
      <c r="Y114" s="49">
        <v>0.41538799999999998</v>
      </c>
      <c r="Z114" s="49">
        <v>0.34403800000000001</v>
      </c>
      <c r="AA114" s="49">
        <v>0.34603400000000001</v>
      </c>
      <c r="AB114" s="49">
        <v>0.48238799999999998</v>
      </c>
      <c r="AC114" s="49">
        <v>0.50766800000000001</v>
      </c>
      <c r="AD114" s="49">
        <v>0.44658799999999998</v>
      </c>
      <c r="AE114" s="49">
        <v>0.55211200000000005</v>
      </c>
      <c r="AF114" s="49">
        <v>0.54119200000000001</v>
      </c>
      <c r="AG114" s="49">
        <v>0.39208199999999999</v>
      </c>
      <c r="AH114" s="49">
        <v>0.48727599999999999</v>
      </c>
      <c r="AI114" s="49">
        <v>0.42666500000000002</v>
      </c>
      <c r="AJ114" s="49">
        <v>0.57834399999999997</v>
      </c>
      <c r="AK114" s="49">
        <v>0.81229799999999996</v>
      </c>
      <c r="AL114" s="49">
        <v>0.78194900000000001</v>
      </c>
      <c r="AM114" s="49">
        <v>0.76758700000000002</v>
      </c>
      <c r="AN114" s="49">
        <v>0.62461299999999997</v>
      </c>
      <c r="AO114" s="49">
        <v>0.65121300000000004</v>
      </c>
      <c r="AP114" s="49">
        <v>0.70511400000000002</v>
      </c>
      <c r="AQ114" s="49">
        <v>0.67224300000000003</v>
      </c>
      <c r="AR114" s="49">
        <v>0.65219000000000005</v>
      </c>
      <c r="AS114" s="49">
        <v>0.479765</v>
      </c>
      <c r="AT114" s="49">
        <v>0.71529900000000002</v>
      </c>
      <c r="AU114" s="49">
        <v>0.60311700000000001</v>
      </c>
      <c r="AV114" s="49">
        <v>0.66813699999999998</v>
      </c>
      <c r="AW114" s="49">
        <v>0.76699200000000001</v>
      </c>
      <c r="AX114" s="49">
        <v>0.78868899999999997</v>
      </c>
      <c r="AY114" s="49">
        <v>0.76686600000000005</v>
      </c>
      <c r="AZ114" s="49">
        <v>0.76758800000000005</v>
      </c>
      <c r="BA114" s="49">
        <v>0.85269499999999998</v>
      </c>
      <c r="BB114" s="49">
        <v>0.568832</v>
      </c>
      <c r="BC114" s="49">
        <v>0.94333100000000003</v>
      </c>
      <c r="BD114" s="49">
        <v>0.80806299999999998</v>
      </c>
      <c r="BE114" s="49">
        <v>0.69109600000000004</v>
      </c>
      <c r="BF114" s="49">
        <v>0.75030200000000002</v>
      </c>
      <c r="BG114" s="49">
        <v>0.76698699999999997</v>
      </c>
      <c r="BH114" s="49">
        <v>0.65039499999999995</v>
      </c>
      <c r="BI114" s="49">
        <v>0.82218599999999997</v>
      </c>
      <c r="BJ114" s="49">
        <v>0.77304799999999996</v>
      </c>
      <c r="BK114" s="49">
        <v>0.87100900000000003</v>
      </c>
      <c r="BL114" s="49">
        <v>0.73706899999999997</v>
      </c>
    </row>
    <row r="115" spans="1:64" x14ac:dyDescent="0.3">
      <c r="A115" s="49">
        <v>137</v>
      </c>
      <c r="B115" s="49" t="s">
        <v>4919</v>
      </c>
      <c r="C115" s="49" t="s">
        <v>424</v>
      </c>
      <c r="D115" s="49">
        <v>0.173813</v>
      </c>
      <c r="E115" s="49">
        <v>0.18101200000000001</v>
      </c>
      <c r="F115" s="49">
        <v>0.178618</v>
      </c>
      <c r="G115" s="49">
        <v>0.179705</v>
      </c>
      <c r="H115" s="49">
        <v>0.18046100000000001</v>
      </c>
      <c r="I115" s="49">
        <v>0.18018300000000001</v>
      </c>
      <c r="J115" s="49">
        <v>0.177421</v>
      </c>
      <c r="K115" s="49">
        <v>0.17431099999999999</v>
      </c>
      <c r="L115" s="49">
        <v>0.17366500000000001</v>
      </c>
      <c r="M115" s="49">
        <v>0.174844</v>
      </c>
      <c r="N115" s="49">
        <v>0.175008</v>
      </c>
      <c r="O115" s="49">
        <v>0.174729</v>
      </c>
      <c r="P115" s="49">
        <v>0.17565700000000001</v>
      </c>
      <c r="Q115" s="49">
        <v>0.17496700000000001</v>
      </c>
      <c r="R115" s="49">
        <v>0.17657300000000001</v>
      </c>
      <c r="S115" s="49">
        <v>0.17760300000000001</v>
      </c>
      <c r="T115" s="49">
        <v>0.17779300000000001</v>
      </c>
      <c r="U115" s="49">
        <v>0.17698800000000001</v>
      </c>
      <c r="V115" s="49">
        <v>0.17352400000000001</v>
      </c>
      <c r="W115" s="49">
        <v>0.172432</v>
      </c>
      <c r="X115" s="49">
        <v>0.171489</v>
      </c>
      <c r="Y115" s="49">
        <v>0.17422799999999999</v>
      </c>
      <c r="Z115" s="49">
        <v>0.17213500000000001</v>
      </c>
      <c r="AA115" s="49">
        <v>0.172651</v>
      </c>
      <c r="AB115" s="49">
        <v>0.172622</v>
      </c>
      <c r="AC115" s="49">
        <v>0.173508</v>
      </c>
      <c r="AD115" s="49">
        <v>0.17096600000000001</v>
      </c>
      <c r="AE115" s="49">
        <v>0.16953199999999999</v>
      </c>
      <c r="AF115" s="49">
        <v>0.169492</v>
      </c>
      <c r="AG115" s="49">
        <v>0.16931199999999999</v>
      </c>
      <c r="AH115" s="49">
        <v>0.17050799999999999</v>
      </c>
      <c r="AI115" s="49">
        <v>0.16994200000000001</v>
      </c>
      <c r="AJ115" s="49">
        <v>0.168188</v>
      </c>
      <c r="AK115" s="49">
        <v>0.16625300000000001</v>
      </c>
      <c r="AL115" s="49">
        <v>0.16474800000000001</v>
      </c>
      <c r="AM115" s="49">
        <v>0.16254099999999999</v>
      </c>
      <c r="AN115" s="49">
        <v>0.164993</v>
      </c>
      <c r="AO115" s="49">
        <v>0.16753199999999999</v>
      </c>
      <c r="AP115" s="49">
        <v>0.16120699999999999</v>
      </c>
      <c r="AQ115" s="49">
        <v>0.163824</v>
      </c>
      <c r="AR115" s="49">
        <v>0.16547400000000001</v>
      </c>
      <c r="AS115" s="49">
        <v>0.16259100000000001</v>
      </c>
      <c r="AT115" s="49">
        <v>0.161492</v>
      </c>
      <c r="AU115" s="49">
        <v>0.15914800000000001</v>
      </c>
      <c r="AV115" s="49">
        <v>0.154867</v>
      </c>
      <c r="AW115" s="49">
        <v>0.15162700000000001</v>
      </c>
      <c r="AX115" s="49">
        <v>0.14823800000000001</v>
      </c>
      <c r="AY115" s="49">
        <v>0.14091300000000001</v>
      </c>
      <c r="AZ115" s="49">
        <v>0.13938500000000001</v>
      </c>
      <c r="BA115" s="49">
        <v>0.137381</v>
      </c>
      <c r="BB115" s="49">
        <v>0.13281699999999999</v>
      </c>
      <c r="BC115" s="49">
        <v>0.12937199999999999</v>
      </c>
      <c r="BD115" s="49">
        <v>0.12815699999999999</v>
      </c>
      <c r="BE115" s="49">
        <v>0.12307</v>
      </c>
      <c r="BF115" s="49">
        <v>0.125115</v>
      </c>
      <c r="BG115" s="49">
        <v>0.12194000000000001</v>
      </c>
      <c r="BH115" s="49">
        <v>0.119944</v>
      </c>
      <c r="BI115" s="49">
        <v>0.115124</v>
      </c>
      <c r="BJ115" s="49">
        <v>0.110069</v>
      </c>
      <c r="BK115" s="49">
        <v>0.106505</v>
      </c>
      <c r="BL115" s="49">
        <v>0.104104</v>
      </c>
    </row>
    <row r="116" spans="1:64" x14ac:dyDescent="0.3">
      <c r="A116" s="49">
        <v>138</v>
      </c>
      <c r="B116" s="49" t="s">
        <v>4918</v>
      </c>
      <c r="C116" s="49" t="s">
        <v>428</v>
      </c>
      <c r="D116" s="49">
        <v>22.767022000000001</v>
      </c>
      <c r="E116" s="49">
        <v>22.905076000000001</v>
      </c>
      <c r="F116" s="49">
        <v>24.670214000000001</v>
      </c>
      <c r="G116" s="49">
        <v>26.786518000000001</v>
      </c>
      <c r="H116" s="49">
        <v>27.636213000000001</v>
      </c>
      <c r="I116" s="49">
        <v>29.445212000000001</v>
      </c>
      <c r="J116" s="49">
        <v>27.848573999999999</v>
      </c>
      <c r="K116" s="49">
        <v>28.110337000000001</v>
      </c>
      <c r="L116" s="49">
        <v>26.826015000000002</v>
      </c>
      <c r="M116" s="49">
        <v>28.075150000000001</v>
      </c>
      <c r="N116" s="49">
        <v>28.751010999999998</v>
      </c>
      <c r="O116" s="49">
        <v>28.067852999999999</v>
      </c>
      <c r="P116" s="49">
        <v>29.251341</v>
      </c>
      <c r="Q116" s="49">
        <v>27.055226000000001</v>
      </c>
      <c r="R116" s="49">
        <v>28.141952</v>
      </c>
      <c r="S116" s="49">
        <v>26.699539999999999</v>
      </c>
      <c r="T116" s="49">
        <v>29.424486000000002</v>
      </c>
      <c r="U116" s="49">
        <v>28.895804999999999</v>
      </c>
      <c r="V116" s="49">
        <v>24.319054999999999</v>
      </c>
      <c r="W116" s="49">
        <v>28.362283999999999</v>
      </c>
      <c r="X116" s="49">
        <v>31.708627</v>
      </c>
      <c r="Y116" s="49">
        <v>25.934799000000002</v>
      </c>
      <c r="Z116" s="49">
        <v>30.880763999999999</v>
      </c>
      <c r="AA116" s="49">
        <v>29.690874000000001</v>
      </c>
      <c r="AB116" s="49">
        <v>32.252237999999998</v>
      </c>
      <c r="AC116" s="49">
        <v>29.396131</v>
      </c>
      <c r="AD116" s="49">
        <v>30.736681999999998</v>
      </c>
      <c r="AE116" s="49">
        <v>29.627351999999998</v>
      </c>
      <c r="AF116" s="49">
        <v>28.704898</v>
      </c>
      <c r="AG116" s="49">
        <v>31.590299999999999</v>
      </c>
      <c r="AH116" s="49">
        <v>32.260553999999999</v>
      </c>
      <c r="AI116" s="49">
        <v>30.538837999999998</v>
      </c>
      <c r="AJ116" s="49">
        <v>30.632421999999998</v>
      </c>
      <c r="AK116" s="49">
        <v>33.818686</v>
      </c>
      <c r="AL116" s="49">
        <v>34.031820000000003</v>
      </c>
      <c r="AM116" s="49">
        <v>36.228548000000004</v>
      </c>
      <c r="AN116" s="49">
        <v>32.968269999999997</v>
      </c>
      <c r="AO116" s="49">
        <v>35.499364999999997</v>
      </c>
      <c r="AP116" s="49">
        <v>32.919322999999999</v>
      </c>
      <c r="AQ116" s="49">
        <v>32.002510999999998</v>
      </c>
      <c r="AR116" s="49">
        <v>34.177880999999999</v>
      </c>
      <c r="AS116" s="49">
        <v>32.175198999999999</v>
      </c>
      <c r="AT116" s="49">
        <v>33.773024999999997</v>
      </c>
      <c r="AU116" s="49">
        <v>33.684285000000003</v>
      </c>
      <c r="AV116" s="49">
        <v>30.090191000000001</v>
      </c>
      <c r="AW116" s="49">
        <v>32.344442000000001</v>
      </c>
      <c r="AX116" s="49">
        <v>32.520254000000001</v>
      </c>
      <c r="AY116" s="49">
        <v>33.085225000000001</v>
      </c>
      <c r="AZ116" s="49">
        <v>29.640172</v>
      </c>
      <c r="BA116" s="49">
        <v>32.840355000000002</v>
      </c>
      <c r="BB116" s="49">
        <v>29.110171000000001</v>
      </c>
      <c r="BC116" s="49">
        <v>32.726163</v>
      </c>
      <c r="BD116" s="49">
        <v>33.037261000000001</v>
      </c>
      <c r="BE116" s="49">
        <v>34.25705</v>
      </c>
      <c r="BF116" s="49">
        <v>33.640622</v>
      </c>
      <c r="BG116" s="49">
        <v>34.131255000000003</v>
      </c>
      <c r="BH116" s="49">
        <v>33.798921</v>
      </c>
      <c r="BI116" s="49">
        <v>33.055377999999997</v>
      </c>
      <c r="BJ116" s="49">
        <v>31.173102</v>
      </c>
      <c r="BK116" s="49">
        <v>32.897646999999999</v>
      </c>
      <c r="BL116" s="49">
        <v>33.099854000000001</v>
      </c>
    </row>
    <row r="117" spans="1:64" x14ac:dyDescent="0.3">
      <c r="A117" s="49">
        <v>141</v>
      </c>
      <c r="B117" s="49" t="s">
        <v>4917</v>
      </c>
      <c r="C117" s="49" t="s">
        <v>440</v>
      </c>
      <c r="D117" s="49">
        <v>0.64139999999999997</v>
      </c>
      <c r="E117" s="49">
        <v>0.78500000000000003</v>
      </c>
      <c r="F117" s="49">
        <v>0.81020000000000003</v>
      </c>
      <c r="G117" s="49">
        <v>0.84819999999999995</v>
      </c>
      <c r="H117" s="49">
        <v>0.86</v>
      </c>
      <c r="I117" s="49">
        <v>0.81200000000000006</v>
      </c>
      <c r="J117" s="49">
        <v>0.8286</v>
      </c>
      <c r="K117" s="49">
        <v>0.83299999999999996</v>
      </c>
      <c r="L117" s="49">
        <v>0.83979999999999999</v>
      </c>
      <c r="M117" s="49">
        <v>0.84660000000000002</v>
      </c>
      <c r="N117" s="49">
        <v>0.83940000000000003</v>
      </c>
      <c r="O117" s="49">
        <v>0.83979999999999999</v>
      </c>
      <c r="P117" s="49">
        <v>0.85799999999999998</v>
      </c>
      <c r="Q117" s="49">
        <v>0.86080000000000001</v>
      </c>
      <c r="R117" s="49">
        <v>0.88639999999999997</v>
      </c>
      <c r="S117" s="49">
        <v>0.90959999999999996</v>
      </c>
      <c r="T117" s="49">
        <v>0.98780000000000001</v>
      </c>
      <c r="U117" s="49">
        <v>1.1552</v>
      </c>
      <c r="V117" s="49">
        <v>1.1894</v>
      </c>
      <c r="W117" s="49">
        <v>1.1295999999999999</v>
      </c>
      <c r="X117" s="49">
        <v>1.0960000000000001</v>
      </c>
      <c r="Y117" s="49">
        <v>1.0778000000000001</v>
      </c>
      <c r="Z117" s="49">
        <v>1.1970000000000001</v>
      </c>
      <c r="AA117" s="49">
        <v>1.2611600000000001</v>
      </c>
      <c r="AB117" s="49">
        <v>1.2968200000000001</v>
      </c>
      <c r="AC117" s="49">
        <v>1.2975140000000001</v>
      </c>
      <c r="AD117" s="49">
        <v>1.2873559999999999</v>
      </c>
      <c r="AE117" s="49">
        <v>1.3264119999999999</v>
      </c>
      <c r="AF117" s="49">
        <v>1.3871359999999999</v>
      </c>
      <c r="AG117" s="49">
        <v>1.3488800000000001</v>
      </c>
      <c r="AH117" s="49">
        <v>1.2613000000000001</v>
      </c>
      <c r="AI117" s="49">
        <v>1.216048</v>
      </c>
      <c r="AJ117" s="49">
        <v>1.145178</v>
      </c>
      <c r="AK117" s="49">
        <v>0.93683000000000005</v>
      </c>
      <c r="AL117" s="49">
        <v>0.73743199999999998</v>
      </c>
      <c r="AM117" s="49">
        <v>0.69479599999999997</v>
      </c>
      <c r="AN117" s="49">
        <v>0.66464999999999996</v>
      </c>
      <c r="AO117" s="49">
        <v>0.64951599999999998</v>
      </c>
      <c r="AP117" s="49">
        <v>0.59545999999999999</v>
      </c>
      <c r="AQ117" s="49">
        <v>0.40367199999999998</v>
      </c>
      <c r="AR117" s="49">
        <v>0.440554</v>
      </c>
      <c r="AS117" s="49">
        <v>0.477408</v>
      </c>
      <c r="AT117" s="49">
        <v>0.45774399999999998</v>
      </c>
      <c r="AU117" s="49">
        <v>0.39103399999999999</v>
      </c>
      <c r="AV117" s="49">
        <v>0.36629600000000001</v>
      </c>
      <c r="AW117" s="49">
        <v>0.32345400000000002</v>
      </c>
      <c r="AX117" s="49">
        <v>0.31087999999999999</v>
      </c>
      <c r="AY117" s="49">
        <v>0.37204999999999999</v>
      </c>
      <c r="AZ117" s="49">
        <v>0.56850599999999996</v>
      </c>
      <c r="BA117" s="49">
        <v>0.60865000000000002</v>
      </c>
      <c r="BB117" s="49">
        <v>0.67855200000000004</v>
      </c>
      <c r="BC117" s="49">
        <v>0.75490599999999997</v>
      </c>
      <c r="BD117" s="49">
        <v>0.82259400000000005</v>
      </c>
      <c r="BE117" s="49">
        <v>0.96755400000000003</v>
      </c>
      <c r="BF117" s="49">
        <v>0.94289299999999998</v>
      </c>
      <c r="BG117" s="49">
        <v>0.934006</v>
      </c>
      <c r="BH117" s="49">
        <v>0.69509100000000001</v>
      </c>
      <c r="BI117" s="49">
        <v>0.86085999999999996</v>
      </c>
      <c r="BJ117" s="49">
        <v>0.96664300000000003</v>
      </c>
      <c r="BK117" s="49">
        <v>0.92405599999999999</v>
      </c>
      <c r="BL117" s="49">
        <v>1.2408110000000001</v>
      </c>
    </row>
    <row r="118" spans="1:64" x14ac:dyDescent="0.3">
      <c r="A118" s="49">
        <v>143</v>
      </c>
      <c r="B118" s="49" t="s">
        <v>4916</v>
      </c>
      <c r="C118" s="49" t="s">
        <v>447</v>
      </c>
      <c r="D118" s="49">
        <v>8.9152920000000009</v>
      </c>
      <c r="E118" s="49">
        <v>7.9903250000000003</v>
      </c>
      <c r="F118" s="49">
        <v>10.177929000000001</v>
      </c>
      <c r="G118" s="49">
        <v>9.4021629999999998</v>
      </c>
      <c r="H118" s="49">
        <v>9.5707159999999991</v>
      </c>
      <c r="I118" s="49">
        <v>10.983048</v>
      </c>
      <c r="J118" s="49">
        <v>11.185043</v>
      </c>
      <c r="K118" s="49">
        <v>11.231733999999999</v>
      </c>
      <c r="L118" s="49">
        <v>10.902672000000001</v>
      </c>
      <c r="M118" s="49">
        <v>10.706087</v>
      </c>
      <c r="N118" s="49">
        <v>11.341367</v>
      </c>
      <c r="O118" s="49">
        <v>11.016184000000001</v>
      </c>
      <c r="P118" s="49">
        <v>11.346254</v>
      </c>
      <c r="Q118" s="49">
        <v>11.200867000000001</v>
      </c>
      <c r="R118" s="49">
        <v>10.432085000000001</v>
      </c>
      <c r="S118" s="49">
        <v>11.735689000000001</v>
      </c>
      <c r="T118" s="49">
        <v>11.711589999999999</v>
      </c>
      <c r="U118" s="49">
        <v>11.397599</v>
      </c>
      <c r="V118" s="49">
        <v>10.842064000000001</v>
      </c>
      <c r="W118" s="49">
        <v>10.718097</v>
      </c>
      <c r="X118" s="49">
        <v>10.464554</v>
      </c>
      <c r="Y118" s="49">
        <v>10.28856</v>
      </c>
      <c r="Z118" s="49">
        <v>11.42928</v>
      </c>
      <c r="AA118" s="49">
        <v>11.069879</v>
      </c>
      <c r="AB118" s="49">
        <v>12.216519999999999</v>
      </c>
      <c r="AC118" s="49">
        <v>13.031858</v>
      </c>
      <c r="AD118" s="49">
        <v>12.891022</v>
      </c>
      <c r="AE118" s="49">
        <v>13.441722</v>
      </c>
      <c r="AF118" s="49">
        <v>13.940087999999999</v>
      </c>
      <c r="AG118" s="49">
        <v>14.24845</v>
      </c>
      <c r="AH118" s="49">
        <v>14.657828</v>
      </c>
      <c r="AI118" s="49">
        <v>13.893611999999999</v>
      </c>
      <c r="AJ118" s="49">
        <v>13.78735</v>
      </c>
      <c r="AK118" s="49">
        <v>15.577697000000001</v>
      </c>
      <c r="AL118" s="49">
        <v>11.181478</v>
      </c>
      <c r="AM118" s="49">
        <v>15.404144000000001</v>
      </c>
      <c r="AN118" s="49">
        <v>13.502856</v>
      </c>
      <c r="AO118" s="49">
        <v>15.683597000000001</v>
      </c>
      <c r="AP118" s="49">
        <v>14.085068</v>
      </c>
      <c r="AQ118" s="49">
        <v>14.4453</v>
      </c>
      <c r="AR118" s="49">
        <v>13.965254</v>
      </c>
      <c r="AS118" s="49">
        <v>13.514787</v>
      </c>
      <c r="AT118" s="49">
        <v>14.934291</v>
      </c>
      <c r="AU118" s="49">
        <v>15.334080999999999</v>
      </c>
      <c r="AV118" s="49">
        <v>14.859228999999999</v>
      </c>
      <c r="AW118" s="49">
        <v>14.97864</v>
      </c>
      <c r="AX118" s="49">
        <v>13.479217</v>
      </c>
      <c r="AY118" s="49">
        <v>14.42634</v>
      </c>
      <c r="AZ118" s="49">
        <v>14.947652</v>
      </c>
      <c r="BA118" s="49">
        <v>14.732635</v>
      </c>
      <c r="BB118" s="49">
        <v>15.503259</v>
      </c>
      <c r="BC118" s="49">
        <v>15.182539999999999</v>
      </c>
      <c r="BD118" s="49">
        <v>15.559578999999999</v>
      </c>
      <c r="BE118" s="49">
        <v>14.370526999999999</v>
      </c>
      <c r="BF118" s="49">
        <v>15.947082</v>
      </c>
      <c r="BG118" s="49">
        <v>12.306108</v>
      </c>
      <c r="BH118" s="49">
        <v>15.981711000000001</v>
      </c>
      <c r="BI118" s="49">
        <v>14.259880000000001</v>
      </c>
      <c r="BJ118" s="49">
        <v>12.417111999999999</v>
      </c>
      <c r="BK118" s="49">
        <v>13.986806</v>
      </c>
      <c r="BL118" s="49">
        <v>13.992554999999999</v>
      </c>
    </row>
    <row r="119" spans="1:64" x14ac:dyDescent="0.3">
      <c r="A119" s="49">
        <v>144</v>
      </c>
      <c r="B119" s="49" t="s">
        <v>4915</v>
      </c>
      <c r="C119" s="49" t="s">
        <v>449</v>
      </c>
      <c r="D119" s="49">
        <v>4.6724459999999999</v>
      </c>
      <c r="E119" s="49">
        <v>4.5636869999999998</v>
      </c>
      <c r="F119" s="49">
        <v>4.6812379999999996</v>
      </c>
      <c r="G119" s="49">
        <v>4.7291999999999996</v>
      </c>
      <c r="H119" s="49">
        <v>4.8096769999999998</v>
      </c>
      <c r="I119" s="49">
        <v>4.879575</v>
      </c>
      <c r="J119" s="49">
        <v>5.1128030000000004</v>
      </c>
      <c r="K119" s="49">
        <v>5.2583869999999999</v>
      </c>
      <c r="L119" s="49">
        <v>5.27583</v>
      </c>
      <c r="M119" s="49">
        <v>5.1111279999999999</v>
      </c>
      <c r="N119" s="49">
        <v>5.2652659999999996</v>
      </c>
      <c r="O119" s="49">
        <v>5.4229609999999999</v>
      </c>
      <c r="P119" s="49">
        <v>6.0216659999999997</v>
      </c>
      <c r="Q119" s="49">
        <v>5.9368999999999996</v>
      </c>
      <c r="R119" s="49">
        <v>5.6174200000000001</v>
      </c>
      <c r="S119" s="49">
        <v>5.40402</v>
      </c>
      <c r="T119" s="49">
        <v>5.1983199999999998</v>
      </c>
      <c r="U119" s="49">
        <v>5.1463999999999999</v>
      </c>
      <c r="V119" s="49">
        <v>5.3493130000000004</v>
      </c>
      <c r="W119" s="49">
        <v>5.6657999999999999</v>
      </c>
      <c r="X119" s="49">
        <v>5.8296999999999999</v>
      </c>
      <c r="Y119" s="49">
        <v>6.1395</v>
      </c>
      <c r="Z119" s="49">
        <v>5.9992000000000001</v>
      </c>
      <c r="AA119" s="49">
        <v>5.9942000000000002</v>
      </c>
      <c r="AB119" s="49">
        <v>6.1393000000000004</v>
      </c>
      <c r="AC119" s="49">
        <v>6.4450000000000003</v>
      </c>
      <c r="AD119" s="49">
        <v>6.3167</v>
      </c>
      <c r="AE119" s="49">
        <v>6.3894000000000002</v>
      </c>
      <c r="AF119" s="49">
        <v>6.6093999999999999</v>
      </c>
      <c r="AG119" s="49">
        <v>6.5362629999999999</v>
      </c>
      <c r="AH119" s="49">
        <v>8.3212130000000002</v>
      </c>
      <c r="AI119" s="49">
        <v>7.7389929999999998</v>
      </c>
      <c r="AJ119" s="49">
        <v>7.198296</v>
      </c>
      <c r="AK119" s="49">
        <v>7.7727329999999997</v>
      </c>
      <c r="AL119" s="49">
        <v>8.5727379999999993</v>
      </c>
      <c r="AM119" s="49">
        <v>8.5929479999999998</v>
      </c>
      <c r="AN119" s="49">
        <v>9.3661019999999997</v>
      </c>
      <c r="AO119" s="49">
        <v>9.8982460000000003</v>
      </c>
      <c r="AP119" s="49">
        <v>9.0933810000000008</v>
      </c>
      <c r="AQ119" s="49">
        <v>8.5046289999999996</v>
      </c>
      <c r="AR119" s="49">
        <v>8.6021579999999993</v>
      </c>
      <c r="AS119" s="49">
        <v>11.099418</v>
      </c>
      <c r="AT119" s="49">
        <v>10.700426</v>
      </c>
      <c r="AU119" s="49">
        <v>11.057979</v>
      </c>
      <c r="AV119" s="49">
        <v>13.850650999999999</v>
      </c>
      <c r="AW119" s="49">
        <v>13.074225999999999</v>
      </c>
      <c r="AX119" s="49">
        <v>13.952230999999999</v>
      </c>
      <c r="AY119" s="49">
        <v>14.633187</v>
      </c>
      <c r="AZ119" s="49">
        <v>14.723124</v>
      </c>
      <c r="BA119" s="49">
        <v>14.149134</v>
      </c>
      <c r="BB119" s="49">
        <v>14.955332</v>
      </c>
      <c r="BC119" s="49">
        <v>13.15597</v>
      </c>
      <c r="BD119" s="49">
        <v>14.234088</v>
      </c>
      <c r="BE119" s="49">
        <v>12.421588</v>
      </c>
      <c r="BF119" s="49">
        <v>11.104284</v>
      </c>
      <c r="BG119" s="49">
        <v>12.418685</v>
      </c>
      <c r="BH119" s="49">
        <v>12.955259</v>
      </c>
      <c r="BI119" s="49">
        <v>13.931334</v>
      </c>
      <c r="BJ119" s="49">
        <v>14.188243999999999</v>
      </c>
      <c r="BK119" s="49">
        <v>14.838554999999999</v>
      </c>
      <c r="BL119" s="49">
        <v>13.648304</v>
      </c>
    </row>
    <row r="120" spans="1:64" x14ac:dyDescent="0.3">
      <c r="A120" s="49">
        <v>145</v>
      </c>
      <c r="B120" s="49" t="s">
        <v>4914</v>
      </c>
      <c r="C120" s="49" t="s">
        <v>430</v>
      </c>
      <c r="AH120" s="49">
        <v>6.9999999999999994E-5</v>
      </c>
      <c r="AI120" s="49">
        <v>7.2000000000000002E-5</v>
      </c>
      <c r="AJ120" s="49">
        <v>7.3999999999999996E-5</v>
      </c>
      <c r="AK120" s="49">
        <v>7.7999999999999999E-5</v>
      </c>
      <c r="AL120" s="49">
        <v>5.5448999999999998E-2</v>
      </c>
      <c r="AM120" s="49">
        <v>5.5453000000000002E-2</v>
      </c>
      <c r="AN120" s="49">
        <v>5.552E-2</v>
      </c>
      <c r="AO120" s="49">
        <v>5.5585000000000002E-2</v>
      </c>
      <c r="AP120" s="49">
        <v>5.5579999999999997E-2</v>
      </c>
      <c r="AQ120" s="49">
        <v>5.5591000000000002E-2</v>
      </c>
      <c r="AR120" s="49">
        <v>5.5603E-2</v>
      </c>
      <c r="AS120" s="49">
        <v>5.5611000000000001E-2</v>
      </c>
      <c r="AT120" s="49">
        <v>5.5617E-2</v>
      </c>
      <c r="AU120" s="49">
        <v>5.5599999999999997E-2</v>
      </c>
      <c r="AV120" s="49">
        <v>5.5223000000000001E-2</v>
      </c>
      <c r="AW120" s="49">
        <v>5.5631E-2</v>
      </c>
      <c r="AX120" s="49">
        <v>5.5941999999999999E-2</v>
      </c>
      <c r="AY120" s="49">
        <v>5.5606999999999997E-2</v>
      </c>
      <c r="AZ120" s="49">
        <v>5.5578000000000002E-2</v>
      </c>
      <c r="BA120" s="49">
        <v>5.5544999999999997E-2</v>
      </c>
      <c r="BB120" s="49">
        <v>5.5508000000000002E-2</v>
      </c>
      <c r="BC120" s="49">
        <v>6.0507999999999999E-2</v>
      </c>
      <c r="BD120" s="49">
        <v>6.0781000000000002E-2</v>
      </c>
      <c r="BE120" s="49">
        <v>6.0697000000000001E-2</v>
      </c>
      <c r="BF120" s="49">
        <v>6.0715999999999999E-2</v>
      </c>
      <c r="BG120" s="49">
        <v>6.0687999999999999E-2</v>
      </c>
      <c r="BH120" s="49">
        <v>6.0739000000000001E-2</v>
      </c>
      <c r="BI120" s="49">
        <v>6.1046999999999997E-2</v>
      </c>
      <c r="BJ120" s="49">
        <v>6.1053000000000003E-2</v>
      </c>
      <c r="BK120" s="49">
        <v>6.1071E-2</v>
      </c>
      <c r="BL120" s="49">
        <v>6.0668E-2</v>
      </c>
    </row>
    <row r="121" spans="1:64" x14ac:dyDescent="0.3">
      <c r="A121" s="49">
        <v>146</v>
      </c>
      <c r="B121" s="49" t="s">
        <v>4913</v>
      </c>
      <c r="C121" s="49" t="s">
        <v>436</v>
      </c>
      <c r="AI121" s="49">
        <v>3.0547330000000001</v>
      </c>
      <c r="AJ121" s="49">
        <v>3.443702</v>
      </c>
      <c r="AK121" s="49">
        <v>3.2708279999999998</v>
      </c>
      <c r="AL121" s="49">
        <v>3.5503610000000001</v>
      </c>
      <c r="AM121" s="49">
        <v>3.562967</v>
      </c>
      <c r="AN121" s="49">
        <v>3.7252260000000001</v>
      </c>
      <c r="AO121" s="49">
        <v>3.5190419999999998</v>
      </c>
      <c r="AP121" s="49">
        <v>3.5396700000000001</v>
      </c>
      <c r="AQ121" s="49">
        <v>3.6396120000000001</v>
      </c>
      <c r="AR121" s="49">
        <v>3.720685</v>
      </c>
      <c r="AS121" s="49">
        <v>3.7973029999999999</v>
      </c>
      <c r="AT121" s="49">
        <v>3.6887850000000002</v>
      </c>
      <c r="AU121" s="49">
        <v>3.77264</v>
      </c>
      <c r="AV121" s="49">
        <v>3.7304889999999999</v>
      </c>
      <c r="AW121" s="49">
        <v>3.6189559999999998</v>
      </c>
      <c r="AX121" s="49">
        <v>3.3959320000000002</v>
      </c>
      <c r="AY121" s="49">
        <v>3.596698</v>
      </c>
      <c r="AZ121" s="49">
        <v>3.5020539999999998</v>
      </c>
      <c r="BA121" s="49">
        <v>3.5160399999999998</v>
      </c>
      <c r="BB121" s="49">
        <v>3.5653060000000001</v>
      </c>
      <c r="BC121" s="49">
        <v>3.652568</v>
      </c>
      <c r="BD121" s="49">
        <v>3.6163630000000002</v>
      </c>
      <c r="BE121" s="49">
        <v>3.6785109999999999</v>
      </c>
      <c r="BF121" s="49">
        <v>3.7362609999999998</v>
      </c>
      <c r="BG121" s="49">
        <v>3.7779430000000001</v>
      </c>
      <c r="BH121" s="49">
        <v>3.8356340000000002</v>
      </c>
      <c r="BI121" s="49">
        <v>3.8601990000000002</v>
      </c>
      <c r="BJ121" s="49">
        <v>3.81054</v>
      </c>
      <c r="BK121" s="49">
        <v>3.508184</v>
      </c>
      <c r="BL121" s="49">
        <v>3.976213</v>
      </c>
    </row>
    <row r="122" spans="1:64" x14ac:dyDescent="0.3">
      <c r="A122" s="49">
        <v>147</v>
      </c>
      <c r="B122" s="49" t="s">
        <v>4912</v>
      </c>
      <c r="C122" s="49" t="s">
        <v>454</v>
      </c>
      <c r="D122" s="49">
        <v>0.21820000000000001</v>
      </c>
      <c r="E122" s="49">
        <v>0.2258</v>
      </c>
      <c r="F122" s="49">
        <v>0.22589999999999999</v>
      </c>
      <c r="G122" s="49">
        <v>0.25009999999999999</v>
      </c>
      <c r="H122" s="49">
        <v>0.28010000000000002</v>
      </c>
      <c r="I122" s="49">
        <v>0.30259999999999998</v>
      </c>
      <c r="J122" s="49">
        <v>0.3246</v>
      </c>
      <c r="K122" s="49">
        <v>0.33860000000000001</v>
      </c>
      <c r="L122" s="49">
        <v>0.35260000000000002</v>
      </c>
      <c r="M122" s="49">
        <v>0.3528</v>
      </c>
      <c r="N122" s="49">
        <v>0.375</v>
      </c>
      <c r="O122" s="49">
        <v>0.37959999999999999</v>
      </c>
      <c r="P122" s="49">
        <v>0.3916</v>
      </c>
      <c r="Q122" s="49">
        <v>0.39660000000000001</v>
      </c>
      <c r="R122" s="49">
        <v>0.41260000000000002</v>
      </c>
      <c r="S122" s="49">
        <v>0.4158</v>
      </c>
      <c r="T122" s="49">
        <v>0.43219999999999997</v>
      </c>
      <c r="U122" s="49">
        <v>0.43419999999999997</v>
      </c>
      <c r="V122" s="49">
        <v>0.44479999999999997</v>
      </c>
      <c r="W122" s="49">
        <v>0.45319999999999999</v>
      </c>
      <c r="X122" s="49">
        <v>0.45579999999999998</v>
      </c>
      <c r="Y122" s="49">
        <v>0.46800000000000003</v>
      </c>
      <c r="Z122" s="49">
        <v>0.4824</v>
      </c>
      <c r="AA122" s="49">
        <v>0.48699999999999999</v>
      </c>
      <c r="AB122" s="49">
        <v>0.45579999999999998</v>
      </c>
      <c r="AC122" s="49">
        <v>0.46972999999999998</v>
      </c>
      <c r="AD122" s="49">
        <v>0.45889999999999997</v>
      </c>
      <c r="AE122" s="49">
        <v>0.49081799999999998</v>
      </c>
      <c r="AF122" s="49">
        <v>0.50772600000000001</v>
      </c>
      <c r="AG122" s="49">
        <v>0.50246100000000005</v>
      </c>
      <c r="AH122" s="49">
        <v>0.49724400000000002</v>
      </c>
      <c r="AI122" s="49">
        <v>0.462397</v>
      </c>
      <c r="AJ122" s="49">
        <v>0.49768499999999999</v>
      </c>
      <c r="AK122" s="49">
        <v>0.77816099999999999</v>
      </c>
      <c r="AL122" s="49">
        <v>0.73158400000000001</v>
      </c>
      <c r="AM122" s="49">
        <v>0.74095599999999995</v>
      </c>
      <c r="AN122" s="49">
        <v>0.80470699999999995</v>
      </c>
      <c r="AO122" s="49">
        <v>0.74115799999999998</v>
      </c>
      <c r="AP122" s="49">
        <v>0.79790899999999998</v>
      </c>
      <c r="AQ122" s="49">
        <v>0.73246800000000001</v>
      </c>
      <c r="AR122" s="49">
        <v>0.67273000000000005</v>
      </c>
      <c r="AS122" s="49">
        <v>0.77669699999999997</v>
      </c>
      <c r="AT122" s="49">
        <v>0.76796399999999998</v>
      </c>
      <c r="AU122" s="49">
        <v>0.76640799999999998</v>
      </c>
      <c r="AV122" s="49">
        <v>0.68351700000000004</v>
      </c>
      <c r="AW122" s="49">
        <v>0.73629299999999998</v>
      </c>
      <c r="AX122" s="49">
        <v>0.62285400000000002</v>
      </c>
      <c r="AY122" s="49">
        <v>0.59338800000000003</v>
      </c>
      <c r="AZ122" s="49">
        <v>0.75113300000000005</v>
      </c>
      <c r="BA122" s="49">
        <v>0.73003499999999999</v>
      </c>
      <c r="BB122" s="49">
        <v>0.702206</v>
      </c>
      <c r="BC122" s="49">
        <v>0.92108000000000001</v>
      </c>
      <c r="BD122" s="49">
        <v>0.52599899999999999</v>
      </c>
      <c r="BE122" s="49">
        <v>1.150269</v>
      </c>
      <c r="BF122" s="49">
        <v>0.77735200000000004</v>
      </c>
      <c r="BG122" s="49">
        <v>0.73179499999999997</v>
      </c>
      <c r="BH122" s="49">
        <v>0.813531</v>
      </c>
      <c r="BI122" s="49">
        <v>0.77662200000000003</v>
      </c>
      <c r="BJ122" s="49">
        <v>0.35985200000000001</v>
      </c>
      <c r="BK122" s="49">
        <v>0.97927399999999998</v>
      </c>
      <c r="BL122" s="49">
        <v>0.93698099999999995</v>
      </c>
    </row>
    <row r="123" spans="1:64" x14ac:dyDescent="0.3">
      <c r="A123" s="49">
        <v>148</v>
      </c>
      <c r="B123" s="49" t="s">
        <v>4911</v>
      </c>
      <c r="C123" s="49" t="s">
        <v>456</v>
      </c>
      <c r="D123" s="49">
        <v>3.2600000000000001E-4</v>
      </c>
      <c r="E123" s="49">
        <v>3.2600000000000001E-4</v>
      </c>
      <c r="F123" s="49">
        <v>3.2600000000000001E-4</v>
      </c>
      <c r="G123" s="49">
        <v>3.3599999999999998E-4</v>
      </c>
      <c r="H123" s="49">
        <v>3.9199999999999999E-4</v>
      </c>
      <c r="I123" s="49">
        <v>3.9199999999999999E-4</v>
      </c>
      <c r="J123" s="49">
        <v>3.9199999999999999E-4</v>
      </c>
      <c r="K123" s="49">
        <v>3.9199999999999999E-4</v>
      </c>
      <c r="L123" s="49">
        <v>4.0200000000000001E-4</v>
      </c>
      <c r="M123" s="49">
        <v>4.0200000000000001E-4</v>
      </c>
      <c r="N123" s="49">
        <v>4.0200000000000001E-4</v>
      </c>
      <c r="O123" s="49">
        <v>4.0200000000000001E-4</v>
      </c>
      <c r="P123" s="49">
        <v>4.06E-4</v>
      </c>
      <c r="Q123" s="49">
        <v>4.0999999999999999E-4</v>
      </c>
      <c r="R123" s="49">
        <v>4.1199999999999999E-4</v>
      </c>
      <c r="S123" s="49">
        <v>3.1399999999999999E-4</v>
      </c>
      <c r="T123" s="49">
        <v>3.6600000000000001E-4</v>
      </c>
      <c r="U123" s="49">
        <v>3.8999999999999999E-4</v>
      </c>
      <c r="V123" s="49">
        <v>4.06E-4</v>
      </c>
      <c r="W123" s="49">
        <v>4.2400000000000001E-4</v>
      </c>
      <c r="X123" s="49">
        <v>4.35E-4</v>
      </c>
      <c r="Y123" s="49">
        <v>4.7600000000000002E-4</v>
      </c>
      <c r="Z123" s="49">
        <v>4.3600000000000003E-4</v>
      </c>
      <c r="AA123" s="49">
        <v>4.0000000000000002E-4</v>
      </c>
      <c r="AB123" s="49">
        <v>4.8000000000000001E-4</v>
      </c>
      <c r="AC123" s="49">
        <v>5.0000000000000001E-4</v>
      </c>
      <c r="AD123" s="49">
        <v>5.0000000000000001E-4</v>
      </c>
      <c r="AE123" s="49">
        <v>5.1000000000000004E-4</v>
      </c>
      <c r="AF123" s="49">
        <v>5.1000000000000004E-4</v>
      </c>
      <c r="AG123" s="49">
        <v>5.0699999999999996E-4</v>
      </c>
      <c r="AH123" s="49">
        <v>1.0640000000000001E-3</v>
      </c>
      <c r="AI123" s="49">
        <v>1.0920000000000001E-3</v>
      </c>
      <c r="AJ123" s="49">
        <v>1.119E-3</v>
      </c>
      <c r="AK123" s="49">
        <v>1.1479999999999999E-3</v>
      </c>
      <c r="AL123" s="49">
        <v>1.1689999999999999E-3</v>
      </c>
      <c r="AM123" s="49">
        <v>1.1900000000000001E-3</v>
      </c>
      <c r="AN123" s="49">
        <v>1.2210000000000001E-3</v>
      </c>
      <c r="AO123" s="49">
        <v>1.2459999999999999E-3</v>
      </c>
      <c r="AP123" s="49">
        <v>1.25E-3</v>
      </c>
      <c r="AQ123" s="49">
        <v>1.242E-3</v>
      </c>
      <c r="AR123" s="49">
        <v>1.2359999999999999E-3</v>
      </c>
      <c r="AS123" s="49">
        <v>1.2310000000000001E-3</v>
      </c>
      <c r="AT123" s="49">
        <v>1.2229999999999999E-3</v>
      </c>
      <c r="AU123" s="49">
        <v>1.2110000000000001E-3</v>
      </c>
      <c r="AV123" s="49">
        <v>1.191E-3</v>
      </c>
      <c r="AW123" s="49">
        <v>1.1709999999999999E-3</v>
      </c>
      <c r="AX123" s="49">
        <v>1.1529999999999999E-3</v>
      </c>
      <c r="AY123" s="49">
        <v>1.1360000000000001E-3</v>
      </c>
      <c r="AZ123" s="49">
        <v>1.122E-3</v>
      </c>
      <c r="BA123" s="49">
        <v>1.1199999999999999E-3</v>
      </c>
      <c r="BB123" s="49">
        <v>1.1559999999999999E-3</v>
      </c>
      <c r="BC123" s="49">
        <v>1.088E-3</v>
      </c>
      <c r="BD123" s="49">
        <v>1.062E-3</v>
      </c>
      <c r="BE123" s="49">
        <v>9.6199999999999996E-4</v>
      </c>
      <c r="BF123" s="49">
        <v>1.011E-3</v>
      </c>
      <c r="BG123" s="49">
        <v>1.0070000000000001E-3</v>
      </c>
      <c r="BH123" s="49">
        <v>1.003E-3</v>
      </c>
      <c r="BI123" s="49">
        <v>9.8499999999999998E-4</v>
      </c>
      <c r="BJ123" s="49">
        <v>9.7599999999999998E-4</v>
      </c>
      <c r="BK123" s="49">
        <v>9.7199999999999999E-4</v>
      </c>
      <c r="BL123" s="49">
        <v>9.7099999999999997E-4</v>
      </c>
    </row>
    <row r="124" spans="1:64" x14ac:dyDescent="0.3">
      <c r="A124" s="49">
        <v>149</v>
      </c>
      <c r="B124" s="49" t="s">
        <v>4910</v>
      </c>
      <c r="C124" s="49" t="s">
        <v>458</v>
      </c>
      <c r="D124" s="49">
        <v>4.0922400000000003</v>
      </c>
      <c r="E124" s="49">
        <v>4.1180000000000003</v>
      </c>
      <c r="F124" s="49">
        <v>4.1763500000000002</v>
      </c>
      <c r="G124" s="49">
        <v>4.1654</v>
      </c>
      <c r="H124" s="49">
        <v>4.3140489999999998</v>
      </c>
      <c r="I124" s="49">
        <v>4.3038999999999996</v>
      </c>
      <c r="J124" s="49">
        <v>4.3691599999999999</v>
      </c>
      <c r="K124" s="49">
        <v>4.5829000000000004</v>
      </c>
      <c r="L124" s="49">
        <v>4.6902699999999999</v>
      </c>
      <c r="M124" s="49">
        <v>4.8044399999999996</v>
      </c>
      <c r="N124" s="49">
        <v>4.8584240000000003</v>
      </c>
      <c r="O124" s="49">
        <v>4.814781</v>
      </c>
      <c r="P124" s="49">
        <v>5.0507629999999999</v>
      </c>
      <c r="Q124" s="49">
        <v>5.1279380000000003</v>
      </c>
      <c r="R124" s="49">
        <v>5.1956100000000003</v>
      </c>
      <c r="S124" s="49">
        <v>5.2759309999999999</v>
      </c>
      <c r="T124" s="49">
        <v>5.3463620000000001</v>
      </c>
      <c r="U124" s="49">
        <v>5.4559899999999999</v>
      </c>
      <c r="V124" s="49">
        <v>5.4244500000000002</v>
      </c>
      <c r="W124" s="49">
        <v>5.5431600000000003</v>
      </c>
      <c r="X124" s="49">
        <v>5.6952990000000003</v>
      </c>
      <c r="Y124" s="49">
        <v>5.7375299999999996</v>
      </c>
      <c r="Z124" s="49">
        <v>6.0854400000000002</v>
      </c>
      <c r="AA124" s="49">
        <v>6.3336360000000003</v>
      </c>
      <c r="AB124" s="49">
        <v>6.5688300000000002</v>
      </c>
      <c r="AC124" s="49">
        <v>6.6686899999999998</v>
      </c>
      <c r="AD124" s="49">
        <v>7.1175499999999996</v>
      </c>
      <c r="AE124" s="49">
        <v>7.5516100000000002</v>
      </c>
      <c r="AF124" s="49">
        <v>7.6241440000000003</v>
      </c>
      <c r="AG124" s="49">
        <v>7.8070729999999999</v>
      </c>
      <c r="AH124" s="49">
        <v>7.9588640000000002</v>
      </c>
      <c r="AI124" s="49">
        <v>7.7166170000000003</v>
      </c>
      <c r="AJ124" s="49">
        <v>8.3739480000000004</v>
      </c>
      <c r="AK124" s="49">
        <v>8.2291670000000003</v>
      </c>
      <c r="AL124" s="49">
        <v>8.5365149999999996</v>
      </c>
      <c r="AM124" s="49">
        <v>8.6574069999999992</v>
      </c>
      <c r="AN124" s="49">
        <v>8.6745059999999992</v>
      </c>
      <c r="AO124" s="49">
        <v>8.6763440000000003</v>
      </c>
      <c r="AP124" s="49">
        <v>8.7741910000000001</v>
      </c>
      <c r="AQ124" s="49">
        <v>8.8947690000000001</v>
      </c>
      <c r="AR124" s="49">
        <v>8.8093810000000001</v>
      </c>
      <c r="AS124" s="49">
        <v>9.0169569999999997</v>
      </c>
      <c r="AT124" s="49">
        <v>9.0820249999999998</v>
      </c>
      <c r="AU124" s="49">
        <v>9.0729310000000005</v>
      </c>
      <c r="AV124" s="49">
        <v>9.1311710000000001</v>
      </c>
      <c r="AW124" s="49">
        <v>9.1796629999999997</v>
      </c>
      <c r="AX124" s="49">
        <v>9.0959610000000009</v>
      </c>
      <c r="AY124" s="49">
        <v>9.3845510000000001</v>
      </c>
      <c r="AZ124" s="49">
        <v>9.4511830000000003</v>
      </c>
      <c r="BA124" s="49">
        <v>9.4848909999999993</v>
      </c>
      <c r="BB124" s="49">
        <v>9.7754930000000009</v>
      </c>
      <c r="BC124" s="49">
        <v>9.8876159999999995</v>
      </c>
      <c r="BD124" s="49">
        <v>9.5887220000000006</v>
      </c>
      <c r="BE124" s="49">
        <v>9.9134840000000004</v>
      </c>
      <c r="BF124" s="49">
        <v>9.8642009999999996</v>
      </c>
      <c r="BG124" s="49">
        <v>9.7312309999999993</v>
      </c>
      <c r="BH124" s="49">
        <v>10.062329999999999</v>
      </c>
      <c r="BI124" s="49">
        <v>9.8162400000000005</v>
      </c>
      <c r="BJ124" s="49">
        <v>10.003273</v>
      </c>
      <c r="BK124" s="49">
        <v>9.9640389999999996</v>
      </c>
      <c r="BL124" s="49">
        <v>10.086155</v>
      </c>
    </row>
    <row r="125" spans="1:64" x14ac:dyDescent="0.3">
      <c r="A125" s="49">
        <v>150</v>
      </c>
      <c r="B125" s="49" t="s">
        <v>4909</v>
      </c>
      <c r="C125" s="49" t="s">
        <v>4908</v>
      </c>
      <c r="D125" s="49">
        <v>1.7093719999999999</v>
      </c>
      <c r="E125" s="49">
        <v>1.6545449999999999</v>
      </c>
      <c r="F125" s="49">
        <v>1.6245510000000001</v>
      </c>
      <c r="G125" s="49">
        <v>1.6143110000000001</v>
      </c>
      <c r="H125" s="49">
        <v>1.610187</v>
      </c>
      <c r="I125" s="49">
        <v>1.578071</v>
      </c>
      <c r="J125" s="49">
        <v>1.546346</v>
      </c>
      <c r="K125" s="49">
        <v>1.5335970000000001</v>
      </c>
      <c r="L125" s="49">
        <v>1.5021659999999999</v>
      </c>
      <c r="M125" s="49">
        <v>1.4325270000000001</v>
      </c>
      <c r="N125" s="49">
        <v>1.3996409999999999</v>
      </c>
      <c r="O125" s="49">
        <v>1.359518</v>
      </c>
      <c r="P125" s="49">
        <v>1.33108</v>
      </c>
      <c r="Q125" s="49">
        <v>1.231935</v>
      </c>
      <c r="R125" s="49">
        <v>1.265306</v>
      </c>
      <c r="S125" s="49">
        <v>1.2652460000000001</v>
      </c>
      <c r="T125" s="49">
        <v>1.2584949999999999</v>
      </c>
      <c r="U125" s="49">
        <v>1.2378739999999999</v>
      </c>
      <c r="V125" s="49">
        <v>1.21936</v>
      </c>
      <c r="W125" s="49">
        <v>1.184355</v>
      </c>
      <c r="X125" s="49">
        <v>1.178674</v>
      </c>
      <c r="Y125" s="49">
        <v>1.187489</v>
      </c>
      <c r="Z125" s="49">
        <v>1.1470199999999999</v>
      </c>
      <c r="AA125" s="49">
        <v>1.1871670000000001</v>
      </c>
      <c r="AB125" s="49">
        <v>1.2163459999999999</v>
      </c>
      <c r="AC125" s="49">
        <v>1.2175309999999999</v>
      </c>
      <c r="AD125" s="49">
        <v>1.2424710000000001</v>
      </c>
      <c r="AE125" s="49">
        <v>1.2542880000000001</v>
      </c>
      <c r="AF125" s="49">
        <v>1.2394590000000001</v>
      </c>
      <c r="AG125" s="49">
        <v>1.2342820000000001</v>
      </c>
      <c r="AH125" s="49">
        <v>1.2375689999999999</v>
      </c>
      <c r="AI125" s="49">
        <v>1.219592</v>
      </c>
      <c r="AJ125" s="49">
        <v>1.187514</v>
      </c>
      <c r="AK125" s="49">
        <v>1.1947289999999999</v>
      </c>
      <c r="AL125" s="49">
        <v>1.2103919999999999</v>
      </c>
      <c r="AM125" s="49">
        <v>1.2329669999999999</v>
      </c>
      <c r="AN125" s="49">
        <v>1.2106710000000001</v>
      </c>
      <c r="AO125" s="49">
        <v>1.1127800000000001</v>
      </c>
      <c r="AP125" s="49">
        <v>1.2055769999999999</v>
      </c>
      <c r="AQ125" s="49">
        <v>1.2413190000000001</v>
      </c>
      <c r="AR125" s="49">
        <v>1.2269300000000001</v>
      </c>
      <c r="AS125" s="49">
        <v>1.2252609999999999</v>
      </c>
      <c r="AT125" s="49">
        <v>1.2096739999999999</v>
      </c>
      <c r="AU125" s="49">
        <v>1.205989</v>
      </c>
      <c r="AV125" s="49">
        <v>1.1653690000000001</v>
      </c>
      <c r="AW125" s="49">
        <v>1.1541459999999999</v>
      </c>
      <c r="AX125" s="49">
        <v>1.1499779999999999</v>
      </c>
      <c r="AY125" s="49">
        <v>1.168032</v>
      </c>
      <c r="AZ125" s="49">
        <v>1.140806</v>
      </c>
      <c r="BA125" s="49">
        <v>1.124395</v>
      </c>
      <c r="BB125" s="49">
        <v>1.122484</v>
      </c>
      <c r="BC125" s="49">
        <v>1.0834159999999999</v>
      </c>
      <c r="BD125" s="49">
        <v>1.107059</v>
      </c>
      <c r="BE125" s="49">
        <v>1.0808979999999999</v>
      </c>
      <c r="BF125" s="49">
        <v>1.0621879999999999</v>
      </c>
      <c r="BG125" s="49">
        <v>1.051739</v>
      </c>
      <c r="BH125" s="49">
        <v>1.068371</v>
      </c>
      <c r="BI125" s="49">
        <v>1.0592200000000001</v>
      </c>
      <c r="BJ125" s="49">
        <v>1.0852599999999999</v>
      </c>
      <c r="BK125" s="49">
        <v>1.07239</v>
      </c>
      <c r="BL125" s="49">
        <v>1.07053</v>
      </c>
    </row>
    <row r="126" spans="1:64" x14ac:dyDescent="0.3">
      <c r="A126" s="49">
        <v>153</v>
      </c>
      <c r="B126" s="49" t="s">
        <v>4907</v>
      </c>
      <c r="C126" s="49" t="s">
        <v>467</v>
      </c>
      <c r="D126" s="49">
        <v>2.5579999999999999E-2</v>
      </c>
      <c r="E126" s="49">
        <v>2.571E-2</v>
      </c>
      <c r="F126" s="49">
        <v>2.5669999999999998E-2</v>
      </c>
      <c r="G126" s="49">
        <v>2.589E-2</v>
      </c>
      <c r="H126" s="49">
        <v>2.6745999999999999E-2</v>
      </c>
      <c r="I126" s="49">
        <v>2.588E-2</v>
      </c>
      <c r="J126" s="49">
        <v>2.3695999999999998E-2</v>
      </c>
      <c r="K126" s="49">
        <v>2.2974000000000001E-2</v>
      </c>
      <c r="L126" s="49">
        <v>2.223E-2</v>
      </c>
      <c r="M126" s="49">
        <v>2.2849999999999999E-2</v>
      </c>
      <c r="N126" s="49">
        <v>2.334E-2</v>
      </c>
      <c r="O126" s="49">
        <v>2.3456000000000001E-2</v>
      </c>
      <c r="P126" s="49">
        <v>2.341E-2</v>
      </c>
      <c r="Q126" s="49">
        <v>2.3109999999999999E-2</v>
      </c>
      <c r="R126" s="49">
        <v>2.2093999999999999E-2</v>
      </c>
      <c r="S126" s="49">
        <v>2.1930000000000002E-2</v>
      </c>
      <c r="T126" s="49">
        <v>2.0757999999999999E-2</v>
      </c>
      <c r="U126" s="49">
        <v>2.1214E-2</v>
      </c>
      <c r="V126" s="49">
        <v>2.1936000000000001E-2</v>
      </c>
      <c r="W126" s="49">
        <v>2.5066999999999999E-2</v>
      </c>
      <c r="X126" s="49">
        <v>2.4027E-2</v>
      </c>
      <c r="Y126" s="49">
        <v>2.4926E-2</v>
      </c>
      <c r="Z126" s="49">
        <v>2.6328000000000001E-2</v>
      </c>
      <c r="AA126" s="49">
        <v>2.6858E-2</v>
      </c>
      <c r="AB126" s="49">
        <v>2.4993000000000001E-2</v>
      </c>
      <c r="AC126" s="49">
        <v>2.5087000000000002E-2</v>
      </c>
      <c r="AD126" s="49">
        <v>2.3713000000000001E-2</v>
      </c>
      <c r="AE126" s="49">
        <v>2.0105000000000001E-2</v>
      </c>
      <c r="AF126" s="49">
        <v>2.1551000000000001E-2</v>
      </c>
      <c r="AG126" s="49">
        <v>1.8096999999999999E-2</v>
      </c>
      <c r="AH126" s="49">
        <v>2.3837000000000001E-2</v>
      </c>
      <c r="AI126" s="49">
        <v>2.2967000000000001E-2</v>
      </c>
      <c r="AJ126" s="49">
        <v>2.3120000000000002E-2</v>
      </c>
      <c r="AK126" s="49">
        <v>2.0282000000000001E-2</v>
      </c>
      <c r="AL126" s="49">
        <v>2.1822999999999999E-2</v>
      </c>
      <c r="AM126" s="49">
        <v>1.9810000000000001E-2</v>
      </c>
      <c r="AN126" s="49">
        <v>1.7447000000000001E-2</v>
      </c>
      <c r="AO126" s="49">
        <v>1.9505999999999999E-2</v>
      </c>
      <c r="AP126" s="49">
        <v>1.9116999999999999E-2</v>
      </c>
      <c r="AQ126" s="49">
        <v>2.1024999999999999E-2</v>
      </c>
      <c r="AR126" s="49">
        <v>2.1826000000000002E-2</v>
      </c>
      <c r="AS126" s="49">
        <v>2.1801999999999998E-2</v>
      </c>
      <c r="AT126" s="49">
        <v>2.1568E-2</v>
      </c>
      <c r="AU126" s="49">
        <v>2.3907999999999999E-2</v>
      </c>
      <c r="AV126" s="49">
        <v>2.5558000000000001E-2</v>
      </c>
      <c r="AW126" s="49">
        <v>2.5436E-2</v>
      </c>
      <c r="AX126" s="49">
        <v>2.716E-2</v>
      </c>
      <c r="AY126" s="49">
        <v>2.8539999999999999E-2</v>
      </c>
      <c r="AZ126" s="49">
        <v>2.5815000000000001E-2</v>
      </c>
      <c r="BA126" s="49">
        <v>2.7022999999999998E-2</v>
      </c>
      <c r="BB126" s="49">
        <v>2.5083999999999999E-2</v>
      </c>
      <c r="BC126" s="49">
        <v>2.5954000000000001E-2</v>
      </c>
      <c r="BD126" s="49">
        <v>2.6962E-2</v>
      </c>
      <c r="BE126" s="49">
        <v>2.7033000000000001E-2</v>
      </c>
      <c r="BF126" s="49">
        <v>3.7289000000000003E-2</v>
      </c>
      <c r="BG126" s="49">
        <v>3.7502000000000001E-2</v>
      </c>
      <c r="BH126" s="49">
        <v>3.7781000000000002E-2</v>
      </c>
      <c r="BI126" s="49">
        <v>4.0218999999999998E-2</v>
      </c>
      <c r="BJ126" s="49">
        <v>4.1741E-2</v>
      </c>
      <c r="BK126" s="49">
        <v>4.1381000000000001E-2</v>
      </c>
      <c r="BL126" s="49">
        <v>3.8363000000000001E-2</v>
      </c>
    </row>
    <row r="127" spans="1:64" x14ac:dyDescent="0.3">
      <c r="A127" s="49">
        <v>154</v>
      </c>
      <c r="B127" s="49" t="s">
        <v>4906</v>
      </c>
      <c r="C127" s="49" t="s">
        <v>487</v>
      </c>
      <c r="AI127" s="49">
        <v>0.84179999999999999</v>
      </c>
      <c r="AJ127" s="49">
        <v>0.83537499999999998</v>
      </c>
      <c r="AK127" s="49">
        <v>0.80437599999999998</v>
      </c>
      <c r="AL127" s="49">
        <v>0.80155200000000004</v>
      </c>
      <c r="AM127" s="49">
        <v>0.78142400000000001</v>
      </c>
      <c r="AN127" s="49">
        <v>0.77111799999999997</v>
      </c>
      <c r="AO127" s="49">
        <v>0.75382099999999996</v>
      </c>
      <c r="AP127" s="49">
        <v>0.77708200000000005</v>
      </c>
      <c r="AQ127" s="49">
        <v>0.76047200000000004</v>
      </c>
      <c r="AR127" s="49">
        <v>0.71856299999999995</v>
      </c>
      <c r="AS127" s="49">
        <v>0.69237700000000002</v>
      </c>
      <c r="AT127" s="49">
        <v>0.68426500000000001</v>
      </c>
      <c r="AU127" s="49">
        <v>0.68236200000000002</v>
      </c>
      <c r="AV127" s="49">
        <v>0.70624699999999996</v>
      </c>
      <c r="AW127" s="49">
        <v>0.67669999999999997</v>
      </c>
      <c r="AX127" s="49">
        <v>0.654169</v>
      </c>
      <c r="AY127" s="49">
        <v>0.65422499999999995</v>
      </c>
      <c r="AZ127" s="49">
        <v>0.66895700000000002</v>
      </c>
      <c r="BA127" s="49">
        <v>0.64366400000000001</v>
      </c>
      <c r="BB127" s="49">
        <v>0.63911799999999996</v>
      </c>
      <c r="BC127" s="49">
        <v>0.64443899999999998</v>
      </c>
      <c r="BD127" s="49">
        <v>0.65179600000000004</v>
      </c>
      <c r="BE127" s="49">
        <v>0.65014400000000006</v>
      </c>
      <c r="BF127" s="49">
        <v>0.667153</v>
      </c>
      <c r="BG127" s="49">
        <v>0.65959800000000002</v>
      </c>
      <c r="BH127" s="49">
        <v>0.617456</v>
      </c>
      <c r="BI127" s="49">
        <v>0.66103500000000004</v>
      </c>
      <c r="BJ127" s="49">
        <v>0.64901500000000001</v>
      </c>
      <c r="BK127" s="49">
        <v>0.65468700000000002</v>
      </c>
      <c r="BL127" s="49">
        <v>0.64739999999999998</v>
      </c>
    </row>
    <row r="128" spans="1:64" x14ac:dyDescent="0.3">
      <c r="A128" s="49">
        <v>155</v>
      </c>
      <c r="B128" s="49" t="s">
        <v>4905</v>
      </c>
      <c r="C128" s="49" t="s">
        <v>670</v>
      </c>
      <c r="D128" s="49">
        <v>7.4712000000000001E-2</v>
      </c>
      <c r="E128" s="49">
        <v>7.4945999999999999E-2</v>
      </c>
      <c r="F128" s="49">
        <v>7.5392000000000001E-2</v>
      </c>
      <c r="G128" s="49">
        <v>7.4525999999999995E-2</v>
      </c>
      <c r="H128" s="49">
        <v>7.5151999999999997E-2</v>
      </c>
      <c r="I128" s="49">
        <v>7.5235999999999997E-2</v>
      </c>
      <c r="J128" s="49">
        <v>7.5772000000000006E-2</v>
      </c>
      <c r="K128" s="49">
        <v>7.6408000000000004E-2</v>
      </c>
      <c r="L128" s="49">
        <v>7.5861999999999999E-2</v>
      </c>
      <c r="M128" s="49">
        <v>7.6796000000000003E-2</v>
      </c>
      <c r="N128" s="49">
        <v>7.6361999999999999E-2</v>
      </c>
      <c r="O128" s="49">
        <v>7.7941999999999997E-2</v>
      </c>
      <c r="P128" s="49">
        <v>7.8271999999999994E-2</v>
      </c>
      <c r="Q128" s="49">
        <v>7.8432000000000002E-2</v>
      </c>
      <c r="R128" s="49">
        <v>7.8922000000000006E-2</v>
      </c>
      <c r="S128" s="49">
        <v>7.9311999999999994E-2</v>
      </c>
      <c r="T128" s="49">
        <v>7.9521999999999995E-2</v>
      </c>
      <c r="U128" s="49">
        <v>8.0112000000000003E-2</v>
      </c>
      <c r="V128" s="49">
        <v>8.0432000000000003E-2</v>
      </c>
      <c r="W128" s="49">
        <v>8.1652000000000002E-2</v>
      </c>
      <c r="X128" s="49">
        <v>8.2561999999999997E-2</v>
      </c>
      <c r="Y128" s="49">
        <v>8.2582000000000003E-2</v>
      </c>
      <c r="Z128" s="49">
        <v>8.3745E-2</v>
      </c>
      <c r="AA128" s="49">
        <v>8.2640000000000005E-2</v>
      </c>
      <c r="AB128" s="49">
        <v>8.4724999999999995E-2</v>
      </c>
      <c r="AC128" s="49">
        <v>8.6163000000000003E-2</v>
      </c>
      <c r="AD128" s="49">
        <v>8.8120000000000004E-2</v>
      </c>
      <c r="AE128" s="49">
        <v>8.8415999999999995E-2</v>
      </c>
      <c r="AF128" s="49">
        <v>9.0237999999999999E-2</v>
      </c>
      <c r="AG128" s="49">
        <v>9.2114000000000001E-2</v>
      </c>
      <c r="AH128" s="49">
        <v>0.23324800000000001</v>
      </c>
      <c r="AI128" s="49">
        <v>0.236572</v>
      </c>
      <c r="AJ128" s="49">
        <v>0.235484</v>
      </c>
      <c r="AK128" s="49">
        <v>0.23660900000000001</v>
      </c>
      <c r="AL128" s="49">
        <v>0.23632500000000001</v>
      </c>
      <c r="AM128" s="49">
        <v>0.23623</v>
      </c>
      <c r="AN128" s="49">
        <v>0.24091299999999999</v>
      </c>
      <c r="AO128" s="49">
        <v>0.24348600000000001</v>
      </c>
      <c r="AP128" s="49">
        <v>0.24326100000000001</v>
      </c>
      <c r="AQ128" s="49">
        <v>0.24521100000000001</v>
      </c>
      <c r="AR128" s="49">
        <v>0.24793699999999999</v>
      </c>
      <c r="AS128" s="49">
        <v>0.24761</v>
      </c>
      <c r="AT128" s="49">
        <v>0.24856600000000001</v>
      </c>
      <c r="AU128" s="49">
        <v>0.24946199999999999</v>
      </c>
      <c r="AV128" s="49">
        <v>0.31403500000000001</v>
      </c>
      <c r="AW128" s="49">
        <v>0.31706200000000001</v>
      </c>
      <c r="AX128" s="49">
        <v>0.31687100000000001</v>
      </c>
      <c r="AY128" s="49">
        <v>0.31529000000000001</v>
      </c>
      <c r="AZ128" s="49">
        <v>0.317355</v>
      </c>
      <c r="BA128" s="49">
        <v>0.31820799999999999</v>
      </c>
      <c r="BB128" s="49">
        <v>0.31804900000000003</v>
      </c>
      <c r="BC128" s="49">
        <v>0.30763499999999999</v>
      </c>
      <c r="BD128" s="49">
        <v>0.30835800000000002</v>
      </c>
      <c r="BE128" s="49">
        <v>0.30781399999999998</v>
      </c>
      <c r="BF128" s="49">
        <v>0.30765100000000001</v>
      </c>
      <c r="BG128" s="49">
        <v>0.30868200000000001</v>
      </c>
      <c r="BH128" s="49">
        <v>0.363153</v>
      </c>
      <c r="BI128" s="49">
        <v>0.361514</v>
      </c>
      <c r="BJ128" s="49">
        <v>0.36866300000000002</v>
      </c>
      <c r="BK128" s="49">
        <v>0.37026500000000001</v>
      </c>
      <c r="BL128" s="49">
        <v>0.36412499999999998</v>
      </c>
    </row>
    <row r="129" spans="1:64" x14ac:dyDescent="0.3">
      <c r="A129" s="49">
        <v>156</v>
      </c>
      <c r="B129" s="49" t="s">
        <v>4904</v>
      </c>
      <c r="C129" s="49" t="s">
        <v>469</v>
      </c>
      <c r="D129" s="49">
        <v>0.34741699999999998</v>
      </c>
      <c r="E129" s="49">
        <v>0.36950499999999997</v>
      </c>
      <c r="F129" s="49">
        <v>0.406088</v>
      </c>
      <c r="G129" s="49">
        <v>0.40737600000000002</v>
      </c>
      <c r="H129" s="49">
        <v>0.39138400000000001</v>
      </c>
      <c r="I129" s="49">
        <v>0.39341399999999999</v>
      </c>
      <c r="J129" s="49">
        <v>0.40178999999999998</v>
      </c>
      <c r="K129" s="49">
        <v>0.54652599999999996</v>
      </c>
      <c r="L129" s="49">
        <v>0.58656299999999995</v>
      </c>
      <c r="M129" s="49">
        <v>0.55029600000000001</v>
      </c>
      <c r="N129" s="49">
        <v>0.58316199999999996</v>
      </c>
      <c r="O129" s="49">
        <v>0.62431300000000001</v>
      </c>
      <c r="P129" s="49">
        <v>0.57998799999999995</v>
      </c>
      <c r="Q129" s="49">
        <v>0.53422099999999995</v>
      </c>
      <c r="R129" s="49">
        <v>0.56757299999999999</v>
      </c>
      <c r="S129" s="49">
        <v>0.614819</v>
      </c>
      <c r="T129" s="49">
        <v>0.60069700000000004</v>
      </c>
      <c r="U129" s="49">
        <v>0.58423199999999997</v>
      </c>
      <c r="V129" s="49">
        <v>0.58685200000000004</v>
      </c>
      <c r="W129" s="49">
        <v>0.56106999999999996</v>
      </c>
      <c r="X129" s="49">
        <v>0.53088100000000005</v>
      </c>
      <c r="Y129" s="49">
        <v>0.57455900000000004</v>
      </c>
      <c r="Z129" s="49">
        <v>0.594781</v>
      </c>
      <c r="AA129" s="49">
        <v>0.68950699999999998</v>
      </c>
      <c r="AB129" s="49">
        <v>0.75154500000000002</v>
      </c>
      <c r="AC129" s="49">
        <v>0.792798</v>
      </c>
      <c r="AD129" s="49">
        <v>0.762737</v>
      </c>
      <c r="AE129" s="49">
        <v>0.60038400000000003</v>
      </c>
      <c r="AF129" s="49">
        <v>0.55342599999999997</v>
      </c>
      <c r="AG129" s="49">
        <v>0.58975500000000003</v>
      </c>
      <c r="AH129" s="49">
        <v>0.56892600000000004</v>
      </c>
      <c r="AI129" s="49">
        <v>0.51594200000000001</v>
      </c>
      <c r="AJ129" s="49">
        <v>0.54310099999999994</v>
      </c>
      <c r="AK129" s="49">
        <v>0.57343200000000005</v>
      </c>
      <c r="AL129" s="49">
        <v>0.55032300000000001</v>
      </c>
      <c r="AM129" s="49">
        <v>0.57561200000000001</v>
      </c>
      <c r="AN129" s="49">
        <v>0.604545</v>
      </c>
      <c r="AO129" s="49">
        <v>0.56246099999999999</v>
      </c>
      <c r="AP129" s="49">
        <v>0.54905599999999999</v>
      </c>
      <c r="AQ129" s="49">
        <v>0.56194699999999997</v>
      </c>
      <c r="AR129" s="49">
        <v>0.549875</v>
      </c>
      <c r="AS129" s="49">
        <v>0.56982299999999997</v>
      </c>
      <c r="AT129" s="49">
        <v>0.54885799999999996</v>
      </c>
      <c r="AU129" s="49">
        <v>0.51022599999999996</v>
      </c>
      <c r="AV129" s="49">
        <v>0.51451599999999997</v>
      </c>
      <c r="AW129" s="49">
        <v>0.49382300000000001</v>
      </c>
      <c r="AX129" s="49">
        <v>0.50949800000000001</v>
      </c>
      <c r="AY129" s="49">
        <v>0.54449499999999995</v>
      </c>
      <c r="AZ129" s="49">
        <v>0.62167300000000003</v>
      </c>
      <c r="BA129" s="49">
        <v>0.56924399999999997</v>
      </c>
      <c r="BB129" s="49">
        <v>0.59107299999999996</v>
      </c>
      <c r="BC129" s="49">
        <v>0.59066399999999997</v>
      </c>
      <c r="BD129" s="49">
        <v>0.56850100000000003</v>
      </c>
      <c r="BE129" s="49">
        <v>0.56399200000000005</v>
      </c>
      <c r="BF129" s="49">
        <v>0.56307600000000002</v>
      </c>
      <c r="BG129" s="49">
        <v>0.587503</v>
      </c>
      <c r="BH129" s="49">
        <v>0.49322300000000002</v>
      </c>
      <c r="BI129" s="49">
        <v>0.52721200000000001</v>
      </c>
      <c r="BJ129" s="49">
        <v>0.53645200000000004</v>
      </c>
      <c r="BK129" s="49">
        <v>0.51292700000000002</v>
      </c>
      <c r="BL129" s="49">
        <v>0.51574200000000003</v>
      </c>
    </row>
    <row r="130" spans="1:64" x14ac:dyDescent="0.3">
      <c r="A130" s="49">
        <v>157</v>
      </c>
      <c r="B130" s="49" t="s">
        <v>4903</v>
      </c>
      <c r="C130" s="49" t="s">
        <v>471</v>
      </c>
      <c r="D130" s="49">
        <v>0.843835</v>
      </c>
      <c r="E130" s="49">
        <v>0.86894300000000002</v>
      </c>
      <c r="F130" s="49">
        <v>0.83015000000000005</v>
      </c>
      <c r="G130" s="49">
        <v>0.9214</v>
      </c>
      <c r="H130" s="49">
        <v>0.99668400000000001</v>
      </c>
      <c r="I130" s="49">
        <v>1.0291889999999999</v>
      </c>
      <c r="J130" s="49">
        <v>1.1173169999999999</v>
      </c>
      <c r="K130" s="49">
        <v>1.1572549999999999</v>
      </c>
      <c r="L130" s="49">
        <v>1.167654</v>
      </c>
      <c r="M130" s="49">
        <v>1.14506</v>
      </c>
      <c r="N130" s="49">
        <v>1.1470739999999999</v>
      </c>
      <c r="O130" s="49">
        <v>1.0148330000000001</v>
      </c>
      <c r="P130" s="49">
        <v>1.028127</v>
      </c>
      <c r="Q130" s="49">
        <v>1.256518</v>
      </c>
      <c r="R130" s="49">
        <v>1.143351</v>
      </c>
      <c r="S130" s="49">
        <v>1.1617120000000001</v>
      </c>
      <c r="T130" s="49">
        <v>1.1602920000000001</v>
      </c>
      <c r="U130" s="49">
        <v>1.2418419999999999</v>
      </c>
      <c r="V130" s="49">
        <v>1.072349</v>
      </c>
      <c r="W130" s="49">
        <v>0.93432899999999997</v>
      </c>
      <c r="X130" s="49">
        <v>1.1731</v>
      </c>
      <c r="Y130" s="49">
        <v>1.101345</v>
      </c>
      <c r="Z130" s="49">
        <v>1.083135</v>
      </c>
      <c r="AA130" s="49">
        <v>1.141826</v>
      </c>
      <c r="AB130" s="49">
        <v>1.1712830000000001</v>
      </c>
      <c r="AC130" s="49">
        <v>1.0802240000000001</v>
      </c>
      <c r="AD130" s="49">
        <v>1.0261400000000001</v>
      </c>
      <c r="AE130" s="49">
        <v>1.12087</v>
      </c>
      <c r="AF130" s="49">
        <v>1.1496</v>
      </c>
      <c r="AG130" s="49">
        <v>1.20703</v>
      </c>
      <c r="AH130" s="49">
        <v>1.412128</v>
      </c>
      <c r="AI130" s="49">
        <v>1.3159179999999999</v>
      </c>
      <c r="AJ130" s="49">
        <v>1.309558</v>
      </c>
      <c r="AK130" s="49">
        <v>1.306254</v>
      </c>
      <c r="AL130" s="49">
        <v>1.5334509999999999</v>
      </c>
      <c r="AM130" s="49">
        <v>1.535847</v>
      </c>
      <c r="AN130" s="49">
        <v>1.5451330000000001</v>
      </c>
      <c r="AO130" s="49">
        <v>1.657179</v>
      </c>
      <c r="AP130" s="49">
        <v>1.5924849999999999</v>
      </c>
      <c r="AQ130" s="49">
        <v>1.8512770000000001</v>
      </c>
      <c r="AR130" s="49">
        <v>1.800216</v>
      </c>
      <c r="AS130" s="49">
        <v>1.9825630000000001</v>
      </c>
      <c r="AT130" s="49">
        <v>2.1397370000000002</v>
      </c>
      <c r="AU130" s="49">
        <v>1.878336</v>
      </c>
      <c r="AV130" s="49">
        <v>2.1682579999999998</v>
      </c>
      <c r="AW130" s="49">
        <v>1.912496</v>
      </c>
      <c r="AX130" s="49">
        <v>1.9485760000000001</v>
      </c>
      <c r="AY130" s="49">
        <v>1.909589</v>
      </c>
      <c r="AZ130" s="49">
        <v>1.917969</v>
      </c>
      <c r="BA130" s="49">
        <v>1.8968929999999999</v>
      </c>
      <c r="BB130" s="49">
        <v>2.1860729999999999</v>
      </c>
      <c r="BC130" s="49">
        <v>2.2714129999999999</v>
      </c>
      <c r="BD130" s="49">
        <v>2.2621060000000002</v>
      </c>
      <c r="BE130" s="49">
        <v>2.0650909999999998</v>
      </c>
      <c r="BF130" s="49">
        <v>1.941419</v>
      </c>
      <c r="BG130" s="49">
        <v>2.1777139999999999</v>
      </c>
      <c r="BH130" s="49">
        <v>2.0827629999999999</v>
      </c>
      <c r="BI130" s="49">
        <v>2.0142090000000001</v>
      </c>
      <c r="BJ130" s="49">
        <v>2.0690590000000002</v>
      </c>
      <c r="BK130" s="49">
        <v>2.1192859999999998</v>
      </c>
      <c r="BL130" s="49">
        <v>2.1007250000000002</v>
      </c>
    </row>
    <row r="131" spans="1:64" x14ac:dyDescent="0.3">
      <c r="A131" s="49">
        <v>158</v>
      </c>
      <c r="B131" s="49" t="s">
        <v>4902</v>
      </c>
      <c r="C131" s="49" t="s">
        <v>473</v>
      </c>
      <c r="D131" s="49">
        <v>5.5230639999999998</v>
      </c>
      <c r="E131" s="49">
        <v>6.0217200000000002</v>
      </c>
      <c r="F131" s="49">
        <v>6.2192879999999997</v>
      </c>
      <c r="G131" s="49">
        <v>5.9478289999999996</v>
      </c>
      <c r="H131" s="49">
        <v>6.0074399999999999</v>
      </c>
      <c r="I131" s="49">
        <v>6.3454459999999999</v>
      </c>
      <c r="J131" s="49">
        <v>6.7456230000000001</v>
      </c>
      <c r="K131" s="49">
        <v>7.1344529999999997</v>
      </c>
      <c r="L131" s="49">
        <v>8.2500660000000003</v>
      </c>
      <c r="M131" s="49">
        <v>8.3693150000000003</v>
      </c>
      <c r="N131" s="49">
        <v>8.5126950000000008</v>
      </c>
      <c r="O131" s="49">
        <v>8.0000110000000006</v>
      </c>
      <c r="P131" s="49">
        <v>7.12113</v>
      </c>
      <c r="Q131" s="49">
        <v>7.8488680000000004</v>
      </c>
      <c r="R131" s="49">
        <v>7.200939</v>
      </c>
      <c r="S131" s="49">
        <v>8.4063269999999992</v>
      </c>
      <c r="T131" s="49">
        <v>8.7790949999999999</v>
      </c>
      <c r="U131" s="49">
        <v>9.3705069999999999</v>
      </c>
      <c r="V131" s="49">
        <v>9.5143540000000009</v>
      </c>
      <c r="W131" s="49">
        <v>10.271826000000001</v>
      </c>
      <c r="X131" s="49">
        <v>10.884867</v>
      </c>
      <c r="Y131" s="49">
        <v>11.590723000000001</v>
      </c>
      <c r="Z131" s="49">
        <v>11.957768</v>
      </c>
      <c r="AA131" s="49">
        <v>11.618231</v>
      </c>
      <c r="AB131" s="49">
        <v>12.075989</v>
      </c>
      <c r="AC131" s="49">
        <v>12.211315000000001</v>
      </c>
      <c r="AD131" s="49">
        <v>12.711486000000001</v>
      </c>
      <c r="AE131" s="49">
        <v>14.1236</v>
      </c>
      <c r="AF131" s="49">
        <v>15.033227</v>
      </c>
      <c r="AG131" s="49">
        <v>19.161300000000001</v>
      </c>
      <c r="AH131" s="49">
        <v>19.626757999999999</v>
      </c>
      <c r="AI131" s="49">
        <v>23.723789</v>
      </c>
      <c r="AJ131" s="49">
        <v>21.261711999999999</v>
      </c>
      <c r="AK131" s="49">
        <v>20.660191999999999</v>
      </c>
      <c r="AL131" s="49">
        <v>22.491181000000001</v>
      </c>
      <c r="AM131" s="49">
        <v>22.068956</v>
      </c>
      <c r="AN131" s="49">
        <v>20.639084</v>
      </c>
      <c r="AO131" s="49">
        <v>23.342096000000002</v>
      </c>
      <c r="AP131" s="49">
        <v>23.820824999999999</v>
      </c>
      <c r="AQ131" s="49">
        <v>24.148782000000001</v>
      </c>
      <c r="AR131" s="49">
        <v>23.868269000000002</v>
      </c>
      <c r="AS131" s="49">
        <v>24.932220000000001</v>
      </c>
      <c r="AT131" s="49">
        <v>25.712129000000001</v>
      </c>
      <c r="AU131" s="49">
        <v>23.049464</v>
      </c>
      <c r="AV131" s="49">
        <v>25.352301000000001</v>
      </c>
      <c r="AW131" s="49">
        <v>27.892773999999999</v>
      </c>
      <c r="AX131" s="49">
        <v>29.623894</v>
      </c>
      <c r="AY131" s="49">
        <v>33.130679000000001</v>
      </c>
      <c r="AZ131" s="49">
        <v>29.473665</v>
      </c>
      <c r="BA131" s="49">
        <v>36.055191999999998</v>
      </c>
      <c r="BB131" s="49">
        <v>32.591743000000001</v>
      </c>
      <c r="BC131" s="49">
        <v>33.402203999999998</v>
      </c>
      <c r="BD131" s="49">
        <v>34.983835999999997</v>
      </c>
      <c r="BE131" s="49">
        <v>36.216078000000003</v>
      </c>
      <c r="BF131" s="49">
        <v>33.153196000000001</v>
      </c>
      <c r="BG131" s="49">
        <v>35.908386999999998</v>
      </c>
      <c r="BH131" s="49">
        <v>37.696916999999999</v>
      </c>
      <c r="BI131" s="49">
        <v>38.270556999999997</v>
      </c>
      <c r="BJ131" s="49">
        <v>37.259326000000001</v>
      </c>
      <c r="BK131" s="49">
        <v>36.819367999999997</v>
      </c>
      <c r="BL131" s="49">
        <v>35.887881</v>
      </c>
    </row>
    <row r="132" spans="1:64" x14ac:dyDescent="0.3">
      <c r="A132" s="49">
        <v>159</v>
      </c>
      <c r="B132" s="49" t="s">
        <v>4901</v>
      </c>
      <c r="C132" s="49" t="s">
        <v>475</v>
      </c>
      <c r="D132" s="49">
        <v>35.967584000000002</v>
      </c>
      <c r="E132" s="49">
        <v>36.757083999999999</v>
      </c>
      <c r="F132" s="49">
        <v>39.885942</v>
      </c>
      <c r="G132" s="49">
        <v>41.206885</v>
      </c>
      <c r="H132" s="49">
        <v>44.072394000000003</v>
      </c>
      <c r="I132" s="49">
        <v>40.462612</v>
      </c>
      <c r="J132" s="49">
        <v>42.990755999999998</v>
      </c>
      <c r="K132" s="49">
        <v>42.997084999999998</v>
      </c>
      <c r="L132" s="49">
        <v>51.111756999999997</v>
      </c>
      <c r="M132" s="49">
        <v>47.844898999999998</v>
      </c>
      <c r="N132" s="49">
        <v>45.944000000000003</v>
      </c>
      <c r="O132" s="49">
        <v>37.30301</v>
      </c>
      <c r="P132" s="49">
        <v>46.322560000000003</v>
      </c>
      <c r="Q132" s="49">
        <v>40.021659999999997</v>
      </c>
      <c r="R132" s="49">
        <v>37.017544000000001</v>
      </c>
      <c r="S132" s="49">
        <v>37.964362000000001</v>
      </c>
      <c r="T132" s="49">
        <v>30.768509999999999</v>
      </c>
      <c r="U132" s="49">
        <v>28.126740000000002</v>
      </c>
      <c r="V132" s="49">
        <v>27.603829999999999</v>
      </c>
      <c r="W132" s="49">
        <v>30.087679999999999</v>
      </c>
      <c r="X132" s="49">
        <v>25.624365999999998</v>
      </c>
      <c r="Y132" s="49">
        <v>27.064160000000001</v>
      </c>
      <c r="Z132" s="49">
        <v>27.178149999999999</v>
      </c>
      <c r="AA132" s="49">
        <v>32.648200000000003</v>
      </c>
      <c r="AB132" s="49">
        <v>35.460900000000002</v>
      </c>
      <c r="AC132" s="49">
        <v>42.374099999999999</v>
      </c>
      <c r="AD132" s="49">
        <v>43.492199999999997</v>
      </c>
      <c r="AE132" s="49">
        <v>43.595300000000002</v>
      </c>
      <c r="AF132" s="49">
        <v>48.548775999999997</v>
      </c>
      <c r="AG132" s="49">
        <v>51.945545000000003</v>
      </c>
      <c r="AH132" s="49">
        <v>69.612864000000002</v>
      </c>
      <c r="AI132" s="49">
        <v>72.175685000000001</v>
      </c>
      <c r="AJ132" s="49">
        <v>74.651489999999995</v>
      </c>
      <c r="AK132" s="49">
        <v>78.115802000000002</v>
      </c>
      <c r="AL132" s="49">
        <v>82.727354000000005</v>
      </c>
      <c r="AM132" s="49">
        <v>83.827425000000005</v>
      </c>
      <c r="AN132" s="49">
        <v>84.996326999999994</v>
      </c>
      <c r="AO132" s="49">
        <v>90.693990999999997</v>
      </c>
      <c r="AP132" s="49">
        <v>88.583484999999996</v>
      </c>
      <c r="AQ132" s="49">
        <v>89.923100000000005</v>
      </c>
      <c r="AR132" s="49">
        <v>86.042574000000002</v>
      </c>
      <c r="AS132" s="49">
        <v>89.329240999999996</v>
      </c>
      <c r="AT132" s="49">
        <v>91.261852000000005</v>
      </c>
      <c r="AU132" s="49">
        <v>93.885397999999995</v>
      </c>
      <c r="AV132" s="49">
        <v>97.344012000000006</v>
      </c>
      <c r="AW132" s="49">
        <v>99.528924000000004</v>
      </c>
      <c r="AX132" s="49">
        <v>100.509618</v>
      </c>
      <c r="AY132" s="49">
        <v>99.163104000000004</v>
      </c>
      <c r="AZ132" s="49">
        <v>83.215163000000004</v>
      </c>
      <c r="BA132" s="49">
        <v>89.789429999999996</v>
      </c>
      <c r="BB132" s="49">
        <v>93.447508999999997</v>
      </c>
      <c r="BC132" s="49">
        <v>103.09451199999999</v>
      </c>
      <c r="BD132" s="49">
        <v>106.79106400000001</v>
      </c>
      <c r="BE132" s="49">
        <v>111.44623199999999</v>
      </c>
      <c r="BF132" s="49">
        <v>113.71178399999999</v>
      </c>
      <c r="BG132" s="49">
        <v>119.413138</v>
      </c>
      <c r="BH132" s="49">
        <v>124.136791</v>
      </c>
      <c r="BI132" s="49">
        <v>121.86957099999999</v>
      </c>
      <c r="BJ132" s="49">
        <v>132.03943699999999</v>
      </c>
      <c r="BK132" s="49">
        <v>125.78867200000001</v>
      </c>
      <c r="BL132" s="49">
        <v>131.26928699999999</v>
      </c>
    </row>
    <row r="133" spans="1:64" x14ac:dyDescent="0.3">
      <c r="A133" s="49">
        <v>160</v>
      </c>
      <c r="B133" s="49" t="s">
        <v>4900</v>
      </c>
      <c r="C133" s="49" t="s">
        <v>477</v>
      </c>
      <c r="D133" s="49">
        <v>2.6940000000000002E-3</v>
      </c>
      <c r="E133" s="49">
        <v>2.6779999999999998E-3</v>
      </c>
      <c r="F133" s="49">
        <v>2.8809999999999999E-3</v>
      </c>
      <c r="G133" s="49">
        <v>3.186E-3</v>
      </c>
      <c r="H133" s="49">
        <v>2.6610000000000002E-3</v>
      </c>
      <c r="I133" s="49">
        <v>3.1749999999999999E-3</v>
      </c>
      <c r="J133" s="49">
        <v>3.2049999999999999E-3</v>
      </c>
      <c r="K133" s="49">
        <v>3.2590000000000002E-3</v>
      </c>
      <c r="L133" s="49">
        <v>3.4970000000000001E-3</v>
      </c>
      <c r="M133" s="49">
        <v>3.6229999999999999E-3</v>
      </c>
      <c r="N133" s="49">
        <v>3.9849999999999998E-3</v>
      </c>
      <c r="O133" s="49">
        <v>3.8649999999999999E-3</v>
      </c>
      <c r="P133" s="49">
        <v>3.9690000000000003E-3</v>
      </c>
      <c r="Q133" s="49">
        <v>5.6439999999999997E-3</v>
      </c>
      <c r="R133" s="49">
        <v>5.5120000000000004E-3</v>
      </c>
      <c r="S133" s="49">
        <v>4.914E-3</v>
      </c>
      <c r="T133" s="49">
        <v>5.6420000000000003E-3</v>
      </c>
      <c r="U133" s="49">
        <v>5.8640000000000003E-3</v>
      </c>
      <c r="V133" s="49">
        <v>5.842E-3</v>
      </c>
      <c r="W133" s="49">
        <v>5.7419999999999997E-3</v>
      </c>
      <c r="X133" s="49">
        <v>5.8520000000000004E-3</v>
      </c>
      <c r="Y133" s="49">
        <v>5.6020000000000002E-3</v>
      </c>
      <c r="Z133" s="49">
        <v>5.4200000000000003E-3</v>
      </c>
      <c r="AA133" s="49">
        <v>5.0379999999999999E-3</v>
      </c>
      <c r="AB133" s="49">
        <v>5.1339999999999997E-3</v>
      </c>
      <c r="AC133" s="49">
        <v>5.1060000000000003E-3</v>
      </c>
      <c r="AD133" s="49">
        <v>5.587E-3</v>
      </c>
      <c r="AE133" s="49">
        <v>5.5750000000000001E-3</v>
      </c>
      <c r="AF133" s="49">
        <v>5.587E-3</v>
      </c>
      <c r="AG133" s="49">
        <v>5.0260000000000001E-3</v>
      </c>
      <c r="AH133" s="49">
        <v>1.3273999999999999E-2</v>
      </c>
      <c r="AI133" s="49">
        <v>1.3391E-2</v>
      </c>
      <c r="AJ133" s="49">
        <v>1.3514999999999999E-2</v>
      </c>
      <c r="AK133" s="49">
        <v>1.3341E-2</v>
      </c>
      <c r="AL133" s="49">
        <v>1.3114000000000001E-2</v>
      </c>
      <c r="AM133" s="49">
        <v>1.2236E-2</v>
      </c>
      <c r="AN133" s="49">
        <v>1.3317000000000001E-2</v>
      </c>
      <c r="AO133" s="49">
        <v>1.3148E-2</v>
      </c>
      <c r="AP133" s="49">
        <v>1.3016E-2</v>
      </c>
      <c r="AQ133" s="49">
        <v>1.2788000000000001E-2</v>
      </c>
      <c r="AR133" s="49">
        <v>1.2565E-2</v>
      </c>
      <c r="AS133" s="49">
        <v>1.261E-2</v>
      </c>
      <c r="AT133" s="49">
        <v>1.2723E-2</v>
      </c>
      <c r="AU133" s="49">
        <v>1.2751999999999999E-2</v>
      </c>
      <c r="AV133" s="49">
        <v>1.2932000000000001E-2</v>
      </c>
      <c r="AW133" s="49">
        <v>1.3136999999999999E-2</v>
      </c>
      <c r="AX133" s="49">
        <v>1.2805E-2</v>
      </c>
      <c r="AY133" s="49">
        <v>1.3393E-2</v>
      </c>
      <c r="AZ133" s="49">
        <v>1.3472E-2</v>
      </c>
      <c r="BA133" s="49">
        <v>1.3275E-2</v>
      </c>
      <c r="BB133" s="49">
        <v>1.3398999999999999E-2</v>
      </c>
      <c r="BC133" s="49">
        <v>1.3729E-2</v>
      </c>
      <c r="BD133" s="49">
        <v>1.3863E-2</v>
      </c>
      <c r="BE133" s="49">
        <v>1.3875E-2</v>
      </c>
      <c r="BF133" s="49">
        <v>1.3882E-2</v>
      </c>
      <c r="BG133" s="49">
        <v>1.3997000000000001E-2</v>
      </c>
      <c r="BH133" s="49">
        <v>1.3986E-2</v>
      </c>
      <c r="BI133" s="49">
        <v>1.3946E-2</v>
      </c>
      <c r="BJ133" s="49">
        <v>1.4059E-2</v>
      </c>
      <c r="BK133" s="49">
        <v>1.4063000000000001E-2</v>
      </c>
      <c r="BL133" s="49">
        <v>1.4073E-2</v>
      </c>
    </row>
    <row r="134" spans="1:64" x14ac:dyDescent="0.3">
      <c r="A134" s="49">
        <v>162</v>
      </c>
      <c r="B134" s="49" t="s">
        <v>4899</v>
      </c>
      <c r="C134" s="49" t="s">
        <v>494</v>
      </c>
      <c r="D134" s="49">
        <v>0.57957599999999998</v>
      </c>
      <c r="E134" s="49">
        <v>0.57672999999999996</v>
      </c>
      <c r="F134" s="49">
        <v>0.58556600000000003</v>
      </c>
      <c r="G134" s="49">
        <v>0.60203799999999996</v>
      </c>
      <c r="H134" s="49">
        <v>0.59836</v>
      </c>
      <c r="I134" s="49">
        <v>0.57674800000000004</v>
      </c>
      <c r="J134" s="49">
        <v>0.56407300000000005</v>
      </c>
      <c r="K134" s="49">
        <v>0.570519</v>
      </c>
      <c r="L134" s="49">
        <v>0.58070699999999997</v>
      </c>
      <c r="M134" s="49">
        <v>0.60467599999999999</v>
      </c>
      <c r="N134" s="49">
        <v>0.61864600000000003</v>
      </c>
      <c r="O134" s="49">
        <v>0.62102199999999996</v>
      </c>
      <c r="P134" s="49">
        <v>0.64046099999999995</v>
      </c>
      <c r="Q134" s="49">
        <v>0.66148600000000002</v>
      </c>
      <c r="R134" s="49">
        <v>0.66691599999999995</v>
      </c>
      <c r="S134" s="49">
        <v>0.67128699999999997</v>
      </c>
      <c r="T134" s="49">
        <v>0.67961499999999997</v>
      </c>
      <c r="U134" s="49">
        <v>0.68155900000000003</v>
      </c>
      <c r="V134" s="49">
        <v>0.68315400000000004</v>
      </c>
      <c r="W134" s="49">
        <v>0.69696199999999997</v>
      </c>
      <c r="X134" s="49">
        <v>0.68028900000000003</v>
      </c>
      <c r="Y134" s="49">
        <v>0.71031500000000003</v>
      </c>
      <c r="Z134" s="49">
        <v>0.70701099999999995</v>
      </c>
      <c r="AA134" s="49">
        <v>0.72397800000000001</v>
      </c>
      <c r="AB134" s="49">
        <v>0.76069399999999998</v>
      </c>
      <c r="AC134" s="49">
        <v>0.76785000000000003</v>
      </c>
      <c r="AD134" s="49">
        <v>0.75952600000000003</v>
      </c>
      <c r="AE134" s="49">
        <v>0.77527999999999997</v>
      </c>
      <c r="AF134" s="49">
        <v>0.78125800000000001</v>
      </c>
      <c r="AG134" s="49">
        <v>0.79987799999999998</v>
      </c>
      <c r="AH134" s="49">
        <v>0.80807099999999998</v>
      </c>
      <c r="AI134" s="49">
        <v>0.79497700000000004</v>
      </c>
      <c r="AJ134" s="49">
        <v>0.78881900000000005</v>
      </c>
      <c r="AK134" s="49">
        <v>0.78238200000000002</v>
      </c>
      <c r="AL134" s="49">
        <v>0.76623600000000003</v>
      </c>
      <c r="AM134" s="49">
        <v>0.75001399999999996</v>
      </c>
      <c r="AN134" s="49">
        <v>0.74401600000000001</v>
      </c>
      <c r="AO134" s="49">
        <v>0.750274</v>
      </c>
      <c r="AP134" s="49">
        <v>0.72882000000000002</v>
      </c>
      <c r="AQ134" s="49">
        <v>0.73357399999999995</v>
      </c>
      <c r="AR134" s="49">
        <v>0.74355199999999999</v>
      </c>
      <c r="AS134" s="49">
        <v>0.73938599999999999</v>
      </c>
      <c r="AT134" s="49">
        <v>0.72789000000000004</v>
      </c>
      <c r="AU134" s="49">
        <v>0.72869600000000001</v>
      </c>
      <c r="AV134" s="49">
        <v>0.72281399999999996</v>
      </c>
      <c r="AW134" s="49">
        <v>0.71084599999999998</v>
      </c>
      <c r="AX134" s="49">
        <v>0.70019799999999999</v>
      </c>
      <c r="AY134" s="49">
        <v>0.68949700000000003</v>
      </c>
      <c r="AZ134" s="49">
        <v>0.68088700000000002</v>
      </c>
      <c r="BA134" s="49">
        <v>0.67158799999999996</v>
      </c>
      <c r="BB134" s="49">
        <v>0.66430900000000004</v>
      </c>
      <c r="BC134" s="49">
        <v>0.65590499999999996</v>
      </c>
      <c r="BD134" s="49">
        <v>0.63284200000000002</v>
      </c>
      <c r="BE134" s="49">
        <v>0.63023600000000002</v>
      </c>
      <c r="BF134" s="49">
        <v>0.627359</v>
      </c>
      <c r="BG134" s="49">
        <v>0.63574799999999998</v>
      </c>
      <c r="BH134" s="49">
        <v>0.63213699999999995</v>
      </c>
      <c r="BI134" s="49">
        <v>0.62241900000000006</v>
      </c>
      <c r="BJ134" s="49">
        <v>0.614097</v>
      </c>
      <c r="BK134" s="49">
        <v>0.62427699999999997</v>
      </c>
      <c r="BL134" s="49">
        <v>0.62755399999999995</v>
      </c>
    </row>
    <row r="135" spans="1:64" x14ac:dyDescent="0.3">
      <c r="A135" s="49">
        <v>165</v>
      </c>
      <c r="B135" s="49" t="s">
        <v>4898</v>
      </c>
      <c r="C135" s="49" t="s">
        <v>502</v>
      </c>
      <c r="D135" s="49">
        <v>23.789511999999998</v>
      </c>
      <c r="E135" s="49">
        <v>24.671828000000001</v>
      </c>
      <c r="F135" s="49">
        <v>25.393249999999998</v>
      </c>
      <c r="G135" s="49">
        <v>25.536204000000001</v>
      </c>
      <c r="H135" s="49">
        <v>26.480277999999998</v>
      </c>
      <c r="I135" s="49">
        <v>24.877476000000001</v>
      </c>
      <c r="J135" s="49">
        <v>26.348832999999999</v>
      </c>
      <c r="K135" s="49">
        <v>26.908885000000001</v>
      </c>
      <c r="L135" s="49">
        <v>26.570274000000001</v>
      </c>
      <c r="M135" s="49">
        <v>26.950272999999999</v>
      </c>
      <c r="N135" s="49">
        <v>26.575883999999999</v>
      </c>
      <c r="O135" s="49">
        <v>26.147971999999999</v>
      </c>
      <c r="P135" s="49">
        <v>26.846449</v>
      </c>
      <c r="Q135" s="49">
        <v>27.630279000000002</v>
      </c>
      <c r="R135" s="49">
        <v>26.793455999999999</v>
      </c>
      <c r="S135" s="49">
        <v>27.936838999999999</v>
      </c>
      <c r="T135" s="49">
        <v>29.262439000000001</v>
      </c>
      <c r="U135" s="49">
        <v>29.378257000000001</v>
      </c>
      <c r="V135" s="49">
        <v>30.631703999999999</v>
      </c>
      <c r="W135" s="49">
        <v>30.178591000000001</v>
      </c>
      <c r="X135" s="49">
        <v>30.703119000000001</v>
      </c>
      <c r="Y135" s="49">
        <v>31.643259</v>
      </c>
      <c r="Z135" s="49">
        <v>32.245001999999999</v>
      </c>
      <c r="AA135" s="49">
        <v>32.318888000000001</v>
      </c>
      <c r="AB135" s="49">
        <v>32.176554000000003</v>
      </c>
      <c r="AC135" s="49">
        <v>32.652537000000002</v>
      </c>
      <c r="AD135" s="49">
        <v>32.825600999999999</v>
      </c>
      <c r="AE135" s="49">
        <v>32.129896000000002</v>
      </c>
      <c r="AF135" s="49">
        <v>34.352496000000002</v>
      </c>
      <c r="AG135" s="49">
        <v>34.260078</v>
      </c>
      <c r="AH135" s="49">
        <v>43.789534000000003</v>
      </c>
      <c r="AI135" s="49">
        <v>43.718665000000001</v>
      </c>
      <c r="AJ135" s="49">
        <v>44.577084999999997</v>
      </c>
      <c r="AK135" s="49">
        <v>44.051755999999997</v>
      </c>
      <c r="AL135" s="49">
        <v>46.100814999999997</v>
      </c>
      <c r="AM135" s="49">
        <v>47.249451000000001</v>
      </c>
      <c r="AN135" s="49">
        <v>46.515768999999999</v>
      </c>
      <c r="AO135" s="49">
        <v>47.202438999999998</v>
      </c>
      <c r="AP135" s="49">
        <v>47.388745999999998</v>
      </c>
      <c r="AQ135" s="49">
        <v>47.140953000000003</v>
      </c>
      <c r="AR135" s="49">
        <v>46.726424999999999</v>
      </c>
      <c r="AS135" s="49">
        <v>45.289478000000003</v>
      </c>
      <c r="AT135" s="49">
        <v>47.767211000000003</v>
      </c>
      <c r="AU135" s="49">
        <v>49.005344000000001</v>
      </c>
      <c r="AV135" s="49">
        <v>49.398249999999997</v>
      </c>
      <c r="AW135" s="49">
        <v>49.653450999999997</v>
      </c>
      <c r="AX135" s="49">
        <v>50.647841</v>
      </c>
      <c r="AY135" s="49">
        <v>51.385348999999998</v>
      </c>
      <c r="AZ135" s="49">
        <v>52.375532999999997</v>
      </c>
      <c r="BA135" s="49">
        <v>49.938226999999998</v>
      </c>
      <c r="BB135" s="49">
        <v>50.506824999999999</v>
      </c>
      <c r="BC135" s="49">
        <v>49.413060000000002</v>
      </c>
      <c r="BD135" s="49">
        <v>50.251671000000002</v>
      </c>
      <c r="BE135" s="49">
        <v>51.828547</v>
      </c>
      <c r="BF135" s="49">
        <v>51.859729999999999</v>
      </c>
      <c r="BG135" s="49">
        <v>50.417473000000001</v>
      </c>
      <c r="BH135" s="49">
        <v>51.331668999999998</v>
      </c>
      <c r="BI135" s="49">
        <v>48.818148999999998</v>
      </c>
      <c r="BJ135" s="49">
        <v>49.959552000000002</v>
      </c>
      <c r="BK135" s="49">
        <v>49.586990999999998</v>
      </c>
      <c r="BL135" s="49">
        <v>50.462409000000001</v>
      </c>
    </row>
    <row r="136" spans="1:64" x14ac:dyDescent="0.3">
      <c r="A136" s="49">
        <v>166</v>
      </c>
      <c r="B136" s="49" t="s">
        <v>4897</v>
      </c>
      <c r="C136" s="49" t="s">
        <v>510</v>
      </c>
      <c r="D136" s="49">
        <v>0.51657200000000003</v>
      </c>
      <c r="E136" s="49">
        <v>0.51600199999999996</v>
      </c>
      <c r="F136" s="49">
        <v>0.54888499999999996</v>
      </c>
      <c r="G136" s="49">
        <v>0.57892100000000002</v>
      </c>
      <c r="H136" s="49">
        <v>0.62355499999999997</v>
      </c>
      <c r="I136" s="49">
        <v>0.63339699999999999</v>
      </c>
      <c r="J136" s="49">
        <v>0.63598900000000003</v>
      </c>
      <c r="K136" s="49">
        <v>0.62170599999999998</v>
      </c>
      <c r="L136" s="49">
        <v>0.62173699999999998</v>
      </c>
      <c r="M136" s="49">
        <v>0.477159</v>
      </c>
      <c r="N136" s="49">
        <v>0.48030200000000001</v>
      </c>
      <c r="O136" s="49">
        <v>0.505386</v>
      </c>
      <c r="P136" s="49">
        <v>0.51281100000000002</v>
      </c>
      <c r="Q136" s="49">
        <v>0.55079299999999998</v>
      </c>
      <c r="R136" s="49">
        <v>0.56886000000000003</v>
      </c>
      <c r="S136" s="49">
        <v>0.60254300000000005</v>
      </c>
      <c r="T136" s="49">
        <v>0.58976300000000004</v>
      </c>
      <c r="U136" s="49">
        <v>0.55103400000000002</v>
      </c>
      <c r="V136" s="49">
        <v>0.55899399999999999</v>
      </c>
      <c r="W136" s="49">
        <v>0.52750600000000003</v>
      </c>
      <c r="X136" s="49">
        <v>0.56111</v>
      </c>
      <c r="Y136" s="49">
        <v>0.57929299999999995</v>
      </c>
      <c r="Z136" s="49">
        <v>0.58327300000000004</v>
      </c>
      <c r="AA136" s="49">
        <v>0.553454</v>
      </c>
      <c r="AB136" s="49">
        <v>0.60410399999999997</v>
      </c>
      <c r="AC136" s="49">
        <v>0.58573200000000003</v>
      </c>
      <c r="AD136" s="49">
        <v>0.560608</v>
      </c>
      <c r="AE136" s="49">
        <v>0.54908599999999996</v>
      </c>
      <c r="AF136" s="49">
        <v>0.57035199999999997</v>
      </c>
      <c r="AG136" s="49">
        <v>0.60850899999999997</v>
      </c>
      <c r="AH136" s="49">
        <v>0.61191700000000004</v>
      </c>
      <c r="AI136" s="49">
        <v>0.63507000000000002</v>
      </c>
      <c r="AJ136" s="49">
        <v>0.61423099999999997</v>
      </c>
      <c r="AK136" s="49">
        <v>0.60882199999999997</v>
      </c>
      <c r="AL136" s="49">
        <v>0.61665899999999996</v>
      </c>
      <c r="AM136" s="49">
        <v>0.61336800000000002</v>
      </c>
      <c r="AN136" s="49">
        <v>0.52519700000000002</v>
      </c>
      <c r="AO136" s="49">
        <v>0.55474900000000005</v>
      </c>
      <c r="AP136" s="49">
        <v>0.53108699999999998</v>
      </c>
      <c r="AQ136" s="49">
        <v>0.53293599999999997</v>
      </c>
      <c r="AR136" s="49">
        <v>0.59660299999999999</v>
      </c>
      <c r="AS136" s="49">
        <v>0.59011199999999997</v>
      </c>
      <c r="AT136" s="49">
        <v>0.64693599999999996</v>
      </c>
      <c r="AU136" s="49">
        <v>0.64286500000000002</v>
      </c>
      <c r="AV136" s="49">
        <v>0.61633400000000005</v>
      </c>
      <c r="AW136" s="49">
        <v>0.63171100000000002</v>
      </c>
      <c r="AX136" s="49">
        <v>0.61438999999999999</v>
      </c>
      <c r="AY136" s="49">
        <v>0.61574200000000001</v>
      </c>
      <c r="AZ136" s="49">
        <v>0.579569</v>
      </c>
      <c r="BA136" s="49">
        <v>0.57860699999999998</v>
      </c>
      <c r="BB136" s="49">
        <v>0.58065999999999995</v>
      </c>
      <c r="BC136" s="49">
        <v>0.56237300000000001</v>
      </c>
      <c r="BD136" s="49">
        <v>0.56489699999999998</v>
      </c>
      <c r="BE136" s="49">
        <v>0.537215</v>
      </c>
      <c r="BF136" s="49">
        <v>0.58797200000000005</v>
      </c>
      <c r="BG136" s="49">
        <v>0.56435800000000003</v>
      </c>
      <c r="BH136" s="49">
        <v>0.55345900000000003</v>
      </c>
      <c r="BI136" s="49">
        <v>0.590534</v>
      </c>
      <c r="BJ136" s="49">
        <v>0.60953900000000005</v>
      </c>
      <c r="BK136" s="49">
        <v>0.62384099999999998</v>
      </c>
      <c r="BL136" s="49">
        <v>0.59936299999999998</v>
      </c>
    </row>
    <row r="137" spans="1:64" x14ac:dyDescent="0.3">
      <c r="A137" s="49">
        <v>167</v>
      </c>
      <c r="B137" s="49" t="s">
        <v>4896</v>
      </c>
      <c r="C137" s="49" t="s">
        <v>4774</v>
      </c>
      <c r="AJ137" s="49">
        <v>4.6545709999999998</v>
      </c>
      <c r="AK137" s="49">
        <v>4.7962670000000003</v>
      </c>
      <c r="AL137" s="49">
        <v>4.8208159999999998</v>
      </c>
      <c r="AM137" s="49">
        <v>4.728383</v>
      </c>
      <c r="AN137" s="49">
        <v>4.8938899999999999</v>
      </c>
      <c r="AO137" s="49">
        <v>4.9883800000000003</v>
      </c>
      <c r="AP137" s="49">
        <v>5.1803949999999999</v>
      </c>
      <c r="AQ137" s="49">
        <v>5.1179220000000001</v>
      </c>
      <c r="AR137" s="49">
        <v>5.095809</v>
      </c>
      <c r="AS137" s="49">
        <v>4.8007410000000004</v>
      </c>
      <c r="AT137" s="49">
        <v>4.609578</v>
      </c>
      <c r="AU137" s="49">
        <v>4.7838659999999997</v>
      </c>
      <c r="AV137" s="49">
        <v>4.8404530000000001</v>
      </c>
      <c r="AW137" s="49">
        <v>4.7703790000000001</v>
      </c>
      <c r="AX137" s="49">
        <v>4.8685879999999999</v>
      </c>
      <c r="AY137" s="49">
        <v>4.887886</v>
      </c>
      <c r="AZ137" s="49">
        <v>4.8793470000000001</v>
      </c>
      <c r="BA137" s="49">
        <v>4.7414050000000003</v>
      </c>
      <c r="BB137" s="49">
        <v>4.6842300000000003</v>
      </c>
      <c r="BC137" s="49">
        <v>4.644857</v>
      </c>
      <c r="BD137" s="49">
        <v>4.6055339999999996</v>
      </c>
      <c r="BE137" s="49">
        <v>4.5396419999999997</v>
      </c>
      <c r="BF137" s="49">
        <v>4.4547420000000004</v>
      </c>
      <c r="BG137" s="49">
        <v>4.4767380000000001</v>
      </c>
      <c r="BH137" s="49">
        <v>4.5204199999999997</v>
      </c>
      <c r="BI137" s="49">
        <v>3.4961199999999999</v>
      </c>
      <c r="BJ137" s="49">
        <v>3.4747300000000001</v>
      </c>
      <c r="BK137" s="49">
        <v>3.4653100000000001</v>
      </c>
      <c r="BL137" s="49">
        <v>3.4729100000000002</v>
      </c>
    </row>
    <row r="138" spans="1:64" x14ac:dyDescent="0.3">
      <c r="A138" s="49">
        <v>168</v>
      </c>
      <c r="B138" s="49" t="s">
        <v>4895</v>
      </c>
      <c r="C138" s="49" t="s">
        <v>512</v>
      </c>
      <c r="D138" s="49">
        <v>0.69881000000000004</v>
      </c>
      <c r="E138" s="49">
        <v>0.71686700000000003</v>
      </c>
      <c r="F138" s="49">
        <v>0.72527600000000003</v>
      </c>
      <c r="G138" s="49">
        <v>0.76376699999999997</v>
      </c>
      <c r="H138" s="49">
        <v>0.75399000000000005</v>
      </c>
      <c r="I138" s="49">
        <v>0.76561100000000004</v>
      </c>
      <c r="J138" s="49">
        <v>0.78966499999999995</v>
      </c>
      <c r="K138" s="49">
        <v>0.81057000000000001</v>
      </c>
      <c r="L138" s="49">
        <v>0.82918000000000003</v>
      </c>
      <c r="M138" s="49">
        <v>0.84473799999999999</v>
      </c>
      <c r="N138" s="49">
        <v>0.85741100000000003</v>
      </c>
      <c r="O138" s="49">
        <v>0.87321800000000005</v>
      </c>
      <c r="P138" s="49">
        <v>0.89127000000000001</v>
      </c>
      <c r="Q138" s="49">
        <v>0.93004699999999996</v>
      </c>
      <c r="R138" s="49">
        <v>0.95340199999999997</v>
      </c>
      <c r="S138" s="49">
        <v>0.97281899999999999</v>
      </c>
      <c r="T138" s="49">
        <v>0.98856100000000002</v>
      </c>
      <c r="U138" s="49">
        <v>1.0017199999999999</v>
      </c>
      <c r="V138" s="49">
        <v>1.003905</v>
      </c>
      <c r="W138" s="49">
        <v>0.96957899999999997</v>
      </c>
      <c r="X138" s="49">
        <v>0.99743700000000002</v>
      </c>
      <c r="Y138" s="49">
        <v>1.0177419999999999</v>
      </c>
      <c r="Z138" s="49">
        <v>1.0363340000000001</v>
      </c>
      <c r="AA138" s="49">
        <v>1.057493</v>
      </c>
      <c r="AB138" s="49">
        <v>1.070044</v>
      </c>
      <c r="AC138" s="49">
        <v>1.0903529999999999</v>
      </c>
      <c r="AD138" s="49">
        <v>1.0982940000000001</v>
      </c>
      <c r="AE138" s="49">
        <v>1.1280399999999999</v>
      </c>
      <c r="AF138" s="49">
        <v>1.1445099999999999</v>
      </c>
      <c r="AG138" s="49">
        <v>1.182488</v>
      </c>
      <c r="AH138" s="49">
        <v>1.7740149999999999</v>
      </c>
      <c r="AI138" s="49">
        <v>1.8048329999999999</v>
      </c>
      <c r="AJ138" s="49">
        <v>1.845046</v>
      </c>
      <c r="AK138" s="49">
        <v>1.8442430000000001</v>
      </c>
      <c r="AL138" s="49">
        <v>1.855507</v>
      </c>
      <c r="AM138" s="49">
        <v>1.893464</v>
      </c>
      <c r="AN138" s="49">
        <v>1.846679</v>
      </c>
      <c r="AO138" s="49">
        <v>1.9621519999999999</v>
      </c>
      <c r="AP138" s="49">
        <v>1.9967360000000001</v>
      </c>
      <c r="AQ138" s="49">
        <v>2.0191089999999998</v>
      </c>
      <c r="AR138" s="49">
        <v>1.830335</v>
      </c>
      <c r="AS138" s="49">
        <v>1.8783939999999999</v>
      </c>
      <c r="AT138" s="49">
        <v>1.9078949999999999</v>
      </c>
      <c r="AU138" s="49">
        <v>1.8639889999999999</v>
      </c>
      <c r="AV138" s="49">
        <v>1.960372</v>
      </c>
      <c r="AW138" s="49">
        <v>1.996051</v>
      </c>
      <c r="AX138" s="49">
        <v>2.2157179999999999</v>
      </c>
      <c r="AY138" s="49">
        <v>2.1994419999999999</v>
      </c>
      <c r="AZ138" s="49">
        <v>2.2330239999999999</v>
      </c>
      <c r="BA138" s="49">
        <v>2.2227869999999998</v>
      </c>
      <c r="BB138" s="49">
        <v>2.309968</v>
      </c>
      <c r="BC138" s="49">
        <v>2.264437</v>
      </c>
      <c r="BD138" s="49">
        <v>2.3154189999999999</v>
      </c>
      <c r="BE138" s="49">
        <v>2.3842150000000002</v>
      </c>
      <c r="BF138" s="49">
        <v>2.4276520000000001</v>
      </c>
      <c r="BG138" s="49">
        <v>2.4316179999999998</v>
      </c>
      <c r="BH138" s="49">
        <v>2.7310449999999999</v>
      </c>
      <c r="BI138" s="49">
        <v>2.7161379999999999</v>
      </c>
      <c r="BJ138" s="49">
        <v>2.727989</v>
      </c>
      <c r="BK138" s="49">
        <v>2.766683</v>
      </c>
      <c r="BL138" s="49">
        <v>2.8120240000000001</v>
      </c>
    </row>
    <row r="139" spans="1:64" x14ac:dyDescent="0.3">
      <c r="A139" s="49">
        <v>169</v>
      </c>
      <c r="B139" s="49" t="s">
        <v>4894</v>
      </c>
      <c r="C139" s="49" t="s">
        <v>514</v>
      </c>
      <c r="D139" s="49">
        <v>0.63227</v>
      </c>
      <c r="E139" s="49">
        <v>0.66220999999999997</v>
      </c>
      <c r="F139" s="49">
        <v>0.69257999999999997</v>
      </c>
      <c r="G139" s="49">
        <v>0.89885000000000004</v>
      </c>
      <c r="H139" s="49">
        <v>0.95015000000000005</v>
      </c>
      <c r="I139" s="49">
        <v>0.91545399999999999</v>
      </c>
      <c r="J139" s="49">
        <v>0.95059000000000005</v>
      </c>
      <c r="K139" s="49">
        <v>0.98380800000000002</v>
      </c>
      <c r="L139" s="49">
        <v>0.92500800000000005</v>
      </c>
      <c r="M139" s="49">
        <v>1.1459239999999999</v>
      </c>
      <c r="N139" s="49">
        <v>1.206226</v>
      </c>
      <c r="O139" s="49">
        <v>1.1865479999999999</v>
      </c>
      <c r="P139" s="49">
        <v>1.15425</v>
      </c>
      <c r="Q139" s="49">
        <v>1.3179430000000001</v>
      </c>
      <c r="R139" s="49">
        <v>1.4080360000000001</v>
      </c>
      <c r="S139" s="49">
        <v>1.5700350000000001</v>
      </c>
      <c r="T139" s="49">
        <v>1.8481559999999999</v>
      </c>
      <c r="U139" s="49">
        <v>1.992953</v>
      </c>
      <c r="V139" s="49">
        <v>2.0494539999999999</v>
      </c>
      <c r="W139" s="49">
        <v>2.128142</v>
      </c>
      <c r="X139" s="49">
        <v>2.0404300000000002</v>
      </c>
      <c r="Y139" s="49">
        <v>2.3428659999999999</v>
      </c>
      <c r="Z139" s="49">
        <v>2.31915</v>
      </c>
      <c r="AA139" s="49">
        <v>2.4700639999999998</v>
      </c>
      <c r="AB139" s="49">
        <v>2.766572</v>
      </c>
      <c r="AC139" s="49">
        <v>2.5982910000000001</v>
      </c>
      <c r="AD139" s="49">
        <v>2.668183</v>
      </c>
      <c r="AE139" s="49">
        <v>3.1464690000000002</v>
      </c>
      <c r="AF139" s="49">
        <v>3.3034780000000001</v>
      </c>
      <c r="AG139" s="49">
        <v>3.250963</v>
      </c>
      <c r="AH139" s="49">
        <v>5.1580029999999999</v>
      </c>
      <c r="AI139" s="49">
        <v>5.4209529999999999</v>
      </c>
      <c r="AJ139" s="49">
        <v>4.8646000000000003</v>
      </c>
      <c r="AK139" s="49">
        <v>5.5748150000000001</v>
      </c>
      <c r="AL139" s="49">
        <v>5.7735000000000003</v>
      </c>
      <c r="AM139" s="49">
        <v>6.0447329999999999</v>
      </c>
      <c r="AN139" s="49">
        <v>5.7880330000000004</v>
      </c>
      <c r="AO139" s="49">
        <v>6.5672540000000001</v>
      </c>
      <c r="AP139" s="49">
        <v>6.7013780000000001</v>
      </c>
      <c r="AQ139" s="49">
        <v>6.6785709999999998</v>
      </c>
      <c r="AR139" s="49">
        <v>8.1151269999999993</v>
      </c>
      <c r="AS139" s="49">
        <v>7.8686230000000004</v>
      </c>
      <c r="AT139" s="49">
        <v>8.3245520000000006</v>
      </c>
      <c r="AU139" s="49">
        <v>10.209872000000001</v>
      </c>
      <c r="AV139" s="49">
        <v>10.352637</v>
      </c>
      <c r="AW139" s="49">
        <v>11.596024</v>
      </c>
      <c r="AX139" s="49">
        <v>11.903589999999999</v>
      </c>
      <c r="AY139" s="49">
        <v>11.847828</v>
      </c>
      <c r="AZ139" s="49">
        <v>12.602134</v>
      </c>
      <c r="BA139" s="49">
        <v>12.925561</v>
      </c>
      <c r="BB139" s="49">
        <v>13.353602</v>
      </c>
      <c r="BC139" s="49">
        <v>14.071902</v>
      </c>
      <c r="BD139" s="49">
        <v>14.510833999999999</v>
      </c>
      <c r="BE139" s="49">
        <v>15.333313</v>
      </c>
      <c r="BF139" s="49">
        <v>15.880160999999999</v>
      </c>
      <c r="BG139" s="49">
        <v>15.156305</v>
      </c>
      <c r="BH139" s="49">
        <v>15.149221000000001</v>
      </c>
      <c r="BI139" s="49">
        <v>15.352985</v>
      </c>
      <c r="BJ139" s="49">
        <v>15.781563999999999</v>
      </c>
      <c r="BK139" s="49">
        <v>16.059766</v>
      </c>
      <c r="BL139" s="49">
        <v>15.793061</v>
      </c>
    </row>
    <row r="140" spans="1:64" x14ac:dyDescent="0.3">
      <c r="A140" s="49">
        <v>170</v>
      </c>
      <c r="B140" s="49" t="s">
        <v>4893</v>
      </c>
      <c r="C140" s="49" t="s">
        <v>516</v>
      </c>
      <c r="D140" s="49">
        <v>2.992327</v>
      </c>
      <c r="E140" s="49">
        <v>3.0542039999999999</v>
      </c>
      <c r="F140" s="49">
        <v>3.0445250000000001</v>
      </c>
      <c r="G140" s="49">
        <v>3.2970100000000002</v>
      </c>
      <c r="H140" s="49">
        <v>3.2322099999999998</v>
      </c>
      <c r="I140" s="49">
        <v>3.4125369999999999</v>
      </c>
      <c r="J140" s="49">
        <v>3.5295079999999999</v>
      </c>
      <c r="K140" s="49">
        <v>3.16805</v>
      </c>
      <c r="L140" s="49">
        <v>3.6245880000000001</v>
      </c>
      <c r="M140" s="49">
        <v>3.792945</v>
      </c>
      <c r="N140" s="49">
        <v>3.6487660000000002</v>
      </c>
      <c r="O140" s="49">
        <v>3.5730580000000001</v>
      </c>
      <c r="P140" s="49">
        <v>3.5316969999999999</v>
      </c>
      <c r="Q140" s="49">
        <v>3.5506630000000001</v>
      </c>
      <c r="R140" s="49">
        <v>3.479508</v>
      </c>
      <c r="S140" s="49">
        <v>3.5301879999999999</v>
      </c>
      <c r="T140" s="49">
        <v>3.5442930000000001</v>
      </c>
      <c r="U140" s="49">
        <v>3.362784</v>
      </c>
      <c r="V140" s="49">
        <v>3.4619749999999998</v>
      </c>
      <c r="W140" s="49">
        <v>3.131265</v>
      </c>
      <c r="X140" s="49">
        <v>3.455187</v>
      </c>
      <c r="Y140" s="49">
        <v>3.5446049999999998</v>
      </c>
      <c r="Z140" s="49">
        <v>3.297895</v>
      </c>
      <c r="AA140" s="49">
        <v>3.5576080000000001</v>
      </c>
      <c r="AB140" s="49">
        <v>3.4760819999999999</v>
      </c>
      <c r="AC140" s="49">
        <v>3.6135769999999998</v>
      </c>
      <c r="AD140" s="49">
        <v>3.8705479999999999</v>
      </c>
      <c r="AE140" s="49">
        <v>4.0006839999999997</v>
      </c>
      <c r="AF140" s="49">
        <v>3.9791300000000001</v>
      </c>
      <c r="AG140" s="49">
        <v>3.1753749999999998</v>
      </c>
      <c r="AH140" s="49">
        <v>3.751557</v>
      </c>
      <c r="AI140" s="49">
        <v>3.1896779999999998</v>
      </c>
      <c r="AJ140" s="49">
        <v>3.5531480000000002</v>
      </c>
      <c r="AK140" s="49">
        <v>3.9385690000000002</v>
      </c>
      <c r="AL140" s="49">
        <v>4.213114</v>
      </c>
      <c r="AM140" s="49">
        <v>4.5427860000000004</v>
      </c>
      <c r="AN140" s="49">
        <v>4.5985589999999998</v>
      </c>
      <c r="AO140" s="49">
        <v>4.8667860000000003</v>
      </c>
      <c r="AP140" s="49">
        <v>5.0702769999999999</v>
      </c>
      <c r="AQ140" s="49">
        <v>5.4825239999999997</v>
      </c>
      <c r="AR140" s="49">
        <v>5.2505480000000002</v>
      </c>
      <c r="AS140" s="49">
        <v>5.313866</v>
      </c>
      <c r="AT140" s="49">
        <v>5.2925279999999999</v>
      </c>
      <c r="AU140" s="49">
        <v>5.1766740000000002</v>
      </c>
      <c r="AV140" s="49">
        <v>5.4966660000000003</v>
      </c>
      <c r="AW140" s="49">
        <v>5.6175350000000002</v>
      </c>
      <c r="AX140" s="49">
        <v>5.6779270000000004</v>
      </c>
      <c r="AY140" s="49">
        <v>5.8623469999999998</v>
      </c>
      <c r="AZ140" s="49">
        <v>5.9618739999999999</v>
      </c>
      <c r="BA140" s="49">
        <v>5.9076550000000001</v>
      </c>
      <c r="BB140" s="49">
        <v>5.8555159999999997</v>
      </c>
      <c r="BC140" s="49">
        <v>6.1422730000000003</v>
      </c>
      <c r="BD140" s="49">
        <v>6.2890560000000004</v>
      </c>
      <c r="BE140" s="49">
        <v>6.155265</v>
      </c>
      <c r="BF140" s="49">
        <v>6.2940560000000003</v>
      </c>
      <c r="BG140" s="49">
        <v>6.1539060000000001</v>
      </c>
      <c r="BH140" s="49">
        <v>6.1731990000000003</v>
      </c>
      <c r="BI140" s="49">
        <v>6.4078020000000002</v>
      </c>
      <c r="BJ140" s="49">
        <v>6.4622169999999999</v>
      </c>
      <c r="BK140" s="49">
        <v>6.3530829999999998</v>
      </c>
      <c r="BL140" s="49">
        <v>6.515549</v>
      </c>
    </row>
    <row r="141" spans="1:64" x14ac:dyDescent="0.3">
      <c r="A141" s="49">
        <v>171</v>
      </c>
      <c r="B141" s="49" t="s">
        <v>4892</v>
      </c>
      <c r="C141" s="49" t="s">
        <v>518</v>
      </c>
      <c r="D141" s="49">
        <v>15.02294</v>
      </c>
      <c r="E141" s="49">
        <v>14.95454</v>
      </c>
      <c r="F141" s="49">
        <v>14.852152</v>
      </c>
      <c r="G141" s="49">
        <v>15.290196999999999</v>
      </c>
      <c r="H141" s="49">
        <v>15.790319999999999</v>
      </c>
      <c r="I141" s="49">
        <v>15.784810999999999</v>
      </c>
      <c r="J141" s="49">
        <v>16.540675</v>
      </c>
      <c r="K141" s="49">
        <v>16.546972</v>
      </c>
      <c r="L141" s="49">
        <v>16.788654999999999</v>
      </c>
      <c r="M141" s="49">
        <v>16.972573000000001</v>
      </c>
      <c r="N141" s="49">
        <v>17.528426</v>
      </c>
      <c r="O141" s="49">
        <v>17.218347999999999</v>
      </c>
      <c r="P141" s="49">
        <v>18.675132000000001</v>
      </c>
      <c r="Q141" s="49">
        <v>19.699019</v>
      </c>
      <c r="R141" s="49">
        <v>20.413363</v>
      </c>
      <c r="S141" s="49">
        <v>21.083452000000001</v>
      </c>
      <c r="T141" s="49">
        <v>21.151243999999998</v>
      </c>
      <c r="U141" s="49">
        <v>21.278851</v>
      </c>
      <c r="V141" s="49">
        <v>21.503233999999999</v>
      </c>
      <c r="W141" s="49">
        <v>21.436451000000002</v>
      </c>
      <c r="X141" s="49">
        <v>21.522635999999999</v>
      </c>
      <c r="Y141" s="49">
        <v>20.834147999999999</v>
      </c>
      <c r="Z141" s="49">
        <v>20.692782999999999</v>
      </c>
      <c r="AA141" s="49">
        <v>20.888563000000001</v>
      </c>
      <c r="AB141" s="49">
        <v>21.826716000000001</v>
      </c>
      <c r="AC141" s="49">
        <v>21.821892999999999</v>
      </c>
      <c r="AD141" s="49">
        <v>21.65522</v>
      </c>
      <c r="AE141" s="49">
        <v>21.931296</v>
      </c>
      <c r="AF141" s="49">
        <v>22.028414000000001</v>
      </c>
      <c r="AG141" s="49">
        <v>22.183935000000002</v>
      </c>
      <c r="AH141" s="49">
        <v>28.381871</v>
      </c>
      <c r="AI141" s="49">
        <v>27.494931000000001</v>
      </c>
      <c r="AJ141" s="49">
        <v>27.537842999999999</v>
      </c>
      <c r="AK141" s="49">
        <v>28.026308</v>
      </c>
      <c r="AL141" s="49">
        <v>27.507705000000001</v>
      </c>
      <c r="AM141" s="49">
        <v>28.53501</v>
      </c>
      <c r="AN141" s="49">
        <v>28.097978000000001</v>
      </c>
      <c r="AO141" s="49">
        <v>25.739426999999999</v>
      </c>
      <c r="AP141" s="49">
        <v>28.341942</v>
      </c>
      <c r="AQ141" s="49">
        <v>28.084738999999999</v>
      </c>
      <c r="AR141" s="49">
        <v>28.190977</v>
      </c>
      <c r="AS141" s="49">
        <v>28.168838000000001</v>
      </c>
      <c r="AT141" s="49">
        <v>28.347840000000001</v>
      </c>
      <c r="AU141" s="49">
        <v>28.878630000000001</v>
      </c>
      <c r="AV141" s="49">
        <v>28.659265999999999</v>
      </c>
      <c r="AW141" s="49">
        <v>29.452051999999998</v>
      </c>
      <c r="AX141" s="49">
        <v>30.101607000000001</v>
      </c>
      <c r="AY141" s="49">
        <v>30.712242</v>
      </c>
      <c r="AZ141" s="49">
        <v>31.074006000000001</v>
      </c>
      <c r="BA141" s="49">
        <v>30.812556000000001</v>
      </c>
      <c r="BB141" s="49">
        <v>31.503768999999998</v>
      </c>
      <c r="BC141" s="49">
        <v>31.993077</v>
      </c>
      <c r="BD141" s="49">
        <v>32.028056999999997</v>
      </c>
      <c r="BE141" s="49">
        <v>32.034072999999999</v>
      </c>
      <c r="BF141" s="49">
        <v>31.899858999999999</v>
      </c>
      <c r="BG141" s="49">
        <v>31.629625000000001</v>
      </c>
      <c r="BH141" s="49">
        <v>32.54992</v>
      </c>
      <c r="BI141" s="49">
        <v>32.503450000000001</v>
      </c>
      <c r="BJ141" s="49">
        <v>32.175960000000003</v>
      </c>
      <c r="BK141" s="49">
        <v>32.411282</v>
      </c>
      <c r="BL141" s="49">
        <v>32.637238000000004</v>
      </c>
    </row>
    <row r="142" spans="1:64" x14ac:dyDescent="0.3">
      <c r="A142" s="49">
        <v>173</v>
      </c>
      <c r="B142" s="49" t="s">
        <v>4891</v>
      </c>
      <c r="C142" s="49" t="s">
        <v>522</v>
      </c>
      <c r="D142" s="49">
        <v>26.209864</v>
      </c>
      <c r="E142" s="49">
        <v>25.935967999999999</v>
      </c>
      <c r="F142" s="49">
        <v>25.829440000000002</v>
      </c>
      <c r="G142" s="49">
        <v>25.803816000000001</v>
      </c>
      <c r="H142" s="49">
        <v>25.374645999999998</v>
      </c>
      <c r="I142" s="49">
        <v>24.991686000000001</v>
      </c>
      <c r="J142" s="49">
        <v>25.025666000000001</v>
      </c>
      <c r="K142" s="49">
        <v>24.963508000000001</v>
      </c>
      <c r="L142" s="49">
        <v>25.145365999999999</v>
      </c>
      <c r="M142" s="49">
        <v>24.704747999999999</v>
      </c>
      <c r="N142" s="49">
        <v>24.798562</v>
      </c>
      <c r="O142" s="49">
        <v>24.652206</v>
      </c>
      <c r="P142" s="49">
        <v>24.282544999999999</v>
      </c>
      <c r="Q142" s="49">
        <v>23.971899000000001</v>
      </c>
      <c r="R142" s="49">
        <v>23.497848999999999</v>
      </c>
      <c r="S142" s="49">
        <v>23.250858000000001</v>
      </c>
      <c r="T142" s="49">
        <v>23.468381999999998</v>
      </c>
      <c r="U142" s="49">
        <v>23.090888</v>
      </c>
      <c r="V142" s="49">
        <v>23.005206000000001</v>
      </c>
      <c r="W142" s="49">
        <v>22.937152999999999</v>
      </c>
      <c r="X142" s="49">
        <v>22.759927999999999</v>
      </c>
      <c r="Y142" s="49">
        <v>22.941413000000001</v>
      </c>
      <c r="Z142" s="49">
        <v>23.120982000000001</v>
      </c>
      <c r="AA142" s="49">
        <v>23.279712</v>
      </c>
      <c r="AB142" s="49">
        <v>23.94406</v>
      </c>
      <c r="AC142" s="49">
        <v>23.747112999999999</v>
      </c>
      <c r="AD142" s="49">
        <v>23.606494999999999</v>
      </c>
      <c r="AE142" s="49">
        <v>23.770848999999998</v>
      </c>
      <c r="AF142" s="49">
        <v>23.856017000000001</v>
      </c>
      <c r="AG142" s="49">
        <v>23.896816000000001</v>
      </c>
      <c r="AH142" s="49">
        <v>24.842846999999999</v>
      </c>
      <c r="AI142" s="49">
        <v>24.095776000000001</v>
      </c>
      <c r="AJ142" s="49">
        <v>24.070625</v>
      </c>
      <c r="AK142" s="49">
        <v>23.868086000000002</v>
      </c>
      <c r="AL142" s="49">
        <v>24.484921</v>
      </c>
      <c r="AM142" s="49">
        <v>23.457156999999999</v>
      </c>
      <c r="AN142" s="49">
        <v>23.764021</v>
      </c>
      <c r="AO142" s="49">
        <v>24.149411000000001</v>
      </c>
      <c r="AP142" s="49">
        <v>24.011009999999999</v>
      </c>
      <c r="AQ142" s="49">
        <v>23.758043000000001</v>
      </c>
      <c r="AR142" s="49">
        <v>23.604903</v>
      </c>
      <c r="AS142" s="49">
        <v>21.522357</v>
      </c>
      <c r="AT142" s="49">
        <v>21.199964000000001</v>
      </c>
      <c r="AU142" s="49">
        <v>21.926078</v>
      </c>
      <c r="AV142" s="49">
        <v>21.621462000000001</v>
      </c>
      <c r="AW142" s="49">
        <v>21.997567</v>
      </c>
      <c r="AX142" s="49">
        <v>22.404212000000001</v>
      </c>
      <c r="AY142" s="49">
        <v>22.553266000000001</v>
      </c>
      <c r="AZ142" s="49">
        <v>22.622427999999999</v>
      </c>
      <c r="BA142" s="49">
        <v>20.893357000000002</v>
      </c>
      <c r="BB142" s="49">
        <v>21.000261999999999</v>
      </c>
      <c r="BC142" s="49">
        <v>20.516421999999999</v>
      </c>
      <c r="BD142" s="49">
        <v>20.426985999999999</v>
      </c>
      <c r="BE142" s="49">
        <v>20.583480999999999</v>
      </c>
      <c r="BF142" s="49">
        <v>21.045479</v>
      </c>
      <c r="BG142" s="49">
        <v>20.274362</v>
      </c>
      <c r="BH142" s="49">
        <v>21.120706999999999</v>
      </c>
      <c r="BI142" s="49">
        <v>19.154</v>
      </c>
      <c r="BJ142" s="49">
        <v>19.393799999999999</v>
      </c>
      <c r="BK142" s="49">
        <v>18.59103</v>
      </c>
      <c r="BL142" s="49">
        <v>18.56991</v>
      </c>
    </row>
    <row r="143" spans="1:64" x14ac:dyDescent="0.3">
      <c r="A143" s="49">
        <v>174</v>
      </c>
      <c r="B143" s="49" t="s">
        <v>4890</v>
      </c>
      <c r="C143" s="49" t="s">
        <v>524</v>
      </c>
      <c r="D143" s="49">
        <v>6.6456020000000002</v>
      </c>
      <c r="E143" s="49">
        <v>6.905278</v>
      </c>
      <c r="F143" s="49">
        <v>6.919162</v>
      </c>
      <c r="G143" s="49">
        <v>6.7112860000000003</v>
      </c>
      <c r="H143" s="49">
        <v>6.648466</v>
      </c>
      <c r="I143" s="49">
        <v>6.1029419999999996</v>
      </c>
      <c r="J143" s="49">
        <v>5.9871359999999996</v>
      </c>
      <c r="K143" s="49">
        <v>6.0880460000000003</v>
      </c>
      <c r="L143" s="49">
        <v>5.9159740000000003</v>
      </c>
      <c r="M143" s="49">
        <v>5.8541800000000004</v>
      </c>
      <c r="N143" s="49">
        <v>5.4567220000000001</v>
      </c>
      <c r="O143" s="49">
        <v>5.4417470000000003</v>
      </c>
      <c r="P143" s="49">
        <v>4.937093</v>
      </c>
      <c r="Q143" s="49">
        <v>4.9844790000000003</v>
      </c>
      <c r="R143" s="49">
        <v>5.0951190000000004</v>
      </c>
      <c r="S143" s="49">
        <v>5.2629859999999997</v>
      </c>
      <c r="T143" s="49">
        <v>4.4068860000000001</v>
      </c>
      <c r="U143" s="49">
        <v>4.8499739999999996</v>
      </c>
      <c r="V143" s="49">
        <v>4.5285520000000004</v>
      </c>
      <c r="W143" s="49">
        <v>4.414256</v>
      </c>
      <c r="X143" s="49">
        <v>4.1460780000000002</v>
      </c>
      <c r="Y143" s="49">
        <v>4.2348150000000002</v>
      </c>
      <c r="Z143" s="49">
        <v>4.1812990000000001</v>
      </c>
      <c r="AA143" s="49">
        <v>3.9916480000000001</v>
      </c>
      <c r="AB143" s="49">
        <v>4.2821170000000004</v>
      </c>
      <c r="AC143" s="49">
        <v>3.9209010000000002</v>
      </c>
      <c r="AD143" s="49">
        <v>3.9593790000000002</v>
      </c>
      <c r="AE143" s="49">
        <v>3.8501319999999999</v>
      </c>
      <c r="AF143" s="49">
        <v>3.8923779999999999</v>
      </c>
      <c r="AG143" s="49">
        <v>3.6613090000000001</v>
      </c>
      <c r="AH143" s="49">
        <v>4.045623</v>
      </c>
      <c r="AI143" s="49">
        <v>3.9598010000000001</v>
      </c>
      <c r="AJ143" s="49">
        <v>3.9353630000000002</v>
      </c>
      <c r="AK143" s="49">
        <v>3.8733300000000002</v>
      </c>
      <c r="AL143" s="49">
        <v>3.7146530000000002</v>
      </c>
      <c r="AM143" s="49">
        <v>3.6758500000000001</v>
      </c>
      <c r="AN143" s="49">
        <v>3.6123310000000002</v>
      </c>
      <c r="AO143" s="49">
        <v>3.1944669999999999</v>
      </c>
      <c r="AP143" s="49">
        <v>3.3296489999999999</v>
      </c>
      <c r="AQ143" s="49">
        <v>3.2800009999999999</v>
      </c>
      <c r="AR143" s="49">
        <v>3.0672570000000001</v>
      </c>
      <c r="AS143" s="49">
        <v>3.0194549999999998</v>
      </c>
      <c r="AT143" s="49">
        <v>2.8864269999999999</v>
      </c>
      <c r="AU143" s="49">
        <v>2.8463219999999998</v>
      </c>
      <c r="AV143" s="49">
        <v>2.5965500000000001</v>
      </c>
      <c r="AW143" s="49">
        <v>2.5424549999999999</v>
      </c>
      <c r="AX143" s="49">
        <v>2.4152089999999999</v>
      </c>
      <c r="AY143" s="49">
        <v>2.5071759999999998</v>
      </c>
      <c r="AZ143" s="49">
        <v>2.4013360000000001</v>
      </c>
      <c r="BA143" s="49">
        <v>2.2933150000000002</v>
      </c>
      <c r="BB143" s="49">
        <v>2.2097720000000001</v>
      </c>
      <c r="BC143" s="49">
        <v>2.1923590000000002</v>
      </c>
      <c r="BD143" s="49">
        <v>2.28871</v>
      </c>
      <c r="BE143" s="49">
        <v>2.2702629999999999</v>
      </c>
      <c r="BF143" s="49">
        <v>2.2186780000000002</v>
      </c>
      <c r="BG143" s="49">
        <v>2.1938040000000001</v>
      </c>
      <c r="BH143" s="49">
        <v>2.1616659999999999</v>
      </c>
      <c r="BI143" s="49">
        <v>1.8332580000000001</v>
      </c>
      <c r="BJ143" s="49">
        <v>1.958108</v>
      </c>
      <c r="BK143" s="49">
        <v>1.9702280000000001</v>
      </c>
      <c r="BL143" s="49">
        <v>1.963506</v>
      </c>
    </row>
    <row r="144" spans="1:64" x14ac:dyDescent="0.3">
      <c r="A144" s="49">
        <v>175</v>
      </c>
      <c r="B144" s="49" t="s">
        <v>4889</v>
      </c>
      <c r="C144" s="49" t="s">
        <v>328</v>
      </c>
      <c r="D144" s="49">
        <v>0.37440000000000001</v>
      </c>
      <c r="E144" s="49">
        <v>0.38238</v>
      </c>
      <c r="F144" s="49">
        <v>0.37590000000000001</v>
      </c>
      <c r="G144" s="49">
        <v>0.41674</v>
      </c>
      <c r="H144" s="49">
        <v>0.37674000000000002</v>
      </c>
      <c r="I144" s="49">
        <v>0.35757</v>
      </c>
      <c r="J144" s="49">
        <v>0.33487</v>
      </c>
      <c r="K144" s="49">
        <v>0.32040000000000002</v>
      </c>
      <c r="L144" s="49">
        <v>0.30640000000000001</v>
      </c>
      <c r="M144" s="49">
        <v>0.30790000000000001</v>
      </c>
      <c r="N144" s="49">
        <v>0.29599999999999999</v>
      </c>
      <c r="O144" s="49">
        <v>0.30049999999999999</v>
      </c>
      <c r="P144" s="49">
        <v>0.30859999999999999</v>
      </c>
      <c r="Q144" s="49">
        <v>0.34739999999999999</v>
      </c>
      <c r="R144" s="49">
        <v>0.41220000000000001</v>
      </c>
      <c r="S144" s="49">
        <v>0.44929999999999998</v>
      </c>
      <c r="T144" s="49">
        <v>0.44174999999999998</v>
      </c>
      <c r="U144" s="49">
        <v>0.40942499999999998</v>
      </c>
      <c r="V144" s="49">
        <v>0.43359999999999999</v>
      </c>
      <c r="W144" s="49">
        <v>0.45506999999999997</v>
      </c>
      <c r="X144" s="49">
        <v>0.52718500000000001</v>
      </c>
      <c r="Y144" s="49">
        <v>0.66157999999999995</v>
      </c>
      <c r="Z144" s="49">
        <v>0.61185</v>
      </c>
      <c r="AA144" s="49">
        <v>0.60080999999999996</v>
      </c>
      <c r="AB144" s="49">
        <v>0.46934500000000001</v>
      </c>
      <c r="AC144" s="49">
        <v>0.46861999999999998</v>
      </c>
      <c r="AD144" s="49">
        <v>0.42254999999999998</v>
      </c>
      <c r="AE144" s="49">
        <v>0.379606</v>
      </c>
      <c r="AF144" s="49">
        <v>0.45887299999999998</v>
      </c>
      <c r="AG144" s="49">
        <v>0.47719299999999998</v>
      </c>
      <c r="AH144" s="49">
        <v>0.537717</v>
      </c>
      <c r="AI144" s="49">
        <v>0.56916299999999997</v>
      </c>
      <c r="AJ144" s="49">
        <v>0.58782199999999996</v>
      </c>
      <c r="AK144" s="49">
        <v>0.61036800000000002</v>
      </c>
      <c r="AL144" s="49">
        <v>0.64942100000000003</v>
      </c>
      <c r="AM144" s="49">
        <v>0.64897700000000003</v>
      </c>
      <c r="AN144" s="49">
        <v>0.74298399999999998</v>
      </c>
      <c r="AO144" s="49">
        <v>0.75716700000000003</v>
      </c>
      <c r="AP144" s="49">
        <v>0.86068699999999998</v>
      </c>
      <c r="AQ144" s="49">
        <v>0.95024900000000001</v>
      </c>
      <c r="AR144" s="49">
        <v>0.96810200000000002</v>
      </c>
      <c r="AS144" s="49">
        <v>0.92016699999999996</v>
      </c>
      <c r="AT144" s="49">
        <v>0.88504899999999997</v>
      </c>
      <c r="AU144" s="49">
        <v>0.92611500000000002</v>
      </c>
      <c r="AV144" s="49">
        <v>0.97514299999999998</v>
      </c>
      <c r="AW144" s="49">
        <v>0.97096800000000005</v>
      </c>
      <c r="AX144" s="49">
        <v>0.94182699999999997</v>
      </c>
      <c r="AY144" s="49">
        <v>0.99931700000000001</v>
      </c>
      <c r="AZ144" s="49">
        <v>0.99145000000000005</v>
      </c>
      <c r="BA144" s="49">
        <v>1.0484640000000001</v>
      </c>
      <c r="BB144" s="49">
        <v>1.008858</v>
      </c>
      <c r="BC144" s="49">
        <v>1.0889139999999999</v>
      </c>
      <c r="BD144" s="49">
        <v>1.1457329999999999</v>
      </c>
      <c r="BE144" s="49">
        <v>1.0284489999999999</v>
      </c>
      <c r="BF144" s="49">
        <v>1.115947</v>
      </c>
      <c r="BG144" s="49">
        <v>1.1537930000000001</v>
      </c>
      <c r="BH144" s="49">
        <v>1.1611210000000001</v>
      </c>
      <c r="BI144" s="49">
        <v>1.1944250000000001</v>
      </c>
      <c r="BJ144" s="49">
        <v>1.2841819999999999</v>
      </c>
      <c r="BK144" s="49">
        <v>1.338719</v>
      </c>
      <c r="BL144" s="49">
        <v>1.389858</v>
      </c>
    </row>
    <row r="145" spans="1:64" x14ac:dyDescent="0.3">
      <c r="A145" s="49">
        <v>176</v>
      </c>
      <c r="B145" s="49" t="s">
        <v>4888</v>
      </c>
      <c r="C145" s="49" t="s">
        <v>625</v>
      </c>
      <c r="D145" s="49">
        <v>0.115078</v>
      </c>
      <c r="E145" s="49">
        <v>0.12545000000000001</v>
      </c>
      <c r="F145" s="49">
        <v>0.121724</v>
      </c>
      <c r="G145" s="49">
        <v>0.11601400000000001</v>
      </c>
      <c r="H145" s="49">
        <v>0.11011</v>
      </c>
      <c r="I145" s="49">
        <v>0.119224</v>
      </c>
      <c r="J145" s="49">
        <v>0.12775600000000001</v>
      </c>
      <c r="K145" s="49">
        <v>0.121462</v>
      </c>
      <c r="L145" s="49">
        <v>0.129524</v>
      </c>
      <c r="M145" s="49">
        <v>0.142794</v>
      </c>
      <c r="N145" s="49">
        <v>0.13582</v>
      </c>
      <c r="O145" s="49">
        <v>0.13447000000000001</v>
      </c>
      <c r="P145" s="49">
        <v>0.14327999999999999</v>
      </c>
      <c r="Q145" s="49">
        <v>0.14505000000000001</v>
      </c>
      <c r="R145" s="49">
        <v>0.15417</v>
      </c>
      <c r="S145" s="49">
        <v>0.16758000000000001</v>
      </c>
      <c r="T145" s="49">
        <v>0.18608</v>
      </c>
      <c r="U145" s="49">
        <v>0.20388999999999999</v>
      </c>
      <c r="V145" s="49">
        <v>0.21757000000000001</v>
      </c>
      <c r="W145" s="49">
        <v>0.22817999999999999</v>
      </c>
      <c r="X145" s="49">
        <v>0.22567000000000001</v>
      </c>
      <c r="Y145" s="49">
        <v>0.23286999999999999</v>
      </c>
      <c r="Z145" s="49">
        <v>0.23849000000000001</v>
      </c>
      <c r="AA145" s="49">
        <v>0.249746</v>
      </c>
      <c r="AB145" s="49">
        <v>0.25697599999999998</v>
      </c>
      <c r="AC145" s="49">
        <v>0.261712</v>
      </c>
      <c r="AD145" s="49">
        <v>0.25828800000000002</v>
      </c>
      <c r="AE145" s="49">
        <v>0.254718</v>
      </c>
      <c r="AF145" s="49">
        <v>0.25001200000000001</v>
      </c>
      <c r="AG145" s="49">
        <v>0.291238</v>
      </c>
      <c r="AH145" s="49">
        <v>0.384965</v>
      </c>
      <c r="AI145" s="49">
        <v>0.36326399999999998</v>
      </c>
      <c r="AJ145" s="49">
        <v>0.366813</v>
      </c>
      <c r="AK145" s="49">
        <v>0.37196099999999999</v>
      </c>
      <c r="AL145" s="49">
        <v>0.37323299999999998</v>
      </c>
      <c r="AM145" s="49">
        <v>0.363317</v>
      </c>
      <c r="AN145" s="49">
        <v>0.36494100000000002</v>
      </c>
      <c r="AO145" s="49">
        <v>0.2893</v>
      </c>
      <c r="AP145" s="49">
        <v>0.33965099999999998</v>
      </c>
      <c r="AQ145" s="49">
        <v>0.34478399999999998</v>
      </c>
      <c r="AR145" s="49">
        <v>0.399756</v>
      </c>
      <c r="AS145" s="49">
        <v>0.39895999999999998</v>
      </c>
      <c r="AT145" s="49">
        <v>0.39598299999999997</v>
      </c>
      <c r="AU145" s="49">
        <v>0.37737199999999999</v>
      </c>
      <c r="AV145" s="49">
        <v>0.41530800000000001</v>
      </c>
      <c r="AW145" s="49">
        <v>0.44342399999999998</v>
      </c>
      <c r="AX145" s="49">
        <v>0.413547</v>
      </c>
      <c r="AY145" s="49">
        <v>0.44231900000000002</v>
      </c>
      <c r="AZ145" s="49">
        <v>0.426093</v>
      </c>
      <c r="BA145" s="49">
        <v>0.39731100000000003</v>
      </c>
      <c r="BB145" s="49">
        <v>0.31045800000000001</v>
      </c>
      <c r="BC145" s="49">
        <v>0.32242900000000002</v>
      </c>
      <c r="BD145" s="49">
        <v>0.29831999999999997</v>
      </c>
      <c r="BE145" s="49">
        <v>0.29584300000000002</v>
      </c>
      <c r="BF145" s="49">
        <v>0.33230599999999999</v>
      </c>
      <c r="BG145" s="49">
        <v>0.27818599999999999</v>
      </c>
      <c r="BH145" s="49">
        <v>0.263021</v>
      </c>
      <c r="BI145" s="49">
        <v>0.28401900000000002</v>
      </c>
      <c r="BJ145" s="49">
        <v>0.26963799999999999</v>
      </c>
      <c r="BK145" s="49">
        <v>0.26558399999999999</v>
      </c>
      <c r="BL145" s="49">
        <v>0.33719900000000003</v>
      </c>
    </row>
    <row r="146" spans="1:64" x14ac:dyDescent="0.3">
      <c r="A146" s="49">
        <v>177</v>
      </c>
      <c r="B146" s="49" t="s">
        <v>4887</v>
      </c>
      <c r="C146" s="49" t="s">
        <v>526</v>
      </c>
      <c r="D146" s="49">
        <v>0.468358</v>
      </c>
      <c r="E146" s="49">
        <v>0.438336</v>
      </c>
      <c r="F146" s="49">
        <v>0.43828400000000001</v>
      </c>
      <c r="G146" s="49">
        <v>0.43781799999999998</v>
      </c>
      <c r="H146" s="49">
        <v>0.42282999999999998</v>
      </c>
      <c r="I146" s="49">
        <v>0.40317999999999998</v>
      </c>
      <c r="J146" s="49">
        <v>0.38441399999999998</v>
      </c>
      <c r="K146" s="49">
        <v>0.33401900000000001</v>
      </c>
      <c r="L146" s="49">
        <v>0.27572400000000002</v>
      </c>
      <c r="M146" s="49">
        <v>0.27939000000000003</v>
      </c>
      <c r="N146" s="49">
        <v>0.248253</v>
      </c>
      <c r="O146" s="49">
        <v>0.243759</v>
      </c>
      <c r="P146" s="49">
        <v>0.224575</v>
      </c>
      <c r="Q146" s="49">
        <v>0.216999</v>
      </c>
      <c r="R146" s="49">
        <v>0.224105</v>
      </c>
      <c r="S146" s="49">
        <v>0.22275200000000001</v>
      </c>
      <c r="T146" s="49">
        <v>0.208841</v>
      </c>
      <c r="U146" s="49">
        <v>0.19189300000000001</v>
      </c>
      <c r="V146" s="49">
        <v>0.18512000000000001</v>
      </c>
      <c r="W146" s="49">
        <v>0.18219099999999999</v>
      </c>
      <c r="X146" s="49">
        <v>0.176424</v>
      </c>
      <c r="Y146" s="49">
        <v>0.157662</v>
      </c>
      <c r="Z146" s="49">
        <v>0.16122500000000001</v>
      </c>
      <c r="AA146" s="49">
        <v>0.160609</v>
      </c>
      <c r="AB146" s="49">
        <v>0.16742899999999999</v>
      </c>
      <c r="AC146" s="49">
        <v>0.161355</v>
      </c>
      <c r="AD146" s="49">
        <v>0.159274</v>
      </c>
      <c r="AE146" s="49">
        <v>0.145176</v>
      </c>
      <c r="AF146" s="49">
        <v>0.14203099999999999</v>
      </c>
      <c r="AG146" s="49">
        <v>0.12155000000000001</v>
      </c>
      <c r="AH146" s="49">
        <v>0.126582</v>
      </c>
      <c r="AI146" s="49">
        <v>0.11629399999999999</v>
      </c>
      <c r="AJ146" s="49">
        <v>0.12206</v>
      </c>
      <c r="AK146" s="49">
        <v>0.10677300000000001</v>
      </c>
      <c r="AL146" s="49">
        <v>0.102981</v>
      </c>
      <c r="AM146" s="49">
        <v>9.9747000000000002E-2</v>
      </c>
      <c r="AN146" s="49">
        <v>9.7499000000000002E-2</v>
      </c>
      <c r="AO146" s="49">
        <v>0.103338</v>
      </c>
      <c r="AP146" s="49">
        <v>7.6784000000000005E-2</v>
      </c>
      <c r="AQ146" s="49">
        <v>9.1441999999999996E-2</v>
      </c>
      <c r="AR146" s="49">
        <v>7.9163999999999998E-2</v>
      </c>
      <c r="AS146" s="49">
        <v>8.4349999999999994E-2</v>
      </c>
      <c r="AT146" s="49">
        <v>6.9068000000000004E-2</v>
      </c>
      <c r="AU146" s="49">
        <v>6.7498000000000002E-2</v>
      </c>
      <c r="AV146" s="49">
        <v>5.8611000000000003E-2</v>
      </c>
      <c r="AW146" s="49">
        <v>5.9200000000000003E-2</v>
      </c>
      <c r="AX146" s="49">
        <v>6.0484999999999997E-2</v>
      </c>
      <c r="AY146" s="49">
        <v>5.4078000000000001E-2</v>
      </c>
      <c r="AZ146" s="49">
        <v>5.1270999999999997E-2</v>
      </c>
      <c r="BA146" s="49">
        <v>4.6380999999999999E-2</v>
      </c>
      <c r="BB146" s="49">
        <v>4.3784000000000003E-2</v>
      </c>
      <c r="BC146" s="49">
        <v>4.1456E-2</v>
      </c>
      <c r="BD146" s="49">
        <v>3.9766999999999997E-2</v>
      </c>
      <c r="BE146" s="49">
        <v>3.2210999999999997E-2</v>
      </c>
      <c r="BF146" s="49">
        <v>3.4091999999999997E-2</v>
      </c>
      <c r="BG146" s="49">
        <v>3.5317000000000001E-2</v>
      </c>
      <c r="BH146" s="49">
        <v>3.3857999999999999E-2</v>
      </c>
      <c r="BI146" s="49">
        <v>3.4424999999999997E-2</v>
      </c>
      <c r="BJ146" s="49">
        <v>3.4458999999999997E-2</v>
      </c>
      <c r="BK146" s="49">
        <v>3.4383999999999998E-2</v>
      </c>
      <c r="BL146" s="49">
        <v>3.4404999999999998E-2</v>
      </c>
    </row>
    <row r="147" spans="1:64" x14ac:dyDescent="0.3">
      <c r="A147" s="49">
        <v>178</v>
      </c>
      <c r="B147" s="49" t="s">
        <v>4886</v>
      </c>
      <c r="C147" s="49" t="s">
        <v>272</v>
      </c>
      <c r="AJ147" s="49">
        <v>1.1195010000000001</v>
      </c>
      <c r="AK147" s="49">
        <v>1.091078</v>
      </c>
      <c r="AL147" s="49">
        <v>1.0450120000000001</v>
      </c>
      <c r="AM147" s="49">
        <v>1.066468</v>
      </c>
      <c r="AN147" s="49">
        <v>1.162887</v>
      </c>
      <c r="AO147" s="49">
        <v>1.376398</v>
      </c>
      <c r="AP147" s="49">
        <v>1.282214</v>
      </c>
      <c r="AQ147" s="49">
        <v>1.0854029999999999</v>
      </c>
      <c r="AR147" s="49">
        <v>1.1342920000000001</v>
      </c>
      <c r="AS147" s="49">
        <v>1.0772349999999999</v>
      </c>
      <c r="AT147" s="49">
        <v>1.26858</v>
      </c>
      <c r="AU147" s="49">
        <v>1.2936589999999999</v>
      </c>
      <c r="AV147" s="49">
        <v>1.4612510000000001</v>
      </c>
      <c r="AW147" s="49">
        <v>1.3618079999999999</v>
      </c>
      <c r="AX147" s="49">
        <v>1.4127829999999999</v>
      </c>
      <c r="AY147" s="49">
        <v>1.1724380000000001</v>
      </c>
      <c r="AZ147" s="49">
        <v>1.263422</v>
      </c>
      <c r="BA147" s="49">
        <v>1.329091</v>
      </c>
      <c r="BB147" s="49">
        <v>1.3674360000000001</v>
      </c>
      <c r="BC147" s="49">
        <v>1.3062530000000001</v>
      </c>
      <c r="BD147" s="49">
        <v>1.303958</v>
      </c>
      <c r="BE147" s="49">
        <v>1.3321259999999999</v>
      </c>
      <c r="BF147" s="49">
        <v>1.3727849999999999</v>
      </c>
      <c r="BG147" s="49">
        <v>1.370309</v>
      </c>
      <c r="BH147" s="49">
        <v>1.3815789999999999</v>
      </c>
      <c r="BI147" s="49">
        <v>1.3760749999999999</v>
      </c>
      <c r="BJ147" s="49">
        <v>1.378439</v>
      </c>
      <c r="BK147" s="49">
        <v>1.3806849999999999</v>
      </c>
      <c r="BL147" s="49">
        <v>1.379948</v>
      </c>
    </row>
    <row r="148" spans="1:64" x14ac:dyDescent="0.3">
      <c r="A148" s="49">
        <v>179</v>
      </c>
      <c r="B148" s="49" t="s">
        <v>4885</v>
      </c>
      <c r="C148" s="49" t="s">
        <v>528</v>
      </c>
      <c r="D148" s="49">
        <v>9.2000000000000003E-4</v>
      </c>
      <c r="E148" s="49">
        <v>1.4599999999999999E-3</v>
      </c>
      <c r="F148" s="49">
        <v>1.83E-3</v>
      </c>
      <c r="G148" s="49">
        <v>2.1900000000000001E-3</v>
      </c>
      <c r="H148" s="49">
        <v>2.5500000000000002E-3</v>
      </c>
      <c r="I148" s="49">
        <v>2.9099999999999998E-3</v>
      </c>
      <c r="J148" s="49">
        <v>3.2699999999999999E-3</v>
      </c>
      <c r="K148" s="49">
        <v>3.63E-3</v>
      </c>
      <c r="L148" s="49">
        <v>4.0000000000000001E-3</v>
      </c>
      <c r="M148" s="49">
        <v>4.1000000000000003E-3</v>
      </c>
      <c r="N148" s="49">
        <v>4.6439999999999997E-3</v>
      </c>
      <c r="O148" s="49">
        <v>4.7060000000000001E-3</v>
      </c>
      <c r="P148" s="49">
        <v>1.2799999999999999E-4</v>
      </c>
      <c r="Q148" s="49">
        <v>1.3799999999999999E-4</v>
      </c>
      <c r="R148" s="49">
        <v>1.4799999999999999E-4</v>
      </c>
      <c r="S148" s="49">
        <v>2.7599999999999999E-4</v>
      </c>
      <c r="T148" s="49">
        <v>3.4399999999999999E-3</v>
      </c>
      <c r="U148" s="49">
        <v>5.0210000000000003E-3</v>
      </c>
      <c r="V148" s="49">
        <v>5.9170000000000004E-3</v>
      </c>
      <c r="W148" s="49">
        <v>5.6699999999999997E-3</v>
      </c>
      <c r="X148" s="49">
        <v>5.9610000000000002E-3</v>
      </c>
      <c r="Y148" s="49">
        <v>5.9020000000000001E-3</v>
      </c>
      <c r="Z148" s="49">
        <v>5.1850000000000004E-3</v>
      </c>
      <c r="AA148" s="49">
        <v>6.2810000000000001E-3</v>
      </c>
      <c r="AB148" s="49">
        <v>6.8700000000000002E-3</v>
      </c>
      <c r="AC148" s="49">
        <v>7.5459999999999998E-3</v>
      </c>
      <c r="AD148" s="49">
        <v>8.2299999999999995E-3</v>
      </c>
      <c r="AE148" s="49">
        <v>8.8909999999999996E-3</v>
      </c>
      <c r="AF148" s="49">
        <v>9.4599999999999997E-3</v>
      </c>
      <c r="AG148" s="49">
        <v>9.5680000000000001E-3</v>
      </c>
      <c r="AH148" s="49">
        <v>1.0749E-2</v>
      </c>
      <c r="AI148" s="49">
        <v>1.1686999999999999E-2</v>
      </c>
      <c r="AJ148" s="49">
        <v>1.2435999999999999E-2</v>
      </c>
      <c r="AK148" s="49">
        <v>1.1741E-2</v>
      </c>
      <c r="AL148" s="49">
        <v>1.3356E-2</v>
      </c>
      <c r="AM148" s="49">
        <v>1.4263E-2</v>
      </c>
      <c r="AN148" s="49">
        <v>1.7255E-2</v>
      </c>
      <c r="AO148" s="49">
        <v>1.3637E-2</v>
      </c>
      <c r="AP148" s="49">
        <v>1.4609E-2</v>
      </c>
      <c r="AQ148" s="49">
        <v>1.5266999999999999E-2</v>
      </c>
      <c r="AR148" s="49">
        <v>1.1278E-2</v>
      </c>
      <c r="AS148" s="49">
        <v>1.0991000000000001E-2</v>
      </c>
      <c r="AT148" s="49">
        <v>9.8169999999999993E-3</v>
      </c>
      <c r="AU148" s="49">
        <v>8.7709999999999993E-3</v>
      </c>
      <c r="AV148" s="49">
        <v>9.6430000000000005E-3</v>
      </c>
      <c r="AW148" s="49">
        <v>1.1433E-2</v>
      </c>
      <c r="AX148" s="49">
        <v>1.0831E-2</v>
      </c>
      <c r="AY148" s="49">
        <v>9.1489999999999991E-3</v>
      </c>
      <c r="AZ148" s="49">
        <v>9.9129999999999999E-3</v>
      </c>
      <c r="BA148" s="49">
        <v>1.1185E-2</v>
      </c>
      <c r="BB148" s="49">
        <v>1.0099E-2</v>
      </c>
      <c r="BC148" s="49">
        <v>9.9450000000000007E-3</v>
      </c>
      <c r="BD148" s="49">
        <v>1.0415000000000001E-2</v>
      </c>
      <c r="BE148" s="49">
        <v>9.9249999999999998E-3</v>
      </c>
      <c r="BF148" s="49">
        <v>9.195E-3</v>
      </c>
      <c r="BG148" s="49">
        <v>9.3229999999999997E-3</v>
      </c>
      <c r="BH148" s="49">
        <v>9.3360000000000005E-3</v>
      </c>
      <c r="BI148" s="49">
        <v>1.0848999999999999E-2</v>
      </c>
      <c r="BJ148" s="49">
        <v>1.0299000000000001E-2</v>
      </c>
      <c r="BK148" s="49">
        <v>1.1202999999999999E-2</v>
      </c>
      <c r="BL148" s="49">
        <v>1.2132E-2</v>
      </c>
    </row>
    <row r="149" spans="1:64" x14ac:dyDescent="0.3">
      <c r="A149" s="49">
        <v>181</v>
      </c>
      <c r="B149" s="49" t="s">
        <v>4884</v>
      </c>
      <c r="C149" s="49" t="s">
        <v>692</v>
      </c>
      <c r="D149" s="49">
        <v>3.1278269999999999</v>
      </c>
      <c r="E149" s="49">
        <v>3.1386349999999998</v>
      </c>
      <c r="F149" s="49">
        <v>2.942758</v>
      </c>
      <c r="G149" s="49">
        <v>2.9769600000000001</v>
      </c>
      <c r="H149" s="49">
        <v>2.9179210000000002</v>
      </c>
      <c r="I149" s="49">
        <v>3.0590989999999998</v>
      </c>
      <c r="J149" s="49">
        <v>3.4059110000000001</v>
      </c>
      <c r="K149" s="49">
        <v>2.941284</v>
      </c>
      <c r="L149" s="49">
        <v>3.9299279999999999</v>
      </c>
      <c r="M149" s="49">
        <v>3.6114289999999998</v>
      </c>
      <c r="N149" s="49">
        <v>3.8291710000000001</v>
      </c>
      <c r="O149" s="49">
        <v>3.9189530000000001</v>
      </c>
      <c r="P149" s="49">
        <v>3.3343240000000001</v>
      </c>
      <c r="Q149" s="49">
        <v>4.1691890000000003</v>
      </c>
      <c r="R149" s="49">
        <v>3.9617330000000002</v>
      </c>
      <c r="S149" s="49">
        <v>4.0374179999999997</v>
      </c>
      <c r="T149" s="49">
        <v>3.4845120000000001</v>
      </c>
      <c r="U149" s="49">
        <v>3.7547519999999999</v>
      </c>
      <c r="V149" s="49">
        <v>3.3058830000000001</v>
      </c>
      <c r="W149" s="49">
        <v>4.0281820000000002</v>
      </c>
      <c r="X149" s="49">
        <v>4.549531</v>
      </c>
      <c r="Y149" s="49">
        <v>4.6857199999999999</v>
      </c>
      <c r="Z149" s="49">
        <v>4.5996509999999997</v>
      </c>
      <c r="AA149" s="49">
        <v>4.4471489999999996</v>
      </c>
      <c r="AB149" s="49">
        <v>4.519755</v>
      </c>
      <c r="AC149" s="49">
        <v>4.5107100000000004</v>
      </c>
      <c r="AD149" s="49">
        <v>4.5279170000000004</v>
      </c>
      <c r="AE149" s="49">
        <v>4.9583620000000002</v>
      </c>
      <c r="AF149" s="49">
        <v>4.4585129999999999</v>
      </c>
      <c r="AG149" s="49">
        <v>4.2469020000000004</v>
      </c>
      <c r="AH149" s="49">
        <v>5.8881610000000002</v>
      </c>
      <c r="AI149" s="49">
        <v>4.6797740000000001</v>
      </c>
      <c r="AJ149" s="49">
        <v>5.6953480000000001</v>
      </c>
      <c r="AK149" s="49">
        <v>6.901421</v>
      </c>
      <c r="AL149" s="49">
        <v>5.9910920000000001</v>
      </c>
      <c r="AM149" s="49">
        <v>6.1713459999999998</v>
      </c>
      <c r="AN149" s="49">
        <v>6.2937349999999999</v>
      </c>
      <c r="AO149" s="49">
        <v>5.394692</v>
      </c>
      <c r="AP149" s="49">
        <v>6.1307590000000003</v>
      </c>
      <c r="AQ149" s="49">
        <v>5.8351030000000002</v>
      </c>
      <c r="AR149" s="49">
        <v>6.340821</v>
      </c>
      <c r="AS149" s="49">
        <v>6.3349739999999999</v>
      </c>
      <c r="AT149" s="49">
        <v>5.2105290000000002</v>
      </c>
      <c r="AU149" s="49">
        <v>7.4338740000000003</v>
      </c>
      <c r="AV149" s="49">
        <v>7.5114700000000001</v>
      </c>
      <c r="AW149" s="49">
        <v>7.8469519999999999</v>
      </c>
      <c r="AX149" s="49">
        <v>7.9923640000000002</v>
      </c>
      <c r="AY149" s="49">
        <v>7.7361190000000004</v>
      </c>
      <c r="AZ149" s="49">
        <v>6.6525309999999998</v>
      </c>
      <c r="BA149" s="49">
        <v>6.4764900000000001</v>
      </c>
      <c r="BB149" s="49">
        <v>6.8869660000000001</v>
      </c>
      <c r="BC149" s="49">
        <v>6.8050449999999998</v>
      </c>
      <c r="BD149" s="49">
        <v>5.8231999999999999</v>
      </c>
      <c r="BE149" s="49">
        <v>4.9723360000000003</v>
      </c>
      <c r="BF149" s="49">
        <v>4.8493690000000003</v>
      </c>
      <c r="BG149" s="49">
        <v>5.0509680000000001</v>
      </c>
      <c r="BH149" s="49">
        <v>4.7569179999999998</v>
      </c>
      <c r="BI149" s="49">
        <v>4.9935580000000002</v>
      </c>
      <c r="BJ149" s="49">
        <v>4.6123209999999997</v>
      </c>
      <c r="BK149" s="49">
        <v>4.8300609999999997</v>
      </c>
      <c r="BL149" s="49">
        <v>4.6114759999999997</v>
      </c>
    </row>
    <row r="150" spans="1:64" x14ac:dyDescent="0.3">
      <c r="A150" s="49">
        <v>182</v>
      </c>
      <c r="B150" s="49" t="s">
        <v>4883</v>
      </c>
      <c r="C150" s="49" t="s">
        <v>4882</v>
      </c>
      <c r="D150" s="49">
        <v>8.6704000000000003E-2</v>
      </c>
      <c r="E150" s="49">
        <v>8.6549000000000001E-2</v>
      </c>
      <c r="F150" s="49">
        <v>8.6974999999999997E-2</v>
      </c>
      <c r="G150" s="49">
        <v>8.6430000000000007E-2</v>
      </c>
      <c r="H150" s="49">
        <v>8.5715E-2</v>
      </c>
      <c r="I150" s="49">
        <v>8.6622000000000005E-2</v>
      </c>
      <c r="J150" s="49">
        <v>8.1785999999999998E-2</v>
      </c>
      <c r="K150" s="49">
        <v>8.1625000000000003E-2</v>
      </c>
      <c r="L150" s="49">
        <v>8.6730000000000002E-2</v>
      </c>
      <c r="M150" s="49">
        <v>8.7556999999999996E-2</v>
      </c>
      <c r="N150" s="49">
        <v>9.8561999999999997E-2</v>
      </c>
      <c r="O150" s="49">
        <v>9.4628000000000004E-2</v>
      </c>
      <c r="P150" s="49">
        <v>7.7815999999999996E-2</v>
      </c>
      <c r="Q150" s="49">
        <v>7.6173000000000005E-2</v>
      </c>
      <c r="R150" s="49">
        <v>7.6315999999999995E-2</v>
      </c>
      <c r="S150" s="49">
        <v>7.954E-2</v>
      </c>
      <c r="T150" s="49">
        <v>7.3355000000000004E-2</v>
      </c>
      <c r="U150" s="49">
        <v>8.3032999999999996E-2</v>
      </c>
      <c r="V150" s="49">
        <v>8.8808999999999999E-2</v>
      </c>
      <c r="W150" s="49">
        <v>8.8794999999999999E-2</v>
      </c>
      <c r="X150" s="49">
        <v>9.2929999999999999E-2</v>
      </c>
      <c r="Y150" s="49">
        <v>9.1471999999999998E-2</v>
      </c>
      <c r="Z150" s="49">
        <v>9.2721999999999999E-2</v>
      </c>
      <c r="AA150" s="49">
        <v>9.2526999999999998E-2</v>
      </c>
      <c r="AB150" s="49">
        <v>0.101854</v>
      </c>
      <c r="AC150" s="49">
        <v>0.103578</v>
      </c>
      <c r="AD150" s="49">
        <v>0.105048</v>
      </c>
      <c r="AE150" s="49">
        <v>0.108915</v>
      </c>
      <c r="AF150" s="49">
        <v>0.101387</v>
      </c>
      <c r="AG150" s="49">
        <v>0.106199</v>
      </c>
      <c r="AH150" s="49">
        <v>0.105168</v>
      </c>
      <c r="AI150" s="49">
        <v>0.10480299999999999</v>
      </c>
      <c r="AJ150" s="49">
        <v>8.8207999999999995E-2</v>
      </c>
      <c r="AK150" s="49">
        <v>9.2575000000000005E-2</v>
      </c>
      <c r="AL150" s="49">
        <v>8.8064000000000003E-2</v>
      </c>
      <c r="AM150" s="49">
        <v>9.0956999999999996E-2</v>
      </c>
      <c r="AN150" s="49">
        <v>9.0194999999999997E-2</v>
      </c>
      <c r="AO150" s="49">
        <v>8.9487999999999998E-2</v>
      </c>
      <c r="AP150" s="49">
        <v>9.0867000000000003E-2</v>
      </c>
      <c r="AQ150" s="49">
        <v>8.6471999999999993E-2</v>
      </c>
      <c r="AR150" s="49">
        <v>8.6813000000000001E-2</v>
      </c>
      <c r="AS150" s="49">
        <v>8.7694999999999995E-2</v>
      </c>
      <c r="AT150" s="49">
        <v>9.2411999999999994E-2</v>
      </c>
      <c r="AU150" s="49">
        <v>9.3525999999999998E-2</v>
      </c>
      <c r="AV150" s="49">
        <v>9.3746999999999997E-2</v>
      </c>
      <c r="AW150" s="49">
        <v>9.4407000000000005E-2</v>
      </c>
    </row>
    <row r="151" spans="1:64" x14ac:dyDescent="0.3">
      <c r="A151" s="49">
        <v>183</v>
      </c>
      <c r="B151" s="49" t="s">
        <v>4881</v>
      </c>
      <c r="C151" s="49" t="s">
        <v>532</v>
      </c>
      <c r="D151" s="49">
        <v>21.821840000000002</v>
      </c>
      <c r="E151" s="49">
        <v>20.811716000000001</v>
      </c>
      <c r="F151" s="49">
        <v>21.89367</v>
      </c>
      <c r="G151" s="49">
        <v>21.83192</v>
      </c>
      <c r="H151" s="49">
        <v>21.120204999999999</v>
      </c>
      <c r="I151" s="49">
        <v>21.059752</v>
      </c>
      <c r="J151" s="49">
        <v>20.272977999999998</v>
      </c>
      <c r="K151" s="49">
        <v>19.909835999999999</v>
      </c>
      <c r="L151" s="49">
        <v>19.328277</v>
      </c>
      <c r="M151" s="49">
        <v>17.749793</v>
      </c>
      <c r="N151" s="49">
        <v>18.189654000000001</v>
      </c>
      <c r="O151" s="49">
        <v>18.348842000000001</v>
      </c>
      <c r="P151" s="49">
        <v>17.051600000000001</v>
      </c>
      <c r="Q151" s="49">
        <v>17.310825999999999</v>
      </c>
      <c r="R151" s="49">
        <v>17.760227</v>
      </c>
      <c r="S151" s="49">
        <v>17.940550000000002</v>
      </c>
      <c r="T151" s="49">
        <v>17.536971999999999</v>
      </c>
      <c r="U151" s="49">
        <v>17.420891000000001</v>
      </c>
      <c r="V151" s="49">
        <v>17.069196000000002</v>
      </c>
      <c r="W151" s="49">
        <v>17.585523999999999</v>
      </c>
      <c r="X151" s="49">
        <v>17.054770999999999</v>
      </c>
      <c r="Y151" s="49">
        <v>16.621973000000001</v>
      </c>
      <c r="Z151" s="49">
        <v>17.104752000000001</v>
      </c>
      <c r="AA151" s="49">
        <v>17.569465000000001</v>
      </c>
      <c r="AB151" s="49">
        <v>17.331759999999999</v>
      </c>
      <c r="AC151" s="49">
        <v>16.994</v>
      </c>
      <c r="AD151" s="49">
        <v>16.4922</v>
      </c>
      <c r="AE151" s="49">
        <v>16.403300000000002</v>
      </c>
      <c r="AF151" s="49">
        <v>16.810300000000002</v>
      </c>
      <c r="AG151" s="49">
        <v>14.831027000000001</v>
      </c>
      <c r="AH151" s="49">
        <v>16.73114</v>
      </c>
      <c r="AI151" s="49">
        <v>16.605601</v>
      </c>
      <c r="AJ151" s="49">
        <v>17.414301999999999</v>
      </c>
      <c r="AK151" s="49">
        <v>17.578361000000001</v>
      </c>
      <c r="AL151" s="49">
        <v>17.810261000000001</v>
      </c>
      <c r="AM151" s="49">
        <v>17.282685000000001</v>
      </c>
      <c r="AN151" s="49">
        <v>17.444327000000001</v>
      </c>
      <c r="AO151" s="49">
        <v>17.545082000000001</v>
      </c>
      <c r="AP151" s="49">
        <v>16.744792</v>
      </c>
      <c r="AQ151" s="49">
        <v>16.055240999999999</v>
      </c>
      <c r="AR151" s="49">
        <v>17.437408000000001</v>
      </c>
      <c r="AS151" s="49">
        <v>16.685490000000001</v>
      </c>
      <c r="AT151" s="49">
        <v>16.442682999999999</v>
      </c>
      <c r="AU151" s="49">
        <v>17.626110000000001</v>
      </c>
      <c r="AV151" s="49">
        <v>17.229191</v>
      </c>
      <c r="AW151" s="49">
        <v>16.073861000000001</v>
      </c>
      <c r="AX151" s="49">
        <v>14.953203</v>
      </c>
      <c r="AY151" s="49">
        <v>15.984705999999999</v>
      </c>
      <c r="AZ151" s="49">
        <v>16.192133999999999</v>
      </c>
      <c r="BA151" s="49">
        <v>16.089478</v>
      </c>
      <c r="BB151" s="49">
        <v>16.718986000000001</v>
      </c>
      <c r="BC151" s="49">
        <v>16.464585</v>
      </c>
      <c r="BD151" s="49">
        <v>16.919193</v>
      </c>
      <c r="BE151" s="49">
        <v>17.083445999999999</v>
      </c>
      <c r="BF151" s="49">
        <v>17.184861999999999</v>
      </c>
      <c r="BG151" s="49">
        <v>17.547619000000001</v>
      </c>
      <c r="BH151" s="49">
        <v>17.492194000000001</v>
      </c>
      <c r="BI151" s="49">
        <v>13.913220000000001</v>
      </c>
      <c r="BJ151" s="49">
        <v>14.489409999999999</v>
      </c>
      <c r="BK151" s="49">
        <v>13.660439999999999</v>
      </c>
      <c r="BL151" s="49">
        <v>13.645519999999999</v>
      </c>
    </row>
    <row r="152" spans="1:64" x14ac:dyDescent="0.3">
      <c r="A152" s="49">
        <v>184</v>
      </c>
      <c r="B152" s="49" t="s">
        <v>4880</v>
      </c>
      <c r="C152" s="49" t="s">
        <v>539</v>
      </c>
      <c r="D152" s="49">
        <v>1.124846</v>
      </c>
      <c r="E152" s="49">
        <v>1.3013459999999999</v>
      </c>
      <c r="F152" s="49">
        <v>1.080274</v>
      </c>
      <c r="G152" s="49">
        <v>0.98915200000000003</v>
      </c>
      <c r="H152" s="49">
        <v>1.0461940000000001</v>
      </c>
      <c r="I152" s="49">
        <v>1.270176</v>
      </c>
      <c r="J152" s="49">
        <v>1.3440019999999999</v>
      </c>
      <c r="K152" s="49">
        <v>1.341018</v>
      </c>
      <c r="L152" s="49">
        <v>1.391629</v>
      </c>
      <c r="M152" s="49">
        <v>1.5065820000000001</v>
      </c>
      <c r="N152" s="49">
        <v>1.4896860000000001</v>
      </c>
      <c r="O152" s="49">
        <v>1.4740629999999999</v>
      </c>
      <c r="P152" s="49">
        <v>1.5140830000000001</v>
      </c>
      <c r="Q152" s="49">
        <v>1.668245</v>
      </c>
      <c r="R152" s="49">
        <v>1.7192639999999999</v>
      </c>
      <c r="S152" s="49">
        <v>1.7995559999999999</v>
      </c>
      <c r="T152" s="49">
        <v>1.8783399999999999</v>
      </c>
      <c r="U152" s="49">
        <v>1.9140299999999999</v>
      </c>
      <c r="V152" s="49">
        <v>1.956064</v>
      </c>
      <c r="W152" s="49">
        <v>2.0471249999999999</v>
      </c>
      <c r="X152" s="49">
        <v>2.205066</v>
      </c>
      <c r="Y152" s="49">
        <v>2.2259720000000001</v>
      </c>
      <c r="Z152" s="49">
        <v>2.2863389999999999</v>
      </c>
      <c r="AA152" s="49">
        <v>2.3311980000000001</v>
      </c>
      <c r="AB152" s="49">
        <v>2.4656899999999999</v>
      </c>
      <c r="AC152" s="49">
        <v>2.268529</v>
      </c>
      <c r="AD152" s="49">
        <v>2.1813739999999999</v>
      </c>
      <c r="AE152" s="49">
        <v>2.4240910000000002</v>
      </c>
      <c r="AF152" s="49">
        <v>2.5966610000000001</v>
      </c>
      <c r="AG152" s="49">
        <v>2.902015</v>
      </c>
      <c r="AH152" s="49">
        <v>3.175217</v>
      </c>
      <c r="AI152" s="49">
        <v>3.2667470000000001</v>
      </c>
      <c r="AJ152" s="49">
        <v>2.3635969999999999</v>
      </c>
      <c r="AK152" s="49">
        <v>1.738524</v>
      </c>
      <c r="AL152" s="49">
        <v>1.8254280000000001</v>
      </c>
      <c r="AM152" s="49">
        <v>2.1517499999999998</v>
      </c>
      <c r="AN152" s="49">
        <v>2.461122</v>
      </c>
      <c r="AO152" s="49">
        <v>2.5387439999999999</v>
      </c>
      <c r="AP152" s="49">
        <v>2.7436699999999998</v>
      </c>
      <c r="AQ152" s="49">
        <v>3.1790349999999998</v>
      </c>
      <c r="AR152" s="49">
        <v>3.378962</v>
      </c>
      <c r="AS152" s="49">
        <v>3.4005320000000001</v>
      </c>
      <c r="AT152" s="49">
        <v>3.3880729999999999</v>
      </c>
      <c r="AU152" s="49">
        <v>3.4070589999999998</v>
      </c>
      <c r="AV152" s="49">
        <v>3.3920050000000002</v>
      </c>
      <c r="AW152" s="49">
        <v>3.4356819999999999</v>
      </c>
      <c r="AX152" s="49">
        <v>3.6077349999999999</v>
      </c>
      <c r="AY152" s="49">
        <v>3.5647540000000002</v>
      </c>
      <c r="AZ152" s="49">
        <v>3.440922</v>
      </c>
      <c r="BA152" s="49">
        <v>3.3960319999999999</v>
      </c>
      <c r="BB152" s="49">
        <v>3.3921320000000001</v>
      </c>
      <c r="BC152" s="49">
        <v>3.61524</v>
      </c>
      <c r="BD152" s="49">
        <v>3.7112159999999998</v>
      </c>
      <c r="BE152" s="49">
        <v>4.2433139999999998</v>
      </c>
      <c r="BF152" s="49">
        <v>4.3985180000000001</v>
      </c>
      <c r="BG152" s="49">
        <v>4.5656720000000002</v>
      </c>
      <c r="BH152" s="49">
        <v>4.3488249999999997</v>
      </c>
      <c r="BI152" s="49">
        <v>4.2760069999999999</v>
      </c>
      <c r="BJ152" s="49">
        <v>4.3615820000000003</v>
      </c>
      <c r="BK152" s="49">
        <v>4.5375860000000001</v>
      </c>
      <c r="BL152" s="49">
        <v>4.5455040000000002</v>
      </c>
    </row>
    <row r="153" spans="1:64" x14ac:dyDescent="0.3">
      <c r="A153" s="49">
        <v>185</v>
      </c>
      <c r="B153" s="49" t="s">
        <v>4879</v>
      </c>
      <c r="C153" s="49" t="s">
        <v>536</v>
      </c>
      <c r="AI153" s="49">
        <v>149.78328300000001</v>
      </c>
      <c r="AJ153" s="49">
        <v>147.194526</v>
      </c>
      <c r="AK153" s="49">
        <v>136.457492</v>
      </c>
      <c r="AL153" s="49">
        <v>130.320268</v>
      </c>
      <c r="AM153" s="49">
        <v>123.907253</v>
      </c>
      <c r="AN153" s="49">
        <v>122.626963</v>
      </c>
      <c r="AO153" s="49">
        <v>97.697686000000004</v>
      </c>
      <c r="AP153" s="49">
        <v>103.906355</v>
      </c>
      <c r="AQ153" s="49">
        <v>109.902748</v>
      </c>
      <c r="AR153" s="49">
        <v>110.749259</v>
      </c>
      <c r="AS153" s="49">
        <v>111.684017</v>
      </c>
      <c r="AT153" s="49">
        <v>102.990995</v>
      </c>
      <c r="AU153" s="49">
        <v>110.19686299999999</v>
      </c>
      <c r="AV153" s="49">
        <v>113.18125499999999</v>
      </c>
      <c r="AW153" s="49">
        <v>114.683314</v>
      </c>
      <c r="AX153" s="49">
        <v>110.747305</v>
      </c>
      <c r="AY153" s="49">
        <v>122.09777</v>
      </c>
      <c r="AZ153" s="49">
        <v>115.72670100000001</v>
      </c>
      <c r="BA153" s="49">
        <v>97.966031000000001</v>
      </c>
      <c r="BB153" s="49">
        <v>123.413229</v>
      </c>
      <c r="BC153" s="49">
        <v>114.343675</v>
      </c>
      <c r="BD153" s="49">
        <v>122.256574</v>
      </c>
      <c r="BE153" s="49">
        <v>127.25185999999999</v>
      </c>
      <c r="BF153" s="49">
        <v>129.812288</v>
      </c>
      <c r="BG153" s="49">
        <v>135.03639999999999</v>
      </c>
      <c r="BH153" s="49">
        <v>135.33902499999999</v>
      </c>
      <c r="BI153" s="49">
        <v>136.55249599999999</v>
      </c>
      <c r="BJ153" s="49">
        <v>139.98345</v>
      </c>
      <c r="BK153" s="49">
        <v>141.81087600000001</v>
      </c>
      <c r="BL153" s="49">
        <v>146.53173799999999</v>
      </c>
    </row>
    <row r="154" spans="1:64" x14ac:dyDescent="0.3">
      <c r="A154" s="49">
        <v>186</v>
      </c>
      <c r="B154" s="49" t="s">
        <v>4878</v>
      </c>
      <c r="C154" s="49" t="s">
        <v>443</v>
      </c>
      <c r="AI154" s="49">
        <v>7.078786</v>
      </c>
      <c r="AJ154" s="49">
        <v>7.1035620000000002</v>
      </c>
      <c r="AK154" s="49">
        <v>7.0912800000000002</v>
      </c>
      <c r="AL154" s="49">
        <v>7.0411429999999999</v>
      </c>
      <c r="AM154" s="49">
        <v>7.2001860000000004</v>
      </c>
      <c r="AN154" s="49">
        <v>7.0539630000000004</v>
      </c>
      <c r="AO154" s="49">
        <v>7.0302860000000003</v>
      </c>
      <c r="AP154" s="49">
        <v>6.4682449999999996</v>
      </c>
      <c r="AQ154" s="49">
        <v>6.3314550000000001</v>
      </c>
      <c r="AR154" s="49">
        <v>6.2674799999999999</v>
      </c>
      <c r="AS154" s="49">
        <v>6.1653349999999998</v>
      </c>
      <c r="AT154" s="49">
        <v>6.492407</v>
      </c>
      <c r="AU154" s="49">
        <v>6.4494400000000001</v>
      </c>
      <c r="AV154" s="49">
        <v>6.3115240000000004</v>
      </c>
    </row>
    <row r="155" spans="1:64" x14ac:dyDescent="0.3">
      <c r="A155" s="49">
        <v>188</v>
      </c>
      <c r="B155" s="49" t="s">
        <v>4877</v>
      </c>
      <c r="C155" s="49" t="s">
        <v>544</v>
      </c>
      <c r="D155" s="49">
        <v>1.1452E-2</v>
      </c>
      <c r="E155" s="49">
        <v>1.1146E-2</v>
      </c>
      <c r="F155" s="49">
        <v>1.1376000000000001E-2</v>
      </c>
      <c r="G155" s="49">
        <v>1.1594999999999999E-2</v>
      </c>
      <c r="H155" s="49">
        <v>1.0638999999999999E-2</v>
      </c>
      <c r="I155" s="49">
        <v>1.1638000000000001E-2</v>
      </c>
      <c r="J155" s="49">
        <v>1.1165E-2</v>
      </c>
      <c r="K155" s="49">
        <v>1.1084999999999999E-2</v>
      </c>
      <c r="L155" s="49">
        <v>9.7920000000000004E-3</v>
      </c>
      <c r="M155" s="49">
        <v>9.0840000000000001E-3</v>
      </c>
      <c r="N155" s="49">
        <v>9.1839999999999995E-3</v>
      </c>
      <c r="O155" s="49">
        <v>9.8499999999999994E-3</v>
      </c>
      <c r="P155" s="49">
        <v>8.4150000000000006E-3</v>
      </c>
      <c r="Q155" s="49">
        <v>8.7519999999999994E-3</v>
      </c>
      <c r="R155" s="49">
        <v>8.4270000000000005E-3</v>
      </c>
      <c r="S155" s="49">
        <v>9.3039999999999998E-3</v>
      </c>
      <c r="T155" s="49">
        <v>1.0644000000000001E-2</v>
      </c>
      <c r="U155" s="49">
        <v>1.0447E-2</v>
      </c>
      <c r="V155" s="49">
        <v>1.1188999999999999E-2</v>
      </c>
      <c r="W155" s="49">
        <v>1.1025999999999999E-2</v>
      </c>
      <c r="X155" s="49">
        <v>9.75E-3</v>
      </c>
      <c r="Y155" s="49">
        <v>1.0437999999999999E-2</v>
      </c>
      <c r="Z155" s="49">
        <v>9.7020000000000006E-3</v>
      </c>
      <c r="AA155" s="49">
        <v>1.0132E-2</v>
      </c>
      <c r="AB155" s="49">
        <v>1.1292E-2</v>
      </c>
      <c r="AC155" s="49">
        <v>1.1022000000000001E-2</v>
      </c>
      <c r="AD155" s="49">
        <v>1.1091999999999999E-2</v>
      </c>
      <c r="AE155" s="49">
        <v>1.1313999999999999E-2</v>
      </c>
      <c r="AF155" s="49">
        <v>1.1324000000000001E-2</v>
      </c>
      <c r="AG155" s="49">
        <v>9.3779999999999992E-3</v>
      </c>
      <c r="AH155" s="49">
        <v>1.1355000000000001E-2</v>
      </c>
      <c r="AI155" s="49">
        <v>1.1001E-2</v>
      </c>
      <c r="AJ155" s="49">
        <v>9.8359999999999993E-3</v>
      </c>
      <c r="AK155" s="49">
        <v>9.6889999999999997E-3</v>
      </c>
      <c r="AL155" s="49">
        <v>9.3539999999999995E-3</v>
      </c>
      <c r="AM155" s="49">
        <v>9.4850000000000004E-3</v>
      </c>
      <c r="AN155" s="49">
        <v>1.0182E-2</v>
      </c>
      <c r="AO155" s="49">
        <v>1.0227999999999999E-2</v>
      </c>
      <c r="AP155" s="49">
        <v>9.8410000000000008E-3</v>
      </c>
      <c r="AQ155" s="49">
        <v>9.0589999999999993E-3</v>
      </c>
      <c r="AR155" s="49">
        <v>9.0869999999999996E-3</v>
      </c>
      <c r="AS155" s="49">
        <v>9.3019999999999995E-3</v>
      </c>
      <c r="AT155" s="49">
        <v>9.3030000000000005E-3</v>
      </c>
      <c r="AU155" s="49">
        <v>1.1219E-2</v>
      </c>
      <c r="AV155" s="49">
        <v>5.8760000000000001E-3</v>
      </c>
      <c r="AW155" s="49">
        <v>2.3259999999999999E-3</v>
      </c>
      <c r="AX155" s="49">
        <v>2.3939999999999999E-3</v>
      </c>
      <c r="AY155" s="49">
        <v>2.4659999999999999E-3</v>
      </c>
      <c r="AZ155" s="49">
        <v>2.5140000000000002E-3</v>
      </c>
      <c r="BA155" s="49">
        <v>2.4359999999999998E-3</v>
      </c>
      <c r="BB155" s="49">
        <v>3.8289999999999999E-3</v>
      </c>
      <c r="BC155" s="49">
        <v>3.2190000000000001E-3</v>
      </c>
      <c r="BD155" s="49">
        <v>3.2439999999999999E-3</v>
      </c>
      <c r="BE155" s="49">
        <v>3.081E-3</v>
      </c>
      <c r="BF155" s="49">
        <v>3.1570000000000001E-3</v>
      </c>
      <c r="BG155" s="49">
        <v>3.601E-3</v>
      </c>
      <c r="BH155" s="49">
        <v>3.6540000000000001E-3</v>
      </c>
      <c r="BI155" s="49">
        <v>3.6280000000000001E-3</v>
      </c>
      <c r="BJ155" s="49">
        <v>4.0489999999999996E-3</v>
      </c>
      <c r="BK155" s="49">
        <v>3.999E-3</v>
      </c>
      <c r="BL155" s="49">
        <v>3.999E-3</v>
      </c>
    </row>
    <row r="156" spans="1:64" x14ac:dyDescent="0.3">
      <c r="A156" s="49">
        <v>189</v>
      </c>
      <c r="B156" s="49" t="s">
        <v>4876</v>
      </c>
      <c r="C156" s="49" t="s">
        <v>546</v>
      </c>
      <c r="D156" s="49">
        <v>1.6697E-2</v>
      </c>
      <c r="E156" s="49">
        <v>1.7173000000000001E-2</v>
      </c>
      <c r="F156" s="49">
        <v>1.8603000000000001E-2</v>
      </c>
      <c r="G156" s="49">
        <v>1.8283000000000001E-2</v>
      </c>
      <c r="H156" s="49">
        <v>2.0133000000000002E-2</v>
      </c>
      <c r="I156" s="49">
        <v>2.0053000000000001E-2</v>
      </c>
      <c r="J156" s="49">
        <v>2.0267E-2</v>
      </c>
      <c r="K156" s="49">
        <v>2.0471E-2</v>
      </c>
      <c r="L156" s="49">
        <v>2.069E-2</v>
      </c>
      <c r="M156" s="49">
        <v>1.4984000000000001E-2</v>
      </c>
      <c r="N156" s="49">
        <v>1.6455999999999998E-2</v>
      </c>
      <c r="O156" s="49">
        <v>1.7270000000000001E-2</v>
      </c>
      <c r="P156" s="49">
        <v>1.4988E-2</v>
      </c>
      <c r="Q156" s="49">
        <v>1.8335000000000001E-2</v>
      </c>
      <c r="R156" s="49">
        <v>1.1898000000000001E-2</v>
      </c>
      <c r="S156" s="49">
        <v>1.4848999999999999E-2</v>
      </c>
      <c r="T156" s="49">
        <v>1.61E-2</v>
      </c>
      <c r="U156" s="49">
        <v>1.9286999999999999E-2</v>
      </c>
      <c r="V156" s="49">
        <v>1.788E-2</v>
      </c>
      <c r="W156" s="49">
        <v>1.5640999999999999E-2</v>
      </c>
      <c r="X156" s="49">
        <v>1.5819E-2</v>
      </c>
      <c r="Y156" s="49">
        <v>1.5914999999999999E-2</v>
      </c>
      <c r="Z156" s="49">
        <v>1.6055E-2</v>
      </c>
      <c r="AA156" s="49">
        <v>2.0333E-2</v>
      </c>
      <c r="AB156" s="49">
        <v>3.7543E-2</v>
      </c>
      <c r="AC156" s="49">
        <v>4.0467999999999997E-2</v>
      </c>
      <c r="AD156" s="49">
        <v>4.3506000000000003E-2</v>
      </c>
      <c r="AE156" s="49">
        <v>4.6753000000000003E-2</v>
      </c>
      <c r="AF156" s="49">
        <v>4.9095E-2</v>
      </c>
      <c r="AG156" s="49">
        <v>5.2111999999999999E-2</v>
      </c>
      <c r="AH156" s="49">
        <v>3.848E-2</v>
      </c>
      <c r="AI156" s="49">
        <v>3.6958999999999999E-2</v>
      </c>
      <c r="AJ156" s="49">
        <v>3.9934999999999998E-2</v>
      </c>
      <c r="AK156" s="49">
        <v>3.3641999999999998E-2</v>
      </c>
      <c r="AL156" s="49">
        <v>3.4035000000000003E-2</v>
      </c>
      <c r="AM156" s="49">
        <v>3.2037000000000003E-2</v>
      </c>
      <c r="AN156" s="49">
        <v>3.5919E-2</v>
      </c>
      <c r="AO156" s="49">
        <v>2.7300999999999999E-2</v>
      </c>
      <c r="AP156" s="49">
        <v>2.6477000000000001E-2</v>
      </c>
      <c r="AQ156" s="49">
        <v>2.1773000000000001E-2</v>
      </c>
      <c r="AR156" s="49">
        <v>1.9671000000000001E-2</v>
      </c>
      <c r="AS156" s="49">
        <v>2.0374E-2</v>
      </c>
      <c r="AT156" s="49">
        <v>1.9255999999999999E-2</v>
      </c>
      <c r="AU156" s="49">
        <v>1.7971000000000001E-2</v>
      </c>
      <c r="AV156" s="49">
        <v>1.4696000000000001E-2</v>
      </c>
      <c r="AW156" s="49">
        <v>1.7526E-2</v>
      </c>
      <c r="AX156" s="49">
        <v>1.7512E-2</v>
      </c>
      <c r="AY156" s="49">
        <v>1.9210000000000001E-2</v>
      </c>
      <c r="AZ156" s="49">
        <v>1.7479000000000001E-2</v>
      </c>
      <c r="BA156" s="49">
        <v>1.4975E-2</v>
      </c>
      <c r="BB156" s="49">
        <v>1.4992999999999999E-2</v>
      </c>
      <c r="BC156" s="49">
        <v>1.4208E-2</v>
      </c>
      <c r="BD156" s="49">
        <v>1.4697E-2</v>
      </c>
      <c r="BE156" s="49">
        <v>1.3332999999999999E-2</v>
      </c>
      <c r="BF156" s="49">
        <v>1.2737E-2</v>
      </c>
      <c r="BG156" s="49">
        <v>1.2433E-2</v>
      </c>
      <c r="BH156" s="49">
        <v>1.2388E-2</v>
      </c>
      <c r="BI156" s="49">
        <v>1.1917000000000001E-2</v>
      </c>
      <c r="BJ156" s="49">
        <v>1.1606999999999999E-2</v>
      </c>
      <c r="BK156" s="49">
        <v>1.115E-2</v>
      </c>
      <c r="BL156" s="49">
        <v>1.0786E-2</v>
      </c>
    </row>
    <row r="157" spans="1:64" x14ac:dyDescent="0.3">
      <c r="A157" s="49">
        <v>191</v>
      </c>
      <c r="B157" s="49" t="s">
        <v>4875</v>
      </c>
      <c r="C157" s="49" t="s">
        <v>551</v>
      </c>
      <c r="D157" s="49">
        <v>1.5640000000000001E-2</v>
      </c>
      <c r="E157" s="49">
        <v>1.6752E-2</v>
      </c>
      <c r="F157" s="49">
        <v>1.8665000000000001E-2</v>
      </c>
      <c r="G157" s="49">
        <v>1.941E-2</v>
      </c>
      <c r="H157" s="49">
        <v>1.8429999999999998E-2</v>
      </c>
      <c r="I157" s="49">
        <v>1.9524E-2</v>
      </c>
      <c r="J157" s="49">
        <v>1.5649E-2</v>
      </c>
      <c r="K157" s="49">
        <v>1.5542E-2</v>
      </c>
      <c r="L157" s="49">
        <v>1.4626E-2</v>
      </c>
      <c r="M157" s="49">
        <v>1.3598000000000001E-2</v>
      </c>
      <c r="N157" s="49">
        <v>1.5244000000000001E-2</v>
      </c>
      <c r="O157" s="49">
        <v>1.4708000000000001E-2</v>
      </c>
      <c r="P157" s="49">
        <v>1.5173000000000001E-2</v>
      </c>
      <c r="Q157" s="49">
        <v>1.4534E-2</v>
      </c>
      <c r="R157" s="49">
        <v>1.4116E-2</v>
      </c>
      <c r="S157" s="49">
        <v>1.7944999999999999E-2</v>
      </c>
      <c r="T157" s="49">
        <v>1.5221E-2</v>
      </c>
      <c r="U157" s="49">
        <v>1.7097000000000001E-2</v>
      </c>
      <c r="V157" s="49">
        <v>1.6514000000000001E-2</v>
      </c>
      <c r="W157" s="49">
        <v>1.7797E-2</v>
      </c>
      <c r="X157" s="49">
        <v>2.0412E-2</v>
      </c>
      <c r="Y157" s="49">
        <v>1.9812E-2</v>
      </c>
      <c r="Z157" s="49">
        <v>1.9598999999999998E-2</v>
      </c>
      <c r="AA157" s="49">
        <v>2.2605E-2</v>
      </c>
      <c r="AB157" s="49">
        <v>3.9368E-2</v>
      </c>
      <c r="AC157" s="49">
        <v>4.1383999999999997E-2</v>
      </c>
      <c r="AD157" s="49">
        <v>3.1565000000000003E-2</v>
      </c>
      <c r="AE157" s="49">
        <v>4.3159000000000003E-2</v>
      </c>
      <c r="AF157" s="49">
        <v>3.6211E-2</v>
      </c>
      <c r="AG157" s="49">
        <v>3.6138999999999998E-2</v>
      </c>
      <c r="AH157" s="49">
        <v>4.7631E-2</v>
      </c>
      <c r="AI157" s="49">
        <v>4.8277E-2</v>
      </c>
      <c r="AJ157" s="49">
        <v>4.7851999999999999E-2</v>
      </c>
      <c r="AK157" s="49">
        <v>2.6703999999999999E-2</v>
      </c>
      <c r="AL157" s="49">
        <v>2.8108999999999999E-2</v>
      </c>
      <c r="AM157" s="49">
        <v>2.8264000000000001E-2</v>
      </c>
      <c r="AN157" s="49">
        <v>2.4389000000000001E-2</v>
      </c>
      <c r="AO157" s="49">
        <v>2.5958999999999999E-2</v>
      </c>
      <c r="AP157" s="49">
        <v>2.3094E-2</v>
      </c>
      <c r="AQ157" s="49">
        <v>2.1965999999999999E-2</v>
      </c>
      <c r="AR157" s="49">
        <v>2.3803999999999999E-2</v>
      </c>
      <c r="AS157" s="49">
        <v>2.5423999999999999E-2</v>
      </c>
      <c r="AT157" s="49">
        <v>2.5826000000000002E-2</v>
      </c>
      <c r="AU157" s="49">
        <v>2.5322000000000001E-2</v>
      </c>
      <c r="AV157" s="49">
        <v>2.7290999999999999E-2</v>
      </c>
      <c r="AW157" s="49">
        <v>2.8642999999999998E-2</v>
      </c>
      <c r="AX157" s="49">
        <v>3.0542E-2</v>
      </c>
      <c r="AY157" s="49">
        <v>2.9475000000000001E-2</v>
      </c>
      <c r="AZ157" s="49">
        <v>3.0868E-2</v>
      </c>
      <c r="BA157" s="49">
        <v>2.7178999999999998E-2</v>
      </c>
      <c r="BB157" s="49">
        <v>2.8074000000000002E-2</v>
      </c>
      <c r="BC157" s="49">
        <v>2.7598000000000001E-2</v>
      </c>
      <c r="BD157" s="49">
        <v>2.7383999999999999E-2</v>
      </c>
      <c r="BE157" s="49">
        <v>2.7636000000000001E-2</v>
      </c>
      <c r="BF157" s="49">
        <v>2.3226E-2</v>
      </c>
      <c r="BG157" s="49">
        <v>2.1609E-2</v>
      </c>
      <c r="BH157" s="49">
        <v>2.1447000000000001E-2</v>
      </c>
      <c r="BI157" s="49">
        <v>2.1760000000000002E-2</v>
      </c>
      <c r="BJ157" s="49">
        <v>2.2211000000000002E-2</v>
      </c>
      <c r="BK157" s="49">
        <v>2.2231999999999998E-2</v>
      </c>
      <c r="BL157" s="49">
        <v>2.2131000000000001E-2</v>
      </c>
    </row>
    <row r="158" spans="1:64" x14ac:dyDescent="0.3">
      <c r="A158" s="49">
        <v>193</v>
      </c>
      <c r="B158" s="49" t="s">
        <v>4874</v>
      </c>
      <c r="C158" s="49" t="s">
        <v>561</v>
      </c>
      <c r="D158" s="49">
        <v>5.3710000000000001E-2</v>
      </c>
      <c r="E158" s="49">
        <v>5.5710000000000003E-2</v>
      </c>
      <c r="F158" s="49">
        <v>5.3190000000000001E-2</v>
      </c>
      <c r="G158" s="49">
        <v>5.5489999999999998E-2</v>
      </c>
      <c r="H158" s="49">
        <v>5.6129999999999999E-2</v>
      </c>
      <c r="I158" s="49">
        <v>5.4247999999999998E-2</v>
      </c>
      <c r="J158" s="49">
        <v>5.4227999999999998E-2</v>
      </c>
      <c r="K158" s="49">
        <v>5.3171999999999997E-2</v>
      </c>
      <c r="L158" s="49">
        <v>5.4202E-2</v>
      </c>
      <c r="M158" s="49">
        <v>5.2192000000000002E-2</v>
      </c>
      <c r="N158" s="49">
        <v>5.203E-2</v>
      </c>
      <c r="O158" s="49">
        <v>5.2850000000000001E-2</v>
      </c>
      <c r="P158" s="49">
        <v>5.2240000000000002E-2</v>
      </c>
      <c r="Q158" s="49">
        <v>5.2560000000000003E-2</v>
      </c>
      <c r="R158" s="49">
        <v>4.9660000000000003E-2</v>
      </c>
      <c r="S158" s="49">
        <v>4.8890000000000003E-2</v>
      </c>
      <c r="T158" s="49">
        <v>5.3319999999999999E-2</v>
      </c>
      <c r="U158" s="49">
        <v>5.0630000000000001E-2</v>
      </c>
      <c r="V158" s="49">
        <v>5.355E-2</v>
      </c>
      <c r="W158" s="49">
        <v>5.0819999999999997E-2</v>
      </c>
      <c r="X158" s="49">
        <v>5.0029999999999998E-2</v>
      </c>
      <c r="Y158" s="49">
        <v>5.0020000000000002E-2</v>
      </c>
      <c r="Z158" s="49">
        <v>5.0549999999999998E-2</v>
      </c>
      <c r="AA158" s="49">
        <v>4.5060000000000003E-2</v>
      </c>
      <c r="AB158" s="49">
        <v>4.5530000000000001E-2</v>
      </c>
      <c r="AC158" s="49">
        <v>4.6260000000000003E-2</v>
      </c>
      <c r="AD158" s="49">
        <v>4.7039999999999998E-2</v>
      </c>
      <c r="AE158" s="49">
        <v>4.6822999999999997E-2</v>
      </c>
      <c r="AF158" s="49">
        <v>4.5272E-2</v>
      </c>
      <c r="AG158" s="49">
        <v>4.5835000000000001E-2</v>
      </c>
      <c r="AH158" s="49">
        <v>7.4047000000000002E-2</v>
      </c>
      <c r="AI158" s="49">
        <v>7.3090000000000002E-2</v>
      </c>
      <c r="AJ158" s="49">
        <v>7.4522000000000005E-2</v>
      </c>
      <c r="AK158" s="49">
        <v>7.5840000000000005E-2</v>
      </c>
      <c r="AL158" s="49">
        <v>6.9216E-2</v>
      </c>
      <c r="AM158" s="49">
        <v>7.2395000000000001E-2</v>
      </c>
      <c r="AN158" s="49">
        <v>7.3333999999999996E-2</v>
      </c>
      <c r="AO158" s="49">
        <v>7.4260999999999994E-2</v>
      </c>
      <c r="AP158" s="49">
        <v>7.8203999999999996E-2</v>
      </c>
      <c r="AQ158" s="49">
        <v>8.3462999999999996E-2</v>
      </c>
      <c r="AR158" s="49">
        <v>8.6199999999999999E-2</v>
      </c>
      <c r="AS158" s="49">
        <v>8.5032999999999997E-2</v>
      </c>
      <c r="AT158" s="49">
        <v>9.1961000000000001E-2</v>
      </c>
      <c r="AU158" s="49">
        <v>8.3246000000000001E-2</v>
      </c>
      <c r="AV158" s="49">
        <v>8.2129999999999995E-2</v>
      </c>
      <c r="AW158" s="49">
        <v>8.0793000000000004E-2</v>
      </c>
      <c r="AX158" s="49">
        <v>7.8416E-2</v>
      </c>
      <c r="AY158" s="49">
        <v>7.5381000000000004E-2</v>
      </c>
      <c r="AZ158" s="49">
        <v>8.7941000000000005E-2</v>
      </c>
      <c r="BA158" s="49">
        <v>8.1132999999999997E-2</v>
      </c>
      <c r="BB158" s="49">
        <v>5.9042999999999998E-2</v>
      </c>
      <c r="BC158" s="49">
        <v>5.9604999999999998E-2</v>
      </c>
      <c r="BD158" s="49">
        <v>6.8528000000000006E-2</v>
      </c>
      <c r="BE158" s="49">
        <v>7.5744000000000006E-2</v>
      </c>
      <c r="BF158" s="49">
        <v>8.0865999999999993E-2</v>
      </c>
      <c r="BG158" s="49">
        <v>5.1411999999999999E-2</v>
      </c>
      <c r="BH158" s="49">
        <v>5.7196999999999998E-2</v>
      </c>
      <c r="BI158" s="49">
        <v>5.3380999999999998E-2</v>
      </c>
      <c r="BJ158" s="49">
        <v>5.3794000000000002E-2</v>
      </c>
      <c r="BK158" s="49">
        <v>5.4103999999999999E-2</v>
      </c>
      <c r="BL158" s="49">
        <v>5.5946000000000003E-2</v>
      </c>
    </row>
    <row r="159" spans="1:64" x14ac:dyDescent="0.3">
      <c r="A159" s="49">
        <v>194</v>
      </c>
      <c r="B159" s="49" t="s">
        <v>4873</v>
      </c>
      <c r="C159" s="49" t="s">
        <v>563</v>
      </c>
      <c r="D159" s="49">
        <v>0.64529999999999998</v>
      </c>
      <c r="E159" s="49">
        <v>0.64856000000000003</v>
      </c>
      <c r="F159" s="49">
        <v>0.67788800000000005</v>
      </c>
      <c r="G159" s="49">
        <v>0.690828</v>
      </c>
      <c r="H159" s="49">
        <v>0.72558999999999996</v>
      </c>
      <c r="I159" s="49">
        <v>0.74570999999999998</v>
      </c>
      <c r="J159" s="49">
        <v>0.73623799999999995</v>
      </c>
      <c r="K159" s="49">
        <v>0.87592499999999995</v>
      </c>
      <c r="L159" s="49">
        <v>0.77510599999999996</v>
      </c>
      <c r="M159" s="49">
        <v>0.81740999999999997</v>
      </c>
      <c r="N159" s="49">
        <v>1.037658</v>
      </c>
      <c r="O159" s="49">
        <v>0.456229</v>
      </c>
      <c r="P159" s="49">
        <v>0.53634700000000002</v>
      </c>
      <c r="Q159" s="49">
        <v>1.0806089999999999</v>
      </c>
      <c r="R159" s="49">
        <v>0.94475600000000004</v>
      </c>
      <c r="S159" s="49">
        <v>1.1089830000000001</v>
      </c>
      <c r="T159" s="49">
        <v>1.0320290000000001</v>
      </c>
      <c r="U159" s="49">
        <v>1.0487869999999999</v>
      </c>
      <c r="V159" s="49">
        <v>1.141394</v>
      </c>
      <c r="W159" s="49">
        <v>1.1718740000000001</v>
      </c>
      <c r="X159" s="49">
        <v>0.79682399999999998</v>
      </c>
      <c r="Y159" s="49">
        <v>0.894922</v>
      </c>
      <c r="Z159" s="49">
        <v>0.92235</v>
      </c>
      <c r="AA159" s="49">
        <v>1.2307319999999999</v>
      </c>
      <c r="AB159" s="49">
        <v>1.608714</v>
      </c>
      <c r="AC159" s="49">
        <v>1.623702</v>
      </c>
      <c r="AD159" s="49">
        <v>1.8039130000000001</v>
      </c>
      <c r="AE159" s="49">
        <v>2.1628349999999998</v>
      </c>
      <c r="AF159" s="49">
        <v>2.3239030000000001</v>
      </c>
      <c r="AG159" s="49">
        <v>2.3593829999999998</v>
      </c>
      <c r="AH159" s="49">
        <v>2.599132</v>
      </c>
      <c r="AI159" s="49">
        <v>2.7233390000000002</v>
      </c>
      <c r="AJ159" s="49">
        <v>2.7636949999999998</v>
      </c>
      <c r="AK159" s="49">
        <v>2.6689129999999999</v>
      </c>
      <c r="AL159" s="49">
        <v>2.020194</v>
      </c>
      <c r="AM159" s="49">
        <v>1.7478229999999999</v>
      </c>
      <c r="AN159" s="49">
        <v>1.9602809999999999</v>
      </c>
      <c r="AO159" s="49">
        <v>1.8703019999999999</v>
      </c>
      <c r="AP159" s="49">
        <v>1.970874</v>
      </c>
      <c r="AQ159" s="49">
        <v>1.840773</v>
      </c>
      <c r="AR159" s="49">
        <v>1.956685</v>
      </c>
      <c r="AS159" s="49">
        <v>2.0503290000000001</v>
      </c>
      <c r="AT159" s="49">
        <v>2.045804</v>
      </c>
      <c r="AU159" s="49">
        <v>2.026621</v>
      </c>
      <c r="AV159" s="49">
        <v>1.954744</v>
      </c>
      <c r="AW159" s="49">
        <v>1.8946449999999999</v>
      </c>
      <c r="AX159" s="49">
        <v>1.858495</v>
      </c>
      <c r="AY159" s="49">
        <v>1.629794</v>
      </c>
      <c r="AZ159" s="49">
        <v>1.3564000000000001</v>
      </c>
      <c r="BA159" s="49">
        <v>1.2449889999999999</v>
      </c>
      <c r="BB159" s="49">
        <v>1.203578</v>
      </c>
      <c r="BC159" s="49">
        <v>1.097261</v>
      </c>
      <c r="BD159" s="49">
        <v>0.99855400000000005</v>
      </c>
      <c r="BE159" s="49">
        <v>1.072675</v>
      </c>
      <c r="BF159" s="49">
        <v>1.049588</v>
      </c>
      <c r="BG159" s="49">
        <v>1.030994</v>
      </c>
      <c r="BH159" s="49">
        <v>1.102954</v>
      </c>
      <c r="BI159" s="49">
        <v>1.07226</v>
      </c>
      <c r="BJ159" s="49">
        <v>1.030464</v>
      </c>
      <c r="BK159" s="49">
        <v>1.205795</v>
      </c>
      <c r="BL159" s="49">
        <v>1.163662</v>
      </c>
    </row>
    <row r="160" spans="1:64" x14ac:dyDescent="0.3">
      <c r="A160" s="49">
        <v>195</v>
      </c>
      <c r="B160" s="49" t="s">
        <v>4872</v>
      </c>
      <c r="C160" s="49" t="s">
        <v>565</v>
      </c>
      <c r="D160" s="49">
        <v>3.1474700000000002</v>
      </c>
      <c r="E160" s="49">
        <v>3.1956440000000002</v>
      </c>
      <c r="F160" s="49">
        <v>3.4511430000000001</v>
      </c>
      <c r="G160" s="49">
        <v>3.5829</v>
      </c>
      <c r="H160" s="49">
        <v>3.7846160000000002</v>
      </c>
      <c r="I160" s="49">
        <v>3.693622</v>
      </c>
      <c r="J160" s="49">
        <v>4.2340099999999996</v>
      </c>
      <c r="K160" s="49">
        <v>3.8441130000000001</v>
      </c>
      <c r="L160" s="49">
        <v>3.6547079999999998</v>
      </c>
      <c r="M160" s="49">
        <v>3.4879020000000001</v>
      </c>
      <c r="N160" s="49">
        <v>3.5703589999999998</v>
      </c>
      <c r="O160" s="49">
        <v>3.4735589999999998</v>
      </c>
      <c r="P160" s="49">
        <v>3.6971379999999998</v>
      </c>
      <c r="Q160" s="49">
        <v>4.0227079999999997</v>
      </c>
      <c r="R160" s="49">
        <v>3.825393</v>
      </c>
      <c r="S160" s="49">
        <v>3.6935720000000001</v>
      </c>
      <c r="T160" s="49">
        <v>3.5115850000000002</v>
      </c>
      <c r="U160" s="49">
        <v>3.8673479999999998</v>
      </c>
      <c r="V160" s="49">
        <v>3.4201899999999998</v>
      </c>
      <c r="W160" s="49">
        <v>3.750775</v>
      </c>
      <c r="X160" s="49">
        <v>3.9202530000000002</v>
      </c>
      <c r="Y160" s="49">
        <v>3.6498270000000002</v>
      </c>
      <c r="Z160" s="49">
        <v>3.1283379999999998</v>
      </c>
      <c r="AA160" s="49">
        <v>3.4267050000000001</v>
      </c>
      <c r="AB160" s="49">
        <v>4.02827</v>
      </c>
      <c r="AC160" s="49">
        <v>3.5206719999999998</v>
      </c>
      <c r="AD160" s="49">
        <v>3.6393339999999998</v>
      </c>
      <c r="AE160" s="49">
        <v>3.648914</v>
      </c>
      <c r="AF160" s="49">
        <v>3.591494</v>
      </c>
      <c r="AG160" s="49">
        <v>3.6442860000000001</v>
      </c>
      <c r="AH160" s="49">
        <v>5.5308210000000004</v>
      </c>
      <c r="AI160" s="49">
        <v>5.8070310000000003</v>
      </c>
      <c r="AJ160" s="49">
        <v>5.6345349999999996</v>
      </c>
      <c r="AK160" s="49">
        <v>6.0288719999999998</v>
      </c>
      <c r="AL160" s="49">
        <v>5.8079280000000004</v>
      </c>
      <c r="AM160" s="49">
        <v>5.9219629999999999</v>
      </c>
      <c r="AN160" s="49">
        <v>5.2511320000000001</v>
      </c>
      <c r="AO160" s="49">
        <v>4.5483599999999997</v>
      </c>
      <c r="AP160" s="49">
        <v>6.4154470000000003</v>
      </c>
      <c r="AQ160" s="49">
        <v>6.2932560000000004</v>
      </c>
      <c r="AR160" s="49">
        <v>5.6648620000000003</v>
      </c>
      <c r="AS160" s="49">
        <v>5.5630490000000004</v>
      </c>
      <c r="AT160" s="49">
        <v>5.1006900000000002</v>
      </c>
      <c r="AU160" s="49">
        <v>5.4571040000000002</v>
      </c>
      <c r="AV160" s="49">
        <v>5.7461900000000004</v>
      </c>
      <c r="AW160" s="49">
        <v>5.0238060000000004</v>
      </c>
      <c r="AX160" s="49">
        <v>4.8797889999999997</v>
      </c>
      <c r="AY160" s="49">
        <v>6.7154790000000002</v>
      </c>
      <c r="AZ160" s="49">
        <v>7.3175559999999997</v>
      </c>
      <c r="BA160" s="49">
        <v>7.2984280000000004</v>
      </c>
      <c r="BB160" s="49">
        <v>5.515015</v>
      </c>
      <c r="BC160" s="49">
        <v>5.3392590000000002</v>
      </c>
      <c r="BD160" s="49">
        <v>5.7404640000000002</v>
      </c>
      <c r="BE160" s="49">
        <v>5.7557450000000001</v>
      </c>
      <c r="BF160" s="49">
        <v>7.5059909999999999</v>
      </c>
      <c r="BG160" s="49">
        <v>7.0233999999999996</v>
      </c>
      <c r="BH160" s="49">
        <v>8.3056640000000002</v>
      </c>
      <c r="BI160" s="49">
        <v>8.3421369999999992</v>
      </c>
      <c r="BJ160" s="49">
        <v>8.3342460000000003</v>
      </c>
      <c r="BK160" s="49">
        <v>9.2642260000000007</v>
      </c>
      <c r="BL160" s="49">
        <v>9.0341749999999994</v>
      </c>
    </row>
    <row r="161" spans="1:64" x14ac:dyDescent="0.3">
      <c r="A161" s="49">
        <v>196</v>
      </c>
      <c r="B161" s="49" t="s">
        <v>4871</v>
      </c>
      <c r="C161" s="49" t="s">
        <v>571</v>
      </c>
      <c r="D161" s="49">
        <v>1.4544E-2</v>
      </c>
      <c r="E161" s="49">
        <v>1.5956000000000001E-2</v>
      </c>
      <c r="F161" s="49">
        <v>1.3665E-2</v>
      </c>
      <c r="G161" s="49">
        <v>1.6681000000000001E-2</v>
      </c>
      <c r="H161" s="49">
        <v>1.5990000000000001E-2</v>
      </c>
      <c r="I161" s="49">
        <v>1.8703999999999998E-2</v>
      </c>
      <c r="J161" s="49">
        <v>2.3709000000000001E-2</v>
      </c>
      <c r="K161" s="49">
        <v>2.5929000000000001E-2</v>
      </c>
      <c r="L161" s="49">
        <v>1.5637999999999999E-2</v>
      </c>
      <c r="M161" s="49">
        <v>1.4366E-2</v>
      </c>
      <c r="N161" s="49">
        <v>1.2779E-2</v>
      </c>
      <c r="O161" s="49">
        <v>1.6792999999999999E-2</v>
      </c>
      <c r="P161" s="49">
        <v>1.4504E-2</v>
      </c>
      <c r="Q161" s="49">
        <v>1.3368E-2</v>
      </c>
      <c r="R161" s="49">
        <v>1.128E-2</v>
      </c>
      <c r="S161" s="49">
        <v>1.1072E-2</v>
      </c>
      <c r="T161" s="49">
        <v>9.5689999999999994E-3</v>
      </c>
      <c r="U161" s="49">
        <v>8.0789999999999994E-3</v>
      </c>
      <c r="V161" s="49">
        <v>8.4539999999999997E-3</v>
      </c>
      <c r="W161" s="49">
        <v>8.8590000000000006E-3</v>
      </c>
      <c r="X161" s="49">
        <v>7.9590000000000008E-3</v>
      </c>
      <c r="Y161" s="49">
        <v>9.4219999999999998E-3</v>
      </c>
      <c r="Z161" s="49">
        <v>1.0616E-2</v>
      </c>
      <c r="AA161" s="49">
        <v>6.5440000000000003E-3</v>
      </c>
      <c r="AB161" s="49">
        <v>9.0519999999999993E-3</v>
      </c>
      <c r="AC161" s="49">
        <v>9.3620000000000005E-3</v>
      </c>
      <c r="AD161" s="49">
        <v>5.764E-3</v>
      </c>
      <c r="AE161" s="49">
        <v>4.4679999999999997E-3</v>
      </c>
      <c r="AF161" s="49">
        <v>4.0819999999999997E-3</v>
      </c>
      <c r="AG161" s="49">
        <v>3.7629999999999999E-3</v>
      </c>
      <c r="AH161" s="49">
        <v>6.5859999999999998E-3</v>
      </c>
      <c r="AI161" s="49">
        <v>5.0330000000000001E-3</v>
      </c>
      <c r="AJ161" s="49">
        <v>5.1359999999999999E-3</v>
      </c>
      <c r="AK161" s="49">
        <v>6.0200000000000002E-3</v>
      </c>
      <c r="AL161" s="49">
        <v>6.8780000000000004E-3</v>
      </c>
      <c r="AM161" s="49">
        <v>7.1809999999999999E-3</v>
      </c>
      <c r="AN161" s="49">
        <v>6.8640000000000003E-3</v>
      </c>
      <c r="AO161" s="49">
        <v>6.483E-3</v>
      </c>
      <c r="AP161" s="49">
        <v>6.339E-3</v>
      </c>
      <c r="AQ161" s="49">
        <v>6.3169999999999997E-3</v>
      </c>
      <c r="AR161" s="49">
        <v>6.3689999999999997E-3</v>
      </c>
      <c r="AS161" s="49">
        <v>6.2950000000000002E-3</v>
      </c>
      <c r="AT161" s="49">
        <v>5.9709999999999997E-3</v>
      </c>
      <c r="AU161" s="49">
        <v>5.3540000000000003E-3</v>
      </c>
      <c r="AV161" s="49">
        <v>5.0619999999999997E-3</v>
      </c>
      <c r="AW161" s="49">
        <v>5.0229999999999997E-3</v>
      </c>
      <c r="AX161" s="49">
        <v>4.0749999999999996E-3</v>
      </c>
      <c r="AY161" s="49">
        <v>4.5279999999999999E-3</v>
      </c>
      <c r="AZ161" s="49">
        <v>3.9309999999999996E-3</v>
      </c>
      <c r="BA161" s="49">
        <v>3.4169999999999999E-3</v>
      </c>
      <c r="BB161" s="49">
        <v>3.8010000000000001E-3</v>
      </c>
      <c r="BC161" s="49">
        <v>4.0720000000000001E-3</v>
      </c>
      <c r="BD161" s="49">
        <v>4.1079999999999997E-3</v>
      </c>
      <c r="BE161" s="49">
        <v>4.5519999999999996E-3</v>
      </c>
      <c r="BF161" s="49">
        <v>4.7359999999999998E-3</v>
      </c>
      <c r="BG161" s="49">
        <v>4.5869999999999999E-3</v>
      </c>
      <c r="BH161" s="49">
        <v>4.6410000000000002E-3</v>
      </c>
      <c r="BI161" s="49">
        <v>5.1289999999999999E-3</v>
      </c>
      <c r="BJ161" s="49">
        <v>4.6740000000000002E-3</v>
      </c>
      <c r="BK161" s="49">
        <v>4.7349999999999996E-3</v>
      </c>
      <c r="BL161" s="49">
        <v>4.8679999999999999E-3</v>
      </c>
    </row>
    <row r="162" spans="1:64" x14ac:dyDescent="0.3">
      <c r="A162" s="49">
        <v>197</v>
      </c>
      <c r="B162" s="49" t="s">
        <v>4870</v>
      </c>
      <c r="C162" s="49" t="s">
        <v>573</v>
      </c>
      <c r="D162" s="49">
        <v>0.92413999999999996</v>
      </c>
      <c r="E162" s="49">
        <v>0.87039999999999995</v>
      </c>
      <c r="F162" s="49">
        <v>0.88954200000000005</v>
      </c>
      <c r="G162" s="49">
        <v>0.89075800000000005</v>
      </c>
      <c r="H162" s="49">
        <v>0.95623999999999998</v>
      </c>
      <c r="I162" s="49">
        <v>1.0021199999999999</v>
      </c>
      <c r="J162" s="49">
        <v>1.0453399999999999</v>
      </c>
      <c r="K162" s="49">
        <v>0.98153999999999997</v>
      </c>
      <c r="L162" s="49">
        <v>0.956708</v>
      </c>
      <c r="M162" s="49">
        <v>0.99565099999999995</v>
      </c>
      <c r="N162" s="49">
        <v>1.05352</v>
      </c>
      <c r="O162" s="49">
        <v>1.0407999999999999</v>
      </c>
      <c r="P162" s="49">
        <v>1.0490999999999999</v>
      </c>
      <c r="Q162" s="49">
        <v>1.0840000000000001</v>
      </c>
      <c r="R162" s="49">
        <v>1.1054889999999999</v>
      </c>
      <c r="S162" s="49">
        <v>1.1510290000000001</v>
      </c>
      <c r="T162" s="49">
        <v>1.178294</v>
      </c>
      <c r="U162" s="49">
        <v>1.216059</v>
      </c>
      <c r="V162" s="49">
        <v>1.1725289999999999</v>
      </c>
      <c r="W162" s="49">
        <v>1.2025399999999999</v>
      </c>
      <c r="X162" s="49">
        <v>1.2008000000000001</v>
      </c>
      <c r="Y162" s="49">
        <v>1.2181999999999999</v>
      </c>
      <c r="Z162" s="49">
        <v>1.1775</v>
      </c>
      <c r="AA162" s="49">
        <v>1.0836840000000001</v>
      </c>
      <c r="AB162" s="49">
        <v>1.2151700000000001</v>
      </c>
      <c r="AC162" s="49">
        <v>1.2167049999999999</v>
      </c>
      <c r="AD162" s="49">
        <v>1.2583569999999999</v>
      </c>
      <c r="AE162" s="49">
        <v>1.34728</v>
      </c>
      <c r="AF162" s="49">
        <v>1.37042</v>
      </c>
      <c r="AG162" s="49">
        <v>1.413888</v>
      </c>
      <c r="AH162" s="49">
        <v>1.53644</v>
      </c>
      <c r="AI162" s="49">
        <v>1.42513</v>
      </c>
      <c r="AJ162" s="49">
        <v>1.4929129999999999</v>
      </c>
      <c r="AK162" s="49">
        <v>1.4693750000000001</v>
      </c>
      <c r="AL162" s="49">
        <v>1.303771</v>
      </c>
      <c r="AM162" s="49">
        <v>1.3824460000000001</v>
      </c>
      <c r="AN162" s="49">
        <v>1.510451</v>
      </c>
      <c r="AO162" s="49">
        <v>1.3871789999999999</v>
      </c>
      <c r="AP162" s="49">
        <v>1.1665920000000001</v>
      </c>
      <c r="AQ162" s="49">
        <v>1.0092669999999999</v>
      </c>
      <c r="AR162" s="49">
        <v>1.379542</v>
      </c>
      <c r="AS162" s="49">
        <v>1.801131</v>
      </c>
      <c r="AT162" s="49">
        <v>2.4145470000000002</v>
      </c>
      <c r="AU162" s="49">
        <v>2.8005300000000002</v>
      </c>
      <c r="AV162" s="49">
        <v>2.8552599999999999</v>
      </c>
      <c r="AW162" s="49">
        <v>3.254054</v>
      </c>
      <c r="AX162" s="49">
        <v>2.508308</v>
      </c>
      <c r="AY162" s="49">
        <v>2.6720090000000001</v>
      </c>
      <c r="AZ162" s="49">
        <v>2.8858329999999999</v>
      </c>
      <c r="BA162" s="49">
        <v>3.1557529999999998</v>
      </c>
      <c r="BB162" s="49">
        <v>3.3509139999999999</v>
      </c>
      <c r="BC162" s="49">
        <v>3.1451950000000002</v>
      </c>
      <c r="BD162" s="49">
        <v>3.2798729999999998</v>
      </c>
      <c r="BE162" s="49">
        <v>3.3794819999999999</v>
      </c>
      <c r="BF162" s="49">
        <v>3.0492629999999998</v>
      </c>
      <c r="BG162" s="49">
        <v>3.2514799999999999</v>
      </c>
      <c r="BH162" s="49">
        <v>2.993242</v>
      </c>
      <c r="BI162" s="49">
        <v>3.950196</v>
      </c>
      <c r="BJ162" s="49">
        <v>2.4750909999999999</v>
      </c>
      <c r="BK162" s="49">
        <v>2.8136380000000001</v>
      </c>
      <c r="BL162" s="49">
        <v>3.454799</v>
      </c>
    </row>
    <row r="163" spans="1:64" x14ac:dyDescent="0.3">
      <c r="A163" s="49">
        <v>198</v>
      </c>
      <c r="B163" s="49" t="s">
        <v>4869</v>
      </c>
      <c r="C163" s="49" t="s">
        <v>580</v>
      </c>
      <c r="AI163" s="49">
        <v>0.33152399999999999</v>
      </c>
      <c r="AJ163" s="49">
        <v>0.32696199999999997</v>
      </c>
      <c r="AK163" s="49">
        <v>0.31255100000000002</v>
      </c>
      <c r="AL163" s="49">
        <v>0.30086499999999999</v>
      </c>
      <c r="AM163" s="49">
        <v>0.29642299999999999</v>
      </c>
      <c r="AN163" s="49">
        <v>0.28642000000000001</v>
      </c>
      <c r="AO163" s="49">
        <v>0.28789799999999999</v>
      </c>
      <c r="AP163" s="49">
        <v>0.284385</v>
      </c>
      <c r="AQ163" s="49">
        <v>0.29870400000000003</v>
      </c>
      <c r="AR163" s="49">
        <v>0.295068</v>
      </c>
      <c r="AS163" s="49">
        <v>0.28845900000000002</v>
      </c>
      <c r="AT163" s="49">
        <v>0.29257499999999997</v>
      </c>
      <c r="AU163" s="49">
        <v>0.28831000000000001</v>
      </c>
      <c r="AV163" s="49">
        <v>0.28361999999999998</v>
      </c>
      <c r="AW163" s="49">
        <v>0.29257100000000003</v>
      </c>
      <c r="AX163" s="49">
        <v>0.28659200000000001</v>
      </c>
      <c r="AY163" s="49">
        <v>0.29321399999999997</v>
      </c>
      <c r="AZ163" s="49">
        <v>0.282468</v>
      </c>
      <c r="BA163" s="49">
        <v>0.269843</v>
      </c>
      <c r="BB163" s="49">
        <v>0.271009</v>
      </c>
      <c r="BC163" s="49">
        <v>0.28061900000000001</v>
      </c>
      <c r="BD163" s="49">
        <v>0.28245500000000001</v>
      </c>
      <c r="BE163" s="49">
        <v>0.28367900000000001</v>
      </c>
      <c r="BF163" s="49">
        <v>0.27409499999999998</v>
      </c>
      <c r="BG163" s="49">
        <v>0.28178799999999998</v>
      </c>
      <c r="BH163" s="49">
        <v>0.28489300000000001</v>
      </c>
      <c r="BI163" s="49">
        <v>0.26682400000000001</v>
      </c>
      <c r="BJ163" s="49">
        <v>0.26934599999999997</v>
      </c>
      <c r="BK163" s="49">
        <v>0.27611599999999997</v>
      </c>
      <c r="BL163" s="49">
        <v>0.27477400000000002</v>
      </c>
    </row>
    <row r="164" spans="1:64" x14ac:dyDescent="0.3">
      <c r="A164" s="49">
        <v>199</v>
      </c>
      <c r="B164" s="49" t="s">
        <v>4868</v>
      </c>
      <c r="C164" s="49" t="s">
        <v>577</v>
      </c>
      <c r="AJ164" s="49">
        <v>2.3842479999999999</v>
      </c>
      <c r="AK164" s="49">
        <v>2.4387490000000001</v>
      </c>
      <c r="AL164" s="49">
        <v>2.5143</v>
      </c>
      <c r="AM164" s="49">
        <v>2.486529</v>
      </c>
      <c r="AN164" s="49">
        <v>2.5220729999999998</v>
      </c>
      <c r="AO164" s="49">
        <v>2.5050319999999999</v>
      </c>
      <c r="AP164" s="49">
        <v>2.5102039999999999</v>
      </c>
      <c r="AQ164" s="49">
        <v>2.4766560000000002</v>
      </c>
      <c r="AR164" s="49">
        <v>2.481557</v>
      </c>
      <c r="AS164" s="49">
        <v>2.5291000000000001</v>
      </c>
      <c r="AT164" s="49">
        <v>2.5066890000000002</v>
      </c>
      <c r="AU164" s="49">
        <v>2.5084330000000001</v>
      </c>
      <c r="AV164" s="49">
        <v>2.503396</v>
      </c>
      <c r="AW164" s="49">
        <v>2.477293</v>
      </c>
      <c r="AX164" s="49">
        <v>2.4944320000000002</v>
      </c>
      <c r="AY164" s="49">
        <v>2.54305</v>
      </c>
      <c r="AZ164" s="49">
        <v>2.5359280000000002</v>
      </c>
      <c r="BA164" s="49">
        <v>2.358365</v>
      </c>
      <c r="BB164" s="49">
        <v>2.4217789999999999</v>
      </c>
      <c r="BC164" s="49">
        <v>2.3755410000000001</v>
      </c>
      <c r="BD164" s="49">
        <v>2.3948109999999998</v>
      </c>
      <c r="BE164" s="49">
        <v>2.4014989999999998</v>
      </c>
      <c r="BF164" s="49">
        <v>2.3544330000000002</v>
      </c>
      <c r="BG164" s="49">
        <v>2.3947050000000001</v>
      </c>
      <c r="BH164" s="49">
        <v>2.432817</v>
      </c>
      <c r="BI164" s="49">
        <v>1.8847799999999999</v>
      </c>
      <c r="BJ164" s="49">
        <v>1.9120699999999999</v>
      </c>
      <c r="BK164" s="49">
        <v>1.8751599999999999</v>
      </c>
      <c r="BL164" s="49">
        <v>1.8443099999999999</v>
      </c>
    </row>
    <row r="165" spans="1:64" x14ac:dyDescent="0.3">
      <c r="A165" s="49">
        <v>200</v>
      </c>
      <c r="B165" s="49" t="s">
        <v>4867</v>
      </c>
      <c r="C165" s="49" t="s">
        <v>575</v>
      </c>
      <c r="D165" s="49">
        <v>1.2212000000000001E-2</v>
      </c>
      <c r="E165" s="49">
        <v>1.1912000000000001E-2</v>
      </c>
      <c r="F165" s="49">
        <v>1.2075000000000001E-2</v>
      </c>
      <c r="G165" s="49">
        <v>1.2175E-2</v>
      </c>
      <c r="H165" s="49">
        <v>1.3646999999999999E-2</v>
      </c>
      <c r="I165" s="49">
        <v>1.3649E-2</v>
      </c>
      <c r="J165" s="49">
        <v>1.3539000000000001E-2</v>
      </c>
      <c r="K165" s="49">
        <v>1.5088000000000001E-2</v>
      </c>
      <c r="L165" s="49">
        <v>1.5037999999999999E-2</v>
      </c>
      <c r="M165" s="49">
        <v>1.5223E-2</v>
      </c>
      <c r="N165" s="49">
        <v>1.9775999999999998E-2</v>
      </c>
      <c r="O165" s="49">
        <v>2.0237000000000002E-2</v>
      </c>
      <c r="P165" s="49">
        <v>1.7316000000000002E-2</v>
      </c>
      <c r="Q165" s="49">
        <v>1.3605000000000001E-2</v>
      </c>
      <c r="R165" s="49">
        <v>1.2977000000000001E-2</v>
      </c>
      <c r="S165" s="49">
        <v>1.4388E-2</v>
      </c>
      <c r="T165" s="49">
        <v>1.5869999999999999E-2</v>
      </c>
      <c r="U165" s="49">
        <v>1.2362E-2</v>
      </c>
      <c r="V165" s="49">
        <v>1.115E-2</v>
      </c>
      <c r="W165" s="49">
        <v>1.0244E-2</v>
      </c>
      <c r="X165" s="49">
        <v>9.9299999999999996E-3</v>
      </c>
      <c r="Y165" s="49">
        <v>1.0198E-2</v>
      </c>
      <c r="Z165" s="49">
        <v>8.9820000000000004E-3</v>
      </c>
      <c r="AA165" s="49">
        <v>8.1810000000000008E-3</v>
      </c>
      <c r="AB165" s="49">
        <v>6.4729999999999996E-3</v>
      </c>
      <c r="AC165" s="49">
        <v>5.4029999999999998E-3</v>
      </c>
      <c r="AD165" s="49">
        <v>4.4650000000000002E-3</v>
      </c>
      <c r="AE165" s="49">
        <v>2.7539999999999999E-3</v>
      </c>
      <c r="AF165" s="49">
        <v>1.7600000000000001E-3</v>
      </c>
      <c r="AG165" s="49">
        <v>1.7260000000000001E-3</v>
      </c>
      <c r="AH165" s="49">
        <v>9.9299999999999996E-4</v>
      </c>
      <c r="AI165" s="49">
        <v>8.9099999999999997E-4</v>
      </c>
      <c r="AJ165" s="49">
        <v>7.6400000000000003E-4</v>
      </c>
      <c r="AK165" s="49">
        <v>7.5199999999999996E-4</v>
      </c>
      <c r="AL165" s="49">
        <v>8.9099999999999997E-4</v>
      </c>
      <c r="AM165" s="49">
        <v>9.7199999999999999E-4</v>
      </c>
      <c r="AN165" s="49">
        <v>1.073E-3</v>
      </c>
      <c r="AO165" s="49">
        <v>1.2160000000000001E-3</v>
      </c>
      <c r="AP165" s="49">
        <v>1.3359999999999999E-3</v>
      </c>
      <c r="AQ165" s="49">
        <v>1.4790000000000001E-3</v>
      </c>
      <c r="AR165" s="49">
        <v>1.593E-3</v>
      </c>
      <c r="AS165" s="49">
        <v>1.7329999999999999E-3</v>
      </c>
      <c r="AT165" s="49">
        <v>2.0240000000000002E-3</v>
      </c>
      <c r="AU165" s="49">
        <v>2.1649999999999998E-3</v>
      </c>
      <c r="AV165" s="49">
        <v>2.2780000000000001E-3</v>
      </c>
      <c r="AW165" s="49">
        <v>2.3210000000000001E-3</v>
      </c>
      <c r="AX165" s="49">
        <v>2.117E-3</v>
      </c>
      <c r="AY165" s="49">
        <v>2.1059999999999998E-3</v>
      </c>
      <c r="AZ165" s="49">
        <v>2.1250000000000002E-3</v>
      </c>
      <c r="BA165" s="49">
        <v>2.2889999999999998E-3</v>
      </c>
      <c r="BB165" s="49">
        <v>2.3530000000000001E-3</v>
      </c>
      <c r="BC165" s="49">
        <v>2.7729999999999999E-3</v>
      </c>
      <c r="BD165" s="49">
        <v>2.777E-3</v>
      </c>
      <c r="BE165" s="49">
        <v>2.7810000000000001E-3</v>
      </c>
      <c r="BF165" s="49">
        <v>2.7690000000000002E-3</v>
      </c>
      <c r="BG165" s="49">
        <v>2.7179999999999999E-3</v>
      </c>
      <c r="BH165" s="49">
        <v>2.745E-3</v>
      </c>
      <c r="BI165" s="49">
        <v>2.895E-3</v>
      </c>
      <c r="BJ165" s="49">
        <v>2.9199999999999999E-3</v>
      </c>
      <c r="BK165" s="49">
        <v>2.7550000000000001E-3</v>
      </c>
      <c r="BL165" s="49">
        <v>2.699E-3</v>
      </c>
    </row>
    <row r="166" spans="1:64" x14ac:dyDescent="0.3">
      <c r="A166" s="49">
        <v>201</v>
      </c>
      <c r="B166" s="49" t="s">
        <v>4866</v>
      </c>
      <c r="C166" s="49" t="s">
        <v>584</v>
      </c>
      <c r="D166" s="49">
        <v>1.1340980000000001</v>
      </c>
      <c r="E166" s="49">
        <v>1.1260300000000001</v>
      </c>
      <c r="F166" s="49">
        <v>1.126908</v>
      </c>
      <c r="G166" s="49">
        <v>1.111686</v>
      </c>
      <c r="H166" s="49">
        <v>1.1173040000000001</v>
      </c>
      <c r="I166" s="49">
        <v>1.1216999999999999</v>
      </c>
      <c r="J166" s="49">
        <v>1.1929399999999999</v>
      </c>
      <c r="K166" s="49">
        <v>1.15571</v>
      </c>
      <c r="L166" s="49">
        <v>1.1728099999999999</v>
      </c>
      <c r="M166" s="49">
        <v>1.1344700000000001</v>
      </c>
      <c r="N166" s="49">
        <v>1.04223</v>
      </c>
      <c r="O166" s="49">
        <v>1.4571449999999999</v>
      </c>
      <c r="P166" s="49">
        <v>0.92324300000000004</v>
      </c>
      <c r="Q166" s="49">
        <v>0.933585</v>
      </c>
      <c r="R166" s="49">
        <v>1.1961550000000001</v>
      </c>
      <c r="S166" s="49">
        <v>1.3932899999999999</v>
      </c>
      <c r="T166" s="49">
        <v>1.4262999999999999</v>
      </c>
      <c r="U166" s="49">
        <v>1.35991</v>
      </c>
      <c r="V166" s="49">
        <v>1.4260550000000001</v>
      </c>
      <c r="W166" s="49">
        <v>1.3517749999999999</v>
      </c>
      <c r="X166" s="49">
        <v>1.6755800000000001</v>
      </c>
      <c r="Y166" s="49">
        <v>1.750405</v>
      </c>
      <c r="Z166" s="49">
        <v>1.36493</v>
      </c>
      <c r="AA166" s="49">
        <v>1.80836</v>
      </c>
      <c r="AB166" s="49">
        <v>1.68018</v>
      </c>
      <c r="AC166" s="49">
        <v>1.5136000000000001</v>
      </c>
      <c r="AD166" s="49">
        <v>1.8904000000000001</v>
      </c>
      <c r="AE166" s="49">
        <v>2.0362200000000001</v>
      </c>
      <c r="AF166" s="49">
        <v>1.9672400000000001</v>
      </c>
      <c r="AG166" s="49">
        <v>1.7733829999999999</v>
      </c>
      <c r="AH166" s="49">
        <v>1.4083760000000001</v>
      </c>
      <c r="AI166" s="49">
        <v>1.163697</v>
      </c>
      <c r="AJ166" s="49">
        <v>1.1976370000000001</v>
      </c>
      <c r="AK166" s="49">
        <v>2.4687549999999998</v>
      </c>
      <c r="AL166" s="49">
        <v>1.653405</v>
      </c>
      <c r="AM166" s="49">
        <v>1.6135740000000001</v>
      </c>
      <c r="AN166" s="49">
        <v>1.765576</v>
      </c>
      <c r="AO166" s="49">
        <v>1.4182410000000001</v>
      </c>
      <c r="AP166" s="49">
        <v>1.478488</v>
      </c>
      <c r="AQ166" s="49">
        <v>1.5214490000000001</v>
      </c>
      <c r="AR166" s="49">
        <v>1.5301480000000001</v>
      </c>
      <c r="AS166" s="49">
        <v>1.6601159999999999</v>
      </c>
      <c r="AT166" s="49">
        <v>1.6979599999999999</v>
      </c>
      <c r="AU166" s="49">
        <v>1.8204340000000001</v>
      </c>
      <c r="AV166" s="49">
        <v>1.643945</v>
      </c>
      <c r="AW166" s="49">
        <v>1.5880639999999999</v>
      </c>
      <c r="AX166" s="49">
        <v>1.1861980000000001</v>
      </c>
      <c r="AY166" s="49">
        <v>1.3590439999999999</v>
      </c>
      <c r="AZ166" s="49">
        <v>1.6421870000000001</v>
      </c>
      <c r="BA166" s="49">
        <v>1.7825960000000001</v>
      </c>
      <c r="BB166" s="49">
        <v>1.068689</v>
      </c>
      <c r="BC166" s="49">
        <v>1.205246</v>
      </c>
      <c r="BD166" s="49">
        <v>1.337278</v>
      </c>
      <c r="BE166" s="49">
        <v>1.5374829999999999</v>
      </c>
      <c r="BF166" s="49">
        <v>1.553226</v>
      </c>
      <c r="BG166" s="49">
        <v>1.2160709999999999</v>
      </c>
      <c r="BH166" s="49">
        <v>1.3489709999999999</v>
      </c>
      <c r="BI166" s="49">
        <v>1.3209390000000001</v>
      </c>
      <c r="BJ166" s="49">
        <v>1.3710329999999999</v>
      </c>
      <c r="BK166" s="49">
        <v>1.3587309999999999</v>
      </c>
      <c r="BL166" s="49">
        <v>1.3632409999999999</v>
      </c>
    </row>
    <row r="167" spans="1:64" x14ac:dyDescent="0.3">
      <c r="A167" s="49">
        <v>202</v>
      </c>
      <c r="B167" s="49" t="s">
        <v>4865</v>
      </c>
      <c r="C167" s="49" t="s">
        <v>586</v>
      </c>
      <c r="D167" s="49">
        <v>13.955857999999999</v>
      </c>
      <c r="E167" s="49">
        <v>14.326280000000001</v>
      </c>
      <c r="F167" s="49">
        <v>15.372184000000001</v>
      </c>
      <c r="G167" s="49">
        <v>14.728018</v>
      </c>
      <c r="H167" s="49">
        <v>14.924813</v>
      </c>
      <c r="I167" s="49">
        <v>14.384116000000001</v>
      </c>
      <c r="J167" s="49">
        <v>15.988163999999999</v>
      </c>
      <c r="K167" s="49">
        <v>16.181179</v>
      </c>
      <c r="L167" s="49">
        <v>15.862444</v>
      </c>
      <c r="M167" s="49">
        <v>16.017762999999999</v>
      </c>
      <c r="N167" s="49">
        <v>16.817181999999999</v>
      </c>
      <c r="O167" s="49">
        <v>17.123152000000001</v>
      </c>
      <c r="P167" s="49">
        <v>15.042168</v>
      </c>
      <c r="Q167" s="49">
        <v>16.717209</v>
      </c>
      <c r="R167" s="49">
        <v>16.307127000000001</v>
      </c>
      <c r="S167" s="49">
        <v>16.833508999999999</v>
      </c>
      <c r="T167" s="49">
        <v>16.258787000000002</v>
      </c>
      <c r="U167" s="49">
        <v>16.087308</v>
      </c>
      <c r="V167" s="49">
        <v>16.372796999999998</v>
      </c>
      <c r="W167" s="49">
        <v>15.615385</v>
      </c>
      <c r="X167" s="49">
        <v>15.855584</v>
      </c>
      <c r="Y167" s="49">
        <v>16.467044999999999</v>
      </c>
      <c r="Z167" s="49">
        <v>16.171254999999999</v>
      </c>
      <c r="AA167" s="49">
        <v>17.066621999999999</v>
      </c>
      <c r="AB167" s="49">
        <v>16.391946999999998</v>
      </c>
      <c r="AC167" s="49">
        <v>17.122197</v>
      </c>
      <c r="AD167" s="49">
        <v>17.386205</v>
      </c>
      <c r="AE167" s="49">
        <v>17.224764</v>
      </c>
      <c r="AF167" s="49">
        <v>16.026392999999999</v>
      </c>
      <c r="AG167" s="49">
        <v>14.907873</v>
      </c>
      <c r="AH167" s="49">
        <v>16.097429000000002</v>
      </c>
      <c r="AI167" s="49">
        <v>15.096292</v>
      </c>
      <c r="AJ167" s="49">
        <v>15.818142999999999</v>
      </c>
      <c r="AK167" s="49">
        <v>16.255716</v>
      </c>
      <c r="AL167" s="49">
        <v>14.75792</v>
      </c>
      <c r="AM167" s="49">
        <v>15.669150999999999</v>
      </c>
      <c r="AN167" s="49">
        <v>15.785731</v>
      </c>
      <c r="AO167" s="49">
        <v>13.769617999999999</v>
      </c>
      <c r="AP167" s="49">
        <v>14.790048000000001</v>
      </c>
      <c r="AQ167" s="49">
        <v>14.507819</v>
      </c>
      <c r="AR167" s="49">
        <v>13.667496</v>
      </c>
      <c r="AS167" s="49">
        <v>14.249423</v>
      </c>
      <c r="AT167" s="49">
        <v>13.78604</v>
      </c>
      <c r="AU167" s="49">
        <v>13.068498</v>
      </c>
      <c r="AV167" s="49">
        <v>12.625127000000001</v>
      </c>
      <c r="AW167" s="49">
        <v>10.330211</v>
      </c>
      <c r="AX167" s="49">
        <v>10.459228</v>
      </c>
      <c r="AY167" s="49">
        <v>11.917064</v>
      </c>
      <c r="AZ167" s="49">
        <v>11.363168999999999</v>
      </c>
      <c r="BA167" s="49">
        <v>11.350134000000001</v>
      </c>
      <c r="BB167" s="49">
        <v>11.777552</v>
      </c>
      <c r="BC167" s="49">
        <v>11.819463000000001</v>
      </c>
      <c r="BD167" s="49">
        <v>12.341915999999999</v>
      </c>
      <c r="BE167" s="49">
        <v>12.519135</v>
      </c>
      <c r="BF167" s="49">
        <v>13.76064</v>
      </c>
      <c r="BG167" s="49">
        <v>11.629849</v>
      </c>
      <c r="BH167" s="49">
        <v>13.353991000000001</v>
      </c>
      <c r="BI167" s="49">
        <v>13.380832</v>
      </c>
      <c r="BJ167" s="49">
        <v>12.994517999999999</v>
      </c>
      <c r="BK167" s="49">
        <v>13.476713999999999</v>
      </c>
      <c r="BL167" s="49">
        <v>14.26186</v>
      </c>
    </row>
    <row r="168" spans="1:64" x14ac:dyDescent="0.3">
      <c r="A168" s="49">
        <v>203</v>
      </c>
      <c r="B168" s="49" t="s">
        <v>4864</v>
      </c>
      <c r="C168" s="49" t="s">
        <v>599</v>
      </c>
      <c r="D168" s="49">
        <v>23.216349999999998</v>
      </c>
      <c r="E168" s="49">
        <v>23.723557</v>
      </c>
      <c r="F168" s="49">
        <v>23.591574000000001</v>
      </c>
      <c r="G168" s="49">
        <v>22.965776999999999</v>
      </c>
      <c r="H168" s="49">
        <v>23.048607000000001</v>
      </c>
      <c r="I168" s="49">
        <v>22.666326999999999</v>
      </c>
      <c r="J168" s="49">
        <v>23.173651</v>
      </c>
      <c r="K168" s="49">
        <v>23.452639000000001</v>
      </c>
      <c r="L168" s="49">
        <v>23.299022999999998</v>
      </c>
      <c r="M168" s="49">
        <v>23.683496000000002</v>
      </c>
      <c r="N168" s="49">
        <v>23.613104</v>
      </c>
      <c r="O168" s="49">
        <v>24.203144999999999</v>
      </c>
      <c r="P168" s="49">
        <v>24.156790000000001</v>
      </c>
      <c r="Q168" s="49">
        <v>24.686710999999999</v>
      </c>
      <c r="R168" s="49">
        <v>24.397862</v>
      </c>
      <c r="S168" s="49">
        <v>24.312037</v>
      </c>
      <c r="T168" s="49">
        <v>24.228742</v>
      </c>
      <c r="U168" s="49">
        <v>24.688285</v>
      </c>
      <c r="V168" s="49">
        <v>24.025214999999999</v>
      </c>
      <c r="W168" s="49">
        <v>25.772311999999999</v>
      </c>
      <c r="X168" s="49">
        <v>26.396160999999999</v>
      </c>
      <c r="Y168" s="49">
        <v>26.699819999999999</v>
      </c>
      <c r="Z168" s="49">
        <v>26.654864</v>
      </c>
      <c r="AA168" s="49">
        <v>26.952946000000001</v>
      </c>
      <c r="AB168" s="49">
        <v>26.938872</v>
      </c>
      <c r="AC168" s="49">
        <v>27.066641000000001</v>
      </c>
      <c r="AD168" s="49">
        <v>27.474848000000001</v>
      </c>
      <c r="AE168" s="49">
        <v>27.254695000000002</v>
      </c>
      <c r="AF168" s="49">
        <v>27.192409999999999</v>
      </c>
      <c r="AG168" s="49">
        <v>26.672170999999999</v>
      </c>
      <c r="AH168" s="49">
        <v>31.246659000000001</v>
      </c>
      <c r="AI168" s="49">
        <v>31.220120000000001</v>
      </c>
      <c r="AJ168" s="49">
        <v>30.902051</v>
      </c>
      <c r="AK168" s="49">
        <v>29.049029000000001</v>
      </c>
      <c r="AL168" s="49">
        <v>28.944513000000001</v>
      </c>
      <c r="AM168" s="49">
        <v>29.694043000000001</v>
      </c>
      <c r="AN168" s="49">
        <v>29.867367000000002</v>
      </c>
      <c r="AO168" s="49">
        <v>29.10538</v>
      </c>
      <c r="AP168" s="49">
        <v>28.627011</v>
      </c>
      <c r="AQ168" s="49">
        <v>28.788865999999999</v>
      </c>
      <c r="AR168" s="49">
        <v>28.033225999999999</v>
      </c>
      <c r="AS168" s="49">
        <v>28.563113000000001</v>
      </c>
      <c r="AT168" s="49">
        <v>28.437293</v>
      </c>
      <c r="AU168" s="49">
        <v>28.383755000000001</v>
      </c>
      <c r="AV168" s="49">
        <v>27.418918999999999</v>
      </c>
      <c r="AW168" s="49">
        <v>26.508243</v>
      </c>
      <c r="AX168" s="49">
        <v>26.157764</v>
      </c>
      <c r="AY168" s="49">
        <v>27.164746999999998</v>
      </c>
      <c r="AZ168" s="49">
        <v>26.396978000000001</v>
      </c>
      <c r="BA168" s="49">
        <v>25.906192000000001</v>
      </c>
      <c r="BB168" s="49">
        <v>26.466179</v>
      </c>
      <c r="BC168" s="49">
        <v>26.307442999999999</v>
      </c>
      <c r="BD168" s="49">
        <v>26.616354999999999</v>
      </c>
      <c r="BE168" s="49">
        <v>26.856639999999999</v>
      </c>
      <c r="BF168" s="49">
        <v>26.600973</v>
      </c>
      <c r="BG168" s="49">
        <v>26.760981000000001</v>
      </c>
      <c r="BH168" s="49">
        <v>26.743971999999999</v>
      </c>
      <c r="BI168" s="49">
        <v>22.196180999999999</v>
      </c>
      <c r="BJ168" s="49">
        <v>22.089597000000001</v>
      </c>
      <c r="BK168" s="49">
        <v>22.147790000000001</v>
      </c>
      <c r="BL168" s="49">
        <v>22.245864000000001</v>
      </c>
    </row>
    <row r="169" spans="1:64" x14ac:dyDescent="0.3">
      <c r="A169" s="49">
        <v>206</v>
      </c>
      <c r="B169" s="49" t="s">
        <v>4863</v>
      </c>
      <c r="C169" s="49" t="s">
        <v>603</v>
      </c>
      <c r="D169" s="49">
        <v>5.2793340000000004</v>
      </c>
      <c r="E169" s="49">
        <v>5.6675700000000004</v>
      </c>
      <c r="F169" s="49">
        <v>6.0072239999999999</v>
      </c>
      <c r="G169" s="49">
        <v>5.8828240000000003</v>
      </c>
      <c r="H169" s="49">
        <v>5.971463</v>
      </c>
      <c r="I169" s="49">
        <v>5.8272219999999999</v>
      </c>
      <c r="J169" s="49">
        <v>7.4195929999999999</v>
      </c>
      <c r="K169" s="49">
        <v>5.6873880000000003</v>
      </c>
      <c r="L169" s="49">
        <v>7.1164329999999998</v>
      </c>
      <c r="M169" s="49">
        <v>8.2324680000000008</v>
      </c>
      <c r="N169" s="49">
        <v>8.4216510000000007</v>
      </c>
      <c r="O169" s="49">
        <v>8.9783840000000001</v>
      </c>
      <c r="P169" s="49">
        <v>9.9929919999999992</v>
      </c>
      <c r="Q169" s="49">
        <v>10.230748</v>
      </c>
      <c r="R169" s="49">
        <v>11.363429999999999</v>
      </c>
      <c r="S169" s="49">
        <v>11.493902</v>
      </c>
      <c r="T169" s="49">
        <v>12.248582000000001</v>
      </c>
      <c r="U169" s="49">
        <v>12.080226</v>
      </c>
      <c r="V169" s="49">
        <v>10.271597999999999</v>
      </c>
      <c r="W169" s="49">
        <v>11.447547999999999</v>
      </c>
      <c r="X169" s="49">
        <v>13.800776000000001</v>
      </c>
      <c r="Y169" s="49">
        <v>11.864252</v>
      </c>
      <c r="Z169" s="49">
        <v>13.118439</v>
      </c>
      <c r="AA169" s="49">
        <v>12.700369999999999</v>
      </c>
      <c r="AB169" s="49">
        <v>17.446296</v>
      </c>
      <c r="AC169" s="49">
        <v>16.207402999999999</v>
      </c>
      <c r="AD169" s="49">
        <v>12.339566</v>
      </c>
      <c r="AE169" s="49">
        <v>19.557165000000001</v>
      </c>
      <c r="AF169" s="49">
        <v>14.085050000000001</v>
      </c>
      <c r="AG169" s="49">
        <v>9.4932829999999999</v>
      </c>
      <c r="AH169" s="49">
        <v>17.877319</v>
      </c>
      <c r="AI169" s="49">
        <v>24.429134000000001</v>
      </c>
      <c r="AJ169" s="49">
        <v>20.333622999999999</v>
      </c>
      <c r="AK169" s="49">
        <v>28.896595999999999</v>
      </c>
      <c r="AL169" s="49">
        <v>25.484057</v>
      </c>
      <c r="AM169" s="49">
        <v>27.991724000000001</v>
      </c>
      <c r="AN169" s="49">
        <v>31.358931999999999</v>
      </c>
      <c r="AO169" s="49">
        <v>29.52497</v>
      </c>
      <c r="AP169" s="49">
        <v>27.244598</v>
      </c>
      <c r="AQ169" s="49">
        <v>25.537348000000001</v>
      </c>
      <c r="AR169" s="49">
        <v>28.823542</v>
      </c>
      <c r="AS169" s="49">
        <v>25.175053999999999</v>
      </c>
      <c r="AT169" s="49">
        <v>29.974156000000001</v>
      </c>
      <c r="AU169" s="49">
        <v>21.194604000000002</v>
      </c>
      <c r="AV169" s="49">
        <v>34.820977999999997</v>
      </c>
      <c r="AW169" s="49">
        <v>27.8018</v>
      </c>
      <c r="AX169" s="49">
        <v>26.224969000000002</v>
      </c>
      <c r="AY169" s="49">
        <v>28.629591000000001</v>
      </c>
      <c r="AZ169" s="49">
        <v>28.925329000000001</v>
      </c>
      <c r="BA169" s="49">
        <v>25.372437000000001</v>
      </c>
      <c r="BB169" s="49">
        <v>32.122776000000002</v>
      </c>
    </row>
    <row r="170" spans="1:64" x14ac:dyDescent="0.3">
      <c r="A170" s="49">
        <v>207</v>
      </c>
      <c r="B170" s="49" t="s">
        <v>4862</v>
      </c>
      <c r="C170" s="49" t="s">
        <v>606</v>
      </c>
      <c r="D170" s="49">
        <v>6.8792000000000006E-2</v>
      </c>
      <c r="E170" s="49">
        <v>7.2691000000000006E-2</v>
      </c>
      <c r="F170" s="49">
        <v>7.3338E-2</v>
      </c>
      <c r="G170" s="49">
        <v>7.7574000000000004E-2</v>
      </c>
      <c r="H170" s="49">
        <v>8.7446999999999997E-2</v>
      </c>
      <c r="I170" s="49">
        <v>8.3002999999999993E-2</v>
      </c>
      <c r="J170" s="49">
        <v>9.1504000000000002E-2</v>
      </c>
      <c r="K170" s="49">
        <v>9.5890000000000003E-2</v>
      </c>
      <c r="L170" s="49">
        <v>8.9200000000000002E-2</v>
      </c>
      <c r="M170" s="49">
        <v>9.9006999999999998E-2</v>
      </c>
      <c r="N170" s="49">
        <v>9.9796999999999997E-2</v>
      </c>
      <c r="O170" s="49">
        <v>9.4569E-2</v>
      </c>
      <c r="P170" s="49">
        <v>0.109982</v>
      </c>
      <c r="Q170" s="49">
        <v>0.108914</v>
      </c>
      <c r="R170" s="49">
        <v>0.115813</v>
      </c>
      <c r="S170" s="49">
        <v>0.11702899999999999</v>
      </c>
      <c r="T170" s="49">
        <v>0.120102</v>
      </c>
      <c r="U170" s="49">
        <v>0.12848899999999999</v>
      </c>
      <c r="V170" s="49">
        <v>0.138985</v>
      </c>
      <c r="W170" s="49">
        <v>0.151529</v>
      </c>
      <c r="X170" s="49">
        <v>0.167597</v>
      </c>
      <c r="Y170" s="49">
        <v>0.168382</v>
      </c>
      <c r="Z170" s="49">
        <v>0.170375</v>
      </c>
      <c r="AA170" s="49">
        <v>0.17608099999999999</v>
      </c>
      <c r="AB170" s="49">
        <v>0.176925</v>
      </c>
      <c r="AC170" s="49">
        <v>0.17732999999999999</v>
      </c>
      <c r="AD170" s="49">
        <v>0.16831399999999999</v>
      </c>
      <c r="AE170" s="49">
        <v>0.16600599999999999</v>
      </c>
      <c r="AF170" s="49">
        <v>0.16714100000000001</v>
      </c>
      <c r="AG170" s="49">
        <v>0.132158</v>
      </c>
      <c r="AH170" s="49">
        <v>0.16436600000000001</v>
      </c>
      <c r="AI170" s="49">
        <v>0.18112500000000001</v>
      </c>
      <c r="AJ170" s="49">
        <v>0.16138</v>
      </c>
      <c r="AK170" s="49">
        <v>0.16264500000000001</v>
      </c>
      <c r="AL170" s="49">
        <v>0.16120699999999999</v>
      </c>
      <c r="AM170" s="49">
        <v>0.155413</v>
      </c>
      <c r="AN170" s="49">
        <v>0.13777800000000001</v>
      </c>
      <c r="AO170" s="49">
        <v>0.12481299999999999</v>
      </c>
      <c r="AP170" s="49">
        <v>0.121646</v>
      </c>
      <c r="AQ170" s="49">
        <v>0.110651</v>
      </c>
      <c r="AR170" s="49">
        <v>0.128467</v>
      </c>
      <c r="AS170" s="49">
        <v>0.10648000000000001</v>
      </c>
      <c r="AT170" s="49">
        <v>0.124138</v>
      </c>
      <c r="AU170" s="49">
        <v>0.12015099999999999</v>
      </c>
      <c r="AV170" s="49">
        <v>0.112992</v>
      </c>
      <c r="AW170" s="49">
        <v>0.11283700000000001</v>
      </c>
      <c r="AX170" s="49">
        <v>0.10879900000000001</v>
      </c>
      <c r="AY170" s="49">
        <v>0.109927</v>
      </c>
      <c r="AZ170" s="49">
        <v>0.133187</v>
      </c>
      <c r="BA170" s="49">
        <v>0.13145499999999999</v>
      </c>
      <c r="BB170" s="49">
        <v>0.13611200000000001</v>
      </c>
      <c r="BC170" s="49">
        <v>0.12485400000000001</v>
      </c>
      <c r="BD170" s="49">
        <v>0.14262900000000001</v>
      </c>
      <c r="BE170" s="49">
        <v>0.152257</v>
      </c>
      <c r="BF170" s="49">
        <v>0.14500099999999999</v>
      </c>
      <c r="BG170" s="49">
        <v>0.15174499999999999</v>
      </c>
      <c r="BH170" s="49">
        <v>0.14543800000000001</v>
      </c>
      <c r="BI170" s="49">
        <v>0.13833999999999999</v>
      </c>
      <c r="BJ170" s="49">
        <v>0.14357700000000001</v>
      </c>
      <c r="BK170" s="49">
        <v>0.13753299999999999</v>
      </c>
      <c r="BL170" s="49">
        <v>0.13256200000000001</v>
      </c>
    </row>
    <row r="171" spans="1:64" x14ac:dyDescent="0.3">
      <c r="A171" s="49">
        <v>208</v>
      </c>
      <c r="B171" s="49" t="s">
        <v>4861</v>
      </c>
      <c r="C171" s="49" t="s">
        <v>617</v>
      </c>
      <c r="AI171" s="49">
        <v>2.0075799999999999</v>
      </c>
      <c r="AJ171" s="49">
        <v>1.9679169999999999</v>
      </c>
      <c r="AK171" s="49">
        <v>1.945503</v>
      </c>
      <c r="AL171" s="49">
        <v>1.929195</v>
      </c>
      <c r="AM171" s="49">
        <v>1.970208</v>
      </c>
      <c r="AN171" s="49">
        <v>2.0162900000000001</v>
      </c>
      <c r="AO171" s="49">
        <v>2.104949</v>
      </c>
      <c r="AP171" s="49">
        <v>2.1265209999999999</v>
      </c>
      <c r="AQ171" s="49">
        <v>2.1694040000000001</v>
      </c>
      <c r="AR171" s="49">
        <v>2.062122</v>
      </c>
      <c r="AS171" s="49">
        <v>2.172345</v>
      </c>
      <c r="AT171" s="49">
        <v>2.3418649999999999</v>
      </c>
      <c r="AU171" s="49">
        <v>2.3884430000000001</v>
      </c>
      <c r="AV171" s="49">
        <v>2.4086750000000001</v>
      </c>
      <c r="AW171" s="49">
        <v>2.2742369999999998</v>
      </c>
      <c r="AX171" s="49">
        <v>2.2041689999999998</v>
      </c>
      <c r="AY171" s="49">
        <v>2.230254</v>
      </c>
      <c r="AZ171" s="49">
        <v>2.0385970000000002</v>
      </c>
      <c r="BA171" s="49">
        <v>2.0300389999999999</v>
      </c>
      <c r="BB171" s="49">
        <v>2.1475749999999998</v>
      </c>
      <c r="BC171" s="49">
        <v>2.1398290000000002</v>
      </c>
      <c r="BD171" s="49">
        <v>2.150547</v>
      </c>
      <c r="BE171" s="49">
        <v>2.032985</v>
      </c>
      <c r="BF171" s="49">
        <v>2.0069520000000001</v>
      </c>
      <c r="BG171" s="49">
        <v>2.018364</v>
      </c>
      <c r="BH171" s="49">
        <v>2.0493190000000001</v>
      </c>
      <c r="BI171" s="49">
        <v>2.0593530000000002</v>
      </c>
      <c r="BJ171" s="49">
        <v>2.0938300000000001</v>
      </c>
      <c r="BK171" s="49">
        <v>2.1305649999999998</v>
      </c>
      <c r="BL171" s="49">
        <v>2.1031599999999999</v>
      </c>
    </row>
    <row r="172" spans="1:64" x14ac:dyDescent="0.3">
      <c r="A172" s="49">
        <v>209</v>
      </c>
      <c r="B172" s="49" t="s">
        <v>4860</v>
      </c>
      <c r="C172" s="49" t="s">
        <v>276</v>
      </c>
      <c r="D172" s="49">
        <v>0.27246599999999999</v>
      </c>
      <c r="E172" s="49">
        <v>0.26837899999999998</v>
      </c>
      <c r="F172" s="49">
        <v>0.245535</v>
      </c>
      <c r="G172" s="49">
        <v>0.24385899999999999</v>
      </c>
      <c r="H172" s="49">
        <v>0.25383499999999998</v>
      </c>
      <c r="I172" s="49">
        <v>0.27899400000000002</v>
      </c>
      <c r="J172" s="49">
        <v>0.30206300000000003</v>
      </c>
      <c r="K172" s="49">
        <v>0.31517899999999999</v>
      </c>
      <c r="L172" s="49">
        <v>0.32631300000000002</v>
      </c>
      <c r="M172" s="49">
        <v>0.33519300000000002</v>
      </c>
      <c r="N172" s="49">
        <v>0.25422699999999998</v>
      </c>
      <c r="O172" s="49">
        <v>0.26078699999999999</v>
      </c>
      <c r="P172" s="49">
        <v>0.27877999999999997</v>
      </c>
      <c r="Q172" s="49">
        <v>0.271762</v>
      </c>
      <c r="R172" s="49">
        <v>0.26236700000000002</v>
      </c>
      <c r="S172" s="49">
        <v>0.26800400000000002</v>
      </c>
      <c r="T172" s="49">
        <v>0.23469999999999999</v>
      </c>
      <c r="U172" s="49">
        <v>0.25424000000000002</v>
      </c>
      <c r="V172" s="49">
        <v>0.29468100000000003</v>
      </c>
      <c r="W172" s="49">
        <v>0.30293500000000001</v>
      </c>
      <c r="X172" s="49">
        <v>0.26902999999999999</v>
      </c>
      <c r="Y172" s="49">
        <v>0.27514899999999998</v>
      </c>
      <c r="Z172" s="49">
        <v>0.241256</v>
      </c>
      <c r="AA172" s="49">
        <v>0.32407200000000003</v>
      </c>
      <c r="AB172" s="49">
        <v>0.32854899999999998</v>
      </c>
      <c r="AC172" s="49">
        <v>0.30668499999999999</v>
      </c>
      <c r="AD172" s="49">
        <v>0.32175100000000001</v>
      </c>
      <c r="AE172" s="49">
        <v>0.39681</v>
      </c>
      <c r="AF172" s="49">
        <v>0.37311899999999998</v>
      </c>
      <c r="AG172" s="49">
        <v>0.35636299999999999</v>
      </c>
      <c r="AH172" s="49">
        <v>0.384575</v>
      </c>
      <c r="AI172" s="49">
        <v>0.36332500000000001</v>
      </c>
      <c r="AJ172" s="49">
        <v>0.34207300000000002</v>
      </c>
      <c r="AK172" s="49">
        <v>0.350522</v>
      </c>
      <c r="AL172" s="49">
        <v>0.33387</v>
      </c>
      <c r="AM172" s="49">
        <v>0.35688500000000001</v>
      </c>
      <c r="AN172" s="49">
        <v>0.43599399999999999</v>
      </c>
      <c r="AO172" s="49">
        <v>0.42462100000000003</v>
      </c>
      <c r="AP172" s="49">
        <v>0.46334700000000001</v>
      </c>
      <c r="AQ172" s="49">
        <v>0.41661599999999999</v>
      </c>
      <c r="AR172" s="49">
        <v>0.33094800000000002</v>
      </c>
      <c r="AS172" s="49">
        <v>0.36394199999999999</v>
      </c>
      <c r="AT172" s="49">
        <v>0.340891</v>
      </c>
      <c r="AU172" s="49">
        <v>0.31410199999999999</v>
      </c>
      <c r="AV172" s="49">
        <v>0.32880999999999999</v>
      </c>
      <c r="AW172" s="49">
        <v>0.29485699999999998</v>
      </c>
      <c r="AX172" s="49">
        <v>0.30388700000000002</v>
      </c>
      <c r="AY172" s="49">
        <v>0.32747900000000002</v>
      </c>
      <c r="AZ172" s="49">
        <v>0.32568399999999997</v>
      </c>
      <c r="BA172" s="49">
        <v>0.36331799999999997</v>
      </c>
      <c r="BB172" s="49">
        <v>0.33953</v>
      </c>
      <c r="BC172" s="49">
        <v>0.35142600000000002</v>
      </c>
      <c r="BD172" s="49">
        <v>0.40415699999999999</v>
      </c>
      <c r="BE172" s="49">
        <v>0.40753699999999998</v>
      </c>
      <c r="BF172" s="49">
        <v>0.36101899999999998</v>
      </c>
      <c r="BG172" s="49">
        <v>0.28628100000000001</v>
      </c>
      <c r="BH172" s="49">
        <v>0.36907600000000002</v>
      </c>
      <c r="BI172" s="49">
        <v>0.41635</v>
      </c>
      <c r="BJ172" s="49">
        <v>0.38889499999999999</v>
      </c>
      <c r="BK172" s="49">
        <v>0.37317699999999998</v>
      </c>
      <c r="BL172" s="49">
        <v>0.37418200000000001</v>
      </c>
    </row>
    <row r="173" spans="1:64" x14ac:dyDescent="0.3">
      <c r="A173" s="49">
        <v>210</v>
      </c>
      <c r="B173" s="49" t="s">
        <v>4859</v>
      </c>
      <c r="C173" s="49" t="s">
        <v>610</v>
      </c>
      <c r="D173" s="49">
        <v>3.1832370000000001</v>
      </c>
      <c r="E173" s="49">
        <v>3.1558470000000001</v>
      </c>
      <c r="F173" s="49">
        <v>3.1427830000000001</v>
      </c>
      <c r="G173" s="49">
        <v>3.149956</v>
      </c>
      <c r="H173" s="49">
        <v>3.1473749999999998</v>
      </c>
      <c r="I173" s="49">
        <v>3.062074</v>
      </c>
      <c r="J173" s="49">
        <v>3.1327739999999999</v>
      </c>
      <c r="K173" s="49">
        <v>3.2509960000000002</v>
      </c>
      <c r="L173" s="49">
        <v>3.3125979999999999</v>
      </c>
      <c r="M173" s="49">
        <v>3.4130720000000001</v>
      </c>
      <c r="N173" s="49">
        <v>3.4046120000000002</v>
      </c>
      <c r="O173" s="49">
        <v>3.427915</v>
      </c>
      <c r="P173" s="49">
        <v>3.4638529999999998</v>
      </c>
      <c r="Q173" s="49">
        <v>3.5030570000000001</v>
      </c>
      <c r="R173" s="49">
        <v>3.4807999999999999</v>
      </c>
      <c r="S173" s="49">
        <v>3.5769860000000002</v>
      </c>
      <c r="T173" s="49">
        <v>3.5891549999999999</v>
      </c>
      <c r="U173" s="49">
        <v>3.5192399999999999</v>
      </c>
      <c r="V173" s="49">
        <v>3.4450530000000001</v>
      </c>
      <c r="W173" s="49">
        <v>3.4416720000000001</v>
      </c>
      <c r="X173" s="49">
        <v>3.3969480000000001</v>
      </c>
      <c r="Y173" s="49">
        <v>3.4519500000000001</v>
      </c>
      <c r="Z173" s="49">
        <v>3.4239739999999999</v>
      </c>
      <c r="AA173" s="49">
        <v>3.5654400000000002</v>
      </c>
      <c r="AB173" s="49">
        <v>3.4946739999999998</v>
      </c>
      <c r="AC173" s="49">
        <v>3.4866959999999998</v>
      </c>
      <c r="AD173" s="49">
        <v>3.2482829999999998</v>
      </c>
      <c r="AE173" s="49">
        <v>3.0705330000000002</v>
      </c>
      <c r="AF173" s="49">
        <v>3.1018119999999998</v>
      </c>
      <c r="AG173" s="49">
        <v>3.0649860000000002</v>
      </c>
      <c r="AH173" s="49">
        <v>2.9925519999999999</v>
      </c>
      <c r="AI173" s="49">
        <v>2.9171550000000002</v>
      </c>
      <c r="AJ173" s="49">
        <v>2.9135770000000001</v>
      </c>
      <c r="AK173" s="49">
        <v>2.9548619999999999</v>
      </c>
      <c r="AL173" s="49">
        <v>2.7931219999999999</v>
      </c>
      <c r="AM173" s="49">
        <v>2.9230139999999998</v>
      </c>
      <c r="AN173" s="49">
        <v>3.0561219999999998</v>
      </c>
      <c r="AO173" s="49">
        <v>3.1061670000000001</v>
      </c>
      <c r="AP173" s="49">
        <v>2.9309080000000001</v>
      </c>
      <c r="AQ173" s="49">
        <v>2.9093140000000002</v>
      </c>
      <c r="AR173" s="49">
        <v>2.7745899999999999</v>
      </c>
      <c r="AS173" s="49">
        <v>2.7569080000000001</v>
      </c>
      <c r="AT173" s="49">
        <v>2.7623350000000002</v>
      </c>
      <c r="AU173" s="49">
        <v>2.7978619999999998</v>
      </c>
      <c r="AV173" s="49">
        <v>2.5875089999999998</v>
      </c>
      <c r="AW173" s="49">
        <v>2.4569999999999999</v>
      </c>
      <c r="AX173" s="49">
        <v>2.4566309999999998</v>
      </c>
      <c r="AY173" s="49">
        <v>2.6362839999999998</v>
      </c>
      <c r="AZ173" s="49">
        <v>2.6153309999999999</v>
      </c>
      <c r="BA173" s="49">
        <v>2.5189119999999998</v>
      </c>
      <c r="BB173" s="49">
        <v>2.5350139999999999</v>
      </c>
      <c r="BC173" s="49">
        <v>2.559812</v>
      </c>
      <c r="BD173" s="49">
        <v>2.5490740000000001</v>
      </c>
      <c r="BE173" s="49">
        <v>2.5728620000000002</v>
      </c>
      <c r="BF173" s="49">
        <v>2.5654330000000001</v>
      </c>
      <c r="BG173" s="49">
        <v>2.56941</v>
      </c>
      <c r="BH173" s="49">
        <v>2.5914820000000001</v>
      </c>
      <c r="BI173" s="49">
        <v>2.1812100000000001</v>
      </c>
      <c r="BJ173" s="49">
        <v>2.2738100000000001</v>
      </c>
      <c r="BK173" s="49">
        <v>2.3138100000000001</v>
      </c>
      <c r="BL173" s="49">
        <v>2.3031799999999998</v>
      </c>
    </row>
    <row r="174" spans="1:64" x14ac:dyDescent="0.3">
      <c r="A174" s="49">
        <v>211</v>
      </c>
      <c r="B174" s="49" t="s">
        <v>4858</v>
      </c>
      <c r="C174" s="49" t="s">
        <v>612</v>
      </c>
      <c r="D174" s="49">
        <v>0.54725100000000004</v>
      </c>
      <c r="E174" s="49">
        <v>0.54792700000000005</v>
      </c>
      <c r="F174" s="49">
        <v>0.53048399999999996</v>
      </c>
      <c r="G174" s="49">
        <v>0.523254</v>
      </c>
      <c r="H174" s="49">
        <v>0.50775599999999999</v>
      </c>
      <c r="I174" s="49">
        <v>0.52373800000000004</v>
      </c>
      <c r="J174" s="49">
        <v>0.51528499999999999</v>
      </c>
      <c r="K174" s="49">
        <v>0.51058899999999996</v>
      </c>
      <c r="L174" s="49">
        <v>0.51468499999999995</v>
      </c>
      <c r="M174" s="49">
        <v>0.50199700000000003</v>
      </c>
      <c r="N174" s="49">
        <v>0.50731899999999996</v>
      </c>
      <c r="O174" s="49">
        <v>0.515486</v>
      </c>
      <c r="P174" s="49">
        <v>0.50938099999999997</v>
      </c>
      <c r="Q174" s="49">
        <v>0.51302800000000004</v>
      </c>
      <c r="R174" s="49">
        <v>0.51478900000000005</v>
      </c>
      <c r="S174" s="49">
        <v>0.50928399999999996</v>
      </c>
      <c r="T174" s="49">
        <v>0.50292599999999998</v>
      </c>
      <c r="U174" s="49">
        <v>0.51063099999999995</v>
      </c>
      <c r="V174" s="49">
        <v>0.50527299999999997</v>
      </c>
      <c r="W174" s="49">
        <v>0.50223600000000002</v>
      </c>
      <c r="X174" s="49">
        <v>0.51347299999999996</v>
      </c>
      <c r="Y174" s="49">
        <v>0.51790000000000003</v>
      </c>
      <c r="Z174" s="49">
        <v>0.51635200000000003</v>
      </c>
      <c r="AA174" s="49">
        <v>0.52557100000000001</v>
      </c>
      <c r="AB174" s="49">
        <v>0.55351600000000001</v>
      </c>
      <c r="AC174" s="49">
        <v>0.55585200000000001</v>
      </c>
      <c r="AD174" s="49">
        <v>0.55327400000000004</v>
      </c>
      <c r="AE174" s="49">
        <v>0.57734700000000005</v>
      </c>
      <c r="AF174" s="49">
        <v>0.59806599999999999</v>
      </c>
      <c r="AG174" s="49">
        <v>0.60093099999999999</v>
      </c>
      <c r="AH174" s="49">
        <v>0.61553999999999998</v>
      </c>
      <c r="AI174" s="49">
        <v>0.60455800000000004</v>
      </c>
      <c r="AJ174" s="49">
        <v>0.60094899999999996</v>
      </c>
      <c r="AK174" s="49">
        <v>0.60866799999999999</v>
      </c>
      <c r="AL174" s="49">
        <v>0.602908</v>
      </c>
      <c r="AM174" s="49">
        <v>0.59340800000000005</v>
      </c>
      <c r="AN174" s="49">
        <v>0.57749200000000001</v>
      </c>
      <c r="AO174" s="49">
        <v>0.57886000000000004</v>
      </c>
      <c r="AP174" s="49">
        <v>0.57054199999999999</v>
      </c>
      <c r="AQ174" s="49">
        <v>0.57005899999999998</v>
      </c>
      <c r="AR174" s="49">
        <v>0.55940900000000005</v>
      </c>
      <c r="AS174" s="49">
        <v>0.56424700000000005</v>
      </c>
      <c r="AT174" s="49">
        <v>0.55422499999999997</v>
      </c>
      <c r="AU174" s="49">
        <v>0.54633900000000002</v>
      </c>
      <c r="AV174" s="49">
        <v>0.555558</v>
      </c>
      <c r="AW174" s="49">
        <v>0.55104399999999998</v>
      </c>
      <c r="AX174" s="49">
        <v>0.54653099999999999</v>
      </c>
      <c r="AY174" s="49">
        <v>0.54121900000000001</v>
      </c>
      <c r="AZ174" s="49">
        <v>0.53369999999999995</v>
      </c>
      <c r="BA174" s="49">
        <v>0.52668999999999999</v>
      </c>
      <c r="BB174" s="49">
        <v>0.52004099999999998</v>
      </c>
      <c r="BC174" s="49">
        <v>0.52124999999999999</v>
      </c>
      <c r="BD174" s="49">
        <v>0.52382899999999999</v>
      </c>
      <c r="BE174" s="49">
        <v>0.52149999999999996</v>
      </c>
      <c r="BF174" s="49">
        <v>0.52393900000000004</v>
      </c>
      <c r="BG174" s="49">
        <v>0.52313200000000004</v>
      </c>
      <c r="BH174" s="49">
        <v>0.52348700000000004</v>
      </c>
      <c r="BI174" s="49">
        <v>0.52547200000000005</v>
      </c>
      <c r="BJ174" s="49">
        <v>0.52329400000000004</v>
      </c>
      <c r="BK174" s="49">
        <v>0.53357500000000002</v>
      </c>
      <c r="BL174" s="49">
        <v>0.50302999999999998</v>
      </c>
    </row>
    <row r="175" spans="1:64" x14ac:dyDescent="0.3">
      <c r="A175" s="49">
        <v>212</v>
      </c>
      <c r="B175" s="49" t="s">
        <v>4857</v>
      </c>
      <c r="C175" s="49" t="s">
        <v>614</v>
      </c>
      <c r="D175" s="49">
        <v>5.3917950000000001</v>
      </c>
      <c r="E175" s="49">
        <v>5.8556499999999998</v>
      </c>
      <c r="F175" s="49">
        <v>6.2892479999999997</v>
      </c>
      <c r="G175" s="49">
        <v>6.0998279999999996</v>
      </c>
      <c r="H175" s="49">
        <v>5.4492330000000004</v>
      </c>
      <c r="I175" s="49">
        <v>3.751099</v>
      </c>
      <c r="J175" s="49">
        <v>5.2930700000000002</v>
      </c>
      <c r="K175" s="49">
        <v>4.7428790000000003</v>
      </c>
      <c r="L175" s="49">
        <v>5.432728</v>
      </c>
      <c r="M175" s="49">
        <v>6.4868209999999999</v>
      </c>
      <c r="N175" s="49">
        <v>5.262689</v>
      </c>
      <c r="O175" s="49">
        <v>5.6304369999999997</v>
      </c>
      <c r="P175" s="49">
        <v>6.4266209999999999</v>
      </c>
      <c r="Q175" s="49">
        <v>6.3525939999999999</v>
      </c>
      <c r="R175" s="49">
        <v>7.2421610000000003</v>
      </c>
      <c r="S175" s="49">
        <v>7.6551799999999997</v>
      </c>
      <c r="T175" s="49">
        <v>7.3171889999999999</v>
      </c>
      <c r="U175" s="49">
        <v>7.3056700000000001</v>
      </c>
      <c r="V175" s="49">
        <v>6.9884060000000003</v>
      </c>
      <c r="W175" s="49">
        <v>7.5414089999999998</v>
      </c>
      <c r="X175" s="49">
        <v>7.42211</v>
      </c>
      <c r="Y175" s="49">
        <v>7.7429519999999998</v>
      </c>
      <c r="Z175" s="49">
        <v>7.9222479999999997</v>
      </c>
      <c r="AA175" s="49">
        <v>6.9378000000000002</v>
      </c>
      <c r="AB175" s="49">
        <v>7.5548789999999997</v>
      </c>
      <c r="AC175" s="49">
        <v>7.3272000000000004</v>
      </c>
      <c r="AD175" s="49">
        <v>7.7142280000000003</v>
      </c>
      <c r="AE175" s="49">
        <v>8.2372549999999993</v>
      </c>
      <c r="AF175" s="49">
        <v>10.471612</v>
      </c>
      <c r="AG175" s="49">
        <v>10.318073999999999</v>
      </c>
      <c r="AH175" s="49">
        <v>10.259999000000001</v>
      </c>
      <c r="AI175" s="49">
        <v>10.93361</v>
      </c>
      <c r="AJ175" s="49">
        <v>10.437066</v>
      </c>
      <c r="AK175" s="49">
        <v>10.118385</v>
      </c>
      <c r="AL175" s="49">
        <v>10.659014000000001</v>
      </c>
      <c r="AM175" s="49">
        <v>9.8478200000000005</v>
      </c>
      <c r="AN175" s="49">
        <v>10.340037000000001</v>
      </c>
      <c r="AO175" s="49">
        <v>10.461059000000001</v>
      </c>
      <c r="AP175" s="49">
        <v>9.6531690000000001</v>
      </c>
      <c r="AQ175" s="49">
        <v>9.7874680000000005</v>
      </c>
      <c r="AR175" s="49">
        <v>9.8196150000000006</v>
      </c>
      <c r="AS175" s="49">
        <v>9.5898269999999997</v>
      </c>
      <c r="AT175" s="49">
        <v>9.8528920000000006</v>
      </c>
      <c r="AU175" s="49">
        <v>10.115931</v>
      </c>
      <c r="AV175" s="49">
        <v>10.336993</v>
      </c>
      <c r="AW175" s="49">
        <v>9.9699469999999994</v>
      </c>
      <c r="AX175" s="49">
        <v>10.016714</v>
      </c>
      <c r="AY175" s="49">
        <v>9.7535430000000005</v>
      </c>
      <c r="AZ175" s="49">
        <v>9.1773989999999994</v>
      </c>
      <c r="BA175" s="49">
        <v>10.120290000000001</v>
      </c>
      <c r="BB175" s="49">
        <v>9.6446810000000003</v>
      </c>
      <c r="BC175" s="49">
        <v>9.4071920000000002</v>
      </c>
      <c r="BD175" s="49">
        <v>8.5502319999999994</v>
      </c>
      <c r="BE175" s="49">
        <v>8.307169</v>
      </c>
      <c r="BF175" s="49">
        <v>7.7333769999999999</v>
      </c>
      <c r="BG175" s="49">
        <v>7.9473219999999998</v>
      </c>
      <c r="BH175" s="49">
        <v>8.0106210000000004</v>
      </c>
      <c r="BI175" s="49">
        <v>7.826479</v>
      </c>
      <c r="BJ175" s="49">
        <v>8.9615449999999992</v>
      </c>
      <c r="BK175" s="49">
        <v>9.0712340000000005</v>
      </c>
      <c r="BL175" s="49">
        <v>9.3673979999999997</v>
      </c>
    </row>
    <row r="176" spans="1:64" x14ac:dyDescent="0.3">
      <c r="A176" s="49">
        <v>213</v>
      </c>
      <c r="B176" s="49" t="s">
        <v>4856</v>
      </c>
      <c r="C176" s="49" t="s">
        <v>640</v>
      </c>
      <c r="AI176" s="49">
        <v>3.1241460000000001</v>
      </c>
      <c r="AJ176" s="49">
        <v>3.351966</v>
      </c>
      <c r="AK176" s="49">
        <v>3.30532</v>
      </c>
      <c r="AL176" s="49">
        <v>3.9333999999999998</v>
      </c>
      <c r="AM176" s="49">
        <v>3.5708799999999998</v>
      </c>
      <c r="AN176" s="49">
        <v>3.7504919999999999</v>
      </c>
      <c r="AO176" s="49">
        <v>3.6558419999999998</v>
      </c>
      <c r="AP176" s="49">
        <v>3.737832</v>
      </c>
      <c r="AQ176" s="49">
        <v>4.1259160000000001</v>
      </c>
      <c r="AR176" s="49">
        <v>3.8255880000000002</v>
      </c>
      <c r="AS176" s="49">
        <v>3.9298039999999999</v>
      </c>
      <c r="AT176" s="49">
        <v>4.0620380000000003</v>
      </c>
      <c r="AU176" s="49">
        <v>4.20608</v>
      </c>
      <c r="AV176" s="49">
        <v>4.6826720000000002</v>
      </c>
      <c r="AW176" s="49">
        <v>4.7360540000000002</v>
      </c>
      <c r="AX176" s="49">
        <v>4.53</v>
      </c>
      <c r="AY176" s="49">
        <v>4.3785999999999996</v>
      </c>
      <c r="AZ176" s="49">
        <v>4.2457000000000003</v>
      </c>
      <c r="BA176" s="49">
        <v>4.2450669999999997</v>
      </c>
      <c r="BB176" s="49">
        <v>4.2214910000000003</v>
      </c>
      <c r="BC176" s="49">
        <v>4.5202879999999999</v>
      </c>
      <c r="BD176" s="49">
        <v>5.0715380000000003</v>
      </c>
      <c r="BE176" s="49">
        <v>4.6589510000000001</v>
      </c>
      <c r="BF176" s="49">
        <v>5.0723649999999996</v>
      </c>
      <c r="BG176" s="49">
        <v>4.9735909999999999</v>
      </c>
      <c r="BH176" s="49">
        <v>4.3797139999999999</v>
      </c>
      <c r="BI176" s="49">
        <v>3.7738260000000001</v>
      </c>
      <c r="BJ176" s="49">
        <v>4.081232</v>
      </c>
      <c r="BK176" s="49">
        <v>4.2412720000000004</v>
      </c>
      <c r="BL176" s="49">
        <v>4.2688860000000002</v>
      </c>
    </row>
    <row r="177" spans="1:64" x14ac:dyDescent="0.3">
      <c r="A177" s="49">
        <v>214</v>
      </c>
      <c r="B177" s="49" t="s">
        <v>4855</v>
      </c>
      <c r="C177" s="49" t="s">
        <v>217</v>
      </c>
      <c r="D177" s="49">
        <v>2.9303789999999998</v>
      </c>
      <c r="E177" s="49">
        <v>2.9429959999999999</v>
      </c>
      <c r="F177" s="49">
        <v>2.9681340000000001</v>
      </c>
      <c r="G177" s="49">
        <v>2.9461970000000002</v>
      </c>
      <c r="H177" s="49">
        <v>3.014068</v>
      </c>
      <c r="I177" s="49">
        <v>3.0746889999999998</v>
      </c>
      <c r="J177" s="49">
        <v>3.0668959999999998</v>
      </c>
      <c r="K177" s="49">
        <v>3.105842</v>
      </c>
      <c r="L177" s="49">
        <v>3.085655</v>
      </c>
      <c r="M177" s="49">
        <v>3.055955</v>
      </c>
      <c r="N177" s="49">
        <v>3.0047779999999999</v>
      </c>
      <c r="O177" s="49">
        <v>2.9412430000000001</v>
      </c>
      <c r="P177" s="49">
        <v>2.9321440000000001</v>
      </c>
      <c r="Q177" s="49">
        <v>3.0636220000000001</v>
      </c>
      <c r="R177" s="49">
        <v>3.0791249999999999</v>
      </c>
      <c r="S177" s="49">
        <v>2.99898</v>
      </c>
      <c r="T177" s="49">
        <v>2.9689410000000001</v>
      </c>
      <c r="U177" s="49">
        <v>2.8947180000000001</v>
      </c>
      <c r="V177" s="49">
        <v>2.8006739999999999</v>
      </c>
      <c r="W177" s="49">
        <v>2.6320920000000001</v>
      </c>
      <c r="X177" s="49">
        <v>2.637095</v>
      </c>
      <c r="Y177" s="49">
        <v>2.609632</v>
      </c>
      <c r="Z177" s="49">
        <v>2.522586</v>
      </c>
      <c r="AA177" s="49">
        <v>2.4171779999999998</v>
      </c>
      <c r="AB177" s="49">
        <v>2.3942190000000001</v>
      </c>
      <c r="AC177" s="49">
        <v>2.3473619999999999</v>
      </c>
      <c r="AD177" s="49">
        <v>2.311175</v>
      </c>
      <c r="AE177" s="49">
        <v>2.273679</v>
      </c>
      <c r="AF177" s="49">
        <v>2.2170749999999999</v>
      </c>
      <c r="AG177" s="49">
        <v>2.1560239999999999</v>
      </c>
      <c r="AH177" s="49">
        <v>2.2914249999999998</v>
      </c>
      <c r="AI177" s="49">
        <v>2.2171810000000001</v>
      </c>
      <c r="AJ177" s="49">
        <v>2.192507</v>
      </c>
      <c r="AK177" s="49">
        <v>2.108298</v>
      </c>
      <c r="AL177" s="49">
        <v>2.09612</v>
      </c>
      <c r="AM177" s="49">
        <v>2.019444</v>
      </c>
      <c r="AN177" s="49">
        <v>2.012381</v>
      </c>
      <c r="AO177" s="49">
        <v>1.939174</v>
      </c>
      <c r="AP177" s="49">
        <v>1.8875010000000001</v>
      </c>
      <c r="AQ177" s="49">
        <v>1.831029</v>
      </c>
      <c r="AR177" s="49">
        <v>1.7811999999999999</v>
      </c>
      <c r="AS177" s="49">
        <v>1.734693</v>
      </c>
      <c r="AT177" s="49">
        <v>1.633634</v>
      </c>
      <c r="AU177" s="49">
        <v>1.5167090000000001</v>
      </c>
      <c r="AV177" s="49">
        <v>1.5614410000000001</v>
      </c>
      <c r="AW177" s="49">
        <v>1.531023</v>
      </c>
      <c r="AX177" s="49">
        <v>1.501487</v>
      </c>
      <c r="AY177" s="49">
        <v>1.4839830000000001</v>
      </c>
      <c r="AZ177" s="49">
        <v>1.47098</v>
      </c>
      <c r="BA177" s="49">
        <v>1.42404</v>
      </c>
      <c r="BB177" s="49">
        <v>1.436145</v>
      </c>
      <c r="BC177" s="49">
        <v>1.418142</v>
      </c>
      <c r="BD177" s="49">
        <v>1.434223</v>
      </c>
      <c r="BE177" s="49">
        <v>1.4575929999999999</v>
      </c>
      <c r="BF177" s="49">
        <v>1.419594</v>
      </c>
      <c r="BG177" s="49">
        <v>1.495441</v>
      </c>
      <c r="BH177" s="49">
        <v>1.4945710000000001</v>
      </c>
      <c r="BI177" s="49">
        <v>1.4755830000000001</v>
      </c>
      <c r="BJ177" s="49">
        <v>1.45316</v>
      </c>
      <c r="BK177" s="49">
        <v>1.4407129999999999</v>
      </c>
      <c r="BL177" s="49">
        <v>1.35406</v>
      </c>
    </row>
    <row r="178" spans="1:64" x14ac:dyDescent="0.3">
      <c r="A178" s="49">
        <v>215</v>
      </c>
      <c r="B178" s="49" t="s">
        <v>4854</v>
      </c>
      <c r="C178" s="49" t="s">
        <v>620</v>
      </c>
      <c r="D178" s="49">
        <v>6.1120010000000002</v>
      </c>
      <c r="E178" s="49">
        <v>6.2430649999999996</v>
      </c>
      <c r="F178" s="49">
        <v>6.8890390000000004</v>
      </c>
      <c r="G178" s="49">
        <v>6.8316359999999996</v>
      </c>
      <c r="H178" s="49">
        <v>6.8871359999999999</v>
      </c>
      <c r="I178" s="49">
        <v>8.0399740000000008</v>
      </c>
      <c r="J178" s="49">
        <v>7.6733560000000001</v>
      </c>
      <c r="K178" s="49">
        <v>7.8872710000000001</v>
      </c>
      <c r="L178" s="49">
        <v>8.270346</v>
      </c>
      <c r="M178" s="49">
        <v>8.7175560000000001</v>
      </c>
      <c r="N178" s="49">
        <v>8.3904200000000007</v>
      </c>
      <c r="O178" s="49">
        <v>8.6371059999999993</v>
      </c>
      <c r="P178" s="49">
        <v>8.7979839999999996</v>
      </c>
      <c r="Q178" s="49">
        <v>9.0143520000000006</v>
      </c>
      <c r="R178" s="49">
        <v>9.0440210000000008</v>
      </c>
      <c r="S178" s="49">
        <v>9.8668809999999993</v>
      </c>
      <c r="T178" s="49">
        <v>10.389393</v>
      </c>
      <c r="U178" s="49">
        <v>10.965026</v>
      </c>
      <c r="V178" s="49">
        <v>10.864691000000001</v>
      </c>
      <c r="W178" s="49">
        <v>11.142955000000001</v>
      </c>
      <c r="X178" s="49">
        <v>10.931312</v>
      </c>
      <c r="Y178" s="49">
        <v>9.7166390000000007</v>
      </c>
      <c r="Z178" s="49">
        <v>10.176909</v>
      </c>
      <c r="AA178" s="49">
        <v>10.88885</v>
      </c>
      <c r="AB178" s="49">
        <v>11.715346</v>
      </c>
      <c r="AC178" s="49">
        <v>12.566141999999999</v>
      </c>
      <c r="AD178" s="49">
        <v>12.480911000000001</v>
      </c>
      <c r="AE178" s="49">
        <v>11.90169</v>
      </c>
      <c r="AF178" s="49">
        <v>12.651735</v>
      </c>
      <c r="AG178" s="49">
        <v>11.539315999999999</v>
      </c>
      <c r="AH178" s="49">
        <v>15.405452</v>
      </c>
      <c r="AI178" s="49">
        <v>15.314218</v>
      </c>
      <c r="AJ178" s="49">
        <v>15.499416999999999</v>
      </c>
      <c r="AK178" s="49">
        <v>13.705529</v>
      </c>
      <c r="AL178" s="49">
        <v>14.245405</v>
      </c>
      <c r="AM178" s="49">
        <v>15.421153</v>
      </c>
      <c r="AN178" s="49">
        <v>15.953562</v>
      </c>
      <c r="AO178" s="49">
        <v>17.224834999999999</v>
      </c>
      <c r="AP178" s="49">
        <v>14.061114</v>
      </c>
      <c r="AQ178" s="49">
        <v>15.603327</v>
      </c>
      <c r="AR178" s="49">
        <v>16.696636999999999</v>
      </c>
      <c r="AS178" s="49">
        <v>20.040240000000001</v>
      </c>
      <c r="AT178" s="49">
        <v>22.665825999999999</v>
      </c>
      <c r="AU178" s="49">
        <v>24.303842</v>
      </c>
      <c r="AV178" s="49">
        <v>24.785561000000001</v>
      </c>
      <c r="AW178" s="49">
        <v>23.802057000000001</v>
      </c>
      <c r="AX178" s="49">
        <v>24.731739999999999</v>
      </c>
      <c r="AY178" s="49">
        <v>26.783760999999998</v>
      </c>
      <c r="AZ178" s="49">
        <v>27.996082000000001</v>
      </c>
      <c r="BA178" s="49">
        <v>28.50149</v>
      </c>
      <c r="BB178" s="49">
        <v>31.018666</v>
      </c>
      <c r="BC178" s="49">
        <v>34.965823</v>
      </c>
      <c r="BD178" s="49">
        <v>34.809460000000001</v>
      </c>
      <c r="BE178" s="49">
        <v>36.569180000000003</v>
      </c>
      <c r="BF178" s="49">
        <v>37.396605999999998</v>
      </c>
      <c r="BG178" s="49">
        <v>33.856087000000002</v>
      </c>
      <c r="BH178" s="49">
        <v>34.514633000000003</v>
      </c>
      <c r="BI178" s="49">
        <v>33.257601000000001</v>
      </c>
      <c r="BJ178" s="49">
        <v>33.330508999999999</v>
      </c>
      <c r="BK178" s="49">
        <v>36.240251999999998</v>
      </c>
      <c r="BL178" s="49">
        <v>35.590097</v>
      </c>
    </row>
    <row r="179" spans="1:64" x14ac:dyDescent="0.3">
      <c r="A179" s="49">
        <v>216</v>
      </c>
      <c r="B179" s="49" t="s">
        <v>4853</v>
      </c>
      <c r="C179" s="49" t="s">
        <v>623</v>
      </c>
      <c r="D179" s="49">
        <v>15.583823000000001</v>
      </c>
      <c r="E179" s="49">
        <v>16.655992999999999</v>
      </c>
      <c r="F179" s="49">
        <v>16.941061999999999</v>
      </c>
      <c r="G179" s="49">
        <v>16.916492000000002</v>
      </c>
      <c r="H179" s="49">
        <v>17.297567999999998</v>
      </c>
      <c r="I179" s="49">
        <v>19.996254</v>
      </c>
      <c r="J179" s="49">
        <v>17.863931000000001</v>
      </c>
      <c r="K179" s="49">
        <v>19.053719000000001</v>
      </c>
      <c r="L179" s="49">
        <v>20.239263999999999</v>
      </c>
      <c r="M179" s="49">
        <v>19.794715</v>
      </c>
      <c r="N179" s="49">
        <v>20.897466999999999</v>
      </c>
      <c r="O179" s="49">
        <v>20.667957000000001</v>
      </c>
      <c r="P179" s="49">
        <v>23.420909999999999</v>
      </c>
      <c r="Q179" s="49">
        <v>23.078669000000001</v>
      </c>
      <c r="R179" s="49">
        <v>25.211449999999999</v>
      </c>
      <c r="S179" s="49">
        <v>25.291129999999999</v>
      </c>
      <c r="T179" s="49">
        <v>27.294999000000001</v>
      </c>
      <c r="U179" s="49">
        <v>28.982455000000002</v>
      </c>
      <c r="V179" s="49">
        <v>28.355744999999999</v>
      </c>
      <c r="W179" s="49">
        <v>29.920352000000001</v>
      </c>
      <c r="X179" s="49">
        <v>30.584821999999999</v>
      </c>
      <c r="Y179" s="49">
        <v>29.976652999999999</v>
      </c>
      <c r="Z179" s="49">
        <v>31.60866</v>
      </c>
      <c r="AA179" s="49">
        <v>32.625672000000002</v>
      </c>
      <c r="AB179" s="49">
        <v>33.935132000000003</v>
      </c>
      <c r="AC179" s="49">
        <v>31.693669</v>
      </c>
      <c r="AD179" s="49">
        <v>30.813036</v>
      </c>
      <c r="AE179" s="49">
        <v>33.938921999999998</v>
      </c>
      <c r="AF179" s="49">
        <v>34.216039000000002</v>
      </c>
      <c r="AG179" s="49">
        <v>31.446541</v>
      </c>
      <c r="AH179" s="49">
        <v>33.932913999999997</v>
      </c>
      <c r="AI179" s="49">
        <v>34.065317999999998</v>
      </c>
      <c r="AJ179" s="49">
        <v>33.940773999999998</v>
      </c>
      <c r="AK179" s="49">
        <v>33.974668999999999</v>
      </c>
      <c r="AL179" s="49">
        <v>33.679172000000001</v>
      </c>
      <c r="AM179" s="49">
        <v>34.212857999999997</v>
      </c>
      <c r="AN179" s="49">
        <v>35.059175000000003</v>
      </c>
      <c r="AO179" s="49">
        <v>34.336888000000002</v>
      </c>
      <c r="AP179" s="49">
        <v>35.022398000000003</v>
      </c>
      <c r="AQ179" s="49">
        <v>35.653542999999999</v>
      </c>
      <c r="AR179" s="49">
        <v>35.922269</v>
      </c>
      <c r="AS179" s="49">
        <v>34.775447999999997</v>
      </c>
      <c r="AT179" s="49">
        <v>36.125357000000001</v>
      </c>
      <c r="AU179" s="49">
        <v>35.700311999999997</v>
      </c>
      <c r="AV179" s="49">
        <v>35.897910000000003</v>
      </c>
      <c r="AW179" s="49">
        <v>35.648418999999997</v>
      </c>
      <c r="AX179" s="49">
        <v>37.210700000000003</v>
      </c>
      <c r="AY179" s="49">
        <v>37.481904999999998</v>
      </c>
      <c r="AZ179" s="49">
        <v>38.691820999999997</v>
      </c>
      <c r="BA179" s="49">
        <v>40.305692999999998</v>
      </c>
      <c r="BB179" s="49">
        <v>40.728561999999997</v>
      </c>
      <c r="BC179" s="49">
        <v>41.562753000000001</v>
      </c>
      <c r="BD179" s="49">
        <v>40.903730000000003</v>
      </c>
      <c r="BE179" s="49">
        <v>39.234341999999998</v>
      </c>
      <c r="BF179" s="49">
        <v>37.687510000000003</v>
      </c>
      <c r="BG179" s="49">
        <v>39.620879000000002</v>
      </c>
      <c r="BH179" s="49">
        <v>39.926448000000001</v>
      </c>
      <c r="BI179" s="49">
        <v>40.437798999999998</v>
      </c>
      <c r="BJ179" s="49">
        <v>39.035401999999998</v>
      </c>
      <c r="BK179" s="49">
        <v>40.579329999999999</v>
      </c>
      <c r="BL179" s="49">
        <v>41.924152999999997</v>
      </c>
    </row>
    <row r="180" spans="1:64" x14ac:dyDescent="0.3">
      <c r="A180" s="49">
        <v>217</v>
      </c>
      <c r="B180" s="49" t="s">
        <v>4852</v>
      </c>
      <c r="C180" s="49" t="s">
        <v>628</v>
      </c>
      <c r="D180" s="49">
        <v>1.153966</v>
      </c>
      <c r="E180" s="49">
        <v>1.1897230000000001</v>
      </c>
      <c r="F180" s="49">
        <v>1.3027949999999999</v>
      </c>
      <c r="G180" s="49">
        <v>1.38218</v>
      </c>
      <c r="H180" s="49">
        <v>1.5245690000000001</v>
      </c>
      <c r="I180" s="49">
        <v>1.7609669999999999</v>
      </c>
      <c r="J180" s="49">
        <v>1.557634</v>
      </c>
      <c r="K180" s="49">
        <v>1.362724</v>
      </c>
      <c r="L180" s="49">
        <v>1.13985</v>
      </c>
      <c r="M180" s="49">
        <v>1.2961199999999999</v>
      </c>
      <c r="N180" s="49">
        <v>1.25759</v>
      </c>
      <c r="O180" s="49">
        <v>0.97121999999999997</v>
      </c>
      <c r="P180" s="49">
        <v>1.0428599999999999</v>
      </c>
      <c r="Q180" s="49">
        <v>0.94053600000000004</v>
      </c>
      <c r="R180" s="49">
        <v>0.95821000000000001</v>
      </c>
      <c r="S180" s="49">
        <v>0.99921000000000004</v>
      </c>
      <c r="T180" s="49">
        <v>1.0520579999999999</v>
      </c>
      <c r="U180" s="49">
        <v>1.1456599999999999</v>
      </c>
      <c r="V180" s="49">
        <v>1.3655090000000001</v>
      </c>
      <c r="W180" s="49">
        <v>1.5478460000000001</v>
      </c>
      <c r="X180" s="49">
        <v>1.4296040000000001</v>
      </c>
      <c r="Y180" s="49">
        <v>1.4832799999999999</v>
      </c>
      <c r="Z180" s="49">
        <v>1.5294000000000001</v>
      </c>
      <c r="AA180" s="49">
        <v>1.6983999999999999</v>
      </c>
      <c r="AB180" s="49">
        <v>1.6002780000000001</v>
      </c>
      <c r="AC180" s="49">
        <v>1.6659630000000001</v>
      </c>
      <c r="AD180" s="49">
        <v>1.7321660000000001</v>
      </c>
      <c r="AE180" s="49">
        <v>1.9144650000000001</v>
      </c>
      <c r="AF180" s="49">
        <v>1.969949</v>
      </c>
      <c r="AG180" s="49">
        <v>2.0928900000000001</v>
      </c>
      <c r="AH180" s="49">
        <v>2.2945739999999999</v>
      </c>
      <c r="AI180" s="49">
        <v>2.270581</v>
      </c>
      <c r="AJ180" s="49">
        <v>2.8241010000000002</v>
      </c>
      <c r="AK180" s="49">
        <v>3.0057170000000002</v>
      </c>
      <c r="AL180" s="49">
        <v>2.8479760000000001</v>
      </c>
      <c r="AM180" s="49">
        <v>3.4922939999999998</v>
      </c>
      <c r="AN180" s="49">
        <v>3.3504139999999998</v>
      </c>
      <c r="AO180" s="49">
        <v>3.43316</v>
      </c>
      <c r="AP180" s="49">
        <v>3.1678120000000001</v>
      </c>
      <c r="AQ180" s="49">
        <v>3.0784609999999999</v>
      </c>
      <c r="AR180" s="49">
        <v>3.1204100000000001</v>
      </c>
      <c r="AS180" s="49">
        <v>3.2152579999999999</v>
      </c>
      <c r="AT180" s="49">
        <v>3.3037920000000001</v>
      </c>
      <c r="AU180" s="49">
        <v>3.4329269999999998</v>
      </c>
      <c r="AV180" s="49">
        <v>3.0116990000000001</v>
      </c>
      <c r="AW180" s="49">
        <v>3.1930019999999999</v>
      </c>
      <c r="AX180" s="49">
        <v>3.1859280000000001</v>
      </c>
      <c r="AY180" s="49">
        <v>3.2659600000000002</v>
      </c>
      <c r="AZ180" s="49">
        <v>3.393011</v>
      </c>
      <c r="BA180" s="49">
        <v>3.56291</v>
      </c>
      <c r="BB180" s="49">
        <v>3.7230819999999998</v>
      </c>
      <c r="BC180" s="49">
        <v>4.6011300000000004</v>
      </c>
      <c r="BD180" s="49">
        <v>4.7910760000000003</v>
      </c>
      <c r="BE180" s="49">
        <v>4.9167769999999997</v>
      </c>
      <c r="BF180" s="49">
        <v>4.5106640000000002</v>
      </c>
      <c r="BG180" s="49">
        <v>4.8083130000000001</v>
      </c>
      <c r="BH180" s="49">
        <v>5.0553119999999998</v>
      </c>
      <c r="BI180" s="49">
        <v>5.1821760000000001</v>
      </c>
      <c r="BJ180" s="49">
        <v>5.3097560000000001</v>
      </c>
      <c r="BK180" s="49">
        <v>5.3276300000000001</v>
      </c>
      <c r="BL180" s="49">
        <v>5.4426889999999997</v>
      </c>
    </row>
    <row r="181" spans="1:64" x14ac:dyDescent="0.3">
      <c r="A181" s="49">
        <v>218</v>
      </c>
      <c r="B181" s="49" t="s">
        <v>4851</v>
      </c>
      <c r="C181" s="49" t="s">
        <v>630</v>
      </c>
      <c r="D181" s="49">
        <v>3.2200000000000002E-4</v>
      </c>
      <c r="E181" s="49">
        <v>4.2200000000000001E-4</v>
      </c>
      <c r="F181" s="49">
        <v>1.92E-4</v>
      </c>
      <c r="G181" s="49">
        <v>5.44E-4</v>
      </c>
      <c r="H181" s="49">
        <v>4.84E-4</v>
      </c>
      <c r="I181" s="49">
        <v>3.7399999999999998E-4</v>
      </c>
      <c r="J181" s="49">
        <v>3.2400000000000001E-4</v>
      </c>
      <c r="K181" s="49">
        <v>3.5599999999999998E-4</v>
      </c>
      <c r="L181" s="49">
        <v>3.5599999999999998E-4</v>
      </c>
      <c r="M181" s="49">
        <v>3.5599999999999998E-4</v>
      </c>
      <c r="N181" s="49">
        <v>3.6600000000000001E-4</v>
      </c>
      <c r="O181" s="49">
        <v>3.3799999999999998E-4</v>
      </c>
      <c r="P181" s="49">
        <v>3.5E-4</v>
      </c>
      <c r="Q181" s="49">
        <v>5.6999999999999998E-4</v>
      </c>
      <c r="R181" s="49">
        <v>6.3199999999999997E-4</v>
      </c>
      <c r="S181" s="49">
        <v>3.3199999999999999E-4</v>
      </c>
      <c r="T181" s="49">
        <v>2.34E-4</v>
      </c>
      <c r="U181" s="49">
        <v>1.94E-4</v>
      </c>
      <c r="V181" s="49">
        <v>2.9399999999999999E-4</v>
      </c>
      <c r="W181" s="49">
        <v>3.3799999999999998E-4</v>
      </c>
      <c r="X181" s="49">
        <v>3.7800000000000003E-4</v>
      </c>
      <c r="Y181" s="49">
        <v>4.2000000000000002E-4</v>
      </c>
      <c r="Z181" s="49">
        <v>4.3800000000000002E-4</v>
      </c>
      <c r="AA181" s="49">
        <v>4.3800000000000002E-4</v>
      </c>
      <c r="AB181" s="49">
        <v>4.8799999999999999E-4</v>
      </c>
      <c r="AC181" s="49">
        <v>4.8999999999999998E-4</v>
      </c>
      <c r="AD181" s="49">
        <v>4.9200000000000003E-4</v>
      </c>
      <c r="AE181" s="49">
        <v>5.4199999999999995E-4</v>
      </c>
      <c r="AF181" s="49">
        <v>5.4199999999999995E-4</v>
      </c>
      <c r="AG181" s="49">
        <v>5.4799999999999998E-4</v>
      </c>
      <c r="AH181" s="49">
        <v>1.7260000000000001E-3</v>
      </c>
      <c r="AI181" s="49">
        <v>1.8760000000000001E-3</v>
      </c>
      <c r="AJ181" s="49">
        <v>1.8760000000000001E-3</v>
      </c>
      <c r="AK181" s="49">
        <v>1.897E-3</v>
      </c>
      <c r="AL181" s="49">
        <v>1.916E-3</v>
      </c>
      <c r="AM181" s="49">
        <v>1.934E-3</v>
      </c>
      <c r="AN181" s="49">
        <v>1.949E-3</v>
      </c>
      <c r="AO181" s="49">
        <v>1.9559999999999998E-3</v>
      </c>
      <c r="AP181" s="49">
        <v>1.9599999999999999E-3</v>
      </c>
      <c r="AQ181" s="49">
        <v>1.9629999999999999E-3</v>
      </c>
      <c r="AR181" s="49">
        <v>1.9610000000000001E-3</v>
      </c>
      <c r="AS181" s="49">
        <v>1.92E-3</v>
      </c>
      <c r="AT181" s="49">
        <v>1.8630000000000001E-3</v>
      </c>
      <c r="AU181" s="49">
        <v>1.885E-3</v>
      </c>
      <c r="AV181" s="49">
        <v>1.8760000000000001E-3</v>
      </c>
      <c r="AW181" s="49">
        <v>1.8649999999999999E-3</v>
      </c>
      <c r="AX181" s="49">
        <v>1.859E-3</v>
      </c>
      <c r="AY181" s="49">
        <v>1.854E-3</v>
      </c>
      <c r="AZ181" s="49">
        <v>1.851E-3</v>
      </c>
      <c r="BA181" s="49">
        <v>1.856E-3</v>
      </c>
      <c r="BB181" s="49">
        <v>1.8600000000000001E-3</v>
      </c>
      <c r="BC181" s="49">
        <v>1.8600000000000001E-3</v>
      </c>
      <c r="BD181" s="49">
        <v>1.8600000000000001E-3</v>
      </c>
      <c r="BE181" s="49">
        <v>1.8600000000000001E-3</v>
      </c>
      <c r="BF181" s="49">
        <v>1.8370000000000001E-3</v>
      </c>
      <c r="BG181" s="49">
        <v>1.74E-3</v>
      </c>
      <c r="BH181" s="49">
        <v>1.9650000000000002E-3</v>
      </c>
      <c r="BI181" s="49">
        <v>1.921E-3</v>
      </c>
      <c r="BJ181" s="49">
        <v>1.897E-3</v>
      </c>
      <c r="BK181" s="49">
        <v>1.8699999999999999E-3</v>
      </c>
      <c r="BL181" s="49">
        <v>1.864E-3</v>
      </c>
    </row>
    <row r="182" spans="1:64" x14ac:dyDescent="0.3">
      <c r="A182" s="49">
        <v>219</v>
      </c>
      <c r="B182" s="49" t="s">
        <v>4850</v>
      </c>
      <c r="C182" s="49" t="s">
        <v>632</v>
      </c>
      <c r="D182" s="49">
        <v>4.2766999999999999E-2</v>
      </c>
      <c r="E182" s="49">
        <v>4.2451999999999997E-2</v>
      </c>
      <c r="F182" s="49">
        <v>4.1189000000000003E-2</v>
      </c>
      <c r="G182" s="49">
        <v>4.4165999999999997E-2</v>
      </c>
      <c r="H182" s="49">
        <v>4.4040999999999997E-2</v>
      </c>
      <c r="I182" s="49">
        <v>4.5490000000000003E-2</v>
      </c>
      <c r="J182" s="49">
        <v>4.6433000000000002E-2</v>
      </c>
      <c r="K182" s="49">
        <v>4.5672999999999998E-2</v>
      </c>
      <c r="L182" s="49">
        <v>4.3646999999999998E-2</v>
      </c>
      <c r="M182" s="49">
        <v>4.3149E-2</v>
      </c>
      <c r="N182" s="49">
        <v>4.3723999999999999E-2</v>
      </c>
      <c r="O182" s="49">
        <v>4.4659999999999998E-2</v>
      </c>
      <c r="P182" s="49">
        <v>4.4965999999999999E-2</v>
      </c>
      <c r="Q182" s="49">
        <v>4.5326999999999999E-2</v>
      </c>
      <c r="R182" s="49">
        <v>4.5733000000000003E-2</v>
      </c>
      <c r="S182" s="49">
        <v>4.5805999999999999E-2</v>
      </c>
      <c r="T182" s="49">
        <v>4.5648000000000001E-2</v>
      </c>
      <c r="U182" s="49">
        <v>4.3984000000000002E-2</v>
      </c>
      <c r="V182" s="49">
        <v>4.3723999999999999E-2</v>
      </c>
      <c r="W182" s="49">
        <v>4.6424E-2</v>
      </c>
      <c r="X182" s="49">
        <v>4.7003999999999997E-2</v>
      </c>
      <c r="Y182" s="49">
        <v>3.8530000000000002E-2</v>
      </c>
      <c r="Z182" s="49">
        <v>4.0492E-2</v>
      </c>
      <c r="AA182" s="49">
        <v>4.2895999999999997E-2</v>
      </c>
      <c r="AB182" s="49">
        <v>4.2620999999999999E-2</v>
      </c>
      <c r="AC182" s="49">
        <v>4.5926000000000002E-2</v>
      </c>
      <c r="AD182" s="49">
        <v>4.1257000000000002E-2</v>
      </c>
      <c r="AE182" s="49">
        <v>3.6755999999999997E-2</v>
      </c>
      <c r="AF182" s="49">
        <v>3.4930000000000003E-2</v>
      </c>
      <c r="AG182" s="49">
        <v>3.4865E-2</v>
      </c>
      <c r="AH182" s="49">
        <v>4.6949999999999999E-2</v>
      </c>
      <c r="AI182" s="49">
        <v>4.6802999999999997E-2</v>
      </c>
      <c r="AJ182" s="49">
        <v>5.6656999999999999E-2</v>
      </c>
      <c r="AK182" s="49">
        <v>5.2227999999999997E-2</v>
      </c>
      <c r="AL182" s="49">
        <v>4.8422E-2</v>
      </c>
      <c r="AM182" s="49">
        <v>4.7888E-2</v>
      </c>
      <c r="AN182" s="49">
        <v>4.8131E-2</v>
      </c>
      <c r="AO182" s="49">
        <v>4.8023999999999997E-2</v>
      </c>
      <c r="AP182" s="49">
        <v>5.1297000000000002E-2</v>
      </c>
      <c r="AQ182" s="49">
        <v>5.1833999999999998E-2</v>
      </c>
      <c r="AR182" s="49">
        <v>5.0908000000000002E-2</v>
      </c>
      <c r="AS182" s="49">
        <v>5.1938999999999999E-2</v>
      </c>
      <c r="AT182" s="49">
        <v>5.1519000000000002E-2</v>
      </c>
      <c r="AU182" s="49">
        <v>5.1451999999999998E-2</v>
      </c>
      <c r="AV182" s="49">
        <v>5.0014000000000003E-2</v>
      </c>
      <c r="AW182" s="49">
        <v>5.8390999999999998E-2</v>
      </c>
      <c r="AX182" s="49">
        <v>6.0137999999999997E-2</v>
      </c>
      <c r="AY182" s="49">
        <v>5.9831000000000002E-2</v>
      </c>
      <c r="AZ182" s="49">
        <v>6.1915999999999999E-2</v>
      </c>
      <c r="BA182" s="49">
        <v>6.2304999999999999E-2</v>
      </c>
      <c r="BB182" s="49">
        <v>6.1036E-2</v>
      </c>
      <c r="BC182" s="49">
        <v>6.0037E-2</v>
      </c>
      <c r="BD182" s="49">
        <v>5.9233000000000001E-2</v>
      </c>
      <c r="BE182" s="49">
        <v>4.7502000000000003E-2</v>
      </c>
      <c r="BF182" s="49">
        <v>4.5710000000000001E-2</v>
      </c>
      <c r="BG182" s="49">
        <v>4.3991000000000002E-2</v>
      </c>
      <c r="BH182" s="49">
        <v>4.6209E-2</v>
      </c>
      <c r="BI182" s="49">
        <v>4.4512999999999997E-2</v>
      </c>
      <c r="BJ182" s="49">
        <v>4.3312000000000003E-2</v>
      </c>
      <c r="BK182" s="49">
        <v>4.3365000000000001E-2</v>
      </c>
      <c r="BL182" s="49">
        <v>4.2729000000000003E-2</v>
      </c>
    </row>
    <row r="183" spans="1:64" x14ac:dyDescent="0.3">
      <c r="A183" s="49">
        <v>220</v>
      </c>
      <c r="B183" s="49" t="s">
        <v>4849</v>
      </c>
      <c r="C183" s="49" t="s">
        <v>634</v>
      </c>
      <c r="D183" s="49">
        <v>0.16114400000000001</v>
      </c>
      <c r="E183" s="49">
        <v>0.16159000000000001</v>
      </c>
      <c r="F183" s="49">
        <v>0.166737</v>
      </c>
      <c r="G183" s="49">
        <v>0.16572600000000001</v>
      </c>
      <c r="H183" s="49">
        <v>0.16719800000000001</v>
      </c>
      <c r="I183" s="49">
        <v>0.165882</v>
      </c>
      <c r="J183" s="49">
        <v>0.16774500000000001</v>
      </c>
      <c r="K183" s="49">
        <v>0.16881199999999999</v>
      </c>
      <c r="L183" s="49">
        <v>0.167101</v>
      </c>
      <c r="M183" s="49">
        <v>0.16118499999999999</v>
      </c>
      <c r="N183" s="49">
        <v>0.165543</v>
      </c>
      <c r="O183" s="49">
        <v>0.17643200000000001</v>
      </c>
      <c r="P183" s="49">
        <v>0.174371</v>
      </c>
      <c r="Q183" s="49">
        <v>0.171068</v>
      </c>
      <c r="R183" s="49">
        <v>0.16230900000000001</v>
      </c>
      <c r="S183" s="49">
        <v>0.164211</v>
      </c>
      <c r="T183" s="49">
        <v>0.15978800000000001</v>
      </c>
      <c r="U183" s="49">
        <v>0.15501799999999999</v>
      </c>
      <c r="V183" s="49">
        <v>0.16220000000000001</v>
      </c>
      <c r="W183" s="49">
        <v>0.15198</v>
      </c>
      <c r="X183" s="49">
        <v>0.14438200000000001</v>
      </c>
      <c r="Y183" s="49">
        <v>0.127775</v>
      </c>
      <c r="Z183" s="49">
        <v>9.9551000000000001E-2</v>
      </c>
      <c r="AA183" s="49">
        <v>9.2563000000000006E-2</v>
      </c>
      <c r="AB183" s="49">
        <v>9.4768000000000005E-2</v>
      </c>
      <c r="AC183" s="49">
        <v>9.5515000000000003E-2</v>
      </c>
      <c r="AD183" s="49">
        <v>0.11519</v>
      </c>
      <c r="AE183" s="49">
        <v>0.114172</v>
      </c>
      <c r="AF183" s="49">
        <v>0.11740399999999999</v>
      </c>
      <c r="AG183" s="49">
        <v>0.11995</v>
      </c>
      <c r="AH183" s="49">
        <v>0.143349</v>
      </c>
      <c r="AI183" s="49">
        <v>0.13423199999999999</v>
      </c>
      <c r="AJ183" s="49">
        <v>0.13977500000000001</v>
      </c>
      <c r="AK183" s="49">
        <v>0.13916400000000001</v>
      </c>
      <c r="AL183" s="49">
        <v>0.13422999999999999</v>
      </c>
      <c r="AM183" s="49">
        <v>0.12834499999999999</v>
      </c>
      <c r="AN183" s="49">
        <v>0.123047</v>
      </c>
      <c r="AO183" s="49">
        <v>0.113089</v>
      </c>
      <c r="AP183" s="49">
        <v>0.10921400000000001</v>
      </c>
      <c r="AQ183" s="49">
        <v>0.118338</v>
      </c>
      <c r="AR183" s="49">
        <v>9.7021999999999997E-2</v>
      </c>
      <c r="AS183" s="49">
        <v>0.122409</v>
      </c>
      <c r="AT183" s="49">
        <v>9.5898999999999998E-2</v>
      </c>
      <c r="AU183" s="49">
        <v>8.8848999999999997E-2</v>
      </c>
      <c r="AV183" s="49">
        <v>8.3995E-2</v>
      </c>
      <c r="AW183" s="49">
        <v>0.10824499999999999</v>
      </c>
      <c r="AX183" s="49">
        <v>9.8155000000000006E-2</v>
      </c>
      <c r="AY183" s="49">
        <v>6.8401000000000003E-2</v>
      </c>
      <c r="AZ183" s="49">
        <v>6.4855999999999997E-2</v>
      </c>
      <c r="BA183" s="49">
        <v>6.2470999999999999E-2</v>
      </c>
      <c r="BB183" s="49">
        <v>5.9648E-2</v>
      </c>
      <c r="BC183" s="49">
        <v>5.7893E-2</v>
      </c>
      <c r="BD183" s="49">
        <v>6.0378000000000001E-2</v>
      </c>
      <c r="BE183" s="49">
        <v>6.2205000000000003E-2</v>
      </c>
      <c r="BF183" s="49">
        <v>6.6814999999999999E-2</v>
      </c>
      <c r="BG183" s="49">
        <v>7.1093000000000003E-2</v>
      </c>
      <c r="BH183" s="49">
        <v>7.1837999999999999E-2</v>
      </c>
      <c r="BI183" s="49">
        <v>6.9073999999999997E-2</v>
      </c>
      <c r="BJ183" s="49">
        <v>6.7863999999999994E-2</v>
      </c>
      <c r="BK183" s="49">
        <v>6.5989000000000006E-2</v>
      </c>
      <c r="BL183" s="49">
        <v>6.2169000000000002E-2</v>
      </c>
    </row>
    <row r="184" spans="1:64" x14ac:dyDescent="0.3">
      <c r="A184" s="49">
        <v>221</v>
      </c>
      <c r="B184" s="49" t="s">
        <v>4848</v>
      </c>
      <c r="C184" s="49" t="s">
        <v>496</v>
      </c>
      <c r="D184" s="49">
        <v>5.1069999999999997E-2</v>
      </c>
      <c r="E184" s="49">
        <v>5.1270000000000003E-2</v>
      </c>
      <c r="F184" s="49">
        <v>5.1769999999999997E-2</v>
      </c>
      <c r="G184" s="49">
        <v>5.2069999999999998E-2</v>
      </c>
      <c r="H184" s="49">
        <v>5.2170000000000001E-2</v>
      </c>
      <c r="I184" s="49">
        <v>5.3120000000000001E-2</v>
      </c>
      <c r="J184" s="49">
        <v>5.3519999999999998E-2</v>
      </c>
      <c r="K184" s="49">
        <v>5.3519999999999998E-2</v>
      </c>
      <c r="L184" s="49">
        <v>5.527E-2</v>
      </c>
      <c r="M184" s="49">
        <v>5.5469999999999998E-2</v>
      </c>
      <c r="N184" s="49">
        <v>5.7523999999999999E-2</v>
      </c>
      <c r="O184" s="49">
        <v>5.5390000000000002E-2</v>
      </c>
      <c r="P184" s="49">
        <v>5.8900000000000001E-2</v>
      </c>
      <c r="Q184" s="49">
        <v>5.876E-2</v>
      </c>
      <c r="R184" s="49">
        <v>5.9209999999999999E-2</v>
      </c>
      <c r="S184" s="49">
        <v>5.9270000000000003E-2</v>
      </c>
      <c r="T184" s="49">
        <v>6.9608000000000003E-2</v>
      </c>
      <c r="U184" s="49">
        <v>7.3102E-2</v>
      </c>
      <c r="V184" s="49">
        <v>6.7599000000000006E-2</v>
      </c>
      <c r="W184" s="49">
        <v>7.3152999999999996E-2</v>
      </c>
      <c r="X184" s="49">
        <v>7.6999999999999999E-2</v>
      </c>
      <c r="Y184" s="49">
        <v>7.7324000000000004E-2</v>
      </c>
      <c r="Z184" s="49">
        <v>7.7574000000000004E-2</v>
      </c>
      <c r="AA184" s="49">
        <v>7.7368000000000006E-2</v>
      </c>
      <c r="AB184" s="49">
        <v>8.1117999999999996E-2</v>
      </c>
      <c r="AC184" s="49">
        <v>8.6337999999999998E-2</v>
      </c>
      <c r="AD184" s="49">
        <v>8.8966000000000003E-2</v>
      </c>
      <c r="AE184" s="49">
        <v>9.2105999999999993E-2</v>
      </c>
      <c r="AF184" s="49">
        <v>9.2650999999999997E-2</v>
      </c>
      <c r="AG184" s="49">
        <v>9.5648999999999998E-2</v>
      </c>
      <c r="AH184" s="49">
        <v>0.10374700000000001</v>
      </c>
      <c r="AI184" s="49">
        <v>0.104226</v>
      </c>
      <c r="AJ184" s="49">
        <v>0.10540099999999999</v>
      </c>
      <c r="AK184" s="49">
        <v>0.106139</v>
      </c>
      <c r="AL184" s="49">
        <v>0.107253</v>
      </c>
      <c r="AM184" s="49">
        <v>0.10732999999999999</v>
      </c>
      <c r="AN184" s="49">
        <v>0.109116</v>
      </c>
      <c r="AO184" s="49">
        <v>0.120472</v>
      </c>
      <c r="AP184" s="49">
        <v>0.12119000000000001</v>
      </c>
      <c r="AQ184" s="49">
        <v>0.120666</v>
      </c>
      <c r="AR184" s="49">
        <v>0.118073</v>
      </c>
      <c r="AS184" s="49">
        <v>0.117872</v>
      </c>
      <c r="AT184" s="49">
        <v>0.11754199999999999</v>
      </c>
      <c r="AU184" s="49">
        <v>0.12554999999999999</v>
      </c>
      <c r="AV184" s="49">
        <v>0.110302</v>
      </c>
      <c r="AW184" s="49">
        <v>0.109678</v>
      </c>
      <c r="AX184" s="49">
        <v>0.116149</v>
      </c>
      <c r="AY184" s="49">
        <v>0.114708</v>
      </c>
      <c r="AZ184" s="49">
        <v>0.1133</v>
      </c>
      <c r="BA184" s="49">
        <v>0.11868099999999999</v>
      </c>
      <c r="BB184" s="49">
        <v>0.122002</v>
      </c>
      <c r="BC184" s="49">
        <v>0.113663</v>
      </c>
      <c r="BD184" s="49">
        <v>0.124058</v>
      </c>
      <c r="BE184" s="49">
        <v>0.12786600000000001</v>
      </c>
      <c r="BF184" s="49">
        <v>0.11311499999999999</v>
      </c>
      <c r="BG184" s="49">
        <v>0.10993799999999999</v>
      </c>
      <c r="BH184" s="49">
        <v>0.119722</v>
      </c>
      <c r="BI184" s="49">
        <v>0.12156599999999999</v>
      </c>
      <c r="BJ184" s="49">
        <v>0.122908</v>
      </c>
      <c r="BK184" s="49">
        <v>0.13508400000000001</v>
      </c>
      <c r="BL184" s="49">
        <v>0.132464</v>
      </c>
    </row>
    <row r="185" spans="1:64" x14ac:dyDescent="0.3">
      <c r="A185" s="49">
        <v>222</v>
      </c>
      <c r="B185" s="49" t="s">
        <v>4847</v>
      </c>
      <c r="C185" s="49" t="s">
        <v>636</v>
      </c>
      <c r="D185" s="49">
        <v>3.3937680000000001</v>
      </c>
      <c r="E185" s="49">
        <v>3.4904320000000002</v>
      </c>
      <c r="F185" s="49">
        <v>5.1078989999999997</v>
      </c>
      <c r="G185" s="49">
        <v>4.8776460000000004</v>
      </c>
      <c r="H185" s="49">
        <v>4.4303369999999997</v>
      </c>
      <c r="I185" s="49">
        <v>3.4264299999999999</v>
      </c>
      <c r="J185" s="49">
        <v>3.6448390000000002</v>
      </c>
      <c r="K185" s="49">
        <v>3.9049480000000001</v>
      </c>
      <c r="L185" s="49">
        <v>2.9613839999999998</v>
      </c>
      <c r="M185" s="49">
        <v>4.4987149999999998</v>
      </c>
      <c r="N185" s="49">
        <v>4.3956390000000001</v>
      </c>
      <c r="O185" s="49">
        <v>4.9364059999999998</v>
      </c>
      <c r="P185" s="49">
        <v>5.0157550000000004</v>
      </c>
      <c r="Q185" s="49">
        <v>5.0687239999999996</v>
      </c>
      <c r="R185" s="49">
        <v>5.109496</v>
      </c>
      <c r="S185" s="49">
        <v>5.3851889999999996</v>
      </c>
      <c r="T185" s="49">
        <v>4.840878</v>
      </c>
      <c r="U185" s="49">
        <v>5.3007220000000004</v>
      </c>
      <c r="V185" s="49">
        <v>5.7704639999999996</v>
      </c>
      <c r="W185" s="49">
        <v>5.0592889999999997</v>
      </c>
      <c r="X185" s="49">
        <v>5.054284</v>
      </c>
      <c r="Y185" s="49">
        <v>4.7229859999999997</v>
      </c>
      <c r="Z185" s="49">
        <v>5.837186</v>
      </c>
      <c r="AA185" s="49">
        <v>5.5474230000000002</v>
      </c>
      <c r="AB185" s="49">
        <v>6.3782399999999999</v>
      </c>
      <c r="AC185" s="49">
        <v>4.5331890000000001</v>
      </c>
      <c r="AD185" s="49">
        <v>5.7992340000000002</v>
      </c>
      <c r="AE185" s="49">
        <v>3.3797429999999999</v>
      </c>
      <c r="AF185" s="49">
        <v>4.5520180000000003</v>
      </c>
      <c r="AG185" s="49">
        <v>5.5180879999999997</v>
      </c>
      <c r="AH185" s="49">
        <v>7.4826280000000001</v>
      </c>
      <c r="AI185" s="49">
        <v>7.1073149999999998</v>
      </c>
      <c r="AJ185" s="49">
        <v>7.5070600000000001</v>
      </c>
      <c r="AK185" s="49">
        <v>5.6124219999999996</v>
      </c>
      <c r="AL185" s="49">
        <v>5.3973800000000001</v>
      </c>
      <c r="AM185" s="49">
        <v>8.6659570000000006</v>
      </c>
      <c r="AN185" s="49">
        <v>5.7948069999999996</v>
      </c>
      <c r="AO185" s="49">
        <v>6.6526860000000001</v>
      </c>
      <c r="AP185" s="49">
        <v>7.4137740000000001</v>
      </c>
      <c r="AQ185" s="49">
        <v>6.4846349999999999</v>
      </c>
      <c r="AR185" s="49">
        <v>5.7951040000000003</v>
      </c>
      <c r="AS185" s="49">
        <v>5.0429579999999996</v>
      </c>
      <c r="AT185" s="49">
        <v>7.6423819999999996</v>
      </c>
      <c r="AU185" s="49">
        <v>7.9918240000000003</v>
      </c>
      <c r="AV185" s="49">
        <v>7.7401759999999999</v>
      </c>
      <c r="AW185" s="49">
        <v>7.4301019999999998</v>
      </c>
      <c r="AX185" s="49">
        <v>7.3700390000000002</v>
      </c>
      <c r="AY185" s="49">
        <v>6.5356969999999999</v>
      </c>
      <c r="AZ185" s="49">
        <v>7.7118260000000003</v>
      </c>
      <c r="BA185" s="49">
        <v>6.2995349999999997</v>
      </c>
      <c r="BB185" s="49">
        <v>7.8018070000000002</v>
      </c>
      <c r="BC185" s="49">
        <v>7.9027250000000002</v>
      </c>
      <c r="BD185" s="49">
        <v>7.4894920000000003</v>
      </c>
      <c r="BE185" s="49">
        <v>7.2953479999999997</v>
      </c>
      <c r="BF185" s="49">
        <v>7.1778259999999996</v>
      </c>
      <c r="BG185" s="49">
        <v>6.5243529999999996</v>
      </c>
      <c r="BH185" s="49">
        <v>5.961271</v>
      </c>
      <c r="BI185" s="49">
        <v>9.9078870000000006</v>
      </c>
      <c r="BJ185" s="49">
        <v>6.6676080000000004</v>
      </c>
      <c r="BK185" s="49">
        <v>11.230138</v>
      </c>
      <c r="BL185" s="49">
        <v>6.5125339999999996</v>
      </c>
    </row>
    <row r="186" spans="1:64" x14ac:dyDescent="0.3">
      <c r="A186" s="49">
        <v>223</v>
      </c>
      <c r="B186" s="49" t="s">
        <v>4846</v>
      </c>
      <c r="C186" s="49" t="s">
        <v>4845</v>
      </c>
      <c r="D186" s="49">
        <v>32.865648999999998</v>
      </c>
      <c r="E186" s="49">
        <v>33.077706999999997</v>
      </c>
      <c r="F186" s="49">
        <v>33.253967000000003</v>
      </c>
      <c r="G186" s="49">
        <v>33.407127000000003</v>
      </c>
      <c r="H186" s="49">
        <v>33.349297</v>
      </c>
      <c r="I186" s="49">
        <v>33.656185000000001</v>
      </c>
      <c r="J186" s="49">
        <v>33.798431999999998</v>
      </c>
      <c r="K186" s="49">
        <v>33.841740999999999</v>
      </c>
      <c r="L186" s="49">
        <v>34.224207</v>
      </c>
      <c r="M186" s="49">
        <v>34.029673000000003</v>
      </c>
      <c r="N186" s="49">
        <v>34.667715000000001</v>
      </c>
      <c r="O186" s="49">
        <v>34.522123000000001</v>
      </c>
      <c r="P186" s="49">
        <v>33.593730000000001</v>
      </c>
      <c r="Q186" s="49">
        <v>34.826627000000002</v>
      </c>
      <c r="R186" s="49">
        <v>35.550061999999997</v>
      </c>
      <c r="S186" s="49">
        <v>35.708911000000001</v>
      </c>
      <c r="T186" s="49">
        <v>36.005896999999997</v>
      </c>
      <c r="U186" s="49">
        <v>35.576421000000003</v>
      </c>
      <c r="V186" s="49">
        <v>36.412129999999998</v>
      </c>
      <c r="W186" s="49">
        <v>35.578946000000002</v>
      </c>
      <c r="X186" s="49">
        <v>36.720294000000003</v>
      </c>
      <c r="Y186" s="49">
        <v>36.910496999999999</v>
      </c>
      <c r="Z186" s="49">
        <v>37.198762000000002</v>
      </c>
      <c r="AA186" s="49">
        <v>37.332861999999999</v>
      </c>
      <c r="AB186" s="49">
        <v>38.239691000000001</v>
      </c>
      <c r="AC186" s="49">
        <v>38.876612999999999</v>
      </c>
      <c r="AD186" s="49">
        <v>39.710239000000001</v>
      </c>
      <c r="AE186" s="49">
        <v>40.205810999999997</v>
      </c>
      <c r="AF186" s="49">
        <v>39.669835999999997</v>
      </c>
      <c r="AG186" s="49">
        <v>40.117241999999997</v>
      </c>
      <c r="AH186" s="49">
        <v>44.111074000000002</v>
      </c>
      <c r="AI186" s="49">
        <v>43.880614999999999</v>
      </c>
      <c r="AJ186" s="49">
        <v>44.194958999999997</v>
      </c>
      <c r="AK186" s="49">
        <v>44.047002999999997</v>
      </c>
      <c r="AL186" s="49">
        <v>44.012047000000003</v>
      </c>
      <c r="AM186" s="49">
        <v>44.384894000000003</v>
      </c>
      <c r="AN186" s="49">
        <v>44.204141</v>
      </c>
      <c r="AO186" s="49">
        <v>44.432189999999999</v>
      </c>
      <c r="AP186" s="49">
        <v>43.835037</v>
      </c>
      <c r="AQ186" s="49">
        <v>42.737380999999999</v>
      </c>
      <c r="AR186" s="49">
        <v>42.668363999999997</v>
      </c>
      <c r="AS186" s="49">
        <v>43.550404999999998</v>
      </c>
      <c r="AT186" s="49">
        <v>42.289628999999998</v>
      </c>
      <c r="AU186" s="49">
        <v>42.603200000000001</v>
      </c>
      <c r="AV186" s="49">
        <v>42.299515999999997</v>
      </c>
      <c r="AW186" s="49">
        <v>40.865380000000002</v>
      </c>
      <c r="AX186" s="49">
        <v>38.534298999999997</v>
      </c>
      <c r="AY186" s="49">
        <v>36.394992000000002</v>
      </c>
      <c r="AZ186" s="49">
        <v>37.617331999999998</v>
      </c>
      <c r="BA186" s="49">
        <v>38.215336000000001</v>
      </c>
      <c r="BB186" s="49">
        <v>38.011566000000002</v>
      </c>
      <c r="BC186" s="49">
        <v>36.610410000000002</v>
      </c>
      <c r="BD186" s="49">
        <v>37.147114999999999</v>
      </c>
      <c r="BE186" s="49">
        <v>37.253182000000002</v>
      </c>
      <c r="BF186" s="49">
        <v>37.677453999999997</v>
      </c>
      <c r="BG186" s="49">
        <v>37.706262000000002</v>
      </c>
      <c r="BH186" s="49">
        <v>37.720771999999997</v>
      </c>
      <c r="BI186" s="49">
        <v>37.966890999999997</v>
      </c>
      <c r="BJ186" s="49">
        <v>37.920954999999999</v>
      </c>
      <c r="BK186" s="49">
        <v>38.093240999999999</v>
      </c>
      <c r="BL186" s="49">
        <v>38.541260000000001</v>
      </c>
    </row>
    <row r="187" spans="1:64" x14ac:dyDescent="0.3">
      <c r="A187" s="49">
        <v>225</v>
      </c>
      <c r="B187" s="49" t="s">
        <v>4844</v>
      </c>
      <c r="C187" s="49" t="s">
        <v>650</v>
      </c>
      <c r="D187" s="49">
        <v>1.7700000000000001E-3</v>
      </c>
      <c r="E187" s="49">
        <v>1.8699999999999999E-3</v>
      </c>
      <c r="F187" s="49">
        <v>1.9269999999999999E-3</v>
      </c>
      <c r="G187" s="49">
        <v>2.013E-3</v>
      </c>
      <c r="H187" s="49">
        <v>2.0240000000000002E-3</v>
      </c>
      <c r="I187" s="49">
        <v>2.2469999999999999E-3</v>
      </c>
      <c r="J187" s="49">
        <v>2.5799999999999998E-3</v>
      </c>
      <c r="K187" s="49">
        <v>2.9859999999999999E-3</v>
      </c>
      <c r="L187" s="49">
        <v>3.9519999999999998E-3</v>
      </c>
      <c r="M187" s="49">
        <v>5.1840000000000002E-3</v>
      </c>
      <c r="N187" s="49">
        <v>4.7759999999999999E-3</v>
      </c>
      <c r="O187" s="49">
        <v>4.5360000000000001E-3</v>
      </c>
      <c r="P187" s="49">
        <v>4.8979999999999996E-3</v>
      </c>
      <c r="Q187" s="49">
        <v>7.6E-3</v>
      </c>
      <c r="R187" s="49">
        <v>8.6339999999999993E-3</v>
      </c>
      <c r="S187" s="49">
        <v>9.7020000000000006E-3</v>
      </c>
      <c r="T187" s="49">
        <v>1.3162999999999999E-2</v>
      </c>
      <c r="U187" s="49">
        <v>2.0471E-2</v>
      </c>
      <c r="V187" s="49">
        <v>2.4544E-2</v>
      </c>
      <c r="W187" s="49">
        <v>2.7300999999999999E-2</v>
      </c>
      <c r="X187" s="49">
        <v>3.1449999999999999E-2</v>
      </c>
      <c r="Y187" s="49">
        <v>4.0528000000000002E-2</v>
      </c>
      <c r="Z187" s="49">
        <v>4.9217999999999998E-2</v>
      </c>
      <c r="AA187" s="49">
        <v>4.3357E-2</v>
      </c>
      <c r="AB187" s="49">
        <v>4.0717999999999997E-2</v>
      </c>
      <c r="AC187" s="49">
        <v>3.8767000000000003E-2</v>
      </c>
      <c r="AD187" s="49">
        <v>3.8612E-2</v>
      </c>
      <c r="AE187" s="49">
        <v>6.7515000000000006E-2</v>
      </c>
      <c r="AF187" s="49">
        <v>6.9135000000000002E-2</v>
      </c>
      <c r="AG187" s="49">
        <v>6.9872000000000004E-2</v>
      </c>
      <c r="AH187" s="49">
        <v>7.8188999999999995E-2</v>
      </c>
      <c r="AI187" s="49">
        <v>9.5996999999999999E-2</v>
      </c>
      <c r="AJ187" s="49">
        <v>9.9374000000000004E-2</v>
      </c>
      <c r="AK187" s="49">
        <v>9.5839999999999995E-2</v>
      </c>
      <c r="AL187" s="49">
        <v>0.101165</v>
      </c>
      <c r="AM187" s="49">
        <v>0.103616</v>
      </c>
      <c r="AN187" s="49">
        <v>0.118107</v>
      </c>
      <c r="AO187" s="49">
        <v>0.17167499999999999</v>
      </c>
      <c r="AP187" s="49">
        <v>0.415383</v>
      </c>
      <c r="AQ187" s="49">
        <v>0.454517</v>
      </c>
      <c r="AR187" s="49">
        <v>0.39827299999999999</v>
      </c>
      <c r="AS187" s="49">
        <v>0.39891500000000002</v>
      </c>
      <c r="AT187" s="49">
        <v>0.39302999999999999</v>
      </c>
      <c r="AU187" s="49">
        <v>0.39981699999999998</v>
      </c>
      <c r="AV187" s="49">
        <v>0.40820899999999999</v>
      </c>
      <c r="AW187" s="49">
        <v>0.390345</v>
      </c>
      <c r="AX187" s="49">
        <v>0.38918999999999998</v>
      </c>
      <c r="AY187" s="49">
        <v>0.39338699999999999</v>
      </c>
      <c r="AZ187" s="49">
        <v>0.39292899999999997</v>
      </c>
      <c r="BA187" s="49">
        <v>0.41599700000000001</v>
      </c>
      <c r="BB187" s="49">
        <v>0.104617</v>
      </c>
      <c r="BC187" s="49">
        <v>9.9070000000000005E-2</v>
      </c>
      <c r="BD187" s="49">
        <v>8.1018999999999994E-2</v>
      </c>
      <c r="BE187" s="49">
        <v>9.3665999999999999E-2</v>
      </c>
      <c r="BF187" s="49">
        <v>8.9115E-2</v>
      </c>
      <c r="BG187" s="49">
        <v>8.9652999999999997E-2</v>
      </c>
      <c r="BH187" s="49">
        <v>9.2506000000000005E-2</v>
      </c>
      <c r="BI187" s="49">
        <v>9.1686000000000004E-2</v>
      </c>
      <c r="BJ187" s="49">
        <v>9.6977999999999995E-2</v>
      </c>
      <c r="BK187" s="49">
        <v>0.10574</v>
      </c>
      <c r="BL187" s="49">
        <v>0.124609</v>
      </c>
    </row>
    <row r="188" spans="1:64" x14ac:dyDescent="0.3">
      <c r="A188" s="49">
        <v>226</v>
      </c>
      <c r="B188" s="49" t="s">
        <v>4843</v>
      </c>
      <c r="C188" s="49" t="s">
        <v>646</v>
      </c>
      <c r="D188" s="49">
        <v>6.3703979999999998</v>
      </c>
      <c r="E188" s="49">
        <v>6.2406030000000001</v>
      </c>
      <c r="F188" s="49">
        <v>6.5321759999999998</v>
      </c>
      <c r="G188" s="49">
        <v>6.8173760000000003</v>
      </c>
      <c r="H188" s="49">
        <v>6.7518830000000003</v>
      </c>
      <c r="I188" s="49">
        <v>6.487393</v>
      </c>
      <c r="J188" s="49">
        <v>7.0029459999999997</v>
      </c>
      <c r="K188" s="49">
        <v>7.4100339999999996</v>
      </c>
      <c r="L188" s="49">
        <v>8.0577640000000006</v>
      </c>
      <c r="M188" s="49">
        <v>8.9900219999999997</v>
      </c>
      <c r="N188" s="49">
        <v>9.8624600000000004</v>
      </c>
      <c r="O188" s="49">
        <v>9.4133499999999994</v>
      </c>
      <c r="P188" s="49">
        <v>9.3872300000000006</v>
      </c>
      <c r="Q188" s="49">
        <v>9.4779099999999996</v>
      </c>
      <c r="R188" s="49">
        <v>9.9209859999999992</v>
      </c>
      <c r="S188" s="49">
        <v>10.138697000000001</v>
      </c>
      <c r="T188" s="49">
        <v>9.6246559999999999</v>
      </c>
      <c r="U188" s="49">
        <v>10.125349999999999</v>
      </c>
      <c r="V188" s="49">
        <v>7.2584999999999997</v>
      </c>
      <c r="W188" s="49">
        <v>6.6726999999999999</v>
      </c>
      <c r="X188" s="49">
        <v>6.9896500000000001</v>
      </c>
      <c r="Y188" s="49">
        <v>7.5090500000000002</v>
      </c>
      <c r="Z188" s="49">
        <v>7.9723499999999996</v>
      </c>
      <c r="AA188" s="49">
        <v>7.9871499999999997</v>
      </c>
      <c r="AB188" s="49">
        <v>7.3535279999999998</v>
      </c>
      <c r="AC188" s="49">
        <v>7.9709409999999998</v>
      </c>
      <c r="AD188" s="49">
        <v>7.8364900000000004</v>
      </c>
      <c r="AE188" s="49">
        <v>8.3826300000000007</v>
      </c>
      <c r="AF188" s="49">
        <v>8.8121310000000008</v>
      </c>
      <c r="AG188" s="49">
        <v>9.0931449999999998</v>
      </c>
      <c r="AH188" s="49">
        <v>10.449903000000001</v>
      </c>
      <c r="AI188" s="49">
        <v>10.830723000000001</v>
      </c>
      <c r="AJ188" s="49">
        <v>11.008355999999999</v>
      </c>
      <c r="AK188" s="49">
        <v>11.18422</v>
      </c>
      <c r="AL188" s="49">
        <v>11.395655</v>
      </c>
      <c r="AM188" s="49">
        <v>11.649346</v>
      </c>
      <c r="AN188" s="49">
        <v>11.855964999999999</v>
      </c>
      <c r="AO188" s="49">
        <v>12.315388</v>
      </c>
      <c r="AP188" s="49">
        <v>12.736893</v>
      </c>
      <c r="AQ188" s="49">
        <v>13.19112</v>
      </c>
      <c r="AR188" s="49">
        <v>13.484577</v>
      </c>
      <c r="AS188" s="49">
        <v>13.701121000000001</v>
      </c>
      <c r="AT188" s="49">
        <v>14.352192000000001</v>
      </c>
      <c r="AU188" s="49">
        <v>14.445662</v>
      </c>
      <c r="AV188" s="49">
        <v>14.367302</v>
      </c>
      <c r="AW188" s="49">
        <v>14.521848</v>
      </c>
      <c r="AX188" s="49">
        <v>14.87853</v>
      </c>
      <c r="AY188" s="49">
        <v>11.916905</v>
      </c>
      <c r="AZ188" s="49">
        <v>12.038453000000001</v>
      </c>
      <c r="BA188" s="49">
        <v>12.557261</v>
      </c>
      <c r="BB188" s="49">
        <v>13.308562999999999</v>
      </c>
      <c r="BC188" s="49">
        <v>13.794741</v>
      </c>
      <c r="BD188" s="49">
        <v>13.879110000000001</v>
      </c>
      <c r="BE188" s="49">
        <v>13.978768000000001</v>
      </c>
      <c r="BF188" s="49">
        <v>14.105192000000001</v>
      </c>
      <c r="BG188" s="49">
        <v>13.167802999999999</v>
      </c>
      <c r="BH188" s="49">
        <v>14.549048000000001</v>
      </c>
      <c r="BI188" s="49">
        <v>14.23687</v>
      </c>
      <c r="BJ188" s="49">
        <v>14.126111999999999</v>
      </c>
      <c r="BK188" s="49">
        <v>16.832553000000001</v>
      </c>
      <c r="BL188" s="49">
        <v>15.169719000000001</v>
      </c>
    </row>
    <row r="189" spans="1:64" x14ac:dyDescent="0.3">
      <c r="A189" s="49">
        <v>227</v>
      </c>
      <c r="B189" s="49" t="s">
        <v>4842</v>
      </c>
      <c r="C189" s="49" t="s">
        <v>644</v>
      </c>
      <c r="D189" s="49">
        <v>3.2420000000000001E-3</v>
      </c>
      <c r="E189" s="49">
        <v>3.2420000000000001E-3</v>
      </c>
      <c r="F189" s="49">
        <v>3.2439999999999999E-3</v>
      </c>
      <c r="G189" s="49">
        <v>3.2460000000000002E-3</v>
      </c>
      <c r="H189" s="49">
        <v>3.2460000000000002E-3</v>
      </c>
      <c r="I189" s="49">
        <v>3.248E-3</v>
      </c>
      <c r="J189" s="49">
        <v>2.9499999999999999E-3</v>
      </c>
      <c r="K189" s="49">
        <v>2.65E-3</v>
      </c>
      <c r="L189" s="49">
        <v>2.3540000000000002E-3</v>
      </c>
      <c r="M189" s="49">
        <v>2.1419999999999998E-3</v>
      </c>
      <c r="N189" s="49">
        <v>2.96E-3</v>
      </c>
      <c r="O189" s="49">
        <v>1.232E-3</v>
      </c>
      <c r="P189" s="49">
        <v>1.0460000000000001E-3</v>
      </c>
      <c r="Q189" s="49">
        <v>3.5660000000000002E-3</v>
      </c>
      <c r="R189" s="49">
        <v>1.15E-3</v>
      </c>
      <c r="S189" s="49">
        <v>1.0300000000000001E-3</v>
      </c>
      <c r="T189" s="49">
        <v>1.3500000000000001E-3</v>
      </c>
      <c r="U189" s="49">
        <v>3.8739999999999998E-3</v>
      </c>
      <c r="V189" s="49">
        <v>3.986E-3</v>
      </c>
      <c r="W189" s="49">
        <v>3.8800000000000002E-3</v>
      </c>
      <c r="X189" s="49">
        <v>3.8739999999999998E-3</v>
      </c>
      <c r="Y189" s="49">
        <v>2.0699999999999998E-3</v>
      </c>
      <c r="Z189" s="49">
        <v>2.16E-3</v>
      </c>
      <c r="AA189" s="49">
        <v>2.1800000000000001E-3</v>
      </c>
      <c r="AB189" s="49">
        <v>2.2699999999999999E-3</v>
      </c>
      <c r="AC189" s="49">
        <v>2.1779999999999998E-3</v>
      </c>
      <c r="AD189" s="49">
        <v>1.178E-3</v>
      </c>
      <c r="AE189" s="49">
        <v>1.4779999999999999E-3</v>
      </c>
      <c r="AF189" s="49">
        <v>1.5820000000000001E-3</v>
      </c>
      <c r="AG189" s="49">
        <v>1.47E-3</v>
      </c>
      <c r="AH189" s="49">
        <v>7.7159999999999998E-3</v>
      </c>
      <c r="AI189" s="49">
        <v>5.398E-3</v>
      </c>
      <c r="AJ189" s="49">
        <v>6.1919999999999996E-3</v>
      </c>
      <c r="AK189" s="49">
        <v>4.7829999999999999E-3</v>
      </c>
      <c r="AL189" s="49">
        <v>5.8339999999999998E-3</v>
      </c>
      <c r="AM189" s="49">
        <v>5.9690000000000003E-3</v>
      </c>
      <c r="AN189" s="49">
        <v>5.6259999999999999E-3</v>
      </c>
      <c r="AO189" s="49">
        <v>5.4939999999999998E-3</v>
      </c>
      <c r="AP189" s="49">
        <v>4.744E-3</v>
      </c>
      <c r="AQ189" s="49">
        <v>5.6540000000000002E-3</v>
      </c>
      <c r="AR189" s="49">
        <v>4.7679999999999997E-3</v>
      </c>
      <c r="AS189" s="49">
        <v>5.3249999999999999E-3</v>
      </c>
      <c r="AT189" s="49">
        <v>5.2979999999999998E-3</v>
      </c>
      <c r="AU189" s="49">
        <v>5.0959999999999998E-3</v>
      </c>
      <c r="AV189" s="49">
        <v>5.3239999999999997E-3</v>
      </c>
      <c r="AW189" s="49">
        <v>5.3309999999999998E-3</v>
      </c>
      <c r="AX189" s="49">
        <v>5.4180000000000001E-3</v>
      </c>
      <c r="AY189" s="49">
        <v>5.3920000000000001E-3</v>
      </c>
      <c r="AZ189" s="49">
        <v>5.4190000000000002E-3</v>
      </c>
      <c r="BA189" s="49">
        <v>5.2059999999999997E-3</v>
      </c>
      <c r="BB189" s="49">
        <v>5.2760000000000003E-3</v>
      </c>
      <c r="BC189" s="49">
        <v>5.7340000000000004E-3</v>
      </c>
      <c r="BD189" s="49">
        <v>5.8939999999999999E-3</v>
      </c>
      <c r="BE189" s="49">
        <v>5.3249999999999999E-3</v>
      </c>
      <c r="BF189" s="49">
        <v>5.3239999999999997E-3</v>
      </c>
      <c r="BG189" s="49">
        <v>5.3280000000000003E-3</v>
      </c>
      <c r="BH189" s="49">
        <v>5.3410000000000003E-3</v>
      </c>
      <c r="BI189" s="49">
        <v>5.3400000000000001E-3</v>
      </c>
      <c r="BJ189" s="49">
        <v>7.8180000000000003E-3</v>
      </c>
      <c r="BK189" s="49">
        <v>7.8289999999999992E-3</v>
      </c>
      <c r="BL189" s="49">
        <v>6.8100000000000001E-3</v>
      </c>
    </row>
    <row r="190" spans="1:64" x14ac:dyDescent="0.3">
      <c r="A190" s="49">
        <v>228</v>
      </c>
      <c r="B190" s="49" t="s">
        <v>4841</v>
      </c>
      <c r="C190" s="49" t="s">
        <v>665</v>
      </c>
      <c r="D190" s="49">
        <v>287.49896000000001</v>
      </c>
      <c r="E190" s="49">
        <v>300.91284000000002</v>
      </c>
      <c r="F190" s="49">
        <v>304.17162999999999</v>
      </c>
      <c r="G190" s="49">
        <v>312.46765199999999</v>
      </c>
      <c r="H190" s="49">
        <v>302.08078699999999</v>
      </c>
      <c r="I190" s="49">
        <v>294.88182</v>
      </c>
      <c r="J190" s="49">
        <v>289.53887600000002</v>
      </c>
      <c r="K190" s="49">
        <v>287.73356200000001</v>
      </c>
      <c r="L190" s="49">
        <v>287.04680000000002</v>
      </c>
      <c r="M190" s="49">
        <v>284.35755599999999</v>
      </c>
      <c r="N190" s="49">
        <v>280.80794600000002</v>
      </c>
      <c r="O190" s="49">
        <v>285.78667999999999</v>
      </c>
      <c r="P190" s="49">
        <v>298.25928599999997</v>
      </c>
      <c r="Q190" s="49">
        <v>300.46825000000001</v>
      </c>
      <c r="R190" s="49">
        <v>301.58585299999999</v>
      </c>
      <c r="S190" s="49">
        <v>299.99052</v>
      </c>
      <c r="T190" s="49">
        <v>305.14641</v>
      </c>
      <c r="U190" s="49">
        <v>301.64109999999999</v>
      </c>
      <c r="V190" s="49">
        <v>296.30279999999999</v>
      </c>
      <c r="W190" s="49">
        <v>296.73421000000002</v>
      </c>
      <c r="X190" s="49">
        <v>294.11386599999997</v>
      </c>
      <c r="Y190" s="49">
        <v>289.17775999999998</v>
      </c>
      <c r="Z190" s="49">
        <v>284.973232</v>
      </c>
      <c r="AA190" s="49">
        <v>281.92628100000002</v>
      </c>
      <c r="AB190" s="49">
        <v>277.645216</v>
      </c>
      <c r="AC190" s="49">
        <v>274.33194300000002</v>
      </c>
      <c r="AD190" s="49">
        <v>272.4667</v>
      </c>
      <c r="AE190" s="49">
        <v>271.56051600000001</v>
      </c>
      <c r="AF190" s="49">
        <v>263.19625600000001</v>
      </c>
      <c r="AG190" s="49">
        <v>258.80450200000001</v>
      </c>
      <c r="AH190" s="49">
        <v>277.54521799999998</v>
      </c>
    </row>
    <row r="191" spans="1:64" x14ac:dyDescent="0.3">
      <c r="A191" s="49">
        <v>229</v>
      </c>
      <c r="B191" s="49" t="s">
        <v>4840</v>
      </c>
      <c r="C191" s="49" t="s">
        <v>4839</v>
      </c>
      <c r="D191" s="49">
        <v>7.6086980000000004</v>
      </c>
      <c r="E191" s="49">
        <v>7.9254939999999996</v>
      </c>
      <c r="F191" s="49">
        <v>8.0832300000000004</v>
      </c>
      <c r="G191" s="49">
        <v>8.4212740000000004</v>
      </c>
      <c r="H191" s="49">
        <v>8.8467839999999995</v>
      </c>
      <c r="I191" s="49">
        <v>9.0505139999999997</v>
      </c>
      <c r="J191" s="49">
        <v>9.2110129999999995</v>
      </c>
      <c r="K191" s="49">
        <v>9.2981639999999999</v>
      </c>
      <c r="L191" s="49">
        <v>9.0133709999999994</v>
      </c>
      <c r="M191" s="49">
        <v>9.0978440000000003</v>
      </c>
      <c r="N191" s="49">
        <v>9.1957789999999999</v>
      </c>
      <c r="O191" s="49">
        <v>9.0892959999999992</v>
      </c>
      <c r="P191" s="49">
        <v>9.0190900000000003</v>
      </c>
      <c r="Q191" s="49">
        <v>9.0480689999999999</v>
      </c>
      <c r="R191" s="49">
        <v>8.7619640000000008</v>
      </c>
      <c r="S191" s="49">
        <v>8.9015000000000004</v>
      </c>
      <c r="T191" s="49">
        <v>8.9867249999999999</v>
      </c>
      <c r="U191" s="49">
        <v>9.1810790000000004</v>
      </c>
      <c r="V191" s="49">
        <v>9.2896660000000004</v>
      </c>
      <c r="W191" s="49">
        <v>9.4231560000000005</v>
      </c>
      <c r="X191" s="49">
        <v>9.4438200000000005</v>
      </c>
      <c r="Y191" s="49">
        <v>9.5818220000000007</v>
      </c>
      <c r="Z191" s="49">
        <v>9.5208619999999993</v>
      </c>
      <c r="AA191" s="49">
        <v>9.7502069999999996</v>
      </c>
      <c r="AB191" s="49">
        <v>9.816058</v>
      </c>
      <c r="AC191" s="49">
        <v>9.8615600000000008</v>
      </c>
      <c r="AD191" s="49">
        <v>9.8663819999999998</v>
      </c>
      <c r="AE191" s="49">
        <v>9.8603140000000007</v>
      </c>
      <c r="AF191" s="49">
        <v>9.6836439999999993</v>
      </c>
      <c r="AG191" s="49">
        <v>9.3528819999999993</v>
      </c>
      <c r="AH191" s="49">
        <v>10.222502</v>
      </c>
      <c r="AI191" s="49">
        <v>10.257857</v>
      </c>
      <c r="AJ191" s="49">
        <v>9.4081759999999992</v>
      </c>
      <c r="AK191" s="49">
        <v>9.3353859999999997</v>
      </c>
      <c r="AL191" s="49">
        <v>9.3916959999999996</v>
      </c>
      <c r="AM191" s="49">
        <v>9.6358329999999999</v>
      </c>
      <c r="AN191" s="49">
        <v>10.217435999999999</v>
      </c>
      <c r="AO191" s="49">
        <v>10.323871</v>
      </c>
      <c r="AP191" s="49">
        <v>10.063529000000001</v>
      </c>
      <c r="AQ191" s="49">
        <v>9.6081970000000005</v>
      </c>
      <c r="AR191" s="49">
        <v>9.0261759999999995</v>
      </c>
      <c r="AS191" s="49">
        <v>9.2846119999999992</v>
      </c>
      <c r="AT191" s="49">
        <v>9.2360070000000007</v>
      </c>
      <c r="AU191" s="49">
        <v>9.3893360000000001</v>
      </c>
      <c r="AV191" s="49">
        <v>9.077515</v>
      </c>
      <c r="AW191" s="49">
        <v>8.8539320000000004</v>
      </c>
      <c r="AX191" s="49">
        <v>8.9995779999999996</v>
      </c>
      <c r="AY191" s="49">
        <v>9.5158740000000002</v>
      </c>
      <c r="AZ191" s="49">
        <v>9.2349840000000007</v>
      </c>
      <c r="BA191" s="49">
        <v>9.4544460000000008</v>
      </c>
      <c r="BB191" s="49">
        <v>9.6279789999999998</v>
      </c>
      <c r="BC191" s="49">
        <v>9.8102739999999997</v>
      </c>
      <c r="BD191" s="49">
        <v>9.5246420000000001</v>
      </c>
      <c r="BE191" s="49">
        <v>9.7133870000000009</v>
      </c>
      <c r="BF191" s="49">
        <v>9.4863339999999994</v>
      </c>
      <c r="BG191" s="49">
        <v>9.4825959999999991</v>
      </c>
      <c r="BH191" s="49">
        <v>9.6182269999999992</v>
      </c>
      <c r="BI191" s="49">
        <v>9.4357799999999994</v>
      </c>
      <c r="BJ191" s="49">
        <v>9.3774789999999992</v>
      </c>
      <c r="BK191" s="49">
        <v>8.7424020000000002</v>
      </c>
      <c r="BL191" s="49">
        <v>8.8646600000000007</v>
      </c>
    </row>
    <row r="192" spans="1:64" x14ac:dyDescent="0.3">
      <c r="A192" s="49">
        <v>230</v>
      </c>
      <c r="B192" s="49" t="s">
        <v>4838</v>
      </c>
      <c r="C192" s="49" t="s">
        <v>648</v>
      </c>
      <c r="AI192" s="49">
        <v>42.974699000000001</v>
      </c>
      <c r="AJ192" s="49">
        <v>43.254882000000002</v>
      </c>
      <c r="AK192" s="49">
        <v>40.990094999999997</v>
      </c>
      <c r="AL192" s="49">
        <v>43.249256000000003</v>
      </c>
      <c r="AM192" s="49">
        <v>39.673547999999997</v>
      </c>
      <c r="AN192" s="49">
        <v>42.960267999999999</v>
      </c>
      <c r="AO192" s="49">
        <v>40.232742999999999</v>
      </c>
      <c r="AP192" s="49">
        <v>41.324388999999996</v>
      </c>
      <c r="AQ192" s="49">
        <v>41.455100999999999</v>
      </c>
      <c r="AR192" s="49">
        <v>44.129733999999999</v>
      </c>
      <c r="AS192" s="49">
        <v>44.092529999999996</v>
      </c>
      <c r="AT192" s="49">
        <v>44.186329999999998</v>
      </c>
      <c r="AU192" s="49">
        <v>47.888801999999998</v>
      </c>
      <c r="AV192" s="49">
        <v>48.493651999999997</v>
      </c>
      <c r="AW192" s="49">
        <v>50.055911999999999</v>
      </c>
      <c r="AX192" s="49">
        <v>47.239967</v>
      </c>
      <c r="AY192" s="49">
        <v>54.946209000000003</v>
      </c>
      <c r="AZ192" s="49">
        <v>54.324451000000003</v>
      </c>
      <c r="BA192" s="49">
        <v>54.494402999999998</v>
      </c>
      <c r="BB192" s="49">
        <v>56.726999999999997</v>
      </c>
      <c r="BC192" s="49">
        <v>56.637177999999999</v>
      </c>
      <c r="BD192" s="49">
        <v>59.407848000000001</v>
      </c>
      <c r="BE192" s="49">
        <v>58.288141000000003</v>
      </c>
      <c r="BF192" s="49">
        <v>58.276268999999999</v>
      </c>
      <c r="BG192" s="49">
        <v>58.997143999999999</v>
      </c>
      <c r="BH192" s="49">
        <v>60.758747</v>
      </c>
      <c r="BI192" s="49">
        <v>61.428553999999998</v>
      </c>
      <c r="BJ192" s="49">
        <v>62.003132000000001</v>
      </c>
      <c r="BK192" s="49">
        <v>62.250681</v>
      </c>
      <c r="BL192" s="49">
        <v>63.627473999999999</v>
      </c>
    </row>
    <row r="193" spans="1:64" x14ac:dyDescent="0.3">
      <c r="A193" s="49">
        <v>231</v>
      </c>
      <c r="B193" s="49" t="s">
        <v>4837</v>
      </c>
      <c r="C193" s="49" t="s">
        <v>653</v>
      </c>
      <c r="D193" s="49">
        <v>159.099659</v>
      </c>
      <c r="E193" s="49">
        <v>150.82164700000001</v>
      </c>
      <c r="F193" s="49">
        <v>154.50349199999999</v>
      </c>
      <c r="G193" s="49">
        <v>152.25789599999999</v>
      </c>
      <c r="H193" s="49">
        <v>152.30377200000001</v>
      </c>
      <c r="I193" s="49">
        <v>153.16500199999999</v>
      </c>
      <c r="J193" s="49">
        <v>162.96226799999999</v>
      </c>
      <c r="K193" s="49">
        <v>159.192047</v>
      </c>
      <c r="L193" s="49">
        <v>152.274655</v>
      </c>
      <c r="M193" s="49">
        <v>152.51129399999999</v>
      </c>
      <c r="N193" s="49">
        <v>161.42496499999999</v>
      </c>
      <c r="O193" s="49">
        <v>152.36332200000001</v>
      </c>
      <c r="P193" s="49">
        <v>168.60727299999999</v>
      </c>
      <c r="Q193" s="49">
        <v>174.825907</v>
      </c>
      <c r="R193" s="49">
        <v>182.15781899999999</v>
      </c>
      <c r="S193" s="49">
        <v>183.008206</v>
      </c>
      <c r="T193" s="49">
        <v>185.96598900000001</v>
      </c>
      <c r="U193" s="49">
        <v>178.52238299999999</v>
      </c>
      <c r="V193" s="49">
        <v>184.241939</v>
      </c>
      <c r="W193" s="49">
        <v>189.131236</v>
      </c>
      <c r="X193" s="49">
        <v>201.50526199999999</v>
      </c>
      <c r="Y193" s="49">
        <v>198.00833</v>
      </c>
      <c r="Z193" s="49">
        <v>157.847217</v>
      </c>
      <c r="AA193" s="49">
        <v>187.61145300000001</v>
      </c>
      <c r="AB193" s="49">
        <v>187.32954799999999</v>
      </c>
      <c r="AC193" s="49">
        <v>173.24935199999999</v>
      </c>
      <c r="AD193" s="49">
        <v>157.87892600000001</v>
      </c>
      <c r="AE193" s="49">
        <v>151.448567</v>
      </c>
      <c r="AF193" s="49">
        <v>167.30080599999999</v>
      </c>
      <c r="AG193" s="49">
        <v>172.04945000000001</v>
      </c>
      <c r="AH193" s="49">
        <v>233.58219199999999</v>
      </c>
      <c r="AI193" s="49">
        <v>236.810193</v>
      </c>
      <c r="AJ193" s="49">
        <v>227.94753800000001</v>
      </c>
      <c r="AK193" s="49">
        <v>242.14930699999999</v>
      </c>
      <c r="AL193" s="49">
        <v>238.93082699999999</v>
      </c>
      <c r="AM193" s="49">
        <v>244.316033</v>
      </c>
      <c r="AN193" s="49">
        <v>251.48876899999999</v>
      </c>
      <c r="AO193" s="49">
        <v>246.13776799999999</v>
      </c>
      <c r="AP193" s="49">
        <v>246.91059100000001</v>
      </c>
      <c r="AQ193" s="49">
        <v>245.44722999999999</v>
      </c>
      <c r="AR193" s="49">
        <v>240.08481499999999</v>
      </c>
      <c r="AS193" s="49">
        <v>233.965014</v>
      </c>
      <c r="AT193" s="49">
        <v>241.015995</v>
      </c>
      <c r="AU193" s="49">
        <v>241.232665</v>
      </c>
      <c r="AV193" s="49">
        <v>241.75960499999999</v>
      </c>
      <c r="AW193" s="49">
        <v>234.26799600000001</v>
      </c>
      <c r="AX193" s="49">
        <v>235.90442300000001</v>
      </c>
      <c r="AY193" s="49">
        <v>242.37224699999999</v>
      </c>
      <c r="AZ193" s="49">
        <v>237.24496400000001</v>
      </c>
      <c r="BA193" s="49">
        <v>243.11576400000001</v>
      </c>
      <c r="BB193" s="49">
        <v>233.43204900000001</v>
      </c>
      <c r="BC193" s="49">
        <v>246.380841</v>
      </c>
      <c r="BD193" s="49">
        <v>239.87988799999999</v>
      </c>
      <c r="BE193" s="49">
        <v>248.61393699999999</v>
      </c>
      <c r="BF193" s="49">
        <v>247.26866899999999</v>
      </c>
      <c r="BG193" s="49">
        <v>251.618483</v>
      </c>
      <c r="BH193" s="49">
        <v>252.18292500000001</v>
      </c>
      <c r="BI193" s="49">
        <v>247.956762</v>
      </c>
      <c r="BJ193" s="49">
        <v>232.26119600000001</v>
      </c>
      <c r="BK193" s="49">
        <v>238.41486</v>
      </c>
      <c r="BL193" s="49">
        <v>248.31345400000001</v>
      </c>
    </row>
    <row r="194" spans="1:64" x14ac:dyDescent="0.3">
      <c r="A194" s="49">
        <v>233</v>
      </c>
      <c r="B194" s="49" t="s">
        <v>4836</v>
      </c>
      <c r="C194" s="49" t="s">
        <v>180</v>
      </c>
      <c r="D194" s="49">
        <v>4.2442970000000004</v>
      </c>
      <c r="E194" s="49">
        <v>4.5492039999999996</v>
      </c>
      <c r="F194" s="49">
        <v>4.6655119999999997</v>
      </c>
      <c r="G194" s="49">
        <v>4.7433639999999997</v>
      </c>
      <c r="H194" s="49">
        <v>4.7701159999999998</v>
      </c>
      <c r="I194" s="49">
        <v>4.9117550000000003</v>
      </c>
      <c r="J194" s="49">
        <v>5.4877890000000003</v>
      </c>
      <c r="K194" s="49">
        <v>4.4129849999999999</v>
      </c>
      <c r="L194" s="49">
        <v>5.2045579999999996</v>
      </c>
      <c r="M194" s="49">
        <v>5.0649470000000001</v>
      </c>
      <c r="N194" s="49">
        <v>4.81867</v>
      </c>
      <c r="O194" s="49">
        <v>4.6284429999999999</v>
      </c>
      <c r="P194" s="49">
        <v>4.6469459999999998</v>
      </c>
      <c r="Q194" s="49">
        <v>5.4202940000000002</v>
      </c>
      <c r="R194" s="49">
        <v>5.5417249999999996</v>
      </c>
      <c r="S194" s="49">
        <v>4.9268609999999997</v>
      </c>
      <c r="T194" s="49">
        <v>5.1807489999999996</v>
      </c>
      <c r="U194" s="49">
        <v>5.0723219999999998</v>
      </c>
      <c r="V194" s="49">
        <v>5.0987619999999998</v>
      </c>
      <c r="W194" s="49">
        <v>4.6012339999999998</v>
      </c>
      <c r="X194" s="49">
        <v>5.455368</v>
      </c>
      <c r="Y194" s="49">
        <v>5.3043089999999999</v>
      </c>
      <c r="Z194" s="49">
        <v>5.3396499999999998</v>
      </c>
      <c r="AA194" s="49">
        <v>4.6615359999999999</v>
      </c>
      <c r="AB194" s="49">
        <v>5.8119420000000002</v>
      </c>
      <c r="AC194" s="49">
        <v>6.9702489999999999</v>
      </c>
      <c r="AD194" s="49">
        <v>6.5733579999999998</v>
      </c>
      <c r="AE194" s="49">
        <v>7.5159789999999997</v>
      </c>
      <c r="AF194" s="49">
        <v>7.4170119999999997</v>
      </c>
      <c r="AG194" s="49">
        <v>6.4835659999999997</v>
      </c>
      <c r="AH194" s="49">
        <v>8.6706660000000007</v>
      </c>
      <c r="AI194" s="49">
        <v>8.6841010000000001</v>
      </c>
      <c r="AJ194" s="49">
        <v>7.9884360000000001</v>
      </c>
      <c r="AK194" s="49">
        <v>8.4524849999999994</v>
      </c>
      <c r="AL194" s="49">
        <v>8.1340319999999995</v>
      </c>
      <c r="AM194" s="49">
        <v>8.4570240000000005</v>
      </c>
      <c r="AN194" s="49">
        <v>8.7760639999999999</v>
      </c>
      <c r="AO194" s="49">
        <v>9.6851780000000005</v>
      </c>
      <c r="AP194" s="49">
        <v>9.2546569999999999</v>
      </c>
      <c r="AQ194" s="49">
        <v>7.8715640000000002</v>
      </c>
      <c r="AR194" s="49">
        <v>11.001257000000001</v>
      </c>
      <c r="AS194" s="49">
        <v>11.207663</v>
      </c>
      <c r="AT194" s="49">
        <v>12.576991</v>
      </c>
      <c r="AU194" s="49">
        <v>11.050024000000001</v>
      </c>
      <c r="AV194" s="49">
        <v>12.360899</v>
      </c>
      <c r="AW194" s="49">
        <v>11.894311</v>
      </c>
      <c r="AX194" s="49">
        <v>11.244545</v>
      </c>
      <c r="AY194" s="49">
        <v>14.857339</v>
      </c>
      <c r="AZ194" s="49">
        <v>13.137064000000001</v>
      </c>
      <c r="BA194" s="49">
        <v>15.523709999999999</v>
      </c>
      <c r="BB194" s="49">
        <v>13.347229</v>
      </c>
      <c r="BC194" s="49">
        <v>15.497712</v>
      </c>
      <c r="BD194" s="49">
        <v>16.515226999999999</v>
      </c>
      <c r="BE194" s="49">
        <v>16.094384000000002</v>
      </c>
      <c r="BF194" s="49">
        <v>15.639639000000001</v>
      </c>
      <c r="BG194" s="49">
        <v>17.021963</v>
      </c>
      <c r="BH194" s="49">
        <v>17.707749</v>
      </c>
      <c r="BI194" s="49">
        <v>17.858246000000001</v>
      </c>
      <c r="BJ194" s="49">
        <v>18.938890000000001</v>
      </c>
      <c r="BK194" s="49">
        <v>19.266269000000001</v>
      </c>
      <c r="BL194" s="49">
        <v>17.579725</v>
      </c>
    </row>
    <row r="195" spans="1:64" x14ac:dyDescent="0.3">
      <c r="A195" s="49">
        <v>234</v>
      </c>
      <c r="B195" s="49" t="s">
        <v>4835</v>
      </c>
      <c r="C195" s="49" t="s">
        <v>661</v>
      </c>
      <c r="D195" s="49">
        <v>2.2042299999999999</v>
      </c>
      <c r="E195" s="49">
        <v>2.119907</v>
      </c>
      <c r="F195" s="49">
        <v>2.0177610000000001</v>
      </c>
      <c r="G195" s="49">
        <v>2.1592129999999998</v>
      </c>
      <c r="H195" s="49">
        <v>2.2920980000000002</v>
      </c>
      <c r="I195" s="49">
        <v>2.0606469999999999</v>
      </c>
      <c r="J195" s="49">
        <v>1.6164590000000001</v>
      </c>
      <c r="K195" s="49">
        <v>2.1237080000000002</v>
      </c>
      <c r="L195" s="49">
        <v>1.988518</v>
      </c>
      <c r="M195" s="49">
        <v>1.983223</v>
      </c>
      <c r="N195" s="49">
        <v>1.8324940000000001</v>
      </c>
      <c r="O195" s="49">
        <v>1.4681470000000001</v>
      </c>
      <c r="P195" s="49">
        <v>1.92476</v>
      </c>
      <c r="Q195" s="49">
        <v>2.0641690000000001</v>
      </c>
      <c r="R195" s="49">
        <v>2.0915469999999998</v>
      </c>
      <c r="S195" s="49">
        <v>2.2738399999999999</v>
      </c>
      <c r="T195" s="49">
        <v>1.7533339999999999</v>
      </c>
      <c r="U195" s="49">
        <v>1.687757</v>
      </c>
      <c r="V195" s="49">
        <v>1.6703650000000001</v>
      </c>
      <c r="W195" s="49">
        <v>1.4832479999999999</v>
      </c>
      <c r="X195" s="49">
        <v>1.6747799999999999</v>
      </c>
      <c r="Y195" s="49">
        <v>1.361634</v>
      </c>
      <c r="Z195" s="49">
        <v>1.419565</v>
      </c>
      <c r="AA195" s="49">
        <v>1.3799650000000001</v>
      </c>
      <c r="AB195" s="49">
        <v>1.443573</v>
      </c>
      <c r="AC195" s="49">
        <v>1.3228489999999999</v>
      </c>
      <c r="AD195" s="49">
        <v>1.3370359999999999</v>
      </c>
      <c r="AE195" s="49">
        <v>1.382236</v>
      </c>
      <c r="AF195" s="49">
        <v>1.508583</v>
      </c>
      <c r="AG195" s="49">
        <v>1.356992</v>
      </c>
      <c r="AH195" s="49">
        <v>1.3494839999999999</v>
      </c>
      <c r="AI195" s="49">
        <v>1.607993</v>
      </c>
      <c r="AJ195" s="49">
        <v>1.632879</v>
      </c>
      <c r="AK195" s="49">
        <v>1.443568</v>
      </c>
      <c r="AL195" s="49">
        <v>1.6775549999999999</v>
      </c>
      <c r="AM195" s="49">
        <v>1.859626</v>
      </c>
      <c r="AN195" s="49">
        <v>1.8686400000000001</v>
      </c>
      <c r="AO195" s="49">
        <v>1.6368609999999999</v>
      </c>
      <c r="AP195" s="49">
        <v>1.7655529999999999</v>
      </c>
      <c r="AQ195" s="49">
        <v>1.3179799999999999</v>
      </c>
      <c r="AR195" s="49">
        <v>1.42323</v>
      </c>
      <c r="AS195" s="49">
        <v>1.56823</v>
      </c>
      <c r="AT195" s="49">
        <v>1.930124</v>
      </c>
      <c r="AU195" s="49">
        <v>2.311461</v>
      </c>
      <c r="AV195" s="49">
        <v>2.473306</v>
      </c>
      <c r="AW195" s="49">
        <v>2.400007</v>
      </c>
      <c r="AX195" s="49">
        <v>2.5973980000000001</v>
      </c>
      <c r="AY195" s="49">
        <v>3.040133</v>
      </c>
      <c r="AZ195" s="49">
        <v>4.0183660000000003</v>
      </c>
      <c r="BA195" s="49">
        <v>4.6353840000000002</v>
      </c>
      <c r="BB195" s="49">
        <v>4.4825169999999996</v>
      </c>
      <c r="BC195" s="49">
        <v>5.1542019999999997</v>
      </c>
      <c r="BD195" s="49">
        <v>5.2359739999999997</v>
      </c>
      <c r="BE195" s="49">
        <v>6.0192940000000004</v>
      </c>
      <c r="BF195" s="49">
        <v>5.9921860000000002</v>
      </c>
      <c r="BG195" s="49">
        <v>5.1943510000000002</v>
      </c>
      <c r="BH195" s="49">
        <v>5.0099900000000002</v>
      </c>
      <c r="BI195" s="49">
        <v>4.899019</v>
      </c>
      <c r="BJ195" s="49">
        <v>4.5763499999999997</v>
      </c>
      <c r="BK195" s="49">
        <v>4.5474160000000001</v>
      </c>
      <c r="BL195" s="49">
        <v>4.7230540000000003</v>
      </c>
    </row>
    <row r="196" spans="1:64" x14ac:dyDescent="0.3">
      <c r="A196" s="49">
        <v>235</v>
      </c>
      <c r="B196" s="49" t="s">
        <v>4834</v>
      </c>
      <c r="C196" s="49" t="s">
        <v>668</v>
      </c>
      <c r="AI196" s="49">
        <v>10.281181</v>
      </c>
      <c r="AJ196" s="49">
        <v>10.424626999999999</v>
      </c>
      <c r="AK196" s="49">
        <v>10.315064</v>
      </c>
      <c r="AL196" s="49">
        <v>10.359463</v>
      </c>
      <c r="AM196" s="49">
        <v>10.452686</v>
      </c>
      <c r="AN196" s="49">
        <v>10.836395</v>
      </c>
      <c r="AO196" s="49">
        <v>10.626814</v>
      </c>
      <c r="AP196" s="49">
        <v>10.765905999999999</v>
      </c>
      <c r="AQ196" s="49">
        <v>9.9921819999999997</v>
      </c>
      <c r="AR196" s="49">
        <v>9.7139369999999996</v>
      </c>
      <c r="AS196" s="49">
        <v>9.8632749999999998</v>
      </c>
      <c r="AT196" s="49">
        <v>10.316151</v>
      </c>
      <c r="AU196" s="49">
        <v>10.334655</v>
      </c>
      <c r="AV196" s="49">
        <v>10.083043</v>
      </c>
      <c r="AW196" s="49">
        <v>10.25614</v>
      </c>
      <c r="AX196" s="49">
        <v>10.128213000000001</v>
      </c>
      <c r="AY196" s="49">
        <v>10.189890999999999</v>
      </c>
      <c r="AZ196" s="49">
        <v>10.031046</v>
      </c>
      <c r="BA196" s="49">
        <v>10.208515</v>
      </c>
      <c r="BB196" s="49">
        <v>9.9698089999999997</v>
      </c>
      <c r="BC196" s="49">
        <v>9.9924230000000005</v>
      </c>
      <c r="BD196" s="49">
        <v>10.079841999999999</v>
      </c>
      <c r="BE196" s="49">
        <v>10.126295000000001</v>
      </c>
      <c r="BF196" s="49">
        <v>10.199515999999999</v>
      </c>
      <c r="BG196" s="49">
        <v>10.149278000000001</v>
      </c>
      <c r="BH196" s="49">
        <v>9.651643</v>
      </c>
      <c r="BI196" s="49">
        <v>9.0302389999999999</v>
      </c>
      <c r="BJ196" s="49">
        <v>8.9539659999999994</v>
      </c>
      <c r="BK196" s="49">
        <v>9.1203249999999993</v>
      </c>
      <c r="BL196" s="49">
        <v>8.7912239999999997</v>
      </c>
    </row>
    <row r="197" spans="1:64" x14ac:dyDescent="0.3">
      <c r="A197" s="49">
        <v>236</v>
      </c>
      <c r="B197" s="49" t="s">
        <v>4833</v>
      </c>
      <c r="C197" s="49" t="s">
        <v>674</v>
      </c>
      <c r="D197" s="49">
        <v>2.1982629999999999</v>
      </c>
      <c r="E197" s="49">
        <v>2.3585029999999998</v>
      </c>
      <c r="F197" s="49">
        <v>2.3060860000000001</v>
      </c>
      <c r="G197" s="49">
        <v>2.3664740000000002</v>
      </c>
      <c r="H197" s="49">
        <v>2.5266700000000002</v>
      </c>
      <c r="I197" s="49">
        <v>2.5245989999999998</v>
      </c>
      <c r="J197" s="49">
        <v>2.9102389999999998</v>
      </c>
      <c r="K197" s="49">
        <v>2.9582709999999999</v>
      </c>
      <c r="L197" s="49">
        <v>3.032702</v>
      </c>
      <c r="M197" s="49">
        <v>2.9682369999999998</v>
      </c>
      <c r="N197" s="49">
        <v>2.9511569999999998</v>
      </c>
      <c r="O197" s="49">
        <v>2.5263599999999999</v>
      </c>
      <c r="P197" s="49">
        <v>2.5075069999999999</v>
      </c>
      <c r="Q197" s="49">
        <v>2.730146</v>
      </c>
      <c r="R197" s="49">
        <v>2.8243580000000001</v>
      </c>
      <c r="S197" s="49">
        <v>2.4005030000000001</v>
      </c>
      <c r="T197" s="49">
        <v>3.0799159999999999</v>
      </c>
      <c r="U197" s="49">
        <v>2.9667400000000002</v>
      </c>
      <c r="V197" s="49">
        <v>3.0178280000000002</v>
      </c>
      <c r="W197" s="49">
        <v>2.9631690000000002</v>
      </c>
      <c r="X197" s="49">
        <v>2.882876</v>
      </c>
      <c r="Y197" s="49">
        <v>2.841961</v>
      </c>
      <c r="Z197" s="49">
        <v>2.7116229999999999</v>
      </c>
      <c r="AA197" s="49">
        <v>2.7236579999999999</v>
      </c>
      <c r="AB197" s="49">
        <v>3.2384249999999999</v>
      </c>
      <c r="AC197" s="49">
        <v>3.8143769999999999</v>
      </c>
      <c r="AD197" s="49">
        <v>4.0294220000000003</v>
      </c>
      <c r="AE197" s="49">
        <v>4.0631240000000002</v>
      </c>
      <c r="AF197" s="49">
        <v>3.4479199999999999</v>
      </c>
      <c r="AG197" s="49">
        <v>3.2762889999999998</v>
      </c>
      <c r="AH197" s="49">
        <v>4.0167460000000004</v>
      </c>
      <c r="AI197" s="49">
        <v>3.4859810000000002</v>
      </c>
      <c r="AJ197" s="49">
        <v>3.256691</v>
      </c>
      <c r="AK197" s="49">
        <v>3.3003719999999999</v>
      </c>
      <c r="AL197" s="49">
        <v>3.3650829999999998</v>
      </c>
      <c r="AM197" s="49">
        <v>3.2490489999999999</v>
      </c>
      <c r="AN197" s="49">
        <v>3.4018510000000002</v>
      </c>
      <c r="AO197" s="49">
        <v>3.2474419999999999</v>
      </c>
      <c r="AP197" s="49">
        <v>3.197962</v>
      </c>
      <c r="AQ197" s="49">
        <v>3.5825209999999998</v>
      </c>
      <c r="AR197" s="49">
        <v>3.6471559999999998</v>
      </c>
      <c r="AS197" s="49">
        <v>3.1870660000000002</v>
      </c>
      <c r="AT197" s="49">
        <v>3.4539569999999999</v>
      </c>
      <c r="AU197" s="49">
        <v>3.8412109999999999</v>
      </c>
      <c r="AV197" s="49">
        <v>4.0393970000000001</v>
      </c>
      <c r="AW197" s="49">
        <v>4.0378109999999996</v>
      </c>
      <c r="AX197" s="49">
        <v>4.0050889999999999</v>
      </c>
      <c r="AY197" s="49">
        <v>4.1785940000000004</v>
      </c>
      <c r="AZ197" s="49">
        <v>4.1815550000000004</v>
      </c>
      <c r="BA197" s="49">
        <v>4.1442079999999999</v>
      </c>
      <c r="BB197" s="49">
        <v>4.1334679999999997</v>
      </c>
      <c r="BC197" s="49">
        <v>3.4723280000000001</v>
      </c>
      <c r="BD197" s="49">
        <v>3.539593</v>
      </c>
      <c r="BE197" s="49">
        <v>3.4845510000000002</v>
      </c>
      <c r="BF197" s="49">
        <v>3.130512</v>
      </c>
      <c r="BG197" s="49">
        <v>2.8902510000000001</v>
      </c>
      <c r="BH197" s="49">
        <v>2.9689779999999999</v>
      </c>
      <c r="BI197" s="49">
        <v>2.643402</v>
      </c>
      <c r="BJ197" s="49">
        <v>2.6234090000000001</v>
      </c>
      <c r="BK197" s="49">
        <v>2.943441</v>
      </c>
      <c r="BL197" s="49">
        <v>3.1349209999999998</v>
      </c>
    </row>
    <row r="198" spans="1:64" x14ac:dyDescent="0.3">
      <c r="A198" s="49">
        <v>237</v>
      </c>
      <c r="B198" s="49" t="s">
        <v>4832</v>
      </c>
      <c r="C198" s="49" t="s">
        <v>676</v>
      </c>
      <c r="D198" s="49">
        <v>12.266859999999999</v>
      </c>
      <c r="E198" s="49">
        <v>12.665158999999999</v>
      </c>
      <c r="F198" s="49">
        <v>11.93845</v>
      </c>
      <c r="G198" s="49">
        <v>12.91841</v>
      </c>
      <c r="H198" s="49">
        <v>12.639139999999999</v>
      </c>
      <c r="I198" s="49">
        <v>12.30505</v>
      </c>
      <c r="J198" s="49">
        <v>12.47508</v>
      </c>
      <c r="K198" s="49">
        <v>12.654249999999999</v>
      </c>
      <c r="L198" s="49">
        <v>12.69528</v>
      </c>
      <c r="M198" s="49">
        <v>12.294169999999999</v>
      </c>
      <c r="N198" s="49">
        <v>12.26765</v>
      </c>
      <c r="O198" s="49">
        <v>12.724360000000001</v>
      </c>
      <c r="P198" s="49">
        <v>13.010925</v>
      </c>
      <c r="Q198" s="49">
        <v>13.22566</v>
      </c>
      <c r="R198" s="49">
        <v>12.709680000000001</v>
      </c>
      <c r="S198" s="49">
        <v>14.134126</v>
      </c>
      <c r="T198" s="49">
        <v>15.142810000000001</v>
      </c>
      <c r="U198" s="49">
        <v>15.405093000000001</v>
      </c>
      <c r="V198" s="49">
        <v>15.697967999999999</v>
      </c>
      <c r="W198" s="49">
        <v>16.057580000000002</v>
      </c>
      <c r="X198" s="49">
        <v>16.227440000000001</v>
      </c>
      <c r="Y198" s="49">
        <v>16.31352</v>
      </c>
      <c r="Z198" s="49">
        <v>16.050393</v>
      </c>
      <c r="AA198" s="49">
        <v>16.352931000000002</v>
      </c>
      <c r="AB198" s="49">
        <v>16.477281999999999</v>
      </c>
      <c r="AC198" s="49">
        <v>16.629366000000001</v>
      </c>
      <c r="AD198" s="49">
        <v>16.613045</v>
      </c>
      <c r="AE198" s="49">
        <v>17.05161</v>
      </c>
      <c r="AF198" s="49">
        <v>17.315522000000001</v>
      </c>
      <c r="AG198" s="49">
        <v>17.504498000000002</v>
      </c>
      <c r="AH198" s="49">
        <v>19.458794999999999</v>
      </c>
      <c r="AI198" s="49">
        <v>19.825952000000001</v>
      </c>
      <c r="AJ198" s="49">
        <v>20.280902000000001</v>
      </c>
      <c r="AK198" s="49">
        <v>20.632045000000002</v>
      </c>
      <c r="AL198" s="49">
        <v>21.186143999999999</v>
      </c>
      <c r="AM198" s="49">
        <v>22.020039000000001</v>
      </c>
      <c r="AN198" s="49">
        <v>22.286867999999998</v>
      </c>
      <c r="AO198" s="49">
        <v>23.039850000000001</v>
      </c>
      <c r="AP198" s="49">
        <v>24.009398999999998</v>
      </c>
      <c r="AQ198" s="49">
        <v>24.218506000000001</v>
      </c>
      <c r="AR198" s="49">
        <v>24.143926</v>
      </c>
      <c r="AS198" s="49">
        <v>24.717134000000001</v>
      </c>
      <c r="AT198" s="49">
        <v>24.773675999999998</v>
      </c>
      <c r="AU198" s="49">
        <v>25.163647999999998</v>
      </c>
      <c r="AV198" s="49">
        <v>25.260861999999999</v>
      </c>
      <c r="AW198" s="49">
        <v>25.340572000000002</v>
      </c>
      <c r="AX198" s="49">
        <v>25.404281999999998</v>
      </c>
      <c r="AY198" s="49">
        <v>26.507594000000001</v>
      </c>
      <c r="AZ198" s="49">
        <v>25.630026000000001</v>
      </c>
      <c r="BA198" s="49">
        <v>26.089873999999998</v>
      </c>
      <c r="BB198" s="49">
        <v>26.309525000000001</v>
      </c>
      <c r="BC198" s="49">
        <v>27.180318</v>
      </c>
      <c r="BD198" s="49">
        <v>27.773071000000002</v>
      </c>
      <c r="BE198" s="49">
        <v>27.690065000000001</v>
      </c>
      <c r="BF198" s="49">
        <v>27.565179000000001</v>
      </c>
      <c r="BG198" s="49">
        <v>27.257677999999999</v>
      </c>
      <c r="BH198" s="49">
        <v>27.179938</v>
      </c>
      <c r="BI198" s="49">
        <v>26.969715999999998</v>
      </c>
      <c r="BJ198" s="49">
        <v>26.504142999999999</v>
      </c>
      <c r="BK198" s="49">
        <v>25.940317</v>
      </c>
      <c r="BL198" s="49">
        <v>25.919962000000002</v>
      </c>
    </row>
    <row r="199" spans="1:64" x14ac:dyDescent="0.3">
      <c r="A199" s="49">
        <v>238</v>
      </c>
      <c r="B199" s="49" t="s">
        <v>4831</v>
      </c>
      <c r="C199" s="49" t="s">
        <v>279</v>
      </c>
      <c r="AJ199" s="49">
        <v>12.497002</v>
      </c>
      <c r="AK199" s="49">
        <v>15.541520999999999</v>
      </c>
      <c r="AL199" s="49">
        <v>18.170029</v>
      </c>
      <c r="AM199" s="49">
        <v>20.882045999999999</v>
      </c>
      <c r="AN199" s="49">
        <v>19.956067999999998</v>
      </c>
      <c r="AO199" s="49">
        <v>17.925989000000001</v>
      </c>
      <c r="AP199" s="49">
        <v>20.073692000000001</v>
      </c>
      <c r="AQ199" s="49">
        <v>19.944210000000002</v>
      </c>
      <c r="AR199" s="49">
        <v>22.615613</v>
      </c>
      <c r="AS199" s="49">
        <v>19.001842</v>
      </c>
      <c r="AT199" s="49">
        <v>23.211918000000001</v>
      </c>
      <c r="AU199" s="49">
        <v>24.188526</v>
      </c>
      <c r="AV199" s="49">
        <v>26.452563999999999</v>
      </c>
      <c r="AW199" s="49">
        <v>23.840330000000002</v>
      </c>
      <c r="AX199" s="49">
        <v>26.931201999999999</v>
      </c>
      <c r="AY199" s="49">
        <v>28.291274999999999</v>
      </c>
      <c r="AZ199" s="49">
        <v>28.761907000000001</v>
      </c>
      <c r="BA199" s="49">
        <v>29.55078</v>
      </c>
      <c r="BB199" s="49">
        <v>30.319106000000001</v>
      </c>
      <c r="BC199" s="49">
        <v>31.131681</v>
      </c>
      <c r="BD199" s="49">
        <v>31.48067</v>
      </c>
      <c r="BE199" s="49">
        <v>31.573508</v>
      </c>
      <c r="BF199" s="49">
        <v>32.396044000000003</v>
      </c>
      <c r="BG199" s="49">
        <v>32.695883000000002</v>
      </c>
      <c r="BH199" s="49">
        <v>32.788929000000003</v>
      </c>
      <c r="BI199" s="49">
        <v>30.200403000000001</v>
      </c>
      <c r="BJ199" s="49">
        <v>30.390063999999999</v>
      </c>
      <c r="BK199" s="49">
        <v>31.0425</v>
      </c>
      <c r="BL199" s="49">
        <v>31.002638999999999</v>
      </c>
    </row>
    <row r="200" spans="1:64" x14ac:dyDescent="0.3">
      <c r="A200" s="49">
        <v>244</v>
      </c>
      <c r="B200" s="49" t="s">
        <v>4830</v>
      </c>
      <c r="C200" s="49" t="s">
        <v>557</v>
      </c>
      <c r="D200" s="49">
        <v>5.6836999999999999E-2</v>
      </c>
      <c r="E200" s="49">
        <v>6.4863000000000004E-2</v>
      </c>
      <c r="F200" s="49">
        <v>5.7839000000000002E-2</v>
      </c>
      <c r="G200" s="49">
        <v>6.0493999999999999E-2</v>
      </c>
      <c r="H200" s="49">
        <v>6.6076999999999997E-2</v>
      </c>
      <c r="I200" s="49">
        <v>6.8199999999999997E-2</v>
      </c>
      <c r="J200" s="49">
        <v>5.7318000000000001E-2</v>
      </c>
      <c r="K200" s="49">
        <v>6.4187999999999995E-2</v>
      </c>
      <c r="L200" s="49">
        <v>6.8944000000000005E-2</v>
      </c>
      <c r="M200" s="49">
        <v>6.3733999999999999E-2</v>
      </c>
      <c r="N200" s="49">
        <v>6.8359000000000003E-2</v>
      </c>
      <c r="O200" s="49">
        <v>6.6362000000000004E-2</v>
      </c>
      <c r="P200" s="49">
        <v>6.6536999999999999E-2</v>
      </c>
      <c r="Q200" s="49">
        <v>6.6069000000000003E-2</v>
      </c>
      <c r="R200" s="49">
        <v>6.5726000000000007E-2</v>
      </c>
      <c r="S200" s="49">
        <v>6.8692000000000003E-2</v>
      </c>
      <c r="T200" s="49">
        <v>6.9694000000000006E-2</v>
      </c>
      <c r="U200" s="49">
        <v>7.1917999999999996E-2</v>
      </c>
      <c r="V200" s="49">
        <v>7.3625999999999997E-2</v>
      </c>
      <c r="W200" s="49">
        <v>7.4910000000000004E-2</v>
      </c>
      <c r="X200" s="49">
        <v>7.7306E-2</v>
      </c>
      <c r="Y200" s="49">
        <v>7.5786999999999993E-2</v>
      </c>
      <c r="Z200" s="49">
        <v>7.6735999999999999E-2</v>
      </c>
      <c r="AA200" s="49">
        <v>7.7837000000000003E-2</v>
      </c>
      <c r="AB200" s="49">
        <v>7.8738000000000002E-2</v>
      </c>
      <c r="AC200" s="49">
        <v>7.7774999999999997E-2</v>
      </c>
      <c r="AD200" s="49">
        <v>7.7384999999999995E-2</v>
      </c>
      <c r="AE200" s="49">
        <v>7.7134999999999995E-2</v>
      </c>
      <c r="AF200" s="49">
        <v>4.9931000000000003E-2</v>
      </c>
      <c r="AG200" s="49">
        <v>4.8779000000000003E-2</v>
      </c>
      <c r="AH200" s="49">
        <v>9.0948000000000001E-2</v>
      </c>
      <c r="AI200" s="49">
        <v>9.1084999999999999E-2</v>
      </c>
      <c r="AJ200" s="49">
        <v>8.8535000000000003E-2</v>
      </c>
      <c r="AK200" s="49">
        <v>8.7564000000000003E-2</v>
      </c>
      <c r="AL200" s="49">
        <v>9.1281000000000001E-2</v>
      </c>
      <c r="AM200" s="49">
        <v>9.6934999999999993E-2</v>
      </c>
      <c r="AN200" s="49">
        <v>0.100337</v>
      </c>
      <c r="AO200" s="49">
        <v>0.10431799999999999</v>
      </c>
      <c r="AP200" s="49">
        <v>9.7017999999999993E-2</v>
      </c>
      <c r="AQ200" s="49">
        <v>9.8558999999999994E-2</v>
      </c>
      <c r="AR200" s="49">
        <v>0.10126499999999999</v>
      </c>
      <c r="AS200" s="49">
        <v>0.10334500000000001</v>
      </c>
      <c r="AT200" s="49">
        <v>0.104353</v>
      </c>
      <c r="AU200" s="49">
        <v>0.10423499999999999</v>
      </c>
      <c r="AV200" s="49">
        <v>0.106989</v>
      </c>
      <c r="AW200" s="49">
        <v>0.10523200000000001</v>
      </c>
      <c r="AX200" s="49">
        <v>9.9352999999999997E-2</v>
      </c>
      <c r="AY200" s="49">
        <v>0.105459</v>
      </c>
      <c r="AZ200" s="49">
        <v>0.114204</v>
      </c>
      <c r="BA200" s="49">
        <v>0.11447</v>
      </c>
      <c r="BB200" s="49">
        <v>0.116956</v>
      </c>
      <c r="BC200" s="49">
        <v>0.118405</v>
      </c>
      <c r="BD200" s="49">
        <v>0.118408</v>
      </c>
      <c r="BE200" s="49">
        <v>0.117606</v>
      </c>
      <c r="BF200" s="49">
        <v>8.6300000000000002E-2</v>
      </c>
      <c r="BG200" s="49">
        <v>8.6625999999999995E-2</v>
      </c>
      <c r="BH200" s="49">
        <v>8.6794999999999997E-2</v>
      </c>
      <c r="BI200" s="49">
        <v>7.9520999999999994E-2</v>
      </c>
      <c r="BJ200" s="49">
        <v>8.6350999999999997E-2</v>
      </c>
      <c r="BK200" s="49">
        <v>8.6988999999999997E-2</v>
      </c>
      <c r="BL200" s="49">
        <v>9.1023999999999994E-2</v>
      </c>
    </row>
    <row r="201" spans="1:64" x14ac:dyDescent="0.3">
      <c r="A201" s="49">
        <v>248</v>
      </c>
      <c r="B201" s="49" t="s">
        <v>4829</v>
      </c>
      <c r="C201" s="49" t="s">
        <v>687</v>
      </c>
      <c r="D201" s="49">
        <v>15.137218000000001</v>
      </c>
      <c r="E201" s="49">
        <v>15.218766</v>
      </c>
      <c r="F201" s="49">
        <v>15.259740000000001</v>
      </c>
      <c r="G201" s="49">
        <v>15.181096</v>
      </c>
      <c r="H201" s="49">
        <v>14.596384</v>
      </c>
      <c r="I201" s="49">
        <v>13.249599999999999</v>
      </c>
      <c r="J201" s="49">
        <v>13.094666</v>
      </c>
      <c r="K201" s="49">
        <v>13.094192</v>
      </c>
      <c r="L201" s="49">
        <v>12.930139</v>
      </c>
      <c r="M201" s="49">
        <v>12.375102</v>
      </c>
      <c r="N201" s="49">
        <v>12.623613000000001</v>
      </c>
      <c r="O201" s="49">
        <v>12.458913000000001</v>
      </c>
      <c r="P201" s="49">
        <v>12.150731</v>
      </c>
      <c r="Q201" s="49">
        <v>12.170055</v>
      </c>
      <c r="R201" s="49">
        <v>11.996698</v>
      </c>
      <c r="S201" s="49">
        <v>11.979708</v>
      </c>
      <c r="T201" s="49">
        <v>11.721728000000001</v>
      </c>
      <c r="U201" s="49">
        <v>11.447794999999999</v>
      </c>
      <c r="V201" s="49">
        <v>11.419299000000001</v>
      </c>
      <c r="W201" s="49">
        <v>11.131579</v>
      </c>
      <c r="X201" s="49">
        <v>11.194851999999999</v>
      </c>
      <c r="Y201" s="49">
        <v>11.284476</v>
      </c>
      <c r="Z201" s="49">
        <v>11.346397</v>
      </c>
      <c r="AA201" s="49">
        <v>11.074445000000001</v>
      </c>
      <c r="AB201" s="49">
        <v>11.790319999999999</v>
      </c>
      <c r="AC201" s="49">
        <v>11.905575000000001</v>
      </c>
      <c r="AD201" s="49">
        <v>11.751109</v>
      </c>
      <c r="AE201" s="49">
        <v>11.685085000000001</v>
      </c>
      <c r="AF201" s="49">
        <v>11.893891999999999</v>
      </c>
      <c r="AG201" s="49">
        <v>11.695884</v>
      </c>
      <c r="AH201" s="49">
        <v>12.275116000000001</v>
      </c>
    </row>
    <row r="202" spans="1:64" x14ac:dyDescent="0.3">
      <c r="A202" s="49">
        <v>249</v>
      </c>
      <c r="B202" s="49" t="s">
        <v>4828</v>
      </c>
      <c r="C202" s="49" t="s">
        <v>685</v>
      </c>
      <c r="D202" s="49">
        <v>2.5730040000000001</v>
      </c>
      <c r="E202" s="49">
        <v>2.6429930000000001</v>
      </c>
      <c r="F202" s="49">
        <v>2.7283080000000002</v>
      </c>
      <c r="G202" s="49">
        <v>2.774057</v>
      </c>
      <c r="H202" s="49">
        <v>2.7829440000000001</v>
      </c>
      <c r="I202" s="49">
        <v>2.562859</v>
      </c>
      <c r="J202" s="49">
        <v>2.485636</v>
      </c>
      <c r="K202" s="49">
        <v>2.443171</v>
      </c>
      <c r="L202" s="49">
        <v>2.415165</v>
      </c>
      <c r="M202" s="49">
        <v>2.408039</v>
      </c>
      <c r="N202" s="49">
        <v>2.4625309999999998</v>
      </c>
      <c r="O202" s="49">
        <v>2.357173</v>
      </c>
      <c r="P202" s="49">
        <v>2.4951460000000001</v>
      </c>
      <c r="Q202" s="49">
        <v>2.5073219999999998</v>
      </c>
      <c r="R202" s="49">
        <v>2.853901</v>
      </c>
      <c r="S202" s="49">
        <v>2.8804970000000001</v>
      </c>
      <c r="T202" s="49">
        <v>2.3396789999999998</v>
      </c>
      <c r="U202" s="49">
        <v>2.0723419999999999</v>
      </c>
      <c r="V202" s="49">
        <v>2.1732170000000002</v>
      </c>
      <c r="W202" s="49">
        <v>2.0655540000000001</v>
      </c>
      <c r="X202" s="49">
        <v>2.0459450000000001</v>
      </c>
      <c r="Y202" s="49">
        <v>2.1570520000000002</v>
      </c>
      <c r="Z202" s="49">
        <v>2.160336</v>
      </c>
      <c r="AA202" s="49">
        <v>2.0644809999999998</v>
      </c>
      <c r="AB202" s="49">
        <v>1.9927809999999999</v>
      </c>
      <c r="AC202" s="49">
        <v>2.0272239999999999</v>
      </c>
      <c r="AD202" s="49">
        <v>1.992372</v>
      </c>
      <c r="AE202" s="49">
        <v>2.0361669999999998</v>
      </c>
      <c r="AF202" s="49">
        <v>2.087129</v>
      </c>
      <c r="AG202" s="49">
        <v>2.0685190000000002</v>
      </c>
      <c r="AH202" s="49">
        <v>1.699047</v>
      </c>
      <c r="AI202" s="49">
        <v>1.944277</v>
      </c>
      <c r="AJ202" s="49">
        <v>2.013598</v>
      </c>
      <c r="AK202" s="49">
        <v>1.972799</v>
      </c>
      <c r="AL202" s="49">
        <v>2.0006089999999999</v>
      </c>
      <c r="AM202" s="49">
        <v>1.9822679999999999</v>
      </c>
      <c r="AN202" s="49">
        <v>2.064181</v>
      </c>
      <c r="AO202" s="49">
        <v>2.200952</v>
      </c>
      <c r="AP202" s="49">
        <v>1.903257</v>
      </c>
      <c r="AQ202" s="49">
        <v>1.9207259999999999</v>
      </c>
      <c r="AR202" s="49">
        <v>2.019552</v>
      </c>
      <c r="AS202" s="49">
        <v>1.8961479999999999</v>
      </c>
      <c r="AT202" s="49">
        <v>1.7810250000000001</v>
      </c>
      <c r="AU202" s="49">
        <v>1.9165829999999999</v>
      </c>
      <c r="AV202" s="49">
        <v>2.138989</v>
      </c>
      <c r="AW202" s="49">
        <v>2.3402790000000002</v>
      </c>
      <c r="AX202" s="49">
        <v>2.653489</v>
      </c>
      <c r="AY202" s="49">
        <v>2.171808</v>
      </c>
      <c r="AZ202" s="49">
        <v>2.1816469999999999</v>
      </c>
      <c r="BA202" s="49">
        <v>2.7192980000000002</v>
      </c>
      <c r="BB202" s="49">
        <v>2.4253209999999998</v>
      </c>
      <c r="BC202" s="49">
        <v>2.5635400000000002</v>
      </c>
      <c r="BD202" s="49">
        <v>2.552362</v>
      </c>
      <c r="BE202" s="49">
        <v>2.319474</v>
      </c>
      <c r="BF202" s="49">
        <v>1.9805189999999999</v>
      </c>
      <c r="BG202" s="49">
        <v>1.82474</v>
      </c>
      <c r="BH202" s="49">
        <v>1.817863</v>
      </c>
      <c r="BI202" s="49">
        <v>1.785979</v>
      </c>
      <c r="BJ202" s="49">
        <v>1.9018360000000001</v>
      </c>
      <c r="BK202" s="49">
        <v>1.7370399999999999</v>
      </c>
      <c r="BL202" s="49">
        <v>1.793021</v>
      </c>
    </row>
    <row r="203" spans="1:64" x14ac:dyDescent="0.3">
      <c r="A203" s="49">
        <v>250</v>
      </c>
      <c r="B203" s="49" t="s">
        <v>4827</v>
      </c>
      <c r="C203" s="49" t="s">
        <v>261</v>
      </c>
      <c r="D203" s="49">
        <v>6.382123</v>
      </c>
      <c r="E203" s="49">
        <v>6.4052579999999999</v>
      </c>
      <c r="F203" s="49">
        <v>6.3212299999999999</v>
      </c>
      <c r="G203" s="49">
        <v>6.3811349999999996</v>
      </c>
      <c r="H203" s="49">
        <v>6.4287080000000003</v>
      </c>
      <c r="I203" s="49">
        <v>6.5496840000000001</v>
      </c>
      <c r="J203" s="49">
        <v>6.7730050000000004</v>
      </c>
      <c r="K203" s="49">
        <v>7.1849020000000001</v>
      </c>
      <c r="L203" s="49">
        <v>7.256202</v>
      </c>
      <c r="M203" s="49">
        <v>7.5141840000000002</v>
      </c>
      <c r="N203" s="49">
        <v>7.6308639999999999</v>
      </c>
      <c r="O203" s="49">
        <v>7.7800320000000003</v>
      </c>
      <c r="P203" s="49">
        <v>7.9449519999999998</v>
      </c>
      <c r="Q203" s="49">
        <v>8.1154279999999996</v>
      </c>
      <c r="R203" s="49">
        <v>8.2812719999999995</v>
      </c>
      <c r="S203" s="49">
        <v>8.4268400000000003</v>
      </c>
      <c r="T203" s="49">
        <v>8.5669400000000007</v>
      </c>
      <c r="U203" s="49">
        <v>8.6412600000000008</v>
      </c>
      <c r="V203" s="49">
        <v>8.7006399999999999</v>
      </c>
      <c r="W203" s="49">
        <v>9.0447260000000007</v>
      </c>
      <c r="X203" s="49">
        <v>9.3056059999999992</v>
      </c>
      <c r="Y203" s="49">
        <v>9.6511499999999995</v>
      </c>
      <c r="Z203" s="49">
        <v>9.9267459999999996</v>
      </c>
      <c r="AA203" s="49">
        <v>10.152146</v>
      </c>
      <c r="AB203" s="49">
        <v>10.305896000000001</v>
      </c>
      <c r="AC203" s="49">
        <v>10.662955999999999</v>
      </c>
      <c r="AD203" s="49">
        <v>10.754566000000001</v>
      </c>
      <c r="AE203" s="49">
        <v>11.241516000000001</v>
      </c>
      <c r="AF203" s="49">
        <v>11.685765999999999</v>
      </c>
      <c r="AG203" s="49">
        <v>12.21767</v>
      </c>
      <c r="AH203" s="49">
        <v>14.714623</v>
      </c>
      <c r="AI203" s="49">
        <v>15.133222</v>
      </c>
      <c r="AJ203" s="49">
        <v>15.602693</v>
      </c>
      <c r="AK203" s="49">
        <v>15.933736</v>
      </c>
      <c r="AL203" s="49">
        <v>13.416492999999999</v>
      </c>
      <c r="AM203" s="49">
        <v>13.509912</v>
      </c>
      <c r="AN203" s="49">
        <v>13.045106000000001</v>
      </c>
      <c r="AO203" s="49">
        <v>13.327812</v>
      </c>
      <c r="AP203" s="49">
        <v>13.117001</v>
      </c>
      <c r="AQ203" s="49">
        <v>12.880064000000001</v>
      </c>
      <c r="AR203" s="49">
        <v>12.609087000000001</v>
      </c>
      <c r="AS203" s="49">
        <v>12.41911</v>
      </c>
      <c r="AT203" s="49">
        <v>12.475332999999999</v>
      </c>
      <c r="AU203" s="49">
        <v>12.611864000000001</v>
      </c>
      <c r="AV203" s="49">
        <v>12.688822999999999</v>
      </c>
      <c r="AW203" s="49">
        <v>12.900841</v>
      </c>
      <c r="AX203" s="49">
        <v>12.916333</v>
      </c>
      <c r="AY203" s="49">
        <v>12.991751000000001</v>
      </c>
      <c r="AZ203" s="49">
        <v>13.017147</v>
      </c>
      <c r="BA203" s="49">
        <v>20.701017</v>
      </c>
      <c r="BB203" s="49">
        <v>21.850254</v>
      </c>
      <c r="BC203" s="49">
        <v>22.213840999999999</v>
      </c>
      <c r="BD203" s="49">
        <v>23.467554</v>
      </c>
      <c r="BE203" s="49">
        <v>24.929677999999999</v>
      </c>
      <c r="BF203" s="49">
        <v>25.290153</v>
      </c>
      <c r="BG203" s="49">
        <v>25.677018</v>
      </c>
      <c r="BH203" s="49">
        <v>26.671188000000001</v>
      </c>
      <c r="BI203" s="49">
        <v>27.012079</v>
      </c>
      <c r="BJ203" s="49">
        <v>27.340675999999998</v>
      </c>
      <c r="BK203" s="49">
        <v>28.034596000000001</v>
      </c>
      <c r="BL203" s="49">
        <v>29.198585999999999</v>
      </c>
    </row>
    <row r="204" spans="1:64" x14ac:dyDescent="0.3">
      <c r="A204" s="49">
        <v>251</v>
      </c>
      <c r="B204" s="49" t="s">
        <v>4826</v>
      </c>
      <c r="C204" s="49" t="s">
        <v>690</v>
      </c>
      <c r="D204" s="49">
        <v>2.059574</v>
      </c>
      <c r="E204" s="49">
        <v>2.0666319999999998</v>
      </c>
      <c r="F204" s="49">
        <v>2.1159669999999999</v>
      </c>
      <c r="G204" s="49">
        <v>2.1681029999999999</v>
      </c>
      <c r="H204" s="49">
        <v>2.1833529999999999</v>
      </c>
      <c r="I204" s="49">
        <v>2.2653400000000001</v>
      </c>
      <c r="J204" s="49">
        <v>2.2922229999999999</v>
      </c>
      <c r="K204" s="49">
        <v>2.3528769999999999</v>
      </c>
      <c r="L204" s="49">
        <v>2.4074339999999999</v>
      </c>
      <c r="M204" s="49">
        <v>2.468826</v>
      </c>
      <c r="N204" s="49">
        <v>2.7168950000000001</v>
      </c>
      <c r="O204" s="49">
        <v>3.0425710000000001</v>
      </c>
      <c r="P204" s="49">
        <v>2.7512810000000001</v>
      </c>
      <c r="Q204" s="49">
        <v>2.8291050000000002</v>
      </c>
      <c r="R204" s="49">
        <v>2.7693099999999999</v>
      </c>
      <c r="S204" s="49">
        <v>2.9436239999999998</v>
      </c>
      <c r="T204" s="49">
        <v>2.6720269999999999</v>
      </c>
      <c r="U204" s="49">
        <v>2.3240699999999999</v>
      </c>
      <c r="V204" s="49">
        <v>1.5606869999999999</v>
      </c>
      <c r="W204" s="49">
        <v>1.607791</v>
      </c>
      <c r="X204" s="49">
        <v>1.4556370000000001</v>
      </c>
      <c r="Y204" s="49">
        <v>1.3663810000000001</v>
      </c>
      <c r="Z204" s="49">
        <v>1.573423</v>
      </c>
      <c r="AA204" s="49">
        <v>1.5244340000000001</v>
      </c>
      <c r="AB204" s="49">
        <v>1.707006</v>
      </c>
      <c r="AC204" s="49">
        <v>1.8218650000000001</v>
      </c>
      <c r="AD204" s="49">
        <v>1.9659949999999999</v>
      </c>
      <c r="AE204" s="49">
        <v>2.2083110000000001</v>
      </c>
      <c r="AF204" s="49">
        <v>2.8868939999999998</v>
      </c>
      <c r="AG204" s="49">
        <v>2.4290029999999998</v>
      </c>
      <c r="AH204" s="49">
        <v>2.7022870000000001</v>
      </c>
      <c r="AI204" s="49">
        <v>2.6922619999999999</v>
      </c>
      <c r="AJ204" s="49">
        <v>2.7914340000000002</v>
      </c>
      <c r="AK204" s="49">
        <v>2.861605</v>
      </c>
      <c r="AL204" s="49">
        <v>2.4501369999999998</v>
      </c>
      <c r="AM204" s="49">
        <v>2.9846840000000001</v>
      </c>
      <c r="AN204" s="49">
        <v>2.7750379999999999</v>
      </c>
      <c r="AO204" s="49">
        <v>2.5767410000000002</v>
      </c>
      <c r="AP204" s="49">
        <v>3.1142530000000002</v>
      </c>
      <c r="AQ204" s="49">
        <v>2.9389470000000002</v>
      </c>
      <c r="AR204" s="49">
        <v>2.8199040000000002</v>
      </c>
      <c r="AS204" s="49">
        <v>2.260392</v>
      </c>
      <c r="AT204" s="49">
        <v>3.0138609999999999</v>
      </c>
      <c r="AU204" s="49">
        <v>3.1601020000000002</v>
      </c>
      <c r="AV204" s="49">
        <v>2.9840070000000001</v>
      </c>
      <c r="AW204" s="49">
        <v>3.308325</v>
      </c>
      <c r="AX204" s="49">
        <v>3.0497909999999999</v>
      </c>
      <c r="AY204" s="49">
        <v>3.154058</v>
      </c>
      <c r="AZ204" s="49">
        <v>4.6613100000000003</v>
      </c>
      <c r="BA204" s="49">
        <v>5.1128910000000003</v>
      </c>
      <c r="BB204" s="49">
        <v>4.9960870000000002</v>
      </c>
      <c r="BC204" s="49">
        <v>5.6730749999999999</v>
      </c>
      <c r="BD204" s="49">
        <v>5.341634</v>
      </c>
      <c r="BE204" s="49">
        <v>5.4103719999999997</v>
      </c>
      <c r="BF204" s="49">
        <v>4.4380839999999999</v>
      </c>
      <c r="BG204" s="49">
        <v>5.4548579999999998</v>
      </c>
      <c r="BH204" s="49">
        <v>6.2799620000000003</v>
      </c>
      <c r="BI204" s="49">
        <v>5.4802239999999998</v>
      </c>
      <c r="BJ204" s="49">
        <v>4.6036419999999998</v>
      </c>
      <c r="BK204" s="49">
        <v>5.7693209999999997</v>
      </c>
      <c r="BL204" s="49">
        <v>6.4681899999999999</v>
      </c>
    </row>
    <row r="205" spans="1:64" x14ac:dyDescent="0.3">
      <c r="A205" s="49">
        <v>255</v>
      </c>
      <c r="B205" s="49" t="s">
        <v>4825</v>
      </c>
      <c r="C205" s="49" t="s">
        <v>137</v>
      </c>
      <c r="AQ205" s="49">
        <v>1.1885129999999999</v>
      </c>
      <c r="AR205" s="49">
        <v>1.162812</v>
      </c>
      <c r="AS205" s="49">
        <v>1.203973</v>
      </c>
      <c r="AT205" s="49">
        <v>1.195792</v>
      </c>
      <c r="AU205" s="49">
        <v>1.243611</v>
      </c>
      <c r="AV205" s="49">
        <v>1.2406189999999999</v>
      </c>
      <c r="AW205" s="49">
        <v>1.2250259999999999</v>
      </c>
      <c r="AX205" s="49">
        <v>1.2111179999999999</v>
      </c>
      <c r="AY205" s="49">
        <v>1.2173579999999999</v>
      </c>
      <c r="AZ205" s="49">
        <v>1.2032050000000001</v>
      </c>
      <c r="BA205" s="49">
        <v>1.2049430000000001</v>
      </c>
      <c r="BB205" s="49">
        <v>1.2015940000000001</v>
      </c>
      <c r="BC205" s="49">
        <v>1.1962120000000001</v>
      </c>
      <c r="BD205" s="49">
        <v>1.200507</v>
      </c>
      <c r="BE205" s="49">
        <v>1.2142040000000001</v>
      </c>
      <c r="BF205" s="49">
        <v>1.155403</v>
      </c>
      <c r="BG205" s="49">
        <v>1.212815</v>
      </c>
      <c r="BH205" s="49">
        <v>1.199578</v>
      </c>
      <c r="BI205" s="49">
        <v>1.1199699999999999</v>
      </c>
      <c r="BJ205" s="49">
        <v>1.13967</v>
      </c>
      <c r="BK205" s="49">
        <v>1.12618</v>
      </c>
      <c r="BL205" s="49">
        <v>1.12185</v>
      </c>
    </row>
    <row r="206" spans="1:64" x14ac:dyDescent="0.3">
      <c r="A206" s="49">
        <v>256</v>
      </c>
      <c r="B206" s="49" t="s">
        <v>4824</v>
      </c>
      <c r="C206" s="49" t="s">
        <v>404</v>
      </c>
      <c r="AQ206" s="49">
        <v>7.6846999999999999E-2</v>
      </c>
      <c r="AR206" s="49">
        <v>7.5422000000000003E-2</v>
      </c>
      <c r="AS206" s="49">
        <v>7.9072000000000003E-2</v>
      </c>
      <c r="AT206" s="49">
        <v>7.8231999999999996E-2</v>
      </c>
      <c r="AU206" s="49">
        <v>7.7723E-2</v>
      </c>
      <c r="AV206" s="49">
        <v>7.8177999999999997E-2</v>
      </c>
      <c r="AW206" s="49">
        <v>8.0806000000000003E-2</v>
      </c>
      <c r="AX206" s="49">
        <v>7.8338000000000005E-2</v>
      </c>
      <c r="AY206" s="49">
        <v>8.2976999999999995E-2</v>
      </c>
      <c r="AZ206" s="49">
        <v>7.9699000000000006E-2</v>
      </c>
      <c r="BA206" s="49">
        <v>7.8625E-2</v>
      </c>
      <c r="BB206" s="49">
        <v>7.6599E-2</v>
      </c>
      <c r="BC206" s="49">
        <v>7.4052000000000007E-2</v>
      </c>
      <c r="BD206" s="49">
        <v>7.6592999999999994E-2</v>
      </c>
      <c r="BE206" s="49">
        <v>7.4480000000000005E-2</v>
      </c>
      <c r="BF206" s="49">
        <v>7.6102000000000003E-2</v>
      </c>
      <c r="BG206" s="49">
        <v>7.2230000000000003E-2</v>
      </c>
      <c r="BH206" s="49">
        <v>7.1678000000000006E-2</v>
      </c>
      <c r="BI206" s="49">
        <v>6.157E-2</v>
      </c>
      <c r="BJ206" s="49">
        <v>6.3229999999999995E-2</v>
      </c>
      <c r="BK206" s="49">
        <v>5.8880000000000002E-2</v>
      </c>
      <c r="BL206" s="49">
        <v>5.9639999999999999E-2</v>
      </c>
    </row>
    <row r="207" spans="1:64" x14ac:dyDescent="0.3">
      <c r="A207" s="49">
        <v>272</v>
      </c>
      <c r="B207" s="49" t="s">
        <v>4823</v>
      </c>
      <c r="C207" s="49" t="s">
        <v>567</v>
      </c>
      <c r="AW207" s="49">
        <v>6.2403230000000001</v>
      </c>
      <c r="AX207" s="49">
        <v>6.3315859999999997</v>
      </c>
      <c r="AY207" s="49">
        <v>6.3176680000000003</v>
      </c>
      <c r="AZ207" s="49">
        <v>6.3404680000000004</v>
      </c>
      <c r="BA207" s="49">
        <v>6.0676300000000003</v>
      </c>
      <c r="BB207" s="49">
        <v>6.2416679999999998</v>
      </c>
      <c r="BC207" s="49">
        <v>5.6440010000000003</v>
      </c>
      <c r="BD207" s="49">
        <v>5.6503240000000003</v>
      </c>
      <c r="BE207" s="49">
        <v>5.4914480000000001</v>
      </c>
      <c r="BF207" s="49">
        <v>5.4335240000000002</v>
      </c>
      <c r="BG207" s="49">
        <v>5.5562430000000003</v>
      </c>
      <c r="BH207" s="49">
        <v>5.614668</v>
      </c>
      <c r="BI207" s="49">
        <v>5.6776470000000003</v>
      </c>
      <c r="BJ207" s="49">
        <v>5.6448070000000001</v>
      </c>
      <c r="BK207" s="49">
        <v>5.7216040000000001</v>
      </c>
      <c r="BL207" s="49">
        <v>5.7418839999999998</v>
      </c>
    </row>
    <row r="208" spans="1:64" x14ac:dyDescent="0.3">
      <c r="A208" s="49">
        <v>273</v>
      </c>
      <c r="B208" s="49" t="s">
        <v>4822</v>
      </c>
      <c r="C208" s="49" t="s">
        <v>442</v>
      </c>
      <c r="AW208" s="49">
        <v>5.7754E-2</v>
      </c>
      <c r="AX208" s="49">
        <v>2.2921E-2</v>
      </c>
      <c r="AY208" s="49">
        <v>2.3663E-2</v>
      </c>
      <c r="AZ208" s="49">
        <v>2.4702999999999999E-2</v>
      </c>
      <c r="BA208" s="49">
        <v>2.4486999999999998E-2</v>
      </c>
      <c r="BB208" s="49">
        <v>2.6164E-2</v>
      </c>
      <c r="BC208" s="49">
        <v>2.6630000000000001E-2</v>
      </c>
      <c r="BD208" s="49">
        <v>2.7022000000000001E-2</v>
      </c>
      <c r="BE208" s="49">
        <v>2.7876000000000001E-2</v>
      </c>
      <c r="BF208" s="49">
        <v>2.8528999999999999E-2</v>
      </c>
      <c r="BG208" s="49">
        <v>2.9125999999999999E-2</v>
      </c>
      <c r="BH208" s="49">
        <v>2.9481E-2</v>
      </c>
      <c r="BI208" s="49">
        <v>2.9654E-2</v>
      </c>
      <c r="BJ208" s="49">
        <v>2.9252E-2</v>
      </c>
      <c r="BK208" s="49">
        <v>2.9179E-2</v>
      </c>
      <c r="BL208" s="49">
        <v>2.8389000000000001E-2</v>
      </c>
    </row>
    <row r="209" spans="1:64" x14ac:dyDescent="0.3">
      <c r="A209" s="49">
        <v>276</v>
      </c>
      <c r="B209" s="49" t="s">
        <v>4821</v>
      </c>
      <c r="C209" s="49" t="s">
        <v>597</v>
      </c>
      <c r="BC209" s="49">
        <v>22.832865999999999</v>
      </c>
      <c r="BD209" s="49">
        <v>36.793266000000003</v>
      </c>
      <c r="BE209" s="49">
        <v>41.929713</v>
      </c>
      <c r="BF209" s="49">
        <v>28.090602000000001</v>
      </c>
      <c r="BG209" s="49">
        <v>43.178252000000001</v>
      </c>
      <c r="BH209" s="49">
        <v>38.395257000000001</v>
      </c>
      <c r="BI209" s="49">
        <v>49.909883999999998</v>
      </c>
      <c r="BJ209" s="49">
        <v>48.267302999999998</v>
      </c>
      <c r="BK209" s="49">
        <v>48.592641999999998</v>
      </c>
      <c r="BL209" s="49">
        <v>48.749878000000002</v>
      </c>
    </row>
    <row r="210" spans="1:64" x14ac:dyDescent="0.3">
      <c r="A210" s="49">
        <v>277</v>
      </c>
      <c r="B210" s="49" t="s">
        <v>4820</v>
      </c>
      <c r="C210" s="49" t="s">
        <v>596</v>
      </c>
      <c r="BC210" s="49">
        <v>6.06928</v>
      </c>
      <c r="BD210" s="49">
        <v>6.0186500000000001</v>
      </c>
      <c r="BE210" s="49">
        <v>5.4188619999999998</v>
      </c>
      <c r="BF210" s="49">
        <v>5.2098719999999998</v>
      </c>
      <c r="BG210" s="49">
        <v>5.0287850000000001</v>
      </c>
      <c r="BH210" s="49">
        <v>4.7924309999999997</v>
      </c>
      <c r="BI210" s="49">
        <v>4.9612379999999998</v>
      </c>
      <c r="BJ210" s="49">
        <v>5.2157410000000004</v>
      </c>
      <c r="BK210" s="49">
        <v>5.3552369999999998</v>
      </c>
      <c r="BL210" s="49">
        <v>5.5285279999999997</v>
      </c>
    </row>
    <row r="211" spans="1:64" x14ac:dyDescent="0.3">
      <c r="A211" s="49">
        <v>299</v>
      </c>
      <c r="B211" s="49" t="s">
        <v>4819</v>
      </c>
      <c r="C211" s="49" t="s">
        <v>506</v>
      </c>
      <c r="AH211" s="49">
        <v>0</v>
      </c>
      <c r="AI211" s="49">
        <v>0</v>
      </c>
      <c r="AJ211" s="49">
        <v>0</v>
      </c>
      <c r="AK211" s="49">
        <v>0.35403099999999998</v>
      </c>
      <c r="AL211" s="49">
        <v>0.389652</v>
      </c>
      <c r="AM211" s="49">
        <v>0.36480200000000002</v>
      </c>
      <c r="AN211" s="49">
        <v>0.36748999999999998</v>
      </c>
      <c r="AO211" s="49">
        <v>0.36976399999999998</v>
      </c>
      <c r="AP211" s="49">
        <v>0.32373099999999999</v>
      </c>
      <c r="AQ211" s="49">
        <v>0.36588900000000002</v>
      </c>
      <c r="AR211" s="49">
        <v>0.36183399999999999</v>
      </c>
      <c r="AS211" s="49">
        <v>0.36805900000000003</v>
      </c>
      <c r="AT211" s="49">
        <v>0.35939900000000002</v>
      </c>
      <c r="AU211" s="49">
        <v>0.359796</v>
      </c>
      <c r="AV211" s="49">
        <v>0.36061100000000001</v>
      </c>
      <c r="AW211" s="49">
        <v>0.36018600000000001</v>
      </c>
      <c r="AX211" s="49">
        <v>0.36261399999999999</v>
      </c>
      <c r="AY211" s="49">
        <v>0.367093</v>
      </c>
      <c r="AZ211" s="49">
        <v>0.339335</v>
      </c>
      <c r="BA211" s="49">
        <v>0.17039299999999999</v>
      </c>
      <c r="BB211" s="49">
        <v>0.21341099999999999</v>
      </c>
      <c r="BC211" s="49">
        <v>0.22345899999999999</v>
      </c>
      <c r="BD211" s="49">
        <v>0.229103</v>
      </c>
      <c r="BE211" s="49">
        <v>0.22620999999999999</v>
      </c>
      <c r="BF211" s="49">
        <v>0.22370599999999999</v>
      </c>
      <c r="BG211" s="49">
        <v>0.23707900000000001</v>
      </c>
      <c r="BH211" s="49">
        <v>0.233901</v>
      </c>
      <c r="BI211" s="49">
        <v>0.193888</v>
      </c>
      <c r="BJ211" s="49">
        <v>0.34162199999999998</v>
      </c>
      <c r="BK211" s="49">
        <v>0.21354600000000001</v>
      </c>
      <c r="BL211" s="49">
        <v>0.20066600000000001</v>
      </c>
    </row>
    <row r="212" spans="1:64" x14ac:dyDescent="0.3">
      <c r="A212" s="49">
        <v>351</v>
      </c>
      <c r="B212" s="49" t="s">
        <v>4818</v>
      </c>
      <c r="C212" s="49" t="s">
        <v>203</v>
      </c>
      <c r="D212" s="49">
        <v>257.56038699999999</v>
      </c>
      <c r="E212" s="49">
        <v>256.89924200000002</v>
      </c>
      <c r="F212" s="49">
        <v>252.36807200000001</v>
      </c>
      <c r="G212" s="49">
        <v>258.23403100000002</v>
      </c>
      <c r="H212" s="49">
        <v>254.31594799999999</v>
      </c>
      <c r="I212" s="49">
        <v>258.59215799999998</v>
      </c>
      <c r="J212" s="49">
        <v>255.203384</v>
      </c>
      <c r="K212" s="49">
        <v>248.61797999999999</v>
      </c>
      <c r="L212" s="49">
        <v>251.15811099999999</v>
      </c>
      <c r="M212" s="49">
        <v>253.32829000000001</v>
      </c>
      <c r="N212" s="49">
        <v>257.78298999999998</v>
      </c>
      <c r="O212" s="49">
        <v>260.24390899999997</v>
      </c>
      <c r="P212" s="49">
        <v>260.50737400000003</v>
      </c>
      <c r="Q212" s="49">
        <v>260.75106</v>
      </c>
      <c r="R212" s="49">
        <v>262.06699500000002</v>
      </c>
      <c r="S212" s="49">
        <v>262.121758</v>
      </c>
      <c r="T212" s="49">
        <v>261.53560499999998</v>
      </c>
      <c r="U212" s="49">
        <v>263.53041999999999</v>
      </c>
      <c r="V212" s="49">
        <v>260.79354799999999</v>
      </c>
      <c r="W212" s="49">
        <v>257.70034800000002</v>
      </c>
      <c r="X212" s="49">
        <v>255.07955699999999</v>
      </c>
      <c r="Y212" s="49">
        <v>253.36501000000001</v>
      </c>
      <c r="Z212" s="49">
        <v>255.88627399999999</v>
      </c>
      <c r="AA212" s="49">
        <v>256.01377600000001</v>
      </c>
      <c r="AB212" s="49">
        <v>254.33906300000001</v>
      </c>
      <c r="AC212" s="49">
        <v>259.99716599999999</v>
      </c>
      <c r="AD212" s="49">
        <v>263.714495</v>
      </c>
      <c r="AE212" s="49">
        <v>264.63320599999997</v>
      </c>
      <c r="AF212" s="49">
        <v>269.03863200000001</v>
      </c>
      <c r="AG212" s="49">
        <v>272.35005200000001</v>
      </c>
      <c r="AH212" s="49">
        <v>332.70124800000002</v>
      </c>
      <c r="AI212" s="49">
        <v>333.81393200000002</v>
      </c>
      <c r="AJ212" s="49">
        <v>330.19514900000001</v>
      </c>
      <c r="AK212" s="49">
        <v>335.96927299999999</v>
      </c>
      <c r="AL212" s="49">
        <v>341.91648900000001</v>
      </c>
      <c r="AM212" s="49">
        <v>345.55161800000002</v>
      </c>
      <c r="AN212" s="49">
        <v>349.00167199999999</v>
      </c>
      <c r="AO212" s="49">
        <v>352.71489600000001</v>
      </c>
      <c r="AP212" s="49">
        <v>353.864396</v>
      </c>
      <c r="AQ212" s="49">
        <v>355.491468</v>
      </c>
      <c r="AR212" s="49">
        <v>354.22375599999998</v>
      </c>
      <c r="AS212" s="49">
        <v>349.63051000000002</v>
      </c>
      <c r="AT212" s="49">
        <v>346.996443</v>
      </c>
      <c r="AU212" s="49">
        <v>354.27752500000003</v>
      </c>
      <c r="AV212" s="49">
        <v>359.17691200000002</v>
      </c>
      <c r="AW212" s="49">
        <v>357.73520300000001</v>
      </c>
      <c r="AX212" s="49">
        <v>358.66331400000001</v>
      </c>
      <c r="AY212" s="49">
        <v>365.996352</v>
      </c>
      <c r="AZ212" s="49">
        <v>371.16112199999998</v>
      </c>
      <c r="BA212" s="49">
        <v>372.607981</v>
      </c>
      <c r="BB212" s="49">
        <v>376.654898</v>
      </c>
      <c r="BC212" s="49">
        <v>376.542619</v>
      </c>
      <c r="BD212" s="49">
        <v>377.22798799999998</v>
      </c>
      <c r="BE212" s="49">
        <v>379.35726799999998</v>
      </c>
      <c r="BF212" s="49">
        <v>393.31460800000002</v>
      </c>
      <c r="BG212" s="49">
        <v>387.748445</v>
      </c>
      <c r="BH212" s="49">
        <v>395.40827999999999</v>
      </c>
      <c r="BI212" s="49">
        <v>388.19761</v>
      </c>
      <c r="BJ212" s="49">
        <v>387.58284500000002</v>
      </c>
      <c r="BK212" s="49">
        <v>389.65478200000001</v>
      </c>
      <c r="BL212" s="49">
        <v>391.54930200000001</v>
      </c>
    </row>
    <row r="213" spans="1:64" x14ac:dyDescent="0.3">
      <c r="A213" s="49">
        <v>5000</v>
      </c>
      <c r="B213" s="49" t="s">
        <v>4817</v>
      </c>
      <c r="C213" s="49" t="s">
        <v>4816</v>
      </c>
      <c r="D213" s="49">
        <v>1799.346822</v>
      </c>
      <c r="E213" s="49">
        <v>1827.562009</v>
      </c>
      <c r="F213" s="49">
        <v>1848.6673350000001</v>
      </c>
      <c r="G213" s="49">
        <v>1878.9400439999999</v>
      </c>
      <c r="H213" s="49">
        <v>1865.606025</v>
      </c>
      <c r="I213" s="49">
        <v>1863.0260679999999</v>
      </c>
      <c r="J213" s="49">
        <v>1887.134223</v>
      </c>
      <c r="K213" s="49">
        <v>1892.8087029999999</v>
      </c>
      <c r="L213" s="49">
        <v>1895.9380779999999</v>
      </c>
      <c r="M213" s="49">
        <v>1889.92626</v>
      </c>
      <c r="N213" s="49">
        <v>1914.5074589999999</v>
      </c>
      <c r="O213" s="49">
        <v>1897.7756979999999</v>
      </c>
      <c r="P213" s="49">
        <v>1953.5773469999999</v>
      </c>
      <c r="Q213" s="49">
        <v>1962.5498480000001</v>
      </c>
      <c r="R213" s="49">
        <v>1983.2605860000001</v>
      </c>
      <c r="S213" s="49">
        <v>2000.7913530000001</v>
      </c>
      <c r="T213" s="49">
        <v>2008.1077540000001</v>
      </c>
      <c r="U213" s="49">
        <v>2014.311872</v>
      </c>
      <c r="V213" s="49">
        <v>1998.703066</v>
      </c>
      <c r="W213" s="49">
        <v>2019.310622</v>
      </c>
      <c r="X213" s="49">
        <v>2046.6260030000001</v>
      </c>
      <c r="Y213" s="49">
        <v>2031.8009280000001</v>
      </c>
      <c r="Z213" s="49">
        <v>2007.6293330000001</v>
      </c>
      <c r="AA213" s="49">
        <v>2045.688936</v>
      </c>
      <c r="AB213" s="49">
        <v>2074.0004739999999</v>
      </c>
      <c r="AC213" s="49">
        <v>2074.172133</v>
      </c>
      <c r="AD213" s="49">
        <v>2038.1939870000001</v>
      </c>
      <c r="AE213" s="49">
        <v>2063.2878930000002</v>
      </c>
      <c r="AF213" s="49">
        <v>2089.7488509999998</v>
      </c>
      <c r="AG213" s="49">
        <v>2084.144855</v>
      </c>
      <c r="AH213" s="49">
        <v>2502.503772</v>
      </c>
      <c r="AI213" s="49">
        <v>2513.0286150000002</v>
      </c>
      <c r="AJ213" s="49">
        <v>2486.8506590000002</v>
      </c>
      <c r="AK213" s="49">
        <v>2526.1588040000001</v>
      </c>
      <c r="AL213" s="49">
        <v>2538.8865340000002</v>
      </c>
      <c r="AM213" s="49">
        <v>2560.5096020000001</v>
      </c>
      <c r="AN213" s="49">
        <v>2582.8201180000001</v>
      </c>
      <c r="AO213" s="49">
        <v>2572.1008270000002</v>
      </c>
      <c r="AP213" s="49">
        <v>2579.9992769999999</v>
      </c>
      <c r="AQ213" s="49">
        <v>2580.8096529999998</v>
      </c>
      <c r="AR213" s="49">
        <v>2587.0265319999999</v>
      </c>
      <c r="AS213" s="49">
        <v>2571.962458</v>
      </c>
      <c r="AT213" s="49">
        <v>2635.450304</v>
      </c>
      <c r="AU213" s="49">
        <v>2691.8292780000002</v>
      </c>
      <c r="AV213" s="49">
        <v>2752.3414849999999</v>
      </c>
      <c r="AW213" s="49">
        <v>2738.2540020000001</v>
      </c>
      <c r="AX213" s="49">
        <v>2763.6446620000002</v>
      </c>
      <c r="AY213" s="49">
        <v>2826.5433619999999</v>
      </c>
      <c r="AZ213" s="49">
        <v>2811.2555809999999</v>
      </c>
      <c r="BA213" s="49">
        <v>2861.0207270000001</v>
      </c>
      <c r="BB213" s="49">
        <v>2932.5851440000001</v>
      </c>
      <c r="BC213" s="49">
        <v>2959.3395529999998</v>
      </c>
      <c r="BD213" s="49">
        <v>3023.1009770000001</v>
      </c>
      <c r="BE213" s="49">
        <v>3065.859289</v>
      </c>
      <c r="BF213" s="49">
        <v>3062.529986</v>
      </c>
      <c r="BG213" s="49">
        <v>3087.4213</v>
      </c>
      <c r="BH213" s="49">
        <v>3159.6503849999999</v>
      </c>
      <c r="BI213" s="49">
        <v>3151.3434820000002</v>
      </c>
      <c r="BJ213" s="49">
        <v>3136.687089</v>
      </c>
      <c r="BK213" s="49">
        <v>3188.1032949999999</v>
      </c>
      <c r="BL213" s="49">
        <v>3243.2656189999998</v>
      </c>
    </row>
    <row r="214" spans="1:64" x14ac:dyDescent="0.3">
      <c r="A214" s="49">
        <v>5100</v>
      </c>
      <c r="B214" s="49" t="s">
        <v>4815</v>
      </c>
      <c r="C214" s="49" t="s">
        <v>60</v>
      </c>
      <c r="D214" s="49">
        <v>184.36146099999999</v>
      </c>
      <c r="E214" s="49">
        <v>189.31590399999999</v>
      </c>
      <c r="F214" s="49">
        <v>199.62687299999999</v>
      </c>
      <c r="G214" s="49">
        <v>199.277658</v>
      </c>
      <c r="H214" s="49">
        <v>203.058548</v>
      </c>
      <c r="I214" s="49">
        <v>199.911565</v>
      </c>
      <c r="J214" s="49">
        <v>212.38923299999999</v>
      </c>
      <c r="K214" s="49">
        <v>212.64788799999999</v>
      </c>
      <c r="L214" s="49">
        <v>225.40225000000001</v>
      </c>
      <c r="M214" s="49">
        <v>227.05068</v>
      </c>
      <c r="N214" s="49">
        <v>228.09372500000001</v>
      </c>
      <c r="O214" s="49">
        <v>220.816731</v>
      </c>
      <c r="P214" s="49">
        <v>227.191609</v>
      </c>
      <c r="Q214" s="49">
        <v>227.44579100000001</v>
      </c>
      <c r="R214" s="49">
        <v>223.49149499999999</v>
      </c>
      <c r="S214" s="49">
        <v>229.95387600000001</v>
      </c>
      <c r="T214" s="49">
        <v>219.953022</v>
      </c>
      <c r="U214" s="49">
        <v>219.25746799999999</v>
      </c>
      <c r="V214" s="49">
        <v>214.594078</v>
      </c>
      <c r="W214" s="49">
        <v>218.79243500000001</v>
      </c>
      <c r="X214" s="49">
        <v>217.00828899999999</v>
      </c>
      <c r="Y214" s="49">
        <v>217.626285</v>
      </c>
      <c r="Z214" s="49">
        <v>223.04158100000001</v>
      </c>
      <c r="AA214" s="49">
        <v>229.02535499999999</v>
      </c>
      <c r="AB214" s="49">
        <v>245.63085000000001</v>
      </c>
      <c r="AC214" s="49">
        <v>254.796539</v>
      </c>
      <c r="AD214" s="49">
        <v>252.96886799999999</v>
      </c>
      <c r="AE214" s="49">
        <v>265.62135699999999</v>
      </c>
      <c r="AF214" s="49">
        <v>270.88937199999998</v>
      </c>
      <c r="AG214" s="49">
        <v>270.40992</v>
      </c>
      <c r="AH214" s="49">
        <v>333.20213000000001</v>
      </c>
      <c r="AI214" s="49">
        <v>345.063874</v>
      </c>
      <c r="AJ214" s="49">
        <v>339.37008300000002</v>
      </c>
      <c r="AK214" s="49">
        <v>356.99070599999999</v>
      </c>
      <c r="AL214" s="49">
        <v>357.41538300000002</v>
      </c>
      <c r="AM214" s="49">
        <v>377.979446</v>
      </c>
      <c r="AN214" s="49">
        <v>374.25725999999997</v>
      </c>
      <c r="AO214" s="49">
        <v>388.29897999999997</v>
      </c>
      <c r="AP214" s="49">
        <v>383.57186400000001</v>
      </c>
      <c r="AQ214" s="49">
        <v>379.95415300000002</v>
      </c>
      <c r="AR214" s="49">
        <v>391.81324499999999</v>
      </c>
      <c r="AS214" s="49">
        <v>396.135243</v>
      </c>
      <c r="AT214" s="49">
        <v>421.91858100000002</v>
      </c>
      <c r="AU214" s="49">
        <v>418.51111700000001</v>
      </c>
      <c r="AV214" s="49">
        <v>448.18117000000001</v>
      </c>
      <c r="AW214" s="49">
        <v>443.25071000000003</v>
      </c>
      <c r="AX214" s="49">
        <v>444.88851199999999</v>
      </c>
      <c r="AY214" s="49">
        <v>457.06109900000001</v>
      </c>
      <c r="AZ214" s="49">
        <v>450.526993</v>
      </c>
      <c r="BA214" s="49">
        <v>479.58061300000003</v>
      </c>
      <c r="BB214" s="49">
        <v>494.47811300000001</v>
      </c>
      <c r="BC214" s="49">
        <v>514.30733699999996</v>
      </c>
      <c r="BD214" s="49">
        <v>541.31126700000004</v>
      </c>
      <c r="BE214" s="49">
        <v>556.064165</v>
      </c>
      <c r="BF214" s="49">
        <v>547.65305699999999</v>
      </c>
      <c r="BG214" s="49">
        <v>571.71170900000004</v>
      </c>
      <c r="BH214" s="49">
        <v>587.12425699999994</v>
      </c>
      <c r="BI214" s="49">
        <v>603.04607399999998</v>
      </c>
      <c r="BJ214" s="49">
        <v>607.97196499999995</v>
      </c>
      <c r="BK214" s="49">
        <v>619.05056400000001</v>
      </c>
      <c r="BL214" s="49">
        <v>617.11222399999997</v>
      </c>
    </row>
    <row r="215" spans="1:64" x14ac:dyDescent="0.3">
      <c r="A215" s="49">
        <v>5101</v>
      </c>
      <c r="B215" s="49" t="s">
        <v>4814</v>
      </c>
      <c r="C215" s="49" t="s">
        <v>183</v>
      </c>
      <c r="D215" s="49">
        <v>51.644126</v>
      </c>
      <c r="E215" s="49">
        <v>52.928635999999997</v>
      </c>
      <c r="F215" s="49">
        <v>54.128157999999999</v>
      </c>
      <c r="G215" s="49">
        <v>54.860601000000003</v>
      </c>
      <c r="H215" s="49">
        <v>55.996628000000001</v>
      </c>
      <c r="I215" s="49">
        <v>57.634597999999997</v>
      </c>
      <c r="J215" s="49">
        <v>59.016674999999999</v>
      </c>
      <c r="K215" s="49">
        <v>60.477913999999998</v>
      </c>
      <c r="L215" s="49">
        <v>62.760030999999998</v>
      </c>
      <c r="M215" s="49">
        <v>63.828584999999997</v>
      </c>
      <c r="N215" s="49">
        <v>65.416666000000006</v>
      </c>
      <c r="O215" s="49">
        <v>66.205505000000002</v>
      </c>
      <c r="P215" s="49">
        <v>64.207954000000001</v>
      </c>
      <c r="Q215" s="49">
        <v>65.490357000000003</v>
      </c>
      <c r="R215" s="49">
        <v>64.085507000000007</v>
      </c>
      <c r="S215" s="49">
        <v>65.487792999999996</v>
      </c>
      <c r="T215" s="49">
        <v>64.630956999999995</v>
      </c>
      <c r="U215" s="49">
        <v>66.005335000000002</v>
      </c>
      <c r="V215" s="49">
        <v>62.343651000000001</v>
      </c>
      <c r="W215" s="49">
        <v>63.728895999999999</v>
      </c>
      <c r="X215" s="49">
        <v>63.805728999999999</v>
      </c>
      <c r="Y215" s="49">
        <v>64.219755000000006</v>
      </c>
      <c r="Z215" s="49">
        <v>65.756414000000007</v>
      </c>
      <c r="AA215" s="49">
        <v>65.110258000000002</v>
      </c>
      <c r="AB215" s="49">
        <v>67.968638999999996</v>
      </c>
      <c r="AC215" s="49">
        <v>70.093863999999996</v>
      </c>
      <c r="AD215" s="49">
        <v>69.812631999999994</v>
      </c>
      <c r="AE215" s="49">
        <v>72.193268000000003</v>
      </c>
      <c r="AF215" s="49">
        <v>74.027501999999998</v>
      </c>
      <c r="AG215" s="49">
        <v>72.707263999999995</v>
      </c>
      <c r="AH215" s="49">
        <v>83.970771999999997</v>
      </c>
      <c r="AI215" s="49">
        <v>82.311870999999996</v>
      </c>
      <c r="AJ215" s="49">
        <v>81.071504000000004</v>
      </c>
      <c r="AK215" s="49">
        <v>84.435479999999998</v>
      </c>
      <c r="AL215" s="49">
        <v>87.254382000000007</v>
      </c>
      <c r="AM215" s="49">
        <v>91.610793999999999</v>
      </c>
      <c r="AN215" s="49">
        <v>93.174318</v>
      </c>
      <c r="AO215" s="49">
        <v>92.321707000000004</v>
      </c>
      <c r="AP215" s="49">
        <v>93.237257999999997</v>
      </c>
      <c r="AQ215" s="49">
        <v>94.138356999999999</v>
      </c>
      <c r="AR215" s="49">
        <v>100.144158</v>
      </c>
      <c r="AS215" s="49">
        <v>102.12727</v>
      </c>
      <c r="AT215" s="49">
        <v>109.748825</v>
      </c>
      <c r="AU215" s="49">
        <v>114.758206</v>
      </c>
      <c r="AV215" s="49">
        <v>121.46266799999999</v>
      </c>
      <c r="AW215" s="49">
        <v>119.14519</v>
      </c>
      <c r="AX215" s="49">
        <v>121.87644</v>
      </c>
      <c r="AY215" s="49">
        <v>123.479208</v>
      </c>
      <c r="AZ215" s="49">
        <v>127.440335</v>
      </c>
      <c r="BA215" s="49">
        <v>129.66086899999999</v>
      </c>
      <c r="BB215" s="49">
        <v>135.08193499999999</v>
      </c>
      <c r="BC215" s="49">
        <v>147.422361</v>
      </c>
      <c r="BD215" s="49">
        <v>147.20321100000001</v>
      </c>
      <c r="BE215" s="49">
        <v>147.14219900000001</v>
      </c>
      <c r="BF215" s="49">
        <v>146.036507</v>
      </c>
      <c r="BG215" s="49">
        <v>144.821167</v>
      </c>
      <c r="BH215" s="49">
        <v>147.66472300000001</v>
      </c>
      <c r="BI215" s="49">
        <v>145.61300199999999</v>
      </c>
      <c r="BJ215" s="49">
        <v>146.98381599999999</v>
      </c>
      <c r="BK215" s="49">
        <v>155.590439</v>
      </c>
      <c r="BL215" s="49">
        <v>152.235997</v>
      </c>
    </row>
    <row r="216" spans="1:64" x14ac:dyDescent="0.3">
      <c r="A216" s="49">
        <v>5102</v>
      </c>
      <c r="B216" s="49" t="s">
        <v>4813</v>
      </c>
      <c r="C216" s="49" t="s">
        <v>85</v>
      </c>
      <c r="D216" s="49">
        <v>18.210616000000002</v>
      </c>
      <c r="E216" s="49">
        <v>18.792515000000002</v>
      </c>
      <c r="F216" s="49">
        <v>18.786861999999999</v>
      </c>
      <c r="G216" s="49">
        <v>18.730370000000001</v>
      </c>
      <c r="H216" s="49">
        <v>18.597359999999998</v>
      </c>
      <c r="I216" s="49">
        <v>18.624569000000001</v>
      </c>
      <c r="J216" s="49">
        <v>19.279942999999999</v>
      </c>
      <c r="K216" s="49">
        <v>19.899947999999998</v>
      </c>
      <c r="L216" s="49">
        <v>20.192886999999999</v>
      </c>
      <c r="M216" s="49">
        <v>20.402042000000002</v>
      </c>
      <c r="N216" s="49">
        <v>21.076539</v>
      </c>
      <c r="O216" s="49">
        <v>21.013431000000001</v>
      </c>
      <c r="P216" s="49">
        <v>21.378786000000002</v>
      </c>
      <c r="Q216" s="49">
        <v>21.951146000000001</v>
      </c>
      <c r="R216" s="49">
        <v>22.241434000000002</v>
      </c>
      <c r="S216" s="49">
        <v>22.225936000000001</v>
      </c>
      <c r="T216" s="49">
        <v>22.466142000000001</v>
      </c>
      <c r="U216" s="49">
        <v>22.612912000000001</v>
      </c>
      <c r="V216" s="49">
        <v>22.362828</v>
      </c>
      <c r="W216" s="49">
        <v>22.459005000000001</v>
      </c>
      <c r="X216" s="49">
        <v>21.464713</v>
      </c>
      <c r="Y216" s="49">
        <v>22.149743000000001</v>
      </c>
      <c r="Z216" s="49">
        <v>23.019628000000001</v>
      </c>
      <c r="AA216" s="49">
        <v>21.854219000000001</v>
      </c>
      <c r="AB216" s="49">
        <v>23.296054000000002</v>
      </c>
      <c r="AC216" s="49">
        <v>24.416409000000002</v>
      </c>
      <c r="AD216" s="49">
        <v>23.414745</v>
      </c>
      <c r="AE216" s="49">
        <v>24.625108000000001</v>
      </c>
      <c r="AF216" s="49">
        <v>24.936404</v>
      </c>
      <c r="AG216" s="49">
        <v>24.876646000000001</v>
      </c>
      <c r="AH216" s="49">
        <v>32.108578000000001</v>
      </c>
      <c r="AI216" s="49">
        <v>32.997089000000003</v>
      </c>
      <c r="AJ216" s="49">
        <v>33.718418999999997</v>
      </c>
      <c r="AK216" s="49">
        <v>35.244726</v>
      </c>
      <c r="AL216" s="49">
        <v>32.887613000000002</v>
      </c>
      <c r="AM216" s="49">
        <v>33.284860000000002</v>
      </c>
      <c r="AN216" s="49">
        <v>34.101759000000001</v>
      </c>
      <c r="AO216" s="49">
        <v>35.501685000000002</v>
      </c>
      <c r="AP216" s="49">
        <v>33.699407000000001</v>
      </c>
      <c r="AQ216" s="49">
        <v>34.122447999999999</v>
      </c>
      <c r="AR216" s="49">
        <v>35.77908</v>
      </c>
      <c r="AS216" s="49">
        <v>35.393534000000002</v>
      </c>
      <c r="AT216" s="49">
        <v>36.958832999999998</v>
      </c>
      <c r="AU216" s="49">
        <v>37.897089000000001</v>
      </c>
      <c r="AV216" s="49">
        <v>40.060848</v>
      </c>
      <c r="AW216" s="49">
        <v>40.653686</v>
      </c>
      <c r="AX216" s="49">
        <v>41.624541000000001</v>
      </c>
      <c r="AY216" s="49">
        <v>40.951937000000001</v>
      </c>
      <c r="AZ216" s="49">
        <v>45.315061</v>
      </c>
      <c r="BA216" s="49">
        <v>58.940829000000001</v>
      </c>
      <c r="BB216" s="49">
        <v>57.225659999999998</v>
      </c>
      <c r="BC216" s="49">
        <v>57.470002999999998</v>
      </c>
      <c r="BD216" s="49">
        <v>62.118993000000003</v>
      </c>
      <c r="BE216" s="49">
        <v>63.681984</v>
      </c>
      <c r="BF216" s="49">
        <v>63.856164999999997</v>
      </c>
      <c r="BG216" s="49">
        <v>68.057753000000005</v>
      </c>
      <c r="BH216" s="49">
        <v>67.997319000000005</v>
      </c>
      <c r="BI216" s="49">
        <v>69.378175999999996</v>
      </c>
      <c r="BJ216" s="49">
        <v>69.829766000000006</v>
      </c>
      <c r="BK216" s="49">
        <v>70.788473999999994</v>
      </c>
      <c r="BL216" s="49">
        <v>72.148781</v>
      </c>
    </row>
    <row r="217" spans="1:64" x14ac:dyDescent="0.3">
      <c r="A217" s="49">
        <v>5103</v>
      </c>
      <c r="B217" s="49" t="s">
        <v>4812</v>
      </c>
      <c r="C217" s="49" t="s">
        <v>56</v>
      </c>
      <c r="D217" s="49">
        <v>30.985147999999999</v>
      </c>
      <c r="E217" s="49">
        <v>31.622057999999999</v>
      </c>
      <c r="F217" s="49">
        <v>35.630797999999999</v>
      </c>
      <c r="G217" s="49">
        <v>34.303922</v>
      </c>
      <c r="H217" s="49">
        <v>33.663487000000003</v>
      </c>
      <c r="I217" s="49">
        <v>32.429535999999999</v>
      </c>
      <c r="J217" s="49">
        <v>35.976267</v>
      </c>
      <c r="K217" s="49">
        <v>35.870620000000002</v>
      </c>
      <c r="L217" s="49">
        <v>35.984574000000002</v>
      </c>
      <c r="M217" s="49">
        <v>38.312927999999999</v>
      </c>
      <c r="N217" s="49">
        <v>38.241695999999997</v>
      </c>
      <c r="O217" s="49">
        <v>40.342298999999997</v>
      </c>
      <c r="P217" s="49">
        <v>41.557147000000001</v>
      </c>
      <c r="Q217" s="49">
        <v>41.519914999999997</v>
      </c>
      <c r="R217" s="49">
        <v>42.711438999999999</v>
      </c>
      <c r="S217" s="49">
        <v>45.221882000000001</v>
      </c>
      <c r="T217" s="49">
        <v>43.322304000000003</v>
      </c>
      <c r="U217" s="49">
        <v>43.728552999999998</v>
      </c>
      <c r="V217" s="49">
        <v>42.332968000000001</v>
      </c>
      <c r="W217" s="49">
        <v>43.112656999999999</v>
      </c>
      <c r="X217" s="49">
        <v>44.325982000000003</v>
      </c>
      <c r="Y217" s="49">
        <v>41.113118999999998</v>
      </c>
      <c r="Z217" s="49">
        <v>44.366295999999998</v>
      </c>
      <c r="AA217" s="49">
        <v>43.978527999999997</v>
      </c>
      <c r="AB217" s="49">
        <v>52.025053</v>
      </c>
      <c r="AC217" s="49">
        <v>49.278804999999998</v>
      </c>
      <c r="AD217" s="49">
        <v>46.488928999999999</v>
      </c>
      <c r="AE217" s="49">
        <v>49.996906000000003</v>
      </c>
      <c r="AF217" s="49">
        <v>48.179881000000002</v>
      </c>
      <c r="AG217" s="49">
        <v>44.425372000000003</v>
      </c>
      <c r="AH217" s="49">
        <v>59.307713999999997</v>
      </c>
      <c r="AI217" s="49">
        <v>64.919246000000001</v>
      </c>
      <c r="AJ217" s="49">
        <v>57.985585999999998</v>
      </c>
      <c r="AK217" s="49">
        <v>64.886154000000005</v>
      </c>
      <c r="AL217" s="49">
        <v>59.938752000000001</v>
      </c>
      <c r="AM217" s="49">
        <v>72.194694999999996</v>
      </c>
      <c r="AN217" s="49">
        <v>66.066731000000004</v>
      </c>
      <c r="AO217" s="49">
        <v>72.006084000000001</v>
      </c>
      <c r="AP217" s="49">
        <v>65.817128999999994</v>
      </c>
      <c r="AQ217" s="49">
        <v>61.733165</v>
      </c>
      <c r="AR217" s="49">
        <v>66.598279000000005</v>
      </c>
      <c r="AS217" s="49">
        <v>60.919418</v>
      </c>
      <c r="AT217" s="49">
        <v>71.963526999999999</v>
      </c>
      <c r="AU217" s="49">
        <v>64.729811999999995</v>
      </c>
      <c r="AV217" s="49">
        <v>76.947558000000001</v>
      </c>
      <c r="AW217" s="49">
        <v>70.507220000000004</v>
      </c>
      <c r="AX217" s="49">
        <v>67.851684000000006</v>
      </c>
      <c r="AY217" s="49">
        <v>67.595692999999997</v>
      </c>
      <c r="AZ217" s="49">
        <v>73.207572999999996</v>
      </c>
      <c r="BA217" s="49">
        <v>67.583550000000002</v>
      </c>
      <c r="BB217" s="49">
        <v>76.650786999999994</v>
      </c>
      <c r="BC217" s="49">
        <v>68.472596999999993</v>
      </c>
      <c r="BD217" s="49">
        <v>81.788443999999998</v>
      </c>
      <c r="BE217" s="49">
        <v>85.397034000000005</v>
      </c>
      <c r="BF217" s="49">
        <v>73.108120999999997</v>
      </c>
      <c r="BG217" s="49">
        <v>85.204976000000002</v>
      </c>
      <c r="BH217" s="49">
        <v>83.567423000000005</v>
      </c>
      <c r="BI217" s="49">
        <v>95.617570000000001</v>
      </c>
      <c r="BJ217" s="49">
        <v>90.974656999999993</v>
      </c>
      <c r="BK217" s="49">
        <v>96.157229999999998</v>
      </c>
      <c r="BL217" s="49">
        <v>89.367588999999995</v>
      </c>
    </row>
    <row r="218" spans="1:64" x14ac:dyDescent="0.3">
      <c r="A218" s="49">
        <v>5104</v>
      </c>
      <c r="B218" s="49" t="s">
        <v>4811</v>
      </c>
      <c r="C218" s="49" t="s">
        <v>79</v>
      </c>
      <c r="D218" s="49">
        <v>15.475144999999999</v>
      </c>
      <c r="E218" s="49">
        <v>15.573401</v>
      </c>
      <c r="F218" s="49">
        <v>16.593689000000001</v>
      </c>
      <c r="G218" s="49">
        <v>15.963433999999999</v>
      </c>
      <c r="H218" s="49">
        <v>16.210728</v>
      </c>
      <c r="I218" s="49">
        <v>15.796756</v>
      </c>
      <c r="J218" s="49">
        <v>17.724672000000002</v>
      </c>
      <c r="K218" s="49">
        <v>17.775627</v>
      </c>
      <c r="L218" s="49">
        <v>17.609262000000001</v>
      </c>
      <c r="M218" s="49">
        <v>17.808206999999999</v>
      </c>
      <c r="N218" s="49">
        <v>18.658940999999999</v>
      </c>
      <c r="O218" s="49">
        <v>18.617201000000001</v>
      </c>
      <c r="P218" s="49">
        <v>16.613108</v>
      </c>
      <c r="Q218" s="49">
        <v>18.439305000000001</v>
      </c>
      <c r="R218" s="49">
        <v>17.900925999999998</v>
      </c>
      <c r="S218" s="49">
        <v>18.457702999999999</v>
      </c>
      <c r="T218" s="49">
        <v>17.764313000000001</v>
      </c>
      <c r="U218" s="49">
        <v>17.581702</v>
      </c>
      <c r="V218" s="49">
        <v>17.800314</v>
      </c>
      <c r="W218" s="49">
        <v>17.300286</v>
      </c>
      <c r="X218" s="49">
        <v>17.519825999999998</v>
      </c>
      <c r="Y218" s="49">
        <v>17.871669000000001</v>
      </c>
      <c r="Z218" s="49">
        <v>17.514524999999999</v>
      </c>
      <c r="AA218" s="49">
        <v>18.548876</v>
      </c>
      <c r="AB218" s="49">
        <v>17.981560000000002</v>
      </c>
      <c r="AC218" s="49">
        <v>18.673241999999998</v>
      </c>
      <c r="AD218" s="49">
        <v>19.047996000000001</v>
      </c>
      <c r="AE218" s="49">
        <v>19.416551999999999</v>
      </c>
      <c r="AF218" s="49">
        <v>18.02637</v>
      </c>
      <c r="AG218" s="49">
        <v>16.790184</v>
      </c>
      <c r="AH218" s="49">
        <v>17.661619000000002</v>
      </c>
      <c r="AI218" s="49">
        <v>16.478501999999999</v>
      </c>
      <c r="AJ218" s="49">
        <v>17.284827</v>
      </c>
      <c r="AK218" s="49">
        <v>18.534272999999999</v>
      </c>
      <c r="AL218" s="49">
        <v>16.402984</v>
      </c>
      <c r="AM218" s="49">
        <v>17.875139999999998</v>
      </c>
      <c r="AN218" s="49">
        <v>17.888068000000001</v>
      </c>
      <c r="AO218" s="49">
        <v>15.435328</v>
      </c>
      <c r="AP218" s="49">
        <v>16.740883</v>
      </c>
      <c r="AQ218" s="49">
        <v>16.533365</v>
      </c>
      <c r="AR218" s="49">
        <v>15.411116</v>
      </c>
      <c r="AS218" s="49">
        <v>16.131633999999998</v>
      </c>
      <c r="AT218" s="49">
        <v>15.477625</v>
      </c>
      <c r="AU218" s="49">
        <v>14.83531</v>
      </c>
      <c r="AV218" s="49">
        <v>14.256589999999999</v>
      </c>
      <c r="AW218" s="49">
        <v>12.200647</v>
      </c>
      <c r="AX218" s="49">
        <v>11.940683</v>
      </c>
      <c r="AY218" s="49">
        <v>13.56489</v>
      </c>
      <c r="AZ218" s="49">
        <v>13.234719</v>
      </c>
      <c r="BA218" s="49">
        <v>13.270937</v>
      </c>
      <c r="BB218" s="49">
        <v>13.643802000000001</v>
      </c>
      <c r="BC218" s="49">
        <v>13.742901</v>
      </c>
      <c r="BD218" s="49">
        <v>13.880796999999999</v>
      </c>
      <c r="BE218" s="49">
        <v>14.904268</v>
      </c>
      <c r="BF218" s="49">
        <v>15.379160000000001</v>
      </c>
      <c r="BG218" s="49">
        <v>13.078709999999999</v>
      </c>
      <c r="BH218" s="49">
        <v>15.266416</v>
      </c>
      <c r="BI218" s="49">
        <v>15.506375999999999</v>
      </c>
      <c r="BJ218" s="49">
        <v>14.093104</v>
      </c>
      <c r="BK218" s="49">
        <v>15.460781000000001</v>
      </c>
      <c r="BL218" s="49">
        <v>16.333067</v>
      </c>
    </row>
    <row r="219" spans="1:64" x14ac:dyDescent="0.3">
      <c r="A219" s="49">
        <v>5105</v>
      </c>
      <c r="B219" s="49" t="s">
        <v>4810</v>
      </c>
      <c r="C219" s="49" t="s">
        <v>145</v>
      </c>
      <c r="D219" s="49">
        <v>68.046425999999997</v>
      </c>
      <c r="E219" s="49">
        <v>70.399293999999998</v>
      </c>
      <c r="F219" s="49">
        <v>74.487365999999994</v>
      </c>
      <c r="G219" s="49">
        <v>75.419331</v>
      </c>
      <c r="H219" s="49">
        <v>78.590344999999999</v>
      </c>
      <c r="I219" s="49">
        <v>75.426106000000004</v>
      </c>
      <c r="J219" s="49">
        <v>80.391676000000004</v>
      </c>
      <c r="K219" s="49">
        <v>78.623778999999999</v>
      </c>
      <c r="L219" s="49">
        <v>88.855496000000002</v>
      </c>
      <c r="M219" s="49">
        <v>86.698918000000006</v>
      </c>
      <c r="N219" s="49">
        <v>84.699883</v>
      </c>
      <c r="O219" s="49">
        <v>74.638294999999999</v>
      </c>
      <c r="P219" s="49">
        <v>83.434613999999996</v>
      </c>
      <c r="Q219" s="49">
        <v>80.045068000000001</v>
      </c>
      <c r="R219" s="49">
        <v>76.552188999999998</v>
      </c>
      <c r="S219" s="49">
        <v>78.560562000000004</v>
      </c>
      <c r="T219" s="49">
        <v>71.769306</v>
      </c>
      <c r="U219" s="49">
        <v>69.328965999999994</v>
      </c>
      <c r="V219" s="49">
        <v>69.754317</v>
      </c>
      <c r="W219" s="49">
        <v>72.191591000000003</v>
      </c>
      <c r="X219" s="49">
        <v>69.892038999999997</v>
      </c>
      <c r="Y219" s="49">
        <v>72.271998999999994</v>
      </c>
      <c r="Z219" s="49">
        <v>72.384718000000007</v>
      </c>
      <c r="AA219" s="49">
        <v>79.533473999999998</v>
      </c>
      <c r="AB219" s="49">
        <v>84.359544</v>
      </c>
      <c r="AC219" s="49">
        <v>92.334219000000004</v>
      </c>
      <c r="AD219" s="49">
        <v>94.204566</v>
      </c>
      <c r="AE219" s="49">
        <v>99.389522999999997</v>
      </c>
      <c r="AF219" s="49">
        <v>105.71921500000001</v>
      </c>
      <c r="AG219" s="49">
        <v>111.610454</v>
      </c>
      <c r="AH219" s="49">
        <v>140.15344899999999</v>
      </c>
      <c r="AI219" s="49">
        <v>148.357169</v>
      </c>
      <c r="AJ219" s="49">
        <v>149.309753</v>
      </c>
      <c r="AK219" s="49">
        <v>153.890074</v>
      </c>
      <c r="AL219" s="49">
        <v>160.93164300000001</v>
      </c>
      <c r="AM219" s="49">
        <v>163.01396299999999</v>
      </c>
      <c r="AN219" s="49">
        <v>163.02638400000001</v>
      </c>
      <c r="AO219" s="49">
        <v>173.03416200000001</v>
      </c>
      <c r="AP219" s="49">
        <v>174.077179</v>
      </c>
      <c r="AQ219" s="49">
        <v>173.42681999999999</v>
      </c>
      <c r="AR219" s="49">
        <v>173.880608</v>
      </c>
      <c r="AS219" s="49">
        <v>181.56339</v>
      </c>
      <c r="AT219" s="49">
        <v>187.769767</v>
      </c>
      <c r="AU219" s="49">
        <v>186.290695</v>
      </c>
      <c r="AV219" s="49">
        <v>195.45351299999999</v>
      </c>
      <c r="AW219" s="49">
        <v>200.743968</v>
      </c>
      <c r="AX219" s="49">
        <v>201.59515999999999</v>
      </c>
      <c r="AY219" s="49">
        <v>211.46937600000001</v>
      </c>
      <c r="AZ219" s="49">
        <v>191.329308</v>
      </c>
      <c r="BA219" s="49">
        <v>210.12442899999999</v>
      </c>
      <c r="BB219" s="49">
        <v>211.875922</v>
      </c>
      <c r="BC219" s="49">
        <v>227.19947500000001</v>
      </c>
      <c r="BD219" s="49">
        <v>236.31982300000001</v>
      </c>
      <c r="BE219" s="49">
        <v>244.93868399999999</v>
      </c>
      <c r="BF219" s="49">
        <v>249.27310900000001</v>
      </c>
      <c r="BG219" s="49">
        <v>260.54911099999998</v>
      </c>
      <c r="BH219" s="49">
        <v>272.62837200000001</v>
      </c>
      <c r="BI219" s="49">
        <v>276.93095199999999</v>
      </c>
      <c r="BJ219" s="49">
        <v>286.09061800000001</v>
      </c>
      <c r="BK219" s="49">
        <v>281.05365399999999</v>
      </c>
      <c r="BL219" s="49">
        <v>287.02679599999999</v>
      </c>
    </row>
    <row r="220" spans="1:64" x14ac:dyDescent="0.3">
      <c r="A220" s="49">
        <v>5200</v>
      </c>
      <c r="B220" s="49" t="s">
        <v>4809</v>
      </c>
      <c r="C220" s="49" t="s">
        <v>93</v>
      </c>
      <c r="D220" s="49">
        <v>322.382882</v>
      </c>
      <c r="E220" s="49">
        <v>316.25741799999997</v>
      </c>
      <c r="F220" s="49">
        <v>330.38252199999999</v>
      </c>
      <c r="G220" s="49">
        <v>335.30068199999999</v>
      </c>
      <c r="H220" s="49">
        <v>335.91054600000001</v>
      </c>
      <c r="I220" s="49">
        <v>340.80930899999998</v>
      </c>
      <c r="J220" s="49">
        <v>355.76252399999998</v>
      </c>
      <c r="K220" s="49">
        <v>354.384321</v>
      </c>
      <c r="L220" s="49">
        <v>344.73309599999999</v>
      </c>
      <c r="M220" s="49">
        <v>340.367165</v>
      </c>
      <c r="N220" s="49">
        <v>364.90483699999999</v>
      </c>
      <c r="O220" s="49">
        <v>350.91649799999999</v>
      </c>
      <c r="P220" s="49">
        <v>370.19614300000001</v>
      </c>
      <c r="Q220" s="49">
        <v>378.12869899999998</v>
      </c>
      <c r="R220" s="49">
        <v>392.02058499999998</v>
      </c>
      <c r="S220" s="49">
        <v>400.07475199999999</v>
      </c>
      <c r="T220" s="49">
        <v>404.27492000000001</v>
      </c>
      <c r="U220" s="49">
        <v>399.72235799999999</v>
      </c>
      <c r="V220" s="49">
        <v>401.32557300000002</v>
      </c>
      <c r="W220" s="49">
        <v>412.89631700000001</v>
      </c>
      <c r="X220" s="49">
        <v>435.02743099999998</v>
      </c>
      <c r="Y220" s="49">
        <v>435.16130700000002</v>
      </c>
      <c r="Z220" s="49">
        <v>386.68950999999998</v>
      </c>
      <c r="AA220" s="49">
        <v>423.49605200000002</v>
      </c>
      <c r="AB220" s="49">
        <v>430.475416</v>
      </c>
      <c r="AC220" s="49">
        <v>419.02915100000001</v>
      </c>
      <c r="AD220" s="49">
        <v>404.31697600000001</v>
      </c>
      <c r="AE220" s="49">
        <v>397.18096100000002</v>
      </c>
      <c r="AF220" s="49">
        <v>411.98368599999998</v>
      </c>
      <c r="AG220" s="49">
        <v>412.17350299999998</v>
      </c>
      <c r="AH220" s="49">
        <v>537.48344199999997</v>
      </c>
      <c r="AI220" s="49">
        <v>537.02236700000003</v>
      </c>
      <c r="AJ220" s="49">
        <v>518.11429299999998</v>
      </c>
      <c r="AK220" s="49">
        <v>554.57229299999995</v>
      </c>
      <c r="AL220" s="49">
        <v>555.81976399999996</v>
      </c>
      <c r="AM220" s="49">
        <v>551.76209300000005</v>
      </c>
      <c r="AN220" s="49">
        <v>571.06357500000001</v>
      </c>
      <c r="AO220" s="49">
        <v>568.96616200000005</v>
      </c>
      <c r="AP220" s="49">
        <v>572.68762100000004</v>
      </c>
      <c r="AQ220" s="49">
        <v>575.20371299999999</v>
      </c>
      <c r="AR220" s="49">
        <v>572.76403200000004</v>
      </c>
      <c r="AS220" s="49">
        <v>565.67689099999996</v>
      </c>
      <c r="AT220" s="49">
        <v>597.39550199999996</v>
      </c>
      <c r="AU220" s="49">
        <v>614.18068300000004</v>
      </c>
      <c r="AV220" s="49">
        <v>618.309077</v>
      </c>
      <c r="AW220" s="49">
        <v>609.98656400000004</v>
      </c>
      <c r="AX220" s="49">
        <v>622.65792799999997</v>
      </c>
      <c r="AY220" s="49">
        <v>642.35804700000006</v>
      </c>
      <c r="AZ220" s="49">
        <v>629.57511099999999</v>
      </c>
      <c r="BA220" s="49">
        <v>641.49595099999999</v>
      </c>
      <c r="BB220" s="49">
        <v>647.44285500000001</v>
      </c>
      <c r="BC220" s="49">
        <v>672.38701400000002</v>
      </c>
      <c r="BD220" s="49">
        <v>681.84204299999999</v>
      </c>
      <c r="BE220" s="49">
        <v>702.17230900000004</v>
      </c>
      <c r="BF220" s="49">
        <v>707.26910299999997</v>
      </c>
      <c r="BG220" s="49">
        <v>709.41014900000005</v>
      </c>
      <c r="BH220" s="49">
        <v>718.42200100000002</v>
      </c>
      <c r="BI220" s="49">
        <v>713.63088200000004</v>
      </c>
      <c r="BJ220" s="49">
        <v>703.29251199999999</v>
      </c>
      <c r="BK220" s="49">
        <v>720.29104099999995</v>
      </c>
      <c r="BL220" s="49">
        <v>738.58068500000002</v>
      </c>
    </row>
    <row r="221" spans="1:64" x14ac:dyDescent="0.3">
      <c r="A221" s="49">
        <v>5203</v>
      </c>
      <c r="B221" s="49" t="s">
        <v>4808</v>
      </c>
      <c r="C221" s="49" t="s">
        <v>148</v>
      </c>
      <c r="D221" s="49">
        <v>195.15969200000001</v>
      </c>
      <c r="E221" s="49">
        <v>189.16793699999999</v>
      </c>
      <c r="F221" s="49">
        <v>193.47104100000001</v>
      </c>
      <c r="G221" s="49">
        <v>191.728374</v>
      </c>
      <c r="H221" s="49">
        <v>192.115106</v>
      </c>
      <c r="I221" s="49">
        <v>194.88091299999999</v>
      </c>
      <c r="J221" s="49">
        <v>204.726102</v>
      </c>
      <c r="K221" s="49">
        <v>201.12889999999999</v>
      </c>
      <c r="L221" s="49">
        <v>191.83050800000001</v>
      </c>
      <c r="M221" s="49">
        <v>183.67182600000001</v>
      </c>
      <c r="N221" s="49">
        <v>201.671863</v>
      </c>
      <c r="O221" s="49">
        <v>191.04172600000001</v>
      </c>
      <c r="P221" s="49">
        <v>209.197519</v>
      </c>
      <c r="Q221" s="49">
        <v>213.66903600000001</v>
      </c>
      <c r="R221" s="49">
        <v>221.87985699999999</v>
      </c>
      <c r="S221" s="49">
        <v>224.42165</v>
      </c>
      <c r="T221" s="49">
        <v>226.560824</v>
      </c>
      <c r="U221" s="49">
        <v>220.23920100000001</v>
      </c>
      <c r="V221" s="49">
        <v>225.348455</v>
      </c>
      <c r="W221" s="49">
        <v>231.90793300000001</v>
      </c>
      <c r="X221" s="49">
        <v>248.24269000000001</v>
      </c>
      <c r="Y221" s="49">
        <v>245.01869199999999</v>
      </c>
      <c r="Z221" s="49">
        <v>205.18932799999999</v>
      </c>
      <c r="AA221" s="49">
        <v>235.331042</v>
      </c>
      <c r="AB221" s="49">
        <v>235.966725</v>
      </c>
      <c r="AC221" s="49">
        <v>222.86762400000001</v>
      </c>
      <c r="AD221" s="49">
        <v>206.63987800000001</v>
      </c>
      <c r="AE221" s="49">
        <v>198.462345</v>
      </c>
      <c r="AF221" s="49">
        <v>216.77496600000001</v>
      </c>
      <c r="AG221" s="49">
        <v>220.502836</v>
      </c>
      <c r="AH221" s="49">
        <v>290.812997</v>
      </c>
      <c r="AI221" s="49">
        <v>291.73284100000001</v>
      </c>
      <c r="AJ221" s="49">
        <v>286.65204</v>
      </c>
      <c r="AK221" s="49">
        <v>304.69322899999997</v>
      </c>
      <c r="AL221" s="49">
        <v>300.98969</v>
      </c>
      <c r="AM221" s="49">
        <v>304.05256900000001</v>
      </c>
      <c r="AN221" s="49">
        <v>314.773751</v>
      </c>
      <c r="AO221" s="49">
        <v>310.13761199999999</v>
      </c>
      <c r="AP221" s="49">
        <v>309.41188099999999</v>
      </c>
      <c r="AQ221" s="49">
        <v>308.26778000000002</v>
      </c>
      <c r="AR221" s="49">
        <v>300.85441300000002</v>
      </c>
      <c r="AS221" s="49">
        <v>285.95464299999998</v>
      </c>
      <c r="AT221" s="49">
        <v>302.53045300000002</v>
      </c>
      <c r="AU221" s="49">
        <v>299.84286300000002</v>
      </c>
      <c r="AV221" s="49">
        <v>301.30599699999999</v>
      </c>
      <c r="AW221" s="49">
        <v>293.991758</v>
      </c>
      <c r="AX221" s="49">
        <v>299.08214400000003</v>
      </c>
      <c r="AY221" s="49">
        <v>307.21966800000001</v>
      </c>
      <c r="AZ221" s="49">
        <v>300.263079</v>
      </c>
      <c r="BA221" s="49">
        <v>302.93019600000002</v>
      </c>
      <c r="BB221" s="49">
        <v>294.41422</v>
      </c>
      <c r="BC221" s="49">
        <v>315.89021400000001</v>
      </c>
      <c r="BD221" s="49">
        <v>310.01126799999997</v>
      </c>
      <c r="BE221" s="49">
        <v>318.36135200000001</v>
      </c>
      <c r="BF221" s="49">
        <v>318.01042200000001</v>
      </c>
      <c r="BG221" s="49">
        <v>321.65519499999999</v>
      </c>
      <c r="BH221" s="49">
        <v>326.37060500000001</v>
      </c>
      <c r="BI221" s="49">
        <v>322.01755600000001</v>
      </c>
      <c r="BJ221" s="49">
        <v>304.621826</v>
      </c>
      <c r="BK221" s="49">
        <v>311.23516599999999</v>
      </c>
      <c r="BL221" s="49">
        <v>321.43778300000002</v>
      </c>
    </row>
    <row r="222" spans="1:64" x14ac:dyDescent="0.3">
      <c r="A222" s="49">
        <v>5204</v>
      </c>
      <c r="B222" s="49" t="s">
        <v>4807</v>
      </c>
      <c r="C222" s="49" t="s">
        <v>89</v>
      </c>
      <c r="D222" s="49">
        <v>28.632009</v>
      </c>
      <c r="E222" s="49">
        <v>28.997026999999999</v>
      </c>
      <c r="F222" s="49">
        <v>30.912431000000002</v>
      </c>
      <c r="G222" s="49">
        <v>33.392619000000003</v>
      </c>
      <c r="H222" s="49">
        <v>34.325696999999998</v>
      </c>
      <c r="I222" s="49">
        <v>36.172657000000001</v>
      </c>
      <c r="J222" s="49">
        <v>34.754682000000003</v>
      </c>
      <c r="K222" s="49">
        <v>35.106383999999998</v>
      </c>
      <c r="L222" s="49">
        <v>33.800989000000001</v>
      </c>
      <c r="M222" s="49">
        <v>35.018053000000002</v>
      </c>
      <c r="N222" s="49">
        <v>35.792876</v>
      </c>
      <c r="O222" s="49">
        <v>34.953605000000003</v>
      </c>
      <c r="P222" s="49">
        <v>35.885357999999997</v>
      </c>
      <c r="Q222" s="49">
        <v>34.166808000000003</v>
      </c>
      <c r="R222" s="49">
        <v>35.668534000000001</v>
      </c>
      <c r="S222" s="49">
        <v>34.440762999999997</v>
      </c>
      <c r="T222" s="49">
        <v>37.354517000000001</v>
      </c>
      <c r="U222" s="49">
        <v>36.922235000000001</v>
      </c>
      <c r="V222" s="49">
        <v>31.781863999999999</v>
      </c>
      <c r="W222" s="49">
        <v>35.813755999999998</v>
      </c>
      <c r="X222" s="49">
        <v>39.518180999999998</v>
      </c>
      <c r="Y222" s="49">
        <v>33.384120000000003</v>
      </c>
      <c r="Z222" s="49">
        <v>38.190584999999999</v>
      </c>
      <c r="AA222" s="49">
        <v>37.294981999999997</v>
      </c>
      <c r="AB222" s="49">
        <v>40.101120000000002</v>
      </c>
      <c r="AC222" s="49">
        <v>37.352465000000002</v>
      </c>
      <c r="AD222" s="49">
        <v>38.708376999999999</v>
      </c>
      <c r="AE222" s="49">
        <v>37.483798</v>
      </c>
      <c r="AF222" s="49">
        <v>36.452716000000002</v>
      </c>
      <c r="AG222" s="49">
        <v>39.820636999999998</v>
      </c>
      <c r="AH222" s="49">
        <v>41.646379000000003</v>
      </c>
      <c r="AI222" s="49">
        <v>39.983538000000003</v>
      </c>
      <c r="AJ222" s="49">
        <v>39.855932000000003</v>
      </c>
      <c r="AK222" s="49">
        <v>42.900384000000003</v>
      </c>
      <c r="AL222" s="49">
        <v>43.062285000000003</v>
      </c>
      <c r="AM222" s="49">
        <v>45.455123</v>
      </c>
      <c r="AN222" s="49">
        <v>42.163724000000002</v>
      </c>
      <c r="AO222" s="49">
        <v>45.079796999999999</v>
      </c>
      <c r="AP222" s="49">
        <v>42.314511000000003</v>
      </c>
      <c r="AQ222" s="49">
        <v>41.542814</v>
      </c>
      <c r="AR222" s="49">
        <v>43.853341999999998</v>
      </c>
      <c r="AS222" s="49">
        <v>42.085554999999999</v>
      </c>
      <c r="AT222" s="49">
        <v>43.884611999999997</v>
      </c>
      <c r="AU222" s="49">
        <v>43.596761999999998</v>
      </c>
      <c r="AV222" s="49">
        <v>40.381886999999999</v>
      </c>
      <c r="AW222" s="49">
        <v>42.443451000000003</v>
      </c>
      <c r="AX222" s="49">
        <v>43.144728000000001</v>
      </c>
      <c r="AY222" s="49">
        <v>44.101300000000002</v>
      </c>
      <c r="AZ222" s="49">
        <v>40.727317999999997</v>
      </c>
      <c r="BA222" s="49">
        <v>44.016964999999999</v>
      </c>
      <c r="BB222" s="49">
        <v>40.74933</v>
      </c>
      <c r="BC222" s="49">
        <v>44.666578999999999</v>
      </c>
      <c r="BD222" s="49">
        <v>45.199283000000001</v>
      </c>
      <c r="BE222" s="49">
        <v>46.111370000000001</v>
      </c>
      <c r="BF222" s="49">
        <v>45.662906999999997</v>
      </c>
      <c r="BG222" s="49">
        <v>46.582172999999997</v>
      </c>
      <c r="BH222" s="49">
        <v>46.256304999999998</v>
      </c>
      <c r="BI222" s="49">
        <v>45.676828</v>
      </c>
      <c r="BJ222" s="49">
        <v>43.350901999999998</v>
      </c>
      <c r="BK222" s="49">
        <v>45.326206999999997</v>
      </c>
      <c r="BL222" s="49">
        <v>45.593893000000001</v>
      </c>
    </row>
    <row r="223" spans="1:64" x14ac:dyDescent="0.3">
      <c r="A223" s="49">
        <v>5206</v>
      </c>
      <c r="B223" s="49" t="s">
        <v>4806</v>
      </c>
      <c r="C223" s="49" t="s">
        <v>94</v>
      </c>
      <c r="D223" s="49">
        <v>8.1383229999999998</v>
      </c>
      <c r="E223" s="49">
        <v>8.0144490000000008</v>
      </c>
      <c r="F223" s="49">
        <v>7.7231940000000003</v>
      </c>
      <c r="G223" s="49">
        <v>7.4792949999999996</v>
      </c>
      <c r="H223" s="49">
        <v>7.425808</v>
      </c>
      <c r="I223" s="49">
        <v>7.418755</v>
      </c>
      <c r="J223" s="49">
        <v>7.5462559999999996</v>
      </c>
      <c r="K223" s="49">
        <v>7.4869690000000002</v>
      </c>
      <c r="L223" s="49">
        <v>7.3628159999999996</v>
      </c>
      <c r="M223" s="49">
        <v>8.6140380000000007</v>
      </c>
      <c r="N223" s="49">
        <v>8.3907319999999999</v>
      </c>
      <c r="O223" s="49">
        <v>8.3414350000000006</v>
      </c>
      <c r="P223" s="49">
        <v>8.070646</v>
      </c>
      <c r="Q223" s="49">
        <v>8.0818519999999996</v>
      </c>
      <c r="R223" s="49">
        <v>7.9187799999999999</v>
      </c>
      <c r="S223" s="49">
        <v>8.0779789999999991</v>
      </c>
      <c r="T223" s="49">
        <v>7.8914010000000001</v>
      </c>
      <c r="U223" s="49">
        <v>8.3373159999999995</v>
      </c>
      <c r="V223" s="49">
        <v>8.4386329999999994</v>
      </c>
      <c r="W223" s="49">
        <v>8.503959</v>
      </c>
      <c r="X223" s="49">
        <v>8.067069</v>
      </c>
      <c r="Y223" s="49">
        <v>8.2492140000000003</v>
      </c>
      <c r="Z223" s="49">
        <v>8.1644400000000008</v>
      </c>
      <c r="AA223" s="49">
        <v>8.5598419999999997</v>
      </c>
      <c r="AB223" s="49">
        <v>9.2657620000000005</v>
      </c>
      <c r="AC223" s="49">
        <v>9.1178159999999995</v>
      </c>
      <c r="AD223" s="49">
        <v>9.2736879999999999</v>
      </c>
      <c r="AE223" s="49">
        <v>9.2179549999999999</v>
      </c>
      <c r="AF223" s="49">
        <v>9.4366869999999992</v>
      </c>
      <c r="AG223" s="49">
        <v>9.0560369999999999</v>
      </c>
      <c r="AH223" s="49">
        <v>9.8831570000000006</v>
      </c>
      <c r="AI223" s="49">
        <v>10.196664</v>
      </c>
      <c r="AJ223" s="49">
        <v>9.4938210000000005</v>
      </c>
      <c r="AK223" s="49">
        <v>9.6660909999999998</v>
      </c>
      <c r="AL223" s="49">
        <v>9.4135050000000007</v>
      </c>
      <c r="AM223" s="49">
        <v>9.684768</v>
      </c>
      <c r="AN223" s="49">
        <v>9.8212419999999998</v>
      </c>
      <c r="AO223" s="49">
        <v>9.2105069999999998</v>
      </c>
      <c r="AP223" s="49">
        <v>8.7818629999999995</v>
      </c>
      <c r="AQ223" s="49">
        <v>9.0670409999999997</v>
      </c>
      <c r="AR223" s="49">
        <v>8.9684489999999997</v>
      </c>
      <c r="AS223" s="49">
        <v>9.1333520000000004</v>
      </c>
      <c r="AT223" s="49">
        <v>8.4521440000000005</v>
      </c>
      <c r="AU223" s="49">
        <v>8.4989489999999996</v>
      </c>
      <c r="AV223" s="49">
        <v>8.1592559999999992</v>
      </c>
      <c r="AW223" s="49">
        <v>7.6033489999999997</v>
      </c>
      <c r="AX223" s="49">
        <v>8.0346480000000007</v>
      </c>
      <c r="AY223" s="49">
        <v>7.7647320000000004</v>
      </c>
      <c r="AZ223" s="49">
        <v>8.8298710000000007</v>
      </c>
      <c r="BA223" s="49">
        <v>8.9343339999999998</v>
      </c>
      <c r="BB223" s="49">
        <v>8.8475359999999998</v>
      </c>
      <c r="BC223" s="49">
        <v>7.9902879999999996</v>
      </c>
      <c r="BD223" s="49">
        <v>8.7170679999999994</v>
      </c>
      <c r="BE223" s="49">
        <v>8.8846769999999999</v>
      </c>
      <c r="BF223" s="49">
        <v>8.1681080000000001</v>
      </c>
      <c r="BG223" s="49">
        <v>8.5289870000000008</v>
      </c>
      <c r="BH223" s="49">
        <v>8.7468780000000006</v>
      </c>
      <c r="BI223" s="49">
        <v>8.6338620000000006</v>
      </c>
      <c r="BJ223" s="49">
        <v>7.6631910000000003</v>
      </c>
      <c r="BK223" s="49">
        <v>7.1790900000000004</v>
      </c>
      <c r="BL223" s="49">
        <v>7.3679100000000002</v>
      </c>
    </row>
    <row r="224" spans="1:64" x14ac:dyDescent="0.3">
      <c r="A224" s="49">
        <v>5207</v>
      </c>
      <c r="B224" s="49" t="s">
        <v>4805</v>
      </c>
      <c r="C224" s="49" t="s">
        <v>103</v>
      </c>
      <c r="D224" s="49">
        <v>90.452858000000006</v>
      </c>
      <c r="E224" s="49">
        <v>90.078005000000005</v>
      </c>
      <c r="F224" s="49">
        <v>98.275856000000005</v>
      </c>
      <c r="G224" s="49">
        <v>102.700394</v>
      </c>
      <c r="H224" s="49">
        <v>102.043935</v>
      </c>
      <c r="I224" s="49">
        <v>102.336984</v>
      </c>
      <c r="J224" s="49">
        <v>108.735484</v>
      </c>
      <c r="K224" s="49">
        <v>110.662068</v>
      </c>
      <c r="L224" s="49">
        <v>111.738783</v>
      </c>
      <c r="M224" s="49">
        <v>113.063248</v>
      </c>
      <c r="N224" s="49">
        <v>119.04936600000001</v>
      </c>
      <c r="O224" s="49">
        <v>116.57973200000001</v>
      </c>
      <c r="P224" s="49">
        <v>117.04262</v>
      </c>
      <c r="Q224" s="49">
        <v>122.21100300000001</v>
      </c>
      <c r="R224" s="49">
        <v>126.553414</v>
      </c>
      <c r="S224" s="49">
        <v>133.13435999999999</v>
      </c>
      <c r="T224" s="49">
        <v>132.46817799999999</v>
      </c>
      <c r="U224" s="49">
        <v>134.22360599999999</v>
      </c>
      <c r="V224" s="49">
        <v>135.756621</v>
      </c>
      <c r="W224" s="49">
        <v>136.670669</v>
      </c>
      <c r="X224" s="49">
        <v>139.19949099999999</v>
      </c>
      <c r="Y224" s="49">
        <v>148.50928099999999</v>
      </c>
      <c r="Z224" s="49">
        <v>135.14515700000001</v>
      </c>
      <c r="AA224" s="49">
        <v>142.31018599999999</v>
      </c>
      <c r="AB224" s="49">
        <v>145.14180899999999</v>
      </c>
      <c r="AC224" s="49">
        <v>149.69124600000001</v>
      </c>
      <c r="AD224" s="49">
        <v>149.695033</v>
      </c>
      <c r="AE224" s="49">
        <v>152.016863</v>
      </c>
      <c r="AF224" s="49">
        <v>149.31931700000001</v>
      </c>
      <c r="AG224" s="49">
        <v>142.793993</v>
      </c>
      <c r="AH224" s="49">
        <v>195.140905</v>
      </c>
      <c r="AI224" s="49">
        <v>195.10932600000001</v>
      </c>
      <c r="AJ224" s="49">
        <v>182.11250100000001</v>
      </c>
      <c r="AK224" s="49">
        <v>197.312589</v>
      </c>
      <c r="AL224" s="49">
        <v>202.35429500000001</v>
      </c>
      <c r="AM224" s="49">
        <v>192.56963200000001</v>
      </c>
      <c r="AN224" s="49">
        <v>204.30485899999999</v>
      </c>
      <c r="AO224" s="49">
        <v>204.538242</v>
      </c>
      <c r="AP224" s="49">
        <v>212.17936399999999</v>
      </c>
      <c r="AQ224" s="49">
        <v>216.326078</v>
      </c>
      <c r="AR224" s="49">
        <v>219.087827</v>
      </c>
      <c r="AS224" s="49">
        <v>228.503342</v>
      </c>
      <c r="AT224" s="49">
        <v>242.52829800000001</v>
      </c>
      <c r="AU224" s="49">
        <v>262.24211000000003</v>
      </c>
      <c r="AV224" s="49">
        <v>268.46193199999999</v>
      </c>
      <c r="AW224" s="49">
        <v>265.94801100000001</v>
      </c>
      <c r="AX224" s="49">
        <v>272.39640800000001</v>
      </c>
      <c r="AY224" s="49">
        <v>283.27234900000002</v>
      </c>
      <c r="AZ224" s="49">
        <v>279.75483800000001</v>
      </c>
      <c r="BA224" s="49">
        <v>285.61445200000003</v>
      </c>
      <c r="BB224" s="49">
        <v>303.43176799999998</v>
      </c>
      <c r="BC224" s="49">
        <v>303.83993099999998</v>
      </c>
      <c r="BD224" s="49">
        <v>317.91441800000001</v>
      </c>
      <c r="BE224" s="49">
        <v>328.81490700000001</v>
      </c>
      <c r="BF224" s="49">
        <v>335.42766899999998</v>
      </c>
      <c r="BG224" s="49">
        <v>332.64379500000001</v>
      </c>
      <c r="BH224" s="49">
        <v>337.04820899999999</v>
      </c>
      <c r="BI224" s="49">
        <v>337.30264199999999</v>
      </c>
      <c r="BJ224" s="49">
        <v>347.65659099999999</v>
      </c>
      <c r="BK224" s="49">
        <v>356.55057199999999</v>
      </c>
      <c r="BL224" s="49">
        <v>364.18109800000002</v>
      </c>
    </row>
    <row r="225" spans="1:64" x14ac:dyDescent="0.3">
      <c r="A225" s="49">
        <v>5300</v>
      </c>
      <c r="B225" s="49" t="s">
        <v>4804</v>
      </c>
      <c r="C225" s="49" t="s">
        <v>38</v>
      </c>
      <c r="D225" s="49">
        <v>769.39474800000005</v>
      </c>
      <c r="E225" s="49">
        <v>783.21135500000003</v>
      </c>
      <c r="F225" s="49">
        <v>776.97854900000004</v>
      </c>
      <c r="G225" s="49">
        <v>793.36729800000001</v>
      </c>
      <c r="H225" s="49">
        <v>789.91340600000001</v>
      </c>
      <c r="I225" s="49">
        <v>792.57453999999996</v>
      </c>
      <c r="J225" s="49">
        <v>794.86221399999999</v>
      </c>
      <c r="K225" s="49">
        <v>798.68732299999999</v>
      </c>
      <c r="L225" s="49">
        <v>804.14581999999996</v>
      </c>
      <c r="M225" s="49">
        <v>810.928631</v>
      </c>
      <c r="N225" s="49">
        <v>811.04293800000005</v>
      </c>
      <c r="O225" s="49">
        <v>810.65572599999996</v>
      </c>
      <c r="P225" s="49">
        <v>828.82129199999997</v>
      </c>
      <c r="Q225" s="49">
        <v>828.659358</v>
      </c>
      <c r="R225" s="49">
        <v>837.41355899999996</v>
      </c>
      <c r="S225" s="49">
        <v>841.20755699999995</v>
      </c>
      <c r="T225" s="49">
        <v>848.62951299999997</v>
      </c>
      <c r="U225" s="49">
        <v>861.193532</v>
      </c>
      <c r="V225" s="49">
        <v>855.32058900000004</v>
      </c>
      <c r="W225" s="49">
        <v>857.91064300000005</v>
      </c>
      <c r="X225" s="49">
        <v>865.86092699999995</v>
      </c>
      <c r="Y225" s="49">
        <v>855.70279400000004</v>
      </c>
      <c r="Z225" s="49">
        <v>874.18185600000004</v>
      </c>
      <c r="AA225" s="49">
        <v>872.41701499999999</v>
      </c>
      <c r="AB225" s="49">
        <v>879.14047400000004</v>
      </c>
      <c r="AC225" s="49">
        <v>887.46920799999998</v>
      </c>
      <c r="AD225" s="49">
        <v>874.00752399999999</v>
      </c>
      <c r="AE225" s="49">
        <v>896.58610599999997</v>
      </c>
      <c r="AF225" s="49">
        <v>910.99909300000002</v>
      </c>
      <c r="AG225" s="49">
        <v>915.05112899999995</v>
      </c>
      <c r="AH225" s="49">
        <v>1103.1091570000001</v>
      </c>
      <c r="AI225" s="49">
        <v>1175.689513</v>
      </c>
      <c r="AJ225" s="49">
        <v>1179.3419590000001</v>
      </c>
      <c r="AK225" s="49">
        <v>1176.6306460000001</v>
      </c>
      <c r="AL225" s="49">
        <v>1193.084509</v>
      </c>
      <c r="AM225" s="49">
        <v>1203.4598350000001</v>
      </c>
      <c r="AN225" s="49">
        <v>1198.3280400000001</v>
      </c>
      <c r="AO225" s="49">
        <v>1203.3271010000001</v>
      </c>
      <c r="AP225" s="49">
        <v>1204.4178830000001</v>
      </c>
      <c r="AQ225" s="49">
        <v>1201.923219</v>
      </c>
      <c r="AR225" s="49">
        <v>1195.9580269999999</v>
      </c>
      <c r="AS225" s="49">
        <v>1186.731702</v>
      </c>
      <c r="AT225" s="49">
        <v>1206.6128160000001</v>
      </c>
      <c r="AU225" s="49">
        <v>1229.4827869999999</v>
      </c>
      <c r="AV225" s="49">
        <v>1254.5684819999999</v>
      </c>
      <c r="AW225" s="49">
        <v>1256.503526</v>
      </c>
      <c r="AX225" s="49">
        <v>1278.3155039999999</v>
      </c>
      <c r="AY225" s="49">
        <v>1280.4268529999999</v>
      </c>
      <c r="AZ225" s="49">
        <v>1289.5644440000001</v>
      </c>
      <c r="BA225" s="49">
        <v>1320.743395</v>
      </c>
      <c r="BB225" s="49">
        <v>1342.628735</v>
      </c>
      <c r="BC225" s="49">
        <v>1332.9279409999999</v>
      </c>
      <c r="BD225" s="49">
        <v>1348.7816989999999</v>
      </c>
      <c r="BE225" s="49">
        <v>1355.1545120000001</v>
      </c>
      <c r="BF225" s="49">
        <v>1352.886285</v>
      </c>
      <c r="BG225" s="49">
        <v>1348.8858009999999</v>
      </c>
      <c r="BH225" s="49">
        <v>1387.388416</v>
      </c>
      <c r="BI225" s="49">
        <v>1371.060471</v>
      </c>
      <c r="BJ225" s="49">
        <v>1364.1516369999999</v>
      </c>
      <c r="BK225" s="49">
        <v>1390.2405610000001</v>
      </c>
      <c r="BL225" s="49">
        <v>1410.3679090000001</v>
      </c>
    </row>
    <row r="226" spans="1:64" x14ac:dyDescent="0.3">
      <c r="A226" s="49">
        <v>5301</v>
      </c>
      <c r="B226" s="49" t="s">
        <v>4803</v>
      </c>
      <c r="C226" s="49" t="s">
        <v>375</v>
      </c>
      <c r="AI226" s="49">
        <v>64.363929999999996</v>
      </c>
      <c r="AJ226" s="49">
        <v>63.873297000000001</v>
      </c>
      <c r="AK226" s="49">
        <v>59.174076999999997</v>
      </c>
      <c r="AL226" s="49">
        <v>53.546453</v>
      </c>
      <c r="AM226" s="49">
        <v>51.580008999999997</v>
      </c>
      <c r="AN226" s="49">
        <v>48.959910000000001</v>
      </c>
      <c r="AO226" s="49">
        <v>43.280859</v>
      </c>
      <c r="AP226" s="49">
        <v>42.966335000000001</v>
      </c>
      <c r="AQ226" s="49">
        <v>45.312415999999999</v>
      </c>
      <c r="AR226" s="49">
        <v>46.456862000000001</v>
      </c>
      <c r="AS226" s="49">
        <v>48.620829999999998</v>
      </c>
      <c r="AT226" s="49">
        <v>49.723824999999998</v>
      </c>
      <c r="AU226" s="49">
        <v>50.721660999999997</v>
      </c>
      <c r="AV226" s="49">
        <v>50.541266</v>
      </c>
      <c r="AW226" s="49">
        <v>51.269461</v>
      </c>
      <c r="AX226" s="49">
        <v>52.766582</v>
      </c>
      <c r="AY226" s="49">
        <v>53.408323000000003</v>
      </c>
      <c r="AZ226" s="49">
        <v>56.196933999999999</v>
      </c>
      <c r="BA226" s="49">
        <v>54.734631</v>
      </c>
      <c r="BB226" s="49">
        <v>56.933835000000002</v>
      </c>
      <c r="BC226" s="49">
        <v>54.748688000000001</v>
      </c>
      <c r="BD226" s="49">
        <v>57.774562000000003</v>
      </c>
      <c r="BE226" s="49">
        <v>55.609453999999999</v>
      </c>
      <c r="BF226" s="49">
        <v>55.868406999999998</v>
      </c>
      <c r="BG226" s="49">
        <v>57.480634000000002</v>
      </c>
      <c r="BH226" s="49">
        <v>58.475771000000002</v>
      </c>
      <c r="BI226" s="49">
        <v>57.909286999999999</v>
      </c>
      <c r="BJ226" s="49">
        <v>58.315876000000003</v>
      </c>
      <c r="BK226" s="49">
        <v>59.377119999999998</v>
      </c>
      <c r="BL226" s="49">
        <v>59.943413</v>
      </c>
    </row>
    <row r="227" spans="1:64" x14ac:dyDescent="0.3">
      <c r="A227" s="49">
        <v>5302</v>
      </c>
      <c r="B227" s="49" t="s">
        <v>4802</v>
      </c>
      <c r="C227" s="49" t="s">
        <v>205</v>
      </c>
      <c r="D227" s="49">
        <v>281.74545999999998</v>
      </c>
      <c r="E227" s="49">
        <v>281.300096</v>
      </c>
      <c r="F227" s="49">
        <v>276.737574</v>
      </c>
      <c r="G227" s="49">
        <v>282.66839199999998</v>
      </c>
      <c r="H227" s="49">
        <v>278.758241</v>
      </c>
      <c r="I227" s="49">
        <v>282.48061200000001</v>
      </c>
      <c r="J227" s="49">
        <v>278.84358800000001</v>
      </c>
      <c r="K227" s="49">
        <v>271.96646199999998</v>
      </c>
      <c r="L227" s="49">
        <v>274.30742400000003</v>
      </c>
      <c r="M227" s="49">
        <v>275.41582099999999</v>
      </c>
      <c r="N227" s="49">
        <v>278.85238199999998</v>
      </c>
      <c r="O227" s="49">
        <v>280.91239200000001</v>
      </c>
      <c r="P227" s="49">
        <v>280.86775699999998</v>
      </c>
      <c r="Q227" s="49">
        <v>281.433334</v>
      </c>
      <c r="R227" s="49">
        <v>282.80446899999998</v>
      </c>
      <c r="S227" s="49">
        <v>282.91676000000001</v>
      </c>
      <c r="T227" s="49">
        <v>282.08368400000001</v>
      </c>
      <c r="U227" s="49">
        <v>283.95568600000001</v>
      </c>
      <c r="V227" s="49">
        <v>281.09897100000001</v>
      </c>
      <c r="W227" s="49">
        <v>277.60165999999998</v>
      </c>
      <c r="X227" s="49">
        <v>274.91758600000003</v>
      </c>
      <c r="Y227" s="49">
        <v>272.91442499999999</v>
      </c>
      <c r="Z227" s="49">
        <v>275.59780899999998</v>
      </c>
      <c r="AA227" s="49">
        <v>275.82379700000001</v>
      </c>
      <c r="AB227" s="49">
        <v>274.025712</v>
      </c>
      <c r="AC227" s="49">
        <v>279.580625</v>
      </c>
      <c r="AD227" s="49">
        <v>283.27749299999999</v>
      </c>
      <c r="AE227" s="49">
        <v>284.05219699999998</v>
      </c>
      <c r="AF227" s="49">
        <v>288.38204999999999</v>
      </c>
      <c r="AG227" s="49">
        <v>291.405958</v>
      </c>
      <c r="AH227" s="49">
        <v>352.96595300000001</v>
      </c>
      <c r="AI227" s="49">
        <v>353.55915099999999</v>
      </c>
      <c r="AJ227" s="49">
        <v>349.46633400000002</v>
      </c>
      <c r="AK227" s="49">
        <v>355.02720599999998</v>
      </c>
      <c r="AL227" s="49">
        <v>360.390782</v>
      </c>
      <c r="AM227" s="49">
        <v>363.44824599999998</v>
      </c>
      <c r="AN227" s="49">
        <v>366.73589199999998</v>
      </c>
      <c r="AO227" s="49">
        <v>370.27935100000002</v>
      </c>
      <c r="AP227" s="49">
        <v>371.31304799999998</v>
      </c>
      <c r="AQ227" s="49">
        <v>372.59754800000002</v>
      </c>
      <c r="AR227" s="49">
        <v>371.37681900000001</v>
      </c>
      <c r="AS227" s="49">
        <v>366.73808600000001</v>
      </c>
      <c r="AT227" s="49">
        <v>363.89096699999999</v>
      </c>
      <c r="AU227" s="49">
        <v>370.98752000000002</v>
      </c>
      <c r="AV227" s="49">
        <v>375.902648</v>
      </c>
      <c r="AW227" s="49">
        <v>374.15290299999998</v>
      </c>
      <c r="AX227" s="49">
        <v>374.87499700000001</v>
      </c>
      <c r="AY227" s="49">
        <v>382.202991</v>
      </c>
      <c r="AZ227" s="49">
        <v>387.45302299999997</v>
      </c>
      <c r="BA227" s="49">
        <v>388.83596199999999</v>
      </c>
      <c r="BB227" s="49">
        <v>392.76128299999999</v>
      </c>
      <c r="BC227" s="49">
        <v>392.638554</v>
      </c>
      <c r="BD227" s="49">
        <v>393.35458299999999</v>
      </c>
      <c r="BE227" s="49">
        <v>395.54715099999999</v>
      </c>
      <c r="BF227" s="49">
        <v>409.47360800000001</v>
      </c>
      <c r="BG227" s="49">
        <v>403.29153500000001</v>
      </c>
      <c r="BH227" s="49">
        <v>410.47122899999999</v>
      </c>
      <c r="BI227" s="49">
        <v>403.15064599999999</v>
      </c>
      <c r="BJ227" s="49">
        <v>402.85999199999998</v>
      </c>
      <c r="BK227" s="49">
        <v>404.88807100000002</v>
      </c>
      <c r="BL227" s="49">
        <v>406.95503500000001</v>
      </c>
    </row>
    <row r="228" spans="1:64" x14ac:dyDescent="0.3">
      <c r="A228" s="49">
        <v>5303</v>
      </c>
      <c r="B228" s="49" t="s">
        <v>4801</v>
      </c>
      <c r="C228" s="49" t="s">
        <v>36</v>
      </c>
      <c r="D228" s="49">
        <v>345.29691300000002</v>
      </c>
      <c r="E228" s="49">
        <v>352.59026999999998</v>
      </c>
      <c r="F228" s="49">
        <v>353.175274</v>
      </c>
      <c r="G228" s="49">
        <v>356.97573699999998</v>
      </c>
      <c r="H228" s="49">
        <v>358.26797699999997</v>
      </c>
      <c r="I228" s="49">
        <v>355.32773500000002</v>
      </c>
      <c r="J228" s="49">
        <v>363.29845999999998</v>
      </c>
      <c r="K228" s="49">
        <v>370.122232</v>
      </c>
      <c r="L228" s="49">
        <v>373.804371</v>
      </c>
      <c r="M228" s="49">
        <v>376.934438</v>
      </c>
      <c r="N228" s="49">
        <v>374.00470899999999</v>
      </c>
      <c r="O228" s="49">
        <v>372.26485000000002</v>
      </c>
      <c r="P228" s="49">
        <v>384.77207800000002</v>
      </c>
      <c r="Q228" s="49">
        <v>381.447496</v>
      </c>
      <c r="R228" s="49">
        <v>385.5412</v>
      </c>
      <c r="S228" s="49">
        <v>387.87589300000002</v>
      </c>
      <c r="T228" s="49">
        <v>393.82796400000001</v>
      </c>
      <c r="U228" s="49">
        <v>398.742479</v>
      </c>
      <c r="V228" s="49">
        <v>397.21159599999999</v>
      </c>
      <c r="W228" s="49">
        <v>398.25541199999998</v>
      </c>
      <c r="X228" s="49">
        <v>405.48205200000001</v>
      </c>
      <c r="Y228" s="49">
        <v>400.15727399999997</v>
      </c>
      <c r="Z228" s="49">
        <v>411.15079100000003</v>
      </c>
      <c r="AA228" s="49">
        <v>409.884908</v>
      </c>
      <c r="AB228" s="49">
        <v>408.95709199999999</v>
      </c>
      <c r="AC228" s="49">
        <v>411.31417800000003</v>
      </c>
      <c r="AD228" s="49">
        <v>398.01388200000002</v>
      </c>
      <c r="AE228" s="49">
        <v>409.75065899999998</v>
      </c>
      <c r="AF228" s="49">
        <v>417.83062999999999</v>
      </c>
      <c r="AG228" s="49">
        <v>416.1739</v>
      </c>
      <c r="AH228" s="49">
        <v>509.42578600000002</v>
      </c>
      <c r="AI228" s="49">
        <v>503.472488</v>
      </c>
      <c r="AJ228" s="49">
        <v>510.20011199999999</v>
      </c>
      <c r="AK228" s="49">
        <v>506.63635399999998</v>
      </c>
      <c r="AL228" s="49">
        <v>517.75126699999998</v>
      </c>
      <c r="AM228" s="49">
        <v>524.16988100000003</v>
      </c>
      <c r="AN228" s="49">
        <v>520.46718099999998</v>
      </c>
      <c r="AO228" s="49">
        <v>526.55780200000004</v>
      </c>
      <c r="AP228" s="49">
        <v>518.884185</v>
      </c>
      <c r="AQ228" s="49">
        <v>511.569434</v>
      </c>
      <c r="AR228" s="49">
        <v>503.04707300000001</v>
      </c>
      <c r="AS228" s="49">
        <v>493.041946</v>
      </c>
      <c r="AT228" s="49">
        <v>510.759659</v>
      </c>
      <c r="AU228" s="49">
        <v>521.81960800000002</v>
      </c>
      <c r="AV228" s="49">
        <v>534.33772799999997</v>
      </c>
      <c r="AW228" s="49">
        <v>538.07018900000003</v>
      </c>
      <c r="AX228" s="49">
        <v>553.86384999999996</v>
      </c>
      <c r="AY228" s="49">
        <v>545.65622900000005</v>
      </c>
      <c r="AZ228" s="49">
        <v>541.89715999999999</v>
      </c>
      <c r="BA228" s="49">
        <v>558.15992700000004</v>
      </c>
      <c r="BB228" s="49">
        <v>573.80865200000005</v>
      </c>
      <c r="BC228" s="49">
        <v>565.12678100000005</v>
      </c>
      <c r="BD228" s="49">
        <v>572.45572300000003</v>
      </c>
      <c r="BE228" s="49">
        <v>582.01252299999999</v>
      </c>
      <c r="BF228" s="49">
        <v>571.39376000000004</v>
      </c>
      <c r="BG228" s="49">
        <v>569.83719599999995</v>
      </c>
      <c r="BH228" s="49">
        <v>588.11628099999996</v>
      </c>
      <c r="BI228" s="49">
        <v>576.86149999999998</v>
      </c>
      <c r="BJ228" s="49">
        <v>574.00558999999998</v>
      </c>
      <c r="BK228" s="49">
        <v>592.42073000000005</v>
      </c>
      <c r="BL228" s="49">
        <v>612.30812500000002</v>
      </c>
    </row>
    <row r="229" spans="1:64" x14ac:dyDescent="0.3">
      <c r="A229" s="49">
        <v>5304</v>
      </c>
      <c r="B229" s="49" t="s">
        <v>4800</v>
      </c>
      <c r="C229" s="49" t="s">
        <v>175</v>
      </c>
      <c r="D229" s="49">
        <v>93.717280000000002</v>
      </c>
      <c r="E229" s="49">
        <v>99.135105999999993</v>
      </c>
      <c r="F229" s="49">
        <v>97.587360000000004</v>
      </c>
      <c r="G229" s="49">
        <v>103.046496</v>
      </c>
      <c r="H229" s="49">
        <v>102.224236</v>
      </c>
      <c r="I229" s="49">
        <v>106.19565299999999</v>
      </c>
      <c r="J229" s="49">
        <v>102.29167099999999</v>
      </c>
      <c r="K229" s="49">
        <v>106.77022599999999</v>
      </c>
      <c r="L229" s="49">
        <v>105.97419600000001</v>
      </c>
      <c r="M229" s="49">
        <v>107.682535</v>
      </c>
      <c r="N229" s="49">
        <v>108.66548400000001</v>
      </c>
      <c r="O229" s="49">
        <v>105.958935</v>
      </c>
      <c r="P229" s="49">
        <v>113.88592300000001</v>
      </c>
      <c r="Q229" s="49">
        <v>113.486909</v>
      </c>
      <c r="R229" s="49">
        <v>115.933018</v>
      </c>
      <c r="S229" s="49">
        <v>116.170131</v>
      </c>
      <c r="T229" s="49">
        <v>120.455631</v>
      </c>
      <c r="U229" s="49">
        <v>125.32533599999999</v>
      </c>
      <c r="V229" s="49">
        <v>124.065274</v>
      </c>
      <c r="W229" s="49">
        <v>128.57374300000001</v>
      </c>
      <c r="X229" s="49">
        <v>131.50419500000001</v>
      </c>
      <c r="Y229" s="49">
        <v>127.719785</v>
      </c>
      <c r="Z229" s="49">
        <v>131.774552</v>
      </c>
      <c r="AA229" s="49">
        <v>134.5779</v>
      </c>
      <c r="AB229" s="49">
        <v>137.76280499999999</v>
      </c>
      <c r="AC229" s="49">
        <v>138.250021</v>
      </c>
      <c r="AD229" s="49">
        <v>134.61013800000001</v>
      </c>
      <c r="AE229" s="49">
        <v>142.24374499999999</v>
      </c>
      <c r="AF229" s="49">
        <v>143.92670200000001</v>
      </c>
      <c r="AG229" s="49">
        <v>142.879716</v>
      </c>
      <c r="AH229" s="49">
        <v>172.181804</v>
      </c>
      <c r="AI229" s="49">
        <v>178.91251</v>
      </c>
      <c r="AJ229" s="49">
        <v>179.00581</v>
      </c>
      <c r="AK229" s="49">
        <v>181.57744</v>
      </c>
      <c r="AL229" s="49">
        <v>188.02195900000001</v>
      </c>
      <c r="AM229" s="49">
        <v>191.15942699999999</v>
      </c>
      <c r="AN229" s="49">
        <v>189.26103499999999</v>
      </c>
      <c r="AO229" s="49">
        <v>190.119944</v>
      </c>
      <c r="AP229" s="49">
        <v>200.36794599999999</v>
      </c>
      <c r="AQ229" s="49">
        <v>203.05894900000001</v>
      </c>
      <c r="AR229" s="49">
        <v>204.65120899999999</v>
      </c>
      <c r="AS229" s="49">
        <v>206.01417499999999</v>
      </c>
      <c r="AT229" s="49">
        <v>211.69151400000001</v>
      </c>
      <c r="AU229" s="49">
        <v>215.14037500000001</v>
      </c>
      <c r="AV229" s="49">
        <v>220.282973</v>
      </c>
      <c r="AW229" s="49">
        <v>224.01732100000001</v>
      </c>
      <c r="AX229" s="49">
        <v>229.870732</v>
      </c>
      <c r="AY229" s="49">
        <v>238.06674000000001</v>
      </c>
      <c r="AZ229" s="49">
        <v>242.69216</v>
      </c>
      <c r="BA229" s="49">
        <v>254.10497100000001</v>
      </c>
      <c r="BB229" s="49">
        <v>255.54137499999999</v>
      </c>
      <c r="BC229" s="49">
        <v>258.86873300000002</v>
      </c>
      <c r="BD229" s="49">
        <v>261.86546800000002</v>
      </c>
      <c r="BE229" s="49">
        <v>258.43788799999999</v>
      </c>
      <c r="BF229" s="49">
        <v>257.89817499999998</v>
      </c>
      <c r="BG229" s="49">
        <v>259.74627800000002</v>
      </c>
      <c r="BH229" s="49">
        <v>271.43185999999997</v>
      </c>
      <c r="BI229" s="49">
        <v>274.78878400000002</v>
      </c>
      <c r="BJ229" s="49">
        <v>265.69857000000002</v>
      </c>
      <c r="BK229" s="49">
        <v>268.54676499999999</v>
      </c>
      <c r="BL229" s="49">
        <v>268.56464399999999</v>
      </c>
    </row>
    <row r="230" spans="1:64" x14ac:dyDescent="0.3">
      <c r="A230" s="49">
        <v>5305</v>
      </c>
      <c r="B230" s="49" t="s">
        <v>4799</v>
      </c>
      <c r="C230" s="49" t="s">
        <v>110</v>
      </c>
      <c r="D230" s="49">
        <v>48.635095</v>
      </c>
      <c r="E230" s="49">
        <v>50.185882999999997</v>
      </c>
      <c r="F230" s="49">
        <v>49.478341</v>
      </c>
      <c r="G230" s="49">
        <v>50.676673000000001</v>
      </c>
      <c r="H230" s="49">
        <v>50.662951999999997</v>
      </c>
      <c r="I230" s="49">
        <v>48.570540000000001</v>
      </c>
      <c r="J230" s="49">
        <v>50.428494999999998</v>
      </c>
      <c r="K230" s="49">
        <v>49.828403000000002</v>
      </c>
      <c r="L230" s="49">
        <v>50.059829000000001</v>
      </c>
      <c r="M230" s="49">
        <v>50.895837</v>
      </c>
      <c r="N230" s="49">
        <v>49.520363000000003</v>
      </c>
      <c r="O230" s="49">
        <v>51.519548999999998</v>
      </c>
      <c r="P230" s="49">
        <v>49.295534000000004</v>
      </c>
      <c r="Q230" s="49">
        <v>52.291618999999997</v>
      </c>
      <c r="R230" s="49">
        <v>53.134872000000001</v>
      </c>
      <c r="S230" s="49">
        <v>54.244773000000002</v>
      </c>
      <c r="T230" s="49">
        <v>52.262233999999999</v>
      </c>
      <c r="U230" s="49">
        <v>53.170031000000002</v>
      </c>
      <c r="V230" s="49">
        <v>52.944747999999997</v>
      </c>
      <c r="W230" s="49">
        <v>53.479827999999998</v>
      </c>
      <c r="X230" s="49">
        <v>53.957093999999998</v>
      </c>
      <c r="Y230" s="49">
        <v>54.91131</v>
      </c>
      <c r="Z230" s="49">
        <v>55.658704</v>
      </c>
      <c r="AA230" s="49">
        <v>52.130409999999998</v>
      </c>
      <c r="AB230" s="49">
        <v>58.394865000000003</v>
      </c>
      <c r="AC230" s="49">
        <v>58.324384000000002</v>
      </c>
      <c r="AD230" s="49">
        <v>58.106011000000002</v>
      </c>
      <c r="AE230" s="49">
        <v>60.539504999999998</v>
      </c>
      <c r="AF230" s="49">
        <v>60.859710999999997</v>
      </c>
      <c r="AG230" s="49">
        <v>64.591555</v>
      </c>
      <c r="AH230" s="49">
        <v>68.535623000000001</v>
      </c>
      <c r="AI230" s="49">
        <v>75.381439999999998</v>
      </c>
      <c r="AJ230" s="49">
        <v>76.796414999999996</v>
      </c>
      <c r="AK230" s="49">
        <v>74.215569000000002</v>
      </c>
      <c r="AL230" s="49">
        <v>73.374048999999999</v>
      </c>
      <c r="AM230" s="49">
        <v>73.102269000000007</v>
      </c>
      <c r="AN230" s="49">
        <v>72.904017999999994</v>
      </c>
      <c r="AO230" s="49">
        <v>73.089147999999994</v>
      </c>
      <c r="AP230" s="49">
        <v>70.886380000000003</v>
      </c>
      <c r="AQ230" s="49">
        <v>69.384866000000002</v>
      </c>
      <c r="AR230" s="49">
        <v>70.426070999999993</v>
      </c>
      <c r="AS230" s="49">
        <v>72.316670000000002</v>
      </c>
      <c r="AT230" s="49">
        <v>70.546847999999997</v>
      </c>
      <c r="AU230" s="49">
        <v>70.813625999999999</v>
      </c>
      <c r="AV230" s="49">
        <v>73.503871000000004</v>
      </c>
      <c r="AW230" s="49">
        <v>68.993655000000004</v>
      </c>
      <c r="AX230" s="49">
        <v>66.939341999999996</v>
      </c>
      <c r="AY230" s="49">
        <v>61.092579000000001</v>
      </c>
      <c r="AZ230" s="49">
        <v>61.325167</v>
      </c>
      <c r="BA230" s="49">
        <v>64.907909000000004</v>
      </c>
      <c r="BB230" s="49">
        <v>63.583587999999999</v>
      </c>
      <c r="BC230" s="49">
        <v>61.545184999999996</v>
      </c>
      <c r="BD230" s="49">
        <v>63.33137</v>
      </c>
      <c r="BE230" s="49">
        <v>63.547488000000001</v>
      </c>
      <c r="BF230" s="49">
        <v>58.252327000000001</v>
      </c>
      <c r="BG230" s="49">
        <v>58.530161</v>
      </c>
      <c r="BH230" s="49">
        <v>58.893272000000003</v>
      </c>
      <c r="BI230" s="49">
        <v>58.350254</v>
      </c>
      <c r="BJ230" s="49">
        <v>63.271600999999997</v>
      </c>
      <c r="BK230" s="49">
        <v>65.007869999999997</v>
      </c>
      <c r="BL230" s="49">
        <v>62.596696999999999</v>
      </c>
    </row>
    <row r="231" spans="1:64" x14ac:dyDescent="0.3">
      <c r="A231" s="49">
        <v>5400</v>
      </c>
      <c r="B231" s="49" t="s">
        <v>4798</v>
      </c>
      <c r="C231" s="49" t="s">
        <v>49</v>
      </c>
      <c r="D231" s="49">
        <v>503.85788500000001</v>
      </c>
      <c r="E231" s="49">
        <v>517.92988100000002</v>
      </c>
      <c r="F231" s="49">
        <v>520.67136000000005</v>
      </c>
      <c r="G231" s="49">
        <v>528.623471</v>
      </c>
      <c r="H231" s="49">
        <v>514.33225500000003</v>
      </c>
      <c r="I231" s="49">
        <v>503.91868799999997</v>
      </c>
      <c r="J231" s="49">
        <v>497.52232600000002</v>
      </c>
      <c r="K231" s="49">
        <v>495.7901</v>
      </c>
      <c r="L231" s="49">
        <v>492.932973</v>
      </c>
      <c r="M231" s="49">
        <v>487.17722700000002</v>
      </c>
      <c r="N231" s="49">
        <v>483.66517800000003</v>
      </c>
      <c r="O231" s="49">
        <v>488.61402700000002</v>
      </c>
      <c r="P231" s="49">
        <v>498.07353999999998</v>
      </c>
      <c r="Q231" s="49">
        <v>501.20669800000002</v>
      </c>
      <c r="R231" s="49">
        <v>501.415751</v>
      </c>
      <c r="S231" s="49">
        <v>499.88952699999999</v>
      </c>
      <c r="T231" s="49">
        <v>502.28284300000001</v>
      </c>
      <c r="U231" s="49">
        <v>500.254074</v>
      </c>
      <c r="V231" s="49">
        <v>492.53535900000003</v>
      </c>
      <c r="W231" s="49">
        <v>494.54373900000002</v>
      </c>
      <c r="X231" s="49">
        <v>490.72447399999999</v>
      </c>
      <c r="Y231" s="49">
        <v>486.556535</v>
      </c>
      <c r="Z231" s="49">
        <v>481.186644</v>
      </c>
      <c r="AA231" s="49">
        <v>479.57894199999998</v>
      </c>
      <c r="AB231" s="49">
        <v>478.26691299999999</v>
      </c>
      <c r="AC231" s="49">
        <v>474.49838099999999</v>
      </c>
      <c r="AD231" s="49">
        <v>471.75737800000002</v>
      </c>
      <c r="AE231" s="49">
        <v>469.91139800000002</v>
      </c>
      <c r="AF231" s="49">
        <v>462.48682300000002</v>
      </c>
      <c r="AG231" s="49">
        <v>452.750788</v>
      </c>
      <c r="AH231" s="49">
        <v>491.56109600000002</v>
      </c>
      <c r="AI231" s="49">
        <v>420.867414</v>
      </c>
      <c r="AJ231" s="49">
        <v>413.26576799999998</v>
      </c>
      <c r="AK231" s="49">
        <v>398.92854499999999</v>
      </c>
      <c r="AL231" s="49">
        <v>395.97286600000001</v>
      </c>
      <c r="AM231" s="49">
        <v>385.715935</v>
      </c>
      <c r="AN231" s="49">
        <v>392.61735499999998</v>
      </c>
      <c r="AO231" s="49">
        <v>365.29047100000003</v>
      </c>
      <c r="AP231" s="49">
        <v>368.98735399999998</v>
      </c>
      <c r="AQ231" s="49">
        <v>371.82520499999998</v>
      </c>
      <c r="AR231" s="49">
        <v>374.722194</v>
      </c>
      <c r="AS231" s="49">
        <v>372.88607100000002</v>
      </c>
      <c r="AT231" s="49">
        <v>361.24557099999998</v>
      </c>
      <c r="AU231" s="49">
        <v>375.96355</v>
      </c>
      <c r="AV231" s="49">
        <v>376.128153</v>
      </c>
      <c r="AW231" s="49">
        <v>376.20767000000001</v>
      </c>
      <c r="AX231" s="49">
        <v>368.34252199999997</v>
      </c>
      <c r="AY231" s="49">
        <v>393.15708100000001</v>
      </c>
      <c r="AZ231" s="49">
        <v>384.74299999999999</v>
      </c>
      <c r="BA231" s="49">
        <v>362.615973</v>
      </c>
      <c r="BB231" s="49">
        <v>391.787396</v>
      </c>
      <c r="BC231" s="49">
        <v>381.64258799999999</v>
      </c>
      <c r="BD231" s="49">
        <v>393.80512599999997</v>
      </c>
      <c r="BE231" s="49">
        <v>397.68524200000002</v>
      </c>
      <c r="BF231" s="49">
        <v>399.25949100000003</v>
      </c>
      <c r="BG231" s="49">
        <v>404.66999499999997</v>
      </c>
      <c r="BH231" s="49">
        <v>407.05897599999997</v>
      </c>
      <c r="BI231" s="49">
        <v>406.76229999999998</v>
      </c>
      <c r="BJ231" s="49">
        <v>410.39254599999998</v>
      </c>
      <c r="BK231" s="49">
        <v>410.07929200000001</v>
      </c>
      <c r="BL231" s="49">
        <v>416.85421600000001</v>
      </c>
    </row>
    <row r="232" spans="1:64" x14ac:dyDescent="0.3">
      <c r="A232" s="49">
        <v>5401</v>
      </c>
      <c r="B232" s="49" t="s">
        <v>4797</v>
      </c>
      <c r="C232" s="49" t="s">
        <v>46</v>
      </c>
      <c r="D232" s="49">
        <v>358.41963500000003</v>
      </c>
      <c r="E232" s="49">
        <v>370.497953</v>
      </c>
      <c r="F232" s="49">
        <v>374.48192</v>
      </c>
      <c r="G232" s="49">
        <v>383.07448199999999</v>
      </c>
      <c r="H232" s="49">
        <v>370.24971299999999</v>
      </c>
      <c r="I232" s="49">
        <v>363.170298</v>
      </c>
      <c r="J232" s="49">
        <v>356.59106600000001</v>
      </c>
      <c r="K232" s="49">
        <v>354.16840300000001</v>
      </c>
      <c r="L232" s="49">
        <v>352.80283100000003</v>
      </c>
      <c r="M232" s="49">
        <v>347.390309</v>
      </c>
      <c r="N232" s="49">
        <v>344.72098</v>
      </c>
      <c r="O232" s="49">
        <v>349.90082000000001</v>
      </c>
      <c r="P232" s="49">
        <v>360.43614700000001</v>
      </c>
      <c r="Q232" s="49">
        <v>362.62425400000001</v>
      </c>
      <c r="R232" s="49">
        <v>363.884389</v>
      </c>
      <c r="S232" s="49">
        <v>361.86356499999999</v>
      </c>
      <c r="T232" s="49">
        <v>366.80639100000002</v>
      </c>
      <c r="U232" s="49">
        <v>362.44986299999999</v>
      </c>
      <c r="V232" s="49">
        <v>356.42281000000003</v>
      </c>
      <c r="W232" s="49">
        <v>356.867842</v>
      </c>
      <c r="X232" s="49">
        <v>353.48244799999998</v>
      </c>
      <c r="Y232" s="49">
        <v>348.50337300000001</v>
      </c>
      <c r="Z232" s="49">
        <v>344.852778</v>
      </c>
      <c r="AA232" s="49">
        <v>342.30694699999998</v>
      </c>
      <c r="AB232" s="49">
        <v>338.60898200000003</v>
      </c>
      <c r="AC232" s="49">
        <v>335.28818100000001</v>
      </c>
      <c r="AD232" s="49">
        <v>332.63454000000002</v>
      </c>
      <c r="AE232" s="49">
        <v>332.04366199999998</v>
      </c>
      <c r="AF232" s="49">
        <v>324.17870299999998</v>
      </c>
      <c r="AG232" s="49">
        <v>317.16092099999997</v>
      </c>
      <c r="AH232" s="49">
        <v>341.72101500000002</v>
      </c>
      <c r="AI232" s="49">
        <v>267.30807199999998</v>
      </c>
      <c r="AJ232" s="49">
        <v>265.60278099999999</v>
      </c>
      <c r="AK232" s="49">
        <v>252.98585</v>
      </c>
      <c r="AL232" s="49">
        <v>250.47742500000001</v>
      </c>
      <c r="AM232" s="49">
        <v>237.63105400000001</v>
      </c>
      <c r="AN232" s="49">
        <v>241.025293</v>
      </c>
      <c r="AO232" s="49">
        <v>213.593493</v>
      </c>
      <c r="AP232" s="49">
        <v>219.44927000000001</v>
      </c>
      <c r="AQ232" s="49">
        <v>224.03581500000001</v>
      </c>
      <c r="AR232" s="49">
        <v>229.82765900000001</v>
      </c>
      <c r="AS232" s="49">
        <v>227.33384100000001</v>
      </c>
      <c r="AT232" s="49">
        <v>216.94420199999999</v>
      </c>
      <c r="AU232" s="49">
        <v>230.88095200000001</v>
      </c>
      <c r="AV232" s="49">
        <v>233.184324</v>
      </c>
      <c r="AW232" s="49">
        <v>235.14761300000001</v>
      </c>
      <c r="AX232" s="49">
        <v>227.74413899999999</v>
      </c>
      <c r="AY232" s="49">
        <v>249.71196499999999</v>
      </c>
      <c r="AZ232" s="49">
        <v>243.00691399999999</v>
      </c>
      <c r="BA232" s="49">
        <v>222.73148699999999</v>
      </c>
      <c r="BB232" s="49">
        <v>251.596452</v>
      </c>
      <c r="BC232" s="49">
        <v>242.323035</v>
      </c>
      <c r="BD232" s="49">
        <v>253.51211499999999</v>
      </c>
      <c r="BE232" s="49">
        <v>257.75906300000003</v>
      </c>
      <c r="BF232" s="49">
        <v>259.56698699999998</v>
      </c>
      <c r="BG232" s="49">
        <v>264.91906599999999</v>
      </c>
      <c r="BH232" s="49">
        <v>268.42975200000001</v>
      </c>
      <c r="BI232" s="49">
        <v>269.54675200000003</v>
      </c>
      <c r="BJ232" s="49">
        <v>274.41179099999999</v>
      </c>
      <c r="BK232" s="49">
        <v>274.50068199999998</v>
      </c>
      <c r="BL232" s="49">
        <v>281.29076199999997</v>
      </c>
    </row>
    <row r="233" spans="1:64" x14ac:dyDescent="0.3">
      <c r="A233" s="49">
        <v>5402</v>
      </c>
      <c r="B233" s="49" t="s">
        <v>4796</v>
      </c>
      <c r="C233" s="49" t="s">
        <v>251</v>
      </c>
      <c r="D233" s="49">
        <v>18.151759999999999</v>
      </c>
      <c r="E233" s="49">
        <v>18.489799000000001</v>
      </c>
      <c r="F233" s="49">
        <v>18.673349999999999</v>
      </c>
      <c r="G233" s="49">
        <v>19.119733</v>
      </c>
      <c r="H233" s="49">
        <v>19.487967999999999</v>
      </c>
      <c r="I233" s="49">
        <v>19.474855999999999</v>
      </c>
      <c r="J233" s="49">
        <v>19.884885000000001</v>
      </c>
      <c r="K233" s="49">
        <v>20.207059000000001</v>
      </c>
      <c r="L233" s="49">
        <v>19.941403000000001</v>
      </c>
      <c r="M233" s="49">
        <v>20.352526000000001</v>
      </c>
      <c r="N233" s="49">
        <v>20.518861000000001</v>
      </c>
      <c r="O233" s="49">
        <v>20.463493</v>
      </c>
      <c r="P233" s="49">
        <v>20.447217999999999</v>
      </c>
      <c r="Q233" s="49">
        <v>20.604067000000001</v>
      </c>
      <c r="R233" s="49">
        <v>20.330199</v>
      </c>
      <c r="S233" s="49">
        <v>20.830511999999999</v>
      </c>
      <c r="T233" s="49">
        <v>20.743849999999998</v>
      </c>
      <c r="U233" s="49">
        <v>21.004003000000001</v>
      </c>
      <c r="V233" s="49">
        <v>21.086358000000001</v>
      </c>
      <c r="W233" s="49">
        <v>21.164937999999999</v>
      </c>
      <c r="X233" s="49">
        <v>21.051818999999998</v>
      </c>
      <c r="Y233" s="49">
        <v>21.268529999999998</v>
      </c>
      <c r="Z233" s="49">
        <v>21.131025999999999</v>
      </c>
      <c r="AA233" s="49">
        <v>21.568763000000001</v>
      </c>
      <c r="AB233" s="49">
        <v>21.693556999999998</v>
      </c>
      <c r="AC233" s="49">
        <v>21.562107000000001</v>
      </c>
      <c r="AD233" s="49">
        <v>21.119627999999999</v>
      </c>
      <c r="AE233" s="49">
        <v>21.110075999999999</v>
      </c>
      <c r="AF233" s="49">
        <v>20.831188999999998</v>
      </c>
      <c r="AG233" s="49">
        <v>20.521484000000001</v>
      </c>
      <c r="AH233" s="49">
        <v>21.625252</v>
      </c>
      <c r="AI233" s="49">
        <v>26.862548</v>
      </c>
      <c r="AJ233" s="49">
        <v>25.596916</v>
      </c>
      <c r="AK233" s="49">
        <v>24.823225000000001</v>
      </c>
      <c r="AL233" s="49">
        <v>24.316839999999999</v>
      </c>
      <c r="AM233" s="49">
        <v>24.988821000000002</v>
      </c>
      <c r="AN233" s="49">
        <v>26.244198999999998</v>
      </c>
      <c r="AO233" s="49">
        <v>26.537641000000001</v>
      </c>
      <c r="AP233" s="49">
        <v>25.676977999999998</v>
      </c>
      <c r="AQ233" s="49">
        <v>24.822662999999999</v>
      </c>
      <c r="AR233" s="49">
        <v>23.959309999999999</v>
      </c>
      <c r="AS233" s="49">
        <v>24.195799000000001</v>
      </c>
      <c r="AT233" s="49">
        <v>24.042300999999998</v>
      </c>
      <c r="AU233" s="49">
        <v>24.327513</v>
      </c>
      <c r="AV233" s="49">
        <v>24.17069</v>
      </c>
      <c r="AW233" s="49">
        <v>23.977115999999999</v>
      </c>
      <c r="AX233" s="49">
        <v>24.28378</v>
      </c>
      <c r="AY233" s="49">
        <v>25.149180999999999</v>
      </c>
      <c r="AZ233" s="49">
        <v>25.002996</v>
      </c>
      <c r="BA233" s="49">
        <v>24.928688999999999</v>
      </c>
      <c r="BB233" s="49">
        <v>25.259537000000002</v>
      </c>
      <c r="BC233" s="49">
        <v>25.570872999999999</v>
      </c>
      <c r="BD233" s="49">
        <v>25.574991000000001</v>
      </c>
      <c r="BE233" s="49">
        <v>25.911752</v>
      </c>
      <c r="BF233" s="49">
        <v>25.764914999999998</v>
      </c>
      <c r="BG233" s="49">
        <v>25.985695</v>
      </c>
      <c r="BH233" s="49">
        <v>25.587368000000001</v>
      </c>
      <c r="BI233" s="49">
        <v>25.281849000000001</v>
      </c>
      <c r="BJ233" s="49">
        <v>25.666243999999999</v>
      </c>
      <c r="BK233" s="49">
        <v>25.305420999999999</v>
      </c>
      <c r="BL233" s="49">
        <v>25.625707999999999</v>
      </c>
    </row>
    <row r="234" spans="1:64" x14ac:dyDescent="0.3">
      <c r="A234" s="49">
        <v>5403</v>
      </c>
      <c r="B234" s="49" t="s">
        <v>4795</v>
      </c>
      <c r="C234" s="49" t="s">
        <v>50</v>
      </c>
      <c r="D234" s="49">
        <v>75.573457000000005</v>
      </c>
      <c r="E234" s="49">
        <v>76.534830999999997</v>
      </c>
      <c r="F234" s="49">
        <v>75.666265999999993</v>
      </c>
      <c r="G234" s="49">
        <v>74.607426000000004</v>
      </c>
      <c r="H234" s="49">
        <v>73.367779999999996</v>
      </c>
      <c r="I234" s="49">
        <v>70.836601000000002</v>
      </c>
      <c r="J234" s="49">
        <v>70.500029999999995</v>
      </c>
      <c r="K234" s="49">
        <v>70.764578999999998</v>
      </c>
      <c r="L234" s="49">
        <v>69.790931</v>
      </c>
      <c r="M234" s="49">
        <v>69.279315999999994</v>
      </c>
      <c r="N234" s="49">
        <v>67.740994999999998</v>
      </c>
      <c r="O234" s="49">
        <v>67.378626999999994</v>
      </c>
      <c r="P234" s="49">
        <v>66.073555999999996</v>
      </c>
      <c r="Q234" s="49">
        <v>66.705783999999994</v>
      </c>
      <c r="R234" s="49">
        <v>66.126990000000006</v>
      </c>
      <c r="S234" s="49">
        <v>66.293107000000006</v>
      </c>
      <c r="T234" s="49">
        <v>63.628843000000003</v>
      </c>
      <c r="U234" s="49">
        <v>65.572363999999993</v>
      </c>
      <c r="V234" s="49">
        <v>64.370360000000005</v>
      </c>
      <c r="W234" s="49">
        <v>65.784779</v>
      </c>
      <c r="X234" s="49">
        <v>65.957060999999996</v>
      </c>
      <c r="Y234" s="49">
        <v>66.491353000000004</v>
      </c>
      <c r="Z234" s="49">
        <v>65.848372999999995</v>
      </c>
      <c r="AA234" s="49">
        <v>65.498444000000006</v>
      </c>
      <c r="AB234" s="49">
        <v>66.966837999999996</v>
      </c>
      <c r="AC234" s="49">
        <v>67.112363999999999</v>
      </c>
      <c r="AD234" s="49">
        <v>67.289608000000001</v>
      </c>
      <c r="AE234" s="49">
        <v>66.383690999999999</v>
      </c>
      <c r="AF234" s="49">
        <v>66.768231</v>
      </c>
      <c r="AG234" s="49">
        <v>65.219791000000001</v>
      </c>
      <c r="AH234" s="49">
        <v>74.174077999999994</v>
      </c>
      <c r="AI234" s="49">
        <v>72.530187999999995</v>
      </c>
      <c r="AJ234" s="49">
        <v>71.191314000000006</v>
      </c>
      <c r="AK234" s="49">
        <v>69.535428999999993</v>
      </c>
      <c r="AL234" s="49">
        <v>69.276212000000001</v>
      </c>
      <c r="AM234" s="49">
        <v>70.222280999999995</v>
      </c>
      <c r="AN234" s="49">
        <v>70.605394000000004</v>
      </c>
      <c r="AO234" s="49">
        <v>69.724265000000003</v>
      </c>
      <c r="AP234" s="49">
        <v>68.597942000000003</v>
      </c>
      <c r="AQ234" s="49">
        <v>68.034515999999996</v>
      </c>
      <c r="AR234" s="49">
        <v>66.611732000000003</v>
      </c>
      <c r="AS234" s="49">
        <v>66.686082999999996</v>
      </c>
      <c r="AT234" s="49">
        <v>66.245034000000004</v>
      </c>
      <c r="AU234" s="49">
        <v>65.966111999999995</v>
      </c>
      <c r="AV234" s="49">
        <v>64.197624000000005</v>
      </c>
      <c r="AW234" s="49">
        <v>62.617142999999999</v>
      </c>
      <c r="AX234" s="49">
        <v>61.749938</v>
      </c>
      <c r="AY234" s="49">
        <v>62.823272000000003</v>
      </c>
      <c r="AZ234" s="49">
        <v>60.983851000000001</v>
      </c>
      <c r="BA234" s="49">
        <v>60.016385</v>
      </c>
      <c r="BB234" s="49">
        <v>60.544516999999999</v>
      </c>
      <c r="BC234" s="49">
        <v>59.377091999999998</v>
      </c>
      <c r="BD234" s="49">
        <v>60.001905000000001</v>
      </c>
      <c r="BE234" s="49">
        <v>59.280568000000002</v>
      </c>
      <c r="BF234" s="49">
        <v>59.365743000000002</v>
      </c>
      <c r="BG234" s="49">
        <v>59.222709999999999</v>
      </c>
      <c r="BH234" s="49">
        <v>58.890245999999998</v>
      </c>
      <c r="BI234" s="49">
        <v>58.679482999999998</v>
      </c>
      <c r="BJ234" s="49">
        <v>58.285465000000002</v>
      </c>
      <c r="BK234" s="49">
        <v>58.711269000000001</v>
      </c>
      <c r="BL234" s="49">
        <v>58.130498000000003</v>
      </c>
    </row>
    <row r="235" spans="1:64" x14ac:dyDescent="0.3">
      <c r="A235" s="49">
        <v>5404</v>
      </c>
      <c r="B235" s="49" t="s">
        <v>4794</v>
      </c>
      <c r="C235" s="49" t="s">
        <v>75</v>
      </c>
      <c r="D235" s="49">
        <v>51.713033000000003</v>
      </c>
      <c r="E235" s="49">
        <v>52.407297999999997</v>
      </c>
      <c r="F235" s="49">
        <v>51.849823999999998</v>
      </c>
      <c r="G235" s="49">
        <v>51.821829999999999</v>
      </c>
      <c r="H235" s="49">
        <v>51.226793999999998</v>
      </c>
      <c r="I235" s="49">
        <v>50.436933000000003</v>
      </c>
      <c r="J235" s="49">
        <v>50.546345000000002</v>
      </c>
      <c r="K235" s="49">
        <v>50.650058999999999</v>
      </c>
      <c r="L235" s="49">
        <v>50.397807999999998</v>
      </c>
      <c r="M235" s="49">
        <v>50.155076000000001</v>
      </c>
      <c r="N235" s="49">
        <v>50.684342000000001</v>
      </c>
      <c r="O235" s="49">
        <v>50.871087000000003</v>
      </c>
      <c r="P235" s="49">
        <v>51.116619</v>
      </c>
      <c r="Q235" s="49">
        <v>51.272593000000001</v>
      </c>
      <c r="R235" s="49">
        <v>51.074173000000002</v>
      </c>
      <c r="S235" s="49">
        <v>50.902343000000002</v>
      </c>
      <c r="T235" s="49">
        <v>51.103758999999997</v>
      </c>
      <c r="U235" s="49">
        <v>51.227843999999997</v>
      </c>
      <c r="V235" s="49">
        <v>50.655830999999999</v>
      </c>
      <c r="W235" s="49">
        <v>50.726179999999999</v>
      </c>
      <c r="X235" s="49">
        <v>50.233145999999998</v>
      </c>
      <c r="Y235" s="49">
        <v>50.293278999999998</v>
      </c>
      <c r="Z235" s="49">
        <v>49.354467</v>
      </c>
      <c r="AA235" s="49">
        <v>50.204788000000001</v>
      </c>
      <c r="AB235" s="49">
        <v>50.997535999999997</v>
      </c>
      <c r="AC235" s="49">
        <v>50.535729000000003</v>
      </c>
      <c r="AD235" s="49">
        <v>50.713602000000002</v>
      </c>
      <c r="AE235" s="49">
        <v>50.373969000000002</v>
      </c>
      <c r="AF235" s="49">
        <v>50.7087</v>
      </c>
      <c r="AG235" s="49">
        <v>49.848591999999996</v>
      </c>
      <c r="AH235" s="49">
        <v>54.040753000000002</v>
      </c>
      <c r="AI235" s="49">
        <v>54.166607999999997</v>
      </c>
      <c r="AJ235" s="49">
        <v>50.874751000000003</v>
      </c>
      <c r="AK235" s="49">
        <v>51.584043000000001</v>
      </c>
      <c r="AL235" s="49">
        <v>51.902386</v>
      </c>
      <c r="AM235" s="49">
        <v>52.873779999999996</v>
      </c>
      <c r="AN235" s="49">
        <v>54.742469</v>
      </c>
      <c r="AO235" s="49">
        <v>55.435063999999997</v>
      </c>
      <c r="AP235" s="49">
        <v>55.263156000000002</v>
      </c>
      <c r="AQ235" s="49">
        <v>54.932203999999999</v>
      </c>
      <c r="AR235" s="49">
        <v>54.323501999999998</v>
      </c>
      <c r="AS235" s="49">
        <v>54.670354000000003</v>
      </c>
      <c r="AT235" s="49">
        <v>54.014035</v>
      </c>
      <c r="AU235" s="49">
        <v>54.788970999999997</v>
      </c>
      <c r="AV235" s="49">
        <v>54.575516</v>
      </c>
      <c r="AW235" s="49">
        <v>54.465800999999999</v>
      </c>
      <c r="AX235" s="49">
        <v>54.564658999999999</v>
      </c>
      <c r="AY235" s="49">
        <v>55.472662999999997</v>
      </c>
      <c r="AZ235" s="49">
        <v>55.749236000000003</v>
      </c>
      <c r="BA235" s="49">
        <v>54.939405000000001</v>
      </c>
      <c r="BB235" s="49">
        <v>54.386892000000003</v>
      </c>
      <c r="BC235" s="49">
        <v>54.371585000000003</v>
      </c>
      <c r="BD235" s="49">
        <v>54.716113999999997</v>
      </c>
      <c r="BE235" s="49">
        <v>54.733846</v>
      </c>
      <c r="BF235" s="49">
        <v>54.561847</v>
      </c>
      <c r="BG235" s="49">
        <v>54.542526000000002</v>
      </c>
      <c r="BH235" s="49">
        <v>54.151603000000001</v>
      </c>
      <c r="BI235" s="49">
        <v>53.254212000000003</v>
      </c>
      <c r="BJ235" s="49">
        <v>52.029048000000003</v>
      </c>
      <c r="BK235" s="49">
        <v>51.561920999999998</v>
      </c>
      <c r="BL235" s="49">
        <v>51.807251999999998</v>
      </c>
    </row>
    <row r="236" spans="1:64" x14ac:dyDescent="0.3">
      <c r="A236" s="49">
        <v>5500</v>
      </c>
      <c r="B236" s="49" t="s">
        <v>4793</v>
      </c>
      <c r="C236" s="49" t="s">
        <v>63</v>
      </c>
      <c r="D236" s="49">
        <v>19.349845999999999</v>
      </c>
      <c r="E236" s="49">
        <v>20.847451</v>
      </c>
      <c r="F236" s="49">
        <v>21.008030999999999</v>
      </c>
      <c r="G236" s="49">
        <v>22.370934999999999</v>
      </c>
      <c r="H236" s="49">
        <v>22.391269999999999</v>
      </c>
      <c r="I236" s="49">
        <v>25.811966000000002</v>
      </c>
      <c r="J236" s="49">
        <v>26.597926000000001</v>
      </c>
      <c r="K236" s="49">
        <v>31.299071000000001</v>
      </c>
      <c r="L236" s="49">
        <v>28.723939000000001</v>
      </c>
      <c r="M236" s="49">
        <v>24.402557000000002</v>
      </c>
      <c r="N236" s="49">
        <v>26.800781000000001</v>
      </c>
      <c r="O236" s="49">
        <v>26.772715999999999</v>
      </c>
      <c r="P236" s="49">
        <v>29.294763</v>
      </c>
      <c r="Q236" s="49">
        <v>27.109302</v>
      </c>
      <c r="R236" s="49">
        <v>28.919195999999999</v>
      </c>
      <c r="S236" s="49">
        <v>29.665641000000001</v>
      </c>
      <c r="T236" s="49">
        <v>32.967455999999999</v>
      </c>
      <c r="U236" s="49">
        <v>33.884439999999998</v>
      </c>
      <c r="V236" s="49">
        <v>34.927467</v>
      </c>
      <c r="W236" s="49">
        <v>35.167487999999999</v>
      </c>
      <c r="X236" s="49">
        <v>38.004882000000002</v>
      </c>
      <c r="Y236" s="49">
        <v>36.754007000000001</v>
      </c>
      <c r="Z236" s="49">
        <v>42.529741999999999</v>
      </c>
      <c r="AA236" s="49">
        <v>41.171571999999998</v>
      </c>
      <c r="AB236" s="49">
        <v>40.486820999999999</v>
      </c>
      <c r="AC236" s="49">
        <v>38.378853999999997</v>
      </c>
      <c r="AD236" s="49">
        <v>35.143241000000003</v>
      </c>
      <c r="AE236" s="49">
        <v>33.988070999999998</v>
      </c>
      <c r="AF236" s="49">
        <v>33.389876999999998</v>
      </c>
      <c r="AG236" s="49">
        <v>33.759515</v>
      </c>
      <c r="AH236" s="49">
        <v>37.147948999999997</v>
      </c>
      <c r="AI236" s="49">
        <v>34.385441999999998</v>
      </c>
      <c r="AJ236" s="49">
        <v>36.758552999999999</v>
      </c>
      <c r="AK236" s="49">
        <v>39.036611999999998</v>
      </c>
      <c r="AL236" s="49">
        <v>36.594012999999997</v>
      </c>
      <c r="AM236" s="49">
        <v>41.592283000000002</v>
      </c>
      <c r="AN236" s="49">
        <v>46.553891999999998</v>
      </c>
      <c r="AO236" s="49">
        <v>46.218133000000002</v>
      </c>
      <c r="AP236" s="49">
        <v>50.334553999999997</v>
      </c>
      <c r="AQ236" s="49">
        <v>51.903371999999997</v>
      </c>
      <c r="AR236" s="49">
        <v>51.769019999999998</v>
      </c>
      <c r="AS236" s="49">
        <v>50.532539999999997</v>
      </c>
      <c r="AT236" s="49">
        <v>48.277822999999998</v>
      </c>
      <c r="AU236" s="49">
        <v>53.691144999999999</v>
      </c>
      <c r="AV236" s="49">
        <v>55.154592000000001</v>
      </c>
      <c r="AW236" s="49">
        <v>52.305526</v>
      </c>
      <c r="AX236" s="49">
        <v>49.440199</v>
      </c>
      <c r="AY236" s="49">
        <v>53.540280000000003</v>
      </c>
      <c r="AZ236" s="49">
        <v>56.846046000000001</v>
      </c>
      <c r="BA236" s="49">
        <v>56.584806999999998</v>
      </c>
      <c r="BB236" s="49">
        <v>56.248041000000001</v>
      </c>
      <c r="BC236" s="49">
        <v>58.074674000000002</v>
      </c>
      <c r="BD236" s="49">
        <v>57.360849000000002</v>
      </c>
      <c r="BE236" s="49">
        <v>54.783079000000001</v>
      </c>
      <c r="BF236" s="49">
        <v>55.462046000000001</v>
      </c>
      <c r="BG236" s="49">
        <v>52.743645000000001</v>
      </c>
      <c r="BH236" s="49">
        <v>59.656739000000002</v>
      </c>
      <c r="BI236" s="49">
        <v>56.84375</v>
      </c>
      <c r="BJ236" s="49">
        <v>50.878433000000001</v>
      </c>
      <c r="BK236" s="49">
        <v>48.441833000000003</v>
      </c>
      <c r="BL236" s="49">
        <v>60.350585000000002</v>
      </c>
    </row>
    <row r="237" spans="1:64" x14ac:dyDescent="0.3">
      <c r="A237" s="49">
        <v>5501</v>
      </c>
      <c r="B237" s="49" t="s">
        <v>4792</v>
      </c>
      <c r="C237" s="49" t="s">
        <v>116</v>
      </c>
      <c r="D237" s="49">
        <v>18.168331999999999</v>
      </c>
      <c r="E237" s="49">
        <v>19.633634000000001</v>
      </c>
      <c r="F237" s="49">
        <v>19.805423999999999</v>
      </c>
      <c r="G237" s="49">
        <v>21.115689</v>
      </c>
      <c r="H237" s="49">
        <v>21.139942000000001</v>
      </c>
      <c r="I237" s="49">
        <v>24.551767000000002</v>
      </c>
      <c r="J237" s="49">
        <v>25.329367999999999</v>
      </c>
      <c r="K237" s="49">
        <v>29.983360000000001</v>
      </c>
      <c r="L237" s="49">
        <v>27.373313</v>
      </c>
      <c r="M237" s="49">
        <v>23.048037000000001</v>
      </c>
      <c r="N237" s="49">
        <v>25.446387000000001</v>
      </c>
      <c r="O237" s="49">
        <v>25.432227000000001</v>
      </c>
      <c r="P237" s="49">
        <v>27.937277000000002</v>
      </c>
      <c r="Q237" s="49">
        <v>25.707232000000001</v>
      </c>
      <c r="R237" s="49">
        <v>27.480447999999999</v>
      </c>
      <c r="S237" s="49">
        <v>28.211362000000001</v>
      </c>
      <c r="T237" s="49">
        <v>31.494579000000002</v>
      </c>
      <c r="U237" s="49">
        <v>32.385756000000001</v>
      </c>
      <c r="V237" s="49">
        <v>33.398707999999999</v>
      </c>
      <c r="W237" s="49">
        <v>33.644781000000002</v>
      </c>
      <c r="X237" s="49">
        <v>36.449278999999997</v>
      </c>
      <c r="Y237" s="49">
        <v>35.178189000000003</v>
      </c>
      <c r="Z237" s="49">
        <v>40.963625</v>
      </c>
      <c r="AA237" s="49">
        <v>39.550561999999999</v>
      </c>
      <c r="AB237" s="49">
        <v>38.777191999999999</v>
      </c>
      <c r="AC237" s="49">
        <v>36.640605999999998</v>
      </c>
      <c r="AD237" s="49">
        <v>33.415494000000002</v>
      </c>
      <c r="AE237" s="49">
        <v>32.254009000000003</v>
      </c>
      <c r="AF237" s="49">
        <v>31.664282</v>
      </c>
      <c r="AG237" s="49">
        <v>31.953645000000002</v>
      </c>
      <c r="AH237" s="49">
        <v>34.248102000000003</v>
      </c>
      <c r="AI237" s="49">
        <v>31.405684999999998</v>
      </c>
      <c r="AJ237" s="49">
        <v>33.739407999999997</v>
      </c>
      <c r="AK237" s="49">
        <v>36.024769999999997</v>
      </c>
      <c r="AL237" s="49">
        <v>33.506559000000003</v>
      </c>
      <c r="AM237" s="49">
        <v>38.443987999999997</v>
      </c>
      <c r="AN237" s="49">
        <v>43.445214999999997</v>
      </c>
      <c r="AO237" s="49">
        <v>43.065156000000002</v>
      </c>
      <c r="AP237" s="49">
        <v>47.179915000000001</v>
      </c>
      <c r="AQ237" s="49">
        <v>48.711801999999999</v>
      </c>
      <c r="AR237" s="49">
        <v>48.724257999999999</v>
      </c>
      <c r="AS237" s="49">
        <v>47.427914999999999</v>
      </c>
      <c r="AT237" s="49">
        <v>45.159407999999999</v>
      </c>
      <c r="AU237" s="49">
        <v>50.598902000000002</v>
      </c>
      <c r="AV237" s="49">
        <v>51.857959999999999</v>
      </c>
      <c r="AW237" s="49">
        <v>48.956235999999997</v>
      </c>
      <c r="AX237" s="49">
        <v>45.861311999999998</v>
      </c>
      <c r="AY237" s="49">
        <v>49.966335999999998</v>
      </c>
      <c r="AZ237" s="49">
        <v>53.260660000000001</v>
      </c>
      <c r="BA237" s="49">
        <v>53.247652000000002</v>
      </c>
      <c r="BB237" s="49">
        <v>52.792985999999999</v>
      </c>
      <c r="BC237" s="49">
        <v>54.699786000000003</v>
      </c>
      <c r="BD237" s="49">
        <v>53.905141</v>
      </c>
      <c r="BE237" s="49">
        <v>51.268990000000002</v>
      </c>
      <c r="BF237" s="49">
        <v>51.951033000000002</v>
      </c>
      <c r="BG237" s="49">
        <v>49.222078000000003</v>
      </c>
      <c r="BH237" s="49">
        <v>55.772733000000002</v>
      </c>
      <c r="BI237" s="49">
        <v>52.969265999999998</v>
      </c>
      <c r="BJ237" s="49">
        <v>46.957366999999998</v>
      </c>
      <c r="BK237" s="49">
        <v>44.446575000000003</v>
      </c>
      <c r="BL237" s="49">
        <v>56.314081999999999</v>
      </c>
    </row>
    <row r="238" spans="1:64" x14ac:dyDescent="0.3">
      <c r="A238" s="49">
        <v>5502</v>
      </c>
      <c r="B238" s="49" t="s">
        <v>4791</v>
      </c>
      <c r="C238" s="49" t="s">
        <v>288</v>
      </c>
      <c r="D238" s="49">
        <v>0.98344699999999996</v>
      </c>
      <c r="E238" s="49">
        <v>1.0018199999999999</v>
      </c>
      <c r="F238" s="49">
        <v>1.01203</v>
      </c>
      <c r="G238" s="49">
        <v>1.0567310000000001</v>
      </c>
      <c r="H238" s="49">
        <v>1.048708</v>
      </c>
      <c r="I238" s="49">
        <v>1.0575060000000001</v>
      </c>
      <c r="J238" s="49">
        <v>1.0846960000000001</v>
      </c>
      <c r="K238" s="49">
        <v>1.114147</v>
      </c>
      <c r="L238" s="49">
        <v>1.136018</v>
      </c>
      <c r="M238" s="49">
        <v>1.1485179999999999</v>
      </c>
      <c r="N238" s="49">
        <v>1.149716</v>
      </c>
      <c r="O238" s="49">
        <v>1.1528119999999999</v>
      </c>
      <c r="P238" s="49">
        <v>1.168577</v>
      </c>
      <c r="Q238" s="49">
        <v>1.207773</v>
      </c>
      <c r="R238" s="49">
        <v>1.2347729999999999</v>
      </c>
      <c r="S238" s="49">
        <v>1.256413</v>
      </c>
      <c r="T238" s="49">
        <v>1.2850250000000001</v>
      </c>
      <c r="U238" s="49">
        <v>1.3046409999999999</v>
      </c>
      <c r="V238" s="49">
        <v>1.33047</v>
      </c>
      <c r="W238" s="49">
        <v>1.313461</v>
      </c>
      <c r="X238" s="49">
        <v>1.340857</v>
      </c>
      <c r="Y238" s="49">
        <v>1.368787</v>
      </c>
      <c r="Z238" s="49">
        <v>1.374344</v>
      </c>
      <c r="AA238" s="49">
        <v>1.424231</v>
      </c>
      <c r="AB238" s="49">
        <v>1.5077989999999999</v>
      </c>
      <c r="AC238" s="49">
        <v>1.5266869999999999</v>
      </c>
      <c r="AD238" s="49">
        <v>1.526421</v>
      </c>
      <c r="AE238" s="49">
        <v>1.540033</v>
      </c>
      <c r="AF238" s="49">
        <v>1.5634159999999999</v>
      </c>
      <c r="AG238" s="49">
        <v>1.64344</v>
      </c>
      <c r="AH238" s="49">
        <v>2.5519799999999999</v>
      </c>
      <c r="AI238" s="49">
        <v>2.6194739999999999</v>
      </c>
      <c r="AJ238" s="49">
        <v>2.6620469999999998</v>
      </c>
      <c r="AK238" s="49">
        <v>2.6641650000000001</v>
      </c>
      <c r="AL238" s="49">
        <v>2.6700719999999998</v>
      </c>
      <c r="AM238" s="49">
        <v>2.7089449999999999</v>
      </c>
      <c r="AN238" s="49">
        <v>2.6686239999999999</v>
      </c>
      <c r="AO238" s="49">
        <v>2.7530130000000002</v>
      </c>
      <c r="AP238" s="49">
        <v>2.7636449999999999</v>
      </c>
      <c r="AQ238" s="49">
        <v>2.7918180000000001</v>
      </c>
      <c r="AR238" s="49">
        <v>2.6474319999999998</v>
      </c>
      <c r="AS238" s="49">
        <v>2.6976049999999998</v>
      </c>
      <c r="AT238" s="49">
        <v>2.7128389999999998</v>
      </c>
      <c r="AU238" s="49">
        <v>2.6839550000000001</v>
      </c>
      <c r="AV238" s="49">
        <v>2.8774190000000002</v>
      </c>
      <c r="AW238" s="49">
        <v>2.9253779999999998</v>
      </c>
      <c r="AX238" s="49">
        <v>3.1492010000000001</v>
      </c>
      <c r="AY238" s="49">
        <v>3.1410330000000002</v>
      </c>
      <c r="AZ238" s="49">
        <v>3.1494040000000001</v>
      </c>
      <c r="BA238" s="49">
        <v>2.9262440000000001</v>
      </c>
      <c r="BB238" s="49">
        <v>3.0371190000000001</v>
      </c>
      <c r="BC238" s="49">
        <v>2.9496869999999999</v>
      </c>
      <c r="BD238" s="49">
        <v>3.0301520000000002</v>
      </c>
      <c r="BE238" s="49">
        <v>3.1025700000000001</v>
      </c>
      <c r="BF238" s="49">
        <v>3.1355970000000002</v>
      </c>
      <c r="BG238" s="49">
        <v>3.1358350000000002</v>
      </c>
      <c r="BH238" s="49">
        <v>3.494977</v>
      </c>
      <c r="BI238" s="49">
        <v>3.4823729999999999</v>
      </c>
      <c r="BJ238" s="49">
        <v>3.5091749999999999</v>
      </c>
      <c r="BK238" s="49">
        <v>3.5797279999999998</v>
      </c>
      <c r="BL238" s="49">
        <v>3.6227079999999998</v>
      </c>
    </row>
    <row r="239" spans="1:64" x14ac:dyDescent="0.3">
      <c r="A239" s="49">
        <v>5503</v>
      </c>
      <c r="B239" s="49" t="s">
        <v>4790</v>
      </c>
      <c r="C239" s="49" t="s">
        <v>322</v>
      </c>
      <c r="D239" s="49">
        <v>3.918E-2</v>
      </c>
      <c r="E239" s="49">
        <v>3.9461999999999997E-2</v>
      </c>
      <c r="F239" s="49">
        <v>2.8573999999999999E-2</v>
      </c>
      <c r="G239" s="49">
        <v>3.2716000000000002E-2</v>
      </c>
      <c r="H239" s="49">
        <v>3.5993999999999998E-2</v>
      </c>
      <c r="I239" s="49">
        <v>3.2495999999999997E-2</v>
      </c>
      <c r="J239" s="49">
        <v>3.2587999999999999E-2</v>
      </c>
      <c r="K239" s="49">
        <v>4.0134999999999997E-2</v>
      </c>
      <c r="L239" s="49">
        <v>4.0226999999999999E-2</v>
      </c>
      <c r="M239" s="49">
        <v>4.0319000000000001E-2</v>
      </c>
      <c r="N239" s="49">
        <v>3.4896000000000003E-2</v>
      </c>
      <c r="O239" s="49">
        <v>2.4847999999999999E-2</v>
      </c>
      <c r="P239" s="49">
        <v>3.3003999999999999E-2</v>
      </c>
      <c r="Q239" s="49">
        <v>3.5139999999999998E-2</v>
      </c>
      <c r="R239" s="49">
        <v>3.3293999999999997E-2</v>
      </c>
      <c r="S239" s="49">
        <v>3.2278000000000001E-2</v>
      </c>
      <c r="T239" s="49">
        <v>3.0342000000000001E-2</v>
      </c>
      <c r="U239" s="49">
        <v>3.5367999999999997E-2</v>
      </c>
      <c r="V239" s="49">
        <v>3.5386000000000001E-2</v>
      </c>
      <c r="W239" s="49">
        <v>3.5406E-2</v>
      </c>
      <c r="X239" s="49">
        <v>4.2449000000000001E-2</v>
      </c>
      <c r="Y239" s="49">
        <v>4.1512E-2</v>
      </c>
      <c r="Z239" s="49">
        <v>3.6493999999999999E-2</v>
      </c>
      <c r="AA239" s="49">
        <v>4.1480000000000003E-2</v>
      </c>
      <c r="AB239" s="49">
        <v>4.0542000000000002E-2</v>
      </c>
      <c r="AC239" s="49">
        <v>4.8073999999999999E-2</v>
      </c>
      <c r="AD239" s="49">
        <v>4.5566000000000002E-2</v>
      </c>
      <c r="AE239" s="49">
        <v>4.1528000000000002E-2</v>
      </c>
      <c r="AF239" s="49">
        <v>3.95E-2</v>
      </c>
      <c r="AG239" s="49">
        <v>4.2455E-2</v>
      </c>
      <c r="AH239" s="49">
        <v>0.112854</v>
      </c>
      <c r="AI239" s="49">
        <v>0.12786400000000001</v>
      </c>
      <c r="AJ239" s="49">
        <v>0.115908</v>
      </c>
      <c r="AK239" s="49">
        <v>0.113525</v>
      </c>
      <c r="AL239" s="49">
        <v>0.177456</v>
      </c>
      <c r="AM239" s="49">
        <v>0.198599</v>
      </c>
      <c r="AN239" s="49">
        <v>0.19573499999999999</v>
      </c>
      <c r="AO239" s="49">
        <v>0.16886699999999999</v>
      </c>
      <c r="AP239" s="49">
        <v>0.16289000000000001</v>
      </c>
      <c r="AQ239" s="49">
        <v>0.15989700000000001</v>
      </c>
      <c r="AR239" s="49">
        <v>0.16001699999999999</v>
      </c>
      <c r="AS239" s="49">
        <v>0.16017200000000001</v>
      </c>
      <c r="AT239" s="49">
        <v>0.16026599999999999</v>
      </c>
      <c r="AU239" s="49">
        <v>0.16636400000000001</v>
      </c>
      <c r="AV239" s="49">
        <v>0.16605600000000001</v>
      </c>
      <c r="AW239" s="49">
        <v>0.169436</v>
      </c>
      <c r="AX239" s="49">
        <v>0.17299400000000001</v>
      </c>
      <c r="AY239" s="49">
        <v>0.172761</v>
      </c>
      <c r="AZ239" s="49">
        <v>0.172732</v>
      </c>
      <c r="BA239" s="49">
        <v>0.14307700000000001</v>
      </c>
      <c r="BB239" s="49">
        <v>0.14349799999999999</v>
      </c>
      <c r="BC239" s="49">
        <v>0.14905099999999999</v>
      </c>
      <c r="BD239" s="49">
        <v>0.15007999999999999</v>
      </c>
      <c r="BE239" s="49">
        <v>0.14951700000000001</v>
      </c>
      <c r="BF239" s="49">
        <v>0.14973400000000001</v>
      </c>
      <c r="BG239" s="49">
        <v>0.15770300000000001</v>
      </c>
      <c r="BH239" s="49">
        <v>0.15776799999999999</v>
      </c>
      <c r="BI239" s="49">
        <v>0.168047</v>
      </c>
      <c r="BJ239" s="49">
        <v>0.179063</v>
      </c>
      <c r="BK239" s="49">
        <v>0.179089</v>
      </c>
      <c r="BL239" s="49">
        <v>0.175313</v>
      </c>
    </row>
    <row r="240" spans="1:64" x14ac:dyDescent="0.3">
      <c r="A240" s="49">
        <v>5504</v>
      </c>
      <c r="B240" s="49" t="s">
        <v>4789</v>
      </c>
      <c r="C240" s="49" t="s">
        <v>66</v>
      </c>
      <c r="D240" s="49">
        <v>0.158887</v>
      </c>
      <c r="E240" s="49">
        <v>0.17253499999999999</v>
      </c>
      <c r="F240" s="49">
        <v>0.16200300000000001</v>
      </c>
      <c r="G240" s="49">
        <v>0.165799</v>
      </c>
      <c r="H240" s="49">
        <v>0.166626</v>
      </c>
      <c r="I240" s="49">
        <v>0.17019699999999999</v>
      </c>
      <c r="J240" s="49">
        <v>0.15127399999999999</v>
      </c>
      <c r="K240" s="49">
        <v>0.16142899999999999</v>
      </c>
      <c r="L240" s="49">
        <v>0.17438100000000001</v>
      </c>
      <c r="M240" s="49">
        <v>0.165683</v>
      </c>
      <c r="N240" s="49">
        <v>0.16978199999999999</v>
      </c>
      <c r="O240" s="49">
        <v>0.162829</v>
      </c>
      <c r="P240" s="49">
        <v>0.15590499999999999</v>
      </c>
      <c r="Q240" s="49">
        <v>0.15915699999999999</v>
      </c>
      <c r="R240" s="49">
        <v>0.170681</v>
      </c>
      <c r="S240" s="49">
        <v>0.16558800000000001</v>
      </c>
      <c r="T240" s="49">
        <v>0.15751000000000001</v>
      </c>
      <c r="U240" s="49">
        <v>0.15867500000000001</v>
      </c>
      <c r="V240" s="49">
        <v>0.16290299999999999</v>
      </c>
      <c r="W240" s="49">
        <v>0.17383999999999999</v>
      </c>
      <c r="X240" s="49">
        <v>0.17229700000000001</v>
      </c>
      <c r="Y240" s="49">
        <v>0.165519</v>
      </c>
      <c r="Z240" s="49">
        <v>0.155279</v>
      </c>
      <c r="AA240" s="49">
        <v>0.15529899999999999</v>
      </c>
      <c r="AB240" s="49">
        <v>0.16128799999999999</v>
      </c>
      <c r="AC240" s="49">
        <v>0.16348699999999999</v>
      </c>
      <c r="AD240" s="49">
        <v>0.15576000000000001</v>
      </c>
      <c r="AE240" s="49">
        <v>0.152501</v>
      </c>
      <c r="AF240" s="49">
        <v>0.122679</v>
      </c>
      <c r="AG240" s="49">
        <v>0.119975</v>
      </c>
      <c r="AH240" s="49">
        <v>0.23501</v>
      </c>
      <c r="AI240" s="49">
        <v>0.23241800000000001</v>
      </c>
      <c r="AJ240" s="49">
        <v>0.24119099999999999</v>
      </c>
      <c r="AK240" s="49">
        <v>0.23415800000000001</v>
      </c>
      <c r="AL240" s="49">
        <v>0.239927</v>
      </c>
      <c r="AM240" s="49">
        <v>0.24075299999999999</v>
      </c>
      <c r="AN240" s="49">
        <v>0.24431600000000001</v>
      </c>
      <c r="AO240" s="49">
        <v>0.23109199999999999</v>
      </c>
      <c r="AP240" s="49">
        <v>0.22810800000000001</v>
      </c>
      <c r="AQ240" s="49">
        <v>0.23985500000000001</v>
      </c>
      <c r="AR240" s="49">
        <v>0.23731099999999999</v>
      </c>
      <c r="AS240" s="49">
        <v>0.24684300000000001</v>
      </c>
      <c r="AT240" s="49">
        <v>0.245306</v>
      </c>
      <c r="AU240" s="49">
        <v>0.241922</v>
      </c>
      <c r="AV240" s="49">
        <v>0.25316</v>
      </c>
      <c r="AW240" s="49">
        <v>0.25447999999999998</v>
      </c>
      <c r="AX240" s="49">
        <v>0.25668800000000003</v>
      </c>
      <c r="AY240" s="49">
        <v>0.26014900000000002</v>
      </c>
      <c r="AZ240" s="49">
        <v>0.26324399999999998</v>
      </c>
      <c r="BA240" s="49">
        <v>0.26783499999999999</v>
      </c>
      <c r="BB240" s="49">
        <v>0.27443800000000002</v>
      </c>
      <c r="BC240" s="49">
        <v>0.276146</v>
      </c>
      <c r="BD240" s="49">
        <v>0.27547300000000002</v>
      </c>
      <c r="BE240" s="49">
        <v>0.26200699999999999</v>
      </c>
      <c r="BF240" s="49">
        <v>0.22567599999999999</v>
      </c>
      <c r="BG240" s="49">
        <v>0.22803399999999999</v>
      </c>
      <c r="BH240" s="49">
        <v>0.231265</v>
      </c>
      <c r="BI240" s="49">
        <v>0.22406799999999999</v>
      </c>
      <c r="BJ240" s="49">
        <v>0.23282</v>
      </c>
      <c r="BK240" s="49">
        <v>0.23643600000000001</v>
      </c>
      <c r="BL240" s="49">
        <v>0.238486</v>
      </c>
    </row>
    <row r="241" spans="1:64" x14ac:dyDescent="0.3">
      <c r="A241" s="49">
        <v>5707</v>
      </c>
      <c r="B241" s="49" t="s">
        <v>4788</v>
      </c>
      <c r="C241" s="49" t="s">
        <v>4787</v>
      </c>
      <c r="D241" s="49">
        <v>185.03561099999999</v>
      </c>
      <c r="E241" s="49">
        <v>185.22550899999999</v>
      </c>
      <c r="F241" s="49">
        <v>184.56231099999999</v>
      </c>
      <c r="G241" s="49">
        <v>183.76810599999999</v>
      </c>
      <c r="H241" s="49">
        <v>180.92456899999999</v>
      </c>
      <c r="I241" s="49">
        <v>178.229026</v>
      </c>
      <c r="J241" s="49">
        <v>177.23340300000001</v>
      </c>
      <c r="K241" s="49">
        <v>177.303786</v>
      </c>
      <c r="L241" s="49">
        <v>175.64027899999999</v>
      </c>
      <c r="M241" s="49">
        <v>173.210677</v>
      </c>
      <c r="N241" s="49">
        <v>172.85328000000001</v>
      </c>
      <c r="O241" s="49">
        <v>172.910462</v>
      </c>
      <c r="P241" s="49">
        <v>170.27848900000001</v>
      </c>
      <c r="Q241" s="49">
        <v>171.15345300000001</v>
      </c>
      <c r="R241" s="49">
        <v>170.413714</v>
      </c>
      <c r="S241" s="49">
        <v>170.55509699999999</v>
      </c>
      <c r="T241" s="49">
        <v>167.777053</v>
      </c>
      <c r="U241" s="49">
        <v>169.31309300000001</v>
      </c>
      <c r="V241" s="49">
        <v>166.99434099999999</v>
      </c>
      <c r="W241" s="49">
        <v>168.747142</v>
      </c>
      <c r="X241" s="49">
        <v>167.474075</v>
      </c>
      <c r="Y241" s="49">
        <v>168.02245199999999</v>
      </c>
      <c r="Z241" s="49">
        <v>166.893676</v>
      </c>
      <c r="AA241" s="49">
        <v>168.42579900000001</v>
      </c>
      <c r="AB241" s="49">
        <v>170.19328400000001</v>
      </c>
      <c r="AC241" s="49">
        <v>169.56179399999999</v>
      </c>
      <c r="AD241" s="49">
        <v>168.86663200000001</v>
      </c>
      <c r="AE241" s="49">
        <v>168.06130300000001</v>
      </c>
      <c r="AF241" s="49">
        <v>168.89897099999999</v>
      </c>
      <c r="AG241" s="49">
        <v>164.30393000000001</v>
      </c>
      <c r="AH241" s="49">
        <v>182.463686</v>
      </c>
      <c r="AI241" s="49">
        <v>188.68266600000001</v>
      </c>
      <c r="AJ241" s="49">
        <v>191.16787400000001</v>
      </c>
      <c r="AK241" s="49">
        <v>190.286181</v>
      </c>
      <c r="AL241" s="49">
        <v>190.908658</v>
      </c>
      <c r="AM241" s="49">
        <v>190.45820800000001</v>
      </c>
      <c r="AN241" s="49">
        <v>194.433627</v>
      </c>
      <c r="AO241" s="49">
        <v>194.86296100000001</v>
      </c>
      <c r="AP241" s="49">
        <v>192.32054400000001</v>
      </c>
      <c r="AQ241" s="49">
        <v>189.541966</v>
      </c>
      <c r="AR241" s="49">
        <v>189.44905700000001</v>
      </c>
      <c r="AS241" s="49">
        <v>187.18037000000001</v>
      </c>
      <c r="AT241" s="49">
        <v>184.49629400000001</v>
      </c>
      <c r="AU241" s="49">
        <v>187.595698</v>
      </c>
      <c r="AV241" s="49">
        <v>184.961128</v>
      </c>
      <c r="AW241" s="49">
        <v>182.26638</v>
      </c>
      <c r="AX241" s="49">
        <v>180.69673499999999</v>
      </c>
      <c r="AY241" s="49">
        <v>185.33510699999999</v>
      </c>
      <c r="AZ241" s="49">
        <v>184.27516299999999</v>
      </c>
      <c r="BA241" s="49">
        <v>180.08686</v>
      </c>
      <c r="BB241" s="49">
        <v>181.15233599999999</v>
      </c>
      <c r="BC241" s="49">
        <v>179.980659</v>
      </c>
      <c r="BD241" s="49">
        <v>182.05138500000001</v>
      </c>
      <c r="BE241" s="49">
        <v>182.14983699999999</v>
      </c>
      <c r="BF241" s="49">
        <v>182.206637</v>
      </c>
      <c r="BG241" s="49">
        <v>181.590608</v>
      </c>
      <c r="BH241" s="49">
        <v>181.372759</v>
      </c>
      <c r="BI241" s="49">
        <v>179.20058499999999</v>
      </c>
      <c r="BJ241" s="49">
        <v>178.918702</v>
      </c>
      <c r="BK241" s="49">
        <v>177.12589399999999</v>
      </c>
      <c r="BL241" s="49">
        <v>177.14158800000001</v>
      </c>
    </row>
    <row r="242" spans="1:64" x14ac:dyDescent="0.3">
      <c r="A242" s="49">
        <v>5801</v>
      </c>
      <c r="B242" s="49" t="s">
        <v>4786</v>
      </c>
      <c r="C242" s="49" t="s">
        <v>700</v>
      </c>
      <c r="D242" s="49">
        <v>143.20105899999999</v>
      </c>
      <c r="E242" s="49">
        <v>147.84378699999999</v>
      </c>
      <c r="F242" s="49">
        <v>151.557253</v>
      </c>
      <c r="G242" s="49">
        <v>152.91234700000001</v>
      </c>
      <c r="H242" s="49">
        <v>154.830513</v>
      </c>
      <c r="I242" s="49">
        <v>154.99870200000001</v>
      </c>
      <c r="J242" s="49">
        <v>160.97065699999999</v>
      </c>
      <c r="K242" s="49">
        <v>159.594866</v>
      </c>
      <c r="L242" s="49">
        <v>164.842625</v>
      </c>
      <c r="M242" s="49">
        <v>167.93506400000001</v>
      </c>
      <c r="N242" s="49">
        <v>168.057276</v>
      </c>
      <c r="O242" s="49">
        <v>168.127895</v>
      </c>
      <c r="P242" s="49">
        <v>165.897133</v>
      </c>
      <c r="Q242" s="49">
        <v>168.57552799999999</v>
      </c>
      <c r="R242" s="49">
        <v>170.14112900000001</v>
      </c>
      <c r="S242" s="49">
        <v>171.90903700000001</v>
      </c>
      <c r="T242" s="49">
        <v>172.97993</v>
      </c>
      <c r="U242" s="49">
        <v>175.17153200000001</v>
      </c>
      <c r="V242" s="49">
        <v>169.519203</v>
      </c>
      <c r="W242" s="49">
        <v>174.48650499999999</v>
      </c>
      <c r="X242" s="49">
        <v>178.99093300000001</v>
      </c>
      <c r="Y242" s="49">
        <v>178.303056</v>
      </c>
      <c r="Z242" s="49">
        <v>180.80865399999999</v>
      </c>
      <c r="AA242" s="49">
        <v>179.71411800000001</v>
      </c>
      <c r="AB242" s="49">
        <v>192.078912</v>
      </c>
      <c r="AC242" s="49">
        <v>194.49231599999999</v>
      </c>
      <c r="AD242" s="49">
        <v>188.69790599999999</v>
      </c>
      <c r="AE242" s="49">
        <v>203.590214</v>
      </c>
      <c r="AF242" s="49">
        <v>201.701504</v>
      </c>
      <c r="AG242" s="49">
        <v>200.96369200000001</v>
      </c>
      <c r="AH242" s="49">
        <v>236.580038</v>
      </c>
      <c r="AI242" s="49">
        <v>250.04832400000001</v>
      </c>
      <c r="AJ242" s="49">
        <v>245.03515999999999</v>
      </c>
      <c r="AK242" s="49">
        <v>258.74793399999999</v>
      </c>
      <c r="AL242" s="49">
        <v>259.34682600000002</v>
      </c>
      <c r="AM242" s="49">
        <v>269.46834699999999</v>
      </c>
      <c r="AN242" s="49">
        <v>273.42256600000002</v>
      </c>
      <c r="AO242" s="49">
        <v>276.147784</v>
      </c>
      <c r="AP242" s="49">
        <v>281.57401700000003</v>
      </c>
      <c r="AQ242" s="49">
        <v>280.03450900000001</v>
      </c>
      <c r="AR242" s="49">
        <v>293.91153300000002</v>
      </c>
      <c r="AS242" s="49">
        <v>294.969022</v>
      </c>
      <c r="AT242" s="49">
        <v>316.49328500000001</v>
      </c>
      <c r="AU242" s="49">
        <v>306.10256600000002</v>
      </c>
      <c r="AV242" s="49">
        <v>337.231131</v>
      </c>
      <c r="AW242" s="49">
        <v>332.90071999999998</v>
      </c>
      <c r="AX242" s="49">
        <v>337.922034</v>
      </c>
      <c r="AY242" s="49">
        <v>354.76196099999999</v>
      </c>
      <c r="AZ242" s="49">
        <v>359.72999099999998</v>
      </c>
      <c r="BA242" s="49">
        <v>384.29331000000002</v>
      </c>
      <c r="BB242" s="49">
        <v>388.89324299999998</v>
      </c>
      <c r="BC242" s="49">
        <v>394.88257499999997</v>
      </c>
      <c r="BD242" s="49">
        <v>419.19044100000002</v>
      </c>
      <c r="BE242" s="49">
        <v>430.34438799999998</v>
      </c>
      <c r="BF242" s="49">
        <v>413.16750500000001</v>
      </c>
      <c r="BG242" s="49">
        <v>435.750992</v>
      </c>
      <c r="BH242" s="49">
        <v>441.684574</v>
      </c>
      <c r="BI242" s="49">
        <v>453.54026599999997</v>
      </c>
      <c r="BJ242" s="49">
        <v>453.07768499999997</v>
      </c>
      <c r="BK242" s="49">
        <v>463.51173199999999</v>
      </c>
      <c r="BL242" s="49">
        <v>461.92096600000002</v>
      </c>
    </row>
    <row r="243" spans="1:64" x14ac:dyDescent="0.3">
      <c r="A243" s="49">
        <v>5802</v>
      </c>
      <c r="B243" s="49" t="s">
        <v>4785</v>
      </c>
      <c r="C243" s="49" t="s">
        <v>4784</v>
      </c>
      <c r="D243" s="49">
        <v>51.754524000000004</v>
      </c>
      <c r="E243" s="49">
        <v>52.902045000000001</v>
      </c>
      <c r="F243" s="49">
        <v>53.490284000000003</v>
      </c>
      <c r="G243" s="49">
        <v>53.735036999999998</v>
      </c>
      <c r="H243" s="49">
        <v>54.342517999999998</v>
      </c>
      <c r="I243" s="49">
        <v>55.037961000000003</v>
      </c>
      <c r="J243" s="49">
        <v>57.067959000000002</v>
      </c>
      <c r="K243" s="49">
        <v>55.937952000000003</v>
      </c>
      <c r="L243" s="49">
        <v>59.801769</v>
      </c>
      <c r="M243" s="49">
        <v>60.828392000000001</v>
      </c>
      <c r="N243" s="49">
        <v>63.067129000000001</v>
      </c>
      <c r="O243" s="49">
        <v>63.036366000000001</v>
      </c>
      <c r="P243" s="49">
        <v>60.920465</v>
      </c>
      <c r="Q243" s="49">
        <v>64.426492999999994</v>
      </c>
      <c r="R243" s="49">
        <v>64.557267999999993</v>
      </c>
      <c r="S243" s="49">
        <v>66.749842999999998</v>
      </c>
      <c r="T243" s="49">
        <v>66.563596000000004</v>
      </c>
      <c r="U243" s="49">
        <v>66.755234999999999</v>
      </c>
      <c r="V243" s="49">
        <v>62.864944999999999</v>
      </c>
      <c r="W243" s="49">
        <v>63.336362000000001</v>
      </c>
      <c r="X243" s="49">
        <v>64.947586999999999</v>
      </c>
      <c r="Y243" s="49">
        <v>66.494290000000007</v>
      </c>
      <c r="Z243" s="49">
        <v>67.639581000000007</v>
      </c>
      <c r="AA243" s="49">
        <v>66.836984000000001</v>
      </c>
      <c r="AB243" s="49">
        <v>70.122562000000002</v>
      </c>
      <c r="AC243" s="49">
        <v>71.482605000000007</v>
      </c>
      <c r="AD243" s="49">
        <v>72.053334000000007</v>
      </c>
      <c r="AE243" s="49">
        <v>79.057671999999997</v>
      </c>
      <c r="AF243" s="49">
        <v>80.442080000000004</v>
      </c>
      <c r="AG243" s="49">
        <v>84.353740000000002</v>
      </c>
      <c r="AH243" s="49">
        <v>97.375478000000001</v>
      </c>
      <c r="AI243" s="49">
        <v>172.91244499999999</v>
      </c>
      <c r="AJ243" s="49">
        <v>183.95439300000001</v>
      </c>
      <c r="AK243" s="49">
        <v>184.27522500000001</v>
      </c>
      <c r="AL243" s="49">
        <v>182.23768799999999</v>
      </c>
      <c r="AM243" s="49">
        <v>185.177042</v>
      </c>
      <c r="AN243" s="49">
        <v>182.750494</v>
      </c>
      <c r="AO243" s="49">
        <v>179.463447</v>
      </c>
      <c r="AP243" s="49">
        <v>183.78438700000001</v>
      </c>
      <c r="AQ243" s="49">
        <v>183.97290899999999</v>
      </c>
      <c r="AR243" s="49">
        <v>195.95211399999999</v>
      </c>
      <c r="AS243" s="49">
        <v>195.60550000000001</v>
      </c>
      <c r="AT243" s="49">
        <v>207.05113499999999</v>
      </c>
      <c r="AU243" s="49">
        <v>206.64128099999999</v>
      </c>
      <c r="AV243" s="49">
        <v>217.53959699999999</v>
      </c>
      <c r="AW243" s="49">
        <v>220.31301400000001</v>
      </c>
      <c r="AX243" s="49">
        <v>225.142132</v>
      </c>
      <c r="AY243" s="49">
        <v>232.43461199999999</v>
      </c>
      <c r="AZ243" s="49">
        <v>234.47719599999999</v>
      </c>
      <c r="BA243" s="49">
        <v>249.47954200000001</v>
      </c>
      <c r="BB243" s="49">
        <v>249.03627</v>
      </c>
      <c r="BC243" s="49">
        <v>262.01305400000001</v>
      </c>
      <c r="BD243" s="49">
        <v>268.09209700000002</v>
      </c>
      <c r="BE243" s="49">
        <v>268.84357799999998</v>
      </c>
      <c r="BF243" s="49">
        <v>264.95345700000001</v>
      </c>
      <c r="BG243" s="49">
        <v>274.30823700000002</v>
      </c>
      <c r="BH243" s="49">
        <v>278.75222000000002</v>
      </c>
      <c r="BI243" s="49">
        <v>277.50741099999999</v>
      </c>
      <c r="BJ243" s="49">
        <v>280.36020600000001</v>
      </c>
      <c r="BK243" s="49">
        <v>286.58200299999999</v>
      </c>
      <c r="BL243" s="49">
        <v>284.57931200000002</v>
      </c>
    </row>
    <row r="244" spans="1:64" x14ac:dyDescent="0.3">
      <c r="A244" s="49">
        <v>5803</v>
      </c>
      <c r="B244" s="49" t="s">
        <v>4783</v>
      </c>
      <c r="C244" s="49" t="s">
        <v>4782</v>
      </c>
      <c r="D244" s="49">
        <v>10.664217000000001</v>
      </c>
      <c r="E244" s="49">
        <v>10.582807000000001</v>
      </c>
      <c r="F244" s="49">
        <v>10.226345999999999</v>
      </c>
      <c r="G244" s="49">
        <v>10.227263000000001</v>
      </c>
      <c r="H244" s="49">
        <v>10.127276</v>
      </c>
      <c r="I244" s="49">
        <v>10.157227000000001</v>
      </c>
      <c r="J244" s="49">
        <v>10.270141000000001</v>
      </c>
      <c r="K244" s="49">
        <v>10.171303999999999</v>
      </c>
      <c r="L244" s="49">
        <v>10.055151</v>
      </c>
      <c r="M244" s="49">
        <v>11.292844000000001</v>
      </c>
      <c r="N244" s="49">
        <v>11.063637</v>
      </c>
      <c r="O244" s="49">
        <v>10.957750000000001</v>
      </c>
      <c r="P244" s="49">
        <v>10.739682</v>
      </c>
      <c r="Q244" s="49">
        <v>10.905991</v>
      </c>
      <c r="R244" s="49">
        <v>10.890485</v>
      </c>
      <c r="S244" s="49">
        <v>11.078912000000001</v>
      </c>
      <c r="T244" s="49">
        <v>10.990162</v>
      </c>
      <c r="U244" s="49">
        <v>11.429557000000001</v>
      </c>
      <c r="V244" s="49">
        <v>11.581956</v>
      </c>
      <c r="W244" s="49">
        <v>11.712475</v>
      </c>
      <c r="X244" s="49">
        <v>11.361344000000001</v>
      </c>
      <c r="Y244" s="49">
        <v>11.749307999999999</v>
      </c>
      <c r="Z244" s="49">
        <v>11.512019</v>
      </c>
      <c r="AA244" s="49">
        <v>12.025523</v>
      </c>
      <c r="AB244" s="49">
        <v>12.654648999999999</v>
      </c>
      <c r="AC244" s="49">
        <v>12.631648999999999</v>
      </c>
      <c r="AD244" s="49">
        <v>12.794064000000001</v>
      </c>
      <c r="AE244" s="49">
        <v>12.668419999999999</v>
      </c>
      <c r="AF244" s="49">
        <v>12.97725</v>
      </c>
      <c r="AG244" s="49">
        <v>12.667845</v>
      </c>
      <c r="AH244" s="49">
        <v>14.937427</v>
      </c>
      <c r="AI244" s="49">
        <v>15.377458000000001</v>
      </c>
      <c r="AJ244" s="49">
        <v>14.781473</v>
      </c>
      <c r="AK244" s="49">
        <v>14.930210000000001</v>
      </c>
      <c r="AL244" s="49">
        <v>14.891133</v>
      </c>
      <c r="AM244" s="49">
        <v>15.232170999999999</v>
      </c>
      <c r="AN244" s="49">
        <v>15.477786999999999</v>
      </c>
      <c r="AO244" s="49">
        <v>14.762731</v>
      </c>
      <c r="AP244" s="49">
        <v>14.521257</v>
      </c>
      <c r="AQ244" s="49">
        <v>14.904344</v>
      </c>
      <c r="AR244" s="49">
        <v>14.761405999999999</v>
      </c>
      <c r="AS244" s="49">
        <v>14.864027</v>
      </c>
      <c r="AT244" s="49">
        <v>14.225631</v>
      </c>
      <c r="AU244" s="49">
        <v>14.23279</v>
      </c>
      <c r="AV244" s="49">
        <v>14.115323999999999</v>
      </c>
      <c r="AW244" s="49">
        <v>13.654169</v>
      </c>
      <c r="AX244" s="49">
        <v>14.246034999999999</v>
      </c>
      <c r="AY244" s="49">
        <v>14.119503999999999</v>
      </c>
      <c r="AZ244" s="49">
        <v>15.232144999999999</v>
      </c>
      <c r="BA244" s="49">
        <v>15.074163</v>
      </c>
      <c r="BB244" s="49">
        <v>14.993665</v>
      </c>
      <c r="BC244" s="49">
        <v>14.147608</v>
      </c>
      <c r="BD244" s="49">
        <v>15.073264999999999</v>
      </c>
      <c r="BE244" s="49">
        <v>15.208978999999999</v>
      </c>
      <c r="BF244" s="49">
        <v>14.648071</v>
      </c>
      <c r="BG244" s="49">
        <v>14.886676</v>
      </c>
      <c r="BH244" s="49">
        <v>15.52009</v>
      </c>
      <c r="BI244" s="49">
        <v>15.414745</v>
      </c>
      <c r="BJ244" s="49">
        <v>14.578347000000001</v>
      </c>
      <c r="BK244" s="49">
        <v>14.244667</v>
      </c>
      <c r="BL244" s="49">
        <v>14.525765</v>
      </c>
    </row>
    <row r="245" spans="1:64" x14ac:dyDescent="0.3">
      <c r="A245" s="49">
        <v>5815</v>
      </c>
      <c r="B245" s="49" t="s">
        <v>4781</v>
      </c>
      <c r="C245" s="49" t="s">
        <v>4780</v>
      </c>
      <c r="D245" s="49">
        <v>435.89973500000002</v>
      </c>
      <c r="E245" s="49">
        <v>446.87368199999997</v>
      </c>
      <c r="F245" s="49">
        <v>449.42645299999998</v>
      </c>
      <c r="G245" s="49">
        <v>453.59837700000003</v>
      </c>
      <c r="H245" s="49">
        <v>451.890263</v>
      </c>
      <c r="I245" s="49">
        <v>447.62635799999998</v>
      </c>
      <c r="J245" s="49">
        <v>463.40010699999999</v>
      </c>
      <c r="K245" s="49">
        <v>465.73035599999997</v>
      </c>
      <c r="L245" s="49">
        <v>477.24651699999998</v>
      </c>
      <c r="M245" s="49">
        <v>483.646613</v>
      </c>
      <c r="N245" s="49">
        <v>482.792305</v>
      </c>
      <c r="O245" s="49">
        <v>480.51888500000001</v>
      </c>
      <c r="P245" s="49">
        <v>492.38393400000001</v>
      </c>
      <c r="Q245" s="49">
        <v>492.73096800000002</v>
      </c>
      <c r="R245" s="49">
        <v>497.55411700000002</v>
      </c>
      <c r="S245" s="49">
        <v>503.92298099999999</v>
      </c>
      <c r="T245" s="49">
        <v>510.19717600000001</v>
      </c>
      <c r="U245" s="49">
        <v>517.45639500000004</v>
      </c>
      <c r="V245" s="49">
        <v>510.92871200000002</v>
      </c>
      <c r="W245" s="49">
        <v>513.31216500000005</v>
      </c>
      <c r="X245" s="49">
        <v>521.59717799999999</v>
      </c>
      <c r="Y245" s="49">
        <v>517.01672499999995</v>
      </c>
      <c r="Z245" s="49">
        <v>530.37992399999996</v>
      </c>
      <c r="AA245" s="49">
        <v>527.79641900000001</v>
      </c>
      <c r="AB245" s="49">
        <v>537.93238799999995</v>
      </c>
      <c r="AC245" s="49">
        <v>541.64554499999997</v>
      </c>
      <c r="AD245" s="49">
        <v>523.26924299999996</v>
      </c>
      <c r="AE245" s="49">
        <v>552.52255100000002</v>
      </c>
      <c r="AF245" s="49">
        <v>558.01119800000004</v>
      </c>
      <c r="AG245" s="49">
        <v>553.16936499999997</v>
      </c>
      <c r="AH245" s="49">
        <v>674.60558900000001</v>
      </c>
      <c r="AI245" s="49">
        <v>693.19487700000002</v>
      </c>
      <c r="AJ245" s="49">
        <v>692.30442200000005</v>
      </c>
      <c r="AK245" s="49">
        <v>705.10316799999998</v>
      </c>
      <c r="AL245" s="49">
        <v>714.90785200000005</v>
      </c>
      <c r="AM245" s="49">
        <v>728.10673899999995</v>
      </c>
      <c r="AN245" s="49">
        <v>732.76280799999995</v>
      </c>
      <c r="AO245" s="49">
        <v>740.91503</v>
      </c>
      <c r="AP245" s="49">
        <v>736.60548200000005</v>
      </c>
      <c r="AQ245" s="49">
        <v>726.63823600000001</v>
      </c>
      <c r="AR245" s="49">
        <v>731.73928599999999</v>
      </c>
      <c r="AS245" s="49">
        <v>723.99831600000005</v>
      </c>
      <c r="AT245" s="49">
        <v>757.050972</v>
      </c>
      <c r="AU245" s="49">
        <v>759.24299299999996</v>
      </c>
      <c r="AV245" s="49">
        <v>798.36626000000001</v>
      </c>
      <c r="AW245" s="49">
        <v>796.22221300000001</v>
      </c>
      <c r="AX245" s="49">
        <v>811.93465000000003</v>
      </c>
      <c r="AY245" s="49">
        <v>825.38682800000004</v>
      </c>
      <c r="AZ245" s="49">
        <v>815.46317999999997</v>
      </c>
      <c r="BA245" s="49">
        <v>860.38879199999997</v>
      </c>
      <c r="BB245" s="49">
        <v>882.64138300000002</v>
      </c>
      <c r="BC245" s="49">
        <v>885.64119900000003</v>
      </c>
      <c r="BD245" s="49">
        <v>913.22714399999995</v>
      </c>
      <c r="BE245" s="49">
        <v>933.68268699999999</v>
      </c>
      <c r="BF245" s="49">
        <v>909.86859300000003</v>
      </c>
      <c r="BG245" s="49">
        <v>929.05414399999995</v>
      </c>
      <c r="BH245" s="49">
        <v>951.50630699999999</v>
      </c>
      <c r="BI245" s="49">
        <v>959.84200199999998</v>
      </c>
      <c r="BJ245" s="49">
        <v>951.157873</v>
      </c>
      <c r="BK245" s="49">
        <v>982.99706800000001</v>
      </c>
      <c r="BL245" s="49">
        <v>1001.095165</v>
      </c>
    </row>
    <row r="246" spans="1:64" x14ac:dyDescent="0.3">
      <c r="A246" s="49">
        <v>5817</v>
      </c>
      <c r="B246" s="49" t="s">
        <v>4779</v>
      </c>
      <c r="C246" s="49" t="s">
        <v>4778</v>
      </c>
      <c r="D246" s="49">
        <v>210.550712</v>
      </c>
      <c r="E246" s="49">
        <v>216.81125800000001</v>
      </c>
      <c r="F246" s="49">
        <v>224.89030600000001</v>
      </c>
      <c r="G246" s="49">
        <v>226.17483799999999</v>
      </c>
      <c r="H246" s="49">
        <v>228.671629</v>
      </c>
      <c r="I246" s="49">
        <v>227.93426700000001</v>
      </c>
      <c r="J246" s="49">
        <v>237.39423300000001</v>
      </c>
      <c r="K246" s="49">
        <v>237.25856300000001</v>
      </c>
      <c r="L246" s="49">
        <v>241.223859</v>
      </c>
      <c r="M246" s="49">
        <v>247.66966400000001</v>
      </c>
      <c r="N246" s="49">
        <v>247.71252100000001</v>
      </c>
      <c r="O246" s="49">
        <v>247.23334399999999</v>
      </c>
      <c r="P246" s="49">
        <v>246.65461400000001</v>
      </c>
      <c r="Q246" s="49">
        <v>252.02813499999999</v>
      </c>
      <c r="R246" s="49">
        <v>252.434461</v>
      </c>
      <c r="S246" s="49">
        <v>257.746307</v>
      </c>
      <c r="T246" s="49">
        <v>260.64300500000002</v>
      </c>
      <c r="U246" s="49">
        <v>263.74211200000002</v>
      </c>
      <c r="V246" s="49">
        <v>258.79498100000001</v>
      </c>
      <c r="W246" s="49">
        <v>261.18073600000002</v>
      </c>
      <c r="X246" s="49">
        <v>265.42334599999998</v>
      </c>
      <c r="Y246" s="49">
        <v>265.35706599999997</v>
      </c>
      <c r="Z246" s="49">
        <v>270.72927700000002</v>
      </c>
      <c r="AA246" s="49">
        <v>269.48293699999999</v>
      </c>
      <c r="AB246" s="49">
        <v>286.10426100000001</v>
      </c>
      <c r="AC246" s="49">
        <v>289.13442400000002</v>
      </c>
      <c r="AD246" s="49">
        <v>285.63589400000001</v>
      </c>
      <c r="AE246" s="49">
        <v>300.17412899999999</v>
      </c>
      <c r="AF246" s="49">
        <v>302.22244000000001</v>
      </c>
      <c r="AG246" s="49">
        <v>301.96748000000002</v>
      </c>
      <c r="AH246" s="49">
        <v>355.742211</v>
      </c>
      <c r="AI246" s="49">
        <v>367.62234100000001</v>
      </c>
      <c r="AJ246" s="49">
        <v>362.68793199999999</v>
      </c>
      <c r="AK246" s="49">
        <v>377.67016100000001</v>
      </c>
      <c r="AL246" s="49">
        <v>376.36445800000001</v>
      </c>
      <c r="AM246" s="49">
        <v>394.17165699999998</v>
      </c>
      <c r="AN246" s="49">
        <v>393.109037</v>
      </c>
      <c r="AO246" s="49">
        <v>398.71447499999999</v>
      </c>
      <c r="AP246" s="49">
        <v>404.29012799999998</v>
      </c>
      <c r="AQ246" s="49">
        <v>402.49998099999999</v>
      </c>
      <c r="AR246" s="49">
        <v>414.190924</v>
      </c>
      <c r="AS246" s="49">
        <v>413.55077199999999</v>
      </c>
      <c r="AT246" s="49">
        <v>440.86381</v>
      </c>
      <c r="AU246" s="49">
        <v>432.52759900000001</v>
      </c>
      <c r="AV246" s="49">
        <v>465.95664900000003</v>
      </c>
      <c r="AW246" s="49">
        <v>462.83401600000002</v>
      </c>
      <c r="AX246" s="49">
        <v>466.30381999999997</v>
      </c>
      <c r="AY246" s="49">
        <v>484.34188499999999</v>
      </c>
      <c r="AZ246" s="49">
        <v>494.70621599999998</v>
      </c>
      <c r="BA246" s="49">
        <v>515.60908900000004</v>
      </c>
      <c r="BB246" s="49">
        <v>524.77404100000001</v>
      </c>
      <c r="BC246" s="49">
        <v>531.400352</v>
      </c>
      <c r="BD246" s="49">
        <v>558.53590299999996</v>
      </c>
      <c r="BE246" s="49">
        <v>571.39829199999997</v>
      </c>
      <c r="BF246" s="49">
        <v>557.82949199999996</v>
      </c>
      <c r="BG246" s="49">
        <v>573.82359099999996</v>
      </c>
      <c r="BH246" s="49">
        <v>583.88164800000004</v>
      </c>
      <c r="BI246" s="49">
        <v>597.73050899999998</v>
      </c>
      <c r="BJ246" s="49">
        <v>595.18436099999997</v>
      </c>
      <c r="BK246" s="49">
        <v>612.78214800000001</v>
      </c>
      <c r="BL246" s="49">
        <v>607.441461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70EC2-9EAA-4C37-B5CC-71A11C3127FA}">
  <dimension ref="A1:AI267"/>
  <sheetViews>
    <sheetView zoomScale="60" zoomScaleNormal="60" workbookViewId="0">
      <pane ySplit="1" topLeftCell="A2" activePane="bottomLeft" state="frozen"/>
      <selection pane="bottomLeft" activeCell="Z25" sqref="Z25"/>
    </sheetView>
  </sheetViews>
  <sheetFormatPr defaultColWidth="10.77734375" defaultRowHeight="14.4" x14ac:dyDescent="0.3"/>
  <cols>
    <col min="1" max="1" width="7.33203125" customWidth="1"/>
    <col min="2" max="2" width="15" customWidth="1"/>
    <col min="3" max="3" width="8" customWidth="1"/>
    <col min="4" max="5" width="8.77734375" customWidth="1"/>
    <col min="6" max="6" width="17" customWidth="1"/>
    <col min="7" max="7" width="7" customWidth="1"/>
    <col min="8" max="8" width="26.6640625" customWidth="1"/>
    <col min="9" max="9" width="10" customWidth="1"/>
    <col min="10" max="10" width="8.44140625" customWidth="1"/>
    <col min="11" max="11" width="8.21875" customWidth="1"/>
    <col min="13" max="13" width="5.77734375" customWidth="1"/>
    <col min="14" max="14" width="6.77734375" customWidth="1"/>
    <col min="15" max="15" width="11.44140625" customWidth="1"/>
    <col min="16" max="16" width="8.109375" customWidth="1"/>
    <col min="17" max="17" width="7.44140625" customWidth="1"/>
    <col min="18" max="18" width="3.77734375" customWidth="1"/>
    <col min="19" max="19" width="15.77734375" customWidth="1"/>
    <col min="20" max="20" width="6.6640625" customWidth="1"/>
    <col min="21" max="21" width="16.6640625" customWidth="1"/>
    <col min="22" max="22" width="21.109375" customWidth="1"/>
    <col min="23" max="23" width="20.77734375" customWidth="1"/>
    <col min="25" max="25" width="15.109375" customWidth="1"/>
    <col min="26" max="26" width="12.77734375" customWidth="1"/>
  </cols>
  <sheetData>
    <row r="1" spans="1:35" x14ac:dyDescent="0.3">
      <c r="A1" t="s">
        <v>4753</v>
      </c>
      <c r="B1" t="s">
        <v>4752</v>
      </c>
      <c r="C1" t="s">
        <v>0</v>
      </c>
      <c r="D1" t="s">
        <v>1</v>
      </c>
      <c r="E1" t="s">
        <v>2</v>
      </c>
      <c r="F1" t="s">
        <v>4773</v>
      </c>
      <c r="G1" t="s">
        <v>3</v>
      </c>
      <c r="H1" t="s">
        <v>4</v>
      </c>
      <c r="I1" t="s">
        <v>5</v>
      </c>
      <c r="J1" t="s">
        <v>6</v>
      </c>
      <c r="K1" t="s">
        <v>7</v>
      </c>
      <c r="L1" t="s">
        <v>8</v>
      </c>
      <c r="M1" t="s">
        <v>9</v>
      </c>
      <c r="N1" t="s">
        <v>10</v>
      </c>
      <c r="O1" t="s">
        <v>11</v>
      </c>
      <c r="P1" t="s">
        <v>12</v>
      </c>
      <c r="Q1" t="s">
        <v>13</v>
      </c>
      <c r="R1" t="s">
        <v>5038</v>
      </c>
      <c r="S1" t="s">
        <v>14</v>
      </c>
      <c r="T1" t="s">
        <v>15</v>
      </c>
      <c r="U1" t="s">
        <v>16</v>
      </c>
      <c r="V1" t="s">
        <v>17</v>
      </c>
      <c r="W1" t="s">
        <v>18</v>
      </c>
      <c r="X1" s="141" t="s">
        <v>19</v>
      </c>
      <c r="Y1" s="141" t="s">
        <v>20</v>
      </c>
      <c r="Z1" s="141" t="s">
        <v>21</v>
      </c>
      <c r="AA1" s="141" t="s">
        <v>22</v>
      </c>
      <c r="AB1" s="141" t="s">
        <v>23</v>
      </c>
      <c r="AC1" t="s">
        <v>24</v>
      </c>
      <c r="AD1" t="s">
        <v>25</v>
      </c>
      <c r="AE1" t="s">
        <v>26</v>
      </c>
      <c r="AF1" t="s">
        <v>27</v>
      </c>
      <c r="AG1" t="s">
        <v>28</v>
      </c>
      <c r="AH1" t="s">
        <v>29</v>
      </c>
      <c r="AI1" t="s">
        <v>30</v>
      </c>
    </row>
    <row r="2" spans="1:35" x14ac:dyDescent="0.3">
      <c r="B2" t="str">
        <f>IFERROR(VLOOKUP(A2,polities_whep!$A$1:$G$199,2,0),"")</f>
        <v/>
      </c>
      <c r="C2">
        <v>30</v>
      </c>
      <c r="D2">
        <v>30</v>
      </c>
      <c r="E2" t="s">
        <v>96</v>
      </c>
      <c r="F2" t="e">
        <f>VLOOKUP(D2,FAO_areas!$A$2:$C$246,3,0)</f>
        <v>#N/A</v>
      </c>
      <c r="G2" t="s">
        <v>32</v>
      </c>
      <c r="H2" t="s">
        <v>97</v>
      </c>
      <c r="I2" t="s">
        <v>97</v>
      </c>
      <c r="K2">
        <v>999</v>
      </c>
      <c r="L2" t="s">
        <v>73</v>
      </c>
      <c r="M2" t="s">
        <v>98</v>
      </c>
      <c r="N2">
        <v>10</v>
      </c>
      <c r="O2">
        <v>19</v>
      </c>
      <c r="P2" t="s">
        <v>32</v>
      </c>
      <c r="Q2">
        <v>999</v>
      </c>
      <c r="R2" t="s">
        <v>1552</v>
      </c>
      <c r="S2" t="e">
        <v>#N/A</v>
      </c>
      <c r="T2">
        <v>1</v>
      </c>
      <c r="U2" t="s">
        <v>97</v>
      </c>
      <c r="V2" s="1" t="s">
        <v>57</v>
      </c>
      <c r="W2" s="1" t="s">
        <v>58</v>
      </c>
      <c r="X2" t="s">
        <v>59</v>
      </c>
    </row>
    <row r="3" spans="1:35" x14ac:dyDescent="0.3">
      <c r="B3" t="str">
        <f>IFERROR(VLOOKUP(A3,polities_whep!$A$1:$G$199,2,0),"")</f>
        <v/>
      </c>
      <c r="C3">
        <v>259</v>
      </c>
      <c r="D3">
        <v>351</v>
      </c>
      <c r="F3" t="str">
        <f>VLOOKUP(D3,FAO_areas!$A$2:$C$246,3,0)</f>
        <v>China</v>
      </c>
      <c r="G3" t="s">
        <v>32</v>
      </c>
      <c r="H3" t="s">
        <v>203</v>
      </c>
      <c r="K3">
        <v>351</v>
      </c>
      <c r="L3" t="s">
        <v>203</v>
      </c>
      <c r="M3">
        <v>156</v>
      </c>
      <c r="N3">
        <v>156</v>
      </c>
      <c r="O3">
        <v>14</v>
      </c>
      <c r="P3" t="s">
        <v>32</v>
      </c>
      <c r="R3" t="s">
        <v>1552</v>
      </c>
      <c r="S3" t="s">
        <v>204</v>
      </c>
      <c r="T3">
        <v>1</v>
      </c>
      <c r="U3" t="s">
        <v>203</v>
      </c>
      <c r="V3" t="s">
        <v>205</v>
      </c>
      <c r="W3" t="s">
        <v>204</v>
      </c>
      <c r="X3" s="2" t="s">
        <v>174</v>
      </c>
      <c r="Y3" s="2"/>
      <c r="Z3" s="2"/>
      <c r="AA3" s="2"/>
      <c r="AB3" s="2"/>
    </row>
    <row r="4" spans="1:35" x14ac:dyDescent="0.3">
      <c r="B4" t="str">
        <f>IFERROR(VLOOKUP(A4,polities_whep!$A$1:$G$199,2,0),"")</f>
        <v/>
      </c>
      <c r="C4">
        <v>149</v>
      </c>
      <c r="D4">
        <v>152</v>
      </c>
      <c r="E4" t="s">
        <v>464</v>
      </c>
      <c r="F4" t="e">
        <f>VLOOKUP(D4,FAO_areas!$A$2:$C$246,3,0)</f>
        <v>#N/A</v>
      </c>
      <c r="G4" t="s">
        <v>32</v>
      </c>
      <c r="H4" t="s">
        <v>465</v>
      </c>
      <c r="K4">
        <v>999</v>
      </c>
      <c r="L4" t="s">
        <v>73</v>
      </c>
      <c r="M4" t="s">
        <v>98</v>
      </c>
      <c r="N4">
        <v>536</v>
      </c>
      <c r="O4">
        <v>12</v>
      </c>
      <c r="P4" t="s">
        <v>32</v>
      </c>
      <c r="Q4">
        <v>999</v>
      </c>
      <c r="R4" t="s">
        <v>1552</v>
      </c>
      <c r="S4" t="s">
        <v>128</v>
      </c>
      <c r="T4">
        <v>1</v>
      </c>
      <c r="U4" t="s">
        <v>465</v>
      </c>
      <c r="V4" t="s">
        <v>57</v>
      </c>
      <c r="W4" t="s">
        <v>58</v>
      </c>
      <c r="X4" t="s">
        <v>59</v>
      </c>
      <c r="AI4" t="str">
        <f>IF(Z4="Europe","Europe","Other")</f>
        <v>Other</v>
      </c>
    </row>
    <row r="5" spans="1:35" x14ac:dyDescent="0.3">
      <c r="B5" t="str">
        <f>IFERROR(VLOOKUP(A5,polities_whep!$A$1:$G$199,2,0),"")</f>
        <v/>
      </c>
      <c r="C5">
        <v>245</v>
      </c>
      <c r="D5">
        <v>254</v>
      </c>
      <c r="E5" t="s">
        <v>497</v>
      </c>
      <c r="F5" t="e">
        <f>VLOOKUP(D5,FAO_areas!$A$2:$C$246,3,0)</f>
        <v>#N/A</v>
      </c>
      <c r="G5" t="s">
        <v>32</v>
      </c>
      <c r="H5" t="s">
        <v>498</v>
      </c>
      <c r="K5">
        <v>999</v>
      </c>
      <c r="L5" t="s">
        <v>73</v>
      </c>
      <c r="M5" t="s">
        <v>98</v>
      </c>
      <c r="N5" t="s">
        <v>98</v>
      </c>
      <c r="O5" t="s">
        <v>98</v>
      </c>
      <c r="P5" t="s">
        <v>32</v>
      </c>
      <c r="Q5">
        <v>999</v>
      </c>
      <c r="R5" t="s">
        <v>1552</v>
      </c>
      <c r="S5" t="e">
        <v>#N/A</v>
      </c>
      <c r="T5">
        <v>1</v>
      </c>
      <c r="U5" t="s">
        <v>498</v>
      </c>
      <c r="V5" s="1" t="s">
        <v>57</v>
      </c>
      <c r="W5" s="1" t="s">
        <v>58</v>
      </c>
      <c r="X5" t="s">
        <v>59</v>
      </c>
    </row>
    <row r="6" spans="1:35" x14ac:dyDescent="0.3">
      <c r="B6" t="str">
        <f>IFERROR(VLOOKUP(A6,polities_whep!$A$1:$G$199,2,0),"")</f>
        <v/>
      </c>
      <c r="C6">
        <v>260</v>
      </c>
      <c r="D6">
        <v>999</v>
      </c>
      <c r="E6" t="s">
        <v>533</v>
      </c>
      <c r="F6" t="e">
        <f>VLOOKUP(D6,FAO_areas!$A$2:$C$246,3,0)</f>
        <v>#N/A</v>
      </c>
      <c r="G6" t="s">
        <v>32</v>
      </c>
      <c r="H6" t="s">
        <v>534</v>
      </c>
      <c r="K6">
        <v>999</v>
      </c>
      <c r="L6" t="s">
        <v>73</v>
      </c>
      <c r="M6" t="s">
        <v>98</v>
      </c>
      <c r="N6" t="s">
        <v>98</v>
      </c>
      <c r="O6" t="s">
        <v>98</v>
      </c>
      <c r="P6" t="s">
        <v>34</v>
      </c>
      <c r="Q6">
        <v>999</v>
      </c>
      <c r="R6" t="s">
        <v>1552</v>
      </c>
      <c r="S6" t="e">
        <v>#N/A</v>
      </c>
      <c r="T6">
        <v>1</v>
      </c>
      <c r="U6" t="s">
        <v>534</v>
      </c>
      <c r="V6" s="1" t="s">
        <v>57</v>
      </c>
      <c r="W6" s="1" t="s">
        <v>58</v>
      </c>
      <c r="X6" t="s">
        <v>534</v>
      </c>
      <c r="Y6" t="s">
        <v>534</v>
      </c>
      <c r="Z6" t="s">
        <v>534</v>
      </c>
      <c r="AA6" t="s">
        <v>534</v>
      </c>
      <c r="AB6" t="s">
        <v>534</v>
      </c>
      <c r="AC6" t="s">
        <v>534</v>
      </c>
      <c r="AD6" t="s">
        <v>534</v>
      </c>
      <c r="AE6" t="s">
        <v>534</v>
      </c>
      <c r="AF6" t="s">
        <v>534</v>
      </c>
      <c r="AG6" t="s">
        <v>534</v>
      </c>
      <c r="AH6" t="s">
        <v>534</v>
      </c>
      <c r="AI6" t="str">
        <f t="shared" ref="AI6:AI14" si="0">IF(Z6="Europe","Europe","Other")</f>
        <v>Other</v>
      </c>
    </row>
    <row r="7" spans="1:35" x14ac:dyDescent="0.3">
      <c r="B7" t="str">
        <f>IFERROR(VLOOKUP(A7,polities_whep!$A$1:$G$199,2,0),"")</f>
        <v/>
      </c>
      <c r="C7">
        <v>244</v>
      </c>
      <c r="D7">
        <v>252</v>
      </c>
      <c r="E7" t="s">
        <v>658</v>
      </c>
      <c r="F7" t="e">
        <f>VLOOKUP(D7,FAO_areas!$A$2:$C$246,3,0)</f>
        <v>#N/A</v>
      </c>
      <c r="G7" t="s">
        <v>32</v>
      </c>
      <c r="H7" t="s">
        <v>659</v>
      </c>
      <c r="K7">
        <v>999</v>
      </c>
      <c r="L7" t="s">
        <v>73</v>
      </c>
      <c r="M7" t="s">
        <v>98</v>
      </c>
      <c r="N7">
        <v>896</v>
      </c>
      <c r="O7" t="s">
        <v>98</v>
      </c>
      <c r="P7" t="s">
        <v>32</v>
      </c>
      <c r="Q7">
        <v>999</v>
      </c>
      <c r="R7" t="s">
        <v>1552</v>
      </c>
      <c r="T7">
        <v>1</v>
      </c>
      <c r="U7" t="s">
        <v>659</v>
      </c>
      <c r="V7" t="s">
        <v>57</v>
      </c>
      <c r="W7" t="s">
        <v>58</v>
      </c>
      <c r="X7" t="s">
        <v>59</v>
      </c>
      <c r="AI7" t="str">
        <f t="shared" si="0"/>
        <v>Other</v>
      </c>
    </row>
    <row r="8" spans="1:35" x14ac:dyDescent="0.3">
      <c r="A8" t="str">
        <f>VLOOKUP(Q8,regions_fabio!$A$2:$C$192,3,0)</f>
        <v>AFG</v>
      </c>
      <c r="B8" t="str">
        <f>IFERROR(VLOOKUP(A8,polities_whep!$A$1:$G$199,2,0),"")</f>
        <v>Afghanistan</v>
      </c>
      <c r="C8">
        <v>2</v>
      </c>
      <c r="D8">
        <v>2</v>
      </c>
      <c r="E8" t="s">
        <v>31</v>
      </c>
      <c r="F8" t="str">
        <f>VLOOKUP(D8,FAO_areas!$A$2:$C$246,3,0)</f>
        <v>Afghanistan</v>
      </c>
      <c r="G8" t="s">
        <v>32</v>
      </c>
      <c r="H8" t="s">
        <v>33</v>
      </c>
      <c r="I8" t="s">
        <v>33</v>
      </c>
      <c r="K8">
        <v>2</v>
      </c>
      <c r="L8" t="s">
        <v>33</v>
      </c>
      <c r="M8">
        <v>4</v>
      </c>
      <c r="N8">
        <v>4</v>
      </c>
      <c r="O8">
        <v>13</v>
      </c>
      <c r="P8" t="s">
        <v>34</v>
      </c>
      <c r="Q8">
        <v>2</v>
      </c>
      <c r="R8" t="s">
        <v>1552</v>
      </c>
      <c r="S8" t="s">
        <v>35</v>
      </c>
      <c r="T8">
        <v>1</v>
      </c>
      <c r="U8" t="s">
        <v>33</v>
      </c>
      <c r="V8" t="s">
        <v>36</v>
      </c>
      <c r="W8" t="s">
        <v>37</v>
      </c>
      <c r="X8" t="s">
        <v>36</v>
      </c>
      <c r="Y8" t="s">
        <v>36</v>
      </c>
      <c r="Z8" t="s">
        <v>38</v>
      </c>
      <c r="AA8" t="s">
        <v>39</v>
      </c>
      <c r="AB8" t="s">
        <v>36</v>
      </c>
      <c r="AC8" t="s">
        <v>36</v>
      </c>
      <c r="AD8" t="s">
        <v>40</v>
      </c>
      <c r="AE8" t="s">
        <v>41</v>
      </c>
      <c r="AF8" t="s">
        <v>36</v>
      </c>
      <c r="AG8" t="s">
        <v>42</v>
      </c>
      <c r="AH8" t="s">
        <v>43</v>
      </c>
      <c r="AI8" t="str">
        <f t="shared" si="0"/>
        <v>Other</v>
      </c>
    </row>
    <row r="9" spans="1:35" x14ac:dyDescent="0.3">
      <c r="A9" t="s">
        <v>4765</v>
      </c>
      <c r="B9" t="str">
        <f>IFERROR(VLOOKUP(A9,polities_whep!$A$1:$G$199,2,0),"")</f>
        <v>Africa Other</v>
      </c>
      <c r="C9">
        <v>45</v>
      </c>
      <c r="D9">
        <v>45</v>
      </c>
      <c r="E9" t="s">
        <v>226</v>
      </c>
      <c r="F9" t="str">
        <f>VLOOKUP(D9,FAO_areas!$A$2:$C$246,3,0)</f>
        <v>Comoros</v>
      </c>
      <c r="G9" t="s">
        <v>32</v>
      </c>
      <c r="H9" t="s">
        <v>227</v>
      </c>
      <c r="I9" t="s">
        <v>227</v>
      </c>
      <c r="K9">
        <v>45</v>
      </c>
      <c r="L9" t="s">
        <v>227</v>
      </c>
      <c r="M9">
        <v>174</v>
      </c>
      <c r="N9">
        <v>174</v>
      </c>
      <c r="O9">
        <v>7</v>
      </c>
      <c r="P9" t="s">
        <v>32</v>
      </c>
      <c r="Q9">
        <v>999</v>
      </c>
      <c r="R9" t="s">
        <v>1552</v>
      </c>
      <c r="S9" t="s">
        <v>183</v>
      </c>
      <c r="T9">
        <v>1</v>
      </c>
      <c r="U9" t="s">
        <v>227</v>
      </c>
      <c r="V9" t="s">
        <v>80</v>
      </c>
      <c r="W9" t="s">
        <v>81</v>
      </c>
      <c r="X9" t="s">
        <v>82</v>
      </c>
      <c r="Y9" t="s">
        <v>83</v>
      </c>
      <c r="Z9" t="s">
        <v>60</v>
      </c>
      <c r="AA9" t="s">
        <v>60</v>
      </c>
      <c r="AB9" t="s">
        <v>83</v>
      </c>
      <c r="AC9" t="s">
        <v>183</v>
      </c>
      <c r="AD9" t="s">
        <v>40</v>
      </c>
      <c r="AE9" t="s">
        <v>41</v>
      </c>
      <c r="AF9" t="s">
        <v>183</v>
      </c>
      <c r="AG9" t="s">
        <v>86</v>
      </c>
      <c r="AH9" t="s">
        <v>43</v>
      </c>
      <c r="AI9" t="str">
        <f t="shared" si="0"/>
        <v>Other</v>
      </c>
    </row>
    <row r="10" spans="1:35" x14ac:dyDescent="0.3">
      <c r="A10" t="s">
        <v>4765</v>
      </c>
      <c r="B10" t="str">
        <f>IFERROR(VLOOKUP(A10,polities_whep!$A$1:$G$199,2,0),"")</f>
        <v>Africa Other</v>
      </c>
      <c r="C10">
        <v>250</v>
      </c>
      <c r="D10">
        <v>270</v>
      </c>
      <c r="E10" t="s">
        <v>425</v>
      </c>
      <c r="F10" t="e">
        <f>VLOOKUP(D10,FAO_areas!$A$2:$C$246,3,0)</f>
        <v>#N/A</v>
      </c>
      <c r="G10" t="s">
        <v>32</v>
      </c>
      <c r="H10" t="s">
        <v>426</v>
      </c>
      <c r="K10">
        <v>999</v>
      </c>
      <c r="L10" t="s">
        <v>73</v>
      </c>
      <c r="M10">
        <v>175</v>
      </c>
      <c r="N10">
        <v>175</v>
      </c>
      <c r="O10">
        <v>7</v>
      </c>
      <c r="P10" t="s">
        <v>32</v>
      </c>
      <c r="Q10">
        <v>999</v>
      </c>
      <c r="R10" t="s">
        <v>1552</v>
      </c>
      <c r="S10" t="s">
        <v>183</v>
      </c>
      <c r="T10">
        <v>1</v>
      </c>
      <c r="U10" t="s">
        <v>426</v>
      </c>
      <c r="V10" t="s">
        <v>80</v>
      </c>
      <c r="W10" t="s">
        <v>81</v>
      </c>
      <c r="X10" t="s">
        <v>82</v>
      </c>
      <c r="Y10" t="s">
        <v>83</v>
      </c>
      <c r="Z10" t="s">
        <v>60</v>
      </c>
      <c r="AA10" t="s">
        <v>60</v>
      </c>
      <c r="AB10" t="s">
        <v>83</v>
      </c>
      <c r="AC10" t="s">
        <v>183</v>
      </c>
      <c r="AD10" t="s">
        <v>40</v>
      </c>
      <c r="AE10" t="s">
        <v>41</v>
      </c>
      <c r="AF10" t="s">
        <v>183</v>
      </c>
      <c r="AG10" t="s">
        <v>86</v>
      </c>
      <c r="AH10" t="s">
        <v>43</v>
      </c>
      <c r="AI10" t="str">
        <f t="shared" si="0"/>
        <v>Other</v>
      </c>
    </row>
    <row r="11" spans="1:35" x14ac:dyDescent="0.3">
      <c r="A11" t="s">
        <v>4765</v>
      </c>
      <c r="B11" t="str">
        <f>IFERROR(VLOOKUP(A11,polities_whep!$A$1:$G$199,2,0),"")</f>
        <v>Africa Other</v>
      </c>
      <c r="C11">
        <v>179</v>
      </c>
      <c r="D11">
        <v>182</v>
      </c>
      <c r="E11" t="s">
        <v>529</v>
      </c>
      <c r="F11" t="str">
        <f>VLOOKUP(D11,FAO_areas!$A$2:$C$246,3,0)</f>
        <v>Réunion</v>
      </c>
      <c r="G11" t="s">
        <v>32</v>
      </c>
      <c r="H11" t="s">
        <v>530</v>
      </c>
      <c r="I11" t="s">
        <v>530</v>
      </c>
      <c r="K11">
        <v>182</v>
      </c>
      <c r="L11" t="s">
        <v>530</v>
      </c>
      <c r="M11" t="s">
        <v>98</v>
      </c>
      <c r="N11">
        <v>638</v>
      </c>
      <c r="O11">
        <v>7</v>
      </c>
      <c r="P11" t="s">
        <v>32</v>
      </c>
      <c r="Q11">
        <v>999</v>
      </c>
      <c r="R11" t="s">
        <v>1552</v>
      </c>
      <c r="S11" t="s">
        <v>183</v>
      </c>
      <c r="T11">
        <v>1</v>
      </c>
      <c r="U11" t="s">
        <v>530</v>
      </c>
      <c r="V11" t="s">
        <v>80</v>
      </c>
      <c r="W11" t="s">
        <v>81</v>
      </c>
      <c r="X11" s="2" t="s">
        <v>82</v>
      </c>
      <c r="Y11" s="2" t="s">
        <v>83</v>
      </c>
      <c r="Z11" s="2" t="s">
        <v>60</v>
      </c>
      <c r="AA11" s="2" t="s">
        <v>60</v>
      </c>
      <c r="AB11" s="2" t="s">
        <v>83</v>
      </c>
      <c r="AC11" t="s">
        <v>183</v>
      </c>
      <c r="AD11" t="s">
        <v>40</v>
      </c>
      <c r="AE11" t="s">
        <v>41</v>
      </c>
      <c r="AF11" t="s">
        <v>183</v>
      </c>
      <c r="AG11" t="s">
        <v>86</v>
      </c>
      <c r="AH11" t="s">
        <v>43</v>
      </c>
      <c r="AI11" t="str">
        <f t="shared" si="0"/>
        <v>Other</v>
      </c>
    </row>
    <row r="12" spans="1:35" x14ac:dyDescent="0.3">
      <c r="A12" t="s">
        <v>4765</v>
      </c>
      <c r="B12" t="str">
        <f>IFERROR(VLOOKUP(A12,polities_whep!$A$1:$G$199,2,0),"")</f>
        <v>Africa Other</v>
      </c>
      <c r="C12">
        <v>184</v>
      </c>
      <c r="D12">
        <v>187</v>
      </c>
      <c r="E12" t="s">
        <v>540</v>
      </c>
      <c r="F12" t="e">
        <f>VLOOKUP(D12,FAO_areas!$A$2:$C$246,3,0)</f>
        <v>#N/A</v>
      </c>
      <c r="G12" t="s">
        <v>32</v>
      </c>
      <c r="H12" t="s">
        <v>541</v>
      </c>
      <c r="I12" t="s">
        <v>542</v>
      </c>
      <c r="K12">
        <v>999</v>
      </c>
      <c r="L12" t="s">
        <v>73</v>
      </c>
      <c r="M12">
        <v>654</v>
      </c>
      <c r="N12">
        <v>654</v>
      </c>
      <c r="O12">
        <v>6</v>
      </c>
      <c r="P12" t="s">
        <v>32</v>
      </c>
      <c r="Q12">
        <v>999</v>
      </c>
      <c r="R12" t="s">
        <v>1552</v>
      </c>
      <c r="S12" t="s">
        <v>145</v>
      </c>
      <c r="T12">
        <v>1</v>
      </c>
      <c r="U12" t="s">
        <v>541</v>
      </c>
      <c r="V12" t="s">
        <v>80</v>
      </c>
      <c r="W12" t="s">
        <v>81</v>
      </c>
      <c r="X12" t="s">
        <v>82</v>
      </c>
      <c r="Y12" t="s">
        <v>83</v>
      </c>
      <c r="Z12" t="s">
        <v>60</v>
      </c>
      <c r="AA12" t="s">
        <v>60</v>
      </c>
      <c r="AB12" t="s">
        <v>83</v>
      </c>
      <c r="AC12" t="s">
        <v>145</v>
      </c>
      <c r="AD12" t="s">
        <v>40</v>
      </c>
      <c r="AE12" t="s">
        <v>41</v>
      </c>
      <c r="AF12" t="s">
        <v>145</v>
      </c>
      <c r="AG12" t="s">
        <v>86</v>
      </c>
      <c r="AH12" t="s">
        <v>43</v>
      </c>
      <c r="AI12" t="str">
        <f t="shared" si="0"/>
        <v>Other</v>
      </c>
    </row>
    <row r="13" spans="1:35" x14ac:dyDescent="0.3">
      <c r="A13" t="s">
        <v>4765</v>
      </c>
      <c r="B13" t="str">
        <f>IFERROR(VLOOKUP(A13,polities_whep!$A$1:$G$199,2,0),"")</f>
        <v>Africa Other</v>
      </c>
      <c r="C13">
        <v>193</v>
      </c>
      <c r="D13">
        <v>196</v>
      </c>
      <c r="E13" t="s">
        <v>570</v>
      </c>
      <c r="F13" t="str">
        <f>VLOOKUP(D13,FAO_areas!$A$2:$C$246,3,0)</f>
        <v>Seychelles</v>
      </c>
      <c r="G13" t="s">
        <v>32</v>
      </c>
      <c r="H13" t="s">
        <v>571</v>
      </c>
      <c r="I13" t="s">
        <v>571</v>
      </c>
      <c r="K13">
        <v>196</v>
      </c>
      <c r="L13" t="s">
        <v>571</v>
      </c>
      <c r="M13">
        <v>690</v>
      </c>
      <c r="N13">
        <v>690</v>
      </c>
      <c r="O13">
        <v>7</v>
      </c>
      <c r="P13" t="s">
        <v>32</v>
      </c>
      <c r="Q13">
        <v>999</v>
      </c>
      <c r="R13" t="s">
        <v>1552</v>
      </c>
      <c r="S13" t="s">
        <v>183</v>
      </c>
      <c r="T13">
        <v>1</v>
      </c>
      <c r="U13" t="s">
        <v>571</v>
      </c>
      <c r="V13" t="s">
        <v>80</v>
      </c>
      <c r="W13" t="s">
        <v>81</v>
      </c>
      <c r="X13" t="s">
        <v>82</v>
      </c>
      <c r="Y13" t="s">
        <v>83</v>
      </c>
      <c r="Z13" t="s">
        <v>60</v>
      </c>
      <c r="AA13" t="s">
        <v>60</v>
      </c>
      <c r="AB13" t="s">
        <v>83</v>
      </c>
      <c r="AC13" t="s">
        <v>183</v>
      </c>
      <c r="AD13" t="s">
        <v>40</v>
      </c>
      <c r="AE13" t="s">
        <v>41</v>
      </c>
      <c r="AF13" t="s">
        <v>183</v>
      </c>
      <c r="AG13" t="s">
        <v>86</v>
      </c>
      <c r="AH13" t="s">
        <v>43</v>
      </c>
      <c r="AI13" t="str">
        <f t="shared" si="0"/>
        <v>Other</v>
      </c>
    </row>
    <row r="14" spans="1:35" x14ac:dyDescent="0.3">
      <c r="A14" t="s">
        <v>4765</v>
      </c>
      <c r="B14" t="str">
        <f>IFERROR(VLOOKUP(A14,polities_whep!$A$1:$G$199,2,0),"")</f>
        <v>Africa Other</v>
      </c>
      <c r="C14">
        <v>201</v>
      </c>
      <c r="D14">
        <v>205</v>
      </c>
      <c r="E14" t="s">
        <v>682</v>
      </c>
      <c r="F14" t="e">
        <f>VLOOKUP(D14,FAO_areas!$A$2:$C$246,3,0)</f>
        <v>#N/A</v>
      </c>
      <c r="G14" t="s">
        <v>32</v>
      </c>
      <c r="H14" t="s">
        <v>683</v>
      </c>
      <c r="I14" t="s">
        <v>683</v>
      </c>
      <c r="K14">
        <v>205</v>
      </c>
      <c r="L14" t="s">
        <v>683</v>
      </c>
      <c r="M14" t="s">
        <v>98</v>
      </c>
      <c r="N14">
        <v>732</v>
      </c>
      <c r="O14">
        <v>5</v>
      </c>
      <c r="P14" t="s">
        <v>32</v>
      </c>
      <c r="Q14">
        <v>999</v>
      </c>
      <c r="R14" t="s">
        <v>1552</v>
      </c>
      <c r="S14" t="s">
        <v>56</v>
      </c>
      <c r="T14">
        <v>1</v>
      </c>
      <c r="U14" t="s">
        <v>683</v>
      </c>
      <c r="V14" t="s">
        <v>57</v>
      </c>
      <c r="W14" t="s">
        <v>58</v>
      </c>
      <c r="X14" s="2" t="s">
        <v>59</v>
      </c>
      <c r="Y14" s="2" t="s">
        <v>56</v>
      </c>
      <c r="Z14" s="2" t="s">
        <v>60</v>
      </c>
      <c r="AA14" s="2" t="s">
        <v>60</v>
      </c>
      <c r="AB14" s="2" t="s">
        <v>56</v>
      </c>
      <c r="AC14" t="s">
        <v>56</v>
      </c>
      <c r="AF14" t="s">
        <v>56</v>
      </c>
      <c r="AG14" t="s">
        <v>59</v>
      </c>
      <c r="AH14" t="s">
        <v>43</v>
      </c>
      <c r="AI14" t="str">
        <f t="shared" si="0"/>
        <v>Other</v>
      </c>
    </row>
    <row r="15" spans="1:35" x14ac:dyDescent="0.3">
      <c r="A15" s="10" t="s">
        <v>4765</v>
      </c>
      <c r="B15" t="s">
        <v>4759</v>
      </c>
    </row>
    <row r="16" spans="1:35" x14ac:dyDescent="0.3">
      <c r="A16" t="str">
        <f>VLOOKUP(Q16,regions_fabio!$A$2:$C$192,3,0)</f>
        <v>ALB</v>
      </c>
      <c r="B16" t="str">
        <f>IFERROR(VLOOKUP(A16,polities_whep!$A$1:$G$199,2,0),"")</f>
        <v>Albania</v>
      </c>
      <c r="C16">
        <v>3</v>
      </c>
      <c r="D16">
        <v>3</v>
      </c>
      <c r="E16" t="s">
        <v>44</v>
      </c>
      <c r="F16" t="str">
        <f>VLOOKUP(D16,FAO_areas!$A$2:$C$246,3,0)</f>
        <v>Albania</v>
      </c>
      <c r="G16" t="s">
        <v>32</v>
      </c>
      <c r="H16" t="s">
        <v>45</v>
      </c>
      <c r="I16" t="s">
        <v>45</v>
      </c>
      <c r="J16" t="s">
        <v>45</v>
      </c>
      <c r="K16">
        <v>3</v>
      </c>
      <c r="L16" t="s">
        <v>45</v>
      </c>
      <c r="M16">
        <v>8</v>
      </c>
      <c r="N16">
        <v>8</v>
      </c>
      <c r="O16">
        <v>10</v>
      </c>
      <c r="P16" t="s">
        <v>34</v>
      </c>
      <c r="Q16">
        <v>3</v>
      </c>
      <c r="R16" t="s">
        <v>1552</v>
      </c>
      <c r="S16" t="s">
        <v>46</v>
      </c>
      <c r="T16">
        <v>1</v>
      </c>
      <c r="U16" t="s">
        <v>45</v>
      </c>
      <c r="V16" t="s">
        <v>47</v>
      </c>
      <c r="W16" t="s">
        <v>48</v>
      </c>
      <c r="X16" t="s">
        <v>49</v>
      </c>
      <c r="Y16" t="s">
        <v>50</v>
      </c>
      <c r="Z16" t="s">
        <v>49</v>
      </c>
      <c r="AA16" t="s">
        <v>51</v>
      </c>
      <c r="AB16" t="s">
        <v>52</v>
      </c>
      <c r="AC16" t="s">
        <v>50</v>
      </c>
      <c r="AD16" t="s">
        <v>40</v>
      </c>
      <c r="AE16" t="s">
        <v>41</v>
      </c>
      <c r="AF16" t="s">
        <v>50</v>
      </c>
      <c r="AG16" t="s">
        <v>49</v>
      </c>
      <c r="AH16" t="s">
        <v>53</v>
      </c>
      <c r="AI16" t="str">
        <f t="shared" ref="AI16:AI24" si="1">IF(Z16="Europe","Europe","Other")</f>
        <v>Europe</v>
      </c>
    </row>
    <row r="17" spans="1:35" x14ac:dyDescent="0.3">
      <c r="A17" t="str">
        <f>VLOOKUP(Q17,regions_fabio!$A$2:$C$192,3,0)</f>
        <v>DZA</v>
      </c>
      <c r="B17" t="str">
        <f>IFERROR(VLOOKUP(A17,polities_whep!$A$1:$G$199,2,0),"")</f>
        <v>Algeria</v>
      </c>
      <c r="C17">
        <v>4</v>
      </c>
      <c r="D17">
        <v>4</v>
      </c>
      <c r="E17" t="s">
        <v>54</v>
      </c>
      <c r="F17" t="str">
        <f>VLOOKUP(D17,FAO_areas!$A$2:$C$246,3,0)</f>
        <v>Algeria</v>
      </c>
      <c r="G17" t="s">
        <v>32</v>
      </c>
      <c r="H17" t="s">
        <v>55</v>
      </c>
      <c r="I17" t="s">
        <v>55</v>
      </c>
      <c r="J17" t="s">
        <v>55</v>
      </c>
      <c r="K17">
        <v>4</v>
      </c>
      <c r="L17" t="s">
        <v>55</v>
      </c>
      <c r="M17">
        <v>12</v>
      </c>
      <c r="N17">
        <v>12</v>
      </c>
      <c r="O17">
        <v>5</v>
      </c>
      <c r="P17" t="s">
        <v>34</v>
      </c>
      <c r="Q17">
        <v>4</v>
      </c>
      <c r="R17" t="s">
        <v>1552</v>
      </c>
      <c r="S17" t="s">
        <v>56</v>
      </c>
      <c r="T17">
        <v>1</v>
      </c>
      <c r="U17" t="s">
        <v>55</v>
      </c>
      <c r="V17" t="s">
        <v>57</v>
      </c>
      <c r="W17" t="s">
        <v>58</v>
      </c>
      <c r="X17" t="s">
        <v>59</v>
      </c>
      <c r="Y17" t="s">
        <v>56</v>
      </c>
      <c r="Z17" t="s">
        <v>60</v>
      </c>
      <c r="AA17" t="s">
        <v>60</v>
      </c>
      <c r="AB17" t="s">
        <v>56</v>
      </c>
      <c r="AC17" t="s">
        <v>56</v>
      </c>
      <c r="AD17" t="s">
        <v>40</v>
      </c>
      <c r="AE17" t="s">
        <v>41</v>
      </c>
      <c r="AF17" t="s">
        <v>56</v>
      </c>
      <c r="AG17" t="s">
        <v>59</v>
      </c>
      <c r="AH17" t="s">
        <v>43</v>
      </c>
      <c r="AI17" t="str">
        <f t="shared" si="1"/>
        <v>Other</v>
      </c>
    </row>
    <row r="18" spans="1:35" x14ac:dyDescent="0.3">
      <c r="A18" t="str">
        <f>VLOOKUP(Q18,regions_fabio!$A$2:$C$192,3,0)</f>
        <v>AGO</v>
      </c>
      <c r="B18" t="str">
        <f>IFERROR(VLOOKUP(A18,polities_whep!$A$1:$G$199,2,0),"")</f>
        <v>Angola</v>
      </c>
      <c r="C18">
        <v>7</v>
      </c>
      <c r="D18">
        <v>7</v>
      </c>
      <c r="E18" t="s">
        <v>77</v>
      </c>
      <c r="F18" t="str">
        <f>VLOOKUP(D18,FAO_areas!$A$2:$C$246,3,0)</f>
        <v>Angola</v>
      </c>
      <c r="G18" t="s">
        <v>32</v>
      </c>
      <c r="H18" t="s">
        <v>78</v>
      </c>
      <c r="I18" t="s">
        <v>78</v>
      </c>
      <c r="J18" t="s">
        <v>78</v>
      </c>
      <c r="K18">
        <v>7</v>
      </c>
      <c r="L18" t="s">
        <v>78</v>
      </c>
      <c r="M18">
        <v>24</v>
      </c>
      <c r="N18">
        <v>24</v>
      </c>
      <c r="O18">
        <v>8</v>
      </c>
      <c r="P18" t="s">
        <v>34</v>
      </c>
      <c r="Q18">
        <v>7</v>
      </c>
      <c r="R18" t="s">
        <v>1552</v>
      </c>
      <c r="S18" t="s">
        <v>79</v>
      </c>
      <c r="T18">
        <v>1</v>
      </c>
      <c r="U18" t="s">
        <v>78</v>
      </c>
      <c r="V18" t="s">
        <v>80</v>
      </c>
      <c r="W18" t="s">
        <v>81</v>
      </c>
      <c r="X18" t="s">
        <v>82</v>
      </c>
      <c r="Y18" t="s">
        <v>83</v>
      </c>
      <c r="Z18" t="s">
        <v>60</v>
      </c>
      <c r="AA18" t="s">
        <v>60</v>
      </c>
      <c r="AB18" t="s">
        <v>83</v>
      </c>
      <c r="AC18" t="s">
        <v>84</v>
      </c>
      <c r="AD18" t="s">
        <v>40</v>
      </c>
      <c r="AE18" t="s">
        <v>41</v>
      </c>
      <c r="AF18" t="s">
        <v>85</v>
      </c>
      <c r="AG18" t="s">
        <v>86</v>
      </c>
      <c r="AH18" t="s">
        <v>85</v>
      </c>
      <c r="AI18" t="str">
        <f t="shared" si="1"/>
        <v>Other</v>
      </c>
    </row>
    <row r="19" spans="1:35" x14ac:dyDescent="0.3">
      <c r="A19" t="str">
        <f>VLOOKUP(Q19,regions_fabio!$A$2:$C$192,3,0)</f>
        <v>ATG</v>
      </c>
      <c r="B19" t="str">
        <f>IFERROR(VLOOKUP(A19,polities_whep!$A$1:$G$199,2,0),"")</f>
        <v>Antigua and Barbuda</v>
      </c>
      <c r="C19">
        <v>8</v>
      </c>
      <c r="D19">
        <v>8</v>
      </c>
      <c r="E19" t="s">
        <v>99</v>
      </c>
      <c r="F19" t="str">
        <f>VLOOKUP(D19,FAO_areas!$A$2:$C$246,3,0)</f>
        <v>Antigua and Barbuda</v>
      </c>
      <c r="G19" t="s">
        <v>32</v>
      </c>
      <c r="H19" t="s">
        <v>100</v>
      </c>
      <c r="I19" t="s">
        <v>100</v>
      </c>
      <c r="K19">
        <v>8</v>
      </c>
      <c r="L19" t="s">
        <v>100</v>
      </c>
      <c r="M19">
        <v>28</v>
      </c>
      <c r="N19">
        <v>28</v>
      </c>
      <c r="O19">
        <v>3</v>
      </c>
      <c r="P19" t="s">
        <v>34</v>
      </c>
      <c r="Q19">
        <v>8</v>
      </c>
      <c r="R19" t="s">
        <v>1552</v>
      </c>
      <c r="S19" t="s">
        <v>89</v>
      </c>
      <c r="T19">
        <v>1</v>
      </c>
      <c r="U19" t="s">
        <v>100</v>
      </c>
      <c r="V19" t="s">
        <v>90</v>
      </c>
      <c r="W19" t="s">
        <v>91</v>
      </c>
      <c r="X19" t="s">
        <v>92</v>
      </c>
      <c r="Y19" t="s">
        <v>90</v>
      </c>
      <c r="Z19" t="s">
        <v>93</v>
      </c>
      <c r="AA19" t="s">
        <v>93</v>
      </c>
      <c r="AB19" t="s">
        <v>90</v>
      </c>
      <c r="AC19" t="s">
        <v>94</v>
      </c>
      <c r="AD19" t="s">
        <v>40</v>
      </c>
      <c r="AE19" t="s">
        <v>41</v>
      </c>
      <c r="AF19" t="s">
        <v>95</v>
      </c>
      <c r="AG19" t="s">
        <v>92</v>
      </c>
      <c r="AH19" t="s">
        <v>43</v>
      </c>
      <c r="AI19" t="str">
        <f t="shared" si="1"/>
        <v>Other</v>
      </c>
    </row>
    <row r="20" spans="1:35" x14ac:dyDescent="0.3">
      <c r="A20" t="str">
        <f>VLOOKUP(Q20,regions_fabio!$A$2:$C$192,3,0)</f>
        <v>ARG</v>
      </c>
      <c r="B20" t="str">
        <f>IFERROR(VLOOKUP(A20,polities_whep!$A$1:$G$199,2,0),"")</f>
        <v>Argentina</v>
      </c>
      <c r="C20">
        <v>9</v>
      </c>
      <c r="D20">
        <v>9</v>
      </c>
      <c r="E20" t="s">
        <v>101</v>
      </c>
      <c r="F20" t="str">
        <f>VLOOKUP(D20,FAO_areas!$A$2:$C$246,3,0)</f>
        <v>Argentina</v>
      </c>
      <c r="G20" t="s">
        <v>32</v>
      </c>
      <c r="H20" t="s">
        <v>102</v>
      </c>
      <c r="I20" t="s">
        <v>102</v>
      </c>
      <c r="J20" t="s">
        <v>102</v>
      </c>
      <c r="K20">
        <v>9</v>
      </c>
      <c r="L20" t="s">
        <v>102</v>
      </c>
      <c r="M20">
        <v>32</v>
      </c>
      <c r="N20">
        <v>32</v>
      </c>
      <c r="O20">
        <v>4</v>
      </c>
      <c r="P20" t="s">
        <v>34</v>
      </c>
      <c r="Q20">
        <v>9</v>
      </c>
      <c r="R20" t="s">
        <v>1552</v>
      </c>
      <c r="S20" t="s">
        <v>103</v>
      </c>
      <c r="T20">
        <v>1</v>
      </c>
      <c r="U20" t="s">
        <v>102</v>
      </c>
      <c r="V20" t="s">
        <v>90</v>
      </c>
      <c r="W20" t="s">
        <v>91</v>
      </c>
      <c r="X20" t="s">
        <v>92</v>
      </c>
      <c r="Y20" t="s">
        <v>90</v>
      </c>
      <c r="Z20" t="s">
        <v>93</v>
      </c>
      <c r="AA20" t="s">
        <v>93</v>
      </c>
      <c r="AB20" t="s">
        <v>90</v>
      </c>
      <c r="AC20" t="s">
        <v>103</v>
      </c>
      <c r="AD20" t="s">
        <v>40</v>
      </c>
      <c r="AE20" t="s">
        <v>41</v>
      </c>
      <c r="AF20" t="s">
        <v>104</v>
      </c>
      <c r="AG20" t="s">
        <v>92</v>
      </c>
      <c r="AH20" t="s">
        <v>53</v>
      </c>
      <c r="AI20" t="str">
        <f t="shared" si="1"/>
        <v>Other</v>
      </c>
    </row>
    <row r="21" spans="1:35" x14ac:dyDescent="0.3">
      <c r="A21" t="str">
        <f>VLOOKUP(Q21,regions_fabio!$A$2:$C$192,3,0)</f>
        <v>ARM</v>
      </c>
      <c r="B21" t="str">
        <f>IFERROR(VLOOKUP(A21,polities_whep!$A$1:$G$199,2,0),"")</f>
        <v>Armenia</v>
      </c>
      <c r="C21">
        <v>1</v>
      </c>
      <c r="D21">
        <v>1</v>
      </c>
      <c r="E21" t="s">
        <v>105</v>
      </c>
      <c r="F21" t="str">
        <f>VLOOKUP(D21,FAO_areas!$A$2:$C$246,3,0)</f>
        <v>Armenia</v>
      </c>
      <c r="G21" t="s">
        <v>32</v>
      </c>
      <c r="H21" t="s">
        <v>106</v>
      </c>
      <c r="I21" t="s">
        <v>106</v>
      </c>
      <c r="J21" t="s">
        <v>106</v>
      </c>
      <c r="K21">
        <v>1</v>
      </c>
      <c r="L21" t="s">
        <v>106</v>
      </c>
      <c r="M21">
        <v>51</v>
      </c>
      <c r="N21">
        <v>51</v>
      </c>
      <c r="O21">
        <v>11</v>
      </c>
      <c r="P21" t="s">
        <v>34</v>
      </c>
      <c r="Q21">
        <v>1</v>
      </c>
      <c r="R21" t="s">
        <v>1552</v>
      </c>
      <c r="S21" t="s">
        <v>107</v>
      </c>
      <c r="T21">
        <v>1</v>
      </c>
      <c r="U21" t="s">
        <v>106</v>
      </c>
      <c r="V21" t="s">
        <v>108</v>
      </c>
      <c r="W21" t="s">
        <v>37</v>
      </c>
      <c r="X21" t="s">
        <v>109</v>
      </c>
      <c r="Y21" t="s">
        <v>110</v>
      </c>
      <c r="Z21" t="s">
        <v>38</v>
      </c>
      <c r="AA21" t="s">
        <v>51</v>
      </c>
      <c r="AB21" t="s">
        <v>111</v>
      </c>
      <c r="AC21" t="s">
        <v>110</v>
      </c>
      <c r="AD21" t="s">
        <v>40</v>
      </c>
      <c r="AE21" t="s">
        <v>41</v>
      </c>
      <c r="AF21" t="s">
        <v>112</v>
      </c>
      <c r="AG21" t="s">
        <v>112</v>
      </c>
      <c r="AH21" t="s">
        <v>43</v>
      </c>
      <c r="AI21" t="str">
        <f t="shared" si="1"/>
        <v>Other</v>
      </c>
    </row>
    <row r="22" spans="1:35" x14ac:dyDescent="0.3">
      <c r="A22" t="s">
        <v>4766</v>
      </c>
      <c r="B22" t="str">
        <f>IFERROR(VLOOKUP(A22,polities_whep!$A$1:$G$199,2,0),"")</f>
        <v>Asia Other</v>
      </c>
      <c r="C22">
        <v>18</v>
      </c>
      <c r="D22">
        <v>18</v>
      </c>
      <c r="E22" t="s">
        <v>150</v>
      </c>
      <c r="F22" t="str">
        <f>VLOOKUP(D22,FAO_areas!$A$2:$C$246,3,0)</f>
        <v>Bhutan</v>
      </c>
      <c r="G22" t="s">
        <v>32</v>
      </c>
      <c r="H22" t="s">
        <v>151</v>
      </c>
      <c r="I22" t="s">
        <v>151</v>
      </c>
      <c r="K22">
        <v>18</v>
      </c>
      <c r="L22" t="s">
        <v>151</v>
      </c>
      <c r="M22">
        <v>64</v>
      </c>
      <c r="N22">
        <v>64</v>
      </c>
      <c r="O22">
        <v>13</v>
      </c>
      <c r="P22" t="s">
        <v>32</v>
      </c>
      <c r="Q22">
        <v>999</v>
      </c>
      <c r="R22" t="s">
        <v>1552</v>
      </c>
      <c r="S22" t="s">
        <v>35</v>
      </c>
      <c r="T22">
        <v>1</v>
      </c>
      <c r="U22" t="s">
        <v>151</v>
      </c>
      <c r="V22" t="s">
        <v>36</v>
      </c>
      <c r="W22" t="s">
        <v>37</v>
      </c>
      <c r="X22" t="s">
        <v>36</v>
      </c>
      <c r="Y22" t="s">
        <v>36</v>
      </c>
      <c r="Z22" s="2" t="s">
        <v>38</v>
      </c>
      <c r="AA22" t="s">
        <v>39</v>
      </c>
      <c r="AB22" t="s">
        <v>36</v>
      </c>
      <c r="AC22" t="s">
        <v>36</v>
      </c>
      <c r="AD22" t="s">
        <v>40</v>
      </c>
      <c r="AE22" t="s">
        <v>41</v>
      </c>
      <c r="AF22" t="s">
        <v>36</v>
      </c>
      <c r="AG22" t="s">
        <v>42</v>
      </c>
      <c r="AH22" t="s">
        <v>43</v>
      </c>
      <c r="AI22" t="str">
        <f t="shared" si="1"/>
        <v>Other</v>
      </c>
    </row>
    <row r="23" spans="1:35" x14ac:dyDescent="0.3">
      <c r="A23" t="s">
        <v>4766</v>
      </c>
      <c r="B23" t="str">
        <f>IFERROR(VLOOKUP(A23,polities_whep!$A$1:$G$199,2,0),"")</f>
        <v>Asia Other</v>
      </c>
      <c r="C23">
        <v>24</v>
      </c>
      <c r="D23">
        <v>24</v>
      </c>
      <c r="E23" t="s">
        <v>164</v>
      </c>
      <c r="F23" t="e">
        <f>VLOOKUP(D23,FAO_areas!$A$2:$C$246,3,0)</f>
        <v>#N/A</v>
      </c>
      <c r="G23" t="s">
        <v>32</v>
      </c>
      <c r="H23" t="s">
        <v>165</v>
      </c>
      <c r="K23">
        <v>999</v>
      </c>
      <c r="L23" t="s">
        <v>73</v>
      </c>
      <c r="M23">
        <v>86</v>
      </c>
      <c r="N23">
        <v>86</v>
      </c>
      <c r="O23">
        <v>13</v>
      </c>
      <c r="P23" t="s">
        <v>32</v>
      </c>
      <c r="Q23">
        <v>999</v>
      </c>
      <c r="R23" t="s">
        <v>1552</v>
      </c>
      <c r="S23" t="s">
        <v>35</v>
      </c>
      <c r="T23">
        <v>1</v>
      </c>
      <c r="U23" t="s">
        <v>165</v>
      </c>
      <c r="V23" t="s">
        <v>36</v>
      </c>
      <c r="W23" t="s">
        <v>37</v>
      </c>
      <c r="X23" t="s">
        <v>36</v>
      </c>
      <c r="Y23" t="s">
        <v>83</v>
      </c>
      <c r="Z23" s="2" t="s">
        <v>38</v>
      </c>
      <c r="AA23" t="s">
        <v>39</v>
      </c>
      <c r="AB23" t="s">
        <v>36</v>
      </c>
      <c r="AC23" t="s">
        <v>36</v>
      </c>
      <c r="AD23" t="s">
        <v>40</v>
      </c>
      <c r="AE23" t="s">
        <v>41</v>
      </c>
      <c r="AF23" t="s">
        <v>36</v>
      </c>
      <c r="AG23" t="s">
        <v>42</v>
      </c>
      <c r="AH23" t="s">
        <v>43</v>
      </c>
      <c r="AI23" t="str">
        <f t="shared" si="1"/>
        <v>Other</v>
      </c>
    </row>
    <row r="24" spans="1:35" x14ac:dyDescent="0.3">
      <c r="A24" t="s">
        <v>4766</v>
      </c>
      <c r="B24" t="str">
        <f>IFERROR(VLOOKUP(A24,polities_whep!$A$1:$G$199,2,0),"")</f>
        <v>Asia Other</v>
      </c>
      <c r="C24">
        <v>161</v>
      </c>
      <c r="D24">
        <v>164</v>
      </c>
      <c r="E24" t="s">
        <v>499</v>
      </c>
      <c r="F24" t="e">
        <f>VLOOKUP(D24,FAO_areas!$A$2:$C$246,3,0)</f>
        <v>#N/A</v>
      </c>
      <c r="G24" t="s">
        <v>32</v>
      </c>
      <c r="H24" t="s">
        <v>500</v>
      </c>
      <c r="K24">
        <v>999</v>
      </c>
      <c r="L24" t="s">
        <v>73</v>
      </c>
      <c r="M24" t="s">
        <v>98</v>
      </c>
      <c r="N24">
        <v>582</v>
      </c>
      <c r="O24">
        <v>15</v>
      </c>
      <c r="P24" t="s">
        <v>32</v>
      </c>
      <c r="Q24">
        <v>999</v>
      </c>
      <c r="R24" t="s">
        <v>1552</v>
      </c>
      <c r="S24" t="s">
        <v>172</v>
      </c>
      <c r="T24">
        <v>1</v>
      </c>
      <c r="U24" t="s">
        <v>500</v>
      </c>
      <c r="V24" t="s">
        <v>173</v>
      </c>
      <c r="W24" t="s">
        <v>37</v>
      </c>
      <c r="X24" s="2" t="s">
        <v>174</v>
      </c>
      <c r="Y24" s="2" t="s">
        <v>116</v>
      </c>
      <c r="Z24" s="2" t="s">
        <v>38</v>
      </c>
      <c r="AA24" s="2" t="s">
        <v>39</v>
      </c>
      <c r="AB24" s="2" t="s">
        <v>67</v>
      </c>
      <c r="AC24" t="s">
        <v>68</v>
      </c>
      <c r="AD24" t="s">
        <v>40</v>
      </c>
      <c r="AE24" t="s">
        <v>41</v>
      </c>
      <c r="AF24" t="s">
        <v>69</v>
      </c>
      <c r="AG24" t="s">
        <v>70</v>
      </c>
      <c r="AH24" t="s">
        <v>53</v>
      </c>
      <c r="AI24" t="str">
        <f t="shared" si="1"/>
        <v>Other</v>
      </c>
    </row>
    <row r="25" spans="1:35" x14ac:dyDescent="0.3">
      <c r="A25" s="10" t="s">
        <v>4766</v>
      </c>
      <c r="B25" t="s">
        <v>4760</v>
      </c>
    </row>
    <row r="26" spans="1:35" x14ac:dyDescent="0.3">
      <c r="A26" t="str">
        <f>VLOOKUP(Q26,regions_fabio!$A$2:$C$192,3,0)</f>
        <v>AUS</v>
      </c>
      <c r="B26" t="str">
        <f>IFERROR(VLOOKUP(A26,polities_whep!$A$1:$G$199,2,0),"")</f>
        <v>Australia</v>
      </c>
      <c r="C26">
        <v>10</v>
      </c>
      <c r="D26">
        <v>10</v>
      </c>
      <c r="E26" t="s">
        <v>70</v>
      </c>
      <c r="F26" t="str">
        <f>VLOOKUP(D26,FAO_areas!$A$2:$C$246,3,0)</f>
        <v>Australia</v>
      </c>
      <c r="G26" t="s">
        <v>32</v>
      </c>
      <c r="H26" t="s">
        <v>115</v>
      </c>
      <c r="I26" t="s">
        <v>115</v>
      </c>
      <c r="J26" t="s">
        <v>115</v>
      </c>
      <c r="K26">
        <v>10</v>
      </c>
      <c r="L26" t="s">
        <v>115</v>
      </c>
      <c r="M26">
        <v>36</v>
      </c>
      <c r="N26">
        <v>36</v>
      </c>
      <c r="O26">
        <v>16</v>
      </c>
      <c r="P26" t="s">
        <v>34</v>
      </c>
      <c r="Q26">
        <v>10</v>
      </c>
      <c r="R26" t="s">
        <v>1552</v>
      </c>
      <c r="S26" t="s">
        <v>63</v>
      </c>
      <c r="T26">
        <v>1</v>
      </c>
      <c r="U26" t="s">
        <v>115</v>
      </c>
      <c r="V26" t="s">
        <v>64</v>
      </c>
      <c r="W26" t="s">
        <v>65</v>
      </c>
      <c r="X26" t="s">
        <v>63</v>
      </c>
      <c r="Y26" t="s">
        <v>116</v>
      </c>
      <c r="Z26" t="s">
        <v>63</v>
      </c>
      <c r="AA26" t="s">
        <v>39</v>
      </c>
      <c r="AB26" t="s">
        <v>67</v>
      </c>
      <c r="AC26" t="s">
        <v>68</v>
      </c>
      <c r="AD26" t="s">
        <v>117</v>
      </c>
      <c r="AE26" t="s">
        <v>118</v>
      </c>
      <c r="AF26" t="s">
        <v>69</v>
      </c>
      <c r="AG26" t="s">
        <v>70</v>
      </c>
      <c r="AH26" t="s">
        <v>53</v>
      </c>
      <c r="AI26" t="str">
        <f t="shared" ref="AI26:AI63" si="2">IF(Z26="Europe","Europe","Other")</f>
        <v>Other</v>
      </c>
    </row>
    <row r="27" spans="1:35" x14ac:dyDescent="0.3">
      <c r="A27" t="str">
        <f>VLOOKUP(Q27,regions_fabio!$A$2:$C$192,3,0)</f>
        <v>AUT</v>
      </c>
      <c r="B27" t="str">
        <f>IFERROR(VLOOKUP(A27,polities_whep!$A$1:$G$199,2,0),"")</f>
        <v>Austria</v>
      </c>
      <c r="C27">
        <v>11</v>
      </c>
      <c r="D27">
        <v>11</v>
      </c>
      <c r="E27" t="s">
        <v>119</v>
      </c>
      <c r="F27" t="str">
        <f>VLOOKUP(D27,FAO_areas!$A$2:$C$246,3,0)</f>
        <v>Austria</v>
      </c>
      <c r="G27" t="s">
        <v>34</v>
      </c>
      <c r="H27" t="s">
        <v>120</v>
      </c>
      <c r="I27" t="s">
        <v>120</v>
      </c>
      <c r="J27" t="s">
        <v>120</v>
      </c>
      <c r="K27">
        <v>11</v>
      </c>
      <c r="L27" t="s">
        <v>120</v>
      </c>
      <c r="M27">
        <v>40</v>
      </c>
      <c r="N27">
        <v>40</v>
      </c>
      <c r="O27">
        <v>9</v>
      </c>
      <c r="P27" t="s">
        <v>34</v>
      </c>
      <c r="Q27">
        <v>11</v>
      </c>
      <c r="R27" t="s">
        <v>1552</v>
      </c>
      <c r="S27" t="s">
        <v>74</v>
      </c>
      <c r="T27">
        <v>1</v>
      </c>
      <c r="U27" t="s">
        <v>120</v>
      </c>
      <c r="V27" t="s">
        <v>75</v>
      </c>
      <c r="W27" t="s">
        <v>76</v>
      </c>
      <c r="X27" t="s">
        <v>49</v>
      </c>
      <c r="Y27" t="s">
        <v>75</v>
      </c>
      <c r="Z27" t="s">
        <v>49</v>
      </c>
      <c r="AA27" t="s">
        <v>51</v>
      </c>
      <c r="AB27" t="s">
        <v>52</v>
      </c>
      <c r="AC27" t="s">
        <v>75</v>
      </c>
      <c r="AD27" t="s">
        <v>117</v>
      </c>
      <c r="AE27" t="s">
        <v>118</v>
      </c>
      <c r="AF27" t="s">
        <v>75</v>
      </c>
      <c r="AG27" t="s">
        <v>49</v>
      </c>
      <c r="AH27" t="s">
        <v>53</v>
      </c>
      <c r="AI27" t="str">
        <f t="shared" si="2"/>
        <v>Europe</v>
      </c>
    </row>
    <row r="28" spans="1:35" x14ac:dyDescent="0.3">
      <c r="A28" t="str">
        <f>VLOOKUP(Q28,regions_fabio!$A$2:$C$192,3,0)</f>
        <v>AZE</v>
      </c>
      <c r="B28" t="str">
        <f>IFERROR(VLOOKUP(A28,polities_whep!$A$1:$G$199,2,0),"")</f>
        <v>Azerbaijan</v>
      </c>
      <c r="C28">
        <v>52</v>
      </c>
      <c r="D28">
        <v>52</v>
      </c>
      <c r="E28" t="s">
        <v>121</v>
      </c>
      <c r="F28" t="str">
        <f>VLOOKUP(D28,FAO_areas!$A$2:$C$246,3,0)</f>
        <v>Azerbaijan</v>
      </c>
      <c r="G28" t="s">
        <v>32</v>
      </c>
      <c r="H28" t="s">
        <v>122</v>
      </c>
      <c r="I28" t="s">
        <v>122</v>
      </c>
      <c r="J28" t="s">
        <v>122</v>
      </c>
      <c r="K28">
        <v>52</v>
      </c>
      <c r="L28" t="s">
        <v>122</v>
      </c>
      <c r="M28">
        <v>31</v>
      </c>
      <c r="N28">
        <v>31</v>
      </c>
      <c r="O28">
        <v>11</v>
      </c>
      <c r="P28" t="s">
        <v>34</v>
      </c>
      <c r="Q28">
        <v>52</v>
      </c>
      <c r="R28" t="s">
        <v>1552</v>
      </c>
      <c r="S28" t="s">
        <v>107</v>
      </c>
      <c r="T28">
        <v>1</v>
      </c>
      <c r="U28" t="s">
        <v>122</v>
      </c>
      <c r="V28" t="s">
        <v>108</v>
      </c>
      <c r="W28" t="s">
        <v>37</v>
      </c>
      <c r="X28" t="s">
        <v>109</v>
      </c>
      <c r="Y28" t="s">
        <v>110</v>
      </c>
      <c r="Z28" t="s">
        <v>38</v>
      </c>
      <c r="AA28" t="s">
        <v>51</v>
      </c>
      <c r="AB28" t="s">
        <v>111</v>
      </c>
      <c r="AC28" t="s">
        <v>110</v>
      </c>
      <c r="AD28" t="s">
        <v>40</v>
      </c>
      <c r="AE28" t="s">
        <v>41</v>
      </c>
      <c r="AF28" t="s">
        <v>112</v>
      </c>
      <c r="AG28" t="s">
        <v>112</v>
      </c>
      <c r="AH28" t="s">
        <v>43</v>
      </c>
      <c r="AI28" t="str">
        <f t="shared" si="2"/>
        <v>Other</v>
      </c>
    </row>
    <row r="29" spans="1:35" x14ac:dyDescent="0.3">
      <c r="A29" t="str">
        <f>VLOOKUP(Q29,regions_fabio!$A$2:$C$192,3,0)</f>
        <v>BHS</v>
      </c>
      <c r="B29" t="str">
        <f>IFERROR(VLOOKUP(A29,polities_whep!$A$1:$G$199,2,0),"")</f>
        <v>Bahamas</v>
      </c>
      <c r="C29">
        <v>12</v>
      </c>
      <c r="D29">
        <v>12</v>
      </c>
      <c r="E29" t="s">
        <v>123</v>
      </c>
      <c r="F29" t="str">
        <f>VLOOKUP(D29,FAO_areas!$A$2:$C$246,3,0)</f>
        <v>Bahamas</v>
      </c>
      <c r="G29" t="s">
        <v>32</v>
      </c>
      <c r="H29" t="s">
        <v>124</v>
      </c>
      <c r="I29" t="s">
        <v>125</v>
      </c>
      <c r="K29">
        <v>12</v>
      </c>
      <c r="L29" t="s">
        <v>124</v>
      </c>
      <c r="M29">
        <v>44</v>
      </c>
      <c r="N29">
        <v>44</v>
      </c>
      <c r="O29">
        <v>3</v>
      </c>
      <c r="P29" t="s">
        <v>34</v>
      </c>
      <c r="Q29">
        <v>12</v>
      </c>
      <c r="R29" t="s">
        <v>1552</v>
      </c>
      <c r="S29" t="s">
        <v>89</v>
      </c>
      <c r="T29">
        <v>1</v>
      </c>
      <c r="U29" t="s">
        <v>124</v>
      </c>
      <c r="V29" t="s">
        <v>90</v>
      </c>
      <c r="W29" t="s">
        <v>91</v>
      </c>
      <c r="X29" t="s">
        <v>92</v>
      </c>
      <c r="Y29" t="s">
        <v>90</v>
      </c>
      <c r="Z29" t="s">
        <v>93</v>
      </c>
      <c r="AA29" t="s">
        <v>93</v>
      </c>
      <c r="AB29" t="s">
        <v>90</v>
      </c>
      <c r="AC29" t="s">
        <v>94</v>
      </c>
      <c r="AD29" t="s">
        <v>40</v>
      </c>
      <c r="AE29" t="s">
        <v>41</v>
      </c>
      <c r="AF29" t="s">
        <v>95</v>
      </c>
      <c r="AG29" t="s">
        <v>92</v>
      </c>
      <c r="AH29" t="s">
        <v>43</v>
      </c>
      <c r="AI29" t="str">
        <f t="shared" si="2"/>
        <v>Other</v>
      </c>
    </row>
    <row r="30" spans="1:35" x14ac:dyDescent="0.3">
      <c r="A30" t="str">
        <f>VLOOKUP(Q30,regions_fabio!$A$2:$C$192,3,0)</f>
        <v>BHR</v>
      </c>
      <c r="B30" t="str">
        <f>IFERROR(VLOOKUP(A30,polities_whep!$A$1:$G$199,2,0),"")</f>
        <v>Bahrain</v>
      </c>
      <c r="C30">
        <v>13</v>
      </c>
      <c r="D30">
        <v>13</v>
      </c>
      <c r="E30" t="s">
        <v>126</v>
      </c>
      <c r="F30" t="str">
        <f>VLOOKUP(D30,FAO_areas!$A$2:$C$246,3,0)</f>
        <v>Bahrain</v>
      </c>
      <c r="G30" t="s">
        <v>32</v>
      </c>
      <c r="H30" t="s">
        <v>127</v>
      </c>
      <c r="I30" t="s">
        <v>127</v>
      </c>
      <c r="J30" t="s">
        <v>127</v>
      </c>
      <c r="K30">
        <v>13</v>
      </c>
      <c r="L30" t="s">
        <v>127</v>
      </c>
      <c r="M30">
        <v>48</v>
      </c>
      <c r="N30">
        <v>48</v>
      </c>
      <c r="O30">
        <v>12</v>
      </c>
      <c r="P30" t="s">
        <v>34</v>
      </c>
      <c r="Q30">
        <v>13</v>
      </c>
      <c r="R30" t="s">
        <v>1552</v>
      </c>
      <c r="S30" t="s">
        <v>128</v>
      </c>
      <c r="T30">
        <v>1</v>
      </c>
      <c r="U30" t="s">
        <v>127</v>
      </c>
      <c r="V30" t="s">
        <v>57</v>
      </c>
      <c r="W30" t="s">
        <v>58</v>
      </c>
      <c r="X30" t="s">
        <v>59</v>
      </c>
      <c r="Y30" t="s">
        <v>110</v>
      </c>
      <c r="Z30" t="s">
        <v>38</v>
      </c>
      <c r="AA30" t="s">
        <v>129</v>
      </c>
      <c r="AB30" t="s">
        <v>129</v>
      </c>
      <c r="AC30" t="s">
        <v>129</v>
      </c>
      <c r="AD30" t="s">
        <v>40</v>
      </c>
      <c r="AE30" t="s">
        <v>41</v>
      </c>
      <c r="AF30" t="s">
        <v>110</v>
      </c>
      <c r="AG30" t="s">
        <v>59</v>
      </c>
      <c r="AH30" t="s">
        <v>43</v>
      </c>
      <c r="AI30" t="str">
        <f t="shared" si="2"/>
        <v>Other</v>
      </c>
    </row>
    <row r="31" spans="1:35" x14ac:dyDescent="0.3">
      <c r="A31" t="str">
        <f>VLOOKUP(Q31,regions_fabio!$A$2:$C$192,3,0)</f>
        <v>BGD</v>
      </c>
      <c r="B31" t="str">
        <f>IFERROR(VLOOKUP(A31,polities_whep!$A$1:$G$199,2,0),"")</f>
        <v>Bangladesh</v>
      </c>
      <c r="C31">
        <v>16</v>
      </c>
      <c r="D31">
        <v>16</v>
      </c>
      <c r="E31" t="s">
        <v>130</v>
      </c>
      <c r="F31" t="str">
        <f>VLOOKUP(D31,FAO_areas!$A$2:$C$246,3,0)</f>
        <v>Bangladesh</v>
      </c>
      <c r="G31" t="s">
        <v>32</v>
      </c>
      <c r="H31" t="s">
        <v>131</v>
      </c>
      <c r="I31" t="s">
        <v>131</v>
      </c>
      <c r="J31" t="s">
        <v>131</v>
      </c>
      <c r="K31">
        <v>16</v>
      </c>
      <c r="L31" t="s">
        <v>131</v>
      </c>
      <c r="M31">
        <v>50</v>
      </c>
      <c r="N31">
        <v>50</v>
      </c>
      <c r="O31">
        <v>13</v>
      </c>
      <c r="P31" t="s">
        <v>34</v>
      </c>
      <c r="Q31">
        <v>16</v>
      </c>
      <c r="R31" t="s">
        <v>1552</v>
      </c>
      <c r="S31" t="s">
        <v>35</v>
      </c>
      <c r="T31">
        <v>1</v>
      </c>
      <c r="U31" t="s">
        <v>131</v>
      </c>
      <c r="V31" t="s">
        <v>36</v>
      </c>
      <c r="W31" t="s">
        <v>37</v>
      </c>
      <c r="X31" t="s">
        <v>36</v>
      </c>
      <c r="Y31" t="s">
        <v>36</v>
      </c>
      <c r="Z31" t="s">
        <v>38</v>
      </c>
      <c r="AA31" t="s">
        <v>39</v>
      </c>
      <c r="AB31" t="s">
        <v>36</v>
      </c>
      <c r="AC31" t="s">
        <v>36</v>
      </c>
      <c r="AD31" t="s">
        <v>40</v>
      </c>
      <c r="AE31" t="s">
        <v>41</v>
      </c>
      <c r="AF31" t="s">
        <v>36</v>
      </c>
      <c r="AG31" t="s">
        <v>42</v>
      </c>
      <c r="AH31" t="s">
        <v>43</v>
      </c>
      <c r="AI31" t="str">
        <f t="shared" si="2"/>
        <v>Other</v>
      </c>
    </row>
    <row r="32" spans="1:35" x14ac:dyDescent="0.3">
      <c r="A32" t="str">
        <f>VLOOKUP(Q32,regions_fabio!$A$2:$C$192,3,0)</f>
        <v>BRB</v>
      </c>
      <c r="B32" t="str">
        <f>IFERROR(VLOOKUP(A32,polities_whep!$A$1:$G$199,2,0),"")</f>
        <v>Barbados</v>
      </c>
      <c r="C32">
        <v>14</v>
      </c>
      <c r="D32">
        <v>14</v>
      </c>
      <c r="E32" t="s">
        <v>132</v>
      </c>
      <c r="F32" t="str">
        <f>VLOOKUP(D32,FAO_areas!$A$2:$C$246,3,0)</f>
        <v>Barbados</v>
      </c>
      <c r="G32" t="s">
        <v>32</v>
      </c>
      <c r="H32" t="s">
        <v>133</v>
      </c>
      <c r="I32" t="s">
        <v>133</v>
      </c>
      <c r="K32">
        <v>14</v>
      </c>
      <c r="L32" t="s">
        <v>133</v>
      </c>
      <c r="M32">
        <v>52</v>
      </c>
      <c r="N32">
        <v>52</v>
      </c>
      <c r="O32">
        <v>3</v>
      </c>
      <c r="P32" t="s">
        <v>34</v>
      </c>
      <c r="Q32">
        <v>14</v>
      </c>
      <c r="R32" t="s">
        <v>1552</v>
      </c>
      <c r="S32" t="s">
        <v>89</v>
      </c>
      <c r="T32">
        <v>1</v>
      </c>
      <c r="U32" t="s">
        <v>133</v>
      </c>
      <c r="V32" t="s">
        <v>90</v>
      </c>
      <c r="W32" t="s">
        <v>91</v>
      </c>
      <c r="X32" t="s">
        <v>92</v>
      </c>
      <c r="Y32" t="s">
        <v>90</v>
      </c>
      <c r="Z32" t="s">
        <v>93</v>
      </c>
      <c r="AA32" t="s">
        <v>93</v>
      </c>
      <c r="AB32" t="s">
        <v>90</v>
      </c>
      <c r="AC32" t="s">
        <v>94</v>
      </c>
      <c r="AD32" t="s">
        <v>40</v>
      </c>
      <c r="AE32" t="s">
        <v>41</v>
      </c>
      <c r="AF32" t="s">
        <v>95</v>
      </c>
      <c r="AG32" t="s">
        <v>92</v>
      </c>
      <c r="AH32" t="s">
        <v>43</v>
      </c>
      <c r="AI32" t="str">
        <f t="shared" si="2"/>
        <v>Other</v>
      </c>
    </row>
    <row r="33" spans="1:35" x14ac:dyDescent="0.3">
      <c r="A33" t="str">
        <f>VLOOKUP(Q33,regions_fabio!$A$2:$C$192,3,0)</f>
        <v>BLR</v>
      </c>
      <c r="B33" t="str">
        <f>IFERROR(VLOOKUP(A33,polities_whep!$A$1:$G$199,2,0),"")</f>
        <v>Belarus</v>
      </c>
      <c r="C33">
        <v>57</v>
      </c>
      <c r="D33">
        <v>57</v>
      </c>
      <c r="E33" t="s">
        <v>134</v>
      </c>
      <c r="F33" t="str">
        <f>VLOOKUP(D33,FAO_areas!$A$2:$C$246,3,0)</f>
        <v>Belarus</v>
      </c>
      <c r="G33" t="s">
        <v>32</v>
      </c>
      <c r="H33" t="s">
        <v>135</v>
      </c>
      <c r="I33" t="s">
        <v>135</v>
      </c>
      <c r="J33" t="s">
        <v>135</v>
      </c>
      <c r="K33">
        <v>57</v>
      </c>
      <c r="L33" t="s">
        <v>135</v>
      </c>
      <c r="M33">
        <v>112</v>
      </c>
      <c r="N33">
        <v>112</v>
      </c>
      <c r="O33">
        <v>11</v>
      </c>
      <c r="P33" t="s">
        <v>34</v>
      </c>
      <c r="Q33">
        <v>57</v>
      </c>
      <c r="R33" t="s">
        <v>1552</v>
      </c>
      <c r="S33" t="s">
        <v>107</v>
      </c>
      <c r="T33">
        <v>1</v>
      </c>
      <c r="U33" t="s">
        <v>135</v>
      </c>
      <c r="V33" t="s">
        <v>108</v>
      </c>
      <c r="W33" t="s">
        <v>37</v>
      </c>
      <c r="X33" t="s">
        <v>109</v>
      </c>
      <c r="Y33" t="s">
        <v>46</v>
      </c>
      <c r="Z33" t="s">
        <v>49</v>
      </c>
      <c r="AA33" t="s">
        <v>51</v>
      </c>
      <c r="AB33" t="s">
        <v>46</v>
      </c>
      <c r="AC33" t="s">
        <v>46</v>
      </c>
      <c r="AD33" t="s">
        <v>40</v>
      </c>
      <c r="AE33" t="s">
        <v>118</v>
      </c>
      <c r="AF33" t="s">
        <v>112</v>
      </c>
      <c r="AG33" t="s">
        <v>112</v>
      </c>
      <c r="AH33" t="s">
        <v>53</v>
      </c>
      <c r="AI33" t="str">
        <f t="shared" si="2"/>
        <v>Europe</v>
      </c>
    </row>
    <row r="34" spans="1:35" x14ac:dyDescent="0.3">
      <c r="A34" t="str">
        <f>VLOOKUP(Q34,regions_fabio!$A$2:$C$192,3,0)</f>
        <v>BEL</v>
      </c>
      <c r="B34" t="str">
        <f>IFERROR(VLOOKUP(A34,polities_whep!$A$1:$G$199,2,0),"")</f>
        <v>Belgium</v>
      </c>
      <c r="C34">
        <v>246</v>
      </c>
      <c r="D34">
        <v>255</v>
      </c>
      <c r="E34" t="s">
        <v>136</v>
      </c>
      <c r="F34" t="str">
        <f>VLOOKUP(D34,FAO_areas!$A$2:$C$246,3,0)</f>
        <v>Belgium</v>
      </c>
      <c r="G34" t="s">
        <v>34</v>
      </c>
      <c r="H34" t="s">
        <v>137</v>
      </c>
      <c r="I34" t="s">
        <v>137</v>
      </c>
      <c r="J34" t="s">
        <v>137</v>
      </c>
      <c r="K34">
        <v>255</v>
      </c>
      <c r="L34" t="s">
        <v>137</v>
      </c>
      <c r="M34">
        <v>56</v>
      </c>
      <c r="N34">
        <v>56</v>
      </c>
      <c r="O34">
        <v>9</v>
      </c>
      <c r="P34" t="s">
        <v>34</v>
      </c>
      <c r="Q34">
        <v>255</v>
      </c>
      <c r="R34" t="s">
        <v>5039</v>
      </c>
      <c r="S34" t="s">
        <v>74</v>
      </c>
      <c r="T34">
        <v>1</v>
      </c>
      <c r="U34" t="s">
        <v>137</v>
      </c>
      <c r="V34" t="s">
        <v>75</v>
      </c>
      <c r="W34" t="s">
        <v>76</v>
      </c>
      <c r="X34" t="s">
        <v>49</v>
      </c>
      <c r="Y34" t="s">
        <v>75</v>
      </c>
      <c r="Z34" t="s">
        <v>49</v>
      </c>
      <c r="AA34" t="s">
        <v>51</v>
      </c>
      <c r="AB34" t="s">
        <v>52</v>
      </c>
      <c r="AC34" t="s">
        <v>75</v>
      </c>
      <c r="AD34" t="s">
        <v>117</v>
      </c>
      <c r="AE34" t="s">
        <v>118</v>
      </c>
      <c r="AF34" t="s">
        <v>75</v>
      </c>
      <c r="AG34" t="s">
        <v>49</v>
      </c>
      <c r="AH34" t="s">
        <v>53</v>
      </c>
      <c r="AI34" t="str">
        <f t="shared" si="2"/>
        <v>Europe</v>
      </c>
    </row>
    <row r="35" spans="1:35" x14ac:dyDescent="0.3">
      <c r="A35" t="str">
        <f>VLOOKUP(Q35,regions_fabio!$A$2:$C$192,3,0)</f>
        <v>BLX</v>
      </c>
      <c r="B35" t="str">
        <f>IFERROR(VLOOKUP(A35,polities_whep!$A$1:$G$199,2,0),"")</f>
        <v>Belgium-Luxembourg</v>
      </c>
      <c r="C35">
        <v>15</v>
      </c>
      <c r="D35">
        <v>15</v>
      </c>
      <c r="E35" t="s">
        <v>138</v>
      </c>
      <c r="F35" t="str">
        <f>VLOOKUP(D35,FAO_areas!$A$2:$C$246,3,0)</f>
        <v>Belgium-Luxembourg</v>
      </c>
      <c r="G35" t="s">
        <v>34</v>
      </c>
      <c r="H35" t="s">
        <v>139</v>
      </c>
      <c r="K35">
        <v>255</v>
      </c>
      <c r="L35" t="s">
        <v>137</v>
      </c>
      <c r="M35">
        <v>58</v>
      </c>
      <c r="N35">
        <v>58</v>
      </c>
      <c r="O35">
        <v>9</v>
      </c>
      <c r="P35" t="s">
        <v>34</v>
      </c>
      <c r="Q35">
        <v>15</v>
      </c>
      <c r="R35" t="s">
        <v>5040</v>
      </c>
      <c r="S35" t="s">
        <v>74</v>
      </c>
      <c r="T35">
        <v>1</v>
      </c>
      <c r="U35" t="s">
        <v>140</v>
      </c>
      <c r="V35" t="s">
        <v>75</v>
      </c>
      <c r="W35" t="s">
        <v>76</v>
      </c>
      <c r="X35" s="2" t="s">
        <v>49</v>
      </c>
      <c r="Y35" s="2" t="s">
        <v>75</v>
      </c>
      <c r="Z35" s="2" t="s">
        <v>49</v>
      </c>
      <c r="AA35" s="2" t="s">
        <v>51</v>
      </c>
      <c r="AB35" s="2" t="s">
        <v>52</v>
      </c>
      <c r="AC35" t="s">
        <v>75</v>
      </c>
      <c r="AD35" t="s">
        <v>117</v>
      </c>
      <c r="AE35" t="s">
        <v>118</v>
      </c>
      <c r="AF35" t="s">
        <v>75</v>
      </c>
      <c r="AG35" t="s">
        <v>49</v>
      </c>
      <c r="AH35" t="s">
        <v>53</v>
      </c>
      <c r="AI35" t="str">
        <f t="shared" si="2"/>
        <v>Europe</v>
      </c>
    </row>
    <row r="36" spans="1:35" x14ac:dyDescent="0.3">
      <c r="A36" t="str">
        <f>VLOOKUP(Q36,regions_fabio!$A$2:$C$192,3,0)</f>
        <v>BLZ</v>
      </c>
      <c r="B36" t="str">
        <f>IFERROR(VLOOKUP(A36,polities_whep!$A$1:$G$199,2,0),"")</f>
        <v>Belize</v>
      </c>
      <c r="C36">
        <v>23</v>
      </c>
      <c r="D36">
        <v>23</v>
      </c>
      <c r="E36" t="s">
        <v>141</v>
      </c>
      <c r="F36" t="str">
        <f>VLOOKUP(D36,FAO_areas!$A$2:$C$246,3,0)</f>
        <v>Belize</v>
      </c>
      <c r="G36" t="s">
        <v>32</v>
      </c>
      <c r="H36" t="s">
        <v>142</v>
      </c>
      <c r="I36" t="s">
        <v>142</v>
      </c>
      <c r="K36">
        <v>23</v>
      </c>
      <c r="L36" t="s">
        <v>142</v>
      </c>
      <c r="M36">
        <v>84</v>
      </c>
      <c r="N36">
        <v>84</v>
      </c>
      <c r="O36">
        <v>3</v>
      </c>
      <c r="P36" t="s">
        <v>34</v>
      </c>
      <c r="Q36">
        <v>23</v>
      </c>
      <c r="R36" t="s">
        <v>1552</v>
      </c>
      <c r="S36" t="s">
        <v>89</v>
      </c>
      <c r="T36">
        <v>1</v>
      </c>
      <c r="U36" t="s">
        <v>142</v>
      </c>
      <c r="V36" t="s">
        <v>90</v>
      </c>
      <c r="W36" t="s">
        <v>91</v>
      </c>
      <c r="X36" t="s">
        <v>92</v>
      </c>
      <c r="Y36" t="s">
        <v>90</v>
      </c>
      <c r="Z36" t="s">
        <v>93</v>
      </c>
      <c r="AA36" t="s">
        <v>93</v>
      </c>
      <c r="AB36" t="s">
        <v>90</v>
      </c>
      <c r="AC36" t="s">
        <v>89</v>
      </c>
      <c r="AD36" t="s">
        <v>40</v>
      </c>
      <c r="AE36" t="s">
        <v>41</v>
      </c>
      <c r="AF36" t="s">
        <v>95</v>
      </c>
      <c r="AG36" t="s">
        <v>92</v>
      </c>
      <c r="AH36" t="s">
        <v>43</v>
      </c>
      <c r="AI36" t="str">
        <f t="shared" si="2"/>
        <v>Other</v>
      </c>
    </row>
    <row r="37" spans="1:35" x14ac:dyDescent="0.3">
      <c r="A37" t="str">
        <f>VLOOKUP(Q37,regions_fabio!$A$2:$C$192,3,0)</f>
        <v>BEN</v>
      </c>
      <c r="B37" t="str">
        <f>IFERROR(VLOOKUP(A37,polities_whep!$A$1:$G$199,2,0),"")</f>
        <v>Benin</v>
      </c>
      <c r="C37">
        <v>53</v>
      </c>
      <c r="D37">
        <v>53</v>
      </c>
      <c r="E37" t="s">
        <v>143</v>
      </c>
      <c r="F37" t="str">
        <f>VLOOKUP(D37,FAO_areas!$A$2:$C$246,3,0)</f>
        <v>Benin</v>
      </c>
      <c r="G37" t="s">
        <v>32</v>
      </c>
      <c r="H37" t="s">
        <v>144</v>
      </c>
      <c r="I37" t="s">
        <v>144</v>
      </c>
      <c r="J37" t="s">
        <v>144</v>
      </c>
      <c r="K37">
        <v>53</v>
      </c>
      <c r="L37" t="s">
        <v>144</v>
      </c>
      <c r="M37">
        <v>204</v>
      </c>
      <c r="N37">
        <v>204</v>
      </c>
      <c r="O37">
        <v>6</v>
      </c>
      <c r="P37" t="s">
        <v>34</v>
      </c>
      <c r="Q37">
        <v>53</v>
      </c>
      <c r="R37" t="s">
        <v>1552</v>
      </c>
      <c r="S37" t="s">
        <v>145</v>
      </c>
      <c r="T37">
        <v>1</v>
      </c>
      <c r="U37" t="s">
        <v>144</v>
      </c>
      <c r="V37" t="s">
        <v>80</v>
      </c>
      <c r="W37" t="s">
        <v>81</v>
      </c>
      <c r="X37" t="s">
        <v>82</v>
      </c>
      <c r="Y37" t="s">
        <v>83</v>
      </c>
      <c r="Z37" t="s">
        <v>60</v>
      </c>
      <c r="AA37" t="s">
        <v>60</v>
      </c>
      <c r="AB37" t="s">
        <v>83</v>
      </c>
      <c r="AC37" t="s">
        <v>145</v>
      </c>
      <c r="AD37" t="s">
        <v>40</v>
      </c>
      <c r="AE37" t="s">
        <v>41</v>
      </c>
      <c r="AF37" t="s">
        <v>145</v>
      </c>
      <c r="AG37" t="s">
        <v>86</v>
      </c>
      <c r="AH37" t="s">
        <v>43</v>
      </c>
      <c r="AI37" t="str">
        <f t="shared" si="2"/>
        <v>Other</v>
      </c>
    </row>
    <row r="38" spans="1:35" x14ac:dyDescent="0.3">
      <c r="A38" t="str">
        <f>VLOOKUP(Q38,regions_fabio!$A$2:$C$192,3,0)</f>
        <v>BOL</v>
      </c>
      <c r="B38" t="str">
        <f>IFERROR(VLOOKUP(A38,polities_whep!$A$1:$G$199,2,0),"")</f>
        <v>Bolivia</v>
      </c>
      <c r="C38">
        <v>19</v>
      </c>
      <c r="D38">
        <v>19</v>
      </c>
      <c r="E38" t="s">
        <v>152</v>
      </c>
      <c r="F38" t="str">
        <f>VLOOKUP(D38,FAO_areas!$A$2:$C$246,3,0)</f>
        <v>Bolivia (Plurinational State of)</v>
      </c>
      <c r="G38" t="s">
        <v>32</v>
      </c>
      <c r="H38" t="s">
        <v>153</v>
      </c>
      <c r="I38" t="s">
        <v>153</v>
      </c>
      <c r="J38" t="s">
        <v>153</v>
      </c>
      <c r="K38">
        <v>19</v>
      </c>
      <c r="L38" t="s">
        <v>153</v>
      </c>
      <c r="M38">
        <v>68</v>
      </c>
      <c r="N38">
        <v>68</v>
      </c>
      <c r="O38">
        <v>4</v>
      </c>
      <c r="P38" t="s">
        <v>34</v>
      </c>
      <c r="Q38">
        <v>19</v>
      </c>
      <c r="R38" t="s">
        <v>1552</v>
      </c>
      <c r="S38" t="s">
        <v>103</v>
      </c>
      <c r="T38">
        <v>1</v>
      </c>
      <c r="U38" t="s">
        <v>154</v>
      </c>
      <c r="V38" t="s">
        <v>90</v>
      </c>
      <c r="W38" t="s">
        <v>91</v>
      </c>
      <c r="X38" t="s">
        <v>92</v>
      </c>
      <c r="Y38" t="s">
        <v>90</v>
      </c>
      <c r="Z38" t="s">
        <v>93</v>
      </c>
      <c r="AA38" t="s">
        <v>93</v>
      </c>
      <c r="AB38" t="s">
        <v>90</v>
      </c>
      <c r="AC38" t="s">
        <v>103</v>
      </c>
      <c r="AD38" t="s">
        <v>40</v>
      </c>
      <c r="AE38" t="s">
        <v>41</v>
      </c>
      <c r="AF38" t="s">
        <v>155</v>
      </c>
      <c r="AG38" t="s">
        <v>92</v>
      </c>
      <c r="AH38" t="s">
        <v>43</v>
      </c>
      <c r="AI38" t="str">
        <f t="shared" si="2"/>
        <v>Other</v>
      </c>
    </row>
    <row r="39" spans="1:35" x14ac:dyDescent="0.3">
      <c r="A39" t="str">
        <f>VLOOKUP(Q39,regions_fabio!$A$2:$C$192,3,0)</f>
        <v>BIH</v>
      </c>
      <c r="B39" t="str">
        <f>IFERROR(VLOOKUP(A39,polities_whep!$A$1:$G$199,2,0),"")</f>
        <v>Bosnia and Herzegovina</v>
      </c>
      <c r="C39">
        <v>77</v>
      </c>
      <c r="D39">
        <v>80</v>
      </c>
      <c r="E39" t="s">
        <v>156</v>
      </c>
      <c r="F39" t="str">
        <f>VLOOKUP(D39,FAO_areas!$A$2:$C$246,3,0)</f>
        <v>Bosnia and Herzegovina</v>
      </c>
      <c r="G39" t="s">
        <v>32</v>
      </c>
      <c r="H39" t="s">
        <v>157</v>
      </c>
      <c r="I39" t="s">
        <v>157</v>
      </c>
      <c r="J39" t="s">
        <v>157</v>
      </c>
      <c r="K39">
        <v>80</v>
      </c>
      <c r="L39" t="s">
        <v>157</v>
      </c>
      <c r="M39">
        <v>70</v>
      </c>
      <c r="N39">
        <v>70</v>
      </c>
      <c r="O39">
        <v>10</v>
      </c>
      <c r="P39" t="s">
        <v>34</v>
      </c>
      <c r="Q39">
        <v>80</v>
      </c>
      <c r="R39" t="s">
        <v>1552</v>
      </c>
      <c r="S39" t="s">
        <v>46</v>
      </c>
      <c r="T39">
        <v>1</v>
      </c>
      <c r="U39" t="s">
        <v>157</v>
      </c>
      <c r="V39" t="s">
        <v>47</v>
      </c>
      <c r="W39" t="s">
        <v>48</v>
      </c>
      <c r="X39" t="s">
        <v>49</v>
      </c>
      <c r="Y39" t="s">
        <v>50</v>
      </c>
      <c r="Z39" t="s">
        <v>49</v>
      </c>
      <c r="AA39" t="s">
        <v>51</v>
      </c>
      <c r="AB39" t="s">
        <v>52</v>
      </c>
      <c r="AC39" t="s">
        <v>50</v>
      </c>
      <c r="AD39" t="s">
        <v>40</v>
      </c>
      <c r="AE39" t="s">
        <v>41</v>
      </c>
      <c r="AF39" t="s">
        <v>50</v>
      </c>
      <c r="AG39" t="s">
        <v>49</v>
      </c>
      <c r="AH39" t="s">
        <v>53</v>
      </c>
      <c r="AI39" t="str">
        <f t="shared" si="2"/>
        <v>Europe</v>
      </c>
    </row>
    <row r="40" spans="1:35" x14ac:dyDescent="0.3">
      <c r="A40" t="str">
        <f>VLOOKUP(Q40,regions_fabio!$A$2:$C$192,3,0)</f>
        <v>BWA</v>
      </c>
      <c r="B40" t="str">
        <f>IFERROR(VLOOKUP(A40,polities_whep!$A$1:$G$199,2,0),"")</f>
        <v>Botswana</v>
      </c>
      <c r="C40">
        <v>20</v>
      </c>
      <c r="D40">
        <v>20</v>
      </c>
      <c r="E40" t="s">
        <v>158</v>
      </c>
      <c r="F40" t="str">
        <f>VLOOKUP(D40,FAO_areas!$A$2:$C$246,3,0)</f>
        <v>Botswana</v>
      </c>
      <c r="G40" t="s">
        <v>32</v>
      </c>
      <c r="H40" t="s">
        <v>159</v>
      </c>
      <c r="I40" t="s">
        <v>159</v>
      </c>
      <c r="J40" t="s">
        <v>159</v>
      </c>
      <c r="K40">
        <v>20</v>
      </c>
      <c r="L40" t="s">
        <v>159</v>
      </c>
      <c r="M40">
        <v>72</v>
      </c>
      <c r="N40">
        <v>72</v>
      </c>
      <c r="O40">
        <v>8</v>
      </c>
      <c r="P40" t="s">
        <v>34</v>
      </c>
      <c r="Q40">
        <v>20</v>
      </c>
      <c r="R40" t="s">
        <v>1552</v>
      </c>
      <c r="S40" t="s">
        <v>79</v>
      </c>
      <c r="T40">
        <v>1</v>
      </c>
      <c r="U40" t="s">
        <v>159</v>
      </c>
      <c r="V40" t="s">
        <v>80</v>
      </c>
      <c r="W40" t="s">
        <v>81</v>
      </c>
      <c r="X40" t="s">
        <v>82</v>
      </c>
      <c r="Y40" t="s">
        <v>83</v>
      </c>
      <c r="Z40" t="s">
        <v>60</v>
      </c>
      <c r="AA40" t="s">
        <v>60</v>
      </c>
      <c r="AB40" t="s">
        <v>83</v>
      </c>
      <c r="AC40" t="s">
        <v>79</v>
      </c>
      <c r="AD40" t="s">
        <v>40</v>
      </c>
      <c r="AE40" t="s">
        <v>41</v>
      </c>
      <c r="AF40" t="s">
        <v>79</v>
      </c>
      <c r="AG40" t="s">
        <v>86</v>
      </c>
      <c r="AH40" t="s">
        <v>53</v>
      </c>
      <c r="AI40" t="str">
        <f t="shared" si="2"/>
        <v>Other</v>
      </c>
    </row>
    <row r="41" spans="1:35" x14ac:dyDescent="0.3">
      <c r="A41" t="str">
        <f>VLOOKUP(Q41,regions_fabio!$A$2:$C$192,3,0)</f>
        <v>BRA</v>
      </c>
      <c r="B41" t="str">
        <f>IFERROR(VLOOKUP(A41,polities_whep!$A$1:$G$199,2,0),"")</f>
        <v>Brazil</v>
      </c>
      <c r="C41">
        <v>21</v>
      </c>
      <c r="D41">
        <v>21</v>
      </c>
      <c r="E41" t="s">
        <v>162</v>
      </c>
      <c r="F41" t="str">
        <f>VLOOKUP(D41,FAO_areas!$A$2:$C$246,3,0)</f>
        <v>Brazil</v>
      </c>
      <c r="G41" t="s">
        <v>32</v>
      </c>
      <c r="H41" t="s">
        <v>163</v>
      </c>
      <c r="I41" t="s">
        <v>163</v>
      </c>
      <c r="J41" t="s">
        <v>163</v>
      </c>
      <c r="K41">
        <v>21</v>
      </c>
      <c r="L41" t="s">
        <v>163</v>
      </c>
      <c r="M41">
        <v>76</v>
      </c>
      <c r="N41">
        <v>76</v>
      </c>
      <c r="O41">
        <v>4</v>
      </c>
      <c r="P41" t="s">
        <v>34</v>
      </c>
      <c r="Q41">
        <v>21</v>
      </c>
      <c r="R41" t="s">
        <v>1552</v>
      </c>
      <c r="S41" t="s">
        <v>103</v>
      </c>
      <c r="T41">
        <v>1</v>
      </c>
      <c r="U41" t="s">
        <v>163</v>
      </c>
      <c r="V41" t="s">
        <v>90</v>
      </c>
      <c r="W41" t="s">
        <v>91</v>
      </c>
      <c r="X41" t="s">
        <v>92</v>
      </c>
      <c r="Y41" t="s">
        <v>90</v>
      </c>
      <c r="Z41" t="s">
        <v>93</v>
      </c>
      <c r="AA41" t="s">
        <v>93</v>
      </c>
      <c r="AB41" t="s">
        <v>90</v>
      </c>
      <c r="AC41" t="s">
        <v>103</v>
      </c>
      <c r="AD41" t="s">
        <v>40</v>
      </c>
      <c r="AE41" t="s">
        <v>41</v>
      </c>
      <c r="AF41" t="s">
        <v>104</v>
      </c>
      <c r="AG41" t="s">
        <v>92</v>
      </c>
      <c r="AH41" t="s">
        <v>53</v>
      </c>
      <c r="AI41" t="str">
        <f t="shared" si="2"/>
        <v>Other</v>
      </c>
    </row>
    <row r="42" spans="1:35" x14ac:dyDescent="0.3">
      <c r="A42" t="str">
        <f>VLOOKUP(Q42,regions_fabio!$A$2:$C$192,3,0)</f>
        <v>BRN</v>
      </c>
      <c r="B42" t="str">
        <f>IFERROR(VLOOKUP(A42,polities_whep!$A$1:$G$199,2,0),"")</f>
        <v>Brunei Darussalam</v>
      </c>
      <c r="C42">
        <v>26</v>
      </c>
      <c r="D42">
        <v>26</v>
      </c>
      <c r="E42" t="s">
        <v>169</v>
      </c>
      <c r="F42" t="str">
        <f>VLOOKUP(D42,FAO_areas!$A$2:$C$246,3,0)</f>
        <v>Brunei Darussalam</v>
      </c>
      <c r="G42" t="s">
        <v>32</v>
      </c>
      <c r="H42" t="s">
        <v>170</v>
      </c>
      <c r="I42" t="s">
        <v>171</v>
      </c>
      <c r="J42" t="s">
        <v>170</v>
      </c>
      <c r="K42">
        <v>26</v>
      </c>
      <c r="L42" t="s">
        <v>170</v>
      </c>
      <c r="M42">
        <v>96</v>
      </c>
      <c r="N42">
        <v>96</v>
      </c>
      <c r="O42">
        <v>15</v>
      </c>
      <c r="P42" t="s">
        <v>34</v>
      </c>
      <c r="Q42">
        <v>26</v>
      </c>
      <c r="R42" t="s">
        <v>1552</v>
      </c>
      <c r="S42" t="s">
        <v>172</v>
      </c>
      <c r="T42">
        <v>1</v>
      </c>
      <c r="U42" t="s">
        <v>170</v>
      </c>
      <c r="V42" t="s">
        <v>173</v>
      </c>
      <c r="W42" t="s">
        <v>37</v>
      </c>
      <c r="X42" t="s">
        <v>174</v>
      </c>
      <c r="Y42" t="s">
        <v>175</v>
      </c>
      <c r="Z42" t="s">
        <v>38</v>
      </c>
      <c r="AA42" t="s">
        <v>39</v>
      </c>
      <c r="AB42" t="s">
        <v>67</v>
      </c>
      <c r="AC42" t="s">
        <v>176</v>
      </c>
      <c r="AD42" t="s">
        <v>40</v>
      </c>
      <c r="AE42" t="s">
        <v>41</v>
      </c>
      <c r="AF42" t="s">
        <v>175</v>
      </c>
      <c r="AG42" t="s">
        <v>42</v>
      </c>
      <c r="AH42" t="s">
        <v>43</v>
      </c>
      <c r="AI42" t="str">
        <f t="shared" si="2"/>
        <v>Other</v>
      </c>
    </row>
    <row r="43" spans="1:35" x14ac:dyDescent="0.3">
      <c r="A43" t="str">
        <f>VLOOKUP(Q43,regions_fabio!$A$2:$C$192,3,0)</f>
        <v>BGR</v>
      </c>
      <c r="B43" t="str">
        <f>IFERROR(VLOOKUP(A43,polities_whep!$A$1:$G$199,2,0),"")</f>
        <v>Bulgaria</v>
      </c>
      <c r="C43">
        <v>27</v>
      </c>
      <c r="D43">
        <v>27</v>
      </c>
      <c r="E43" t="s">
        <v>177</v>
      </c>
      <c r="F43" t="str">
        <f>VLOOKUP(D43,FAO_areas!$A$2:$C$246,3,0)</f>
        <v>Bulgaria</v>
      </c>
      <c r="G43" t="s">
        <v>34</v>
      </c>
      <c r="H43" t="s">
        <v>178</v>
      </c>
      <c r="I43" t="s">
        <v>178</v>
      </c>
      <c r="J43" t="s">
        <v>178</v>
      </c>
      <c r="K43">
        <v>27</v>
      </c>
      <c r="L43" t="s">
        <v>178</v>
      </c>
      <c r="M43">
        <v>100</v>
      </c>
      <c r="N43">
        <v>100</v>
      </c>
      <c r="O43">
        <v>10</v>
      </c>
      <c r="P43" t="s">
        <v>34</v>
      </c>
      <c r="Q43">
        <v>27</v>
      </c>
      <c r="R43" t="s">
        <v>5041</v>
      </c>
      <c r="S43" t="s">
        <v>46</v>
      </c>
      <c r="T43">
        <v>1</v>
      </c>
      <c r="U43" t="s">
        <v>178</v>
      </c>
      <c r="V43" t="s">
        <v>47</v>
      </c>
      <c r="W43" t="s">
        <v>48</v>
      </c>
      <c r="X43" t="s">
        <v>49</v>
      </c>
      <c r="Y43" t="s">
        <v>46</v>
      </c>
      <c r="Z43" t="s">
        <v>49</v>
      </c>
      <c r="AA43" t="s">
        <v>51</v>
      </c>
      <c r="AB43" t="s">
        <v>46</v>
      </c>
      <c r="AC43" t="s">
        <v>46</v>
      </c>
      <c r="AD43" t="s">
        <v>40</v>
      </c>
      <c r="AE43" t="s">
        <v>118</v>
      </c>
      <c r="AF43" t="s">
        <v>46</v>
      </c>
      <c r="AG43" t="s">
        <v>49</v>
      </c>
      <c r="AH43" t="s">
        <v>53</v>
      </c>
      <c r="AI43" t="str">
        <f t="shared" si="2"/>
        <v>Europe</v>
      </c>
    </row>
    <row r="44" spans="1:35" x14ac:dyDescent="0.3">
      <c r="A44" t="str">
        <f>VLOOKUP(Q44,regions_fabio!$A$2:$C$192,3,0)</f>
        <v>BFA</v>
      </c>
      <c r="B44" t="str">
        <f>IFERROR(VLOOKUP(A44,polities_whep!$A$1:$G$199,2,0),"")</f>
        <v>Burkina Faso</v>
      </c>
      <c r="C44">
        <v>229</v>
      </c>
      <c r="D44">
        <v>233</v>
      </c>
      <c r="E44" t="s">
        <v>179</v>
      </c>
      <c r="F44" t="str">
        <f>VLOOKUP(D44,FAO_areas!$A$2:$C$246,3,0)</f>
        <v>Burkina Faso</v>
      </c>
      <c r="G44" t="s">
        <v>32</v>
      </c>
      <c r="H44" t="s">
        <v>180</v>
      </c>
      <c r="I44" t="s">
        <v>180</v>
      </c>
      <c r="K44">
        <v>233</v>
      </c>
      <c r="L44" t="s">
        <v>180</v>
      </c>
      <c r="M44">
        <v>854</v>
      </c>
      <c r="N44">
        <v>854</v>
      </c>
      <c r="O44">
        <v>6</v>
      </c>
      <c r="P44" t="s">
        <v>34</v>
      </c>
      <c r="Q44">
        <v>233</v>
      </c>
      <c r="R44" t="s">
        <v>1552</v>
      </c>
      <c r="S44" t="s">
        <v>145</v>
      </c>
      <c r="T44">
        <v>1</v>
      </c>
      <c r="U44" t="s">
        <v>180</v>
      </c>
      <c r="V44" t="s">
        <v>80</v>
      </c>
      <c r="W44" t="s">
        <v>81</v>
      </c>
      <c r="X44" t="s">
        <v>82</v>
      </c>
      <c r="Y44" t="s">
        <v>83</v>
      </c>
      <c r="Z44" t="s">
        <v>60</v>
      </c>
      <c r="AA44" t="s">
        <v>60</v>
      </c>
      <c r="AB44" t="s">
        <v>83</v>
      </c>
      <c r="AC44" t="s">
        <v>145</v>
      </c>
      <c r="AD44" t="s">
        <v>40</v>
      </c>
      <c r="AE44" t="s">
        <v>41</v>
      </c>
      <c r="AF44" t="s">
        <v>145</v>
      </c>
      <c r="AG44" t="s">
        <v>86</v>
      </c>
      <c r="AH44" t="s">
        <v>43</v>
      </c>
      <c r="AI44" t="str">
        <f t="shared" si="2"/>
        <v>Other</v>
      </c>
    </row>
    <row r="45" spans="1:35" x14ac:dyDescent="0.3">
      <c r="A45" t="str">
        <f>VLOOKUP(Q45,regions_fabio!$A$2:$C$192,3,0)</f>
        <v>BDI</v>
      </c>
      <c r="B45" t="str">
        <f>IFERROR(VLOOKUP(A45,polities_whep!$A$1:$G$199,2,0),"")</f>
        <v>Burundi</v>
      </c>
      <c r="C45">
        <v>29</v>
      </c>
      <c r="D45">
        <v>29</v>
      </c>
      <c r="E45" t="s">
        <v>181</v>
      </c>
      <c r="F45" t="str">
        <f>VLOOKUP(D45,FAO_areas!$A$2:$C$246,3,0)</f>
        <v>Burundi</v>
      </c>
      <c r="G45" t="s">
        <v>32</v>
      </c>
      <c r="H45" t="s">
        <v>182</v>
      </c>
      <c r="I45" t="s">
        <v>182</v>
      </c>
      <c r="K45">
        <v>29</v>
      </c>
      <c r="L45" t="s">
        <v>182</v>
      </c>
      <c r="M45">
        <v>108</v>
      </c>
      <c r="N45">
        <v>108</v>
      </c>
      <c r="O45">
        <v>7</v>
      </c>
      <c r="P45" t="s">
        <v>34</v>
      </c>
      <c r="Q45">
        <v>29</v>
      </c>
      <c r="R45" t="s">
        <v>1552</v>
      </c>
      <c r="S45" t="s">
        <v>183</v>
      </c>
      <c r="T45">
        <v>1</v>
      </c>
      <c r="U45" t="s">
        <v>182</v>
      </c>
      <c r="V45" t="s">
        <v>80</v>
      </c>
      <c r="W45" t="s">
        <v>81</v>
      </c>
      <c r="X45" t="s">
        <v>82</v>
      </c>
      <c r="Y45" t="s">
        <v>83</v>
      </c>
      <c r="Z45" t="s">
        <v>60</v>
      </c>
      <c r="AA45" t="s">
        <v>60</v>
      </c>
      <c r="AB45" t="s">
        <v>83</v>
      </c>
      <c r="AC45" t="s">
        <v>183</v>
      </c>
      <c r="AD45" t="s">
        <v>40</v>
      </c>
      <c r="AE45" t="s">
        <v>41</v>
      </c>
      <c r="AF45" t="s">
        <v>183</v>
      </c>
      <c r="AG45" t="s">
        <v>86</v>
      </c>
      <c r="AH45" t="s">
        <v>43</v>
      </c>
      <c r="AI45" t="str">
        <f t="shared" si="2"/>
        <v>Other</v>
      </c>
    </row>
    <row r="46" spans="1:35" x14ac:dyDescent="0.3">
      <c r="A46" t="str">
        <f>VLOOKUP(Q46,regions_fabio!$A$2:$C$192,3,0)</f>
        <v>CPV</v>
      </c>
      <c r="B46" t="str">
        <f>IFERROR(VLOOKUP(A46,polities_whep!$A$1:$G$199,2,0),"")</f>
        <v>Cabo Verde</v>
      </c>
      <c r="C46">
        <v>35</v>
      </c>
      <c r="D46">
        <v>35</v>
      </c>
      <c r="E46" t="s">
        <v>184</v>
      </c>
      <c r="F46" t="str">
        <f>VLOOKUP(D46,FAO_areas!$A$2:$C$246,3,0)</f>
        <v>Cabo Verde</v>
      </c>
      <c r="G46" t="s">
        <v>32</v>
      </c>
      <c r="H46" t="s">
        <v>185</v>
      </c>
      <c r="I46" t="s">
        <v>186</v>
      </c>
      <c r="K46">
        <v>35</v>
      </c>
      <c r="L46" t="s">
        <v>186</v>
      </c>
      <c r="M46">
        <v>132</v>
      </c>
      <c r="N46">
        <v>132</v>
      </c>
      <c r="O46">
        <v>6</v>
      </c>
      <c r="P46" t="s">
        <v>34</v>
      </c>
      <c r="Q46">
        <v>35</v>
      </c>
      <c r="R46" t="s">
        <v>1552</v>
      </c>
      <c r="S46" t="s">
        <v>145</v>
      </c>
      <c r="T46">
        <v>1</v>
      </c>
      <c r="U46" t="s">
        <v>186</v>
      </c>
      <c r="V46" t="s">
        <v>80</v>
      </c>
      <c r="W46" t="s">
        <v>81</v>
      </c>
      <c r="X46" t="s">
        <v>82</v>
      </c>
      <c r="Y46" t="s">
        <v>83</v>
      </c>
      <c r="Z46" t="s">
        <v>60</v>
      </c>
      <c r="AA46" t="s">
        <v>60</v>
      </c>
      <c r="AB46" t="s">
        <v>83</v>
      </c>
      <c r="AC46" t="s">
        <v>145</v>
      </c>
      <c r="AD46" t="s">
        <v>40</v>
      </c>
      <c r="AE46" t="s">
        <v>41</v>
      </c>
      <c r="AF46" t="s">
        <v>145</v>
      </c>
      <c r="AG46" t="s">
        <v>86</v>
      </c>
      <c r="AH46" t="s">
        <v>43</v>
      </c>
      <c r="AI46" t="str">
        <f t="shared" si="2"/>
        <v>Other</v>
      </c>
    </row>
    <row r="47" spans="1:35" x14ac:dyDescent="0.3">
      <c r="A47" t="str">
        <f>VLOOKUP(Q47,regions_fabio!$A$2:$C$192,3,0)</f>
        <v>KHM</v>
      </c>
      <c r="B47" t="str">
        <f>IFERROR(VLOOKUP(A47,polities_whep!$A$1:$G$199,2,0),"")</f>
        <v>Cambodia</v>
      </c>
      <c r="C47">
        <v>112</v>
      </c>
      <c r="D47">
        <v>115</v>
      </c>
      <c r="E47" t="s">
        <v>187</v>
      </c>
      <c r="F47" t="str">
        <f>VLOOKUP(D47,FAO_areas!$A$2:$C$246,3,0)</f>
        <v>Cambodia</v>
      </c>
      <c r="G47" t="s">
        <v>32</v>
      </c>
      <c r="H47" t="s">
        <v>188</v>
      </c>
      <c r="I47" t="s">
        <v>188</v>
      </c>
      <c r="J47" t="s">
        <v>188</v>
      </c>
      <c r="K47">
        <v>115</v>
      </c>
      <c r="L47" t="s">
        <v>188</v>
      </c>
      <c r="M47">
        <v>116</v>
      </c>
      <c r="N47">
        <v>116</v>
      </c>
      <c r="O47">
        <v>15</v>
      </c>
      <c r="P47" t="s">
        <v>34</v>
      </c>
      <c r="Q47">
        <v>115</v>
      </c>
      <c r="R47" t="s">
        <v>1552</v>
      </c>
      <c r="S47" t="s">
        <v>172</v>
      </c>
      <c r="T47">
        <v>1</v>
      </c>
      <c r="U47" t="s">
        <v>188</v>
      </c>
      <c r="V47" t="s">
        <v>173</v>
      </c>
      <c r="W47" t="s">
        <v>37</v>
      </c>
      <c r="X47" t="s">
        <v>174</v>
      </c>
      <c r="Y47" t="s">
        <v>175</v>
      </c>
      <c r="Z47" t="s">
        <v>38</v>
      </c>
      <c r="AA47" t="s">
        <v>39</v>
      </c>
      <c r="AB47" t="s">
        <v>67</v>
      </c>
      <c r="AC47" t="s">
        <v>176</v>
      </c>
      <c r="AD47" t="s">
        <v>40</v>
      </c>
      <c r="AE47" t="s">
        <v>41</v>
      </c>
      <c r="AF47" t="s">
        <v>175</v>
      </c>
      <c r="AG47" t="s">
        <v>42</v>
      </c>
      <c r="AH47" t="s">
        <v>43</v>
      </c>
      <c r="AI47" t="str">
        <f t="shared" si="2"/>
        <v>Other</v>
      </c>
    </row>
    <row r="48" spans="1:35" x14ac:dyDescent="0.3">
      <c r="A48" t="str">
        <f>VLOOKUP(Q48,regions_fabio!$A$2:$C$192,3,0)</f>
        <v>CMR</v>
      </c>
      <c r="B48" t="str">
        <f>IFERROR(VLOOKUP(A48,polities_whep!$A$1:$G$199,2,0),"")</f>
        <v>Cameroon</v>
      </c>
      <c r="C48">
        <v>32</v>
      </c>
      <c r="D48">
        <v>32</v>
      </c>
      <c r="E48" t="s">
        <v>189</v>
      </c>
      <c r="F48" t="str">
        <f>VLOOKUP(D48,FAO_areas!$A$2:$C$246,3,0)</f>
        <v>Cameroon</v>
      </c>
      <c r="G48" t="s">
        <v>32</v>
      </c>
      <c r="H48" t="s">
        <v>190</v>
      </c>
      <c r="I48" t="s">
        <v>190</v>
      </c>
      <c r="J48" t="s">
        <v>190</v>
      </c>
      <c r="K48">
        <v>32</v>
      </c>
      <c r="L48" t="s">
        <v>190</v>
      </c>
      <c r="M48">
        <v>120</v>
      </c>
      <c r="N48">
        <v>120</v>
      </c>
      <c r="O48">
        <v>6</v>
      </c>
      <c r="P48" t="s">
        <v>34</v>
      </c>
      <c r="Q48">
        <v>32</v>
      </c>
      <c r="R48" t="s">
        <v>1552</v>
      </c>
      <c r="S48" t="s">
        <v>145</v>
      </c>
      <c r="T48">
        <v>1</v>
      </c>
      <c r="U48" t="s">
        <v>190</v>
      </c>
      <c r="V48" t="s">
        <v>80</v>
      </c>
      <c r="W48" t="s">
        <v>81</v>
      </c>
      <c r="X48" t="s">
        <v>82</v>
      </c>
      <c r="Y48" t="s">
        <v>83</v>
      </c>
      <c r="Z48" t="s">
        <v>60</v>
      </c>
      <c r="AA48" t="s">
        <v>60</v>
      </c>
      <c r="AB48" t="s">
        <v>83</v>
      </c>
      <c r="AC48" t="s">
        <v>84</v>
      </c>
      <c r="AD48" t="s">
        <v>40</v>
      </c>
      <c r="AE48" t="s">
        <v>41</v>
      </c>
      <c r="AF48" t="s">
        <v>85</v>
      </c>
      <c r="AG48" t="s">
        <v>86</v>
      </c>
      <c r="AH48" t="s">
        <v>43</v>
      </c>
      <c r="AI48" t="str">
        <f t="shared" si="2"/>
        <v>Other</v>
      </c>
    </row>
    <row r="49" spans="1:35" x14ac:dyDescent="0.3">
      <c r="A49" t="str">
        <f>VLOOKUP(Q49,regions_fabio!$A$2:$C$192,3,0)</f>
        <v>CAN</v>
      </c>
      <c r="B49" t="str">
        <f>IFERROR(VLOOKUP(A49,polities_whep!$A$1:$G$199,2,0),"")</f>
        <v>Canada</v>
      </c>
      <c r="C49">
        <v>33</v>
      </c>
      <c r="D49">
        <v>33</v>
      </c>
      <c r="E49" t="s">
        <v>191</v>
      </c>
      <c r="F49" t="str">
        <f>VLOOKUP(D49,FAO_areas!$A$2:$C$246,3,0)</f>
        <v>Canada</v>
      </c>
      <c r="G49" t="s">
        <v>32</v>
      </c>
      <c r="H49" t="s">
        <v>192</v>
      </c>
      <c r="I49" t="s">
        <v>192</v>
      </c>
      <c r="J49" t="s">
        <v>192</v>
      </c>
      <c r="K49">
        <v>33</v>
      </c>
      <c r="L49" t="s">
        <v>192</v>
      </c>
      <c r="M49">
        <v>124</v>
      </c>
      <c r="N49">
        <v>124</v>
      </c>
      <c r="O49">
        <v>1</v>
      </c>
      <c r="P49" t="s">
        <v>34</v>
      </c>
      <c r="Q49">
        <v>33</v>
      </c>
      <c r="R49" t="s">
        <v>1552</v>
      </c>
      <c r="S49" t="s">
        <v>192</v>
      </c>
      <c r="T49">
        <v>1</v>
      </c>
      <c r="U49" t="s">
        <v>192</v>
      </c>
      <c r="V49" t="s">
        <v>148</v>
      </c>
      <c r="W49" t="s">
        <v>65</v>
      </c>
      <c r="X49" t="s">
        <v>148</v>
      </c>
      <c r="Y49" t="s">
        <v>148</v>
      </c>
      <c r="Z49" t="s">
        <v>93</v>
      </c>
      <c r="AA49" t="s">
        <v>93</v>
      </c>
      <c r="AB49" t="s">
        <v>148</v>
      </c>
      <c r="AC49" t="s">
        <v>148</v>
      </c>
      <c r="AD49" t="s">
        <v>117</v>
      </c>
      <c r="AE49" t="s">
        <v>118</v>
      </c>
      <c r="AF49" t="s">
        <v>148</v>
      </c>
      <c r="AG49" t="s">
        <v>149</v>
      </c>
      <c r="AH49" t="s">
        <v>53</v>
      </c>
      <c r="AI49" t="str">
        <f t="shared" si="2"/>
        <v>Other</v>
      </c>
    </row>
    <row r="50" spans="1:35" x14ac:dyDescent="0.3">
      <c r="A50" t="str">
        <f>VLOOKUP(Q50,regions_fabio!$A$2:$C$192,3,0)</f>
        <v>CAF</v>
      </c>
      <c r="B50" t="str">
        <f>IFERROR(VLOOKUP(A50,polities_whep!$A$1:$G$199,2,0),"")</f>
        <v>Central African Republic</v>
      </c>
      <c r="C50">
        <v>37</v>
      </c>
      <c r="D50">
        <v>37</v>
      </c>
      <c r="E50" t="s">
        <v>197</v>
      </c>
      <c r="F50" t="str">
        <f>VLOOKUP(D50,FAO_areas!$A$2:$C$246,3,0)</f>
        <v>Central African Republic</v>
      </c>
      <c r="G50" t="s">
        <v>32</v>
      </c>
      <c r="H50" t="s">
        <v>198</v>
      </c>
      <c r="I50" t="s">
        <v>198</v>
      </c>
      <c r="K50">
        <v>37</v>
      </c>
      <c r="L50" t="s">
        <v>198</v>
      </c>
      <c r="M50">
        <v>140</v>
      </c>
      <c r="N50">
        <v>140</v>
      </c>
      <c r="O50">
        <v>6</v>
      </c>
      <c r="P50" t="s">
        <v>34</v>
      </c>
      <c r="Q50">
        <v>37</v>
      </c>
      <c r="R50" t="s">
        <v>1552</v>
      </c>
      <c r="S50" t="s">
        <v>145</v>
      </c>
      <c r="T50">
        <v>1</v>
      </c>
      <c r="U50" t="s">
        <v>198</v>
      </c>
      <c r="V50" t="s">
        <v>80</v>
      </c>
      <c r="W50" t="s">
        <v>81</v>
      </c>
      <c r="X50" t="s">
        <v>82</v>
      </c>
      <c r="Y50" t="s">
        <v>83</v>
      </c>
      <c r="Z50" t="s">
        <v>60</v>
      </c>
      <c r="AA50" t="s">
        <v>60</v>
      </c>
      <c r="AB50" t="s">
        <v>83</v>
      </c>
      <c r="AC50" t="s">
        <v>84</v>
      </c>
      <c r="AD50" t="s">
        <v>40</v>
      </c>
      <c r="AE50" t="s">
        <v>41</v>
      </c>
      <c r="AF50" t="s">
        <v>85</v>
      </c>
      <c r="AG50" t="s">
        <v>86</v>
      </c>
      <c r="AH50" t="s">
        <v>43</v>
      </c>
      <c r="AI50" t="str">
        <f t="shared" si="2"/>
        <v>Other</v>
      </c>
    </row>
    <row r="51" spans="1:35" x14ac:dyDescent="0.3">
      <c r="A51" t="str">
        <f>VLOOKUP(Q51,regions_fabio!$A$2:$C$192,3,0)</f>
        <v>TCD</v>
      </c>
      <c r="B51" t="str">
        <f>IFERROR(VLOOKUP(A51,polities_whep!$A$1:$G$199,2,0),"")</f>
        <v>Chad</v>
      </c>
      <c r="C51">
        <v>39</v>
      </c>
      <c r="D51">
        <v>39</v>
      </c>
      <c r="E51" t="s">
        <v>199</v>
      </c>
      <c r="F51" t="str">
        <f>VLOOKUP(D51,FAO_areas!$A$2:$C$246,3,0)</f>
        <v>Chad</v>
      </c>
      <c r="G51" t="s">
        <v>32</v>
      </c>
      <c r="H51" t="s">
        <v>200</v>
      </c>
      <c r="I51" t="s">
        <v>200</v>
      </c>
      <c r="K51">
        <v>39</v>
      </c>
      <c r="L51" t="s">
        <v>200</v>
      </c>
      <c r="M51">
        <v>148</v>
      </c>
      <c r="N51">
        <v>148</v>
      </c>
      <c r="O51">
        <v>6</v>
      </c>
      <c r="P51" t="s">
        <v>34</v>
      </c>
      <c r="Q51">
        <v>39</v>
      </c>
      <c r="R51" t="s">
        <v>1552</v>
      </c>
      <c r="S51" t="s">
        <v>145</v>
      </c>
      <c r="T51">
        <v>1</v>
      </c>
      <c r="U51" t="s">
        <v>200</v>
      </c>
      <c r="V51" t="s">
        <v>80</v>
      </c>
      <c r="W51" t="s">
        <v>81</v>
      </c>
      <c r="X51" t="s">
        <v>82</v>
      </c>
      <c r="Y51" t="s">
        <v>83</v>
      </c>
      <c r="Z51" t="s">
        <v>60</v>
      </c>
      <c r="AA51" t="s">
        <v>60</v>
      </c>
      <c r="AB51" t="s">
        <v>83</v>
      </c>
      <c r="AC51" t="s">
        <v>84</v>
      </c>
      <c r="AD51" t="s">
        <v>40</v>
      </c>
      <c r="AE51" t="s">
        <v>41</v>
      </c>
      <c r="AF51" t="s">
        <v>85</v>
      </c>
      <c r="AG51" t="s">
        <v>86</v>
      </c>
      <c r="AH51" t="s">
        <v>43</v>
      </c>
      <c r="AI51" t="str">
        <f t="shared" si="2"/>
        <v>Other</v>
      </c>
    </row>
    <row r="52" spans="1:35" x14ac:dyDescent="0.3">
      <c r="A52" t="str">
        <f>VLOOKUP(Q52,regions_fabio!$A$2:$C$192,3,0)</f>
        <v>CHL</v>
      </c>
      <c r="B52" t="str">
        <f>IFERROR(VLOOKUP(A52,polities_whep!$A$1:$G$199,2,0),"")</f>
        <v>Chile</v>
      </c>
      <c r="C52">
        <v>40</v>
      </c>
      <c r="D52">
        <v>40</v>
      </c>
      <c r="E52" t="s">
        <v>201</v>
      </c>
      <c r="F52" t="str">
        <f>VLOOKUP(D52,FAO_areas!$A$2:$C$246,3,0)</f>
        <v>Chile</v>
      </c>
      <c r="G52" t="s">
        <v>32</v>
      </c>
      <c r="H52" t="s">
        <v>202</v>
      </c>
      <c r="I52" t="s">
        <v>202</v>
      </c>
      <c r="J52" t="s">
        <v>202</v>
      </c>
      <c r="K52">
        <v>40</v>
      </c>
      <c r="L52" t="s">
        <v>202</v>
      </c>
      <c r="M52">
        <v>152</v>
      </c>
      <c r="N52">
        <v>152</v>
      </c>
      <c r="O52">
        <v>4</v>
      </c>
      <c r="P52" t="s">
        <v>34</v>
      </c>
      <c r="Q52">
        <v>40</v>
      </c>
      <c r="R52" t="s">
        <v>1552</v>
      </c>
      <c r="S52" t="s">
        <v>103</v>
      </c>
      <c r="T52">
        <v>1</v>
      </c>
      <c r="U52" t="s">
        <v>202</v>
      </c>
      <c r="V52" t="s">
        <v>90</v>
      </c>
      <c r="W52" t="s">
        <v>91</v>
      </c>
      <c r="X52" t="s">
        <v>92</v>
      </c>
      <c r="Y52" t="s">
        <v>90</v>
      </c>
      <c r="Z52" t="s">
        <v>93</v>
      </c>
      <c r="AA52" t="s">
        <v>93</v>
      </c>
      <c r="AB52" t="s">
        <v>90</v>
      </c>
      <c r="AC52" t="s">
        <v>103</v>
      </c>
      <c r="AD52" t="s">
        <v>40</v>
      </c>
      <c r="AE52" t="s">
        <v>41</v>
      </c>
      <c r="AF52" t="s">
        <v>155</v>
      </c>
      <c r="AG52" t="s">
        <v>92</v>
      </c>
      <c r="AH52" t="s">
        <v>43</v>
      </c>
      <c r="AI52" t="str">
        <f t="shared" si="2"/>
        <v>Other</v>
      </c>
    </row>
    <row r="53" spans="1:35" x14ac:dyDescent="0.3">
      <c r="A53" t="str">
        <f>VLOOKUP(Q53,regions_fabio!$A$2:$C$192,3,0)</f>
        <v>HKG</v>
      </c>
      <c r="B53" t="str">
        <f>IFERROR(VLOOKUP(A53,polities_whep!$A$1:$G$199,2,0),"")</f>
        <v>China, Hong Kong SAR</v>
      </c>
      <c r="C53">
        <v>93</v>
      </c>
      <c r="D53">
        <v>96</v>
      </c>
      <c r="E53" t="s">
        <v>206</v>
      </c>
      <c r="F53" t="str">
        <f>VLOOKUP(D53,FAO_areas!$A$2:$C$246,3,0)</f>
        <v>China, Hong Kong SAR</v>
      </c>
      <c r="G53" t="s">
        <v>32</v>
      </c>
      <c r="H53" t="s">
        <v>207</v>
      </c>
      <c r="I53" t="s">
        <v>208</v>
      </c>
      <c r="J53" t="s">
        <v>209</v>
      </c>
      <c r="K53">
        <v>351</v>
      </c>
      <c r="L53" t="s">
        <v>203</v>
      </c>
      <c r="M53">
        <v>344</v>
      </c>
      <c r="N53">
        <v>344</v>
      </c>
      <c r="O53">
        <v>14</v>
      </c>
      <c r="P53" t="s">
        <v>34</v>
      </c>
      <c r="Q53">
        <v>96</v>
      </c>
      <c r="R53" t="s">
        <v>1552</v>
      </c>
      <c r="S53" t="s">
        <v>204</v>
      </c>
      <c r="T53">
        <v>1</v>
      </c>
      <c r="U53" t="s">
        <v>203</v>
      </c>
      <c r="V53" t="s">
        <v>205</v>
      </c>
      <c r="W53" t="s">
        <v>204</v>
      </c>
      <c r="X53" t="s">
        <v>174</v>
      </c>
      <c r="Y53" t="s">
        <v>205</v>
      </c>
      <c r="Z53" t="s">
        <v>38</v>
      </c>
      <c r="AA53" t="s">
        <v>39</v>
      </c>
      <c r="AB53" t="s">
        <v>205</v>
      </c>
      <c r="AC53" t="s">
        <v>205</v>
      </c>
      <c r="AD53" t="s">
        <v>40</v>
      </c>
      <c r="AE53" t="s">
        <v>41</v>
      </c>
      <c r="AF53" t="s">
        <v>205</v>
      </c>
      <c r="AG53" t="s">
        <v>42</v>
      </c>
      <c r="AH53" t="s">
        <v>43</v>
      </c>
      <c r="AI53" t="str">
        <f t="shared" si="2"/>
        <v>Other</v>
      </c>
    </row>
    <row r="54" spans="1:35" x14ac:dyDescent="0.3">
      <c r="A54" t="str">
        <f>VLOOKUP(Q54,regions_fabio!$A$2:$C$192,3,0)</f>
        <v>MAC</v>
      </c>
      <c r="B54" t="str">
        <f>IFERROR(VLOOKUP(A54,polities_whep!$A$1:$G$199,2,0),"")</f>
        <v>China, Macao SAR</v>
      </c>
      <c r="C54">
        <v>125</v>
      </c>
      <c r="D54">
        <v>128</v>
      </c>
      <c r="E54" t="s">
        <v>210</v>
      </c>
      <c r="F54" t="str">
        <f>VLOOKUP(D54,FAO_areas!$A$2:$C$246,3,0)</f>
        <v>China, Macao SAR</v>
      </c>
      <c r="G54" t="s">
        <v>32</v>
      </c>
      <c r="H54" t="s">
        <v>211</v>
      </c>
      <c r="I54" t="s">
        <v>212</v>
      </c>
      <c r="K54">
        <v>351</v>
      </c>
      <c r="L54" t="s">
        <v>203</v>
      </c>
      <c r="M54">
        <v>446</v>
      </c>
      <c r="N54">
        <v>446</v>
      </c>
      <c r="O54">
        <v>14</v>
      </c>
      <c r="P54" t="s">
        <v>34</v>
      </c>
      <c r="Q54">
        <v>128</v>
      </c>
      <c r="R54" t="s">
        <v>1552</v>
      </c>
      <c r="S54" t="s">
        <v>204</v>
      </c>
      <c r="T54">
        <v>1</v>
      </c>
      <c r="U54" t="s">
        <v>203</v>
      </c>
      <c r="V54" t="s">
        <v>205</v>
      </c>
      <c r="W54" t="s">
        <v>204</v>
      </c>
      <c r="X54" t="s">
        <v>174</v>
      </c>
      <c r="Y54" t="s">
        <v>205</v>
      </c>
      <c r="Z54" t="s">
        <v>38</v>
      </c>
      <c r="AA54" t="s">
        <v>39</v>
      </c>
      <c r="AB54" t="s">
        <v>205</v>
      </c>
      <c r="AC54" t="s">
        <v>205</v>
      </c>
      <c r="AD54" t="s">
        <v>40</v>
      </c>
      <c r="AE54" t="s">
        <v>41</v>
      </c>
      <c r="AF54" t="s">
        <v>205</v>
      </c>
      <c r="AG54" t="s">
        <v>42</v>
      </c>
      <c r="AH54" t="s">
        <v>43</v>
      </c>
      <c r="AI54" t="str">
        <f t="shared" si="2"/>
        <v>Other</v>
      </c>
    </row>
    <row r="55" spans="1:35" x14ac:dyDescent="0.3">
      <c r="A55" t="str">
        <f>VLOOKUP(Q55,regions_fabio!$A$2:$C$192,3,0)</f>
        <v>CHN</v>
      </c>
      <c r="B55" t="str">
        <f>IFERROR(VLOOKUP(A55,polities_whep!$A$1:$G$199,2,0),"")</f>
        <v>China, mainland</v>
      </c>
      <c r="C55">
        <v>41</v>
      </c>
      <c r="D55">
        <v>41</v>
      </c>
      <c r="E55" t="s">
        <v>213</v>
      </c>
      <c r="F55" t="str">
        <f>VLOOKUP(D55,FAO_areas!$A$2:$C$246,3,0)</f>
        <v>China, mainland</v>
      </c>
      <c r="G55" t="s">
        <v>32</v>
      </c>
      <c r="H55" t="s">
        <v>214</v>
      </c>
      <c r="I55" t="s">
        <v>203</v>
      </c>
      <c r="J55" t="s">
        <v>215</v>
      </c>
      <c r="K55">
        <v>351</v>
      </c>
      <c r="L55" t="s">
        <v>203</v>
      </c>
      <c r="M55">
        <v>156</v>
      </c>
      <c r="N55">
        <v>156</v>
      </c>
      <c r="O55">
        <v>14</v>
      </c>
      <c r="P55" t="s">
        <v>34</v>
      </c>
      <c r="Q55">
        <v>41</v>
      </c>
      <c r="R55" t="s">
        <v>1552</v>
      </c>
      <c r="S55" t="s">
        <v>204</v>
      </c>
      <c r="T55">
        <v>1</v>
      </c>
      <c r="U55" t="s">
        <v>203</v>
      </c>
      <c r="V55" t="s">
        <v>205</v>
      </c>
      <c r="W55" t="s">
        <v>204</v>
      </c>
      <c r="X55" t="s">
        <v>174</v>
      </c>
      <c r="Y55" t="s">
        <v>205</v>
      </c>
      <c r="Z55" t="s">
        <v>38</v>
      </c>
      <c r="AA55" t="s">
        <v>39</v>
      </c>
      <c r="AB55" t="s">
        <v>205</v>
      </c>
      <c r="AC55" t="s">
        <v>205</v>
      </c>
      <c r="AD55" t="s">
        <v>40</v>
      </c>
      <c r="AE55" t="s">
        <v>41</v>
      </c>
      <c r="AF55" t="s">
        <v>205</v>
      </c>
      <c r="AG55" t="s">
        <v>42</v>
      </c>
      <c r="AH55" t="s">
        <v>43</v>
      </c>
      <c r="AI55" t="str">
        <f t="shared" si="2"/>
        <v>Other</v>
      </c>
    </row>
    <row r="56" spans="1:35" x14ac:dyDescent="0.3">
      <c r="A56" t="s">
        <v>216</v>
      </c>
      <c r="B56" t="str">
        <f>IFERROR(VLOOKUP(A56,polities_whep!$A$1:$G$199,2,0),"")</f>
        <v>China, Taiwan</v>
      </c>
      <c r="C56">
        <v>210</v>
      </c>
      <c r="D56">
        <v>214</v>
      </c>
      <c r="E56" t="s">
        <v>216</v>
      </c>
      <c r="F56" t="str">
        <f>VLOOKUP(D56,FAO_areas!$A$2:$C$246,3,0)</f>
        <v>China, Taiwan Province of</v>
      </c>
      <c r="G56" t="s">
        <v>32</v>
      </c>
      <c r="H56" t="s">
        <v>217</v>
      </c>
      <c r="I56" t="s">
        <v>218</v>
      </c>
      <c r="J56" t="s">
        <v>219</v>
      </c>
      <c r="K56">
        <v>351</v>
      </c>
      <c r="L56" t="s">
        <v>203</v>
      </c>
      <c r="M56" t="s">
        <v>98</v>
      </c>
      <c r="N56">
        <v>158</v>
      </c>
      <c r="O56">
        <v>14</v>
      </c>
      <c r="P56" t="s">
        <v>34</v>
      </c>
      <c r="Q56">
        <v>214</v>
      </c>
      <c r="R56" t="s">
        <v>1552</v>
      </c>
      <c r="S56" t="s">
        <v>204</v>
      </c>
      <c r="T56">
        <v>1</v>
      </c>
      <c r="U56" t="s">
        <v>203</v>
      </c>
      <c r="V56" t="s">
        <v>205</v>
      </c>
      <c r="W56" t="s">
        <v>204</v>
      </c>
      <c r="X56" t="s">
        <v>174</v>
      </c>
      <c r="Y56" t="s">
        <v>205</v>
      </c>
      <c r="Z56" t="s">
        <v>38</v>
      </c>
      <c r="AA56" t="s">
        <v>39</v>
      </c>
      <c r="AB56" t="s">
        <v>205</v>
      </c>
      <c r="AC56" t="s">
        <v>205</v>
      </c>
      <c r="AD56" t="s">
        <v>40</v>
      </c>
      <c r="AE56" t="s">
        <v>41</v>
      </c>
      <c r="AF56" t="s">
        <v>205</v>
      </c>
      <c r="AG56" t="s">
        <v>42</v>
      </c>
      <c r="AH56" t="s">
        <v>43</v>
      </c>
      <c r="AI56" t="str">
        <f t="shared" si="2"/>
        <v>Other</v>
      </c>
    </row>
    <row r="57" spans="1:35" x14ac:dyDescent="0.3">
      <c r="A57" t="str">
        <f>VLOOKUP(Q57,regions_fabio!$A$2:$C$192,3,0)</f>
        <v>COL</v>
      </c>
      <c r="B57" t="str">
        <f>IFERROR(VLOOKUP(A57,polities_whep!$A$1:$G$199,2,0),"")</f>
        <v>Colombia</v>
      </c>
      <c r="C57">
        <v>44</v>
      </c>
      <c r="D57">
        <v>44</v>
      </c>
      <c r="E57" t="s">
        <v>224</v>
      </c>
      <c r="F57" t="str">
        <f>VLOOKUP(D57,FAO_areas!$A$2:$C$246,3,0)</f>
        <v>Colombia</v>
      </c>
      <c r="G57" t="s">
        <v>32</v>
      </c>
      <c r="H57" t="s">
        <v>225</v>
      </c>
      <c r="I57" t="s">
        <v>225</v>
      </c>
      <c r="J57" t="s">
        <v>225</v>
      </c>
      <c r="K57">
        <v>44</v>
      </c>
      <c r="L57" t="s">
        <v>225</v>
      </c>
      <c r="M57">
        <v>170</v>
      </c>
      <c r="N57">
        <v>170</v>
      </c>
      <c r="O57">
        <v>4</v>
      </c>
      <c r="P57" t="s">
        <v>34</v>
      </c>
      <c r="Q57">
        <v>44</v>
      </c>
      <c r="R57" t="s">
        <v>1552</v>
      </c>
      <c r="S57" t="s">
        <v>103</v>
      </c>
      <c r="T57">
        <v>1</v>
      </c>
      <c r="U57" t="s">
        <v>225</v>
      </c>
      <c r="V57" t="s">
        <v>90</v>
      </c>
      <c r="W57" t="s">
        <v>91</v>
      </c>
      <c r="X57" t="s">
        <v>92</v>
      </c>
      <c r="Y57" t="s">
        <v>90</v>
      </c>
      <c r="Z57" t="s">
        <v>93</v>
      </c>
      <c r="AA57" t="s">
        <v>93</v>
      </c>
      <c r="AB57" t="s">
        <v>90</v>
      </c>
      <c r="AC57" t="s">
        <v>103</v>
      </c>
      <c r="AD57" t="s">
        <v>40</v>
      </c>
      <c r="AE57" t="s">
        <v>41</v>
      </c>
      <c r="AF57" t="s">
        <v>155</v>
      </c>
      <c r="AG57" t="s">
        <v>92</v>
      </c>
      <c r="AH57" t="s">
        <v>43</v>
      </c>
      <c r="AI57" t="str">
        <f t="shared" si="2"/>
        <v>Other</v>
      </c>
    </row>
    <row r="58" spans="1:35" x14ac:dyDescent="0.3">
      <c r="A58" t="str">
        <f>VLOOKUP(Q58,regions_fabio!$A$2:$C$192,3,0)</f>
        <v>COG</v>
      </c>
      <c r="B58" t="str">
        <f>IFERROR(VLOOKUP(A58,polities_whep!$A$1:$G$199,2,0),"")</f>
        <v>Congo</v>
      </c>
      <c r="C58">
        <v>46</v>
      </c>
      <c r="D58">
        <v>46</v>
      </c>
      <c r="E58" t="s">
        <v>228</v>
      </c>
      <c r="F58" t="str">
        <f>VLOOKUP(D58,FAO_areas!$A$2:$C$246,3,0)</f>
        <v>Congo</v>
      </c>
      <c r="G58" t="s">
        <v>32</v>
      </c>
      <c r="H58" t="s">
        <v>229</v>
      </c>
      <c r="I58" t="s">
        <v>230</v>
      </c>
      <c r="J58" t="s">
        <v>231</v>
      </c>
      <c r="K58">
        <v>46</v>
      </c>
      <c r="L58" t="s">
        <v>229</v>
      </c>
      <c r="M58">
        <v>178</v>
      </c>
      <c r="N58">
        <v>178</v>
      </c>
      <c r="O58">
        <v>6</v>
      </c>
      <c r="P58" t="s">
        <v>34</v>
      </c>
      <c r="Q58">
        <v>46</v>
      </c>
      <c r="R58" t="s">
        <v>1552</v>
      </c>
      <c r="S58" t="s">
        <v>145</v>
      </c>
      <c r="T58">
        <v>1</v>
      </c>
      <c r="U58" t="s">
        <v>229</v>
      </c>
      <c r="V58" t="s">
        <v>80</v>
      </c>
      <c r="W58" t="s">
        <v>81</v>
      </c>
      <c r="X58" t="s">
        <v>82</v>
      </c>
      <c r="Y58" t="s">
        <v>83</v>
      </c>
      <c r="Z58" t="s">
        <v>60</v>
      </c>
      <c r="AA58" t="s">
        <v>60</v>
      </c>
      <c r="AB58" t="s">
        <v>83</v>
      </c>
      <c r="AC58" t="s">
        <v>84</v>
      </c>
      <c r="AD58" t="s">
        <v>40</v>
      </c>
      <c r="AE58" t="s">
        <v>41</v>
      </c>
      <c r="AF58" t="s">
        <v>85</v>
      </c>
      <c r="AG58" t="s">
        <v>86</v>
      </c>
      <c r="AH58" t="s">
        <v>43</v>
      </c>
      <c r="AI58" t="str">
        <f t="shared" si="2"/>
        <v>Other</v>
      </c>
    </row>
    <row r="59" spans="1:35" x14ac:dyDescent="0.3">
      <c r="A59" t="str">
        <f>VLOOKUP(Q59,regions_fabio!$A$2:$C$192,3,0)</f>
        <v>CRI</v>
      </c>
      <c r="B59" t="str">
        <f>IFERROR(VLOOKUP(A59,polities_whep!$A$1:$G$199,2,0),"")</f>
        <v>Costa Rica</v>
      </c>
      <c r="C59">
        <v>48</v>
      </c>
      <c r="D59">
        <v>48</v>
      </c>
      <c r="E59" t="s">
        <v>234</v>
      </c>
      <c r="F59" t="str">
        <f>VLOOKUP(D59,FAO_areas!$A$2:$C$246,3,0)</f>
        <v>Costa Rica</v>
      </c>
      <c r="G59" t="s">
        <v>32</v>
      </c>
      <c r="H59" t="s">
        <v>235</v>
      </c>
      <c r="I59" t="s">
        <v>235</v>
      </c>
      <c r="J59" t="s">
        <v>235</v>
      </c>
      <c r="K59">
        <v>48</v>
      </c>
      <c r="L59" t="s">
        <v>235</v>
      </c>
      <c r="M59">
        <v>188</v>
      </c>
      <c r="N59">
        <v>188</v>
      </c>
      <c r="O59">
        <v>3</v>
      </c>
      <c r="P59" t="s">
        <v>34</v>
      </c>
      <c r="Q59">
        <v>48</v>
      </c>
      <c r="R59" t="s">
        <v>1552</v>
      </c>
      <c r="S59" t="s">
        <v>89</v>
      </c>
      <c r="T59">
        <v>1</v>
      </c>
      <c r="U59" t="s">
        <v>235</v>
      </c>
      <c r="V59" t="s">
        <v>90</v>
      </c>
      <c r="W59" t="s">
        <v>91</v>
      </c>
      <c r="X59" t="s">
        <v>92</v>
      </c>
      <c r="Y59" t="s">
        <v>90</v>
      </c>
      <c r="Z59" t="s">
        <v>93</v>
      </c>
      <c r="AA59" t="s">
        <v>93</v>
      </c>
      <c r="AB59" t="s">
        <v>90</v>
      </c>
      <c r="AC59" t="s">
        <v>89</v>
      </c>
      <c r="AD59" t="s">
        <v>40</v>
      </c>
      <c r="AE59" t="s">
        <v>41</v>
      </c>
      <c r="AF59" t="s">
        <v>95</v>
      </c>
      <c r="AG59" t="s">
        <v>92</v>
      </c>
      <c r="AH59" t="s">
        <v>43</v>
      </c>
      <c r="AI59" t="str">
        <f t="shared" si="2"/>
        <v>Other</v>
      </c>
    </row>
    <row r="60" spans="1:35" x14ac:dyDescent="0.3">
      <c r="A60" t="str">
        <f>VLOOKUP(Q60,regions_fabio!$A$2:$C$192,3,0)</f>
        <v>HRV</v>
      </c>
      <c r="B60" t="str">
        <f>IFERROR(VLOOKUP(A60,polities_whep!$A$1:$G$199,2,0),"")</f>
        <v>Croatia</v>
      </c>
      <c r="C60">
        <v>95</v>
      </c>
      <c r="D60">
        <v>98</v>
      </c>
      <c r="E60" t="s">
        <v>236</v>
      </c>
      <c r="F60" t="str">
        <f>VLOOKUP(D60,FAO_areas!$A$2:$C$246,3,0)</f>
        <v>Croatia</v>
      </c>
      <c r="G60" t="s">
        <v>34</v>
      </c>
      <c r="H60" t="s">
        <v>237</v>
      </c>
      <c r="I60" t="s">
        <v>237</v>
      </c>
      <c r="J60" t="s">
        <v>237</v>
      </c>
      <c r="K60">
        <v>98</v>
      </c>
      <c r="L60" t="s">
        <v>237</v>
      </c>
      <c r="M60">
        <v>191</v>
      </c>
      <c r="N60">
        <v>191</v>
      </c>
      <c r="O60">
        <v>10</v>
      </c>
      <c r="P60" t="s">
        <v>34</v>
      </c>
      <c r="Q60">
        <v>98</v>
      </c>
      <c r="R60" t="s">
        <v>5042</v>
      </c>
      <c r="S60" t="s">
        <v>46</v>
      </c>
      <c r="T60">
        <v>1</v>
      </c>
      <c r="U60" t="s">
        <v>237</v>
      </c>
      <c r="V60" t="s">
        <v>47</v>
      </c>
      <c r="W60" t="s">
        <v>48</v>
      </c>
      <c r="X60" t="s">
        <v>49</v>
      </c>
      <c r="Y60" t="s">
        <v>50</v>
      </c>
      <c r="Z60" t="s">
        <v>49</v>
      </c>
      <c r="AA60" t="s">
        <v>51</v>
      </c>
      <c r="AB60" t="s">
        <v>52</v>
      </c>
      <c r="AC60" t="s">
        <v>50</v>
      </c>
      <c r="AD60" t="s">
        <v>40</v>
      </c>
      <c r="AE60" t="s">
        <v>41</v>
      </c>
      <c r="AF60" t="s">
        <v>50</v>
      </c>
      <c r="AG60" t="s">
        <v>49</v>
      </c>
      <c r="AH60" t="s">
        <v>53</v>
      </c>
      <c r="AI60" t="str">
        <f t="shared" si="2"/>
        <v>Europe</v>
      </c>
    </row>
    <row r="61" spans="1:35" x14ac:dyDescent="0.3">
      <c r="A61" t="str">
        <f>VLOOKUP(Q61,regions_fabio!$A$2:$C$192,3,0)</f>
        <v>CUB</v>
      </c>
      <c r="B61" t="str">
        <f>IFERROR(VLOOKUP(A61,polities_whep!$A$1:$G$199,2,0),"")</f>
        <v>Cuba</v>
      </c>
      <c r="C61">
        <v>49</v>
      </c>
      <c r="D61">
        <v>49</v>
      </c>
      <c r="E61" t="s">
        <v>238</v>
      </c>
      <c r="F61" t="str">
        <f>VLOOKUP(D61,FAO_areas!$A$2:$C$246,3,0)</f>
        <v>Cuba</v>
      </c>
      <c r="G61" t="s">
        <v>32</v>
      </c>
      <c r="H61" t="s">
        <v>239</v>
      </c>
      <c r="I61" t="s">
        <v>239</v>
      </c>
      <c r="J61" t="s">
        <v>239</v>
      </c>
      <c r="K61">
        <v>49</v>
      </c>
      <c r="L61" t="s">
        <v>239</v>
      </c>
      <c r="M61">
        <v>192</v>
      </c>
      <c r="N61">
        <v>192</v>
      </c>
      <c r="O61">
        <v>3</v>
      </c>
      <c r="P61" t="s">
        <v>34</v>
      </c>
      <c r="Q61">
        <v>49</v>
      </c>
      <c r="R61" t="s">
        <v>1552</v>
      </c>
      <c r="S61" t="s">
        <v>89</v>
      </c>
      <c r="T61">
        <v>1</v>
      </c>
      <c r="U61" t="s">
        <v>239</v>
      </c>
      <c r="V61" t="s">
        <v>90</v>
      </c>
      <c r="W61" t="s">
        <v>91</v>
      </c>
      <c r="X61" t="s">
        <v>92</v>
      </c>
      <c r="Y61" t="s">
        <v>90</v>
      </c>
      <c r="Z61" t="s">
        <v>93</v>
      </c>
      <c r="AA61" t="s">
        <v>93</v>
      </c>
      <c r="AB61" t="s">
        <v>90</v>
      </c>
      <c r="AC61" t="s">
        <v>94</v>
      </c>
      <c r="AD61" t="s">
        <v>40</v>
      </c>
      <c r="AE61" t="s">
        <v>41</v>
      </c>
      <c r="AF61" t="s">
        <v>95</v>
      </c>
      <c r="AG61" t="s">
        <v>92</v>
      </c>
      <c r="AH61" t="s">
        <v>43</v>
      </c>
      <c r="AI61" t="str">
        <f t="shared" si="2"/>
        <v>Other</v>
      </c>
    </row>
    <row r="62" spans="1:35" x14ac:dyDescent="0.3">
      <c r="A62" t="str">
        <f>VLOOKUP(Q62,regions_fabio!$A$2:$C$192,3,0)</f>
        <v>CYP</v>
      </c>
      <c r="B62" t="str">
        <f>IFERROR(VLOOKUP(A62,polities_whep!$A$1:$G$199,2,0),"")</f>
        <v>Cyprus</v>
      </c>
      <c r="C62">
        <v>50</v>
      </c>
      <c r="D62">
        <v>50</v>
      </c>
      <c r="E62" t="s">
        <v>242</v>
      </c>
      <c r="F62" t="str">
        <f>VLOOKUP(D62,FAO_areas!$A$2:$C$246,3,0)</f>
        <v>Cyprus</v>
      </c>
      <c r="G62" t="s">
        <v>34</v>
      </c>
      <c r="H62" t="s">
        <v>243</v>
      </c>
      <c r="I62" t="s">
        <v>243</v>
      </c>
      <c r="J62" t="s">
        <v>243</v>
      </c>
      <c r="K62">
        <v>50</v>
      </c>
      <c r="L62" t="s">
        <v>243</v>
      </c>
      <c r="M62">
        <v>196</v>
      </c>
      <c r="N62">
        <v>196</v>
      </c>
      <c r="O62">
        <v>12</v>
      </c>
      <c r="P62" t="s">
        <v>34</v>
      </c>
      <c r="Q62">
        <v>50</v>
      </c>
      <c r="R62" t="s">
        <v>1552</v>
      </c>
      <c r="S62" t="s">
        <v>128</v>
      </c>
      <c r="T62">
        <v>1</v>
      </c>
      <c r="U62" t="s">
        <v>243</v>
      </c>
      <c r="V62" t="s">
        <v>57</v>
      </c>
      <c r="W62" t="s">
        <v>58</v>
      </c>
      <c r="X62" t="s">
        <v>59</v>
      </c>
      <c r="Y62" t="s">
        <v>110</v>
      </c>
      <c r="Z62" t="s">
        <v>38</v>
      </c>
      <c r="AA62" t="s">
        <v>51</v>
      </c>
      <c r="AB62" t="s">
        <v>111</v>
      </c>
      <c r="AC62" t="s">
        <v>110</v>
      </c>
      <c r="AD62" t="s">
        <v>40</v>
      </c>
      <c r="AE62" t="s">
        <v>41</v>
      </c>
      <c r="AF62" t="s">
        <v>110</v>
      </c>
      <c r="AG62" t="s">
        <v>59</v>
      </c>
      <c r="AH62" t="s">
        <v>43</v>
      </c>
      <c r="AI62" t="str">
        <f t="shared" si="2"/>
        <v>Other</v>
      </c>
    </row>
    <row r="63" spans="1:35" x14ac:dyDescent="0.3">
      <c r="A63" t="str">
        <f>VLOOKUP(Q63,regions_fabio!$A$2:$C$192,3,0)</f>
        <v>CZE</v>
      </c>
      <c r="B63" t="str">
        <f>IFERROR(VLOOKUP(A63,polities_whep!$A$1:$G$199,2,0),"")</f>
        <v>Czechia</v>
      </c>
      <c r="C63">
        <v>164</v>
      </c>
      <c r="D63">
        <v>167</v>
      </c>
      <c r="E63" t="s">
        <v>244</v>
      </c>
      <c r="F63" t="str">
        <f>VLOOKUP(D63,FAO_areas!$A$2:$C$246,3,0)</f>
        <v>Czechia</v>
      </c>
      <c r="G63" t="s">
        <v>34</v>
      </c>
      <c r="H63" t="s">
        <v>245</v>
      </c>
      <c r="I63" t="s">
        <v>245</v>
      </c>
      <c r="J63" t="s">
        <v>245</v>
      </c>
      <c r="K63">
        <v>167</v>
      </c>
      <c r="L63" t="s">
        <v>245</v>
      </c>
      <c r="M63">
        <v>203</v>
      </c>
      <c r="N63">
        <v>203</v>
      </c>
      <c r="O63">
        <v>10</v>
      </c>
      <c r="P63" t="s">
        <v>34</v>
      </c>
      <c r="Q63">
        <v>167</v>
      </c>
      <c r="R63" t="s">
        <v>5043</v>
      </c>
      <c r="S63" t="s">
        <v>46</v>
      </c>
      <c r="T63">
        <v>1</v>
      </c>
      <c r="U63" t="s">
        <v>245</v>
      </c>
      <c r="V63" t="s">
        <v>47</v>
      </c>
      <c r="W63" t="s">
        <v>48</v>
      </c>
      <c r="X63" t="s">
        <v>49</v>
      </c>
      <c r="Y63" t="s">
        <v>46</v>
      </c>
      <c r="Z63" t="s">
        <v>49</v>
      </c>
      <c r="AA63" t="s">
        <v>51</v>
      </c>
      <c r="AB63" t="s">
        <v>46</v>
      </c>
      <c r="AC63" t="s">
        <v>46</v>
      </c>
      <c r="AD63" t="s">
        <v>117</v>
      </c>
      <c r="AE63" t="s">
        <v>118</v>
      </c>
      <c r="AF63" t="s">
        <v>46</v>
      </c>
      <c r="AG63" t="s">
        <v>49</v>
      </c>
      <c r="AH63" t="s">
        <v>53</v>
      </c>
      <c r="AI63" t="str">
        <f t="shared" si="2"/>
        <v>Europe</v>
      </c>
    </row>
    <row r="64" spans="1:35" x14ac:dyDescent="0.3">
      <c r="A64" t="str">
        <f>VLOOKUP(Q64,regions_fabio!$A$2:$C$192,3,0)</f>
        <v>CSK</v>
      </c>
      <c r="B64" t="str">
        <f>IFERROR(VLOOKUP(A64,polities_whep!$A$1:$G$199,2,0),"")</f>
        <v>Czechoslovakia</v>
      </c>
      <c r="C64">
        <v>51</v>
      </c>
      <c r="D64">
        <v>51</v>
      </c>
      <c r="E64" t="s">
        <v>246</v>
      </c>
      <c r="F64" t="str">
        <f>VLOOKUP(D64,FAO_areas!$A$2:$C$246,3,0)</f>
        <v>Czechoslovakia</v>
      </c>
      <c r="G64" t="s">
        <v>34</v>
      </c>
      <c r="H64" t="s">
        <v>247</v>
      </c>
      <c r="I64" t="s">
        <v>248</v>
      </c>
      <c r="K64">
        <v>167</v>
      </c>
      <c r="L64" t="s">
        <v>245</v>
      </c>
      <c r="M64">
        <v>200</v>
      </c>
      <c r="N64">
        <v>200</v>
      </c>
      <c r="O64">
        <v>9</v>
      </c>
      <c r="P64" t="s">
        <v>34</v>
      </c>
      <c r="Q64">
        <v>51</v>
      </c>
      <c r="R64" t="s">
        <v>5044</v>
      </c>
      <c r="S64" t="s">
        <v>74</v>
      </c>
      <c r="T64">
        <v>1</v>
      </c>
      <c r="U64" t="s">
        <v>247</v>
      </c>
      <c r="V64" t="s">
        <v>75</v>
      </c>
      <c r="W64" t="s">
        <v>76</v>
      </c>
      <c r="X64" s="2" t="s">
        <v>49</v>
      </c>
      <c r="Y64" s="2"/>
      <c r="Z64" s="2"/>
      <c r="AA64" s="2"/>
      <c r="AB64" s="2"/>
    </row>
    <row r="65" spans="1:35" x14ac:dyDescent="0.3">
      <c r="A65" t="str">
        <f>VLOOKUP(Q65,regions_fabio!$A$2:$C$192,3,0)</f>
        <v>DNK</v>
      </c>
      <c r="B65" t="str">
        <f>IFERROR(VLOOKUP(A65,polities_whep!$A$1:$G$199,2,0),"")</f>
        <v>Denmark</v>
      </c>
      <c r="C65">
        <v>54</v>
      </c>
      <c r="D65">
        <v>54</v>
      </c>
      <c r="E65" t="s">
        <v>249</v>
      </c>
      <c r="F65" t="str">
        <f>VLOOKUP(D65,FAO_areas!$A$2:$C$246,3,0)</f>
        <v>Denmark</v>
      </c>
      <c r="G65" t="s">
        <v>34</v>
      </c>
      <c r="H65" t="s">
        <v>250</v>
      </c>
      <c r="I65" t="s">
        <v>250</v>
      </c>
      <c r="J65" t="s">
        <v>250</v>
      </c>
      <c r="K65">
        <v>54</v>
      </c>
      <c r="L65" t="s">
        <v>250</v>
      </c>
      <c r="M65">
        <v>208</v>
      </c>
      <c r="N65">
        <v>208</v>
      </c>
      <c r="O65">
        <v>9</v>
      </c>
      <c r="P65" t="s">
        <v>34</v>
      </c>
      <c r="Q65">
        <v>54</v>
      </c>
      <c r="R65" t="s">
        <v>5045</v>
      </c>
      <c r="S65" t="s">
        <v>74</v>
      </c>
      <c r="T65">
        <v>1</v>
      </c>
      <c r="U65" t="s">
        <v>250</v>
      </c>
      <c r="V65" t="s">
        <v>75</v>
      </c>
      <c r="W65" t="s">
        <v>76</v>
      </c>
      <c r="X65" t="s">
        <v>49</v>
      </c>
      <c r="Y65" t="s">
        <v>251</v>
      </c>
      <c r="Z65" t="s">
        <v>49</v>
      </c>
      <c r="AA65" t="s">
        <v>51</v>
      </c>
      <c r="AB65" t="s">
        <v>52</v>
      </c>
      <c r="AC65" t="s">
        <v>251</v>
      </c>
      <c r="AD65" t="s">
        <v>117</v>
      </c>
      <c r="AE65" t="s">
        <v>118</v>
      </c>
      <c r="AF65" t="s">
        <v>251</v>
      </c>
      <c r="AG65" t="s">
        <v>49</v>
      </c>
      <c r="AH65" t="s">
        <v>53</v>
      </c>
      <c r="AI65" t="str">
        <f t="shared" ref="AI65:AI87" si="3">IF(Z65="Europe","Europe","Other")</f>
        <v>Europe</v>
      </c>
    </row>
    <row r="66" spans="1:35" x14ac:dyDescent="0.3">
      <c r="A66" t="str">
        <f>VLOOKUP(Q66,regions_fabio!$A$2:$C$192,3,0)</f>
        <v>DJI</v>
      </c>
      <c r="B66" t="str">
        <f>IFERROR(VLOOKUP(A66,polities_whep!$A$1:$G$199,2,0),"")</f>
        <v>Djibouti</v>
      </c>
      <c r="C66">
        <v>72</v>
      </c>
      <c r="D66">
        <v>72</v>
      </c>
      <c r="E66" t="s">
        <v>252</v>
      </c>
      <c r="F66" t="str">
        <f>VLOOKUP(D66,FAO_areas!$A$2:$C$246,3,0)</f>
        <v>Djibouti</v>
      </c>
      <c r="G66" t="s">
        <v>32</v>
      </c>
      <c r="H66" t="s">
        <v>253</v>
      </c>
      <c r="I66" t="s">
        <v>253</v>
      </c>
      <c r="K66">
        <v>72</v>
      </c>
      <c r="L66" t="s">
        <v>253</v>
      </c>
      <c r="M66">
        <v>262</v>
      </c>
      <c r="N66">
        <v>262</v>
      </c>
      <c r="O66">
        <v>7</v>
      </c>
      <c r="P66" t="s">
        <v>34</v>
      </c>
      <c r="Q66">
        <v>72</v>
      </c>
      <c r="R66" t="s">
        <v>1552</v>
      </c>
      <c r="S66" t="s">
        <v>183</v>
      </c>
      <c r="T66">
        <v>1</v>
      </c>
      <c r="U66" t="s">
        <v>253</v>
      </c>
      <c r="V66" t="s">
        <v>80</v>
      </c>
      <c r="W66" t="s">
        <v>81</v>
      </c>
      <c r="X66" t="s">
        <v>82</v>
      </c>
      <c r="Y66" t="s">
        <v>83</v>
      </c>
      <c r="Z66" t="s">
        <v>60</v>
      </c>
      <c r="AA66" t="s">
        <v>60</v>
      </c>
      <c r="AB66" t="s">
        <v>83</v>
      </c>
      <c r="AC66" t="s">
        <v>183</v>
      </c>
      <c r="AD66" t="s">
        <v>40</v>
      </c>
      <c r="AE66" t="s">
        <v>41</v>
      </c>
      <c r="AF66" t="s">
        <v>183</v>
      </c>
      <c r="AG66" t="s">
        <v>86</v>
      </c>
      <c r="AH66" t="s">
        <v>43</v>
      </c>
      <c r="AI66" t="str">
        <f t="shared" si="3"/>
        <v>Other</v>
      </c>
    </row>
    <row r="67" spans="1:35" x14ac:dyDescent="0.3">
      <c r="A67" t="str">
        <f>VLOOKUP(Q67,regions_fabio!$A$2:$C$192,3,0)</f>
        <v>DMA</v>
      </c>
      <c r="B67" t="str">
        <f>IFERROR(VLOOKUP(A67,polities_whep!$A$1:$G$199,2,0),"")</f>
        <v>Dominica</v>
      </c>
      <c r="C67">
        <v>55</v>
      </c>
      <c r="D67">
        <v>55</v>
      </c>
      <c r="E67" t="s">
        <v>254</v>
      </c>
      <c r="F67" t="str">
        <f>VLOOKUP(D67,FAO_areas!$A$2:$C$246,3,0)</f>
        <v>Dominica</v>
      </c>
      <c r="G67" t="s">
        <v>32</v>
      </c>
      <c r="H67" t="s">
        <v>255</v>
      </c>
      <c r="I67" t="s">
        <v>255</v>
      </c>
      <c r="K67">
        <v>55</v>
      </c>
      <c r="L67" t="s">
        <v>255</v>
      </c>
      <c r="M67">
        <v>212</v>
      </c>
      <c r="N67">
        <v>212</v>
      </c>
      <c r="O67">
        <v>3</v>
      </c>
      <c r="P67" t="s">
        <v>34</v>
      </c>
      <c r="Q67">
        <v>55</v>
      </c>
      <c r="R67" t="s">
        <v>1552</v>
      </c>
      <c r="S67" t="s">
        <v>89</v>
      </c>
      <c r="T67">
        <v>1</v>
      </c>
      <c r="U67" t="s">
        <v>255</v>
      </c>
      <c r="V67" t="s">
        <v>90</v>
      </c>
      <c r="W67" t="s">
        <v>91</v>
      </c>
      <c r="X67" t="s">
        <v>92</v>
      </c>
      <c r="Y67" t="s">
        <v>90</v>
      </c>
      <c r="Z67" t="s">
        <v>93</v>
      </c>
      <c r="AA67" t="s">
        <v>93</v>
      </c>
      <c r="AB67" t="s">
        <v>90</v>
      </c>
      <c r="AC67" t="s">
        <v>94</v>
      </c>
      <c r="AD67" t="s">
        <v>40</v>
      </c>
      <c r="AE67" t="s">
        <v>41</v>
      </c>
      <c r="AF67" t="s">
        <v>95</v>
      </c>
      <c r="AG67" t="s">
        <v>92</v>
      </c>
      <c r="AH67" t="s">
        <v>43</v>
      </c>
      <c r="AI67" t="str">
        <f t="shared" si="3"/>
        <v>Other</v>
      </c>
    </row>
    <row r="68" spans="1:35" x14ac:dyDescent="0.3">
      <c r="A68" t="str">
        <f>VLOOKUP(Q68,regions_fabio!$A$2:$C$192,3,0)</f>
        <v>DOM</v>
      </c>
      <c r="B68" t="str">
        <f>IFERROR(VLOOKUP(A68,polities_whep!$A$1:$G$199,2,0),"")</f>
        <v>Dominican Republic</v>
      </c>
      <c r="C68">
        <v>56</v>
      </c>
      <c r="D68">
        <v>56</v>
      </c>
      <c r="E68" t="s">
        <v>256</v>
      </c>
      <c r="F68" t="str">
        <f>VLOOKUP(D68,FAO_areas!$A$2:$C$246,3,0)</f>
        <v>Dominican Republic</v>
      </c>
      <c r="G68" t="s">
        <v>32</v>
      </c>
      <c r="H68" t="s">
        <v>257</v>
      </c>
      <c r="I68" t="s">
        <v>257</v>
      </c>
      <c r="J68" t="s">
        <v>257</v>
      </c>
      <c r="K68">
        <v>56</v>
      </c>
      <c r="L68" t="s">
        <v>257</v>
      </c>
      <c r="M68">
        <v>214</v>
      </c>
      <c r="N68">
        <v>214</v>
      </c>
      <c r="O68">
        <v>3</v>
      </c>
      <c r="P68" t="s">
        <v>34</v>
      </c>
      <c r="Q68">
        <v>56</v>
      </c>
      <c r="R68" t="s">
        <v>1552</v>
      </c>
      <c r="S68" t="s">
        <v>89</v>
      </c>
      <c r="T68">
        <v>1</v>
      </c>
      <c r="U68" t="s">
        <v>257</v>
      </c>
      <c r="V68" t="s">
        <v>90</v>
      </c>
      <c r="W68" t="s">
        <v>91</v>
      </c>
      <c r="X68" t="s">
        <v>92</v>
      </c>
      <c r="Y68" t="s">
        <v>90</v>
      </c>
      <c r="Z68" t="s">
        <v>93</v>
      </c>
      <c r="AA68" t="s">
        <v>93</v>
      </c>
      <c r="AB68" t="s">
        <v>90</v>
      </c>
      <c r="AC68" t="s">
        <v>94</v>
      </c>
      <c r="AD68" t="s">
        <v>40</v>
      </c>
      <c r="AE68" t="s">
        <v>41</v>
      </c>
      <c r="AF68" t="s">
        <v>95</v>
      </c>
      <c r="AG68" t="s">
        <v>92</v>
      </c>
      <c r="AH68" t="s">
        <v>43</v>
      </c>
      <c r="AI68" t="str">
        <f t="shared" si="3"/>
        <v>Other</v>
      </c>
    </row>
    <row r="69" spans="1:35" x14ac:dyDescent="0.3">
      <c r="A69" t="str">
        <f>VLOOKUP(Q69,regions_fabio!$A$2:$C$192,3,0)</f>
        <v>COD</v>
      </c>
      <c r="B69" t="str">
        <f>IFERROR(VLOOKUP(A69,polities_whep!$A$1:$G$199,2,0),"")</f>
        <v>DR Congo</v>
      </c>
      <c r="C69">
        <v>242</v>
      </c>
      <c r="D69">
        <v>250</v>
      </c>
      <c r="E69" t="s">
        <v>258</v>
      </c>
      <c r="F69" t="str">
        <f>VLOOKUP(D69,FAO_areas!$A$2:$C$246,3,0)</f>
        <v>Democratic Republic of the Congo</v>
      </c>
      <c r="G69" t="s">
        <v>32</v>
      </c>
      <c r="H69" t="s">
        <v>259</v>
      </c>
      <c r="I69" t="s">
        <v>260</v>
      </c>
      <c r="J69" t="s">
        <v>261</v>
      </c>
      <c r="K69">
        <v>250</v>
      </c>
      <c r="L69" t="s">
        <v>262</v>
      </c>
      <c r="M69">
        <v>180</v>
      </c>
      <c r="N69">
        <v>180</v>
      </c>
      <c r="O69">
        <v>6</v>
      </c>
      <c r="P69" t="s">
        <v>34</v>
      </c>
      <c r="Q69">
        <v>250</v>
      </c>
      <c r="R69" t="s">
        <v>1552</v>
      </c>
      <c r="S69" t="s">
        <v>145</v>
      </c>
      <c r="T69">
        <v>1</v>
      </c>
      <c r="U69" t="s">
        <v>261</v>
      </c>
      <c r="V69" t="s">
        <v>80</v>
      </c>
      <c r="W69" t="s">
        <v>81</v>
      </c>
      <c r="X69" t="s">
        <v>82</v>
      </c>
      <c r="Y69" t="s">
        <v>83</v>
      </c>
      <c r="Z69" t="s">
        <v>60</v>
      </c>
      <c r="AA69" t="s">
        <v>60</v>
      </c>
      <c r="AB69" t="s">
        <v>83</v>
      </c>
      <c r="AC69" t="s">
        <v>84</v>
      </c>
      <c r="AD69" t="s">
        <v>40</v>
      </c>
      <c r="AE69" t="s">
        <v>41</v>
      </c>
      <c r="AF69" t="s">
        <v>85</v>
      </c>
      <c r="AG69" t="s">
        <v>86</v>
      </c>
      <c r="AH69" t="s">
        <v>43</v>
      </c>
      <c r="AI69" t="str">
        <f t="shared" si="3"/>
        <v>Other</v>
      </c>
    </row>
    <row r="70" spans="1:35" x14ac:dyDescent="0.3">
      <c r="A70" t="str">
        <f>VLOOKUP(Q70,regions_fabio!$A$2:$C$192,3,0)</f>
        <v>ECU</v>
      </c>
      <c r="B70" t="str">
        <f>IFERROR(VLOOKUP(A70,polities_whep!$A$1:$G$199,2,0),"")</f>
        <v>Ecuador</v>
      </c>
      <c r="C70">
        <v>58</v>
      </c>
      <c r="D70">
        <v>58</v>
      </c>
      <c r="E70" t="s">
        <v>263</v>
      </c>
      <c r="F70" t="str">
        <f>VLOOKUP(D70,FAO_areas!$A$2:$C$246,3,0)</f>
        <v>Ecuador</v>
      </c>
      <c r="G70" t="s">
        <v>32</v>
      </c>
      <c r="H70" t="s">
        <v>264</v>
      </c>
      <c r="I70" t="s">
        <v>264</v>
      </c>
      <c r="J70" t="s">
        <v>264</v>
      </c>
      <c r="K70">
        <v>58</v>
      </c>
      <c r="L70" t="s">
        <v>264</v>
      </c>
      <c r="M70">
        <v>218</v>
      </c>
      <c r="N70">
        <v>218</v>
      </c>
      <c r="O70">
        <v>4</v>
      </c>
      <c r="P70" t="s">
        <v>34</v>
      </c>
      <c r="Q70">
        <v>58</v>
      </c>
      <c r="R70" t="s">
        <v>1552</v>
      </c>
      <c r="S70" t="s">
        <v>103</v>
      </c>
      <c r="T70">
        <v>1</v>
      </c>
      <c r="U70" t="s">
        <v>264</v>
      </c>
      <c r="V70" t="s">
        <v>90</v>
      </c>
      <c r="W70" t="s">
        <v>91</v>
      </c>
      <c r="X70" t="s">
        <v>92</v>
      </c>
      <c r="Y70" t="s">
        <v>90</v>
      </c>
      <c r="Z70" t="s">
        <v>93</v>
      </c>
      <c r="AA70" t="s">
        <v>93</v>
      </c>
      <c r="AB70" t="s">
        <v>90</v>
      </c>
      <c r="AC70" t="s">
        <v>103</v>
      </c>
      <c r="AD70" t="s">
        <v>40</v>
      </c>
      <c r="AE70" t="s">
        <v>41</v>
      </c>
      <c r="AF70" t="s">
        <v>155</v>
      </c>
      <c r="AG70" t="s">
        <v>92</v>
      </c>
      <c r="AH70" t="s">
        <v>43</v>
      </c>
      <c r="AI70" t="str">
        <f t="shared" si="3"/>
        <v>Other</v>
      </c>
    </row>
    <row r="71" spans="1:35" x14ac:dyDescent="0.3">
      <c r="A71" t="str">
        <f>VLOOKUP(Q71,regions_fabio!$A$2:$C$192,3,0)</f>
        <v>EGY</v>
      </c>
      <c r="B71" t="str">
        <f>IFERROR(VLOOKUP(A71,polities_whep!$A$1:$G$199,2,0),"")</f>
        <v>Egypt</v>
      </c>
      <c r="C71">
        <v>59</v>
      </c>
      <c r="D71">
        <v>59</v>
      </c>
      <c r="E71" t="s">
        <v>265</v>
      </c>
      <c r="F71" t="str">
        <f>VLOOKUP(D71,FAO_areas!$A$2:$C$246,3,0)</f>
        <v>Egypt</v>
      </c>
      <c r="G71" t="s">
        <v>32</v>
      </c>
      <c r="H71" t="s">
        <v>266</v>
      </c>
      <c r="I71" t="s">
        <v>266</v>
      </c>
      <c r="J71" t="s">
        <v>266</v>
      </c>
      <c r="K71">
        <v>59</v>
      </c>
      <c r="L71" t="s">
        <v>266</v>
      </c>
      <c r="M71">
        <v>818</v>
      </c>
      <c r="N71">
        <v>818</v>
      </c>
      <c r="O71">
        <v>5</v>
      </c>
      <c r="P71" t="s">
        <v>34</v>
      </c>
      <c r="Q71">
        <v>59</v>
      </c>
      <c r="R71" t="s">
        <v>1552</v>
      </c>
      <c r="S71" t="s">
        <v>56</v>
      </c>
      <c r="T71">
        <v>1</v>
      </c>
      <c r="U71" t="s">
        <v>266</v>
      </c>
      <c r="V71" t="s">
        <v>57</v>
      </c>
      <c r="W71" t="s">
        <v>58</v>
      </c>
      <c r="X71" t="s">
        <v>59</v>
      </c>
      <c r="Y71" t="s">
        <v>56</v>
      </c>
      <c r="Z71" t="s">
        <v>60</v>
      </c>
      <c r="AA71" t="s">
        <v>60</v>
      </c>
      <c r="AB71" t="s">
        <v>56</v>
      </c>
      <c r="AC71" t="s">
        <v>56</v>
      </c>
      <c r="AD71" t="s">
        <v>40</v>
      </c>
      <c r="AE71" t="s">
        <v>41</v>
      </c>
      <c r="AF71" t="s">
        <v>56</v>
      </c>
      <c r="AG71" t="s">
        <v>59</v>
      </c>
      <c r="AH71" t="s">
        <v>43</v>
      </c>
      <c r="AI71" t="str">
        <f t="shared" si="3"/>
        <v>Other</v>
      </c>
    </row>
    <row r="72" spans="1:35" x14ac:dyDescent="0.3">
      <c r="A72" t="str">
        <f>VLOOKUP(Q72,regions_fabio!$A$2:$C$192,3,0)</f>
        <v>SLV</v>
      </c>
      <c r="B72" t="str">
        <f>IFERROR(VLOOKUP(A72,polities_whep!$A$1:$G$199,2,0),"")</f>
        <v>El Salvador</v>
      </c>
      <c r="C72">
        <v>60</v>
      </c>
      <c r="D72">
        <v>60</v>
      </c>
      <c r="E72" t="s">
        <v>267</v>
      </c>
      <c r="F72" t="str">
        <f>VLOOKUP(D72,FAO_areas!$A$2:$C$246,3,0)</f>
        <v>El Salvador</v>
      </c>
      <c r="G72" t="s">
        <v>32</v>
      </c>
      <c r="H72" t="s">
        <v>268</v>
      </c>
      <c r="I72" t="s">
        <v>268</v>
      </c>
      <c r="J72" t="s">
        <v>268</v>
      </c>
      <c r="K72">
        <v>60</v>
      </c>
      <c r="L72" t="s">
        <v>268</v>
      </c>
      <c r="M72">
        <v>222</v>
      </c>
      <c r="N72">
        <v>222</v>
      </c>
      <c r="O72">
        <v>3</v>
      </c>
      <c r="P72" t="s">
        <v>34</v>
      </c>
      <c r="Q72">
        <v>60</v>
      </c>
      <c r="R72" t="s">
        <v>1552</v>
      </c>
      <c r="S72" t="s">
        <v>89</v>
      </c>
      <c r="T72">
        <v>1</v>
      </c>
      <c r="U72" t="s">
        <v>268</v>
      </c>
      <c r="V72" t="s">
        <v>90</v>
      </c>
      <c r="W72" t="s">
        <v>91</v>
      </c>
      <c r="X72" t="s">
        <v>92</v>
      </c>
      <c r="Y72" t="s">
        <v>90</v>
      </c>
      <c r="Z72" t="s">
        <v>93</v>
      </c>
      <c r="AA72" t="s">
        <v>93</v>
      </c>
      <c r="AB72" t="s">
        <v>90</v>
      </c>
      <c r="AC72" t="s">
        <v>89</v>
      </c>
      <c r="AD72" t="s">
        <v>40</v>
      </c>
      <c r="AE72" t="s">
        <v>41</v>
      </c>
      <c r="AF72" t="s">
        <v>95</v>
      </c>
      <c r="AG72" t="s">
        <v>92</v>
      </c>
      <c r="AH72" t="s">
        <v>43</v>
      </c>
      <c r="AI72" t="str">
        <f t="shared" si="3"/>
        <v>Other</v>
      </c>
    </row>
    <row r="73" spans="1:35" x14ac:dyDescent="0.3">
      <c r="A73" t="s">
        <v>269</v>
      </c>
      <c r="B73" t="str">
        <f>IFERROR(VLOOKUP(A73,polities_whep!$A$1:$G$199,2,0),"")</f>
        <v>Equatorial Guinea</v>
      </c>
      <c r="C73">
        <v>61</v>
      </c>
      <c r="D73">
        <v>61</v>
      </c>
      <c r="E73" t="s">
        <v>269</v>
      </c>
      <c r="F73" t="str">
        <f>VLOOKUP(D73,FAO_areas!$A$2:$C$246,3,0)</f>
        <v>Equatorial Guinea</v>
      </c>
      <c r="G73" t="s">
        <v>32</v>
      </c>
      <c r="H73" t="s">
        <v>270</v>
      </c>
      <c r="I73" t="s">
        <v>270</v>
      </c>
      <c r="K73">
        <v>61</v>
      </c>
      <c r="L73" t="s">
        <v>270</v>
      </c>
      <c r="M73">
        <v>226</v>
      </c>
      <c r="N73">
        <v>226</v>
      </c>
      <c r="O73">
        <v>6</v>
      </c>
      <c r="P73" t="s">
        <v>32</v>
      </c>
      <c r="Q73">
        <v>999</v>
      </c>
      <c r="R73" t="s">
        <v>1552</v>
      </c>
      <c r="S73" t="s">
        <v>145</v>
      </c>
      <c r="T73">
        <v>1</v>
      </c>
      <c r="U73" t="s">
        <v>270</v>
      </c>
      <c r="V73" t="s">
        <v>80</v>
      </c>
      <c r="W73" t="s">
        <v>81</v>
      </c>
      <c r="X73" t="s">
        <v>82</v>
      </c>
      <c r="Y73" t="s">
        <v>83</v>
      </c>
      <c r="Z73" t="s">
        <v>60</v>
      </c>
      <c r="AA73" t="s">
        <v>60</v>
      </c>
      <c r="AB73" t="s">
        <v>83</v>
      </c>
      <c r="AC73" t="s">
        <v>84</v>
      </c>
      <c r="AD73" t="s">
        <v>40</v>
      </c>
      <c r="AE73" t="s">
        <v>41</v>
      </c>
      <c r="AF73" t="s">
        <v>85</v>
      </c>
      <c r="AG73" t="s">
        <v>86</v>
      </c>
      <c r="AH73" t="s">
        <v>43</v>
      </c>
      <c r="AI73" t="str">
        <f t="shared" si="3"/>
        <v>Other</v>
      </c>
    </row>
    <row r="74" spans="1:35" x14ac:dyDescent="0.3">
      <c r="A74" t="str">
        <f>VLOOKUP(Q74,regions_fabio!$A$2:$C$192,3,0)</f>
        <v>ERI</v>
      </c>
      <c r="B74" t="str">
        <f>IFERROR(VLOOKUP(A74,polities_whep!$A$1:$G$199,2,0),"")</f>
        <v>Eritrea</v>
      </c>
      <c r="C74">
        <v>175</v>
      </c>
      <c r="D74">
        <v>178</v>
      </c>
      <c r="E74" t="s">
        <v>271</v>
      </c>
      <c r="F74" t="str">
        <f>VLOOKUP(D74,FAO_areas!$A$2:$C$246,3,0)</f>
        <v>Eritrea</v>
      </c>
      <c r="G74" t="s">
        <v>32</v>
      </c>
      <c r="H74" t="s">
        <v>272</v>
      </c>
      <c r="I74" t="s">
        <v>272</v>
      </c>
      <c r="J74" t="s">
        <v>272</v>
      </c>
      <c r="K74">
        <v>178</v>
      </c>
      <c r="L74" t="s">
        <v>272</v>
      </c>
      <c r="M74">
        <v>232</v>
      </c>
      <c r="N74">
        <v>232</v>
      </c>
      <c r="O74">
        <v>7</v>
      </c>
      <c r="P74" t="s">
        <v>34</v>
      </c>
      <c r="Q74">
        <v>178</v>
      </c>
      <c r="R74" t="s">
        <v>1552</v>
      </c>
      <c r="S74" t="s">
        <v>183</v>
      </c>
      <c r="T74">
        <v>1</v>
      </c>
      <c r="U74" t="s">
        <v>272</v>
      </c>
      <c r="V74" t="s">
        <v>80</v>
      </c>
      <c r="W74" t="s">
        <v>81</v>
      </c>
      <c r="X74" t="s">
        <v>82</v>
      </c>
      <c r="Y74" t="s">
        <v>83</v>
      </c>
      <c r="Z74" t="s">
        <v>60</v>
      </c>
      <c r="AA74" t="s">
        <v>60</v>
      </c>
      <c r="AB74" t="s">
        <v>83</v>
      </c>
      <c r="AC74" t="s">
        <v>183</v>
      </c>
      <c r="AD74" t="s">
        <v>40</v>
      </c>
      <c r="AE74" t="s">
        <v>41</v>
      </c>
      <c r="AF74" t="s">
        <v>183</v>
      </c>
      <c r="AG74" t="s">
        <v>86</v>
      </c>
      <c r="AH74" t="s">
        <v>43</v>
      </c>
      <c r="AI74" t="str">
        <f t="shared" si="3"/>
        <v>Other</v>
      </c>
    </row>
    <row r="75" spans="1:35" x14ac:dyDescent="0.3">
      <c r="A75" t="str">
        <f>VLOOKUP(Q75,regions_fabio!$A$2:$C$192,3,0)</f>
        <v>EST</v>
      </c>
      <c r="B75" t="str">
        <f>IFERROR(VLOOKUP(A75,polities_whep!$A$1:$G$199,2,0),"")</f>
        <v>Estonia</v>
      </c>
      <c r="C75">
        <v>63</v>
      </c>
      <c r="D75">
        <v>63</v>
      </c>
      <c r="E75" t="s">
        <v>273</v>
      </c>
      <c r="F75" t="str">
        <f>VLOOKUP(D75,FAO_areas!$A$2:$C$246,3,0)</f>
        <v>Estonia</v>
      </c>
      <c r="G75" t="s">
        <v>34</v>
      </c>
      <c r="H75" t="s">
        <v>274</v>
      </c>
      <c r="I75" t="s">
        <v>274</v>
      </c>
      <c r="J75" t="s">
        <v>274</v>
      </c>
      <c r="K75">
        <v>63</v>
      </c>
      <c r="L75" t="s">
        <v>274</v>
      </c>
      <c r="M75">
        <v>233</v>
      </c>
      <c r="N75">
        <v>233</v>
      </c>
      <c r="O75">
        <v>11</v>
      </c>
      <c r="P75" t="s">
        <v>34</v>
      </c>
      <c r="Q75">
        <v>63</v>
      </c>
      <c r="R75" t="s">
        <v>5046</v>
      </c>
      <c r="S75" t="s">
        <v>107</v>
      </c>
      <c r="T75">
        <v>1</v>
      </c>
      <c r="U75" t="s">
        <v>274</v>
      </c>
      <c r="V75" t="s">
        <v>47</v>
      </c>
      <c r="W75" t="s">
        <v>48</v>
      </c>
      <c r="X75" t="s">
        <v>49</v>
      </c>
      <c r="Y75" t="s">
        <v>251</v>
      </c>
      <c r="Z75" t="s">
        <v>49</v>
      </c>
      <c r="AA75" t="s">
        <v>51</v>
      </c>
      <c r="AB75" t="s">
        <v>52</v>
      </c>
      <c r="AC75" t="s">
        <v>251</v>
      </c>
      <c r="AD75" t="s">
        <v>40</v>
      </c>
      <c r="AE75" t="s">
        <v>118</v>
      </c>
      <c r="AF75" t="s">
        <v>112</v>
      </c>
      <c r="AG75" t="s">
        <v>112</v>
      </c>
      <c r="AH75" t="s">
        <v>53</v>
      </c>
      <c r="AI75" t="str">
        <f t="shared" si="3"/>
        <v>Europe</v>
      </c>
    </row>
    <row r="76" spans="1:35" x14ac:dyDescent="0.3">
      <c r="A76" t="s">
        <v>275</v>
      </c>
      <c r="B76" t="str">
        <f>IFERROR(VLOOKUP(A76,polities_whep!$A$1:$G$199,2,0),"")</f>
        <v>Eswatini</v>
      </c>
      <c r="C76">
        <v>205</v>
      </c>
      <c r="D76">
        <v>209</v>
      </c>
      <c r="E76" t="s">
        <v>275</v>
      </c>
      <c r="F76" t="str">
        <f>VLOOKUP(D76,FAO_areas!$A$2:$C$246,3,0)</f>
        <v>Eswatini</v>
      </c>
      <c r="G76" t="s">
        <v>32</v>
      </c>
      <c r="H76" t="s">
        <v>276</v>
      </c>
      <c r="I76" t="s">
        <v>277</v>
      </c>
      <c r="K76">
        <v>209</v>
      </c>
      <c r="L76" t="s">
        <v>277</v>
      </c>
      <c r="M76" t="s">
        <v>98</v>
      </c>
      <c r="N76">
        <v>748</v>
      </c>
      <c r="O76">
        <v>8</v>
      </c>
      <c r="P76" t="s">
        <v>34</v>
      </c>
      <c r="Q76">
        <v>999</v>
      </c>
      <c r="R76" t="s">
        <v>1552</v>
      </c>
      <c r="S76" t="s">
        <v>79</v>
      </c>
      <c r="T76">
        <v>1</v>
      </c>
      <c r="U76" t="s">
        <v>277</v>
      </c>
      <c r="V76" t="s">
        <v>80</v>
      </c>
      <c r="W76" t="s">
        <v>81</v>
      </c>
      <c r="X76" t="s">
        <v>82</v>
      </c>
      <c r="Y76" t="s">
        <v>83</v>
      </c>
      <c r="Z76" t="s">
        <v>60</v>
      </c>
      <c r="AA76" t="s">
        <v>60</v>
      </c>
      <c r="AB76" t="s">
        <v>83</v>
      </c>
      <c r="AC76" t="s">
        <v>79</v>
      </c>
      <c r="AD76" t="s">
        <v>40</v>
      </c>
      <c r="AE76" t="s">
        <v>41</v>
      </c>
      <c r="AF76" t="s">
        <v>79</v>
      </c>
      <c r="AG76" t="s">
        <v>86</v>
      </c>
      <c r="AH76" t="s">
        <v>53</v>
      </c>
      <c r="AI76" t="str">
        <f t="shared" si="3"/>
        <v>Other</v>
      </c>
    </row>
    <row r="77" spans="1:35" x14ac:dyDescent="0.3">
      <c r="A77" t="str">
        <f>VLOOKUP(Q77,regions_fabio!$A$2:$C$192,3,0)</f>
        <v>ETH</v>
      </c>
      <c r="B77" t="str">
        <f>IFERROR(VLOOKUP(A77,polities_whep!$A$1:$G$199,2,0),"")</f>
        <v>Ethiopia</v>
      </c>
      <c r="C77">
        <v>234</v>
      </c>
      <c r="D77">
        <v>238</v>
      </c>
      <c r="E77" t="s">
        <v>278</v>
      </c>
      <c r="F77" t="str">
        <f>VLOOKUP(D77,FAO_areas!$A$2:$C$246,3,0)</f>
        <v>Ethiopia</v>
      </c>
      <c r="G77" t="s">
        <v>32</v>
      </c>
      <c r="H77" t="s">
        <v>279</v>
      </c>
      <c r="I77" t="s">
        <v>279</v>
      </c>
      <c r="J77" t="s">
        <v>279</v>
      </c>
      <c r="K77">
        <v>238</v>
      </c>
      <c r="L77" t="s">
        <v>279</v>
      </c>
      <c r="M77">
        <v>231</v>
      </c>
      <c r="N77">
        <v>231</v>
      </c>
      <c r="O77">
        <v>7</v>
      </c>
      <c r="P77" t="s">
        <v>34</v>
      </c>
      <c r="Q77">
        <v>238</v>
      </c>
      <c r="R77" t="s">
        <v>1552</v>
      </c>
      <c r="S77" t="s">
        <v>183</v>
      </c>
      <c r="T77">
        <v>1</v>
      </c>
      <c r="U77" t="s">
        <v>279</v>
      </c>
      <c r="V77" t="s">
        <v>80</v>
      </c>
      <c r="W77" t="s">
        <v>81</v>
      </c>
      <c r="X77" t="s">
        <v>82</v>
      </c>
      <c r="Y77" t="s">
        <v>83</v>
      </c>
      <c r="Z77" t="s">
        <v>60</v>
      </c>
      <c r="AA77" t="s">
        <v>60</v>
      </c>
      <c r="AB77" t="s">
        <v>83</v>
      </c>
      <c r="AC77" t="s">
        <v>183</v>
      </c>
      <c r="AD77" t="s">
        <v>40</v>
      </c>
      <c r="AE77" t="s">
        <v>41</v>
      </c>
      <c r="AF77" t="s">
        <v>183</v>
      </c>
      <c r="AG77" t="s">
        <v>86</v>
      </c>
      <c r="AH77" t="s">
        <v>43</v>
      </c>
      <c r="AI77" t="str">
        <f t="shared" si="3"/>
        <v>Other</v>
      </c>
    </row>
    <row r="78" spans="1:35" x14ac:dyDescent="0.3">
      <c r="A78" t="str">
        <f>VLOOKUP(Q78,regions_fabio!$A$2:$C$192,3,0)</f>
        <v>ETH</v>
      </c>
      <c r="B78" t="str">
        <f>IFERROR(VLOOKUP(A78,polities_whep!$A$1:$G$199,2,0),"")</f>
        <v>Ethiopia</v>
      </c>
      <c r="C78">
        <v>62</v>
      </c>
      <c r="D78">
        <v>62</v>
      </c>
      <c r="E78" t="s">
        <v>278</v>
      </c>
      <c r="F78" t="str">
        <f>VLOOKUP(D78,FAO_areas!$A$2:$C$246,3,0)</f>
        <v>Ethiopia PDR</v>
      </c>
      <c r="G78" t="s">
        <v>32</v>
      </c>
      <c r="H78" t="s">
        <v>280</v>
      </c>
      <c r="K78">
        <v>999</v>
      </c>
      <c r="L78" t="s">
        <v>73</v>
      </c>
      <c r="M78">
        <v>231</v>
      </c>
      <c r="N78">
        <v>230</v>
      </c>
      <c r="O78">
        <v>7</v>
      </c>
      <c r="P78" s="2" t="s">
        <v>34</v>
      </c>
      <c r="Q78" s="2">
        <v>238</v>
      </c>
      <c r="R78" t="s">
        <v>1552</v>
      </c>
      <c r="S78" t="s">
        <v>183</v>
      </c>
      <c r="T78">
        <v>0</v>
      </c>
      <c r="U78" t="s">
        <v>280</v>
      </c>
      <c r="V78" t="s">
        <v>80</v>
      </c>
      <c r="W78" t="s">
        <v>81</v>
      </c>
      <c r="X78" t="s">
        <v>82</v>
      </c>
      <c r="Y78" t="s">
        <v>83</v>
      </c>
      <c r="Z78" t="s">
        <v>60</v>
      </c>
      <c r="AA78" t="s">
        <v>60</v>
      </c>
      <c r="AB78" t="s">
        <v>83</v>
      </c>
      <c r="AC78" t="s">
        <v>183</v>
      </c>
      <c r="AD78" t="s">
        <v>40</v>
      </c>
      <c r="AE78" t="s">
        <v>41</v>
      </c>
      <c r="AF78" t="s">
        <v>183</v>
      </c>
      <c r="AG78" t="s">
        <v>86</v>
      </c>
      <c r="AH78" t="s">
        <v>43</v>
      </c>
      <c r="AI78" t="str">
        <f t="shared" si="3"/>
        <v>Other</v>
      </c>
    </row>
    <row r="79" spans="1:35" x14ac:dyDescent="0.3">
      <c r="A79" t="s">
        <v>4767</v>
      </c>
      <c r="B79" t="str">
        <f>IFERROR(VLOOKUP(A79,polities_whep!$A$1:$G$199,2,0),"")</f>
        <v>Europe Other</v>
      </c>
      <c r="C79">
        <v>6</v>
      </c>
      <c r="D79">
        <v>6</v>
      </c>
      <c r="E79" t="s">
        <v>71</v>
      </c>
      <c r="F79" t="e">
        <f>VLOOKUP(D79,FAO_areas!$A$2:$C$246,3,0)</f>
        <v>#N/A</v>
      </c>
      <c r="G79" t="s">
        <v>32</v>
      </c>
      <c r="H79" t="s">
        <v>72</v>
      </c>
      <c r="K79">
        <v>999</v>
      </c>
      <c r="L79" t="s">
        <v>73</v>
      </c>
      <c r="M79">
        <v>20</v>
      </c>
      <c r="N79">
        <v>20</v>
      </c>
      <c r="O79">
        <v>9</v>
      </c>
      <c r="P79" t="s">
        <v>32</v>
      </c>
      <c r="Q79">
        <v>999</v>
      </c>
      <c r="R79" t="s">
        <v>1552</v>
      </c>
      <c r="S79" t="s">
        <v>74</v>
      </c>
      <c r="T79">
        <v>1</v>
      </c>
      <c r="U79" t="s">
        <v>72</v>
      </c>
      <c r="V79" t="s">
        <v>75</v>
      </c>
      <c r="W79" t="s">
        <v>76</v>
      </c>
      <c r="X79" t="s">
        <v>49</v>
      </c>
      <c r="Y79" t="s">
        <v>50</v>
      </c>
      <c r="Z79" t="s">
        <v>49</v>
      </c>
      <c r="AA79" t="s">
        <v>51</v>
      </c>
      <c r="AB79" t="s">
        <v>52</v>
      </c>
      <c r="AC79" t="s">
        <v>50</v>
      </c>
      <c r="AD79" t="s">
        <v>40</v>
      </c>
      <c r="AE79" t="s">
        <v>41</v>
      </c>
      <c r="AF79" t="s">
        <v>50</v>
      </c>
      <c r="AG79" t="s">
        <v>49</v>
      </c>
      <c r="AH79" t="s">
        <v>53</v>
      </c>
      <c r="AI79" t="str">
        <f t="shared" si="3"/>
        <v>Europe</v>
      </c>
    </row>
    <row r="80" spans="1:35" x14ac:dyDescent="0.3">
      <c r="A80" t="s">
        <v>4767</v>
      </c>
      <c r="B80" t="str">
        <f>IFERROR(VLOOKUP(A80,polities_whep!$A$1:$G$199,2,0),"")</f>
        <v>Europe Other</v>
      </c>
      <c r="C80">
        <v>64</v>
      </c>
      <c r="D80">
        <v>64</v>
      </c>
      <c r="E80" t="s">
        <v>284</v>
      </c>
      <c r="F80" t="str">
        <f>VLOOKUP(D80,FAO_areas!$A$2:$C$246,3,0)</f>
        <v>Faroe Islands</v>
      </c>
      <c r="G80" t="s">
        <v>32</v>
      </c>
      <c r="H80" t="s">
        <v>285</v>
      </c>
      <c r="I80" t="s">
        <v>285</v>
      </c>
      <c r="K80">
        <v>64</v>
      </c>
      <c r="L80" t="s">
        <v>285</v>
      </c>
      <c r="M80" t="s">
        <v>98</v>
      </c>
      <c r="N80">
        <v>234</v>
      </c>
      <c r="O80">
        <v>9</v>
      </c>
      <c r="P80" t="s">
        <v>32</v>
      </c>
      <c r="Q80">
        <v>999</v>
      </c>
      <c r="R80" t="s">
        <v>1552</v>
      </c>
      <c r="S80" t="s">
        <v>74</v>
      </c>
      <c r="T80">
        <v>1</v>
      </c>
      <c r="U80" t="s">
        <v>285</v>
      </c>
      <c r="V80" t="s">
        <v>75</v>
      </c>
      <c r="W80" t="s">
        <v>76</v>
      </c>
      <c r="X80" t="s">
        <v>49</v>
      </c>
      <c r="Y80" t="s">
        <v>251</v>
      </c>
      <c r="Z80" t="s">
        <v>49</v>
      </c>
      <c r="AA80" t="s">
        <v>51</v>
      </c>
      <c r="AB80" t="s">
        <v>52</v>
      </c>
      <c r="AC80" t="s">
        <v>251</v>
      </c>
      <c r="AD80" t="s">
        <v>40</v>
      </c>
      <c r="AE80" t="s">
        <v>41</v>
      </c>
      <c r="AF80" t="s">
        <v>251</v>
      </c>
      <c r="AG80" t="s">
        <v>49</v>
      </c>
      <c r="AH80" t="s">
        <v>53</v>
      </c>
      <c r="AI80" t="str">
        <f t="shared" si="3"/>
        <v>Europe</v>
      </c>
    </row>
    <row r="81" spans="1:35" x14ac:dyDescent="0.3">
      <c r="A81" t="s">
        <v>4767</v>
      </c>
      <c r="B81" t="str">
        <f>IFERROR(VLOOKUP(A81,polities_whep!$A$1:$G$199,2,0),"")</f>
        <v>Europe Other</v>
      </c>
      <c r="C81">
        <v>79</v>
      </c>
      <c r="D81">
        <v>82</v>
      </c>
      <c r="E81" t="s">
        <v>310</v>
      </c>
      <c r="F81" t="e">
        <f>VLOOKUP(D81,FAO_areas!$A$2:$C$246,3,0)</f>
        <v>#N/A</v>
      </c>
      <c r="G81" t="s">
        <v>32</v>
      </c>
      <c r="H81" t="s">
        <v>311</v>
      </c>
      <c r="I81" t="s">
        <v>311</v>
      </c>
      <c r="J81" t="s">
        <v>311</v>
      </c>
      <c r="K81">
        <v>999</v>
      </c>
      <c r="L81" t="s">
        <v>73</v>
      </c>
      <c r="M81">
        <v>292</v>
      </c>
      <c r="N81">
        <v>292</v>
      </c>
      <c r="O81">
        <v>9</v>
      </c>
      <c r="P81" t="s">
        <v>32</v>
      </c>
      <c r="Q81">
        <v>999</v>
      </c>
      <c r="R81" t="s">
        <v>1552</v>
      </c>
      <c r="S81" t="s">
        <v>74</v>
      </c>
      <c r="T81">
        <v>1</v>
      </c>
      <c r="U81" t="s">
        <v>311</v>
      </c>
      <c r="V81" t="s">
        <v>75</v>
      </c>
      <c r="W81" t="s">
        <v>76</v>
      </c>
      <c r="X81" t="s">
        <v>49</v>
      </c>
      <c r="Y81" t="s">
        <v>50</v>
      </c>
      <c r="Z81" t="s">
        <v>49</v>
      </c>
      <c r="AA81" t="s">
        <v>51</v>
      </c>
      <c r="AB81" t="s">
        <v>52</v>
      </c>
      <c r="AC81" t="s">
        <v>50</v>
      </c>
      <c r="AD81" t="s">
        <v>40</v>
      </c>
      <c r="AE81" t="s">
        <v>41</v>
      </c>
      <c r="AF81" t="s">
        <v>50</v>
      </c>
      <c r="AG81" t="s">
        <v>49</v>
      </c>
      <c r="AH81" t="s">
        <v>53</v>
      </c>
      <c r="AI81" t="str">
        <f t="shared" si="3"/>
        <v>Europe</v>
      </c>
    </row>
    <row r="82" spans="1:35" x14ac:dyDescent="0.3">
      <c r="A82" t="s">
        <v>4767</v>
      </c>
      <c r="B82" t="str">
        <f>IFERROR(VLOOKUP(A82,polities_whep!$A$1:$G$199,2,0),"")</f>
        <v>Europe Other</v>
      </c>
      <c r="C82">
        <v>82</v>
      </c>
      <c r="D82">
        <v>85</v>
      </c>
      <c r="E82" t="s">
        <v>314</v>
      </c>
      <c r="F82" t="e">
        <f>VLOOKUP(D82,FAO_areas!$A$2:$C$246,3,0)</f>
        <v>#N/A</v>
      </c>
      <c r="G82" t="s">
        <v>32</v>
      </c>
      <c r="H82" t="s">
        <v>315</v>
      </c>
      <c r="I82" t="s">
        <v>315</v>
      </c>
      <c r="K82">
        <v>999</v>
      </c>
      <c r="L82" t="s">
        <v>73</v>
      </c>
      <c r="M82">
        <v>304</v>
      </c>
      <c r="N82">
        <v>304</v>
      </c>
      <c r="O82">
        <v>9</v>
      </c>
      <c r="P82" t="s">
        <v>32</v>
      </c>
      <c r="Q82">
        <v>999</v>
      </c>
      <c r="R82" t="s">
        <v>1552</v>
      </c>
      <c r="S82" t="s">
        <v>74</v>
      </c>
      <c r="T82">
        <v>1</v>
      </c>
      <c r="U82" t="s">
        <v>315</v>
      </c>
      <c r="V82" t="s">
        <v>75</v>
      </c>
      <c r="W82" t="s">
        <v>76</v>
      </c>
      <c r="X82" t="s">
        <v>49</v>
      </c>
      <c r="Y82" t="s">
        <v>148</v>
      </c>
      <c r="Z82" t="s">
        <v>93</v>
      </c>
      <c r="AA82" t="s">
        <v>93</v>
      </c>
      <c r="AB82" t="s">
        <v>148</v>
      </c>
      <c r="AC82" t="s">
        <v>148</v>
      </c>
      <c r="AD82" t="s">
        <v>40</v>
      </c>
      <c r="AE82" t="s">
        <v>41</v>
      </c>
      <c r="AF82" t="s">
        <v>148</v>
      </c>
      <c r="AG82" s="2" t="s">
        <v>49</v>
      </c>
      <c r="AH82" t="s">
        <v>53</v>
      </c>
      <c r="AI82" t="str">
        <f t="shared" si="3"/>
        <v>Other</v>
      </c>
    </row>
    <row r="83" spans="1:35" x14ac:dyDescent="0.3">
      <c r="A83" t="s">
        <v>4767</v>
      </c>
      <c r="B83" t="str">
        <f>IFERROR(VLOOKUP(A83,polities_whep!$A$1:$G$199,2,0),"")</f>
        <v>Europe Other</v>
      </c>
      <c r="C83">
        <v>91</v>
      </c>
      <c r="D83">
        <v>94</v>
      </c>
      <c r="E83" t="s">
        <v>335</v>
      </c>
      <c r="F83" t="e">
        <f>VLOOKUP(D83,FAO_areas!$A$2:$C$246,3,0)</f>
        <v>#N/A</v>
      </c>
      <c r="G83" t="s">
        <v>32</v>
      </c>
      <c r="H83" t="s">
        <v>336</v>
      </c>
      <c r="K83">
        <v>999</v>
      </c>
      <c r="L83" t="s">
        <v>73</v>
      </c>
      <c r="M83" t="s">
        <v>98</v>
      </c>
      <c r="N83">
        <v>336</v>
      </c>
      <c r="O83">
        <v>9</v>
      </c>
      <c r="P83" t="s">
        <v>32</v>
      </c>
      <c r="Q83">
        <v>999</v>
      </c>
      <c r="R83" t="s">
        <v>1552</v>
      </c>
      <c r="S83" t="s">
        <v>74</v>
      </c>
      <c r="T83">
        <v>1</v>
      </c>
      <c r="U83" t="s">
        <v>336</v>
      </c>
      <c r="V83" t="s">
        <v>75</v>
      </c>
      <c r="W83" t="s">
        <v>76</v>
      </c>
      <c r="X83" s="2" t="s">
        <v>49</v>
      </c>
      <c r="Y83" s="2" t="s">
        <v>50</v>
      </c>
      <c r="Z83" s="2" t="s">
        <v>49</v>
      </c>
      <c r="AA83" s="2" t="s">
        <v>51</v>
      </c>
      <c r="AB83" s="2" t="s">
        <v>52</v>
      </c>
      <c r="AC83" t="s">
        <v>50</v>
      </c>
      <c r="AD83" t="s">
        <v>117</v>
      </c>
      <c r="AE83" t="s">
        <v>118</v>
      </c>
      <c r="AF83" t="s">
        <v>50</v>
      </c>
      <c r="AG83" t="s">
        <v>49</v>
      </c>
      <c r="AH83" t="s">
        <v>53</v>
      </c>
      <c r="AI83" t="str">
        <f t="shared" si="3"/>
        <v>Europe</v>
      </c>
    </row>
    <row r="84" spans="1:35" x14ac:dyDescent="0.3">
      <c r="A84" t="s">
        <v>4767</v>
      </c>
      <c r="B84" t="str">
        <f>IFERROR(VLOOKUP(A84,polities_whep!$A$1:$G$199,2,0),"")</f>
        <v>Europe Other</v>
      </c>
      <c r="C84">
        <v>122</v>
      </c>
      <c r="D84">
        <v>125</v>
      </c>
      <c r="E84" t="s">
        <v>399</v>
      </c>
      <c r="F84" t="e">
        <f>VLOOKUP(D84,FAO_areas!$A$2:$C$246,3,0)</f>
        <v>#N/A</v>
      </c>
      <c r="G84" t="s">
        <v>32</v>
      </c>
      <c r="H84" t="s">
        <v>400</v>
      </c>
      <c r="K84">
        <v>999</v>
      </c>
      <c r="L84" t="s">
        <v>73</v>
      </c>
      <c r="M84" t="s">
        <v>98</v>
      </c>
      <c r="N84">
        <v>438</v>
      </c>
      <c r="O84">
        <v>9</v>
      </c>
      <c r="P84" t="s">
        <v>32</v>
      </c>
      <c r="Q84">
        <v>999</v>
      </c>
      <c r="R84" t="s">
        <v>1552</v>
      </c>
      <c r="S84" t="s">
        <v>74</v>
      </c>
      <c r="T84">
        <v>1</v>
      </c>
      <c r="U84" t="s">
        <v>400</v>
      </c>
      <c r="V84" t="s">
        <v>75</v>
      </c>
      <c r="W84" t="s">
        <v>76</v>
      </c>
      <c r="X84" t="s">
        <v>49</v>
      </c>
      <c r="Y84" t="s">
        <v>75</v>
      </c>
      <c r="Z84" t="s">
        <v>49</v>
      </c>
      <c r="AA84" t="s">
        <v>51</v>
      </c>
      <c r="AB84" t="s">
        <v>52</v>
      </c>
      <c r="AC84" t="s">
        <v>75</v>
      </c>
      <c r="AD84" t="s">
        <v>40</v>
      </c>
      <c r="AE84" t="s">
        <v>41</v>
      </c>
      <c r="AF84" t="s">
        <v>75</v>
      </c>
      <c r="AG84" t="s">
        <v>49</v>
      </c>
      <c r="AH84" t="s">
        <v>53</v>
      </c>
      <c r="AI84" t="str">
        <f t="shared" si="3"/>
        <v>Europe</v>
      </c>
    </row>
    <row r="85" spans="1:35" x14ac:dyDescent="0.3">
      <c r="A85" t="s">
        <v>4767</v>
      </c>
      <c r="B85" t="str">
        <f>IFERROR(VLOOKUP(A85,polities_whep!$A$1:$G$199,2,0),"")</f>
        <v>Europe Other</v>
      </c>
      <c r="C85">
        <v>137</v>
      </c>
      <c r="D85">
        <v>140</v>
      </c>
      <c r="E85" t="s">
        <v>437</v>
      </c>
      <c r="F85" t="e">
        <f>VLOOKUP(D85,FAO_areas!$A$2:$C$246,3,0)</f>
        <v>#N/A</v>
      </c>
      <c r="G85" t="s">
        <v>32</v>
      </c>
      <c r="H85" t="s">
        <v>438</v>
      </c>
      <c r="K85">
        <v>999</v>
      </c>
      <c r="L85" t="s">
        <v>73</v>
      </c>
      <c r="M85" t="s">
        <v>98</v>
      </c>
      <c r="N85">
        <v>492</v>
      </c>
      <c r="O85">
        <v>9</v>
      </c>
      <c r="P85" t="s">
        <v>32</v>
      </c>
      <c r="Q85">
        <v>999</v>
      </c>
      <c r="R85" t="s">
        <v>1552</v>
      </c>
      <c r="S85" t="s">
        <v>74</v>
      </c>
      <c r="T85">
        <v>1</v>
      </c>
      <c r="U85" t="s">
        <v>438</v>
      </c>
      <c r="V85" t="s">
        <v>75</v>
      </c>
      <c r="W85" t="s">
        <v>76</v>
      </c>
      <c r="X85" t="s">
        <v>49</v>
      </c>
      <c r="Y85" t="s">
        <v>75</v>
      </c>
      <c r="Z85" t="s">
        <v>49</v>
      </c>
      <c r="AA85" t="s">
        <v>51</v>
      </c>
      <c r="AB85" t="s">
        <v>52</v>
      </c>
      <c r="AC85" t="s">
        <v>75</v>
      </c>
      <c r="AD85" t="s">
        <v>40</v>
      </c>
      <c r="AE85" t="s">
        <v>41</v>
      </c>
      <c r="AF85" t="s">
        <v>75</v>
      </c>
      <c r="AG85" t="s">
        <v>49</v>
      </c>
      <c r="AH85" t="s">
        <v>53</v>
      </c>
      <c r="AI85" t="str">
        <f t="shared" si="3"/>
        <v>Europe</v>
      </c>
    </row>
    <row r="86" spans="1:35" x14ac:dyDescent="0.3">
      <c r="A86" t="s">
        <v>4767</v>
      </c>
      <c r="B86" t="str">
        <f>IFERROR(VLOOKUP(A86,polities_whep!$A$1:$G$199,2,0),"")</f>
        <v>Europe Other</v>
      </c>
      <c r="C86">
        <v>189</v>
      </c>
      <c r="D86">
        <v>192</v>
      </c>
      <c r="E86" t="s">
        <v>558</v>
      </c>
      <c r="F86" t="e">
        <f>VLOOKUP(D86,FAO_areas!$A$2:$C$246,3,0)</f>
        <v>#N/A</v>
      </c>
      <c r="G86" t="s">
        <v>32</v>
      </c>
      <c r="H86" t="s">
        <v>559</v>
      </c>
      <c r="K86">
        <v>999</v>
      </c>
      <c r="L86" t="s">
        <v>73</v>
      </c>
      <c r="M86">
        <v>674</v>
      </c>
      <c r="N86">
        <v>674</v>
      </c>
      <c r="O86">
        <v>9</v>
      </c>
      <c r="P86" t="s">
        <v>32</v>
      </c>
      <c r="Q86">
        <v>999</v>
      </c>
      <c r="R86" t="s">
        <v>1552</v>
      </c>
      <c r="S86" t="s">
        <v>74</v>
      </c>
      <c r="T86">
        <v>1</v>
      </c>
      <c r="U86" t="s">
        <v>559</v>
      </c>
      <c r="V86" t="s">
        <v>75</v>
      </c>
      <c r="W86" t="s">
        <v>76</v>
      </c>
      <c r="X86" t="s">
        <v>49</v>
      </c>
      <c r="Y86" t="s">
        <v>50</v>
      </c>
      <c r="Z86" t="s">
        <v>49</v>
      </c>
      <c r="AA86" t="s">
        <v>51</v>
      </c>
      <c r="AB86" t="s">
        <v>52</v>
      </c>
      <c r="AC86" t="s">
        <v>50</v>
      </c>
      <c r="AD86" t="s">
        <v>40</v>
      </c>
      <c r="AE86" t="s">
        <v>41</v>
      </c>
      <c r="AF86" t="s">
        <v>50</v>
      </c>
      <c r="AG86" t="s">
        <v>49</v>
      </c>
      <c r="AH86" t="s">
        <v>53</v>
      </c>
      <c r="AI86" t="str">
        <f t="shared" si="3"/>
        <v>Europe</v>
      </c>
    </row>
    <row r="87" spans="1:35" x14ac:dyDescent="0.3">
      <c r="A87" t="s">
        <v>4767</v>
      </c>
      <c r="B87" t="str">
        <f>IFERROR(VLOOKUP(A87,polities_whep!$A$1:$G$199,2,0),"")</f>
        <v>Europe Other</v>
      </c>
      <c r="C87">
        <v>249</v>
      </c>
      <c r="D87">
        <v>260</v>
      </c>
      <c r="E87" t="s">
        <v>607</v>
      </c>
      <c r="F87" t="e">
        <f>VLOOKUP(D87,FAO_areas!$A$2:$C$246,3,0)</f>
        <v>#N/A</v>
      </c>
      <c r="G87" t="s">
        <v>32</v>
      </c>
      <c r="H87" t="s">
        <v>608</v>
      </c>
      <c r="K87">
        <v>999</v>
      </c>
      <c r="L87" t="s">
        <v>73</v>
      </c>
      <c r="M87" t="s">
        <v>98</v>
      </c>
      <c r="N87">
        <v>744</v>
      </c>
      <c r="O87">
        <v>9</v>
      </c>
      <c r="P87" t="s">
        <v>32</v>
      </c>
      <c r="Q87">
        <v>999</v>
      </c>
      <c r="R87" t="s">
        <v>1552</v>
      </c>
      <c r="S87" t="s">
        <v>74</v>
      </c>
      <c r="T87">
        <v>1</v>
      </c>
      <c r="U87" t="s">
        <v>608</v>
      </c>
      <c r="V87" t="s">
        <v>75</v>
      </c>
      <c r="W87" t="s">
        <v>76</v>
      </c>
      <c r="X87" s="2" t="s">
        <v>49</v>
      </c>
      <c r="Y87" s="2" t="s">
        <v>251</v>
      </c>
      <c r="Z87" s="2" t="s">
        <v>49</v>
      </c>
      <c r="AA87" s="2"/>
      <c r="AB87" s="2"/>
      <c r="AF87" t="s">
        <v>251</v>
      </c>
      <c r="AG87" t="s">
        <v>49</v>
      </c>
      <c r="AH87" t="s">
        <v>53</v>
      </c>
      <c r="AI87" t="str">
        <f t="shared" si="3"/>
        <v>Europe</v>
      </c>
    </row>
    <row r="88" spans="1:35" x14ac:dyDescent="0.3">
      <c r="A88" s="10" t="s">
        <v>4767</v>
      </c>
      <c r="B88" t="s">
        <v>4761</v>
      </c>
    </row>
    <row r="89" spans="1:35" x14ac:dyDescent="0.3">
      <c r="A89" t="str">
        <f>VLOOKUP(Q89,regions_fabio!$A$2:$C$192,3,0)</f>
        <v>FJI</v>
      </c>
      <c r="B89" t="str">
        <f>IFERROR(VLOOKUP(A89,polities_whep!$A$1:$G$199,2,0),"")</f>
        <v>Fiji</v>
      </c>
      <c r="C89">
        <v>66</v>
      </c>
      <c r="D89">
        <v>66</v>
      </c>
      <c r="E89" t="s">
        <v>286</v>
      </c>
      <c r="F89" t="str">
        <f>VLOOKUP(D89,FAO_areas!$A$2:$C$246,3,0)</f>
        <v>Fiji</v>
      </c>
      <c r="G89" t="s">
        <v>32</v>
      </c>
      <c r="H89" t="s">
        <v>287</v>
      </c>
      <c r="I89" t="s">
        <v>287</v>
      </c>
      <c r="K89">
        <v>66</v>
      </c>
      <c r="L89" t="s">
        <v>287</v>
      </c>
      <c r="M89">
        <v>242</v>
      </c>
      <c r="N89">
        <v>242</v>
      </c>
      <c r="O89">
        <v>16</v>
      </c>
      <c r="P89" t="s">
        <v>34</v>
      </c>
      <c r="Q89">
        <v>66</v>
      </c>
      <c r="R89" t="s">
        <v>1552</v>
      </c>
      <c r="S89" t="s">
        <v>63</v>
      </c>
      <c r="T89">
        <v>1</v>
      </c>
      <c r="U89" t="s">
        <v>287</v>
      </c>
      <c r="V89" t="s">
        <v>64</v>
      </c>
      <c r="W89" t="s">
        <v>65</v>
      </c>
      <c r="X89" t="s">
        <v>63</v>
      </c>
      <c r="Y89" t="s">
        <v>288</v>
      </c>
      <c r="Z89" t="s">
        <v>63</v>
      </c>
      <c r="AA89" t="s">
        <v>39</v>
      </c>
      <c r="AB89" t="s">
        <v>67</v>
      </c>
      <c r="AC89" t="s">
        <v>68</v>
      </c>
      <c r="AD89" t="s">
        <v>40</v>
      </c>
      <c r="AE89" t="s">
        <v>41</v>
      </c>
      <c r="AF89" t="s">
        <v>69</v>
      </c>
      <c r="AG89" t="s">
        <v>70</v>
      </c>
      <c r="AH89" t="s">
        <v>43</v>
      </c>
      <c r="AI89" t="str">
        <f t="shared" ref="AI89:AI120" si="4">IF(Z89="Europe","Europe","Other")</f>
        <v>Other</v>
      </c>
    </row>
    <row r="90" spans="1:35" x14ac:dyDescent="0.3">
      <c r="A90" t="str">
        <f>VLOOKUP(Q90,regions_fabio!$A$2:$C$192,3,0)</f>
        <v>FIN</v>
      </c>
      <c r="B90" t="str">
        <f>IFERROR(VLOOKUP(A90,polities_whep!$A$1:$G$199,2,0),"")</f>
        <v>Finland</v>
      </c>
      <c r="C90">
        <v>67</v>
      </c>
      <c r="D90">
        <v>67</v>
      </c>
      <c r="E90" t="s">
        <v>289</v>
      </c>
      <c r="F90" t="str">
        <f>VLOOKUP(D90,FAO_areas!$A$2:$C$246,3,0)</f>
        <v>Finland</v>
      </c>
      <c r="G90" t="s">
        <v>34</v>
      </c>
      <c r="H90" t="s">
        <v>290</v>
      </c>
      <c r="I90" t="s">
        <v>290</v>
      </c>
      <c r="J90" t="s">
        <v>290</v>
      </c>
      <c r="K90">
        <v>67</v>
      </c>
      <c r="L90" t="s">
        <v>290</v>
      </c>
      <c r="M90">
        <v>246</v>
      </c>
      <c r="N90">
        <v>246</v>
      </c>
      <c r="O90">
        <v>9</v>
      </c>
      <c r="P90" t="s">
        <v>34</v>
      </c>
      <c r="Q90">
        <v>67</v>
      </c>
      <c r="R90" t="s">
        <v>5047</v>
      </c>
      <c r="S90" t="s">
        <v>74</v>
      </c>
      <c r="T90">
        <v>1</v>
      </c>
      <c r="U90" t="s">
        <v>290</v>
      </c>
      <c r="V90" t="s">
        <v>75</v>
      </c>
      <c r="W90" t="s">
        <v>76</v>
      </c>
      <c r="X90" t="s">
        <v>49</v>
      </c>
      <c r="Y90" t="s">
        <v>251</v>
      </c>
      <c r="Z90" t="s">
        <v>49</v>
      </c>
      <c r="AA90" t="s">
        <v>51</v>
      </c>
      <c r="AB90" t="s">
        <v>52</v>
      </c>
      <c r="AC90" t="s">
        <v>251</v>
      </c>
      <c r="AD90" t="s">
        <v>117</v>
      </c>
      <c r="AE90" t="s">
        <v>118</v>
      </c>
      <c r="AF90" t="s">
        <v>251</v>
      </c>
      <c r="AG90" t="s">
        <v>49</v>
      </c>
      <c r="AH90" t="s">
        <v>53</v>
      </c>
      <c r="AI90" t="str">
        <f t="shared" si="4"/>
        <v>Europe</v>
      </c>
    </row>
    <row r="91" spans="1:35" x14ac:dyDescent="0.3">
      <c r="A91" t="str">
        <f>VLOOKUP(Q91,regions_fabio!$A$2:$C$192,3,0)</f>
        <v>FRA</v>
      </c>
      <c r="B91" t="str">
        <f>IFERROR(VLOOKUP(A91,polities_whep!$A$1:$G$199,2,0),"")</f>
        <v>France</v>
      </c>
      <c r="C91">
        <v>68</v>
      </c>
      <c r="D91">
        <v>68</v>
      </c>
      <c r="E91" t="s">
        <v>291</v>
      </c>
      <c r="F91" t="str">
        <f>VLOOKUP(D91,FAO_areas!$A$2:$C$246,3,0)</f>
        <v>France</v>
      </c>
      <c r="G91" t="s">
        <v>34</v>
      </c>
      <c r="H91" t="s">
        <v>292</v>
      </c>
      <c r="I91" t="s">
        <v>292</v>
      </c>
      <c r="J91" t="s">
        <v>292</v>
      </c>
      <c r="K91">
        <v>68</v>
      </c>
      <c r="L91" t="s">
        <v>292</v>
      </c>
      <c r="M91">
        <v>251</v>
      </c>
      <c r="N91">
        <v>250</v>
      </c>
      <c r="O91">
        <v>9</v>
      </c>
      <c r="P91" t="s">
        <v>34</v>
      </c>
      <c r="Q91">
        <v>68</v>
      </c>
      <c r="R91" t="s">
        <v>5048</v>
      </c>
      <c r="S91" t="s">
        <v>74</v>
      </c>
      <c r="T91">
        <v>1</v>
      </c>
      <c r="U91" t="s">
        <v>292</v>
      </c>
      <c r="V91" t="s">
        <v>75</v>
      </c>
      <c r="W91" t="s">
        <v>76</v>
      </c>
      <c r="X91" t="s">
        <v>49</v>
      </c>
      <c r="Y91" t="s">
        <v>75</v>
      </c>
      <c r="Z91" t="s">
        <v>49</v>
      </c>
      <c r="AA91" t="s">
        <v>51</v>
      </c>
      <c r="AB91" t="s">
        <v>52</v>
      </c>
      <c r="AC91" t="s">
        <v>75</v>
      </c>
      <c r="AD91" t="s">
        <v>117</v>
      </c>
      <c r="AE91" t="s">
        <v>118</v>
      </c>
      <c r="AF91" t="s">
        <v>75</v>
      </c>
      <c r="AG91" t="s">
        <v>49</v>
      </c>
      <c r="AH91" t="s">
        <v>53</v>
      </c>
      <c r="AI91" t="str">
        <f t="shared" si="4"/>
        <v>Europe</v>
      </c>
    </row>
    <row r="92" spans="1:35" x14ac:dyDescent="0.3">
      <c r="A92" t="s">
        <v>293</v>
      </c>
      <c r="B92" t="str">
        <f>IFERROR(VLOOKUP(A92,polities_whep!$A$1:$G$199,2,0),"")</f>
        <v>French Guiana</v>
      </c>
      <c r="C92">
        <v>69</v>
      </c>
      <c r="D92">
        <v>69</v>
      </c>
      <c r="E92" t="s">
        <v>293</v>
      </c>
      <c r="F92" t="str">
        <f>VLOOKUP(D92,FAO_areas!$A$2:$C$246,3,0)</f>
        <v>French Guiana</v>
      </c>
      <c r="G92" t="s">
        <v>32</v>
      </c>
      <c r="H92" t="s">
        <v>294</v>
      </c>
      <c r="I92" t="s">
        <v>294</v>
      </c>
      <c r="K92">
        <v>69</v>
      </c>
      <c r="L92" t="s">
        <v>294</v>
      </c>
      <c r="M92" t="s">
        <v>98</v>
      </c>
      <c r="N92">
        <v>254</v>
      </c>
      <c r="O92">
        <v>4</v>
      </c>
      <c r="P92" t="s">
        <v>32</v>
      </c>
      <c r="Q92">
        <v>999</v>
      </c>
      <c r="R92" t="s">
        <v>1552</v>
      </c>
      <c r="S92" t="s">
        <v>103</v>
      </c>
      <c r="T92">
        <v>1</v>
      </c>
      <c r="U92" t="s">
        <v>294</v>
      </c>
      <c r="V92" t="s">
        <v>90</v>
      </c>
      <c r="W92" t="s">
        <v>91</v>
      </c>
      <c r="X92" t="s">
        <v>92</v>
      </c>
      <c r="Y92" t="s">
        <v>90</v>
      </c>
      <c r="Z92" t="s">
        <v>93</v>
      </c>
      <c r="AA92" t="s">
        <v>93</v>
      </c>
      <c r="AB92" t="s">
        <v>90</v>
      </c>
      <c r="AC92" t="s">
        <v>103</v>
      </c>
      <c r="AD92" t="s">
        <v>40</v>
      </c>
      <c r="AE92" t="s">
        <v>41</v>
      </c>
      <c r="AF92" t="s">
        <v>155</v>
      </c>
      <c r="AG92" t="s">
        <v>92</v>
      </c>
      <c r="AH92" t="s">
        <v>43</v>
      </c>
      <c r="AI92" t="str">
        <f t="shared" si="4"/>
        <v>Other</v>
      </c>
    </row>
    <row r="93" spans="1:35" x14ac:dyDescent="0.3">
      <c r="A93" t="str">
        <f>VLOOKUP(Q93,regions_fabio!$A$2:$C$192,3,0)</f>
        <v>PYF</v>
      </c>
      <c r="B93" t="str">
        <f>IFERROR(VLOOKUP(A93,polities_whep!$A$1:$G$199,2,0),"")</f>
        <v>French Polynesia</v>
      </c>
      <c r="C93">
        <v>70</v>
      </c>
      <c r="D93">
        <v>70</v>
      </c>
      <c r="E93" t="s">
        <v>295</v>
      </c>
      <c r="F93" t="str">
        <f>VLOOKUP(D93,FAO_areas!$A$2:$C$246,3,0)</f>
        <v>French Polynesia</v>
      </c>
      <c r="G93" t="s">
        <v>32</v>
      </c>
      <c r="H93" t="s">
        <v>296</v>
      </c>
      <c r="I93" t="s">
        <v>296</v>
      </c>
      <c r="K93">
        <v>70</v>
      </c>
      <c r="L93" t="s">
        <v>296</v>
      </c>
      <c r="M93">
        <v>258</v>
      </c>
      <c r="N93">
        <v>258</v>
      </c>
      <c r="O93">
        <v>16</v>
      </c>
      <c r="P93" t="s">
        <v>34</v>
      </c>
      <c r="Q93">
        <v>70</v>
      </c>
      <c r="R93" t="s">
        <v>1552</v>
      </c>
      <c r="S93" t="s">
        <v>63</v>
      </c>
      <c r="T93">
        <v>1</v>
      </c>
      <c r="U93" t="s">
        <v>296</v>
      </c>
      <c r="V93" t="s">
        <v>64</v>
      </c>
      <c r="W93" t="s">
        <v>65</v>
      </c>
      <c r="X93" t="s">
        <v>63</v>
      </c>
      <c r="Y93" t="s">
        <v>66</v>
      </c>
      <c r="Z93" t="s">
        <v>63</v>
      </c>
      <c r="AA93" t="s">
        <v>39</v>
      </c>
      <c r="AB93" t="s">
        <v>67</v>
      </c>
      <c r="AC93" t="s">
        <v>68</v>
      </c>
      <c r="AD93" t="s">
        <v>40</v>
      </c>
      <c r="AE93" t="s">
        <v>41</v>
      </c>
      <c r="AF93" t="s">
        <v>69</v>
      </c>
      <c r="AG93" t="s">
        <v>70</v>
      </c>
      <c r="AH93" t="s">
        <v>43</v>
      </c>
      <c r="AI93" t="str">
        <f t="shared" si="4"/>
        <v>Other</v>
      </c>
    </row>
    <row r="94" spans="1:35" x14ac:dyDescent="0.3">
      <c r="A94" t="str">
        <f>VLOOKUP(Q94,regions_fabio!$A$2:$C$192,3,0)</f>
        <v>GAB</v>
      </c>
      <c r="B94" t="str">
        <f>IFERROR(VLOOKUP(A94,polities_whep!$A$1:$G$199,2,0),"")</f>
        <v>Gabon</v>
      </c>
      <c r="C94">
        <v>74</v>
      </c>
      <c r="D94">
        <v>74</v>
      </c>
      <c r="E94" t="s">
        <v>299</v>
      </c>
      <c r="F94" t="str">
        <f>VLOOKUP(D94,FAO_areas!$A$2:$C$246,3,0)</f>
        <v>Gabon</v>
      </c>
      <c r="G94" t="s">
        <v>32</v>
      </c>
      <c r="H94" t="s">
        <v>300</v>
      </c>
      <c r="I94" t="s">
        <v>300</v>
      </c>
      <c r="J94" t="s">
        <v>300</v>
      </c>
      <c r="K94">
        <v>74</v>
      </c>
      <c r="L94" t="s">
        <v>300</v>
      </c>
      <c r="M94">
        <v>266</v>
      </c>
      <c r="N94">
        <v>266</v>
      </c>
      <c r="O94">
        <v>6</v>
      </c>
      <c r="P94" t="s">
        <v>34</v>
      </c>
      <c r="Q94">
        <v>74</v>
      </c>
      <c r="R94" t="s">
        <v>1552</v>
      </c>
      <c r="S94" t="s">
        <v>145</v>
      </c>
      <c r="T94">
        <v>1</v>
      </c>
      <c r="U94" t="s">
        <v>300</v>
      </c>
      <c r="V94" t="s">
        <v>80</v>
      </c>
      <c r="W94" t="s">
        <v>81</v>
      </c>
      <c r="X94" t="s">
        <v>82</v>
      </c>
      <c r="Y94" t="s">
        <v>83</v>
      </c>
      <c r="Z94" t="s">
        <v>60</v>
      </c>
      <c r="AA94" t="s">
        <v>60</v>
      </c>
      <c r="AB94" t="s">
        <v>83</v>
      </c>
      <c r="AC94" t="s">
        <v>84</v>
      </c>
      <c r="AD94" t="s">
        <v>40</v>
      </c>
      <c r="AE94" t="s">
        <v>41</v>
      </c>
      <c r="AF94" t="s">
        <v>85</v>
      </c>
      <c r="AG94" t="s">
        <v>86</v>
      </c>
      <c r="AH94" t="s">
        <v>43</v>
      </c>
      <c r="AI94" t="str">
        <f t="shared" si="4"/>
        <v>Other</v>
      </c>
    </row>
    <row r="95" spans="1:35" x14ac:dyDescent="0.3">
      <c r="A95" t="str">
        <f>VLOOKUP(Q95,regions_fabio!$A$2:$C$192,3,0)</f>
        <v>GMB</v>
      </c>
      <c r="B95" t="str">
        <f>IFERROR(VLOOKUP(A95,polities_whep!$A$1:$G$199,2,0),"")</f>
        <v>Gambia</v>
      </c>
      <c r="C95">
        <v>75</v>
      </c>
      <c r="D95">
        <v>75</v>
      </c>
      <c r="E95" t="s">
        <v>301</v>
      </c>
      <c r="F95" t="str">
        <f>VLOOKUP(D95,FAO_areas!$A$2:$C$246,3,0)</f>
        <v>Gambia</v>
      </c>
      <c r="G95" t="s">
        <v>32</v>
      </c>
      <c r="H95" t="s">
        <v>302</v>
      </c>
      <c r="I95" t="s">
        <v>303</v>
      </c>
      <c r="K95">
        <v>75</v>
      </c>
      <c r="L95" t="s">
        <v>302</v>
      </c>
      <c r="M95">
        <v>270</v>
      </c>
      <c r="N95">
        <v>270</v>
      </c>
      <c r="O95">
        <v>6</v>
      </c>
      <c r="P95" t="s">
        <v>34</v>
      </c>
      <c r="Q95">
        <v>75</v>
      </c>
      <c r="R95" t="s">
        <v>1552</v>
      </c>
      <c r="S95" t="s">
        <v>145</v>
      </c>
      <c r="T95">
        <v>1</v>
      </c>
      <c r="U95" t="s">
        <v>302</v>
      </c>
      <c r="V95" t="s">
        <v>80</v>
      </c>
      <c r="W95" t="s">
        <v>81</v>
      </c>
      <c r="X95" t="s">
        <v>82</v>
      </c>
      <c r="Y95" t="s">
        <v>83</v>
      </c>
      <c r="Z95" t="s">
        <v>60</v>
      </c>
      <c r="AA95" t="s">
        <v>60</v>
      </c>
      <c r="AB95" t="s">
        <v>83</v>
      </c>
      <c r="AC95" t="s">
        <v>145</v>
      </c>
      <c r="AD95" t="s">
        <v>40</v>
      </c>
      <c r="AE95" t="s">
        <v>41</v>
      </c>
      <c r="AF95" t="s">
        <v>145</v>
      </c>
      <c r="AG95" t="s">
        <v>86</v>
      </c>
      <c r="AH95" t="s">
        <v>43</v>
      </c>
      <c r="AI95" t="str">
        <f t="shared" si="4"/>
        <v>Other</v>
      </c>
    </row>
    <row r="96" spans="1:35" x14ac:dyDescent="0.3">
      <c r="A96" t="str">
        <f>VLOOKUP(Q96,regions_fabio!$A$2:$C$192,3,0)</f>
        <v>GEO</v>
      </c>
      <c r="B96" t="str">
        <f>IFERROR(VLOOKUP(A96,polities_whep!$A$1:$G$199,2,0),"")</f>
        <v>Georgia</v>
      </c>
      <c r="C96">
        <v>73</v>
      </c>
      <c r="D96">
        <v>73</v>
      </c>
      <c r="E96" t="s">
        <v>304</v>
      </c>
      <c r="F96" t="str">
        <f>VLOOKUP(D96,FAO_areas!$A$2:$C$246,3,0)</f>
        <v>Georgia</v>
      </c>
      <c r="G96" t="s">
        <v>32</v>
      </c>
      <c r="H96" t="s">
        <v>305</v>
      </c>
      <c r="I96" t="s">
        <v>305</v>
      </c>
      <c r="J96" t="s">
        <v>305</v>
      </c>
      <c r="K96">
        <v>73</v>
      </c>
      <c r="L96" t="s">
        <v>305</v>
      </c>
      <c r="M96">
        <v>268</v>
      </c>
      <c r="N96">
        <v>268</v>
      </c>
      <c r="O96">
        <v>11</v>
      </c>
      <c r="P96" t="s">
        <v>34</v>
      </c>
      <c r="Q96">
        <v>73</v>
      </c>
      <c r="R96" t="s">
        <v>1552</v>
      </c>
      <c r="S96" t="s">
        <v>107</v>
      </c>
      <c r="T96">
        <v>1</v>
      </c>
      <c r="U96" t="s">
        <v>305</v>
      </c>
      <c r="V96" t="s">
        <v>108</v>
      </c>
      <c r="W96" t="s">
        <v>37</v>
      </c>
      <c r="X96" t="s">
        <v>109</v>
      </c>
      <c r="Y96" t="s">
        <v>110</v>
      </c>
      <c r="Z96" t="s">
        <v>38</v>
      </c>
      <c r="AA96" t="s">
        <v>51</v>
      </c>
      <c r="AB96" t="s">
        <v>111</v>
      </c>
      <c r="AC96" t="s">
        <v>110</v>
      </c>
      <c r="AD96" t="s">
        <v>40</v>
      </c>
      <c r="AE96" t="s">
        <v>41</v>
      </c>
      <c r="AF96" t="s">
        <v>112</v>
      </c>
      <c r="AG96" t="s">
        <v>112</v>
      </c>
      <c r="AH96" t="s">
        <v>43</v>
      </c>
      <c r="AI96" t="str">
        <f t="shared" si="4"/>
        <v>Other</v>
      </c>
    </row>
    <row r="97" spans="1:35" x14ac:dyDescent="0.3">
      <c r="A97" t="str">
        <f>VLOOKUP(Q97,regions_fabio!$A$2:$C$192,3,0)</f>
        <v>DEU</v>
      </c>
      <c r="B97" t="str">
        <f>IFERROR(VLOOKUP(A97,polities_whep!$A$1:$G$199,2,0),"")</f>
        <v>Germany</v>
      </c>
      <c r="C97">
        <v>76</v>
      </c>
      <c r="D97">
        <v>79</v>
      </c>
      <c r="E97" t="s">
        <v>306</v>
      </c>
      <c r="F97" t="str">
        <f>VLOOKUP(D97,FAO_areas!$A$2:$C$246,3,0)</f>
        <v>Germany</v>
      </c>
      <c r="G97" t="s">
        <v>34</v>
      </c>
      <c r="H97" t="s">
        <v>307</v>
      </c>
      <c r="I97" t="s">
        <v>307</v>
      </c>
      <c r="J97" t="s">
        <v>307</v>
      </c>
      <c r="K97">
        <v>79</v>
      </c>
      <c r="L97" t="s">
        <v>307</v>
      </c>
      <c r="M97">
        <v>276</v>
      </c>
      <c r="N97">
        <v>276</v>
      </c>
      <c r="O97">
        <v>9</v>
      </c>
      <c r="P97" t="s">
        <v>34</v>
      </c>
      <c r="Q97">
        <v>79</v>
      </c>
      <c r="R97" t="s">
        <v>5049</v>
      </c>
      <c r="S97" t="s">
        <v>74</v>
      </c>
      <c r="T97">
        <v>1</v>
      </c>
      <c r="U97" t="s">
        <v>307</v>
      </c>
      <c r="V97" t="s">
        <v>75</v>
      </c>
      <c r="W97" t="s">
        <v>76</v>
      </c>
      <c r="X97" t="s">
        <v>49</v>
      </c>
      <c r="Y97" t="s">
        <v>75</v>
      </c>
      <c r="Z97" t="s">
        <v>49</v>
      </c>
      <c r="AA97" t="s">
        <v>51</v>
      </c>
      <c r="AB97" t="s">
        <v>52</v>
      </c>
      <c r="AC97" t="s">
        <v>75</v>
      </c>
      <c r="AD97" t="s">
        <v>117</v>
      </c>
      <c r="AE97" t="s">
        <v>118</v>
      </c>
      <c r="AF97" t="s">
        <v>75</v>
      </c>
      <c r="AG97" t="s">
        <v>49</v>
      </c>
      <c r="AH97" t="s">
        <v>53</v>
      </c>
      <c r="AI97" t="str">
        <f t="shared" si="4"/>
        <v>Europe</v>
      </c>
    </row>
    <row r="98" spans="1:35" x14ac:dyDescent="0.3">
      <c r="A98" t="str">
        <f>VLOOKUP(Q98,regions_fabio!$A$2:$C$192,3,0)</f>
        <v>GHA</v>
      </c>
      <c r="B98" t="str">
        <f>IFERROR(VLOOKUP(A98,polities_whep!$A$1:$G$199,2,0),"")</f>
        <v>Ghana</v>
      </c>
      <c r="C98">
        <v>78</v>
      </c>
      <c r="D98">
        <v>81</v>
      </c>
      <c r="E98" t="s">
        <v>308</v>
      </c>
      <c r="F98" t="str">
        <f>VLOOKUP(D98,FAO_areas!$A$2:$C$246,3,0)</f>
        <v>Ghana</v>
      </c>
      <c r="G98" t="s">
        <v>32</v>
      </c>
      <c r="H98" t="s">
        <v>309</v>
      </c>
      <c r="I98" t="s">
        <v>309</v>
      </c>
      <c r="J98" t="s">
        <v>309</v>
      </c>
      <c r="K98">
        <v>81</v>
      </c>
      <c r="L98" t="s">
        <v>309</v>
      </c>
      <c r="M98">
        <v>288</v>
      </c>
      <c r="N98">
        <v>288</v>
      </c>
      <c r="O98">
        <v>6</v>
      </c>
      <c r="P98" t="s">
        <v>34</v>
      </c>
      <c r="Q98">
        <v>81</v>
      </c>
      <c r="R98" t="s">
        <v>1552</v>
      </c>
      <c r="S98" t="s">
        <v>145</v>
      </c>
      <c r="T98">
        <v>1</v>
      </c>
      <c r="U98" t="s">
        <v>309</v>
      </c>
      <c r="V98" t="s">
        <v>80</v>
      </c>
      <c r="W98" t="s">
        <v>81</v>
      </c>
      <c r="X98" t="s">
        <v>82</v>
      </c>
      <c r="Y98" t="s">
        <v>83</v>
      </c>
      <c r="Z98" t="s">
        <v>60</v>
      </c>
      <c r="AA98" t="s">
        <v>60</v>
      </c>
      <c r="AB98" t="s">
        <v>83</v>
      </c>
      <c r="AC98" t="s">
        <v>145</v>
      </c>
      <c r="AD98" t="s">
        <v>40</v>
      </c>
      <c r="AE98" t="s">
        <v>41</v>
      </c>
      <c r="AF98" t="s">
        <v>145</v>
      </c>
      <c r="AG98" t="s">
        <v>86</v>
      </c>
      <c r="AH98" t="s">
        <v>43</v>
      </c>
      <c r="AI98" t="str">
        <f t="shared" si="4"/>
        <v>Other</v>
      </c>
    </row>
    <row r="99" spans="1:35" x14ac:dyDescent="0.3">
      <c r="A99" t="str">
        <f>VLOOKUP(Q99,regions_fabio!$A$2:$C$192,3,0)</f>
        <v>GRC</v>
      </c>
      <c r="B99" t="str">
        <f>IFERROR(VLOOKUP(A99,polities_whep!$A$1:$G$199,2,0),"")</f>
        <v>Greece</v>
      </c>
      <c r="C99">
        <v>81</v>
      </c>
      <c r="D99">
        <v>84</v>
      </c>
      <c r="E99" t="s">
        <v>312</v>
      </c>
      <c r="F99" t="str">
        <f>VLOOKUP(D99,FAO_areas!$A$2:$C$246,3,0)</f>
        <v>Greece</v>
      </c>
      <c r="G99" t="s">
        <v>34</v>
      </c>
      <c r="H99" t="s">
        <v>313</v>
      </c>
      <c r="I99" t="s">
        <v>313</v>
      </c>
      <c r="J99" t="s">
        <v>313</v>
      </c>
      <c r="K99">
        <v>84</v>
      </c>
      <c r="L99" t="s">
        <v>313</v>
      </c>
      <c r="M99">
        <v>300</v>
      </c>
      <c r="N99">
        <v>300</v>
      </c>
      <c r="O99">
        <v>9</v>
      </c>
      <c r="P99" t="s">
        <v>34</v>
      </c>
      <c r="Q99">
        <v>84</v>
      </c>
      <c r="R99" t="s">
        <v>5050</v>
      </c>
      <c r="S99" t="s">
        <v>74</v>
      </c>
      <c r="T99">
        <v>1</v>
      </c>
      <c r="U99" t="s">
        <v>313</v>
      </c>
      <c r="V99" t="s">
        <v>75</v>
      </c>
      <c r="W99" t="s">
        <v>76</v>
      </c>
      <c r="X99" t="s">
        <v>49</v>
      </c>
      <c r="Y99" t="s">
        <v>50</v>
      </c>
      <c r="Z99" t="s">
        <v>49</v>
      </c>
      <c r="AA99" t="s">
        <v>51</v>
      </c>
      <c r="AB99" t="s">
        <v>52</v>
      </c>
      <c r="AC99" t="s">
        <v>50</v>
      </c>
      <c r="AD99" t="s">
        <v>117</v>
      </c>
      <c r="AE99" t="s">
        <v>118</v>
      </c>
      <c r="AF99" t="s">
        <v>50</v>
      </c>
      <c r="AG99" t="s">
        <v>49</v>
      </c>
      <c r="AH99" t="s">
        <v>53</v>
      </c>
      <c r="AI99" t="str">
        <f t="shared" si="4"/>
        <v>Europe</v>
      </c>
    </row>
    <row r="100" spans="1:35" x14ac:dyDescent="0.3">
      <c r="A100" t="str">
        <f>VLOOKUP(Q100,regions_fabio!$A$2:$C$192,3,0)</f>
        <v>GRD</v>
      </c>
      <c r="B100" t="str">
        <f>IFERROR(VLOOKUP(A100,polities_whep!$A$1:$G$199,2,0),"")</f>
        <v>Grenada</v>
      </c>
      <c r="C100">
        <v>83</v>
      </c>
      <c r="D100">
        <v>86</v>
      </c>
      <c r="E100" t="s">
        <v>316</v>
      </c>
      <c r="F100" t="str">
        <f>VLOOKUP(D100,FAO_areas!$A$2:$C$246,3,0)</f>
        <v>Grenada</v>
      </c>
      <c r="G100" t="s">
        <v>32</v>
      </c>
      <c r="H100" t="s">
        <v>317</v>
      </c>
      <c r="I100" t="s">
        <v>317</v>
      </c>
      <c r="K100">
        <v>86</v>
      </c>
      <c r="L100" t="s">
        <v>317</v>
      </c>
      <c r="M100">
        <v>308</v>
      </c>
      <c r="N100">
        <v>308</v>
      </c>
      <c r="O100">
        <v>3</v>
      </c>
      <c r="P100" t="s">
        <v>34</v>
      </c>
      <c r="Q100">
        <v>86</v>
      </c>
      <c r="R100" t="s">
        <v>1552</v>
      </c>
      <c r="S100" t="s">
        <v>89</v>
      </c>
      <c r="T100">
        <v>1</v>
      </c>
      <c r="U100" t="s">
        <v>317</v>
      </c>
      <c r="V100" t="s">
        <v>90</v>
      </c>
      <c r="W100" t="s">
        <v>91</v>
      </c>
      <c r="X100" t="s">
        <v>92</v>
      </c>
      <c r="Y100" t="s">
        <v>90</v>
      </c>
      <c r="Z100" t="s">
        <v>93</v>
      </c>
      <c r="AA100" t="s">
        <v>93</v>
      </c>
      <c r="AB100" t="s">
        <v>90</v>
      </c>
      <c r="AC100" t="s">
        <v>94</v>
      </c>
      <c r="AD100" t="s">
        <v>40</v>
      </c>
      <c r="AE100" t="s">
        <v>41</v>
      </c>
      <c r="AF100" t="s">
        <v>95</v>
      </c>
      <c r="AG100" t="s">
        <v>92</v>
      </c>
      <c r="AH100" t="s">
        <v>43</v>
      </c>
      <c r="AI100" t="str">
        <f t="shared" si="4"/>
        <v>Other</v>
      </c>
    </row>
    <row r="101" spans="1:35" x14ac:dyDescent="0.3">
      <c r="A101" t="str">
        <f>VLOOKUP(Q101,regions_fabio!$A$2:$C$192,3,0)</f>
        <v>GTM</v>
      </c>
      <c r="B101" t="str">
        <f>IFERROR(VLOOKUP(A101,polities_whep!$A$1:$G$199,2,0),"")</f>
        <v>Guatemala</v>
      </c>
      <c r="C101">
        <v>86</v>
      </c>
      <c r="D101">
        <v>89</v>
      </c>
      <c r="E101" t="s">
        <v>323</v>
      </c>
      <c r="F101" t="str">
        <f>VLOOKUP(D101,FAO_areas!$A$2:$C$246,3,0)</f>
        <v>Guatemala</v>
      </c>
      <c r="G101" t="s">
        <v>32</v>
      </c>
      <c r="H101" t="s">
        <v>324</v>
      </c>
      <c r="I101" t="s">
        <v>324</v>
      </c>
      <c r="J101" t="s">
        <v>324</v>
      </c>
      <c r="K101">
        <v>89</v>
      </c>
      <c r="L101" t="s">
        <v>324</v>
      </c>
      <c r="M101">
        <v>320</v>
      </c>
      <c r="N101">
        <v>320</v>
      </c>
      <c r="O101">
        <v>3</v>
      </c>
      <c r="P101" t="s">
        <v>34</v>
      </c>
      <c r="Q101">
        <v>89</v>
      </c>
      <c r="R101" t="s">
        <v>1552</v>
      </c>
      <c r="S101" t="s">
        <v>89</v>
      </c>
      <c r="T101">
        <v>1</v>
      </c>
      <c r="U101" t="s">
        <v>324</v>
      </c>
      <c r="V101" t="s">
        <v>90</v>
      </c>
      <c r="W101" t="s">
        <v>91</v>
      </c>
      <c r="X101" t="s">
        <v>92</v>
      </c>
      <c r="Y101" t="s">
        <v>90</v>
      </c>
      <c r="Z101" t="s">
        <v>93</v>
      </c>
      <c r="AA101" t="s">
        <v>93</v>
      </c>
      <c r="AB101" t="s">
        <v>90</v>
      </c>
      <c r="AC101" t="s">
        <v>89</v>
      </c>
      <c r="AD101" t="s">
        <v>40</v>
      </c>
      <c r="AE101" t="s">
        <v>41</v>
      </c>
      <c r="AF101" t="s">
        <v>95</v>
      </c>
      <c r="AG101" t="s">
        <v>92</v>
      </c>
      <c r="AH101" t="s">
        <v>43</v>
      </c>
      <c r="AI101" t="str">
        <f t="shared" si="4"/>
        <v>Other</v>
      </c>
    </row>
    <row r="102" spans="1:35" x14ac:dyDescent="0.3">
      <c r="A102" t="str">
        <f>VLOOKUP(Q102,regions_fabio!$A$2:$C$192,3,0)</f>
        <v>GIN</v>
      </c>
      <c r="B102" t="str">
        <f>IFERROR(VLOOKUP(A102,polities_whep!$A$1:$G$199,2,0),"")</f>
        <v>Guinea</v>
      </c>
      <c r="C102">
        <v>87</v>
      </c>
      <c r="D102">
        <v>90</v>
      </c>
      <c r="E102" t="s">
        <v>325</v>
      </c>
      <c r="F102" t="str">
        <f>VLOOKUP(D102,FAO_areas!$A$2:$C$246,3,0)</f>
        <v>Guinea</v>
      </c>
      <c r="G102" t="s">
        <v>32</v>
      </c>
      <c r="H102" t="s">
        <v>326</v>
      </c>
      <c r="I102" t="s">
        <v>326</v>
      </c>
      <c r="K102">
        <v>90</v>
      </c>
      <c r="L102" t="s">
        <v>326</v>
      </c>
      <c r="M102">
        <v>324</v>
      </c>
      <c r="N102">
        <v>324</v>
      </c>
      <c r="O102">
        <v>6</v>
      </c>
      <c r="P102" t="s">
        <v>34</v>
      </c>
      <c r="Q102">
        <v>90</v>
      </c>
      <c r="R102" t="s">
        <v>1552</v>
      </c>
      <c r="S102" t="s">
        <v>145</v>
      </c>
      <c r="T102">
        <v>1</v>
      </c>
      <c r="U102" t="s">
        <v>326</v>
      </c>
      <c r="V102" t="s">
        <v>80</v>
      </c>
      <c r="W102" t="s">
        <v>81</v>
      </c>
      <c r="X102" t="s">
        <v>82</v>
      </c>
      <c r="Y102" t="s">
        <v>83</v>
      </c>
      <c r="Z102" t="s">
        <v>60</v>
      </c>
      <c r="AA102" t="s">
        <v>60</v>
      </c>
      <c r="AB102" t="s">
        <v>83</v>
      </c>
      <c r="AC102" t="s">
        <v>145</v>
      </c>
      <c r="AD102" t="s">
        <v>40</v>
      </c>
      <c r="AE102" t="s">
        <v>41</v>
      </c>
      <c r="AF102" t="s">
        <v>145</v>
      </c>
      <c r="AG102" t="s">
        <v>86</v>
      </c>
      <c r="AH102" t="s">
        <v>43</v>
      </c>
      <c r="AI102" t="str">
        <f t="shared" si="4"/>
        <v>Other</v>
      </c>
    </row>
    <row r="103" spans="1:35" x14ac:dyDescent="0.3">
      <c r="A103" t="str">
        <f>VLOOKUP(Q103,regions_fabio!$A$2:$C$192,3,0)</f>
        <v>GNB</v>
      </c>
      <c r="B103" t="str">
        <f>IFERROR(VLOOKUP(A103,polities_whep!$A$1:$G$199,2,0),"")</f>
        <v>Guinea-Bissau</v>
      </c>
      <c r="C103">
        <v>172</v>
      </c>
      <c r="D103">
        <v>175</v>
      </c>
      <c r="E103" t="s">
        <v>327</v>
      </c>
      <c r="F103" t="str">
        <f>VLOOKUP(D103,FAO_areas!$A$2:$C$246,3,0)</f>
        <v>Guinea-Bissau</v>
      </c>
      <c r="G103" t="s">
        <v>32</v>
      </c>
      <c r="H103" t="s">
        <v>328</v>
      </c>
      <c r="I103" t="s">
        <v>328</v>
      </c>
      <c r="K103">
        <v>175</v>
      </c>
      <c r="L103" t="s">
        <v>328</v>
      </c>
      <c r="M103">
        <v>624</v>
      </c>
      <c r="N103">
        <v>624</v>
      </c>
      <c r="O103">
        <v>6</v>
      </c>
      <c r="P103" t="s">
        <v>34</v>
      </c>
      <c r="Q103">
        <v>175</v>
      </c>
      <c r="R103" t="s">
        <v>1552</v>
      </c>
      <c r="S103" t="s">
        <v>145</v>
      </c>
      <c r="T103">
        <v>1</v>
      </c>
      <c r="U103" t="s">
        <v>328</v>
      </c>
      <c r="V103" t="s">
        <v>80</v>
      </c>
      <c r="W103" t="s">
        <v>81</v>
      </c>
      <c r="X103" t="s">
        <v>82</v>
      </c>
      <c r="Y103" t="s">
        <v>83</v>
      </c>
      <c r="Z103" t="s">
        <v>60</v>
      </c>
      <c r="AA103" t="s">
        <v>60</v>
      </c>
      <c r="AB103" t="s">
        <v>83</v>
      </c>
      <c r="AC103" t="s">
        <v>145</v>
      </c>
      <c r="AD103" t="s">
        <v>40</v>
      </c>
      <c r="AE103" t="s">
        <v>41</v>
      </c>
      <c r="AF103" t="s">
        <v>145</v>
      </c>
      <c r="AG103" t="s">
        <v>86</v>
      </c>
      <c r="AH103" t="s">
        <v>43</v>
      </c>
      <c r="AI103" t="str">
        <f t="shared" si="4"/>
        <v>Other</v>
      </c>
    </row>
    <row r="104" spans="1:35" x14ac:dyDescent="0.3">
      <c r="A104" t="str">
        <f>VLOOKUP(Q104,regions_fabio!$A$2:$C$192,3,0)</f>
        <v>GUY</v>
      </c>
      <c r="B104" t="str">
        <f>IFERROR(VLOOKUP(A104,polities_whep!$A$1:$G$199,2,0),"")</f>
        <v>Guyana</v>
      </c>
      <c r="C104">
        <v>88</v>
      </c>
      <c r="D104">
        <v>91</v>
      </c>
      <c r="E104" t="s">
        <v>329</v>
      </c>
      <c r="F104" t="str">
        <f>VLOOKUP(D104,FAO_areas!$A$2:$C$246,3,0)</f>
        <v>Guyana</v>
      </c>
      <c r="G104" t="s">
        <v>32</v>
      </c>
      <c r="H104" t="s">
        <v>330</v>
      </c>
      <c r="I104" t="s">
        <v>330</v>
      </c>
      <c r="K104">
        <v>91</v>
      </c>
      <c r="L104" t="s">
        <v>330</v>
      </c>
      <c r="M104">
        <v>328</v>
      </c>
      <c r="N104">
        <v>328</v>
      </c>
      <c r="O104">
        <v>4</v>
      </c>
      <c r="P104" t="s">
        <v>34</v>
      </c>
      <c r="Q104">
        <v>91</v>
      </c>
      <c r="R104" t="s">
        <v>1552</v>
      </c>
      <c r="S104" t="s">
        <v>103</v>
      </c>
      <c r="T104">
        <v>1</v>
      </c>
      <c r="U104" t="s">
        <v>330</v>
      </c>
      <c r="V104" t="s">
        <v>90</v>
      </c>
      <c r="W104" t="s">
        <v>91</v>
      </c>
      <c r="X104" t="s">
        <v>92</v>
      </c>
      <c r="Y104" t="s">
        <v>90</v>
      </c>
      <c r="Z104" t="s">
        <v>93</v>
      </c>
      <c r="AA104" t="s">
        <v>93</v>
      </c>
      <c r="AB104" t="s">
        <v>90</v>
      </c>
      <c r="AC104" t="s">
        <v>103</v>
      </c>
      <c r="AD104" t="s">
        <v>40</v>
      </c>
      <c r="AE104" t="s">
        <v>41</v>
      </c>
      <c r="AF104" t="s">
        <v>155</v>
      </c>
      <c r="AG104" t="s">
        <v>92</v>
      </c>
      <c r="AH104" t="s">
        <v>43</v>
      </c>
      <c r="AI104" t="str">
        <f t="shared" si="4"/>
        <v>Other</v>
      </c>
    </row>
    <row r="105" spans="1:35" x14ac:dyDescent="0.3">
      <c r="A105" t="str">
        <f>VLOOKUP(Q105,regions_fabio!$A$2:$C$192,3,0)</f>
        <v>HTI</v>
      </c>
      <c r="B105" t="str">
        <f>IFERROR(VLOOKUP(A105,polities_whep!$A$1:$G$199,2,0),"")</f>
        <v>Haiti</v>
      </c>
      <c r="C105">
        <v>90</v>
      </c>
      <c r="D105">
        <v>93</v>
      </c>
      <c r="E105" t="s">
        <v>331</v>
      </c>
      <c r="F105" t="str">
        <f>VLOOKUP(D105,FAO_areas!$A$2:$C$246,3,0)</f>
        <v>Haiti</v>
      </c>
      <c r="G105" t="s">
        <v>32</v>
      </c>
      <c r="H105" t="s">
        <v>332</v>
      </c>
      <c r="I105" t="s">
        <v>332</v>
      </c>
      <c r="J105" t="s">
        <v>332</v>
      </c>
      <c r="K105">
        <v>93</v>
      </c>
      <c r="L105" t="s">
        <v>332</v>
      </c>
      <c r="M105">
        <v>332</v>
      </c>
      <c r="N105">
        <v>332</v>
      </c>
      <c r="O105">
        <v>3</v>
      </c>
      <c r="P105" t="s">
        <v>34</v>
      </c>
      <c r="Q105">
        <v>93</v>
      </c>
      <c r="R105" t="s">
        <v>1552</v>
      </c>
      <c r="S105" t="s">
        <v>89</v>
      </c>
      <c r="T105">
        <v>1</v>
      </c>
      <c r="U105" t="s">
        <v>332</v>
      </c>
      <c r="V105" t="s">
        <v>90</v>
      </c>
      <c r="W105" t="s">
        <v>91</v>
      </c>
      <c r="X105" t="s">
        <v>92</v>
      </c>
      <c r="Y105" t="s">
        <v>90</v>
      </c>
      <c r="Z105" t="s">
        <v>93</v>
      </c>
      <c r="AA105" t="s">
        <v>93</v>
      </c>
      <c r="AB105" t="s">
        <v>90</v>
      </c>
      <c r="AC105" t="s">
        <v>94</v>
      </c>
      <c r="AD105" t="s">
        <v>40</v>
      </c>
      <c r="AE105" t="s">
        <v>41</v>
      </c>
      <c r="AF105" t="s">
        <v>95</v>
      </c>
      <c r="AG105" t="s">
        <v>92</v>
      </c>
      <c r="AH105" t="s">
        <v>43</v>
      </c>
      <c r="AI105" t="str">
        <f t="shared" si="4"/>
        <v>Other</v>
      </c>
    </row>
    <row r="106" spans="1:35" x14ac:dyDescent="0.3">
      <c r="A106" t="str">
        <f>VLOOKUP(Q106,regions_fabio!$A$2:$C$192,3,0)</f>
        <v>HND</v>
      </c>
      <c r="B106" t="str">
        <f>IFERROR(VLOOKUP(A106,polities_whep!$A$1:$G$199,2,0),"")</f>
        <v>Honduras</v>
      </c>
      <c r="C106">
        <v>92</v>
      </c>
      <c r="D106">
        <v>95</v>
      </c>
      <c r="E106" t="s">
        <v>337</v>
      </c>
      <c r="F106" t="str">
        <f>VLOOKUP(D106,FAO_areas!$A$2:$C$246,3,0)</f>
        <v>Honduras</v>
      </c>
      <c r="G106" t="s">
        <v>32</v>
      </c>
      <c r="H106" t="s">
        <v>338</v>
      </c>
      <c r="I106" t="s">
        <v>338</v>
      </c>
      <c r="J106" t="s">
        <v>338</v>
      </c>
      <c r="K106">
        <v>95</v>
      </c>
      <c r="L106" t="s">
        <v>338</v>
      </c>
      <c r="M106">
        <v>340</v>
      </c>
      <c r="N106">
        <v>340</v>
      </c>
      <c r="O106">
        <v>3</v>
      </c>
      <c r="P106" t="s">
        <v>34</v>
      </c>
      <c r="Q106">
        <v>95</v>
      </c>
      <c r="R106" t="s">
        <v>1552</v>
      </c>
      <c r="S106" t="s">
        <v>89</v>
      </c>
      <c r="T106">
        <v>1</v>
      </c>
      <c r="U106" t="s">
        <v>338</v>
      </c>
      <c r="V106" t="s">
        <v>90</v>
      </c>
      <c r="W106" t="s">
        <v>91</v>
      </c>
      <c r="X106" t="s">
        <v>92</v>
      </c>
      <c r="Y106" t="s">
        <v>90</v>
      </c>
      <c r="Z106" t="s">
        <v>93</v>
      </c>
      <c r="AA106" t="s">
        <v>93</v>
      </c>
      <c r="AB106" t="s">
        <v>90</v>
      </c>
      <c r="AC106" t="s">
        <v>89</v>
      </c>
      <c r="AD106" t="s">
        <v>40</v>
      </c>
      <c r="AE106" t="s">
        <v>41</v>
      </c>
      <c r="AF106" t="s">
        <v>95</v>
      </c>
      <c r="AG106" t="s">
        <v>92</v>
      </c>
      <c r="AH106" t="s">
        <v>43</v>
      </c>
      <c r="AI106" t="str">
        <f t="shared" si="4"/>
        <v>Other</v>
      </c>
    </row>
    <row r="107" spans="1:35" x14ac:dyDescent="0.3">
      <c r="A107" t="str">
        <f>VLOOKUP(Q107,regions_fabio!$A$2:$C$192,3,0)</f>
        <v>HUN</v>
      </c>
      <c r="B107" t="str">
        <f>IFERROR(VLOOKUP(A107,polities_whep!$A$1:$G$199,2,0),"")</f>
        <v>Hungary</v>
      </c>
      <c r="C107">
        <v>94</v>
      </c>
      <c r="D107">
        <v>97</v>
      </c>
      <c r="E107" t="s">
        <v>339</v>
      </c>
      <c r="F107" t="str">
        <f>VLOOKUP(D107,FAO_areas!$A$2:$C$246,3,0)</f>
        <v>Hungary</v>
      </c>
      <c r="G107" t="s">
        <v>34</v>
      </c>
      <c r="H107" t="s">
        <v>340</v>
      </c>
      <c r="I107" t="s">
        <v>340</v>
      </c>
      <c r="J107" t="s">
        <v>340</v>
      </c>
      <c r="K107">
        <v>97</v>
      </c>
      <c r="L107" t="s">
        <v>340</v>
      </c>
      <c r="M107">
        <v>348</v>
      </c>
      <c r="N107">
        <v>348</v>
      </c>
      <c r="O107">
        <v>10</v>
      </c>
      <c r="P107" t="s">
        <v>34</v>
      </c>
      <c r="Q107">
        <v>97</v>
      </c>
      <c r="R107" t="s">
        <v>5051</v>
      </c>
      <c r="S107" t="s">
        <v>46</v>
      </c>
      <c r="T107">
        <v>1</v>
      </c>
      <c r="U107" t="s">
        <v>340</v>
      </c>
      <c r="V107" t="s">
        <v>47</v>
      </c>
      <c r="W107" t="s">
        <v>48</v>
      </c>
      <c r="X107" t="s">
        <v>49</v>
      </c>
      <c r="Y107" t="s">
        <v>46</v>
      </c>
      <c r="Z107" t="s">
        <v>49</v>
      </c>
      <c r="AA107" t="s">
        <v>51</v>
      </c>
      <c r="AB107" t="s">
        <v>46</v>
      </c>
      <c r="AC107" t="s">
        <v>46</v>
      </c>
      <c r="AD107" t="s">
        <v>117</v>
      </c>
      <c r="AE107" t="s">
        <v>118</v>
      </c>
      <c r="AF107" t="s">
        <v>46</v>
      </c>
      <c r="AG107" t="s">
        <v>49</v>
      </c>
      <c r="AH107" t="s">
        <v>53</v>
      </c>
      <c r="AI107" t="str">
        <f t="shared" si="4"/>
        <v>Europe</v>
      </c>
    </row>
    <row r="108" spans="1:35" x14ac:dyDescent="0.3">
      <c r="A108" t="str">
        <f>VLOOKUP(Q108,regions_fabio!$A$2:$C$192,3,0)</f>
        <v>ISL</v>
      </c>
      <c r="B108" t="str">
        <f>IFERROR(VLOOKUP(A108,polities_whep!$A$1:$G$199,2,0),"")</f>
        <v>Iceland</v>
      </c>
      <c r="C108">
        <v>96</v>
      </c>
      <c r="D108">
        <v>99</v>
      </c>
      <c r="E108" t="s">
        <v>341</v>
      </c>
      <c r="F108" t="str">
        <f>VLOOKUP(D108,FAO_areas!$A$2:$C$246,3,0)</f>
        <v>Iceland</v>
      </c>
      <c r="G108" t="s">
        <v>32</v>
      </c>
      <c r="H108" t="s">
        <v>342</v>
      </c>
      <c r="I108" t="s">
        <v>342</v>
      </c>
      <c r="J108" t="s">
        <v>342</v>
      </c>
      <c r="K108">
        <v>99</v>
      </c>
      <c r="L108" t="s">
        <v>342</v>
      </c>
      <c r="M108">
        <v>352</v>
      </c>
      <c r="N108">
        <v>352</v>
      </c>
      <c r="O108">
        <v>9</v>
      </c>
      <c r="P108" t="s">
        <v>34</v>
      </c>
      <c r="Q108">
        <v>99</v>
      </c>
      <c r="R108" t="s">
        <v>1552</v>
      </c>
      <c r="S108" t="s">
        <v>74</v>
      </c>
      <c r="T108">
        <v>1</v>
      </c>
      <c r="U108" t="s">
        <v>342</v>
      </c>
      <c r="V108" t="s">
        <v>75</v>
      </c>
      <c r="W108" t="s">
        <v>76</v>
      </c>
      <c r="X108" t="s">
        <v>49</v>
      </c>
      <c r="Y108" t="s">
        <v>251</v>
      </c>
      <c r="Z108" t="s">
        <v>49</v>
      </c>
      <c r="AA108" t="s">
        <v>51</v>
      </c>
      <c r="AB108" t="s">
        <v>52</v>
      </c>
      <c r="AC108" t="s">
        <v>251</v>
      </c>
      <c r="AD108" t="s">
        <v>117</v>
      </c>
      <c r="AE108" t="s">
        <v>118</v>
      </c>
      <c r="AF108" t="s">
        <v>251</v>
      </c>
      <c r="AG108" t="s">
        <v>49</v>
      </c>
      <c r="AH108" t="s">
        <v>53</v>
      </c>
      <c r="AI108" t="str">
        <f t="shared" si="4"/>
        <v>Europe</v>
      </c>
    </row>
    <row r="109" spans="1:35" x14ac:dyDescent="0.3">
      <c r="A109" t="str">
        <f>VLOOKUP(Q109,regions_fabio!$A$2:$C$192,3,0)</f>
        <v>IND</v>
      </c>
      <c r="B109" t="str">
        <f>IFERROR(VLOOKUP(A109,polities_whep!$A$1:$G$199,2,0),"")</f>
        <v>India</v>
      </c>
      <c r="C109">
        <v>97</v>
      </c>
      <c r="D109">
        <v>100</v>
      </c>
      <c r="E109" t="s">
        <v>343</v>
      </c>
      <c r="F109" t="str">
        <f>VLOOKUP(D109,FAO_areas!$A$2:$C$246,3,0)</f>
        <v>India</v>
      </c>
      <c r="G109" t="s">
        <v>32</v>
      </c>
      <c r="H109" t="s">
        <v>344</v>
      </c>
      <c r="I109" t="s">
        <v>344</v>
      </c>
      <c r="J109" t="s">
        <v>344</v>
      </c>
      <c r="K109">
        <v>100</v>
      </c>
      <c r="L109" t="s">
        <v>344</v>
      </c>
      <c r="M109">
        <v>699</v>
      </c>
      <c r="N109">
        <v>356</v>
      </c>
      <c r="O109">
        <v>13</v>
      </c>
      <c r="P109" t="s">
        <v>34</v>
      </c>
      <c r="Q109">
        <v>100</v>
      </c>
      <c r="R109" t="s">
        <v>1552</v>
      </c>
      <c r="S109" t="s">
        <v>35</v>
      </c>
      <c r="T109">
        <v>1</v>
      </c>
      <c r="U109" t="s">
        <v>344</v>
      </c>
      <c r="V109" t="s">
        <v>36</v>
      </c>
      <c r="W109" t="s">
        <v>37</v>
      </c>
      <c r="X109" t="s">
        <v>36</v>
      </c>
      <c r="Y109" t="s">
        <v>36</v>
      </c>
      <c r="Z109" t="s">
        <v>38</v>
      </c>
      <c r="AA109" t="s">
        <v>39</v>
      </c>
      <c r="AB109" t="s">
        <v>36</v>
      </c>
      <c r="AC109" t="s">
        <v>36</v>
      </c>
      <c r="AD109" t="s">
        <v>40</v>
      </c>
      <c r="AE109" t="s">
        <v>41</v>
      </c>
      <c r="AF109" t="s">
        <v>36</v>
      </c>
      <c r="AG109" t="s">
        <v>42</v>
      </c>
      <c r="AH109" t="s">
        <v>43</v>
      </c>
      <c r="AI109" t="str">
        <f t="shared" si="4"/>
        <v>Other</v>
      </c>
    </row>
    <row r="110" spans="1:35" x14ac:dyDescent="0.3">
      <c r="A110" t="str">
        <f>VLOOKUP(Q110,regions_fabio!$A$2:$C$192,3,0)</f>
        <v>IDN</v>
      </c>
      <c r="B110" t="str">
        <f>IFERROR(VLOOKUP(A110,polities_whep!$A$1:$G$199,2,0),"")</f>
        <v>Indonesia</v>
      </c>
      <c r="C110">
        <v>98</v>
      </c>
      <c r="D110">
        <v>101</v>
      </c>
      <c r="E110" t="s">
        <v>345</v>
      </c>
      <c r="F110" t="str">
        <f>VLOOKUP(D110,FAO_areas!$A$2:$C$246,3,0)</f>
        <v>Indonesia</v>
      </c>
      <c r="G110" t="s">
        <v>32</v>
      </c>
      <c r="H110" t="s">
        <v>346</v>
      </c>
      <c r="I110" t="s">
        <v>346</v>
      </c>
      <c r="J110" t="s">
        <v>346</v>
      </c>
      <c r="K110">
        <v>101</v>
      </c>
      <c r="L110" t="s">
        <v>346</v>
      </c>
      <c r="M110">
        <v>360</v>
      </c>
      <c r="N110">
        <v>360</v>
      </c>
      <c r="O110">
        <v>15</v>
      </c>
      <c r="P110" t="s">
        <v>34</v>
      </c>
      <c r="Q110">
        <v>101</v>
      </c>
      <c r="R110" t="s">
        <v>1552</v>
      </c>
      <c r="S110" t="s">
        <v>172</v>
      </c>
      <c r="T110">
        <v>1</v>
      </c>
      <c r="U110" t="s">
        <v>346</v>
      </c>
      <c r="V110" t="s">
        <v>173</v>
      </c>
      <c r="W110" t="s">
        <v>37</v>
      </c>
      <c r="X110" t="s">
        <v>174</v>
      </c>
      <c r="Y110" t="s">
        <v>175</v>
      </c>
      <c r="Z110" t="s">
        <v>38</v>
      </c>
      <c r="AA110" t="s">
        <v>39</v>
      </c>
      <c r="AB110" t="s">
        <v>67</v>
      </c>
      <c r="AC110" t="s">
        <v>176</v>
      </c>
      <c r="AD110" t="s">
        <v>40</v>
      </c>
      <c r="AE110" t="s">
        <v>41</v>
      </c>
      <c r="AF110" t="s">
        <v>175</v>
      </c>
      <c r="AG110" t="s">
        <v>42</v>
      </c>
      <c r="AH110" t="s">
        <v>43</v>
      </c>
      <c r="AI110" t="str">
        <f t="shared" si="4"/>
        <v>Other</v>
      </c>
    </row>
    <row r="111" spans="1:35" x14ac:dyDescent="0.3">
      <c r="A111" t="str">
        <f>VLOOKUP(Q111,regions_fabio!$A$2:$C$192,3,0)</f>
        <v>IRN</v>
      </c>
      <c r="B111" t="str">
        <f>IFERROR(VLOOKUP(A111,polities_whep!$A$1:$G$199,2,0),"")</f>
        <v>Iran</v>
      </c>
      <c r="C111">
        <v>99</v>
      </c>
      <c r="D111">
        <v>102</v>
      </c>
      <c r="E111" t="s">
        <v>347</v>
      </c>
      <c r="F111" t="str">
        <f>VLOOKUP(D111,FAO_areas!$A$2:$C$246,3,0)</f>
        <v>Iran (Islamic Republic of)</v>
      </c>
      <c r="G111" t="s">
        <v>32</v>
      </c>
      <c r="H111" t="s">
        <v>348</v>
      </c>
      <c r="I111" t="s">
        <v>348</v>
      </c>
      <c r="J111" t="s">
        <v>349</v>
      </c>
      <c r="K111">
        <v>102</v>
      </c>
      <c r="L111" t="s">
        <v>350</v>
      </c>
      <c r="M111">
        <v>364</v>
      </c>
      <c r="N111">
        <v>364</v>
      </c>
      <c r="O111">
        <v>12</v>
      </c>
      <c r="P111" t="s">
        <v>34</v>
      </c>
      <c r="Q111">
        <v>102</v>
      </c>
      <c r="R111" t="s">
        <v>1552</v>
      </c>
      <c r="S111" t="s">
        <v>128</v>
      </c>
      <c r="T111">
        <v>1</v>
      </c>
      <c r="U111" t="s">
        <v>351</v>
      </c>
      <c r="V111" t="s">
        <v>36</v>
      </c>
      <c r="W111" t="s">
        <v>37</v>
      </c>
      <c r="X111" t="s">
        <v>36</v>
      </c>
      <c r="Y111" t="s">
        <v>36</v>
      </c>
      <c r="Z111" t="s">
        <v>38</v>
      </c>
      <c r="AA111" t="s">
        <v>39</v>
      </c>
      <c r="AB111" t="s">
        <v>36</v>
      </c>
      <c r="AC111" t="s">
        <v>36</v>
      </c>
      <c r="AD111" t="s">
        <v>40</v>
      </c>
      <c r="AE111" t="s">
        <v>41</v>
      </c>
      <c r="AF111" t="s">
        <v>36</v>
      </c>
      <c r="AG111" t="s">
        <v>42</v>
      </c>
      <c r="AH111" t="s">
        <v>43</v>
      </c>
      <c r="AI111" t="str">
        <f t="shared" si="4"/>
        <v>Other</v>
      </c>
    </row>
    <row r="112" spans="1:35" x14ac:dyDescent="0.3">
      <c r="A112" t="str">
        <f>VLOOKUP(Q112,regions_fabio!$A$2:$C$192,3,0)</f>
        <v>IRQ</v>
      </c>
      <c r="B112" t="str">
        <f>IFERROR(VLOOKUP(A112,polities_whep!$A$1:$G$199,2,0),"")</f>
        <v>Iraq</v>
      </c>
      <c r="C112">
        <v>100</v>
      </c>
      <c r="D112">
        <v>103</v>
      </c>
      <c r="E112" t="s">
        <v>352</v>
      </c>
      <c r="F112" t="str">
        <f>VLOOKUP(D112,FAO_areas!$A$2:$C$246,3,0)</f>
        <v>Iraq</v>
      </c>
      <c r="G112" t="s">
        <v>32</v>
      </c>
      <c r="H112" t="s">
        <v>353</v>
      </c>
      <c r="I112" t="s">
        <v>353</v>
      </c>
      <c r="J112" t="s">
        <v>353</v>
      </c>
      <c r="K112">
        <v>103</v>
      </c>
      <c r="L112" t="s">
        <v>353</v>
      </c>
      <c r="M112">
        <v>368</v>
      </c>
      <c r="N112">
        <v>368</v>
      </c>
      <c r="O112">
        <v>12</v>
      </c>
      <c r="P112" t="s">
        <v>34</v>
      </c>
      <c r="Q112">
        <v>103</v>
      </c>
      <c r="R112" t="s">
        <v>1552</v>
      </c>
      <c r="S112" t="s">
        <v>128</v>
      </c>
      <c r="T112">
        <v>1</v>
      </c>
      <c r="U112" t="s">
        <v>353</v>
      </c>
      <c r="V112" t="s">
        <v>57</v>
      </c>
      <c r="W112" t="s">
        <v>58</v>
      </c>
      <c r="X112" t="s">
        <v>59</v>
      </c>
      <c r="Y112" t="s">
        <v>110</v>
      </c>
      <c r="Z112" t="s">
        <v>38</v>
      </c>
      <c r="AA112" t="s">
        <v>129</v>
      </c>
      <c r="AB112" t="s">
        <v>129</v>
      </c>
      <c r="AC112" t="s">
        <v>129</v>
      </c>
      <c r="AD112" t="s">
        <v>40</v>
      </c>
      <c r="AE112" t="s">
        <v>41</v>
      </c>
      <c r="AF112" t="s">
        <v>110</v>
      </c>
      <c r="AG112" t="s">
        <v>59</v>
      </c>
      <c r="AH112" t="s">
        <v>43</v>
      </c>
      <c r="AI112" t="str">
        <f t="shared" si="4"/>
        <v>Other</v>
      </c>
    </row>
    <row r="113" spans="1:35" x14ac:dyDescent="0.3">
      <c r="A113" t="str">
        <f>VLOOKUP(Q113,regions_fabio!$A$2:$C$192,3,0)</f>
        <v>IRL</v>
      </c>
      <c r="B113" t="str">
        <f>IFERROR(VLOOKUP(A113,polities_whep!$A$1:$G$199,2,0),"")</f>
        <v>Ireland</v>
      </c>
      <c r="C113">
        <v>101</v>
      </c>
      <c r="D113">
        <v>104</v>
      </c>
      <c r="E113" t="s">
        <v>354</v>
      </c>
      <c r="F113" t="str">
        <f>VLOOKUP(D113,FAO_areas!$A$2:$C$246,3,0)</f>
        <v>Ireland</v>
      </c>
      <c r="G113" t="s">
        <v>34</v>
      </c>
      <c r="H113" t="s">
        <v>355</v>
      </c>
      <c r="I113" t="s">
        <v>355</v>
      </c>
      <c r="J113" t="s">
        <v>355</v>
      </c>
      <c r="K113">
        <v>104</v>
      </c>
      <c r="L113" t="s">
        <v>355</v>
      </c>
      <c r="M113">
        <v>372</v>
      </c>
      <c r="N113">
        <v>372</v>
      </c>
      <c r="O113">
        <v>9</v>
      </c>
      <c r="P113" t="s">
        <v>34</v>
      </c>
      <c r="Q113">
        <v>104</v>
      </c>
      <c r="R113" t="s">
        <v>5052</v>
      </c>
      <c r="S113" t="s">
        <v>74</v>
      </c>
      <c r="T113">
        <v>1</v>
      </c>
      <c r="U113" t="s">
        <v>355</v>
      </c>
      <c r="V113" t="s">
        <v>75</v>
      </c>
      <c r="W113" t="s">
        <v>76</v>
      </c>
      <c r="X113" t="s">
        <v>49</v>
      </c>
      <c r="Y113" t="s">
        <v>251</v>
      </c>
      <c r="Z113" t="s">
        <v>49</v>
      </c>
      <c r="AA113" t="s">
        <v>51</v>
      </c>
      <c r="AB113" t="s">
        <v>52</v>
      </c>
      <c r="AC113" t="s">
        <v>251</v>
      </c>
      <c r="AD113" t="s">
        <v>117</v>
      </c>
      <c r="AE113" t="s">
        <v>118</v>
      </c>
      <c r="AF113" t="s">
        <v>251</v>
      </c>
      <c r="AG113" t="s">
        <v>49</v>
      </c>
      <c r="AH113" t="s">
        <v>53</v>
      </c>
      <c r="AI113" t="str">
        <f t="shared" si="4"/>
        <v>Europe</v>
      </c>
    </row>
    <row r="114" spans="1:35" x14ac:dyDescent="0.3">
      <c r="A114" t="str">
        <f>VLOOKUP(Q114,regions_fabio!$A$2:$C$192,3,0)</f>
        <v>ISR</v>
      </c>
      <c r="B114" t="str">
        <f>IFERROR(VLOOKUP(A114,polities_whep!$A$1:$G$199,2,0),"")</f>
        <v>Israel</v>
      </c>
      <c r="C114">
        <v>102</v>
      </c>
      <c r="D114">
        <v>105</v>
      </c>
      <c r="E114" t="s">
        <v>356</v>
      </c>
      <c r="F114" t="str">
        <f>VLOOKUP(D114,FAO_areas!$A$2:$C$246,3,0)</f>
        <v>Israel</v>
      </c>
      <c r="G114" t="s">
        <v>32</v>
      </c>
      <c r="H114" t="s">
        <v>357</v>
      </c>
      <c r="I114" t="s">
        <v>357</v>
      </c>
      <c r="J114" t="s">
        <v>357</v>
      </c>
      <c r="K114">
        <v>105</v>
      </c>
      <c r="L114" t="s">
        <v>357</v>
      </c>
      <c r="M114">
        <v>376</v>
      </c>
      <c r="N114">
        <v>376</v>
      </c>
      <c r="O114">
        <v>12</v>
      </c>
      <c r="P114" t="s">
        <v>34</v>
      </c>
      <c r="Q114">
        <v>105</v>
      </c>
      <c r="R114" t="s">
        <v>1552</v>
      </c>
      <c r="S114" t="s">
        <v>128</v>
      </c>
      <c r="T114">
        <v>1</v>
      </c>
      <c r="U114" t="s">
        <v>357</v>
      </c>
      <c r="V114" t="s">
        <v>57</v>
      </c>
      <c r="W114" t="s">
        <v>58</v>
      </c>
      <c r="X114" t="s">
        <v>59</v>
      </c>
      <c r="Y114" t="s">
        <v>110</v>
      </c>
      <c r="Z114" t="s">
        <v>38</v>
      </c>
      <c r="AA114" t="s">
        <v>51</v>
      </c>
      <c r="AB114" t="s">
        <v>111</v>
      </c>
      <c r="AC114" t="s">
        <v>110</v>
      </c>
      <c r="AD114" t="s">
        <v>117</v>
      </c>
      <c r="AE114" t="s">
        <v>41</v>
      </c>
      <c r="AF114" t="s">
        <v>110</v>
      </c>
      <c r="AG114" t="s">
        <v>59</v>
      </c>
      <c r="AH114" t="s">
        <v>43</v>
      </c>
      <c r="AI114" t="str">
        <f t="shared" si="4"/>
        <v>Other</v>
      </c>
    </row>
    <row r="115" spans="1:35" x14ac:dyDescent="0.3">
      <c r="A115" t="str">
        <f>VLOOKUP(Q115,regions_fabio!$A$2:$C$192,3,0)</f>
        <v>ITA</v>
      </c>
      <c r="B115" t="str">
        <f>IFERROR(VLOOKUP(A115,polities_whep!$A$1:$G$199,2,0),"")</f>
        <v>Italy</v>
      </c>
      <c r="C115">
        <v>103</v>
      </c>
      <c r="D115">
        <v>106</v>
      </c>
      <c r="E115" t="s">
        <v>358</v>
      </c>
      <c r="F115" t="str">
        <f>VLOOKUP(D115,FAO_areas!$A$2:$C$246,3,0)</f>
        <v>Italy</v>
      </c>
      <c r="G115" t="s">
        <v>34</v>
      </c>
      <c r="H115" t="s">
        <v>359</v>
      </c>
      <c r="I115" t="s">
        <v>359</v>
      </c>
      <c r="J115" t="s">
        <v>359</v>
      </c>
      <c r="K115">
        <v>106</v>
      </c>
      <c r="L115" t="s">
        <v>359</v>
      </c>
      <c r="M115">
        <v>381</v>
      </c>
      <c r="N115">
        <v>380</v>
      </c>
      <c r="O115">
        <v>9</v>
      </c>
      <c r="P115" t="s">
        <v>34</v>
      </c>
      <c r="Q115">
        <v>106</v>
      </c>
      <c r="R115" t="s">
        <v>5053</v>
      </c>
      <c r="S115" t="s">
        <v>74</v>
      </c>
      <c r="T115">
        <v>1</v>
      </c>
      <c r="U115" t="s">
        <v>359</v>
      </c>
      <c r="V115" t="s">
        <v>75</v>
      </c>
      <c r="W115" t="s">
        <v>76</v>
      </c>
      <c r="X115" t="s">
        <v>49</v>
      </c>
      <c r="Y115" t="s">
        <v>50</v>
      </c>
      <c r="Z115" t="s">
        <v>49</v>
      </c>
      <c r="AA115" t="s">
        <v>51</v>
      </c>
      <c r="AB115" t="s">
        <v>52</v>
      </c>
      <c r="AC115" t="s">
        <v>50</v>
      </c>
      <c r="AD115" t="s">
        <v>117</v>
      </c>
      <c r="AE115" t="s">
        <v>118</v>
      </c>
      <c r="AF115" t="s">
        <v>50</v>
      </c>
      <c r="AG115" t="s">
        <v>49</v>
      </c>
      <c r="AH115" t="s">
        <v>53</v>
      </c>
      <c r="AI115" t="str">
        <f t="shared" si="4"/>
        <v>Europe</v>
      </c>
    </row>
    <row r="116" spans="1:35" x14ac:dyDescent="0.3">
      <c r="A116" t="str">
        <f>VLOOKUP(Q116,regions_fabio!$A$2:$C$192,3,0)</f>
        <v>CIV</v>
      </c>
      <c r="B116" t="str">
        <f>IFERROR(VLOOKUP(A116,polities_whep!$A$1:$G$199,2,0),"")</f>
        <v>Ivory Coast</v>
      </c>
      <c r="C116">
        <v>104</v>
      </c>
      <c r="D116">
        <v>107</v>
      </c>
      <c r="E116" t="s">
        <v>360</v>
      </c>
      <c r="F116" t="str">
        <f>VLOOKUP(D116,FAO_areas!$A$2:$C$246,3,0)</f>
        <v>Côte d'Ivoire</v>
      </c>
      <c r="G116" t="s">
        <v>32</v>
      </c>
      <c r="H116" t="s">
        <v>361</v>
      </c>
      <c r="I116" t="s">
        <v>362</v>
      </c>
      <c r="J116" t="s">
        <v>363</v>
      </c>
      <c r="K116">
        <v>107</v>
      </c>
      <c r="L116" t="s">
        <v>363</v>
      </c>
      <c r="M116">
        <v>384</v>
      </c>
      <c r="N116">
        <v>384</v>
      </c>
      <c r="O116">
        <v>6</v>
      </c>
      <c r="P116" t="s">
        <v>34</v>
      </c>
      <c r="Q116">
        <v>107</v>
      </c>
      <c r="R116" t="s">
        <v>1552</v>
      </c>
      <c r="S116" t="s">
        <v>145</v>
      </c>
      <c r="T116">
        <v>1</v>
      </c>
      <c r="U116" t="s">
        <v>364</v>
      </c>
      <c r="V116" t="s">
        <v>80</v>
      </c>
      <c r="W116" t="s">
        <v>81</v>
      </c>
      <c r="X116" t="s">
        <v>82</v>
      </c>
      <c r="Y116" t="s">
        <v>83</v>
      </c>
      <c r="Z116" t="s">
        <v>60</v>
      </c>
      <c r="AA116" t="s">
        <v>60</v>
      </c>
      <c r="AB116" t="s">
        <v>83</v>
      </c>
      <c r="AC116" t="s">
        <v>145</v>
      </c>
      <c r="AD116" t="s">
        <v>40</v>
      </c>
      <c r="AE116" t="s">
        <v>41</v>
      </c>
      <c r="AF116" t="s">
        <v>145</v>
      </c>
      <c r="AG116" t="s">
        <v>86</v>
      </c>
      <c r="AH116" t="s">
        <v>43</v>
      </c>
      <c r="AI116" t="str">
        <f t="shared" si="4"/>
        <v>Other</v>
      </c>
    </row>
    <row r="117" spans="1:35" x14ac:dyDescent="0.3">
      <c r="A117" t="str">
        <f>VLOOKUP(Q117,regions_fabio!$A$2:$C$192,3,0)</f>
        <v>JAM</v>
      </c>
      <c r="B117" t="str">
        <f>IFERROR(VLOOKUP(A117,polities_whep!$A$1:$G$199,2,0),"")</f>
        <v>Jamaica</v>
      </c>
      <c r="C117">
        <v>106</v>
      </c>
      <c r="D117">
        <v>109</v>
      </c>
      <c r="E117" t="s">
        <v>365</v>
      </c>
      <c r="F117" t="str">
        <f>VLOOKUP(D117,FAO_areas!$A$2:$C$246,3,0)</f>
        <v>Jamaica</v>
      </c>
      <c r="G117" t="s">
        <v>32</v>
      </c>
      <c r="H117" t="s">
        <v>366</v>
      </c>
      <c r="I117" t="s">
        <v>366</v>
      </c>
      <c r="J117" t="s">
        <v>366</v>
      </c>
      <c r="K117">
        <v>109</v>
      </c>
      <c r="L117" t="s">
        <v>366</v>
      </c>
      <c r="M117">
        <v>388</v>
      </c>
      <c r="N117">
        <v>388</v>
      </c>
      <c r="O117">
        <v>3</v>
      </c>
      <c r="P117" t="s">
        <v>34</v>
      </c>
      <c r="Q117">
        <v>109</v>
      </c>
      <c r="R117" t="s">
        <v>1552</v>
      </c>
      <c r="S117" t="s">
        <v>89</v>
      </c>
      <c r="T117">
        <v>1</v>
      </c>
      <c r="U117" t="s">
        <v>366</v>
      </c>
      <c r="V117" t="s">
        <v>90</v>
      </c>
      <c r="W117" t="s">
        <v>91</v>
      </c>
      <c r="X117" t="s">
        <v>92</v>
      </c>
      <c r="Y117" t="s">
        <v>90</v>
      </c>
      <c r="Z117" t="s">
        <v>93</v>
      </c>
      <c r="AA117" t="s">
        <v>93</v>
      </c>
      <c r="AB117" t="s">
        <v>90</v>
      </c>
      <c r="AC117" t="s">
        <v>94</v>
      </c>
      <c r="AD117" t="s">
        <v>40</v>
      </c>
      <c r="AE117" t="s">
        <v>41</v>
      </c>
      <c r="AF117" t="s">
        <v>95</v>
      </c>
      <c r="AG117" t="s">
        <v>92</v>
      </c>
      <c r="AH117" t="s">
        <v>43</v>
      </c>
      <c r="AI117" t="str">
        <f t="shared" si="4"/>
        <v>Other</v>
      </c>
    </row>
    <row r="118" spans="1:35" x14ac:dyDescent="0.3">
      <c r="A118" t="str">
        <f>VLOOKUP(Q118,regions_fabio!$A$2:$C$192,3,0)</f>
        <v>JPN</v>
      </c>
      <c r="B118" t="str">
        <f>IFERROR(VLOOKUP(A118,polities_whep!$A$1:$G$199,2,0),"")</f>
        <v>Japan</v>
      </c>
      <c r="C118">
        <v>107</v>
      </c>
      <c r="D118">
        <v>110</v>
      </c>
      <c r="E118" t="s">
        <v>367</v>
      </c>
      <c r="F118" t="str">
        <f>VLOOKUP(D118,FAO_areas!$A$2:$C$246,3,0)</f>
        <v>Japan</v>
      </c>
      <c r="G118" t="s">
        <v>32</v>
      </c>
      <c r="H118" t="s">
        <v>368</v>
      </c>
      <c r="I118" t="s">
        <v>368</v>
      </c>
      <c r="J118" t="s">
        <v>368</v>
      </c>
      <c r="K118">
        <v>110</v>
      </c>
      <c r="L118" t="s">
        <v>368</v>
      </c>
      <c r="M118">
        <v>392</v>
      </c>
      <c r="N118">
        <v>392</v>
      </c>
      <c r="O118">
        <v>17</v>
      </c>
      <c r="P118" t="s">
        <v>34</v>
      </c>
      <c r="Q118">
        <v>110</v>
      </c>
      <c r="R118" t="s">
        <v>1552</v>
      </c>
      <c r="S118" t="s">
        <v>368</v>
      </c>
      <c r="T118">
        <v>1</v>
      </c>
      <c r="U118" t="s">
        <v>368</v>
      </c>
      <c r="V118" t="s">
        <v>205</v>
      </c>
      <c r="W118" t="s">
        <v>204</v>
      </c>
      <c r="X118" t="s">
        <v>174</v>
      </c>
      <c r="Y118" t="s">
        <v>205</v>
      </c>
      <c r="Z118" t="s">
        <v>38</v>
      </c>
      <c r="AA118" t="s">
        <v>39</v>
      </c>
      <c r="AB118" t="s">
        <v>205</v>
      </c>
      <c r="AC118" t="s">
        <v>205</v>
      </c>
      <c r="AD118" t="s">
        <v>117</v>
      </c>
      <c r="AE118" t="s">
        <v>118</v>
      </c>
      <c r="AF118" t="s">
        <v>205</v>
      </c>
      <c r="AG118" t="s">
        <v>42</v>
      </c>
      <c r="AH118" t="s">
        <v>43</v>
      </c>
      <c r="AI118" t="str">
        <f t="shared" si="4"/>
        <v>Other</v>
      </c>
    </row>
    <row r="119" spans="1:35" x14ac:dyDescent="0.3">
      <c r="A119" t="str">
        <f>VLOOKUP(Q119,regions_fabio!$A$2:$C$192,3,0)</f>
        <v>JOR</v>
      </c>
      <c r="B119" t="str">
        <f>IFERROR(VLOOKUP(A119,polities_whep!$A$1:$G$199,2,0),"")</f>
        <v>Jordan</v>
      </c>
      <c r="C119">
        <v>109</v>
      </c>
      <c r="D119">
        <v>112</v>
      </c>
      <c r="E119" t="s">
        <v>371</v>
      </c>
      <c r="F119" t="str">
        <f>VLOOKUP(D119,FAO_areas!$A$2:$C$246,3,0)</f>
        <v>Jordan</v>
      </c>
      <c r="G119" t="s">
        <v>32</v>
      </c>
      <c r="H119" t="s">
        <v>372</v>
      </c>
      <c r="I119" t="s">
        <v>372</v>
      </c>
      <c r="J119" t="s">
        <v>372</v>
      </c>
      <c r="K119">
        <v>112</v>
      </c>
      <c r="L119" t="s">
        <v>372</v>
      </c>
      <c r="M119">
        <v>400</v>
      </c>
      <c r="N119">
        <v>400</v>
      </c>
      <c r="O119">
        <v>12</v>
      </c>
      <c r="P119" t="s">
        <v>34</v>
      </c>
      <c r="Q119">
        <v>112</v>
      </c>
      <c r="R119" t="s">
        <v>1552</v>
      </c>
      <c r="S119" t="s">
        <v>128</v>
      </c>
      <c r="T119">
        <v>1</v>
      </c>
      <c r="U119" t="s">
        <v>372</v>
      </c>
      <c r="V119" t="s">
        <v>57</v>
      </c>
      <c r="W119" t="s">
        <v>58</v>
      </c>
      <c r="X119" t="s">
        <v>59</v>
      </c>
      <c r="Y119" t="s">
        <v>110</v>
      </c>
      <c r="Z119" t="s">
        <v>38</v>
      </c>
      <c r="AA119" t="s">
        <v>129</v>
      </c>
      <c r="AB119" t="s">
        <v>129</v>
      </c>
      <c r="AC119" t="s">
        <v>129</v>
      </c>
      <c r="AD119" t="s">
        <v>40</v>
      </c>
      <c r="AE119" t="s">
        <v>41</v>
      </c>
      <c r="AF119" t="s">
        <v>110</v>
      </c>
      <c r="AG119" t="s">
        <v>59</v>
      </c>
      <c r="AH119" t="s">
        <v>43</v>
      </c>
      <c r="AI119" t="str">
        <f t="shared" si="4"/>
        <v>Other</v>
      </c>
    </row>
    <row r="120" spans="1:35" x14ac:dyDescent="0.3">
      <c r="A120" t="str">
        <f>VLOOKUP(Q120,regions_fabio!$A$2:$C$192,3,0)</f>
        <v>KAZ</v>
      </c>
      <c r="B120" t="str">
        <f>IFERROR(VLOOKUP(A120,polities_whep!$A$1:$G$199,2,0),"")</f>
        <v>Kazakhstan</v>
      </c>
      <c r="C120">
        <v>105</v>
      </c>
      <c r="D120">
        <v>108</v>
      </c>
      <c r="E120" t="s">
        <v>373</v>
      </c>
      <c r="F120" t="str">
        <f>VLOOKUP(D120,FAO_areas!$A$2:$C$246,3,0)</f>
        <v>Kazakhstan</v>
      </c>
      <c r="G120" t="s">
        <v>32</v>
      </c>
      <c r="H120" t="s">
        <v>374</v>
      </c>
      <c r="I120" t="s">
        <v>374</v>
      </c>
      <c r="J120" t="s">
        <v>374</v>
      </c>
      <c r="K120">
        <v>108</v>
      </c>
      <c r="L120" t="s">
        <v>374</v>
      </c>
      <c r="M120">
        <v>398</v>
      </c>
      <c r="N120">
        <v>398</v>
      </c>
      <c r="O120">
        <v>11</v>
      </c>
      <c r="P120" t="s">
        <v>34</v>
      </c>
      <c r="Q120">
        <v>108</v>
      </c>
      <c r="R120" t="s">
        <v>1552</v>
      </c>
      <c r="S120" t="s">
        <v>107</v>
      </c>
      <c r="T120">
        <v>1</v>
      </c>
      <c r="U120" t="s">
        <v>374</v>
      </c>
      <c r="V120" t="s">
        <v>108</v>
      </c>
      <c r="W120" t="s">
        <v>37</v>
      </c>
      <c r="X120" t="s">
        <v>109</v>
      </c>
      <c r="Y120" t="s">
        <v>375</v>
      </c>
      <c r="Z120" t="s">
        <v>38</v>
      </c>
      <c r="AA120" t="s">
        <v>51</v>
      </c>
      <c r="AB120" t="s">
        <v>111</v>
      </c>
      <c r="AC120" t="s">
        <v>375</v>
      </c>
      <c r="AD120" t="s">
        <v>40</v>
      </c>
      <c r="AE120" t="s">
        <v>41</v>
      </c>
      <c r="AF120" t="s">
        <v>112</v>
      </c>
      <c r="AG120" t="s">
        <v>112</v>
      </c>
      <c r="AH120" t="s">
        <v>53</v>
      </c>
      <c r="AI120" t="str">
        <f t="shared" si="4"/>
        <v>Other</v>
      </c>
    </row>
    <row r="121" spans="1:35" x14ac:dyDescent="0.3">
      <c r="A121" t="str">
        <f>VLOOKUP(Q121,regions_fabio!$A$2:$C$192,3,0)</f>
        <v>KEN</v>
      </c>
      <c r="B121" t="str">
        <f>IFERROR(VLOOKUP(A121,polities_whep!$A$1:$G$199,2,0),"")</f>
        <v>Kenya</v>
      </c>
      <c r="C121">
        <v>111</v>
      </c>
      <c r="D121">
        <v>114</v>
      </c>
      <c r="E121" t="s">
        <v>376</v>
      </c>
      <c r="F121" t="str">
        <f>VLOOKUP(D121,FAO_areas!$A$2:$C$246,3,0)</f>
        <v>Kenya</v>
      </c>
      <c r="G121" t="s">
        <v>32</v>
      </c>
      <c r="H121" t="s">
        <v>377</v>
      </c>
      <c r="I121" t="s">
        <v>377</v>
      </c>
      <c r="J121" t="s">
        <v>377</v>
      </c>
      <c r="K121">
        <v>114</v>
      </c>
      <c r="L121" t="s">
        <v>377</v>
      </c>
      <c r="M121">
        <v>404</v>
      </c>
      <c r="N121">
        <v>404</v>
      </c>
      <c r="O121">
        <v>7</v>
      </c>
      <c r="P121" t="s">
        <v>34</v>
      </c>
      <c r="Q121">
        <v>114</v>
      </c>
      <c r="R121" t="s">
        <v>1552</v>
      </c>
      <c r="S121" t="s">
        <v>183</v>
      </c>
      <c r="T121">
        <v>1</v>
      </c>
      <c r="U121" t="s">
        <v>377</v>
      </c>
      <c r="V121" t="s">
        <v>80</v>
      </c>
      <c r="W121" t="s">
        <v>81</v>
      </c>
      <c r="X121" t="s">
        <v>82</v>
      </c>
      <c r="Y121" t="s">
        <v>83</v>
      </c>
      <c r="Z121" t="s">
        <v>60</v>
      </c>
      <c r="AA121" t="s">
        <v>60</v>
      </c>
      <c r="AB121" t="s">
        <v>83</v>
      </c>
      <c r="AC121" t="s">
        <v>183</v>
      </c>
      <c r="AD121" t="s">
        <v>40</v>
      </c>
      <c r="AE121" t="s">
        <v>41</v>
      </c>
      <c r="AF121" t="s">
        <v>183</v>
      </c>
      <c r="AG121" t="s">
        <v>86</v>
      </c>
      <c r="AH121" t="s">
        <v>43</v>
      </c>
      <c r="AI121" t="str">
        <f t="shared" ref="AI121:AI141" si="5">IF(Z121="Europe","Europe","Other")</f>
        <v>Other</v>
      </c>
    </row>
    <row r="122" spans="1:35" x14ac:dyDescent="0.3">
      <c r="A122" t="str">
        <f>VLOOKUP(Q122,regions_fabio!$A$2:$C$192,3,0)</f>
        <v>KIR</v>
      </c>
      <c r="B122" t="str">
        <f>IFERROR(VLOOKUP(A122,polities_whep!$A$1:$G$199,2,0),"")</f>
        <v>Kiribati</v>
      </c>
      <c r="C122">
        <v>80</v>
      </c>
      <c r="D122">
        <v>83</v>
      </c>
      <c r="E122" t="s">
        <v>378</v>
      </c>
      <c r="F122" t="str">
        <f>VLOOKUP(D122,FAO_areas!$A$2:$C$246,3,0)</f>
        <v>Kiribati</v>
      </c>
      <c r="G122" t="s">
        <v>32</v>
      </c>
      <c r="H122" t="s">
        <v>379</v>
      </c>
      <c r="I122" t="s">
        <v>379</v>
      </c>
      <c r="K122">
        <v>83</v>
      </c>
      <c r="L122" t="s">
        <v>379</v>
      </c>
      <c r="M122">
        <v>296</v>
      </c>
      <c r="N122">
        <v>296</v>
      </c>
      <c r="O122">
        <v>16</v>
      </c>
      <c r="P122" t="s">
        <v>34</v>
      </c>
      <c r="Q122">
        <v>83</v>
      </c>
      <c r="R122" t="s">
        <v>1552</v>
      </c>
      <c r="S122" t="s">
        <v>63</v>
      </c>
      <c r="T122">
        <v>1</v>
      </c>
      <c r="U122" t="s">
        <v>379</v>
      </c>
      <c r="V122" t="s">
        <v>64</v>
      </c>
      <c r="W122" t="s">
        <v>65</v>
      </c>
      <c r="X122" t="s">
        <v>63</v>
      </c>
      <c r="Y122" t="s">
        <v>322</v>
      </c>
      <c r="Z122" t="s">
        <v>63</v>
      </c>
      <c r="AA122" t="s">
        <v>39</v>
      </c>
      <c r="AB122" t="s">
        <v>67</v>
      </c>
      <c r="AC122" t="s">
        <v>68</v>
      </c>
      <c r="AD122" t="s">
        <v>40</v>
      </c>
      <c r="AE122" t="s">
        <v>41</v>
      </c>
      <c r="AF122" t="s">
        <v>69</v>
      </c>
      <c r="AG122" t="s">
        <v>70</v>
      </c>
      <c r="AH122" t="s">
        <v>53</v>
      </c>
      <c r="AI122" t="str">
        <f t="shared" si="5"/>
        <v>Other</v>
      </c>
    </row>
    <row r="123" spans="1:35" x14ac:dyDescent="0.3">
      <c r="A123" t="str">
        <f>VLOOKUP(Q123,regions_fabio!$A$2:$C$192,3,0)</f>
        <v>KWT</v>
      </c>
      <c r="B123" t="str">
        <f>IFERROR(VLOOKUP(A123,polities_whep!$A$1:$G$199,2,0),"")</f>
        <v>Kuwait</v>
      </c>
      <c r="C123">
        <v>115</v>
      </c>
      <c r="D123">
        <v>118</v>
      </c>
      <c r="E123" t="s">
        <v>380</v>
      </c>
      <c r="F123" t="str">
        <f>VLOOKUP(D123,FAO_areas!$A$2:$C$246,3,0)</f>
        <v>Kuwait</v>
      </c>
      <c r="G123" t="s">
        <v>32</v>
      </c>
      <c r="H123" t="s">
        <v>381</v>
      </c>
      <c r="I123" t="s">
        <v>381</v>
      </c>
      <c r="J123" t="s">
        <v>381</v>
      </c>
      <c r="K123">
        <v>118</v>
      </c>
      <c r="L123" t="s">
        <v>381</v>
      </c>
      <c r="M123">
        <v>414</v>
      </c>
      <c r="N123">
        <v>414</v>
      </c>
      <c r="O123">
        <v>12</v>
      </c>
      <c r="P123" t="s">
        <v>34</v>
      </c>
      <c r="Q123">
        <v>118</v>
      </c>
      <c r="R123" t="s">
        <v>1552</v>
      </c>
      <c r="S123" t="s">
        <v>128</v>
      </c>
      <c r="T123">
        <v>1</v>
      </c>
      <c r="U123" t="s">
        <v>381</v>
      </c>
      <c r="V123" t="s">
        <v>57</v>
      </c>
      <c r="W123" t="s">
        <v>58</v>
      </c>
      <c r="X123" t="s">
        <v>59</v>
      </c>
      <c r="Y123" t="s">
        <v>110</v>
      </c>
      <c r="Z123" t="s">
        <v>38</v>
      </c>
      <c r="AA123" t="s">
        <v>129</v>
      </c>
      <c r="AB123" t="s">
        <v>129</v>
      </c>
      <c r="AC123" t="s">
        <v>129</v>
      </c>
      <c r="AD123" t="s">
        <v>40</v>
      </c>
      <c r="AE123" t="s">
        <v>41</v>
      </c>
      <c r="AF123" t="s">
        <v>110</v>
      </c>
      <c r="AG123" t="s">
        <v>59</v>
      </c>
      <c r="AH123" t="s">
        <v>43</v>
      </c>
      <c r="AI123" t="str">
        <f t="shared" si="5"/>
        <v>Other</v>
      </c>
    </row>
    <row r="124" spans="1:35" x14ac:dyDescent="0.3">
      <c r="A124" t="str">
        <f>VLOOKUP(Q124,regions_fabio!$A$2:$C$192,3,0)</f>
        <v>KGZ</v>
      </c>
      <c r="B124" t="str">
        <f>IFERROR(VLOOKUP(A124,polities_whep!$A$1:$G$199,2,0),"")</f>
        <v>Kyrgyzstan</v>
      </c>
      <c r="C124">
        <v>110</v>
      </c>
      <c r="D124">
        <v>113</v>
      </c>
      <c r="E124" t="s">
        <v>382</v>
      </c>
      <c r="F124" t="str">
        <f>VLOOKUP(D124,FAO_areas!$A$2:$C$246,3,0)</f>
        <v>Kyrgyzstan</v>
      </c>
      <c r="G124" t="s">
        <v>32</v>
      </c>
      <c r="H124" t="s">
        <v>383</v>
      </c>
      <c r="I124" t="s">
        <v>383</v>
      </c>
      <c r="J124" t="s">
        <v>383</v>
      </c>
      <c r="K124">
        <v>113</v>
      </c>
      <c r="L124" t="s">
        <v>383</v>
      </c>
      <c r="M124">
        <v>417</v>
      </c>
      <c r="N124">
        <v>417</v>
      </c>
      <c r="O124">
        <v>11</v>
      </c>
      <c r="P124" t="s">
        <v>34</v>
      </c>
      <c r="Q124">
        <v>113</v>
      </c>
      <c r="R124" t="s">
        <v>1552</v>
      </c>
      <c r="S124" t="s">
        <v>107</v>
      </c>
      <c r="T124">
        <v>1</v>
      </c>
      <c r="U124" t="s">
        <v>383</v>
      </c>
      <c r="V124" t="s">
        <v>108</v>
      </c>
      <c r="W124" t="s">
        <v>37</v>
      </c>
      <c r="X124" t="s">
        <v>109</v>
      </c>
      <c r="Y124" t="s">
        <v>375</v>
      </c>
      <c r="Z124" t="s">
        <v>38</v>
      </c>
      <c r="AA124" t="s">
        <v>51</v>
      </c>
      <c r="AB124" t="s">
        <v>111</v>
      </c>
      <c r="AC124" t="s">
        <v>375</v>
      </c>
      <c r="AD124" t="s">
        <v>40</v>
      </c>
      <c r="AE124" t="s">
        <v>41</v>
      </c>
      <c r="AF124" t="s">
        <v>112</v>
      </c>
      <c r="AG124" t="s">
        <v>112</v>
      </c>
      <c r="AH124" t="s">
        <v>53</v>
      </c>
      <c r="AI124" t="str">
        <f t="shared" si="5"/>
        <v>Other</v>
      </c>
    </row>
    <row r="125" spans="1:35" x14ac:dyDescent="0.3">
      <c r="A125" t="str">
        <f>VLOOKUP(Q125,regions_fabio!$A$2:$C$192,3,0)</f>
        <v>LAO</v>
      </c>
      <c r="B125" t="str">
        <f>IFERROR(VLOOKUP(A125,polities_whep!$A$1:$G$199,2,0),"")</f>
        <v>Lao</v>
      </c>
      <c r="C125">
        <v>117</v>
      </c>
      <c r="D125">
        <v>120</v>
      </c>
      <c r="E125" t="s">
        <v>384</v>
      </c>
      <c r="F125" t="str">
        <f>VLOOKUP(D125,FAO_areas!$A$2:$C$246,3,0)</f>
        <v>Lao People's Democratic Republic</v>
      </c>
      <c r="G125" t="s">
        <v>32</v>
      </c>
      <c r="H125" t="s">
        <v>385</v>
      </c>
      <c r="I125" t="s">
        <v>386</v>
      </c>
      <c r="K125">
        <v>120</v>
      </c>
      <c r="L125" t="s">
        <v>387</v>
      </c>
      <c r="M125">
        <v>418</v>
      </c>
      <c r="N125">
        <v>418</v>
      </c>
      <c r="O125">
        <v>15</v>
      </c>
      <c r="P125" t="s">
        <v>34</v>
      </c>
      <c r="Q125">
        <v>120</v>
      </c>
      <c r="R125" t="s">
        <v>1552</v>
      </c>
      <c r="S125" t="s">
        <v>172</v>
      </c>
      <c r="T125">
        <v>1</v>
      </c>
      <c r="U125" t="s">
        <v>387</v>
      </c>
      <c r="V125" t="s">
        <v>173</v>
      </c>
      <c r="W125" t="s">
        <v>37</v>
      </c>
      <c r="X125" t="s">
        <v>174</v>
      </c>
      <c r="Y125" t="s">
        <v>175</v>
      </c>
      <c r="Z125" t="s">
        <v>38</v>
      </c>
      <c r="AA125" t="s">
        <v>39</v>
      </c>
      <c r="AB125" t="s">
        <v>67</v>
      </c>
      <c r="AC125" t="s">
        <v>176</v>
      </c>
      <c r="AD125" t="s">
        <v>40</v>
      </c>
      <c r="AE125" t="s">
        <v>41</v>
      </c>
      <c r="AF125" t="s">
        <v>175</v>
      </c>
      <c r="AG125" t="s">
        <v>42</v>
      </c>
      <c r="AH125" t="s">
        <v>43</v>
      </c>
      <c r="AI125" t="str">
        <f t="shared" si="5"/>
        <v>Other</v>
      </c>
    </row>
    <row r="126" spans="1:35" x14ac:dyDescent="0.3">
      <c r="A126" t="s">
        <v>4768</v>
      </c>
      <c r="B126" t="str">
        <f>IFERROR(VLOOKUP(A126,polities_whep!$A$1:$G$199,2,0),"")</f>
        <v>Latin America Other</v>
      </c>
      <c r="C126">
        <v>248</v>
      </c>
      <c r="D126">
        <v>258</v>
      </c>
      <c r="E126" t="s">
        <v>87</v>
      </c>
      <c r="F126" t="e">
        <f>VLOOKUP(D126,FAO_areas!$A$2:$C$246,3,0)</f>
        <v>#N/A</v>
      </c>
      <c r="G126" t="s">
        <v>32</v>
      </c>
      <c r="H126" t="s">
        <v>88</v>
      </c>
      <c r="K126">
        <v>999</v>
      </c>
      <c r="L126" t="s">
        <v>73</v>
      </c>
      <c r="M126">
        <v>660</v>
      </c>
      <c r="N126">
        <v>660</v>
      </c>
      <c r="O126">
        <v>3</v>
      </c>
      <c r="P126" t="s">
        <v>32</v>
      </c>
      <c r="Q126">
        <v>999</v>
      </c>
      <c r="R126" t="s">
        <v>1552</v>
      </c>
      <c r="S126" t="s">
        <v>89</v>
      </c>
      <c r="T126">
        <v>1</v>
      </c>
      <c r="U126" t="s">
        <v>88</v>
      </c>
      <c r="V126" t="s">
        <v>90</v>
      </c>
      <c r="W126" t="s">
        <v>91</v>
      </c>
      <c r="X126" t="s">
        <v>92</v>
      </c>
      <c r="Y126" t="s">
        <v>90</v>
      </c>
      <c r="Z126" t="s">
        <v>93</v>
      </c>
      <c r="AA126" t="s">
        <v>93</v>
      </c>
      <c r="AB126" t="s">
        <v>90</v>
      </c>
      <c r="AC126" t="s">
        <v>94</v>
      </c>
      <c r="AD126" t="s">
        <v>40</v>
      </c>
      <c r="AE126" t="s">
        <v>41</v>
      </c>
      <c r="AF126" t="s">
        <v>95</v>
      </c>
      <c r="AG126" t="s">
        <v>92</v>
      </c>
      <c r="AH126" t="s">
        <v>43</v>
      </c>
      <c r="AI126" t="str">
        <f t="shared" si="5"/>
        <v>Other</v>
      </c>
    </row>
    <row r="127" spans="1:35" x14ac:dyDescent="0.3">
      <c r="A127" t="s">
        <v>4768</v>
      </c>
      <c r="B127" t="str">
        <f>IFERROR(VLOOKUP(A127,polities_whep!$A$1:$G$199,2,0),"")</f>
        <v>Latin America Other</v>
      </c>
      <c r="C127">
        <v>22</v>
      </c>
      <c r="D127">
        <v>22</v>
      </c>
      <c r="E127" t="s">
        <v>113</v>
      </c>
      <c r="F127" t="e">
        <f>VLOOKUP(D127,FAO_areas!$A$2:$C$246,3,0)</f>
        <v>#N/A</v>
      </c>
      <c r="G127" t="s">
        <v>32</v>
      </c>
      <c r="H127" t="s">
        <v>114</v>
      </c>
      <c r="I127" t="s">
        <v>114</v>
      </c>
      <c r="K127">
        <v>999</v>
      </c>
      <c r="L127" t="s">
        <v>73</v>
      </c>
      <c r="M127">
        <v>533</v>
      </c>
      <c r="N127">
        <v>533</v>
      </c>
      <c r="O127">
        <v>3</v>
      </c>
      <c r="P127" t="s">
        <v>32</v>
      </c>
      <c r="Q127">
        <v>999</v>
      </c>
      <c r="R127" t="s">
        <v>1552</v>
      </c>
      <c r="S127" t="s">
        <v>89</v>
      </c>
      <c r="T127">
        <v>1</v>
      </c>
      <c r="U127" t="s">
        <v>114</v>
      </c>
      <c r="V127" t="s">
        <v>90</v>
      </c>
      <c r="W127" t="s">
        <v>91</v>
      </c>
      <c r="X127" t="s">
        <v>92</v>
      </c>
      <c r="Y127" t="s">
        <v>90</v>
      </c>
      <c r="Z127" t="s">
        <v>93</v>
      </c>
      <c r="AA127" t="s">
        <v>93</v>
      </c>
      <c r="AB127" t="s">
        <v>90</v>
      </c>
      <c r="AC127" t="s">
        <v>94</v>
      </c>
      <c r="AD127" t="s">
        <v>40</v>
      </c>
      <c r="AE127" t="s">
        <v>41</v>
      </c>
      <c r="AF127" t="s">
        <v>95</v>
      </c>
      <c r="AG127" t="s">
        <v>92</v>
      </c>
      <c r="AH127" t="s">
        <v>43</v>
      </c>
      <c r="AI127" t="str">
        <f t="shared" si="5"/>
        <v>Other</v>
      </c>
    </row>
    <row r="128" spans="1:35" x14ac:dyDescent="0.3">
      <c r="A128" t="s">
        <v>4768</v>
      </c>
      <c r="B128" t="str">
        <f>IFERROR(VLOOKUP(A128,polities_whep!$A$1:$G$199,2,0),"")</f>
        <v>Latin America Other</v>
      </c>
      <c r="C128">
        <v>17</v>
      </c>
      <c r="D128">
        <v>17</v>
      </c>
      <c r="E128" t="s">
        <v>146</v>
      </c>
      <c r="F128" t="e">
        <f>VLOOKUP(D128,FAO_areas!$A$2:$C$246,3,0)</f>
        <v>#N/A</v>
      </c>
      <c r="G128" t="s">
        <v>32</v>
      </c>
      <c r="H128" t="s">
        <v>147</v>
      </c>
      <c r="I128" t="s">
        <v>147</v>
      </c>
      <c r="K128">
        <v>17</v>
      </c>
      <c r="L128" t="s">
        <v>147</v>
      </c>
      <c r="M128">
        <v>60</v>
      </c>
      <c r="N128">
        <v>60</v>
      </c>
      <c r="O128">
        <v>3</v>
      </c>
      <c r="P128" t="s">
        <v>32</v>
      </c>
      <c r="Q128">
        <v>999</v>
      </c>
      <c r="R128" t="s">
        <v>1552</v>
      </c>
      <c r="S128" t="s">
        <v>89</v>
      </c>
      <c r="T128">
        <v>1</v>
      </c>
      <c r="U128" t="s">
        <v>147</v>
      </c>
      <c r="V128" t="s">
        <v>90</v>
      </c>
      <c r="W128" t="s">
        <v>91</v>
      </c>
      <c r="X128" t="s">
        <v>92</v>
      </c>
      <c r="Y128" t="s">
        <v>148</v>
      </c>
      <c r="Z128" t="s">
        <v>93</v>
      </c>
      <c r="AA128" t="s">
        <v>93</v>
      </c>
      <c r="AB128" t="s">
        <v>148</v>
      </c>
      <c r="AC128" t="s">
        <v>148</v>
      </c>
      <c r="AD128" t="s">
        <v>40</v>
      </c>
      <c r="AE128" t="s">
        <v>41</v>
      </c>
      <c r="AF128" t="s">
        <v>148</v>
      </c>
      <c r="AG128" s="2" t="s">
        <v>92</v>
      </c>
      <c r="AH128" t="s">
        <v>53</v>
      </c>
      <c r="AI128" t="str">
        <f t="shared" si="5"/>
        <v>Other</v>
      </c>
    </row>
    <row r="129" spans="1:35" x14ac:dyDescent="0.3">
      <c r="A129" t="s">
        <v>4768</v>
      </c>
      <c r="B129" t="str">
        <f>IFERROR(VLOOKUP(A129,polities_whep!$A$1:$G$199,2,0),"")</f>
        <v>Latin America Other</v>
      </c>
      <c r="C129">
        <v>31</v>
      </c>
      <c r="D129">
        <v>31</v>
      </c>
      <c r="E129" t="s">
        <v>160</v>
      </c>
      <c r="F129" t="e">
        <f>VLOOKUP(D129,FAO_areas!$A$2:$C$246,3,0)</f>
        <v>#N/A</v>
      </c>
      <c r="G129" t="s">
        <v>32</v>
      </c>
      <c r="H129" t="s">
        <v>161</v>
      </c>
      <c r="K129">
        <v>999</v>
      </c>
      <c r="L129" t="s">
        <v>73</v>
      </c>
      <c r="M129" t="s">
        <v>98</v>
      </c>
      <c r="N129">
        <v>74</v>
      </c>
      <c r="O129">
        <v>4</v>
      </c>
      <c r="P129" t="s">
        <v>32</v>
      </c>
      <c r="Q129">
        <v>999</v>
      </c>
      <c r="R129" t="s">
        <v>1552</v>
      </c>
      <c r="S129" t="s">
        <v>103</v>
      </c>
      <c r="T129">
        <v>1</v>
      </c>
      <c r="U129" t="s">
        <v>161</v>
      </c>
      <c r="V129" t="s">
        <v>90</v>
      </c>
      <c r="W129" t="s">
        <v>91</v>
      </c>
      <c r="X129" s="2" t="s">
        <v>92</v>
      </c>
      <c r="Y129" s="2" t="s">
        <v>90</v>
      </c>
      <c r="Z129" s="2" t="s">
        <v>93</v>
      </c>
      <c r="AA129" s="2" t="s">
        <v>93</v>
      </c>
      <c r="AB129" s="2" t="s">
        <v>90</v>
      </c>
      <c r="AC129" t="s">
        <v>103</v>
      </c>
      <c r="AD129" t="s">
        <v>40</v>
      </c>
      <c r="AE129" t="s">
        <v>41</v>
      </c>
      <c r="AF129" t="s">
        <v>155</v>
      </c>
      <c r="AG129" t="s">
        <v>92</v>
      </c>
      <c r="AH129" t="s">
        <v>43</v>
      </c>
      <c r="AI129" t="str">
        <f t="shared" si="5"/>
        <v>Other</v>
      </c>
    </row>
    <row r="130" spans="1:35" x14ac:dyDescent="0.3">
      <c r="A130" t="s">
        <v>4768</v>
      </c>
      <c r="B130" t="str">
        <f>IFERROR(VLOOKUP(A130,polities_whep!$A$1:$G$199,2,0),"")</f>
        <v>Latin America Other</v>
      </c>
      <c r="C130">
        <v>235</v>
      </c>
      <c r="D130">
        <v>239</v>
      </c>
      <c r="E130" t="s">
        <v>166</v>
      </c>
      <c r="F130" t="e">
        <f>VLOOKUP(D130,FAO_areas!$A$2:$C$246,3,0)</f>
        <v>#N/A</v>
      </c>
      <c r="G130" t="s">
        <v>32</v>
      </c>
      <c r="H130" t="s">
        <v>167</v>
      </c>
      <c r="I130" t="s">
        <v>168</v>
      </c>
      <c r="K130">
        <v>999</v>
      </c>
      <c r="L130" t="s">
        <v>73</v>
      </c>
      <c r="M130">
        <v>92</v>
      </c>
      <c r="N130">
        <v>92</v>
      </c>
      <c r="O130">
        <v>3</v>
      </c>
      <c r="P130" t="s">
        <v>32</v>
      </c>
      <c r="Q130">
        <v>999</v>
      </c>
      <c r="R130" t="s">
        <v>1552</v>
      </c>
      <c r="S130" t="s">
        <v>89</v>
      </c>
      <c r="T130">
        <v>1</v>
      </c>
      <c r="U130" t="s">
        <v>167</v>
      </c>
      <c r="V130" t="s">
        <v>90</v>
      </c>
      <c r="W130" t="s">
        <v>91</v>
      </c>
      <c r="X130" t="s">
        <v>92</v>
      </c>
      <c r="Y130" t="s">
        <v>90</v>
      </c>
      <c r="Z130" t="s">
        <v>93</v>
      </c>
      <c r="AA130" t="s">
        <v>93</v>
      </c>
      <c r="AB130" t="s">
        <v>90</v>
      </c>
      <c r="AC130" t="s">
        <v>94</v>
      </c>
      <c r="AD130" t="s">
        <v>40</v>
      </c>
      <c r="AE130" t="s">
        <v>41</v>
      </c>
      <c r="AF130" t="s">
        <v>95</v>
      </c>
      <c r="AG130" t="s">
        <v>92</v>
      </c>
      <c r="AH130" t="s">
        <v>43</v>
      </c>
      <c r="AI130" t="str">
        <f t="shared" si="5"/>
        <v>Other</v>
      </c>
    </row>
    <row r="131" spans="1:35" x14ac:dyDescent="0.3">
      <c r="A131" t="s">
        <v>4768</v>
      </c>
      <c r="B131" t="str">
        <f>IFERROR(VLOOKUP(A131,polities_whep!$A$1:$G$199,2,0),"")</f>
        <v>Latin America Other</v>
      </c>
      <c r="C131">
        <v>36</v>
      </c>
      <c r="D131">
        <v>36</v>
      </c>
      <c r="E131" t="s">
        <v>195</v>
      </c>
      <c r="F131" t="e">
        <f>VLOOKUP(D131,FAO_areas!$A$2:$C$246,3,0)</f>
        <v>#N/A</v>
      </c>
      <c r="G131" t="s">
        <v>32</v>
      </c>
      <c r="H131" t="s">
        <v>196</v>
      </c>
      <c r="I131" t="s">
        <v>196</v>
      </c>
      <c r="K131">
        <v>36</v>
      </c>
      <c r="L131" t="s">
        <v>196</v>
      </c>
      <c r="M131">
        <v>136</v>
      </c>
      <c r="N131">
        <v>136</v>
      </c>
      <c r="O131">
        <v>3</v>
      </c>
      <c r="P131" t="s">
        <v>32</v>
      </c>
      <c r="Q131">
        <v>999</v>
      </c>
      <c r="R131" t="s">
        <v>1552</v>
      </c>
      <c r="S131" t="s">
        <v>89</v>
      </c>
      <c r="T131">
        <v>1</v>
      </c>
      <c r="U131" t="s">
        <v>196</v>
      </c>
      <c r="V131" t="s">
        <v>90</v>
      </c>
      <c r="W131" t="s">
        <v>91</v>
      </c>
      <c r="X131" t="s">
        <v>92</v>
      </c>
      <c r="Y131" t="s">
        <v>90</v>
      </c>
      <c r="Z131" t="s">
        <v>93</v>
      </c>
      <c r="AA131" t="s">
        <v>93</v>
      </c>
      <c r="AB131" t="s">
        <v>90</v>
      </c>
      <c r="AC131" t="s">
        <v>94</v>
      </c>
      <c r="AD131" t="s">
        <v>40</v>
      </c>
      <c r="AE131" t="s">
        <v>41</v>
      </c>
      <c r="AF131" t="s">
        <v>95</v>
      </c>
      <c r="AG131" t="s">
        <v>92</v>
      </c>
      <c r="AH131" t="s">
        <v>43</v>
      </c>
      <c r="AI131" t="str">
        <f t="shared" si="5"/>
        <v>Other</v>
      </c>
    </row>
    <row r="132" spans="1:35" x14ac:dyDescent="0.3">
      <c r="A132" t="s">
        <v>4768</v>
      </c>
      <c r="B132" t="str">
        <f>IFERROR(VLOOKUP(A132,polities_whep!$A$1:$G$199,2,0),"")</f>
        <v>Latin America Other</v>
      </c>
      <c r="C132">
        <v>256</v>
      </c>
      <c r="D132">
        <v>279</v>
      </c>
      <c r="E132" t="s">
        <v>240</v>
      </c>
      <c r="F132" t="e">
        <f>VLOOKUP(D132,FAO_areas!$A$2:$C$246,3,0)</f>
        <v>#N/A</v>
      </c>
      <c r="G132" t="s">
        <v>32</v>
      </c>
      <c r="H132" t="s">
        <v>241</v>
      </c>
      <c r="K132">
        <v>999</v>
      </c>
      <c r="L132" t="s">
        <v>73</v>
      </c>
      <c r="M132">
        <v>531</v>
      </c>
      <c r="N132" t="s">
        <v>98</v>
      </c>
      <c r="O132">
        <v>3</v>
      </c>
      <c r="P132" t="s">
        <v>32</v>
      </c>
      <c r="Q132">
        <v>999</v>
      </c>
      <c r="R132" t="s">
        <v>1552</v>
      </c>
      <c r="S132" t="s">
        <v>89</v>
      </c>
      <c r="T132">
        <v>1</v>
      </c>
      <c r="U132" t="s">
        <v>241</v>
      </c>
      <c r="V132" t="s">
        <v>90</v>
      </c>
      <c r="W132" t="s">
        <v>91</v>
      </c>
      <c r="X132" t="s">
        <v>92</v>
      </c>
      <c r="Y132" t="s">
        <v>90</v>
      </c>
      <c r="Z132" t="s">
        <v>93</v>
      </c>
      <c r="AA132" t="s">
        <v>93</v>
      </c>
      <c r="AB132" t="s">
        <v>90</v>
      </c>
      <c r="AC132" t="s">
        <v>94</v>
      </c>
      <c r="AD132" t="s">
        <v>40</v>
      </c>
      <c r="AE132" t="s">
        <v>41</v>
      </c>
      <c r="AF132" t="s">
        <v>95</v>
      </c>
      <c r="AG132" t="s">
        <v>92</v>
      </c>
      <c r="AH132" t="s">
        <v>43</v>
      </c>
      <c r="AI132" t="str">
        <f t="shared" si="5"/>
        <v>Other</v>
      </c>
    </row>
    <row r="133" spans="1:35" x14ac:dyDescent="0.3">
      <c r="A133" t="s">
        <v>4768</v>
      </c>
      <c r="B133" t="str">
        <f>IFERROR(VLOOKUP(A133,polities_whep!$A$1:$G$199,2,0),"")</f>
        <v>Latin America Other</v>
      </c>
      <c r="C133">
        <v>65</v>
      </c>
      <c r="D133">
        <v>65</v>
      </c>
      <c r="E133" t="s">
        <v>281</v>
      </c>
      <c r="F133" t="e">
        <f>VLOOKUP(D133,FAO_areas!$A$2:$C$246,3,0)</f>
        <v>#N/A</v>
      </c>
      <c r="G133" t="s">
        <v>32</v>
      </c>
      <c r="H133" t="s">
        <v>282</v>
      </c>
      <c r="I133" t="s">
        <v>283</v>
      </c>
      <c r="K133">
        <v>999</v>
      </c>
      <c r="L133" t="s">
        <v>73</v>
      </c>
      <c r="M133">
        <v>238</v>
      </c>
      <c r="N133">
        <v>238</v>
      </c>
      <c r="O133">
        <v>4</v>
      </c>
      <c r="P133" t="s">
        <v>32</v>
      </c>
      <c r="Q133">
        <v>999</v>
      </c>
      <c r="R133" t="s">
        <v>1552</v>
      </c>
      <c r="S133" t="s">
        <v>103</v>
      </c>
      <c r="T133">
        <v>1</v>
      </c>
      <c r="U133" t="s">
        <v>282</v>
      </c>
      <c r="V133" t="s">
        <v>90</v>
      </c>
      <c r="W133" t="s">
        <v>91</v>
      </c>
      <c r="X133" t="s">
        <v>92</v>
      </c>
      <c r="Y133" t="s">
        <v>90</v>
      </c>
      <c r="Z133" t="s">
        <v>93</v>
      </c>
      <c r="AA133" t="s">
        <v>93</v>
      </c>
      <c r="AB133" t="s">
        <v>90</v>
      </c>
      <c r="AC133" t="s">
        <v>103</v>
      </c>
      <c r="AD133" t="s">
        <v>40</v>
      </c>
      <c r="AE133" t="s">
        <v>41</v>
      </c>
      <c r="AF133" t="s">
        <v>95</v>
      </c>
      <c r="AG133" t="s">
        <v>92</v>
      </c>
      <c r="AH133" t="s">
        <v>43</v>
      </c>
      <c r="AI133" t="str">
        <f t="shared" si="5"/>
        <v>Other</v>
      </c>
    </row>
    <row r="134" spans="1:35" x14ac:dyDescent="0.3">
      <c r="A134" t="s">
        <v>4768</v>
      </c>
      <c r="B134" t="str">
        <f>IFERROR(VLOOKUP(A134,polities_whep!$A$1:$G$199,2,0),"")</f>
        <v>Latin America Other</v>
      </c>
      <c r="C134">
        <v>84</v>
      </c>
      <c r="D134">
        <v>87</v>
      </c>
      <c r="E134" t="s">
        <v>318</v>
      </c>
      <c r="F134" t="str">
        <f>VLOOKUP(D134,FAO_areas!$A$2:$C$246,3,0)</f>
        <v>Guadeloupe</v>
      </c>
      <c r="G134" t="s">
        <v>32</v>
      </c>
      <c r="H134" t="s">
        <v>319</v>
      </c>
      <c r="I134" t="s">
        <v>319</v>
      </c>
      <c r="K134">
        <v>87</v>
      </c>
      <c r="L134" t="s">
        <v>319</v>
      </c>
      <c r="M134" t="s">
        <v>98</v>
      </c>
      <c r="N134">
        <v>312</v>
      </c>
      <c r="O134">
        <v>3</v>
      </c>
      <c r="P134" t="s">
        <v>32</v>
      </c>
      <c r="Q134">
        <v>999</v>
      </c>
      <c r="R134" t="s">
        <v>1552</v>
      </c>
      <c r="S134" t="s">
        <v>89</v>
      </c>
      <c r="T134">
        <v>1</v>
      </c>
      <c r="U134" t="s">
        <v>319</v>
      </c>
      <c r="V134" t="s">
        <v>90</v>
      </c>
      <c r="W134" t="s">
        <v>91</v>
      </c>
      <c r="X134" t="s">
        <v>92</v>
      </c>
      <c r="Y134" t="s">
        <v>90</v>
      </c>
      <c r="Z134" t="s">
        <v>93</v>
      </c>
      <c r="AA134" t="s">
        <v>93</v>
      </c>
      <c r="AB134" t="s">
        <v>90</v>
      </c>
      <c r="AC134" t="s">
        <v>94</v>
      </c>
      <c r="AD134" t="s">
        <v>40</v>
      </c>
      <c r="AE134" t="s">
        <v>41</v>
      </c>
      <c r="AF134" t="s">
        <v>95</v>
      </c>
      <c r="AG134" t="s">
        <v>92</v>
      </c>
      <c r="AH134" t="s">
        <v>43</v>
      </c>
      <c r="AI134" t="str">
        <f t="shared" si="5"/>
        <v>Other</v>
      </c>
    </row>
    <row r="135" spans="1:35" x14ac:dyDescent="0.3">
      <c r="A135" t="s">
        <v>4768</v>
      </c>
      <c r="B135" t="str">
        <f>IFERROR(VLOOKUP(A135,polities_whep!$A$1:$G$199,2,0),"")</f>
        <v>Latin America Other</v>
      </c>
      <c r="C135">
        <v>132</v>
      </c>
      <c r="D135">
        <v>135</v>
      </c>
      <c r="E135" t="s">
        <v>419</v>
      </c>
      <c r="F135" t="str">
        <f>VLOOKUP(D135,FAO_areas!$A$2:$C$246,3,0)</f>
        <v>Martinique</v>
      </c>
      <c r="G135" t="s">
        <v>32</v>
      </c>
      <c r="H135" t="s">
        <v>420</v>
      </c>
      <c r="I135" t="s">
        <v>420</v>
      </c>
      <c r="K135">
        <v>135</v>
      </c>
      <c r="L135" t="s">
        <v>420</v>
      </c>
      <c r="M135" t="s">
        <v>98</v>
      </c>
      <c r="N135">
        <v>474</v>
      </c>
      <c r="O135">
        <v>3</v>
      </c>
      <c r="P135" t="s">
        <v>32</v>
      </c>
      <c r="Q135">
        <v>999</v>
      </c>
      <c r="R135" t="s">
        <v>1552</v>
      </c>
      <c r="S135" t="s">
        <v>89</v>
      </c>
      <c r="T135">
        <v>1</v>
      </c>
      <c r="U135" t="s">
        <v>420</v>
      </c>
      <c r="V135" t="s">
        <v>90</v>
      </c>
      <c r="W135" t="s">
        <v>91</v>
      </c>
      <c r="X135" t="s">
        <v>92</v>
      </c>
      <c r="Y135" t="s">
        <v>90</v>
      </c>
      <c r="Z135" t="s">
        <v>93</v>
      </c>
      <c r="AA135" t="s">
        <v>93</v>
      </c>
      <c r="AB135" t="s">
        <v>90</v>
      </c>
      <c r="AC135" t="s">
        <v>94</v>
      </c>
      <c r="AD135" t="s">
        <v>40</v>
      </c>
      <c r="AE135" t="s">
        <v>41</v>
      </c>
      <c r="AF135" t="s">
        <v>95</v>
      </c>
      <c r="AG135" t="s">
        <v>92</v>
      </c>
      <c r="AH135" t="s">
        <v>43</v>
      </c>
      <c r="AI135" t="str">
        <f t="shared" si="5"/>
        <v>Other</v>
      </c>
    </row>
    <row r="136" spans="1:35" x14ac:dyDescent="0.3">
      <c r="A136" t="s">
        <v>4768</v>
      </c>
      <c r="B136" t="str">
        <f>IFERROR(VLOOKUP(A136,polities_whep!$A$1:$G$199,2,0),"")</f>
        <v>Latin America Other</v>
      </c>
      <c r="C136">
        <v>139</v>
      </c>
      <c r="D136">
        <v>142</v>
      </c>
      <c r="E136" t="s">
        <v>444</v>
      </c>
      <c r="F136" t="e">
        <f>VLOOKUP(D136,FAO_areas!$A$2:$C$246,3,0)</f>
        <v>#N/A</v>
      </c>
      <c r="G136" t="s">
        <v>32</v>
      </c>
      <c r="H136" t="s">
        <v>445</v>
      </c>
      <c r="I136" t="s">
        <v>445</v>
      </c>
      <c r="K136">
        <v>142</v>
      </c>
      <c r="L136" t="s">
        <v>445</v>
      </c>
      <c r="M136">
        <v>500</v>
      </c>
      <c r="N136">
        <v>500</v>
      </c>
      <c r="O136">
        <v>3</v>
      </c>
      <c r="P136" t="s">
        <v>32</v>
      </c>
      <c r="Q136">
        <v>999</v>
      </c>
      <c r="R136" t="s">
        <v>1552</v>
      </c>
      <c r="S136" t="s">
        <v>89</v>
      </c>
      <c r="T136">
        <v>1</v>
      </c>
      <c r="U136" t="s">
        <v>445</v>
      </c>
      <c r="V136" t="s">
        <v>90</v>
      </c>
      <c r="W136" t="s">
        <v>91</v>
      </c>
      <c r="X136" t="s">
        <v>92</v>
      </c>
      <c r="Y136" t="s">
        <v>90</v>
      </c>
      <c r="Z136" t="s">
        <v>93</v>
      </c>
      <c r="AA136" t="s">
        <v>93</v>
      </c>
      <c r="AB136" t="s">
        <v>90</v>
      </c>
      <c r="AC136" t="s">
        <v>94</v>
      </c>
      <c r="AD136" t="s">
        <v>40</v>
      </c>
      <c r="AE136" t="s">
        <v>41</v>
      </c>
      <c r="AF136" t="s">
        <v>95</v>
      </c>
      <c r="AG136" t="s">
        <v>92</v>
      </c>
      <c r="AH136" t="s">
        <v>43</v>
      </c>
      <c r="AI136" t="str">
        <f t="shared" si="5"/>
        <v>Other</v>
      </c>
    </row>
    <row r="137" spans="1:35" x14ac:dyDescent="0.3">
      <c r="A137" t="s">
        <v>4768</v>
      </c>
      <c r="B137" t="str">
        <f>IFERROR(VLOOKUP(A137,polities_whep!$A$1:$G$199,2,0),"")</f>
        <v>Latin America Other</v>
      </c>
      <c r="C137">
        <v>148</v>
      </c>
      <c r="D137">
        <v>151</v>
      </c>
      <c r="E137" t="s">
        <v>461</v>
      </c>
      <c r="F137" t="e">
        <f>VLOOKUP(D137,FAO_areas!$A$2:$C$246,3,0)</f>
        <v>#N/A</v>
      </c>
      <c r="G137" t="s">
        <v>32</v>
      </c>
      <c r="H137" t="s">
        <v>462</v>
      </c>
      <c r="I137" t="s">
        <v>462</v>
      </c>
      <c r="J137" t="s">
        <v>463</v>
      </c>
      <c r="K137">
        <v>999</v>
      </c>
      <c r="L137" t="s">
        <v>73</v>
      </c>
      <c r="M137">
        <v>530</v>
      </c>
      <c r="N137">
        <v>530</v>
      </c>
      <c r="O137">
        <v>3</v>
      </c>
      <c r="P137" t="s">
        <v>34</v>
      </c>
      <c r="Q137">
        <v>151</v>
      </c>
      <c r="R137" t="s">
        <v>1552</v>
      </c>
      <c r="S137" t="s">
        <v>89</v>
      </c>
      <c r="T137">
        <v>1</v>
      </c>
      <c r="U137" t="s">
        <v>462</v>
      </c>
      <c r="V137" t="s">
        <v>90</v>
      </c>
      <c r="W137" t="s">
        <v>91</v>
      </c>
      <c r="X137" s="2" t="s">
        <v>92</v>
      </c>
      <c r="Y137" t="s">
        <v>90</v>
      </c>
      <c r="Z137" t="s">
        <v>93</v>
      </c>
      <c r="AA137" s="2" t="s">
        <v>93</v>
      </c>
      <c r="AB137" s="2" t="s">
        <v>90</v>
      </c>
      <c r="AC137" t="s">
        <v>94</v>
      </c>
      <c r="AD137" t="s">
        <v>40</v>
      </c>
      <c r="AE137" t="s">
        <v>41</v>
      </c>
      <c r="AF137" t="s">
        <v>95</v>
      </c>
      <c r="AG137" t="s">
        <v>92</v>
      </c>
      <c r="AH137" t="s">
        <v>43</v>
      </c>
      <c r="AI137" t="str">
        <f t="shared" si="5"/>
        <v>Other</v>
      </c>
    </row>
    <row r="138" spans="1:35" x14ac:dyDescent="0.3">
      <c r="A138" t="s">
        <v>4768</v>
      </c>
      <c r="B138" t="str">
        <f>IFERROR(VLOOKUP(A138,polities_whep!$A$1:$G$199,2,0),"")</f>
        <v>Latin America Other</v>
      </c>
      <c r="C138">
        <v>257</v>
      </c>
      <c r="D138">
        <v>281</v>
      </c>
      <c r="E138" t="s">
        <v>554</v>
      </c>
      <c r="F138" t="e">
        <f>VLOOKUP(D138,FAO_areas!$A$2:$C$246,3,0)</f>
        <v>#N/A</v>
      </c>
      <c r="G138" t="s">
        <v>32</v>
      </c>
      <c r="H138" t="s">
        <v>555</v>
      </c>
      <c r="K138">
        <v>999</v>
      </c>
      <c r="L138" t="s">
        <v>73</v>
      </c>
      <c r="M138" t="s">
        <v>98</v>
      </c>
      <c r="N138" t="s">
        <v>98</v>
      </c>
      <c r="O138">
        <v>3</v>
      </c>
      <c r="P138" t="s">
        <v>32</v>
      </c>
      <c r="Q138">
        <v>999</v>
      </c>
      <c r="R138" t="s">
        <v>1552</v>
      </c>
      <c r="S138" t="s">
        <v>89</v>
      </c>
      <c r="T138">
        <v>1</v>
      </c>
      <c r="U138" t="s">
        <v>555</v>
      </c>
      <c r="V138" t="s">
        <v>90</v>
      </c>
      <c r="W138" t="s">
        <v>91</v>
      </c>
      <c r="X138" t="s">
        <v>92</v>
      </c>
      <c r="Y138" t="s">
        <v>90</v>
      </c>
      <c r="Z138" t="s">
        <v>93</v>
      </c>
      <c r="AA138" t="s">
        <v>93</v>
      </c>
      <c r="AB138" t="s">
        <v>90</v>
      </c>
      <c r="AC138" t="s">
        <v>94</v>
      </c>
      <c r="AD138" t="s">
        <v>40</v>
      </c>
      <c r="AE138" t="s">
        <v>41</v>
      </c>
      <c r="AF138" t="s">
        <v>95</v>
      </c>
      <c r="AG138" t="s">
        <v>92</v>
      </c>
      <c r="AH138" t="s">
        <v>43</v>
      </c>
      <c r="AI138" t="str">
        <f t="shared" si="5"/>
        <v>Other</v>
      </c>
    </row>
    <row r="139" spans="1:35" x14ac:dyDescent="0.3">
      <c r="A139" t="s">
        <v>4768</v>
      </c>
      <c r="B139" t="str">
        <f>IFERROR(VLOOKUP(A139,polities_whep!$A$1:$G$199,2,0),"")</f>
        <v>Latin America Other</v>
      </c>
      <c r="C139">
        <v>251</v>
      </c>
      <c r="D139">
        <v>271</v>
      </c>
      <c r="E139" t="s">
        <v>587</v>
      </c>
      <c r="F139" t="e">
        <f>VLOOKUP(D139,FAO_areas!$A$2:$C$246,3,0)</f>
        <v>#N/A</v>
      </c>
      <c r="G139" t="s">
        <v>32</v>
      </c>
      <c r="H139" t="s">
        <v>588</v>
      </c>
      <c r="K139">
        <v>999</v>
      </c>
      <c r="L139" t="s">
        <v>73</v>
      </c>
      <c r="M139" t="s">
        <v>98</v>
      </c>
      <c r="N139">
        <v>239</v>
      </c>
      <c r="O139">
        <v>4</v>
      </c>
      <c r="P139" t="s">
        <v>32</v>
      </c>
      <c r="Q139">
        <v>999</v>
      </c>
      <c r="R139" t="s">
        <v>1552</v>
      </c>
      <c r="S139" t="s">
        <v>103</v>
      </c>
      <c r="T139">
        <v>1</v>
      </c>
      <c r="U139" t="s">
        <v>588</v>
      </c>
      <c r="V139" t="s">
        <v>90</v>
      </c>
      <c r="W139" t="s">
        <v>91</v>
      </c>
      <c r="X139" s="2" t="s">
        <v>92</v>
      </c>
      <c r="Y139" s="2" t="s">
        <v>90</v>
      </c>
      <c r="Z139" s="2" t="s">
        <v>93</v>
      </c>
      <c r="AA139" s="2"/>
      <c r="AB139" s="2"/>
      <c r="AF139" t="s">
        <v>155</v>
      </c>
      <c r="AG139" t="s">
        <v>92</v>
      </c>
      <c r="AH139" t="s">
        <v>43</v>
      </c>
      <c r="AI139" t="str">
        <f t="shared" si="5"/>
        <v>Other</v>
      </c>
    </row>
    <row r="140" spans="1:35" x14ac:dyDescent="0.3">
      <c r="A140" t="s">
        <v>4768</v>
      </c>
      <c r="B140" t="str">
        <f>IFERROR(VLOOKUP(A140,polities_whep!$A$1:$G$199,2,0),"")</f>
        <v>Latin America Other</v>
      </c>
      <c r="C140">
        <v>220</v>
      </c>
      <c r="D140">
        <v>224</v>
      </c>
      <c r="E140" t="s">
        <v>641</v>
      </c>
      <c r="F140" t="e">
        <f>VLOOKUP(D140,FAO_areas!$A$2:$C$246,3,0)</f>
        <v>#N/A</v>
      </c>
      <c r="G140" t="s">
        <v>32</v>
      </c>
      <c r="H140" t="s">
        <v>642</v>
      </c>
      <c r="I140" t="s">
        <v>642</v>
      </c>
      <c r="K140">
        <v>999</v>
      </c>
      <c r="L140" t="s">
        <v>73</v>
      </c>
      <c r="M140">
        <v>796</v>
      </c>
      <c r="N140">
        <v>796</v>
      </c>
      <c r="O140">
        <v>3</v>
      </c>
      <c r="P140" t="s">
        <v>32</v>
      </c>
      <c r="Q140">
        <v>999</v>
      </c>
      <c r="R140" t="s">
        <v>1552</v>
      </c>
      <c r="S140" t="s">
        <v>89</v>
      </c>
      <c r="T140">
        <v>1</v>
      </c>
      <c r="U140" t="s">
        <v>642</v>
      </c>
      <c r="V140" t="s">
        <v>90</v>
      </c>
      <c r="W140" t="s">
        <v>91</v>
      </c>
      <c r="X140" t="s">
        <v>92</v>
      </c>
      <c r="Y140" t="s">
        <v>90</v>
      </c>
      <c r="Z140" t="s">
        <v>93</v>
      </c>
      <c r="AA140" t="s">
        <v>93</v>
      </c>
      <c r="AB140" t="s">
        <v>90</v>
      </c>
      <c r="AC140" t="s">
        <v>94</v>
      </c>
      <c r="AD140" t="s">
        <v>40</v>
      </c>
      <c r="AE140" t="s">
        <v>41</v>
      </c>
      <c r="AF140" t="s">
        <v>95</v>
      </c>
      <c r="AG140" t="s">
        <v>92</v>
      </c>
      <c r="AH140" t="s">
        <v>43</v>
      </c>
      <c r="AI140" t="str">
        <f t="shared" si="5"/>
        <v>Other</v>
      </c>
    </row>
    <row r="141" spans="1:35" x14ac:dyDescent="0.3">
      <c r="A141" t="s">
        <v>4768</v>
      </c>
      <c r="B141" t="str">
        <f>IFERROR(VLOOKUP(A141,polities_whep!$A$1:$G$199,2,0),"")</f>
        <v>Latin America Other</v>
      </c>
      <c r="C141">
        <v>236</v>
      </c>
      <c r="D141">
        <v>240</v>
      </c>
      <c r="E141" t="s">
        <v>655</v>
      </c>
      <c r="F141" t="e">
        <f>VLOOKUP(D141,FAO_areas!$A$2:$C$246,3,0)</f>
        <v>#N/A</v>
      </c>
      <c r="G141" t="s">
        <v>32</v>
      </c>
      <c r="H141" t="s">
        <v>656</v>
      </c>
      <c r="I141" t="s">
        <v>657</v>
      </c>
      <c r="K141">
        <v>999</v>
      </c>
      <c r="L141" t="s">
        <v>73</v>
      </c>
      <c r="M141" t="s">
        <v>98</v>
      </c>
      <c r="N141">
        <v>850</v>
      </c>
      <c r="O141">
        <v>3</v>
      </c>
      <c r="P141" t="s">
        <v>32</v>
      </c>
      <c r="Q141">
        <v>999</v>
      </c>
      <c r="R141" t="s">
        <v>1552</v>
      </c>
      <c r="S141" t="s">
        <v>89</v>
      </c>
      <c r="T141">
        <v>1</v>
      </c>
      <c r="U141" t="s">
        <v>656</v>
      </c>
      <c r="V141" t="s">
        <v>90</v>
      </c>
      <c r="W141" t="s">
        <v>91</v>
      </c>
      <c r="X141" t="s">
        <v>92</v>
      </c>
      <c r="Y141" t="s">
        <v>90</v>
      </c>
      <c r="Z141" t="s">
        <v>93</v>
      </c>
      <c r="AA141" t="s">
        <v>93</v>
      </c>
      <c r="AB141" t="s">
        <v>90</v>
      </c>
      <c r="AC141" t="s">
        <v>94</v>
      </c>
      <c r="AD141" t="s">
        <v>40</v>
      </c>
      <c r="AE141" t="s">
        <v>41</v>
      </c>
      <c r="AF141" t="s">
        <v>95</v>
      </c>
      <c r="AG141" t="s">
        <v>92</v>
      </c>
      <c r="AH141" t="s">
        <v>43</v>
      </c>
      <c r="AI141" t="str">
        <f t="shared" si="5"/>
        <v>Other</v>
      </c>
    </row>
    <row r="142" spans="1:35" x14ac:dyDescent="0.3">
      <c r="A142" s="10" t="s">
        <v>4768</v>
      </c>
      <c r="B142" t="s">
        <v>4762</v>
      </c>
    </row>
    <row r="143" spans="1:35" x14ac:dyDescent="0.3">
      <c r="A143" t="str">
        <f>VLOOKUP(Q143,regions_fabio!$A$2:$C$192,3,0)</f>
        <v>LVA</v>
      </c>
      <c r="B143" t="str">
        <f>IFERROR(VLOOKUP(A143,polities_whep!$A$1:$G$199,2,0),"")</f>
        <v>Latvia</v>
      </c>
      <c r="C143">
        <v>116</v>
      </c>
      <c r="D143">
        <v>119</v>
      </c>
      <c r="E143" t="s">
        <v>388</v>
      </c>
      <c r="F143" t="str">
        <f>VLOOKUP(D143,FAO_areas!$A$2:$C$246,3,0)</f>
        <v>Latvia</v>
      </c>
      <c r="G143" t="s">
        <v>34</v>
      </c>
      <c r="H143" t="s">
        <v>389</v>
      </c>
      <c r="I143" t="s">
        <v>389</v>
      </c>
      <c r="J143" t="s">
        <v>389</v>
      </c>
      <c r="K143">
        <v>119</v>
      </c>
      <c r="L143" t="s">
        <v>389</v>
      </c>
      <c r="M143">
        <v>428</v>
      </c>
      <c r="N143">
        <v>428</v>
      </c>
      <c r="O143">
        <v>11</v>
      </c>
      <c r="P143" t="s">
        <v>34</v>
      </c>
      <c r="Q143">
        <v>119</v>
      </c>
      <c r="R143" t="s">
        <v>5054</v>
      </c>
      <c r="S143" t="s">
        <v>107</v>
      </c>
      <c r="T143">
        <v>1</v>
      </c>
      <c r="U143" t="s">
        <v>389</v>
      </c>
      <c r="V143" t="s">
        <v>47</v>
      </c>
      <c r="W143" t="s">
        <v>48</v>
      </c>
      <c r="X143" t="s">
        <v>49</v>
      </c>
      <c r="Y143" t="s">
        <v>251</v>
      </c>
      <c r="Z143" t="s">
        <v>49</v>
      </c>
      <c r="AA143" t="s">
        <v>51</v>
      </c>
      <c r="AB143" t="s">
        <v>52</v>
      </c>
      <c r="AC143" t="s">
        <v>251</v>
      </c>
      <c r="AD143" t="s">
        <v>40</v>
      </c>
      <c r="AE143" t="s">
        <v>118</v>
      </c>
      <c r="AF143" t="s">
        <v>112</v>
      </c>
      <c r="AG143" t="s">
        <v>112</v>
      </c>
      <c r="AH143" t="s">
        <v>53</v>
      </c>
      <c r="AI143" t="str">
        <f t="shared" ref="AI143:AI172" si="6">IF(Z143="Europe","Europe","Other")</f>
        <v>Europe</v>
      </c>
    </row>
    <row r="144" spans="1:35" x14ac:dyDescent="0.3">
      <c r="A144" t="str">
        <f>VLOOKUP(Q144,regions_fabio!$A$2:$C$192,3,0)</f>
        <v>LBN</v>
      </c>
      <c r="B144" t="str">
        <f>IFERROR(VLOOKUP(A144,polities_whep!$A$1:$G$199,2,0),"")</f>
        <v>Lebanon</v>
      </c>
      <c r="C144">
        <v>118</v>
      </c>
      <c r="D144">
        <v>121</v>
      </c>
      <c r="E144" t="s">
        <v>390</v>
      </c>
      <c r="F144" t="str">
        <f>VLOOKUP(D144,FAO_areas!$A$2:$C$246,3,0)</f>
        <v>Lebanon</v>
      </c>
      <c r="G144" t="s">
        <v>32</v>
      </c>
      <c r="H144" t="s">
        <v>391</v>
      </c>
      <c r="I144" t="s">
        <v>391</v>
      </c>
      <c r="J144" t="s">
        <v>391</v>
      </c>
      <c r="K144">
        <v>121</v>
      </c>
      <c r="L144" t="s">
        <v>391</v>
      </c>
      <c r="M144">
        <v>422</v>
      </c>
      <c r="N144">
        <v>422</v>
      </c>
      <c r="O144">
        <v>12</v>
      </c>
      <c r="P144" t="s">
        <v>34</v>
      </c>
      <c r="Q144">
        <v>121</v>
      </c>
      <c r="R144" t="s">
        <v>1552</v>
      </c>
      <c r="S144" t="s">
        <v>128</v>
      </c>
      <c r="T144">
        <v>1</v>
      </c>
      <c r="U144" t="s">
        <v>391</v>
      </c>
      <c r="V144" t="s">
        <v>57</v>
      </c>
      <c r="W144" t="s">
        <v>58</v>
      </c>
      <c r="X144" t="s">
        <v>59</v>
      </c>
      <c r="Y144" t="s">
        <v>110</v>
      </c>
      <c r="Z144" t="s">
        <v>38</v>
      </c>
      <c r="AA144" t="s">
        <v>129</v>
      </c>
      <c r="AB144" t="s">
        <v>129</v>
      </c>
      <c r="AC144" t="s">
        <v>129</v>
      </c>
      <c r="AD144" t="s">
        <v>40</v>
      </c>
      <c r="AE144" t="s">
        <v>41</v>
      </c>
      <c r="AF144" t="s">
        <v>110</v>
      </c>
      <c r="AG144" t="s">
        <v>59</v>
      </c>
      <c r="AH144" t="s">
        <v>43</v>
      </c>
      <c r="AI144" t="str">
        <f t="shared" si="6"/>
        <v>Other</v>
      </c>
    </row>
    <row r="145" spans="1:35" x14ac:dyDescent="0.3">
      <c r="A145" t="str">
        <f>VLOOKUP(Q145,regions_fabio!$A$2:$C$192,3,0)</f>
        <v>LSO</v>
      </c>
      <c r="B145" t="str">
        <f>IFERROR(VLOOKUP(A145,polities_whep!$A$1:$G$199,2,0),"")</f>
        <v>Lesotho</v>
      </c>
      <c r="C145">
        <v>119</v>
      </c>
      <c r="D145">
        <v>122</v>
      </c>
      <c r="E145" t="s">
        <v>392</v>
      </c>
      <c r="F145" t="str">
        <f>VLOOKUP(D145,FAO_areas!$A$2:$C$246,3,0)</f>
        <v>Lesotho</v>
      </c>
      <c r="G145" t="s">
        <v>32</v>
      </c>
      <c r="H145" t="s">
        <v>393</v>
      </c>
      <c r="I145" t="s">
        <v>393</v>
      </c>
      <c r="K145">
        <v>122</v>
      </c>
      <c r="L145" t="s">
        <v>393</v>
      </c>
      <c r="M145">
        <v>426</v>
      </c>
      <c r="N145">
        <v>426</v>
      </c>
      <c r="O145">
        <v>8</v>
      </c>
      <c r="P145" t="s">
        <v>34</v>
      </c>
      <c r="Q145">
        <v>122</v>
      </c>
      <c r="R145" t="s">
        <v>1552</v>
      </c>
      <c r="S145" t="s">
        <v>79</v>
      </c>
      <c r="T145">
        <v>1</v>
      </c>
      <c r="U145" t="s">
        <v>393</v>
      </c>
      <c r="V145" t="s">
        <v>80</v>
      </c>
      <c r="W145" t="s">
        <v>81</v>
      </c>
      <c r="X145" t="s">
        <v>82</v>
      </c>
      <c r="Y145" t="s">
        <v>83</v>
      </c>
      <c r="Z145" t="s">
        <v>60</v>
      </c>
      <c r="AA145" t="s">
        <v>60</v>
      </c>
      <c r="AB145" t="s">
        <v>83</v>
      </c>
      <c r="AC145" t="s">
        <v>79</v>
      </c>
      <c r="AD145" t="s">
        <v>40</v>
      </c>
      <c r="AE145" t="s">
        <v>41</v>
      </c>
      <c r="AF145" t="s">
        <v>79</v>
      </c>
      <c r="AG145" t="s">
        <v>86</v>
      </c>
      <c r="AH145" t="s">
        <v>53</v>
      </c>
      <c r="AI145" t="str">
        <f t="shared" si="6"/>
        <v>Other</v>
      </c>
    </row>
    <row r="146" spans="1:35" x14ac:dyDescent="0.3">
      <c r="A146" t="str">
        <f>VLOOKUP(Q146,regions_fabio!$A$2:$C$192,3,0)</f>
        <v>LBR</v>
      </c>
      <c r="B146" t="str">
        <f>IFERROR(VLOOKUP(A146,polities_whep!$A$1:$G$199,2,0),"")</f>
        <v>Liberia</v>
      </c>
      <c r="C146">
        <v>120</v>
      </c>
      <c r="D146">
        <v>123</v>
      </c>
      <c r="E146" t="s">
        <v>394</v>
      </c>
      <c r="F146" t="str">
        <f>VLOOKUP(D146,FAO_areas!$A$2:$C$246,3,0)</f>
        <v>Liberia</v>
      </c>
      <c r="G146" t="s">
        <v>32</v>
      </c>
      <c r="H146" t="s">
        <v>395</v>
      </c>
      <c r="I146" t="s">
        <v>395</v>
      </c>
      <c r="K146">
        <v>123</v>
      </c>
      <c r="L146" t="s">
        <v>395</v>
      </c>
      <c r="M146">
        <v>430</v>
      </c>
      <c r="N146">
        <v>430</v>
      </c>
      <c r="O146">
        <v>6</v>
      </c>
      <c r="P146" t="s">
        <v>34</v>
      </c>
      <c r="Q146">
        <v>123</v>
      </c>
      <c r="R146" t="s">
        <v>1552</v>
      </c>
      <c r="S146" t="s">
        <v>145</v>
      </c>
      <c r="T146">
        <v>1</v>
      </c>
      <c r="U146" t="s">
        <v>395</v>
      </c>
      <c r="V146" t="s">
        <v>80</v>
      </c>
      <c r="W146" t="s">
        <v>81</v>
      </c>
      <c r="X146" t="s">
        <v>82</v>
      </c>
      <c r="Y146" t="s">
        <v>83</v>
      </c>
      <c r="Z146" t="s">
        <v>60</v>
      </c>
      <c r="AA146" t="s">
        <v>60</v>
      </c>
      <c r="AB146" t="s">
        <v>83</v>
      </c>
      <c r="AC146" t="s">
        <v>145</v>
      </c>
      <c r="AD146" t="s">
        <v>40</v>
      </c>
      <c r="AE146" t="s">
        <v>41</v>
      </c>
      <c r="AF146" t="s">
        <v>145</v>
      </c>
      <c r="AG146" t="s">
        <v>86</v>
      </c>
      <c r="AH146" t="s">
        <v>43</v>
      </c>
      <c r="AI146" t="str">
        <f t="shared" si="6"/>
        <v>Other</v>
      </c>
    </row>
    <row r="147" spans="1:35" x14ac:dyDescent="0.3">
      <c r="A147" t="str">
        <f>VLOOKUP(Q147,regions_fabio!$A$2:$C$192,3,0)</f>
        <v>LBY</v>
      </c>
      <c r="B147" t="str">
        <f>IFERROR(VLOOKUP(A147,polities_whep!$A$1:$G$199,2,0),"")</f>
        <v>Libya</v>
      </c>
      <c r="C147">
        <v>121</v>
      </c>
      <c r="D147">
        <v>124</v>
      </c>
      <c r="E147" t="s">
        <v>396</v>
      </c>
      <c r="F147" t="str">
        <f>VLOOKUP(D147,FAO_areas!$A$2:$C$246,3,0)</f>
        <v>Libya</v>
      </c>
      <c r="G147" t="s">
        <v>32</v>
      </c>
      <c r="H147" t="s">
        <v>397</v>
      </c>
      <c r="I147" t="s">
        <v>397</v>
      </c>
      <c r="J147" t="s">
        <v>397</v>
      </c>
      <c r="K147">
        <v>124</v>
      </c>
      <c r="L147" t="s">
        <v>398</v>
      </c>
      <c r="M147">
        <v>434</v>
      </c>
      <c r="N147">
        <v>434</v>
      </c>
      <c r="O147">
        <v>5</v>
      </c>
      <c r="P147" t="s">
        <v>34</v>
      </c>
      <c r="Q147">
        <v>124</v>
      </c>
      <c r="R147" t="s">
        <v>1552</v>
      </c>
      <c r="S147" t="s">
        <v>56</v>
      </c>
      <c r="T147">
        <v>1</v>
      </c>
      <c r="U147" t="s">
        <v>397</v>
      </c>
      <c r="V147" t="s">
        <v>57</v>
      </c>
      <c r="W147" t="s">
        <v>58</v>
      </c>
      <c r="X147" t="s">
        <v>59</v>
      </c>
      <c r="Y147" t="s">
        <v>56</v>
      </c>
      <c r="Z147" t="s">
        <v>60</v>
      </c>
      <c r="AA147" t="s">
        <v>60</v>
      </c>
      <c r="AB147" t="s">
        <v>56</v>
      </c>
      <c r="AC147" t="s">
        <v>56</v>
      </c>
      <c r="AD147" t="s">
        <v>40</v>
      </c>
      <c r="AE147" t="s">
        <v>41</v>
      </c>
      <c r="AF147" t="s">
        <v>56</v>
      </c>
      <c r="AG147" t="s">
        <v>59</v>
      </c>
      <c r="AH147" t="s">
        <v>43</v>
      </c>
      <c r="AI147" t="str">
        <f t="shared" si="6"/>
        <v>Other</v>
      </c>
    </row>
    <row r="148" spans="1:35" x14ac:dyDescent="0.3">
      <c r="A148" t="str">
        <f>VLOOKUP(Q148,regions_fabio!$A$2:$C$192,3,0)</f>
        <v>LTU</v>
      </c>
      <c r="B148" t="str">
        <f>IFERROR(VLOOKUP(A148,polities_whep!$A$1:$G$199,2,0),"")</f>
        <v>Lithuania</v>
      </c>
      <c r="C148">
        <v>123</v>
      </c>
      <c r="D148">
        <v>126</v>
      </c>
      <c r="E148" t="s">
        <v>401</v>
      </c>
      <c r="F148" t="str">
        <f>VLOOKUP(D148,FAO_areas!$A$2:$C$246,3,0)</f>
        <v>Lithuania</v>
      </c>
      <c r="G148" t="s">
        <v>34</v>
      </c>
      <c r="H148" t="s">
        <v>402</v>
      </c>
      <c r="I148" t="s">
        <v>402</v>
      </c>
      <c r="J148" t="s">
        <v>402</v>
      </c>
      <c r="K148">
        <v>126</v>
      </c>
      <c r="L148" t="s">
        <v>402</v>
      </c>
      <c r="M148">
        <v>440</v>
      </c>
      <c r="N148">
        <v>440</v>
      </c>
      <c r="O148">
        <v>11</v>
      </c>
      <c r="P148" t="s">
        <v>34</v>
      </c>
      <c r="Q148">
        <v>126</v>
      </c>
      <c r="R148" t="s">
        <v>5055</v>
      </c>
      <c r="S148" t="s">
        <v>107</v>
      </c>
      <c r="T148">
        <v>1</v>
      </c>
      <c r="U148" t="s">
        <v>402</v>
      </c>
      <c r="V148" t="s">
        <v>47</v>
      </c>
      <c r="W148" t="s">
        <v>48</v>
      </c>
      <c r="X148" t="s">
        <v>49</v>
      </c>
      <c r="Y148" t="s">
        <v>251</v>
      </c>
      <c r="Z148" t="s">
        <v>49</v>
      </c>
      <c r="AA148" t="s">
        <v>51</v>
      </c>
      <c r="AB148" t="s">
        <v>52</v>
      </c>
      <c r="AC148" t="s">
        <v>251</v>
      </c>
      <c r="AD148" t="s">
        <v>40</v>
      </c>
      <c r="AE148" t="s">
        <v>118</v>
      </c>
      <c r="AF148" t="s">
        <v>112</v>
      </c>
      <c r="AG148" t="s">
        <v>112</v>
      </c>
      <c r="AH148" t="s">
        <v>53</v>
      </c>
      <c r="AI148" t="str">
        <f t="shared" si="6"/>
        <v>Europe</v>
      </c>
    </row>
    <row r="149" spans="1:35" x14ac:dyDescent="0.3">
      <c r="A149" t="str">
        <f>VLOOKUP(Q149,regions_fabio!$A$2:$C$192,3,0)</f>
        <v>LUX</v>
      </c>
      <c r="B149" t="str">
        <f>IFERROR(VLOOKUP(A149,polities_whep!$A$1:$G$199,2,0),"")</f>
        <v>Luxembourg</v>
      </c>
      <c r="C149">
        <v>247</v>
      </c>
      <c r="D149">
        <v>256</v>
      </c>
      <c r="E149" t="s">
        <v>403</v>
      </c>
      <c r="F149" t="str">
        <f>VLOOKUP(D149,FAO_areas!$A$2:$C$246,3,0)</f>
        <v>Luxembourg</v>
      </c>
      <c r="G149" t="s">
        <v>34</v>
      </c>
      <c r="H149" t="s">
        <v>404</v>
      </c>
      <c r="I149" t="s">
        <v>404</v>
      </c>
      <c r="J149" t="s">
        <v>404</v>
      </c>
      <c r="K149">
        <v>256</v>
      </c>
      <c r="L149" t="s">
        <v>404</v>
      </c>
      <c r="M149">
        <v>442</v>
      </c>
      <c r="N149">
        <v>442</v>
      </c>
      <c r="O149">
        <v>9</v>
      </c>
      <c r="P149" t="s">
        <v>34</v>
      </c>
      <c r="Q149">
        <v>256</v>
      </c>
      <c r="R149" t="s">
        <v>5056</v>
      </c>
      <c r="S149" t="s">
        <v>74</v>
      </c>
      <c r="T149">
        <v>1</v>
      </c>
      <c r="U149" t="s">
        <v>404</v>
      </c>
      <c r="V149" t="s">
        <v>75</v>
      </c>
      <c r="W149" t="s">
        <v>76</v>
      </c>
      <c r="X149" t="s">
        <v>49</v>
      </c>
      <c r="Y149" t="s">
        <v>75</v>
      </c>
      <c r="Z149" t="s">
        <v>49</v>
      </c>
      <c r="AA149" t="s">
        <v>51</v>
      </c>
      <c r="AB149" t="s">
        <v>52</v>
      </c>
      <c r="AC149" t="s">
        <v>75</v>
      </c>
      <c r="AD149" t="s">
        <v>117</v>
      </c>
      <c r="AE149" t="s">
        <v>118</v>
      </c>
      <c r="AF149" t="s">
        <v>75</v>
      </c>
      <c r="AG149" t="s">
        <v>49</v>
      </c>
      <c r="AH149" t="s">
        <v>53</v>
      </c>
      <c r="AI149" t="str">
        <f t="shared" si="6"/>
        <v>Europe</v>
      </c>
    </row>
    <row r="150" spans="1:35" x14ac:dyDescent="0.3">
      <c r="A150" t="str">
        <f>VLOOKUP(Q150,regions_fabio!$A$2:$C$192,3,0)</f>
        <v>MDG</v>
      </c>
      <c r="B150" t="str">
        <f>IFERROR(VLOOKUP(A150,polities_whep!$A$1:$G$199,2,0),"")</f>
        <v>Madagascar</v>
      </c>
      <c r="C150">
        <v>126</v>
      </c>
      <c r="D150">
        <v>129</v>
      </c>
      <c r="E150" t="s">
        <v>405</v>
      </c>
      <c r="F150" t="str">
        <f>VLOOKUP(D150,FAO_areas!$A$2:$C$246,3,0)</f>
        <v>Madagascar</v>
      </c>
      <c r="G150" t="s">
        <v>32</v>
      </c>
      <c r="H150" t="s">
        <v>406</v>
      </c>
      <c r="I150" t="s">
        <v>406</v>
      </c>
      <c r="K150">
        <v>129</v>
      </c>
      <c r="L150" t="s">
        <v>406</v>
      </c>
      <c r="M150">
        <v>450</v>
      </c>
      <c r="N150">
        <v>450</v>
      </c>
      <c r="O150">
        <v>7</v>
      </c>
      <c r="P150" t="s">
        <v>34</v>
      </c>
      <c r="Q150">
        <v>129</v>
      </c>
      <c r="R150" t="s">
        <v>1552</v>
      </c>
      <c r="S150" t="s">
        <v>183</v>
      </c>
      <c r="T150">
        <v>1</v>
      </c>
      <c r="U150" t="s">
        <v>406</v>
      </c>
      <c r="V150" t="s">
        <v>80</v>
      </c>
      <c r="W150" t="s">
        <v>81</v>
      </c>
      <c r="X150" t="s">
        <v>82</v>
      </c>
      <c r="Y150" t="s">
        <v>83</v>
      </c>
      <c r="Z150" t="s">
        <v>60</v>
      </c>
      <c r="AA150" t="s">
        <v>60</v>
      </c>
      <c r="AB150" t="s">
        <v>83</v>
      </c>
      <c r="AC150" t="s">
        <v>183</v>
      </c>
      <c r="AD150" t="s">
        <v>40</v>
      </c>
      <c r="AE150" t="s">
        <v>41</v>
      </c>
      <c r="AF150" t="s">
        <v>183</v>
      </c>
      <c r="AG150" t="s">
        <v>86</v>
      </c>
      <c r="AH150" t="s">
        <v>43</v>
      </c>
      <c r="AI150" t="str">
        <f t="shared" si="6"/>
        <v>Other</v>
      </c>
    </row>
    <row r="151" spans="1:35" x14ac:dyDescent="0.3">
      <c r="A151" t="str">
        <f>VLOOKUP(Q151,regions_fabio!$A$2:$C$192,3,0)</f>
        <v>MWI</v>
      </c>
      <c r="B151" t="str">
        <f>IFERROR(VLOOKUP(A151,polities_whep!$A$1:$G$199,2,0),"")</f>
        <v>Malawi</v>
      </c>
      <c r="C151">
        <v>127</v>
      </c>
      <c r="D151">
        <v>130</v>
      </c>
      <c r="E151" t="s">
        <v>407</v>
      </c>
      <c r="F151" t="str">
        <f>VLOOKUP(D151,FAO_areas!$A$2:$C$246,3,0)</f>
        <v>Malawi</v>
      </c>
      <c r="G151" t="s">
        <v>32</v>
      </c>
      <c r="H151" t="s">
        <v>408</v>
      </c>
      <c r="I151" t="s">
        <v>408</v>
      </c>
      <c r="K151">
        <v>130</v>
      </c>
      <c r="L151" t="s">
        <v>408</v>
      </c>
      <c r="M151">
        <v>454</v>
      </c>
      <c r="N151">
        <v>454</v>
      </c>
      <c r="O151">
        <v>8</v>
      </c>
      <c r="P151" t="s">
        <v>34</v>
      </c>
      <c r="Q151">
        <v>130</v>
      </c>
      <c r="R151" t="s">
        <v>1552</v>
      </c>
      <c r="S151" t="s">
        <v>79</v>
      </c>
      <c r="T151">
        <v>1</v>
      </c>
      <c r="U151" t="s">
        <v>408</v>
      </c>
      <c r="V151" t="s">
        <v>80</v>
      </c>
      <c r="W151" t="s">
        <v>81</v>
      </c>
      <c r="X151" t="s">
        <v>82</v>
      </c>
      <c r="Y151" t="s">
        <v>83</v>
      </c>
      <c r="Z151" t="s">
        <v>60</v>
      </c>
      <c r="AA151" t="s">
        <v>60</v>
      </c>
      <c r="AB151" t="s">
        <v>83</v>
      </c>
      <c r="AC151" t="s">
        <v>183</v>
      </c>
      <c r="AD151" t="s">
        <v>40</v>
      </c>
      <c r="AE151" t="s">
        <v>41</v>
      </c>
      <c r="AF151" t="s">
        <v>183</v>
      </c>
      <c r="AG151" t="s">
        <v>86</v>
      </c>
      <c r="AH151" t="s">
        <v>43</v>
      </c>
      <c r="AI151" t="str">
        <f t="shared" si="6"/>
        <v>Other</v>
      </c>
    </row>
    <row r="152" spans="1:35" x14ac:dyDescent="0.3">
      <c r="A152" t="str">
        <f>VLOOKUP(Q152,regions_fabio!$A$2:$C$192,3,0)</f>
        <v>MYS</v>
      </c>
      <c r="B152" t="str">
        <f>IFERROR(VLOOKUP(A152,polities_whep!$A$1:$G$199,2,0),"")</f>
        <v>Malaysia</v>
      </c>
      <c r="C152">
        <v>128</v>
      </c>
      <c r="D152">
        <v>131</v>
      </c>
      <c r="E152" t="s">
        <v>409</v>
      </c>
      <c r="F152" t="str">
        <f>VLOOKUP(D152,FAO_areas!$A$2:$C$246,3,0)</f>
        <v>Malaysia</v>
      </c>
      <c r="G152" t="s">
        <v>32</v>
      </c>
      <c r="H152" t="s">
        <v>410</v>
      </c>
      <c r="I152" t="s">
        <v>410</v>
      </c>
      <c r="J152" t="s">
        <v>410</v>
      </c>
      <c r="K152">
        <v>131</v>
      </c>
      <c r="L152" t="s">
        <v>410</v>
      </c>
      <c r="M152">
        <v>458</v>
      </c>
      <c r="N152">
        <v>458</v>
      </c>
      <c r="O152">
        <v>15</v>
      </c>
      <c r="P152" t="s">
        <v>34</v>
      </c>
      <c r="Q152">
        <v>131</v>
      </c>
      <c r="R152" t="s">
        <v>1552</v>
      </c>
      <c r="S152" t="s">
        <v>172</v>
      </c>
      <c r="T152">
        <v>1</v>
      </c>
      <c r="U152" t="s">
        <v>410</v>
      </c>
      <c r="V152" t="s">
        <v>173</v>
      </c>
      <c r="W152" t="s">
        <v>37</v>
      </c>
      <c r="X152" t="s">
        <v>174</v>
      </c>
      <c r="Y152" t="s">
        <v>175</v>
      </c>
      <c r="Z152" t="s">
        <v>38</v>
      </c>
      <c r="AA152" t="s">
        <v>39</v>
      </c>
      <c r="AB152" t="s">
        <v>67</v>
      </c>
      <c r="AC152" t="s">
        <v>176</v>
      </c>
      <c r="AD152" t="s">
        <v>40</v>
      </c>
      <c r="AE152" t="s">
        <v>41</v>
      </c>
      <c r="AF152" t="s">
        <v>175</v>
      </c>
      <c r="AG152" t="s">
        <v>42</v>
      </c>
      <c r="AH152" t="s">
        <v>43</v>
      </c>
      <c r="AI152" t="str">
        <f t="shared" si="6"/>
        <v>Other</v>
      </c>
    </row>
    <row r="153" spans="1:35" x14ac:dyDescent="0.3">
      <c r="A153" t="str">
        <f>VLOOKUP(Q153,regions_fabio!$A$2:$C$192,3,0)</f>
        <v>MDV</v>
      </c>
      <c r="B153" t="str">
        <f>IFERROR(VLOOKUP(A153,polities_whep!$A$1:$G$199,2,0),"")</f>
        <v>Maldives</v>
      </c>
      <c r="C153">
        <v>129</v>
      </c>
      <c r="D153">
        <v>132</v>
      </c>
      <c r="E153" t="s">
        <v>411</v>
      </c>
      <c r="F153" t="str">
        <f>VLOOKUP(D153,FAO_areas!$A$2:$C$246,3,0)</f>
        <v>Maldives</v>
      </c>
      <c r="G153" t="s">
        <v>32</v>
      </c>
      <c r="H153" t="s">
        <v>412</v>
      </c>
      <c r="I153" t="s">
        <v>412</v>
      </c>
      <c r="K153">
        <v>132</v>
      </c>
      <c r="L153" t="s">
        <v>412</v>
      </c>
      <c r="M153">
        <v>462</v>
      </c>
      <c r="N153">
        <v>462</v>
      </c>
      <c r="O153">
        <v>13</v>
      </c>
      <c r="P153" t="s">
        <v>34</v>
      </c>
      <c r="Q153">
        <v>132</v>
      </c>
      <c r="R153" t="s">
        <v>1552</v>
      </c>
      <c r="S153" t="s">
        <v>35</v>
      </c>
      <c r="T153">
        <v>1</v>
      </c>
      <c r="U153" t="s">
        <v>412</v>
      </c>
      <c r="V153" t="s">
        <v>36</v>
      </c>
      <c r="W153" t="s">
        <v>37</v>
      </c>
      <c r="X153" t="s">
        <v>36</v>
      </c>
      <c r="Y153" t="s">
        <v>36</v>
      </c>
      <c r="Z153" t="s">
        <v>38</v>
      </c>
      <c r="AA153" t="s">
        <v>39</v>
      </c>
      <c r="AB153" t="s">
        <v>36</v>
      </c>
      <c r="AC153" t="s">
        <v>36</v>
      </c>
      <c r="AD153" t="s">
        <v>40</v>
      </c>
      <c r="AE153" t="s">
        <v>41</v>
      </c>
      <c r="AF153" t="s">
        <v>36</v>
      </c>
      <c r="AG153" t="s">
        <v>42</v>
      </c>
      <c r="AH153" t="s">
        <v>43</v>
      </c>
      <c r="AI153" t="str">
        <f t="shared" si="6"/>
        <v>Other</v>
      </c>
    </row>
    <row r="154" spans="1:35" x14ac:dyDescent="0.3">
      <c r="A154" t="str">
        <f>VLOOKUP(Q154,regions_fabio!$A$2:$C$192,3,0)</f>
        <v>MLI</v>
      </c>
      <c r="B154" t="str">
        <f>IFERROR(VLOOKUP(A154,polities_whep!$A$1:$G$199,2,0),"")</f>
        <v>Mali</v>
      </c>
      <c r="C154">
        <v>130</v>
      </c>
      <c r="D154">
        <v>133</v>
      </c>
      <c r="E154" t="s">
        <v>413</v>
      </c>
      <c r="F154" t="str">
        <f>VLOOKUP(D154,FAO_areas!$A$2:$C$246,3,0)</f>
        <v>Mali</v>
      </c>
      <c r="G154" t="s">
        <v>32</v>
      </c>
      <c r="H154" t="s">
        <v>414</v>
      </c>
      <c r="I154" t="s">
        <v>414</v>
      </c>
      <c r="K154">
        <v>133</v>
      </c>
      <c r="L154" t="s">
        <v>414</v>
      </c>
      <c r="M154">
        <v>466</v>
      </c>
      <c r="N154">
        <v>466</v>
      </c>
      <c r="O154">
        <v>6</v>
      </c>
      <c r="P154" t="s">
        <v>34</v>
      </c>
      <c r="Q154">
        <v>133</v>
      </c>
      <c r="R154" t="s">
        <v>1552</v>
      </c>
      <c r="S154" t="s">
        <v>145</v>
      </c>
      <c r="T154">
        <v>1</v>
      </c>
      <c r="U154" t="s">
        <v>414</v>
      </c>
      <c r="V154" t="s">
        <v>80</v>
      </c>
      <c r="W154" t="s">
        <v>81</v>
      </c>
      <c r="X154" t="s">
        <v>82</v>
      </c>
      <c r="Y154" t="s">
        <v>83</v>
      </c>
      <c r="Z154" t="s">
        <v>60</v>
      </c>
      <c r="AA154" t="s">
        <v>60</v>
      </c>
      <c r="AB154" t="s">
        <v>83</v>
      </c>
      <c r="AC154" t="s">
        <v>145</v>
      </c>
      <c r="AD154" t="s">
        <v>40</v>
      </c>
      <c r="AE154" t="s">
        <v>41</v>
      </c>
      <c r="AF154" t="s">
        <v>145</v>
      </c>
      <c r="AG154" t="s">
        <v>86</v>
      </c>
      <c r="AH154" t="s">
        <v>43</v>
      </c>
      <c r="AI154" t="str">
        <f t="shared" si="6"/>
        <v>Other</v>
      </c>
    </row>
    <row r="155" spans="1:35" x14ac:dyDescent="0.3">
      <c r="A155" t="str">
        <f>VLOOKUP(Q155,regions_fabio!$A$2:$C$192,3,0)</f>
        <v>MLT</v>
      </c>
      <c r="B155" t="str">
        <f>IFERROR(VLOOKUP(A155,polities_whep!$A$1:$G$199,2,0),"")</f>
        <v>Malta</v>
      </c>
      <c r="C155">
        <v>131</v>
      </c>
      <c r="D155">
        <v>134</v>
      </c>
      <c r="E155" t="s">
        <v>415</v>
      </c>
      <c r="F155" t="str">
        <f>VLOOKUP(D155,FAO_areas!$A$2:$C$246,3,0)</f>
        <v>Malta</v>
      </c>
      <c r="G155" t="s">
        <v>34</v>
      </c>
      <c r="H155" t="s">
        <v>416</v>
      </c>
      <c r="I155" t="s">
        <v>416</v>
      </c>
      <c r="J155" t="s">
        <v>416</v>
      </c>
      <c r="K155">
        <v>134</v>
      </c>
      <c r="L155" t="s">
        <v>416</v>
      </c>
      <c r="M155">
        <v>470</v>
      </c>
      <c r="N155">
        <v>470</v>
      </c>
      <c r="O155">
        <v>9</v>
      </c>
      <c r="P155" t="s">
        <v>34</v>
      </c>
      <c r="Q155">
        <v>134</v>
      </c>
      <c r="R155" t="s">
        <v>1552</v>
      </c>
      <c r="S155" t="s">
        <v>74</v>
      </c>
      <c r="T155">
        <v>1</v>
      </c>
      <c r="U155" t="s">
        <v>416</v>
      </c>
      <c r="V155" t="s">
        <v>75</v>
      </c>
      <c r="W155" t="s">
        <v>76</v>
      </c>
      <c r="X155" t="s">
        <v>49</v>
      </c>
      <c r="Y155" t="s">
        <v>50</v>
      </c>
      <c r="Z155" t="s">
        <v>49</v>
      </c>
      <c r="AA155" t="s">
        <v>51</v>
      </c>
      <c r="AB155" t="s">
        <v>52</v>
      </c>
      <c r="AC155" t="s">
        <v>50</v>
      </c>
      <c r="AD155" t="s">
        <v>40</v>
      </c>
      <c r="AE155" t="s">
        <v>41</v>
      </c>
      <c r="AF155" t="s">
        <v>50</v>
      </c>
      <c r="AG155" t="s">
        <v>49</v>
      </c>
      <c r="AH155" t="s">
        <v>53</v>
      </c>
      <c r="AI155" t="str">
        <f t="shared" si="6"/>
        <v>Europe</v>
      </c>
    </row>
    <row r="156" spans="1:35" x14ac:dyDescent="0.3">
      <c r="A156" t="str">
        <f>VLOOKUP(Q156,regions_fabio!$A$2:$C$192,3,0)</f>
        <v>MRT</v>
      </c>
      <c r="B156" t="str">
        <f>IFERROR(VLOOKUP(A156,polities_whep!$A$1:$G$199,2,0),"")</f>
        <v>Mauritania</v>
      </c>
      <c r="C156">
        <v>133</v>
      </c>
      <c r="D156">
        <v>136</v>
      </c>
      <c r="E156" t="s">
        <v>421</v>
      </c>
      <c r="F156" t="str">
        <f>VLOOKUP(D156,FAO_areas!$A$2:$C$246,3,0)</f>
        <v>Mauritania</v>
      </c>
      <c r="G156" t="s">
        <v>32</v>
      </c>
      <c r="H156" t="s">
        <v>422</v>
      </c>
      <c r="I156" t="s">
        <v>422</v>
      </c>
      <c r="K156">
        <v>136</v>
      </c>
      <c r="L156" t="s">
        <v>422</v>
      </c>
      <c r="M156">
        <v>478</v>
      </c>
      <c r="N156">
        <v>478</v>
      </c>
      <c r="O156">
        <v>6</v>
      </c>
      <c r="P156" t="s">
        <v>34</v>
      </c>
      <c r="Q156">
        <v>136</v>
      </c>
      <c r="R156" t="s">
        <v>1552</v>
      </c>
      <c r="S156" t="s">
        <v>145</v>
      </c>
      <c r="T156">
        <v>1</v>
      </c>
      <c r="U156" t="s">
        <v>422</v>
      </c>
      <c r="V156" t="s">
        <v>80</v>
      </c>
      <c r="W156" t="s">
        <v>81</v>
      </c>
      <c r="X156" t="s">
        <v>82</v>
      </c>
      <c r="Y156" t="s">
        <v>83</v>
      </c>
      <c r="Z156" t="s">
        <v>60</v>
      </c>
      <c r="AA156" t="s">
        <v>60</v>
      </c>
      <c r="AB156" t="s">
        <v>83</v>
      </c>
      <c r="AC156" t="s">
        <v>145</v>
      </c>
      <c r="AD156" t="s">
        <v>40</v>
      </c>
      <c r="AE156" t="s">
        <v>41</v>
      </c>
      <c r="AF156" t="s">
        <v>145</v>
      </c>
      <c r="AG156" t="s">
        <v>86</v>
      </c>
      <c r="AH156" t="s">
        <v>43</v>
      </c>
      <c r="AI156" t="str">
        <f t="shared" si="6"/>
        <v>Other</v>
      </c>
    </row>
    <row r="157" spans="1:35" x14ac:dyDescent="0.3">
      <c r="A157" t="str">
        <f>VLOOKUP(Q157,regions_fabio!$A$2:$C$192,3,0)</f>
        <v>MUS</v>
      </c>
      <c r="B157" t="str">
        <f>IFERROR(VLOOKUP(A157,polities_whep!$A$1:$G$199,2,0),"")</f>
        <v>Mauritius</v>
      </c>
      <c r="C157">
        <v>134</v>
      </c>
      <c r="D157">
        <v>137</v>
      </c>
      <c r="E157" t="s">
        <v>423</v>
      </c>
      <c r="F157" t="str">
        <f>VLOOKUP(D157,FAO_areas!$A$2:$C$246,3,0)</f>
        <v>Mauritius</v>
      </c>
      <c r="G157" t="s">
        <v>32</v>
      </c>
      <c r="H157" t="s">
        <v>424</v>
      </c>
      <c r="I157" t="s">
        <v>424</v>
      </c>
      <c r="J157" t="s">
        <v>424</v>
      </c>
      <c r="K157">
        <v>137</v>
      </c>
      <c r="L157" t="s">
        <v>424</v>
      </c>
      <c r="M157">
        <v>480</v>
      </c>
      <c r="N157">
        <v>480</v>
      </c>
      <c r="O157">
        <v>7</v>
      </c>
      <c r="P157" t="s">
        <v>34</v>
      </c>
      <c r="Q157">
        <v>137</v>
      </c>
      <c r="R157" t="s">
        <v>1552</v>
      </c>
      <c r="S157" t="s">
        <v>183</v>
      </c>
      <c r="T157">
        <v>1</v>
      </c>
      <c r="U157" t="s">
        <v>424</v>
      </c>
      <c r="V157" t="s">
        <v>80</v>
      </c>
      <c r="W157" t="s">
        <v>81</v>
      </c>
      <c r="X157" t="s">
        <v>82</v>
      </c>
      <c r="Y157" t="s">
        <v>83</v>
      </c>
      <c r="Z157" t="s">
        <v>60</v>
      </c>
      <c r="AA157" t="s">
        <v>60</v>
      </c>
      <c r="AB157" t="s">
        <v>83</v>
      </c>
      <c r="AC157" t="s">
        <v>183</v>
      </c>
      <c r="AD157" t="s">
        <v>40</v>
      </c>
      <c r="AE157" t="s">
        <v>41</v>
      </c>
      <c r="AF157" t="s">
        <v>183</v>
      </c>
      <c r="AG157" t="s">
        <v>86</v>
      </c>
      <c r="AH157" t="s">
        <v>43</v>
      </c>
      <c r="AI157" t="str">
        <f t="shared" si="6"/>
        <v>Other</v>
      </c>
    </row>
    <row r="158" spans="1:35" x14ac:dyDescent="0.3">
      <c r="A158" t="str">
        <f>VLOOKUP(Q158,regions_fabio!$A$2:$C$192,3,0)</f>
        <v>MEX</v>
      </c>
      <c r="B158" t="str">
        <f>IFERROR(VLOOKUP(A158,polities_whep!$A$1:$G$199,2,0),"")</f>
        <v>Mexico</v>
      </c>
      <c r="C158">
        <v>135</v>
      </c>
      <c r="D158">
        <v>138</v>
      </c>
      <c r="E158" t="s">
        <v>427</v>
      </c>
      <c r="F158" t="str">
        <f>VLOOKUP(D158,FAO_areas!$A$2:$C$246,3,0)</f>
        <v>Mexico</v>
      </c>
      <c r="G158" t="s">
        <v>32</v>
      </c>
      <c r="H158" t="s">
        <v>428</v>
      </c>
      <c r="I158" t="s">
        <v>428</v>
      </c>
      <c r="J158" t="s">
        <v>428</v>
      </c>
      <c r="K158">
        <v>138</v>
      </c>
      <c r="L158" t="s">
        <v>428</v>
      </c>
      <c r="M158">
        <v>484</v>
      </c>
      <c r="N158">
        <v>484</v>
      </c>
      <c r="O158">
        <v>3</v>
      </c>
      <c r="P158" t="s">
        <v>34</v>
      </c>
      <c r="Q158">
        <v>138</v>
      </c>
      <c r="R158" t="s">
        <v>1552</v>
      </c>
      <c r="S158" t="s">
        <v>89</v>
      </c>
      <c r="T158">
        <v>1</v>
      </c>
      <c r="U158" t="s">
        <v>428</v>
      </c>
      <c r="V158" t="s">
        <v>90</v>
      </c>
      <c r="W158" t="s">
        <v>91</v>
      </c>
      <c r="X158" t="s">
        <v>92</v>
      </c>
      <c r="Y158" t="s">
        <v>90</v>
      </c>
      <c r="Z158" t="s">
        <v>93</v>
      </c>
      <c r="AA158" t="s">
        <v>93</v>
      </c>
      <c r="AB158" t="s">
        <v>90</v>
      </c>
      <c r="AC158" t="s">
        <v>89</v>
      </c>
      <c r="AD158" t="s">
        <v>40</v>
      </c>
      <c r="AE158" t="s">
        <v>41</v>
      </c>
      <c r="AF158" t="s">
        <v>155</v>
      </c>
      <c r="AG158" t="s">
        <v>92</v>
      </c>
      <c r="AH158" t="s">
        <v>43</v>
      </c>
      <c r="AI158" t="str">
        <f t="shared" si="6"/>
        <v>Other</v>
      </c>
    </row>
    <row r="159" spans="1:35" x14ac:dyDescent="0.3">
      <c r="A159" t="str">
        <f>VLOOKUP(Q159,regions_fabio!$A$2:$C$192,3,0)</f>
        <v>MNG</v>
      </c>
      <c r="B159" t="str">
        <f>IFERROR(VLOOKUP(A159,polities_whep!$A$1:$G$199,2,0),"")</f>
        <v>Mongolia</v>
      </c>
      <c r="C159">
        <v>138</v>
      </c>
      <c r="D159">
        <v>141</v>
      </c>
      <c r="E159" t="s">
        <v>439</v>
      </c>
      <c r="F159" t="str">
        <f>VLOOKUP(D159,FAO_areas!$A$2:$C$246,3,0)</f>
        <v>Mongolia</v>
      </c>
      <c r="G159" t="s">
        <v>32</v>
      </c>
      <c r="H159" t="s">
        <v>440</v>
      </c>
      <c r="I159" t="s">
        <v>440</v>
      </c>
      <c r="J159" t="s">
        <v>440</v>
      </c>
      <c r="K159">
        <v>141</v>
      </c>
      <c r="L159" t="s">
        <v>440</v>
      </c>
      <c r="M159">
        <v>496</v>
      </c>
      <c r="N159">
        <v>496</v>
      </c>
      <c r="O159">
        <v>14</v>
      </c>
      <c r="P159" t="s">
        <v>34</v>
      </c>
      <c r="Q159">
        <v>141</v>
      </c>
      <c r="R159" t="s">
        <v>1552</v>
      </c>
      <c r="S159" t="s">
        <v>204</v>
      </c>
      <c r="T159">
        <v>1</v>
      </c>
      <c r="U159" t="s">
        <v>440</v>
      </c>
      <c r="V159" t="s">
        <v>205</v>
      </c>
      <c r="W159" t="s">
        <v>204</v>
      </c>
      <c r="X159" t="s">
        <v>174</v>
      </c>
      <c r="Y159" t="s">
        <v>205</v>
      </c>
      <c r="Z159" t="s">
        <v>38</v>
      </c>
      <c r="AA159" t="s">
        <v>39</v>
      </c>
      <c r="AB159" t="s">
        <v>205</v>
      </c>
      <c r="AC159" t="s">
        <v>205</v>
      </c>
      <c r="AD159" t="s">
        <v>40</v>
      </c>
      <c r="AE159" t="s">
        <v>41</v>
      </c>
      <c r="AF159" t="s">
        <v>205</v>
      </c>
      <c r="AG159" t="s">
        <v>42</v>
      </c>
      <c r="AH159" t="s">
        <v>43</v>
      </c>
      <c r="AI159" t="str">
        <f t="shared" si="6"/>
        <v>Other</v>
      </c>
    </row>
    <row r="160" spans="1:35" x14ac:dyDescent="0.3">
      <c r="A160" t="str">
        <f>VLOOKUP(Q160,regions_fabio!$A$2:$C$192,3,0)</f>
        <v>MNE</v>
      </c>
      <c r="B160" t="str">
        <f>IFERROR(VLOOKUP(A160,polities_whep!$A$1:$G$199,2,0),"")</f>
        <v>Montenegro</v>
      </c>
      <c r="C160">
        <v>253</v>
      </c>
      <c r="D160">
        <v>273</v>
      </c>
      <c r="E160" t="s">
        <v>441</v>
      </c>
      <c r="F160" t="str">
        <f>VLOOKUP(D160,FAO_areas!$A$2:$C$246,3,0)</f>
        <v>Montenegro</v>
      </c>
      <c r="G160" t="s">
        <v>32</v>
      </c>
      <c r="H160" t="s">
        <v>442</v>
      </c>
      <c r="I160" t="s">
        <v>442</v>
      </c>
      <c r="J160" t="s">
        <v>442</v>
      </c>
      <c r="K160">
        <v>186</v>
      </c>
      <c r="L160" t="s">
        <v>443</v>
      </c>
      <c r="M160">
        <v>499</v>
      </c>
      <c r="N160">
        <v>499</v>
      </c>
      <c r="O160">
        <v>9</v>
      </c>
      <c r="P160" t="s">
        <v>34</v>
      </c>
      <c r="Q160">
        <v>273</v>
      </c>
      <c r="R160" t="s">
        <v>1552</v>
      </c>
      <c r="S160" t="s">
        <v>74</v>
      </c>
      <c r="T160">
        <v>1</v>
      </c>
      <c r="U160" t="s">
        <v>442</v>
      </c>
      <c r="V160" t="s">
        <v>75</v>
      </c>
      <c r="W160" t="s">
        <v>76</v>
      </c>
      <c r="X160" t="s">
        <v>49</v>
      </c>
      <c r="Y160" t="s">
        <v>50</v>
      </c>
      <c r="Z160" t="s">
        <v>49</v>
      </c>
      <c r="AA160" t="s">
        <v>51</v>
      </c>
      <c r="AB160" t="s">
        <v>52</v>
      </c>
      <c r="AC160" t="s">
        <v>50</v>
      </c>
      <c r="AD160" t="s">
        <v>40</v>
      </c>
      <c r="AE160" t="s">
        <v>41</v>
      </c>
      <c r="AF160" t="s">
        <v>50</v>
      </c>
      <c r="AG160" t="s">
        <v>49</v>
      </c>
      <c r="AH160" t="s">
        <v>53</v>
      </c>
      <c r="AI160" t="str">
        <f t="shared" si="6"/>
        <v>Europe</v>
      </c>
    </row>
    <row r="161" spans="1:35" x14ac:dyDescent="0.3">
      <c r="A161" t="str">
        <f>VLOOKUP(Q161,regions_fabio!$A$2:$C$192,3,0)</f>
        <v>MAR</v>
      </c>
      <c r="B161" t="str">
        <f>IFERROR(VLOOKUP(A161,polities_whep!$A$1:$G$199,2,0),"")</f>
        <v>Morocco</v>
      </c>
      <c r="C161">
        <v>140</v>
      </c>
      <c r="D161">
        <v>143</v>
      </c>
      <c r="E161" t="s">
        <v>446</v>
      </c>
      <c r="F161" t="str">
        <f>VLOOKUP(D161,FAO_areas!$A$2:$C$246,3,0)</f>
        <v>Morocco</v>
      </c>
      <c r="G161" t="s">
        <v>32</v>
      </c>
      <c r="H161" t="s">
        <v>447</v>
      </c>
      <c r="I161" t="s">
        <v>447</v>
      </c>
      <c r="J161" t="s">
        <v>447</v>
      </c>
      <c r="K161">
        <v>143</v>
      </c>
      <c r="L161" t="s">
        <v>447</v>
      </c>
      <c r="M161">
        <v>504</v>
      </c>
      <c r="N161">
        <v>504</v>
      </c>
      <c r="O161">
        <v>5</v>
      </c>
      <c r="P161" t="s">
        <v>34</v>
      </c>
      <c r="Q161">
        <v>143</v>
      </c>
      <c r="R161" t="s">
        <v>1552</v>
      </c>
      <c r="S161" t="s">
        <v>56</v>
      </c>
      <c r="T161">
        <v>1</v>
      </c>
      <c r="U161" t="s">
        <v>447</v>
      </c>
      <c r="V161" t="s">
        <v>57</v>
      </c>
      <c r="W161" t="s">
        <v>58</v>
      </c>
      <c r="X161" t="s">
        <v>59</v>
      </c>
      <c r="Y161" t="s">
        <v>56</v>
      </c>
      <c r="Z161" t="s">
        <v>60</v>
      </c>
      <c r="AA161" t="s">
        <v>60</v>
      </c>
      <c r="AB161" t="s">
        <v>56</v>
      </c>
      <c r="AC161" t="s">
        <v>56</v>
      </c>
      <c r="AD161" t="s">
        <v>40</v>
      </c>
      <c r="AE161" t="s">
        <v>41</v>
      </c>
      <c r="AF161" t="s">
        <v>56</v>
      </c>
      <c r="AG161" t="s">
        <v>59</v>
      </c>
      <c r="AH161" t="s">
        <v>43</v>
      </c>
      <c r="AI161" t="str">
        <f t="shared" si="6"/>
        <v>Other</v>
      </c>
    </row>
    <row r="162" spans="1:35" x14ac:dyDescent="0.3">
      <c r="A162" t="str">
        <f>VLOOKUP(Q162,regions_fabio!$A$2:$C$192,3,0)</f>
        <v>MOZ</v>
      </c>
      <c r="B162" t="str">
        <f>IFERROR(VLOOKUP(A162,polities_whep!$A$1:$G$199,2,0),"")</f>
        <v>Mozambique</v>
      </c>
      <c r="C162">
        <v>141</v>
      </c>
      <c r="D162">
        <v>144</v>
      </c>
      <c r="E162" t="s">
        <v>448</v>
      </c>
      <c r="F162" t="str">
        <f>VLOOKUP(D162,FAO_areas!$A$2:$C$246,3,0)</f>
        <v>Mozambique</v>
      </c>
      <c r="G162" t="s">
        <v>32</v>
      </c>
      <c r="H162" t="s">
        <v>449</v>
      </c>
      <c r="I162" t="s">
        <v>449</v>
      </c>
      <c r="J162" t="s">
        <v>449</v>
      </c>
      <c r="K162">
        <v>144</v>
      </c>
      <c r="L162" t="s">
        <v>449</v>
      </c>
      <c r="M162">
        <v>508</v>
      </c>
      <c r="N162">
        <v>508</v>
      </c>
      <c r="O162">
        <v>8</v>
      </c>
      <c r="P162" t="s">
        <v>34</v>
      </c>
      <c r="Q162">
        <v>144</v>
      </c>
      <c r="R162" t="s">
        <v>1552</v>
      </c>
      <c r="S162" t="s">
        <v>79</v>
      </c>
      <c r="T162">
        <v>1</v>
      </c>
      <c r="U162" t="s">
        <v>449</v>
      </c>
      <c r="V162" t="s">
        <v>80</v>
      </c>
      <c r="W162" t="s">
        <v>81</v>
      </c>
      <c r="X162" t="s">
        <v>82</v>
      </c>
      <c r="Y162" t="s">
        <v>83</v>
      </c>
      <c r="Z162" t="s">
        <v>60</v>
      </c>
      <c r="AA162" t="s">
        <v>60</v>
      </c>
      <c r="AB162" t="s">
        <v>83</v>
      </c>
      <c r="AC162" t="s">
        <v>183</v>
      </c>
      <c r="AD162" t="s">
        <v>40</v>
      </c>
      <c r="AE162" t="s">
        <v>41</v>
      </c>
      <c r="AF162" t="s">
        <v>183</v>
      </c>
      <c r="AG162" t="s">
        <v>86</v>
      </c>
      <c r="AH162" t="s">
        <v>43</v>
      </c>
      <c r="AI162" t="str">
        <f t="shared" si="6"/>
        <v>Other</v>
      </c>
    </row>
    <row r="163" spans="1:35" x14ac:dyDescent="0.3">
      <c r="A163" t="str">
        <f>VLOOKUP(Q163,regions_fabio!$A$2:$C$192,3,0)</f>
        <v>MMR</v>
      </c>
      <c r="B163" t="str">
        <f>IFERROR(VLOOKUP(A163,polities_whep!$A$1:$G$199,2,0),"")</f>
        <v>Myanmar</v>
      </c>
      <c r="C163">
        <v>28</v>
      </c>
      <c r="D163">
        <v>28</v>
      </c>
      <c r="E163" t="s">
        <v>450</v>
      </c>
      <c r="F163" t="str">
        <f>VLOOKUP(D163,FAO_areas!$A$2:$C$246,3,0)</f>
        <v>Myanmar</v>
      </c>
      <c r="G163" t="s">
        <v>32</v>
      </c>
      <c r="H163" t="s">
        <v>451</v>
      </c>
      <c r="I163" t="s">
        <v>452</v>
      </c>
      <c r="J163" t="s">
        <v>451</v>
      </c>
      <c r="K163">
        <v>28</v>
      </c>
      <c r="L163" t="s">
        <v>451</v>
      </c>
      <c r="M163">
        <v>104</v>
      </c>
      <c r="N163">
        <v>104</v>
      </c>
      <c r="O163">
        <v>15</v>
      </c>
      <c r="P163" t="s">
        <v>34</v>
      </c>
      <c r="Q163">
        <v>28</v>
      </c>
      <c r="R163" t="s">
        <v>1552</v>
      </c>
      <c r="S163" t="s">
        <v>172</v>
      </c>
      <c r="T163">
        <v>1</v>
      </c>
      <c r="U163" t="s">
        <v>451</v>
      </c>
      <c r="V163" t="s">
        <v>173</v>
      </c>
      <c r="W163" t="s">
        <v>37</v>
      </c>
      <c r="X163" t="s">
        <v>174</v>
      </c>
      <c r="Y163" t="s">
        <v>175</v>
      </c>
      <c r="Z163" t="s">
        <v>38</v>
      </c>
      <c r="AA163" t="s">
        <v>39</v>
      </c>
      <c r="AB163" t="s">
        <v>67</v>
      </c>
      <c r="AC163" t="s">
        <v>176</v>
      </c>
      <c r="AD163" t="s">
        <v>40</v>
      </c>
      <c r="AE163" t="s">
        <v>41</v>
      </c>
      <c r="AF163" t="s">
        <v>175</v>
      </c>
      <c r="AG163" t="s">
        <v>42</v>
      </c>
      <c r="AH163" t="s">
        <v>43</v>
      </c>
      <c r="AI163" t="str">
        <f t="shared" si="6"/>
        <v>Other</v>
      </c>
    </row>
    <row r="164" spans="1:35" x14ac:dyDescent="0.3">
      <c r="A164" t="str">
        <f>VLOOKUP(Q164,regions_fabio!$A$2:$C$192,3,0)</f>
        <v>NAM</v>
      </c>
      <c r="B164" t="str">
        <f>IFERROR(VLOOKUP(A164,polities_whep!$A$1:$G$199,2,0),"")</f>
        <v>Namibia</v>
      </c>
      <c r="C164">
        <v>144</v>
      </c>
      <c r="D164">
        <v>147</v>
      </c>
      <c r="E164" t="s">
        <v>453</v>
      </c>
      <c r="F164" t="str">
        <f>VLOOKUP(D164,FAO_areas!$A$2:$C$246,3,0)</f>
        <v>Namibia</v>
      </c>
      <c r="G164" t="s">
        <v>32</v>
      </c>
      <c r="H164" t="s">
        <v>454</v>
      </c>
      <c r="I164" t="s">
        <v>454</v>
      </c>
      <c r="J164" t="s">
        <v>454</v>
      </c>
      <c r="K164">
        <v>147</v>
      </c>
      <c r="L164" t="s">
        <v>454</v>
      </c>
      <c r="M164">
        <v>516</v>
      </c>
      <c r="N164">
        <v>516</v>
      </c>
      <c r="O164">
        <v>8</v>
      </c>
      <c r="P164" t="s">
        <v>34</v>
      </c>
      <c r="Q164">
        <v>147</v>
      </c>
      <c r="R164" t="s">
        <v>1552</v>
      </c>
      <c r="S164" t="s">
        <v>79</v>
      </c>
      <c r="T164">
        <v>1</v>
      </c>
      <c r="U164" t="s">
        <v>454</v>
      </c>
      <c r="V164" t="s">
        <v>80</v>
      </c>
      <c r="W164" t="s">
        <v>81</v>
      </c>
      <c r="X164" t="s">
        <v>82</v>
      </c>
      <c r="Y164" t="s">
        <v>83</v>
      </c>
      <c r="Z164" t="s">
        <v>60</v>
      </c>
      <c r="AA164" t="s">
        <v>60</v>
      </c>
      <c r="AB164" t="s">
        <v>83</v>
      </c>
      <c r="AC164" t="s">
        <v>79</v>
      </c>
      <c r="AD164" t="s">
        <v>40</v>
      </c>
      <c r="AE164" t="s">
        <v>41</v>
      </c>
      <c r="AF164" t="s">
        <v>79</v>
      </c>
      <c r="AG164" t="s">
        <v>86</v>
      </c>
      <c r="AH164" t="s">
        <v>53</v>
      </c>
      <c r="AI164" t="str">
        <f t="shared" si="6"/>
        <v>Other</v>
      </c>
    </row>
    <row r="165" spans="1:35" x14ac:dyDescent="0.3">
      <c r="A165" t="str">
        <f>VLOOKUP(Q165,regions_fabio!$A$2:$C$192,3,0)</f>
        <v>NPL</v>
      </c>
      <c r="B165" t="str">
        <f>IFERROR(VLOOKUP(A165,polities_whep!$A$1:$G$199,2,0),"")</f>
        <v>Nepal</v>
      </c>
      <c r="C165">
        <v>146</v>
      </c>
      <c r="D165">
        <v>149</v>
      </c>
      <c r="E165" t="s">
        <v>457</v>
      </c>
      <c r="F165" t="str">
        <f>VLOOKUP(D165,FAO_areas!$A$2:$C$246,3,0)</f>
        <v>Nepal</v>
      </c>
      <c r="G165" t="s">
        <v>32</v>
      </c>
      <c r="H165" t="s">
        <v>458</v>
      </c>
      <c r="I165" t="s">
        <v>458</v>
      </c>
      <c r="J165" t="s">
        <v>458</v>
      </c>
      <c r="K165">
        <v>149</v>
      </c>
      <c r="L165" t="s">
        <v>458</v>
      </c>
      <c r="M165">
        <v>524</v>
      </c>
      <c r="N165">
        <v>524</v>
      </c>
      <c r="O165">
        <v>13</v>
      </c>
      <c r="P165" t="s">
        <v>34</v>
      </c>
      <c r="Q165">
        <v>149</v>
      </c>
      <c r="R165" t="s">
        <v>1552</v>
      </c>
      <c r="S165" t="s">
        <v>35</v>
      </c>
      <c r="T165">
        <v>1</v>
      </c>
      <c r="U165" t="s">
        <v>458</v>
      </c>
      <c r="V165" t="s">
        <v>36</v>
      </c>
      <c r="W165" t="s">
        <v>37</v>
      </c>
      <c r="X165" t="s">
        <v>36</v>
      </c>
      <c r="Y165" t="s">
        <v>36</v>
      </c>
      <c r="Z165" t="s">
        <v>38</v>
      </c>
      <c r="AA165" t="s">
        <v>39</v>
      </c>
      <c r="AB165" t="s">
        <v>36</v>
      </c>
      <c r="AC165" t="s">
        <v>36</v>
      </c>
      <c r="AD165" t="s">
        <v>40</v>
      </c>
      <c r="AE165" t="s">
        <v>41</v>
      </c>
      <c r="AF165" t="s">
        <v>36</v>
      </c>
      <c r="AG165" t="s">
        <v>42</v>
      </c>
      <c r="AH165" t="s">
        <v>43</v>
      </c>
      <c r="AI165" t="str">
        <f t="shared" si="6"/>
        <v>Other</v>
      </c>
    </row>
    <row r="166" spans="1:35" x14ac:dyDescent="0.3">
      <c r="A166" t="str">
        <f>VLOOKUP(Q166,regions_fabio!$A$2:$C$192,3,0)</f>
        <v>NLD</v>
      </c>
      <c r="B166" t="str">
        <f>IFERROR(VLOOKUP(A166,polities_whep!$A$1:$G$199,2,0),"")</f>
        <v>Netherlands</v>
      </c>
      <c r="C166">
        <v>147</v>
      </c>
      <c r="D166">
        <v>150</v>
      </c>
      <c r="E166" t="s">
        <v>459</v>
      </c>
      <c r="F166" t="str">
        <f>VLOOKUP(D166,FAO_areas!$A$2:$C$246,3,0)</f>
        <v>Netherlands (Kingdom of the)</v>
      </c>
      <c r="G166" t="s">
        <v>34</v>
      </c>
      <c r="H166" t="s">
        <v>460</v>
      </c>
      <c r="I166" t="s">
        <v>460</v>
      </c>
      <c r="J166" t="s">
        <v>460</v>
      </c>
      <c r="K166">
        <v>150</v>
      </c>
      <c r="L166" t="s">
        <v>460</v>
      </c>
      <c r="M166">
        <v>528</v>
      </c>
      <c r="N166">
        <v>528</v>
      </c>
      <c r="O166">
        <v>9</v>
      </c>
      <c r="P166" t="s">
        <v>34</v>
      </c>
      <c r="Q166">
        <v>150</v>
      </c>
      <c r="R166" t="s">
        <v>5057</v>
      </c>
      <c r="S166" t="s">
        <v>74</v>
      </c>
      <c r="T166">
        <v>1</v>
      </c>
      <c r="U166" t="s">
        <v>460</v>
      </c>
      <c r="V166" t="s">
        <v>75</v>
      </c>
      <c r="W166" t="s">
        <v>76</v>
      </c>
      <c r="X166" t="s">
        <v>49</v>
      </c>
      <c r="Y166" t="s">
        <v>75</v>
      </c>
      <c r="Z166" t="s">
        <v>49</v>
      </c>
      <c r="AA166" t="s">
        <v>51</v>
      </c>
      <c r="AB166" t="s">
        <v>52</v>
      </c>
      <c r="AC166" t="s">
        <v>75</v>
      </c>
      <c r="AD166" t="s">
        <v>117</v>
      </c>
      <c r="AE166" t="s">
        <v>118</v>
      </c>
      <c r="AF166" t="s">
        <v>75</v>
      </c>
      <c r="AG166" t="s">
        <v>49</v>
      </c>
      <c r="AH166" t="s">
        <v>53</v>
      </c>
      <c r="AI166" t="str">
        <f t="shared" si="6"/>
        <v>Europe</v>
      </c>
    </row>
    <row r="167" spans="1:35" x14ac:dyDescent="0.3">
      <c r="A167" t="str">
        <f>VLOOKUP(Q167,regions_fabio!$A$2:$C$192,3,0)</f>
        <v>NZL</v>
      </c>
      <c r="B167" t="str">
        <f>IFERROR(VLOOKUP(A167,polities_whep!$A$1:$G$199,2,0),"")</f>
        <v>New Zealand</v>
      </c>
      <c r="C167">
        <v>153</v>
      </c>
      <c r="D167">
        <v>156</v>
      </c>
      <c r="E167" t="s">
        <v>468</v>
      </c>
      <c r="F167" t="str">
        <f>VLOOKUP(D167,FAO_areas!$A$2:$C$246,3,0)</f>
        <v>New Zealand</v>
      </c>
      <c r="G167" t="s">
        <v>32</v>
      </c>
      <c r="H167" t="s">
        <v>469</v>
      </c>
      <c r="I167" t="s">
        <v>469</v>
      </c>
      <c r="J167" t="s">
        <v>469</v>
      </c>
      <c r="K167">
        <v>156</v>
      </c>
      <c r="L167" t="s">
        <v>469</v>
      </c>
      <c r="M167">
        <v>554</v>
      </c>
      <c r="N167">
        <v>554</v>
      </c>
      <c r="O167">
        <v>16</v>
      </c>
      <c r="P167" t="s">
        <v>34</v>
      </c>
      <c r="Q167">
        <v>156</v>
      </c>
      <c r="R167" t="s">
        <v>1552</v>
      </c>
      <c r="S167" t="s">
        <v>63</v>
      </c>
      <c r="T167">
        <v>1</v>
      </c>
      <c r="U167" t="s">
        <v>469</v>
      </c>
      <c r="V167" t="s">
        <v>64</v>
      </c>
      <c r="W167" t="s">
        <v>65</v>
      </c>
      <c r="X167" t="s">
        <v>63</v>
      </c>
      <c r="Y167" t="s">
        <v>116</v>
      </c>
      <c r="Z167" t="s">
        <v>63</v>
      </c>
      <c r="AA167" t="s">
        <v>39</v>
      </c>
      <c r="AB167" t="s">
        <v>67</v>
      </c>
      <c r="AC167" t="s">
        <v>68</v>
      </c>
      <c r="AD167" t="s">
        <v>117</v>
      </c>
      <c r="AE167" t="s">
        <v>118</v>
      </c>
      <c r="AF167" t="s">
        <v>69</v>
      </c>
      <c r="AG167" t="s">
        <v>70</v>
      </c>
      <c r="AH167" t="s">
        <v>53</v>
      </c>
      <c r="AI167" t="str">
        <f t="shared" si="6"/>
        <v>Other</v>
      </c>
    </row>
    <row r="168" spans="1:35" x14ac:dyDescent="0.3">
      <c r="A168" t="str">
        <f>VLOOKUP(Q168,regions_fabio!$A$2:$C$192,3,0)</f>
        <v>NIC</v>
      </c>
      <c r="B168" t="str">
        <f>IFERROR(VLOOKUP(A168,polities_whep!$A$1:$G$199,2,0),"")</f>
        <v>Nicaragua</v>
      </c>
      <c r="C168">
        <v>154</v>
      </c>
      <c r="D168">
        <v>157</v>
      </c>
      <c r="E168" t="s">
        <v>470</v>
      </c>
      <c r="F168" t="str">
        <f>VLOOKUP(D168,FAO_areas!$A$2:$C$246,3,0)</f>
        <v>Nicaragua</v>
      </c>
      <c r="G168" t="s">
        <v>32</v>
      </c>
      <c r="H168" t="s">
        <v>471</v>
      </c>
      <c r="I168" t="s">
        <v>471</v>
      </c>
      <c r="J168" t="s">
        <v>471</v>
      </c>
      <c r="K168">
        <v>157</v>
      </c>
      <c r="L168" t="s">
        <v>471</v>
      </c>
      <c r="M168">
        <v>558</v>
      </c>
      <c r="N168">
        <v>558</v>
      </c>
      <c r="O168">
        <v>3</v>
      </c>
      <c r="P168" t="s">
        <v>34</v>
      </c>
      <c r="Q168">
        <v>157</v>
      </c>
      <c r="R168" t="s">
        <v>1552</v>
      </c>
      <c r="S168" t="s">
        <v>89</v>
      </c>
      <c r="T168">
        <v>1</v>
      </c>
      <c r="U168" t="s">
        <v>471</v>
      </c>
      <c r="V168" t="s">
        <v>90</v>
      </c>
      <c r="W168" t="s">
        <v>91</v>
      </c>
      <c r="X168" t="s">
        <v>92</v>
      </c>
      <c r="Y168" t="s">
        <v>90</v>
      </c>
      <c r="Z168" t="s">
        <v>93</v>
      </c>
      <c r="AA168" t="s">
        <v>93</v>
      </c>
      <c r="AB168" t="s">
        <v>90</v>
      </c>
      <c r="AC168" t="s">
        <v>89</v>
      </c>
      <c r="AD168" t="s">
        <v>40</v>
      </c>
      <c r="AE168" t="s">
        <v>41</v>
      </c>
      <c r="AF168" t="s">
        <v>95</v>
      </c>
      <c r="AG168" t="s">
        <v>92</v>
      </c>
      <c r="AH168" t="s">
        <v>43</v>
      </c>
      <c r="AI168" t="str">
        <f t="shared" si="6"/>
        <v>Other</v>
      </c>
    </row>
    <row r="169" spans="1:35" x14ac:dyDescent="0.3">
      <c r="A169" t="str">
        <f>VLOOKUP(Q169,regions_fabio!$A$2:$C$192,3,0)</f>
        <v>NER</v>
      </c>
      <c r="B169" t="str">
        <f>IFERROR(VLOOKUP(A169,polities_whep!$A$1:$G$199,2,0),"")</f>
        <v>Niger</v>
      </c>
      <c r="C169">
        <v>155</v>
      </c>
      <c r="D169">
        <v>158</v>
      </c>
      <c r="E169" t="s">
        <v>472</v>
      </c>
      <c r="F169" t="str">
        <f>VLOOKUP(D169,FAO_areas!$A$2:$C$246,3,0)</f>
        <v>Niger</v>
      </c>
      <c r="G169" t="s">
        <v>32</v>
      </c>
      <c r="H169" t="s">
        <v>473</v>
      </c>
      <c r="I169" t="s">
        <v>473</v>
      </c>
      <c r="J169" t="s">
        <v>473</v>
      </c>
      <c r="K169">
        <v>158</v>
      </c>
      <c r="L169" t="s">
        <v>473</v>
      </c>
      <c r="M169">
        <v>562</v>
      </c>
      <c r="N169">
        <v>562</v>
      </c>
      <c r="O169">
        <v>6</v>
      </c>
      <c r="P169" t="s">
        <v>34</v>
      </c>
      <c r="Q169">
        <v>158</v>
      </c>
      <c r="R169" t="s">
        <v>1552</v>
      </c>
      <c r="S169" t="s">
        <v>145</v>
      </c>
      <c r="T169">
        <v>1</v>
      </c>
      <c r="U169" t="s">
        <v>473</v>
      </c>
      <c r="V169" t="s">
        <v>80</v>
      </c>
      <c r="W169" t="s">
        <v>81</v>
      </c>
      <c r="X169" t="s">
        <v>82</v>
      </c>
      <c r="Y169" t="s">
        <v>83</v>
      </c>
      <c r="Z169" t="s">
        <v>60</v>
      </c>
      <c r="AA169" t="s">
        <v>60</v>
      </c>
      <c r="AB169" t="s">
        <v>83</v>
      </c>
      <c r="AC169" t="s">
        <v>145</v>
      </c>
      <c r="AD169" t="s">
        <v>40</v>
      </c>
      <c r="AE169" t="s">
        <v>41</v>
      </c>
      <c r="AF169" t="s">
        <v>145</v>
      </c>
      <c r="AG169" t="s">
        <v>86</v>
      </c>
      <c r="AH169" t="s">
        <v>43</v>
      </c>
      <c r="AI169" t="str">
        <f t="shared" si="6"/>
        <v>Other</v>
      </c>
    </row>
    <row r="170" spans="1:35" x14ac:dyDescent="0.3">
      <c r="A170" t="str">
        <f>VLOOKUP(Q170,regions_fabio!$A$2:$C$192,3,0)</f>
        <v>NGA</v>
      </c>
      <c r="B170" t="str">
        <f>IFERROR(VLOOKUP(A170,polities_whep!$A$1:$G$199,2,0),"")</f>
        <v>Nigeria</v>
      </c>
      <c r="C170">
        <v>156</v>
      </c>
      <c r="D170">
        <v>159</v>
      </c>
      <c r="E170" t="s">
        <v>474</v>
      </c>
      <c r="F170" t="str">
        <f>VLOOKUP(D170,FAO_areas!$A$2:$C$246,3,0)</f>
        <v>Nigeria</v>
      </c>
      <c r="G170" t="s">
        <v>32</v>
      </c>
      <c r="H170" t="s">
        <v>475</v>
      </c>
      <c r="I170" t="s">
        <v>475</v>
      </c>
      <c r="J170" t="s">
        <v>475</v>
      </c>
      <c r="K170">
        <v>159</v>
      </c>
      <c r="L170" t="s">
        <v>475</v>
      </c>
      <c r="M170">
        <v>566</v>
      </c>
      <c r="N170">
        <v>566</v>
      </c>
      <c r="O170">
        <v>6</v>
      </c>
      <c r="P170" t="s">
        <v>34</v>
      </c>
      <c r="Q170">
        <v>159</v>
      </c>
      <c r="R170" t="s">
        <v>1552</v>
      </c>
      <c r="S170" t="s">
        <v>145</v>
      </c>
      <c r="T170">
        <v>1</v>
      </c>
      <c r="U170" t="s">
        <v>475</v>
      </c>
      <c r="V170" t="s">
        <v>80</v>
      </c>
      <c r="W170" t="s">
        <v>81</v>
      </c>
      <c r="X170" t="s">
        <v>82</v>
      </c>
      <c r="Y170" t="s">
        <v>83</v>
      </c>
      <c r="Z170" t="s">
        <v>60</v>
      </c>
      <c r="AA170" t="s">
        <v>60</v>
      </c>
      <c r="AB170" t="s">
        <v>83</v>
      </c>
      <c r="AC170" t="s">
        <v>145</v>
      </c>
      <c r="AD170" t="s">
        <v>40</v>
      </c>
      <c r="AE170" t="s">
        <v>41</v>
      </c>
      <c r="AF170" t="s">
        <v>145</v>
      </c>
      <c r="AG170" t="s">
        <v>86</v>
      </c>
      <c r="AH170" t="s">
        <v>43</v>
      </c>
      <c r="AI170" t="str">
        <f t="shared" si="6"/>
        <v>Other</v>
      </c>
    </row>
    <row r="171" spans="1:35" x14ac:dyDescent="0.3">
      <c r="A171" t="s">
        <v>4769</v>
      </c>
      <c r="B171" t="str">
        <f>IFERROR(VLOOKUP(A171,polities_whep!$A$1:$G$199,2,0),"")</f>
        <v>North America Other</v>
      </c>
      <c r="C171">
        <v>187</v>
      </c>
      <c r="D171">
        <v>190</v>
      </c>
      <c r="E171" t="s">
        <v>547</v>
      </c>
      <c r="F171" t="e">
        <f>VLOOKUP(D171,FAO_areas!$A$2:$C$246,3,0)</f>
        <v>#N/A</v>
      </c>
      <c r="G171" t="s">
        <v>32</v>
      </c>
      <c r="H171" t="s">
        <v>548</v>
      </c>
      <c r="I171" t="s">
        <v>548</v>
      </c>
      <c r="K171">
        <v>190</v>
      </c>
      <c r="L171" t="s">
        <v>548</v>
      </c>
      <c r="M171">
        <v>666</v>
      </c>
      <c r="N171">
        <v>666</v>
      </c>
      <c r="O171">
        <v>2</v>
      </c>
      <c r="P171" t="s">
        <v>32</v>
      </c>
      <c r="Q171">
        <v>999</v>
      </c>
      <c r="R171" t="s">
        <v>1552</v>
      </c>
      <c r="S171" t="s">
        <v>549</v>
      </c>
      <c r="T171">
        <v>1</v>
      </c>
      <c r="U171" t="s">
        <v>548</v>
      </c>
      <c r="V171" t="s">
        <v>148</v>
      </c>
      <c r="W171" t="s">
        <v>65</v>
      </c>
      <c r="X171" t="s">
        <v>148</v>
      </c>
      <c r="Y171" t="s">
        <v>148</v>
      </c>
      <c r="Z171" t="s">
        <v>93</v>
      </c>
      <c r="AA171" t="s">
        <v>93</v>
      </c>
      <c r="AB171" t="s">
        <v>148</v>
      </c>
      <c r="AC171" t="s">
        <v>148</v>
      </c>
      <c r="AD171" t="s">
        <v>40</v>
      </c>
      <c r="AE171" t="s">
        <v>41</v>
      </c>
      <c r="AF171" t="s">
        <v>148</v>
      </c>
      <c r="AG171" t="s">
        <v>149</v>
      </c>
      <c r="AH171" t="s">
        <v>53</v>
      </c>
      <c r="AI171" t="str">
        <f t="shared" si="6"/>
        <v>Other</v>
      </c>
    </row>
    <row r="172" spans="1:35" x14ac:dyDescent="0.3">
      <c r="A172" t="s">
        <v>4769</v>
      </c>
      <c r="B172" t="str">
        <f>IFERROR(VLOOKUP(A172,polities_whep!$A$1:$G$199,2,0),"")</f>
        <v>North America Other</v>
      </c>
      <c r="C172">
        <v>228</v>
      </c>
      <c r="D172">
        <v>232</v>
      </c>
      <c r="E172" t="s">
        <v>662</v>
      </c>
      <c r="F172" t="e">
        <f>VLOOKUP(D172,FAO_areas!$A$2:$C$246,3,0)</f>
        <v>#N/A</v>
      </c>
      <c r="G172" t="s">
        <v>32</v>
      </c>
      <c r="H172" t="s">
        <v>663</v>
      </c>
      <c r="K172">
        <v>999</v>
      </c>
      <c r="L172" t="s">
        <v>73</v>
      </c>
      <c r="M172" t="s">
        <v>98</v>
      </c>
      <c r="N172">
        <v>581</v>
      </c>
      <c r="O172">
        <v>2</v>
      </c>
      <c r="P172" t="s">
        <v>32</v>
      </c>
      <c r="Q172">
        <v>999</v>
      </c>
      <c r="R172" t="s">
        <v>1552</v>
      </c>
      <c r="S172" t="s">
        <v>549</v>
      </c>
      <c r="T172">
        <v>1</v>
      </c>
      <c r="U172" t="s">
        <v>663</v>
      </c>
      <c r="V172" t="s">
        <v>148</v>
      </c>
      <c r="W172" t="s">
        <v>65</v>
      </c>
      <c r="X172" s="2" t="s">
        <v>148</v>
      </c>
      <c r="Y172" s="2" t="s">
        <v>322</v>
      </c>
      <c r="Z172" s="2" t="s">
        <v>93</v>
      </c>
      <c r="AA172" s="2" t="s">
        <v>39</v>
      </c>
      <c r="AB172" s="2" t="s">
        <v>67</v>
      </c>
      <c r="AC172" t="s">
        <v>68</v>
      </c>
      <c r="AD172" t="s">
        <v>40</v>
      </c>
      <c r="AE172" t="s">
        <v>41</v>
      </c>
      <c r="AF172" t="s">
        <v>69</v>
      </c>
      <c r="AG172" s="2" t="s">
        <v>149</v>
      </c>
      <c r="AH172" t="s">
        <v>53</v>
      </c>
      <c r="AI172" t="str">
        <f t="shared" si="6"/>
        <v>Other</v>
      </c>
    </row>
    <row r="173" spans="1:35" x14ac:dyDescent="0.3">
      <c r="A173" s="10" t="s">
        <v>4769</v>
      </c>
      <c r="B173" t="s">
        <v>4763</v>
      </c>
    </row>
    <row r="174" spans="1:35" x14ac:dyDescent="0.3">
      <c r="A174" t="str">
        <f>VLOOKUP(Q174,regions_fabio!$A$2:$C$192,3,0)</f>
        <v>PRK</v>
      </c>
      <c r="B174" t="str">
        <f>IFERROR(VLOOKUP(A174,polities_whep!$A$1:$G$199,2,0),"")</f>
        <v>North Korea</v>
      </c>
      <c r="C174">
        <v>113</v>
      </c>
      <c r="D174">
        <v>116</v>
      </c>
      <c r="E174" t="s">
        <v>480</v>
      </c>
      <c r="F174" t="str">
        <f>VLOOKUP(D174,FAO_areas!$A$2:$C$246,3,0)</f>
        <v>Democratic People's Republic of Korea</v>
      </c>
      <c r="G174" t="s">
        <v>32</v>
      </c>
      <c r="H174" t="s">
        <v>481</v>
      </c>
      <c r="I174" t="s">
        <v>482</v>
      </c>
      <c r="J174" t="s">
        <v>483</v>
      </c>
      <c r="K174">
        <v>116</v>
      </c>
      <c r="L174" t="s">
        <v>484</v>
      </c>
      <c r="M174">
        <v>408</v>
      </c>
      <c r="N174">
        <v>408</v>
      </c>
      <c r="O174">
        <v>14</v>
      </c>
      <c r="P174" t="s">
        <v>34</v>
      </c>
      <c r="Q174">
        <v>116</v>
      </c>
      <c r="R174" t="s">
        <v>1552</v>
      </c>
      <c r="S174" t="s">
        <v>204</v>
      </c>
      <c r="T174">
        <v>1</v>
      </c>
      <c r="U174" t="s">
        <v>485</v>
      </c>
      <c r="V174" t="s">
        <v>205</v>
      </c>
      <c r="W174" t="s">
        <v>204</v>
      </c>
      <c r="X174" t="s">
        <v>174</v>
      </c>
      <c r="Y174" t="s">
        <v>205</v>
      </c>
      <c r="Z174" t="s">
        <v>38</v>
      </c>
      <c r="AA174" t="s">
        <v>39</v>
      </c>
      <c r="AB174" t="s">
        <v>205</v>
      </c>
      <c r="AC174" t="s">
        <v>205</v>
      </c>
      <c r="AD174" t="s">
        <v>40</v>
      </c>
      <c r="AE174" t="s">
        <v>41</v>
      </c>
      <c r="AF174" t="s">
        <v>205</v>
      </c>
      <c r="AG174" t="s">
        <v>42</v>
      </c>
      <c r="AH174" t="s">
        <v>43</v>
      </c>
      <c r="AI174" t="str">
        <f t="shared" ref="AI174:AI200" si="7">IF(Z174="Europe","Europe","Other")</f>
        <v>Other</v>
      </c>
    </row>
    <row r="175" spans="1:35" x14ac:dyDescent="0.3">
      <c r="A175" t="s">
        <v>486</v>
      </c>
      <c r="B175" t="str">
        <f>IFERROR(VLOOKUP(A175,polities_whep!$A$1:$G$199,2,0),"")</f>
        <v>North Macedonia</v>
      </c>
      <c r="C175">
        <v>151</v>
      </c>
      <c r="D175">
        <v>154</v>
      </c>
      <c r="E175" t="s">
        <v>486</v>
      </c>
      <c r="F175" t="str">
        <f>VLOOKUP(D175,FAO_areas!$A$2:$C$246,3,0)</f>
        <v>North Macedonia</v>
      </c>
      <c r="G175" t="s">
        <v>32</v>
      </c>
      <c r="H175" t="s">
        <v>487</v>
      </c>
      <c r="I175" t="s">
        <v>488</v>
      </c>
      <c r="J175" t="s">
        <v>489</v>
      </c>
      <c r="K175">
        <v>154</v>
      </c>
      <c r="L175" t="s">
        <v>490</v>
      </c>
      <c r="M175">
        <v>807</v>
      </c>
      <c r="N175">
        <v>807</v>
      </c>
      <c r="O175">
        <v>10</v>
      </c>
      <c r="P175" t="s">
        <v>34</v>
      </c>
      <c r="Q175">
        <v>999</v>
      </c>
      <c r="R175" t="s">
        <v>1552</v>
      </c>
      <c r="S175" t="s">
        <v>46</v>
      </c>
      <c r="T175">
        <v>1</v>
      </c>
      <c r="U175" t="s">
        <v>487</v>
      </c>
      <c r="V175" t="s">
        <v>47</v>
      </c>
      <c r="W175" t="s">
        <v>48</v>
      </c>
      <c r="X175" t="s">
        <v>49</v>
      </c>
      <c r="Y175" t="s">
        <v>50</v>
      </c>
      <c r="Z175" t="s">
        <v>49</v>
      </c>
      <c r="AA175" t="s">
        <v>51</v>
      </c>
      <c r="AB175" t="s">
        <v>52</v>
      </c>
      <c r="AC175" t="s">
        <v>50</v>
      </c>
      <c r="AD175" t="s">
        <v>40</v>
      </c>
      <c r="AE175" t="s">
        <v>41</v>
      </c>
      <c r="AF175" t="s">
        <v>50</v>
      </c>
      <c r="AG175" t="s">
        <v>49</v>
      </c>
      <c r="AH175" t="s">
        <v>53</v>
      </c>
      <c r="AI175" t="str">
        <f t="shared" si="7"/>
        <v>Europe</v>
      </c>
    </row>
    <row r="176" spans="1:35" x14ac:dyDescent="0.3">
      <c r="A176" t="str">
        <f>VLOOKUP(Q176,regions_fabio!$A$2:$C$192,3,0)</f>
        <v>NOR</v>
      </c>
      <c r="B176" t="str">
        <f>IFERROR(VLOOKUP(A176,polities_whep!$A$1:$G$199,2,0),"")</f>
        <v>Norway</v>
      </c>
      <c r="C176">
        <v>159</v>
      </c>
      <c r="D176">
        <v>162</v>
      </c>
      <c r="E176" t="s">
        <v>493</v>
      </c>
      <c r="F176" t="str">
        <f>VLOOKUP(D176,FAO_areas!$A$2:$C$246,3,0)</f>
        <v>Norway</v>
      </c>
      <c r="G176" t="s">
        <v>32</v>
      </c>
      <c r="H176" t="s">
        <v>494</v>
      </c>
      <c r="I176" t="s">
        <v>494</v>
      </c>
      <c r="J176" t="s">
        <v>494</v>
      </c>
      <c r="K176">
        <v>162</v>
      </c>
      <c r="L176" t="s">
        <v>494</v>
      </c>
      <c r="M176">
        <v>579</v>
      </c>
      <c r="N176">
        <v>578</v>
      </c>
      <c r="O176">
        <v>9</v>
      </c>
      <c r="P176" t="s">
        <v>34</v>
      </c>
      <c r="Q176">
        <v>162</v>
      </c>
      <c r="R176" t="s">
        <v>1552</v>
      </c>
      <c r="S176" t="s">
        <v>74</v>
      </c>
      <c r="T176">
        <v>1</v>
      </c>
      <c r="U176" t="s">
        <v>494</v>
      </c>
      <c r="V176" t="s">
        <v>75</v>
      </c>
      <c r="W176" t="s">
        <v>76</v>
      </c>
      <c r="X176" t="s">
        <v>49</v>
      </c>
      <c r="Y176" t="s">
        <v>251</v>
      </c>
      <c r="Z176" t="s">
        <v>49</v>
      </c>
      <c r="AA176" t="s">
        <v>51</v>
      </c>
      <c r="AB176" t="s">
        <v>52</v>
      </c>
      <c r="AC176" t="s">
        <v>251</v>
      </c>
      <c r="AD176" t="s">
        <v>117</v>
      </c>
      <c r="AE176" t="s">
        <v>118</v>
      </c>
      <c r="AF176" t="s">
        <v>251</v>
      </c>
      <c r="AG176" t="s">
        <v>49</v>
      </c>
      <c r="AH176" t="s">
        <v>53</v>
      </c>
      <c r="AI176" t="str">
        <f t="shared" si="7"/>
        <v>Europe</v>
      </c>
    </row>
    <row r="177" spans="1:35" x14ac:dyDescent="0.3">
      <c r="A177" t="s">
        <v>4770</v>
      </c>
      <c r="B177" t="str">
        <f>IFERROR(VLOOKUP(A177,polities_whep!$A$1:$G$199,2,0),"")</f>
        <v>Oceania Other</v>
      </c>
      <c r="C177">
        <v>5</v>
      </c>
      <c r="D177">
        <v>5</v>
      </c>
      <c r="E177" t="s">
        <v>61</v>
      </c>
      <c r="F177" t="e">
        <f>VLOOKUP(D177,FAO_areas!$A$2:$C$246,3,0)</f>
        <v>#N/A</v>
      </c>
      <c r="G177" t="s">
        <v>32</v>
      </c>
      <c r="H177" t="s">
        <v>62</v>
      </c>
      <c r="I177" t="s">
        <v>62</v>
      </c>
      <c r="K177">
        <v>5</v>
      </c>
      <c r="L177" t="s">
        <v>62</v>
      </c>
      <c r="M177">
        <v>16</v>
      </c>
      <c r="N177">
        <v>16</v>
      </c>
      <c r="O177">
        <v>16</v>
      </c>
      <c r="P177" t="s">
        <v>32</v>
      </c>
      <c r="Q177">
        <v>999</v>
      </c>
      <c r="R177" t="s">
        <v>1552</v>
      </c>
      <c r="S177" t="s">
        <v>63</v>
      </c>
      <c r="T177">
        <v>1</v>
      </c>
      <c r="U177" t="s">
        <v>62</v>
      </c>
      <c r="V177" t="s">
        <v>64</v>
      </c>
      <c r="W177" t="s">
        <v>65</v>
      </c>
      <c r="X177" t="s">
        <v>63</v>
      </c>
      <c r="Y177" t="s">
        <v>66</v>
      </c>
      <c r="Z177" t="s">
        <v>63</v>
      </c>
      <c r="AA177" t="s">
        <v>39</v>
      </c>
      <c r="AB177" t="s">
        <v>67</v>
      </c>
      <c r="AC177" t="s">
        <v>68</v>
      </c>
      <c r="AD177" t="s">
        <v>40</v>
      </c>
      <c r="AE177" t="s">
        <v>41</v>
      </c>
      <c r="AF177" t="s">
        <v>69</v>
      </c>
      <c r="AG177" t="s">
        <v>70</v>
      </c>
      <c r="AH177" t="s">
        <v>43</v>
      </c>
      <c r="AI177" t="str">
        <f t="shared" si="7"/>
        <v>Other</v>
      </c>
    </row>
    <row r="178" spans="1:35" x14ac:dyDescent="0.3">
      <c r="A178" t="s">
        <v>4770</v>
      </c>
      <c r="B178" t="str">
        <f>IFERROR(VLOOKUP(A178,polities_whep!$A$1:$G$199,2,0),"")</f>
        <v>Oceania Other</v>
      </c>
      <c r="C178">
        <v>34</v>
      </c>
      <c r="D178">
        <v>34</v>
      </c>
      <c r="E178" t="s">
        <v>193</v>
      </c>
      <c r="F178" t="e">
        <f>VLOOKUP(D178,FAO_areas!$A$2:$C$246,3,0)</f>
        <v>#N/A</v>
      </c>
      <c r="G178" t="s">
        <v>32</v>
      </c>
      <c r="H178" t="s">
        <v>194</v>
      </c>
      <c r="K178">
        <v>999</v>
      </c>
      <c r="L178" t="s">
        <v>73</v>
      </c>
      <c r="M178" t="s">
        <v>98</v>
      </c>
      <c r="N178">
        <v>128</v>
      </c>
      <c r="O178">
        <v>16</v>
      </c>
      <c r="P178" t="s">
        <v>32</v>
      </c>
      <c r="Q178">
        <v>999</v>
      </c>
      <c r="R178" t="s">
        <v>1552</v>
      </c>
      <c r="S178" t="s">
        <v>63</v>
      </c>
      <c r="T178">
        <v>1</v>
      </c>
      <c r="U178" t="s">
        <v>194</v>
      </c>
      <c r="V178" t="s">
        <v>64</v>
      </c>
      <c r="W178" t="s">
        <v>65</v>
      </c>
      <c r="X178" s="2" t="s">
        <v>63</v>
      </c>
      <c r="Y178" s="2" t="s">
        <v>116</v>
      </c>
      <c r="Z178" s="2" t="s">
        <v>63</v>
      </c>
      <c r="AA178" s="2" t="s">
        <v>39</v>
      </c>
      <c r="AB178" s="2" t="s">
        <v>67</v>
      </c>
      <c r="AC178" t="s">
        <v>68</v>
      </c>
      <c r="AD178" t="s">
        <v>117</v>
      </c>
      <c r="AE178" t="s">
        <v>118</v>
      </c>
      <c r="AF178" t="s">
        <v>69</v>
      </c>
      <c r="AG178" t="s">
        <v>70</v>
      </c>
      <c r="AH178" t="s">
        <v>53</v>
      </c>
      <c r="AI178" t="str">
        <f t="shared" si="7"/>
        <v>Other</v>
      </c>
    </row>
    <row r="179" spans="1:35" x14ac:dyDescent="0.3">
      <c r="A179" t="s">
        <v>4770</v>
      </c>
      <c r="B179" t="str">
        <f>IFERROR(VLOOKUP(A179,polities_whep!$A$1:$G$199,2,0),"")</f>
        <v>Oceania Other</v>
      </c>
      <c r="C179">
        <v>42</v>
      </c>
      <c r="D179">
        <v>42</v>
      </c>
      <c r="E179" t="s">
        <v>220</v>
      </c>
      <c r="F179" t="e">
        <f>VLOOKUP(D179,FAO_areas!$A$2:$C$246,3,0)</f>
        <v>#N/A</v>
      </c>
      <c r="G179" t="s">
        <v>32</v>
      </c>
      <c r="H179" t="s">
        <v>221</v>
      </c>
      <c r="K179">
        <v>999</v>
      </c>
      <c r="L179" t="s">
        <v>73</v>
      </c>
      <c r="M179">
        <v>162</v>
      </c>
      <c r="N179">
        <v>162</v>
      </c>
      <c r="O179">
        <v>16</v>
      </c>
      <c r="P179" t="s">
        <v>32</v>
      </c>
      <c r="Q179">
        <v>999</v>
      </c>
      <c r="R179" t="s">
        <v>1552</v>
      </c>
      <c r="S179" t="s">
        <v>63</v>
      </c>
      <c r="T179">
        <v>1</v>
      </c>
      <c r="U179" t="s">
        <v>221</v>
      </c>
      <c r="V179" t="s">
        <v>64</v>
      </c>
      <c r="W179" t="s">
        <v>65</v>
      </c>
      <c r="X179" t="s">
        <v>63</v>
      </c>
      <c r="Y179" t="s">
        <v>116</v>
      </c>
      <c r="Z179" t="s">
        <v>63</v>
      </c>
      <c r="AA179" t="s">
        <v>39</v>
      </c>
      <c r="AB179" t="s">
        <v>67</v>
      </c>
      <c r="AC179" t="s">
        <v>68</v>
      </c>
      <c r="AD179" t="s">
        <v>40</v>
      </c>
      <c r="AE179" t="s">
        <v>41</v>
      </c>
      <c r="AF179" t="s">
        <v>69</v>
      </c>
      <c r="AG179" t="s">
        <v>70</v>
      </c>
      <c r="AH179" t="s">
        <v>53</v>
      </c>
      <c r="AI179" t="str">
        <f t="shared" si="7"/>
        <v>Other</v>
      </c>
    </row>
    <row r="180" spans="1:35" x14ac:dyDescent="0.3">
      <c r="A180" t="s">
        <v>4770</v>
      </c>
      <c r="B180" t="str">
        <f>IFERROR(VLOOKUP(A180,polities_whep!$A$1:$G$199,2,0),"")</f>
        <v>Oceania Other</v>
      </c>
      <c r="C180">
        <v>43</v>
      </c>
      <c r="D180">
        <v>43</v>
      </c>
      <c r="E180" t="s">
        <v>222</v>
      </c>
      <c r="F180" t="e">
        <f>VLOOKUP(D180,FAO_areas!$A$2:$C$246,3,0)</f>
        <v>#N/A</v>
      </c>
      <c r="G180" t="s">
        <v>32</v>
      </c>
      <c r="H180" t="s">
        <v>223</v>
      </c>
      <c r="K180">
        <v>999</v>
      </c>
      <c r="L180" t="s">
        <v>73</v>
      </c>
      <c r="M180">
        <v>166</v>
      </c>
      <c r="N180">
        <v>166</v>
      </c>
      <c r="O180">
        <v>16</v>
      </c>
      <c r="P180" t="s">
        <v>32</v>
      </c>
      <c r="Q180">
        <v>999</v>
      </c>
      <c r="R180" t="s">
        <v>1552</v>
      </c>
      <c r="S180" t="s">
        <v>63</v>
      </c>
      <c r="T180">
        <v>1</v>
      </c>
      <c r="U180" t="s">
        <v>223</v>
      </c>
      <c r="V180" t="s">
        <v>64</v>
      </c>
      <c r="W180" t="s">
        <v>65</v>
      </c>
      <c r="X180" s="2" t="s">
        <v>63</v>
      </c>
      <c r="Y180" s="2" t="s">
        <v>116</v>
      </c>
      <c r="Z180" s="2" t="s">
        <v>63</v>
      </c>
      <c r="AA180" s="2" t="s">
        <v>39</v>
      </c>
      <c r="AB180" s="2" t="s">
        <v>67</v>
      </c>
      <c r="AC180" t="s">
        <v>68</v>
      </c>
      <c r="AD180" t="s">
        <v>40</v>
      </c>
      <c r="AE180" t="s">
        <v>41</v>
      </c>
      <c r="AF180" t="s">
        <v>69</v>
      </c>
      <c r="AG180" t="s">
        <v>70</v>
      </c>
      <c r="AH180" t="s">
        <v>53</v>
      </c>
      <c r="AI180" t="str">
        <f t="shared" si="7"/>
        <v>Other</v>
      </c>
    </row>
    <row r="181" spans="1:35" x14ac:dyDescent="0.3">
      <c r="A181" t="s">
        <v>4770</v>
      </c>
      <c r="B181" t="str">
        <f>IFERROR(VLOOKUP(A181,polities_whep!$A$1:$G$199,2,0),"")</f>
        <v>Oceania Other</v>
      </c>
      <c r="C181">
        <v>47</v>
      </c>
      <c r="D181">
        <v>47</v>
      </c>
      <c r="E181" t="s">
        <v>232</v>
      </c>
      <c r="F181" t="str">
        <f>VLOOKUP(D181,FAO_areas!$A$2:$C$246,3,0)</f>
        <v>Cook Islands</v>
      </c>
      <c r="G181" t="s">
        <v>32</v>
      </c>
      <c r="H181" t="s">
        <v>233</v>
      </c>
      <c r="I181" t="s">
        <v>233</v>
      </c>
      <c r="K181">
        <v>47</v>
      </c>
      <c r="L181" t="s">
        <v>233</v>
      </c>
      <c r="M181">
        <v>184</v>
      </c>
      <c r="N181">
        <v>184</v>
      </c>
      <c r="O181">
        <v>16</v>
      </c>
      <c r="P181" t="s">
        <v>32</v>
      </c>
      <c r="Q181">
        <v>999</v>
      </c>
      <c r="R181" t="s">
        <v>1552</v>
      </c>
      <c r="S181" t="s">
        <v>63</v>
      </c>
      <c r="T181">
        <v>1</v>
      </c>
      <c r="U181" t="s">
        <v>233</v>
      </c>
      <c r="V181" t="s">
        <v>64</v>
      </c>
      <c r="W181" t="s">
        <v>65</v>
      </c>
      <c r="X181" t="s">
        <v>63</v>
      </c>
      <c r="Y181" t="s">
        <v>66</v>
      </c>
      <c r="Z181" t="s">
        <v>63</v>
      </c>
      <c r="AA181" t="s">
        <v>39</v>
      </c>
      <c r="AB181" t="s">
        <v>67</v>
      </c>
      <c r="AC181" t="s">
        <v>68</v>
      </c>
      <c r="AD181" t="s">
        <v>40</v>
      </c>
      <c r="AE181" t="s">
        <v>41</v>
      </c>
      <c r="AF181" t="s">
        <v>69</v>
      </c>
      <c r="AG181" t="s">
        <v>70</v>
      </c>
      <c r="AH181" t="s">
        <v>43</v>
      </c>
      <c r="AI181" t="str">
        <f t="shared" si="7"/>
        <v>Other</v>
      </c>
    </row>
    <row r="182" spans="1:35" x14ac:dyDescent="0.3">
      <c r="A182" t="s">
        <v>4770</v>
      </c>
      <c r="B182" t="str">
        <f>IFERROR(VLOOKUP(A182,polities_whep!$A$1:$G$199,2,0),"")</f>
        <v>Oceania Other</v>
      </c>
      <c r="C182">
        <v>71</v>
      </c>
      <c r="D182">
        <v>71</v>
      </c>
      <c r="E182" t="s">
        <v>297</v>
      </c>
      <c r="F182" t="e">
        <f>VLOOKUP(D182,FAO_areas!$A$2:$C$246,3,0)</f>
        <v>#N/A</v>
      </c>
      <c r="G182" t="s">
        <v>32</v>
      </c>
      <c r="H182" t="s">
        <v>298</v>
      </c>
      <c r="K182">
        <v>999</v>
      </c>
      <c r="L182" t="s">
        <v>73</v>
      </c>
      <c r="M182">
        <v>260</v>
      </c>
      <c r="N182">
        <v>260</v>
      </c>
      <c r="O182">
        <v>16</v>
      </c>
      <c r="P182" t="s">
        <v>32</v>
      </c>
      <c r="Q182">
        <v>999</v>
      </c>
      <c r="R182" t="s">
        <v>1552</v>
      </c>
      <c r="S182" t="s">
        <v>63</v>
      </c>
      <c r="T182">
        <v>1</v>
      </c>
      <c r="U182" t="s">
        <v>298</v>
      </c>
      <c r="V182" t="s">
        <v>64</v>
      </c>
      <c r="W182" t="s">
        <v>65</v>
      </c>
      <c r="X182" s="2" t="s">
        <v>63</v>
      </c>
      <c r="Y182" s="2" t="s">
        <v>83</v>
      </c>
      <c r="Z182" s="2" t="s">
        <v>63</v>
      </c>
      <c r="AA182" s="2" t="s">
        <v>93</v>
      </c>
      <c r="AB182" s="2" t="s">
        <v>148</v>
      </c>
      <c r="AC182" t="s">
        <v>148</v>
      </c>
      <c r="AD182" t="s">
        <v>40</v>
      </c>
      <c r="AE182" t="s">
        <v>41</v>
      </c>
      <c r="AF182" t="s">
        <v>148</v>
      </c>
      <c r="AG182" t="s">
        <v>149</v>
      </c>
      <c r="AH182" t="s">
        <v>53</v>
      </c>
      <c r="AI182" t="str">
        <f t="shared" si="7"/>
        <v>Other</v>
      </c>
    </row>
    <row r="183" spans="1:35" x14ac:dyDescent="0.3">
      <c r="A183" t="s">
        <v>4770</v>
      </c>
      <c r="B183" t="str">
        <f>IFERROR(VLOOKUP(A183,polities_whep!$A$1:$G$199,2,0),"")</f>
        <v>Oceania Other</v>
      </c>
      <c r="C183">
        <v>85</v>
      </c>
      <c r="D183">
        <v>88</v>
      </c>
      <c r="E183" t="s">
        <v>320</v>
      </c>
      <c r="F183" t="e">
        <f>VLOOKUP(D183,FAO_areas!$A$2:$C$246,3,0)</f>
        <v>#N/A</v>
      </c>
      <c r="G183" t="s">
        <v>32</v>
      </c>
      <c r="H183" t="s">
        <v>321</v>
      </c>
      <c r="I183" t="s">
        <v>321</v>
      </c>
      <c r="K183">
        <v>88</v>
      </c>
      <c r="L183" t="s">
        <v>321</v>
      </c>
      <c r="M183">
        <v>316</v>
      </c>
      <c r="N183">
        <v>316</v>
      </c>
      <c r="O183">
        <v>16</v>
      </c>
      <c r="P183" t="s">
        <v>32</v>
      </c>
      <c r="Q183">
        <v>999</v>
      </c>
      <c r="R183" t="s">
        <v>1552</v>
      </c>
      <c r="S183" t="s">
        <v>63</v>
      </c>
      <c r="T183">
        <v>1</v>
      </c>
      <c r="U183" t="s">
        <v>321</v>
      </c>
      <c r="V183" t="s">
        <v>64</v>
      </c>
      <c r="W183" t="s">
        <v>65</v>
      </c>
      <c r="X183" t="s">
        <v>63</v>
      </c>
      <c r="Y183" t="s">
        <v>322</v>
      </c>
      <c r="Z183" t="s">
        <v>63</v>
      </c>
      <c r="AA183" t="s">
        <v>39</v>
      </c>
      <c r="AB183" t="s">
        <v>67</v>
      </c>
      <c r="AC183" t="s">
        <v>68</v>
      </c>
      <c r="AD183" t="s">
        <v>40</v>
      </c>
      <c r="AE183" t="s">
        <v>41</v>
      </c>
      <c r="AF183" t="s">
        <v>69</v>
      </c>
      <c r="AG183" t="s">
        <v>70</v>
      </c>
      <c r="AH183" t="s">
        <v>53</v>
      </c>
      <c r="AI183" t="str">
        <f t="shared" si="7"/>
        <v>Other</v>
      </c>
    </row>
    <row r="184" spans="1:35" x14ac:dyDescent="0.3">
      <c r="A184" t="s">
        <v>4770</v>
      </c>
      <c r="B184" t="str">
        <f>IFERROR(VLOOKUP(A184,polities_whep!$A$1:$G$199,2,0),"")</f>
        <v>Oceania Other</v>
      </c>
      <c r="C184">
        <v>89</v>
      </c>
      <c r="D184">
        <v>92</v>
      </c>
      <c r="E184" t="s">
        <v>333</v>
      </c>
      <c r="F184" t="e">
        <f>VLOOKUP(D184,FAO_areas!$A$2:$C$246,3,0)</f>
        <v>#N/A</v>
      </c>
      <c r="G184" t="s">
        <v>32</v>
      </c>
      <c r="H184" t="s">
        <v>334</v>
      </c>
      <c r="K184">
        <v>999</v>
      </c>
      <c r="L184" t="s">
        <v>73</v>
      </c>
      <c r="M184" t="s">
        <v>98</v>
      </c>
      <c r="N184">
        <v>334</v>
      </c>
      <c r="O184">
        <v>16</v>
      </c>
      <c r="P184" t="s">
        <v>32</v>
      </c>
      <c r="Q184">
        <v>999</v>
      </c>
      <c r="R184" t="s">
        <v>1552</v>
      </c>
      <c r="S184" t="s">
        <v>63</v>
      </c>
      <c r="T184">
        <v>1</v>
      </c>
      <c r="U184" t="s">
        <v>334</v>
      </c>
      <c r="V184" t="s">
        <v>64</v>
      </c>
      <c r="W184" t="s">
        <v>65</v>
      </c>
      <c r="X184" s="2" t="s">
        <v>63</v>
      </c>
      <c r="Y184" s="2" t="s">
        <v>116</v>
      </c>
      <c r="Z184" s="2" t="s">
        <v>63</v>
      </c>
      <c r="AA184" s="2"/>
      <c r="AB184" s="2"/>
      <c r="AF184" t="s">
        <v>69</v>
      </c>
      <c r="AG184" t="s">
        <v>70</v>
      </c>
      <c r="AH184" t="s">
        <v>53</v>
      </c>
      <c r="AI184" t="str">
        <f t="shared" si="7"/>
        <v>Other</v>
      </c>
    </row>
    <row r="185" spans="1:35" x14ac:dyDescent="0.3">
      <c r="A185" t="s">
        <v>4770</v>
      </c>
      <c r="B185" t="str">
        <f>IFERROR(VLOOKUP(A185,polities_whep!$A$1:$G$199,2,0),"")</f>
        <v>Oceania Other</v>
      </c>
      <c r="C185">
        <v>108</v>
      </c>
      <c r="D185">
        <v>111</v>
      </c>
      <c r="E185" t="s">
        <v>369</v>
      </c>
      <c r="F185" t="e">
        <f>VLOOKUP(D185,FAO_areas!$A$2:$C$246,3,0)</f>
        <v>#N/A</v>
      </c>
      <c r="G185" t="s">
        <v>32</v>
      </c>
      <c r="H185" t="s">
        <v>370</v>
      </c>
      <c r="K185">
        <v>999</v>
      </c>
      <c r="L185" t="s">
        <v>73</v>
      </c>
      <c r="M185" t="s">
        <v>98</v>
      </c>
      <c r="N185">
        <v>396</v>
      </c>
      <c r="O185">
        <v>16</v>
      </c>
      <c r="P185" t="s">
        <v>32</v>
      </c>
      <c r="Q185">
        <v>999</v>
      </c>
      <c r="R185" t="s">
        <v>1552</v>
      </c>
      <c r="S185" t="s">
        <v>63</v>
      </c>
      <c r="T185">
        <v>1</v>
      </c>
      <c r="U185" t="s">
        <v>370</v>
      </c>
      <c r="V185" t="s">
        <v>64</v>
      </c>
      <c r="W185" t="s">
        <v>65</v>
      </c>
      <c r="X185" s="2" t="s">
        <v>63</v>
      </c>
      <c r="Y185" s="2" t="s">
        <v>148</v>
      </c>
      <c r="Z185" s="2" t="s">
        <v>63</v>
      </c>
      <c r="AA185" s="2" t="s">
        <v>93</v>
      </c>
      <c r="AB185" s="2" t="s">
        <v>148</v>
      </c>
      <c r="AC185" t="s">
        <v>148</v>
      </c>
      <c r="AD185" t="s">
        <v>117</v>
      </c>
      <c r="AE185" t="s">
        <v>118</v>
      </c>
      <c r="AF185" t="s">
        <v>148</v>
      </c>
      <c r="AG185" t="s">
        <v>149</v>
      </c>
      <c r="AH185" t="s">
        <v>53</v>
      </c>
      <c r="AI185" t="str">
        <f t="shared" si="7"/>
        <v>Other</v>
      </c>
    </row>
    <row r="186" spans="1:35" x14ac:dyDescent="0.3">
      <c r="A186" t="s">
        <v>4770</v>
      </c>
      <c r="B186" t="str">
        <f>IFERROR(VLOOKUP(A186,polities_whep!$A$1:$G$199,2,0),"")</f>
        <v>Oceania Other</v>
      </c>
      <c r="C186">
        <v>124</v>
      </c>
      <c r="D186">
        <v>127</v>
      </c>
      <c r="E186" t="s">
        <v>417</v>
      </c>
      <c r="F186" t="str">
        <f>VLOOKUP(D186,FAO_areas!$A$2:$C$246,3,0)</f>
        <v>Marshall Islands</v>
      </c>
      <c r="G186" t="s">
        <v>32</v>
      </c>
      <c r="H186" t="s">
        <v>418</v>
      </c>
      <c r="K186">
        <v>127</v>
      </c>
      <c r="L186" t="s">
        <v>418</v>
      </c>
      <c r="M186">
        <v>584</v>
      </c>
      <c r="N186">
        <v>584</v>
      </c>
      <c r="O186">
        <v>16</v>
      </c>
      <c r="P186" t="s">
        <v>32</v>
      </c>
      <c r="Q186">
        <v>999</v>
      </c>
      <c r="R186" t="s">
        <v>1552</v>
      </c>
      <c r="S186" t="s">
        <v>63</v>
      </c>
      <c r="T186">
        <v>1</v>
      </c>
      <c r="U186" t="s">
        <v>418</v>
      </c>
      <c r="V186" t="s">
        <v>64</v>
      </c>
      <c r="W186" t="s">
        <v>65</v>
      </c>
      <c r="X186" t="s">
        <v>63</v>
      </c>
      <c r="Y186" t="s">
        <v>322</v>
      </c>
      <c r="Z186" t="s">
        <v>63</v>
      </c>
      <c r="AA186" t="s">
        <v>39</v>
      </c>
      <c r="AB186" t="s">
        <v>67</v>
      </c>
      <c r="AC186" t="s">
        <v>68</v>
      </c>
      <c r="AD186" t="s">
        <v>40</v>
      </c>
      <c r="AE186" t="s">
        <v>41</v>
      </c>
      <c r="AF186" t="s">
        <v>69</v>
      </c>
      <c r="AG186" t="s">
        <v>70</v>
      </c>
      <c r="AH186" t="s">
        <v>53</v>
      </c>
      <c r="AI186" t="str">
        <f t="shared" si="7"/>
        <v>Other</v>
      </c>
    </row>
    <row r="187" spans="1:35" x14ac:dyDescent="0.3">
      <c r="A187" t="s">
        <v>4770</v>
      </c>
      <c r="B187" t="str">
        <f>IFERROR(VLOOKUP(A187,polities_whep!$A$1:$G$199,2,0),"")</f>
        <v>Oceania Other</v>
      </c>
      <c r="C187">
        <v>142</v>
      </c>
      <c r="D187">
        <v>145</v>
      </c>
      <c r="E187" t="s">
        <v>429</v>
      </c>
      <c r="F187" t="str">
        <f>VLOOKUP(D187,FAO_areas!$A$2:$C$246,3,0)</f>
        <v>Micronesia (Federated States of)</v>
      </c>
      <c r="G187" t="s">
        <v>32</v>
      </c>
      <c r="H187" t="s">
        <v>430</v>
      </c>
      <c r="K187">
        <v>145</v>
      </c>
      <c r="L187" t="s">
        <v>431</v>
      </c>
      <c r="M187">
        <v>583</v>
      </c>
      <c r="N187">
        <v>583</v>
      </c>
      <c r="O187">
        <v>16</v>
      </c>
      <c r="P187" t="s">
        <v>32</v>
      </c>
      <c r="Q187">
        <v>999</v>
      </c>
      <c r="R187" t="s">
        <v>1552</v>
      </c>
      <c r="S187" t="s">
        <v>63</v>
      </c>
      <c r="T187">
        <v>1</v>
      </c>
      <c r="U187" t="s">
        <v>430</v>
      </c>
      <c r="V187" t="s">
        <v>64</v>
      </c>
      <c r="W187" t="s">
        <v>65</v>
      </c>
      <c r="X187" t="s">
        <v>63</v>
      </c>
      <c r="Y187" t="s">
        <v>322</v>
      </c>
      <c r="Z187" t="s">
        <v>63</v>
      </c>
      <c r="AA187" t="s">
        <v>39</v>
      </c>
      <c r="AB187" t="s">
        <v>67</v>
      </c>
      <c r="AC187" t="s">
        <v>68</v>
      </c>
      <c r="AD187" t="s">
        <v>40</v>
      </c>
      <c r="AE187" t="s">
        <v>41</v>
      </c>
      <c r="AF187" t="s">
        <v>69</v>
      </c>
      <c r="AG187" t="s">
        <v>70</v>
      </c>
      <c r="AH187" t="s">
        <v>53</v>
      </c>
      <c r="AI187" t="str">
        <f t="shared" si="7"/>
        <v>Other</v>
      </c>
    </row>
    <row r="188" spans="1:35" x14ac:dyDescent="0.3">
      <c r="A188" t="s">
        <v>4770</v>
      </c>
      <c r="B188" t="str">
        <f>IFERROR(VLOOKUP(A188,polities_whep!$A$1:$G$199,2,0),"")</f>
        <v>Oceania Other</v>
      </c>
      <c r="C188">
        <v>136</v>
      </c>
      <c r="D188">
        <v>139</v>
      </c>
      <c r="E188" t="s">
        <v>432</v>
      </c>
      <c r="F188" t="e">
        <f>VLOOKUP(D188,FAO_areas!$A$2:$C$246,3,0)</f>
        <v>#N/A</v>
      </c>
      <c r="G188" t="s">
        <v>32</v>
      </c>
      <c r="H188" t="s">
        <v>433</v>
      </c>
      <c r="K188">
        <v>999</v>
      </c>
      <c r="L188" t="s">
        <v>73</v>
      </c>
      <c r="M188" t="s">
        <v>98</v>
      </c>
      <c r="N188">
        <v>488</v>
      </c>
      <c r="O188">
        <v>16</v>
      </c>
      <c r="P188" t="s">
        <v>32</v>
      </c>
      <c r="Q188">
        <v>999</v>
      </c>
      <c r="R188" t="s">
        <v>1552</v>
      </c>
      <c r="S188" t="s">
        <v>63</v>
      </c>
      <c r="T188">
        <v>1</v>
      </c>
      <c r="U188" t="s">
        <v>433</v>
      </c>
      <c r="V188" t="s">
        <v>64</v>
      </c>
      <c r="W188" t="s">
        <v>65</v>
      </c>
      <c r="X188" s="2" t="s">
        <v>63</v>
      </c>
      <c r="Y188" s="2" t="s">
        <v>322</v>
      </c>
      <c r="Z188" s="2" t="s">
        <v>63</v>
      </c>
      <c r="AA188" s="2" t="s">
        <v>39</v>
      </c>
      <c r="AB188" s="2" t="s">
        <v>67</v>
      </c>
      <c r="AC188" t="s">
        <v>68</v>
      </c>
      <c r="AD188" t="s">
        <v>40</v>
      </c>
      <c r="AE188" t="s">
        <v>41</v>
      </c>
      <c r="AF188" t="s">
        <v>69</v>
      </c>
      <c r="AG188" t="s">
        <v>70</v>
      </c>
      <c r="AH188" t="s">
        <v>53</v>
      </c>
      <c r="AI188" t="str">
        <f t="shared" si="7"/>
        <v>Other</v>
      </c>
    </row>
    <row r="189" spans="1:35" x14ac:dyDescent="0.3">
      <c r="A189" t="s">
        <v>4770</v>
      </c>
      <c r="B189" t="str">
        <f>IFERROR(VLOOKUP(A189,polities_whep!$A$1:$G$199,2,0),"")</f>
        <v>Oceania Other</v>
      </c>
      <c r="C189">
        <v>145</v>
      </c>
      <c r="D189">
        <v>148</v>
      </c>
      <c r="E189" t="s">
        <v>455</v>
      </c>
      <c r="F189" t="str">
        <f>VLOOKUP(D189,FAO_areas!$A$2:$C$246,3,0)</f>
        <v>Nauru</v>
      </c>
      <c r="G189" t="s">
        <v>32</v>
      </c>
      <c r="H189" t="s">
        <v>456</v>
      </c>
      <c r="I189" t="s">
        <v>456</v>
      </c>
      <c r="K189">
        <v>148</v>
      </c>
      <c r="L189" t="s">
        <v>456</v>
      </c>
      <c r="M189">
        <v>520</v>
      </c>
      <c r="N189">
        <v>520</v>
      </c>
      <c r="O189">
        <v>16</v>
      </c>
      <c r="P189" t="s">
        <v>32</v>
      </c>
      <c r="Q189">
        <v>999</v>
      </c>
      <c r="R189" t="s">
        <v>1552</v>
      </c>
      <c r="S189" t="s">
        <v>63</v>
      </c>
      <c r="T189">
        <v>1</v>
      </c>
      <c r="U189" t="s">
        <v>456</v>
      </c>
      <c r="V189" t="s">
        <v>64</v>
      </c>
      <c r="W189" t="s">
        <v>65</v>
      </c>
      <c r="X189" t="s">
        <v>63</v>
      </c>
      <c r="Y189" t="s">
        <v>322</v>
      </c>
      <c r="Z189" t="s">
        <v>63</v>
      </c>
      <c r="AA189" t="s">
        <v>39</v>
      </c>
      <c r="AB189" t="s">
        <v>67</v>
      </c>
      <c r="AC189" t="s">
        <v>68</v>
      </c>
      <c r="AD189" t="s">
        <v>40</v>
      </c>
      <c r="AE189" t="s">
        <v>41</v>
      </c>
      <c r="AF189" t="s">
        <v>69</v>
      </c>
      <c r="AG189" t="s">
        <v>70</v>
      </c>
      <c r="AH189" t="s">
        <v>53</v>
      </c>
      <c r="AI189" t="str">
        <f t="shared" si="7"/>
        <v>Other</v>
      </c>
    </row>
    <row r="190" spans="1:35" x14ac:dyDescent="0.3">
      <c r="A190" t="s">
        <v>4770</v>
      </c>
      <c r="B190" t="str">
        <f>IFERROR(VLOOKUP(A190,polities_whep!$A$1:$G$199,2,0),"")</f>
        <v>Oceania Other</v>
      </c>
      <c r="C190">
        <v>150</v>
      </c>
      <c r="D190">
        <v>153</v>
      </c>
      <c r="E190" t="s">
        <v>466</v>
      </c>
      <c r="F190" t="str">
        <f>VLOOKUP(D190,FAO_areas!$A$2:$C$246,3,0)</f>
        <v>New Caledonia</v>
      </c>
      <c r="G190" t="s">
        <v>32</v>
      </c>
      <c r="H190" t="s">
        <v>467</v>
      </c>
      <c r="I190" t="s">
        <v>467</v>
      </c>
      <c r="K190">
        <v>153</v>
      </c>
      <c r="L190" t="s">
        <v>467</v>
      </c>
      <c r="M190">
        <v>540</v>
      </c>
      <c r="N190">
        <v>540</v>
      </c>
      <c r="O190">
        <v>16</v>
      </c>
      <c r="P190" t="s">
        <v>34</v>
      </c>
      <c r="Q190">
        <v>999</v>
      </c>
      <c r="R190" t="s">
        <v>1552</v>
      </c>
      <c r="S190" t="s">
        <v>63</v>
      </c>
      <c r="T190">
        <v>1</v>
      </c>
      <c r="U190" t="s">
        <v>467</v>
      </c>
      <c r="V190" t="s">
        <v>64</v>
      </c>
      <c r="W190" t="s">
        <v>65</v>
      </c>
      <c r="X190" t="s">
        <v>63</v>
      </c>
      <c r="Y190" t="s">
        <v>288</v>
      </c>
      <c r="Z190" t="s">
        <v>63</v>
      </c>
      <c r="AA190" t="s">
        <v>39</v>
      </c>
      <c r="AB190" t="s">
        <v>67</v>
      </c>
      <c r="AC190" t="s">
        <v>68</v>
      </c>
      <c r="AD190" t="s">
        <v>40</v>
      </c>
      <c r="AE190" t="s">
        <v>41</v>
      </c>
      <c r="AF190" t="s">
        <v>69</v>
      </c>
      <c r="AG190" t="s">
        <v>70</v>
      </c>
      <c r="AH190" t="s">
        <v>43</v>
      </c>
      <c r="AI190" t="str">
        <f t="shared" si="7"/>
        <v>Other</v>
      </c>
    </row>
    <row r="191" spans="1:35" x14ac:dyDescent="0.3">
      <c r="A191" t="s">
        <v>4770</v>
      </c>
      <c r="B191" t="str">
        <f>IFERROR(VLOOKUP(A191,polities_whep!$A$1:$G$199,2,0),"")</f>
        <v>Oceania Other</v>
      </c>
      <c r="C191">
        <v>157</v>
      </c>
      <c r="D191">
        <v>160</v>
      </c>
      <c r="E191" t="s">
        <v>476</v>
      </c>
      <c r="F191" t="str">
        <f>VLOOKUP(D191,FAO_areas!$A$2:$C$246,3,0)</f>
        <v>Niue</v>
      </c>
      <c r="G191" t="s">
        <v>32</v>
      </c>
      <c r="H191" t="s">
        <v>477</v>
      </c>
      <c r="I191" t="s">
        <v>477</v>
      </c>
      <c r="K191">
        <v>160</v>
      </c>
      <c r="L191" t="s">
        <v>477</v>
      </c>
      <c r="M191">
        <v>570</v>
      </c>
      <c r="N191">
        <v>570</v>
      </c>
      <c r="O191">
        <v>16</v>
      </c>
      <c r="P191" t="s">
        <v>32</v>
      </c>
      <c r="Q191">
        <v>999</v>
      </c>
      <c r="R191" t="s">
        <v>1552</v>
      </c>
      <c r="S191" t="s">
        <v>63</v>
      </c>
      <c r="T191">
        <v>1</v>
      </c>
      <c r="U191" t="s">
        <v>477</v>
      </c>
      <c r="V191" t="s">
        <v>64</v>
      </c>
      <c r="W191" t="s">
        <v>65</v>
      </c>
      <c r="X191" t="s">
        <v>63</v>
      </c>
      <c r="Y191" t="s">
        <v>66</v>
      </c>
      <c r="Z191" t="s">
        <v>63</v>
      </c>
      <c r="AA191" t="s">
        <v>39</v>
      </c>
      <c r="AB191" t="s">
        <v>67</v>
      </c>
      <c r="AC191" t="s">
        <v>68</v>
      </c>
      <c r="AD191" t="s">
        <v>40</v>
      </c>
      <c r="AE191" t="s">
        <v>41</v>
      </c>
      <c r="AF191" t="s">
        <v>69</v>
      </c>
      <c r="AG191" t="s">
        <v>70</v>
      </c>
      <c r="AH191" t="s">
        <v>43</v>
      </c>
      <c r="AI191" t="str">
        <f t="shared" si="7"/>
        <v>Other</v>
      </c>
    </row>
    <row r="192" spans="1:35" x14ac:dyDescent="0.3">
      <c r="A192" t="s">
        <v>4770</v>
      </c>
      <c r="B192" t="str">
        <f>IFERROR(VLOOKUP(A192,polities_whep!$A$1:$G$199,2,0),"")</f>
        <v>Oceania Other</v>
      </c>
      <c r="C192">
        <v>158</v>
      </c>
      <c r="D192">
        <v>161</v>
      </c>
      <c r="E192" t="s">
        <v>478</v>
      </c>
      <c r="F192" t="e">
        <f>VLOOKUP(D192,FAO_areas!$A$2:$C$246,3,0)</f>
        <v>#N/A</v>
      </c>
      <c r="G192" t="s">
        <v>32</v>
      </c>
      <c r="H192" t="s">
        <v>479</v>
      </c>
      <c r="K192">
        <v>999</v>
      </c>
      <c r="L192" t="s">
        <v>73</v>
      </c>
      <c r="M192">
        <v>574</v>
      </c>
      <c r="N192">
        <v>574</v>
      </c>
      <c r="O192">
        <v>16</v>
      </c>
      <c r="P192" t="s">
        <v>32</v>
      </c>
      <c r="Q192">
        <v>999</v>
      </c>
      <c r="R192" t="s">
        <v>1552</v>
      </c>
      <c r="S192" t="s">
        <v>63</v>
      </c>
      <c r="T192">
        <v>1</v>
      </c>
      <c r="U192" t="s">
        <v>479</v>
      </c>
      <c r="V192" t="s">
        <v>64</v>
      </c>
      <c r="W192" t="s">
        <v>65</v>
      </c>
      <c r="X192" t="s">
        <v>63</v>
      </c>
      <c r="Y192" t="s">
        <v>116</v>
      </c>
      <c r="Z192" t="s">
        <v>63</v>
      </c>
      <c r="AA192" t="s">
        <v>39</v>
      </c>
      <c r="AB192" t="s">
        <v>67</v>
      </c>
      <c r="AC192" t="s">
        <v>68</v>
      </c>
      <c r="AD192" t="s">
        <v>40</v>
      </c>
      <c r="AE192" t="s">
        <v>41</v>
      </c>
      <c r="AF192" t="s">
        <v>69</v>
      </c>
      <c r="AG192" t="s">
        <v>70</v>
      </c>
      <c r="AH192" t="s">
        <v>43</v>
      </c>
      <c r="AI192" t="str">
        <f t="shared" si="7"/>
        <v>Other</v>
      </c>
    </row>
    <row r="193" spans="1:35" x14ac:dyDescent="0.3">
      <c r="A193" t="s">
        <v>4770</v>
      </c>
      <c r="B193" t="str">
        <f>IFERROR(VLOOKUP(A193,polities_whep!$A$1:$G$199,2,0),"")</f>
        <v>Oceania Other</v>
      </c>
      <c r="C193">
        <v>160</v>
      </c>
      <c r="D193">
        <v>163</v>
      </c>
      <c r="E193" t="s">
        <v>491</v>
      </c>
      <c r="F193" t="e">
        <f>VLOOKUP(D193,FAO_areas!$A$2:$C$246,3,0)</f>
        <v>#N/A</v>
      </c>
      <c r="G193" t="s">
        <v>32</v>
      </c>
      <c r="H193" t="s">
        <v>492</v>
      </c>
      <c r="K193">
        <v>999</v>
      </c>
      <c r="L193" t="s">
        <v>73</v>
      </c>
      <c r="M193">
        <v>580</v>
      </c>
      <c r="N193">
        <v>580</v>
      </c>
      <c r="O193">
        <v>16</v>
      </c>
      <c r="P193" t="s">
        <v>32</v>
      </c>
      <c r="Q193">
        <v>999</v>
      </c>
      <c r="R193" t="s">
        <v>1552</v>
      </c>
      <c r="S193" t="s">
        <v>63</v>
      </c>
      <c r="T193">
        <v>1</v>
      </c>
      <c r="U193" t="s">
        <v>492</v>
      </c>
      <c r="V193" t="s">
        <v>64</v>
      </c>
      <c r="W193" t="s">
        <v>65</v>
      </c>
      <c r="X193" t="s">
        <v>63</v>
      </c>
      <c r="Y193" t="s">
        <v>322</v>
      </c>
      <c r="Z193" t="s">
        <v>63</v>
      </c>
      <c r="AA193" t="s">
        <v>39</v>
      </c>
      <c r="AB193" t="s">
        <v>67</v>
      </c>
      <c r="AC193" t="s">
        <v>68</v>
      </c>
      <c r="AD193" t="s">
        <v>40</v>
      </c>
      <c r="AE193" t="s">
        <v>41</v>
      </c>
      <c r="AF193" t="s">
        <v>69</v>
      </c>
      <c r="AG193" t="s">
        <v>322</v>
      </c>
      <c r="AH193" t="s">
        <v>322</v>
      </c>
      <c r="AI193" t="str">
        <f t="shared" si="7"/>
        <v>Other</v>
      </c>
    </row>
    <row r="194" spans="1:35" x14ac:dyDescent="0.3">
      <c r="A194" t="s">
        <v>4770</v>
      </c>
      <c r="B194" t="str">
        <f>IFERROR(VLOOKUP(A194,polities_whep!$A$1:$G$199,2,0),"")</f>
        <v>Oceania Other</v>
      </c>
      <c r="C194">
        <v>177</v>
      </c>
      <c r="D194">
        <v>180</v>
      </c>
      <c r="E194" t="s">
        <v>503</v>
      </c>
      <c r="F194" t="e">
        <f>VLOOKUP(D194,FAO_areas!$A$2:$C$246,3,0)</f>
        <v>#N/A</v>
      </c>
      <c r="G194" t="s">
        <v>32</v>
      </c>
      <c r="H194" t="s">
        <v>504</v>
      </c>
      <c r="K194">
        <v>999</v>
      </c>
      <c r="L194" t="s">
        <v>73</v>
      </c>
      <c r="M194">
        <v>585</v>
      </c>
      <c r="N194">
        <v>585</v>
      </c>
      <c r="O194">
        <v>16</v>
      </c>
      <c r="P194" t="s">
        <v>32</v>
      </c>
      <c r="Q194">
        <v>999</v>
      </c>
      <c r="R194" t="s">
        <v>1552</v>
      </c>
      <c r="S194" t="s">
        <v>63</v>
      </c>
      <c r="T194">
        <v>1</v>
      </c>
      <c r="U194" t="s">
        <v>504</v>
      </c>
      <c r="V194" t="s">
        <v>64</v>
      </c>
      <c r="W194" t="s">
        <v>65</v>
      </c>
      <c r="X194" t="s">
        <v>63</v>
      </c>
      <c r="Y194" t="s">
        <v>322</v>
      </c>
      <c r="Z194" t="s">
        <v>63</v>
      </c>
      <c r="AA194" t="s">
        <v>39</v>
      </c>
      <c r="AB194" t="s">
        <v>67</v>
      </c>
      <c r="AC194" t="s">
        <v>68</v>
      </c>
      <c r="AD194" t="s">
        <v>40</v>
      </c>
      <c r="AE194" t="s">
        <v>41</v>
      </c>
      <c r="AF194" t="s">
        <v>69</v>
      </c>
      <c r="AG194" t="s">
        <v>70</v>
      </c>
      <c r="AH194" t="s">
        <v>53</v>
      </c>
      <c r="AI194" t="str">
        <f t="shared" si="7"/>
        <v>Other</v>
      </c>
    </row>
    <row r="195" spans="1:35" x14ac:dyDescent="0.3">
      <c r="A195" t="s">
        <v>4770</v>
      </c>
      <c r="B195" t="str">
        <f>IFERROR(VLOOKUP(A195,polities_whep!$A$1:$G$199,2,0),"")</f>
        <v>Oceania Other</v>
      </c>
      <c r="C195">
        <v>169</v>
      </c>
      <c r="D195">
        <v>172</v>
      </c>
      <c r="E195" t="s">
        <v>519</v>
      </c>
      <c r="F195" t="e">
        <f>VLOOKUP(D195,FAO_areas!$A$2:$C$246,3,0)</f>
        <v>#N/A</v>
      </c>
      <c r="G195" t="s">
        <v>32</v>
      </c>
      <c r="H195" t="s">
        <v>520</v>
      </c>
      <c r="K195">
        <v>999</v>
      </c>
      <c r="L195" t="s">
        <v>73</v>
      </c>
      <c r="M195">
        <v>612</v>
      </c>
      <c r="N195">
        <v>612</v>
      </c>
      <c r="O195">
        <v>16</v>
      </c>
      <c r="P195" t="s">
        <v>32</v>
      </c>
      <c r="Q195">
        <v>999</v>
      </c>
      <c r="R195" t="s">
        <v>1552</v>
      </c>
      <c r="S195" t="s">
        <v>63</v>
      </c>
      <c r="T195">
        <v>1</v>
      </c>
      <c r="U195" t="s">
        <v>520</v>
      </c>
      <c r="V195" t="s">
        <v>64</v>
      </c>
      <c r="W195" t="s">
        <v>65</v>
      </c>
      <c r="X195" t="s">
        <v>63</v>
      </c>
      <c r="Y195" t="s">
        <v>66</v>
      </c>
      <c r="Z195" t="s">
        <v>63</v>
      </c>
      <c r="AA195" t="s">
        <v>39</v>
      </c>
      <c r="AB195" t="s">
        <v>67</v>
      </c>
      <c r="AC195" t="s">
        <v>68</v>
      </c>
      <c r="AD195" t="s">
        <v>40</v>
      </c>
      <c r="AE195" t="s">
        <v>41</v>
      </c>
      <c r="AF195" t="s">
        <v>69</v>
      </c>
      <c r="AG195" t="s">
        <v>70</v>
      </c>
      <c r="AH195" t="s">
        <v>43</v>
      </c>
      <c r="AI195" t="str">
        <f t="shared" si="7"/>
        <v>Other</v>
      </c>
    </row>
    <row r="196" spans="1:35" x14ac:dyDescent="0.3">
      <c r="A196" t="s">
        <v>4770</v>
      </c>
      <c r="B196" t="str">
        <f>IFERROR(VLOOKUP(A196,polities_whep!$A$1:$G$199,2,0),"")</f>
        <v>Oceania Other</v>
      </c>
      <c r="C196">
        <v>214</v>
      </c>
      <c r="D196">
        <v>218</v>
      </c>
      <c r="E196" t="s">
        <v>629</v>
      </c>
      <c r="F196" t="str">
        <f>VLOOKUP(D196,FAO_areas!$A$2:$C$246,3,0)</f>
        <v>Tokelau</v>
      </c>
      <c r="G196" t="s">
        <v>32</v>
      </c>
      <c r="H196" t="s">
        <v>630</v>
      </c>
      <c r="K196">
        <v>218</v>
      </c>
      <c r="L196" t="s">
        <v>630</v>
      </c>
      <c r="M196">
        <v>772</v>
      </c>
      <c r="N196">
        <v>772</v>
      </c>
      <c r="O196">
        <v>16</v>
      </c>
      <c r="P196" t="s">
        <v>32</v>
      </c>
      <c r="Q196">
        <v>999</v>
      </c>
      <c r="R196" t="s">
        <v>1552</v>
      </c>
      <c r="S196" t="s">
        <v>63</v>
      </c>
      <c r="T196">
        <v>1</v>
      </c>
      <c r="U196" t="s">
        <v>630</v>
      </c>
      <c r="V196" t="s">
        <v>64</v>
      </c>
      <c r="W196" t="s">
        <v>65</v>
      </c>
      <c r="X196" t="s">
        <v>63</v>
      </c>
      <c r="Y196" t="s">
        <v>66</v>
      </c>
      <c r="Z196" t="s">
        <v>63</v>
      </c>
      <c r="AA196" t="s">
        <v>39</v>
      </c>
      <c r="AB196" t="s">
        <v>67</v>
      </c>
      <c r="AC196" t="s">
        <v>68</v>
      </c>
      <c r="AD196" t="s">
        <v>40</v>
      </c>
      <c r="AE196" t="s">
        <v>41</v>
      </c>
      <c r="AF196" t="s">
        <v>69</v>
      </c>
      <c r="AG196" t="s">
        <v>70</v>
      </c>
      <c r="AH196" t="s">
        <v>43</v>
      </c>
      <c r="AI196" t="str">
        <f t="shared" si="7"/>
        <v>Other</v>
      </c>
    </row>
    <row r="197" spans="1:35" x14ac:dyDescent="0.3">
      <c r="A197" t="s">
        <v>4770</v>
      </c>
      <c r="B197" t="str">
        <f>IFERROR(VLOOKUP(A197,polities_whep!$A$1:$G$199,2,0),"")</f>
        <v>Oceania Other</v>
      </c>
      <c r="C197">
        <v>215</v>
      </c>
      <c r="D197">
        <v>219</v>
      </c>
      <c r="E197" t="s">
        <v>631</v>
      </c>
      <c r="F197" t="str">
        <f>VLOOKUP(D197,FAO_areas!$A$2:$C$246,3,0)</f>
        <v>Tonga</v>
      </c>
      <c r="G197" t="s">
        <v>32</v>
      </c>
      <c r="H197" t="s">
        <v>632</v>
      </c>
      <c r="I197" t="s">
        <v>632</v>
      </c>
      <c r="K197">
        <v>219</v>
      </c>
      <c r="L197" t="s">
        <v>632</v>
      </c>
      <c r="M197">
        <v>776</v>
      </c>
      <c r="N197">
        <v>776</v>
      </c>
      <c r="O197">
        <v>16</v>
      </c>
      <c r="P197" t="s">
        <v>32</v>
      </c>
      <c r="Q197">
        <v>999</v>
      </c>
      <c r="R197" t="s">
        <v>1552</v>
      </c>
      <c r="S197" t="s">
        <v>63</v>
      </c>
      <c r="T197">
        <v>1</v>
      </c>
      <c r="U197" t="s">
        <v>632</v>
      </c>
      <c r="V197" t="s">
        <v>64</v>
      </c>
      <c r="W197" t="s">
        <v>65</v>
      </c>
      <c r="X197" t="s">
        <v>63</v>
      </c>
      <c r="Y197" t="s">
        <v>66</v>
      </c>
      <c r="Z197" t="s">
        <v>63</v>
      </c>
      <c r="AA197" t="s">
        <v>39</v>
      </c>
      <c r="AB197" t="s">
        <v>67</v>
      </c>
      <c r="AC197" t="s">
        <v>68</v>
      </c>
      <c r="AD197" t="s">
        <v>40</v>
      </c>
      <c r="AE197" t="s">
        <v>41</v>
      </c>
      <c r="AF197" t="s">
        <v>69</v>
      </c>
      <c r="AG197" t="s">
        <v>70</v>
      </c>
      <c r="AH197" t="s">
        <v>43</v>
      </c>
      <c r="AI197" t="str">
        <f t="shared" si="7"/>
        <v>Other</v>
      </c>
    </row>
    <row r="198" spans="1:35" x14ac:dyDescent="0.3">
      <c r="A198" t="s">
        <v>4770</v>
      </c>
      <c r="B198" t="str">
        <f>IFERROR(VLOOKUP(A198,polities_whep!$A$1:$G$199,2,0),"")</f>
        <v>Oceania Other</v>
      </c>
      <c r="C198">
        <v>223</v>
      </c>
      <c r="D198">
        <v>227</v>
      </c>
      <c r="E198" t="s">
        <v>643</v>
      </c>
      <c r="F198" t="str">
        <f>VLOOKUP(D198,FAO_areas!$A$2:$C$246,3,0)</f>
        <v>Tuvalu</v>
      </c>
      <c r="G198" t="s">
        <v>32</v>
      </c>
      <c r="H198" t="s">
        <v>644</v>
      </c>
      <c r="K198">
        <v>227</v>
      </c>
      <c r="L198" t="s">
        <v>644</v>
      </c>
      <c r="M198">
        <v>798</v>
      </c>
      <c r="N198">
        <v>798</v>
      </c>
      <c r="O198">
        <v>16</v>
      </c>
      <c r="P198" t="s">
        <v>32</v>
      </c>
      <c r="Q198">
        <v>999</v>
      </c>
      <c r="R198" t="s">
        <v>1552</v>
      </c>
      <c r="S198" t="s">
        <v>63</v>
      </c>
      <c r="T198">
        <v>1</v>
      </c>
      <c r="U198" t="s">
        <v>644</v>
      </c>
      <c r="V198" t="s">
        <v>64</v>
      </c>
      <c r="W198" t="s">
        <v>65</v>
      </c>
      <c r="X198" t="s">
        <v>63</v>
      </c>
      <c r="Y198" t="s">
        <v>66</v>
      </c>
      <c r="Z198" t="s">
        <v>63</v>
      </c>
      <c r="AA198" t="s">
        <v>39</v>
      </c>
      <c r="AB198" t="s">
        <v>67</v>
      </c>
      <c r="AC198" t="s">
        <v>68</v>
      </c>
      <c r="AD198" t="s">
        <v>40</v>
      </c>
      <c r="AE198" t="s">
        <v>41</v>
      </c>
      <c r="AF198" t="s">
        <v>69</v>
      </c>
      <c r="AG198" t="s">
        <v>70</v>
      </c>
      <c r="AH198" t="s">
        <v>43</v>
      </c>
      <c r="AI198" t="str">
        <f t="shared" si="7"/>
        <v>Other</v>
      </c>
    </row>
    <row r="199" spans="1:35" x14ac:dyDescent="0.3">
      <c r="A199" t="s">
        <v>4770</v>
      </c>
      <c r="B199" t="str">
        <f>IFERROR(VLOOKUP(A199,polities_whep!$A$1:$G$199,2,0),"")</f>
        <v>Oceania Other</v>
      </c>
      <c r="C199">
        <v>237</v>
      </c>
      <c r="D199">
        <v>242</v>
      </c>
      <c r="E199" t="s">
        <v>678</v>
      </c>
      <c r="F199" t="e">
        <f>VLOOKUP(D199,FAO_areas!$A$2:$C$246,3,0)</f>
        <v>#N/A</v>
      </c>
      <c r="G199" t="s">
        <v>32</v>
      </c>
      <c r="H199" t="s">
        <v>679</v>
      </c>
      <c r="I199" t="s">
        <v>679</v>
      </c>
      <c r="K199">
        <v>999</v>
      </c>
      <c r="L199" t="s">
        <v>73</v>
      </c>
      <c r="M199" t="s">
        <v>98</v>
      </c>
      <c r="N199">
        <v>872</v>
      </c>
      <c r="O199">
        <v>16</v>
      </c>
      <c r="P199" t="s">
        <v>32</v>
      </c>
      <c r="Q199">
        <v>999</v>
      </c>
      <c r="R199" t="s">
        <v>1552</v>
      </c>
      <c r="S199" t="s">
        <v>63</v>
      </c>
      <c r="T199">
        <v>1</v>
      </c>
      <c r="U199" t="s">
        <v>679</v>
      </c>
      <c r="V199" t="s">
        <v>64</v>
      </c>
      <c r="W199" t="s">
        <v>65</v>
      </c>
      <c r="X199" s="2" t="s">
        <v>63</v>
      </c>
      <c r="Y199" s="2"/>
      <c r="Z199" s="2" t="s">
        <v>63</v>
      </c>
      <c r="AA199" s="2"/>
      <c r="AB199" s="2"/>
      <c r="AF199" t="s">
        <v>69</v>
      </c>
      <c r="AG199" t="s">
        <v>70</v>
      </c>
      <c r="AH199" t="s">
        <v>43</v>
      </c>
      <c r="AI199" t="str">
        <f t="shared" si="7"/>
        <v>Other</v>
      </c>
    </row>
    <row r="200" spans="1:35" x14ac:dyDescent="0.3">
      <c r="A200" t="s">
        <v>4770</v>
      </c>
      <c r="B200" t="str">
        <f>IFERROR(VLOOKUP(A200,polities_whep!$A$1:$G$199,2,0),"")</f>
        <v>Oceania Other</v>
      </c>
      <c r="C200">
        <v>238</v>
      </c>
      <c r="D200">
        <v>243</v>
      </c>
      <c r="E200" t="s">
        <v>680</v>
      </c>
      <c r="F200" t="e">
        <f>VLOOKUP(D200,FAO_areas!$A$2:$C$246,3,0)</f>
        <v>#N/A</v>
      </c>
      <c r="G200" t="s">
        <v>32</v>
      </c>
      <c r="H200" t="s">
        <v>681</v>
      </c>
      <c r="K200">
        <v>243</v>
      </c>
      <c r="L200" t="s">
        <v>681</v>
      </c>
      <c r="M200">
        <v>876</v>
      </c>
      <c r="N200">
        <v>876</v>
      </c>
      <c r="O200">
        <v>16</v>
      </c>
      <c r="P200" t="s">
        <v>32</v>
      </c>
      <c r="Q200">
        <v>999</v>
      </c>
      <c r="R200" t="s">
        <v>1552</v>
      </c>
      <c r="S200" t="s">
        <v>63</v>
      </c>
      <c r="T200">
        <v>1</v>
      </c>
      <c r="U200" t="s">
        <v>681</v>
      </c>
      <c r="V200" t="s">
        <v>64</v>
      </c>
      <c r="W200" t="s">
        <v>65</v>
      </c>
      <c r="X200" t="s">
        <v>63</v>
      </c>
      <c r="Y200" t="s">
        <v>66</v>
      </c>
      <c r="Z200" t="s">
        <v>63</v>
      </c>
      <c r="AA200" t="s">
        <v>39</v>
      </c>
      <c r="AB200" t="s">
        <v>67</v>
      </c>
      <c r="AC200" t="s">
        <v>68</v>
      </c>
      <c r="AD200" t="s">
        <v>40</v>
      </c>
      <c r="AE200" t="s">
        <v>41</v>
      </c>
      <c r="AF200" t="s">
        <v>69</v>
      </c>
      <c r="AG200" t="s">
        <v>70</v>
      </c>
      <c r="AH200" t="s">
        <v>53</v>
      </c>
      <c r="AI200" t="str">
        <f t="shared" si="7"/>
        <v>Other</v>
      </c>
    </row>
    <row r="201" spans="1:35" x14ac:dyDescent="0.3">
      <c r="A201" s="10" t="s">
        <v>4770</v>
      </c>
      <c r="B201" t="s">
        <v>4764</v>
      </c>
    </row>
    <row r="202" spans="1:35" x14ac:dyDescent="0.3">
      <c r="A202" t="str">
        <f>VLOOKUP(Q202,regions_fabio!$A$2:$C$192,3,0)</f>
        <v>OMN</v>
      </c>
      <c r="B202" t="str">
        <f>IFERROR(VLOOKUP(A202,polities_whep!$A$1:$G$199,2,0),"")</f>
        <v>Oman</v>
      </c>
      <c r="C202">
        <v>217</v>
      </c>
      <c r="D202">
        <v>221</v>
      </c>
      <c r="E202" t="s">
        <v>495</v>
      </c>
      <c r="F202" t="str">
        <f>VLOOKUP(D202,FAO_areas!$A$2:$C$246,3,0)</f>
        <v>Oman</v>
      </c>
      <c r="G202" t="s">
        <v>32</v>
      </c>
      <c r="H202" t="s">
        <v>496</v>
      </c>
      <c r="I202" t="s">
        <v>496</v>
      </c>
      <c r="J202" t="s">
        <v>496</v>
      </c>
      <c r="K202">
        <v>221</v>
      </c>
      <c r="L202" t="s">
        <v>496</v>
      </c>
      <c r="M202">
        <v>512</v>
      </c>
      <c r="N202">
        <v>512</v>
      </c>
      <c r="O202">
        <v>12</v>
      </c>
      <c r="P202" t="s">
        <v>34</v>
      </c>
      <c r="Q202">
        <v>221</v>
      </c>
      <c r="R202" t="s">
        <v>1552</v>
      </c>
      <c r="S202" t="s">
        <v>128</v>
      </c>
      <c r="T202">
        <v>1</v>
      </c>
      <c r="U202" t="s">
        <v>496</v>
      </c>
      <c r="V202" t="s">
        <v>57</v>
      </c>
      <c r="W202" t="s">
        <v>58</v>
      </c>
      <c r="X202" t="s">
        <v>59</v>
      </c>
      <c r="Y202" t="s">
        <v>110</v>
      </c>
      <c r="Z202" t="s">
        <v>38</v>
      </c>
      <c r="AA202" t="s">
        <v>129</v>
      </c>
      <c r="AB202" t="s">
        <v>129</v>
      </c>
      <c r="AC202" t="s">
        <v>129</v>
      </c>
      <c r="AD202" t="s">
        <v>40</v>
      </c>
      <c r="AE202" t="s">
        <v>41</v>
      </c>
      <c r="AF202" t="s">
        <v>110</v>
      </c>
      <c r="AG202" t="s">
        <v>59</v>
      </c>
      <c r="AH202" t="s">
        <v>43</v>
      </c>
      <c r="AI202" t="str">
        <f t="shared" ref="AI202:AI233" si="8">IF(Z202="Europe","Europe","Other")</f>
        <v>Other</v>
      </c>
    </row>
    <row r="203" spans="1:35" x14ac:dyDescent="0.3">
      <c r="A203" t="str">
        <f>VLOOKUP(Q203,regions_fabio!$A$2:$C$192,3,0)</f>
        <v>PAK</v>
      </c>
      <c r="B203" t="str">
        <f>IFERROR(VLOOKUP(A203,polities_whep!$A$1:$G$199,2,0),"")</f>
        <v>Pakistan</v>
      </c>
      <c r="C203">
        <v>162</v>
      </c>
      <c r="D203">
        <v>165</v>
      </c>
      <c r="E203" t="s">
        <v>501</v>
      </c>
      <c r="F203" t="str">
        <f>VLOOKUP(D203,FAO_areas!$A$2:$C$246,3,0)</f>
        <v>Pakistan</v>
      </c>
      <c r="G203" t="s">
        <v>32</v>
      </c>
      <c r="H203" t="s">
        <v>502</v>
      </c>
      <c r="I203" t="s">
        <v>502</v>
      </c>
      <c r="J203" t="s">
        <v>502</v>
      </c>
      <c r="K203">
        <v>165</v>
      </c>
      <c r="L203" t="s">
        <v>502</v>
      </c>
      <c r="M203">
        <v>586</v>
      </c>
      <c r="N203">
        <v>586</v>
      </c>
      <c r="O203">
        <v>13</v>
      </c>
      <c r="P203" t="s">
        <v>34</v>
      </c>
      <c r="Q203">
        <v>165</v>
      </c>
      <c r="R203" t="s">
        <v>1552</v>
      </c>
      <c r="S203" t="s">
        <v>35</v>
      </c>
      <c r="T203">
        <v>1</v>
      </c>
      <c r="U203" t="s">
        <v>502</v>
      </c>
      <c r="V203" t="s">
        <v>36</v>
      </c>
      <c r="W203" t="s">
        <v>37</v>
      </c>
      <c r="X203" t="s">
        <v>36</v>
      </c>
      <c r="Y203" t="s">
        <v>36</v>
      </c>
      <c r="Z203" t="s">
        <v>38</v>
      </c>
      <c r="AA203" t="s">
        <v>39</v>
      </c>
      <c r="AB203" t="s">
        <v>36</v>
      </c>
      <c r="AC203" t="s">
        <v>36</v>
      </c>
      <c r="AD203" t="s">
        <v>40</v>
      </c>
      <c r="AE203" t="s">
        <v>41</v>
      </c>
      <c r="AF203" t="s">
        <v>36</v>
      </c>
      <c r="AG203" t="s">
        <v>42</v>
      </c>
      <c r="AH203" t="s">
        <v>43</v>
      </c>
      <c r="AI203" t="str">
        <f t="shared" si="8"/>
        <v>Other</v>
      </c>
    </row>
    <row r="204" spans="1:35" x14ac:dyDescent="0.3">
      <c r="A204" t="s">
        <v>505</v>
      </c>
      <c r="B204" t="str">
        <f>IFERROR(VLOOKUP(A204,polities_whep!$A$1:$G$199,2,0),"")</f>
        <v>Palestine</v>
      </c>
      <c r="C204">
        <v>258</v>
      </c>
      <c r="D204">
        <v>299</v>
      </c>
      <c r="E204" t="s">
        <v>505</v>
      </c>
      <c r="F204" t="str">
        <f>VLOOKUP(D204,FAO_areas!$A$2:$C$246,3,0)</f>
        <v>Palestine</v>
      </c>
      <c r="G204" t="s">
        <v>32</v>
      </c>
      <c r="H204" t="s">
        <v>506</v>
      </c>
      <c r="I204" t="s">
        <v>507</v>
      </c>
      <c r="K204">
        <v>299</v>
      </c>
      <c r="L204" t="s">
        <v>508</v>
      </c>
      <c r="M204">
        <v>275</v>
      </c>
      <c r="N204">
        <v>275</v>
      </c>
      <c r="O204">
        <v>12</v>
      </c>
      <c r="P204" t="s">
        <v>32</v>
      </c>
      <c r="Q204">
        <v>999</v>
      </c>
      <c r="R204" t="s">
        <v>1552</v>
      </c>
      <c r="S204" t="s">
        <v>128</v>
      </c>
      <c r="T204">
        <v>1</v>
      </c>
      <c r="U204" t="s">
        <v>508</v>
      </c>
      <c r="V204" t="s">
        <v>57</v>
      </c>
      <c r="W204" t="s">
        <v>58</v>
      </c>
      <c r="X204" t="s">
        <v>59</v>
      </c>
      <c r="Y204" t="s">
        <v>110</v>
      </c>
      <c r="Z204" t="s">
        <v>38</v>
      </c>
      <c r="AA204" t="s">
        <v>129</v>
      </c>
      <c r="AB204" t="s">
        <v>129</v>
      </c>
      <c r="AC204" t="s">
        <v>129</v>
      </c>
      <c r="AD204" t="s">
        <v>40</v>
      </c>
      <c r="AE204" t="s">
        <v>41</v>
      </c>
      <c r="AF204" t="s">
        <v>110</v>
      </c>
      <c r="AG204" t="s">
        <v>59</v>
      </c>
      <c r="AH204" t="s">
        <v>43</v>
      </c>
      <c r="AI204" t="str">
        <f t="shared" si="8"/>
        <v>Other</v>
      </c>
    </row>
    <row r="205" spans="1:35" x14ac:dyDescent="0.3">
      <c r="A205" t="str">
        <f>VLOOKUP(Q205,regions_fabio!$A$2:$C$192,3,0)</f>
        <v>PAN</v>
      </c>
      <c r="B205" t="str">
        <f>IFERROR(VLOOKUP(A205,polities_whep!$A$1:$G$199,2,0),"")</f>
        <v>Panama</v>
      </c>
      <c r="C205">
        <v>163</v>
      </c>
      <c r="D205">
        <v>166</v>
      </c>
      <c r="E205" t="s">
        <v>509</v>
      </c>
      <c r="F205" t="str">
        <f>VLOOKUP(D205,FAO_areas!$A$2:$C$246,3,0)</f>
        <v>Panama</v>
      </c>
      <c r="G205" t="s">
        <v>32</v>
      </c>
      <c r="H205" t="s">
        <v>510</v>
      </c>
      <c r="I205" t="s">
        <v>510</v>
      </c>
      <c r="J205" t="s">
        <v>510</v>
      </c>
      <c r="K205">
        <v>166</v>
      </c>
      <c r="L205" t="s">
        <v>510</v>
      </c>
      <c r="M205">
        <v>591</v>
      </c>
      <c r="N205">
        <v>591</v>
      </c>
      <c r="O205">
        <v>3</v>
      </c>
      <c r="P205" t="s">
        <v>34</v>
      </c>
      <c r="Q205">
        <v>166</v>
      </c>
      <c r="R205" t="s">
        <v>1552</v>
      </c>
      <c r="S205" t="s">
        <v>89</v>
      </c>
      <c r="T205">
        <v>1</v>
      </c>
      <c r="U205" t="s">
        <v>510</v>
      </c>
      <c r="V205" t="s">
        <v>90</v>
      </c>
      <c r="W205" t="s">
        <v>91</v>
      </c>
      <c r="X205" t="s">
        <v>92</v>
      </c>
      <c r="Y205" t="s">
        <v>90</v>
      </c>
      <c r="Z205" t="s">
        <v>93</v>
      </c>
      <c r="AA205" t="s">
        <v>93</v>
      </c>
      <c r="AB205" t="s">
        <v>90</v>
      </c>
      <c r="AC205" t="s">
        <v>89</v>
      </c>
      <c r="AD205" t="s">
        <v>40</v>
      </c>
      <c r="AE205" t="s">
        <v>41</v>
      </c>
      <c r="AF205" t="s">
        <v>95</v>
      </c>
      <c r="AG205" t="s">
        <v>92</v>
      </c>
      <c r="AH205" t="s">
        <v>43</v>
      </c>
      <c r="AI205" t="str">
        <f t="shared" si="8"/>
        <v>Other</v>
      </c>
    </row>
    <row r="206" spans="1:35" x14ac:dyDescent="0.3">
      <c r="A206" t="str">
        <f>VLOOKUP(Q206,regions_fabio!$A$2:$C$192,3,0)</f>
        <v>PNG</v>
      </c>
      <c r="B206" t="str">
        <f>IFERROR(VLOOKUP(A206,polities_whep!$A$1:$G$199,2,0),"")</f>
        <v>Papua New Guinea</v>
      </c>
      <c r="C206">
        <v>165</v>
      </c>
      <c r="D206">
        <v>168</v>
      </c>
      <c r="E206" t="s">
        <v>511</v>
      </c>
      <c r="F206" t="str">
        <f>VLOOKUP(D206,FAO_areas!$A$2:$C$246,3,0)</f>
        <v>Papua New Guinea</v>
      </c>
      <c r="G206" t="s">
        <v>32</v>
      </c>
      <c r="H206" t="s">
        <v>512</v>
      </c>
      <c r="I206" t="s">
        <v>512</v>
      </c>
      <c r="K206">
        <v>168</v>
      </c>
      <c r="L206" t="s">
        <v>512</v>
      </c>
      <c r="M206">
        <v>598</v>
      </c>
      <c r="N206">
        <v>598</v>
      </c>
      <c r="O206">
        <v>16</v>
      </c>
      <c r="P206" t="s">
        <v>34</v>
      </c>
      <c r="Q206">
        <v>168</v>
      </c>
      <c r="R206" t="s">
        <v>1552</v>
      </c>
      <c r="S206" t="s">
        <v>63</v>
      </c>
      <c r="T206">
        <v>1</v>
      </c>
      <c r="U206" t="s">
        <v>512</v>
      </c>
      <c r="V206" t="s">
        <v>64</v>
      </c>
      <c r="W206" t="s">
        <v>65</v>
      </c>
      <c r="X206" t="s">
        <v>63</v>
      </c>
      <c r="Y206" t="s">
        <v>288</v>
      </c>
      <c r="Z206" t="s">
        <v>63</v>
      </c>
      <c r="AA206" t="s">
        <v>39</v>
      </c>
      <c r="AB206" t="s">
        <v>67</v>
      </c>
      <c r="AC206" t="s">
        <v>68</v>
      </c>
      <c r="AD206" t="s">
        <v>40</v>
      </c>
      <c r="AE206" t="s">
        <v>41</v>
      </c>
      <c r="AF206" t="s">
        <v>69</v>
      </c>
      <c r="AG206" t="s">
        <v>70</v>
      </c>
      <c r="AH206" t="s">
        <v>43</v>
      </c>
      <c r="AI206" t="str">
        <f t="shared" si="8"/>
        <v>Other</v>
      </c>
    </row>
    <row r="207" spans="1:35" x14ac:dyDescent="0.3">
      <c r="A207" t="str">
        <f>VLOOKUP(Q207,regions_fabio!$A$2:$C$192,3,0)</f>
        <v>PRY</v>
      </c>
      <c r="B207" t="str">
        <f>IFERROR(VLOOKUP(A207,polities_whep!$A$1:$G$199,2,0),"")</f>
        <v>Paraguay</v>
      </c>
      <c r="C207">
        <v>166</v>
      </c>
      <c r="D207">
        <v>169</v>
      </c>
      <c r="E207" t="s">
        <v>513</v>
      </c>
      <c r="F207" t="str">
        <f>VLOOKUP(D207,FAO_areas!$A$2:$C$246,3,0)</f>
        <v>Paraguay</v>
      </c>
      <c r="G207" t="s">
        <v>32</v>
      </c>
      <c r="H207" t="s">
        <v>514</v>
      </c>
      <c r="I207" t="s">
        <v>514</v>
      </c>
      <c r="J207" t="s">
        <v>514</v>
      </c>
      <c r="K207">
        <v>169</v>
      </c>
      <c r="L207" t="s">
        <v>514</v>
      </c>
      <c r="M207">
        <v>600</v>
      </c>
      <c r="N207">
        <v>600</v>
      </c>
      <c r="O207">
        <v>4</v>
      </c>
      <c r="P207" t="s">
        <v>34</v>
      </c>
      <c r="Q207">
        <v>169</v>
      </c>
      <c r="R207" t="s">
        <v>1552</v>
      </c>
      <c r="S207" t="s">
        <v>103</v>
      </c>
      <c r="T207">
        <v>1</v>
      </c>
      <c r="U207" t="s">
        <v>514</v>
      </c>
      <c r="V207" t="s">
        <v>90</v>
      </c>
      <c r="W207" t="s">
        <v>91</v>
      </c>
      <c r="X207" t="s">
        <v>92</v>
      </c>
      <c r="Y207" t="s">
        <v>90</v>
      </c>
      <c r="Z207" t="s">
        <v>93</v>
      </c>
      <c r="AA207" t="s">
        <v>93</v>
      </c>
      <c r="AB207" t="s">
        <v>90</v>
      </c>
      <c r="AC207" t="s">
        <v>103</v>
      </c>
      <c r="AD207" t="s">
        <v>40</v>
      </c>
      <c r="AE207" t="s">
        <v>41</v>
      </c>
      <c r="AF207" t="s">
        <v>104</v>
      </c>
      <c r="AG207" t="s">
        <v>92</v>
      </c>
      <c r="AH207" t="s">
        <v>43</v>
      </c>
      <c r="AI207" t="str">
        <f t="shared" si="8"/>
        <v>Other</v>
      </c>
    </row>
    <row r="208" spans="1:35" x14ac:dyDescent="0.3">
      <c r="A208" t="str">
        <f>VLOOKUP(Q208,regions_fabio!$A$2:$C$192,3,0)</f>
        <v>PER</v>
      </c>
      <c r="B208" t="str">
        <f>IFERROR(VLOOKUP(A208,polities_whep!$A$1:$G$199,2,0),"")</f>
        <v>Peru</v>
      </c>
      <c r="C208">
        <v>167</v>
      </c>
      <c r="D208">
        <v>170</v>
      </c>
      <c r="E208" t="s">
        <v>515</v>
      </c>
      <c r="F208" t="str">
        <f>VLOOKUP(D208,FAO_areas!$A$2:$C$246,3,0)</f>
        <v>Peru</v>
      </c>
      <c r="G208" t="s">
        <v>32</v>
      </c>
      <c r="H208" t="s">
        <v>516</v>
      </c>
      <c r="I208" t="s">
        <v>516</v>
      </c>
      <c r="J208" t="s">
        <v>516</v>
      </c>
      <c r="K208">
        <v>170</v>
      </c>
      <c r="L208" t="s">
        <v>516</v>
      </c>
      <c r="M208">
        <v>604</v>
      </c>
      <c r="N208">
        <v>604</v>
      </c>
      <c r="O208">
        <v>4</v>
      </c>
      <c r="P208" t="s">
        <v>34</v>
      </c>
      <c r="Q208">
        <v>170</v>
      </c>
      <c r="R208" t="s">
        <v>1552</v>
      </c>
      <c r="S208" t="s">
        <v>103</v>
      </c>
      <c r="T208">
        <v>1</v>
      </c>
      <c r="U208" t="s">
        <v>516</v>
      </c>
      <c r="V208" t="s">
        <v>90</v>
      </c>
      <c r="W208" t="s">
        <v>91</v>
      </c>
      <c r="X208" t="s">
        <v>92</v>
      </c>
      <c r="Y208" t="s">
        <v>90</v>
      </c>
      <c r="Z208" t="s">
        <v>93</v>
      </c>
      <c r="AA208" t="s">
        <v>93</v>
      </c>
      <c r="AB208" t="s">
        <v>90</v>
      </c>
      <c r="AC208" t="s">
        <v>103</v>
      </c>
      <c r="AD208" t="s">
        <v>40</v>
      </c>
      <c r="AE208" t="s">
        <v>41</v>
      </c>
      <c r="AF208" t="s">
        <v>155</v>
      </c>
      <c r="AG208" t="s">
        <v>92</v>
      </c>
      <c r="AH208" t="s">
        <v>43</v>
      </c>
      <c r="AI208" t="str">
        <f t="shared" si="8"/>
        <v>Other</v>
      </c>
    </row>
    <row r="209" spans="1:35" x14ac:dyDescent="0.3">
      <c r="A209" t="str">
        <f>VLOOKUP(Q209,regions_fabio!$A$2:$C$192,3,0)</f>
        <v>PHL</v>
      </c>
      <c r="B209" t="str">
        <f>IFERROR(VLOOKUP(A209,polities_whep!$A$1:$G$199,2,0),"")</f>
        <v>Philippines</v>
      </c>
      <c r="C209">
        <v>168</v>
      </c>
      <c r="D209">
        <v>171</v>
      </c>
      <c r="E209" t="s">
        <v>517</v>
      </c>
      <c r="F209" t="str">
        <f>VLOOKUP(D209,FAO_areas!$A$2:$C$246,3,0)</f>
        <v>Philippines</v>
      </c>
      <c r="G209" t="s">
        <v>32</v>
      </c>
      <c r="H209" t="s">
        <v>518</v>
      </c>
      <c r="I209" t="s">
        <v>518</v>
      </c>
      <c r="J209" t="s">
        <v>518</v>
      </c>
      <c r="K209">
        <v>171</v>
      </c>
      <c r="L209" t="s">
        <v>518</v>
      </c>
      <c r="M209">
        <v>608</v>
      </c>
      <c r="N209">
        <v>608</v>
      </c>
      <c r="O209">
        <v>15</v>
      </c>
      <c r="P209" t="s">
        <v>34</v>
      </c>
      <c r="Q209">
        <v>171</v>
      </c>
      <c r="R209" t="s">
        <v>1552</v>
      </c>
      <c r="S209" t="s">
        <v>172</v>
      </c>
      <c r="T209">
        <v>1</v>
      </c>
      <c r="U209" t="s">
        <v>518</v>
      </c>
      <c r="V209" t="s">
        <v>173</v>
      </c>
      <c r="W209" t="s">
        <v>37</v>
      </c>
      <c r="X209" t="s">
        <v>174</v>
      </c>
      <c r="Y209" t="s">
        <v>175</v>
      </c>
      <c r="Z209" t="s">
        <v>38</v>
      </c>
      <c r="AA209" t="s">
        <v>39</v>
      </c>
      <c r="AB209" t="s">
        <v>67</v>
      </c>
      <c r="AC209" t="s">
        <v>176</v>
      </c>
      <c r="AD209" t="s">
        <v>40</v>
      </c>
      <c r="AE209" t="s">
        <v>41</v>
      </c>
      <c r="AF209" t="s">
        <v>175</v>
      </c>
      <c r="AG209" t="s">
        <v>42</v>
      </c>
      <c r="AH209" t="s">
        <v>43</v>
      </c>
      <c r="AI209" t="str">
        <f t="shared" si="8"/>
        <v>Other</v>
      </c>
    </row>
    <row r="210" spans="1:35" x14ac:dyDescent="0.3">
      <c r="A210" t="str">
        <f>VLOOKUP(Q210,regions_fabio!$A$2:$C$192,3,0)</f>
        <v>POL</v>
      </c>
      <c r="B210" t="str">
        <f>IFERROR(VLOOKUP(A210,polities_whep!$A$1:$G$199,2,0),"")</f>
        <v>Poland</v>
      </c>
      <c r="C210">
        <v>170</v>
      </c>
      <c r="D210">
        <v>173</v>
      </c>
      <c r="E210" t="s">
        <v>521</v>
      </c>
      <c r="F210" t="str">
        <f>VLOOKUP(D210,FAO_areas!$A$2:$C$246,3,0)</f>
        <v>Poland</v>
      </c>
      <c r="G210" t="s">
        <v>34</v>
      </c>
      <c r="H210" t="s">
        <v>522</v>
      </c>
      <c r="I210" t="s">
        <v>522</v>
      </c>
      <c r="J210" t="s">
        <v>522</v>
      </c>
      <c r="K210">
        <v>173</v>
      </c>
      <c r="L210" t="s">
        <v>522</v>
      </c>
      <c r="M210">
        <v>616</v>
      </c>
      <c r="N210">
        <v>616</v>
      </c>
      <c r="O210">
        <v>10</v>
      </c>
      <c r="P210" t="s">
        <v>34</v>
      </c>
      <c r="Q210">
        <v>173</v>
      </c>
      <c r="R210" t="s">
        <v>5058</v>
      </c>
      <c r="S210" t="s">
        <v>46</v>
      </c>
      <c r="T210">
        <v>1</v>
      </c>
      <c r="U210" t="s">
        <v>522</v>
      </c>
      <c r="V210" t="s">
        <v>47</v>
      </c>
      <c r="W210" t="s">
        <v>48</v>
      </c>
      <c r="X210" t="s">
        <v>49</v>
      </c>
      <c r="Y210" t="s">
        <v>46</v>
      </c>
      <c r="Z210" t="s">
        <v>49</v>
      </c>
      <c r="AA210" t="s">
        <v>51</v>
      </c>
      <c r="AB210" t="s">
        <v>46</v>
      </c>
      <c r="AC210" t="s">
        <v>46</v>
      </c>
      <c r="AD210" t="s">
        <v>117</v>
      </c>
      <c r="AE210" t="s">
        <v>118</v>
      </c>
      <c r="AF210" t="s">
        <v>46</v>
      </c>
      <c r="AG210" t="s">
        <v>49</v>
      </c>
      <c r="AH210" t="s">
        <v>53</v>
      </c>
      <c r="AI210" t="str">
        <f t="shared" si="8"/>
        <v>Europe</v>
      </c>
    </row>
    <row r="211" spans="1:35" x14ac:dyDescent="0.3">
      <c r="A211" t="str">
        <f>VLOOKUP(Q211,regions_fabio!$A$2:$C$192,3,0)</f>
        <v>PRT</v>
      </c>
      <c r="B211" t="str">
        <f>IFERROR(VLOOKUP(A211,polities_whep!$A$1:$G$199,2,0),"")</f>
        <v>Portugal</v>
      </c>
      <c r="C211">
        <v>171</v>
      </c>
      <c r="D211">
        <v>174</v>
      </c>
      <c r="E211" t="s">
        <v>523</v>
      </c>
      <c r="F211" t="str">
        <f>VLOOKUP(D211,FAO_areas!$A$2:$C$246,3,0)</f>
        <v>Portugal</v>
      </c>
      <c r="G211" t="s">
        <v>34</v>
      </c>
      <c r="H211" t="s">
        <v>524</v>
      </c>
      <c r="I211" t="s">
        <v>524</v>
      </c>
      <c r="J211" t="s">
        <v>524</v>
      </c>
      <c r="K211">
        <v>174</v>
      </c>
      <c r="L211" t="s">
        <v>524</v>
      </c>
      <c r="M211">
        <v>620</v>
      </c>
      <c r="N211">
        <v>620</v>
      </c>
      <c r="O211">
        <v>9</v>
      </c>
      <c r="P211" t="s">
        <v>34</v>
      </c>
      <c r="Q211">
        <v>174</v>
      </c>
      <c r="R211" t="s">
        <v>5059</v>
      </c>
      <c r="S211" t="s">
        <v>74</v>
      </c>
      <c r="T211">
        <v>1</v>
      </c>
      <c r="U211" t="s">
        <v>524</v>
      </c>
      <c r="V211" t="s">
        <v>75</v>
      </c>
      <c r="W211" t="s">
        <v>76</v>
      </c>
      <c r="X211" t="s">
        <v>49</v>
      </c>
      <c r="Y211" t="s">
        <v>50</v>
      </c>
      <c r="Z211" t="s">
        <v>49</v>
      </c>
      <c r="AA211" t="s">
        <v>51</v>
      </c>
      <c r="AB211" t="s">
        <v>52</v>
      </c>
      <c r="AC211" t="s">
        <v>50</v>
      </c>
      <c r="AD211" t="s">
        <v>117</v>
      </c>
      <c r="AE211" t="s">
        <v>118</v>
      </c>
      <c r="AF211" t="s">
        <v>50</v>
      </c>
      <c r="AG211" t="s">
        <v>49</v>
      </c>
      <c r="AH211" t="s">
        <v>53</v>
      </c>
      <c r="AI211" t="str">
        <f t="shared" si="8"/>
        <v>Europe</v>
      </c>
    </row>
    <row r="212" spans="1:35" x14ac:dyDescent="0.3">
      <c r="A212" t="str">
        <f>VLOOKUP(Q212,regions_fabio!$A$2:$C$192,3,0)</f>
        <v>PRI</v>
      </c>
      <c r="B212" t="str">
        <f>IFERROR(VLOOKUP(A212,polities_whep!$A$1:$G$199,2,0),"")</f>
        <v>Puerto Rico</v>
      </c>
      <c r="C212">
        <v>174</v>
      </c>
      <c r="D212">
        <v>177</v>
      </c>
      <c r="E212" t="s">
        <v>525</v>
      </c>
      <c r="F212" t="str">
        <f>VLOOKUP(D212,FAO_areas!$A$2:$C$246,3,0)</f>
        <v>Puerto Rico</v>
      </c>
      <c r="G212" t="s">
        <v>32</v>
      </c>
      <c r="H212" t="s">
        <v>526</v>
      </c>
      <c r="I212" t="s">
        <v>526</v>
      </c>
      <c r="K212">
        <v>177</v>
      </c>
      <c r="L212" t="s">
        <v>526</v>
      </c>
      <c r="M212" t="s">
        <v>98</v>
      </c>
      <c r="N212">
        <v>630</v>
      </c>
      <c r="O212">
        <v>3</v>
      </c>
      <c r="P212" t="s">
        <v>34</v>
      </c>
      <c r="Q212">
        <v>177</v>
      </c>
      <c r="R212" t="s">
        <v>1552</v>
      </c>
      <c r="S212" t="s">
        <v>89</v>
      </c>
      <c r="T212">
        <v>1</v>
      </c>
      <c r="U212" t="s">
        <v>526</v>
      </c>
      <c r="V212" t="s">
        <v>90</v>
      </c>
      <c r="W212" t="s">
        <v>91</v>
      </c>
      <c r="X212" t="s">
        <v>92</v>
      </c>
      <c r="Y212" t="s">
        <v>90</v>
      </c>
      <c r="Z212" t="s">
        <v>93</v>
      </c>
      <c r="AA212" t="s">
        <v>93</v>
      </c>
      <c r="AB212" t="s">
        <v>90</v>
      </c>
      <c r="AC212" t="s">
        <v>94</v>
      </c>
      <c r="AD212" t="s">
        <v>40</v>
      </c>
      <c r="AE212" t="s">
        <v>41</v>
      </c>
      <c r="AF212" t="s">
        <v>95</v>
      </c>
      <c r="AG212" t="s">
        <v>92</v>
      </c>
      <c r="AH212" t="s">
        <v>43</v>
      </c>
      <c r="AI212" t="str">
        <f t="shared" si="8"/>
        <v>Other</v>
      </c>
    </row>
    <row r="213" spans="1:35" x14ac:dyDescent="0.3">
      <c r="A213" t="str">
        <f>VLOOKUP(Q213,regions_fabio!$A$2:$C$192,3,0)</f>
        <v>QAT</v>
      </c>
      <c r="B213" t="str">
        <f>IFERROR(VLOOKUP(A213,polities_whep!$A$1:$G$199,2,0),"")</f>
        <v>Qatar</v>
      </c>
      <c r="C213">
        <v>176</v>
      </c>
      <c r="D213">
        <v>179</v>
      </c>
      <c r="E213" t="s">
        <v>527</v>
      </c>
      <c r="F213" t="str">
        <f>VLOOKUP(D213,FAO_areas!$A$2:$C$246,3,0)</f>
        <v>Qatar</v>
      </c>
      <c r="G213" t="s">
        <v>32</v>
      </c>
      <c r="H213" t="s">
        <v>528</v>
      </c>
      <c r="I213" t="s">
        <v>528</v>
      </c>
      <c r="J213" t="s">
        <v>528</v>
      </c>
      <c r="K213">
        <v>179</v>
      </c>
      <c r="L213" t="s">
        <v>528</v>
      </c>
      <c r="M213">
        <v>634</v>
      </c>
      <c r="N213">
        <v>634</v>
      </c>
      <c r="O213">
        <v>12</v>
      </c>
      <c r="P213" t="s">
        <v>34</v>
      </c>
      <c r="Q213">
        <v>179</v>
      </c>
      <c r="R213" t="s">
        <v>1552</v>
      </c>
      <c r="S213" t="s">
        <v>128</v>
      </c>
      <c r="T213">
        <v>1</v>
      </c>
      <c r="U213" t="s">
        <v>528</v>
      </c>
      <c r="V213" t="s">
        <v>57</v>
      </c>
      <c r="W213" t="s">
        <v>58</v>
      </c>
      <c r="X213" t="s">
        <v>59</v>
      </c>
      <c r="Y213" t="s">
        <v>110</v>
      </c>
      <c r="Z213" t="s">
        <v>38</v>
      </c>
      <c r="AA213" t="s">
        <v>129</v>
      </c>
      <c r="AB213" t="s">
        <v>129</v>
      </c>
      <c r="AC213" t="s">
        <v>129</v>
      </c>
      <c r="AD213" t="s">
        <v>40</v>
      </c>
      <c r="AE213" t="s">
        <v>41</v>
      </c>
      <c r="AF213" t="s">
        <v>110</v>
      </c>
      <c r="AG213" t="s">
        <v>59</v>
      </c>
      <c r="AH213" t="s">
        <v>43</v>
      </c>
      <c r="AI213" t="str">
        <f t="shared" si="8"/>
        <v>Other</v>
      </c>
    </row>
    <row r="214" spans="1:35" x14ac:dyDescent="0.3">
      <c r="A214" t="str">
        <f>VLOOKUP(Q214,regions_fabio!$A$2:$C$192,3,0)</f>
        <v>KOR</v>
      </c>
      <c r="B214" t="str">
        <f>IFERROR(VLOOKUP(A214,polities_whep!$A$1:$G$199,2,0),"")</f>
        <v>Republic of Korea</v>
      </c>
      <c r="C214">
        <v>114</v>
      </c>
      <c r="D214">
        <v>117</v>
      </c>
      <c r="E214" t="s">
        <v>589</v>
      </c>
      <c r="F214" t="str">
        <f>VLOOKUP(D214,FAO_areas!$A$2:$C$246,3,0)</f>
        <v>Republic of Korea</v>
      </c>
      <c r="G214" t="s">
        <v>32</v>
      </c>
      <c r="H214" t="s">
        <v>590</v>
      </c>
      <c r="I214" t="s">
        <v>591</v>
      </c>
      <c r="J214" t="s">
        <v>592</v>
      </c>
      <c r="K214">
        <v>117</v>
      </c>
      <c r="L214" t="s">
        <v>593</v>
      </c>
      <c r="M214">
        <v>410</v>
      </c>
      <c r="N214">
        <v>410</v>
      </c>
      <c r="O214">
        <v>14</v>
      </c>
      <c r="P214" t="s">
        <v>34</v>
      </c>
      <c r="Q214">
        <v>117</v>
      </c>
      <c r="R214" t="s">
        <v>1552</v>
      </c>
      <c r="S214" t="s">
        <v>204</v>
      </c>
      <c r="T214">
        <v>1</v>
      </c>
      <c r="U214" t="s">
        <v>594</v>
      </c>
      <c r="V214" t="s">
        <v>205</v>
      </c>
      <c r="W214" t="s">
        <v>204</v>
      </c>
      <c r="X214" t="s">
        <v>174</v>
      </c>
      <c r="Y214" t="s">
        <v>205</v>
      </c>
      <c r="Z214" t="s">
        <v>38</v>
      </c>
      <c r="AA214" t="s">
        <v>39</v>
      </c>
      <c r="AB214" t="s">
        <v>205</v>
      </c>
      <c r="AC214" t="s">
        <v>205</v>
      </c>
      <c r="AD214" t="s">
        <v>117</v>
      </c>
      <c r="AE214" t="s">
        <v>41</v>
      </c>
      <c r="AF214" t="s">
        <v>205</v>
      </c>
      <c r="AG214" t="s">
        <v>42</v>
      </c>
      <c r="AH214" t="s">
        <v>43</v>
      </c>
      <c r="AI214" t="str">
        <f t="shared" si="8"/>
        <v>Other</v>
      </c>
    </row>
    <row r="215" spans="1:35" x14ac:dyDescent="0.3">
      <c r="A215" t="str">
        <f>VLOOKUP(Q215,regions_fabio!$A$2:$C$192,3,0)</f>
        <v>MDA</v>
      </c>
      <c r="B215" t="str">
        <f>IFERROR(VLOOKUP(A215,polities_whep!$A$1:$G$199,2,0),"")</f>
        <v>Republic of Moldova</v>
      </c>
      <c r="C215">
        <v>143</v>
      </c>
      <c r="D215">
        <v>146</v>
      </c>
      <c r="E215" t="s">
        <v>434</v>
      </c>
      <c r="F215" t="str">
        <f>VLOOKUP(D215,FAO_areas!$A$2:$C$246,3,0)</f>
        <v>Republic of Moldova</v>
      </c>
      <c r="G215" t="s">
        <v>32</v>
      </c>
      <c r="H215" t="s">
        <v>435</v>
      </c>
      <c r="I215" t="s">
        <v>435</v>
      </c>
      <c r="J215" t="s">
        <v>436</v>
      </c>
      <c r="K215">
        <v>146</v>
      </c>
      <c r="L215" t="s">
        <v>435</v>
      </c>
      <c r="M215">
        <v>498</v>
      </c>
      <c r="N215">
        <v>498</v>
      </c>
      <c r="O215">
        <v>11</v>
      </c>
      <c r="P215" t="s">
        <v>34</v>
      </c>
      <c r="Q215">
        <v>146</v>
      </c>
      <c r="R215" t="s">
        <v>1552</v>
      </c>
      <c r="S215" t="s">
        <v>107</v>
      </c>
      <c r="T215">
        <v>1</v>
      </c>
      <c r="U215" t="s">
        <v>435</v>
      </c>
      <c r="V215" t="s">
        <v>47</v>
      </c>
      <c r="W215" t="s">
        <v>48</v>
      </c>
      <c r="X215" t="s">
        <v>49</v>
      </c>
      <c r="Y215" t="s">
        <v>46</v>
      </c>
      <c r="Z215" t="s">
        <v>49</v>
      </c>
      <c r="AA215" t="s">
        <v>51</v>
      </c>
      <c r="AB215" t="s">
        <v>46</v>
      </c>
      <c r="AC215" t="s">
        <v>46</v>
      </c>
      <c r="AD215" t="s">
        <v>40</v>
      </c>
      <c r="AE215" t="s">
        <v>41</v>
      </c>
      <c r="AF215" t="s">
        <v>112</v>
      </c>
      <c r="AG215" t="s">
        <v>112</v>
      </c>
      <c r="AH215" t="s">
        <v>53</v>
      </c>
      <c r="AI215" t="str">
        <f t="shared" si="8"/>
        <v>Europe</v>
      </c>
    </row>
    <row r="216" spans="1:35" x14ac:dyDescent="0.3">
      <c r="A216" t="str">
        <f>VLOOKUP(Q216,regions_fabio!$A$2:$C$192,3,0)</f>
        <v>ROU</v>
      </c>
      <c r="B216" t="str">
        <f>IFERROR(VLOOKUP(A216,polities_whep!$A$1:$G$199,2,0),"")</f>
        <v>Romania</v>
      </c>
      <c r="C216">
        <v>180</v>
      </c>
      <c r="D216">
        <v>183</v>
      </c>
      <c r="E216" t="s">
        <v>531</v>
      </c>
      <c r="F216" t="str">
        <f>VLOOKUP(D216,FAO_areas!$A$2:$C$246,3,0)</f>
        <v>Romania</v>
      </c>
      <c r="G216" t="s">
        <v>34</v>
      </c>
      <c r="H216" t="s">
        <v>532</v>
      </c>
      <c r="I216" t="s">
        <v>532</v>
      </c>
      <c r="J216" t="s">
        <v>532</v>
      </c>
      <c r="K216">
        <v>183</v>
      </c>
      <c r="L216" t="s">
        <v>532</v>
      </c>
      <c r="M216">
        <v>642</v>
      </c>
      <c r="N216">
        <v>642</v>
      </c>
      <c r="O216">
        <v>10</v>
      </c>
      <c r="P216" t="s">
        <v>34</v>
      </c>
      <c r="Q216">
        <v>183</v>
      </c>
      <c r="R216" t="s">
        <v>5060</v>
      </c>
      <c r="S216" t="s">
        <v>46</v>
      </c>
      <c r="T216">
        <v>1</v>
      </c>
      <c r="U216" t="s">
        <v>532</v>
      </c>
      <c r="V216" t="s">
        <v>47</v>
      </c>
      <c r="W216" t="s">
        <v>48</v>
      </c>
      <c r="X216" t="s">
        <v>49</v>
      </c>
      <c r="Y216" t="s">
        <v>46</v>
      </c>
      <c r="Z216" t="s">
        <v>49</v>
      </c>
      <c r="AA216" t="s">
        <v>51</v>
      </c>
      <c r="AB216" t="s">
        <v>46</v>
      </c>
      <c r="AC216" t="s">
        <v>46</v>
      </c>
      <c r="AD216" t="s">
        <v>40</v>
      </c>
      <c r="AE216" t="s">
        <v>118</v>
      </c>
      <c r="AF216" t="s">
        <v>46</v>
      </c>
      <c r="AG216" t="s">
        <v>49</v>
      </c>
      <c r="AH216" t="s">
        <v>53</v>
      </c>
      <c r="AI216" t="str">
        <f t="shared" si="8"/>
        <v>Europe</v>
      </c>
    </row>
    <row r="217" spans="1:35" x14ac:dyDescent="0.3">
      <c r="A217" t="str">
        <f>VLOOKUP(Q217,regions_fabio!$A$2:$C$192,3,0)</f>
        <v>RUS</v>
      </c>
      <c r="B217" t="str">
        <f>IFERROR(VLOOKUP(A217,polities_whep!$A$1:$G$199,2,0),"")</f>
        <v>Russian Federation</v>
      </c>
      <c r="C217">
        <v>182</v>
      </c>
      <c r="D217">
        <v>185</v>
      </c>
      <c r="E217" t="s">
        <v>535</v>
      </c>
      <c r="F217" t="str">
        <f>VLOOKUP(D217,FAO_areas!$A$2:$C$246,3,0)</f>
        <v>Russian Federation</v>
      </c>
      <c r="G217" t="s">
        <v>32</v>
      </c>
      <c r="H217" t="s">
        <v>536</v>
      </c>
      <c r="I217" t="s">
        <v>537</v>
      </c>
      <c r="J217" t="s">
        <v>537</v>
      </c>
      <c r="K217">
        <v>185</v>
      </c>
      <c r="L217" t="s">
        <v>536</v>
      </c>
      <c r="M217">
        <v>643</v>
      </c>
      <c r="N217">
        <v>643</v>
      </c>
      <c r="O217">
        <v>11</v>
      </c>
      <c r="P217" t="s">
        <v>34</v>
      </c>
      <c r="Q217">
        <v>185</v>
      </c>
      <c r="R217" t="s">
        <v>1552</v>
      </c>
      <c r="S217" t="s">
        <v>107</v>
      </c>
      <c r="T217">
        <v>1</v>
      </c>
      <c r="U217" t="s">
        <v>536</v>
      </c>
      <c r="V217" t="s">
        <v>108</v>
      </c>
      <c r="W217" t="s">
        <v>37</v>
      </c>
      <c r="X217" t="s">
        <v>109</v>
      </c>
      <c r="Y217" t="s">
        <v>46</v>
      </c>
      <c r="Z217" t="s">
        <v>49</v>
      </c>
      <c r="AA217" t="s">
        <v>51</v>
      </c>
      <c r="AB217" t="s">
        <v>46</v>
      </c>
      <c r="AC217" t="s">
        <v>46</v>
      </c>
      <c r="AD217" t="s">
        <v>40</v>
      </c>
      <c r="AE217" t="s">
        <v>118</v>
      </c>
      <c r="AF217" t="s">
        <v>112</v>
      </c>
      <c r="AG217" t="s">
        <v>112</v>
      </c>
      <c r="AH217" t="s">
        <v>53</v>
      </c>
      <c r="AI217" t="str">
        <f t="shared" si="8"/>
        <v>Europe</v>
      </c>
    </row>
    <row r="218" spans="1:35" x14ac:dyDescent="0.3">
      <c r="A218" t="str">
        <f>VLOOKUP(Q218,regions_fabio!$A$2:$C$192,3,0)</f>
        <v>RWA</v>
      </c>
      <c r="B218" t="str">
        <f>IFERROR(VLOOKUP(A218,polities_whep!$A$1:$G$199,2,0),"")</f>
        <v>Rwanda</v>
      </c>
      <c r="C218">
        <v>181</v>
      </c>
      <c r="D218">
        <v>184</v>
      </c>
      <c r="E218" t="s">
        <v>538</v>
      </c>
      <c r="F218" t="str">
        <f>VLOOKUP(D218,FAO_areas!$A$2:$C$246,3,0)</f>
        <v>Rwanda</v>
      </c>
      <c r="G218" t="s">
        <v>32</v>
      </c>
      <c r="H218" t="s">
        <v>539</v>
      </c>
      <c r="I218" t="s">
        <v>539</v>
      </c>
      <c r="K218">
        <v>184</v>
      </c>
      <c r="L218" t="s">
        <v>539</v>
      </c>
      <c r="M218">
        <v>646</v>
      </c>
      <c r="N218">
        <v>646</v>
      </c>
      <c r="O218">
        <v>7</v>
      </c>
      <c r="P218" t="s">
        <v>34</v>
      </c>
      <c r="Q218">
        <v>184</v>
      </c>
      <c r="R218" t="s">
        <v>1552</v>
      </c>
      <c r="S218" t="s">
        <v>183</v>
      </c>
      <c r="T218">
        <v>1</v>
      </c>
      <c r="U218" t="s">
        <v>539</v>
      </c>
      <c r="V218" t="s">
        <v>80</v>
      </c>
      <c r="W218" t="s">
        <v>81</v>
      </c>
      <c r="X218" t="s">
        <v>82</v>
      </c>
      <c r="Y218" t="s">
        <v>83</v>
      </c>
      <c r="Z218" t="s">
        <v>60</v>
      </c>
      <c r="AA218" t="s">
        <v>60</v>
      </c>
      <c r="AB218" t="s">
        <v>83</v>
      </c>
      <c r="AC218" t="s">
        <v>183</v>
      </c>
      <c r="AD218" t="s">
        <v>40</v>
      </c>
      <c r="AE218" t="s">
        <v>41</v>
      </c>
      <c r="AF218" t="s">
        <v>183</v>
      </c>
      <c r="AG218" t="s">
        <v>86</v>
      </c>
      <c r="AH218" t="s">
        <v>43</v>
      </c>
      <c r="AI218" t="str">
        <f t="shared" si="8"/>
        <v>Other</v>
      </c>
    </row>
    <row r="219" spans="1:35" x14ac:dyDescent="0.3">
      <c r="A219" t="str">
        <f>VLOOKUP(Q219,regions_fabio!$A$2:$C$192,3,0)</f>
        <v>KNA</v>
      </c>
      <c r="B219" t="str">
        <f>IFERROR(VLOOKUP(A219,polities_whep!$A$1:$G$199,2,0),"")</f>
        <v>Saint Kitts and Nevis</v>
      </c>
      <c r="C219">
        <v>185</v>
      </c>
      <c r="D219">
        <v>188</v>
      </c>
      <c r="E219" t="s">
        <v>543</v>
      </c>
      <c r="F219" t="str">
        <f>VLOOKUP(D219,FAO_areas!$A$2:$C$246,3,0)</f>
        <v>Saint Kitts and Nevis</v>
      </c>
      <c r="G219" t="s">
        <v>32</v>
      </c>
      <c r="H219" t="s">
        <v>544</v>
      </c>
      <c r="I219" t="s">
        <v>544</v>
      </c>
      <c r="K219">
        <v>188</v>
      </c>
      <c r="L219" t="s">
        <v>544</v>
      </c>
      <c r="M219">
        <v>659</v>
      </c>
      <c r="N219">
        <v>659</v>
      </c>
      <c r="O219">
        <v>3</v>
      </c>
      <c r="P219" t="s">
        <v>34</v>
      </c>
      <c r="Q219">
        <v>188</v>
      </c>
      <c r="R219" t="s">
        <v>1552</v>
      </c>
      <c r="S219" t="s">
        <v>89</v>
      </c>
      <c r="T219">
        <v>1</v>
      </c>
      <c r="U219" t="s">
        <v>544</v>
      </c>
      <c r="V219" t="s">
        <v>90</v>
      </c>
      <c r="W219" t="s">
        <v>91</v>
      </c>
      <c r="X219" t="s">
        <v>92</v>
      </c>
      <c r="Y219" t="s">
        <v>90</v>
      </c>
      <c r="Z219" t="s">
        <v>93</v>
      </c>
      <c r="AA219" t="s">
        <v>93</v>
      </c>
      <c r="AB219" t="s">
        <v>90</v>
      </c>
      <c r="AC219" t="s">
        <v>94</v>
      </c>
      <c r="AD219" t="s">
        <v>40</v>
      </c>
      <c r="AE219" t="s">
        <v>41</v>
      </c>
      <c r="AF219" t="s">
        <v>95</v>
      </c>
      <c r="AG219" t="s">
        <v>92</v>
      </c>
      <c r="AH219" t="s">
        <v>43</v>
      </c>
      <c r="AI219" t="str">
        <f t="shared" si="8"/>
        <v>Other</v>
      </c>
    </row>
    <row r="220" spans="1:35" x14ac:dyDescent="0.3">
      <c r="A220" t="str">
        <f>VLOOKUP(Q220,regions_fabio!$A$2:$C$192,3,0)</f>
        <v>LCA</v>
      </c>
      <c r="B220" t="str">
        <f>IFERROR(VLOOKUP(A220,polities_whep!$A$1:$G$199,2,0),"")</f>
        <v>Saint Lucia</v>
      </c>
      <c r="C220">
        <v>186</v>
      </c>
      <c r="D220">
        <v>189</v>
      </c>
      <c r="E220" t="s">
        <v>545</v>
      </c>
      <c r="F220" t="str">
        <f>VLOOKUP(D220,FAO_areas!$A$2:$C$246,3,0)</f>
        <v>Saint Lucia</v>
      </c>
      <c r="G220" t="s">
        <v>32</v>
      </c>
      <c r="H220" t="s">
        <v>546</v>
      </c>
      <c r="I220" t="s">
        <v>546</v>
      </c>
      <c r="K220">
        <v>189</v>
      </c>
      <c r="L220" t="s">
        <v>546</v>
      </c>
      <c r="M220">
        <v>662</v>
      </c>
      <c r="N220">
        <v>662</v>
      </c>
      <c r="O220">
        <v>3</v>
      </c>
      <c r="P220" t="s">
        <v>34</v>
      </c>
      <c r="Q220">
        <v>189</v>
      </c>
      <c r="R220" t="s">
        <v>1552</v>
      </c>
      <c r="S220" t="s">
        <v>89</v>
      </c>
      <c r="T220">
        <v>1</v>
      </c>
      <c r="U220" t="s">
        <v>546</v>
      </c>
      <c r="V220" t="s">
        <v>90</v>
      </c>
      <c r="W220" t="s">
        <v>91</v>
      </c>
      <c r="X220" t="s">
        <v>92</v>
      </c>
      <c r="Y220" t="s">
        <v>90</v>
      </c>
      <c r="Z220" t="s">
        <v>93</v>
      </c>
      <c r="AA220" t="s">
        <v>93</v>
      </c>
      <c r="AB220" t="s">
        <v>90</v>
      </c>
      <c r="AC220" t="s">
        <v>94</v>
      </c>
      <c r="AD220" t="s">
        <v>40</v>
      </c>
      <c r="AE220" t="s">
        <v>41</v>
      </c>
      <c r="AF220" t="s">
        <v>95</v>
      </c>
      <c r="AG220" t="s">
        <v>92</v>
      </c>
      <c r="AH220" t="s">
        <v>43</v>
      </c>
      <c r="AI220" t="str">
        <f t="shared" si="8"/>
        <v>Other</v>
      </c>
    </row>
    <row r="221" spans="1:35" x14ac:dyDescent="0.3">
      <c r="A221" t="str">
        <f>VLOOKUP(Q221,regions_fabio!$A$2:$C$192,3,0)</f>
        <v>VCT</v>
      </c>
      <c r="B221" t="str">
        <f>IFERROR(VLOOKUP(A221,polities_whep!$A$1:$G$199,2,0),"")</f>
        <v>Saint Vincent and the Grenadines</v>
      </c>
      <c r="C221">
        <v>188</v>
      </c>
      <c r="D221">
        <v>191</v>
      </c>
      <c r="E221" t="s">
        <v>550</v>
      </c>
      <c r="F221" t="str">
        <f>VLOOKUP(D221,FAO_areas!$A$2:$C$246,3,0)</f>
        <v>Saint Vincent and the Grenadines</v>
      </c>
      <c r="G221" t="s">
        <v>32</v>
      </c>
      <c r="H221" t="s">
        <v>551</v>
      </c>
      <c r="I221" t="s">
        <v>552</v>
      </c>
      <c r="K221">
        <v>191</v>
      </c>
      <c r="L221" t="s">
        <v>553</v>
      </c>
      <c r="M221">
        <v>670</v>
      </c>
      <c r="N221">
        <v>670</v>
      </c>
      <c r="O221">
        <v>3</v>
      </c>
      <c r="P221" t="s">
        <v>34</v>
      </c>
      <c r="Q221">
        <v>191</v>
      </c>
      <c r="R221" t="s">
        <v>1552</v>
      </c>
      <c r="S221" t="s">
        <v>89</v>
      </c>
      <c r="T221">
        <v>1</v>
      </c>
      <c r="U221" t="s">
        <v>551</v>
      </c>
      <c r="V221" t="s">
        <v>90</v>
      </c>
      <c r="W221" t="s">
        <v>91</v>
      </c>
      <c r="X221" t="s">
        <v>92</v>
      </c>
      <c r="Y221" t="s">
        <v>90</v>
      </c>
      <c r="Z221" t="s">
        <v>93</v>
      </c>
      <c r="AA221" t="s">
        <v>93</v>
      </c>
      <c r="AB221" t="s">
        <v>90</v>
      </c>
      <c r="AC221" t="s">
        <v>94</v>
      </c>
      <c r="AD221" t="s">
        <v>40</v>
      </c>
      <c r="AE221" t="s">
        <v>41</v>
      </c>
      <c r="AF221" t="s">
        <v>95</v>
      </c>
      <c r="AG221" t="s">
        <v>92</v>
      </c>
      <c r="AH221" t="s">
        <v>43</v>
      </c>
      <c r="AI221" t="str">
        <f t="shared" si="8"/>
        <v>Other</v>
      </c>
    </row>
    <row r="222" spans="1:35" x14ac:dyDescent="0.3">
      <c r="A222" t="str">
        <f>VLOOKUP(Q222,regions_fabio!$A$2:$C$192,3,0)</f>
        <v>WSM</v>
      </c>
      <c r="B222" t="str">
        <f>IFERROR(VLOOKUP(A222,polities_whep!$A$1:$G$199,2,0),"")</f>
        <v>Samoa</v>
      </c>
      <c r="C222">
        <v>239</v>
      </c>
      <c r="D222">
        <v>244</v>
      </c>
      <c r="E222" t="s">
        <v>556</v>
      </c>
      <c r="F222" t="str">
        <f>VLOOKUP(D222,FAO_areas!$A$2:$C$246,3,0)</f>
        <v>Samoa</v>
      </c>
      <c r="G222" t="s">
        <v>32</v>
      </c>
      <c r="H222" t="s">
        <v>557</v>
      </c>
      <c r="I222" t="s">
        <v>557</v>
      </c>
      <c r="K222">
        <v>244</v>
      </c>
      <c r="L222" t="s">
        <v>557</v>
      </c>
      <c r="M222">
        <v>882</v>
      </c>
      <c r="N222">
        <v>882</v>
      </c>
      <c r="O222">
        <v>16</v>
      </c>
      <c r="P222" t="s">
        <v>34</v>
      </c>
      <c r="Q222">
        <v>244</v>
      </c>
      <c r="R222" t="s">
        <v>1552</v>
      </c>
      <c r="S222" t="s">
        <v>63</v>
      </c>
      <c r="T222">
        <v>1</v>
      </c>
      <c r="U222" t="s">
        <v>557</v>
      </c>
      <c r="V222" t="s">
        <v>64</v>
      </c>
      <c r="W222" t="s">
        <v>65</v>
      </c>
      <c r="X222" t="s">
        <v>63</v>
      </c>
      <c r="Y222" t="s">
        <v>66</v>
      </c>
      <c r="Z222" t="s">
        <v>63</v>
      </c>
      <c r="AA222" t="s">
        <v>39</v>
      </c>
      <c r="AB222" t="s">
        <v>67</v>
      </c>
      <c r="AC222" t="s">
        <v>68</v>
      </c>
      <c r="AD222" t="s">
        <v>40</v>
      </c>
      <c r="AE222" t="s">
        <v>41</v>
      </c>
      <c r="AF222" t="s">
        <v>69</v>
      </c>
      <c r="AG222" t="s">
        <v>70</v>
      </c>
      <c r="AH222" t="s">
        <v>43</v>
      </c>
      <c r="AI222" t="str">
        <f t="shared" si="8"/>
        <v>Other</v>
      </c>
    </row>
    <row r="223" spans="1:35" x14ac:dyDescent="0.3">
      <c r="A223" t="str">
        <f>VLOOKUP(Q223,regions_fabio!$A$2:$C$192,3,0)</f>
        <v>STP</v>
      </c>
      <c r="B223" t="str">
        <f>IFERROR(VLOOKUP(A223,polities_whep!$A$1:$G$199,2,0),"")</f>
        <v>Sao Tome and Principe</v>
      </c>
      <c r="C223">
        <v>190</v>
      </c>
      <c r="D223">
        <v>193</v>
      </c>
      <c r="E223" t="s">
        <v>560</v>
      </c>
      <c r="F223" t="str">
        <f>VLOOKUP(D223,FAO_areas!$A$2:$C$246,3,0)</f>
        <v>Sao Tome and Principe</v>
      </c>
      <c r="G223" t="s">
        <v>32</v>
      </c>
      <c r="H223" t="s">
        <v>561</v>
      </c>
      <c r="I223" t="s">
        <v>561</v>
      </c>
      <c r="K223">
        <v>193</v>
      </c>
      <c r="L223" t="s">
        <v>561</v>
      </c>
      <c r="M223">
        <v>678</v>
      </c>
      <c r="N223">
        <v>678</v>
      </c>
      <c r="O223">
        <v>6</v>
      </c>
      <c r="P223" t="s">
        <v>34</v>
      </c>
      <c r="Q223">
        <v>193</v>
      </c>
      <c r="R223" t="s">
        <v>1552</v>
      </c>
      <c r="S223" t="s">
        <v>145</v>
      </c>
      <c r="T223">
        <v>1</v>
      </c>
      <c r="U223" t="s">
        <v>561</v>
      </c>
      <c r="V223" t="s">
        <v>80</v>
      </c>
      <c r="W223" t="s">
        <v>81</v>
      </c>
      <c r="X223" t="s">
        <v>82</v>
      </c>
      <c r="Y223" t="s">
        <v>83</v>
      </c>
      <c r="Z223" t="s">
        <v>60</v>
      </c>
      <c r="AA223" t="s">
        <v>60</v>
      </c>
      <c r="AB223" t="s">
        <v>83</v>
      </c>
      <c r="AC223" t="s">
        <v>84</v>
      </c>
      <c r="AD223" t="s">
        <v>40</v>
      </c>
      <c r="AE223" t="s">
        <v>41</v>
      </c>
      <c r="AF223" t="s">
        <v>85</v>
      </c>
      <c r="AG223" t="s">
        <v>86</v>
      </c>
      <c r="AH223" t="s">
        <v>43</v>
      </c>
      <c r="AI223" t="str">
        <f t="shared" si="8"/>
        <v>Other</v>
      </c>
    </row>
    <row r="224" spans="1:35" x14ac:dyDescent="0.3">
      <c r="A224" t="str">
        <f>VLOOKUP(Q224,regions_fabio!$A$2:$C$192,3,0)</f>
        <v>SAU</v>
      </c>
      <c r="B224" t="str">
        <f>IFERROR(VLOOKUP(A224,polities_whep!$A$1:$G$199,2,0),"")</f>
        <v>Saudi Arabia</v>
      </c>
      <c r="C224">
        <v>191</v>
      </c>
      <c r="D224">
        <v>194</v>
      </c>
      <c r="E224" t="s">
        <v>562</v>
      </c>
      <c r="F224" t="str">
        <f>VLOOKUP(D224,FAO_areas!$A$2:$C$246,3,0)</f>
        <v>Saudi Arabia</v>
      </c>
      <c r="G224" t="s">
        <v>32</v>
      </c>
      <c r="H224" t="s">
        <v>563</v>
      </c>
      <c r="I224" t="s">
        <v>563</v>
      </c>
      <c r="J224" t="s">
        <v>563</v>
      </c>
      <c r="K224">
        <v>194</v>
      </c>
      <c r="L224" t="s">
        <v>563</v>
      </c>
      <c r="M224">
        <v>682</v>
      </c>
      <c r="N224">
        <v>682</v>
      </c>
      <c r="O224">
        <v>12</v>
      </c>
      <c r="P224" t="s">
        <v>34</v>
      </c>
      <c r="Q224">
        <v>194</v>
      </c>
      <c r="R224" t="s">
        <v>1552</v>
      </c>
      <c r="S224" t="s">
        <v>128</v>
      </c>
      <c r="T224">
        <v>1</v>
      </c>
      <c r="U224" t="s">
        <v>563</v>
      </c>
      <c r="V224" t="s">
        <v>57</v>
      </c>
      <c r="W224" t="s">
        <v>58</v>
      </c>
      <c r="X224" t="s">
        <v>59</v>
      </c>
      <c r="Y224" t="s">
        <v>110</v>
      </c>
      <c r="Z224" t="s">
        <v>38</v>
      </c>
      <c r="AA224" t="s">
        <v>129</v>
      </c>
      <c r="AB224" t="s">
        <v>129</v>
      </c>
      <c r="AC224" t="s">
        <v>129</v>
      </c>
      <c r="AD224" t="s">
        <v>40</v>
      </c>
      <c r="AE224" t="s">
        <v>41</v>
      </c>
      <c r="AF224" t="s">
        <v>110</v>
      </c>
      <c r="AG224" t="s">
        <v>59</v>
      </c>
      <c r="AH224" t="s">
        <v>43</v>
      </c>
      <c r="AI224" t="str">
        <f t="shared" si="8"/>
        <v>Other</v>
      </c>
    </row>
    <row r="225" spans="1:35" x14ac:dyDescent="0.3">
      <c r="A225" t="str">
        <f>VLOOKUP(Q225,regions_fabio!$A$2:$C$192,3,0)</f>
        <v>SEN</v>
      </c>
      <c r="B225" t="str">
        <f>IFERROR(VLOOKUP(A225,polities_whep!$A$1:$G$199,2,0),"")</f>
        <v>Senegal</v>
      </c>
      <c r="C225">
        <v>192</v>
      </c>
      <c r="D225">
        <v>195</v>
      </c>
      <c r="E225" t="s">
        <v>564</v>
      </c>
      <c r="F225" t="str">
        <f>VLOOKUP(D225,FAO_areas!$A$2:$C$246,3,0)</f>
        <v>Senegal</v>
      </c>
      <c r="G225" t="s">
        <v>32</v>
      </c>
      <c r="H225" t="s">
        <v>565</v>
      </c>
      <c r="I225" t="s">
        <v>565</v>
      </c>
      <c r="J225" t="s">
        <v>565</v>
      </c>
      <c r="K225">
        <v>195</v>
      </c>
      <c r="L225" t="s">
        <v>565</v>
      </c>
      <c r="M225">
        <v>686</v>
      </c>
      <c r="N225">
        <v>686</v>
      </c>
      <c r="O225">
        <v>6</v>
      </c>
      <c r="P225" t="s">
        <v>34</v>
      </c>
      <c r="Q225">
        <v>195</v>
      </c>
      <c r="R225" t="s">
        <v>1552</v>
      </c>
      <c r="S225" t="s">
        <v>145</v>
      </c>
      <c r="T225">
        <v>1</v>
      </c>
      <c r="U225" t="s">
        <v>565</v>
      </c>
      <c r="V225" t="s">
        <v>80</v>
      </c>
      <c r="W225" t="s">
        <v>81</v>
      </c>
      <c r="X225" t="s">
        <v>82</v>
      </c>
      <c r="Y225" t="s">
        <v>83</v>
      </c>
      <c r="Z225" t="s">
        <v>60</v>
      </c>
      <c r="AA225" t="s">
        <v>60</v>
      </c>
      <c r="AB225" t="s">
        <v>83</v>
      </c>
      <c r="AC225" t="s">
        <v>145</v>
      </c>
      <c r="AD225" t="s">
        <v>40</v>
      </c>
      <c r="AE225" t="s">
        <v>41</v>
      </c>
      <c r="AF225" t="s">
        <v>145</v>
      </c>
      <c r="AG225" t="s">
        <v>86</v>
      </c>
      <c r="AH225" t="s">
        <v>43</v>
      </c>
      <c r="AI225" t="str">
        <f t="shared" si="8"/>
        <v>Other</v>
      </c>
    </row>
    <row r="226" spans="1:35" x14ac:dyDescent="0.3">
      <c r="A226" t="str">
        <f>VLOOKUP(Q226,regions_fabio!$A$2:$C$192,3,0)</f>
        <v>SRB</v>
      </c>
      <c r="B226" t="str">
        <f>IFERROR(VLOOKUP(A226,polities_whep!$A$1:$G$199,2,0),"")</f>
        <v>Serbia</v>
      </c>
      <c r="C226">
        <v>252</v>
      </c>
      <c r="D226">
        <v>272</v>
      </c>
      <c r="E226" t="s">
        <v>566</v>
      </c>
      <c r="F226" t="str">
        <f>VLOOKUP(D226,FAO_areas!$A$2:$C$246,3,0)</f>
        <v>Serbia</v>
      </c>
      <c r="G226" t="s">
        <v>32</v>
      </c>
      <c r="H226" t="s">
        <v>567</v>
      </c>
      <c r="I226" t="s">
        <v>567</v>
      </c>
      <c r="J226" t="s">
        <v>567</v>
      </c>
      <c r="K226">
        <v>186</v>
      </c>
      <c r="L226" t="s">
        <v>443</v>
      </c>
      <c r="M226">
        <v>688</v>
      </c>
      <c r="N226">
        <v>688</v>
      </c>
      <c r="O226">
        <v>9</v>
      </c>
      <c r="P226" t="s">
        <v>34</v>
      </c>
      <c r="Q226">
        <v>272</v>
      </c>
      <c r="R226" t="s">
        <v>1552</v>
      </c>
      <c r="S226" t="s">
        <v>74</v>
      </c>
      <c r="T226">
        <v>1</v>
      </c>
      <c r="U226" t="s">
        <v>567</v>
      </c>
      <c r="V226" t="s">
        <v>75</v>
      </c>
      <c r="W226" t="s">
        <v>76</v>
      </c>
      <c r="X226" t="s">
        <v>49</v>
      </c>
      <c r="Y226" t="s">
        <v>50</v>
      </c>
      <c r="Z226" t="s">
        <v>49</v>
      </c>
      <c r="AA226" t="s">
        <v>51</v>
      </c>
      <c r="AB226" t="s">
        <v>52</v>
      </c>
      <c r="AC226" t="s">
        <v>50</v>
      </c>
      <c r="AD226" t="s">
        <v>40</v>
      </c>
      <c r="AE226" t="s">
        <v>41</v>
      </c>
      <c r="AF226" t="s">
        <v>50</v>
      </c>
      <c r="AG226" t="s">
        <v>49</v>
      </c>
      <c r="AH226" t="s">
        <v>53</v>
      </c>
      <c r="AI226" t="str">
        <f t="shared" si="8"/>
        <v>Europe</v>
      </c>
    </row>
    <row r="227" spans="1:35" x14ac:dyDescent="0.3">
      <c r="A227" t="str">
        <f>VLOOKUP(Q227,regions_fabio!$A$2:$C$192,3,0)</f>
        <v>SCG</v>
      </c>
      <c r="B227" t="str">
        <f>IFERROR(VLOOKUP(A227,polities_whep!$A$1:$G$199,2,0),"")</f>
        <v>Serbia and Montenegro</v>
      </c>
      <c r="C227">
        <v>183</v>
      </c>
      <c r="D227">
        <v>186</v>
      </c>
      <c r="E227" t="s">
        <v>568</v>
      </c>
      <c r="F227" t="str">
        <f>VLOOKUP(D227,FAO_areas!$A$2:$C$246,3,0)</f>
        <v>Serbia and Montenegro</v>
      </c>
      <c r="G227" t="s">
        <v>32</v>
      </c>
      <c r="H227" t="s">
        <v>443</v>
      </c>
      <c r="I227" t="s">
        <v>569</v>
      </c>
      <c r="K227">
        <v>186</v>
      </c>
      <c r="L227" t="s">
        <v>443</v>
      </c>
      <c r="M227">
        <v>891</v>
      </c>
      <c r="N227">
        <v>891</v>
      </c>
      <c r="O227">
        <v>9</v>
      </c>
      <c r="P227" t="s">
        <v>34</v>
      </c>
      <c r="Q227">
        <v>186</v>
      </c>
      <c r="R227" t="s">
        <v>1552</v>
      </c>
      <c r="S227" t="s">
        <v>74</v>
      </c>
      <c r="T227">
        <v>1</v>
      </c>
      <c r="U227" t="s">
        <v>443</v>
      </c>
      <c r="V227" t="s">
        <v>75</v>
      </c>
      <c r="W227" t="s">
        <v>76</v>
      </c>
      <c r="X227" s="2" t="s">
        <v>49</v>
      </c>
      <c r="Y227" s="2"/>
      <c r="Z227" s="2" t="s">
        <v>49</v>
      </c>
      <c r="AA227" s="2"/>
      <c r="AB227" s="2"/>
      <c r="AF227" t="s">
        <v>50</v>
      </c>
      <c r="AG227" t="s">
        <v>49</v>
      </c>
      <c r="AH227" t="s">
        <v>53</v>
      </c>
      <c r="AI227" t="str">
        <f t="shared" si="8"/>
        <v>Europe</v>
      </c>
    </row>
    <row r="228" spans="1:35" x14ac:dyDescent="0.3">
      <c r="A228" t="str">
        <f>VLOOKUP(Q228,regions_fabio!$A$2:$C$192,3,0)</f>
        <v>SLE</v>
      </c>
      <c r="B228" t="str">
        <f>IFERROR(VLOOKUP(A228,polities_whep!$A$1:$G$199,2,0),"")</f>
        <v>Sierra Leone</v>
      </c>
      <c r="C228">
        <v>194</v>
      </c>
      <c r="D228">
        <v>197</v>
      </c>
      <c r="E228" t="s">
        <v>572</v>
      </c>
      <c r="F228" t="str">
        <f>VLOOKUP(D228,FAO_areas!$A$2:$C$246,3,0)</f>
        <v>Sierra Leone</v>
      </c>
      <c r="G228" t="s">
        <v>32</v>
      </c>
      <c r="H228" t="s">
        <v>573</v>
      </c>
      <c r="I228" t="s">
        <v>573</v>
      </c>
      <c r="K228">
        <v>197</v>
      </c>
      <c r="L228" t="s">
        <v>573</v>
      </c>
      <c r="M228">
        <v>694</v>
      </c>
      <c r="N228">
        <v>694</v>
      </c>
      <c r="O228">
        <v>6</v>
      </c>
      <c r="P228" t="s">
        <v>34</v>
      </c>
      <c r="Q228">
        <v>197</v>
      </c>
      <c r="R228" t="s">
        <v>1552</v>
      </c>
      <c r="S228" t="s">
        <v>145</v>
      </c>
      <c r="T228">
        <v>1</v>
      </c>
      <c r="U228" t="s">
        <v>573</v>
      </c>
      <c r="V228" t="s">
        <v>80</v>
      </c>
      <c r="W228" t="s">
        <v>81</v>
      </c>
      <c r="X228" t="s">
        <v>82</v>
      </c>
      <c r="Y228" t="s">
        <v>83</v>
      </c>
      <c r="Z228" t="s">
        <v>60</v>
      </c>
      <c r="AA228" t="s">
        <v>60</v>
      </c>
      <c r="AB228" t="s">
        <v>83</v>
      </c>
      <c r="AC228" t="s">
        <v>145</v>
      </c>
      <c r="AD228" t="s">
        <v>40</v>
      </c>
      <c r="AE228" t="s">
        <v>41</v>
      </c>
      <c r="AF228" t="s">
        <v>145</v>
      </c>
      <c r="AG228" t="s">
        <v>86</v>
      </c>
      <c r="AH228" t="s">
        <v>43</v>
      </c>
      <c r="AI228" t="str">
        <f t="shared" si="8"/>
        <v>Other</v>
      </c>
    </row>
    <row r="229" spans="1:35" x14ac:dyDescent="0.3">
      <c r="A229" t="str">
        <f>VLOOKUP(Q229,regions_fabio!$A$2:$C$192,3,0)</f>
        <v>SGP</v>
      </c>
      <c r="B229" t="str">
        <f>IFERROR(VLOOKUP(A229,polities_whep!$A$1:$G$199,2,0),"")</f>
        <v>Singapore</v>
      </c>
      <c r="C229">
        <v>197</v>
      </c>
      <c r="D229">
        <v>200</v>
      </c>
      <c r="E229" t="s">
        <v>574</v>
      </c>
      <c r="F229" t="str">
        <f>VLOOKUP(D229,FAO_areas!$A$2:$C$246,3,0)</f>
        <v>Singapore</v>
      </c>
      <c r="G229" t="s">
        <v>32</v>
      </c>
      <c r="H229" t="s">
        <v>575</v>
      </c>
      <c r="I229" t="s">
        <v>575</v>
      </c>
      <c r="J229" t="s">
        <v>575</v>
      </c>
      <c r="K229">
        <v>200</v>
      </c>
      <c r="L229" t="s">
        <v>575</v>
      </c>
      <c r="M229">
        <v>702</v>
      </c>
      <c r="N229">
        <v>702</v>
      </c>
      <c r="O229">
        <v>15</v>
      </c>
      <c r="P229" t="s">
        <v>34</v>
      </c>
      <c r="Q229">
        <v>200</v>
      </c>
      <c r="R229" t="s">
        <v>1552</v>
      </c>
      <c r="S229" t="s">
        <v>172</v>
      </c>
      <c r="T229">
        <v>1</v>
      </c>
      <c r="U229" t="s">
        <v>575</v>
      </c>
      <c r="V229" t="s">
        <v>173</v>
      </c>
      <c r="W229" t="s">
        <v>37</v>
      </c>
      <c r="X229" t="s">
        <v>174</v>
      </c>
      <c r="Y229" t="s">
        <v>175</v>
      </c>
      <c r="Z229" t="s">
        <v>38</v>
      </c>
      <c r="AA229" t="s">
        <v>39</v>
      </c>
      <c r="AB229" t="s">
        <v>67</v>
      </c>
      <c r="AC229" t="s">
        <v>176</v>
      </c>
      <c r="AD229" t="s">
        <v>40</v>
      </c>
      <c r="AE229" t="s">
        <v>41</v>
      </c>
      <c r="AF229" t="s">
        <v>175</v>
      </c>
      <c r="AG229" t="s">
        <v>42</v>
      </c>
      <c r="AH229" t="s">
        <v>43</v>
      </c>
      <c r="AI229" t="str">
        <f t="shared" si="8"/>
        <v>Other</v>
      </c>
    </row>
    <row r="230" spans="1:35" x14ac:dyDescent="0.3">
      <c r="A230" t="str">
        <f>VLOOKUP(Q230,regions_fabio!$A$2:$C$192,3,0)</f>
        <v>SVK</v>
      </c>
      <c r="B230" t="str">
        <f>IFERROR(VLOOKUP(A230,polities_whep!$A$1:$G$199,2,0),"")</f>
        <v>Slovakia</v>
      </c>
      <c r="C230">
        <v>196</v>
      </c>
      <c r="D230">
        <v>199</v>
      </c>
      <c r="E230" t="s">
        <v>576</v>
      </c>
      <c r="F230" t="str">
        <f>VLOOKUP(D230,FAO_areas!$A$2:$C$246,3,0)</f>
        <v>Slovakia</v>
      </c>
      <c r="G230" t="s">
        <v>34</v>
      </c>
      <c r="H230" t="s">
        <v>577</v>
      </c>
      <c r="I230" t="s">
        <v>577</v>
      </c>
      <c r="J230" t="s">
        <v>578</v>
      </c>
      <c r="K230">
        <v>199</v>
      </c>
      <c r="L230" t="s">
        <v>577</v>
      </c>
      <c r="M230">
        <v>703</v>
      </c>
      <c r="N230">
        <v>703</v>
      </c>
      <c r="O230">
        <v>10</v>
      </c>
      <c r="P230" t="s">
        <v>34</v>
      </c>
      <c r="Q230">
        <v>199</v>
      </c>
      <c r="R230" t="s">
        <v>5061</v>
      </c>
      <c r="S230" t="s">
        <v>46</v>
      </c>
      <c r="T230">
        <v>1</v>
      </c>
      <c r="U230" t="s">
        <v>577</v>
      </c>
      <c r="V230" t="s">
        <v>47</v>
      </c>
      <c r="W230" t="s">
        <v>48</v>
      </c>
      <c r="X230" t="s">
        <v>49</v>
      </c>
      <c r="Y230" t="s">
        <v>46</v>
      </c>
      <c r="Z230" t="s">
        <v>49</v>
      </c>
      <c r="AA230" t="s">
        <v>51</v>
      </c>
      <c r="AB230" t="s">
        <v>46</v>
      </c>
      <c r="AC230" t="s">
        <v>46</v>
      </c>
      <c r="AD230" t="s">
        <v>117</v>
      </c>
      <c r="AE230" t="s">
        <v>118</v>
      </c>
      <c r="AF230" t="s">
        <v>46</v>
      </c>
      <c r="AG230" t="s">
        <v>49</v>
      </c>
      <c r="AH230" t="s">
        <v>53</v>
      </c>
      <c r="AI230" t="str">
        <f t="shared" si="8"/>
        <v>Europe</v>
      </c>
    </row>
    <row r="231" spans="1:35" x14ac:dyDescent="0.3">
      <c r="A231" t="str">
        <f>VLOOKUP(Q231,regions_fabio!$A$2:$C$192,3,0)</f>
        <v>SVN</v>
      </c>
      <c r="B231" t="str">
        <f>IFERROR(VLOOKUP(A231,polities_whep!$A$1:$G$199,2,0),"")</f>
        <v>Slovenia</v>
      </c>
      <c r="C231">
        <v>195</v>
      </c>
      <c r="D231">
        <v>198</v>
      </c>
      <c r="E231" t="s">
        <v>579</v>
      </c>
      <c r="F231" t="str">
        <f>VLOOKUP(D231,FAO_areas!$A$2:$C$246,3,0)</f>
        <v>Slovenia</v>
      </c>
      <c r="G231" t="s">
        <v>34</v>
      </c>
      <c r="H231" t="s">
        <v>580</v>
      </c>
      <c r="I231" t="s">
        <v>580</v>
      </c>
      <c r="J231" t="s">
        <v>580</v>
      </c>
      <c r="K231">
        <v>198</v>
      </c>
      <c r="L231" t="s">
        <v>580</v>
      </c>
      <c r="M231">
        <v>705</v>
      </c>
      <c r="N231">
        <v>705</v>
      </c>
      <c r="O231">
        <v>10</v>
      </c>
      <c r="P231" t="s">
        <v>34</v>
      </c>
      <c r="Q231">
        <v>198</v>
      </c>
      <c r="R231" t="s">
        <v>5062</v>
      </c>
      <c r="S231" t="s">
        <v>46</v>
      </c>
      <c r="T231">
        <v>1</v>
      </c>
      <c r="U231" t="s">
        <v>580</v>
      </c>
      <c r="V231" t="s">
        <v>47</v>
      </c>
      <c r="W231" t="s">
        <v>48</v>
      </c>
      <c r="X231" t="s">
        <v>49</v>
      </c>
      <c r="Y231" t="s">
        <v>50</v>
      </c>
      <c r="Z231" t="s">
        <v>49</v>
      </c>
      <c r="AA231" t="s">
        <v>51</v>
      </c>
      <c r="AB231" t="s">
        <v>52</v>
      </c>
      <c r="AC231" t="s">
        <v>50</v>
      </c>
      <c r="AD231" t="s">
        <v>40</v>
      </c>
      <c r="AE231" t="s">
        <v>41</v>
      </c>
      <c r="AF231" t="s">
        <v>50</v>
      </c>
      <c r="AG231" t="s">
        <v>49</v>
      </c>
      <c r="AH231" t="s">
        <v>53</v>
      </c>
      <c r="AI231" t="str">
        <f t="shared" si="8"/>
        <v>Europe</v>
      </c>
    </row>
    <row r="232" spans="1:35" x14ac:dyDescent="0.3">
      <c r="A232" t="str">
        <f>VLOOKUP(Q232,regions_fabio!$A$2:$C$192,3,0)</f>
        <v>SLB</v>
      </c>
      <c r="B232" t="str">
        <f>IFERROR(VLOOKUP(A232,polities_whep!$A$1:$G$199,2,0),"")</f>
        <v>Solomon Islands</v>
      </c>
      <c r="C232">
        <v>25</v>
      </c>
      <c r="D232">
        <v>25</v>
      </c>
      <c r="E232" t="s">
        <v>581</v>
      </c>
      <c r="F232" t="str">
        <f>VLOOKUP(D232,FAO_areas!$A$2:$C$246,3,0)</f>
        <v>Solomon Islands</v>
      </c>
      <c r="G232" t="s">
        <v>32</v>
      </c>
      <c r="H232" t="s">
        <v>582</v>
      </c>
      <c r="I232" t="s">
        <v>582</v>
      </c>
      <c r="K232">
        <v>25</v>
      </c>
      <c r="L232" t="s">
        <v>582</v>
      </c>
      <c r="M232">
        <v>90</v>
      </c>
      <c r="N232">
        <v>90</v>
      </c>
      <c r="O232">
        <v>16</v>
      </c>
      <c r="P232" t="s">
        <v>34</v>
      </c>
      <c r="Q232">
        <v>25</v>
      </c>
      <c r="R232" t="s">
        <v>1552</v>
      </c>
      <c r="S232" t="s">
        <v>63</v>
      </c>
      <c r="T232">
        <v>1</v>
      </c>
      <c r="U232" t="s">
        <v>582</v>
      </c>
      <c r="V232" t="s">
        <v>64</v>
      </c>
      <c r="W232" t="s">
        <v>65</v>
      </c>
      <c r="X232" t="s">
        <v>63</v>
      </c>
      <c r="Y232" t="s">
        <v>288</v>
      </c>
      <c r="Z232" t="s">
        <v>63</v>
      </c>
      <c r="AA232" t="s">
        <v>39</v>
      </c>
      <c r="AB232" t="s">
        <v>67</v>
      </c>
      <c r="AC232" t="s">
        <v>68</v>
      </c>
      <c r="AD232" t="s">
        <v>40</v>
      </c>
      <c r="AE232" t="s">
        <v>41</v>
      </c>
      <c r="AF232" t="s">
        <v>69</v>
      </c>
      <c r="AG232" t="s">
        <v>70</v>
      </c>
      <c r="AH232" t="s">
        <v>43</v>
      </c>
      <c r="AI232" t="str">
        <f t="shared" si="8"/>
        <v>Other</v>
      </c>
    </row>
    <row r="233" spans="1:35" x14ac:dyDescent="0.3">
      <c r="A233" t="str">
        <f>VLOOKUP(Q233,regions_fabio!$A$2:$C$192,3,0)</f>
        <v>SOM</v>
      </c>
      <c r="B233" t="str">
        <f>IFERROR(VLOOKUP(A233,polities_whep!$A$1:$G$199,2,0),"")</f>
        <v>Somalia</v>
      </c>
      <c r="C233">
        <v>198</v>
      </c>
      <c r="D233">
        <v>201</v>
      </c>
      <c r="E233" t="s">
        <v>583</v>
      </c>
      <c r="F233" t="str">
        <f>VLOOKUP(D233,FAO_areas!$A$2:$C$246,3,0)</f>
        <v>Somalia</v>
      </c>
      <c r="G233" t="s">
        <v>32</v>
      </c>
      <c r="H233" t="s">
        <v>584</v>
      </c>
      <c r="I233" t="s">
        <v>584</v>
      </c>
      <c r="K233">
        <v>201</v>
      </c>
      <c r="L233" t="s">
        <v>584</v>
      </c>
      <c r="M233">
        <v>706</v>
      </c>
      <c r="N233">
        <v>706</v>
      </c>
      <c r="O233">
        <v>7</v>
      </c>
      <c r="P233" t="s">
        <v>34</v>
      </c>
      <c r="Q233">
        <v>201</v>
      </c>
      <c r="R233" t="s">
        <v>1552</v>
      </c>
      <c r="S233" t="s">
        <v>183</v>
      </c>
      <c r="T233">
        <v>1</v>
      </c>
      <c r="U233" t="s">
        <v>584</v>
      </c>
      <c r="V233" t="s">
        <v>80</v>
      </c>
      <c r="W233" t="s">
        <v>81</v>
      </c>
      <c r="X233" t="s">
        <v>82</v>
      </c>
      <c r="Y233" t="s">
        <v>83</v>
      </c>
      <c r="Z233" t="s">
        <v>60</v>
      </c>
      <c r="AA233" t="s">
        <v>60</v>
      </c>
      <c r="AB233" t="s">
        <v>83</v>
      </c>
      <c r="AC233" t="s">
        <v>183</v>
      </c>
      <c r="AD233" t="s">
        <v>40</v>
      </c>
      <c r="AE233" t="s">
        <v>41</v>
      </c>
      <c r="AF233" t="s">
        <v>183</v>
      </c>
      <c r="AG233" t="s">
        <v>86</v>
      </c>
      <c r="AH233" t="s">
        <v>43</v>
      </c>
      <c r="AI233" t="str">
        <f t="shared" si="8"/>
        <v>Other</v>
      </c>
    </row>
    <row r="234" spans="1:35" x14ac:dyDescent="0.3">
      <c r="A234" t="str">
        <f>VLOOKUP(Q234,regions_fabio!$A$2:$C$192,3,0)</f>
        <v>ZAF</v>
      </c>
      <c r="B234" t="str">
        <f>IFERROR(VLOOKUP(A234,polities_whep!$A$1:$G$199,2,0),"")</f>
        <v>South Africa</v>
      </c>
      <c r="C234">
        <v>199</v>
      </c>
      <c r="D234">
        <v>202</v>
      </c>
      <c r="E234" t="s">
        <v>585</v>
      </c>
      <c r="F234" t="str">
        <f>VLOOKUP(D234,FAO_areas!$A$2:$C$246,3,0)</f>
        <v>South Africa</v>
      </c>
      <c r="G234" t="s">
        <v>32</v>
      </c>
      <c r="H234" t="s">
        <v>586</v>
      </c>
      <c r="I234" t="s">
        <v>586</v>
      </c>
      <c r="J234" t="s">
        <v>586</v>
      </c>
      <c r="K234">
        <v>202</v>
      </c>
      <c r="L234" t="s">
        <v>586</v>
      </c>
      <c r="M234">
        <v>711</v>
      </c>
      <c r="N234">
        <v>710</v>
      </c>
      <c r="O234">
        <v>8</v>
      </c>
      <c r="P234" t="s">
        <v>34</v>
      </c>
      <c r="Q234">
        <v>202</v>
      </c>
      <c r="R234" t="s">
        <v>1552</v>
      </c>
      <c r="S234" t="s">
        <v>79</v>
      </c>
      <c r="T234">
        <v>1</v>
      </c>
      <c r="U234" t="s">
        <v>586</v>
      </c>
      <c r="V234" t="s">
        <v>80</v>
      </c>
      <c r="W234" t="s">
        <v>81</v>
      </c>
      <c r="X234" t="s">
        <v>82</v>
      </c>
      <c r="Y234" t="s">
        <v>83</v>
      </c>
      <c r="Z234" t="s">
        <v>60</v>
      </c>
      <c r="AA234" t="s">
        <v>60</v>
      </c>
      <c r="AB234" t="s">
        <v>83</v>
      </c>
      <c r="AC234" t="s">
        <v>79</v>
      </c>
      <c r="AD234" t="s">
        <v>40</v>
      </c>
      <c r="AE234" t="s">
        <v>41</v>
      </c>
      <c r="AF234" t="s">
        <v>79</v>
      </c>
      <c r="AG234" t="s">
        <v>86</v>
      </c>
      <c r="AH234" t="s">
        <v>53</v>
      </c>
      <c r="AI234" t="str">
        <f t="shared" ref="AI234:AI267" si="9">IF(Z234="Europe","Europe","Other")</f>
        <v>Other</v>
      </c>
    </row>
    <row r="235" spans="1:35" x14ac:dyDescent="0.3">
      <c r="A235" t="s">
        <v>595</v>
      </c>
      <c r="B235" t="str">
        <f>IFERROR(VLOOKUP(A235,polities_whep!$A$1:$G$199,2,0),"")</f>
        <v>South Sudan</v>
      </c>
      <c r="C235">
        <v>255</v>
      </c>
      <c r="D235">
        <v>277</v>
      </c>
      <c r="E235" t="s">
        <v>595</v>
      </c>
      <c r="F235" t="str">
        <f>VLOOKUP(D235,FAO_areas!$A$2:$C$246,3,0)</f>
        <v>South Sudan</v>
      </c>
      <c r="G235" t="s">
        <v>32</v>
      </c>
      <c r="H235" t="s">
        <v>596</v>
      </c>
      <c r="J235" t="s">
        <v>596</v>
      </c>
      <c r="K235">
        <v>206</v>
      </c>
      <c r="L235" t="s">
        <v>597</v>
      </c>
      <c r="M235">
        <v>728</v>
      </c>
      <c r="N235">
        <v>728</v>
      </c>
      <c r="O235">
        <v>7</v>
      </c>
      <c r="P235" s="2" t="s">
        <v>34</v>
      </c>
      <c r="Q235" s="2">
        <v>206</v>
      </c>
      <c r="R235" t="s">
        <v>1552</v>
      </c>
      <c r="S235" t="s">
        <v>183</v>
      </c>
      <c r="T235">
        <v>1</v>
      </c>
      <c r="U235" t="s">
        <v>596</v>
      </c>
      <c r="V235" t="s">
        <v>80</v>
      </c>
      <c r="W235" t="s">
        <v>81</v>
      </c>
      <c r="X235" t="s">
        <v>82</v>
      </c>
      <c r="Y235" t="s">
        <v>83</v>
      </c>
      <c r="Z235" t="s">
        <v>60</v>
      </c>
      <c r="AA235" t="s">
        <v>60</v>
      </c>
      <c r="AB235" t="s">
        <v>83</v>
      </c>
      <c r="AC235" t="s">
        <v>183</v>
      </c>
      <c r="AD235" t="s">
        <v>40</v>
      </c>
      <c r="AE235" t="s">
        <v>41</v>
      </c>
      <c r="AF235" t="s">
        <v>183</v>
      </c>
      <c r="AG235" t="s">
        <v>86</v>
      </c>
      <c r="AH235" t="s">
        <v>43</v>
      </c>
      <c r="AI235" t="str">
        <f t="shared" si="9"/>
        <v>Other</v>
      </c>
    </row>
    <row r="236" spans="1:35" x14ac:dyDescent="0.3">
      <c r="A236" t="str">
        <f>VLOOKUP(Q236,regions_fabio!$A$2:$C$192,3,0)</f>
        <v>ESP</v>
      </c>
      <c r="B236" t="str">
        <f>IFERROR(VLOOKUP(A236,polities_whep!$A$1:$G$199,2,0),"")</f>
        <v>Spain</v>
      </c>
      <c r="C236">
        <v>200</v>
      </c>
      <c r="D236">
        <v>203</v>
      </c>
      <c r="E236" t="s">
        <v>598</v>
      </c>
      <c r="F236" t="str">
        <f>VLOOKUP(D236,FAO_areas!$A$2:$C$246,3,0)</f>
        <v>Spain</v>
      </c>
      <c r="G236" t="s">
        <v>34</v>
      </c>
      <c r="H236" t="s">
        <v>599</v>
      </c>
      <c r="I236" t="s">
        <v>599</v>
      </c>
      <c r="J236" t="s">
        <v>599</v>
      </c>
      <c r="K236">
        <v>203</v>
      </c>
      <c r="L236" t="s">
        <v>599</v>
      </c>
      <c r="M236">
        <v>724</v>
      </c>
      <c r="N236">
        <v>724</v>
      </c>
      <c r="O236">
        <v>9</v>
      </c>
      <c r="P236" t="s">
        <v>34</v>
      </c>
      <c r="Q236">
        <v>203</v>
      </c>
      <c r="R236" t="s">
        <v>5063</v>
      </c>
      <c r="S236" t="s">
        <v>74</v>
      </c>
      <c r="T236">
        <v>1</v>
      </c>
      <c r="U236" t="s">
        <v>599</v>
      </c>
      <c r="V236" t="s">
        <v>75</v>
      </c>
      <c r="W236" t="s">
        <v>76</v>
      </c>
      <c r="X236" t="s">
        <v>49</v>
      </c>
      <c r="Y236" t="s">
        <v>50</v>
      </c>
      <c r="Z236" t="s">
        <v>49</v>
      </c>
      <c r="AA236" t="s">
        <v>51</v>
      </c>
      <c r="AB236" t="s">
        <v>52</v>
      </c>
      <c r="AC236" t="s">
        <v>50</v>
      </c>
      <c r="AD236" t="s">
        <v>117</v>
      </c>
      <c r="AE236" t="s">
        <v>118</v>
      </c>
      <c r="AF236" t="s">
        <v>50</v>
      </c>
      <c r="AG236" t="s">
        <v>49</v>
      </c>
      <c r="AH236" t="s">
        <v>53</v>
      </c>
      <c r="AI236" t="str">
        <f t="shared" si="9"/>
        <v>Europe</v>
      </c>
    </row>
    <row r="237" spans="1:35" x14ac:dyDescent="0.3">
      <c r="A237" t="str">
        <f>VLOOKUP(Q237,regions_fabio!$A$2:$C$192,3,0)</f>
        <v>LKA</v>
      </c>
      <c r="B237" t="str">
        <f>IFERROR(VLOOKUP(A237,polities_whep!$A$1:$G$199,2,0),"")</f>
        <v>Sri Lanka</v>
      </c>
      <c r="C237">
        <v>38</v>
      </c>
      <c r="D237">
        <v>38</v>
      </c>
      <c r="E237" t="s">
        <v>600</v>
      </c>
      <c r="F237" t="str">
        <f>VLOOKUP(D237,FAO_areas!$A$2:$C$246,3,0)</f>
        <v>Sri Lanka</v>
      </c>
      <c r="G237" t="s">
        <v>32</v>
      </c>
      <c r="H237" t="s">
        <v>601</v>
      </c>
      <c r="I237" t="s">
        <v>601</v>
      </c>
      <c r="J237" t="s">
        <v>601</v>
      </c>
      <c r="K237">
        <v>38</v>
      </c>
      <c r="L237" t="s">
        <v>601</v>
      </c>
      <c r="M237">
        <v>144</v>
      </c>
      <c r="N237">
        <v>144</v>
      </c>
      <c r="O237">
        <v>13</v>
      </c>
      <c r="P237" t="s">
        <v>34</v>
      </c>
      <c r="Q237">
        <v>38</v>
      </c>
      <c r="R237" t="s">
        <v>1552</v>
      </c>
      <c r="S237" t="s">
        <v>35</v>
      </c>
      <c r="T237">
        <v>1</v>
      </c>
      <c r="U237" t="s">
        <v>601</v>
      </c>
      <c r="V237" t="s">
        <v>36</v>
      </c>
      <c r="W237" t="s">
        <v>37</v>
      </c>
      <c r="X237" t="s">
        <v>36</v>
      </c>
      <c r="Y237" t="s">
        <v>36</v>
      </c>
      <c r="Z237" t="s">
        <v>38</v>
      </c>
      <c r="AA237" t="s">
        <v>39</v>
      </c>
      <c r="AB237" t="s">
        <v>36</v>
      </c>
      <c r="AC237" t="s">
        <v>36</v>
      </c>
      <c r="AD237" t="s">
        <v>40</v>
      </c>
      <c r="AE237" t="s">
        <v>41</v>
      </c>
      <c r="AF237" t="s">
        <v>36</v>
      </c>
      <c r="AG237" t="s">
        <v>42</v>
      </c>
      <c r="AH237" t="s">
        <v>43</v>
      </c>
      <c r="AI237" t="str">
        <f t="shared" si="9"/>
        <v>Other</v>
      </c>
    </row>
    <row r="238" spans="1:35" x14ac:dyDescent="0.3">
      <c r="A238" t="str">
        <f>VLOOKUP(Q238,regions_fabio!$A$2:$C$192,3,0)</f>
        <v>SDN</v>
      </c>
      <c r="B238" t="str">
        <f>IFERROR(VLOOKUP(A238,polities_whep!$A$1:$G$199,2,0),"")</f>
        <v>Sudan</v>
      </c>
      <c r="C238">
        <v>254</v>
      </c>
      <c r="D238">
        <v>276</v>
      </c>
      <c r="E238" t="s">
        <v>602</v>
      </c>
      <c r="F238" t="str">
        <f>VLOOKUP(D238,FAO_areas!$A$2:$C$246,3,0)</f>
        <v>Sudan</v>
      </c>
      <c r="G238" t="s">
        <v>32</v>
      </c>
      <c r="H238" t="s">
        <v>597</v>
      </c>
      <c r="K238">
        <v>206</v>
      </c>
      <c r="L238" t="s">
        <v>597</v>
      </c>
      <c r="M238">
        <v>729</v>
      </c>
      <c r="N238">
        <v>729</v>
      </c>
      <c r="O238">
        <v>7</v>
      </c>
      <c r="P238" t="s">
        <v>34</v>
      </c>
      <c r="Q238">
        <v>206</v>
      </c>
      <c r="R238" t="s">
        <v>1552</v>
      </c>
      <c r="S238" t="s">
        <v>183</v>
      </c>
      <c r="T238">
        <v>0</v>
      </c>
      <c r="U238" t="s">
        <v>597</v>
      </c>
      <c r="V238" t="s">
        <v>80</v>
      </c>
      <c r="W238" t="s">
        <v>81</v>
      </c>
      <c r="X238" t="s">
        <v>82</v>
      </c>
      <c r="Y238" t="s">
        <v>56</v>
      </c>
      <c r="Z238" t="s">
        <v>60</v>
      </c>
      <c r="AA238" t="s">
        <v>60</v>
      </c>
      <c r="AB238" t="s">
        <v>56</v>
      </c>
      <c r="AC238" t="s">
        <v>56</v>
      </c>
      <c r="AD238" t="s">
        <v>40</v>
      </c>
      <c r="AE238" t="s">
        <v>41</v>
      </c>
      <c r="AF238" t="s">
        <v>56</v>
      </c>
      <c r="AG238" t="s">
        <v>59</v>
      </c>
      <c r="AH238" t="s">
        <v>43</v>
      </c>
      <c r="AI238" t="str">
        <f t="shared" si="9"/>
        <v>Other</v>
      </c>
    </row>
    <row r="239" spans="1:35" x14ac:dyDescent="0.3">
      <c r="A239" t="str">
        <f>VLOOKUP(Q239,regions_fabio!$A$2:$C$192,3,0)</f>
        <v>SDN</v>
      </c>
      <c r="B239" t="str">
        <f>IFERROR(VLOOKUP(A239,polities_whep!$A$1:$G$199,2,0),"")</f>
        <v>Sudan</v>
      </c>
      <c r="C239">
        <v>202</v>
      </c>
      <c r="D239">
        <v>206</v>
      </c>
      <c r="E239" t="s">
        <v>602</v>
      </c>
      <c r="F239" t="str">
        <f>VLOOKUP(D239,FAO_areas!$A$2:$C$246,3,0)</f>
        <v>Sudan (former)</v>
      </c>
      <c r="G239" t="s">
        <v>32</v>
      </c>
      <c r="H239" t="s">
        <v>603</v>
      </c>
      <c r="I239" t="s">
        <v>604</v>
      </c>
      <c r="J239" t="s">
        <v>597</v>
      </c>
      <c r="K239">
        <v>206</v>
      </c>
      <c r="L239" t="s">
        <v>597</v>
      </c>
      <c r="M239">
        <v>736</v>
      </c>
      <c r="N239">
        <v>736</v>
      </c>
      <c r="O239">
        <v>7</v>
      </c>
      <c r="P239" s="2" t="s">
        <v>34</v>
      </c>
      <c r="Q239" s="2">
        <v>206</v>
      </c>
      <c r="R239" t="s">
        <v>1552</v>
      </c>
      <c r="S239" t="s">
        <v>183</v>
      </c>
      <c r="T239">
        <v>1</v>
      </c>
      <c r="U239" t="s">
        <v>603</v>
      </c>
      <c r="V239" t="s">
        <v>80</v>
      </c>
      <c r="W239" t="s">
        <v>81</v>
      </c>
      <c r="X239" t="s">
        <v>82</v>
      </c>
      <c r="Y239" t="s">
        <v>56</v>
      </c>
      <c r="Z239" t="s">
        <v>60</v>
      </c>
      <c r="AA239" t="s">
        <v>60</v>
      </c>
      <c r="AB239" t="s">
        <v>56</v>
      </c>
      <c r="AC239" t="s">
        <v>56</v>
      </c>
      <c r="AD239" t="s">
        <v>40</v>
      </c>
      <c r="AE239" t="s">
        <v>41</v>
      </c>
      <c r="AF239" t="s">
        <v>56</v>
      </c>
      <c r="AG239" t="s">
        <v>59</v>
      </c>
      <c r="AH239" t="s">
        <v>43</v>
      </c>
      <c r="AI239" t="str">
        <f t="shared" si="9"/>
        <v>Other</v>
      </c>
    </row>
    <row r="240" spans="1:35" x14ac:dyDescent="0.3">
      <c r="A240" t="str">
        <f>VLOOKUP(Q240,regions_fabio!$A$2:$C$192,3,0)</f>
        <v>SUR</v>
      </c>
      <c r="B240" t="str">
        <f>IFERROR(VLOOKUP(A240,polities_whep!$A$1:$G$199,2,0),"")</f>
        <v>Suriname</v>
      </c>
      <c r="C240">
        <v>203</v>
      </c>
      <c r="D240">
        <v>207</v>
      </c>
      <c r="E240" t="s">
        <v>605</v>
      </c>
      <c r="F240" t="str">
        <f>VLOOKUP(D240,FAO_areas!$A$2:$C$246,3,0)</f>
        <v>Suriname</v>
      </c>
      <c r="G240" t="s">
        <v>32</v>
      </c>
      <c r="H240" t="s">
        <v>606</v>
      </c>
      <c r="I240" t="s">
        <v>606</v>
      </c>
      <c r="J240" t="s">
        <v>606</v>
      </c>
      <c r="K240">
        <v>207</v>
      </c>
      <c r="L240" t="s">
        <v>606</v>
      </c>
      <c r="M240">
        <v>740</v>
      </c>
      <c r="N240">
        <v>740</v>
      </c>
      <c r="O240">
        <v>4</v>
      </c>
      <c r="P240" t="s">
        <v>34</v>
      </c>
      <c r="Q240">
        <v>207</v>
      </c>
      <c r="R240" t="s">
        <v>1552</v>
      </c>
      <c r="S240" t="s">
        <v>103</v>
      </c>
      <c r="T240">
        <v>1</v>
      </c>
      <c r="U240" t="s">
        <v>606</v>
      </c>
      <c r="V240" t="s">
        <v>90</v>
      </c>
      <c r="W240" t="s">
        <v>91</v>
      </c>
      <c r="X240" t="s">
        <v>92</v>
      </c>
      <c r="Y240" t="s">
        <v>90</v>
      </c>
      <c r="Z240" t="s">
        <v>93</v>
      </c>
      <c r="AA240" t="s">
        <v>93</v>
      </c>
      <c r="AB240" t="s">
        <v>90</v>
      </c>
      <c r="AC240" t="s">
        <v>103</v>
      </c>
      <c r="AD240" t="s">
        <v>40</v>
      </c>
      <c r="AE240" t="s">
        <v>41</v>
      </c>
      <c r="AF240" t="s">
        <v>155</v>
      </c>
      <c r="AG240" t="s">
        <v>92</v>
      </c>
      <c r="AH240" t="s">
        <v>43</v>
      </c>
      <c r="AI240" t="str">
        <f t="shared" si="9"/>
        <v>Other</v>
      </c>
    </row>
    <row r="241" spans="1:35" x14ac:dyDescent="0.3">
      <c r="A241" t="str">
        <f>VLOOKUP(Q241,regions_fabio!$A$2:$C$192,3,0)</f>
        <v>SWE</v>
      </c>
      <c r="B241" t="str">
        <f>IFERROR(VLOOKUP(A241,polities_whep!$A$1:$G$199,2,0),"")</f>
        <v>Sweden</v>
      </c>
      <c r="C241">
        <v>206</v>
      </c>
      <c r="D241">
        <v>210</v>
      </c>
      <c r="E241" t="s">
        <v>609</v>
      </c>
      <c r="F241" t="str">
        <f>VLOOKUP(D241,FAO_areas!$A$2:$C$246,3,0)</f>
        <v>Sweden</v>
      </c>
      <c r="G241" t="s">
        <v>34</v>
      </c>
      <c r="H241" t="s">
        <v>610</v>
      </c>
      <c r="I241" t="s">
        <v>610</v>
      </c>
      <c r="J241" t="s">
        <v>610</v>
      </c>
      <c r="K241">
        <v>210</v>
      </c>
      <c r="L241" t="s">
        <v>610</v>
      </c>
      <c r="M241">
        <v>752</v>
      </c>
      <c r="N241">
        <v>752</v>
      </c>
      <c r="O241">
        <v>9</v>
      </c>
      <c r="P241" t="s">
        <v>34</v>
      </c>
      <c r="Q241">
        <v>210</v>
      </c>
      <c r="R241" t="s">
        <v>5064</v>
      </c>
      <c r="S241" t="s">
        <v>74</v>
      </c>
      <c r="T241">
        <v>1</v>
      </c>
      <c r="U241" t="s">
        <v>610</v>
      </c>
      <c r="V241" t="s">
        <v>75</v>
      </c>
      <c r="W241" t="s">
        <v>76</v>
      </c>
      <c r="X241" t="s">
        <v>49</v>
      </c>
      <c r="Y241" t="s">
        <v>251</v>
      </c>
      <c r="Z241" t="s">
        <v>49</v>
      </c>
      <c r="AA241" t="s">
        <v>51</v>
      </c>
      <c r="AB241" t="s">
        <v>52</v>
      </c>
      <c r="AC241" t="s">
        <v>251</v>
      </c>
      <c r="AD241" t="s">
        <v>117</v>
      </c>
      <c r="AE241" t="s">
        <v>118</v>
      </c>
      <c r="AF241" t="s">
        <v>251</v>
      </c>
      <c r="AG241" t="s">
        <v>49</v>
      </c>
      <c r="AH241" t="s">
        <v>53</v>
      </c>
      <c r="AI241" t="str">
        <f t="shared" si="9"/>
        <v>Europe</v>
      </c>
    </row>
    <row r="242" spans="1:35" x14ac:dyDescent="0.3">
      <c r="A242" t="str">
        <f>VLOOKUP(Q242,regions_fabio!$A$2:$C$192,3,0)</f>
        <v>CHE</v>
      </c>
      <c r="B242" t="str">
        <f>IFERROR(VLOOKUP(A242,polities_whep!$A$1:$G$199,2,0),"")</f>
        <v>Switzerland</v>
      </c>
      <c r="C242">
        <v>207</v>
      </c>
      <c r="D242">
        <v>211</v>
      </c>
      <c r="E242" t="s">
        <v>611</v>
      </c>
      <c r="F242" t="str">
        <f>VLOOKUP(D242,FAO_areas!$A$2:$C$246,3,0)</f>
        <v>Switzerland</v>
      </c>
      <c r="G242" t="s">
        <v>32</v>
      </c>
      <c r="H242" t="s">
        <v>612</v>
      </c>
      <c r="I242" t="s">
        <v>612</v>
      </c>
      <c r="J242" t="s">
        <v>612</v>
      </c>
      <c r="K242">
        <v>211</v>
      </c>
      <c r="L242" t="s">
        <v>612</v>
      </c>
      <c r="M242">
        <v>757</v>
      </c>
      <c r="N242">
        <v>756</v>
      </c>
      <c r="O242">
        <v>9</v>
      </c>
      <c r="P242" t="s">
        <v>34</v>
      </c>
      <c r="Q242">
        <v>211</v>
      </c>
      <c r="R242" t="s">
        <v>1552</v>
      </c>
      <c r="S242" t="s">
        <v>74</v>
      </c>
      <c r="T242">
        <v>1</v>
      </c>
      <c r="U242" t="s">
        <v>612</v>
      </c>
      <c r="V242" t="s">
        <v>75</v>
      </c>
      <c r="W242" t="s">
        <v>76</v>
      </c>
      <c r="X242" t="s">
        <v>49</v>
      </c>
      <c r="Y242" t="s">
        <v>75</v>
      </c>
      <c r="Z242" t="s">
        <v>49</v>
      </c>
      <c r="AA242" t="s">
        <v>51</v>
      </c>
      <c r="AB242" t="s">
        <v>52</v>
      </c>
      <c r="AC242" t="s">
        <v>75</v>
      </c>
      <c r="AD242" t="s">
        <v>117</v>
      </c>
      <c r="AE242" t="s">
        <v>118</v>
      </c>
      <c r="AF242" t="s">
        <v>75</v>
      </c>
      <c r="AG242" t="s">
        <v>49</v>
      </c>
      <c r="AH242" t="s">
        <v>53</v>
      </c>
      <c r="AI242" t="str">
        <f t="shared" si="9"/>
        <v>Europe</v>
      </c>
    </row>
    <row r="243" spans="1:35" x14ac:dyDescent="0.3">
      <c r="A243" t="s">
        <v>613</v>
      </c>
      <c r="B243" t="s">
        <v>615</v>
      </c>
      <c r="C243">
        <v>208</v>
      </c>
      <c r="D243">
        <v>212</v>
      </c>
      <c r="E243" t="s">
        <v>613</v>
      </c>
      <c r="F243" t="str">
        <f>VLOOKUP(D243,FAO_areas!$A$2:$C$246,3,0)</f>
        <v>Syrian Arab Republic</v>
      </c>
      <c r="G243" t="s">
        <v>32</v>
      </c>
      <c r="H243" t="s">
        <v>614</v>
      </c>
      <c r="I243" t="s">
        <v>615</v>
      </c>
      <c r="J243" t="s">
        <v>614</v>
      </c>
      <c r="K243">
        <v>212</v>
      </c>
      <c r="L243" t="s">
        <v>614</v>
      </c>
      <c r="M243">
        <v>760</v>
      </c>
      <c r="N243">
        <v>760</v>
      </c>
      <c r="O243">
        <v>12</v>
      </c>
      <c r="P243" t="s">
        <v>34</v>
      </c>
      <c r="Q243">
        <v>999</v>
      </c>
      <c r="R243" t="s">
        <v>1552</v>
      </c>
      <c r="S243" t="s">
        <v>128</v>
      </c>
      <c r="T243">
        <v>1</v>
      </c>
      <c r="U243" t="s">
        <v>614</v>
      </c>
      <c r="V243" t="s">
        <v>57</v>
      </c>
      <c r="W243" t="s">
        <v>58</v>
      </c>
      <c r="X243" t="s">
        <v>59</v>
      </c>
      <c r="Y243" t="s">
        <v>110</v>
      </c>
      <c r="Z243" t="s">
        <v>38</v>
      </c>
      <c r="AA243" t="s">
        <v>129</v>
      </c>
      <c r="AB243" t="s">
        <v>129</v>
      </c>
      <c r="AC243" t="s">
        <v>129</v>
      </c>
      <c r="AD243" t="s">
        <v>40</v>
      </c>
      <c r="AE243" t="s">
        <v>41</v>
      </c>
      <c r="AF243" t="s">
        <v>110</v>
      </c>
      <c r="AG243" t="s">
        <v>59</v>
      </c>
      <c r="AH243" t="s">
        <v>43</v>
      </c>
      <c r="AI243" t="str">
        <f t="shared" si="9"/>
        <v>Other</v>
      </c>
    </row>
    <row r="244" spans="1:35" x14ac:dyDescent="0.3">
      <c r="A244" t="str">
        <f>VLOOKUP(Q244,regions_fabio!$A$2:$C$192,3,0)</f>
        <v>TJK</v>
      </c>
      <c r="B244" t="str">
        <f>IFERROR(VLOOKUP(A244,polities_whep!$A$1:$G$199,2,0),"")</f>
        <v>Tajikistan</v>
      </c>
      <c r="C244">
        <v>204</v>
      </c>
      <c r="D244">
        <v>208</v>
      </c>
      <c r="E244" t="s">
        <v>616</v>
      </c>
      <c r="F244" t="str">
        <f>VLOOKUP(D244,FAO_areas!$A$2:$C$246,3,0)</f>
        <v>Tajikistan</v>
      </c>
      <c r="G244" t="s">
        <v>32</v>
      </c>
      <c r="H244" t="s">
        <v>617</v>
      </c>
      <c r="I244" t="s">
        <v>617</v>
      </c>
      <c r="J244" t="s">
        <v>617</v>
      </c>
      <c r="K244">
        <v>208</v>
      </c>
      <c r="L244" t="s">
        <v>617</v>
      </c>
      <c r="M244">
        <v>762</v>
      </c>
      <c r="N244">
        <v>762</v>
      </c>
      <c r="O244">
        <v>11</v>
      </c>
      <c r="P244" t="s">
        <v>34</v>
      </c>
      <c r="Q244">
        <v>208</v>
      </c>
      <c r="R244" t="s">
        <v>1552</v>
      </c>
      <c r="S244" t="s">
        <v>107</v>
      </c>
      <c r="T244">
        <v>1</v>
      </c>
      <c r="U244" t="s">
        <v>617</v>
      </c>
      <c r="V244" t="s">
        <v>108</v>
      </c>
      <c r="W244" t="s">
        <v>37</v>
      </c>
      <c r="X244" t="s">
        <v>109</v>
      </c>
      <c r="Y244" t="s">
        <v>375</v>
      </c>
      <c r="Z244" t="s">
        <v>38</v>
      </c>
      <c r="AA244" t="s">
        <v>51</v>
      </c>
      <c r="AB244" t="s">
        <v>111</v>
      </c>
      <c r="AC244" t="s">
        <v>375</v>
      </c>
      <c r="AD244" t="s">
        <v>40</v>
      </c>
      <c r="AE244" t="s">
        <v>41</v>
      </c>
      <c r="AF244" t="s">
        <v>112</v>
      </c>
      <c r="AG244" t="s">
        <v>112</v>
      </c>
      <c r="AH244" t="s">
        <v>53</v>
      </c>
      <c r="AI244" t="str">
        <f t="shared" si="9"/>
        <v>Other</v>
      </c>
    </row>
    <row r="245" spans="1:35" x14ac:dyDescent="0.3">
      <c r="A245" t="str">
        <f>VLOOKUP(Q245,regions_fabio!$A$2:$C$192,3,0)</f>
        <v>TZA</v>
      </c>
      <c r="B245" t="str">
        <f>IFERROR(VLOOKUP(A245,polities_whep!$A$1:$G$199,2,0),"")</f>
        <v>Tanzania</v>
      </c>
      <c r="C245">
        <v>211</v>
      </c>
      <c r="D245">
        <v>215</v>
      </c>
      <c r="E245" t="s">
        <v>618</v>
      </c>
      <c r="F245" t="str">
        <f>VLOOKUP(D245,FAO_areas!$A$2:$C$246,3,0)</f>
        <v>United Republic of Tanzania</v>
      </c>
      <c r="G245" t="s">
        <v>32</v>
      </c>
      <c r="H245" t="s">
        <v>619</v>
      </c>
      <c r="I245" t="s">
        <v>619</v>
      </c>
      <c r="J245" t="s">
        <v>620</v>
      </c>
      <c r="K245">
        <v>215</v>
      </c>
      <c r="L245" t="s">
        <v>621</v>
      </c>
      <c r="M245">
        <v>834</v>
      </c>
      <c r="N245">
        <v>834</v>
      </c>
      <c r="O245">
        <v>8</v>
      </c>
      <c r="P245" t="s">
        <v>34</v>
      </c>
      <c r="Q245">
        <v>215</v>
      </c>
      <c r="R245" t="s">
        <v>1552</v>
      </c>
      <c r="S245" t="s">
        <v>79</v>
      </c>
      <c r="T245">
        <v>1</v>
      </c>
      <c r="U245" t="s">
        <v>620</v>
      </c>
      <c r="V245" t="s">
        <v>80</v>
      </c>
      <c r="W245" t="s">
        <v>81</v>
      </c>
      <c r="X245" t="s">
        <v>82</v>
      </c>
      <c r="Y245" t="s">
        <v>83</v>
      </c>
      <c r="Z245" t="s">
        <v>60</v>
      </c>
      <c r="AA245" t="s">
        <v>60</v>
      </c>
      <c r="AB245" t="s">
        <v>83</v>
      </c>
      <c r="AC245" t="s">
        <v>183</v>
      </c>
      <c r="AD245" t="s">
        <v>40</v>
      </c>
      <c r="AE245" t="s">
        <v>41</v>
      </c>
      <c r="AF245" t="s">
        <v>183</v>
      </c>
      <c r="AG245" t="s">
        <v>86</v>
      </c>
      <c r="AH245" t="s">
        <v>43</v>
      </c>
      <c r="AI245" t="str">
        <f t="shared" si="9"/>
        <v>Other</v>
      </c>
    </row>
    <row r="246" spans="1:35" x14ac:dyDescent="0.3">
      <c r="A246" t="str">
        <f>VLOOKUP(Q246,regions_fabio!$A$2:$C$192,3,0)</f>
        <v>THA</v>
      </c>
      <c r="B246" t="str">
        <f>IFERROR(VLOOKUP(A246,polities_whep!$A$1:$G$199,2,0),"")</f>
        <v>Thailand</v>
      </c>
      <c r="C246">
        <v>212</v>
      </c>
      <c r="D246">
        <v>216</v>
      </c>
      <c r="E246" t="s">
        <v>622</v>
      </c>
      <c r="F246" t="str">
        <f>VLOOKUP(D246,FAO_areas!$A$2:$C$246,3,0)</f>
        <v>Thailand</v>
      </c>
      <c r="G246" t="s">
        <v>32</v>
      </c>
      <c r="H246" t="s">
        <v>623</v>
      </c>
      <c r="I246" t="s">
        <v>623</v>
      </c>
      <c r="J246" t="s">
        <v>623</v>
      </c>
      <c r="K246">
        <v>216</v>
      </c>
      <c r="L246" t="s">
        <v>623</v>
      </c>
      <c r="M246">
        <v>764</v>
      </c>
      <c r="N246">
        <v>764</v>
      </c>
      <c r="O246">
        <v>15</v>
      </c>
      <c r="P246" t="s">
        <v>34</v>
      </c>
      <c r="Q246">
        <v>216</v>
      </c>
      <c r="R246" t="s">
        <v>1552</v>
      </c>
      <c r="S246" t="s">
        <v>172</v>
      </c>
      <c r="T246">
        <v>1</v>
      </c>
      <c r="U246" t="s">
        <v>623</v>
      </c>
      <c r="V246" t="s">
        <v>173</v>
      </c>
      <c r="W246" t="s">
        <v>37</v>
      </c>
      <c r="X246" t="s">
        <v>174</v>
      </c>
      <c r="Y246" t="s">
        <v>175</v>
      </c>
      <c r="Z246" t="s">
        <v>38</v>
      </c>
      <c r="AA246" t="s">
        <v>39</v>
      </c>
      <c r="AB246" t="s">
        <v>67</v>
      </c>
      <c r="AC246" t="s">
        <v>176</v>
      </c>
      <c r="AD246" t="s">
        <v>40</v>
      </c>
      <c r="AE246" t="s">
        <v>41</v>
      </c>
      <c r="AF246" t="s">
        <v>175</v>
      </c>
      <c r="AG246" t="s">
        <v>42</v>
      </c>
      <c r="AH246" t="s">
        <v>43</v>
      </c>
      <c r="AI246" t="str">
        <f t="shared" si="9"/>
        <v>Other</v>
      </c>
    </row>
    <row r="247" spans="1:35" x14ac:dyDescent="0.3">
      <c r="A247" t="str">
        <f>VLOOKUP(Q247,regions_fabio!$A$2:$C$192,3,0)</f>
        <v>TLS</v>
      </c>
      <c r="B247" t="str">
        <f>IFERROR(VLOOKUP(A247,polities_whep!$A$1:$G$199,2,0),"")</f>
        <v>Timor-Leste</v>
      </c>
      <c r="C247">
        <v>173</v>
      </c>
      <c r="D247">
        <v>176</v>
      </c>
      <c r="E247" t="s">
        <v>624</v>
      </c>
      <c r="F247" t="str">
        <f>VLOOKUP(D247,FAO_areas!$A$2:$C$246,3,0)</f>
        <v>Timor-Leste</v>
      </c>
      <c r="G247" t="s">
        <v>32</v>
      </c>
      <c r="H247" t="s">
        <v>625</v>
      </c>
      <c r="I247" t="s">
        <v>626</v>
      </c>
      <c r="K247">
        <v>176</v>
      </c>
      <c r="L247" t="s">
        <v>625</v>
      </c>
      <c r="M247">
        <v>626</v>
      </c>
      <c r="N247">
        <v>626</v>
      </c>
      <c r="O247">
        <v>15</v>
      </c>
      <c r="P247" t="s">
        <v>34</v>
      </c>
      <c r="Q247">
        <v>176</v>
      </c>
      <c r="R247" t="s">
        <v>1552</v>
      </c>
      <c r="S247" t="s">
        <v>172</v>
      </c>
      <c r="T247">
        <v>1</v>
      </c>
      <c r="U247" t="s">
        <v>625</v>
      </c>
      <c r="V247" t="s">
        <v>173</v>
      </c>
      <c r="W247" t="s">
        <v>37</v>
      </c>
      <c r="X247" t="s">
        <v>174</v>
      </c>
      <c r="Y247" t="s">
        <v>175</v>
      </c>
      <c r="Z247" t="s">
        <v>38</v>
      </c>
      <c r="AA247" t="s">
        <v>39</v>
      </c>
      <c r="AB247" t="s">
        <v>67</v>
      </c>
      <c r="AC247" t="s">
        <v>176</v>
      </c>
      <c r="AD247" t="s">
        <v>40</v>
      </c>
      <c r="AE247" t="s">
        <v>41</v>
      </c>
      <c r="AF247" t="s">
        <v>175</v>
      </c>
      <c r="AG247" t="s">
        <v>42</v>
      </c>
      <c r="AH247" t="s">
        <v>43</v>
      </c>
      <c r="AI247" t="str">
        <f t="shared" si="9"/>
        <v>Other</v>
      </c>
    </row>
    <row r="248" spans="1:35" x14ac:dyDescent="0.3">
      <c r="A248" t="str">
        <f>VLOOKUP(Q248,regions_fabio!$A$2:$C$192,3,0)</f>
        <v>TGO</v>
      </c>
      <c r="B248" t="str">
        <f>IFERROR(VLOOKUP(A248,polities_whep!$A$1:$G$199,2,0),"")</f>
        <v>Togo</v>
      </c>
      <c r="C248">
        <v>213</v>
      </c>
      <c r="D248">
        <v>217</v>
      </c>
      <c r="E248" t="s">
        <v>627</v>
      </c>
      <c r="F248" t="str">
        <f>VLOOKUP(D248,FAO_areas!$A$2:$C$246,3,0)</f>
        <v>Togo</v>
      </c>
      <c r="G248" t="s">
        <v>32</v>
      </c>
      <c r="H248" t="s">
        <v>628</v>
      </c>
      <c r="I248" t="s">
        <v>628</v>
      </c>
      <c r="J248" t="s">
        <v>628</v>
      </c>
      <c r="K248">
        <v>217</v>
      </c>
      <c r="L248" t="s">
        <v>628</v>
      </c>
      <c r="M248">
        <v>768</v>
      </c>
      <c r="N248">
        <v>768</v>
      </c>
      <c r="O248">
        <v>6</v>
      </c>
      <c r="P248" t="s">
        <v>34</v>
      </c>
      <c r="Q248">
        <v>217</v>
      </c>
      <c r="R248" t="s">
        <v>1552</v>
      </c>
      <c r="S248" t="s">
        <v>145</v>
      </c>
      <c r="T248">
        <v>1</v>
      </c>
      <c r="U248" t="s">
        <v>628</v>
      </c>
      <c r="V248" t="s">
        <v>80</v>
      </c>
      <c r="W248" t="s">
        <v>81</v>
      </c>
      <c r="X248" t="s">
        <v>82</v>
      </c>
      <c r="Y248" t="s">
        <v>83</v>
      </c>
      <c r="Z248" t="s">
        <v>60</v>
      </c>
      <c r="AA248" t="s">
        <v>60</v>
      </c>
      <c r="AB248" t="s">
        <v>83</v>
      </c>
      <c r="AC248" t="s">
        <v>145</v>
      </c>
      <c r="AD248" t="s">
        <v>40</v>
      </c>
      <c r="AE248" t="s">
        <v>41</v>
      </c>
      <c r="AF248" t="s">
        <v>145</v>
      </c>
      <c r="AG248" t="s">
        <v>86</v>
      </c>
      <c r="AH248" t="s">
        <v>43</v>
      </c>
      <c r="AI248" t="str">
        <f t="shared" si="9"/>
        <v>Other</v>
      </c>
    </row>
    <row r="249" spans="1:35" x14ac:dyDescent="0.3">
      <c r="A249" t="str">
        <f>VLOOKUP(Q249,regions_fabio!$A$2:$C$192,3,0)</f>
        <v>TTO</v>
      </c>
      <c r="B249" t="str">
        <f>IFERROR(VLOOKUP(A249,polities_whep!$A$1:$G$199,2,0),"")</f>
        <v>Trinidad and Tobago</v>
      </c>
      <c r="C249">
        <v>216</v>
      </c>
      <c r="D249">
        <v>220</v>
      </c>
      <c r="E249" t="s">
        <v>633</v>
      </c>
      <c r="F249" t="str">
        <f>VLOOKUP(D249,FAO_areas!$A$2:$C$246,3,0)</f>
        <v>Trinidad and Tobago</v>
      </c>
      <c r="G249" t="s">
        <v>32</v>
      </c>
      <c r="H249" t="s">
        <v>634</v>
      </c>
      <c r="I249" t="s">
        <v>634</v>
      </c>
      <c r="J249" t="s">
        <v>634</v>
      </c>
      <c r="K249">
        <v>220</v>
      </c>
      <c r="L249" t="s">
        <v>634</v>
      </c>
      <c r="M249">
        <v>780</v>
      </c>
      <c r="N249">
        <v>780</v>
      </c>
      <c r="O249">
        <v>3</v>
      </c>
      <c r="P249" t="s">
        <v>34</v>
      </c>
      <c r="Q249">
        <v>220</v>
      </c>
      <c r="R249" t="s">
        <v>1552</v>
      </c>
      <c r="S249" t="s">
        <v>89</v>
      </c>
      <c r="T249">
        <v>1</v>
      </c>
      <c r="U249" t="s">
        <v>634</v>
      </c>
      <c r="V249" t="s">
        <v>90</v>
      </c>
      <c r="W249" t="s">
        <v>91</v>
      </c>
      <c r="X249" t="s">
        <v>92</v>
      </c>
      <c r="Y249" t="s">
        <v>90</v>
      </c>
      <c r="Z249" t="s">
        <v>93</v>
      </c>
      <c r="AA249" t="s">
        <v>93</v>
      </c>
      <c r="AB249" t="s">
        <v>90</v>
      </c>
      <c r="AC249" t="s">
        <v>94</v>
      </c>
      <c r="AD249" t="s">
        <v>40</v>
      </c>
      <c r="AE249" t="s">
        <v>41</v>
      </c>
      <c r="AF249" t="s">
        <v>95</v>
      </c>
      <c r="AG249" t="s">
        <v>92</v>
      </c>
      <c r="AH249" t="s">
        <v>43</v>
      </c>
      <c r="AI249" t="str">
        <f t="shared" si="9"/>
        <v>Other</v>
      </c>
    </row>
    <row r="250" spans="1:35" x14ac:dyDescent="0.3">
      <c r="A250" t="str">
        <f>VLOOKUP(Q250,regions_fabio!$A$2:$C$192,3,0)</f>
        <v>TUN</v>
      </c>
      <c r="B250" t="str">
        <f>IFERROR(VLOOKUP(A250,polities_whep!$A$1:$G$199,2,0),"")</f>
        <v>Tunisia</v>
      </c>
      <c r="C250">
        <v>218</v>
      </c>
      <c r="D250">
        <v>222</v>
      </c>
      <c r="E250" t="s">
        <v>635</v>
      </c>
      <c r="F250" t="str">
        <f>VLOOKUP(D250,FAO_areas!$A$2:$C$246,3,0)</f>
        <v>Tunisia</v>
      </c>
      <c r="G250" t="s">
        <v>32</v>
      </c>
      <c r="H250" t="s">
        <v>636</v>
      </c>
      <c r="I250" t="s">
        <v>636</v>
      </c>
      <c r="J250" t="s">
        <v>636</v>
      </c>
      <c r="K250">
        <v>222</v>
      </c>
      <c r="L250" t="s">
        <v>636</v>
      </c>
      <c r="M250">
        <v>788</v>
      </c>
      <c r="N250">
        <v>788</v>
      </c>
      <c r="O250">
        <v>5</v>
      </c>
      <c r="P250" t="s">
        <v>34</v>
      </c>
      <c r="Q250">
        <v>222</v>
      </c>
      <c r="R250" t="s">
        <v>1552</v>
      </c>
      <c r="S250" t="s">
        <v>56</v>
      </c>
      <c r="T250">
        <v>1</v>
      </c>
      <c r="U250" t="s">
        <v>636</v>
      </c>
      <c r="V250" t="s">
        <v>57</v>
      </c>
      <c r="W250" t="s">
        <v>58</v>
      </c>
      <c r="X250" t="s">
        <v>59</v>
      </c>
      <c r="Y250" t="s">
        <v>56</v>
      </c>
      <c r="Z250" t="s">
        <v>60</v>
      </c>
      <c r="AA250" t="s">
        <v>60</v>
      </c>
      <c r="AB250" t="s">
        <v>56</v>
      </c>
      <c r="AC250" t="s">
        <v>56</v>
      </c>
      <c r="AD250" t="s">
        <v>40</v>
      </c>
      <c r="AE250" t="s">
        <v>41</v>
      </c>
      <c r="AF250" t="s">
        <v>56</v>
      </c>
      <c r="AG250" t="s">
        <v>59</v>
      </c>
      <c r="AH250" t="s">
        <v>43</v>
      </c>
      <c r="AI250" t="str">
        <f t="shared" si="9"/>
        <v>Other</v>
      </c>
    </row>
    <row r="251" spans="1:35" x14ac:dyDescent="0.3">
      <c r="A251" t="str">
        <f>VLOOKUP(Q251,regions_fabio!$A$2:$C$192,3,0)</f>
        <v>TUR</v>
      </c>
      <c r="B251" t="str">
        <f>IFERROR(VLOOKUP(A251,polities_whep!$A$1:$G$199,2,0),"")</f>
        <v>Turkey</v>
      </c>
      <c r="C251">
        <v>219</v>
      </c>
      <c r="D251">
        <v>223</v>
      </c>
      <c r="E251" t="s">
        <v>637</v>
      </c>
      <c r="F251" t="str">
        <f>VLOOKUP(D251,FAO_areas!$A$2:$C$246,3,0)</f>
        <v>Türkiye</v>
      </c>
      <c r="G251" t="s">
        <v>32</v>
      </c>
      <c r="H251" t="s">
        <v>638</v>
      </c>
      <c r="I251" t="s">
        <v>638</v>
      </c>
      <c r="J251" t="s">
        <v>638</v>
      </c>
      <c r="K251">
        <v>223</v>
      </c>
      <c r="L251" t="s">
        <v>638</v>
      </c>
      <c r="M251">
        <v>792</v>
      </c>
      <c r="N251">
        <v>792</v>
      </c>
      <c r="O251">
        <v>12</v>
      </c>
      <c r="P251" t="s">
        <v>34</v>
      </c>
      <c r="Q251">
        <v>223</v>
      </c>
      <c r="R251" t="s">
        <v>1552</v>
      </c>
      <c r="S251" t="s">
        <v>128</v>
      </c>
      <c r="T251">
        <v>1</v>
      </c>
      <c r="U251" t="s">
        <v>638</v>
      </c>
      <c r="V251" t="s">
        <v>57</v>
      </c>
      <c r="W251" t="s">
        <v>58</v>
      </c>
      <c r="X251" t="s">
        <v>59</v>
      </c>
      <c r="Y251" t="s">
        <v>110</v>
      </c>
      <c r="Z251" t="s">
        <v>38</v>
      </c>
      <c r="AA251" t="s">
        <v>51</v>
      </c>
      <c r="AB251" t="s">
        <v>111</v>
      </c>
      <c r="AC251" t="s">
        <v>110</v>
      </c>
      <c r="AD251" t="s">
        <v>117</v>
      </c>
      <c r="AE251" t="s">
        <v>118</v>
      </c>
      <c r="AF251" t="s">
        <v>110</v>
      </c>
      <c r="AG251" t="s">
        <v>59</v>
      </c>
      <c r="AH251" t="s">
        <v>43</v>
      </c>
      <c r="AI251" t="str">
        <f t="shared" si="9"/>
        <v>Other</v>
      </c>
    </row>
    <row r="252" spans="1:35" x14ac:dyDescent="0.3">
      <c r="A252" t="str">
        <f>VLOOKUP(Q252,regions_fabio!$A$2:$C$192,3,0)</f>
        <v>TKM</v>
      </c>
      <c r="B252" t="str">
        <f>IFERROR(VLOOKUP(A252,polities_whep!$A$1:$G$199,2,0),"")</f>
        <v>Turkmenistan</v>
      </c>
      <c r="C252">
        <v>209</v>
      </c>
      <c r="D252">
        <v>213</v>
      </c>
      <c r="E252" t="s">
        <v>639</v>
      </c>
      <c r="F252" t="str">
        <f>VLOOKUP(D252,FAO_areas!$A$2:$C$246,3,0)</f>
        <v>Turkmenistan</v>
      </c>
      <c r="G252" t="s">
        <v>32</v>
      </c>
      <c r="H252" t="s">
        <v>640</v>
      </c>
      <c r="I252" t="s">
        <v>640</v>
      </c>
      <c r="J252" t="s">
        <v>640</v>
      </c>
      <c r="K252">
        <v>213</v>
      </c>
      <c r="L252" t="s">
        <v>640</v>
      </c>
      <c r="M252">
        <v>795</v>
      </c>
      <c r="N252">
        <v>795</v>
      </c>
      <c r="O252">
        <v>11</v>
      </c>
      <c r="P252" t="s">
        <v>34</v>
      </c>
      <c r="Q252">
        <v>213</v>
      </c>
      <c r="R252" t="s">
        <v>1552</v>
      </c>
      <c r="S252" t="s">
        <v>107</v>
      </c>
      <c r="T252">
        <v>1</v>
      </c>
      <c r="U252" t="s">
        <v>640</v>
      </c>
      <c r="V252" t="s">
        <v>108</v>
      </c>
      <c r="W252" t="s">
        <v>37</v>
      </c>
      <c r="X252" t="s">
        <v>109</v>
      </c>
      <c r="Y252" t="s">
        <v>375</v>
      </c>
      <c r="Z252" t="s">
        <v>38</v>
      </c>
      <c r="AA252" t="s">
        <v>51</v>
      </c>
      <c r="AB252" t="s">
        <v>111</v>
      </c>
      <c r="AC252" t="s">
        <v>375</v>
      </c>
      <c r="AD252" t="s">
        <v>40</v>
      </c>
      <c r="AE252" t="s">
        <v>41</v>
      </c>
      <c r="AF252" t="s">
        <v>112</v>
      </c>
      <c r="AG252" t="s">
        <v>112</v>
      </c>
      <c r="AH252" t="s">
        <v>53</v>
      </c>
      <c r="AI252" t="str">
        <f t="shared" si="9"/>
        <v>Other</v>
      </c>
    </row>
    <row r="253" spans="1:35" x14ac:dyDescent="0.3">
      <c r="A253" t="str">
        <f>VLOOKUP(Q253,regions_fabio!$A$2:$C$192,3,0)</f>
        <v>UGA</v>
      </c>
      <c r="B253" t="str">
        <f>IFERROR(VLOOKUP(A253,polities_whep!$A$1:$G$199,2,0),"")</f>
        <v>Uganda</v>
      </c>
      <c r="C253">
        <v>222</v>
      </c>
      <c r="D253">
        <v>226</v>
      </c>
      <c r="E253" t="s">
        <v>645</v>
      </c>
      <c r="F253" t="str">
        <f>VLOOKUP(D253,FAO_areas!$A$2:$C$246,3,0)</f>
        <v>Uganda</v>
      </c>
      <c r="G253" t="s">
        <v>32</v>
      </c>
      <c r="H253" t="s">
        <v>646</v>
      </c>
      <c r="I253" t="s">
        <v>646</v>
      </c>
      <c r="K253">
        <v>226</v>
      </c>
      <c r="L253" t="s">
        <v>646</v>
      </c>
      <c r="M253">
        <v>800</v>
      </c>
      <c r="N253">
        <v>800</v>
      </c>
      <c r="O253">
        <v>7</v>
      </c>
      <c r="P253" t="s">
        <v>34</v>
      </c>
      <c r="Q253">
        <v>226</v>
      </c>
      <c r="R253" t="s">
        <v>1552</v>
      </c>
      <c r="S253" t="s">
        <v>183</v>
      </c>
      <c r="T253">
        <v>1</v>
      </c>
      <c r="U253" t="s">
        <v>646</v>
      </c>
      <c r="V253" t="s">
        <v>80</v>
      </c>
      <c r="W253" t="s">
        <v>81</v>
      </c>
      <c r="X253" t="s">
        <v>82</v>
      </c>
      <c r="Y253" t="s">
        <v>83</v>
      </c>
      <c r="Z253" t="s">
        <v>60</v>
      </c>
      <c r="AA253" t="s">
        <v>60</v>
      </c>
      <c r="AB253" t="s">
        <v>83</v>
      </c>
      <c r="AC253" t="s">
        <v>183</v>
      </c>
      <c r="AD253" t="s">
        <v>40</v>
      </c>
      <c r="AE253" t="s">
        <v>41</v>
      </c>
      <c r="AF253" t="s">
        <v>183</v>
      </c>
      <c r="AG253" t="s">
        <v>86</v>
      </c>
      <c r="AH253" t="s">
        <v>43</v>
      </c>
      <c r="AI253" t="str">
        <f t="shared" si="9"/>
        <v>Other</v>
      </c>
    </row>
    <row r="254" spans="1:35" x14ac:dyDescent="0.3">
      <c r="A254" t="str">
        <f>VLOOKUP(Q254,regions_fabio!$A$2:$C$192,3,0)</f>
        <v>UKR</v>
      </c>
      <c r="B254" t="str">
        <f>IFERROR(VLOOKUP(A254,polities_whep!$A$1:$G$199,2,0),"")</f>
        <v>Ukraine</v>
      </c>
      <c r="C254">
        <v>226</v>
      </c>
      <c r="D254">
        <v>230</v>
      </c>
      <c r="E254" t="s">
        <v>647</v>
      </c>
      <c r="F254" t="str">
        <f>VLOOKUP(D254,FAO_areas!$A$2:$C$246,3,0)</f>
        <v>Ukraine</v>
      </c>
      <c r="G254" t="s">
        <v>32</v>
      </c>
      <c r="H254" t="s">
        <v>648</v>
      </c>
      <c r="I254" t="s">
        <v>648</v>
      </c>
      <c r="J254" t="s">
        <v>648</v>
      </c>
      <c r="K254">
        <v>230</v>
      </c>
      <c r="L254" t="s">
        <v>648</v>
      </c>
      <c r="M254">
        <v>804</v>
      </c>
      <c r="N254">
        <v>804</v>
      </c>
      <c r="O254">
        <v>11</v>
      </c>
      <c r="P254" t="s">
        <v>34</v>
      </c>
      <c r="Q254">
        <v>230</v>
      </c>
      <c r="R254" t="s">
        <v>1552</v>
      </c>
      <c r="S254" t="s">
        <v>107</v>
      </c>
      <c r="T254">
        <v>1</v>
      </c>
      <c r="U254" t="s">
        <v>648</v>
      </c>
      <c r="V254" t="s">
        <v>47</v>
      </c>
      <c r="W254" t="s">
        <v>48</v>
      </c>
      <c r="X254" t="s">
        <v>49</v>
      </c>
      <c r="Y254" t="s">
        <v>46</v>
      </c>
      <c r="Z254" t="s">
        <v>49</v>
      </c>
      <c r="AA254" t="s">
        <v>51</v>
      </c>
      <c r="AB254" t="s">
        <v>46</v>
      </c>
      <c r="AC254" t="s">
        <v>46</v>
      </c>
      <c r="AD254" t="s">
        <v>40</v>
      </c>
      <c r="AE254" t="s">
        <v>118</v>
      </c>
      <c r="AF254" t="s">
        <v>112</v>
      </c>
      <c r="AG254" t="s">
        <v>112</v>
      </c>
      <c r="AH254" t="s">
        <v>53</v>
      </c>
      <c r="AI254" t="str">
        <f t="shared" si="9"/>
        <v>Europe</v>
      </c>
    </row>
    <row r="255" spans="1:35" x14ac:dyDescent="0.3">
      <c r="A255" t="str">
        <f>VLOOKUP(Q255,regions_fabio!$A$2:$C$192,3,0)</f>
        <v>ARE</v>
      </c>
      <c r="B255" t="str">
        <f>IFERROR(VLOOKUP(A255,polities_whep!$A$1:$G$199,2,0),"")</f>
        <v>United Arab Emirates</v>
      </c>
      <c r="C255">
        <v>221</v>
      </c>
      <c r="D255">
        <v>225</v>
      </c>
      <c r="E255" t="s">
        <v>649</v>
      </c>
      <c r="F255" t="str">
        <f>VLOOKUP(D255,FAO_areas!$A$2:$C$246,3,0)</f>
        <v>United Arab Emirates</v>
      </c>
      <c r="G255" t="s">
        <v>32</v>
      </c>
      <c r="H255" t="s">
        <v>650</v>
      </c>
      <c r="I255" t="s">
        <v>650</v>
      </c>
      <c r="J255" t="s">
        <v>650</v>
      </c>
      <c r="K255">
        <v>225</v>
      </c>
      <c r="L255" t="s">
        <v>650</v>
      </c>
      <c r="M255">
        <v>784</v>
      </c>
      <c r="N255">
        <v>784</v>
      </c>
      <c r="O255">
        <v>12</v>
      </c>
      <c r="P255" t="s">
        <v>34</v>
      </c>
      <c r="Q255">
        <v>225</v>
      </c>
      <c r="R255" t="s">
        <v>1552</v>
      </c>
      <c r="S255" t="s">
        <v>128</v>
      </c>
      <c r="T255">
        <v>1</v>
      </c>
      <c r="U255" t="s">
        <v>650</v>
      </c>
      <c r="V255" t="s">
        <v>57</v>
      </c>
      <c r="W255" t="s">
        <v>58</v>
      </c>
      <c r="X255" t="s">
        <v>59</v>
      </c>
      <c r="Y255" t="s">
        <v>110</v>
      </c>
      <c r="Z255" t="s">
        <v>38</v>
      </c>
      <c r="AA255" t="s">
        <v>129</v>
      </c>
      <c r="AB255" t="s">
        <v>129</v>
      </c>
      <c r="AC255" t="s">
        <v>129</v>
      </c>
      <c r="AD255" t="s">
        <v>40</v>
      </c>
      <c r="AE255" t="s">
        <v>41</v>
      </c>
      <c r="AF255" t="s">
        <v>110</v>
      </c>
      <c r="AG255" t="s">
        <v>59</v>
      </c>
      <c r="AH255" t="s">
        <v>43</v>
      </c>
      <c r="AI255" t="str">
        <f t="shared" si="9"/>
        <v>Other</v>
      </c>
    </row>
    <row r="256" spans="1:35" x14ac:dyDescent="0.3">
      <c r="A256" t="str">
        <f>VLOOKUP(Q256,regions_fabio!$A$2:$C$192,3,0)</f>
        <v>GBR</v>
      </c>
      <c r="B256" t="str">
        <f>IFERROR(VLOOKUP(A256,polities_whep!$A$1:$G$199,2,0),"")</f>
        <v>United Kingdom</v>
      </c>
      <c r="C256">
        <v>225</v>
      </c>
      <c r="D256">
        <v>229</v>
      </c>
      <c r="E256" t="s">
        <v>651</v>
      </c>
      <c r="F256" t="str">
        <f>VLOOKUP(D256,FAO_areas!$A$2:$C$246,3,0)</f>
        <v>United Kingdom of Great Britain and Northern Ireland</v>
      </c>
      <c r="G256" t="s">
        <v>32</v>
      </c>
      <c r="H256" t="s">
        <v>652</v>
      </c>
      <c r="I256" t="s">
        <v>652</v>
      </c>
      <c r="J256" t="s">
        <v>652</v>
      </c>
      <c r="K256">
        <v>229</v>
      </c>
      <c r="L256" t="s">
        <v>652</v>
      </c>
      <c r="M256">
        <v>826</v>
      </c>
      <c r="N256">
        <v>826</v>
      </c>
      <c r="O256">
        <v>9</v>
      </c>
      <c r="P256" t="s">
        <v>34</v>
      </c>
      <c r="Q256">
        <v>229</v>
      </c>
      <c r="R256" t="s">
        <v>1552</v>
      </c>
      <c r="S256" t="s">
        <v>74</v>
      </c>
      <c r="T256">
        <v>1</v>
      </c>
      <c r="U256" t="s">
        <v>652</v>
      </c>
      <c r="V256" t="s">
        <v>75</v>
      </c>
      <c r="W256" t="s">
        <v>76</v>
      </c>
      <c r="X256" t="s">
        <v>49</v>
      </c>
      <c r="Y256" t="s">
        <v>251</v>
      </c>
      <c r="Z256" t="s">
        <v>49</v>
      </c>
      <c r="AA256" t="s">
        <v>51</v>
      </c>
      <c r="AB256" t="s">
        <v>52</v>
      </c>
      <c r="AC256" t="s">
        <v>251</v>
      </c>
      <c r="AD256" t="s">
        <v>117</v>
      </c>
      <c r="AE256" t="s">
        <v>118</v>
      </c>
      <c r="AF256" t="s">
        <v>251</v>
      </c>
      <c r="AG256" t="s">
        <v>49</v>
      </c>
      <c r="AH256" t="s">
        <v>53</v>
      </c>
      <c r="AI256" t="str">
        <f t="shared" si="9"/>
        <v>Europe</v>
      </c>
    </row>
    <row r="257" spans="1:35" x14ac:dyDescent="0.3">
      <c r="A257" t="str">
        <f>VLOOKUP(Q257,regions_fabio!$A$2:$C$192,3,0)</f>
        <v>USA</v>
      </c>
      <c r="B257" t="str">
        <f>IFERROR(VLOOKUP(A257,polities_whep!$A$1:$G$199,2,0),"")</f>
        <v>United States of America</v>
      </c>
      <c r="C257">
        <v>227</v>
      </c>
      <c r="D257">
        <v>231</v>
      </c>
      <c r="E257" t="s">
        <v>549</v>
      </c>
      <c r="F257" t="str">
        <f>VLOOKUP(D257,FAO_areas!$A$2:$C$246,3,0)</f>
        <v>United States of America</v>
      </c>
      <c r="G257" t="s">
        <v>32</v>
      </c>
      <c r="H257" t="s">
        <v>653</v>
      </c>
      <c r="I257" t="s">
        <v>654</v>
      </c>
      <c r="J257" t="s">
        <v>654</v>
      </c>
      <c r="K257">
        <v>231</v>
      </c>
      <c r="L257" t="s">
        <v>653</v>
      </c>
      <c r="M257">
        <v>842</v>
      </c>
      <c r="N257">
        <v>840</v>
      </c>
      <c r="O257">
        <v>2</v>
      </c>
      <c r="P257" t="s">
        <v>34</v>
      </c>
      <c r="Q257">
        <v>231</v>
      </c>
      <c r="R257" t="s">
        <v>1552</v>
      </c>
      <c r="S257" t="s">
        <v>549</v>
      </c>
      <c r="T257">
        <v>1</v>
      </c>
      <c r="U257" t="s">
        <v>653</v>
      </c>
      <c r="V257" t="s">
        <v>148</v>
      </c>
      <c r="W257" t="s">
        <v>65</v>
      </c>
      <c r="X257" t="s">
        <v>148</v>
      </c>
      <c r="Y257" t="s">
        <v>148</v>
      </c>
      <c r="Z257" t="s">
        <v>93</v>
      </c>
      <c r="AA257" t="s">
        <v>93</v>
      </c>
      <c r="AB257" t="s">
        <v>148</v>
      </c>
      <c r="AC257" t="s">
        <v>148</v>
      </c>
      <c r="AD257" t="s">
        <v>117</v>
      </c>
      <c r="AE257" t="s">
        <v>118</v>
      </c>
      <c r="AF257" t="s">
        <v>148</v>
      </c>
      <c r="AG257" t="s">
        <v>149</v>
      </c>
      <c r="AH257" t="s">
        <v>53</v>
      </c>
      <c r="AI257" t="str">
        <f t="shared" si="9"/>
        <v>Other</v>
      </c>
    </row>
    <row r="258" spans="1:35" x14ac:dyDescent="0.3">
      <c r="A258" t="str">
        <f>VLOOKUP(Q258,regions_fabio!$A$2:$C$192,3,0)</f>
        <v>URY</v>
      </c>
      <c r="B258" t="str">
        <f>IFERROR(VLOOKUP(A258,polities_whep!$A$1:$G$199,2,0),"")</f>
        <v>Uruguay</v>
      </c>
      <c r="C258">
        <v>230</v>
      </c>
      <c r="D258">
        <v>234</v>
      </c>
      <c r="E258" t="s">
        <v>660</v>
      </c>
      <c r="F258" t="str">
        <f>VLOOKUP(D258,FAO_areas!$A$2:$C$246,3,0)</f>
        <v>Uruguay</v>
      </c>
      <c r="G258" t="s">
        <v>32</v>
      </c>
      <c r="H258" t="s">
        <v>661</v>
      </c>
      <c r="I258" t="s">
        <v>661</v>
      </c>
      <c r="J258" t="s">
        <v>661</v>
      </c>
      <c r="K258">
        <v>234</v>
      </c>
      <c r="L258" t="s">
        <v>661</v>
      </c>
      <c r="M258">
        <v>858</v>
      </c>
      <c r="N258">
        <v>858</v>
      </c>
      <c r="O258">
        <v>4</v>
      </c>
      <c r="P258" t="s">
        <v>34</v>
      </c>
      <c r="Q258">
        <v>234</v>
      </c>
      <c r="R258" t="s">
        <v>1552</v>
      </c>
      <c r="S258" t="s">
        <v>103</v>
      </c>
      <c r="T258">
        <v>1</v>
      </c>
      <c r="U258" t="s">
        <v>661</v>
      </c>
      <c r="V258" t="s">
        <v>90</v>
      </c>
      <c r="W258" t="s">
        <v>91</v>
      </c>
      <c r="X258" t="s">
        <v>92</v>
      </c>
      <c r="Y258" t="s">
        <v>90</v>
      </c>
      <c r="Z258" t="s">
        <v>93</v>
      </c>
      <c r="AA258" t="s">
        <v>93</v>
      </c>
      <c r="AB258" t="s">
        <v>90</v>
      </c>
      <c r="AC258" t="s">
        <v>103</v>
      </c>
      <c r="AD258" t="s">
        <v>40</v>
      </c>
      <c r="AE258" t="s">
        <v>41</v>
      </c>
      <c r="AF258" t="s">
        <v>104</v>
      </c>
      <c r="AG258" t="s">
        <v>92</v>
      </c>
      <c r="AH258" t="s">
        <v>53</v>
      </c>
      <c r="AI258" t="str">
        <f t="shared" si="9"/>
        <v>Other</v>
      </c>
    </row>
    <row r="259" spans="1:35" x14ac:dyDescent="0.3">
      <c r="A259" t="str">
        <f>VLOOKUP(Q259,regions_fabio!$A$2:$C$192,3,0)</f>
        <v>SUN</v>
      </c>
      <c r="B259" t="str">
        <f>IFERROR(VLOOKUP(A259,polities_whep!$A$1:$G$199,2,0),"")</f>
        <v>USSR</v>
      </c>
      <c r="C259">
        <v>224</v>
      </c>
      <c r="D259">
        <v>228</v>
      </c>
      <c r="E259" t="s">
        <v>664</v>
      </c>
      <c r="F259" t="str">
        <f>VLOOKUP(D259,FAO_areas!$A$2:$C$246,3,0)</f>
        <v>USSR</v>
      </c>
      <c r="G259" t="s">
        <v>32</v>
      </c>
      <c r="H259" t="s">
        <v>665</v>
      </c>
      <c r="I259" t="s">
        <v>666</v>
      </c>
      <c r="K259">
        <v>185</v>
      </c>
      <c r="L259" t="s">
        <v>536</v>
      </c>
      <c r="M259">
        <v>810</v>
      </c>
      <c r="N259">
        <v>810</v>
      </c>
      <c r="O259">
        <v>11</v>
      </c>
      <c r="P259" t="s">
        <v>34</v>
      </c>
      <c r="Q259">
        <v>228</v>
      </c>
      <c r="R259" t="s">
        <v>1552</v>
      </c>
      <c r="S259" t="s">
        <v>107</v>
      </c>
      <c r="T259">
        <v>1</v>
      </c>
      <c r="U259" t="s">
        <v>112</v>
      </c>
      <c r="V259" t="s">
        <v>108</v>
      </c>
      <c r="W259" t="s">
        <v>37</v>
      </c>
      <c r="X259" s="2" t="s">
        <v>109</v>
      </c>
      <c r="Y259" s="2"/>
      <c r="Z259" s="2" t="s">
        <v>38</v>
      </c>
      <c r="AA259" s="2"/>
      <c r="AB259" s="2"/>
      <c r="AF259" t="s">
        <v>112</v>
      </c>
      <c r="AG259" t="s">
        <v>112</v>
      </c>
      <c r="AI259" t="str">
        <f t="shared" si="9"/>
        <v>Other</v>
      </c>
    </row>
    <row r="260" spans="1:35" x14ac:dyDescent="0.3">
      <c r="A260" t="str">
        <f>VLOOKUP(Q260,regions_fabio!$A$2:$C$192,3,0)</f>
        <v>UZB</v>
      </c>
      <c r="B260" t="str">
        <f>IFERROR(VLOOKUP(A260,polities_whep!$A$1:$G$199,2,0),"")</f>
        <v>Uzbekistan</v>
      </c>
      <c r="C260">
        <v>231</v>
      </c>
      <c r="D260">
        <v>235</v>
      </c>
      <c r="E260" t="s">
        <v>667</v>
      </c>
      <c r="F260" t="str">
        <f>VLOOKUP(D260,FAO_areas!$A$2:$C$246,3,0)</f>
        <v>Uzbekistan</v>
      </c>
      <c r="G260" t="s">
        <v>32</v>
      </c>
      <c r="H260" t="s">
        <v>668</v>
      </c>
      <c r="I260" t="s">
        <v>668</v>
      </c>
      <c r="J260" t="s">
        <v>668</v>
      </c>
      <c r="K260">
        <v>235</v>
      </c>
      <c r="L260" t="s">
        <v>668</v>
      </c>
      <c r="M260">
        <v>860</v>
      </c>
      <c r="N260">
        <v>860</v>
      </c>
      <c r="O260">
        <v>11</v>
      </c>
      <c r="P260" t="s">
        <v>34</v>
      </c>
      <c r="Q260">
        <v>235</v>
      </c>
      <c r="R260" t="s">
        <v>1552</v>
      </c>
      <c r="S260" t="s">
        <v>107</v>
      </c>
      <c r="T260">
        <v>1</v>
      </c>
      <c r="U260" t="s">
        <v>668</v>
      </c>
      <c r="V260" t="s">
        <v>108</v>
      </c>
      <c r="W260" t="s">
        <v>37</v>
      </c>
      <c r="X260" t="s">
        <v>109</v>
      </c>
      <c r="Y260" t="s">
        <v>375</v>
      </c>
      <c r="Z260" t="s">
        <v>38</v>
      </c>
      <c r="AA260" t="s">
        <v>51</v>
      </c>
      <c r="AB260" t="s">
        <v>111</v>
      </c>
      <c r="AC260" t="s">
        <v>375</v>
      </c>
      <c r="AD260" t="s">
        <v>40</v>
      </c>
      <c r="AE260" t="s">
        <v>41</v>
      </c>
      <c r="AF260" t="s">
        <v>112</v>
      </c>
      <c r="AG260" t="s">
        <v>112</v>
      </c>
      <c r="AH260" t="s">
        <v>53</v>
      </c>
      <c r="AI260" t="str">
        <f t="shared" si="9"/>
        <v>Other</v>
      </c>
    </row>
    <row r="261" spans="1:35" x14ac:dyDescent="0.3">
      <c r="A261" t="str">
        <f>VLOOKUP(Q261,regions_fabio!$A$2:$C$192,3,0)</f>
        <v>VUT</v>
      </c>
      <c r="B261" t="str">
        <f>IFERROR(VLOOKUP(A261,polities_whep!$A$1:$G$199,2,0),"")</f>
        <v>Vanuatu</v>
      </c>
      <c r="C261">
        <v>152</v>
      </c>
      <c r="D261">
        <v>155</v>
      </c>
      <c r="E261" t="s">
        <v>669</v>
      </c>
      <c r="F261" t="str">
        <f>VLOOKUP(D261,FAO_areas!$A$2:$C$246,3,0)</f>
        <v>Vanuatu</v>
      </c>
      <c r="G261" t="s">
        <v>32</v>
      </c>
      <c r="H261" t="s">
        <v>670</v>
      </c>
      <c r="I261" t="s">
        <v>670</v>
      </c>
      <c r="K261">
        <v>155</v>
      </c>
      <c r="L261" t="s">
        <v>670</v>
      </c>
      <c r="M261">
        <v>548</v>
      </c>
      <c r="N261">
        <v>548</v>
      </c>
      <c r="O261">
        <v>16</v>
      </c>
      <c r="P261" t="s">
        <v>34</v>
      </c>
      <c r="Q261">
        <v>155</v>
      </c>
      <c r="R261" t="s">
        <v>1552</v>
      </c>
      <c r="S261" t="s">
        <v>63</v>
      </c>
      <c r="T261">
        <v>1</v>
      </c>
      <c r="U261" t="s">
        <v>670</v>
      </c>
      <c r="V261" t="s">
        <v>64</v>
      </c>
      <c r="W261" t="s">
        <v>65</v>
      </c>
      <c r="X261" t="s">
        <v>63</v>
      </c>
      <c r="Y261" t="s">
        <v>288</v>
      </c>
      <c r="Z261" t="s">
        <v>63</v>
      </c>
      <c r="AA261" t="s">
        <v>39</v>
      </c>
      <c r="AB261" t="s">
        <v>67</v>
      </c>
      <c r="AC261" t="s">
        <v>68</v>
      </c>
      <c r="AD261" t="s">
        <v>40</v>
      </c>
      <c r="AE261" t="s">
        <v>41</v>
      </c>
      <c r="AF261" t="s">
        <v>69</v>
      </c>
      <c r="AG261" t="s">
        <v>70</v>
      </c>
      <c r="AH261" t="s">
        <v>43</v>
      </c>
      <c r="AI261" t="str">
        <f t="shared" si="9"/>
        <v>Other</v>
      </c>
    </row>
    <row r="262" spans="1:35" x14ac:dyDescent="0.3">
      <c r="A262" t="str">
        <f>VLOOKUP(Q262,regions_fabio!$A$2:$C$192,3,0)</f>
        <v>VEN</v>
      </c>
      <c r="B262" t="str">
        <f>IFERROR(VLOOKUP(A262,polities_whep!$A$1:$G$199,2,0),"")</f>
        <v>Venezuela</v>
      </c>
      <c r="C262">
        <v>232</v>
      </c>
      <c r="D262">
        <v>236</v>
      </c>
      <c r="E262" t="s">
        <v>671</v>
      </c>
      <c r="F262" t="str">
        <f>VLOOKUP(D262,FAO_areas!$A$2:$C$246,3,0)</f>
        <v>Venezuela (Bolivarian Republic of)</v>
      </c>
      <c r="G262" t="s">
        <v>32</v>
      </c>
      <c r="H262" t="s">
        <v>672</v>
      </c>
      <c r="I262" t="s">
        <v>672</v>
      </c>
      <c r="J262" t="s">
        <v>672</v>
      </c>
      <c r="K262">
        <v>236</v>
      </c>
      <c r="L262" t="s">
        <v>673</v>
      </c>
      <c r="M262">
        <v>862</v>
      </c>
      <c r="N262">
        <v>862</v>
      </c>
      <c r="O262">
        <v>4</v>
      </c>
      <c r="P262" t="s">
        <v>34</v>
      </c>
      <c r="Q262">
        <v>236</v>
      </c>
      <c r="R262" t="s">
        <v>1552</v>
      </c>
      <c r="S262" t="s">
        <v>103</v>
      </c>
      <c r="T262">
        <v>1</v>
      </c>
      <c r="U262" t="s">
        <v>674</v>
      </c>
      <c r="V262" t="s">
        <v>90</v>
      </c>
      <c r="W262" t="s">
        <v>91</v>
      </c>
      <c r="X262" t="s">
        <v>92</v>
      </c>
      <c r="Y262" t="s">
        <v>90</v>
      </c>
      <c r="Z262" t="s">
        <v>93</v>
      </c>
      <c r="AA262" t="s">
        <v>93</v>
      </c>
      <c r="AB262" t="s">
        <v>90</v>
      </c>
      <c r="AC262" t="s">
        <v>103</v>
      </c>
      <c r="AD262" t="s">
        <v>40</v>
      </c>
      <c r="AE262" t="s">
        <v>41</v>
      </c>
      <c r="AF262" t="s">
        <v>155</v>
      </c>
      <c r="AG262" t="s">
        <v>92</v>
      </c>
      <c r="AH262" t="s">
        <v>43</v>
      </c>
      <c r="AI262" t="str">
        <f t="shared" si="9"/>
        <v>Other</v>
      </c>
    </row>
    <row r="263" spans="1:35" x14ac:dyDescent="0.3">
      <c r="A263" t="str">
        <f>VLOOKUP(Q263,regions_fabio!$A$2:$C$192,3,0)</f>
        <v>VNM</v>
      </c>
      <c r="B263" t="str">
        <f>IFERROR(VLOOKUP(A263,polities_whep!$A$1:$G$199,2,0),"")</f>
        <v>Viet Nam</v>
      </c>
      <c r="C263">
        <v>233</v>
      </c>
      <c r="D263">
        <v>237</v>
      </c>
      <c r="E263" t="s">
        <v>675</v>
      </c>
      <c r="F263" t="str">
        <f>VLOOKUP(D263,FAO_areas!$A$2:$C$246,3,0)</f>
        <v>Viet Nam</v>
      </c>
      <c r="G263" t="s">
        <v>32</v>
      </c>
      <c r="H263" t="s">
        <v>676</v>
      </c>
      <c r="I263" t="s">
        <v>677</v>
      </c>
      <c r="J263" t="s">
        <v>676</v>
      </c>
      <c r="K263">
        <v>237</v>
      </c>
      <c r="L263" t="s">
        <v>676</v>
      </c>
      <c r="M263">
        <v>704</v>
      </c>
      <c r="N263">
        <v>704</v>
      </c>
      <c r="O263">
        <v>15</v>
      </c>
      <c r="P263" t="s">
        <v>34</v>
      </c>
      <c r="Q263">
        <v>237</v>
      </c>
      <c r="R263" t="s">
        <v>1552</v>
      </c>
      <c r="S263" t="s">
        <v>172</v>
      </c>
      <c r="T263">
        <v>1</v>
      </c>
      <c r="U263" t="s">
        <v>676</v>
      </c>
      <c r="V263" t="s">
        <v>173</v>
      </c>
      <c r="W263" t="s">
        <v>37</v>
      </c>
      <c r="X263" t="s">
        <v>174</v>
      </c>
      <c r="Y263" t="s">
        <v>175</v>
      </c>
      <c r="Z263" t="s">
        <v>38</v>
      </c>
      <c r="AA263" t="s">
        <v>39</v>
      </c>
      <c r="AB263" t="s">
        <v>67</v>
      </c>
      <c r="AC263" t="s">
        <v>176</v>
      </c>
      <c r="AD263" t="s">
        <v>40</v>
      </c>
      <c r="AE263" t="s">
        <v>41</v>
      </c>
      <c r="AF263" t="s">
        <v>175</v>
      </c>
      <c r="AG263" t="s">
        <v>42</v>
      </c>
      <c r="AH263" t="s">
        <v>43</v>
      </c>
      <c r="AI263" t="str">
        <f t="shared" si="9"/>
        <v>Other</v>
      </c>
    </row>
    <row r="264" spans="1:35" x14ac:dyDescent="0.3">
      <c r="A264" t="str">
        <f>VLOOKUP(Q264,regions_fabio!$A$2:$C$192,3,0)</f>
        <v>YEM</v>
      </c>
      <c r="B264" t="str">
        <f>IFERROR(VLOOKUP(A264,polities_whep!$A$1:$G$199,2,0),"")</f>
        <v>Yemen</v>
      </c>
      <c r="C264">
        <v>241</v>
      </c>
      <c r="D264">
        <v>249</v>
      </c>
      <c r="E264" t="s">
        <v>684</v>
      </c>
      <c r="F264" t="str">
        <f>VLOOKUP(D264,FAO_areas!$A$2:$C$246,3,0)</f>
        <v>Yemen</v>
      </c>
      <c r="G264" t="s">
        <v>32</v>
      </c>
      <c r="H264" t="s">
        <v>685</v>
      </c>
      <c r="I264" t="s">
        <v>685</v>
      </c>
      <c r="J264" t="s">
        <v>685</v>
      </c>
      <c r="K264">
        <v>249</v>
      </c>
      <c r="L264" t="s">
        <v>685</v>
      </c>
      <c r="M264">
        <v>887</v>
      </c>
      <c r="N264">
        <v>887</v>
      </c>
      <c r="O264">
        <v>12</v>
      </c>
      <c r="P264" t="s">
        <v>34</v>
      </c>
      <c r="Q264">
        <v>249</v>
      </c>
      <c r="R264" t="s">
        <v>1552</v>
      </c>
      <c r="S264" t="s">
        <v>128</v>
      </c>
      <c r="T264">
        <v>1</v>
      </c>
      <c r="U264" t="s">
        <v>685</v>
      </c>
      <c r="V264" t="s">
        <v>57</v>
      </c>
      <c r="W264" t="s">
        <v>58</v>
      </c>
      <c r="X264" t="s">
        <v>59</v>
      </c>
      <c r="Y264" t="s">
        <v>110</v>
      </c>
      <c r="Z264" t="s">
        <v>38</v>
      </c>
      <c r="AA264" t="s">
        <v>129</v>
      </c>
      <c r="AB264" t="s">
        <v>129</v>
      </c>
      <c r="AC264" t="s">
        <v>129</v>
      </c>
      <c r="AD264" t="s">
        <v>40</v>
      </c>
      <c r="AE264" t="s">
        <v>41</v>
      </c>
      <c r="AF264" t="s">
        <v>110</v>
      </c>
      <c r="AG264" t="s">
        <v>59</v>
      </c>
      <c r="AH264" t="s">
        <v>43</v>
      </c>
      <c r="AI264" t="str">
        <f t="shared" si="9"/>
        <v>Other</v>
      </c>
    </row>
    <row r="265" spans="1:35" x14ac:dyDescent="0.3">
      <c r="A265" t="str">
        <f>VLOOKUP(Q265,regions_fabio!$A$2:$C$192,3,0)</f>
        <v>YUG</v>
      </c>
      <c r="B265" t="str">
        <f>IFERROR(VLOOKUP(A265,polities_whep!$A$1:$G$199,2,0),"")</f>
        <v>Yugoslav SFR</v>
      </c>
      <c r="C265">
        <v>240</v>
      </c>
      <c r="D265">
        <v>248</v>
      </c>
      <c r="E265" t="s">
        <v>686</v>
      </c>
      <c r="F265" t="str">
        <f>VLOOKUP(D265,FAO_areas!$A$2:$C$246,3,0)</f>
        <v>Yugoslav SFR</v>
      </c>
      <c r="G265" t="s">
        <v>32</v>
      </c>
      <c r="H265" t="s">
        <v>687</v>
      </c>
      <c r="I265" t="s">
        <v>688</v>
      </c>
      <c r="K265">
        <v>186</v>
      </c>
      <c r="L265" t="s">
        <v>443</v>
      </c>
      <c r="M265">
        <v>891</v>
      </c>
      <c r="N265">
        <v>890</v>
      </c>
      <c r="O265">
        <v>10</v>
      </c>
      <c r="P265" t="s">
        <v>34</v>
      </c>
      <c r="Q265">
        <v>248</v>
      </c>
      <c r="R265" t="s">
        <v>1552</v>
      </c>
      <c r="S265" t="s">
        <v>46</v>
      </c>
      <c r="T265">
        <v>1</v>
      </c>
      <c r="U265" t="s">
        <v>687</v>
      </c>
      <c r="V265" t="s">
        <v>47</v>
      </c>
      <c r="W265" t="s">
        <v>48</v>
      </c>
      <c r="X265" s="2" t="s">
        <v>49</v>
      </c>
      <c r="Y265" s="2"/>
      <c r="Z265" s="2" t="s">
        <v>49</v>
      </c>
      <c r="AA265" s="2"/>
      <c r="AB265" s="2"/>
      <c r="AF265" t="s">
        <v>50</v>
      </c>
      <c r="AG265" t="s">
        <v>49</v>
      </c>
      <c r="AI265" t="str">
        <f t="shared" si="9"/>
        <v>Europe</v>
      </c>
    </row>
    <row r="266" spans="1:35" x14ac:dyDescent="0.3">
      <c r="A266" t="str">
        <f>VLOOKUP(Q266,regions_fabio!$A$2:$C$192,3,0)</f>
        <v>ZMB</v>
      </c>
      <c r="B266" t="str">
        <f>IFERROR(VLOOKUP(A266,polities_whep!$A$1:$G$199,2,0),"")</f>
        <v>Zambia</v>
      </c>
      <c r="C266">
        <v>243</v>
      </c>
      <c r="D266">
        <v>251</v>
      </c>
      <c r="E266" t="s">
        <v>689</v>
      </c>
      <c r="F266" t="str">
        <f>VLOOKUP(D266,FAO_areas!$A$2:$C$246,3,0)</f>
        <v>Zambia</v>
      </c>
      <c r="G266" t="s">
        <v>32</v>
      </c>
      <c r="H266" t="s">
        <v>690</v>
      </c>
      <c r="I266" t="s">
        <v>690</v>
      </c>
      <c r="J266" t="s">
        <v>690</v>
      </c>
      <c r="K266">
        <v>251</v>
      </c>
      <c r="L266" t="s">
        <v>690</v>
      </c>
      <c r="M266">
        <v>894</v>
      </c>
      <c r="N266">
        <v>894</v>
      </c>
      <c r="O266">
        <v>8</v>
      </c>
      <c r="P266" t="s">
        <v>34</v>
      </c>
      <c r="Q266">
        <v>251</v>
      </c>
      <c r="R266" t="s">
        <v>1552</v>
      </c>
      <c r="S266" t="s">
        <v>79</v>
      </c>
      <c r="T266">
        <v>1</v>
      </c>
      <c r="U266" t="s">
        <v>690</v>
      </c>
      <c r="V266" t="s">
        <v>80</v>
      </c>
      <c r="W266" t="s">
        <v>81</v>
      </c>
      <c r="X266" t="s">
        <v>82</v>
      </c>
      <c r="Y266" t="s">
        <v>83</v>
      </c>
      <c r="Z266" t="s">
        <v>60</v>
      </c>
      <c r="AA266" t="s">
        <v>60</v>
      </c>
      <c r="AB266" t="s">
        <v>83</v>
      </c>
      <c r="AC266" t="s">
        <v>183</v>
      </c>
      <c r="AD266" t="s">
        <v>40</v>
      </c>
      <c r="AE266" t="s">
        <v>41</v>
      </c>
      <c r="AF266" t="s">
        <v>183</v>
      </c>
      <c r="AG266" t="s">
        <v>86</v>
      </c>
      <c r="AH266" t="s">
        <v>43</v>
      </c>
      <c r="AI266" t="str">
        <f t="shared" si="9"/>
        <v>Other</v>
      </c>
    </row>
    <row r="267" spans="1:35" x14ac:dyDescent="0.3">
      <c r="A267" t="str">
        <f>VLOOKUP(Q267,regions_fabio!$A$2:$C$192,3,0)</f>
        <v>ZWE</v>
      </c>
      <c r="B267" t="str">
        <f>IFERROR(VLOOKUP(A267,polities_whep!$A$1:$G$199,2,0),"")</f>
        <v>Zimbabwe</v>
      </c>
      <c r="C267">
        <v>178</v>
      </c>
      <c r="D267">
        <v>181</v>
      </c>
      <c r="E267" t="s">
        <v>691</v>
      </c>
      <c r="F267" t="str">
        <f>VLOOKUP(D267,FAO_areas!$A$2:$C$246,3,0)</f>
        <v>Zimbabwe</v>
      </c>
      <c r="G267" t="s">
        <v>32</v>
      </c>
      <c r="H267" t="s">
        <v>692</v>
      </c>
      <c r="I267" t="s">
        <v>692</v>
      </c>
      <c r="J267" t="s">
        <v>692</v>
      </c>
      <c r="K267">
        <v>181</v>
      </c>
      <c r="L267" t="s">
        <v>692</v>
      </c>
      <c r="M267">
        <v>716</v>
      </c>
      <c r="N267">
        <v>716</v>
      </c>
      <c r="O267">
        <v>8</v>
      </c>
      <c r="P267" t="s">
        <v>34</v>
      </c>
      <c r="Q267">
        <v>181</v>
      </c>
      <c r="R267" t="s">
        <v>1552</v>
      </c>
      <c r="S267" t="s">
        <v>79</v>
      </c>
      <c r="T267">
        <v>1</v>
      </c>
      <c r="U267" t="s">
        <v>692</v>
      </c>
      <c r="V267" t="s">
        <v>80</v>
      </c>
      <c r="W267" t="s">
        <v>81</v>
      </c>
      <c r="X267" t="s">
        <v>82</v>
      </c>
      <c r="Y267" t="s">
        <v>83</v>
      </c>
      <c r="Z267" t="s">
        <v>60</v>
      </c>
      <c r="AA267" t="s">
        <v>60</v>
      </c>
      <c r="AB267" t="s">
        <v>83</v>
      </c>
      <c r="AC267" t="s">
        <v>183</v>
      </c>
      <c r="AD267" t="s">
        <v>40</v>
      </c>
      <c r="AE267" t="s">
        <v>41</v>
      </c>
      <c r="AF267" t="s">
        <v>183</v>
      </c>
      <c r="AG267" t="s">
        <v>86</v>
      </c>
      <c r="AH267" t="s">
        <v>43</v>
      </c>
      <c r="AI267" t="str">
        <f t="shared" si="9"/>
        <v>Other</v>
      </c>
    </row>
  </sheetData>
  <autoFilter ref="A1:AI267" xr:uid="{C6D70EC2-9EAA-4C37-B5CC-71A11C3127FA}">
    <sortState xmlns:xlrd2="http://schemas.microsoft.com/office/spreadsheetml/2017/richdata2" ref="A2:AI267">
      <sortCondition ref="B1:B267"/>
    </sortState>
  </autoFilter>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877932-9C26-42D7-BC6E-3DCF849C5011}">
  <dimension ref="A1:B196"/>
  <sheetViews>
    <sheetView topLeftCell="A148" zoomScale="80" zoomScaleNormal="80" workbookViewId="0">
      <selection activeCell="B148" sqref="A1:B1048576"/>
    </sheetView>
  </sheetViews>
  <sheetFormatPr defaultRowHeight="14.4" x14ac:dyDescent="0.3"/>
  <cols>
    <col min="1" max="1" width="22.77734375" customWidth="1"/>
  </cols>
  <sheetData>
    <row r="1" spans="1:2" x14ac:dyDescent="0.3">
      <c r="A1" t="s">
        <v>5074</v>
      </c>
      <c r="B1" t="s">
        <v>5075</v>
      </c>
    </row>
    <row r="2" spans="1:2" x14ac:dyDescent="0.3">
      <c r="A2" t="s">
        <v>33</v>
      </c>
      <c r="B2" t="s">
        <v>33</v>
      </c>
    </row>
    <row r="3" spans="1:2" x14ac:dyDescent="0.3">
      <c r="A3" t="s">
        <v>4759</v>
      </c>
      <c r="B3" t="s">
        <v>4759</v>
      </c>
    </row>
    <row r="4" spans="1:2" x14ac:dyDescent="0.3">
      <c r="A4" t="s">
        <v>45</v>
      </c>
      <c r="B4" t="s">
        <v>45</v>
      </c>
    </row>
    <row r="5" spans="1:2" x14ac:dyDescent="0.3">
      <c r="A5" t="s">
        <v>55</v>
      </c>
      <c r="B5" t="s">
        <v>55</v>
      </c>
    </row>
    <row r="6" spans="1:2" x14ac:dyDescent="0.3">
      <c r="A6" t="s">
        <v>78</v>
      </c>
      <c r="B6" t="s">
        <v>78</v>
      </c>
    </row>
    <row r="7" spans="1:2" x14ac:dyDescent="0.3">
      <c r="A7" t="s">
        <v>100</v>
      </c>
      <c r="B7" t="s">
        <v>100</v>
      </c>
    </row>
    <row r="8" spans="1:2" x14ac:dyDescent="0.3">
      <c r="A8" t="s">
        <v>102</v>
      </c>
      <c r="B8" t="s">
        <v>102</v>
      </c>
    </row>
    <row r="9" spans="1:2" x14ac:dyDescent="0.3">
      <c r="B9" t="s">
        <v>106</v>
      </c>
    </row>
    <row r="10" spans="1:2" x14ac:dyDescent="0.3">
      <c r="A10" t="s">
        <v>4760</v>
      </c>
      <c r="B10" t="s">
        <v>4760</v>
      </c>
    </row>
    <row r="11" spans="1:2" x14ac:dyDescent="0.3">
      <c r="A11" t="s">
        <v>115</v>
      </c>
      <c r="B11" t="s">
        <v>115</v>
      </c>
    </row>
    <row r="12" spans="1:2" x14ac:dyDescent="0.3">
      <c r="A12" t="s">
        <v>120</v>
      </c>
      <c r="B12" t="s">
        <v>120</v>
      </c>
    </row>
    <row r="13" spans="1:2" x14ac:dyDescent="0.3">
      <c r="B13" t="s">
        <v>122</v>
      </c>
    </row>
    <row r="14" spans="1:2" x14ac:dyDescent="0.3">
      <c r="A14" t="s">
        <v>124</v>
      </c>
      <c r="B14" t="s">
        <v>124</v>
      </c>
    </row>
    <row r="15" spans="1:2" x14ac:dyDescent="0.3">
      <c r="A15" t="s">
        <v>127</v>
      </c>
      <c r="B15" t="s">
        <v>127</v>
      </c>
    </row>
    <row r="16" spans="1:2" x14ac:dyDescent="0.3">
      <c r="A16" t="s">
        <v>131</v>
      </c>
      <c r="B16" t="s">
        <v>131</v>
      </c>
    </row>
    <row r="17" spans="1:2" x14ac:dyDescent="0.3">
      <c r="A17" t="s">
        <v>133</v>
      </c>
      <c r="B17" t="s">
        <v>133</v>
      </c>
    </row>
    <row r="18" spans="1:2" x14ac:dyDescent="0.3">
      <c r="B18" t="s">
        <v>135</v>
      </c>
    </row>
    <row r="19" spans="1:2" x14ac:dyDescent="0.3">
      <c r="A19" t="s">
        <v>139</v>
      </c>
      <c r="B19" t="s">
        <v>137</v>
      </c>
    </row>
    <row r="20" spans="1:2" x14ac:dyDescent="0.3">
      <c r="A20" t="s">
        <v>142</v>
      </c>
      <c r="B20" t="s">
        <v>142</v>
      </c>
    </row>
    <row r="21" spans="1:2" x14ac:dyDescent="0.3">
      <c r="A21" t="s">
        <v>144</v>
      </c>
      <c r="B21" t="s">
        <v>144</v>
      </c>
    </row>
    <row r="22" spans="1:2" x14ac:dyDescent="0.3">
      <c r="A22" t="s">
        <v>153</v>
      </c>
      <c r="B22" t="s">
        <v>153</v>
      </c>
    </row>
    <row r="23" spans="1:2" x14ac:dyDescent="0.3">
      <c r="B23" t="s">
        <v>157</v>
      </c>
    </row>
    <row r="24" spans="1:2" x14ac:dyDescent="0.3">
      <c r="A24" t="s">
        <v>159</v>
      </c>
      <c r="B24" t="s">
        <v>159</v>
      </c>
    </row>
    <row r="25" spans="1:2" x14ac:dyDescent="0.3">
      <c r="A25" t="s">
        <v>163</v>
      </c>
      <c r="B25" t="s">
        <v>163</v>
      </c>
    </row>
    <row r="26" spans="1:2" x14ac:dyDescent="0.3">
      <c r="A26" t="s">
        <v>170</v>
      </c>
      <c r="B26" t="s">
        <v>170</v>
      </c>
    </row>
    <row r="27" spans="1:2" x14ac:dyDescent="0.3">
      <c r="A27" t="s">
        <v>178</v>
      </c>
      <c r="B27" t="s">
        <v>178</v>
      </c>
    </row>
    <row r="28" spans="1:2" x14ac:dyDescent="0.3">
      <c r="A28" t="s">
        <v>180</v>
      </c>
      <c r="B28" t="s">
        <v>180</v>
      </c>
    </row>
    <row r="29" spans="1:2" x14ac:dyDescent="0.3">
      <c r="A29" t="s">
        <v>182</v>
      </c>
      <c r="B29" t="s">
        <v>182</v>
      </c>
    </row>
    <row r="30" spans="1:2" x14ac:dyDescent="0.3">
      <c r="A30" t="s">
        <v>185</v>
      </c>
      <c r="B30" t="s">
        <v>185</v>
      </c>
    </row>
    <row r="31" spans="1:2" x14ac:dyDescent="0.3">
      <c r="A31" t="s">
        <v>188</v>
      </c>
      <c r="B31" t="s">
        <v>188</v>
      </c>
    </row>
    <row r="32" spans="1:2" x14ac:dyDescent="0.3">
      <c r="A32" t="s">
        <v>190</v>
      </c>
      <c r="B32" t="s">
        <v>190</v>
      </c>
    </row>
    <row r="33" spans="1:2" x14ac:dyDescent="0.3">
      <c r="A33" t="s">
        <v>192</v>
      </c>
      <c r="B33" t="s">
        <v>192</v>
      </c>
    </row>
    <row r="34" spans="1:2" x14ac:dyDescent="0.3">
      <c r="A34" t="s">
        <v>198</v>
      </c>
      <c r="B34" t="s">
        <v>198</v>
      </c>
    </row>
    <row r="35" spans="1:2" x14ac:dyDescent="0.3">
      <c r="A35" t="s">
        <v>200</v>
      </c>
      <c r="B35" t="s">
        <v>200</v>
      </c>
    </row>
    <row r="36" spans="1:2" x14ac:dyDescent="0.3">
      <c r="A36" t="s">
        <v>202</v>
      </c>
      <c r="B36" t="s">
        <v>202</v>
      </c>
    </row>
    <row r="37" spans="1:2" x14ac:dyDescent="0.3">
      <c r="A37" t="s">
        <v>207</v>
      </c>
      <c r="B37" t="s">
        <v>207</v>
      </c>
    </row>
    <row r="38" spans="1:2" x14ac:dyDescent="0.3">
      <c r="A38" t="s">
        <v>211</v>
      </c>
      <c r="B38" t="s">
        <v>211</v>
      </c>
    </row>
    <row r="39" spans="1:2" x14ac:dyDescent="0.3">
      <c r="A39" t="s">
        <v>708</v>
      </c>
      <c r="B39" t="s">
        <v>708</v>
      </c>
    </row>
    <row r="40" spans="1:2" x14ac:dyDescent="0.3">
      <c r="A40" t="s">
        <v>214</v>
      </c>
      <c r="B40" t="s">
        <v>214</v>
      </c>
    </row>
    <row r="41" spans="1:2" x14ac:dyDescent="0.3">
      <c r="A41" t="s">
        <v>225</v>
      </c>
      <c r="B41" t="s">
        <v>225</v>
      </c>
    </row>
    <row r="42" spans="1:2" x14ac:dyDescent="0.3">
      <c r="A42" t="s">
        <v>229</v>
      </c>
      <c r="B42" t="s">
        <v>229</v>
      </c>
    </row>
    <row r="43" spans="1:2" x14ac:dyDescent="0.3">
      <c r="A43" t="s">
        <v>235</v>
      </c>
      <c r="B43" t="s">
        <v>235</v>
      </c>
    </row>
    <row r="44" spans="1:2" x14ac:dyDescent="0.3">
      <c r="B44" t="s">
        <v>237</v>
      </c>
    </row>
    <row r="45" spans="1:2" x14ac:dyDescent="0.3">
      <c r="A45" t="s">
        <v>239</v>
      </c>
      <c r="B45" t="s">
        <v>239</v>
      </c>
    </row>
    <row r="46" spans="1:2" x14ac:dyDescent="0.3">
      <c r="A46" t="s">
        <v>243</v>
      </c>
      <c r="B46" t="s">
        <v>243</v>
      </c>
    </row>
    <row r="47" spans="1:2" x14ac:dyDescent="0.3">
      <c r="A47" t="s">
        <v>4774</v>
      </c>
      <c r="B47" t="s">
        <v>4774</v>
      </c>
    </row>
    <row r="48" spans="1:2" x14ac:dyDescent="0.3">
      <c r="A48" t="s">
        <v>247</v>
      </c>
    </row>
    <row r="49" spans="1:2" x14ac:dyDescent="0.3">
      <c r="A49" t="s">
        <v>259</v>
      </c>
      <c r="B49" t="s">
        <v>259</v>
      </c>
    </row>
    <row r="50" spans="1:2" x14ac:dyDescent="0.3">
      <c r="A50" t="s">
        <v>250</v>
      </c>
      <c r="B50" t="s">
        <v>250</v>
      </c>
    </row>
    <row r="51" spans="1:2" x14ac:dyDescent="0.3">
      <c r="A51" t="s">
        <v>253</v>
      </c>
      <c r="B51" t="s">
        <v>253</v>
      </c>
    </row>
    <row r="52" spans="1:2" x14ac:dyDescent="0.3">
      <c r="A52" t="s">
        <v>255</v>
      </c>
      <c r="B52" t="s">
        <v>255</v>
      </c>
    </row>
    <row r="53" spans="1:2" x14ac:dyDescent="0.3">
      <c r="A53" t="s">
        <v>257</v>
      </c>
      <c r="B53" t="s">
        <v>257</v>
      </c>
    </row>
    <row r="54" spans="1:2" x14ac:dyDescent="0.3">
      <c r="A54" t="s">
        <v>264</v>
      </c>
      <c r="B54" t="s">
        <v>264</v>
      </c>
    </row>
    <row r="55" spans="1:2" x14ac:dyDescent="0.3">
      <c r="A55" t="s">
        <v>266</v>
      </c>
      <c r="B55" t="s">
        <v>266</v>
      </c>
    </row>
    <row r="56" spans="1:2" x14ac:dyDescent="0.3">
      <c r="A56" t="s">
        <v>268</v>
      </c>
      <c r="B56" t="s">
        <v>268</v>
      </c>
    </row>
    <row r="57" spans="1:2" x14ac:dyDescent="0.3">
      <c r="A57" t="s">
        <v>270</v>
      </c>
      <c r="B57" t="s">
        <v>270</v>
      </c>
    </row>
    <row r="58" spans="1:2" x14ac:dyDescent="0.3">
      <c r="B58" t="s">
        <v>272</v>
      </c>
    </row>
    <row r="59" spans="1:2" x14ac:dyDescent="0.3">
      <c r="B59" t="s">
        <v>274</v>
      </c>
    </row>
    <row r="60" spans="1:2" x14ac:dyDescent="0.3">
      <c r="A60" t="s">
        <v>276</v>
      </c>
      <c r="B60" t="s">
        <v>276</v>
      </c>
    </row>
    <row r="61" spans="1:2" x14ac:dyDescent="0.3">
      <c r="A61" t="s">
        <v>279</v>
      </c>
      <c r="B61" t="s">
        <v>279</v>
      </c>
    </row>
    <row r="62" spans="1:2" x14ac:dyDescent="0.3">
      <c r="A62" t="s">
        <v>4761</v>
      </c>
      <c r="B62" t="s">
        <v>4761</v>
      </c>
    </row>
    <row r="63" spans="1:2" x14ac:dyDescent="0.3">
      <c r="A63" t="s">
        <v>287</v>
      </c>
      <c r="B63" t="s">
        <v>287</v>
      </c>
    </row>
    <row r="64" spans="1:2" x14ac:dyDescent="0.3">
      <c r="A64" t="s">
        <v>290</v>
      </c>
      <c r="B64" t="s">
        <v>290</v>
      </c>
    </row>
    <row r="65" spans="1:2" x14ac:dyDescent="0.3">
      <c r="A65" t="s">
        <v>292</v>
      </c>
      <c r="B65" t="s">
        <v>292</v>
      </c>
    </row>
    <row r="66" spans="1:2" x14ac:dyDescent="0.3">
      <c r="A66" t="s">
        <v>294</v>
      </c>
    </row>
    <row r="67" spans="1:2" x14ac:dyDescent="0.3">
      <c r="A67" t="s">
        <v>296</v>
      </c>
      <c r="B67" t="s">
        <v>296</v>
      </c>
    </row>
    <row r="68" spans="1:2" x14ac:dyDescent="0.3">
      <c r="A68" t="s">
        <v>300</v>
      </c>
      <c r="B68" t="s">
        <v>300</v>
      </c>
    </row>
    <row r="69" spans="1:2" x14ac:dyDescent="0.3">
      <c r="A69" t="s">
        <v>302</v>
      </c>
      <c r="B69" t="s">
        <v>302</v>
      </c>
    </row>
    <row r="70" spans="1:2" x14ac:dyDescent="0.3">
      <c r="B70" t="s">
        <v>305</v>
      </c>
    </row>
    <row r="71" spans="1:2" x14ac:dyDescent="0.3">
      <c r="A71" t="s">
        <v>307</v>
      </c>
      <c r="B71" t="s">
        <v>307</v>
      </c>
    </row>
    <row r="72" spans="1:2" x14ac:dyDescent="0.3">
      <c r="A72" t="s">
        <v>309</v>
      </c>
      <c r="B72" t="s">
        <v>309</v>
      </c>
    </row>
    <row r="73" spans="1:2" x14ac:dyDescent="0.3">
      <c r="A73" t="s">
        <v>313</v>
      </c>
      <c r="B73" t="s">
        <v>313</v>
      </c>
    </row>
    <row r="74" spans="1:2" x14ac:dyDescent="0.3">
      <c r="A74" t="s">
        <v>317</v>
      </c>
      <c r="B74" t="s">
        <v>317</v>
      </c>
    </row>
    <row r="75" spans="1:2" x14ac:dyDescent="0.3">
      <c r="A75" t="s">
        <v>324</v>
      </c>
      <c r="B75" t="s">
        <v>324</v>
      </c>
    </row>
    <row r="76" spans="1:2" x14ac:dyDescent="0.3">
      <c r="A76" t="s">
        <v>326</v>
      </c>
      <c r="B76" t="s">
        <v>326</v>
      </c>
    </row>
    <row r="77" spans="1:2" x14ac:dyDescent="0.3">
      <c r="A77" t="s">
        <v>328</v>
      </c>
      <c r="B77" t="s">
        <v>328</v>
      </c>
    </row>
    <row r="78" spans="1:2" x14ac:dyDescent="0.3">
      <c r="A78" t="s">
        <v>330</v>
      </c>
      <c r="B78" t="s">
        <v>330</v>
      </c>
    </row>
    <row r="79" spans="1:2" x14ac:dyDescent="0.3">
      <c r="A79" t="s">
        <v>332</v>
      </c>
      <c r="B79" t="s">
        <v>332</v>
      </c>
    </row>
    <row r="80" spans="1:2" x14ac:dyDescent="0.3">
      <c r="A80" t="s">
        <v>338</v>
      </c>
      <c r="B80" t="s">
        <v>338</v>
      </c>
    </row>
    <row r="81" spans="1:2" x14ac:dyDescent="0.3">
      <c r="A81" t="s">
        <v>340</v>
      </c>
      <c r="B81" t="s">
        <v>340</v>
      </c>
    </row>
    <row r="82" spans="1:2" x14ac:dyDescent="0.3">
      <c r="A82" t="s">
        <v>342</v>
      </c>
      <c r="B82" t="s">
        <v>342</v>
      </c>
    </row>
    <row r="83" spans="1:2" x14ac:dyDescent="0.3">
      <c r="A83" t="s">
        <v>344</v>
      </c>
      <c r="B83" t="s">
        <v>344</v>
      </c>
    </row>
    <row r="84" spans="1:2" x14ac:dyDescent="0.3">
      <c r="A84" t="s">
        <v>346</v>
      </c>
      <c r="B84" t="s">
        <v>346</v>
      </c>
    </row>
    <row r="85" spans="1:2" x14ac:dyDescent="0.3">
      <c r="A85" t="s">
        <v>348</v>
      </c>
      <c r="B85" t="s">
        <v>348</v>
      </c>
    </row>
    <row r="86" spans="1:2" x14ac:dyDescent="0.3">
      <c r="A86" t="s">
        <v>353</v>
      </c>
      <c r="B86" t="s">
        <v>353</v>
      </c>
    </row>
    <row r="87" spans="1:2" x14ac:dyDescent="0.3">
      <c r="A87" t="s">
        <v>355</v>
      </c>
      <c r="B87" t="s">
        <v>355</v>
      </c>
    </row>
    <row r="88" spans="1:2" x14ac:dyDescent="0.3">
      <c r="A88" t="s">
        <v>357</v>
      </c>
      <c r="B88" t="s">
        <v>357</v>
      </c>
    </row>
    <row r="89" spans="1:2" x14ac:dyDescent="0.3">
      <c r="A89" t="s">
        <v>359</v>
      </c>
      <c r="B89" t="s">
        <v>359</v>
      </c>
    </row>
    <row r="90" spans="1:2" x14ac:dyDescent="0.3">
      <c r="A90" t="s">
        <v>361</v>
      </c>
      <c r="B90" t="s">
        <v>361</v>
      </c>
    </row>
    <row r="91" spans="1:2" x14ac:dyDescent="0.3">
      <c r="A91" t="s">
        <v>366</v>
      </c>
      <c r="B91" t="s">
        <v>366</v>
      </c>
    </row>
    <row r="92" spans="1:2" x14ac:dyDescent="0.3">
      <c r="A92" t="s">
        <v>368</v>
      </c>
      <c r="B92" t="s">
        <v>368</v>
      </c>
    </row>
    <row r="93" spans="1:2" x14ac:dyDescent="0.3">
      <c r="A93" t="s">
        <v>372</v>
      </c>
      <c r="B93" t="s">
        <v>372</v>
      </c>
    </row>
    <row r="94" spans="1:2" x14ac:dyDescent="0.3">
      <c r="B94" t="s">
        <v>374</v>
      </c>
    </row>
    <row r="95" spans="1:2" x14ac:dyDescent="0.3">
      <c r="A95" t="s">
        <v>377</v>
      </c>
      <c r="B95" t="s">
        <v>377</v>
      </c>
    </row>
    <row r="96" spans="1:2" x14ac:dyDescent="0.3">
      <c r="A96" t="s">
        <v>379</v>
      </c>
      <c r="B96" t="s">
        <v>379</v>
      </c>
    </row>
    <row r="97" spans="1:2" x14ac:dyDescent="0.3">
      <c r="A97" t="s">
        <v>381</v>
      </c>
      <c r="B97" t="s">
        <v>381</v>
      </c>
    </row>
    <row r="98" spans="1:2" x14ac:dyDescent="0.3">
      <c r="B98" t="s">
        <v>383</v>
      </c>
    </row>
    <row r="99" spans="1:2" x14ac:dyDescent="0.3">
      <c r="A99" t="s">
        <v>385</v>
      </c>
      <c r="B99" t="s">
        <v>385</v>
      </c>
    </row>
    <row r="100" spans="1:2" x14ac:dyDescent="0.3">
      <c r="A100" t="s">
        <v>4762</v>
      </c>
      <c r="B100" t="s">
        <v>4762</v>
      </c>
    </row>
    <row r="101" spans="1:2" x14ac:dyDescent="0.3">
      <c r="B101" t="s">
        <v>389</v>
      </c>
    </row>
    <row r="102" spans="1:2" x14ac:dyDescent="0.3">
      <c r="A102" t="s">
        <v>391</v>
      </c>
      <c r="B102" t="s">
        <v>391</v>
      </c>
    </row>
    <row r="103" spans="1:2" x14ac:dyDescent="0.3">
      <c r="A103" t="s">
        <v>393</v>
      </c>
      <c r="B103" t="s">
        <v>393</v>
      </c>
    </row>
    <row r="104" spans="1:2" x14ac:dyDescent="0.3">
      <c r="A104" t="s">
        <v>395</v>
      </c>
      <c r="B104" t="s">
        <v>395</v>
      </c>
    </row>
    <row r="105" spans="1:2" x14ac:dyDescent="0.3">
      <c r="A105" t="s">
        <v>397</v>
      </c>
      <c r="B105" t="s">
        <v>397</v>
      </c>
    </row>
    <row r="106" spans="1:2" x14ac:dyDescent="0.3">
      <c r="B106" t="s">
        <v>402</v>
      </c>
    </row>
    <row r="107" spans="1:2" x14ac:dyDescent="0.3">
      <c r="B107" t="s">
        <v>404</v>
      </c>
    </row>
    <row r="108" spans="1:2" x14ac:dyDescent="0.3">
      <c r="A108" t="s">
        <v>406</v>
      </c>
      <c r="B108" t="s">
        <v>406</v>
      </c>
    </row>
    <row r="109" spans="1:2" x14ac:dyDescent="0.3">
      <c r="A109" t="s">
        <v>408</v>
      </c>
      <c r="B109" t="s">
        <v>408</v>
      </c>
    </row>
    <row r="110" spans="1:2" x14ac:dyDescent="0.3">
      <c r="A110" t="s">
        <v>410</v>
      </c>
      <c r="B110" t="s">
        <v>410</v>
      </c>
    </row>
    <row r="111" spans="1:2" x14ac:dyDescent="0.3">
      <c r="A111" t="s">
        <v>412</v>
      </c>
      <c r="B111" t="s">
        <v>412</v>
      </c>
    </row>
    <row r="112" spans="1:2" x14ac:dyDescent="0.3">
      <c r="A112" t="s">
        <v>414</v>
      </c>
      <c r="B112" t="s">
        <v>414</v>
      </c>
    </row>
    <row r="113" spans="1:2" x14ac:dyDescent="0.3">
      <c r="A113" t="s">
        <v>416</v>
      </c>
      <c r="B113" t="s">
        <v>416</v>
      </c>
    </row>
    <row r="114" spans="1:2" x14ac:dyDescent="0.3">
      <c r="A114" t="s">
        <v>422</v>
      </c>
      <c r="B114" t="s">
        <v>422</v>
      </c>
    </row>
    <row r="115" spans="1:2" x14ac:dyDescent="0.3">
      <c r="A115" t="s">
        <v>424</v>
      </c>
      <c r="B115" t="s">
        <v>424</v>
      </c>
    </row>
    <row r="116" spans="1:2" x14ac:dyDescent="0.3">
      <c r="A116" t="s">
        <v>428</v>
      </c>
      <c r="B116" t="s">
        <v>428</v>
      </c>
    </row>
    <row r="117" spans="1:2" x14ac:dyDescent="0.3">
      <c r="A117" t="s">
        <v>440</v>
      </c>
      <c r="B117" t="s">
        <v>440</v>
      </c>
    </row>
    <row r="118" spans="1:2" x14ac:dyDescent="0.3">
      <c r="B118" t="s">
        <v>442</v>
      </c>
    </row>
    <row r="119" spans="1:2" x14ac:dyDescent="0.3">
      <c r="A119" t="s">
        <v>447</v>
      </c>
      <c r="B119" t="s">
        <v>447</v>
      </c>
    </row>
    <row r="120" spans="1:2" x14ac:dyDescent="0.3">
      <c r="A120" t="s">
        <v>449</v>
      </c>
      <c r="B120" t="s">
        <v>449</v>
      </c>
    </row>
    <row r="121" spans="1:2" x14ac:dyDescent="0.3">
      <c r="A121" t="s">
        <v>451</v>
      </c>
      <c r="B121" t="s">
        <v>451</v>
      </c>
    </row>
    <row r="122" spans="1:2" x14ac:dyDescent="0.3">
      <c r="A122" t="s">
        <v>454</v>
      </c>
      <c r="B122" t="s">
        <v>454</v>
      </c>
    </row>
    <row r="123" spans="1:2" x14ac:dyDescent="0.3">
      <c r="A123" t="s">
        <v>458</v>
      </c>
      <c r="B123" t="s">
        <v>458</v>
      </c>
    </row>
    <row r="124" spans="1:2" x14ac:dyDescent="0.3">
      <c r="A124" t="s">
        <v>460</v>
      </c>
      <c r="B124" t="s">
        <v>460</v>
      </c>
    </row>
    <row r="125" spans="1:2" x14ac:dyDescent="0.3">
      <c r="A125" t="s">
        <v>469</v>
      </c>
      <c r="B125" t="s">
        <v>469</v>
      </c>
    </row>
    <row r="126" spans="1:2" x14ac:dyDescent="0.3">
      <c r="A126" t="s">
        <v>471</v>
      </c>
      <c r="B126" t="s">
        <v>471</v>
      </c>
    </row>
    <row r="127" spans="1:2" x14ac:dyDescent="0.3">
      <c r="A127" t="s">
        <v>473</v>
      </c>
      <c r="B127" t="s">
        <v>473</v>
      </c>
    </row>
    <row r="128" spans="1:2" x14ac:dyDescent="0.3">
      <c r="A128" t="s">
        <v>475</v>
      </c>
      <c r="B128" t="s">
        <v>475</v>
      </c>
    </row>
    <row r="129" spans="1:2" x14ac:dyDescent="0.3">
      <c r="B129" t="s">
        <v>4763</v>
      </c>
    </row>
    <row r="130" spans="1:2" x14ac:dyDescent="0.3">
      <c r="A130" t="s">
        <v>481</v>
      </c>
      <c r="B130" t="s">
        <v>481</v>
      </c>
    </row>
    <row r="131" spans="1:2" x14ac:dyDescent="0.3">
      <c r="B131" t="s">
        <v>487</v>
      </c>
    </row>
    <row r="132" spans="1:2" x14ac:dyDescent="0.3">
      <c r="A132" t="s">
        <v>494</v>
      </c>
      <c r="B132" t="s">
        <v>494</v>
      </c>
    </row>
    <row r="133" spans="1:2" x14ac:dyDescent="0.3">
      <c r="A133" t="s">
        <v>4764</v>
      </c>
      <c r="B133" t="s">
        <v>4764</v>
      </c>
    </row>
    <row r="134" spans="1:2" x14ac:dyDescent="0.3">
      <c r="A134" t="s">
        <v>496</v>
      </c>
      <c r="B134" t="s">
        <v>496</v>
      </c>
    </row>
    <row r="135" spans="1:2" x14ac:dyDescent="0.3">
      <c r="A135" t="s">
        <v>502</v>
      </c>
      <c r="B135" t="s">
        <v>502</v>
      </c>
    </row>
    <row r="136" spans="1:2" x14ac:dyDescent="0.3">
      <c r="B136" t="s">
        <v>506</v>
      </c>
    </row>
    <row r="137" spans="1:2" x14ac:dyDescent="0.3">
      <c r="A137" t="s">
        <v>510</v>
      </c>
      <c r="B137" t="s">
        <v>510</v>
      </c>
    </row>
    <row r="138" spans="1:2" x14ac:dyDescent="0.3">
      <c r="A138" t="s">
        <v>512</v>
      </c>
      <c r="B138" t="s">
        <v>512</v>
      </c>
    </row>
    <row r="139" spans="1:2" x14ac:dyDescent="0.3">
      <c r="A139" t="s">
        <v>514</v>
      </c>
      <c r="B139" t="s">
        <v>514</v>
      </c>
    </row>
    <row r="140" spans="1:2" x14ac:dyDescent="0.3">
      <c r="A140" t="s">
        <v>516</v>
      </c>
      <c r="B140" t="s">
        <v>516</v>
      </c>
    </row>
    <row r="141" spans="1:2" x14ac:dyDescent="0.3">
      <c r="A141" t="s">
        <v>518</v>
      </c>
      <c r="B141" t="s">
        <v>518</v>
      </c>
    </row>
    <row r="142" spans="1:2" x14ac:dyDescent="0.3">
      <c r="A142" t="s">
        <v>522</v>
      </c>
      <c r="B142" t="s">
        <v>522</v>
      </c>
    </row>
    <row r="143" spans="1:2" x14ac:dyDescent="0.3">
      <c r="A143" t="s">
        <v>524</v>
      </c>
      <c r="B143" t="s">
        <v>524</v>
      </c>
    </row>
    <row r="144" spans="1:2" x14ac:dyDescent="0.3">
      <c r="A144" t="s">
        <v>526</v>
      </c>
      <c r="B144" t="s">
        <v>526</v>
      </c>
    </row>
    <row r="145" spans="1:2" x14ac:dyDescent="0.3">
      <c r="A145" t="s">
        <v>528</v>
      </c>
      <c r="B145" t="s">
        <v>528</v>
      </c>
    </row>
    <row r="146" spans="1:2" x14ac:dyDescent="0.3">
      <c r="A146" t="s">
        <v>594</v>
      </c>
      <c r="B146" t="s">
        <v>594</v>
      </c>
    </row>
    <row r="147" spans="1:2" x14ac:dyDescent="0.3">
      <c r="B147" t="s">
        <v>436</v>
      </c>
    </row>
    <row r="148" spans="1:2" x14ac:dyDescent="0.3">
      <c r="A148" t="s">
        <v>532</v>
      </c>
      <c r="B148" t="s">
        <v>532</v>
      </c>
    </row>
    <row r="149" spans="1:2" x14ac:dyDescent="0.3">
      <c r="B149" t="s">
        <v>536</v>
      </c>
    </row>
    <row r="150" spans="1:2" x14ac:dyDescent="0.3">
      <c r="A150" t="s">
        <v>539</v>
      </c>
      <c r="B150" t="s">
        <v>539</v>
      </c>
    </row>
    <row r="151" spans="1:2" x14ac:dyDescent="0.3">
      <c r="A151" t="s">
        <v>544</v>
      </c>
      <c r="B151" t="s">
        <v>544</v>
      </c>
    </row>
    <row r="152" spans="1:2" x14ac:dyDescent="0.3">
      <c r="A152" t="s">
        <v>546</v>
      </c>
      <c r="B152" t="s">
        <v>546</v>
      </c>
    </row>
    <row r="153" spans="1:2" x14ac:dyDescent="0.3">
      <c r="A153" t="s">
        <v>551</v>
      </c>
      <c r="B153" t="s">
        <v>551</v>
      </c>
    </row>
    <row r="154" spans="1:2" x14ac:dyDescent="0.3">
      <c r="A154" t="s">
        <v>557</v>
      </c>
      <c r="B154" t="s">
        <v>557</v>
      </c>
    </row>
    <row r="155" spans="1:2" x14ac:dyDescent="0.3">
      <c r="A155" t="s">
        <v>561</v>
      </c>
      <c r="B155" t="s">
        <v>561</v>
      </c>
    </row>
    <row r="156" spans="1:2" x14ac:dyDescent="0.3">
      <c r="A156" t="s">
        <v>563</v>
      </c>
      <c r="B156" t="s">
        <v>563</v>
      </c>
    </row>
    <row r="157" spans="1:2" x14ac:dyDescent="0.3">
      <c r="A157" t="s">
        <v>565</v>
      </c>
      <c r="B157" t="s">
        <v>565</v>
      </c>
    </row>
    <row r="158" spans="1:2" x14ac:dyDescent="0.3">
      <c r="B158" t="s">
        <v>567</v>
      </c>
    </row>
    <row r="159" spans="1:2" x14ac:dyDescent="0.3">
      <c r="A159" t="s">
        <v>573</v>
      </c>
      <c r="B159" t="s">
        <v>573</v>
      </c>
    </row>
    <row r="160" spans="1:2" x14ac:dyDescent="0.3">
      <c r="A160" t="s">
        <v>575</v>
      </c>
      <c r="B160" t="s">
        <v>575</v>
      </c>
    </row>
    <row r="161" spans="1:2" x14ac:dyDescent="0.3">
      <c r="B161" t="s">
        <v>577</v>
      </c>
    </row>
    <row r="162" spans="1:2" x14ac:dyDescent="0.3">
      <c r="B162" t="s">
        <v>580</v>
      </c>
    </row>
    <row r="163" spans="1:2" x14ac:dyDescent="0.3">
      <c r="A163" t="s">
        <v>582</v>
      </c>
      <c r="B163" t="s">
        <v>582</v>
      </c>
    </row>
    <row r="164" spans="1:2" x14ac:dyDescent="0.3">
      <c r="A164" t="s">
        <v>584</v>
      </c>
      <c r="B164" t="s">
        <v>584</v>
      </c>
    </row>
    <row r="165" spans="1:2" x14ac:dyDescent="0.3">
      <c r="A165" t="s">
        <v>586</v>
      </c>
      <c r="B165" t="s">
        <v>586</v>
      </c>
    </row>
    <row r="166" spans="1:2" x14ac:dyDescent="0.3">
      <c r="B166" t="s">
        <v>596</v>
      </c>
    </row>
    <row r="167" spans="1:2" x14ac:dyDescent="0.3">
      <c r="A167" t="s">
        <v>599</v>
      </c>
      <c r="B167" t="s">
        <v>599</v>
      </c>
    </row>
    <row r="168" spans="1:2" x14ac:dyDescent="0.3">
      <c r="A168" t="s">
        <v>601</v>
      </c>
      <c r="B168" t="s">
        <v>601</v>
      </c>
    </row>
    <row r="169" spans="1:2" x14ac:dyDescent="0.3">
      <c r="A169" t="s">
        <v>597</v>
      </c>
      <c r="B169" t="s">
        <v>597</v>
      </c>
    </row>
    <row r="170" spans="1:2" x14ac:dyDescent="0.3">
      <c r="A170" t="s">
        <v>606</v>
      </c>
      <c r="B170" t="s">
        <v>606</v>
      </c>
    </row>
    <row r="171" spans="1:2" x14ac:dyDescent="0.3">
      <c r="A171" t="s">
        <v>610</v>
      </c>
      <c r="B171" t="s">
        <v>610</v>
      </c>
    </row>
    <row r="172" spans="1:2" x14ac:dyDescent="0.3">
      <c r="A172" t="s">
        <v>612</v>
      </c>
      <c r="B172" t="s">
        <v>612</v>
      </c>
    </row>
    <row r="173" spans="1:2" x14ac:dyDescent="0.3">
      <c r="A173" t="s">
        <v>615</v>
      </c>
      <c r="B173" t="s">
        <v>615</v>
      </c>
    </row>
    <row r="174" spans="1:2" x14ac:dyDescent="0.3">
      <c r="B174" t="s">
        <v>617</v>
      </c>
    </row>
    <row r="175" spans="1:2" x14ac:dyDescent="0.3">
      <c r="A175" t="s">
        <v>619</v>
      </c>
      <c r="B175" t="s">
        <v>619</v>
      </c>
    </row>
    <row r="176" spans="1:2" x14ac:dyDescent="0.3">
      <c r="A176" t="s">
        <v>623</v>
      </c>
      <c r="B176" t="s">
        <v>623</v>
      </c>
    </row>
    <row r="177" spans="1:2" x14ac:dyDescent="0.3">
      <c r="A177" t="s">
        <v>625</v>
      </c>
      <c r="B177" t="s">
        <v>625</v>
      </c>
    </row>
    <row r="178" spans="1:2" x14ac:dyDescent="0.3">
      <c r="A178" t="s">
        <v>628</v>
      </c>
      <c r="B178" t="s">
        <v>628</v>
      </c>
    </row>
    <row r="179" spans="1:2" x14ac:dyDescent="0.3">
      <c r="A179" t="s">
        <v>634</v>
      </c>
      <c r="B179" t="s">
        <v>634</v>
      </c>
    </row>
    <row r="180" spans="1:2" x14ac:dyDescent="0.3">
      <c r="A180" t="s">
        <v>636</v>
      </c>
      <c r="B180" t="s">
        <v>636</v>
      </c>
    </row>
    <row r="181" spans="1:2" x14ac:dyDescent="0.3">
      <c r="A181" t="s">
        <v>638</v>
      </c>
      <c r="B181" t="s">
        <v>638</v>
      </c>
    </row>
    <row r="182" spans="1:2" x14ac:dyDescent="0.3">
      <c r="A182" s="2" t="s">
        <v>665</v>
      </c>
      <c r="B182" t="s">
        <v>640</v>
      </c>
    </row>
    <row r="183" spans="1:2" x14ac:dyDescent="0.3">
      <c r="A183" t="s">
        <v>646</v>
      </c>
      <c r="B183" t="s">
        <v>646</v>
      </c>
    </row>
    <row r="184" spans="1:2" x14ac:dyDescent="0.3">
      <c r="B184" t="s">
        <v>648</v>
      </c>
    </row>
    <row r="185" spans="1:2" x14ac:dyDescent="0.3">
      <c r="A185" t="s">
        <v>650</v>
      </c>
      <c r="B185" t="s">
        <v>650</v>
      </c>
    </row>
    <row r="186" spans="1:2" x14ac:dyDescent="0.3">
      <c r="A186" t="s">
        <v>652</v>
      </c>
      <c r="B186" t="s">
        <v>652</v>
      </c>
    </row>
    <row r="187" spans="1:2" x14ac:dyDescent="0.3">
      <c r="A187" t="s">
        <v>653</v>
      </c>
      <c r="B187" t="s">
        <v>653</v>
      </c>
    </row>
    <row r="188" spans="1:2" x14ac:dyDescent="0.3">
      <c r="A188" t="s">
        <v>661</v>
      </c>
      <c r="B188" t="s">
        <v>661</v>
      </c>
    </row>
    <row r="189" spans="1:2" x14ac:dyDescent="0.3">
      <c r="B189" t="s">
        <v>668</v>
      </c>
    </row>
    <row r="190" spans="1:2" x14ac:dyDescent="0.3">
      <c r="A190" t="s">
        <v>670</v>
      </c>
      <c r="B190" t="s">
        <v>670</v>
      </c>
    </row>
    <row r="191" spans="1:2" x14ac:dyDescent="0.3">
      <c r="A191" t="s">
        <v>672</v>
      </c>
      <c r="B191" t="s">
        <v>672</v>
      </c>
    </row>
    <row r="192" spans="1:2" x14ac:dyDescent="0.3">
      <c r="A192" t="s">
        <v>676</v>
      </c>
      <c r="B192" t="s">
        <v>676</v>
      </c>
    </row>
    <row r="193" spans="1:2" x14ac:dyDescent="0.3">
      <c r="A193" t="s">
        <v>685</v>
      </c>
      <c r="B193" t="s">
        <v>685</v>
      </c>
    </row>
    <row r="194" spans="1:2" x14ac:dyDescent="0.3">
      <c r="A194" t="s">
        <v>687</v>
      </c>
    </row>
    <row r="195" spans="1:2" x14ac:dyDescent="0.3">
      <c r="A195" t="s">
        <v>690</v>
      </c>
      <c r="B195" t="s">
        <v>690</v>
      </c>
    </row>
    <row r="196" spans="1:2" x14ac:dyDescent="0.3">
      <c r="A196" t="s">
        <v>692</v>
      </c>
      <c r="B196" t="s">
        <v>692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6A6AFA-A2F2-41AF-9290-E327AF3293B1}">
  <dimension ref="A1:B194"/>
  <sheetViews>
    <sheetView zoomScale="90" zoomScaleNormal="90" workbookViewId="0">
      <selection activeCell="B2" sqref="B2"/>
    </sheetView>
  </sheetViews>
  <sheetFormatPr defaultRowHeight="14.4" x14ac:dyDescent="0.3"/>
  <cols>
    <col min="1" max="1" width="22.77734375" customWidth="1"/>
  </cols>
  <sheetData>
    <row r="1" spans="1:2" x14ac:dyDescent="0.3">
      <c r="A1" t="s">
        <v>5074</v>
      </c>
      <c r="B1" t="s">
        <v>5075</v>
      </c>
    </row>
    <row r="2" spans="1:2" x14ac:dyDescent="0.3">
      <c r="A2" t="s">
        <v>33</v>
      </c>
      <c r="B2" t="s">
        <v>33</v>
      </c>
    </row>
    <row r="3" spans="1:2" x14ac:dyDescent="0.3">
      <c r="A3" t="s">
        <v>4759</v>
      </c>
      <c r="B3" t="s">
        <v>4759</v>
      </c>
    </row>
    <row r="4" spans="1:2" x14ac:dyDescent="0.3">
      <c r="A4" t="s">
        <v>45</v>
      </c>
      <c r="B4" t="s">
        <v>45</v>
      </c>
    </row>
    <row r="5" spans="1:2" x14ac:dyDescent="0.3">
      <c r="A5" t="s">
        <v>55</v>
      </c>
      <c r="B5" t="s">
        <v>55</v>
      </c>
    </row>
    <row r="6" spans="1:2" x14ac:dyDescent="0.3">
      <c r="A6" t="s">
        <v>78</v>
      </c>
      <c r="B6" t="s">
        <v>78</v>
      </c>
    </row>
    <row r="7" spans="1:2" x14ac:dyDescent="0.3">
      <c r="A7" t="s">
        <v>100</v>
      </c>
      <c r="B7" t="s">
        <v>100</v>
      </c>
    </row>
    <row r="8" spans="1:2" x14ac:dyDescent="0.3">
      <c r="A8" t="s">
        <v>102</v>
      </c>
      <c r="B8" t="s">
        <v>102</v>
      </c>
    </row>
    <row r="9" spans="1:2" x14ac:dyDescent="0.3">
      <c r="A9" t="s">
        <v>665</v>
      </c>
      <c r="B9" t="s">
        <v>106</v>
      </c>
    </row>
    <row r="10" spans="1:2" x14ac:dyDescent="0.3">
      <c r="A10" t="s">
        <v>4760</v>
      </c>
      <c r="B10" t="s">
        <v>4760</v>
      </c>
    </row>
    <row r="11" spans="1:2" x14ac:dyDescent="0.3">
      <c r="A11" t="s">
        <v>115</v>
      </c>
      <c r="B11" t="s">
        <v>115</v>
      </c>
    </row>
    <row r="12" spans="1:2" x14ac:dyDescent="0.3">
      <c r="A12" t="s">
        <v>120</v>
      </c>
      <c r="B12" t="s">
        <v>120</v>
      </c>
    </row>
    <row r="13" spans="1:2" x14ac:dyDescent="0.3">
      <c r="A13" t="s">
        <v>665</v>
      </c>
      <c r="B13" t="s">
        <v>122</v>
      </c>
    </row>
    <row r="14" spans="1:2" x14ac:dyDescent="0.3">
      <c r="A14" t="s">
        <v>124</v>
      </c>
      <c r="B14" t="s">
        <v>124</v>
      </c>
    </row>
    <row r="15" spans="1:2" x14ac:dyDescent="0.3">
      <c r="A15" t="s">
        <v>127</v>
      </c>
      <c r="B15" t="s">
        <v>127</v>
      </c>
    </row>
    <row r="16" spans="1:2" x14ac:dyDescent="0.3">
      <c r="A16" t="s">
        <v>131</v>
      </c>
      <c r="B16" t="s">
        <v>131</v>
      </c>
    </row>
    <row r="17" spans="1:2" x14ac:dyDescent="0.3">
      <c r="A17" t="s">
        <v>133</v>
      </c>
      <c r="B17" t="s">
        <v>133</v>
      </c>
    </row>
    <row r="18" spans="1:2" x14ac:dyDescent="0.3">
      <c r="A18" t="s">
        <v>665</v>
      </c>
      <c r="B18" t="s">
        <v>135</v>
      </c>
    </row>
    <row r="19" spans="1:2" x14ac:dyDescent="0.3">
      <c r="A19" t="s">
        <v>139</v>
      </c>
      <c r="B19" t="s">
        <v>137</v>
      </c>
    </row>
    <row r="20" spans="1:2" x14ac:dyDescent="0.3">
      <c r="A20" t="s">
        <v>142</v>
      </c>
      <c r="B20" t="s">
        <v>142</v>
      </c>
    </row>
    <row r="21" spans="1:2" x14ac:dyDescent="0.3">
      <c r="A21" t="s">
        <v>144</v>
      </c>
      <c r="B21" t="s">
        <v>144</v>
      </c>
    </row>
    <row r="22" spans="1:2" x14ac:dyDescent="0.3">
      <c r="A22" t="s">
        <v>153</v>
      </c>
      <c r="B22" t="s">
        <v>153</v>
      </c>
    </row>
    <row r="23" spans="1:2" x14ac:dyDescent="0.3">
      <c r="A23" t="s">
        <v>687</v>
      </c>
      <c r="B23" t="s">
        <v>157</v>
      </c>
    </row>
    <row r="24" spans="1:2" x14ac:dyDescent="0.3">
      <c r="A24" t="s">
        <v>159</v>
      </c>
      <c r="B24" t="s">
        <v>159</v>
      </c>
    </row>
    <row r="25" spans="1:2" x14ac:dyDescent="0.3">
      <c r="A25" t="s">
        <v>163</v>
      </c>
      <c r="B25" t="s">
        <v>163</v>
      </c>
    </row>
    <row r="26" spans="1:2" x14ac:dyDescent="0.3">
      <c r="A26" t="s">
        <v>170</v>
      </c>
      <c r="B26" t="s">
        <v>170</v>
      </c>
    </row>
    <row r="27" spans="1:2" x14ac:dyDescent="0.3">
      <c r="A27" t="s">
        <v>178</v>
      </c>
      <c r="B27" t="s">
        <v>178</v>
      </c>
    </row>
    <row r="28" spans="1:2" x14ac:dyDescent="0.3">
      <c r="A28" t="s">
        <v>180</v>
      </c>
      <c r="B28" t="s">
        <v>180</v>
      </c>
    </row>
    <row r="29" spans="1:2" x14ac:dyDescent="0.3">
      <c r="A29" t="s">
        <v>182</v>
      </c>
      <c r="B29" t="s">
        <v>182</v>
      </c>
    </row>
    <row r="30" spans="1:2" x14ac:dyDescent="0.3">
      <c r="A30" t="s">
        <v>185</v>
      </c>
      <c r="B30" t="s">
        <v>185</v>
      </c>
    </row>
    <row r="31" spans="1:2" x14ac:dyDescent="0.3">
      <c r="A31" t="s">
        <v>188</v>
      </c>
      <c r="B31" t="s">
        <v>188</v>
      </c>
    </row>
    <row r="32" spans="1:2" x14ac:dyDescent="0.3">
      <c r="A32" t="s">
        <v>190</v>
      </c>
      <c r="B32" t="s">
        <v>190</v>
      </c>
    </row>
    <row r="33" spans="1:2" x14ac:dyDescent="0.3">
      <c r="A33" t="s">
        <v>192</v>
      </c>
      <c r="B33" t="s">
        <v>192</v>
      </c>
    </row>
    <row r="34" spans="1:2" x14ac:dyDescent="0.3">
      <c r="A34" t="s">
        <v>198</v>
      </c>
      <c r="B34" t="s">
        <v>198</v>
      </c>
    </row>
    <row r="35" spans="1:2" x14ac:dyDescent="0.3">
      <c r="A35" t="s">
        <v>200</v>
      </c>
      <c r="B35" t="s">
        <v>200</v>
      </c>
    </row>
    <row r="36" spans="1:2" x14ac:dyDescent="0.3">
      <c r="A36" t="s">
        <v>202</v>
      </c>
      <c r="B36" t="s">
        <v>202</v>
      </c>
    </row>
    <row r="37" spans="1:2" x14ac:dyDescent="0.3">
      <c r="A37" t="s">
        <v>207</v>
      </c>
      <c r="B37" t="s">
        <v>207</v>
      </c>
    </row>
    <row r="38" spans="1:2" x14ac:dyDescent="0.3">
      <c r="A38" t="s">
        <v>211</v>
      </c>
      <c r="B38" t="s">
        <v>211</v>
      </c>
    </row>
    <row r="39" spans="1:2" x14ac:dyDescent="0.3">
      <c r="A39" t="s">
        <v>708</v>
      </c>
      <c r="B39" t="s">
        <v>708</v>
      </c>
    </row>
    <row r="40" spans="1:2" x14ac:dyDescent="0.3">
      <c r="A40" t="s">
        <v>214</v>
      </c>
      <c r="B40" t="s">
        <v>214</v>
      </c>
    </row>
    <row r="41" spans="1:2" x14ac:dyDescent="0.3">
      <c r="A41" t="s">
        <v>225</v>
      </c>
      <c r="B41" t="s">
        <v>225</v>
      </c>
    </row>
    <row r="42" spans="1:2" x14ac:dyDescent="0.3">
      <c r="A42" t="s">
        <v>229</v>
      </c>
      <c r="B42" t="s">
        <v>229</v>
      </c>
    </row>
    <row r="43" spans="1:2" x14ac:dyDescent="0.3">
      <c r="A43" t="s">
        <v>235</v>
      </c>
      <c r="B43" t="s">
        <v>235</v>
      </c>
    </row>
    <row r="44" spans="1:2" x14ac:dyDescent="0.3">
      <c r="A44" t="s">
        <v>687</v>
      </c>
      <c r="B44" t="s">
        <v>237</v>
      </c>
    </row>
    <row r="45" spans="1:2" x14ac:dyDescent="0.3">
      <c r="A45" t="s">
        <v>239</v>
      </c>
      <c r="B45" t="s">
        <v>239</v>
      </c>
    </row>
    <row r="46" spans="1:2" x14ac:dyDescent="0.3">
      <c r="A46" t="s">
        <v>243</v>
      </c>
      <c r="B46" t="s">
        <v>243</v>
      </c>
    </row>
    <row r="47" spans="1:2" x14ac:dyDescent="0.3">
      <c r="A47" t="s">
        <v>247</v>
      </c>
      <c r="B47" t="s">
        <v>4774</v>
      </c>
    </row>
    <row r="48" spans="1:2" x14ac:dyDescent="0.3">
      <c r="A48" t="s">
        <v>259</v>
      </c>
      <c r="B48" t="s">
        <v>259</v>
      </c>
    </row>
    <row r="49" spans="1:2" x14ac:dyDescent="0.3">
      <c r="A49" t="s">
        <v>250</v>
      </c>
      <c r="B49" t="s">
        <v>250</v>
      </c>
    </row>
    <row r="50" spans="1:2" x14ac:dyDescent="0.3">
      <c r="A50" t="s">
        <v>253</v>
      </c>
      <c r="B50" t="s">
        <v>253</v>
      </c>
    </row>
    <row r="51" spans="1:2" x14ac:dyDescent="0.3">
      <c r="A51" t="s">
        <v>255</v>
      </c>
      <c r="B51" t="s">
        <v>255</v>
      </c>
    </row>
    <row r="52" spans="1:2" x14ac:dyDescent="0.3">
      <c r="A52" t="s">
        <v>257</v>
      </c>
      <c r="B52" t="s">
        <v>257</v>
      </c>
    </row>
    <row r="53" spans="1:2" x14ac:dyDescent="0.3">
      <c r="A53" t="s">
        <v>264</v>
      </c>
      <c r="B53" t="s">
        <v>264</v>
      </c>
    </row>
    <row r="54" spans="1:2" x14ac:dyDescent="0.3">
      <c r="A54" t="s">
        <v>266</v>
      </c>
      <c r="B54" t="s">
        <v>266</v>
      </c>
    </row>
    <row r="55" spans="1:2" x14ac:dyDescent="0.3">
      <c r="A55" t="s">
        <v>268</v>
      </c>
      <c r="B55" t="s">
        <v>268</v>
      </c>
    </row>
    <row r="56" spans="1:2" x14ac:dyDescent="0.3">
      <c r="A56" t="s">
        <v>270</v>
      </c>
      <c r="B56" t="s">
        <v>270</v>
      </c>
    </row>
    <row r="57" spans="1:2" x14ac:dyDescent="0.3">
      <c r="B57" t="s">
        <v>272</v>
      </c>
    </row>
    <row r="58" spans="1:2" x14ac:dyDescent="0.3">
      <c r="A58" t="s">
        <v>665</v>
      </c>
      <c r="B58" t="s">
        <v>274</v>
      </c>
    </row>
    <row r="59" spans="1:2" x14ac:dyDescent="0.3">
      <c r="A59" t="s">
        <v>276</v>
      </c>
      <c r="B59" t="s">
        <v>276</v>
      </c>
    </row>
    <row r="60" spans="1:2" x14ac:dyDescent="0.3">
      <c r="A60" t="s">
        <v>279</v>
      </c>
      <c r="B60" t="s">
        <v>279</v>
      </c>
    </row>
    <row r="61" spans="1:2" x14ac:dyDescent="0.3">
      <c r="A61" t="s">
        <v>4761</v>
      </c>
      <c r="B61" t="s">
        <v>4761</v>
      </c>
    </row>
    <row r="62" spans="1:2" x14ac:dyDescent="0.3">
      <c r="A62" t="s">
        <v>287</v>
      </c>
      <c r="B62" t="s">
        <v>287</v>
      </c>
    </row>
    <row r="63" spans="1:2" x14ac:dyDescent="0.3">
      <c r="A63" t="s">
        <v>290</v>
      </c>
      <c r="B63" t="s">
        <v>290</v>
      </c>
    </row>
    <row r="64" spans="1:2" x14ac:dyDescent="0.3">
      <c r="A64" t="s">
        <v>292</v>
      </c>
      <c r="B64" t="s">
        <v>292</v>
      </c>
    </row>
    <row r="65" spans="1:2" x14ac:dyDescent="0.3">
      <c r="A65" t="s">
        <v>294</v>
      </c>
    </row>
    <row r="66" spans="1:2" x14ac:dyDescent="0.3">
      <c r="A66" t="s">
        <v>296</v>
      </c>
      <c r="B66" t="s">
        <v>296</v>
      </c>
    </row>
    <row r="67" spans="1:2" x14ac:dyDescent="0.3">
      <c r="A67" t="s">
        <v>300</v>
      </c>
      <c r="B67" t="s">
        <v>300</v>
      </c>
    </row>
    <row r="68" spans="1:2" x14ac:dyDescent="0.3">
      <c r="A68" t="s">
        <v>302</v>
      </c>
      <c r="B68" t="s">
        <v>302</v>
      </c>
    </row>
    <row r="69" spans="1:2" x14ac:dyDescent="0.3">
      <c r="A69" t="s">
        <v>665</v>
      </c>
      <c r="B69" t="s">
        <v>305</v>
      </c>
    </row>
    <row r="70" spans="1:2" x14ac:dyDescent="0.3">
      <c r="A70" t="s">
        <v>307</v>
      </c>
      <c r="B70" t="s">
        <v>307</v>
      </c>
    </row>
    <row r="71" spans="1:2" x14ac:dyDescent="0.3">
      <c r="A71" t="s">
        <v>309</v>
      </c>
      <c r="B71" t="s">
        <v>309</v>
      </c>
    </row>
    <row r="72" spans="1:2" x14ac:dyDescent="0.3">
      <c r="A72" t="s">
        <v>313</v>
      </c>
      <c r="B72" t="s">
        <v>313</v>
      </c>
    </row>
    <row r="73" spans="1:2" x14ac:dyDescent="0.3">
      <c r="A73" t="s">
        <v>317</v>
      </c>
      <c r="B73" t="s">
        <v>317</v>
      </c>
    </row>
    <row r="74" spans="1:2" x14ac:dyDescent="0.3">
      <c r="A74" t="s">
        <v>324</v>
      </c>
      <c r="B74" t="s">
        <v>324</v>
      </c>
    </row>
    <row r="75" spans="1:2" x14ac:dyDescent="0.3">
      <c r="A75" t="s">
        <v>326</v>
      </c>
      <c r="B75" t="s">
        <v>326</v>
      </c>
    </row>
    <row r="76" spans="1:2" x14ac:dyDescent="0.3">
      <c r="A76" t="s">
        <v>328</v>
      </c>
      <c r="B76" t="s">
        <v>328</v>
      </c>
    </row>
    <row r="77" spans="1:2" x14ac:dyDescent="0.3">
      <c r="A77" t="s">
        <v>330</v>
      </c>
      <c r="B77" t="s">
        <v>330</v>
      </c>
    </row>
    <row r="78" spans="1:2" x14ac:dyDescent="0.3">
      <c r="A78" t="s">
        <v>332</v>
      </c>
      <c r="B78" t="s">
        <v>332</v>
      </c>
    </row>
    <row r="79" spans="1:2" x14ac:dyDescent="0.3">
      <c r="A79" t="s">
        <v>338</v>
      </c>
      <c r="B79" t="s">
        <v>338</v>
      </c>
    </row>
    <row r="80" spans="1:2" x14ac:dyDescent="0.3">
      <c r="A80" t="s">
        <v>340</v>
      </c>
      <c r="B80" t="s">
        <v>340</v>
      </c>
    </row>
    <row r="81" spans="1:2" x14ac:dyDescent="0.3">
      <c r="A81" t="s">
        <v>342</v>
      </c>
      <c r="B81" t="s">
        <v>342</v>
      </c>
    </row>
    <row r="82" spans="1:2" x14ac:dyDescent="0.3">
      <c r="A82" t="s">
        <v>344</v>
      </c>
      <c r="B82" t="s">
        <v>344</v>
      </c>
    </row>
    <row r="83" spans="1:2" x14ac:dyDescent="0.3">
      <c r="A83" t="s">
        <v>346</v>
      </c>
      <c r="B83" t="s">
        <v>346</v>
      </c>
    </row>
    <row r="84" spans="1:2" x14ac:dyDescent="0.3">
      <c r="A84" t="s">
        <v>348</v>
      </c>
      <c r="B84" t="s">
        <v>348</v>
      </c>
    </row>
    <row r="85" spans="1:2" x14ac:dyDescent="0.3">
      <c r="A85" t="s">
        <v>353</v>
      </c>
      <c r="B85" t="s">
        <v>353</v>
      </c>
    </row>
    <row r="86" spans="1:2" x14ac:dyDescent="0.3">
      <c r="A86" t="s">
        <v>355</v>
      </c>
      <c r="B86" t="s">
        <v>355</v>
      </c>
    </row>
    <row r="87" spans="1:2" x14ac:dyDescent="0.3">
      <c r="A87" t="s">
        <v>357</v>
      </c>
      <c r="B87" t="s">
        <v>357</v>
      </c>
    </row>
    <row r="88" spans="1:2" x14ac:dyDescent="0.3">
      <c r="A88" t="s">
        <v>359</v>
      </c>
      <c r="B88" t="s">
        <v>359</v>
      </c>
    </row>
    <row r="89" spans="1:2" x14ac:dyDescent="0.3">
      <c r="A89" t="s">
        <v>361</v>
      </c>
      <c r="B89" t="s">
        <v>361</v>
      </c>
    </row>
    <row r="90" spans="1:2" x14ac:dyDescent="0.3">
      <c r="A90" t="s">
        <v>366</v>
      </c>
      <c r="B90" t="s">
        <v>366</v>
      </c>
    </row>
    <row r="91" spans="1:2" x14ac:dyDescent="0.3">
      <c r="A91" t="s">
        <v>368</v>
      </c>
      <c r="B91" t="s">
        <v>368</v>
      </c>
    </row>
    <row r="92" spans="1:2" x14ac:dyDescent="0.3">
      <c r="A92" t="s">
        <v>372</v>
      </c>
      <c r="B92" t="s">
        <v>372</v>
      </c>
    </row>
    <row r="93" spans="1:2" x14ac:dyDescent="0.3">
      <c r="A93" t="s">
        <v>665</v>
      </c>
      <c r="B93" t="s">
        <v>374</v>
      </c>
    </row>
    <row r="94" spans="1:2" x14ac:dyDescent="0.3">
      <c r="A94" t="s">
        <v>377</v>
      </c>
      <c r="B94" t="s">
        <v>377</v>
      </c>
    </row>
    <row r="95" spans="1:2" x14ac:dyDescent="0.3">
      <c r="A95" t="s">
        <v>379</v>
      </c>
      <c r="B95" t="s">
        <v>379</v>
      </c>
    </row>
    <row r="96" spans="1:2" x14ac:dyDescent="0.3">
      <c r="A96" t="s">
        <v>381</v>
      </c>
      <c r="B96" t="s">
        <v>381</v>
      </c>
    </row>
    <row r="97" spans="1:2" x14ac:dyDescent="0.3">
      <c r="A97" t="s">
        <v>665</v>
      </c>
      <c r="B97" t="s">
        <v>383</v>
      </c>
    </row>
    <row r="98" spans="1:2" x14ac:dyDescent="0.3">
      <c r="A98" t="s">
        <v>385</v>
      </c>
      <c r="B98" t="s">
        <v>385</v>
      </c>
    </row>
    <row r="99" spans="1:2" x14ac:dyDescent="0.3">
      <c r="A99" t="s">
        <v>4762</v>
      </c>
      <c r="B99" t="s">
        <v>4762</v>
      </c>
    </row>
    <row r="100" spans="1:2" x14ac:dyDescent="0.3">
      <c r="A100" t="s">
        <v>665</v>
      </c>
      <c r="B100" t="s">
        <v>389</v>
      </c>
    </row>
    <row r="101" spans="1:2" x14ac:dyDescent="0.3">
      <c r="A101" t="s">
        <v>391</v>
      </c>
      <c r="B101" t="s">
        <v>391</v>
      </c>
    </row>
    <row r="102" spans="1:2" x14ac:dyDescent="0.3">
      <c r="A102" t="s">
        <v>393</v>
      </c>
      <c r="B102" t="s">
        <v>393</v>
      </c>
    </row>
    <row r="103" spans="1:2" x14ac:dyDescent="0.3">
      <c r="A103" t="s">
        <v>395</v>
      </c>
      <c r="B103" t="s">
        <v>395</v>
      </c>
    </row>
    <row r="104" spans="1:2" x14ac:dyDescent="0.3">
      <c r="A104" t="s">
        <v>397</v>
      </c>
      <c r="B104" t="s">
        <v>397</v>
      </c>
    </row>
    <row r="105" spans="1:2" x14ac:dyDescent="0.3">
      <c r="A105" t="s">
        <v>665</v>
      </c>
      <c r="B105" t="s">
        <v>402</v>
      </c>
    </row>
    <row r="106" spans="1:2" x14ac:dyDescent="0.3">
      <c r="A106" t="s">
        <v>139</v>
      </c>
      <c r="B106" t="s">
        <v>404</v>
      </c>
    </row>
    <row r="107" spans="1:2" x14ac:dyDescent="0.3">
      <c r="A107" t="s">
        <v>406</v>
      </c>
      <c r="B107" t="s">
        <v>406</v>
      </c>
    </row>
    <row r="108" spans="1:2" x14ac:dyDescent="0.3">
      <c r="A108" t="s">
        <v>408</v>
      </c>
      <c r="B108" t="s">
        <v>408</v>
      </c>
    </row>
    <row r="109" spans="1:2" x14ac:dyDescent="0.3">
      <c r="A109" t="s">
        <v>410</v>
      </c>
      <c r="B109" t="s">
        <v>410</v>
      </c>
    </row>
    <row r="110" spans="1:2" x14ac:dyDescent="0.3">
      <c r="A110" t="s">
        <v>412</v>
      </c>
      <c r="B110" t="s">
        <v>412</v>
      </c>
    </row>
    <row r="111" spans="1:2" x14ac:dyDescent="0.3">
      <c r="A111" t="s">
        <v>414</v>
      </c>
      <c r="B111" t="s">
        <v>414</v>
      </c>
    </row>
    <row r="112" spans="1:2" x14ac:dyDescent="0.3">
      <c r="A112" t="s">
        <v>416</v>
      </c>
      <c r="B112" t="s">
        <v>416</v>
      </c>
    </row>
    <row r="113" spans="1:2" x14ac:dyDescent="0.3">
      <c r="A113" t="s">
        <v>422</v>
      </c>
      <c r="B113" t="s">
        <v>422</v>
      </c>
    </row>
    <row r="114" spans="1:2" x14ac:dyDescent="0.3">
      <c r="A114" t="s">
        <v>424</v>
      </c>
      <c r="B114" t="s">
        <v>424</v>
      </c>
    </row>
    <row r="115" spans="1:2" x14ac:dyDescent="0.3">
      <c r="A115" t="s">
        <v>428</v>
      </c>
      <c r="B115" t="s">
        <v>428</v>
      </c>
    </row>
    <row r="116" spans="1:2" x14ac:dyDescent="0.3">
      <c r="A116" t="s">
        <v>440</v>
      </c>
      <c r="B116" t="s">
        <v>440</v>
      </c>
    </row>
    <row r="117" spans="1:2" x14ac:dyDescent="0.3">
      <c r="A117" t="s">
        <v>687</v>
      </c>
      <c r="B117" t="s">
        <v>442</v>
      </c>
    </row>
    <row r="118" spans="1:2" x14ac:dyDescent="0.3">
      <c r="A118" t="s">
        <v>447</v>
      </c>
      <c r="B118" t="s">
        <v>447</v>
      </c>
    </row>
    <row r="119" spans="1:2" x14ac:dyDescent="0.3">
      <c r="A119" t="s">
        <v>449</v>
      </c>
      <c r="B119" t="s">
        <v>449</v>
      </c>
    </row>
    <row r="120" spans="1:2" x14ac:dyDescent="0.3">
      <c r="A120" t="s">
        <v>451</v>
      </c>
      <c r="B120" t="s">
        <v>451</v>
      </c>
    </row>
    <row r="121" spans="1:2" x14ac:dyDescent="0.3">
      <c r="A121" t="s">
        <v>454</v>
      </c>
      <c r="B121" t="s">
        <v>454</v>
      </c>
    </row>
    <row r="122" spans="1:2" x14ac:dyDescent="0.3">
      <c r="A122" t="s">
        <v>458</v>
      </c>
      <c r="B122" t="s">
        <v>458</v>
      </c>
    </row>
    <row r="123" spans="1:2" x14ac:dyDescent="0.3">
      <c r="A123" t="s">
        <v>460</v>
      </c>
      <c r="B123" t="s">
        <v>460</v>
      </c>
    </row>
    <row r="124" spans="1:2" x14ac:dyDescent="0.3">
      <c r="A124" t="s">
        <v>469</v>
      </c>
      <c r="B124" t="s">
        <v>469</v>
      </c>
    </row>
    <row r="125" spans="1:2" x14ac:dyDescent="0.3">
      <c r="A125" t="s">
        <v>471</v>
      </c>
      <c r="B125" t="s">
        <v>471</v>
      </c>
    </row>
    <row r="126" spans="1:2" x14ac:dyDescent="0.3">
      <c r="A126" t="s">
        <v>473</v>
      </c>
      <c r="B126" t="s">
        <v>473</v>
      </c>
    </row>
    <row r="127" spans="1:2" x14ac:dyDescent="0.3">
      <c r="A127" t="s">
        <v>475</v>
      </c>
      <c r="B127" t="s">
        <v>475</v>
      </c>
    </row>
    <row r="128" spans="1:2" x14ac:dyDescent="0.3">
      <c r="B128" t="s">
        <v>4763</v>
      </c>
    </row>
    <row r="129" spans="1:2" x14ac:dyDescent="0.3">
      <c r="A129" t="s">
        <v>481</v>
      </c>
      <c r="B129" t="s">
        <v>481</v>
      </c>
    </row>
    <row r="130" spans="1:2" x14ac:dyDescent="0.3">
      <c r="A130" t="s">
        <v>687</v>
      </c>
      <c r="B130" t="s">
        <v>487</v>
      </c>
    </row>
    <row r="131" spans="1:2" x14ac:dyDescent="0.3">
      <c r="A131" t="s">
        <v>494</v>
      </c>
      <c r="B131" t="s">
        <v>494</v>
      </c>
    </row>
    <row r="132" spans="1:2" x14ac:dyDescent="0.3">
      <c r="A132" t="s">
        <v>4764</v>
      </c>
      <c r="B132" t="s">
        <v>4764</v>
      </c>
    </row>
    <row r="133" spans="1:2" x14ac:dyDescent="0.3">
      <c r="A133" t="s">
        <v>496</v>
      </c>
      <c r="B133" t="s">
        <v>496</v>
      </c>
    </row>
    <row r="134" spans="1:2" x14ac:dyDescent="0.3">
      <c r="A134" t="s">
        <v>502</v>
      </c>
      <c r="B134" t="s">
        <v>502</v>
      </c>
    </row>
    <row r="135" spans="1:2" x14ac:dyDescent="0.3">
      <c r="B135" t="s">
        <v>506</v>
      </c>
    </row>
    <row r="136" spans="1:2" x14ac:dyDescent="0.3">
      <c r="A136" t="s">
        <v>510</v>
      </c>
      <c r="B136" t="s">
        <v>510</v>
      </c>
    </row>
    <row r="137" spans="1:2" x14ac:dyDescent="0.3">
      <c r="A137" t="s">
        <v>512</v>
      </c>
      <c r="B137" t="s">
        <v>512</v>
      </c>
    </row>
    <row r="138" spans="1:2" x14ac:dyDescent="0.3">
      <c r="A138" t="s">
        <v>514</v>
      </c>
      <c r="B138" t="s">
        <v>514</v>
      </c>
    </row>
    <row r="139" spans="1:2" x14ac:dyDescent="0.3">
      <c r="A139" t="s">
        <v>516</v>
      </c>
      <c r="B139" t="s">
        <v>516</v>
      </c>
    </row>
    <row r="140" spans="1:2" x14ac:dyDescent="0.3">
      <c r="A140" t="s">
        <v>518</v>
      </c>
      <c r="B140" t="s">
        <v>518</v>
      </c>
    </row>
    <row r="141" spans="1:2" x14ac:dyDescent="0.3">
      <c r="A141" t="s">
        <v>522</v>
      </c>
      <c r="B141" t="s">
        <v>522</v>
      </c>
    </row>
    <row r="142" spans="1:2" x14ac:dyDescent="0.3">
      <c r="A142" t="s">
        <v>524</v>
      </c>
      <c r="B142" t="s">
        <v>524</v>
      </c>
    </row>
    <row r="143" spans="1:2" x14ac:dyDescent="0.3">
      <c r="A143" t="s">
        <v>526</v>
      </c>
      <c r="B143" t="s">
        <v>526</v>
      </c>
    </row>
    <row r="144" spans="1:2" x14ac:dyDescent="0.3">
      <c r="A144" t="s">
        <v>528</v>
      </c>
      <c r="B144" t="s">
        <v>528</v>
      </c>
    </row>
    <row r="145" spans="1:2" x14ac:dyDescent="0.3">
      <c r="A145" t="s">
        <v>594</v>
      </c>
      <c r="B145" t="s">
        <v>594</v>
      </c>
    </row>
    <row r="146" spans="1:2" x14ac:dyDescent="0.3">
      <c r="A146" t="s">
        <v>687</v>
      </c>
      <c r="B146" t="s">
        <v>436</v>
      </c>
    </row>
    <row r="147" spans="1:2" x14ac:dyDescent="0.3">
      <c r="A147" t="s">
        <v>532</v>
      </c>
      <c r="B147" t="s">
        <v>532</v>
      </c>
    </row>
    <row r="148" spans="1:2" x14ac:dyDescent="0.3">
      <c r="A148" t="s">
        <v>665</v>
      </c>
      <c r="B148" t="s">
        <v>536</v>
      </c>
    </row>
    <row r="149" spans="1:2" x14ac:dyDescent="0.3">
      <c r="A149" t="s">
        <v>539</v>
      </c>
      <c r="B149" t="s">
        <v>539</v>
      </c>
    </row>
    <row r="150" spans="1:2" x14ac:dyDescent="0.3">
      <c r="A150" t="s">
        <v>544</v>
      </c>
      <c r="B150" t="s">
        <v>544</v>
      </c>
    </row>
    <row r="151" spans="1:2" x14ac:dyDescent="0.3">
      <c r="A151" t="s">
        <v>546</v>
      </c>
      <c r="B151" t="s">
        <v>546</v>
      </c>
    </row>
    <row r="152" spans="1:2" x14ac:dyDescent="0.3">
      <c r="A152" t="s">
        <v>551</v>
      </c>
      <c r="B152" t="s">
        <v>551</v>
      </c>
    </row>
    <row r="153" spans="1:2" x14ac:dyDescent="0.3">
      <c r="A153" t="s">
        <v>557</v>
      </c>
      <c r="B153" t="s">
        <v>557</v>
      </c>
    </row>
    <row r="154" spans="1:2" x14ac:dyDescent="0.3">
      <c r="A154" t="s">
        <v>561</v>
      </c>
      <c r="B154" t="s">
        <v>561</v>
      </c>
    </row>
    <row r="155" spans="1:2" x14ac:dyDescent="0.3">
      <c r="A155" t="s">
        <v>563</v>
      </c>
      <c r="B155" t="s">
        <v>563</v>
      </c>
    </row>
    <row r="156" spans="1:2" x14ac:dyDescent="0.3">
      <c r="A156" t="s">
        <v>565</v>
      </c>
      <c r="B156" t="s">
        <v>565</v>
      </c>
    </row>
    <row r="157" spans="1:2" x14ac:dyDescent="0.3">
      <c r="A157" t="s">
        <v>687</v>
      </c>
      <c r="B157" t="s">
        <v>567</v>
      </c>
    </row>
    <row r="158" spans="1:2" x14ac:dyDescent="0.3">
      <c r="A158" t="s">
        <v>573</v>
      </c>
      <c r="B158" t="s">
        <v>573</v>
      </c>
    </row>
    <row r="159" spans="1:2" x14ac:dyDescent="0.3">
      <c r="A159" t="s">
        <v>575</v>
      </c>
      <c r="B159" t="s">
        <v>575</v>
      </c>
    </row>
    <row r="160" spans="1:2" x14ac:dyDescent="0.3">
      <c r="A160" t="s">
        <v>247</v>
      </c>
      <c r="B160" t="s">
        <v>577</v>
      </c>
    </row>
    <row r="161" spans="1:2" x14ac:dyDescent="0.3">
      <c r="A161" t="s">
        <v>687</v>
      </c>
      <c r="B161" t="s">
        <v>580</v>
      </c>
    </row>
    <row r="162" spans="1:2" x14ac:dyDescent="0.3">
      <c r="A162" t="s">
        <v>582</v>
      </c>
      <c r="B162" t="s">
        <v>582</v>
      </c>
    </row>
    <row r="163" spans="1:2" x14ac:dyDescent="0.3">
      <c r="A163" t="s">
        <v>584</v>
      </c>
      <c r="B163" t="s">
        <v>584</v>
      </c>
    </row>
    <row r="164" spans="1:2" x14ac:dyDescent="0.3">
      <c r="A164" t="s">
        <v>586</v>
      </c>
      <c r="B164" t="s">
        <v>586</v>
      </c>
    </row>
    <row r="165" spans="1:2" x14ac:dyDescent="0.3">
      <c r="B165" t="s">
        <v>596</v>
      </c>
    </row>
    <row r="166" spans="1:2" x14ac:dyDescent="0.3">
      <c r="A166" t="s">
        <v>599</v>
      </c>
      <c r="B166" t="s">
        <v>599</v>
      </c>
    </row>
    <row r="167" spans="1:2" x14ac:dyDescent="0.3">
      <c r="A167" t="s">
        <v>601</v>
      </c>
      <c r="B167" t="s">
        <v>601</v>
      </c>
    </row>
    <row r="168" spans="1:2" x14ac:dyDescent="0.3">
      <c r="A168" t="s">
        <v>597</v>
      </c>
      <c r="B168" t="s">
        <v>597</v>
      </c>
    </row>
    <row r="169" spans="1:2" x14ac:dyDescent="0.3">
      <c r="A169" t="s">
        <v>606</v>
      </c>
      <c r="B169" t="s">
        <v>606</v>
      </c>
    </row>
    <row r="170" spans="1:2" x14ac:dyDescent="0.3">
      <c r="A170" t="s">
        <v>610</v>
      </c>
      <c r="B170" t="s">
        <v>610</v>
      </c>
    </row>
    <row r="171" spans="1:2" x14ac:dyDescent="0.3">
      <c r="A171" t="s">
        <v>612</v>
      </c>
      <c r="B171" t="s">
        <v>612</v>
      </c>
    </row>
    <row r="172" spans="1:2" x14ac:dyDescent="0.3">
      <c r="A172" t="s">
        <v>615</v>
      </c>
      <c r="B172" t="s">
        <v>615</v>
      </c>
    </row>
    <row r="173" spans="1:2" x14ac:dyDescent="0.3">
      <c r="A173" t="s">
        <v>665</v>
      </c>
      <c r="B173" t="s">
        <v>617</v>
      </c>
    </row>
    <row r="174" spans="1:2" x14ac:dyDescent="0.3">
      <c r="A174" t="s">
        <v>619</v>
      </c>
      <c r="B174" t="s">
        <v>619</v>
      </c>
    </row>
    <row r="175" spans="1:2" x14ac:dyDescent="0.3">
      <c r="A175" t="s">
        <v>623</v>
      </c>
      <c r="B175" t="s">
        <v>623</v>
      </c>
    </row>
    <row r="176" spans="1:2" x14ac:dyDescent="0.3">
      <c r="A176" t="s">
        <v>625</v>
      </c>
      <c r="B176" t="s">
        <v>625</v>
      </c>
    </row>
    <row r="177" spans="1:2" x14ac:dyDescent="0.3">
      <c r="A177" t="s">
        <v>628</v>
      </c>
      <c r="B177" t="s">
        <v>628</v>
      </c>
    </row>
    <row r="178" spans="1:2" x14ac:dyDescent="0.3">
      <c r="A178" t="s">
        <v>634</v>
      </c>
      <c r="B178" t="s">
        <v>634</v>
      </c>
    </row>
    <row r="179" spans="1:2" x14ac:dyDescent="0.3">
      <c r="A179" t="s">
        <v>636</v>
      </c>
      <c r="B179" t="s">
        <v>636</v>
      </c>
    </row>
    <row r="180" spans="1:2" x14ac:dyDescent="0.3">
      <c r="A180" t="s">
        <v>638</v>
      </c>
      <c r="B180" t="s">
        <v>638</v>
      </c>
    </row>
    <row r="181" spans="1:2" x14ac:dyDescent="0.3">
      <c r="A181" t="s">
        <v>665</v>
      </c>
      <c r="B181" t="s">
        <v>640</v>
      </c>
    </row>
    <row r="182" spans="1:2" x14ac:dyDescent="0.3">
      <c r="A182" t="s">
        <v>646</v>
      </c>
      <c r="B182" t="s">
        <v>646</v>
      </c>
    </row>
    <row r="183" spans="1:2" x14ac:dyDescent="0.3">
      <c r="A183" t="s">
        <v>665</v>
      </c>
      <c r="B183" t="s">
        <v>648</v>
      </c>
    </row>
    <row r="184" spans="1:2" x14ac:dyDescent="0.3">
      <c r="A184" t="s">
        <v>650</v>
      </c>
      <c r="B184" t="s">
        <v>650</v>
      </c>
    </row>
    <row r="185" spans="1:2" x14ac:dyDescent="0.3">
      <c r="A185" t="s">
        <v>652</v>
      </c>
      <c r="B185" t="s">
        <v>652</v>
      </c>
    </row>
    <row r="186" spans="1:2" x14ac:dyDescent="0.3">
      <c r="A186" t="s">
        <v>653</v>
      </c>
      <c r="B186" t="s">
        <v>653</v>
      </c>
    </row>
    <row r="187" spans="1:2" x14ac:dyDescent="0.3">
      <c r="A187" t="s">
        <v>661</v>
      </c>
      <c r="B187" t="s">
        <v>661</v>
      </c>
    </row>
    <row r="188" spans="1:2" x14ac:dyDescent="0.3">
      <c r="A188" t="s">
        <v>665</v>
      </c>
      <c r="B188" t="s">
        <v>668</v>
      </c>
    </row>
    <row r="189" spans="1:2" x14ac:dyDescent="0.3">
      <c r="A189" t="s">
        <v>670</v>
      </c>
      <c r="B189" t="s">
        <v>670</v>
      </c>
    </row>
    <row r="190" spans="1:2" x14ac:dyDescent="0.3">
      <c r="A190" t="s">
        <v>672</v>
      </c>
      <c r="B190" t="s">
        <v>672</v>
      </c>
    </row>
    <row r="191" spans="1:2" x14ac:dyDescent="0.3">
      <c r="A191" t="s">
        <v>676</v>
      </c>
      <c r="B191" t="s">
        <v>676</v>
      </c>
    </row>
    <row r="192" spans="1:2" x14ac:dyDescent="0.3">
      <c r="A192" t="s">
        <v>685</v>
      </c>
      <c r="B192" t="s">
        <v>685</v>
      </c>
    </row>
    <row r="193" spans="1:2" x14ac:dyDescent="0.3">
      <c r="A193" t="s">
        <v>690</v>
      </c>
      <c r="B193" t="s">
        <v>690</v>
      </c>
    </row>
    <row r="194" spans="1:2" x14ac:dyDescent="0.3">
      <c r="A194" t="s">
        <v>692</v>
      </c>
      <c r="B194" t="s">
        <v>692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1318C-463C-4A2F-A336-93B8F4C6A971}">
  <dimension ref="A1:B12"/>
  <sheetViews>
    <sheetView workbookViewId="0">
      <selection activeCell="S3" sqref="S3"/>
    </sheetView>
  </sheetViews>
  <sheetFormatPr defaultColWidth="10.77734375" defaultRowHeight="14.4" x14ac:dyDescent="0.3"/>
  <sheetData>
    <row r="1" spans="1:2" x14ac:dyDescent="0.3">
      <c r="A1" t="s">
        <v>17</v>
      </c>
      <c r="B1" t="s">
        <v>18</v>
      </c>
    </row>
    <row r="2" spans="1:2" x14ac:dyDescent="0.3">
      <c r="A2" s="10" t="s">
        <v>64</v>
      </c>
      <c r="B2" t="s">
        <v>65</v>
      </c>
    </row>
    <row r="3" spans="1:2" x14ac:dyDescent="0.3">
      <c r="A3" s="10" t="s">
        <v>108</v>
      </c>
      <c r="B3" t="s">
        <v>37</v>
      </c>
    </row>
    <row r="4" spans="1:2" x14ac:dyDescent="0.3">
      <c r="A4" s="10" t="s">
        <v>47</v>
      </c>
      <c r="B4" t="s">
        <v>48</v>
      </c>
    </row>
    <row r="5" spans="1:2" x14ac:dyDescent="0.3">
      <c r="A5" s="10" t="s">
        <v>205</v>
      </c>
      <c r="B5" t="s">
        <v>204</v>
      </c>
    </row>
    <row r="6" spans="1:2" x14ac:dyDescent="0.3">
      <c r="A6" s="10" t="s">
        <v>90</v>
      </c>
      <c r="B6" t="s">
        <v>91</v>
      </c>
    </row>
    <row r="7" spans="1:2" x14ac:dyDescent="0.3">
      <c r="A7" s="10" t="s">
        <v>57</v>
      </c>
      <c r="B7" t="s">
        <v>58</v>
      </c>
    </row>
    <row r="8" spans="1:2" x14ac:dyDescent="0.3">
      <c r="A8" s="10" t="s">
        <v>148</v>
      </c>
      <c r="B8" t="s">
        <v>65</v>
      </c>
    </row>
    <row r="9" spans="1:2" x14ac:dyDescent="0.3">
      <c r="A9" s="10" t="s">
        <v>173</v>
      </c>
      <c r="B9" t="s">
        <v>37</v>
      </c>
    </row>
    <row r="10" spans="1:2" x14ac:dyDescent="0.3">
      <c r="A10" s="10" t="s">
        <v>36</v>
      </c>
      <c r="B10" t="s">
        <v>37</v>
      </c>
    </row>
    <row r="11" spans="1:2" x14ac:dyDescent="0.3">
      <c r="A11" s="10" t="s">
        <v>80</v>
      </c>
      <c r="B11" t="s">
        <v>81</v>
      </c>
    </row>
    <row r="12" spans="1:2" x14ac:dyDescent="0.3">
      <c r="A12" s="10" t="s">
        <v>75</v>
      </c>
      <c r="B12" t="s">
        <v>76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1C731-0C6B-4A5A-BACE-55A155676DC8}">
  <dimension ref="A1:I192"/>
  <sheetViews>
    <sheetView workbookViewId="0">
      <pane ySplit="1" topLeftCell="A133" activePane="bottomLeft" state="frozen"/>
      <selection activeCell="C198" sqref="C198"/>
      <selection pane="bottomLeft" activeCell="K161" sqref="K161"/>
    </sheetView>
  </sheetViews>
  <sheetFormatPr defaultColWidth="10.77734375" defaultRowHeight="14.4" x14ac:dyDescent="0.3"/>
  <cols>
    <col min="2" max="2" width="32.21875" customWidth="1"/>
  </cols>
  <sheetData>
    <row r="1" spans="1:9" x14ac:dyDescent="0.3">
      <c r="A1" t="s">
        <v>693</v>
      </c>
      <c r="B1" t="s">
        <v>694</v>
      </c>
      <c r="C1" t="s">
        <v>2</v>
      </c>
      <c r="D1" t="s">
        <v>695</v>
      </c>
      <c r="E1" t="s">
        <v>696</v>
      </c>
      <c r="F1" t="s">
        <v>697</v>
      </c>
      <c r="G1" t="s">
        <v>698</v>
      </c>
      <c r="H1" t="str">
        <f>regions_full!G1</f>
        <v>EU27</v>
      </c>
    </row>
    <row r="2" spans="1:9" x14ac:dyDescent="0.3">
      <c r="A2">
        <v>4</v>
      </c>
      <c r="B2" t="s">
        <v>55</v>
      </c>
      <c r="C2" t="s">
        <v>54</v>
      </c>
      <c r="D2" t="s">
        <v>703</v>
      </c>
      <c r="E2" t="s">
        <v>60</v>
      </c>
      <c r="F2" t="s">
        <v>704</v>
      </c>
      <c r="G2" t="s">
        <v>56</v>
      </c>
      <c r="H2" t="str">
        <f>VLOOKUP($A2,regions_full!$D$2:$G$261,3,0)</f>
        <v>Algeria</v>
      </c>
      <c r="I2">
        <f t="shared" ref="I2:I65" si="0">A2</f>
        <v>4</v>
      </c>
    </row>
    <row r="3" spans="1:9" x14ac:dyDescent="0.3">
      <c r="A3">
        <v>7</v>
      </c>
      <c r="B3" t="s">
        <v>78</v>
      </c>
      <c r="C3" t="s">
        <v>77</v>
      </c>
      <c r="D3" t="s">
        <v>703</v>
      </c>
      <c r="E3" t="s">
        <v>60</v>
      </c>
      <c r="F3" t="s">
        <v>700</v>
      </c>
      <c r="G3" t="s">
        <v>85</v>
      </c>
      <c r="H3" t="str">
        <f>VLOOKUP($A3,regions_full!$D$2:$G$261,3,0)</f>
        <v>Angola</v>
      </c>
      <c r="I3">
        <f t="shared" si="0"/>
        <v>7</v>
      </c>
    </row>
    <row r="4" spans="1:9" x14ac:dyDescent="0.3">
      <c r="A4">
        <v>53</v>
      </c>
      <c r="B4" t="s">
        <v>144</v>
      </c>
      <c r="C4" t="s">
        <v>143</v>
      </c>
      <c r="D4" t="s">
        <v>703</v>
      </c>
      <c r="E4" t="s">
        <v>60</v>
      </c>
      <c r="F4" t="s">
        <v>700</v>
      </c>
      <c r="G4" t="s">
        <v>145</v>
      </c>
      <c r="H4" t="str">
        <f>VLOOKUP($A4,regions_full!$D$2:$G$261,3,0)</f>
        <v>Benin</v>
      </c>
      <c r="I4">
        <f t="shared" si="0"/>
        <v>53</v>
      </c>
    </row>
    <row r="5" spans="1:9" x14ac:dyDescent="0.3">
      <c r="A5">
        <v>20</v>
      </c>
      <c r="B5" t="s">
        <v>159</v>
      </c>
      <c r="C5" t="s">
        <v>158</v>
      </c>
      <c r="D5" t="s">
        <v>703</v>
      </c>
      <c r="E5" t="s">
        <v>60</v>
      </c>
      <c r="F5" t="s">
        <v>704</v>
      </c>
      <c r="G5" t="s">
        <v>79</v>
      </c>
      <c r="H5" t="str">
        <f>VLOOKUP($A5,regions_full!$D$2:$G$261,3,0)</f>
        <v>Botswana</v>
      </c>
      <c r="I5">
        <f t="shared" si="0"/>
        <v>20</v>
      </c>
    </row>
    <row r="6" spans="1:9" x14ac:dyDescent="0.3">
      <c r="A6">
        <v>233</v>
      </c>
      <c r="B6" t="s">
        <v>180</v>
      </c>
      <c r="C6" t="s">
        <v>179</v>
      </c>
      <c r="D6" t="s">
        <v>703</v>
      </c>
      <c r="E6" t="s">
        <v>60</v>
      </c>
      <c r="F6" t="s">
        <v>700</v>
      </c>
      <c r="G6" t="s">
        <v>145</v>
      </c>
      <c r="H6" t="str">
        <f>VLOOKUP($A6,regions_full!$D$2:$G$261,3,0)</f>
        <v>Burkina Faso</v>
      </c>
      <c r="I6">
        <f t="shared" si="0"/>
        <v>233</v>
      </c>
    </row>
    <row r="7" spans="1:9" x14ac:dyDescent="0.3">
      <c r="A7">
        <v>29</v>
      </c>
      <c r="B7" t="s">
        <v>182</v>
      </c>
      <c r="C7" t="s">
        <v>181</v>
      </c>
      <c r="D7" t="s">
        <v>703</v>
      </c>
      <c r="E7" t="s">
        <v>60</v>
      </c>
      <c r="F7" t="s">
        <v>700</v>
      </c>
      <c r="G7" t="s">
        <v>183</v>
      </c>
      <c r="H7" t="str">
        <f>VLOOKUP($A7,regions_full!$D$2:$G$261,3,0)</f>
        <v>Burundi</v>
      </c>
      <c r="I7">
        <f t="shared" si="0"/>
        <v>29</v>
      </c>
    </row>
    <row r="8" spans="1:9" x14ac:dyDescent="0.3">
      <c r="A8">
        <v>35</v>
      </c>
      <c r="B8" t="s">
        <v>185</v>
      </c>
      <c r="C8" t="s">
        <v>184</v>
      </c>
      <c r="D8" t="s">
        <v>703</v>
      </c>
      <c r="E8" t="s">
        <v>60</v>
      </c>
      <c r="F8" t="s">
        <v>704</v>
      </c>
      <c r="G8" t="s">
        <v>145</v>
      </c>
      <c r="H8" t="str">
        <f>VLOOKUP($A8,regions_full!$D$2:$G$261,3,0)</f>
        <v>Cabo Verde</v>
      </c>
      <c r="I8">
        <f t="shared" si="0"/>
        <v>35</v>
      </c>
    </row>
    <row r="9" spans="1:9" x14ac:dyDescent="0.3">
      <c r="A9">
        <v>32</v>
      </c>
      <c r="B9" t="s">
        <v>190</v>
      </c>
      <c r="C9" t="s">
        <v>189</v>
      </c>
      <c r="D9" t="s">
        <v>703</v>
      </c>
      <c r="E9" t="s">
        <v>60</v>
      </c>
      <c r="F9" t="s">
        <v>704</v>
      </c>
      <c r="G9" t="s">
        <v>85</v>
      </c>
      <c r="H9" t="str">
        <f>VLOOKUP($A9,regions_full!$D$2:$G$261,3,0)</f>
        <v>Cameroon</v>
      </c>
      <c r="I9">
        <f t="shared" si="0"/>
        <v>32</v>
      </c>
    </row>
    <row r="10" spans="1:9" x14ac:dyDescent="0.3">
      <c r="A10">
        <v>37</v>
      </c>
      <c r="B10" t="s">
        <v>198</v>
      </c>
      <c r="C10" t="s">
        <v>197</v>
      </c>
      <c r="D10" t="s">
        <v>703</v>
      </c>
      <c r="E10" t="s">
        <v>60</v>
      </c>
      <c r="F10" t="s">
        <v>700</v>
      </c>
      <c r="G10" t="s">
        <v>85</v>
      </c>
      <c r="H10" t="str">
        <f>VLOOKUP($A10,regions_full!$D$2:$G$261,3,0)</f>
        <v>Central African Republic</v>
      </c>
      <c r="I10">
        <f t="shared" si="0"/>
        <v>37</v>
      </c>
    </row>
    <row r="11" spans="1:9" x14ac:dyDescent="0.3">
      <c r="A11">
        <v>39</v>
      </c>
      <c r="B11" t="s">
        <v>200</v>
      </c>
      <c r="C11" t="s">
        <v>199</v>
      </c>
      <c r="D11" t="s">
        <v>703</v>
      </c>
      <c r="E11" t="s">
        <v>60</v>
      </c>
      <c r="F11" t="s">
        <v>700</v>
      </c>
      <c r="G11" t="s">
        <v>85</v>
      </c>
      <c r="H11" t="str">
        <f>VLOOKUP($A11,regions_full!$D$2:$G$261,3,0)</f>
        <v>Chad</v>
      </c>
      <c r="I11">
        <f t="shared" si="0"/>
        <v>39</v>
      </c>
    </row>
    <row r="12" spans="1:9" x14ac:dyDescent="0.3">
      <c r="A12">
        <v>46</v>
      </c>
      <c r="B12" t="s">
        <v>229</v>
      </c>
      <c r="C12" t="s">
        <v>228</v>
      </c>
      <c r="D12" t="s">
        <v>703</v>
      </c>
      <c r="E12" t="s">
        <v>60</v>
      </c>
      <c r="F12" t="s">
        <v>704</v>
      </c>
      <c r="G12" t="s">
        <v>85</v>
      </c>
      <c r="H12" t="str">
        <f>VLOOKUP($A12,regions_full!$D$2:$G$261,3,0)</f>
        <v>Congo</v>
      </c>
      <c r="I12">
        <f t="shared" si="0"/>
        <v>46</v>
      </c>
    </row>
    <row r="13" spans="1:9" x14ac:dyDescent="0.3">
      <c r="A13">
        <v>72</v>
      </c>
      <c r="B13" t="s">
        <v>253</v>
      </c>
      <c r="C13" t="s">
        <v>252</v>
      </c>
      <c r="D13" t="s">
        <v>703</v>
      </c>
      <c r="E13" t="s">
        <v>60</v>
      </c>
      <c r="F13" t="s">
        <v>700</v>
      </c>
      <c r="G13" t="s">
        <v>183</v>
      </c>
      <c r="H13" t="str">
        <f>VLOOKUP($A13,regions_full!$D$2:$G$261,3,0)</f>
        <v>Djibouti</v>
      </c>
      <c r="I13">
        <f t="shared" si="0"/>
        <v>72</v>
      </c>
    </row>
    <row r="14" spans="1:9" x14ac:dyDescent="0.3">
      <c r="A14">
        <v>250</v>
      </c>
      <c r="B14" t="s">
        <v>259</v>
      </c>
      <c r="C14" t="s">
        <v>258</v>
      </c>
      <c r="D14" t="s">
        <v>703</v>
      </c>
      <c r="E14" t="s">
        <v>60</v>
      </c>
      <c r="F14" t="s">
        <v>700</v>
      </c>
      <c r="G14" t="s">
        <v>85</v>
      </c>
      <c r="H14" t="str">
        <f>VLOOKUP($A14,regions_full!$D$2:$G$261,3,0)</f>
        <v>Democratic Republic of the Congo</v>
      </c>
      <c r="I14">
        <f t="shared" si="0"/>
        <v>250</v>
      </c>
    </row>
    <row r="15" spans="1:9" x14ac:dyDescent="0.3">
      <c r="A15">
        <v>59</v>
      </c>
      <c r="B15" t="s">
        <v>266</v>
      </c>
      <c r="C15" t="s">
        <v>265</v>
      </c>
      <c r="D15" t="s">
        <v>703</v>
      </c>
      <c r="E15" t="s">
        <v>60</v>
      </c>
      <c r="F15" t="s">
        <v>704</v>
      </c>
      <c r="G15" t="s">
        <v>56</v>
      </c>
      <c r="H15" t="str">
        <f>VLOOKUP($A15,regions_full!$D$2:$G$261,3,0)</f>
        <v>Egypt</v>
      </c>
      <c r="I15">
        <f t="shared" si="0"/>
        <v>59</v>
      </c>
    </row>
    <row r="16" spans="1:9" x14ac:dyDescent="0.3">
      <c r="A16">
        <v>178</v>
      </c>
      <c r="B16" t="s">
        <v>272</v>
      </c>
      <c r="C16" t="s">
        <v>271</v>
      </c>
      <c r="D16" t="s">
        <v>703</v>
      </c>
      <c r="E16" t="s">
        <v>60</v>
      </c>
      <c r="F16" t="s">
        <v>700</v>
      </c>
      <c r="G16" t="s">
        <v>183</v>
      </c>
      <c r="H16" t="str">
        <f>VLOOKUP($A16,regions_full!$D$2:$G$261,3,0)</f>
        <v>Eritrea</v>
      </c>
      <c r="I16">
        <f t="shared" si="0"/>
        <v>178</v>
      </c>
    </row>
    <row r="17" spans="1:9" x14ac:dyDescent="0.3">
      <c r="A17">
        <v>238</v>
      </c>
      <c r="B17" t="s">
        <v>279</v>
      </c>
      <c r="C17" t="s">
        <v>278</v>
      </c>
      <c r="D17" t="s">
        <v>703</v>
      </c>
      <c r="E17" t="s">
        <v>60</v>
      </c>
      <c r="F17" t="s">
        <v>700</v>
      </c>
      <c r="G17" t="s">
        <v>183</v>
      </c>
      <c r="H17" t="str">
        <f>VLOOKUP($A17,regions_full!$D$2:$G$261,3,0)</f>
        <v>Ethiopia</v>
      </c>
      <c r="I17">
        <f t="shared" si="0"/>
        <v>238</v>
      </c>
    </row>
    <row r="18" spans="1:9" x14ac:dyDescent="0.3">
      <c r="A18">
        <v>74</v>
      </c>
      <c r="B18" t="s">
        <v>300</v>
      </c>
      <c r="C18" t="s">
        <v>299</v>
      </c>
      <c r="D18" t="s">
        <v>703</v>
      </c>
      <c r="E18" t="s">
        <v>60</v>
      </c>
      <c r="F18" t="s">
        <v>704</v>
      </c>
      <c r="G18" t="s">
        <v>85</v>
      </c>
      <c r="H18" t="str">
        <f>VLOOKUP($A18,regions_full!$D$2:$G$261,3,0)</f>
        <v>Gabon</v>
      </c>
      <c r="I18">
        <f t="shared" si="0"/>
        <v>74</v>
      </c>
    </row>
    <row r="19" spans="1:9" x14ac:dyDescent="0.3">
      <c r="A19">
        <v>75</v>
      </c>
      <c r="B19" t="s">
        <v>302</v>
      </c>
      <c r="C19" t="s">
        <v>301</v>
      </c>
      <c r="D19" t="s">
        <v>703</v>
      </c>
      <c r="E19" t="s">
        <v>60</v>
      </c>
      <c r="F19" t="s">
        <v>700</v>
      </c>
      <c r="G19" t="s">
        <v>145</v>
      </c>
      <c r="H19" t="str">
        <f>VLOOKUP($A19,regions_full!$D$2:$G$261,3,0)</f>
        <v>Gambia</v>
      </c>
      <c r="I19">
        <f t="shared" si="0"/>
        <v>75</v>
      </c>
    </row>
    <row r="20" spans="1:9" x14ac:dyDescent="0.3">
      <c r="A20">
        <v>81</v>
      </c>
      <c r="B20" t="s">
        <v>309</v>
      </c>
      <c r="C20" t="s">
        <v>308</v>
      </c>
      <c r="D20" t="s">
        <v>703</v>
      </c>
      <c r="E20" t="s">
        <v>60</v>
      </c>
      <c r="F20" t="s">
        <v>704</v>
      </c>
      <c r="G20" t="s">
        <v>145</v>
      </c>
      <c r="H20" t="str">
        <f>VLOOKUP($A20,regions_full!$D$2:$G$261,3,0)</f>
        <v>Ghana</v>
      </c>
      <c r="I20">
        <f t="shared" si="0"/>
        <v>81</v>
      </c>
    </row>
    <row r="21" spans="1:9" x14ac:dyDescent="0.3">
      <c r="A21">
        <v>90</v>
      </c>
      <c r="B21" t="s">
        <v>326</v>
      </c>
      <c r="C21" t="s">
        <v>325</v>
      </c>
      <c r="D21" t="s">
        <v>703</v>
      </c>
      <c r="E21" t="s">
        <v>60</v>
      </c>
      <c r="F21" t="s">
        <v>700</v>
      </c>
      <c r="G21" t="s">
        <v>145</v>
      </c>
      <c r="H21" t="str">
        <f>VLOOKUP($A21,regions_full!$D$2:$G$261,3,0)</f>
        <v>Guinea</v>
      </c>
      <c r="I21">
        <f t="shared" si="0"/>
        <v>90</v>
      </c>
    </row>
    <row r="22" spans="1:9" x14ac:dyDescent="0.3">
      <c r="A22">
        <v>175</v>
      </c>
      <c r="B22" t="s">
        <v>328</v>
      </c>
      <c r="C22" t="s">
        <v>327</v>
      </c>
      <c r="D22" t="s">
        <v>703</v>
      </c>
      <c r="E22" t="s">
        <v>60</v>
      </c>
      <c r="F22" t="s">
        <v>700</v>
      </c>
      <c r="G22" t="s">
        <v>145</v>
      </c>
      <c r="H22" t="str">
        <f>VLOOKUP($A22,regions_full!$D$2:$G$261,3,0)</f>
        <v>Guinea-Bissau</v>
      </c>
      <c r="I22">
        <f t="shared" si="0"/>
        <v>175</v>
      </c>
    </row>
    <row r="23" spans="1:9" x14ac:dyDescent="0.3">
      <c r="A23">
        <v>107</v>
      </c>
      <c r="B23" t="s">
        <v>361</v>
      </c>
      <c r="C23" t="s">
        <v>360</v>
      </c>
      <c r="D23" t="s">
        <v>703</v>
      </c>
      <c r="E23" t="s">
        <v>60</v>
      </c>
      <c r="F23" t="s">
        <v>704</v>
      </c>
      <c r="G23" t="s">
        <v>145</v>
      </c>
      <c r="H23" t="str">
        <f>VLOOKUP($A23,regions_full!$D$2:$G$261,3,0)</f>
        <v>Côte d'Ivoire</v>
      </c>
      <c r="I23">
        <f t="shared" si="0"/>
        <v>107</v>
      </c>
    </row>
    <row r="24" spans="1:9" x14ac:dyDescent="0.3">
      <c r="A24">
        <v>114</v>
      </c>
      <c r="B24" t="s">
        <v>377</v>
      </c>
      <c r="C24" t="s">
        <v>376</v>
      </c>
      <c r="D24" t="s">
        <v>703</v>
      </c>
      <c r="E24" t="s">
        <v>60</v>
      </c>
      <c r="F24" t="s">
        <v>704</v>
      </c>
      <c r="G24" t="s">
        <v>183</v>
      </c>
      <c r="H24" t="str">
        <f>VLOOKUP($A24,regions_full!$D$2:$G$261,3,0)</f>
        <v>Kenya</v>
      </c>
      <c r="I24">
        <f t="shared" si="0"/>
        <v>114</v>
      </c>
    </row>
    <row r="25" spans="1:9" x14ac:dyDescent="0.3">
      <c r="A25">
        <v>122</v>
      </c>
      <c r="B25" t="s">
        <v>393</v>
      </c>
      <c r="C25" t="s">
        <v>392</v>
      </c>
      <c r="D25" t="s">
        <v>703</v>
      </c>
      <c r="E25" t="s">
        <v>60</v>
      </c>
      <c r="F25" t="s">
        <v>700</v>
      </c>
      <c r="G25" t="s">
        <v>79</v>
      </c>
      <c r="H25" t="str">
        <f>VLOOKUP($A25,regions_full!$D$2:$G$261,3,0)</f>
        <v>Lesotho</v>
      </c>
      <c r="I25">
        <f t="shared" si="0"/>
        <v>122</v>
      </c>
    </row>
    <row r="26" spans="1:9" x14ac:dyDescent="0.3">
      <c r="A26">
        <v>123</v>
      </c>
      <c r="B26" t="s">
        <v>395</v>
      </c>
      <c r="C26" t="s">
        <v>394</v>
      </c>
      <c r="D26" t="s">
        <v>703</v>
      </c>
      <c r="E26" t="s">
        <v>60</v>
      </c>
      <c r="F26" t="s">
        <v>700</v>
      </c>
      <c r="G26" t="s">
        <v>145</v>
      </c>
      <c r="H26" t="str">
        <f>VLOOKUP($A26,regions_full!$D$2:$G$261,3,0)</f>
        <v>Liberia</v>
      </c>
      <c r="I26">
        <f t="shared" si="0"/>
        <v>123</v>
      </c>
    </row>
    <row r="27" spans="1:9" x14ac:dyDescent="0.3">
      <c r="A27">
        <v>124</v>
      </c>
      <c r="B27" t="s">
        <v>397</v>
      </c>
      <c r="C27" t="s">
        <v>396</v>
      </c>
      <c r="D27" t="s">
        <v>703</v>
      </c>
      <c r="E27" t="s">
        <v>60</v>
      </c>
      <c r="F27" t="s">
        <v>704</v>
      </c>
      <c r="G27" t="s">
        <v>56</v>
      </c>
      <c r="H27" t="str">
        <f>VLOOKUP($A27,regions_full!$D$2:$G$261,3,0)</f>
        <v>Libya</v>
      </c>
      <c r="I27">
        <f t="shared" si="0"/>
        <v>124</v>
      </c>
    </row>
    <row r="28" spans="1:9" x14ac:dyDescent="0.3">
      <c r="A28">
        <v>129</v>
      </c>
      <c r="B28" t="s">
        <v>406</v>
      </c>
      <c r="C28" t="s">
        <v>405</v>
      </c>
      <c r="D28" t="s">
        <v>703</v>
      </c>
      <c r="E28" t="s">
        <v>60</v>
      </c>
      <c r="F28" t="s">
        <v>700</v>
      </c>
      <c r="G28" t="s">
        <v>183</v>
      </c>
      <c r="H28" t="str">
        <f>VLOOKUP($A28,regions_full!$D$2:$G$261,3,0)</f>
        <v>Madagascar</v>
      </c>
      <c r="I28">
        <f t="shared" si="0"/>
        <v>129</v>
      </c>
    </row>
    <row r="29" spans="1:9" x14ac:dyDescent="0.3">
      <c r="A29">
        <v>130</v>
      </c>
      <c r="B29" t="s">
        <v>408</v>
      </c>
      <c r="C29" t="s">
        <v>407</v>
      </c>
      <c r="D29" t="s">
        <v>703</v>
      </c>
      <c r="E29" t="s">
        <v>60</v>
      </c>
      <c r="F29" t="s">
        <v>700</v>
      </c>
      <c r="G29" t="s">
        <v>183</v>
      </c>
      <c r="H29" t="str">
        <f>VLOOKUP($A29,regions_full!$D$2:$G$261,3,0)</f>
        <v>Malawi</v>
      </c>
      <c r="I29">
        <f t="shared" si="0"/>
        <v>130</v>
      </c>
    </row>
    <row r="30" spans="1:9" x14ac:dyDescent="0.3">
      <c r="A30">
        <v>133</v>
      </c>
      <c r="B30" t="s">
        <v>414</v>
      </c>
      <c r="C30" t="s">
        <v>413</v>
      </c>
      <c r="D30" t="s">
        <v>703</v>
      </c>
      <c r="E30" t="s">
        <v>60</v>
      </c>
      <c r="F30" t="s">
        <v>700</v>
      </c>
      <c r="G30" t="s">
        <v>145</v>
      </c>
      <c r="H30" t="str">
        <f>VLOOKUP($A30,regions_full!$D$2:$G$261,3,0)</f>
        <v>Mali</v>
      </c>
      <c r="I30">
        <f t="shared" si="0"/>
        <v>133</v>
      </c>
    </row>
    <row r="31" spans="1:9" x14ac:dyDescent="0.3">
      <c r="A31">
        <v>136</v>
      </c>
      <c r="B31" t="s">
        <v>422</v>
      </c>
      <c r="C31" t="s">
        <v>421</v>
      </c>
      <c r="D31" t="s">
        <v>703</v>
      </c>
      <c r="E31" t="s">
        <v>60</v>
      </c>
      <c r="F31" t="s">
        <v>700</v>
      </c>
      <c r="G31" t="s">
        <v>145</v>
      </c>
      <c r="H31" t="str">
        <f>VLOOKUP($A31,regions_full!$D$2:$G$261,3,0)</f>
        <v>Mauritania</v>
      </c>
      <c r="I31">
        <f t="shared" si="0"/>
        <v>136</v>
      </c>
    </row>
    <row r="32" spans="1:9" x14ac:dyDescent="0.3">
      <c r="A32">
        <v>137</v>
      </c>
      <c r="B32" t="s">
        <v>424</v>
      </c>
      <c r="C32" t="s">
        <v>423</v>
      </c>
      <c r="D32" t="s">
        <v>703</v>
      </c>
      <c r="E32" t="s">
        <v>60</v>
      </c>
      <c r="F32" t="s">
        <v>704</v>
      </c>
      <c r="G32" t="s">
        <v>183</v>
      </c>
      <c r="H32" t="str">
        <f>VLOOKUP($A32,regions_full!$D$2:$G$261,3,0)</f>
        <v>Mauritius</v>
      </c>
      <c r="I32">
        <f t="shared" si="0"/>
        <v>137</v>
      </c>
    </row>
    <row r="33" spans="1:9" x14ac:dyDescent="0.3">
      <c r="A33">
        <v>143</v>
      </c>
      <c r="B33" t="s">
        <v>447</v>
      </c>
      <c r="C33" t="s">
        <v>446</v>
      </c>
      <c r="D33" t="s">
        <v>703</v>
      </c>
      <c r="E33" t="s">
        <v>60</v>
      </c>
      <c r="F33" t="s">
        <v>704</v>
      </c>
      <c r="G33" t="s">
        <v>56</v>
      </c>
      <c r="H33" t="str">
        <f>VLOOKUP($A33,regions_full!$D$2:$G$261,3,0)</f>
        <v>Morocco</v>
      </c>
      <c r="I33">
        <f t="shared" si="0"/>
        <v>143</v>
      </c>
    </row>
    <row r="34" spans="1:9" x14ac:dyDescent="0.3">
      <c r="A34">
        <v>144</v>
      </c>
      <c r="B34" t="s">
        <v>449</v>
      </c>
      <c r="C34" t="s">
        <v>448</v>
      </c>
      <c r="D34" t="s">
        <v>703</v>
      </c>
      <c r="E34" t="s">
        <v>60</v>
      </c>
      <c r="F34" t="s">
        <v>700</v>
      </c>
      <c r="G34" t="s">
        <v>183</v>
      </c>
      <c r="H34" t="str">
        <f>VLOOKUP($A34,regions_full!$D$2:$G$261,3,0)</f>
        <v>Mozambique</v>
      </c>
      <c r="I34">
        <f t="shared" si="0"/>
        <v>144</v>
      </c>
    </row>
    <row r="35" spans="1:9" x14ac:dyDescent="0.3">
      <c r="A35">
        <v>147</v>
      </c>
      <c r="B35" t="s">
        <v>454</v>
      </c>
      <c r="C35" t="s">
        <v>453</v>
      </c>
      <c r="D35" t="s">
        <v>703</v>
      </c>
      <c r="E35" t="s">
        <v>60</v>
      </c>
      <c r="F35" t="s">
        <v>704</v>
      </c>
      <c r="G35" t="s">
        <v>79</v>
      </c>
      <c r="H35" t="str">
        <f>VLOOKUP($A35,regions_full!$D$2:$G$261,3,0)</f>
        <v>Namibia</v>
      </c>
      <c r="I35">
        <f t="shared" si="0"/>
        <v>147</v>
      </c>
    </row>
    <row r="36" spans="1:9" x14ac:dyDescent="0.3">
      <c r="A36">
        <v>158</v>
      </c>
      <c r="B36" t="s">
        <v>473</v>
      </c>
      <c r="C36" t="s">
        <v>472</v>
      </c>
      <c r="D36" t="s">
        <v>703</v>
      </c>
      <c r="E36" t="s">
        <v>60</v>
      </c>
      <c r="F36" t="s">
        <v>700</v>
      </c>
      <c r="G36" t="s">
        <v>145</v>
      </c>
      <c r="H36" t="str">
        <f>VLOOKUP($A36,regions_full!$D$2:$G$261,3,0)</f>
        <v>Niger</v>
      </c>
      <c r="I36">
        <f t="shared" si="0"/>
        <v>158</v>
      </c>
    </row>
    <row r="37" spans="1:9" x14ac:dyDescent="0.3">
      <c r="A37">
        <v>159</v>
      </c>
      <c r="B37" t="s">
        <v>475</v>
      </c>
      <c r="C37" t="s">
        <v>474</v>
      </c>
      <c r="D37" t="s">
        <v>703</v>
      </c>
      <c r="E37" t="s">
        <v>60</v>
      </c>
      <c r="F37" t="s">
        <v>704</v>
      </c>
      <c r="G37" t="s">
        <v>145</v>
      </c>
      <c r="H37" t="str">
        <f>VLOOKUP($A37,regions_full!$D$2:$G$261,3,0)</f>
        <v>Nigeria</v>
      </c>
      <c r="I37">
        <f t="shared" si="0"/>
        <v>159</v>
      </c>
    </row>
    <row r="38" spans="1:9" x14ac:dyDescent="0.3">
      <c r="A38">
        <v>184</v>
      </c>
      <c r="B38" t="s">
        <v>539</v>
      </c>
      <c r="C38" t="s">
        <v>538</v>
      </c>
      <c r="D38" t="s">
        <v>703</v>
      </c>
      <c r="E38" t="s">
        <v>60</v>
      </c>
      <c r="F38" t="s">
        <v>700</v>
      </c>
      <c r="G38" t="s">
        <v>183</v>
      </c>
      <c r="H38" t="str">
        <f>VLOOKUP($A38,regions_full!$D$2:$G$261,3,0)</f>
        <v>Rwanda</v>
      </c>
      <c r="I38">
        <f t="shared" si="0"/>
        <v>184</v>
      </c>
    </row>
    <row r="39" spans="1:9" x14ac:dyDescent="0.3">
      <c r="A39">
        <v>193</v>
      </c>
      <c r="B39" t="s">
        <v>561</v>
      </c>
      <c r="C39" t="s">
        <v>560</v>
      </c>
      <c r="D39" t="s">
        <v>703</v>
      </c>
      <c r="E39" t="s">
        <v>60</v>
      </c>
      <c r="F39" t="s">
        <v>700</v>
      </c>
      <c r="G39" t="s">
        <v>85</v>
      </c>
      <c r="H39" t="str">
        <f>VLOOKUP($A39,regions_full!$D$2:$G$261,3,0)</f>
        <v>Sao Tome and Principe</v>
      </c>
      <c r="I39">
        <f t="shared" si="0"/>
        <v>193</v>
      </c>
    </row>
    <row r="40" spans="1:9" x14ac:dyDescent="0.3">
      <c r="A40">
        <v>195</v>
      </c>
      <c r="B40" t="s">
        <v>565</v>
      </c>
      <c r="C40" t="s">
        <v>564</v>
      </c>
      <c r="D40" t="s">
        <v>703</v>
      </c>
      <c r="E40" t="s">
        <v>60</v>
      </c>
      <c r="F40" t="s">
        <v>700</v>
      </c>
      <c r="G40" t="s">
        <v>145</v>
      </c>
      <c r="H40" t="str">
        <f>VLOOKUP($A40,regions_full!$D$2:$G$261,3,0)</f>
        <v>Senegal</v>
      </c>
      <c r="I40">
        <f t="shared" si="0"/>
        <v>195</v>
      </c>
    </row>
    <row r="41" spans="1:9" x14ac:dyDescent="0.3">
      <c r="A41">
        <v>197</v>
      </c>
      <c r="B41" t="s">
        <v>573</v>
      </c>
      <c r="C41" t="s">
        <v>572</v>
      </c>
      <c r="D41" t="s">
        <v>703</v>
      </c>
      <c r="E41" t="s">
        <v>60</v>
      </c>
      <c r="F41" t="s">
        <v>700</v>
      </c>
      <c r="G41" t="s">
        <v>145</v>
      </c>
      <c r="H41" t="str">
        <f>VLOOKUP($A41,regions_full!$D$2:$G$261,3,0)</f>
        <v>Sierra Leone</v>
      </c>
      <c r="I41">
        <f t="shared" si="0"/>
        <v>197</v>
      </c>
    </row>
    <row r="42" spans="1:9" x14ac:dyDescent="0.3">
      <c r="A42">
        <v>201</v>
      </c>
      <c r="B42" t="s">
        <v>584</v>
      </c>
      <c r="C42" t="s">
        <v>583</v>
      </c>
      <c r="D42" t="s">
        <v>703</v>
      </c>
      <c r="E42" t="s">
        <v>60</v>
      </c>
      <c r="F42" t="s">
        <v>700</v>
      </c>
      <c r="G42" t="s">
        <v>183</v>
      </c>
      <c r="H42" t="str">
        <f>VLOOKUP($A42,regions_full!$D$2:$G$261,3,0)</f>
        <v>Somalia</v>
      </c>
      <c r="I42">
        <f t="shared" si="0"/>
        <v>201</v>
      </c>
    </row>
    <row r="43" spans="1:9" x14ac:dyDescent="0.3">
      <c r="A43">
        <v>202</v>
      </c>
      <c r="B43" t="s">
        <v>586</v>
      </c>
      <c r="C43" t="s">
        <v>585</v>
      </c>
      <c r="D43" t="s">
        <v>703</v>
      </c>
      <c r="E43" t="s">
        <v>60</v>
      </c>
      <c r="F43" t="s">
        <v>704</v>
      </c>
      <c r="G43" t="s">
        <v>79</v>
      </c>
      <c r="H43" t="str">
        <f>VLOOKUP($A43,regions_full!$D$2:$G$261,3,0)</f>
        <v>South Africa</v>
      </c>
      <c r="I43">
        <f t="shared" si="0"/>
        <v>202</v>
      </c>
    </row>
    <row r="44" spans="1:9" x14ac:dyDescent="0.3">
      <c r="A44">
        <v>206</v>
      </c>
      <c r="B44" t="s">
        <v>597</v>
      </c>
      <c r="C44" t="s">
        <v>602</v>
      </c>
      <c r="D44" t="s">
        <v>703</v>
      </c>
      <c r="E44" t="s">
        <v>60</v>
      </c>
      <c r="F44" t="s">
        <v>700</v>
      </c>
      <c r="G44" t="s">
        <v>56</v>
      </c>
      <c r="H44" t="str">
        <f>VLOOKUP($A44,regions_full!$D$2:$G$261,3,0)</f>
        <v>Sudan (former)</v>
      </c>
      <c r="I44">
        <f t="shared" si="0"/>
        <v>206</v>
      </c>
    </row>
    <row r="45" spans="1:9" x14ac:dyDescent="0.3">
      <c r="A45">
        <v>209</v>
      </c>
      <c r="B45" t="s">
        <v>277</v>
      </c>
      <c r="C45" t="s">
        <v>275</v>
      </c>
      <c r="D45" t="s">
        <v>703</v>
      </c>
      <c r="E45" t="s">
        <v>60</v>
      </c>
      <c r="F45" t="s">
        <v>704</v>
      </c>
      <c r="G45" t="s">
        <v>79</v>
      </c>
      <c r="H45" t="str">
        <f>VLOOKUP($A45,regions_full!$D$2:$G$261,3,0)</f>
        <v>Eswatini</v>
      </c>
      <c r="I45">
        <f t="shared" si="0"/>
        <v>209</v>
      </c>
    </row>
    <row r="46" spans="1:9" x14ac:dyDescent="0.3">
      <c r="A46">
        <v>215</v>
      </c>
      <c r="B46" t="s">
        <v>619</v>
      </c>
      <c r="C46" t="s">
        <v>618</v>
      </c>
      <c r="D46" t="s">
        <v>703</v>
      </c>
      <c r="E46" t="s">
        <v>60</v>
      </c>
      <c r="F46" t="s">
        <v>700</v>
      </c>
      <c r="G46" t="s">
        <v>183</v>
      </c>
      <c r="H46" t="str">
        <f>VLOOKUP($A46,regions_full!$D$2:$G$261,3,0)</f>
        <v>United Republic of Tanzania</v>
      </c>
      <c r="I46">
        <f t="shared" si="0"/>
        <v>215</v>
      </c>
    </row>
    <row r="47" spans="1:9" x14ac:dyDescent="0.3">
      <c r="A47">
        <v>217</v>
      </c>
      <c r="B47" t="s">
        <v>628</v>
      </c>
      <c r="C47" t="s">
        <v>627</v>
      </c>
      <c r="D47" t="s">
        <v>703</v>
      </c>
      <c r="E47" t="s">
        <v>60</v>
      </c>
      <c r="F47" t="s">
        <v>700</v>
      </c>
      <c r="G47" t="s">
        <v>145</v>
      </c>
      <c r="H47" t="str">
        <f>VLOOKUP($A47,regions_full!$D$2:$G$261,3,0)</f>
        <v>Togo</v>
      </c>
      <c r="I47">
        <f t="shared" si="0"/>
        <v>217</v>
      </c>
    </row>
    <row r="48" spans="1:9" x14ac:dyDescent="0.3">
      <c r="A48">
        <v>222</v>
      </c>
      <c r="B48" t="s">
        <v>636</v>
      </c>
      <c r="C48" t="s">
        <v>635</v>
      </c>
      <c r="D48" t="s">
        <v>703</v>
      </c>
      <c r="E48" t="s">
        <v>60</v>
      </c>
      <c r="F48" t="s">
        <v>704</v>
      </c>
      <c r="G48" t="s">
        <v>56</v>
      </c>
      <c r="H48" t="str">
        <f>VLOOKUP($A48,regions_full!$D$2:$G$261,3,0)</f>
        <v>Tunisia</v>
      </c>
      <c r="I48">
        <f t="shared" si="0"/>
        <v>222</v>
      </c>
    </row>
    <row r="49" spans="1:9" x14ac:dyDescent="0.3">
      <c r="A49">
        <v>226</v>
      </c>
      <c r="B49" t="s">
        <v>646</v>
      </c>
      <c r="C49" t="s">
        <v>645</v>
      </c>
      <c r="D49" t="s">
        <v>703</v>
      </c>
      <c r="E49" t="s">
        <v>60</v>
      </c>
      <c r="F49" t="s">
        <v>700</v>
      </c>
      <c r="G49" t="s">
        <v>183</v>
      </c>
      <c r="H49" t="str">
        <f>VLOOKUP($A49,regions_full!$D$2:$G$261,3,0)</f>
        <v>Uganda</v>
      </c>
      <c r="I49">
        <f t="shared" si="0"/>
        <v>226</v>
      </c>
    </row>
    <row r="50" spans="1:9" x14ac:dyDescent="0.3">
      <c r="A50">
        <v>251</v>
      </c>
      <c r="B50" t="s">
        <v>690</v>
      </c>
      <c r="C50" t="s">
        <v>689</v>
      </c>
      <c r="D50" t="s">
        <v>703</v>
      </c>
      <c r="E50" t="s">
        <v>60</v>
      </c>
      <c r="F50" t="s">
        <v>700</v>
      </c>
      <c r="G50" t="s">
        <v>183</v>
      </c>
      <c r="H50" t="e">
        <f>VLOOKUP($A50,regions_full!$D$2:$G$261,3,0)</f>
        <v>#N/A</v>
      </c>
      <c r="I50">
        <f t="shared" si="0"/>
        <v>251</v>
      </c>
    </row>
    <row r="51" spans="1:9" x14ac:dyDescent="0.3">
      <c r="A51">
        <v>181</v>
      </c>
      <c r="B51" t="s">
        <v>692</v>
      </c>
      <c r="C51" t="s">
        <v>691</v>
      </c>
      <c r="D51" t="s">
        <v>703</v>
      </c>
      <c r="E51" t="s">
        <v>60</v>
      </c>
      <c r="F51" t="s">
        <v>704</v>
      </c>
      <c r="G51" t="s">
        <v>183</v>
      </c>
      <c r="H51" t="e">
        <f>VLOOKUP($A51,regions_full!$D$2:$G$261,3,0)</f>
        <v>#N/A</v>
      </c>
      <c r="I51">
        <f t="shared" si="0"/>
        <v>181</v>
      </c>
    </row>
    <row r="52" spans="1:9" x14ac:dyDescent="0.3">
      <c r="A52">
        <v>2</v>
      </c>
      <c r="B52" t="s">
        <v>33</v>
      </c>
      <c r="C52" t="s">
        <v>31</v>
      </c>
      <c r="D52" t="s">
        <v>699</v>
      </c>
      <c r="E52" t="s">
        <v>38</v>
      </c>
      <c r="F52" t="s">
        <v>700</v>
      </c>
      <c r="G52" t="s">
        <v>36</v>
      </c>
      <c r="H52" t="str">
        <f>VLOOKUP($A52,regions_full!$D$2:$G$261,3,0)</f>
        <v>Afghanistan</v>
      </c>
      <c r="I52">
        <f t="shared" si="0"/>
        <v>2</v>
      </c>
    </row>
    <row r="53" spans="1:9" x14ac:dyDescent="0.3">
      <c r="A53">
        <v>1</v>
      </c>
      <c r="B53" t="s">
        <v>106</v>
      </c>
      <c r="C53" t="s">
        <v>105</v>
      </c>
      <c r="D53" t="s">
        <v>699</v>
      </c>
      <c r="E53" t="s">
        <v>38</v>
      </c>
      <c r="F53" t="s">
        <v>704</v>
      </c>
      <c r="G53" t="s">
        <v>110</v>
      </c>
      <c r="H53" t="str">
        <f>VLOOKUP($A53,regions_full!$D$2:$G$261,3,0)</f>
        <v>Armenia</v>
      </c>
      <c r="I53">
        <f t="shared" si="0"/>
        <v>1</v>
      </c>
    </row>
    <row r="54" spans="1:9" x14ac:dyDescent="0.3">
      <c r="A54">
        <v>52</v>
      </c>
      <c r="B54" t="s">
        <v>122</v>
      </c>
      <c r="C54" t="s">
        <v>121</v>
      </c>
      <c r="D54" t="s">
        <v>699</v>
      </c>
      <c r="E54" t="s">
        <v>38</v>
      </c>
      <c r="F54" t="s">
        <v>704</v>
      </c>
      <c r="G54" t="s">
        <v>110</v>
      </c>
      <c r="H54" t="str">
        <f>VLOOKUP($A54,regions_full!$D$2:$G$261,3,0)</f>
        <v>Azerbaijan</v>
      </c>
      <c r="I54">
        <f t="shared" si="0"/>
        <v>52</v>
      </c>
    </row>
    <row r="55" spans="1:9" x14ac:dyDescent="0.3">
      <c r="A55">
        <v>13</v>
      </c>
      <c r="B55" t="s">
        <v>127</v>
      </c>
      <c r="C55" t="s">
        <v>126</v>
      </c>
      <c r="D55" t="s">
        <v>699</v>
      </c>
      <c r="E55" t="s">
        <v>38</v>
      </c>
      <c r="F55" t="s">
        <v>704</v>
      </c>
      <c r="G55" t="s">
        <v>110</v>
      </c>
      <c r="H55" t="str">
        <f>VLOOKUP($A55,regions_full!$D$2:$G$261,3,0)</f>
        <v>Bahrain</v>
      </c>
      <c r="I55">
        <f t="shared" si="0"/>
        <v>13</v>
      </c>
    </row>
    <row r="56" spans="1:9" x14ac:dyDescent="0.3">
      <c r="A56">
        <v>16</v>
      </c>
      <c r="B56" t="s">
        <v>131</v>
      </c>
      <c r="C56" t="s">
        <v>130</v>
      </c>
      <c r="D56" t="s">
        <v>699</v>
      </c>
      <c r="E56" t="s">
        <v>38</v>
      </c>
      <c r="F56" t="s">
        <v>700</v>
      </c>
      <c r="G56" t="s">
        <v>36</v>
      </c>
      <c r="H56" t="str">
        <f>VLOOKUP($A56,regions_full!$D$2:$G$261,3,0)</f>
        <v>Bangladesh</v>
      </c>
      <c r="I56">
        <f t="shared" si="0"/>
        <v>16</v>
      </c>
    </row>
    <row r="57" spans="1:9" x14ac:dyDescent="0.3">
      <c r="A57">
        <v>26</v>
      </c>
      <c r="B57" t="s">
        <v>170</v>
      </c>
      <c r="C57" t="s">
        <v>169</v>
      </c>
      <c r="D57" t="s">
        <v>699</v>
      </c>
      <c r="E57" t="s">
        <v>38</v>
      </c>
      <c r="F57" t="s">
        <v>704</v>
      </c>
      <c r="G57" t="s">
        <v>176</v>
      </c>
      <c r="H57" t="str">
        <f>VLOOKUP($A57,regions_full!$D$2:$G$261,3,0)</f>
        <v>Brunei Darussalam</v>
      </c>
      <c r="I57">
        <f t="shared" si="0"/>
        <v>26</v>
      </c>
    </row>
    <row r="58" spans="1:9" x14ac:dyDescent="0.3">
      <c r="A58">
        <v>115</v>
      </c>
      <c r="B58" t="s">
        <v>188</v>
      </c>
      <c r="C58" t="s">
        <v>187</v>
      </c>
      <c r="D58" t="s">
        <v>699</v>
      </c>
      <c r="E58" t="s">
        <v>38</v>
      </c>
      <c r="F58" t="s">
        <v>700</v>
      </c>
      <c r="G58" t="s">
        <v>176</v>
      </c>
      <c r="H58" t="str">
        <f>VLOOKUP($A58,regions_full!$D$2:$G$261,3,0)</f>
        <v>Cambodia</v>
      </c>
      <c r="I58">
        <f t="shared" si="0"/>
        <v>115</v>
      </c>
    </row>
    <row r="59" spans="1:9" x14ac:dyDescent="0.3">
      <c r="A59">
        <v>96</v>
      </c>
      <c r="B59" t="s">
        <v>207</v>
      </c>
      <c r="C59" t="s">
        <v>206</v>
      </c>
      <c r="D59" t="s">
        <v>699</v>
      </c>
      <c r="E59" t="s">
        <v>38</v>
      </c>
      <c r="F59" t="s">
        <v>704</v>
      </c>
      <c r="G59" t="s">
        <v>205</v>
      </c>
      <c r="H59" t="str">
        <f>VLOOKUP($A59,regions_full!$D$2:$G$261,3,0)</f>
        <v>China, Hong Kong SAR</v>
      </c>
      <c r="I59">
        <f t="shared" si="0"/>
        <v>96</v>
      </c>
    </row>
    <row r="60" spans="1:9" x14ac:dyDescent="0.3">
      <c r="A60">
        <v>128</v>
      </c>
      <c r="B60" t="s">
        <v>211</v>
      </c>
      <c r="C60" t="s">
        <v>210</v>
      </c>
      <c r="D60" t="s">
        <v>699</v>
      </c>
      <c r="E60" t="s">
        <v>38</v>
      </c>
      <c r="F60" t="s">
        <v>704</v>
      </c>
      <c r="G60" t="s">
        <v>205</v>
      </c>
      <c r="H60" t="str">
        <f>VLOOKUP($A60,regions_full!$D$2:$G$261,3,0)</f>
        <v>China, Macao SAR</v>
      </c>
      <c r="I60">
        <f t="shared" si="0"/>
        <v>128</v>
      </c>
    </row>
    <row r="61" spans="1:9" x14ac:dyDescent="0.3">
      <c r="A61">
        <v>41</v>
      </c>
      <c r="B61" t="s">
        <v>214</v>
      </c>
      <c r="C61" t="s">
        <v>213</v>
      </c>
      <c r="D61" t="s">
        <v>699</v>
      </c>
      <c r="E61" t="s">
        <v>38</v>
      </c>
      <c r="F61" t="s">
        <v>704</v>
      </c>
      <c r="G61" t="s">
        <v>205</v>
      </c>
      <c r="H61" t="str">
        <f>VLOOKUP($A61,regions_full!$D$2:$G$261,3,0)</f>
        <v>China, mainland</v>
      </c>
      <c r="I61">
        <f t="shared" si="0"/>
        <v>41</v>
      </c>
    </row>
    <row r="62" spans="1:9" x14ac:dyDescent="0.3">
      <c r="A62">
        <v>214</v>
      </c>
      <c r="B62" t="s">
        <v>708</v>
      </c>
      <c r="C62" t="s">
        <v>216</v>
      </c>
      <c r="D62" t="s">
        <v>699</v>
      </c>
      <c r="E62" t="s">
        <v>38</v>
      </c>
      <c r="F62" t="s">
        <v>704</v>
      </c>
      <c r="G62" t="s">
        <v>205</v>
      </c>
      <c r="H62" t="str">
        <f>VLOOKUP($A62,regions_full!$D$2:$G$261,3,0)</f>
        <v>China, Taiwan Province of</v>
      </c>
      <c r="I62">
        <f t="shared" si="0"/>
        <v>214</v>
      </c>
    </row>
    <row r="63" spans="1:9" x14ac:dyDescent="0.3">
      <c r="A63">
        <v>73</v>
      </c>
      <c r="B63" t="s">
        <v>305</v>
      </c>
      <c r="C63" t="s">
        <v>304</v>
      </c>
      <c r="D63" t="s">
        <v>699</v>
      </c>
      <c r="E63" t="s">
        <v>38</v>
      </c>
      <c r="F63" t="s">
        <v>704</v>
      </c>
      <c r="G63" t="s">
        <v>110</v>
      </c>
      <c r="H63" t="str">
        <f>VLOOKUP($A63,regions_full!$D$2:$G$261,3,0)</f>
        <v>Georgia</v>
      </c>
      <c r="I63">
        <f t="shared" si="0"/>
        <v>73</v>
      </c>
    </row>
    <row r="64" spans="1:9" x14ac:dyDescent="0.3">
      <c r="A64">
        <v>100</v>
      </c>
      <c r="B64" t="s">
        <v>344</v>
      </c>
      <c r="C64" t="s">
        <v>343</v>
      </c>
      <c r="D64" t="s">
        <v>699</v>
      </c>
      <c r="E64" t="s">
        <v>38</v>
      </c>
      <c r="F64" t="s">
        <v>704</v>
      </c>
      <c r="G64" t="s">
        <v>36</v>
      </c>
      <c r="H64" t="str">
        <f>VLOOKUP($A64,regions_full!$D$2:$G$261,3,0)</f>
        <v>India</v>
      </c>
      <c r="I64">
        <f t="shared" si="0"/>
        <v>100</v>
      </c>
    </row>
    <row r="65" spans="1:9" x14ac:dyDescent="0.3">
      <c r="A65">
        <v>101</v>
      </c>
      <c r="B65" t="s">
        <v>346</v>
      </c>
      <c r="C65" t="s">
        <v>345</v>
      </c>
      <c r="D65" t="s">
        <v>699</v>
      </c>
      <c r="E65" t="s">
        <v>38</v>
      </c>
      <c r="F65" t="s">
        <v>704</v>
      </c>
      <c r="G65" t="s">
        <v>176</v>
      </c>
      <c r="H65" t="str">
        <f>VLOOKUP($A65,regions_full!$D$2:$G$261,3,0)</f>
        <v>Indonesia</v>
      </c>
      <c r="I65">
        <f t="shared" si="0"/>
        <v>101</v>
      </c>
    </row>
    <row r="66" spans="1:9" x14ac:dyDescent="0.3">
      <c r="A66">
        <v>102</v>
      </c>
      <c r="B66" t="s">
        <v>348</v>
      </c>
      <c r="C66" t="s">
        <v>347</v>
      </c>
      <c r="D66" t="s">
        <v>699</v>
      </c>
      <c r="E66" t="s">
        <v>38</v>
      </c>
      <c r="F66" t="s">
        <v>704</v>
      </c>
      <c r="G66" t="s">
        <v>36</v>
      </c>
      <c r="H66" t="str">
        <f>VLOOKUP($A66,regions_full!$D$2:$G$261,3,0)</f>
        <v>Iran (Islamic Republic of)</v>
      </c>
      <c r="I66">
        <f t="shared" ref="I66:I124" si="1">A66</f>
        <v>102</v>
      </c>
    </row>
    <row r="67" spans="1:9" x14ac:dyDescent="0.3">
      <c r="A67">
        <v>103</v>
      </c>
      <c r="B67" t="s">
        <v>353</v>
      </c>
      <c r="C67" t="s">
        <v>352</v>
      </c>
      <c r="D67" t="s">
        <v>699</v>
      </c>
      <c r="E67" t="s">
        <v>38</v>
      </c>
      <c r="F67" t="s">
        <v>704</v>
      </c>
      <c r="G67" t="s">
        <v>110</v>
      </c>
      <c r="H67" t="str">
        <f>VLOOKUP($A67,regions_full!$D$2:$G$261,3,0)</f>
        <v>Iraq</v>
      </c>
      <c r="I67">
        <f t="shared" si="1"/>
        <v>103</v>
      </c>
    </row>
    <row r="68" spans="1:9" x14ac:dyDescent="0.3">
      <c r="A68">
        <v>105</v>
      </c>
      <c r="B68" t="s">
        <v>357</v>
      </c>
      <c r="C68" t="s">
        <v>356</v>
      </c>
      <c r="D68" t="s">
        <v>699</v>
      </c>
      <c r="E68" t="s">
        <v>38</v>
      </c>
      <c r="F68" t="s">
        <v>702</v>
      </c>
      <c r="G68" t="s">
        <v>110</v>
      </c>
      <c r="H68" t="str">
        <f>VLOOKUP($A68,regions_full!$D$2:$G$261,3,0)</f>
        <v>Israel</v>
      </c>
      <c r="I68">
        <f t="shared" si="1"/>
        <v>105</v>
      </c>
    </row>
    <row r="69" spans="1:9" x14ac:dyDescent="0.3">
      <c r="A69">
        <v>110</v>
      </c>
      <c r="B69" t="s">
        <v>368</v>
      </c>
      <c r="C69" t="s">
        <v>367</v>
      </c>
      <c r="D69" t="s">
        <v>699</v>
      </c>
      <c r="E69" t="s">
        <v>38</v>
      </c>
      <c r="F69" t="s">
        <v>702</v>
      </c>
      <c r="G69" t="s">
        <v>205</v>
      </c>
      <c r="H69" t="str">
        <f>VLOOKUP($A69,regions_full!$D$2:$G$261,3,0)</f>
        <v>Japan</v>
      </c>
      <c r="I69">
        <f t="shared" si="1"/>
        <v>110</v>
      </c>
    </row>
    <row r="70" spans="1:9" x14ac:dyDescent="0.3">
      <c r="A70">
        <v>112</v>
      </c>
      <c r="B70" t="s">
        <v>372</v>
      </c>
      <c r="C70" t="s">
        <v>371</v>
      </c>
      <c r="D70" t="s">
        <v>699</v>
      </c>
      <c r="E70" t="s">
        <v>38</v>
      </c>
      <c r="F70" t="s">
        <v>704</v>
      </c>
      <c r="G70" t="s">
        <v>110</v>
      </c>
      <c r="H70" t="str">
        <f>VLOOKUP($A70,regions_full!$D$2:$G$261,3,0)</f>
        <v>Jordan</v>
      </c>
      <c r="I70">
        <f t="shared" si="1"/>
        <v>112</v>
      </c>
    </row>
    <row r="71" spans="1:9" x14ac:dyDescent="0.3">
      <c r="A71">
        <v>108</v>
      </c>
      <c r="B71" t="s">
        <v>374</v>
      </c>
      <c r="C71" t="s">
        <v>373</v>
      </c>
      <c r="D71" t="s">
        <v>699</v>
      </c>
      <c r="E71" t="s">
        <v>38</v>
      </c>
      <c r="F71" t="s">
        <v>704</v>
      </c>
      <c r="G71" t="s">
        <v>709</v>
      </c>
      <c r="H71" t="str">
        <f>VLOOKUP($A71,regions_full!$D$2:$G$261,3,0)</f>
        <v>Kazakhstan</v>
      </c>
      <c r="I71">
        <f t="shared" si="1"/>
        <v>108</v>
      </c>
    </row>
    <row r="72" spans="1:9" x14ac:dyDescent="0.3">
      <c r="A72">
        <v>118</v>
      </c>
      <c r="B72" t="s">
        <v>381</v>
      </c>
      <c r="C72" t="s">
        <v>380</v>
      </c>
      <c r="D72" t="s">
        <v>699</v>
      </c>
      <c r="E72" t="s">
        <v>38</v>
      </c>
      <c r="F72" t="s">
        <v>704</v>
      </c>
      <c r="G72" t="s">
        <v>110</v>
      </c>
      <c r="H72" t="str">
        <f>VLOOKUP($A72,regions_full!$D$2:$G$261,3,0)</f>
        <v>Kuwait</v>
      </c>
      <c r="I72">
        <f t="shared" si="1"/>
        <v>118</v>
      </c>
    </row>
    <row r="73" spans="1:9" x14ac:dyDescent="0.3">
      <c r="A73">
        <v>113</v>
      </c>
      <c r="B73" t="s">
        <v>383</v>
      </c>
      <c r="C73" t="s">
        <v>382</v>
      </c>
      <c r="D73" t="s">
        <v>699</v>
      </c>
      <c r="E73" t="s">
        <v>38</v>
      </c>
      <c r="F73" t="s">
        <v>704</v>
      </c>
      <c r="G73" t="s">
        <v>709</v>
      </c>
      <c r="H73" t="str">
        <f>VLOOKUP($A73,regions_full!$D$2:$G$261,3,0)</f>
        <v>Kyrgyzstan</v>
      </c>
      <c r="I73">
        <f t="shared" si="1"/>
        <v>113</v>
      </c>
    </row>
    <row r="74" spans="1:9" x14ac:dyDescent="0.3">
      <c r="A74">
        <v>120</v>
      </c>
      <c r="B74" t="s">
        <v>385</v>
      </c>
      <c r="C74" t="s">
        <v>384</v>
      </c>
      <c r="D74" t="s">
        <v>699</v>
      </c>
      <c r="E74" t="s">
        <v>38</v>
      </c>
      <c r="F74" t="s">
        <v>700</v>
      </c>
      <c r="G74" t="s">
        <v>176</v>
      </c>
      <c r="H74" t="str">
        <f>VLOOKUP($A74,regions_full!$D$2:$G$261,3,0)</f>
        <v>Lao People's Democratic Republic</v>
      </c>
      <c r="I74">
        <f t="shared" si="1"/>
        <v>120</v>
      </c>
    </row>
    <row r="75" spans="1:9" x14ac:dyDescent="0.3">
      <c r="A75">
        <v>121</v>
      </c>
      <c r="B75" t="s">
        <v>391</v>
      </c>
      <c r="C75" t="s">
        <v>390</v>
      </c>
      <c r="D75" t="s">
        <v>699</v>
      </c>
      <c r="E75" t="s">
        <v>38</v>
      </c>
      <c r="F75" t="s">
        <v>704</v>
      </c>
      <c r="G75" t="s">
        <v>110</v>
      </c>
      <c r="H75" t="str">
        <f>VLOOKUP($A75,regions_full!$D$2:$G$261,3,0)</f>
        <v>Lebanon</v>
      </c>
      <c r="I75">
        <f t="shared" si="1"/>
        <v>121</v>
      </c>
    </row>
    <row r="76" spans="1:9" x14ac:dyDescent="0.3">
      <c r="A76">
        <v>131</v>
      </c>
      <c r="B76" t="s">
        <v>410</v>
      </c>
      <c r="C76" t="s">
        <v>409</v>
      </c>
      <c r="D76" t="s">
        <v>699</v>
      </c>
      <c r="E76" t="s">
        <v>38</v>
      </c>
      <c r="F76" t="s">
        <v>704</v>
      </c>
      <c r="G76" t="s">
        <v>176</v>
      </c>
      <c r="H76" t="str">
        <f>VLOOKUP($A76,regions_full!$D$2:$G$261,3,0)</f>
        <v>Malaysia</v>
      </c>
      <c r="I76">
        <f t="shared" si="1"/>
        <v>131</v>
      </c>
    </row>
    <row r="77" spans="1:9" x14ac:dyDescent="0.3">
      <c r="A77">
        <v>132</v>
      </c>
      <c r="B77" t="s">
        <v>412</v>
      </c>
      <c r="C77" t="s">
        <v>411</v>
      </c>
      <c r="D77" t="s">
        <v>699</v>
      </c>
      <c r="E77" t="s">
        <v>38</v>
      </c>
      <c r="F77" t="s">
        <v>704</v>
      </c>
      <c r="G77" t="s">
        <v>36</v>
      </c>
      <c r="H77" t="str">
        <f>VLOOKUP($A77,regions_full!$D$2:$G$261,3,0)</f>
        <v>Maldives</v>
      </c>
      <c r="I77">
        <f t="shared" si="1"/>
        <v>132</v>
      </c>
    </row>
    <row r="78" spans="1:9" x14ac:dyDescent="0.3">
      <c r="A78">
        <v>141</v>
      </c>
      <c r="B78" t="s">
        <v>440</v>
      </c>
      <c r="C78" t="s">
        <v>439</v>
      </c>
      <c r="D78" t="s">
        <v>699</v>
      </c>
      <c r="E78" t="s">
        <v>38</v>
      </c>
      <c r="F78" t="s">
        <v>704</v>
      </c>
      <c r="G78" t="s">
        <v>205</v>
      </c>
      <c r="H78" t="str">
        <f>VLOOKUP($A78,regions_full!$D$2:$G$261,3,0)</f>
        <v>Mongolia</v>
      </c>
      <c r="I78">
        <f t="shared" si="1"/>
        <v>141</v>
      </c>
    </row>
    <row r="79" spans="1:9" x14ac:dyDescent="0.3">
      <c r="A79">
        <v>28</v>
      </c>
      <c r="B79" t="s">
        <v>451</v>
      </c>
      <c r="C79" t="s">
        <v>450</v>
      </c>
      <c r="D79" t="s">
        <v>699</v>
      </c>
      <c r="E79" t="s">
        <v>38</v>
      </c>
      <c r="F79" t="s">
        <v>700</v>
      </c>
      <c r="G79" t="s">
        <v>176</v>
      </c>
      <c r="H79" t="str">
        <f>VLOOKUP($A79,regions_full!$D$2:$G$261,3,0)</f>
        <v>Myanmar</v>
      </c>
      <c r="I79">
        <f t="shared" si="1"/>
        <v>28</v>
      </c>
    </row>
    <row r="80" spans="1:9" x14ac:dyDescent="0.3">
      <c r="A80">
        <v>149</v>
      </c>
      <c r="B80" t="s">
        <v>458</v>
      </c>
      <c r="C80" t="s">
        <v>457</v>
      </c>
      <c r="D80" t="s">
        <v>699</v>
      </c>
      <c r="E80" t="s">
        <v>38</v>
      </c>
      <c r="F80" t="s">
        <v>700</v>
      </c>
      <c r="G80" t="s">
        <v>36</v>
      </c>
      <c r="H80" t="str">
        <f>VLOOKUP($A80,regions_full!$D$2:$G$261,3,0)</f>
        <v>Nepal</v>
      </c>
      <c r="I80">
        <f t="shared" si="1"/>
        <v>149</v>
      </c>
    </row>
    <row r="81" spans="1:9" x14ac:dyDescent="0.3">
      <c r="A81">
        <v>116</v>
      </c>
      <c r="B81" t="s">
        <v>481</v>
      </c>
      <c r="C81" t="s">
        <v>480</v>
      </c>
      <c r="D81" t="s">
        <v>699</v>
      </c>
      <c r="E81" t="s">
        <v>38</v>
      </c>
      <c r="F81" t="s">
        <v>704</v>
      </c>
      <c r="G81" t="s">
        <v>205</v>
      </c>
      <c r="H81" t="str">
        <f>VLOOKUP($A81,regions_full!$D$2:$G$261,3,0)</f>
        <v>Democratic People's Republic of Korea</v>
      </c>
      <c r="I81">
        <f t="shared" si="1"/>
        <v>116</v>
      </c>
    </row>
    <row r="82" spans="1:9" x14ac:dyDescent="0.3">
      <c r="A82">
        <v>221</v>
      </c>
      <c r="B82" t="s">
        <v>496</v>
      </c>
      <c r="C82" t="s">
        <v>495</v>
      </c>
      <c r="D82" t="s">
        <v>699</v>
      </c>
      <c r="E82" t="s">
        <v>38</v>
      </c>
      <c r="F82" t="s">
        <v>704</v>
      </c>
      <c r="G82" t="s">
        <v>110</v>
      </c>
      <c r="H82" t="str">
        <f>VLOOKUP($A82,regions_full!$D$2:$G$261,3,0)</f>
        <v>Oman</v>
      </c>
      <c r="I82">
        <f t="shared" si="1"/>
        <v>221</v>
      </c>
    </row>
    <row r="83" spans="1:9" x14ac:dyDescent="0.3">
      <c r="A83">
        <v>165</v>
      </c>
      <c r="B83" t="s">
        <v>502</v>
      </c>
      <c r="C83" t="s">
        <v>501</v>
      </c>
      <c r="D83" t="s">
        <v>699</v>
      </c>
      <c r="E83" t="s">
        <v>38</v>
      </c>
      <c r="F83" t="s">
        <v>704</v>
      </c>
      <c r="G83" t="s">
        <v>36</v>
      </c>
      <c r="H83" t="str">
        <f>VLOOKUP($A83,regions_full!$D$2:$G$261,3,0)</f>
        <v>Pakistan</v>
      </c>
      <c r="I83">
        <f t="shared" si="1"/>
        <v>165</v>
      </c>
    </row>
    <row r="84" spans="1:9" x14ac:dyDescent="0.3">
      <c r="A84">
        <v>171</v>
      </c>
      <c r="B84" t="s">
        <v>518</v>
      </c>
      <c r="C84" t="s">
        <v>517</v>
      </c>
      <c r="D84" t="s">
        <v>699</v>
      </c>
      <c r="E84" t="s">
        <v>38</v>
      </c>
      <c r="F84" t="s">
        <v>704</v>
      </c>
      <c r="G84" t="s">
        <v>176</v>
      </c>
      <c r="H84" t="str">
        <f>VLOOKUP($A84,regions_full!$D$2:$G$261,3,0)</f>
        <v>Philippines</v>
      </c>
      <c r="I84">
        <f t="shared" si="1"/>
        <v>171</v>
      </c>
    </row>
    <row r="85" spans="1:9" x14ac:dyDescent="0.3">
      <c r="A85">
        <v>179</v>
      </c>
      <c r="B85" t="s">
        <v>528</v>
      </c>
      <c r="C85" t="s">
        <v>527</v>
      </c>
      <c r="D85" t="s">
        <v>699</v>
      </c>
      <c r="E85" t="s">
        <v>38</v>
      </c>
      <c r="F85" t="s">
        <v>704</v>
      </c>
      <c r="G85" t="s">
        <v>110</v>
      </c>
      <c r="H85" t="str">
        <f>VLOOKUP($A85,regions_full!$D$2:$G$261,3,0)</f>
        <v>Qatar</v>
      </c>
      <c r="I85">
        <f t="shared" si="1"/>
        <v>179</v>
      </c>
    </row>
    <row r="86" spans="1:9" x14ac:dyDescent="0.3">
      <c r="A86">
        <v>185</v>
      </c>
      <c r="B86" t="s">
        <v>536</v>
      </c>
      <c r="C86" t="s">
        <v>535</v>
      </c>
      <c r="D86" t="s">
        <v>699</v>
      </c>
      <c r="E86" t="s">
        <v>49</v>
      </c>
      <c r="F86" t="s">
        <v>702</v>
      </c>
      <c r="G86" t="s">
        <v>46</v>
      </c>
      <c r="H86" t="str">
        <f>VLOOKUP($A86,regions_full!$D$2:$G$261,3,0)</f>
        <v>Russian Federation</v>
      </c>
      <c r="I86">
        <f t="shared" si="1"/>
        <v>185</v>
      </c>
    </row>
    <row r="87" spans="1:9" x14ac:dyDescent="0.3">
      <c r="A87">
        <v>194</v>
      </c>
      <c r="B87" t="s">
        <v>563</v>
      </c>
      <c r="C87" t="s">
        <v>562</v>
      </c>
      <c r="D87" t="s">
        <v>699</v>
      </c>
      <c r="E87" t="s">
        <v>38</v>
      </c>
      <c r="F87" t="s">
        <v>704</v>
      </c>
      <c r="G87" t="s">
        <v>110</v>
      </c>
      <c r="H87" t="str">
        <f>VLOOKUP($A87,regions_full!$D$2:$G$261,3,0)</f>
        <v>Saudi Arabia</v>
      </c>
      <c r="I87">
        <f t="shared" si="1"/>
        <v>194</v>
      </c>
    </row>
    <row r="88" spans="1:9" x14ac:dyDescent="0.3">
      <c r="A88">
        <v>200</v>
      </c>
      <c r="B88" t="s">
        <v>575</v>
      </c>
      <c r="C88" t="s">
        <v>574</v>
      </c>
      <c r="D88" t="s">
        <v>699</v>
      </c>
      <c r="E88" t="s">
        <v>38</v>
      </c>
      <c r="F88" t="s">
        <v>704</v>
      </c>
      <c r="G88" t="s">
        <v>176</v>
      </c>
      <c r="H88" t="str">
        <f>VLOOKUP($A88,regions_full!$D$2:$G$261,3,0)</f>
        <v>Singapore</v>
      </c>
      <c r="I88">
        <f t="shared" si="1"/>
        <v>200</v>
      </c>
    </row>
    <row r="89" spans="1:9" x14ac:dyDescent="0.3">
      <c r="A89">
        <v>117</v>
      </c>
      <c r="B89" t="s">
        <v>590</v>
      </c>
      <c r="C89" t="s">
        <v>589</v>
      </c>
      <c r="D89" t="s">
        <v>699</v>
      </c>
      <c r="E89" t="s">
        <v>38</v>
      </c>
      <c r="F89" t="s">
        <v>704</v>
      </c>
      <c r="G89" t="s">
        <v>205</v>
      </c>
      <c r="H89" t="str">
        <f>VLOOKUP($A89,regions_full!$D$2:$G$261,3,0)</f>
        <v>Republic of Korea</v>
      </c>
      <c r="I89">
        <f t="shared" si="1"/>
        <v>117</v>
      </c>
    </row>
    <row r="90" spans="1:9" x14ac:dyDescent="0.3">
      <c r="A90">
        <v>38</v>
      </c>
      <c r="B90" t="s">
        <v>601</v>
      </c>
      <c r="C90" t="s">
        <v>600</v>
      </c>
      <c r="D90" t="s">
        <v>699</v>
      </c>
      <c r="E90" t="s">
        <v>38</v>
      </c>
      <c r="F90" t="s">
        <v>704</v>
      </c>
      <c r="G90" t="s">
        <v>36</v>
      </c>
      <c r="H90" t="str">
        <f>VLOOKUP($A90,regions_full!$D$2:$G$261,3,0)</f>
        <v>Sri Lanka</v>
      </c>
      <c r="I90">
        <f t="shared" si="1"/>
        <v>38</v>
      </c>
    </row>
    <row r="91" spans="1:9" x14ac:dyDescent="0.3">
      <c r="A91">
        <v>212</v>
      </c>
      <c r="B91" t="s">
        <v>615</v>
      </c>
      <c r="C91" t="s">
        <v>613</v>
      </c>
      <c r="D91" t="s">
        <v>699</v>
      </c>
      <c r="E91" t="s">
        <v>38</v>
      </c>
      <c r="F91" t="s">
        <v>704</v>
      </c>
      <c r="G91" t="s">
        <v>110</v>
      </c>
      <c r="H91" t="str">
        <f>VLOOKUP($A91,regions_full!$D$2:$G$261,3,0)</f>
        <v>Syrian Arab Republic</v>
      </c>
      <c r="I91">
        <f t="shared" si="1"/>
        <v>212</v>
      </c>
    </row>
    <row r="92" spans="1:9" x14ac:dyDescent="0.3">
      <c r="A92">
        <v>208</v>
      </c>
      <c r="B92" t="s">
        <v>617</v>
      </c>
      <c r="C92" t="s">
        <v>616</v>
      </c>
      <c r="D92" t="s">
        <v>699</v>
      </c>
      <c r="E92" t="s">
        <v>38</v>
      </c>
      <c r="F92" t="s">
        <v>704</v>
      </c>
      <c r="G92" t="s">
        <v>709</v>
      </c>
      <c r="H92" t="str">
        <f>VLOOKUP($A92,regions_full!$D$2:$G$261,3,0)</f>
        <v>Tajikistan</v>
      </c>
      <c r="I92">
        <f t="shared" si="1"/>
        <v>208</v>
      </c>
    </row>
    <row r="93" spans="1:9" x14ac:dyDescent="0.3">
      <c r="A93">
        <v>216</v>
      </c>
      <c r="B93" t="s">
        <v>623</v>
      </c>
      <c r="C93" t="s">
        <v>622</v>
      </c>
      <c r="D93" t="s">
        <v>699</v>
      </c>
      <c r="E93" t="s">
        <v>38</v>
      </c>
      <c r="F93" t="s">
        <v>704</v>
      </c>
      <c r="G93" t="s">
        <v>176</v>
      </c>
      <c r="H93" t="str">
        <f>VLOOKUP($A93,regions_full!$D$2:$G$261,3,0)</f>
        <v>Thailand</v>
      </c>
      <c r="I93">
        <f t="shared" si="1"/>
        <v>216</v>
      </c>
    </row>
    <row r="94" spans="1:9" x14ac:dyDescent="0.3">
      <c r="A94">
        <v>176</v>
      </c>
      <c r="B94" t="s">
        <v>625</v>
      </c>
      <c r="C94" t="s">
        <v>624</v>
      </c>
      <c r="D94" t="s">
        <v>699</v>
      </c>
      <c r="E94" t="s">
        <v>38</v>
      </c>
      <c r="F94" t="s">
        <v>700</v>
      </c>
      <c r="G94" t="s">
        <v>176</v>
      </c>
      <c r="H94" t="str">
        <f>VLOOKUP($A94,regions_full!$D$2:$G$261,3,0)</f>
        <v>Timor-Leste</v>
      </c>
      <c r="I94">
        <f t="shared" si="1"/>
        <v>176</v>
      </c>
    </row>
    <row r="95" spans="1:9" x14ac:dyDescent="0.3">
      <c r="A95">
        <v>213</v>
      </c>
      <c r="B95" t="s">
        <v>640</v>
      </c>
      <c r="C95" t="s">
        <v>639</v>
      </c>
      <c r="D95" t="s">
        <v>699</v>
      </c>
      <c r="E95" t="s">
        <v>38</v>
      </c>
      <c r="F95" t="s">
        <v>704</v>
      </c>
      <c r="G95" t="s">
        <v>709</v>
      </c>
      <c r="H95" t="str">
        <f>VLOOKUP($A95,regions_full!$D$2:$G$261,3,0)</f>
        <v>Turkmenistan</v>
      </c>
      <c r="I95">
        <f t="shared" si="1"/>
        <v>213</v>
      </c>
    </row>
    <row r="96" spans="1:9" x14ac:dyDescent="0.3">
      <c r="A96">
        <v>225</v>
      </c>
      <c r="B96" t="s">
        <v>650</v>
      </c>
      <c r="C96" t="s">
        <v>649</v>
      </c>
      <c r="D96" t="s">
        <v>699</v>
      </c>
      <c r="E96" t="s">
        <v>38</v>
      </c>
      <c r="F96" t="s">
        <v>704</v>
      </c>
      <c r="G96" t="s">
        <v>110</v>
      </c>
      <c r="H96" t="str">
        <f>VLOOKUP($A96,regions_full!$D$2:$G$261,3,0)</f>
        <v>United Arab Emirates</v>
      </c>
      <c r="I96">
        <f t="shared" si="1"/>
        <v>225</v>
      </c>
    </row>
    <row r="97" spans="1:9" x14ac:dyDescent="0.3">
      <c r="A97">
        <v>228</v>
      </c>
      <c r="B97" t="s">
        <v>665</v>
      </c>
      <c r="C97" t="s">
        <v>664</v>
      </c>
      <c r="D97" t="s">
        <v>699</v>
      </c>
      <c r="E97" t="s">
        <v>49</v>
      </c>
      <c r="F97" t="s">
        <v>702</v>
      </c>
      <c r="G97" t="s">
        <v>46</v>
      </c>
      <c r="H97" t="str">
        <f>VLOOKUP($A97,regions_full!$D$2:$G$261,3,0)</f>
        <v>USSR</v>
      </c>
      <c r="I97">
        <f t="shared" si="1"/>
        <v>228</v>
      </c>
    </row>
    <row r="98" spans="1:9" x14ac:dyDescent="0.3">
      <c r="A98">
        <v>235</v>
      </c>
      <c r="B98" t="s">
        <v>668</v>
      </c>
      <c r="C98" t="s">
        <v>667</v>
      </c>
      <c r="D98" t="s">
        <v>699</v>
      </c>
      <c r="E98" t="s">
        <v>38</v>
      </c>
      <c r="F98" t="s">
        <v>704</v>
      </c>
      <c r="G98" t="s">
        <v>709</v>
      </c>
      <c r="H98" t="str">
        <f>VLOOKUP($A98,regions_full!$D$2:$G$261,3,0)</f>
        <v>Uzbekistan</v>
      </c>
      <c r="I98">
        <f t="shared" si="1"/>
        <v>235</v>
      </c>
    </row>
    <row r="99" spans="1:9" x14ac:dyDescent="0.3">
      <c r="A99">
        <v>237</v>
      </c>
      <c r="B99" t="s">
        <v>676</v>
      </c>
      <c r="C99" t="s">
        <v>675</v>
      </c>
      <c r="D99" t="s">
        <v>699</v>
      </c>
      <c r="E99" t="s">
        <v>38</v>
      </c>
      <c r="F99" t="s">
        <v>704</v>
      </c>
      <c r="G99" t="s">
        <v>176</v>
      </c>
      <c r="H99" t="e">
        <f>VLOOKUP($A99,regions_full!$D$2:$G$261,3,0)</f>
        <v>#N/A</v>
      </c>
      <c r="I99">
        <f t="shared" si="1"/>
        <v>237</v>
      </c>
    </row>
    <row r="100" spans="1:9" x14ac:dyDescent="0.3">
      <c r="A100">
        <v>249</v>
      </c>
      <c r="B100" t="s">
        <v>685</v>
      </c>
      <c r="C100" t="s">
        <v>684</v>
      </c>
      <c r="D100" t="s">
        <v>699</v>
      </c>
      <c r="E100" t="s">
        <v>38</v>
      </c>
      <c r="F100" t="s">
        <v>700</v>
      </c>
      <c r="G100" t="s">
        <v>110</v>
      </c>
      <c r="H100" t="e">
        <f>VLOOKUP($A100,regions_full!$D$2:$G$261,3,0)</f>
        <v>#N/A</v>
      </c>
      <c r="I100">
        <f t="shared" si="1"/>
        <v>249</v>
      </c>
    </row>
    <row r="101" spans="1:9" x14ac:dyDescent="0.3">
      <c r="A101">
        <v>11</v>
      </c>
      <c r="B101" t="s">
        <v>120</v>
      </c>
      <c r="C101" t="s">
        <v>119</v>
      </c>
      <c r="D101" t="s">
        <v>707</v>
      </c>
      <c r="E101" t="s">
        <v>49</v>
      </c>
      <c r="F101" t="s">
        <v>702</v>
      </c>
      <c r="G101" t="s">
        <v>75</v>
      </c>
      <c r="H101" t="str">
        <f>VLOOKUP($A101,regions_full!$D$2:$G$261,3,0)</f>
        <v>Austria</v>
      </c>
      <c r="I101">
        <f t="shared" si="1"/>
        <v>11</v>
      </c>
    </row>
    <row r="102" spans="1:9" x14ac:dyDescent="0.3">
      <c r="A102">
        <v>255</v>
      </c>
      <c r="B102" t="s">
        <v>137</v>
      </c>
      <c r="C102" t="s">
        <v>136</v>
      </c>
      <c r="D102" t="s">
        <v>707</v>
      </c>
      <c r="E102" t="s">
        <v>49</v>
      </c>
      <c r="F102" t="s">
        <v>702</v>
      </c>
      <c r="G102" t="s">
        <v>75</v>
      </c>
      <c r="H102" t="str">
        <f>VLOOKUP($A102,regions_full!$D$2:$G$261,3,0)</f>
        <v>Belgium</v>
      </c>
      <c r="I102">
        <f t="shared" si="1"/>
        <v>255</v>
      </c>
    </row>
    <row r="103" spans="1:9" x14ac:dyDescent="0.3">
      <c r="A103">
        <v>15</v>
      </c>
      <c r="B103" t="s">
        <v>139</v>
      </c>
      <c r="C103" t="s">
        <v>138</v>
      </c>
      <c r="D103" t="s">
        <v>707</v>
      </c>
      <c r="E103" t="s">
        <v>49</v>
      </c>
      <c r="F103" t="s">
        <v>702</v>
      </c>
      <c r="G103" t="s">
        <v>75</v>
      </c>
      <c r="H103" t="str">
        <f>VLOOKUP($A103,regions_full!$D$2:$G$261,3,0)</f>
        <v>Belgium-Luxembourg</v>
      </c>
      <c r="I103">
        <f t="shared" si="1"/>
        <v>15</v>
      </c>
    </row>
    <row r="104" spans="1:9" x14ac:dyDescent="0.3">
      <c r="A104">
        <v>27</v>
      </c>
      <c r="B104" t="s">
        <v>178</v>
      </c>
      <c r="C104" t="s">
        <v>177</v>
      </c>
      <c r="D104" t="s">
        <v>707</v>
      </c>
      <c r="E104" t="s">
        <v>49</v>
      </c>
      <c r="F104" t="s">
        <v>702</v>
      </c>
      <c r="G104" t="s">
        <v>46</v>
      </c>
      <c r="H104" t="str">
        <f>VLOOKUP($A104,regions_full!$D$2:$G$261,3,0)</f>
        <v>Bulgaria</v>
      </c>
      <c r="I104">
        <f t="shared" si="1"/>
        <v>27</v>
      </c>
    </row>
    <row r="105" spans="1:9" x14ac:dyDescent="0.3">
      <c r="A105">
        <v>98</v>
      </c>
      <c r="B105" t="s">
        <v>237</v>
      </c>
      <c r="C105" t="s">
        <v>236</v>
      </c>
      <c r="D105" t="s">
        <v>707</v>
      </c>
      <c r="E105" t="s">
        <v>49</v>
      </c>
      <c r="F105" t="s">
        <v>702</v>
      </c>
      <c r="G105" t="s">
        <v>50</v>
      </c>
      <c r="H105" t="str">
        <f>VLOOKUP($A105,regions_full!$D$2:$G$261,3,0)</f>
        <v>Croatia</v>
      </c>
      <c r="I105">
        <f t="shared" si="1"/>
        <v>98</v>
      </c>
    </row>
    <row r="106" spans="1:9" x14ac:dyDescent="0.3">
      <c r="A106">
        <v>50</v>
      </c>
      <c r="B106" t="s">
        <v>243</v>
      </c>
      <c r="C106" t="s">
        <v>242</v>
      </c>
      <c r="D106" t="s">
        <v>707</v>
      </c>
      <c r="E106" t="s">
        <v>38</v>
      </c>
      <c r="F106" t="s">
        <v>702</v>
      </c>
      <c r="G106" t="s">
        <v>110</v>
      </c>
      <c r="H106" t="str">
        <f>VLOOKUP($A106,regions_full!$D$2:$G$261,3,0)</f>
        <v>Cyprus</v>
      </c>
      <c r="I106">
        <f t="shared" si="1"/>
        <v>50</v>
      </c>
    </row>
    <row r="107" spans="1:9" x14ac:dyDescent="0.3">
      <c r="A107">
        <v>167</v>
      </c>
      <c r="B107" t="s">
        <v>245</v>
      </c>
      <c r="C107" t="s">
        <v>244</v>
      </c>
      <c r="D107" t="s">
        <v>707</v>
      </c>
      <c r="E107" t="s">
        <v>49</v>
      </c>
      <c r="F107" t="s">
        <v>702</v>
      </c>
      <c r="G107" t="s">
        <v>46</v>
      </c>
      <c r="H107" t="str">
        <f>VLOOKUP($A107,regions_full!$D$2:$G$261,3,0)</f>
        <v>Czechia</v>
      </c>
      <c r="I107">
        <f t="shared" si="1"/>
        <v>167</v>
      </c>
    </row>
    <row r="108" spans="1:9" x14ac:dyDescent="0.3">
      <c r="A108">
        <v>51</v>
      </c>
      <c r="B108" t="s">
        <v>247</v>
      </c>
      <c r="C108" t="s">
        <v>246</v>
      </c>
      <c r="D108" t="s">
        <v>707</v>
      </c>
      <c r="E108" t="s">
        <v>49</v>
      </c>
      <c r="F108" t="s">
        <v>702</v>
      </c>
      <c r="G108" t="s">
        <v>46</v>
      </c>
      <c r="H108" t="str">
        <f>VLOOKUP($A108,regions_full!$D$2:$G$261,3,0)</f>
        <v>Czechoslovakia</v>
      </c>
      <c r="I108">
        <f t="shared" si="1"/>
        <v>51</v>
      </c>
    </row>
    <row r="109" spans="1:9" x14ac:dyDescent="0.3">
      <c r="A109">
        <v>54</v>
      </c>
      <c r="B109" t="s">
        <v>250</v>
      </c>
      <c r="C109" t="s">
        <v>249</v>
      </c>
      <c r="D109" t="s">
        <v>707</v>
      </c>
      <c r="E109" t="s">
        <v>49</v>
      </c>
      <c r="F109" t="s">
        <v>702</v>
      </c>
      <c r="G109" t="s">
        <v>251</v>
      </c>
      <c r="H109" t="str">
        <f>VLOOKUP($A109,regions_full!$D$2:$G$261,3,0)</f>
        <v>Denmark</v>
      </c>
      <c r="I109">
        <f t="shared" si="1"/>
        <v>54</v>
      </c>
    </row>
    <row r="110" spans="1:9" x14ac:dyDescent="0.3">
      <c r="A110">
        <v>63</v>
      </c>
      <c r="B110" t="s">
        <v>274</v>
      </c>
      <c r="C110" t="s">
        <v>273</v>
      </c>
      <c r="D110" t="s">
        <v>707</v>
      </c>
      <c r="E110" t="s">
        <v>49</v>
      </c>
      <c r="F110" t="s">
        <v>702</v>
      </c>
      <c r="G110" t="s">
        <v>251</v>
      </c>
      <c r="H110" t="str">
        <f>VLOOKUP($A110,regions_full!$D$2:$G$261,3,0)</f>
        <v>Estonia</v>
      </c>
      <c r="I110">
        <f t="shared" si="1"/>
        <v>63</v>
      </c>
    </row>
    <row r="111" spans="1:9" x14ac:dyDescent="0.3">
      <c r="A111">
        <v>67</v>
      </c>
      <c r="B111" t="s">
        <v>290</v>
      </c>
      <c r="C111" t="s">
        <v>289</v>
      </c>
      <c r="D111" t="s">
        <v>707</v>
      </c>
      <c r="E111" t="s">
        <v>49</v>
      </c>
      <c r="F111" t="s">
        <v>702</v>
      </c>
      <c r="G111" t="s">
        <v>251</v>
      </c>
      <c r="H111" t="str">
        <f>VLOOKUP($A111,regions_full!$D$2:$G$261,3,0)</f>
        <v>Finland</v>
      </c>
      <c r="I111">
        <f t="shared" si="1"/>
        <v>67</v>
      </c>
    </row>
    <row r="112" spans="1:9" x14ac:dyDescent="0.3">
      <c r="A112">
        <v>68</v>
      </c>
      <c r="B112" t="s">
        <v>292</v>
      </c>
      <c r="C112" t="s">
        <v>291</v>
      </c>
      <c r="D112" t="s">
        <v>707</v>
      </c>
      <c r="E112" t="s">
        <v>49</v>
      </c>
      <c r="F112" t="s">
        <v>702</v>
      </c>
      <c r="G112" t="s">
        <v>75</v>
      </c>
      <c r="H112" t="str">
        <f>VLOOKUP($A112,regions_full!$D$2:$G$261,3,0)</f>
        <v>France</v>
      </c>
      <c r="I112">
        <f t="shared" si="1"/>
        <v>68</v>
      </c>
    </row>
    <row r="113" spans="1:9" x14ac:dyDescent="0.3">
      <c r="A113">
        <v>79</v>
      </c>
      <c r="B113" t="s">
        <v>307</v>
      </c>
      <c r="C113" t="s">
        <v>306</v>
      </c>
      <c r="D113" t="s">
        <v>707</v>
      </c>
      <c r="E113" t="s">
        <v>49</v>
      </c>
      <c r="F113" t="s">
        <v>702</v>
      </c>
      <c r="G113" t="s">
        <v>75</v>
      </c>
      <c r="H113" t="str">
        <f>VLOOKUP($A113,regions_full!$D$2:$G$261,3,0)</f>
        <v>Germany</v>
      </c>
      <c r="I113">
        <f t="shared" si="1"/>
        <v>79</v>
      </c>
    </row>
    <row r="114" spans="1:9" x14ac:dyDescent="0.3">
      <c r="A114">
        <v>84</v>
      </c>
      <c r="B114" t="s">
        <v>313</v>
      </c>
      <c r="C114" t="s">
        <v>312</v>
      </c>
      <c r="D114" t="s">
        <v>707</v>
      </c>
      <c r="E114" t="s">
        <v>49</v>
      </c>
      <c r="F114" t="s">
        <v>702</v>
      </c>
      <c r="G114" t="s">
        <v>50</v>
      </c>
      <c r="H114" t="str">
        <f>VLOOKUP($A114,regions_full!$D$2:$G$261,3,0)</f>
        <v>Greece</v>
      </c>
      <c r="I114">
        <f t="shared" si="1"/>
        <v>84</v>
      </c>
    </row>
    <row r="115" spans="1:9" x14ac:dyDescent="0.3">
      <c r="A115">
        <v>97</v>
      </c>
      <c r="B115" t="s">
        <v>340</v>
      </c>
      <c r="C115" t="s">
        <v>339</v>
      </c>
      <c r="D115" t="s">
        <v>707</v>
      </c>
      <c r="E115" t="s">
        <v>49</v>
      </c>
      <c r="F115" t="s">
        <v>702</v>
      </c>
      <c r="G115" t="s">
        <v>46</v>
      </c>
      <c r="H115" t="str">
        <f>VLOOKUP($A115,regions_full!$D$2:$G$261,3,0)</f>
        <v>Hungary</v>
      </c>
      <c r="I115">
        <f t="shared" si="1"/>
        <v>97</v>
      </c>
    </row>
    <row r="116" spans="1:9" x14ac:dyDescent="0.3">
      <c r="A116">
        <v>104</v>
      </c>
      <c r="B116" t="s">
        <v>355</v>
      </c>
      <c r="C116" t="s">
        <v>354</v>
      </c>
      <c r="D116" t="s">
        <v>707</v>
      </c>
      <c r="E116" t="s">
        <v>49</v>
      </c>
      <c r="F116" t="s">
        <v>702</v>
      </c>
      <c r="G116" t="s">
        <v>251</v>
      </c>
      <c r="H116" t="str">
        <f>VLOOKUP($A116,regions_full!$D$2:$G$261,3,0)</f>
        <v>Ireland</v>
      </c>
      <c r="I116">
        <f t="shared" si="1"/>
        <v>104</v>
      </c>
    </row>
    <row r="117" spans="1:9" x14ac:dyDescent="0.3">
      <c r="A117">
        <v>106</v>
      </c>
      <c r="B117" t="s">
        <v>359</v>
      </c>
      <c r="C117" t="s">
        <v>358</v>
      </c>
      <c r="D117" t="s">
        <v>707</v>
      </c>
      <c r="E117" t="s">
        <v>49</v>
      </c>
      <c r="F117" t="s">
        <v>702</v>
      </c>
      <c r="G117" t="s">
        <v>50</v>
      </c>
      <c r="H117" t="str">
        <f>VLOOKUP($A117,regions_full!$D$2:$G$261,3,0)</f>
        <v>Italy</v>
      </c>
      <c r="I117">
        <f t="shared" si="1"/>
        <v>106</v>
      </c>
    </row>
    <row r="118" spans="1:9" x14ac:dyDescent="0.3">
      <c r="A118">
        <v>119</v>
      </c>
      <c r="B118" t="s">
        <v>389</v>
      </c>
      <c r="C118" t="s">
        <v>388</v>
      </c>
      <c r="D118" t="s">
        <v>707</v>
      </c>
      <c r="E118" t="s">
        <v>49</v>
      </c>
      <c r="F118" t="s">
        <v>702</v>
      </c>
      <c r="G118" t="s">
        <v>251</v>
      </c>
      <c r="H118" t="str">
        <f>VLOOKUP($A118,regions_full!$D$2:$G$261,3,0)</f>
        <v>Latvia</v>
      </c>
      <c r="I118">
        <f t="shared" si="1"/>
        <v>119</v>
      </c>
    </row>
    <row r="119" spans="1:9" x14ac:dyDescent="0.3">
      <c r="A119">
        <v>126</v>
      </c>
      <c r="B119" t="s">
        <v>402</v>
      </c>
      <c r="C119" t="s">
        <v>401</v>
      </c>
      <c r="D119" t="s">
        <v>707</v>
      </c>
      <c r="E119" t="s">
        <v>49</v>
      </c>
      <c r="F119" t="s">
        <v>702</v>
      </c>
      <c r="G119" t="s">
        <v>251</v>
      </c>
      <c r="H119" t="str">
        <f>VLOOKUP($A119,regions_full!$D$2:$G$261,3,0)</f>
        <v>Lithuania</v>
      </c>
      <c r="I119">
        <f t="shared" si="1"/>
        <v>126</v>
      </c>
    </row>
    <row r="120" spans="1:9" x14ac:dyDescent="0.3">
      <c r="A120">
        <v>256</v>
      </c>
      <c r="B120" t="s">
        <v>404</v>
      </c>
      <c r="C120" t="s">
        <v>403</v>
      </c>
      <c r="D120" t="s">
        <v>707</v>
      </c>
      <c r="E120" t="s">
        <v>49</v>
      </c>
      <c r="F120" t="s">
        <v>702</v>
      </c>
      <c r="G120" t="s">
        <v>75</v>
      </c>
      <c r="H120" t="str">
        <f>VLOOKUP($A120,regions_full!$D$2:$G$261,3,0)</f>
        <v>Luxembourg</v>
      </c>
      <c r="I120">
        <f t="shared" si="1"/>
        <v>256</v>
      </c>
    </row>
    <row r="121" spans="1:9" x14ac:dyDescent="0.3">
      <c r="A121">
        <v>134</v>
      </c>
      <c r="B121" t="s">
        <v>416</v>
      </c>
      <c r="C121" t="s">
        <v>415</v>
      </c>
      <c r="D121" t="s">
        <v>707</v>
      </c>
      <c r="E121" t="s">
        <v>49</v>
      </c>
      <c r="F121" t="s">
        <v>702</v>
      </c>
      <c r="G121" t="s">
        <v>50</v>
      </c>
      <c r="H121" t="str">
        <f>VLOOKUP($A121,regions_full!$D$2:$G$261,3,0)</f>
        <v>Malta</v>
      </c>
      <c r="I121">
        <f t="shared" si="1"/>
        <v>134</v>
      </c>
    </row>
    <row r="122" spans="1:9" x14ac:dyDescent="0.3">
      <c r="A122">
        <v>150</v>
      </c>
      <c r="B122" t="s">
        <v>460</v>
      </c>
      <c r="C122" t="s">
        <v>459</v>
      </c>
      <c r="D122" t="s">
        <v>707</v>
      </c>
      <c r="E122" t="s">
        <v>49</v>
      </c>
      <c r="F122" t="s">
        <v>702</v>
      </c>
      <c r="G122" t="s">
        <v>75</v>
      </c>
      <c r="H122" t="str">
        <f>VLOOKUP($A122,regions_full!$D$2:$G$261,3,0)</f>
        <v>Netherlands (Kingdom of the)</v>
      </c>
      <c r="I122">
        <f t="shared" si="1"/>
        <v>150</v>
      </c>
    </row>
    <row r="123" spans="1:9" x14ac:dyDescent="0.3">
      <c r="A123">
        <v>173</v>
      </c>
      <c r="B123" t="s">
        <v>522</v>
      </c>
      <c r="C123" t="s">
        <v>521</v>
      </c>
      <c r="D123" t="s">
        <v>707</v>
      </c>
      <c r="E123" t="s">
        <v>49</v>
      </c>
      <c r="F123" t="s">
        <v>702</v>
      </c>
      <c r="G123" t="s">
        <v>46</v>
      </c>
      <c r="H123" t="str">
        <f>VLOOKUP($A123,regions_full!$D$2:$G$261,3,0)</f>
        <v>Poland</v>
      </c>
      <c r="I123">
        <f t="shared" si="1"/>
        <v>173</v>
      </c>
    </row>
    <row r="124" spans="1:9" x14ac:dyDescent="0.3">
      <c r="A124">
        <v>174</v>
      </c>
      <c r="B124" t="s">
        <v>524</v>
      </c>
      <c r="C124" t="s">
        <v>523</v>
      </c>
      <c r="D124" t="s">
        <v>707</v>
      </c>
      <c r="E124" t="s">
        <v>49</v>
      </c>
      <c r="F124" t="s">
        <v>702</v>
      </c>
      <c r="G124" t="s">
        <v>50</v>
      </c>
      <c r="H124" t="str">
        <f>VLOOKUP($A124,regions_full!$D$2:$G$261,3,0)</f>
        <v>Portugal</v>
      </c>
      <c r="I124">
        <f t="shared" si="1"/>
        <v>174</v>
      </c>
    </row>
    <row r="125" spans="1:9" x14ac:dyDescent="0.3">
      <c r="A125">
        <v>183</v>
      </c>
      <c r="B125" t="s">
        <v>532</v>
      </c>
      <c r="C125" t="s">
        <v>531</v>
      </c>
      <c r="D125" t="s">
        <v>707</v>
      </c>
      <c r="E125" t="s">
        <v>49</v>
      </c>
      <c r="F125" t="s">
        <v>702</v>
      </c>
      <c r="G125" t="s">
        <v>46</v>
      </c>
      <c r="H125" t="str">
        <f>VLOOKUP($A125,regions_full!$D$2:$G$261,3,0)</f>
        <v>Romania</v>
      </c>
      <c r="I125">
        <f>A125</f>
        <v>183</v>
      </c>
    </row>
    <row r="126" spans="1:9" x14ac:dyDescent="0.3">
      <c r="A126">
        <v>199</v>
      </c>
      <c r="B126" t="s">
        <v>577</v>
      </c>
      <c r="C126" t="s">
        <v>576</v>
      </c>
      <c r="D126" t="s">
        <v>707</v>
      </c>
      <c r="E126" t="s">
        <v>49</v>
      </c>
      <c r="F126" t="s">
        <v>702</v>
      </c>
      <c r="G126" t="s">
        <v>46</v>
      </c>
      <c r="H126" t="str">
        <f>VLOOKUP($A126,regions_full!$D$2:$G$261,3,0)</f>
        <v>Slovakia</v>
      </c>
      <c r="I126">
        <f t="shared" ref="I126:I189" si="2">A126</f>
        <v>199</v>
      </c>
    </row>
    <row r="127" spans="1:9" x14ac:dyDescent="0.3">
      <c r="A127">
        <v>198</v>
      </c>
      <c r="B127" t="s">
        <v>580</v>
      </c>
      <c r="C127" t="s">
        <v>579</v>
      </c>
      <c r="D127" t="s">
        <v>707</v>
      </c>
      <c r="E127" t="s">
        <v>49</v>
      </c>
      <c r="F127" t="s">
        <v>702</v>
      </c>
      <c r="G127" t="s">
        <v>50</v>
      </c>
      <c r="H127" t="str">
        <f>VLOOKUP($A127,regions_full!$D$2:$G$261,3,0)</f>
        <v>Slovenia</v>
      </c>
      <c r="I127">
        <f t="shared" si="2"/>
        <v>198</v>
      </c>
    </row>
    <row r="128" spans="1:9" x14ac:dyDescent="0.3">
      <c r="A128">
        <v>203</v>
      </c>
      <c r="B128" t="s">
        <v>599</v>
      </c>
      <c r="C128" t="s">
        <v>598</v>
      </c>
      <c r="D128" t="s">
        <v>707</v>
      </c>
      <c r="E128" t="s">
        <v>49</v>
      </c>
      <c r="F128" t="s">
        <v>702</v>
      </c>
      <c r="G128" t="s">
        <v>50</v>
      </c>
      <c r="H128" t="str">
        <f>VLOOKUP($A128,regions_full!$D$2:$G$261,3,0)</f>
        <v>Spain</v>
      </c>
      <c r="I128">
        <f t="shared" si="2"/>
        <v>203</v>
      </c>
    </row>
    <row r="129" spans="1:9" x14ac:dyDescent="0.3">
      <c r="A129">
        <v>210</v>
      </c>
      <c r="B129" t="s">
        <v>610</v>
      </c>
      <c r="C129" t="s">
        <v>609</v>
      </c>
      <c r="D129" t="s">
        <v>707</v>
      </c>
      <c r="E129" t="s">
        <v>49</v>
      </c>
      <c r="F129" t="s">
        <v>702</v>
      </c>
      <c r="G129" t="s">
        <v>251</v>
      </c>
      <c r="H129" t="str">
        <f>VLOOKUP($A129,regions_full!$D$2:$G$261,3,0)</f>
        <v>Sweden</v>
      </c>
      <c r="I129">
        <f t="shared" si="2"/>
        <v>210</v>
      </c>
    </row>
    <row r="130" spans="1:9" x14ac:dyDescent="0.3">
      <c r="A130">
        <v>229</v>
      </c>
      <c r="B130" t="s">
        <v>652</v>
      </c>
      <c r="C130" t="s">
        <v>651</v>
      </c>
      <c r="D130" t="s">
        <v>707</v>
      </c>
      <c r="E130" t="s">
        <v>49</v>
      </c>
      <c r="F130" t="s">
        <v>702</v>
      </c>
      <c r="G130" t="s">
        <v>251</v>
      </c>
      <c r="H130" t="str">
        <f>VLOOKUP($A130,regions_full!$D$2:$G$261,3,0)</f>
        <v>United Kingdom of Great Britain and Northern Ireland</v>
      </c>
      <c r="I130">
        <f t="shared" si="2"/>
        <v>229</v>
      </c>
    </row>
    <row r="131" spans="1:9" x14ac:dyDescent="0.3">
      <c r="A131">
        <v>3</v>
      </c>
      <c r="B131" t="s">
        <v>45</v>
      </c>
      <c r="C131" t="s">
        <v>44</v>
      </c>
      <c r="D131" t="s">
        <v>701</v>
      </c>
      <c r="E131" t="s">
        <v>49</v>
      </c>
      <c r="F131" t="s">
        <v>702</v>
      </c>
      <c r="G131" t="s">
        <v>50</v>
      </c>
      <c r="H131" t="str">
        <f>VLOOKUP($A131,regions_full!$D$2:$G$261,3,0)</f>
        <v>Albania</v>
      </c>
      <c r="I131">
        <f t="shared" si="2"/>
        <v>3</v>
      </c>
    </row>
    <row r="132" spans="1:9" x14ac:dyDescent="0.3">
      <c r="A132">
        <v>57</v>
      </c>
      <c r="B132" t="s">
        <v>135</v>
      </c>
      <c r="C132" t="s">
        <v>134</v>
      </c>
      <c r="D132" t="s">
        <v>701</v>
      </c>
      <c r="E132" t="s">
        <v>49</v>
      </c>
      <c r="F132" t="s">
        <v>702</v>
      </c>
      <c r="G132" t="s">
        <v>46</v>
      </c>
      <c r="H132" t="str">
        <f>VLOOKUP($A132,regions_full!$D$2:$G$261,3,0)</f>
        <v>Belarus</v>
      </c>
      <c r="I132">
        <f t="shared" si="2"/>
        <v>57</v>
      </c>
    </row>
    <row r="133" spans="1:9" x14ac:dyDescent="0.3">
      <c r="A133">
        <v>80</v>
      </c>
      <c r="B133" t="s">
        <v>157</v>
      </c>
      <c r="C133" t="s">
        <v>156</v>
      </c>
      <c r="D133" t="s">
        <v>701</v>
      </c>
      <c r="E133" t="s">
        <v>49</v>
      </c>
      <c r="F133" t="s">
        <v>702</v>
      </c>
      <c r="G133" t="s">
        <v>50</v>
      </c>
      <c r="H133" t="str">
        <f>VLOOKUP($A133,regions_full!$D$2:$G$261,3,0)</f>
        <v>Bosnia and Herzegovina</v>
      </c>
      <c r="I133">
        <f t="shared" si="2"/>
        <v>80</v>
      </c>
    </row>
    <row r="134" spans="1:9" x14ac:dyDescent="0.3">
      <c r="A134">
        <v>99</v>
      </c>
      <c r="B134" t="s">
        <v>342</v>
      </c>
      <c r="C134" t="s">
        <v>341</v>
      </c>
      <c r="D134" t="s">
        <v>701</v>
      </c>
      <c r="E134" t="s">
        <v>49</v>
      </c>
      <c r="F134" t="s">
        <v>702</v>
      </c>
      <c r="G134" t="s">
        <v>251</v>
      </c>
      <c r="H134" t="str">
        <f>VLOOKUP($A134,regions_full!$D$2:$G$261,3,0)</f>
        <v>Iceland</v>
      </c>
      <c r="I134">
        <f t="shared" si="2"/>
        <v>99</v>
      </c>
    </row>
    <row r="135" spans="1:9" x14ac:dyDescent="0.3">
      <c r="A135">
        <v>154</v>
      </c>
      <c r="B135" t="s">
        <v>488</v>
      </c>
      <c r="C135" t="s">
        <v>486</v>
      </c>
      <c r="D135" t="s">
        <v>701</v>
      </c>
      <c r="E135" t="s">
        <v>49</v>
      </c>
      <c r="F135" t="s">
        <v>702</v>
      </c>
      <c r="G135" t="s">
        <v>50</v>
      </c>
      <c r="H135" t="str">
        <f>VLOOKUP($A135,regions_full!$D$2:$G$261,3,0)</f>
        <v>North Macedonia</v>
      </c>
      <c r="I135">
        <f t="shared" si="2"/>
        <v>154</v>
      </c>
    </row>
    <row r="136" spans="1:9" x14ac:dyDescent="0.3">
      <c r="A136">
        <v>146</v>
      </c>
      <c r="B136" t="s">
        <v>435</v>
      </c>
      <c r="C136" t="s">
        <v>434</v>
      </c>
      <c r="D136" t="s">
        <v>701</v>
      </c>
      <c r="E136" t="s">
        <v>49</v>
      </c>
      <c r="F136" t="s">
        <v>702</v>
      </c>
      <c r="G136" t="s">
        <v>46</v>
      </c>
      <c r="H136" t="str">
        <f>VLOOKUP($A136,regions_full!$D$2:$G$261,3,0)</f>
        <v>Republic of Moldova</v>
      </c>
      <c r="I136">
        <f t="shared" si="2"/>
        <v>146</v>
      </c>
    </row>
    <row r="137" spans="1:9" x14ac:dyDescent="0.3">
      <c r="A137">
        <v>273</v>
      </c>
      <c r="B137" t="s">
        <v>442</v>
      </c>
      <c r="C137" t="s">
        <v>441</v>
      </c>
      <c r="D137" t="s">
        <v>701</v>
      </c>
      <c r="E137" t="s">
        <v>49</v>
      </c>
      <c r="F137" t="s">
        <v>702</v>
      </c>
      <c r="G137" t="s">
        <v>50</v>
      </c>
      <c r="H137" t="str">
        <f>VLOOKUP($A137,regions_full!$D$2:$G$261,3,0)</f>
        <v>Montenegro</v>
      </c>
      <c r="I137">
        <f t="shared" si="2"/>
        <v>273</v>
      </c>
    </row>
    <row r="138" spans="1:9" x14ac:dyDescent="0.3">
      <c r="A138">
        <v>162</v>
      </c>
      <c r="B138" t="s">
        <v>494</v>
      </c>
      <c r="C138" t="s">
        <v>493</v>
      </c>
      <c r="D138" t="s">
        <v>701</v>
      </c>
      <c r="E138" t="s">
        <v>49</v>
      </c>
      <c r="F138" t="s">
        <v>702</v>
      </c>
      <c r="G138" t="s">
        <v>251</v>
      </c>
      <c r="H138" t="str">
        <f>VLOOKUP($A138,regions_full!$D$2:$G$261,3,0)</f>
        <v>Norway</v>
      </c>
      <c r="I138">
        <f t="shared" si="2"/>
        <v>162</v>
      </c>
    </row>
    <row r="139" spans="1:9" x14ac:dyDescent="0.3">
      <c r="A139">
        <v>272</v>
      </c>
      <c r="B139" t="s">
        <v>567</v>
      </c>
      <c r="C139" t="s">
        <v>566</v>
      </c>
      <c r="D139" t="s">
        <v>701</v>
      </c>
      <c r="E139" t="s">
        <v>49</v>
      </c>
      <c r="F139" t="s">
        <v>702</v>
      </c>
      <c r="G139" t="s">
        <v>50</v>
      </c>
      <c r="H139" t="str">
        <f>VLOOKUP($A139,regions_full!$D$2:$G$261,3,0)</f>
        <v>Serbia</v>
      </c>
      <c r="I139">
        <f t="shared" si="2"/>
        <v>272</v>
      </c>
    </row>
    <row r="140" spans="1:9" x14ac:dyDescent="0.3">
      <c r="A140">
        <v>186</v>
      </c>
      <c r="B140" t="s">
        <v>443</v>
      </c>
      <c r="C140" t="s">
        <v>568</v>
      </c>
      <c r="D140" t="s">
        <v>701</v>
      </c>
      <c r="E140" t="s">
        <v>49</v>
      </c>
      <c r="F140" t="s">
        <v>702</v>
      </c>
      <c r="G140" t="s">
        <v>50</v>
      </c>
      <c r="H140" t="str">
        <f>VLOOKUP($A140,regions_full!$D$2:$G$261,3,0)</f>
        <v>Serbia and Montenegro</v>
      </c>
      <c r="I140">
        <f t="shared" si="2"/>
        <v>186</v>
      </c>
    </row>
    <row r="141" spans="1:9" x14ac:dyDescent="0.3">
      <c r="A141">
        <v>211</v>
      </c>
      <c r="B141" t="s">
        <v>612</v>
      </c>
      <c r="C141" t="s">
        <v>611</v>
      </c>
      <c r="D141" t="s">
        <v>701</v>
      </c>
      <c r="E141" t="s">
        <v>49</v>
      </c>
      <c r="F141" t="s">
        <v>702</v>
      </c>
      <c r="G141" t="s">
        <v>75</v>
      </c>
      <c r="H141" t="str">
        <f>VLOOKUP($A141,regions_full!$D$2:$G$261,3,0)</f>
        <v>Switzerland</v>
      </c>
      <c r="I141">
        <f t="shared" si="2"/>
        <v>211</v>
      </c>
    </row>
    <row r="142" spans="1:9" x14ac:dyDescent="0.3">
      <c r="A142">
        <v>223</v>
      </c>
      <c r="B142" t="s">
        <v>638</v>
      </c>
      <c r="C142" t="s">
        <v>637</v>
      </c>
      <c r="D142" t="s">
        <v>701</v>
      </c>
      <c r="E142" t="s">
        <v>38</v>
      </c>
      <c r="F142" t="s">
        <v>704</v>
      </c>
      <c r="G142" t="s">
        <v>110</v>
      </c>
      <c r="H142" t="str">
        <f>VLOOKUP($A142,regions_full!$D$2:$G$261,3,0)</f>
        <v>Türkiye</v>
      </c>
      <c r="I142">
        <f t="shared" si="2"/>
        <v>223</v>
      </c>
    </row>
    <row r="143" spans="1:9" x14ac:dyDescent="0.3">
      <c r="A143">
        <v>230</v>
      </c>
      <c r="B143" t="s">
        <v>648</v>
      </c>
      <c r="C143" t="s">
        <v>647</v>
      </c>
      <c r="D143" t="s">
        <v>701</v>
      </c>
      <c r="E143" t="s">
        <v>49</v>
      </c>
      <c r="F143" t="s">
        <v>702</v>
      </c>
      <c r="G143" t="s">
        <v>46</v>
      </c>
      <c r="H143" t="str">
        <f>VLOOKUP($A143,regions_full!$D$2:$G$261,3,0)</f>
        <v>Ukraine</v>
      </c>
      <c r="I143">
        <f t="shared" si="2"/>
        <v>230</v>
      </c>
    </row>
    <row r="144" spans="1:9" x14ac:dyDescent="0.3">
      <c r="A144">
        <v>248</v>
      </c>
      <c r="B144" t="s">
        <v>687</v>
      </c>
      <c r="C144" t="s">
        <v>686</v>
      </c>
      <c r="D144" t="s">
        <v>701</v>
      </c>
      <c r="E144" t="s">
        <v>49</v>
      </c>
      <c r="F144" t="s">
        <v>702</v>
      </c>
      <c r="G144" t="s">
        <v>50</v>
      </c>
      <c r="H144" t="e">
        <f>VLOOKUP($A144,regions_full!$D$2:$G$261,3,0)</f>
        <v>#N/A</v>
      </c>
      <c r="I144">
        <f t="shared" si="2"/>
        <v>248</v>
      </c>
    </row>
    <row r="145" spans="1:9" x14ac:dyDescent="0.3">
      <c r="A145">
        <v>8</v>
      </c>
      <c r="B145" t="s">
        <v>100</v>
      </c>
      <c r="C145" t="s">
        <v>99</v>
      </c>
      <c r="D145" t="s">
        <v>705</v>
      </c>
      <c r="E145" t="s">
        <v>93</v>
      </c>
      <c r="F145" t="s">
        <v>704</v>
      </c>
      <c r="G145" t="s">
        <v>94</v>
      </c>
      <c r="H145" t="str">
        <f>VLOOKUP($A145,regions_full!$D$2:$G$261,3,0)</f>
        <v>Antigua and Barbuda</v>
      </c>
      <c r="I145">
        <f t="shared" si="2"/>
        <v>8</v>
      </c>
    </row>
    <row r="146" spans="1:9" x14ac:dyDescent="0.3">
      <c r="A146">
        <v>9</v>
      </c>
      <c r="B146" t="s">
        <v>102</v>
      </c>
      <c r="C146" t="s">
        <v>101</v>
      </c>
      <c r="D146" t="s">
        <v>705</v>
      </c>
      <c r="E146" t="s">
        <v>93</v>
      </c>
      <c r="F146" t="s">
        <v>704</v>
      </c>
      <c r="G146" t="s">
        <v>103</v>
      </c>
      <c r="H146" t="str">
        <f>VLOOKUP($A146,regions_full!$D$2:$G$261,3,0)</f>
        <v>Argentina</v>
      </c>
      <c r="I146">
        <f t="shared" si="2"/>
        <v>9</v>
      </c>
    </row>
    <row r="147" spans="1:9" x14ac:dyDescent="0.3">
      <c r="A147">
        <v>12</v>
      </c>
      <c r="B147" t="s">
        <v>124</v>
      </c>
      <c r="C147" t="s">
        <v>123</v>
      </c>
      <c r="D147" t="s">
        <v>705</v>
      </c>
      <c r="E147" t="s">
        <v>93</v>
      </c>
      <c r="F147" t="s">
        <v>704</v>
      </c>
      <c r="G147" t="s">
        <v>94</v>
      </c>
      <c r="H147" t="str">
        <f>VLOOKUP($A147,regions_full!$D$2:$G$261,3,0)</f>
        <v>Bahamas</v>
      </c>
      <c r="I147">
        <f t="shared" si="2"/>
        <v>12</v>
      </c>
    </row>
    <row r="148" spans="1:9" x14ac:dyDescent="0.3">
      <c r="A148">
        <v>14</v>
      </c>
      <c r="B148" t="s">
        <v>133</v>
      </c>
      <c r="C148" t="s">
        <v>132</v>
      </c>
      <c r="D148" t="s">
        <v>705</v>
      </c>
      <c r="E148" t="s">
        <v>93</v>
      </c>
      <c r="F148" t="s">
        <v>704</v>
      </c>
      <c r="G148" t="s">
        <v>94</v>
      </c>
      <c r="H148" t="str">
        <f>VLOOKUP($A148,regions_full!$D$2:$G$261,3,0)</f>
        <v>Barbados</v>
      </c>
      <c r="I148">
        <f t="shared" si="2"/>
        <v>14</v>
      </c>
    </row>
    <row r="149" spans="1:9" x14ac:dyDescent="0.3">
      <c r="A149">
        <v>23</v>
      </c>
      <c r="B149" t="s">
        <v>142</v>
      </c>
      <c r="C149" t="s">
        <v>141</v>
      </c>
      <c r="D149" t="s">
        <v>705</v>
      </c>
      <c r="E149" t="s">
        <v>93</v>
      </c>
      <c r="F149" t="s">
        <v>704</v>
      </c>
      <c r="G149" t="s">
        <v>89</v>
      </c>
      <c r="H149" t="str">
        <f>VLOOKUP($A149,regions_full!$D$2:$G$261,3,0)</f>
        <v>Belize</v>
      </c>
      <c r="I149">
        <f t="shared" si="2"/>
        <v>23</v>
      </c>
    </row>
    <row r="150" spans="1:9" x14ac:dyDescent="0.3">
      <c r="A150">
        <v>19</v>
      </c>
      <c r="B150" t="s">
        <v>153</v>
      </c>
      <c r="C150" t="s">
        <v>152</v>
      </c>
      <c r="D150" t="s">
        <v>705</v>
      </c>
      <c r="E150" t="s">
        <v>93</v>
      </c>
      <c r="F150" t="s">
        <v>704</v>
      </c>
      <c r="G150" t="s">
        <v>103</v>
      </c>
      <c r="H150" t="str">
        <f>VLOOKUP($A150,regions_full!$D$2:$G$261,3,0)</f>
        <v>Bolivia (Plurinational State of)</v>
      </c>
      <c r="I150">
        <f t="shared" si="2"/>
        <v>19</v>
      </c>
    </row>
    <row r="151" spans="1:9" x14ac:dyDescent="0.3">
      <c r="A151">
        <v>21</v>
      </c>
      <c r="B151" t="s">
        <v>163</v>
      </c>
      <c r="C151" t="s">
        <v>162</v>
      </c>
      <c r="D151" t="s">
        <v>705</v>
      </c>
      <c r="E151" t="s">
        <v>93</v>
      </c>
      <c r="F151" t="s">
        <v>704</v>
      </c>
      <c r="G151" t="s">
        <v>103</v>
      </c>
      <c r="H151" t="str">
        <f>VLOOKUP($A151,regions_full!$D$2:$G$261,3,0)</f>
        <v>Brazil</v>
      </c>
      <c r="I151">
        <f t="shared" si="2"/>
        <v>21</v>
      </c>
    </row>
    <row r="152" spans="1:9" x14ac:dyDescent="0.3">
      <c r="A152">
        <v>40</v>
      </c>
      <c r="B152" t="s">
        <v>202</v>
      </c>
      <c r="C152" t="s">
        <v>201</v>
      </c>
      <c r="D152" t="s">
        <v>705</v>
      </c>
      <c r="E152" t="s">
        <v>93</v>
      </c>
      <c r="F152" t="s">
        <v>704</v>
      </c>
      <c r="G152" t="s">
        <v>103</v>
      </c>
      <c r="H152" t="str">
        <f>VLOOKUP($A152,regions_full!$D$2:$G$261,3,0)</f>
        <v>Chile</v>
      </c>
      <c r="I152">
        <f t="shared" si="2"/>
        <v>40</v>
      </c>
    </row>
    <row r="153" spans="1:9" x14ac:dyDescent="0.3">
      <c r="A153">
        <v>44</v>
      </c>
      <c r="B153" t="s">
        <v>225</v>
      </c>
      <c r="C153" t="s">
        <v>224</v>
      </c>
      <c r="D153" t="s">
        <v>705</v>
      </c>
      <c r="E153" t="s">
        <v>93</v>
      </c>
      <c r="F153" t="s">
        <v>704</v>
      </c>
      <c r="G153" t="s">
        <v>103</v>
      </c>
      <c r="H153" t="str">
        <f>VLOOKUP($A153,regions_full!$D$2:$G$261,3,0)</f>
        <v>Colombia</v>
      </c>
      <c r="I153">
        <f t="shared" si="2"/>
        <v>44</v>
      </c>
    </row>
    <row r="154" spans="1:9" x14ac:dyDescent="0.3">
      <c r="A154">
        <v>48</v>
      </c>
      <c r="B154" t="s">
        <v>235</v>
      </c>
      <c r="C154" t="s">
        <v>234</v>
      </c>
      <c r="D154" t="s">
        <v>705</v>
      </c>
      <c r="E154" t="s">
        <v>93</v>
      </c>
      <c r="F154" t="s">
        <v>704</v>
      </c>
      <c r="G154" t="s">
        <v>89</v>
      </c>
      <c r="H154" t="str">
        <f>VLOOKUP($A154,regions_full!$D$2:$G$261,3,0)</f>
        <v>Costa Rica</v>
      </c>
      <c r="I154">
        <f t="shared" si="2"/>
        <v>48</v>
      </c>
    </row>
    <row r="155" spans="1:9" x14ac:dyDescent="0.3">
      <c r="A155">
        <v>49</v>
      </c>
      <c r="B155" t="s">
        <v>239</v>
      </c>
      <c r="C155" t="s">
        <v>238</v>
      </c>
      <c r="D155" t="s">
        <v>705</v>
      </c>
      <c r="E155" t="s">
        <v>93</v>
      </c>
      <c r="F155" t="s">
        <v>704</v>
      </c>
      <c r="G155" t="s">
        <v>94</v>
      </c>
      <c r="H155" t="str">
        <f>VLOOKUP($A155,regions_full!$D$2:$G$261,3,0)</f>
        <v>Cuba</v>
      </c>
      <c r="I155">
        <f t="shared" si="2"/>
        <v>49</v>
      </c>
    </row>
    <row r="156" spans="1:9" x14ac:dyDescent="0.3">
      <c r="A156">
        <v>55</v>
      </c>
      <c r="B156" t="s">
        <v>255</v>
      </c>
      <c r="C156" t="s">
        <v>254</v>
      </c>
      <c r="D156" t="s">
        <v>705</v>
      </c>
      <c r="E156" t="s">
        <v>93</v>
      </c>
      <c r="F156" t="s">
        <v>704</v>
      </c>
      <c r="G156" t="s">
        <v>94</v>
      </c>
      <c r="H156" t="str">
        <f>VLOOKUP($A156,regions_full!$D$2:$G$261,3,0)</f>
        <v>Dominica</v>
      </c>
      <c r="I156">
        <f t="shared" si="2"/>
        <v>55</v>
      </c>
    </row>
    <row r="157" spans="1:9" x14ac:dyDescent="0.3">
      <c r="A157">
        <v>56</v>
      </c>
      <c r="B157" t="s">
        <v>257</v>
      </c>
      <c r="C157" t="s">
        <v>256</v>
      </c>
      <c r="D157" t="s">
        <v>705</v>
      </c>
      <c r="E157" t="s">
        <v>93</v>
      </c>
      <c r="F157" t="s">
        <v>704</v>
      </c>
      <c r="G157" t="s">
        <v>94</v>
      </c>
      <c r="H157" t="str">
        <f>VLOOKUP($A157,regions_full!$D$2:$G$261,3,0)</f>
        <v>Dominican Republic</v>
      </c>
      <c r="I157">
        <f t="shared" si="2"/>
        <v>56</v>
      </c>
    </row>
    <row r="158" spans="1:9" x14ac:dyDescent="0.3">
      <c r="A158">
        <v>58</v>
      </c>
      <c r="B158" t="s">
        <v>264</v>
      </c>
      <c r="C158" t="s">
        <v>263</v>
      </c>
      <c r="D158" t="s">
        <v>705</v>
      </c>
      <c r="E158" t="s">
        <v>93</v>
      </c>
      <c r="F158" t="s">
        <v>704</v>
      </c>
      <c r="G158" t="s">
        <v>103</v>
      </c>
      <c r="H158" t="str">
        <f>VLOOKUP($A158,regions_full!$D$2:$G$261,3,0)</f>
        <v>Ecuador</v>
      </c>
      <c r="I158">
        <f t="shared" si="2"/>
        <v>58</v>
      </c>
    </row>
    <row r="159" spans="1:9" x14ac:dyDescent="0.3">
      <c r="A159">
        <v>60</v>
      </c>
      <c r="B159" t="s">
        <v>268</v>
      </c>
      <c r="C159" t="s">
        <v>267</v>
      </c>
      <c r="D159" t="s">
        <v>705</v>
      </c>
      <c r="E159" t="s">
        <v>93</v>
      </c>
      <c r="F159" t="s">
        <v>704</v>
      </c>
      <c r="G159" t="s">
        <v>89</v>
      </c>
      <c r="H159" t="str">
        <f>VLOOKUP($A159,regions_full!$D$2:$G$261,3,0)</f>
        <v>El Salvador</v>
      </c>
      <c r="I159">
        <f t="shared" si="2"/>
        <v>60</v>
      </c>
    </row>
    <row r="160" spans="1:9" x14ac:dyDescent="0.3">
      <c r="A160">
        <v>86</v>
      </c>
      <c r="B160" t="s">
        <v>317</v>
      </c>
      <c r="C160" t="s">
        <v>316</v>
      </c>
      <c r="D160" t="s">
        <v>705</v>
      </c>
      <c r="E160" t="s">
        <v>93</v>
      </c>
      <c r="F160" t="s">
        <v>704</v>
      </c>
      <c r="G160" t="s">
        <v>94</v>
      </c>
      <c r="H160" t="str">
        <f>VLOOKUP($A160,regions_full!$D$2:$G$261,3,0)</f>
        <v>Grenada</v>
      </c>
      <c r="I160">
        <f t="shared" si="2"/>
        <v>86</v>
      </c>
    </row>
    <row r="161" spans="1:9" x14ac:dyDescent="0.3">
      <c r="A161">
        <v>89</v>
      </c>
      <c r="B161" t="s">
        <v>324</v>
      </c>
      <c r="C161" t="s">
        <v>323</v>
      </c>
      <c r="D161" t="s">
        <v>705</v>
      </c>
      <c r="E161" t="s">
        <v>93</v>
      </c>
      <c r="F161" t="s">
        <v>704</v>
      </c>
      <c r="G161" t="s">
        <v>89</v>
      </c>
      <c r="H161" t="str">
        <f>VLOOKUP($A161,regions_full!$D$2:$G$261,3,0)</f>
        <v>Guatemala</v>
      </c>
      <c r="I161">
        <f t="shared" si="2"/>
        <v>89</v>
      </c>
    </row>
    <row r="162" spans="1:9" x14ac:dyDescent="0.3">
      <c r="A162">
        <v>91</v>
      </c>
      <c r="B162" t="s">
        <v>330</v>
      </c>
      <c r="C162" t="s">
        <v>329</v>
      </c>
      <c r="D162" t="s">
        <v>705</v>
      </c>
      <c r="E162" t="s">
        <v>93</v>
      </c>
      <c r="F162" t="s">
        <v>704</v>
      </c>
      <c r="G162" t="s">
        <v>103</v>
      </c>
      <c r="H162" t="str">
        <f>VLOOKUP($A162,regions_full!$D$2:$G$261,3,0)</f>
        <v>Guyana</v>
      </c>
      <c r="I162">
        <f t="shared" si="2"/>
        <v>91</v>
      </c>
    </row>
    <row r="163" spans="1:9" x14ac:dyDescent="0.3">
      <c r="A163">
        <v>93</v>
      </c>
      <c r="B163" t="s">
        <v>332</v>
      </c>
      <c r="C163" t="s">
        <v>331</v>
      </c>
      <c r="D163" t="s">
        <v>705</v>
      </c>
      <c r="E163" t="s">
        <v>93</v>
      </c>
      <c r="F163" t="s">
        <v>700</v>
      </c>
      <c r="G163" t="s">
        <v>94</v>
      </c>
      <c r="H163" t="str">
        <f>VLOOKUP($A163,regions_full!$D$2:$G$261,3,0)</f>
        <v>Haiti</v>
      </c>
      <c r="I163">
        <f t="shared" si="2"/>
        <v>93</v>
      </c>
    </row>
    <row r="164" spans="1:9" x14ac:dyDescent="0.3">
      <c r="A164">
        <v>95</v>
      </c>
      <c r="B164" t="s">
        <v>338</v>
      </c>
      <c r="C164" t="s">
        <v>337</v>
      </c>
      <c r="D164" t="s">
        <v>705</v>
      </c>
      <c r="E164" t="s">
        <v>93</v>
      </c>
      <c r="F164" t="s">
        <v>704</v>
      </c>
      <c r="G164" t="s">
        <v>89</v>
      </c>
      <c r="H164" t="str">
        <f>VLOOKUP($A164,regions_full!$D$2:$G$261,3,0)</f>
        <v>Honduras</v>
      </c>
      <c r="I164">
        <f t="shared" si="2"/>
        <v>95</v>
      </c>
    </row>
    <row r="165" spans="1:9" x14ac:dyDescent="0.3">
      <c r="A165">
        <v>109</v>
      </c>
      <c r="B165" t="s">
        <v>366</v>
      </c>
      <c r="C165" t="s">
        <v>365</v>
      </c>
      <c r="D165" t="s">
        <v>705</v>
      </c>
      <c r="E165" t="s">
        <v>93</v>
      </c>
      <c r="F165" t="s">
        <v>704</v>
      </c>
      <c r="G165" t="s">
        <v>94</v>
      </c>
      <c r="H165" t="str">
        <f>VLOOKUP($A165,regions_full!$D$2:$G$261,3,0)</f>
        <v>Jamaica</v>
      </c>
      <c r="I165">
        <f t="shared" si="2"/>
        <v>109</v>
      </c>
    </row>
    <row r="166" spans="1:9" x14ac:dyDescent="0.3">
      <c r="A166">
        <v>138</v>
      </c>
      <c r="B166" t="s">
        <v>428</v>
      </c>
      <c r="C166" t="s">
        <v>427</v>
      </c>
      <c r="D166" t="s">
        <v>705</v>
      </c>
      <c r="E166" t="s">
        <v>93</v>
      </c>
      <c r="F166" t="s">
        <v>704</v>
      </c>
      <c r="G166" t="s">
        <v>89</v>
      </c>
      <c r="H166" t="str">
        <f>VLOOKUP($A166,regions_full!$D$2:$G$261,3,0)</f>
        <v>Mexico</v>
      </c>
      <c r="I166">
        <f t="shared" si="2"/>
        <v>138</v>
      </c>
    </row>
    <row r="167" spans="1:9" x14ac:dyDescent="0.3">
      <c r="A167">
        <v>151</v>
      </c>
      <c r="B167" t="s">
        <v>462</v>
      </c>
      <c r="C167" t="s">
        <v>461</v>
      </c>
      <c r="D167" t="s">
        <v>705</v>
      </c>
      <c r="E167" t="s">
        <v>93</v>
      </c>
      <c r="F167" t="s">
        <v>704</v>
      </c>
      <c r="G167" t="s">
        <v>94</v>
      </c>
      <c r="H167" t="e">
        <f>VLOOKUP($A167,regions_full!$D$2:$G$261,3,0)</f>
        <v>#N/A</v>
      </c>
      <c r="I167">
        <f t="shared" si="2"/>
        <v>151</v>
      </c>
    </row>
    <row r="168" spans="1:9" x14ac:dyDescent="0.3">
      <c r="A168">
        <v>157</v>
      </c>
      <c r="B168" t="s">
        <v>471</v>
      </c>
      <c r="C168" t="s">
        <v>470</v>
      </c>
      <c r="D168" t="s">
        <v>705</v>
      </c>
      <c r="E168" t="s">
        <v>93</v>
      </c>
      <c r="F168" t="s">
        <v>704</v>
      </c>
      <c r="G168" t="s">
        <v>89</v>
      </c>
      <c r="H168" t="str">
        <f>VLOOKUP($A168,regions_full!$D$2:$G$261,3,0)</f>
        <v>Nicaragua</v>
      </c>
      <c r="I168">
        <f t="shared" si="2"/>
        <v>157</v>
      </c>
    </row>
    <row r="169" spans="1:9" x14ac:dyDescent="0.3">
      <c r="A169">
        <v>166</v>
      </c>
      <c r="B169" t="s">
        <v>510</v>
      </c>
      <c r="C169" t="s">
        <v>509</v>
      </c>
      <c r="D169" t="s">
        <v>705</v>
      </c>
      <c r="E169" t="s">
        <v>93</v>
      </c>
      <c r="F169" t="s">
        <v>704</v>
      </c>
      <c r="G169" t="s">
        <v>89</v>
      </c>
      <c r="H169" t="str">
        <f>VLOOKUP($A169,regions_full!$D$2:$G$261,3,0)</f>
        <v>Panama</v>
      </c>
      <c r="I169">
        <f t="shared" si="2"/>
        <v>166</v>
      </c>
    </row>
    <row r="170" spans="1:9" x14ac:dyDescent="0.3">
      <c r="A170">
        <v>169</v>
      </c>
      <c r="B170" t="s">
        <v>514</v>
      </c>
      <c r="C170" t="s">
        <v>513</v>
      </c>
      <c r="D170" t="s">
        <v>705</v>
      </c>
      <c r="E170" t="s">
        <v>93</v>
      </c>
      <c r="F170" t="s">
        <v>704</v>
      </c>
      <c r="G170" t="s">
        <v>103</v>
      </c>
      <c r="H170" t="str">
        <f>VLOOKUP($A170,regions_full!$D$2:$G$261,3,0)</f>
        <v>Paraguay</v>
      </c>
      <c r="I170">
        <f t="shared" si="2"/>
        <v>169</v>
      </c>
    </row>
    <row r="171" spans="1:9" x14ac:dyDescent="0.3">
      <c r="A171">
        <v>170</v>
      </c>
      <c r="B171" t="s">
        <v>516</v>
      </c>
      <c r="C171" t="s">
        <v>515</v>
      </c>
      <c r="D171" t="s">
        <v>705</v>
      </c>
      <c r="E171" t="s">
        <v>93</v>
      </c>
      <c r="F171" t="s">
        <v>704</v>
      </c>
      <c r="G171" t="s">
        <v>103</v>
      </c>
      <c r="H171" t="str">
        <f>VLOOKUP($A171,regions_full!$D$2:$G$261,3,0)</f>
        <v>Peru</v>
      </c>
      <c r="I171">
        <f t="shared" si="2"/>
        <v>170</v>
      </c>
    </row>
    <row r="172" spans="1:9" x14ac:dyDescent="0.3">
      <c r="A172">
        <v>177</v>
      </c>
      <c r="B172" t="s">
        <v>526</v>
      </c>
      <c r="C172" t="s">
        <v>525</v>
      </c>
      <c r="D172" t="s">
        <v>705</v>
      </c>
      <c r="E172" t="s">
        <v>93</v>
      </c>
      <c r="F172" t="s">
        <v>704</v>
      </c>
      <c r="G172" t="s">
        <v>94</v>
      </c>
      <c r="H172" t="str">
        <f>VLOOKUP($A172,regions_full!$D$2:$G$261,3,0)</f>
        <v>Puerto Rico</v>
      </c>
      <c r="I172">
        <f t="shared" si="2"/>
        <v>177</v>
      </c>
    </row>
    <row r="173" spans="1:9" x14ac:dyDescent="0.3">
      <c r="A173">
        <v>188</v>
      </c>
      <c r="B173" t="s">
        <v>544</v>
      </c>
      <c r="C173" t="s">
        <v>543</v>
      </c>
      <c r="D173" t="s">
        <v>705</v>
      </c>
      <c r="E173" t="s">
        <v>93</v>
      </c>
      <c r="F173" t="s">
        <v>704</v>
      </c>
      <c r="G173" t="s">
        <v>94</v>
      </c>
      <c r="H173" t="str">
        <f>VLOOKUP($A173,regions_full!$D$2:$G$261,3,0)</f>
        <v>Saint Kitts and Nevis</v>
      </c>
      <c r="I173">
        <f t="shared" si="2"/>
        <v>188</v>
      </c>
    </row>
    <row r="174" spans="1:9" x14ac:dyDescent="0.3">
      <c r="A174">
        <v>189</v>
      </c>
      <c r="B174" t="s">
        <v>546</v>
      </c>
      <c r="C174" t="s">
        <v>545</v>
      </c>
      <c r="D174" t="s">
        <v>705</v>
      </c>
      <c r="E174" t="s">
        <v>93</v>
      </c>
      <c r="F174" t="s">
        <v>704</v>
      </c>
      <c r="G174" t="s">
        <v>94</v>
      </c>
      <c r="H174" t="str">
        <f>VLOOKUP($A174,regions_full!$D$2:$G$261,3,0)</f>
        <v>Saint Lucia</v>
      </c>
      <c r="I174">
        <f t="shared" si="2"/>
        <v>189</v>
      </c>
    </row>
    <row r="175" spans="1:9" x14ac:dyDescent="0.3">
      <c r="A175">
        <v>191</v>
      </c>
      <c r="B175" t="s">
        <v>551</v>
      </c>
      <c r="C175" t="s">
        <v>550</v>
      </c>
      <c r="D175" t="s">
        <v>705</v>
      </c>
      <c r="E175" t="s">
        <v>93</v>
      </c>
      <c r="F175" t="s">
        <v>704</v>
      </c>
      <c r="G175" t="s">
        <v>94</v>
      </c>
      <c r="H175" t="str">
        <f>VLOOKUP($A175,regions_full!$D$2:$G$261,3,0)</f>
        <v>Saint Vincent and the Grenadines</v>
      </c>
      <c r="I175">
        <f t="shared" si="2"/>
        <v>191</v>
      </c>
    </row>
    <row r="176" spans="1:9" x14ac:dyDescent="0.3">
      <c r="A176">
        <v>207</v>
      </c>
      <c r="B176" t="s">
        <v>606</v>
      </c>
      <c r="C176" t="s">
        <v>605</v>
      </c>
      <c r="D176" t="s">
        <v>705</v>
      </c>
      <c r="E176" t="s">
        <v>93</v>
      </c>
      <c r="F176" t="s">
        <v>704</v>
      </c>
      <c r="G176" t="s">
        <v>103</v>
      </c>
      <c r="H176" t="str">
        <f>VLOOKUP($A176,regions_full!$D$2:$G$261,3,0)</f>
        <v>Suriname</v>
      </c>
      <c r="I176">
        <f t="shared" si="2"/>
        <v>207</v>
      </c>
    </row>
    <row r="177" spans="1:9" x14ac:dyDescent="0.3">
      <c r="A177">
        <v>220</v>
      </c>
      <c r="B177" t="s">
        <v>634</v>
      </c>
      <c r="C177" t="s">
        <v>633</v>
      </c>
      <c r="D177" t="s">
        <v>705</v>
      </c>
      <c r="E177" t="s">
        <v>93</v>
      </c>
      <c r="F177" t="s">
        <v>704</v>
      </c>
      <c r="G177" t="s">
        <v>94</v>
      </c>
      <c r="H177" t="str">
        <f>VLOOKUP($A177,regions_full!$D$2:$G$261,3,0)</f>
        <v>Trinidad and Tobago</v>
      </c>
      <c r="I177">
        <f t="shared" si="2"/>
        <v>220</v>
      </c>
    </row>
    <row r="178" spans="1:9" x14ac:dyDescent="0.3">
      <c r="A178">
        <v>234</v>
      </c>
      <c r="B178" t="s">
        <v>661</v>
      </c>
      <c r="C178" t="s">
        <v>660</v>
      </c>
      <c r="D178" t="s">
        <v>705</v>
      </c>
      <c r="E178" t="s">
        <v>93</v>
      </c>
      <c r="F178" t="s">
        <v>704</v>
      </c>
      <c r="G178" t="s">
        <v>103</v>
      </c>
      <c r="H178" t="str">
        <f>VLOOKUP($A178,regions_full!$D$2:$G$261,3,0)</f>
        <v>Uruguay</v>
      </c>
      <c r="I178">
        <f t="shared" si="2"/>
        <v>234</v>
      </c>
    </row>
    <row r="179" spans="1:9" x14ac:dyDescent="0.3">
      <c r="A179">
        <v>236</v>
      </c>
      <c r="B179" t="s">
        <v>672</v>
      </c>
      <c r="C179" t="s">
        <v>671</v>
      </c>
      <c r="D179" t="s">
        <v>705</v>
      </c>
      <c r="E179" t="s">
        <v>93</v>
      </c>
      <c r="F179" t="s">
        <v>704</v>
      </c>
      <c r="G179" t="s">
        <v>103</v>
      </c>
      <c r="H179" t="e">
        <f>VLOOKUP($A179,regions_full!$D$2:$G$261,3,0)</f>
        <v>#N/A</v>
      </c>
      <c r="I179">
        <f t="shared" si="2"/>
        <v>236</v>
      </c>
    </row>
    <row r="180" spans="1:9" x14ac:dyDescent="0.3">
      <c r="A180">
        <v>33</v>
      </c>
      <c r="B180" t="s">
        <v>192</v>
      </c>
      <c r="C180" t="s">
        <v>191</v>
      </c>
      <c r="D180" t="s">
        <v>453</v>
      </c>
      <c r="E180" t="s">
        <v>93</v>
      </c>
      <c r="F180" t="s">
        <v>702</v>
      </c>
      <c r="G180" t="s">
        <v>148</v>
      </c>
      <c r="H180" t="str">
        <f>VLOOKUP($A180,regions_full!$D$2:$G$261,3,0)</f>
        <v>Canada</v>
      </c>
      <c r="I180">
        <f t="shared" si="2"/>
        <v>33</v>
      </c>
    </row>
    <row r="181" spans="1:9" x14ac:dyDescent="0.3">
      <c r="A181">
        <v>231</v>
      </c>
      <c r="B181" t="s">
        <v>653</v>
      </c>
      <c r="C181" t="s">
        <v>549</v>
      </c>
      <c r="D181" t="s">
        <v>453</v>
      </c>
      <c r="E181" t="s">
        <v>93</v>
      </c>
      <c r="F181" t="s">
        <v>702</v>
      </c>
      <c r="G181" t="s">
        <v>148</v>
      </c>
      <c r="H181" t="str">
        <f>VLOOKUP($A181,regions_full!$D$2:$G$261,3,0)</f>
        <v>United States of America</v>
      </c>
      <c r="I181">
        <f t="shared" si="2"/>
        <v>231</v>
      </c>
    </row>
    <row r="182" spans="1:9" x14ac:dyDescent="0.3">
      <c r="A182">
        <v>10</v>
      </c>
      <c r="B182" t="s">
        <v>115</v>
      </c>
      <c r="C182" t="s">
        <v>70</v>
      </c>
      <c r="D182" t="s">
        <v>706</v>
      </c>
      <c r="E182" t="s">
        <v>63</v>
      </c>
      <c r="F182" t="s">
        <v>702</v>
      </c>
      <c r="G182" t="s">
        <v>116</v>
      </c>
      <c r="H182" t="str">
        <f>VLOOKUP($A182,regions_full!$D$2:$G$261,3,0)</f>
        <v>Australia</v>
      </c>
      <c r="I182">
        <f t="shared" si="2"/>
        <v>10</v>
      </c>
    </row>
    <row r="183" spans="1:9" x14ac:dyDescent="0.3">
      <c r="A183">
        <v>66</v>
      </c>
      <c r="B183" t="s">
        <v>287</v>
      </c>
      <c r="C183" t="s">
        <v>286</v>
      </c>
      <c r="D183" t="s">
        <v>706</v>
      </c>
      <c r="E183" t="s">
        <v>63</v>
      </c>
      <c r="F183" t="s">
        <v>704</v>
      </c>
      <c r="G183" t="s">
        <v>288</v>
      </c>
      <c r="H183" t="str">
        <f>VLOOKUP($A183,regions_full!$D$2:$G$261,3,0)</f>
        <v>Fiji</v>
      </c>
      <c r="I183">
        <f t="shared" si="2"/>
        <v>66</v>
      </c>
    </row>
    <row r="184" spans="1:9" x14ac:dyDescent="0.3">
      <c r="A184">
        <v>70</v>
      </c>
      <c r="B184" t="s">
        <v>296</v>
      </c>
      <c r="C184" t="s">
        <v>295</v>
      </c>
      <c r="D184" t="s">
        <v>706</v>
      </c>
      <c r="E184" t="s">
        <v>63</v>
      </c>
      <c r="F184" t="s">
        <v>704</v>
      </c>
      <c r="G184" t="s">
        <v>66</v>
      </c>
      <c r="H184" t="str">
        <f>VLOOKUP($A184,regions_full!$D$2:$G$261,3,0)</f>
        <v>French Polynesia</v>
      </c>
      <c r="I184">
        <f t="shared" si="2"/>
        <v>70</v>
      </c>
    </row>
    <row r="185" spans="1:9" x14ac:dyDescent="0.3">
      <c r="A185">
        <v>83</v>
      </c>
      <c r="B185" t="s">
        <v>379</v>
      </c>
      <c r="C185" t="s">
        <v>378</v>
      </c>
      <c r="D185" t="s">
        <v>706</v>
      </c>
      <c r="E185" t="s">
        <v>63</v>
      </c>
      <c r="F185" t="s">
        <v>700</v>
      </c>
      <c r="G185" t="s">
        <v>322</v>
      </c>
      <c r="H185" t="str">
        <f>VLOOKUP($A185,regions_full!$D$2:$G$261,3,0)</f>
        <v>Kiribati</v>
      </c>
      <c r="I185">
        <f t="shared" si="2"/>
        <v>83</v>
      </c>
    </row>
    <row r="186" spans="1:9" x14ac:dyDescent="0.3">
      <c r="A186">
        <v>153</v>
      </c>
      <c r="B186" t="s">
        <v>710</v>
      </c>
      <c r="C186" t="s">
        <v>466</v>
      </c>
      <c r="D186" t="s">
        <v>706</v>
      </c>
      <c r="E186" t="s">
        <v>63</v>
      </c>
      <c r="F186" t="s">
        <v>704</v>
      </c>
      <c r="G186" t="s">
        <v>288</v>
      </c>
      <c r="H186" t="str">
        <f>VLOOKUP($A186,regions_full!$D$2:$G$261,3,0)</f>
        <v>New Caledonia</v>
      </c>
      <c r="I186">
        <f t="shared" si="2"/>
        <v>153</v>
      </c>
    </row>
    <row r="187" spans="1:9" x14ac:dyDescent="0.3">
      <c r="A187">
        <v>156</v>
      </c>
      <c r="B187" t="s">
        <v>469</v>
      </c>
      <c r="C187" t="s">
        <v>468</v>
      </c>
      <c r="D187" t="s">
        <v>706</v>
      </c>
      <c r="E187" t="s">
        <v>63</v>
      </c>
      <c r="F187" t="s">
        <v>702</v>
      </c>
      <c r="G187" t="s">
        <v>116</v>
      </c>
      <c r="H187" t="str">
        <f>VLOOKUP($A187,regions_full!$D$2:$G$261,3,0)</f>
        <v>New Zealand</v>
      </c>
      <c r="I187">
        <f t="shared" si="2"/>
        <v>156</v>
      </c>
    </row>
    <row r="188" spans="1:9" x14ac:dyDescent="0.3">
      <c r="A188">
        <v>168</v>
      </c>
      <c r="B188" t="s">
        <v>512</v>
      </c>
      <c r="C188" t="s">
        <v>511</v>
      </c>
      <c r="D188" t="s">
        <v>706</v>
      </c>
      <c r="E188" t="s">
        <v>63</v>
      </c>
      <c r="F188" t="s">
        <v>704</v>
      </c>
      <c r="G188" t="s">
        <v>288</v>
      </c>
      <c r="H188" t="str">
        <f>VLOOKUP($A188,regions_full!$D$2:$G$261,3,0)</f>
        <v>Papua New Guinea</v>
      </c>
      <c r="I188">
        <f t="shared" si="2"/>
        <v>168</v>
      </c>
    </row>
    <row r="189" spans="1:9" x14ac:dyDescent="0.3">
      <c r="A189">
        <v>244</v>
      </c>
      <c r="B189" t="s">
        <v>557</v>
      </c>
      <c r="C189" t="s">
        <v>556</v>
      </c>
      <c r="D189" t="s">
        <v>706</v>
      </c>
      <c r="E189" t="s">
        <v>63</v>
      </c>
      <c r="F189" t="s">
        <v>704</v>
      </c>
      <c r="G189" t="s">
        <v>66</v>
      </c>
      <c r="H189" t="str">
        <f>VLOOKUP($A189,regions_full!$D$2:$G$261,3,0)</f>
        <v>Samoa</v>
      </c>
      <c r="I189">
        <f t="shared" si="2"/>
        <v>244</v>
      </c>
    </row>
    <row r="190" spans="1:9" x14ac:dyDescent="0.3">
      <c r="A190">
        <v>25</v>
      </c>
      <c r="B190" t="s">
        <v>582</v>
      </c>
      <c r="C190" t="s">
        <v>581</v>
      </c>
      <c r="D190" t="s">
        <v>706</v>
      </c>
      <c r="E190" t="s">
        <v>63</v>
      </c>
      <c r="F190" t="s">
        <v>700</v>
      </c>
      <c r="G190" t="s">
        <v>288</v>
      </c>
      <c r="H190" t="str">
        <f>VLOOKUP($A190,regions_full!$D$2:$G$261,3,0)</f>
        <v>Solomon Islands</v>
      </c>
      <c r="I190">
        <f t="shared" ref="I190:I192" si="3">A190</f>
        <v>25</v>
      </c>
    </row>
    <row r="191" spans="1:9" x14ac:dyDescent="0.3">
      <c r="A191">
        <v>155</v>
      </c>
      <c r="B191" t="s">
        <v>670</v>
      </c>
      <c r="C191" t="s">
        <v>669</v>
      </c>
      <c r="D191" t="s">
        <v>706</v>
      </c>
      <c r="E191" t="s">
        <v>63</v>
      </c>
      <c r="F191" t="s">
        <v>700</v>
      </c>
      <c r="G191" t="s">
        <v>288</v>
      </c>
      <c r="H191" t="str">
        <f>VLOOKUP($A191,regions_full!$D$2:$G$261,3,0)</f>
        <v>Vanuatu</v>
      </c>
      <c r="I191">
        <f t="shared" si="3"/>
        <v>155</v>
      </c>
    </row>
    <row r="192" spans="1:9" x14ac:dyDescent="0.3">
      <c r="A192">
        <v>999</v>
      </c>
      <c r="B192" t="s">
        <v>534</v>
      </c>
      <c r="C192" t="s">
        <v>533</v>
      </c>
      <c r="D192" t="s">
        <v>533</v>
      </c>
      <c r="E192" t="s">
        <v>533</v>
      </c>
      <c r="F192" t="s">
        <v>533</v>
      </c>
      <c r="G192" t="s">
        <v>533</v>
      </c>
      <c r="H192" t="e">
        <f>VLOOKUP($A192,regions_full!$D$2:$G$261,3,0)</f>
        <v>#N/A</v>
      </c>
      <c r="I192">
        <f t="shared" si="3"/>
        <v>999</v>
      </c>
    </row>
  </sheetData>
  <autoFilter ref="A1:H192" xr:uid="{5A11C731-0C6B-4A5A-BACE-55A155676DC8}">
    <sortState xmlns:xlrd2="http://schemas.microsoft.com/office/spreadsheetml/2017/richdata2" ref="A2:H192">
      <sortCondition ref="D1:D192"/>
    </sortState>
  </autoFilter>
  <sortState xmlns:xlrd2="http://schemas.microsoft.com/office/spreadsheetml/2017/richdata2" ref="A2:H192">
    <sortCondition ref="B2:B192"/>
  </sortStat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2E186-C135-4C97-A123-2CD5192C7B68}">
  <dimension ref="A1:K260"/>
  <sheetViews>
    <sheetView zoomScale="80" zoomScaleNormal="80" workbookViewId="0">
      <pane xSplit="1" ySplit="1" topLeftCell="B225" activePane="bottomRight" state="frozen"/>
      <selection pane="topRight" activeCell="B1" sqref="B1"/>
      <selection pane="bottomLeft" activeCell="A2" sqref="A2"/>
      <selection pane="bottomRight" activeCell="E206" sqref="E206"/>
    </sheetView>
  </sheetViews>
  <sheetFormatPr defaultRowHeight="14.4" x14ac:dyDescent="0.3"/>
  <cols>
    <col min="1" max="1" width="12.44140625" customWidth="1"/>
    <col min="2" max="4" width="24.44140625" customWidth="1"/>
    <col min="5" max="6" width="33.21875" customWidth="1"/>
    <col min="7" max="7" width="18" customWidth="1"/>
    <col min="8" max="8" width="9.33203125" customWidth="1"/>
    <col min="9" max="9" width="10.44140625" customWidth="1"/>
  </cols>
  <sheetData>
    <row r="1" spans="1:11" x14ac:dyDescent="0.3">
      <c r="A1" t="s">
        <v>4753</v>
      </c>
      <c r="B1" t="s">
        <v>4752</v>
      </c>
      <c r="C1" t="s">
        <v>5072</v>
      </c>
      <c r="D1" t="s">
        <v>5073</v>
      </c>
      <c r="E1" t="s">
        <v>5037</v>
      </c>
      <c r="F1" t="s">
        <v>5065</v>
      </c>
      <c r="G1" t="s">
        <v>4754</v>
      </c>
      <c r="H1" t="s">
        <v>4755</v>
      </c>
      <c r="I1" t="s">
        <v>4771</v>
      </c>
      <c r="J1" t="s">
        <v>4772</v>
      </c>
      <c r="K1" t="s">
        <v>5070</v>
      </c>
    </row>
    <row r="2" spans="1:11" x14ac:dyDescent="0.3">
      <c r="A2" t="s">
        <v>31</v>
      </c>
      <c r="B2" t="s">
        <v>33</v>
      </c>
      <c r="C2" t="str">
        <f>B2</f>
        <v>Afghanistan</v>
      </c>
      <c r="D2" t="str">
        <f>A2</f>
        <v>AFG</v>
      </c>
      <c r="E2" t="str">
        <f>VLOOKUP(A2,regions_full!E$2:$F$261,2,0)</f>
        <v>Afghanistan</v>
      </c>
      <c r="G2" t="s">
        <v>4756</v>
      </c>
      <c r="H2" t="s">
        <v>4757</v>
      </c>
      <c r="I2">
        <v>1800</v>
      </c>
    </row>
    <row r="3" spans="1:11" x14ac:dyDescent="0.3">
      <c r="A3" t="s">
        <v>44</v>
      </c>
      <c r="B3" t="s">
        <v>45</v>
      </c>
      <c r="C3" t="str">
        <f t="shared" ref="C3:C66" si="0">B3</f>
        <v>Albania</v>
      </c>
      <c r="D3" t="str">
        <f t="shared" ref="D3:D66" si="1">A3</f>
        <v>ALB</v>
      </c>
      <c r="E3" t="str">
        <f>VLOOKUP(A3,regions_full!E$2:$F$261,2,0)</f>
        <v>Albania</v>
      </c>
      <c r="G3" t="s">
        <v>4756</v>
      </c>
      <c r="H3" t="s">
        <v>4757</v>
      </c>
      <c r="I3">
        <v>1913</v>
      </c>
    </row>
    <row r="4" spans="1:11" x14ac:dyDescent="0.3">
      <c r="A4" t="s">
        <v>54</v>
      </c>
      <c r="B4" t="s">
        <v>55</v>
      </c>
      <c r="C4" t="str">
        <f t="shared" si="0"/>
        <v>Algeria</v>
      </c>
      <c r="D4" t="str">
        <f t="shared" si="1"/>
        <v>DZA</v>
      </c>
      <c r="E4" t="str">
        <f>VLOOKUP(A4,regions_full!E$2:$F$261,2,0)</f>
        <v>Algeria</v>
      </c>
      <c r="G4" t="s">
        <v>4756</v>
      </c>
      <c r="H4" t="s">
        <v>4757</v>
      </c>
    </row>
    <row r="5" spans="1:11" x14ac:dyDescent="0.3">
      <c r="A5" t="s">
        <v>77</v>
      </c>
      <c r="B5" t="s">
        <v>78</v>
      </c>
      <c r="C5" t="str">
        <f t="shared" si="0"/>
        <v>Angola</v>
      </c>
      <c r="D5" t="str">
        <f t="shared" si="1"/>
        <v>AGO</v>
      </c>
      <c r="E5" t="str">
        <f>VLOOKUP(A5,regions_full!E$2:$F$261,2,0)</f>
        <v>Angola</v>
      </c>
      <c r="G5" t="s">
        <v>4756</v>
      </c>
      <c r="H5" t="s">
        <v>4757</v>
      </c>
    </row>
    <row r="6" spans="1:11" x14ac:dyDescent="0.3">
      <c r="A6" t="s">
        <v>99</v>
      </c>
      <c r="B6" t="s">
        <v>100</v>
      </c>
      <c r="C6" t="str">
        <f t="shared" si="0"/>
        <v>Antigua and Barbuda</v>
      </c>
      <c r="D6" t="str">
        <f t="shared" si="1"/>
        <v>ATG</v>
      </c>
      <c r="E6" t="str">
        <f>VLOOKUP(A6,regions_full!E$2:$F$261,2,0)</f>
        <v>Antigua and Barbuda</v>
      </c>
      <c r="F6" t="s">
        <v>5067</v>
      </c>
      <c r="G6" t="s">
        <v>4756</v>
      </c>
      <c r="H6" t="s">
        <v>4757</v>
      </c>
      <c r="I6">
        <v>1816</v>
      </c>
      <c r="K6" t="s">
        <v>5071</v>
      </c>
    </row>
    <row r="7" spans="1:11" x14ac:dyDescent="0.3">
      <c r="A7" t="s">
        <v>101</v>
      </c>
      <c r="B7" t="s">
        <v>102</v>
      </c>
      <c r="C7" t="str">
        <f t="shared" si="0"/>
        <v>Argentina</v>
      </c>
      <c r="D7" t="str">
        <f t="shared" si="1"/>
        <v>ARG</v>
      </c>
      <c r="E7" t="str">
        <f>VLOOKUP(A7,regions_full!E$2:$F$261,2,0)</f>
        <v>Argentina</v>
      </c>
      <c r="G7" t="s">
        <v>4756</v>
      </c>
      <c r="H7" t="s">
        <v>4757</v>
      </c>
    </row>
    <row r="8" spans="1:11" x14ac:dyDescent="0.3">
      <c r="A8" t="s">
        <v>105</v>
      </c>
      <c r="B8" t="s">
        <v>106</v>
      </c>
      <c r="C8" t="str">
        <f t="shared" si="0"/>
        <v>Armenia</v>
      </c>
      <c r="D8" t="str">
        <f t="shared" si="1"/>
        <v>ARM</v>
      </c>
      <c r="E8" t="str">
        <f>VLOOKUP(A8,regions_full!E$2:$F$261,2,0)</f>
        <v>Armenia</v>
      </c>
      <c r="G8" t="s">
        <v>4756</v>
      </c>
      <c r="H8" t="s">
        <v>4757</v>
      </c>
      <c r="I8">
        <v>1992</v>
      </c>
    </row>
    <row r="9" spans="1:11" x14ac:dyDescent="0.3">
      <c r="A9" t="s">
        <v>70</v>
      </c>
      <c r="B9" t="s">
        <v>115</v>
      </c>
      <c r="C9" t="str">
        <f t="shared" si="0"/>
        <v>Australia</v>
      </c>
      <c r="D9" t="str">
        <f t="shared" si="1"/>
        <v>AUS</v>
      </c>
      <c r="E9" t="str">
        <f>VLOOKUP(A9,regions_full!E$2:$F$261,2,0)</f>
        <v>Australia</v>
      </c>
      <c r="F9" t="s">
        <v>5066</v>
      </c>
      <c r="G9" t="s">
        <v>4756</v>
      </c>
      <c r="H9" t="s">
        <v>4757</v>
      </c>
      <c r="I9">
        <v>1901</v>
      </c>
    </row>
    <row r="10" spans="1:11" x14ac:dyDescent="0.3">
      <c r="A10" t="s">
        <v>119</v>
      </c>
      <c r="B10" t="s">
        <v>120</v>
      </c>
      <c r="C10" t="str">
        <f t="shared" si="0"/>
        <v>Austria</v>
      </c>
      <c r="D10" t="str">
        <f t="shared" si="1"/>
        <v>AUT</v>
      </c>
      <c r="E10" t="str">
        <f>VLOOKUP(A10,regions_full!E$2:$F$261,2,0)</f>
        <v>Austria</v>
      </c>
      <c r="G10" t="s">
        <v>4756</v>
      </c>
      <c r="H10" t="s">
        <v>4757</v>
      </c>
    </row>
    <row r="11" spans="1:11" x14ac:dyDescent="0.3">
      <c r="A11" t="s">
        <v>121</v>
      </c>
      <c r="B11" t="s">
        <v>122</v>
      </c>
      <c r="C11" t="str">
        <f t="shared" si="0"/>
        <v>Azerbaijan</v>
      </c>
      <c r="D11" t="str">
        <f t="shared" si="1"/>
        <v>AZE</v>
      </c>
      <c r="E11" t="str">
        <f>VLOOKUP(A11,regions_full!E$2:$F$261,2,0)</f>
        <v>Azerbaijan</v>
      </c>
      <c r="G11" t="s">
        <v>4756</v>
      </c>
      <c r="H11" t="s">
        <v>4757</v>
      </c>
      <c r="I11">
        <v>1992</v>
      </c>
    </row>
    <row r="12" spans="1:11" x14ac:dyDescent="0.3">
      <c r="A12" t="s">
        <v>123</v>
      </c>
      <c r="B12" t="s">
        <v>124</v>
      </c>
      <c r="C12" t="str">
        <f t="shared" si="0"/>
        <v>Bahamas</v>
      </c>
      <c r="D12" t="str">
        <f t="shared" si="1"/>
        <v>BHS</v>
      </c>
      <c r="E12" t="str">
        <f>VLOOKUP(A12,regions_full!E$2:$F$261,2,0)</f>
        <v>Bahamas</v>
      </c>
      <c r="G12" t="s">
        <v>4756</v>
      </c>
      <c r="H12" t="s">
        <v>4757</v>
      </c>
    </row>
    <row r="13" spans="1:11" x14ac:dyDescent="0.3">
      <c r="A13" t="s">
        <v>126</v>
      </c>
      <c r="B13" t="s">
        <v>127</v>
      </c>
      <c r="C13" t="str">
        <f t="shared" si="0"/>
        <v>Bahrain</v>
      </c>
      <c r="D13" t="str">
        <f t="shared" si="1"/>
        <v>BHR</v>
      </c>
      <c r="E13" t="str">
        <f>VLOOKUP(A13,regions_full!E$2:$F$261,2,0)</f>
        <v>Bahrain</v>
      </c>
      <c r="G13" t="s">
        <v>4756</v>
      </c>
      <c r="H13" t="s">
        <v>4757</v>
      </c>
    </row>
    <row r="14" spans="1:11" x14ac:dyDescent="0.3">
      <c r="A14" t="s">
        <v>130</v>
      </c>
      <c r="B14" t="s">
        <v>131</v>
      </c>
      <c r="C14" t="str">
        <f t="shared" si="0"/>
        <v>Bangladesh</v>
      </c>
      <c r="D14" t="str">
        <f t="shared" si="1"/>
        <v>BGD</v>
      </c>
      <c r="E14" t="str">
        <f>VLOOKUP(A14,regions_full!E$2:$F$261,2,0)</f>
        <v>Bangladesh</v>
      </c>
      <c r="G14" t="s">
        <v>4756</v>
      </c>
      <c r="H14" t="s">
        <v>4757</v>
      </c>
    </row>
    <row r="15" spans="1:11" x14ac:dyDescent="0.3">
      <c r="A15" t="s">
        <v>132</v>
      </c>
      <c r="B15" t="s">
        <v>133</v>
      </c>
      <c r="C15" t="str">
        <f t="shared" si="0"/>
        <v>Barbados</v>
      </c>
      <c r="D15" t="str">
        <f t="shared" si="1"/>
        <v>BRB</v>
      </c>
      <c r="E15" t="str">
        <f>VLOOKUP(A15,regions_full!E$2:$F$261,2,0)</f>
        <v>Barbados</v>
      </c>
      <c r="G15" t="s">
        <v>4756</v>
      </c>
      <c r="H15" t="s">
        <v>4757</v>
      </c>
    </row>
    <row r="16" spans="1:11" x14ac:dyDescent="0.3">
      <c r="A16" t="s">
        <v>134</v>
      </c>
      <c r="B16" t="s">
        <v>135</v>
      </c>
      <c r="C16" t="str">
        <f t="shared" si="0"/>
        <v>Belarus</v>
      </c>
      <c r="D16" t="str">
        <f t="shared" si="1"/>
        <v>BLR</v>
      </c>
      <c r="E16" t="str">
        <f>VLOOKUP(A16,regions_full!E$2:$F$261,2,0)</f>
        <v>Belarus</v>
      </c>
      <c r="G16" t="s">
        <v>4756</v>
      </c>
      <c r="H16" t="s">
        <v>4757</v>
      </c>
      <c r="I16">
        <v>1992</v>
      </c>
    </row>
    <row r="17" spans="1:10" x14ac:dyDescent="0.3">
      <c r="A17" t="s">
        <v>136</v>
      </c>
      <c r="B17" t="s">
        <v>137</v>
      </c>
      <c r="C17" t="str">
        <f t="shared" si="0"/>
        <v>Belgium</v>
      </c>
      <c r="D17" t="str">
        <f t="shared" si="1"/>
        <v>BEL</v>
      </c>
      <c r="E17" t="str">
        <f>VLOOKUP(A17,regions_full!E$2:$F$261,2,0)</f>
        <v>Belgium</v>
      </c>
      <c r="G17" t="s">
        <v>4756</v>
      </c>
      <c r="H17" t="s">
        <v>4757</v>
      </c>
      <c r="I17">
        <v>2000</v>
      </c>
    </row>
    <row r="18" spans="1:10" x14ac:dyDescent="0.3">
      <c r="A18" t="s">
        <v>138</v>
      </c>
      <c r="B18" t="s">
        <v>139</v>
      </c>
      <c r="C18" t="str">
        <f t="shared" si="0"/>
        <v>Belgium-Luxembourg</v>
      </c>
      <c r="D18" t="str">
        <f t="shared" si="1"/>
        <v>BLX</v>
      </c>
      <c r="E18" t="str">
        <f>VLOOKUP(A18,regions_full!E$2:$F$261,2,0)</f>
        <v>Belgium-Luxembourg</v>
      </c>
      <c r="G18" t="s">
        <v>4756</v>
      </c>
      <c r="H18" t="s">
        <v>4757</v>
      </c>
      <c r="J18">
        <v>1999</v>
      </c>
    </row>
    <row r="19" spans="1:10" x14ac:dyDescent="0.3">
      <c r="A19" t="s">
        <v>141</v>
      </c>
      <c r="B19" t="s">
        <v>142</v>
      </c>
      <c r="C19" t="str">
        <f t="shared" si="0"/>
        <v>Belize</v>
      </c>
      <c r="D19" t="str">
        <f t="shared" si="1"/>
        <v>BLZ</v>
      </c>
      <c r="E19" t="str">
        <f>VLOOKUP(A19,regions_full!E$2:$F$261,2,0)</f>
        <v>Belize</v>
      </c>
      <c r="G19" t="s">
        <v>4756</v>
      </c>
      <c r="H19" t="s">
        <v>4757</v>
      </c>
    </row>
    <row r="20" spans="1:10" x14ac:dyDescent="0.3">
      <c r="A20" t="s">
        <v>143</v>
      </c>
      <c r="B20" t="s">
        <v>144</v>
      </c>
      <c r="C20" t="str">
        <f t="shared" si="0"/>
        <v>Benin</v>
      </c>
      <c r="D20" t="str">
        <f t="shared" si="1"/>
        <v>BEN</v>
      </c>
      <c r="E20" t="str">
        <f>VLOOKUP(A20,regions_full!E$2:$F$261,2,0)</f>
        <v>Benin</v>
      </c>
      <c r="G20" t="s">
        <v>4756</v>
      </c>
      <c r="H20" t="s">
        <v>4757</v>
      </c>
    </row>
    <row r="21" spans="1:10" x14ac:dyDescent="0.3">
      <c r="A21" t="s">
        <v>152</v>
      </c>
      <c r="B21" t="s">
        <v>153</v>
      </c>
      <c r="C21" t="str">
        <f t="shared" si="0"/>
        <v>Bolivia</v>
      </c>
      <c r="D21" t="str">
        <f t="shared" si="1"/>
        <v>BOL</v>
      </c>
      <c r="E21" t="str">
        <f>VLOOKUP(A21,regions_full!E$2:$F$261,2,0)</f>
        <v>Bolivia (Plurinational State of)</v>
      </c>
      <c r="G21" t="s">
        <v>4775</v>
      </c>
      <c r="H21" t="s">
        <v>4757</v>
      </c>
    </row>
    <row r="22" spans="1:10" x14ac:dyDescent="0.3">
      <c r="A22" t="s">
        <v>156</v>
      </c>
      <c r="B22" t="s">
        <v>157</v>
      </c>
      <c r="C22" t="str">
        <f t="shared" si="0"/>
        <v>Bosnia and Herzegovina</v>
      </c>
      <c r="D22" t="str">
        <f t="shared" si="1"/>
        <v>BIH</v>
      </c>
      <c r="E22" t="str">
        <f>VLOOKUP(A22,regions_full!E$2:$F$261,2,0)</f>
        <v>Bosnia and Herzegovina</v>
      </c>
      <c r="G22" t="s">
        <v>4756</v>
      </c>
      <c r="H22" t="s">
        <v>4757</v>
      </c>
      <c r="I22">
        <v>1992</v>
      </c>
    </row>
    <row r="23" spans="1:10" x14ac:dyDescent="0.3">
      <c r="A23" t="s">
        <v>158</v>
      </c>
      <c r="B23" t="s">
        <v>159</v>
      </c>
      <c r="C23" t="str">
        <f t="shared" si="0"/>
        <v>Botswana</v>
      </c>
      <c r="D23" t="str">
        <f t="shared" si="1"/>
        <v>BWA</v>
      </c>
      <c r="E23" t="str">
        <f>VLOOKUP(A23,regions_full!E$2:$F$261,2,0)</f>
        <v>Botswana</v>
      </c>
      <c r="G23" t="s">
        <v>4756</v>
      </c>
      <c r="H23" t="s">
        <v>4757</v>
      </c>
    </row>
    <row r="24" spans="1:10" x14ac:dyDescent="0.3">
      <c r="A24" t="s">
        <v>162</v>
      </c>
      <c r="B24" t="s">
        <v>163</v>
      </c>
      <c r="C24" t="str">
        <f t="shared" si="0"/>
        <v>Brazil</v>
      </c>
      <c r="D24" t="str">
        <f t="shared" si="1"/>
        <v>BRA</v>
      </c>
      <c r="E24" t="str">
        <f>VLOOKUP(A24,regions_full!E$2:$F$261,2,0)</f>
        <v>Brazil</v>
      </c>
      <c r="G24" t="s">
        <v>4756</v>
      </c>
      <c r="H24" t="s">
        <v>4757</v>
      </c>
    </row>
    <row r="25" spans="1:10" x14ac:dyDescent="0.3">
      <c r="A25" t="s">
        <v>169</v>
      </c>
      <c r="B25" t="s">
        <v>170</v>
      </c>
      <c r="C25" t="str">
        <f t="shared" si="0"/>
        <v>Brunei Darussalam</v>
      </c>
      <c r="D25" t="str">
        <f t="shared" si="1"/>
        <v>BRN</v>
      </c>
      <c r="E25" t="str">
        <f>VLOOKUP(A25,regions_full!E$2:$F$261,2,0)</f>
        <v>Brunei Darussalam</v>
      </c>
      <c r="G25" t="s">
        <v>4756</v>
      </c>
      <c r="H25" t="s">
        <v>4757</v>
      </c>
    </row>
    <row r="26" spans="1:10" x14ac:dyDescent="0.3">
      <c r="A26" t="s">
        <v>177</v>
      </c>
      <c r="B26" t="s">
        <v>178</v>
      </c>
      <c r="C26" t="str">
        <f t="shared" si="0"/>
        <v>Bulgaria</v>
      </c>
      <c r="D26" t="str">
        <f t="shared" si="1"/>
        <v>BGR</v>
      </c>
      <c r="E26" t="str">
        <f>VLOOKUP(A26,regions_full!E$2:$F$261,2,0)</f>
        <v>Bulgaria</v>
      </c>
      <c r="G26" t="s">
        <v>4756</v>
      </c>
      <c r="H26" t="s">
        <v>4757</v>
      </c>
    </row>
    <row r="27" spans="1:10" x14ac:dyDescent="0.3">
      <c r="A27" t="s">
        <v>179</v>
      </c>
      <c r="B27" t="s">
        <v>180</v>
      </c>
      <c r="C27" t="str">
        <f t="shared" si="0"/>
        <v>Burkina Faso</v>
      </c>
      <c r="D27" t="str">
        <f t="shared" si="1"/>
        <v>BFA</v>
      </c>
      <c r="E27" t="str">
        <f>VLOOKUP(A27,regions_full!E$2:$F$261,2,0)</f>
        <v>Burkina Faso</v>
      </c>
      <c r="G27" t="s">
        <v>4756</v>
      </c>
      <c r="H27" t="s">
        <v>4757</v>
      </c>
    </row>
    <row r="28" spans="1:10" x14ac:dyDescent="0.3">
      <c r="A28" t="s">
        <v>181</v>
      </c>
      <c r="B28" t="s">
        <v>182</v>
      </c>
      <c r="C28" t="str">
        <f t="shared" si="0"/>
        <v>Burundi</v>
      </c>
      <c r="D28" t="str">
        <f t="shared" si="1"/>
        <v>BDI</v>
      </c>
      <c r="E28" t="str">
        <f>VLOOKUP(A28,regions_full!E$2:$F$261,2,0)</f>
        <v>Burundi</v>
      </c>
      <c r="G28" t="s">
        <v>4756</v>
      </c>
      <c r="H28" t="s">
        <v>4757</v>
      </c>
    </row>
    <row r="29" spans="1:10" x14ac:dyDescent="0.3">
      <c r="A29" t="s">
        <v>184</v>
      </c>
      <c r="B29" t="s">
        <v>185</v>
      </c>
      <c r="C29" t="str">
        <f t="shared" si="0"/>
        <v>Cabo Verde</v>
      </c>
      <c r="D29" t="str">
        <f t="shared" si="1"/>
        <v>CPV</v>
      </c>
      <c r="E29" t="str">
        <f>VLOOKUP(A29,regions_full!E$2:$F$261,2,0)</f>
        <v>Cabo Verde</v>
      </c>
      <c r="G29" t="s">
        <v>4756</v>
      </c>
      <c r="H29" t="s">
        <v>4757</v>
      </c>
    </row>
    <row r="30" spans="1:10" x14ac:dyDescent="0.3">
      <c r="A30" t="s">
        <v>187</v>
      </c>
      <c r="B30" t="s">
        <v>188</v>
      </c>
      <c r="C30" t="str">
        <f t="shared" si="0"/>
        <v>Cambodia</v>
      </c>
      <c r="D30" t="str">
        <f t="shared" si="1"/>
        <v>KHM</v>
      </c>
      <c r="E30" t="str">
        <f>VLOOKUP(A30,regions_full!E$2:$F$261,2,0)</f>
        <v>Cambodia</v>
      </c>
      <c r="G30" t="s">
        <v>4756</v>
      </c>
      <c r="H30" t="s">
        <v>4757</v>
      </c>
    </row>
    <row r="31" spans="1:10" x14ac:dyDescent="0.3">
      <c r="A31" t="s">
        <v>189</v>
      </c>
      <c r="B31" t="s">
        <v>190</v>
      </c>
      <c r="C31" t="str">
        <f t="shared" si="0"/>
        <v>Cameroon</v>
      </c>
      <c r="D31" t="str">
        <f t="shared" si="1"/>
        <v>CMR</v>
      </c>
      <c r="E31" t="str">
        <f>VLOOKUP(A31,regions_full!E$2:$F$261,2,0)</f>
        <v>Cameroon</v>
      </c>
      <c r="G31" t="s">
        <v>4756</v>
      </c>
      <c r="H31" t="s">
        <v>4757</v>
      </c>
    </row>
    <row r="32" spans="1:10" x14ac:dyDescent="0.3">
      <c r="A32" t="s">
        <v>191</v>
      </c>
      <c r="B32" t="s">
        <v>192</v>
      </c>
      <c r="C32" t="str">
        <f t="shared" si="0"/>
        <v>Canada</v>
      </c>
      <c r="D32" t="str">
        <f t="shared" si="1"/>
        <v>CAN</v>
      </c>
      <c r="E32" t="str">
        <f>VLOOKUP(A32,regions_full!E$2:$F$261,2,0)</f>
        <v>Canada</v>
      </c>
      <c r="G32" t="s">
        <v>4756</v>
      </c>
      <c r="H32" t="s">
        <v>4757</v>
      </c>
    </row>
    <row r="33" spans="1:10" x14ac:dyDescent="0.3">
      <c r="A33" t="s">
        <v>197</v>
      </c>
      <c r="B33" t="s">
        <v>198</v>
      </c>
      <c r="C33" t="str">
        <f t="shared" si="0"/>
        <v>Central African Republic</v>
      </c>
      <c r="D33" t="str">
        <f t="shared" si="1"/>
        <v>CAF</v>
      </c>
      <c r="E33" t="str">
        <f>VLOOKUP(A33,regions_full!E$2:$F$261,2,0)</f>
        <v>Central African Republic</v>
      </c>
      <c r="G33" t="s">
        <v>4756</v>
      </c>
      <c r="H33" t="s">
        <v>4757</v>
      </c>
    </row>
    <row r="34" spans="1:10" x14ac:dyDescent="0.3">
      <c r="A34" t="s">
        <v>199</v>
      </c>
      <c r="B34" t="s">
        <v>200</v>
      </c>
      <c r="C34" t="str">
        <f t="shared" si="0"/>
        <v>Chad</v>
      </c>
      <c r="D34" t="str">
        <f t="shared" si="1"/>
        <v>TCD</v>
      </c>
      <c r="E34" t="str">
        <f>VLOOKUP(A34,regions_full!E$2:$F$261,2,0)</f>
        <v>Chad</v>
      </c>
      <c r="G34" t="s">
        <v>4756</v>
      </c>
      <c r="H34" t="s">
        <v>4757</v>
      </c>
    </row>
    <row r="35" spans="1:10" x14ac:dyDescent="0.3">
      <c r="A35" t="s">
        <v>201</v>
      </c>
      <c r="B35" t="s">
        <v>202</v>
      </c>
      <c r="C35" t="str">
        <f t="shared" si="0"/>
        <v>Chile</v>
      </c>
      <c r="D35" t="str">
        <f t="shared" si="1"/>
        <v>CHL</v>
      </c>
      <c r="E35" t="str">
        <f>VLOOKUP(A35,regions_full!E$2:$F$261,2,0)</f>
        <v>Chile</v>
      </c>
      <c r="G35" t="s">
        <v>4756</v>
      </c>
      <c r="H35" t="s">
        <v>4757</v>
      </c>
    </row>
    <row r="36" spans="1:10" x14ac:dyDescent="0.3">
      <c r="A36" t="s">
        <v>206</v>
      </c>
      <c r="B36" t="s">
        <v>207</v>
      </c>
      <c r="C36" t="str">
        <f t="shared" si="0"/>
        <v>China, Hong Kong SAR</v>
      </c>
      <c r="D36" t="str">
        <f t="shared" si="1"/>
        <v>HKG</v>
      </c>
      <c r="E36" t="str">
        <f>VLOOKUP(A36,regions_full!E$2:$F$261,2,0)</f>
        <v>China, Hong Kong SAR</v>
      </c>
      <c r="G36" t="s">
        <v>4756</v>
      </c>
      <c r="H36" t="s">
        <v>4757</v>
      </c>
    </row>
    <row r="37" spans="1:10" x14ac:dyDescent="0.3">
      <c r="A37" t="s">
        <v>210</v>
      </c>
      <c r="B37" t="s">
        <v>211</v>
      </c>
      <c r="C37" t="str">
        <f t="shared" si="0"/>
        <v>China, Macao SAR</v>
      </c>
      <c r="D37" t="str">
        <f t="shared" si="1"/>
        <v>MAC</v>
      </c>
      <c r="E37" t="str">
        <f>VLOOKUP(A37,regions_full!E$2:$F$261,2,0)</f>
        <v>China, Macao SAR</v>
      </c>
      <c r="G37" t="s">
        <v>4756</v>
      </c>
      <c r="H37" t="s">
        <v>4757</v>
      </c>
    </row>
    <row r="38" spans="1:10" x14ac:dyDescent="0.3">
      <c r="A38" t="s">
        <v>213</v>
      </c>
      <c r="B38" t="s">
        <v>214</v>
      </c>
      <c r="C38" t="str">
        <f t="shared" si="0"/>
        <v>China, mainland</v>
      </c>
      <c r="D38" t="str">
        <f t="shared" si="1"/>
        <v>CHN</v>
      </c>
      <c r="E38" t="str">
        <f>VLOOKUP(A38,regions_full!E$2:$F$261,2,0)</f>
        <v>China, mainland</v>
      </c>
      <c r="G38" t="s">
        <v>4756</v>
      </c>
      <c r="H38" t="s">
        <v>4757</v>
      </c>
    </row>
    <row r="39" spans="1:10" x14ac:dyDescent="0.3">
      <c r="A39" t="s">
        <v>216</v>
      </c>
      <c r="B39" t="s">
        <v>708</v>
      </c>
      <c r="C39" t="str">
        <f t="shared" si="0"/>
        <v>China, Taiwan</v>
      </c>
      <c r="D39" t="str">
        <f t="shared" si="1"/>
        <v>TWN</v>
      </c>
      <c r="E39" t="str">
        <f>VLOOKUP(A39,regions_full!E$2:$F$261,2,0)</f>
        <v>China, Taiwan Province of</v>
      </c>
      <c r="G39" t="s">
        <v>4756</v>
      </c>
      <c r="H39" t="s">
        <v>4757</v>
      </c>
    </row>
    <row r="40" spans="1:10" x14ac:dyDescent="0.3">
      <c r="A40" t="s">
        <v>224</v>
      </c>
      <c r="B40" t="s">
        <v>225</v>
      </c>
      <c r="C40" t="str">
        <f t="shared" si="0"/>
        <v>Colombia</v>
      </c>
      <c r="D40" t="str">
        <f t="shared" si="1"/>
        <v>COL</v>
      </c>
      <c r="E40" t="str">
        <f>VLOOKUP(A40,regions_full!E$2:$F$261,2,0)</f>
        <v>Colombia</v>
      </c>
      <c r="G40" t="s">
        <v>4756</v>
      </c>
      <c r="H40" t="s">
        <v>4757</v>
      </c>
    </row>
    <row r="41" spans="1:10" x14ac:dyDescent="0.3">
      <c r="A41" t="s">
        <v>228</v>
      </c>
      <c r="B41" t="s">
        <v>229</v>
      </c>
      <c r="C41" t="str">
        <f t="shared" si="0"/>
        <v>Congo</v>
      </c>
      <c r="D41" t="str">
        <f t="shared" si="1"/>
        <v>COG</v>
      </c>
      <c r="E41" t="str">
        <f>VLOOKUP(A41,regions_full!E$2:$F$261,2,0)</f>
        <v>Congo</v>
      </c>
      <c r="G41" t="s">
        <v>4756</v>
      </c>
      <c r="H41" t="s">
        <v>4757</v>
      </c>
    </row>
    <row r="42" spans="1:10" x14ac:dyDescent="0.3">
      <c r="A42" t="s">
        <v>234</v>
      </c>
      <c r="B42" t="s">
        <v>235</v>
      </c>
      <c r="C42" t="str">
        <f t="shared" si="0"/>
        <v>Costa Rica</v>
      </c>
      <c r="D42" t="str">
        <f t="shared" si="1"/>
        <v>CRI</v>
      </c>
      <c r="E42" t="str">
        <f>VLOOKUP(A42,regions_full!E$2:$F$261,2,0)</f>
        <v>Costa Rica</v>
      </c>
      <c r="G42" t="s">
        <v>4756</v>
      </c>
      <c r="H42" t="s">
        <v>4757</v>
      </c>
    </row>
    <row r="43" spans="1:10" x14ac:dyDescent="0.3">
      <c r="A43" t="s">
        <v>236</v>
      </c>
      <c r="B43" t="s">
        <v>237</v>
      </c>
      <c r="C43" t="str">
        <f t="shared" si="0"/>
        <v>Croatia</v>
      </c>
      <c r="D43" t="str">
        <f t="shared" si="1"/>
        <v>HRV</v>
      </c>
      <c r="E43" t="str">
        <f>VLOOKUP(A43,regions_full!E$2:$F$261,2,0)</f>
        <v>Croatia</v>
      </c>
      <c r="G43" t="s">
        <v>4756</v>
      </c>
      <c r="H43" t="s">
        <v>4757</v>
      </c>
      <c r="I43">
        <v>1992</v>
      </c>
    </row>
    <row r="44" spans="1:10" x14ac:dyDescent="0.3">
      <c r="A44" t="s">
        <v>238</v>
      </c>
      <c r="B44" t="s">
        <v>239</v>
      </c>
      <c r="C44" t="str">
        <f t="shared" si="0"/>
        <v>Cuba</v>
      </c>
      <c r="D44" t="str">
        <f t="shared" si="1"/>
        <v>CUB</v>
      </c>
      <c r="E44" t="str">
        <f>VLOOKUP(A44,regions_full!E$2:$F$261,2,0)</f>
        <v>Cuba</v>
      </c>
      <c r="G44" t="s">
        <v>4756</v>
      </c>
      <c r="H44" t="s">
        <v>4757</v>
      </c>
    </row>
    <row r="45" spans="1:10" x14ac:dyDescent="0.3">
      <c r="A45" t="s">
        <v>242</v>
      </c>
      <c r="B45" t="s">
        <v>243</v>
      </c>
      <c r="C45" t="str">
        <f t="shared" si="0"/>
        <v>Cyprus</v>
      </c>
      <c r="D45" t="str">
        <f t="shared" si="1"/>
        <v>CYP</v>
      </c>
      <c r="E45" t="str">
        <f>VLOOKUP(A45,regions_full!E$2:$F$261,2,0)</f>
        <v>Cyprus</v>
      </c>
      <c r="G45" t="s">
        <v>4756</v>
      </c>
      <c r="H45" t="s">
        <v>4757</v>
      </c>
    </row>
    <row r="46" spans="1:10" x14ac:dyDescent="0.3">
      <c r="A46" t="s">
        <v>244</v>
      </c>
      <c r="B46" t="s">
        <v>4774</v>
      </c>
      <c r="C46" t="str">
        <f t="shared" si="0"/>
        <v>Czechia</v>
      </c>
      <c r="D46" t="str">
        <f t="shared" si="1"/>
        <v>CZE</v>
      </c>
      <c r="E46" t="str">
        <f>VLOOKUP(A46,regions_full!E$2:$F$261,2,0)</f>
        <v>Czechia</v>
      </c>
      <c r="G46" t="s">
        <v>4756</v>
      </c>
      <c r="H46" t="s">
        <v>4757</v>
      </c>
      <c r="I46">
        <v>1993</v>
      </c>
    </row>
    <row r="47" spans="1:10" x14ac:dyDescent="0.3">
      <c r="A47" t="s">
        <v>246</v>
      </c>
      <c r="B47" t="s">
        <v>247</v>
      </c>
      <c r="C47" t="str">
        <f t="shared" si="0"/>
        <v>Czechoslovakia</v>
      </c>
      <c r="D47" t="str">
        <f t="shared" si="1"/>
        <v>CSK</v>
      </c>
      <c r="E47" t="str">
        <f>VLOOKUP(A47,regions_full!E$2:$F$261,2,0)</f>
        <v>Czechoslovakia</v>
      </c>
      <c r="G47" t="s">
        <v>4756</v>
      </c>
      <c r="H47" t="s">
        <v>4757</v>
      </c>
      <c r="J47">
        <v>1992</v>
      </c>
    </row>
    <row r="48" spans="1:10" x14ac:dyDescent="0.3">
      <c r="A48" t="s">
        <v>249</v>
      </c>
      <c r="B48" t="s">
        <v>250</v>
      </c>
      <c r="C48" t="str">
        <f t="shared" si="0"/>
        <v>Denmark</v>
      </c>
      <c r="D48" t="str">
        <f t="shared" si="1"/>
        <v>DNK</v>
      </c>
      <c r="E48" t="str">
        <f>VLOOKUP(A48,regions_full!E$2:$F$261,2,0)</f>
        <v>Denmark</v>
      </c>
      <c r="G48" t="s">
        <v>4756</v>
      </c>
      <c r="H48" t="s">
        <v>4757</v>
      </c>
    </row>
    <row r="49" spans="1:9" x14ac:dyDescent="0.3">
      <c r="A49" t="s">
        <v>252</v>
      </c>
      <c r="B49" t="s">
        <v>253</v>
      </c>
      <c r="C49" t="str">
        <f t="shared" si="0"/>
        <v>Djibouti</v>
      </c>
      <c r="D49" t="str">
        <f t="shared" si="1"/>
        <v>DJI</v>
      </c>
      <c r="E49" t="str">
        <f>VLOOKUP(A49,regions_full!E$2:$F$261,2,0)</f>
        <v>Djibouti</v>
      </c>
      <c r="G49" t="s">
        <v>4756</v>
      </c>
      <c r="H49" t="s">
        <v>4757</v>
      </c>
    </row>
    <row r="50" spans="1:9" x14ac:dyDescent="0.3">
      <c r="A50" t="s">
        <v>254</v>
      </c>
      <c r="B50" t="s">
        <v>255</v>
      </c>
      <c r="C50" t="str">
        <f t="shared" si="0"/>
        <v>Dominica</v>
      </c>
      <c r="D50" t="str">
        <f t="shared" si="1"/>
        <v>DMA</v>
      </c>
      <c r="E50" t="str">
        <f>VLOOKUP(A50,regions_full!E$2:$F$261,2,0)</f>
        <v>Dominica</v>
      </c>
      <c r="G50" t="s">
        <v>4756</v>
      </c>
      <c r="H50" t="s">
        <v>4757</v>
      </c>
    </row>
    <row r="51" spans="1:9" x14ac:dyDescent="0.3">
      <c r="A51" t="s">
        <v>256</v>
      </c>
      <c r="B51" t="s">
        <v>257</v>
      </c>
      <c r="C51" t="str">
        <f t="shared" si="0"/>
        <v>Dominican Republic</v>
      </c>
      <c r="D51" t="str">
        <f t="shared" si="1"/>
        <v>DOM</v>
      </c>
      <c r="E51" t="str">
        <f>VLOOKUP(A51,regions_full!E$2:$F$261,2,0)</f>
        <v>Dominican Republic</v>
      </c>
      <c r="G51" t="s">
        <v>4756</v>
      </c>
      <c r="H51" t="s">
        <v>4757</v>
      </c>
    </row>
    <row r="52" spans="1:9" x14ac:dyDescent="0.3">
      <c r="A52" t="s">
        <v>258</v>
      </c>
      <c r="B52" t="s">
        <v>259</v>
      </c>
      <c r="C52" t="str">
        <f t="shared" si="0"/>
        <v>DR Congo</v>
      </c>
      <c r="D52" t="str">
        <f t="shared" si="1"/>
        <v>COD</v>
      </c>
      <c r="E52" t="str">
        <f>VLOOKUP(A52,regions_full!E$2:$F$261,2,0)</f>
        <v>Democratic Republic of the Congo</v>
      </c>
      <c r="G52" t="s">
        <v>4775</v>
      </c>
      <c r="H52" t="s">
        <v>4757</v>
      </c>
    </row>
    <row r="53" spans="1:9" x14ac:dyDescent="0.3">
      <c r="A53" t="s">
        <v>263</v>
      </c>
      <c r="B53" t="s">
        <v>264</v>
      </c>
      <c r="C53" t="str">
        <f t="shared" si="0"/>
        <v>Ecuador</v>
      </c>
      <c r="D53" t="str">
        <f t="shared" si="1"/>
        <v>ECU</v>
      </c>
      <c r="E53" t="str">
        <f>VLOOKUP(A53,regions_full!E$2:$F$261,2,0)</f>
        <v>Ecuador</v>
      </c>
      <c r="G53" t="s">
        <v>4756</v>
      </c>
      <c r="H53" t="s">
        <v>4757</v>
      </c>
    </row>
    <row r="54" spans="1:9" x14ac:dyDescent="0.3">
      <c r="A54" t="s">
        <v>265</v>
      </c>
      <c r="B54" t="s">
        <v>266</v>
      </c>
      <c r="C54" t="str">
        <f t="shared" si="0"/>
        <v>Egypt</v>
      </c>
      <c r="D54" t="str">
        <f t="shared" si="1"/>
        <v>EGY</v>
      </c>
      <c r="E54" t="str">
        <f>VLOOKUP(A54,regions_full!E$2:$F$261,2,0)</f>
        <v>Egypt</v>
      </c>
      <c r="G54" t="s">
        <v>4756</v>
      </c>
      <c r="H54" t="s">
        <v>4757</v>
      </c>
    </row>
    <row r="55" spans="1:9" x14ac:dyDescent="0.3">
      <c r="A55" t="s">
        <v>267</v>
      </c>
      <c r="B55" t="s">
        <v>268</v>
      </c>
      <c r="C55" t="str">
        <f t="shared" si="0"/>
        <v>El Salvador</v>
      </c>
      <c r="D55" t="str">
        <f t="shared" si="1"/>
        <v>SLV</v>
      </c>
      <c r="E55" t="str">
        <f>VLOOKUP(A55,regions_full!E$2:$F$261,2,0)</f>
        <v>El Salvador</v>
      </c>
      <c r="G55" t="s">
        <v>4756</v>
      </c>
      <c r="H55" t="s">
        <v>4757</v>
      </c>
    </row>
    <row r="56" spans="1:9" x14ac:dyDescent="0.3">
      <c r="A56" t="s">
        <v>271</v>
      </c>
      <c r="B56" t="s">
        <v>272</v>
      </c>
      <c r="C56" t="str">
        <f t="shared" si="0"/>
        <v>Eritrea</v>
      </c>
      <c r="D56" t="str">
        <f t="shared" si="1"/>
        <v>ERI</v>
      </c>
      <c r="E56" t="str">
        <f>VLOOKUP(A56,regions_full!E$2:$F$261,2,0)</f>
        <v>Eritrea</v>
      </c>
      <c r="G56" t="s">
        <v>4756</v>
      </c>
      <c r="H56" t="s">
        <v>4757</v>
      </c>
      <c r="I56">
        <v>1993</v>
      </c>
    </row>
    <row r="57" spans="1:9" x14ac:dyDescent="0.3">
      <c r="A57" t="s">
        <v>273</v>
      </c>
      <c r="B57" t="s">
        <v>274</v>
      </c>
      <c r="C57" t="str">
        <f t="shared" si="0"/>
        <v>Estonia</v>
      </c>
      <c r="D57" t="str">
        <f t="shared" si="1"/>
        <v>EST</v>
      </c>
      <c r="E57" t="str">
        <f>VLOOKUP(A57,regions_full!E$2:$F$261,2,0)</f>
        <v>Estonia</v>
      </c>
      <c r="G57" t="s">
        <v>4756</v>
      </c>
      <c r="H57" t="s">
        <v>4757</v>
      </c>
      <c r="I57">
        <v>1992</v>
      </c>
    </row>
    <row r="58" spans="1:9" x14ac:dyDescent="0.3">
      <c r="A58" t="s">
        <v>278</v>
      </c>
      <c r="B58" t="s">
        <v>279</v>
      </c>
      <c r="C58" t="str">
        <f t="shared" si="0"/>
        <v>Ethiopia</v>
      </c>
      <c r="D58" t="str">
        <f t="shared" si="1"/>
        <v>ETH</v>
      </c>
      <c r="E58" t="str">
        <f>VLOOKUP(A58,regions_full!E$2:$F$261,2,0)</f>
        <v>Ethiopia</v>
      </c>
      <c r="G58" t="s">
        <v>4776</v>
      </c>
      <c r="H58" t="s">
        <v>4757</v>
      </c>
    </row>
    <row r="59" spans="1:9" x14ac:dyDescent="0.3">
      <c r="A59" t="s">
        <v>286</v>
      </c>
      <c r="B59" t="s">
        <v>287</v>
      </c>
      <c r="C59" t="str">
        <f t="shared" si="0"/>
        <v>Fiji</v>
      </c>
      <c r="D59" t="str">
        <f t="shared" si="1"/>
        <v>FJI</v>
      </c>
      <c r="E59" t="str">
        <f>VLOOKUP(A59,regions_full!E$2:$F$261,2,0)</f>
        <v>Fiji</v>
      </c>
      <c r="G59" t="s">
        <v>4756</v>
      </c>
      <c r="H59" t="s">
        <v>4757</v>
      </c>
    </row>
    <row r="60" spans="1:9" x14ac:dyDescent="0.3">
      <c r="A60" t="s">
        <v>289</v>
      </c>
      <c r="B60" t="s">
        <v>290</v>
      </c>
      <c r="C60" t="str">
        <f t="shared" si="0"/>
        <v>Finland</v>
      </c>
      <c r="D60" t="str">
        <f t="shared" si="1"/>
        <v>FIN</v>
      </c>
      <c r="E60" t="str">
        <f>VLOOKUP(A60,regions_full!E$2:$F$261,2,0)</f>
        <v>Finland</v>
      </c>
      <c r="G60" t="s">
        <v>4756</v>
      </c>
      <c r="H60" t="s">
        <v>4757</v>
      </c>
    </row>
    <row r="61" spans="1:9" x14ac:dyDescent="0.3">
      <c r="A61" t="s">
        <v>291</v>
      </c>
      <c r="B61" t="s">
        <v>292</v>
      </c>
      <c r="C61" t="str">
        <f t="shared" si="0"/>
        <v>France</v>
      </c>
      <c r="D61" t="str">
        <f t="shared" si="1"/>
        <v>FRA</v>
      </c>
      <c r="E61" t="str">
        <f>VLOOKUP(A61,regions_full!E$2:$F$261,2,0)</f>
        <v>France</v>
      </c>
      <c r="G61" t="s">
        <v>4756</v>
      </c>
      <c r="H61" t="s">
        <v>4757</v>
      </c>
    </row>
    <row r="62" spans="1:9" x14ac:dyDescent="0.3">
      <c r="A62" t="s">
        <v>295</v>
      </c>
      <c r="B62" t="s">
        <v>296</v>
      </c>
      <c r="C62" t="str">
        <f t="shared" si="0"/>
        <v>French Polynesia</v>
      </c>
      <c r="D62" t="str">
        <f t="shared" si="1"/>
        <v>PYF</v>
      </c>
      <c r="E62" t="str">
        <f>VLOOKUP(A62,regions_full!E$2:$F$261,2,0)</f>
        <v>French Polynesia</v>
      </c>
      <c r="G62" t="s">
        <v>4756</v>
      </c>
      <c r="H62" t="s">
        <v>4757</v>
      </c>
    </row>
    <row r="63" spans="1:9" x14ac:dyDescent="0.3">
      <c r="A63" t="s">
        <v>299</v>
      </c>
      <c r="B63" t="s">
        <v>300</v>
      </c>
      <c r="C63" t="str">
        <f t="shared" si="0"/>
        <v>Gabon</v>
      </c>
      <c r="D63" t="str">
        <f t="shared" si="1"/>
        <v>GAB</v>
      </c>
      <c r="E63" t="str">
        <f>VLOOKUP(A63,regions_full!E$2:$F$261,2,0)</f>
        <v>Gabon</v>
      </c>
      <c r="G63" t="s">
        <v>4756</v>
      </c>
      <c r="H63" t="s">
        <v>4757</v>
      </c>
    </row>
    <row r="64" spans="1:9" x14ac:dyDescent="0.3">
      <c r="A64" t="s">
        <v>301</v>
      </c>
      <c r="B64" t="s">
        <v>302</v>
      </c>
      <c r="C64" t="str">
        <f t="shared" si="0"/>
        <v>Gambia</v>
      </c>
      <c r="D64" t="str">
        <f t="shared" si="1"/>
        <v>GMB</v>
      </c>
      <c r="E64" t="str">
        <f>VLOOKUP(A64,regions_full!E$2:$F$261,2,0)</f>
        <v>Gambia</v>
      </c>
      <c r="G64" t="s">
        <v>4756</v>
      </c>
      <c r="H64" t="s">
        <v>4757</v>
      </c>
    </row>
    <row r="65" spans="1:9" x14ac:dyDescent="0.3">
      <c r="A65" t="s">
        <v>304</v>
      </c>
      <c r="B65" t="s">
        <v>305</v>
      </c>
      <c r="C65" t="str">
        <f t="shared" si="0"/>
        <v>Georgia</v>
      </c>
      <c r="D65" t="str">
        <f t="shared" si="1"/>
        <v>GEO</v>
      </c>
      <c r="E65" t="str">
        <f>VLOOKUP(A65,regions_full!E$2:$F$261,2,0)</f>
        <v>Georgia</v>
      </c>
      <c r="G65" t="s">
        <v>4756</v>
      </c>
      <c r="H65" t="s">
        <v>4757</v>
      </c>
      <c r="I65">
        <v>1992</v>
      </c>
    </row>
    <row r="66" spans="1:9" x14ac:dyDescent="0.3">
      <c r="A66" t="s">
        <v>306</v>
      </c>
      <c r="B66" t="s">
        <v>307</v>
      </c>
      <c r="C66" t="str">
        <f t="shared" si="0"/>
        <v>Germany</v>
      </c>
      <c r="D66" t="str">
        <f t="shared" si="1"/>
        <v>DEU</v>
      </c>
      <c r="E66" t="str">
        <f>VLOOKUP(A66,regions_full!E$2:$F$261,2,0)</f>
        <v>Germany</v>
      </c>
      <c r="G66" t="s">
        <v>4756</v>
      </c>
      <c r="H66" t="s">
        <v>4757</v>
      </c>
    </row>
    <row r="67" spans="1:9" x14ac:dyDescent="0.3">
      <c r="A67" t="s">
        <v>308</v>
      </c>
      <c r="B67" t="s">
        <v>309</v>
      </c>
      <c r="C67" t="str">
        <f t="shared" ref="C67:C130" si="2">B67</f>
        <v>Ghana</v>
      </c>
      <c r="D67" t="str">
        <f t="shared" ref="D67:D130" si="3">A67</f>
        <v>GHA</v>
      </c>
      <c r="E67" t="str">
        <f>VLOOKUP(A67,regions_full!E$2:$F$261,2,0)</f>
        <v>Ghana</v>
      </c>
      <c r="G67" t="s">
        <v>4756</v>
      </c>
      <c r="H67" t="s">
        <v>4757</v>
      </c>
    </row>
    <row r="68" spans="1:9" x14ac:dyDescent="0.3">
      <c r="A68" t="s">
        <v>312</v>
      </c>
      <c r="B68" t="s">
        <v>313</v>
      </c>
      <c r="C68" t="str">
        <f t="shared" si="2"/>
        <v>Greece</v>
      </c>
      <c r="D68" t="str">
        <f t="shared" si="3"/>
        <v>GRC</v>
      </c>
      <c r="E68" t="str">
        <f>VLOOKUP(A68,regions_full!E$2:$F$261,2,0)</f>
        <v>Greece</v>
      </c>
      <c r="G68" t="s">
        <v>4756</v>
      </c>
      <c r="H68" t="s">
        <v>4757</v>
      </c>
    </row>
    <row r="69" spans="1:9" x14ac:dyDescent="0.3">
      <c r="A69" t="s">
        <v>316</v>
      </c>
      <c r="B69" t="s">
        <v>317</v>
      </c>
      <c r="C69" t="str">
        <f t="shared" si="2"/>
        <v>Grenada</v>
      </c>
      <c r="D69" t="str">
        <f t="shared" si="3"/>
        <v>GRD</v>
      </c>
      <c r="E69" t="str">
        <f>VLOOKUP(A69,regions_full!E$2:$F$261,2,0)</f>
        <v>Grenada</v>
      </c>
      <c r="G69" t="s">
        <v>4756</v>
      </c>
      <c r="H69" t="s">
        <v>4757</v>
      </c>
    </row>
    <row r="70" spans="1:9" x14ac:dyDescent="0.3">
      <c r="A70" t="s">
        <v>323</v>
      </c>
      <c r="B70" t="s">
        <v>324</v>
      </c>
      <c r="C70" t="str">
        <f t="shared" si="2"/>
        <v>Guatemala</v>
      </c>
      <c r="D70" t="str">
        <f t="shared" si="3"/>
        <v>GTM</v>
      </c>
      <c r="E70" t="str">
        <f>VLOOKUP(A70,regions_full!E$2:$F$261,2,0)</f>
        <v>Guatemala</v>
      </c>
      <c r="G70" t="s">
        <v>4756</v>
      </c>
      <c r="H70" t="s">
        <v>4757</v>
      </c>
    </row>
    <row r="71" spans="1:9" x14ac:dyDescent="0.3">
      <c r="A71" t="s">
        <v>325</v>
      </c>
      <c r="B71" t="s">
        <v>326</v>
      </c>
      <c r="C71" t="str">
        <f t="shared" si="2"/>
        <v>Guinea</v>
      </c>
      <c r="D71" t="str">
        <f t="shared" si="3"/>
        <v>GIN</v>
      </c>
      <c r="E71" t="str">
        <f>VLOOKUP(A71,regions_full!E$2:$F$261,2,0)</f>
        <v>Guinea</v>
      </c>
      <c r="G71" t="s">
        <v>4756</v>
      </c>
      <c r="H71" t="s">
        <v>4757</v>
      </c>
    </row>
    <row r="72" spans="1:9" x14ac:dyDescent="0.3">
      <c r="A72" t="s">
        <v>327</v>
      </c>
      <c r="B72" t="s">
        <v>328</v>
      </c>
      <c r="C72" t="str">
        <f t="shared" si="2"/>
        <v>Guinea-Bissau</v>
      </c>
      <c r="D72" t="str">
        <f t="shared" si="3"/>
        <v>GNB</v>
      </c>
      <c r="E72" t="str">
        <f>VLOOKUP(A72,regions_full!E$2:$F$261,2,0)</f>
        <v>Guinea-Bissau</v>
      </c>
      <c r="G72" t="s">
        <v>4756</v>
      </c>
      <c r="H72" t="s">
        <v>4757</v>
      </c>
    </row>
    <row r="73" spans="1:9" x14ac:dyDescent="0.3">
      <c r="A73" t="s">
        <v>329</v>
      </c>
      <c r="B73" t="s">
        <v>330</v>
      </c>
      <c r="C73" t="str">
        <f t="shared" si="2"/>
        <v>Guyana</v>
      </c>
      <c r="D73" t="str">
        <f t="shared" si="3"/>
        <v>GUY</v>
      </c>
      <c r="E73" t="str">
        <f>VLOOKUP(A73,regions_full!E$2:$F$261,2,0)</f>
        <v>Guyana</v>
      </c>
      <c r="G73" t="s">
        <v>4756</v>
      </c>
      <c r="H73" t="s">
        <v>4757</v>
      </c>
    </row>
    <row r="74" spans="1:9" x14ac:dyDescent="0.3">
      <c r="A74" t="s">
        <v>331</v>
      </c>
      <c r="B74" t="s">
        <v>332</v>
      </c>
      <c r="C74" t="str">
        <f t="shared" si="2"/>
        <v>Haiti</v>
      </c>
      <c r="D74" t="str">
        <f t="shared" si="3"/>
        <v>HTI</v>
      </c>
      <c r="E74" t="str">
        <f>VLOOKUP(A74,regions_full!E$2:$F$261,2,0)</f>
        <v>Haiti</v>
      </c>
      <c r="G74" t="s">
        <v>4756</v>
      </c>
      <c r="H74" t="s">
        <v>4757</v>
      </c>
    </row>
    <row r="75" spans="1:9" x14ac:dyDescent="0.3">
      <c r="A75" t="s">
        <v>337</v>
      </c>
      <c r="B75" t="s">
        <v>338</v>
      </c>
      <c r="C75" t="str">
        <f t="shared" si="2"/>
        <v>Honduras</v>
      </c>
      <c r="D75" t="str">
        <f t="shared" si="3"/>
        <v>HND</v>
      </c>
      <c r="E75" t="str">
        <f>VLOOKUP(A75,regions_full!E$2:$F$261,2,0)</f>
        <v>Honduras</v>
      </c>
      <c r="G75" t="s">
        <v>4756</v>
      </c>
      <c r="H75" t="s">
        <v>4757</v>
      </c>
    </row>
    <row r="76" spans="1:9" x14ac:dyDescent="0.3">
      <c r="A76" t="s">
        <v>339</v>
      </c>
      <c r="B76" t="s">
        <v>340</v>
      </c>
      <c r="C76" t="str">
        <f t="shared" si="2"/>
        <v>Hungary</v>
      </c>
      <c r="D76" t="str">
        <f t="shared" si="3"/>
        <v>HUN</v>
      </c>
      <c r="E76" t="str">
        <f>VLOOKUP(A76,regions_full!E$2:$F$261,2,0)</f>
        <v>Hungary</v>
      </c>
      <c r="G76" t="s">
        <v>4756</v>
      </c>
      <c r="H76" t="s">
        <v>4757</v>
      </c>
    </row>
    <row r="77" spans="1:9" x14ac:dyDescent="0.3">
      <c r="A77" t="s">
        <v>341</v>
      </c>
      <c r="B77" t="s">
        <v>342</v>
      </c>
      <c r="C77" t="str">
        <f t="shared" si="2"/>
        <v>Iceland</v>
      </c>
      <c r="D77" t="str">
        <f t="shared" si="3"/>
        <v>ISL</v>
      </c>
      <c r="E77" t="str">
        <f>VLOOKUP(A77,regions_full!E$2:$F$261,2,0)</f>
        <v>Iceland</v>
      </c>
      <c r="G77" t="s">
        <v>4756</v>
      </c>
      <c r="H77" t="s">
        <v>4757</v>
      </c>
    </row>
    <row r="78" spans="1:9" x14ac:dyDescent="0.3">
      <c r="A78" t="s">
        <v>343</v>
      </c>
      <c r="B78" t="s">
        <v>344</v>
      </c>
      <c r="C78" t="str">
        <f t="shared" si="2"/>
        <v>India</v>
      </c>
      <c r="D78" t="str">
        <f t="shared" si="3"/>
        <v>IND</v>
      </c>
      <c r="E78" t="str">
        <f>VLOOKUP(A78,regions_full!E$2:$F$261,2,0)</f>
        <v>India</v>
      </c>
      <c r="G78" t="s">
        <v>4756</v>
      </c>
      <c r="H78" t="s">
        <v>4757</v>
      </c>
    </row>
    <row r="79" spans="1:9" x14ac:dyDescent="0.3">
      <c r="A79" t="s">
        <v>345</v>
      </c>
      <c r="B79" t="s">
        <v>346</v>
      </c>
      <c r="C79" t="str">
        <f t="shared" si="2"/>
        <v>Indonesia</v>
      </c>
      <c r="D79" t="str">
        <f t="shared" si="3"/>
        <v>IDN</v>
      </c>
      <c r="E79" t="str">
        <f>VLOOKUP(A79,regions_full!E$2:$F$261,2,0)</f>
        <v>Indonesia</v>
      </c>
      <c r="G79" t="s">
        <v>4756</v>
      </c>
      <c r="H79" t="s">
        <v>4757</v>
      </c>
    </row>
    <row r="80" spans="1:9" x14ac:dyDescent="0.3">
      <c r="A80" t="s">
        <v>347</v>
      </c>
      <c r="B80" t="s">
        <v>348</v>
      </c>
      <c r="C80" t="str">
        <f t="shared" si="2"/>
        <v>Iran</v>
      </c>
      <c r="D80" t="str">
        <f t="shared" si="3"/>
        <v>IRN</v>
      </c>
      <c r="E80" t="str">
        <f>VLOOKUP(A80,regions_full!E$2:$F$261,2,0)</f>
        <v>Iran (Islamic Republic of)</v>
      </c>
      <c r="G80" t="s">
        <v>4775</v>
      </c>
      <c r="H80" t="s">
        <v>4757</v>
      </c>
    </row>
    <row r="81" spans="1:9" x14ac:dyDescent="0.3">
      <c r="A81" t="s">
        <v>352</v>
      </c>
      <c r="B81" t="s">
        <v>353</v>
      </c>
      <c r="C81" t="str">
        <f t="shared" si="2"/>
        <v>Iraq</v>
      </c>
      <c r="D81" t="str">
        <f t="shared" si="3"/>
        <v>IRQ</v>
      </c>
      <c r="E81" t="str">
        <f>VLOOKUP(A81,regions_full!E$2:$F$261,2,0)</f>
        <v>Iraq</v>
      </c>
      <c r="G81" t="s">
        <v>4756</v>
      </c>
      <c r="H81" t="s">
        <v>4757</v>
      </c>
    </row>
    <row r="82" spans="1:9" x14ac:dyDescent="0.3">
      <c r="A82" t="s">
        <v>354</v>
      </c>
      <c r="B82" t="s">
        <v>355</v>
      </c>
      <c r="C82" t="str">
        <f t="shared" si="2"/>
        <v>Ireland</v>
      </c>
      <c r="D82" t="str">
        <f t="shared" si="3"/>
        <v>IRL</v>
      </c>
      <c r="E82" t="str">
        <f>VLOOKUP(A82,regions_full!E$2:$F$261,2,0)</f>
        <v>Ireland</v>
      </c>
      <c r="G82" t="s">
        <v>4756</v>
      </c>
      <c r="H82" t="s">
        <v>4757</v>
      </c>
    </row>
    <row r="83" spans="1:9" x14ac:dyDescent="0.3">
      <c r="A83" t="s">
        <v>356</v>
      </c>
      <c r="B83" t="s">
        <v>357</v>
      </c>
      <c r="C83" t="str">
        <f t="shared" si="2"/>
        <v>Israel</v>
      </c>
      <c r="D83" t="str">
        <f t="shared" si="3"/>
        <v>ISR</v>
      </c>
      <c r="E83" t="str">
        <f>VLOOKUP(A83,regions_full!E$2:$F$261,2,0)</f>
        <v>Israel</v>
      </c>
      <c r="G83" t="s">
        <v>4756</v>
      </c>
      <c r="H83" t="s">
        <v>4757</v>
      </c>
    </row>
    <row r="84" spans="1:9" x14ac:dyDescent="0.3">
      <c r="A84" t="s">
        <v>358</v>
      </c>
      <c r="B84" t="s">
        <v>359</v>
      </c>
      <c r="C84" t="str">
        <f t="shared" si="2"/>
        <v>Italy</v>
      </c>
      <c r="D84" t="str">
        <f t="shared" si="3"/>
        <v>ITA</v>
      </c>
      <c r="E84" t="str">
        <f>VLOOKUP(A84,regions_full!E$2:$F$261,2,0)</f>
        <v>Italy</v>
      </c>
      <c r="G84" t="s">
        <v>4756</v>
      </c>
      <c r="H84" t="s">
        <v>4757</v>
      </c>
    </row>
    <row r="85" spans="1:9" x14ac:dyDescent="0.3">
      <c r="A85" t="s">
        <v>360</v>
      </c>
      <c r="B85" t="s">
        <v>361</v>
      </c>
      <c r="C85" t="str">
        <f t="shared" si="2"/>
        <v>Ivory Coast</v>
      </c>
      <c r="D85" t="str">
        <f t="shared" si="3"/>
        <v>CIV</v>
      </c>
      <c r="E85" t="str">
        <f>VLOOKUP(A85,regions_full!E$2:$F$261,2,0)</f>
        <v>Côte d'Ivoire</v>
      </c>
      <c r="G85" t="s">
        <v>4756</v>
      </c>
      <c r="H85" t="s">
        <v>4757</v>
      </c>
    </row>
    <row r="86" spans="1:9" x14ac:dyDescent="0.3">
      <c r="A86" t="s">
        <v>365</v>
      </c>
      <c r="B86" t="s">
        <v>366</v>
      </c>
      <c r="C86" t="str">
        <f t="shared" si="2"/>
        <v>Jamaica</v>
      </c>
      <c r="D86" t="str">
        <f t="shared" si="3"/>
        <v>JAM</v>
      </c>
      <c r="E86" t="str">
        <f>VLOOKUP(A86,regions_full!E$2:$F$261,2,0)</f>
        <v>Jamaica</v>
      </c>
      <c r="G86" t="s">
        <v>4756</v>
      </c>
      <c r="H86" t="s">
        <v>4757</v>
      </c>
    </row>
    <row r="87" spans="1:9" x14ac:dyDescent="0.3">
      <c r="A87" t="s">
        <v>367</v>
      </c>
      <c r="B87" t="s">
        <v>368</v>
      </c>
      <c r="C87" t="str">
        <f t="shared" si="2"/>
        <v>Japan</v>
      </c>
      <c r="D87" t="str">
        <f t="shared" si="3"/>
        <v>JPN</v>
      </c>
      <c r="E87" t="str">
        <f>VLOOKUP(A87,regions_full!E$2:$F$261,2,0)</f>
        <v>Japan</v>
      </c>
      <c r="G87" t="s">
        <v>4756</v>
      </c>
      <c r="H87" t="s">
        <v>4757</v>
      </c>
    </row>
    <row r="88" spans="1:9" x14ac:dyDescent="0.3">
      <c r="A88" t="s">
        <v>371</v>
      </c>
      <c r="B88" t="s">
        <v>372</v>
      </c>
      <c r="C88" t="str">
        <f t="shared" si="2"/>
        <v>Jordan</v>
      </c>
      <c r="D88" t="str">
        <f t="shared" si="3"/>
        <v>JOR</v>
      </c>
      <c r="E88" t="str">
        <f>VLOOKUP(A88,regions_full!E$2:$F$261,2,0)</f>
        <v>Jordan</v>
      </c>
      <c r="G88" t="s">
        <v>4756</v>
      </c>
      <c r="H88" t="s">
        <v>4757</v>
      </c>
    </row>
    <row r="89" spans="1:9" x14ac:dyDescent="0.3">
      <c r="A89" t="s">
        <v>373</v>
      </c>
      <c r="B89" t="s">
        <v>374</v>
      </c>
      <c r="C89" t="str">
        <f t="shared" si="2"/>
        <v>Kazakhstan</v>
      </c>
      <c r="D89" t="str">
        <f t="shared" si="3"/>
        <v>KAZ</v>
      </c>
      <c r="E89" t="str">
        <f>VLOOKUP(A89,regions_full!E$2:$F$261,2,0)</f>
        <v>Kazakhstan</v>
      </c>
      <c r="G89" t="s">
        <v>4756</v>
      </c>
      <c r="H89" t="s">
        <v>4757</v>
      </c>
      <c r="I89">
        <v>1992</v>
      </c>
    </row>
    <row r="90" spans="1:9" x14ac:dyDescent="0.3">
      <c r="A90" t="s">
        <v>376</v>
      </c>
      <c r="B90" t="s">
        <v>377</v>
      </c>
      <c r="C90" t="str">
        <f t="shared" si="2"/>
        <v>Kenya</v>
      </c>
      <c r="D90" t="str">
        <f t="shared" si="3"/>
        <v>KEN</v>
      </c>
      <c r="E90" t="str">
        <f>VLOOKUP(A90,regions_full!E$2:$F$261,2,0)</f>
        <v>Kenya</v>
      </c>
      <c r="G90" t="s">
        <v>4756</v>
      </c>
      <c r="H90" t="s">
        <v>4757</v>
      </c>
    </row>
    <row r="91" spans="1:9" x14ac:dyDescent="0.3">
      <c r="A91" t="s">
        <v>378</v>
      </c>
      <c r="B91" t="s">
        <v>379</v>
      </c>
      <c r="C91" t="str">
        <f t="shared" si="2"/>
        <v>Kiribati</v>
      </c>
      <c r="D91" t="str">
        <f t="shared" si="3"/>
        <v>KIR</v>
      </c>
      <c r="E91" t="str">
        <f>VLOOKUP(A91,regions_full!E$2:$F$261,2,0)</f>
        <v>Kiribati</v>
      </c>
      <c r="G91" t="s">
        <v>4756</v>
      </c>
      <c r="H91" t="s">
        <v>4757</v>
      </c>
    </row>
    <row r="92" spans="1:9" x14ac:dyDescent="0.3">
      <c r="A92" t="s">
        <v>380</v>
      </c>
      <c r="B92" t="s">
        <v>381</v>
      </c>
      <c r="C92" t="str">
        <f t="shared" si="2"/>
        <v>Kuwait</v>
      </c>
      <c r="D92" t="str">
        <f t="shared" si="3"/>
        <v>KWT</v>
      </c>
      <c r="E92" t="str">
        <f>VLOOKUP(A92,regions_full!E$2:$F$261,2,0)</f>
        <v>Kuwait</v>
      </c>
      <c r="G92" t="s">
        <v>4756</v>
      </c>
      <c r="H92" t="s">
        <v>4757</v>
      </c>
    </row>
    <row r="93" spans="1:9" x14ac:dyDescent="0.3">
      <c r="A93" t="s">
        <v>382</v>
      </c>
      <c r="B93" t="s">
        <v>383</v>
      </c>
      <c r="C93" t="str">
        <f t="shared" si="2"/>
        <v>Kyrgyzstan</v>
      </c>
      <c r="D93" t="str">
        <f t="shared" si="3"/>
        <v>KGZ</v>
      </c>
      <c r="E93" t="str">
        <f>VLOOKUP(A93,regions_full!E$2:$F$261,2,0)</f>
        <v>Kyrgyzstan</v>
      </c>
      <c r="G93" t="s">
        <v>4756</v>
      </c>
      <c r="H93" t="s">
        <v>4757</v>
      </c>
      <c r="I93">
        <v>1992</v>
      </c>
    </row>
    <row r="94" spans="1:9" x14ac:dyDescent="0.3">
      <c r="A94" t="s">
        <v>384</v>
      </c>
      <c r="B94" t="s">
        <v>385</v>
      </c>
      <c r="C94" t="str">
        <f t="shared" si="2"/>
        <v>Lao</v>
      </c>
      <c r="D94" t="str">
        <f t="shared" si="3"/>
        <v>LAO</v>
      </c>
      <c r="E94" t="str">
        <f>VLOOKUP(A94,regions_full!E$2:$F$261,2,0)</f>
        <v>Lao People's Democratic Republic</v>
      </c>
      <c r="G94" t="s">
        <v>4775</v>
      </c>
      <c r="H94" t="s">
        <v>4757</v>
      </c>
    </row>
    <row r="95" spans="1:9" x14ac:dyDescent="0.3">
      <c r="A95" t="s">
        <v>388</v>
      </c>
      <c r="B95" t="s">
        <v>389</v>
      </c>
      <c r="C95" t="str">
        <f t="shared" si="2"/>
        <v>Latvia</v>
      </c>
      <c r="D95" t="str">
        <f t="shared" si="3"/>
        <v>LVA</v>
      </c>
      <c r="E95" t="str">
        <f>VLOOKUP(A95,regions_full!E$2:$F$261,2,0)</f>
        <v>Latvia</v>
      </c>
      <c r="G95" t="s">
        <v>4756</v>
      </c>
      <c r="H95" t="s">
        <v>4757</v>
      </c>
      <c r="I95">
        <v>1992</v>
      </c>
    </row>
    <row r="96" spans="1:9" x14ac:dyDescent="0.3">
      <c r="A96" t="s">
        <v>390</v>
      </c>
      <c r="B96" t="s">
        <v>391</v>
      </c>
      <c r="C96" t="str">
        <f t="shared" si="2"/>
        <v>Lebanon</v>
      </c>
      <c r="D96" t="str">
        <f t="shared" si="3"/>
        <v>LBN</v>
      </c>
      <c r="E96" t="str">
        <f>VLOOKUP(A96,regions_full!E$2:$F$261,2,0)</f>
        <v>Lebanon</v>
      </c>
      <c r="G96" t="s">
        <v>4756</v>
      </c>
      <c r="H96" t="s">
        <v>4757</v>
      </c>
    </row>
    <row r="97" spans="1:9" x14ac:dyDescent="0.3">
      <c r="A97" t="s">
        <v>392</v>
      </c>
      <c r="B97" t="s">
        <v>393</v>
      </c>
      <c r="C97" t="str">
        <f t="shared" si="2"/>
        <v>Lesotho</v>
      </c>
      <c r="D97" t="str">
        <f t="shared" si="3"/>
        <v>LSO</v>
      </c>
      <c r="E97" t="str">
        <f>VLOOKUP(A97,regions_full!E$2:$F$261,2,0)</f>
        <v>Lesotho</v>
      </c>
      <c r="G97" t="s">
        <v>4756</v>
      </c>
      <c r="H97" t="s">
        <v>4757</v>
      </c>
    </row>
    <row r="98" spans="1:9" x14ac:dyDescent="0.3">
      <c r="A98" t="s">
        <v>394</v>
      </c>
      <c r="B98" t="s">
        <v>395</v>
      </c>
      <c r="C98" t="str">
        <f t="shared" si="2"/>
        <v>Liberia</v>
      </c>
      <c r="D98" t="str">
        <f t="shared" si="3"/>
        <v>LBR</v>
      </c>
      <c r="E98" t="str">
        <f>VLOOKUP(A98,regions_full!E$2:$F$261,2,0)</f>
        <v>Liberia</v>
      </c>
      <c r="G98" t="s">
        <v>4756</v>
      </c>
      <c r="H98" t="s">
        <v>4757</v>
      </c>
    </row>
    <row r="99" spans="1:9" x14ac:dyDescent="0.3">
      <c r="A99" t="s">
        <v>396</v>
      </c>
      <c r="B99" t="s">
        <v>397</v>
      </c>
      <c r="C99" t="str">
        <f t="shared" si="2"/>
        <v>Libya</v>
      </c>
      <c r="D99" t="str">
        <f t="shared" si="3"/>
        <v>LBY</v>
      </c>
      <c r="E99" t="str">
        <f>VLOOKUP(A99,regions_full!E$2:$F$261,2,0)</f>
        <v>Libya</v>
      </c>
      <c r="G99" t="s">
        <v>4756</v>
      </c>
      <c r="H99" t="s">
        <v>4757</v>
      </c>
    </row>
    <row r="100" spans="1:9" x14ac:dyDescent="0.3">
      <c r="A100" t="s">
        <v>401</v>
      </c>
      <c r="B100" t="s">
        <v>402</v>
      </c>
      <c r="C100" t="str">
        <f t="shared" si="2"/>
        <v>Lithuania</v>
      </c>
      <c r="D100" t="str">
        <f t="shared" si="3"/>
        <v>LTU</v>
      </c>
      <c r="E100" t="str">
        <f>VLOOKUP(A100,regions_full!E$2:$F$261,2,0)</f>
        <v>Lithuania</v>
      </c>
      <c r="G100" t="s">
        <v>4756</v>
      </c>
      <c r="H100" t="s">
        <v>4757</v>
      </c>
      <c r="I100">
        <v>1992</v>
      </c>
    </row>
    <row r="101" spans="1:9" x14ac:dyDescent="0.3">
      <c r="A101" t="s">
        <v>403</v>
      </c>
      <c r="B101" t="s">
        <v>404</v>
      </c>
      <c r="C101" t="str">
        <f t="shared" si="2"/>
        <v>Luxembourg</v>
      </c>
      <c r="D101" t="str">
        <f t="shared" si="3"/>
        <v>LUX</v>
      </c>
      <c r="E101" t="str">
        <f>VLOOKUP(A101,regions_full!E$2:$F$261,2,0)</f>
        <v>Luxembourg</v>
      </c>
      <c r="G101" t="s">
        <v>4756</v>
      </c>
      <c r="H101" t="s">
        <v>4757</v>
      </c>
      <c r="I101">
        <v>2000</v>
      </c>
    </row>
    <row r="102" spans="1:9" x14ac:dyDescent="0.3">
      <c r="A102" t="s">
        <v>486</v>
      </c>
      <c r="B102" t="s">
        <v>487</v>
      </c>
      <c r="C102" t="str">
        <f t="shared" si="2"/>
        <v>North Macedonia</v>
      </c>
      <c r="D102" t="str">
        <f t="shared" si="3"/>
        <v>MKD</v>
      </c>
      <c r="E102" t="str">
        <f>VLOOKUP(A102,regions_full!E$2:$F$261,2,0)</f>
        <v>North Macedonia</v>
      </c>
      <c r="G102" t="s">
        <v>4756</v>
      </c>
      <c r="H102" t="s">
        <v>4757</v>
      </c>
      <c r="I102">
        <v>1992</v>
      </c>
    </row>
    <row r="103" spans="1:9" x14ac:dyDescent="0.3">
      <c r="A103" t="s">
        <v>405</v>
      </c>
      <c r="B103" t="s">
        <v>406</v>
      </c>
      <c r="C103" t="str">
        <f t="shared" si="2"/>
        <v>Madagascar</v>
      </c>
      <c r="D103" t="str">
        <f t="shared" si="3"/>
        <v>MDG</v>
      </c>
      <c r="E103" t="str">
        <f>VLOOKUP(A103,regions_full!E$2:$F$261,2,0)</f>
        <v>Madagascar</v>
      </c>
      <c r="G103" t="s">
        <v>4756</v>
      </c>
      <c r="H103" t="s">
        <v>4757</v>
      </c>
    </row>
    <row r="104" spans="1:9" x14ac:dyDescent="0.3">
      <c r="A104" t="s">
        <v>407</v>
      </c>
      <c r="B104" t="s">
        <v>408</v>
      </c>
      <c r="C104" t="str">
        <f t="shared" si="2"/>
        <v>Malawi</v>
      </c>
      <c r="D104" t="str">
        <f t="shared" si="3"/>
        <v>MWI</v>
      </c>
      <c r="E104" t="str">
        <f>VLOOKUP(A104,regions_full!E$2:$F$261,2,0)</f>
        <v>Malawi</v>
      </c>
      <c r="G104" t="s">
        <v>4756</v>
      </c>
      <c r="H104" t="s">
        <v>4757</v>
      </c>
    </row>
    <row r="105" spans="1:9" x14ac:dyDescent="0.3">
      <c r="A105" t="s">
        <v>409</v>
      </c>
      <c r="B105" t="s">
        <v>410</v>
      </c>
      <c r="C105" t="str">
        <f t="shared" si="2"/>
        <v>Malaysia</v>
      </c>
      <c r="D105" t="str">
        <f t="shared" si="3"/>
        <v>MYS</v>
      </c>
      <c r="E105" t="str">
        <f>VLOOKUP(A105,regions_full!E$2:$F$261,2,0)</f>
        <v>Malaysia</v>
      </c>
      <c r="G105" t="s">
        <v>4756</v>
      </c>
      <c r="H105" t="s">
        <v>4757</v>
      </c>
    </row>
    <row r="106" spans="1:9" x14ac:dyDescent="0.3">
      <c r="A106" t="s">
        <v>411</v>
      </c>
      <c r="B106" t="s">
        <v>412</v>
      </c>
      <c r="C106" t="str">
        <f t="shared" si="2"/>
        <v>Maldives</v>
      </c>
      <c r="D106" t="str">
        <f t="shared" si="3"/>
        <v>MDV</v>
      </c>
      <c r="E106" t="str">
        <f>VLOOKUP(A106,regions_full!E$2:$F$261,2,0)</f>
        <v>Maldives</v>
      </c>
      <c r="G106" t="s">
        <v>4756</v>
      </c>
      <c r="H106" t="s">
        <v>4757</v>
      </c>
    </row>
    <row r="107" spans="1:9" x14ac:dyDescent="0.3">
      <c r="A107" t="s">
        <v>413</v>
      </c>
      <c r="B107" t="s">
        <v>414</v>
      </c>
      <c r="C107" t="str">
        <f t="shared" si="2"/>
        <v>Mali</v>
      </c>
      <c r="D107" t="str">
        <f t="shared" si="3"/>
        <v>MLI</v>
      </c>
      <c r="E107" t="str">
        <f>VLOOKUP(A107,regions_full!E$2:$F$261,2,0)</f>
        <v>Mali</v>
      </c>
      <c r="G107" t="s">
        <v>4756</v>
      </c>
      <c r="H107" t="s">
        <v>4757</v>
      </c>
    </row>
    <row r="108" spans="1:9" x14ac:dyDescent="0.3">
      <c r="A108" t="s">
        <v>415</v>
      </c>
      <c r="B108" t="s">
        <v>416</v>
      </c>
      <c r="C108" t="str">
        <f t="shared" si="2"/>
        <v>Malta</v>
      </c>
      <c r="D108" t="str">
        <f t="shared" si="3"/>
        <v>MLT</v>
      </c>
      <c r="E108" t="str">
        <f>VLOOKUP(A108,regions_full!E$2:$F$261,2,0)</f>
        <v>Malta</v>
      </c>
      <c r="G108" t="s">
        <v>4756</v>
      </c>
      <c r="H108" t="s">
        <v>4757</v>
      </c>
    </row>
    <row r="109" spans="1:9" x14ac:dyDescent="0.3">
      <c r="A109" t="s">
        <v>421</v>
      </c>
      <c r="B109" t="s">
        <v>422</v>
      </c>
      <c r="C109" t="str">
        <f t="shared" si="2"/>
        <v>Mauritania</v>
      </c>
      <c r="D109" t="str">
        <f t="shared" si="3"/>
        <v>MRT</v>
      </c>
      <c r="E109" t="str">
        <f>VLOOKUP(A109,regions_full!E$2:$F$261,2,0)</f>
        <v>Mauritania</v>
      </c>
      <c r="G109" t="s">
        <v>4756</v>
      </c>
      <c r="H109" t="s">
        <v>4757</v>
      </c>
    </row>
    <row r="110" spans="1:9" x14ac:dyDescent="0.3">
      <c r="A110" t="s">
        <v>423</v>
      </c>
      <c r="B110" t="s">
        <v>424</v>
      </c>
      <c r="C110" t="str">
        <f t="shared" si="2"/>
        <v>Mauritius</v>
      </c>
      <c r="D110" t="str">
        <f t="shared" si="3"/>
        <v>MUS</v>
      </c>
      <c r="E110" t="str">
        <f>VLOOKUP(A110,regions_full!E$2:$F$261,2,0)</f>
        <v>Mauritius</v>
      </c>
      <c r="G110" t="s">
        <v>4756</v>
      </c>
      <c r="H110" t="s">
        <v>4757</v>
      </c>
    </row>
    <row r="111" spans="1:9" x14ac:dyDescent="0.3">
      <c r="A111" t="s">
        <v>427</v>
      </c>
      <c r="B111" t="s">
        <v>428</v>
      </c>
      <c r="C111" t="str">
        <f t="shared" si="2"/>
        <v>Mexico</v>
      </c>
      <c r="D111" t="str">
        <f t="shared" si="3"/>
        <v>MEX</v>
      </c>
      <c r="E111" t="str">
        <f>VLOOKUP(A111,regions_full!E$2:$F$261,2,0)</f>
        <v>Mexico</v>
      </c>
      <c r="G111" t="s">
        <v>4756</v>
      </c>
      <c r="H111" t="s">
        <v>4757</v>
      </c>
    </row>
    <row r="112" spans="1:9" x14ac:dyDescent="0.3">
      <c r="A112" t="s">
        <v>434</v>
      </c>
      <c r="B112" t="s">
        <v>436</v>
      </c>
      <c r="C112" t="str">
        <f t="shared" si="2"/>
        <v>Republic of Moldova</v>
      </c>
      <c r="D112" t="str">
        <f t="shared" si="3"/>
        <v>MDA</v>
      </c>
      <c r="E112" t="str">
        <f>VLOOKUP(A112,regions_full!E$2:$F$261,2,0)</f>
        <v>Republic of Moldova</v>
      </c>
      <c r="G112" t="s">
        <v>4756</v>
      </c>
      <c r="H112" t="s">
        <v>4757</v>
      </c>
      <c r="I112">
        <v>1992</v>
      </c>
    </row>
    <row r="113" spans="1:9" x14ac:dyDescent="0.3">
      <c r="A113" t="s">
        <v>439</v>
      </c>
      <c r="B113" t="s">
        <v>440</v>
      </c>
      <c r="C113" t="str">
        <f t="shared" si="2"/>
        <v>Mongolia</v>
      </c>
      <c r="D113" t="str">
        <f t="shared" si="3"/>
        <v>MNG</v>
      </c>
      <c r="E113" t="str">
        <f>VLOOKUP(A113,regions_full!E$2:$F$261,2,0)</f>
        <v>Mongolia</v>
      </c>
      <c r="G113" t="s">
        <v>4756</v>
      </c>
      <c r="H113" t="s">
        <v>4757</v>
      </c>
    </row>
    <row r="114" spans="1:9" x14ac:dyDescent="0.3">
      <c r="A114" t="s">
        <v>441</v>
      </c>
      <c r="B114" t="s">
        <v>442</v>
      </c>
      <c r="C114" t="str">
        <f t="shared" si="2"/>
        <v>Montenegro</v>
      </c>
      <c r="D114" t="str">
        <f t="shared" si="3"/>
        <v>MNE</v>
      </c>
      <c r="E114" t="str">
        <f>VLOOKUP(A114,regions_full!E$2:$F$261,2,0)</f>
        <v>Montenegro</v>
      </c>
      <c r="G114" t="s">
        <v>4756</v>
      </c>
      <c r="H114" t="s">
        <v>4757</v>
      </c>
      <c r="I114">
        <v>2006</v>
      </c>
    </row>
    <row r="115" spans="1:9" x14ac:dyDescent="0.3">
      <c r="A115" t="s">
        <v>446</v>
      </c>
      <c r="B115" t="s">
        <v>447</v>
      </c>
      <c r="C115" t="str">
        <f t="shared" si="2"/>
        <v>Morocco</v>
      </c>
      <c r="D115" t="str">
        <f t="shared" si="3"/>
        <v>MAR</v>
      </c>
      <c r="E115" t="str">
        <f>VLOOKUP(A115,regions_full!E$2:$F$261,2,0)</f>
        <v>Morocco</v>
      </c>
      <c r="G115" t="s">
        <v>4756</v>
      </c>
      <c r="H115" t="s">
        <v>4757</v>
      </c>
    </row>
    <row r="116" spans="1:9" x14ac:dyDescent="0.3">
      <c r="A116" t="s">
        <v>448</v>
      </c>
      <c r="B116" t="s">
        <v>449</v>
      </c>
      <c r="C116" t="str">
        <f t="shared" si="2"/>
        <v>Mozambique</v>
      </c>
      <c r="D116" t="str">
        <f t="shared" si="3"/>
        <v>MOZ</v>
      </c>
      <c r="E116" t="str">
        <f>VLOOKUP(A116,regions_full!E$2:$F$261,2,0)</f>
        <v>Mozambique</v>
      </c>
      <c r="G116" t="s">
        <v>4756</v>
      </c>
      <c r="H116" t="s">
        <v>4757</v>
      </c>
    </row>
    <row r="117" spans="1:9" x14ac:dyDescent="0.3">
      <c r="A117" t="s">
        <v>450</v>
      </c>
      <c r="B117" t="s">
        <v>451</v>
      </c>
      <c r="C117" t="str">
        <f t="shared" si="2"/>
        <v>Myanmar</v>
      </c>
      <c r="D117" t="str">
        <f t="shared" si="3"/>
        <v>MMR</v>
      </c>
      <c r="E117" t="str">
        <f>VLOOKUP(A117,regions_full!E$2:$F$261,2,0)</f>
        <v>Myanmar</v>
      </c>
      <c r="G117" t="s">
        <v>4756</v>
      </c>
      <c r="H117" t="s">
        <v>4757</v>
      </c>
    </row>
    <row r="118" spans="1:9" x14ac:dyDescent="0.3">
      <c r="A118" t="s">
        <v>453</v>
      </c>
      <c r="B118" t="s">
        <v>454</v>
      </c>
      <c r="C118" t="str">
        <f t="shared" si="2"/>
        <v>Namibia</v>
      </c>
      <c r="D118" t="str">
        <f t="shared" si="3"/>
        <v>NAM</v>
      </c>
      <c r="E118" t="str">
        <f>VLOOKUP(A118,regions_full!E$2:$F$261,2,0)</f>
        <v>Namibia</v>
      </c>
      <c r="G118" t="s">
        <v>4756</v>
      </c>
      <c r="H118" t="s">
        <v>4757</v>
      </c>
    </row>
    <row r="119" spans="1:9" x14ac:dyDescent="0.3">
      <c r="A119" t="s">
        <v>457</v>
      </c>
      <c r="B119" t="s">
        <v>458</v>
      </c>
      <c r="C119" t="str">
        <f t="shared" si="2"/>
        <v>Nepal</v>
      </c>
      <c r="D119" t="str">
        <f t="shared" si="3"/>
        <v>NPL</v>
      </c>
      <c r="E119" t="str">
        <f>VLOOKUP(A119,regions_full!E$2:$F$261,2,0)</f>
        <v>Nepal</v>
      </c>
      <c r="G119" t="s">
        <v>4756</v>
      </c>
      <c r="H119" t="s">
        <v>4757</v>
      </c>
    </row>
    <row r="120" spans="1:9" x14ac:dyDescent="0.3">
      <c r="A120" t="s">
        <v>459</v>
      </c>
      <c r="B120" t="s">
        <v>460</v>
      </c>
      <c r="C120" t="str">
        <f t="shared" si="2"/>
        <v>Netherlands</v>
      </c>
      <c r="D120" t="str">
        <f t="shared" si="3"/>
        <v>NLD</v>
      </c>
      <c r="E120" t="str">
        <f>VLOOKUP(A120,regions_full!E$2:$F$261,2,0)</f>
        <v>Netherlands (Kingdom of the)</v>
      </c>
      <c r="G120" t="s">
        <v>4775</v>
      </c>
      <c r="H120" t="s">
        <v>4757</v>
      </c>
    </row>
    <row r="121" spans="1:9" x14ac:dyDescent="0.3">
      <c r="A121" t="s">
        <v>468</v>
      </c>
      <c r="B121" t="s">
        <v>469</v>
      </c>
      <c r="C121" t="str">
        <f t="shared" si="2"/>
        <v>New Zealand</v>
      </c>
      <c r="D121" t="str">
        <f t="shared" si="3"/>
        <v>NZL</v>
      </c>
      <c r="E121" t="str">
        <f>VLOOKUP(A121,regions_full!E$2:$F$261,2,0)</f>
        <v>New Zealand</v>
      </c>
      <c r="G121" t="s">
        <v>4756</v>
      </c>
      <c r="H121" t="s">
        <v>4757</v>
      </c>
    </row>
    <row r="122" spans="1:9" x14ac:dyDescent="0.3">
      <c r="A122" t="s">
        <v>470</v>
      </c>
      <c r="B122" t="s">
        <v>471</v>
      </c>
      <c r="C122" t="str">
        <f t="shared" si="2"/>
        <v>Nicaragua</v>
      </c>
      <c r="D122" t="str">
        <f t="shared" si="3"/>
        <v>NIC</v>
      </c>
      <c r="E122" t="str">
        <f>VLOOKUP(A122,regions_full!E$2:$F$261,2,0)</f>
        <v>Nicaragua</v>
      </c>
      <c r="G122" t="s">
        <v>4756</v>
      </c>
      <c r="H122" t="s">
        <v>4757</v>
      </c>
    </row>
    <row r="123" spans="1:9" x14ac:dyDescent="0.3">
      <c r="A123" t="s">
        <v>472</v>
      </c>
      <c r="B123" t="s">
        <v>473</v>
      </c>
      <c r="C123" t="str">
        <f t="shared" si="2"/>
        <v>Niger</v>
      </c>
      <c r="D123" t="str">
        <f t="shared" si="3"/>
        <v>NER</v>
      </c>
      <c r="E123" t="str">
        <f>VLOOKUP(A123,regions_full!E$2:$F$261,2,0)</f>
        <v>Niger</v>
      </c>
      <c r="G123" t="s">
        <v>4756</v>
      </c>
      <c r="H123" t="s">
        <v>4757</v>
      </c>
    </row>
    <row r="124" spans="1:9" x14ac:dyDescent="0.3">
      <c r="A124" t="s">
        <v>474</v>
      </c>
      <c r="B124" t="s">
        <v>475</v>
      </c>
      <c r="C124" t="str">
        <f t="shared" si="2"/>
        <v>Nigeria</v>
      </c>
      <c r="D124" t="str">
        <f t="shared" si="3"/>
        <v>NGA</v>
      </c>
      <c r="E124" t="str">
        <f>VLOOKUP(A124,regions_full!E$2:$F$261,2,0)</f>
        <v>Nigeria</v>
      </c>
      <c r="G124" t="s">
        <v>4756</v>
      </c>
      <c r="H124" t="s">
        <v>4757</v>
      </c>
    </row>
    <row r="125" spans="1:9" x14ac:dyDescent="0.3">
      <c r="A125" t="s">
        <v>480</v>
      </c>
      <c r="B125" t="s">
        <v>481</v>
      </c>
      <c r="C125" t="str">
        <f t="shared" si="2"/>
        <v>North Korea</v>
      </c>
      <c r="D125" t="str">
        <f t="shared" si="3"/>
        <v>PRK</v>
      </c>
      <c r="E125" t="str">
        <f>VLOOKUP(A125,regions_full!E$2:$F$261,2,0)</f>
        <v>Democratic People's Republic of Korea</v>
      </c>
      <c r="G125" t="s">
        <v>4775</v>
      </c>
      <c r="H125" t="s">
        <v>4757</v>
      </c>
    </row>
    <row r="126" spans="1:9" x14ac:dyDescent="0.3">
      <c r="A126" t="s">
        <v>493</v>
      </c>
      <c r="B126" t="s">
        <v>494</v>
      </c>
      <c r="C126" t="str">
        <f t="shared" si="2"/>
        <v>Norway</v>
      </c>
      <c r="D126" t="str">
        <f t="shared" si="3"/>
        <v>NOR</v>
      </c>
      <c r="E126" t="str">
        <f>VLOOKUP(A126,regions_full!E$2:$F$261,2,0)</f>
        <v>Norway</v>
      </c>
      <c r="G126" t="s">
        <v>4756</v>
      </c>
      <c r="H126" t="s">
        <v>4757</v>
      </c>
    </row>
    <row r="127" spans="1:9" x14ac:dyDescent="0.3">
      <c r="A127" t="s">
        <v>495</v>
      </c>
      <c r="B127" t="s">
        <v>496</v>
      </c>
      <c r="C127" t="str">
        <f t="shared" si="2"/>
        <v>Oman</v>
      </c>
      <c r="D127" t="str">
        <f t="shared" si="3"/>
        <v>OMN</v>
      </c>
      <c r="E127" t="str">
        <f>VLOOKUP(A127,regions_full!E$2:$F$261,2,0)</f>
        <v>Oman</v>
      </c>
      <c r="G127" t="s">
        <v>4756</v>
      </c>
      <c r="H127" t="s">
        <v>4757</v>
      </c>
    </row>
    <row r="128" spans="1:9" x14ac:dyDescent="0.3">
      <c r="A128" t="s">
        <v>501</v>
      </c>
      <c r="B128" t="s">
        <v>502</v>
      </c>
      <c r="C128" t="str">
        <f t="shared" si="2"/>
        <v>Pakistan</v>
      </c>
      <c r="D128" t="str">
        <f t="shared" si="3"/>
        <v>PAK</v>
      </c>
      <c r="E128" t="str">
        <f>VLOOKUP(A128,regions_full!E$2:$F$261,2,0)</f>
        <v>Pakistan</v>
      </c>
      <c r="G128" t="s">
        <v>4756</v>
      </c>
      <c r="H128" t="s">
        <v>4757</v>
      </c>
    </row>
    <row r="129" spans="1:9" x14ac:dyDescent="0.3">
      <c r="A129" t="s">
        <v>505</v>
      </c>
      <c r="B129" t="s">
        <v>506</v>
      </c>
      <c r="C129" t="str">
        <f t="shared" si="2"/>
        <v>Palestine</v>
      </c>
      <c r="D129" t="str">
        <f t="shared" si="3"/>
        <v>PSE</v>
      </c>
      <c r="E129" t="str">
        <f>VLOOKUP(A129,regions_full!E$2:$F$261,2,0)</f>
        <v>Palestine</v>
      </c>
      <c r="G129" t="s">
        <v>4756</v>
      </c>
      <c r="H129" t="s">
        <v>4757</v>
      </c>
      <c r="I129">
        <v>1992</v>
      </c>
    </row>
    <row r="130" spans="1:9" x14ac:dyDescent="0.3">
      <c r="A130" t="s">
        <v>509</v>
      </c>
      <c r="B130" t="s">
        <v>510</v>
      </c>
      <c r="C130" t="str">
        <f t="shared" si="2"/>
        <v>Panama</v>
      </c>
      <c r="D130" t="str">
        <f t="shared" si="3"/>
        <v>PAN</v>
      </c>
      <c r="E130" t="str">
        <f>VLOOKUP(A130,regions_full!E$2:$F$261,2,0)</f>
        <v>Panama</v>
      </c>
      <c r="G130" t="s">
        <v>4756</v>
      </c>
      <c r="H130" t="s">
        <v>4757</v>
      </c>
    </row>
    <row r="131" spans="1:9" x14ac:dyDescent="0.3">
      <c r="A131" t="s">
        <v>511</v>
      </c>
      <c r="B131" t="s">
        <v>512</v>
      </c>
      <c r="C131" t="str">
        <f t="shared" ref="C131:C194" si="4">B131</f>
        <v>Papua New Guinea</v>
      </c>
      <c r="D131" t="str">
        <f t="shared" ref="D131:D194" si="5">A131</f>
        <v>PNG</v>
      </c>
      <c r="E131" t="str">
        <f>VLOOKUP(A131,regions_full!E$2:$F$261,2,0)</f>
        <v>Papua New Guinea</v>
      </c>
      <c r="G131" t="s">
        <v>4756</v>
      </c>
      <c r="H131" t="s">
        <v>4757</v>
      </c>
    </row>
    <row r="132" spans="1:9" x14ac:dyDescent="0.3">
      <c r="A132" t="s">
        <v>513</v>
      </c>
      <c r="B132" t="s">
        <v>514</v>
      </c>
      <c r="C132" t="str">
        <f t="shared" si="4"/>
        <v>Paraguay</v>
      </c>
      <c r="D132" t="str">
        <f t="shared" si="5"/>
        <v>PRY</v>
      </c>
      <c r="E132" t="str">
        <f>VLOOKUP(A132,regions_full!E$2:$F$261,2,0)</f>
        <v>Paraguay</v>
      </c>
      <c r="G132" t="s">
        <v>4756</v>
      </c>
      <c r="H132" t="s">
        <v>4757</v>
      </c>
    </row>
    <row r="133" spans="1:9" x14ac:dyDescent="0.3">
      <c r="A133" t="s">
        <v>515</v>
      </c>
      <c r="B133" t="s">
        <v>516</v>
      </c>
      <c r="C133" t="str">
        <f t="shared" si="4"/>
        <v>Peru</v>
      </c>
      <c r="D133" t="str">
        <f t="shared" si="5"/>
        <v>PER</v>
      </c>
      <c r="E133" t="str">
        <f>VLOOKUP(A133,regions_full!E$2:$F$261,2,0)</f>
        <v>Peru</v>
      </c>
      <c r="G133" t="s">
        <v>4756</v>
      </c>
      <c r="H133" t="s">
        <v>4757</v>
      </c>
    </row>
    <row r="134" spans="1:9" x14ac:dyDescent="0.3">
      <c r="A134" t="s">
        <v>517</v>
      </c>
      <c r="B134" t="s">
        <v>518</v>
      </c>
      <c r="C134" t="str">
        <f t="shared" si="4"/>
        <v>Philippines</v>
      </c>
      <c r="D134" t="str">
        <f t="shared" si="5"/>
        <v>PHL</v>
      </c>
      <c r="E134" t="str">
        <f>VLOOKUP(A134,regions_full!E$2:$F$261,2,0)</f>
        <v>Philippines</v>
      </c>
      <c r="G134" t="s">
        <v>4756</v>
      </c>
      <c r="H134" t="s">
        <v>4757</v>
      </c>
    </row>
    <row r="135" spans="1:9" x14ac:dyDescent="0.3">
      <c r="A135" t="s">
        <v>521</v>
      </c>
      <c r="B135" t="s">
        <v>522</v>
      </c>
      <c r="C135" t="str">
        <f t="shared" si="4"/>
        <v>Poland</v>
      </c>
      <c r="D135" t="str">
        <f t="shared" si="5"/>
        <v>POL</v>
      </c>
      <c r="E135" t="str">
        <f>VLOOKUP(A135,regions_full!E$2:$F$261,2,0)</f>
        <v>Poland</v>
      </c>
      <c r="G135" t="s">
        <v>4756</v>
      </c>
      <c r="H135" t="s">
        <v>4757</v>
      </c>
    </row>
    <row r="136" spans="1:9" x14ac:dyDescent="0.3">
      <c r="A136" t="s">
        <v>523</v>
      </c>
      <c r="B136" t="s">
        <v>524</v>
      </c>
      <c r="C136" t="str">
        <f t="shared" si="4"/>
        <v>Portugal</v>
      </c>
      <c r="D136" t="str">
        <f t="shared" si="5"/>
        <v>PRT</v>
      </c>
      <c r="E136" t="str">
        <f>VLOOKUP(A136,regions_full!E$2:$F$261,2,0)</f>
        <v>Portugal</v>
      </c>
      <c r="G136" t="s">
        <v>4756</v>
      </c>
      <c r="H136" t="s">
        <v>4757</v>
      </c>
    </row>
    <row r="137" spans="1:9" x14ac:dyDescent="0.3">
      <c r="A137" t="s">
        <v>525</v>
      </c>
      <c r="B137" t="s">
        <v>526</v>
      </c>
      <c r="C137" t="str">
        <f t="shared" si="4"/>
        <v>Puerto Rico</v>
      </c>
      <c r="D137" t="str">
        <f t="shared" si="5"/>
        <v>PRI</v>
      </c>
      <c r="E137" t="str">
        <f>VLOOKUP(A137,regions_full!E$2:$F$261,2,0)</f>
        <v>Puerto Rico</v>
      </c>
      <c r="G137" t="s">
        <v>4756</v>
      </c>
      <c r="H137" t="s">
        <v>4757</v>
      </c>
    </row>
    <row r="138" spans="1:9" x14ac:dyDescent="0.3">
      <c r="A138" t="s">
        <v>527</v>
      </c>
      <c r="B138" t="s">
        <v>528</v>
      </c>
      <c r="C138" t="str">
        <f t="shared" si="4"/>
        <v>Qatar</v>
      </c>
      <c r="D138" t="str">
        <f t="shared" si="5"/>
        <v>QAT</v>
      </c>
      <c r="E138" t="str">
        <f>VLOOKUP(A138,regions_full!E$2:$F$261,2,0)</f>
        <v>Qatar</v>
      </c>
      <c r="G138" t="s">
        <v>4756</v>
      </c>
      <c r="H138" t="s">
        <v>4757</v>
      </c>
    </row>
    <row r="139" spans="1:9" x14ac:dyDescent="0.3">
      <c r="A139" t="s">
        <v>531</v>
      </c>
      <c r="B139" t="s">
        <v>532</v>
      </c>
      <c r="C139" t="str">
        <f t="shared" si="4"/>
        <v>Romania</v>
      </c>
      <c r="D139" t="str">
        <f t="shared" si="5"/>
        <v>ROU</v>
      </c>
      <c r="E139" t="str">
        <f>VLOOKUP(A139,regions_full!E$2:$F$261,2,0)</f>
        <v>Romania</v>
      </c>
      <c r="G139" t="s">
        <v>4756</v>
      </c>
      <c r="H139" t="s">
        <v>4757</v>
      </c>
    </row>
    <row r="140" spans="1:9" x14ac:dyDescent="0.3">
      <c r="A140" t="s">
        <v>535</v>
      </c>
      <c r="B140" t="s">
        <v>536</v>
      </c>
      <c r="C140" t="str">
        <f t="shared" si="4"/>
        <v>Russian Federation</v>
      </c>
      <c r="D140" t="str">
        <f t="shared" si="5"/>
        <v>RUS</v>
      </c>
      <c r="E140" t="str">
        <f>VLOOKUP(A140,regions_full!E$2:$F$261,2,0)</f>
        <v>Russian Federation</v>
      </c>
      <c r="G140" t="s">
        <v>4756</v>
      </c>
      <c r="H140" t="s">
        <v>4757</v>
      </c>
      <c r="I140">
        <v>1992</v>
      </c>
    </row>
    <row r="141" spans="1:9" x14ac:dyDescent="0.3">
      <c r="A141" t="s">
        <v>538</v>
      </c>
      <c r="B141" t="s">
        <v>539</v>
      </c>
      <c r="C141" t="str">
        <f t="shared" si="4"/>
        <v>Rwanda</v>
      </c>
      <c r="D141" t="str">
        <f t="shared" si="5"/>
        <v>RWA</v>
      </c>
      <c r="E141" t="str">
        <f>VLOOKUP(A141,regions_full!E$2:$F$261,2,0)</f>
        <v>Rwanda</v>
      </c>
      <c r="G141" t="s">
        <v>4756</v>
      </c>
      <c r="H141" t="s">
        <v>4757</v>
      </c>
    </row>
    <row r="142" spans="1:9" x14ac:dyDescent="0.3">
      <c r="A142" t="s">
        <v>543</v>
      </c>
      <c r="B142" t="s">
        <v>544</v>
      </c>
      <c r="C142" t="str">
        <f t="shared" si="4"/>
        <v>Saint Kitts and Nevis</v>
      </c>
      <c r="D142" t="str">
        <f t="shared" si="5"/>
        <v>KNA</v>
      </c>
      <c r="E142" t="str">
        <f>VLOOKUP(A142,regions_full!E$2:$F$261,2,0)</f>
        <v>Saint Kitts and Nevis</v>
      </c>
      <c r="G142" t="s">
        <v>4756</v>
      </c>
      <c r="H142" t="s">
        <v>4757</v>
      </c>
    </row>
    <row r="143" spans="1:9" x14ac:dyDescent="0.3">
      <c r="A143" t="s">
        <v>545</v>
      </c>
      <c r="B143" t="s">
        <v>546</v>
      </c>
      <c r="C143" t="str">
        <f t="shared" si="4"/>
        <v>Saint Lucia</v>
      </c>
      <c r="D143" t="str">
        <f t="shared" si="5"/>
        <v>LCA</v>
      </c>
      <c r="E143" t="str">
        <f>VLOOKUP(A143,regions_full!E$2:$F$261,2,0)</f>
        <v>Saint Lucia</v>
      </c>
      <c r="G143" t="s">
        <v>4756</v>
      </c>
      <c r="H143" t="s">
        <v>4757</v>
      </c>
    </row>
    <row r="144" spans="1:9" x14ac:dyDescent="0.3">
      <c r="A144" t="s">
        <v>550</v>
      </c>
      <c r="B144" t="s">
        <v>551</v>
      </c>
      <c r="C144" t="str">
        <f t="shared" si="4"/>
        <v>Saint Vincent and the Grenadines</v>
      </c>
      <c r="D144" t="str">
        <f t="shared" si="5"/>
        <v>VCT</v>
      </c>
      <c r="E144" t="str">
        <f>VLOOKUP(A144,regions_full!E$2:$F$261,2,0)</f>
        <v>Saint Vincent and the Grenadines</v>
      </c>
      <c r="G144" t="s">
        <v>4756</v>
      </c>
      <c r="H144" t="s">
        <v>4757</v>
      </c>
    </row>
    <row r="145" spans="1:10" x14ac:dyDescent="0.3">
      <c r="A145" t="s">
        <v>556</v>
      </c>
      <c r="B145" t="s">
        <v>557</v>
      </c>
      <c r="C145" t="str">
        <f t="shared" si="4"/>
        <v>Samoa</v>
      </c>
      <c r="D145" t="str">
        <f t="shared" si="5"/>
        <v>WSM</v>
      </c>
      <c r="E145" t="str">
        <f>VLOOKUP(A145,regions_full!E$2:$F$261,2,0)</f>
        <v>Samoa</v>
      </c>
      <c r="G145" t="s">
        <v>4756</v>
      </c>
      <c r="H145" t="s">
        <v>4757</v>
      </c>
    </row>
    <row r="146" spans="1:10" x14ac:dyDescent="0.3">
      <c r="A146" t="s">
        <v>560</v>
      </c>
      <c r="B146" t="s">
        <v>561</v>
      </c>
      <c r="C146" t="str">
        <f t="shared" si="4"/>
        <v>Sao Tome and Principe</v>
      </c>
      <c r="D146" t="str">
        <f t="shared" si="5"/>
        <v>STP</v>
      </c>
      <c r="E146" t="str">
        <f>VLOOKUP(A146,regions_full!E$2:$F$261,2,0)</f>
        <v>Sao Tome and Principe</v>
      </c>
      <c r="G146" t="s">
        <v>4756</v>
      </c>
      <c r="H146" t="s">
        <v>4757</v>
      </c>
    </row>
    <row r="147" spans="1:10" x14ac:dyDescent="0.3">
      <c r="A147" t="s">
        <v>562</v>
      </c>
      <c r="B147" t="s">
        <v>563</v>
      </c>
      <c r="C147" t="str">
        <f t="shared" si="4"/>
        <v>Saudi Arabia</v>
      </c>
      <c r="D147" t="str">
        <f t="shared" si="5"/>
        <v>SAU</v>
      </c>
      <c r="E147" t="str">
        <f>VLOOKUP(A147,regions_full!E$2:$F$261,2,0)</f>
        <v>Saudi Arabia</v>
      </c>
      <c r="G147" t="s">
        <v>4756</v>
      </c>
      <c r="H147" t="s">
        <v>4757</v>
      </c>
    </row>
    <row r="148" spans="1:10" x14ac:dyDescent="0.3">
      <c r="A148" t="s">
        <v>564</v>
      </c>
      <c r="B148" t="s">
        <v>565</v>
      </c>
      <c r="C148" t="str">
        <f t="shared" si="4"/>
        <v>Senegal</v>
      </c>
      <c r="D148" t="str">
        <f t="shared" si="5"/>
        <v>SEN</v>
      </c>
      <c r="E148" t="str">
        <f>VLOOKUP(A148,regions_full!E$2:$F$261,2,0)</f>
        <v>Senegal</v>
      </c>
      <c r="G148" t="s">
        <v>4756</v>
      </c>
      <c r="H148" t="s">
        <v>4757</v>
      </c>
    </row>
    <row r="149" spans="1:10" x14ac:dyDescent="0.3">
      <c r="A149" t="s">
        <v>566</v>
      </c>
      <c r="B149" t="s">
        <v>567</v>
      </c>
      <c r="C149" t="str">
        <f t="shared" si="4"/>
        <v>Serbia</v>
      </c>
      <c r="D149" t="str">
        <f t="shared" si="5"/>
        <v>SRB</v>
      </c>
      <c r="E149" t="str">
        <f>VLOOKUP(A149,regions_full!E$2:$F$261,2,0)</f>
        <v>Serbia</v>
      </c>
      <c r="G149" t="s">
        <v>4756</v>
      </c>
      <c r="H149" t="s">
        <v>4757</v>
      </c>
      <c r="I149">
        <v>2006</v>
      </c>
    </row>
    <row r="150" spans="1:10" x14ac:dyDescent="0.3">
      <c r="A150" t="s">
        <v>568</v>
      </c>
      <c r="B150" t="s">
        <v>443</v>
      </c>
      <c r="C150" t="str">
        <f t="shared" si="4"/>
        <v>Serbia and Montenegro</v>
      </c>
      <c r="D150" t="str">
        <f t="shared" si="5"/>
        <v>SCG</v>
      </c>
      <c r="E150" t="str">
        <f>VLOOKUP(A150,regions_full!E$2:$F$261,2,0)</f>
        <v>Serbia and Montenegro</v>
      </c>
      <c r="G150" t="s">
        <v>4756</v>
      </c>
      <c r="H150" t="s">
        <v>4757</v>
      </c>
      <c r="I150">
        <v>1992</v>
      </c>
      <c r="J150">
        <v>2005</v>
      </c>
    </row>
    <row r="151" spans="1:10" x14ac:dyDescent="0.3">
      <c r="A151" t="s">
        <v>572</v>
      </c>
      <c r="B151" t="s">
        <v>573</v>
      </c>
      <c r="C151" t="str">
        <f t="shared" si="4"/>
        <v>Sierra Leone</v>
      </c>
      <c r="D151" t="str">
        <f t="shared" si="5"/>
        <v>SLE</v>
      </c>
      <c r="E151" t="str">
        <f>VLOOKUP(A151,regions_full!E$2:$F$261,2,0)</f>
        <v>Sierra Leone</v>
      </c>
      <c r="G151" t="s">
        <v>4756</v>
      </c>
      <c r="H151" t="s">
        <v>4757</v>
      </c>
    </row>
    <row r="152" spans="1:10" x14ac:dyDescent="0.3">
      <c r="A152" t="s">
        <v>574</v>
      </c>
      <c r="B152" t="s">
        <v>575</v>
      </c>
      <c r="C152" t="str">
        <f t="shared" si="4"/>
        <v>Singapore</v>
      </c>
      <c r="D152" t="str">
        <f t="shared" si="5"/>
        <v>SGP</v>
      </c>
      <c r="E152" t="str">
        <f>VLOOKUP(A152,regions_full!E$2:$F$261,2,0)</f>
        <v>Singapore</v>
      </c>
      <c r="G152" t="s">
        <v>4756</v>
      </c>
      <c r="H152" t="s">
        <v>4757</v>
      </c>
    </row>
    <row r="153" spans="1:10" x14ac:dyDescent="0.3">
      <c r="A153" t="s">
        <v>576</v>
      </c>
      <c r="B153" t="s">
        <v>577</v>
      </c>
      <c r="C153" t="str">
        <f t="shared" si="4"/>
        <v>Slovakia</v>
      </c>
      <c r="D153" t="str">
        <f t="shared" si="5"/>
        <v>SVK</v>
      </c>
      <c r="E153" t="str">
        <f>VLOOKUP(A153,regions_full!E$2:$F$261,2,0)</f>
        <v>Slovakia</v>
      </c>
      <c r="G153" t="s">
        <v>4756</v>
      </c>
      <c r="H153" t="s">
        <v>4757</v>
      </c>
      <c r="I153">
        <v>1993</v>
      </c>
    </row>
    <row r="154" spans="1:10" x14ac:dyDescent="0.3">
      <c r="A154" t="s">
        <v>579</v>
      </c>
      <c r="B154" t="s">
        <v>580</v>
      </c>
      <c r="C154" t="str">
        <f t="shared" si="4"/>
        <v>Slovenia</v>
      </c>
      <c r="D154" t="str">
        <f t="shared" si="5"/>
        <v>SVN</v>
      </c>
      <c r="E154" t="str">
        <f>VLOOKUP(A154,regions_full!E$2:$F$261,2,0)</f>
        <v>Slovenia</v>
      </c>
      <c r="G154" t="s">
        <v>4756</v>
      </c>
      <c r="H154" t="s">
        <v>4757</v>
      </c>
      <c r="I154">
        <v>1992</v>
      </c>
    </row>
    <row r="155" spans="1:10" x14ac:dyDescent="0.3">
      <c r="A155" t="s">
        <v>581</v>
      </c>
      <c r="B155" t="s">
        <v>582</v>
      </c>
      <c r="C155" t="str">
        <f t="shared" si="4"/>
        <v>Solomon Islands</v>
      </c>
      <c r="D155" t="str">
        <f t="shared" si="5"/>
        <v>SLB</v>
      </c>
      <c r="E155" t="str">
        <f>VLOOKUP(A155,regions_full!E$2:$F$261,2,0)</f>
        <v>Solomon Islands</v>
      </c>
      <c r="G155" t="s">
        <v>4756</v>
      </c>
      <c r="H155" t="s">
        <v>4757</v>
      </c>
    </row>
    <row r="156" spans="1:10" x14ac:dyDescent="0.3">
      <c r="A156" t="s">
        <v>583</v>
      </c>
      <c r="B156" t="s">
        <v>584</v>
      </c>
      <c r="C156" t="str">
        <f t="shared" si="4"/>
        <v>Somalia</v>
      </c>
      <c r="D156" t="str">
        <f t="shared" si="5"/>
        <v>SOM</v>
      </c>
      <c r="E156" t="str">
        <f>VLOOKUP(A156,regions_full!E$2:$F$261,2,0)</f>
        <v>Somalia</v>
      </c>
      <c r="G156" t="s">
        <v>4756</v>
      </c>
      <c r="H156" t="s">
        <v>4757</v>
      </c>
    </row>
    <row r="157" spans="1:10" x14ac:dyDescent="0.3">
      <c r="A157" t="s">
        <v>585</v>
      </c>
      <c r="B157" t="s">
        <v>586</v>
      </c>
      <c r="C157" t="str">
        <f t="shared" si="4"/>
        <v>South Africa</v>
      </c>
      <c r="D157" t="str">
        <f t="shared" si="5"/>
        <v>ZAF</v>
      </c>
      <c r="E157" t="str">
        <f>VLOOKUP(A157,regions_full!E$2:$F$261,2,0)</f>
        <v>South Africa</v>
      </c>
      <c r="G157" t="s">
        <v>4756</v>
      </c>
      <c r="H157" t="s">
        <v>4757</v>
      </c>
    </row>
    <row r="158" spans="1:10" x14ac:dyDescent="0.3">
      <c r="A158" t="s">
        <v>589</v>
      </c>
      <c r="B158" t="s">
        <v>594</v>
      </c>
      <c r="C158" t="str">
        <f t="shared" si="4"/>
        <v>Republic of Korea</v>
      </c>
      <c r="D158" t="str">
        <f t="shared" si="5"/>
        <v>KOR</v>
      </c>
      <c r="E158" t="str">
        <f>VLOOKUP(A158,regions_full!E$2:$F$261,2,0)</f>
        <v>Republic of Korea</v>
      </c>
      <c r="G158" t="s">
        <v>4756</v>
      </c>
      <c r="H158" t="s">
        <v>4757</v>
      </c>
    </row>
    <row r="159" spans="1:10" x14ac:dyDescent="0.3">
      <c r="A159" t="s">
        <v>598</v>
      </c>
      <c r="B159" t="s">
        <v>599</v>
      </c>
      <c r="C159" t="str">
        <f t="shared" si="4"/>
        <v>Spain</v>
      </c>
      <c r="D159" t="str">
        <f t="shared" si="5"/>
        <v>ESP</v>
      </c>
      <c r="E159" t="str">
        <f>VLOOKUP(A159,regions_full!E$2:$F$261,2,0)</f>
        <v>Spain</v>
      </c>
      <c r="G159" t="s">
        <v>4756</v>
      </c>
      <c r="H159" t="s">
        <v>4757</v>
      </c>
    </row>
    <row r="160" spans="1:10" x14ac:dyDescent="0.3">
      <c r="A160" t="s">
        <v>600</v>
      </c>
      <c r="B160" t="s">
        <v>601</v>
      </c>
      <c r="C160" t="str">
        <f t="shared" si="4"/>
        <v>Sri Lanka</v>
      </c>
      <c r="D160" t="str">
        <f t="shared" si="5"/>
        <v>LKA</v>
      </c>
      <c r="E160" t="str">
        <f>VLOOKUP(A160,regions_full!E$2:$F$261,2,0)</f>
        <v>Sri Lanka</v>
      </c>
      <c r="G160" t="s">
        <v>4756</v>
      </c>
      <c r="H160" t="s">
        <v>4757</v>
      </c>
    </row>
    <row r="161" spans="1:9" x14ac:dyDescent="0.3">
      <c r="A161" t="s">
        <v>602</v>
      </c>
      <c r="B161" t="s">
        <v>597</v>
      </c>
      <c r="C161" t="str">
        <f t="shared" si="4"/>
        <v>Sudan</v>
      </c>
      <c r="D161" t="str">
        <f t="shared" si="5"/>
        <v>SDN</v>
      </c>
      <c r="E161" t="str">
        <f>VLOOKUP(A161,regions_full!E$2:$F$261,2,0)</f>
        <v>Sudan</v>
      </c>
      <c r="G161" t="s">
        <v>4777</v>
      </c>
      <c r="H161" t="s">
        <v>4757</v>
      </c>
    </row>
    <row r="162" spans="1:9" x14ac:dyDescent="0.3">
      <c r="A162" t="s">
        <v>595</v>
      </c>
      <c r="B162" t="s">
        <v>596</v>
      </c>
      <c r="C162" t="str">
        <f t="shared" si="4"/>
        <v>South Sudan</v>
      </c>
      <c r="D162" t="str">
        <f t="shared" si="5"/>
        <v>SSD</v>
      </c>
      <c r="E162" t="str">
        <f>VLOOKUP(A162,regions_full!E$2:$F$261,2,0)</f>
        <v>South Sudan</v>
      </c>
      <c r="G162" t="s">
        <v>4756</v>
      </c>
      <c r="H162" t="s">
        <v>4757</v>
      </c>
      <c r="I162">
        <v>2012</v>
      </c>
    </row>
    <row r="163" spans="1:9" x14ac:dyDescent="0.3">
      <c r="A163" t="s">
        <v>605</v>
      </c>
      <c r="B163" t="s">
        <v>606</v>
      </c>
      <c r="C163" t="str">
        <f t="shared" si="4"/>
        <v>Suriname</v>
      </c>
      <c r="D163" t="str">
        <f t="shared" si="5"/>
        <v>SUR</v>
      </c>
      <c r="E163" t="str">
        <f>VLOOKUP(A163,regions_full!E$2:$F$261,2,0)</f>
        <v>Suriname</v>
      </c>
      <c r="G163" t="s">
        <v>4756</v>
      </c>
      <c r="H163" t="s">
        <v>4757</v>
      </c>
    </row>
    <row r="164" spans="1:9" x14ac:dyDescent="0.3">
      <c r="A164" t="s">
        <v>275</v>
      </c>
      <c r="B164" t="s">
        <v>276</v>
      </c>
      <c r="C164" t="str">
        <f t="shared" si="4"/>
        <v>Eswatini</v>
      </c>
      <c r="D164" t="str">
        <f t="shared" si="5"/>
        <v>SWZ</v>
      </c>
      <c r="E164" t="str">
        <f>VLOOKUP(A164,regions_full!E$2:$F$261,2,0)</f>
        <v>Eswatini</v>
      </c>
      <c r="G164" t="s">
        <v>4756</v>
      </c>
      <c r="H164" t="s">
        <v>4757</v>
      </c>
    </row>
    <row r="165" spans="1:9" x14ac:dyDescent="0.3">
      <c r="A165" t="s">
        <v>609</v>
      </c>
      <c r="B165" t="s">
        <v>610</v>
      </c>
      <c r="C165" t="str">
        <f t="shared" si="4"/>
        <v>Sweden</v>
      </c>
      <c r="D165" t="str">
        <f t="shared" si="5"/>
        <v>SWE</v>
      </c>
      <c r="E165" t="str">
        <f>VLOOKUP(A165,regions_full!E$2:$F$261,2,0)</f>
        <v>Sweden</v>
      </c>
      <c r="G165" t="s">
        <v>4756</v>
      </c>
      <c r="H165" t="s">
        <v>4757</v>
      </c>
    </row>
    <row r="166" spans="1:9" x14ac:dyDescent="0.3">
      <c r="A166" t="s">
        <v>611</v>
      </c>
      <c r="B166" t="s">
        <v>612</v>
      </c>
      <c r="C166" t="str">
        <f t="shared" si="4"/>
        <v>Switzerland</v>
      </c>
      <c r="D166" t="str">
        <f t="shared" si="5"/>
        <v>CHE</v>
      </c>
      <c r="E166" t="str">
        <f>VLOOKUP(A166,regions_full!E$2:$F$261,2,0)</f>
        <v>Switzerland</v>
      </c>
      <c r="G166" t="s">
        <v>4756</v>
      </c>
      <c r="H166" t="s">
        <v>4757</v>
      </c>
    </row>
    <row r="167" spans="1:9" x14ac:dyDescent="0.3">
      <c r="A167" t="s">
        <v>613</v>
      </c>
      <c r="B167" t="s">
        <v>615</v>
      </c>
      <c r="C167" t="str">
        <f t="shared" si="4"/>
        <v>Syria</v>
      </c>
      <c r="D167" t="str">
        <f t="shared" si="5"/>
        <v>SYR</v>
      </c>
      <c r="E167" t="s">
        <v>615</v>
      </c>
      <c r="G167" t="s">
        <v>4775</v>
      </c>
      <c r="H167" t="s">
        <v>4757</v>
      </c>
    </row>
    <row r="168" spans="1:9" x14ac:dyDescent="0.3">
      <c r="A168" t="s">
        <v>616</v>
      </c>
      <c r="B168" t="s">
        <v>617</v>
      </c>
      <c r="C168" t="str">
        <f t="shared" si="4"/>
        <v>Tajikistan</v>
      </c>
      <c r="D168" t="str">
        <f t="shared" si="5"/>
        <v>TJK</v>
      </c>
      <c r="E168" t="str">
        <f>VLOOKUP(A168,regions_full!E$2:$F$261,2,0)</f>
        <v>Tajikistan</v>
      </c>
      <c r="G168" t="s">
        <v>4756</v>
      </c>
      <c r="H168" t="s">
        <v>4757</v>
      </c>
      <c r="I168">
        <v>1992</v>
      </c>
    </row>
    <row r="169" spans="1:9" x14ac:dyDescent="0.3">
      <c r="A169" t="s">
        <v>618</v>
      </c>
      <c r="B169" t="s">
        <v>619</v>
      </c>
      <c r="C169" t="str">
        <f t="shared" si="4"/>
        <v>Tanzania</v>
      </c>
      <c r="D169" t="str">
        <f t="shared" si="5"/>
        <v>TZA</v>
      </c>
      <c r="E169" t="str">
        <f>VLOOKUP(A169,regions_full!E$2:$F$261,2,0)</f>
        <v>United Republic of Tanzania</v>
      </c>
      <c r="G169" t="s">
        <v>4775</v>
      </c>
      <c r="H169" t="s">
        <v>4757</v>
      </c>
    </row>
    <row r="170" spans="1:9" x14ac:dyDescent="0.3">
      <c r="A170" t="s">
        <v>622</v>
      </c>
      <c r="B170" t="s">
        <v>623</v>
      </c>
      <c r="C170" t="str">
        <f t="shared" si="4"/>
        <v>Thailand</v>
      </c>
      <c r="D170" t="str">
        <f t="shared" si="5"/>
        <v>THA</v>
      </c>
      <c r="E170" t="str">
        <f>VLOOKUP(A170,regions_full!E$2:$F$261,2,0)</f>
        <v>Thailand</v>
      </c>
      <c r="G170" t="s">
        <v>4756</v>
      </c>
      <c r="H170" t="s">
        <v>4757</v>
      </c>
    </row>
    <row r="171" spans="1:9" x14ac:dyDescent="0.3">
      <c r="A171" t="s">
        <v>624</v>
      </c>
      <c r="B171" t="s">
        <v>625</v>
      </c>
      <c r="C171" t="str">
        <f t="shared" si="4"/>
        <v>Timor-Leste</v>
      </c>
      <c r="D171" t="str">
        <f t="shared" si="5"/>
        <v>TLS</v>
      </c>
      <c r="E171" t="str">
        <f>VLOOKUP(A171,regions_full!E$2:$F$261,2,0)</f>
        <v>Timor-Leste</v>
      </c>
      <c r="G171" t="s">
        <v>4756</v>
      </c>
      <c r="H171" t="s">
        <v>4757</v>
      </c>
    </row>
    <row r="172" spans="1:9" x14ac:dyDescent="0.3">
      <c r="A172" t="s">
        <v>627</v>
      </c>
      <c r="B172" t="s">
        <v>628</v>
      </c>
      <c r="C172" t="str">
        <f t="shared" si="4"/>
        <v>Togo</v>
      </c>
      <c r="D172" t="str">
        <f t="shared" si="5"/>
        <v>TGO</v>
      </c>
      <c r="E172" t="str">
        <f>VLOOKUP(A172,regions_full!E$2:$F$261,2,0)</f>
        <v>Togo</v>
      </c>
      <c r="G172" t="s">
        <v>4756</v>
      </c>
      <c r="H172" t="s">
        <v>4757</v>
      </c>
    </row>
    <row r="173" spans="1:9" x14ac:dyDescent="0.3">
      <c r="A173" t="s">
        <v>633</v>
      </c>
      <c r="B173" t="s">
        <v>634</v>
      </c>
      <c r="C173" t="str">
        <f t="shared" si="4"/>
        <v>Trinidad and Tobago</v>
      </c>
      <c r="D173" t="str">
        <f t="shared" si="5"/>
        <v>TTO</v>
      </c>
      <c r="E173" t="str">
        <f>VLOOKUP(A173,regions_full!E$2:$F$261,2,0)</f>
        <v>Trinidad and Tobago</v>
      </c>
      <c r="G173" t="s">
        <v>4756</v>
      </c>
      <c r="H173" t="s">
        <v>4757</v>
      </c>
    </row>
    <row r="174" spans="1:9" x14ac:dyDescent="0.3">
      <c r="A174" t="s">
        <v>635</v>
      </c>
      <c r="B174" t="s">
        <v>636</v>
      </c>
      <c r="C174" t="str">
        <f t="shared" si="4"/>
        <v>Tunisia</v>
      </c>
      <c r="D174" t="str">
        <f t="shared" si="5"/>
        <v>TUN</v>
      </c>
      <c r="E174" t="str">
        <f>VLOOKUP(A174,regions_full!E$2:$F$261,2,0)</f>
        <v>Tunisia</v>
      </c>
      <c r="G174" t="s">
        <v>4756</v>
      </c>
      <c r="H174" t="s">
        <v>4757</v>
      </c>
    </row>
    <row r="175" spans="1:9" x14ac:dyDescent="0.3">
      <c r="A175" t="s">
        <v>637</v>
      </c>
      <c r="B175" t="s">
        <v>638</v>
      </c>
      <c r="C175" t="str">
        <f t="shared" si="4"/>
        <v>Turkey</v>
      </c>
      <c r="D175" t="str">
        <f t="shared" si="5"/>
        <v>TUR</v>
      </c>
      <c r="E175" t="str">
        <f>VLOOKUP(A175,regions_full!E$2:$F$261,2,0)</f>
        <v>Türkiye</v>
      </c>
      <c r="G175" t="s">
        <v>4756</v>
      </c>
      <c r="H175" t="s">
        <v>4757</v>
      </c>
    </row>
    <row r="176" spans="1:9" x14ac:dyDescent="0.3">
      <c r="A176" t="s">
        <v>639</v>
      </c>
      <c r="B176" t="s">
        <v>640</v>
      </c>
      <c r="C176" t="str">
        <f t="shared" si="4"/>
        <v>Turkmenistan</v>
      </c>
      <c r="D176" t="str">
        <f t="shared" si="5"/>
        <v>TKM</v>
      </c>
      <c r="E176" t="str">
        <f>VLOOKUP(A176,regions_full!E$2:$F$261,2,0)</f>
        <v>Turkmenistan</v>
      </c>
      <c r="G176" t="s">
        <v>4756</v>
      </c>
      <c r="H176" t="s">
        <v>4757</v>
      </c>
      <c r="I176">
        <v>1992</v>
      </c>
    </row>
    <row r="177" spans="1:10" x14ac:dyDescent="0.3">
      <c r="A177" t="s">
        <v>645</v>
      </c>
      <c r="B177" t="s">
        <v>646</v>
      </c>
      <c r="C177" t="str">
        <f t="shared" si="4"/>
        <v>Uganda</v>
      </c>
      <c r="D177" t="str">
        <f t="shared" si="5"/>
        <v>UGA</v>
      </c>
      <c r="E177" t="str">
        <f>VLOOKUP(A177,regions_full!E$2:$F$261,2,0)</f>
        <v>Uganda</v>
      </c>
      <c r="G177" t="s">
        <v>4756</v>
      </c>
      <c r="H177" t="s">
        <v>4757</v>
      </c>
    </row>
    <row r="178" spans="1:10" x14ac:dyDescent="0.3">
      <c r="A178" t="s">
        <v>647</v>
      </c>
      <c r="B178" t="s">
        <v>648</v>
      </c>
      <c r="C178" t="str">
        <f t="shared" si="4"/>
        <v>Ukraine</v>
      </c>
      <c r="D178" t="str">
        <f t="shared" si="5"/>
        <v>UKR</v>
      </c>
      <c r="E178" t="str">
        <f>VLOOKUP(A178,regions_full!E$2:$F$261,2,0)</f>
        <v>Ukraine</v>
      </c>
      <c r="G178" t="s">
        <v>4756</v>
      </c>
      <c r="H178" t="s">
        <v>4757</v>
      </c>
      <c r="I178">
        <v>1992</v>
      </c>
    </row>
    <row r="179" spans="1:10" x14ac:dyDescent="0.3">
      <c r="A179" t="s">
        <v>649</v>
      </c>
      <c r="B179" t="s">
        <v>650</v>
      </c>
      <c r="C179" t="str">
        <f t="shared" si="4"/>
        <v>United Arab Emirates</v>
      </c>
      <c r="D179" t="str">
        <f t="shared" si="5"/>
        <v>ARE</v>
      </c>
      <c r="E179" t="str">
        <f>VLOOKUP(A179,regions_full!E$2:$F$261,2,0)</f>
        <v>United Arab Emirates</v>
      </c>
      <c r="G179" t="s">
        <v>4756</v>
      </c>
      <c r="H179" t="s">
        <v>4757</v>
      </c>
    </row>
    <row r="180" spans="1:10" x14ac:dyDescent="0.3">
      <c r="A180" t="s">
        <v>651</v>
      </c>
      <c r="B180" t="s">
        <v>652</v>
      </c>
      <c r="C180" t="str">
        <f t="shared" si="4"/>
        <v>United Kingdom</v>
      </c>
      <c r="D180" t="str">
        <f t="shared" si="5"/>
        <v>GBR</v>
      </c>
      <c r="E180" t="str">
        <f>VLOOKUP(A180,regions_full!E$2:$F$261,2,0)</f>
        <v>United Kingdom of Great Britain and Northern Ireland</v>
      </c>
      <c r="G180" t="s">
        <v>4775</v>
      </c>
      <c r="H180" t="s">
        <v>4757</v>
      </c>
    </row>
    <row r="181" spans="1:10" x14ac:dyDescent="0.3">
      <c r="A181" t="s">
        <v>549</v>
      </c>
      <c r="B181" t="s">
        <v>653</v>
      </c>
      <c r="C181" t="str">
        <f t="shared" si="4"/>
        <v>United States of America</v>
      </c>
      <c r="D181" t="str">
        <f t="shared" si="5"/>
        <v>USA</v>
      </c>
      <c r="E181" t="str">
        <f>VLOOKUP(A181,regions_full!E$2:$F$261,2,0)</f>
        <v>United States of America</v>
      </c>
      <c r="G181" t="s">
        <v>4756</v>
      </c>
      <c r="H181" t="s">
        <v>4757</v>
      </c>
    </row>
    <row r="182" spans="1:10" x14ac:dyDescent="0.3">
      <c r="A182" t="s">
        <v>660</v>
      </c>
      <c r="B182" t="s">
        <v>661</v>
      </c>
      <c r="C182" t="str">
        <f t="shared" si="4"/>
        <v>Uruguay</v>
      </c>
      <c r="D182" t="str">
        <f t="shared" si="5"/>
        <v>URY</v>
      </c>
      <c r="E182" t="str">
        <f>VLOOKUP(A182,regions_full!E$2:$F$261,2,0)</f>
        <v>Uruguay</v>
      </c>
      <c r="G182" t="s">
        <v>4756</v>
      </c>
      <c r="H182" t="s">
        <v>4757</v>
      </c>
    </row>
    <row r="183" spans="1:10" x14ac:dyDescent="0.3">
      <c r="A183" t="s">
        <v>664</v>
      </c>
      <c r="B183" t="s">
        <v>665</v>
      </c>
      <c r="C183" t="str">
        <f t="shared" si="4"/>
        <v>USSR</v>
      </c>
      <c r="D183" t="str">
        <f t="shared" si="5"/>
        <v>SUN</v>
      </c>
      <c r="E183" t="str">
        <f>VLOOKUP(A183,regions_full!E$2:$F$261,2,0)</f>
        <v>USSR</v>
      </c>
      <c r="G183" t="s">
        <v>4756</v>
      </c>
      <c r="H183" t="s">
        <v>4757</v>
      </c>
      <c r="J183">
        <v>1991</v>
      </c>
    </row>
    <row r="184" spans="1:10" x14ac:dyDescent="0.3">
      <c r="A184" t="s">
        <v>667</v>
      </c>
      <c r="B184" t="s">
        <v>668</v>
      </c>
      <c r="C184" t="str">
        <f t="shared" si="4"/>
        <v>Uzbekistan</v>
      </c>
      <c r="D184" t="str">
        <f t="shared" si="5"/>
        <v>UZB</v>
      </c>
      <c r="E184" t="str">
        <f>VLOOKUP(A184,regions_full!E$2:$F$261,2,0)</f>
        <v>Uzbekistan</v>
      </c>
      <c r="G184" t="s">
        <v>4756</v>
      </c>
      <c r="H184" t="s">
        <v>4757</v>
      </c>
      <c r="I184">
        <v>1992</v>
      </c>
    </row>
    <row r="185" spans="1:10" x14ac:dyDescent="0.3">
      <c r="A185" t="s">
        <v>669</v>
      </c>
      <c r="B185" t="s">
        <v>670</v>
      </c>
      <c r="C185" t="str">
        <f t="shared" si="4"/>
        <v>Vanuatu</v>
      </c>
      <c r="D185" t="str">
        <f t="shared" si="5"/>
        <v>VUT</v>
      </c>
      <c r="E185" t="str">
        <f>VLOOKUP(A185,regions_full!E$2:$F$261,2,0)</f>
        <v>Vanuatu</v>
      </c>
      <c r="G185" t="s">
        <v>4756</v>
      </c>
      <c r="H185" t="s">
        <v>4757</v>
      </c>
    </row>
    <row r="186" spans="1:10" x14ac:dyDescent="0.3">
      <c r="A186" t="s">
        <v>671</v>
      </c>
      <c r="B186" t="s">
        <v>672</v>
      </c>
      <c r="C186" t="str">
        <f t="shared" si="4"/>
        <v>Venezuela</v>
      </c>
      <c r="D186" t="str">
        <f t="shared" si="5"/>
        <v>VEN</v>
      </c>
      <c r="E186" t="e">
        <f>VLOOKUP(A186,regions_full!E$2:$F$261,2,0)</f>
        <v>#N/A</v>
      </c>
      <c r="G186" t="s">
        <v>4775</v>
      </c>
      <c r="H186" t="s">
        <v>4757</v>
      </c>
    </row>
    <row r="187" spans="1:10" x14ac:dyDescent="0.3">
      <c r="A187" t="s">
        <v>675</v>
      </c>
      <c r="B187" t="s">
        <v>676</v>
      </c>
      <c r="C187" t="str">
        <f t="shared" si="4"/>
        <v>Viet Nam</v>
      </c>
      <c r="D187" t="str">
        <f t="shared" si="5"/>
        <v>VNM</v>
      </c>
      <c r="E187" t="e">
        <f>VLOOKUP(A187,regions_full!E$2:$F$261,2,0)</f>
        <v>#N/A</v>
      </c>
      <c r="G187" t="s">
        <v>4756</v>
      </c>
      <c r="H187" t="s">
        <v>4757</v>
      </c>
    </row>
    <row r="188" spans="1:10" x14ac:dyDescent="0.3">
      <c r="A188" t="s">
        <v>684</v>
      </c>
      <c r="B188" t="s">
        <v>685</v>
      </c>
      <c r="C188" t="str">
        <f t="shared" si="4"/>
        <v>Yemen</v>
      </c>
      <c r="D188" t="str">
        <f t="shared" si="5"/>
        <v>YEM</v>
      </c>
      <c r="E188" t="e">
        <f>VLOOKUP(A188,regions_full!E$2:$F$261,2,0)</f>
        <v>#N/A</v>
      </c>
      <c r="G188" t="s">
        <v>4756</v>
      </c>
      <c r="H188" t="s">
        <v>4757</v>
      </c>
    </row>
    <row r="189" spans="1:10" x14ac:dyDescent="0.3">
      <c r="A189" t="s">
        <v>686</v>
      </c>
      <c r="B189" t="s">
        <v>687</v>
      </c>
      <c r="C189" t="str">
        <f t="shared" si="4"/>
        <v>Yugoslav SFR</v>
      </c>
      <c r="D189" t="str">
        <f t="shared" si="5"/>
        <v>YUG</v>
      </c>
      <c r="E189" t="e">
        <f>VLOOKUP(A189,regions_full!E$2:$F$261,2,0)</f>
        <v>#N/A</v>
      </c>
      <c r="G189" t="s">
        <v>4756</v>
      </c>
      <c r="H189" t="s">
        <v>4757</v>
      </c>
      <c r="J189">
        <v>1991</v>
      </c>
    </row>
    <row r="190" spans="1:10" x14ac:dyDescent="0.3">
      <c r="A190" t="s">
        <v>689</v>
      </c>
      <c r="B190" t="s">
        <v>690</v>
      </c>
      <c r="C190" t="str">
        <f t="shared" si="4"/>
        <v>Zambia</v>
      </c>
      <c r="D190" t="str">
        <f t="shared" si="5"/>
        <v>ZMB</v>
      </c>
      <c r="E190" t="e">
        <f>VLOOKUP(A190,regions_full!E$2:$F$261,2,0)</f>
        <v>#N/A</v>
      </c>
      <c r="G190" t="s">
        <v>4756</v>
      </c>
      <c r="H190" t="s">
        <v>4757</v>
      </c>
    </row>
    <row r="191" spans="1:10" x14ac:dyDescent="0.3">
      <c r="A191" t="s">
        <v>691</v>
      </c>
      <c r="B191" t="s">
        <v>692</v>
      </c>
      <c r="C191" t="str">
        <f t="shared" si="4"/>
        <v>Zimbabwe</v>
      </c>
      <c r="D191" t="str">
        <f t="shared" si="5"/>
        <v>ZWE</v>
      </c>
      <c r="E191" t="e">
        <f>VLOOKUP(A191,regions_full!E$2:$F$261,2,0)</f>
        <v>#N/A</v>
      </c>
      <c r="G191" t="s">
        <v>4756</v>
      </c>
      <c r="H191" t="s">
        <v>4757</v>
      </c>
    </row>
    <row r="192" spans="1:10" x14ac:dyDescent="0.3">
      <c r="A192" s="10" t="s">
        <v>293</v>
      </c>
      <c r="B192" t="s">
        <v>294</v>
      </c>
      <c r="C192" t="str">
        <f t="shared" si="4"/>
        <v>French Guiana</v>
      </c>
      <c r="D192" t="str">
        <f t="shared" si="5"/>
        <v>GUF</v>
      </c>
      <c r="E192" t="str">
        <f>VLOOKUP(A192,regions_full!E$2:$F$261,2,0)</f>
        <v>French Guiana</v>
      </c>
      <c r="G192" t="s">
        <v>4756</v>
      </c>
      <c r="H192" t="s">
        <v>4757</v>
      </c>
    </row>
    <row r="193" spans="1:10" x14ac:dyDescent="0.3">
      <c r="A193" s="10" t="s">
        <v>269</v>
      </c>
      <c r="B193" t="s">
        <v>270</v>
      </c>
      <c r="C193" t="str">
        <f t="shared" si="4"/>
        <v>Equatorial Guinea</v>
      </c>
      <c r="D193" t="str">
        <f t="shared" si="5"/>
        <v>GNQ</v>
      </c>
      <c r="E193" t="str">
        <f>VLOOKUP(A193,regions_full!E$2:$F$261,2,0)</f>
        <v>Equatorial Guinea</v>
      </c>
      <c r="G193" t="s">
        <v>4756</v>
      </c>
      <c r="H193" t="s">
        <v>4757</v>
      </c>
    </row>
    <row r="194" spans="1:10" x14ac:dyDescent="0.3">
      <c r="A194" s="10" t="s">
        <v>4765</v>
      </c>
      <c r="B194" t="s">
        <v>4759</v>
      </c>
      <c r="C194" t="str">
        <f t="shared" si="4"/>
        <v>Africa Other</v>
      </c>
      <c r="D194" t="str">
        <f t="shared" si="5"/>
        <v>RAFR</v>
      </c>
      <c r="G194" t="s">
        <v>4758</v>
      </c>
      <c r="H194" t="s">
        <v>4758</v>
      </c>
    </row>
    <row r="195" spans="1:10" x14ac:dyDescent="0.3">
      <c r="A195" s="10" t="s">
        <v>4766</v>
      </c>
      <c r="B195" t="s">
        <v>4760</v>
      </c>
      <c r="C195" t="str">
        <f t="shared" ref="C195:C200" si="6">B195</f>
        <v>Asia Other</v>
      </c>
      <c r="D195" t="str">
        <f t="shared" ref="D195:D199" si="7">A195</f>
        <v>RASI</v>
      </c>
      <c r="G195" t="s">
        <v>4758</v>
      </c>
      <c r="H195" t="s">
        <v>4758</v>
      </c>
    </row>
    <row r="196" spans="1:10" x14ac:dyDescent="0.3">
      <c r="A196" s="10" t="s">
        <v>4767</v>
      </c>
      <c r="B196" t="s">
        <v>4761</v>
      </c>
      <c r="C196" t="str">
        <f t="shared" si="6"/>
        <v>Europe Other</v>
      </c>
      <c r="D196" t="str">
        <f t="shared" si="7"/>
        <v>REUR</v>
      </c>
      <c r="G196" t="s">
        <v>4758</v>
      </c>
      <c r="H196" t="s">
        <v>4758</v>
      </c>
    </row>
    <row r="197" spans="1:10" x14ac:dyDescent="0.3">
      <c r="A197" s="10" t="s">
        <v>4768</v>
      </c>
      <c r="B197" t="s">
        <v>4762</v>
      </c>
      <c r="C197" t="str">
        <f t="shared" si="6"/>
        <v>Latin America Other</v>
      </c>
      <c r="D197" t="str">
        <f t="shared" si="7"/>
        <v>RLAM</v>
      </c>
      <c r="G197" t="s">
        <v>4758</v>
      </c>
      <c r="H197" t="s">
        <v>4758</v>
      </c>
    </row>
    <row r="198" spans="1:10" x14ac:dyDescent="0.3">
      <c r="A198" s="10" t="s">
        <v>4769</v>
      </c>
      <c r="B198" t="s">
        <v>4763</v>
      </c>
      <c r="C198" t="str">
        <f t="shared" si="6"/>
        <v>North America Other</v>
      </c>
      <c r="D198" t="str">
        <f t="shared" si="7"/>
        <v>RNAM</v>
      </c>
      <c r="G198" t="s">
        <v>4758</v>
      </c>
      <c r="H198" t="s">
        <v>4758</v>
      </c>
    </row>
    <row r="199" spans="1:10" x14ac:dyDescent="0.3">
      <c r="A199" s="10" t="s">
        <v>4770</v>
      </c>
      <c r="B199" t="s">
        <v>4764</v>
      </c>
      <c r="C199" t="str">
        <f t="shared" si="6"/>
        <v>Oceania Other</v>
      </c>
      <c r="D199" t="str">
        <f t="shared" si="7"/>
        <v>ROCE</v>
      </c>
      <c r="G199" t="s">
        <v>4758</v>
      </c>
      <c r="H199" t="s">
        <v>4758</v>
      </c>
    </row>
    <row r="200" spans="1:10" x14ac:dyDescent="0.3">
      <c r="A200" s="10"/>
      <c r="B200" t="s">
        <v>5068</v>
      </c>
      <c r="C200" t="str">
        <f t="shared" si="6"/>
        <v>Leeward Islands</v>
      </c>
      <c r="F200" t="s">
        <v>5067</v>
      </c>
      <c r="G200" t="s">
        <v>5069</v>
      </c>
      <c r="I200">
        <v>1800</v>
      </c>
      <c r="J200" s="2">
        <v>1938</v>
      </c>
    </row>
    <row r="201" spans="1:10" x14ac:dyDescent="0.3">
      <c r="C201" t="s">
        <v>62</v>
      </c>
      <c r="D201" t="s">
        <v>4770</v>
      </c>
    </row>
    <row r="202" spans="1:10" x14ac:dyDescent="0.3">
      <c r="C202" t="s">
        <v>72</v>
      </c>
      <c r="D202" t="s">
        <v>4767</v>
      </c>
    </row>
    <row r="203" spans="1:10" x14ac:dyDescent="0.3">
      <c r="C203" t="s">
        <v>88</v>
      </c>
      <c r="D203" t="s">
        <v>4768</v>
      </c>
    </row>
    <row r="204" spans="1:10" x14ac:dyDescent="0.3">
      <c r="C204" t="s">
        <v>114</v>
      </c>
      <c r="D204" t="s">
        <v>4768</v>
      </c>
    </row>
    <row r="205" spans="1:10" x14ac:dyDescent="0.3">
      <c r="C205" t="s">
        <v>147</v>
      </c>
      <c r="D205" t="s">
        <v>4768</v>
      </c>
    </row>
    <row r="206" spans="1:10" x14ac:dyDescent="0.3">
      <c r="C206" t="s">
        <v>151</v>
      </c>
      <c r="D206" t="s">
        <v>4766</v>
      </c>
    </row>
    <row r="207" spans="1:10" x14ac:dyDescent="0.3">
      <c r="C207" t="s">
        <v>161</v>
      </c>
      <c r="D207" t="s">
        <v>4768</v>
      </c>
    </row>
    <row r="208" spans="1:10" x14ac:dyDescent="0.3">
      <c r="C208" t="s">
        <v>165</v>
      </c>
      <c r="D208" t="s">
        <v>4766</v>
      </c>
    </row>
    <row r="209" spans="3:4" x14ac:dyDescent="0.3">
      <c r="C209" t="s">
        <v>167</v>
      </c>
      <c r="D209" t="s">
        <v>4768</v>
      </c>
    </row>
    <row r="210" spans="3:4" x14ac:dyDescent="0.3">
      <c r="C210" t="s">
        <v>194</v>
      </c>
      <c r="D210" t="s">
        <v>4770</v>
      </c>
    </row>
    <row r="211" spans="3:4" x14ac:dyDescent="0.3">
      <c r="C211" t="s">
        <v>196</v>
      </c>
      <c r="D211" t="s">
        <v>4768</v>
      </c>
    </row>
    <row r="212" spans="3:4" x14ac:dyDescent="0.3">
      <c r="C212" t="s">
        <v>221</v>
      </c>
      <c r="D212" t="s">
        <v>4770</v>
      </c>
    </row>
    <row r="213" spans="3:4" x14ac:dyDescent="0.3">
      <c r="C213" t="s">
        <v>223</v>
      </c>
      <c r="D213" t="s">
        <v>4770</v>
      </c>
    </row>
    <row r="214" spans="3:4" x14ac:dyDescent="0.3">
      <c r="C214" t="s">
        <v>227</v>
      </c>
      <c r="D214" t="s">
        <v>4765</v>
      </c>
    </row>
    <row r="215" spans="3:4" x14ac:dyDescent="0.3">
      <c r="C215" t="s">
        <v>233</v>
      </c>
      <c r="D215" t="s">
        <v>4770</v>
      </c>
    </row>
    <row r="216" spans="3:4" x14ac:dyDescent="0.3">
      <c r="C216" t="s">
        <v>241</v>
      </c>
      <c r="D216" t="s">
        <v>4768</v>
      </c>
    </row>
    <row r="217" spans="3:4" x14ac:dyDescent="0.3">
      <c r="C217" t="s">
        <v>282</v>
      </c>
      <c r="D217" t="s">
        <v>4768</v>
      </c>
    </row>
    <row r="218" spans="3:4" x14ac:dyDescent="0.3">
      <c r="C218" t="s">
        <v>285</v>
      </c>
      <c r="D218" t="s">
        <v>4767</v>
      </c>
    </row>
    <row r="219" spans="3:4" x14ac:dyDescent="0.3">
      <c r="C219" t="s">
        <v>298</v>
      </c>
      <c r="D219" t="s">
        <v>4770</v>
      </c>
    </row>
    <row r="220" spans="3:4" x14ac:dyDescent="0.3">
      <c r="C220" t="s">
        <v>311</v>
      </c>
      <c r="D220" t="s">
        <v>4767</v>
      </c>
    </row>
    <row r="221" spans="3:4" x14ac:dyDescent="0.3">
      <c r="C221" t="s">
        <v>315</v>
      </c>
      <c r="D221" t="s">
        <v>4767</v>
      </c>
    </row>
    <row r="222" spans="3:4" x14ac:dyDescent="0.3">
      <c r="C222" t="s">
        <v>319</v>
      </c>
      <c r="D222" t="s">
        <v>4768</v>
      </c>
    </row>
    <row r="223" spans="3:4" x14ac:dyDescent="0.3">
      <c r="C223" t="s">
        <v>321</v>
      </c>
      <c r="D223" t="s">
        <v>4770</v>
      </c>
    </row>
    <row r="224" spans="3:4" x14ac:dyDescent="0.3">
      <c r="C224" t="s">
        <v>334</v>
      </c>
      <c r="D224" t="s">
        <v>4770</v>
      </c>
    </row>
    <row r="225" spans="3:4" x14ac:dyDescent="0.3">
      <c r="C225" t="s">
        <v>336</v>
      </c>
      <c r="D225" t="s">
        <v>4767</v>
      </c>
    </row>
    <row r="226" spans="3:4" x14ac:dyDescent="0.3">
      <c r="C226" t="s">
        <v>370</v>
      </c>
      <c r="D226" t="s">
        <v>4770</v>
      </c>
    </row>
    <row r="227" spans="3:4" x14ac:dyDescent="0.3">
      <c r="C227" t="s">
        <v>400</v>
      </c>
      <c r="D227" t="s">
        <v>4767</v>
      </c>
    </row>
    <row r="228" spans="3:4" x14ac:dyDescent="0.3">
      <c r="C228" t="s">
        <v>418</v>
      </c>
      <c r="D228" t="s">
        <v>4770</v>
      </c>
    </row>
    <row r="229" spans="3:4" x14ac:dyDescent="0.3">
      <c r="C229" t="s">
        <v>420</v>
      </c>
      <c r="D229" t="s">
        <v>4768</v>
      </c>
    </row>
    <row r="230" spans="3:4" x14ac:dyDescent="0.3">
      <c r="C230" t="s">
        <v>426</v>
      </c>
      <c r="D230" t="s">
        <v>4765</v>
      </c>
    </row>
    <row r="231" spans="3:4" x14ac:dyDescent="0.3">
      <c r="C231" t="s">
        <v>430</v>
      </c>
      <c r="D231" t="s">
        <v>4770</v>
      </c>
    </row>
    <row r="232" spans="3:4" x14ac:dyDescent="0.3">
      <c r="C232" t="s">
        <v>433</v>
      </c>
      <c r="D232" t="s">
        <v>4770</v>
      </c>
    </row>
    <row r="233" spans="3:4" x14ac:dyDescent="0.3">
      <c r="C233" t="s">
        <v>438</v>
      </c>
      <c r="D233" t="s">
        <v>4767</v>
      </c>
    </row>
    <row r="234" spans="3:4" x14ac:dyDescent="0.3">
      <c r="C234" t="s">
        <v>445</v>
      </c>
      <c r="D234" t="s">
        <v>4768</v>
      </c>
    </row>
    <row r="235" spans="3:4" x14ac:dyDescent="0.3">
      <c r="C235" t="s">
        <v>456</v>
      </c>
      <c r="D235" t="s">
        <v>4770</v>
      </c>
    </row>
    <row r="236" spans="3:4" x14ac:dyDescent="0.3">
      <c r="C236" t="s">
        <v>462</v>
      </c>
      <c r="D236" t="s">
        <v>4768</v>
      </c>
    </row>
    <row r="237" spans="3:4" x14ac:dyDescent="0.3">
      <c r="C237" t="s">
        <v>467</v>
      </c>
      <c r="D237" t="s">
        <v>4770</v>
      </c>
    </row>
    <row r="238" spans="3:4" x14ac:dyDescent="0.3">
      <c r="C238" t="s">
        <v>477</v>
      </c>
      <c r="D238" t="s">
        <v>4770</v>
      </c>
    </row>
    <row r="239" spans="3:4" x14ac:dyDescent="0.3">
      <c r="C239" t="s">
        <v>479</v>
      </c>
      <c r="D239" t="s">
        <v>4770</v>
      </c>
    </row>
    <row r="240" spans="3:4" x14ac:dyDescent="0.3">
      <c r="C240" t="s">
        <v>492</v>
      </c>
      <c r="D240" t="s">
        <v>4770</v>
      </c>
    </row>
    <row r="241" spans="3:4" x14ac:dyDescent="0.3">
      <c r="C241" t="s">
        <v>500</v>
      </c>
      <c r="D241" t="s">
        <v>4766</v>
      </c>
    </row>
    <row r="242" spans="3:4" x14ac:dyDescent="0.3">
      <c r="C242" t="s">
        <v>504</v>
      </c>
      <c r="D242" t="s">
        <v>4770</v>
      </c>
    </row>
    <row r="243" spans="3:4" x14ac:dyDescent="0.3">
      <c r="C243" t="s">
        <v>520</v>
      </c>
      <c r="D243" t="s">
        <v>4770</v>
      </c>
    </row>
    <row r="244" spans="3:4" x14ac:dyDescent="0.3">
      <c r="C244" t="s">
        <v>530</v>
      </c>
      <c r="D244" t="s">
        <v>4765</v>
      </c>
    </row>
    <row r="245" spans="3:4" x14ac:dyDescent="0.3">
      <c r="C245" t="s">
        <v>541</v>
      </c>
      <c r="D245" t="s">
        <v>4765</v>
      </c>
    </row>
    <row r="246" spans="3:4" x14ac:dyDescent="0.3">
      <c r="C246" t="s">
        <v>548</v>
      </c>
      <c r="D246" t="s">
        <v>4769</v>
      </c>
    </row>
    <row r="247" spans="3:4" x14ac:dyDescent="0.3">
      <c r="C247" t="s">
        <v>555</v>
      </c>
      <c r="D247" t="s">
        <v>4768</v>
      </c>
    </row>
    <row r="248" spans="3:4" x14ac:dyDescent="0.3">
      <c r="C248" t="s">
        <v>559</v>
      </c>
      <c r="D248" t="s">
        <v>4767</v>
      </c>
    </row>
    <row r="249" spans="3:4" x14ac:dyDescent="0.3">
      <c r="C249" t="s">
        <v>571</v>
      </c>
      <c r="D249" t="s">
        <v>4765</v>
      </c>
    </row>
    <row r="250" spans="3:4" x14ac:dyDescent="0.3">
      <c r="C250" t="s">
        <v>588</v>
      </c>
      <c r="D250" t="s">
        <v>4768</v>
      </c>
    </row>
    <row r="251" spans="3:4" x14ac:dyDescent="0.3">
      <c r="C251" t="s">
        <v>608</v>
      </c>
      <c r="D251" t="s">
        <v>4767</v>
      </c>
    </row>
    <row r="252" spans="3:4" x14ac:dyDescent="0.3">
      <c r="C252" t="s">
        <v>630</v>
      </c>
      <c r="D252" t="s">
        <v>4770</v>
      </c>
    </row>
    <row r="253" spans="3:4" x14ac:dyDescent="0.3">
      <c r="C253" t="s">
        <v>632</v>
      </c>
      <c r="D253" t="s">
        <v>4770</v>
      </c>
    </row>
    <row r="254" spans="3:4" x14ac:dyDescent="0.3">
      <c r="C254" t="s">
        <v>642</v>
      </c>
      <c r="D254" t="s">
        <v>4768</v>
      </c>
    </row>
    <row r="255" spans="3:4" x14ac:dyDescent="0.3">
      <c r="C255" t="s">
        <v>644</v>
      </c>
      <c r="D255" t="s">
        <v>4770</v>
      </c>
    </row>
    <row r="256" spans="3:4" x14ac:dyDescent="0.3">
      <c r="C256" t="s">
        <v>656</v>
      </c>
      <c r="D256" t="s">
        <v>4768</v>
      </c>
    </row>
    <row r="257" spans="3:4" x14ac:dyDescent="0.3">
      <c r="C257" t="s">
        <v>663</v>
      </c>
      <c r="D257" t="s">
        <v>4769</v>
      </c>
    </row>
    <row r="258" spans="3:4" x14ac:dyDescent="0.3">
      <c r="C258" t="s">
        <v>679</v>
      </c>
      <c r="D258" t="s">
        <v>4770</v>
      </c>
    </row>
    <row r="259" spans="3:4" x14ac:dyDescent="0.3">
      <c r="C259" t="s">
        <v>681</v>
      </c>
      <c r="D259" t="s">
        <v>4770</v>
      </c>
    </row>
    <row r="260" spans="3:4" x14ac:dyDescent="0.3">
      <c r="C260" t="s">
        <v>683</v>
      </c>
      <c r="D260" t="s">
        <v>4765</v>
      </c>
    </row>
  </sheetData>
  <phoneticPr fontId="3"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8966AF-9EE3-4F42-A0AE-A5E11D68FAD2}">
  <dimension ref="A1:AN199"/>
  <sheetViews>
    <sheetView workbookViewId="0">
      <pane xSplit="1" ySplit="1" topLeftCell="B2" activePane="bottomRight" state="frozen"/>
      <selection pane="topRight" activeCell="B1" sqref="B1"/>
      <selection pane="bottomLeft" activeCell="A2" sqref="A2"/>
      <selection pane="bottomRight" activeCell="C204" sqref="C204"/>
    </sheetView>
  </sheetViews>
  <sheetFormatPr defaultRowHeight="14.4" x14ac:dyDescent="0.3"/>
  <cols>
    <col min="2" max="2" width="23" customWidth="1"/>
    <col min="3" max="17" width="10.77734375" customWidth="1"/>
    <col min="18" max="18" width="17.33203125" customWidth="1"/>
    <col min="19" max="19" width="10.77734375" customWidth="1"/>
    <col min="20" max="20" width="18.6640625" customWidth="1"/>
    <col min="21" max="21" width="10.77734375" customWidth="1"/>
    <col min="22" max="22" width="27.6640625" customWidth="1"/>
    <col min="23" max="31" width="10.77734375" customWidth="1"/>
  </cols>
  <sheetData>
    <row r="1" spans="1:40" x14ac:dyDescent="0.3">
      <c r="A1" t="str">
        <f>polities_whep!A1</f>
        <v>polity_code</v>
      </c>
      <c r="B1" t="str">
        <f>polities_whep!B1</f>
        <v>polity_name</v>
      </c>
      <c r="C1" t="str">
        <f>regions_full!C1</f>
        <v>V1</v>
      </c>
      <c r="D1" t="str">
        <f>regions_full!D1</f>
        <v>code</v>
      </c>
      <c r="E1" t="str">
        <f>regions_full!E1</f>
        <v>iso3c</v>
      </c>
      <c r="F1" t="str">
        <f>regions_full!F1</f>
        <v>FAOSTAT_name</v>
      </c>
      <c r="G1" t="str">
        <f>regions_full!G1</f>
        <v>EU27</v>
      </c>
      <c r="H1" t="str">
        <f>regions_full!H1</f>
        <v>name</v>
      </c>
      <c r="I1" t="str">
        <f>regions_full!I1</f>
        <v>eia</v>
      </c>
      <c r="J1" t="str">
        <f>regions_full!J1</f>
        <v>iea</v>
      </c>
      <c r="K1" t="str">
        <f>regions_full!K1</f>
        <v>water_code</v>
      </c>
      <c r="L1" t="str">
        <f>regions_full!L1</f>
        <v>water_area</v>
      </c>
      <c r="M1" t="str">
        <f>regions_full!M1</f>
        <v>baci</v>
      </c>
      <c r="N1" t="str">
        <f>regions_full!N1</f>
        <v>fish</v>
      </c>
      <c r="O1" t="str">
        <f>regions_full!O1</f>
        <v>region_code</v>
      </c>
      <c r="P1" t="str">
        <f>regions_full!P1</f>
        <v>cbs</v>
      </c>
      <c r="Q1" t="str">
        <f>regions_full!Q1</f>
        <v>fabio_code</v>
      </c>
      <c r="R1" t="str">
        <f>regions_full!R1</f>
        <v>ADB_Region</v>
      </c>
      <c r="S1" t="str">
        <f>regions_full!S1</f>
        <v>region</v>
      </c>
      <c r="T1" t="str">
        <f>regions_full!T1</f>
        <v>uISO3c</v>
      </c>
      <c r="U1" t="str">
        <f>regions_full!U1</f>
        <v>Lassaletta</v>
      </c>
      <c r="V1" t="str">
        <f>regions_full!V1</f>
        <v>region_krausmann</v>
      </c>
      <c r="W1" t="str">
        <f>regions_full!W1</f>
        <v>region_HANPP</v>
      </c>
      <c r="X1" t="str">
        <f>regions_full!X1</f>
        <v>region_krausmann2</v>
      </c>
      <c r="Y1" t="str">
        <f>regions_full!Y1</f>
        <v>region_UN_sub</v>
      </c>
      <c r="Z1" t="str">
        <f>regions_full!Z1</f>
        <v>region_UN</v>
      </c>
      <c r="AA1" t="str">
        <f>regions_full!AA1</f>
        <v>region_ILO1</v>
      </c>
      <c r="AB1" t="str">
        <f>regions_full!AB1</f>
        <v>region_ILO2</v>
      </c>
      <c r="AC1" t="str">
        <f>regions_full!AC1</f>
        <v>region_ILO3</v>
      </c>
      <c r="AD1" t="str">
        <f>regions_full!AD1</f>
        <v>region_IEA</v>
      </c>
      <c r="AE1" t="str">
        <f>regions_full!AE1</f>
        <v>region_IPCC</v>
      </c>
      <c r="AF1" t="str">
        <f>regions_full!AF1</f>
        <v>region_labour</v>
      </c>
      <c r="AG1" t="str">
        <f>regions_full!AG1</f>
        <v>region_labour_agg</v>
      </c>
      <c r="AH1" t="str">
        <f>regions_full!AH1</f>
        <v>region_labour_mech</v>
      </c>
      <c r="AI1" t="str">
        <f>regions_full!AI1</f>
        <v>region_test</v>
      </c>
      <c r="AJ1">
        <f>regions_full!AJ1</f>
        <v>0</v>
      </c>
      <c r="AK1">
        <f>regions_full!AK1</f>
        <v>0</v>
      </c>
      <c r="AL1">
        <f>regions_full!AL1</f>
        <v>0</v>
      </c>
      <c r="AM1">
        <f>regions_full!AM1</f>
        <v>0</v>
      </c>
      <c r="AN1">
        <f>regions_full!AN1</f>
        <v>0</v>
      </c>
    </row>
    <row r="2" spans="1:40" x14ac:dyDescent="0.3">
      <c r="A2" t="str">
        <f>polities_whep!A2</f>
        <v>AFG</v>
      </c>
      <c r="B2" t="str">
        <f>polities_whep!B2</f>
        <v>Afghanistan</v>
      </c>
      <c r="C2">
        <f>VLOOKUP($A2,regions_full!$A$2:$AI$267,MATCH(polities_cats!C$1,$A$1:$AN$1,0),0)</f>
        <v>2</v>
      </c>
      <c r="D2">
        <f>VLOOKUP($A2,regions_full!$A$2:$AI$267,MATCH(polities_cats!D$1,$A$1:$AN$1,0),0)</f>
        <v>2</v>
      </c>
      <c r="E2" t="str">
        <f>VLOOKUP($A2,regions_full!$A$2:$AI$267,MATCH(polities_cats!E$1,$A$1:$AN$1,0),0)</f>
        <v>AFG</v>
      </c>
      <c r="F2" t="str">
        <f>VLOOKUP($A2,regions_full!$A$2:$AI$267,MATCH(polities_cats!F$1,$A$1:$AN$1,0),0)</f>
        <v>Afghanistan</v>
      </c>
      <c r="G2" t="str">
        <f>VLOOKUP($A2,regions_full!$A$2:$AI$267,MATCH(polities_cats!G$1,$A$1:$AN$1,0),0)</f>
        <v>FALSE</v>
      </c>
      <c r="H2" t="str">
        <f>VLOOKUP($A2,regions_full!$A$2:$AI$267,MATCH(polities_cats!H$1,$A$1:$AN$1,0),0)</f>
        <v>Afghanistan</v>
      </c>
      <c r="I2" t="str">
        <f>VLOOKUP($A2,regions_full!$A$2:$AI$267,MATCH(polities_cats!I$1,$A$1:$AN$1,0),0)</f>
        <v>Afghanistan</v>
      </c>
      <c r="J2">
        <f>VLOOKUP($A2,regions_full!$A$2:$AI$267,MATCH(polities_cats!J$1,$A$1:$AN$1,0),0)</f>
        <v>0</v>
      </c>
      <c r="K2">
        <f>VLOOKUP($A2,regions_full!$A$2:$AI$267,MATCH(polities_cats!K$1,$A$1:$AN$1,0),0)</f>
        <v>2</v>
      </c>
      <c r="L2" t="str">
        <f>VLOOKUP($A2,regions_full!$A$2:$AI$267,MATCH(polities_cats!L$1,$A$1:$AN$1,0),0)</f>
        <v>Afghanistan</v>
      </c>
      <c r="M2">
        <f>VLOOKUP($A2,regions_full!$A$2:$AI$267,MATCH(polities_cats!M$1,$A$1:$AN$1,0),0)</f>
        <v>4</v>
      </c>
      <c r="N2">
        <f>VLOOKUP($A2,regions_full!$A$2:$AI$267,MATCH(polities_cats!N$1,$A$1:$AN$1,0),0)</f>
        <v>4</v>
      </c>
      <c r="O2">
        <f>VLOOKUP($A2,regions_full!$A$2:$AI$267,MATCH(polities_cats!O$1,$A$1:$AN$1,0),0)</f>
        <v>13</v>
      </c>
      <c r="P2" t="str">
        <f>VLOOKUP($A2,regions_full!$A$2:$AI$267,MATCH(polities_cats!P$1,$A$1:$AN$1,0),0)</f>
        <v>TRUE</v>
      </c>
      <c r="Q2">
        <f>VLOOKUP($A2,regions_full!$A$2:$AI$267,MATCH(polities_cats!Q$1,$A$1:$AN$1,0),0)</f>
        <v>2</v>
      </c>
      <c r="R2" t="str">
        <f>VLOOKUP($A2,regions_full!$A$2:$AI$267,MATCH(polities_cats!R$1,$A$1:$AN$1,0),0)</f>
        <v/>
      </c>
      <c r="S2" t="str">
        <f>VLOOKUP($A2,regions_full!$A$2:$AI$267,MATCH(polities_cats!S$1,$A$1:$AN$1,0),0)</f>
        <v>South Asia</v>
      </c>
      <c r="T2">
        <f>VLOOKUP($A2,regions_full!$A$2:$AI$267,MATCH(polities_cats!T$1,$A$1:$AN$1,0),0)</f>
        <v>1</v>
      </c>
      <c r="U2" t="str">
        <f>VLOOKUP($A2,regions_full!$A$2:$AI$267,MATCH(polities_cats!U$1,$A$1:$AN$1,0),0)</f>
        <v>Afghanistan</v>
      </c>
      <c r="V2" t="str">
        <f>VLOOKUP($A2,regions_full!$A$2:$AI$267,MATCH(polities_cats!V$1,$A$1:$AN$1,0),0)</f>
        <v>Southern Asia</v>
      </c>
      <c r="W2" t="str">
        <f>VLOOKUP($A2,regions_full!$A$2:$AI$267,MATCH(polities_cats!W$1,$A$1:$AN$1,0),0)</f>
        <v>South and Central Asia</v>
      </c>
      <c r="X2" t="str">
        <f>VLOOKUP($A2,regions_full!$A$2:$AI$267,MATCH(polities_cats!X$1,$A$1:$AN$1,0),0)</f>
        <v>Southern Asia</v>
      </c>
      <c r="Y2" t="str">
        <f>VLOOKUP($A2,regions_full!$A$2:$AI$267,MATCH(polities_cats!Y$1,$A$1:$AN$1,0),0)</f>
        <v>Southern Asia</v>
      </c>
      <c r="Z2" t="str">
        <f>VLOOKUP($A2,regions_full!$A$2:$AI$267,MATCH(polities_cats!Z$1,$A$1:$AN$1,0),0)</f>
        <v>Asia</v>
      </c>
      <c r="AA2" t="str">
        <f>VLOOKUP($A2,regions_full!$A$2:$AI$267,MATCH(polities_cats!AA$1,$A$1:$AN$1,0),0)</f>
        <v>Asia and the Pacific</v>
      </c>
      <c r="AB2" t="str">
        <f>VLOOKUP($A2,regions_full!$A$2:$AI$267,MATCH(polities_cats!AB$1,$A$1:$AN$1,0),0)</f>
        <v>Southern Asia</v>
      </c>
      <c r="AC2" t="str">
        <f>VLOOKUP($A2,regions_full!$A$2:$AI$267,MATCH(polities_cats!AC$1,$A$1:$AN$1,0),0)</f>
        <v>Southern Asia</v>
      </c>
      <c r="AD2" t="str">
        <f>VLOOKUP($A2,regions_full!$A$2:$AI$267,MATCH(polities_cats!AD$1,$A$1:$AN$1,0),0)</f>
        <v>Emerging</v>
      </c>
      <c r="AE2" t="str">
        <f>VLOOKUP($A2,regions_full!$A$2:$AI$267,MATCH(polities_cats!AE$1,$A$1:$AN$1,0),0)</f>
        <v>Annex_II</v>
      </c>
      <c r="AF2" t="str">
        <f>VLOOKUP($A2,regions_full!$A$2:$AI$267,MATCH(polities_cats!AF$1,$A$1:$AN$1,0),0)</f>
        <v>Southern Asia</v>
      </c>
      <c r="AG2" t="str">
        <f>VLOOKUP($A2,regions_full!$A$2:$AI$267,MATCH(polities_cats!AG$1,$A$1:$AN$1,0),0)</f>
        <v>SE-Asia</v>
      </c>
      <c r="AH2" t="str">
        <f>VLOOKUP($A2,regions_full!$A$2:$AI$267,MATCH(polities_cats!AH$1,$A$1:$AN$1,0),0)</f>
        <v>no_mech</v>
      </c>
      <c r="AI2" t="str">
        <f>VLOOKUP($A2,regions_full!$A$2:$AI$267,MATCH(polities_cats!AI$1,$A$1:$AN$1,0),0)</f>
        <v>Other</v>
      </c>
      <c r="AJ2" t="e">
        <f>VLOOKUP($A2,regions_full!$A$2:$AI$267,MATCH(polities_cats!AJ$1,$A$1:$AN$1,0),0)</f>
        <v>#REF!</v>
      </c>
      <c r="AK2" t="e">
        <f>VLOOKUP($A2,regions_full!$A$2:$AI$267,MATCH(polities_cats!AK$1,$A$1:$AN$1,0),0)</f>
        <v>#REF!</v>
      </c>
      <c r="AL2" t="e">
        <f>VLOOKUP($A2,regions_full!$A$2:$AI$267,MATCH(polities_cats!AL$1,$A$1:$AN$1,0),0)</f>
        <v>#REF!</v>
      </c>
      <c r="AM2" t="e">
        <f>VLOOKUP($A2,regions_full!$A$2:$AI$267,MATCH(polities_cats!AM$1,$A$1:$AN$1,0),0)</f>
        <v>#REF!</v>
      </c>
      <c r="AN2" t="e">
        <f>VLOOKUP($A2,regions_full!$A$2:$AI$267,MATCH(polities_cats!AN$1,$A$1:$AN$1,0),0)</f>
        <v>#REF!</v>
      </c>
    </row>
    <row r="3" spans="1:40" x14ac:dyDescent="0.3">
      <c r="A3" t="str">
        <f>polities_whep!A3</f>
        <v>ALB</v>
      </c>
      <c r="B3" t="str">
        <f>polities_whep!B3</f>
        <v>Albania</v>
      </c>
      <c r="C3">
        <f>VLOOKUP($A3,regions_full!$A$2:$AI$267,MATCH(polities_cats!C$1,$A$1:$AN$1,0),0)</f>
        <v>3</v>
      </c>
      <c r="D3">
        <f>VLOOKUP($A3,regions_full!$A$2:$AI$267,MATCH(polities_cats!D$1,$A$1:$AN$1,0),0)</f>
        <v>3</v>
      </c>
      <c r="E3" t="str">
        <f>VLOOKUP($A3,regions_full!$A$2:$AI$267,MATCH(polities_cats!E$1,$A$1:$AN$1,0),0)</f>
        <v>ALB</v>
      </c>
      <c r="F3" t="str">
        <f>VLOOKUP($A3,regions_full!$A$2:$AI$267,MATCH(polities_cats!F$1,$A$1:$AN$1,0),0)</f>
        <v>Albania</v>
      </c>
      <c r="G3" t="str">
        <f>VLOOKUP($A3,regions_full!$A$2:$AI$267,MATCH(polities_cats!G$1,$A$1:$AN$1,0),0)</f>
        <v>FALSE</v>
      </c>
      <c r="H3" t="str">
        <f>VLOOKUP($A3,regions_full!$A$2:$AI$267,MATCH(polities_cats!H$1,$A$1:$AN$1,0),0)</f>
        <v>Albania</v>
      </c>
      <c r="I3" t="str">
        <f>VLOOKUP($A3,regions_full!$A$2:$AI$267,MATCH(polities_cats!I$1,$A$1:$AN$1,0),0)</f>
        <v>Albania</v>
      </c>
      <c r="J3" t="str">
        <f>VLOOKUP($A3,regions_full!$A$2:$AI$267,MATCH(polities_cats!J$1,$A$1:$AN$1,0),0)</f>
        <v>Albania</v>
      </c>
      <c r="K3">
        <f>VLOOKUP($A3,regions_full!$A$2:$AI$267,MATCH(polities_cats!K$1,$A$1:$AN$1,0),0)</f>
        <v>3</v>
      </c>
      <c r="L3" t="str">
        <f>VLOOKUP($A3,regions_full!$A$2:$AI$267,MATCH(polities_cats!L$1,$A$1:$AN$1,0),0)</f>
        <v>Albania</v>
      </c>
      <c r="M3">
        <f>VLOOKUP($A3,regions_full!$A$2:$AI$267,MATCH(polities_cats!M$1,$A$1:$AN$1,0),0)</f>
        <v>8</v>
      </c>
      <c r="N3">
        <f>VLOOKUP($A3,regions_full!$A$2:$AI$267,MATCH(polities_cats!N$1,$A$1:$AN$1,0),0)</f>
        <v>8</v>
      </c>
      <c r="O3">
        <f>VLOOKUP($A3,regions_full!$A$2:$AI$267,MATCH(polities_cats!O$1,$A$1:$AN$1,0),0)</f>
        <v>10</v>
      </c>
      <c r="P3" t="str">
        <f>VLOOKUP($A3,regions_full!$A$2:$AI$267,MATCH(polities_cats!P$1,$A$1:$AN$1,0),0)</f>
        <v>TRUE</v>
      </c>
      <c r="Q3">
        <f>VLOOKUP($A3,regions_full!$A$2:$AI$267,MATCH(polities_cats!Q$1,$A$1:$AN$1,0),0)</f>
        <v>3</v>
      </c>
      <c r="R3" t="str">
        <f>VLOOKUP($A3,regions_full!$A$2:$AI$267,MATCH(polities_cats!R$1,$A$1:$AN$1,0),0)</f>
        <v/>
      </c>
      <c r="S3" t="str">
        <f>VLOOKUP($A3,regions_full!$A$2:$AI$267,MATCH(polities_cats!S$1,$A$1:$AN$1,0),0)</f>
        <v>Eastern Europe</v>
      </c>
      <c r="T3">
        <f>VLOOKUP($A3,regions_full!$A$2:$AI$267,MATCH(polities_cats!T$1,$A$1:$AN$1,0),0)</f>
        <v>1</v>
      </c>
      <c r="U3" t="str">
        <f>VLOOKUP($A3,regions_full!$A$2:$AI$267,MATCH(polities_cats!U$1,$A$1:$AN$1,0),0)</f>
        <v>Albania</v>
      </c>
      <c r="V3" t="str">
        <f>VLOOKUP($A3,regions_full!$A$2:$AI$267,MATCH(polities_cats!V$1,$A$1:$AN$1,0),0)</f>
        <v>Eastern and South Eastern Europe</v>
      </c>
      <c r="W3" t="str">
        <f>VLOOKUP($A3,regions_full!$A$2:$AI$267,MATCH(polities_cats!W$1,$A$1:$AN$1,0),0)</f>
        <v>East Europe</v>
      </c>
      <c r="X3" t="str">
        <f>VLOOKUP($A3,regions_full!$A$2:$AI$267,MATCH(polities_cats!X$1,$A$1:$AN$1,0),0)</f>
        <v>Europe</v>
      </c>
      <c r="Y3" t="str">
        <f>VLOOKUP($A3,regions_full!$A$2:$AI$267,MATCH(polities_cats!Y$1,$A$1:$AN$1,0),0)</f>
        <v>Southern Europe</v>
      </c>
      <c r="Z3" t="str">
        <f>VLOOKUP($A3,regions_full!$A$2:$AI$267,MATCH(polities_cats!Z$1,$A$1:$AN$1,0),0)</f>
        <v>Europe</v>
      </c>
      <c r="AA3" t="str">
        <f>VLOOKUP($A3,regions_full!$A$2:$AI$267,MATCH(polities_cats!AA$1,$A$1:$AN$1,0),0)</f>
        <v>Europe and Central Asia</v>
      </c>
      <c r="AB3" t="str">
        <f>VLOOKUP($A3,regions_full!$A$2:$AI$267,MATCH(polities_cats!AB$1,$A$1:$AN$1,0),0)</f>
        <v>Northern, Southern and Western Europe</v>
      </c>
      <c r="AC3" t="str">
        <f>VLOOKUP($A3,regions_full!$A$2:$AI$267,MATCH(polities_cats!AC$1,$A$1:$AN$1,0),0)</f>
        <v>Southern Europe</v>
      </c>
      <c r="AD3" t="str">
        <f>VLOOKUP($A3,regions_full!$A$2:$AI$267,MATCH(polities_cats!AD$1,$A$1:$AN$1,0),0)</f>
        <v>Emerging</v>
      </c>
      <c r="AE3" t="str">
        <f>VLOOKUP($A3,regions_full!$A$2:$AI$267,MATCH(polities_cats!AE$1,$A$1:$AN$1,0),0)</f>
        <v>Annex_II</v>
      </c>
      <c r="AF3" t="str">
        <f>VLOOKUP($A3,regions_full!$A$2:$AI$267,MATCH(polities_cats!AF$1,$A$1:$AN$1,0),0)</f>
        <v>Southern Europe</v>
      </c>
      <c r="AG3" t="str">
        <f>VLOOKUP($A3,regions_full!$A$2:$AI$267,MATCH(polities_cats!AG$1,$A$1:$AN$1,0),0)</f>
        <v>Europe</v>
      </c>
      <c r="AH3" t="str">
        <f>VLOOKUP($A3,regions_full!$A$2:$AI$267,MATCH(polities_cats!AH$1,$A$1:$AN$1,0),0)</f>
        <v>mech</v>
      </c>
      <c r="AI3" t="str">
        <f>VLOOKUP($A3,regions_full!$A$2:$AI$267,MATCH(polities_cats!AI$1,$A$1:$AN$1,0),0)</f>
        <v>Europe</v>
      </c>
      <c r="AJ3" t="e">
        <f>VLOOKUP($A3,regions_full!$A$2:$AI$267,MATCH(polities_cats!AJ$1,$A$1:$AN$1,0),0)</f>
        <v>#REF!</v>
      </c>
      <c r="AK3" t="e">
        <f>VLOOKUP($A3,regions_full!$A$2:$AI$267,MATCH(polities_cats!AK$1,$A$1:$AN$1,0),0)</f>
        <v>#REF!</v>
      </c>
      <c r="AL3" t="e">
        <f>VLOOKUP($A3,regions_full!$A$2:$AI$267,MATCH(polities_cats!AL$1,$A$1:$AN$1,0),0)</f>
        <v>#REF!</v>
      </c>
      <c r="AM3" t="e">
        <f>VLOOKUP($A3,regions_full!$A$2:$AI$267,MATCH(polities_cats!AM$1,$A$1:$AN$1,0),0)</f>
        <v>#REF!</v>
      </c>
      <c r="AN3" t="e">
        <f>VLOOKUP($A3,regions_full!$A$2:$AI$267,MATCH(polities_cats!AN$1,$A$1:$AN$1,0),0)</f>
        <v>#REF!</v>
      </c>
    </row>
    <row r="4" spans="1:40" x14ac:dyDescent="0.3">
      <c r="A4" t="str">
        <f>polities_whep!A4</f>
        <v>DZA</v>
      </c>
      <c r="B4" t="str">
        <f>polities_whep!B4</f>
        <v>Algeria</v>
      </c>
      <c r="C4">
        <f>VLOOKUP($A4,regions_full!$A$2:$AI$267,MATCH(polities_cats!C$1,$A$1:$AN$1,0),0)</f>
        <v>4</v>
      </c>
      <c r="D4">
        <f>VLOOKUP($A4,regions_full!$A$2:$AI$267,MATCH(polities_cats!D$1,$A$1:$AN$1,0),0)</f>
        <v>4</v>
      </c>
      <c r="E4" t="str">
        <f>VLOOKUP($A4,regions_full!$A$2:$AI$267,MATCH(polities_cats!E$1,$A$1:$AN$1,0),0)</f>
        <v>DZA</v>
      </c>
      <c r="F4" t="str">
        <f>VLOOKUP($A4,regions_full!$A$2:$AI$267,MATCH(polities_cats!F$1,$A$1:$AN$1,0),0)</f>
        <v>Algeria</v>
      </c>
      <c r="G4" t="str">
        <f>VLOOKUP($A4,regions_full!$A$2:$AI$267,MATCH(polities_cats!G$1,$A$1:$AN$1,0),0)</f>
        <v>FALSE</v>
      </c>
      <c r="H4" t="str">
        <f>VLOOKUP($A4,regions_full!$A$2:$AI$267,MATCH(polities_cats!H$1,$A$1:$AN$1,0),0)</f>
        <v>Algeria</v>
      </c>
      <c r="I4" t="str">
        <f>VLOOKUP($A4,regions_full!$A$2:$AI$267,MATCH(polities_cats!I$1,$A$1:$AN$1,0),0)</f>
        <v>Algeria</v>
      </c>
      <c r="J4" t="str">
        <f>VLOOKUP($A4,regions_full!$A$2:$AI$267,MATCH(polities_cats!J$1,$A$1:$AN$1,0),0)</f>
        <v>Algeria</v>
      </c>
      <c r="K4">
        <f>VLOOKUP($A4,regions_full!$A$2:$AI$267,MATCH(polities_cats!K$1,$A$1:$AN$1,0),0)</f>
        <v>4</v>
      </c>
      <c r="L4" t="str">
        <f>VLOOKUP($A4,regions_full!$A$2:$AI$267,MATCH(polities_cats!L$1,$A$1:$AN$1,0),0)</f>
        <v>Algeria</v>
      </c>
      <c r="M4">
        <f>VLOOKUP($A4,regions_full!$A$2:$AI$267,MATCH(polities_cats!M$1,$A$1:$AN$1,0),0)</f>
        <v>12</v>
      </c>
      <c r="N4">
        <f>VLOOKUP($A4,regions_full!$A$2:$AI$267,MATCH(polities_cats!N$1,$A$1:$AN$1,0),0)</f>
        <v>12</v>
      </c>
      <c r="O4">
        <f>VLOOKUP($A4,regions_full!$A$2:$AI$267,MATCH(polities_cats!O$1,$A$1:$AN$1,0),0)</f>
        <v>5</v>
      </c>
      <c r="P4" t="str">
        <f>VLOOKUP($A4,regions_full!$A$2:$AI$267,MATCH(polities_cats!P$1,$A$1:$AN$1,0),0)</f>
        <v>TRUE</v>
      </c>
      <c r="Q4">
        <f>VLOOKUP($A4,regions_full!$A$2:$AI$267,MATCH(polities_cats!Q$1,$A$1:$AN$1,0),0)</f>
        <v>4</v>
      </c>
      <c r="R4" t="str">
        <f>VLOOKUP($A4,regions_full!$A$2:$AI$267,MATCH(polities_cats!R$1,$A$1:$AN$1,0),0)</f>
        <v/>
      </c>
      <c r="S4" t="str">
        <f>VLOOKUP($A4,regions_full!$A$2:$AI$267,MATCH(polities_cats!S$1,$A$1:$AN$1,0),0)</f>
        <v>Northern Africa</v>
      </c>
      <c r="T4">
        <f>VLOOKUP($A4,regions_full!$A$2:$AI$267,MATCH(polities_cats!T$1,$A$1:$AN$1,0),0)</f>
        <v>1</v>
      </c>
      <c r="U4" t="str">
        <f>VLOOKUP($A4,regions_full!$A$2:$AI$267,MATCH(polities_cats!U$1,$A$1:$AN$1,0),0)</f>
        <v>Algeria</v>
      </c>
      <c r="V4" t="str">
        <f>VLOOKUP($A4,regions_full!$A$2:$AI$267,MATCH(polities_cats!V$1,$A$1:$AN$1,0),0)</f>
        <v>Northern Africa and Western Asia</v>
      </c>
      <c r="W4" t="str">
        <f>VLOOKUP($A4,regions_full!$A$2:$AI$267,MATCH(polities_cats!W$1,$A$1:$AN$1,0),0)</f>
        <v>North Africa and West Asia</v>
      </c>
      <c r="X4" t="str">
        <f>VLOOKUP($A4,regions_full!$A$2:$AI$267,MATCH(polities_cats!X$1,$A$1:$AN$1,0),0)</f>
        <v>MENA</v>
      </c>
      <c r="Y4" t="str">
        <f>VLOOKUP($A4,regions_full!$A$2:$AI$267,MATCH(polities_cats!Y$1,$A$1:$AN$1,0),0)</f>
        <v>Northern Africa</v>
      </c>
      <c r="Z4" t="str">
        <f>VLOOKUP($A4,regions_full!$A$2:$AI$267,MATCH(polities_cats!Z$1,$A$1:$AN$1,0),0)</f>
        <v>Africa</v>
      </c>
      <c r="AA4" t="str">
        <f>VLOOKUP($A4,regions_full!$A$2:$AI$267,MATCH(polities_cats!AA$1,$A$1:$AN$1,0),0)</f>
        <v>Africa</v>
      </c>
      <c r="AB4" t="str">
        <f>VLOOKUP($A4,regions_full!$A$2:$AI$267,MATCH(polities_cats!AB$1,$A$1:$AN$1,0),0)</f>
        <v>Northern Africa</v>
      </c>
      <c r="AC4" t="str">
        <f>VLOOKUP($A4,regions_full!$A$2:$AI$267,MATCH(polities_cats!AC$1,$A$1:$AN$1,0),0)</f>
        <v>Northern Africa</v>
      </c>
      <c r="AD4" t="str">
        <f>VLOOKUP($A4,regions_full!$A$2:$AI$267,MATCH(polities_cats!AD$1,$A$1:$AN$1,0),0)</f>
        <v>Emerging</v>
      </c>
      <c r="AE4" t="str">
        <f>VLOOKUP($A4,regions_full!$A$2:$AI$267,MATCH(polities_cats!AE$1,$A$1:$AN$1,0),0)</f>
        <v>Annex_II</v>
      </c>
      <c r="AF4" t="str">
        <f>VLOOKUP($A4,regions_full!$A$2:$AI$267,MATCH(polities_cats!AF$1,$A$1:$AN$1,0),0)</f>
        <v>Northern Africa</v>
      </c>
      <c r="AG4" t="str">
        <f>VLOOKUP($A4,regions_full!$A$2:$AI$267,MATCH(polities_cats!AG$1,$A$1:$AN$1,0),0)</f>
        <v>MENA</v>
      </c>
      <c r="AH4" t="str">
        <f>VLOOKUP($A4,regions_full!$A$2:$AI$267,MATCH(polities_cats!AH$1,$A$1:$AN$1,0),0)</f>
        <v>no_mech</v>
      </c>
      <c r="AI4" t="str">
        <f>VLOOKUP($A4,regions_full!$A$2:$AI$267,MATCH(polities_cats!AI$1,$A$1:$AN$1,0),0)</f>
        <v>Other</v>
      </c>
      <c r="AJ4" t="e">
        <f>VLOOKUP($A4,regions_full!$A$2:$AI$267,MATCH(polities_cats!AJ$1,$A$1:$AN$1,0),0)</f>
        <v>#REF!</v>
      </c>
      <c r="AK4" t="e">
        <f>VLOOKUP($A4,regions_full!$A$2:$AI$267,MATCH(polities_cats!AK$1,$A$1:$AN$1,0),0)</f>
        <v>#REF!</v>
      </c>
      <c r="AL4" t="e">
        <f>VLOOKUP($A4,regions_full!$A$2:$AI$267,MATCH(polities_cats!AL$1,$A$1:$AN$1,0),0)</f>
        <v>#REF!</v>
      </c>
      <c r="AM4" t="e">
        <f>VLOOKUP($A4,regions_full!$A$2:$AI$267,MATCH(polities_cats!AM$1,$A$1:$AN$1,0),0)</f>
        <v>#REF!</v>
      </c>
      <c r="AN4" t="e">
        <f>VLOOKUP($A4,regions_full!$A$2:$AI$267,MATCH(polities_cats!AN$1,$A$1:$AN$1,0),0)</f>
        <v>#REF!</v>
      </c>
    </row>
    <row r="5" spans="1:40" x14ac:dyDescent="0.3">
      <c r="A5" t="str">
        <f>polities_whep!A5</f>
        <v>AGO</v>
      </c>
      <c r="B5" t="str">
        <f>polities_whep!B5</f>
        <v>Angola</v>
      </c>
      <c r="C5">
        <f>VLOOKUP($A5,regions_full!$A$2:$AI$267,MATCH(polities_cats!C$1,$A$1:$AN$1,0),0)</f>
        <v>7</v>
      </c>
      <c r="D5">
        <f>VLOOKUP($A5,regions_full!$A$2:$AI$267,MATCH(polities_cats!D$1,$A$1:$AN$1,0),0)</f>
        <v>7</v>
      </c>
      <c r="E5" t="str">
        <f>VLOOKUP($A5,regions_full!$A$2:$AI$267,MATCH(polities_cats!E$1,$A$1:$AN$1,0),0)</f>
        <v>AGO</v>
      </c>
      <c r="F5" t="str">
        <f>VLOOKUP($A5,regions_full!$A$2:$AI$267,MATCH(polities_cats!F$1,$A$1:$AN$1,0),0)</f>
        <v>Angola</v>
      </c>
      <c r="G5" t="str">
        <f>VLOOKUP($A5,regions_full!$A$2:$AI$267,MATCH(polities_cats!G$1,$A$1:$AN$1,0),0)</f>
        <v>FALSE</v>
      </c>
      <c r="H5" t="str">
        <f>VLOOKUP($A5,regions_full!$A$2:$AI$267,MATCH(polities_cats!H$1,$A$1:$AN$1,0),0)</f>
        <v>Angola</v>
      </c>
      <c r="I5" t="str">
        <f>VLOOKUP($A5,regions_full!$A$2:$AI$267,MATCH(polities_cats!I$1,$A$1:$AN$1,0),0)</f>
        <v>Angola</v>
      </c>
      <c r="J5" t="str">
        <f>VLOOKUP($A5,regions_full!$A$2:$AI$267,MATCH(polities_cats!J$1,$A$1:$AN$1,0),0)</f>
        <v>Angola</v>
      </c>
      <c r="K5">
        <f>VLOOKUP($A5,regions_full!$A$2:$AI$267,MATCH(polities_cats!K$1,$A$1:$AN$1,0),0)</f>
        <v>7</v>
      </c>
      <c r="L5" t="str">
        <f>VLOOKUP($A5,regions_full!$A$2:$AI$267,MATCH(polities_cats!L$1,$A$1:$AN$1,0),0)</f>
        <v>Angola</v>
      </c>
      <c r="M5">
        <f>VLOOKUP($A5,regions_full!$A$2:$AI$267,MATCH(polities_cats!M$1,$A$1:$AN$1,0),0)</f>
        <v>24</v>
      </c>
      <c r="N5">
        <f>VLOOKUP($A5,regions_full!$A$2:$AI$267,MATCH(polities_cats!N$1,$A$1:$AN$1,0),0)</f>
        <v>24</v>
      </c>
      <c r="O5">
        <f>VLOOKUP($A5,regions_full!$A$2:$AI$267,MATCH(polities_cats!O$1,$A$1:$AN$1,0),0)</f>
        <v>8</v>
      </c>
      <c r="P5" t="str">
        <f>VLOOKUP($A5,regions_full!$A$2:$AI$267,MATCH(polities_cats!P$1,$A$1:$AN$1,0),0)</f>
        <v>TRUE</v>
      </c>
      <c r="Q5">
        <f>VLOOKUP($A5,regions_full!$A$2:$AI$267,MATCH(polities_cats!Q$1,$A$1:$AN$1,0),0)</f>
        <v>7</v>
      </c>
      <c r="R5" t="str">
        <f>VLOOKUP($A5,regions_full!$A$2:$AI$267,MATCH(polities_cats!R$1,$A$1:$AN$1,0),0)</f>
        <v/>
      </c>
      <c r="S5" t="str">
        <f>VLOOKUP($A5,regions_full!$A$2:$AI$267,MATCH(polities_cats!S$1,$A$1:$AN$1,0),0)</f>
        <v>Southern Africa</v>
      </c>
      <c r="T5">
        <f>VLOOKUP($A5,regions_full!$A$2:$AI$267,MATCH(polities_cats!T$1,$A$1:$AN$1,0),0)</f>
        <v>1</v>
      </c>
      <c r="U5" t="str">
        <f>VLOOKUP($A5,regions_full!$A$2:$AI$267,MATCH(polities_cats!U$1,$A$1:$AN$1,0),0)</f>
        <v>Angola</v>
      </c>
      <c r="V5" t="str">
        <f>VLOOKUP($A5,regions_full!$A$2:$AI$267,MATCH(polities_cats!V$1,$A$1:$AN$1,0),0)</f>
        <v>Subsaharan Africa</v>
      </c>
      <c r="W5" t="str">
        <f>VLOOKUP($A5,regions_full!$A$2:$AI$267,MATCH(polities_cats!W$1,$A$1:$AN$1,0),0)</f>
        <v>Sub-saharan Africa</v>
      </c>
      <c r="X5" t="str">
        <f>VLOOKUP($A5,regions_full!$A$2:$AI$267,MATCH(polities_cats!X$1,$A$1:$AN$1,0),0)</f>
        <v>SSA</v>
      </c>
      <c r="Y5" t="str">
        <f>VLOOKUP($A5,regions_full!$A$2:$AI$267,MATCH(polities_cats!Y$1,$A$1:$AN$1,0),0)</f>
        <v>Sub-Saharan Africa</v>
      </c>
      <c r="Z5" t="str">
        <f>VLOOKUP($A5,regions_full!$A$2:$AI$267,MATCH(polities_cats!Z$1,$A$1:$AN$1,0),0)</f>
        <v>Africa</v>
      </c>
      <c r="AA5" t="str">
        <f>VLOOKUP($A5,regions_full!$A$2:$AI$267,MATCH(polities_cats!AA$1,$A$1:$AN$1,0),0)</f>
        <v>Africa</v>
      </c>
      <c r="AB5" t="str">
        <f>VLOOKUP($A5,regions_full!$A$2:$AI$267,MATCH(polities_cats!AB$1,$A$1:$AN$1,0),0)</f>
        <v>Sub-Saharan Africa</v>
      </c>
      <c r="AC5" t="str">
        <f>VLOOKUP($A5,regions_full!$A$2:$AI$267,MATCH(polities_cats!AC$1,$A$1:$AN$1,0),0)</f>
        <v>Central Africa</v>
      </c>
      <c r="AD5" t="str">
        <f>VLOOKUP($A5,regions_full!$A$2:$AI$267,MATCH(polities_cats!AD$1,$A$1:$AN$1,0),0)</f>
        <v>Emerging</v>
      </c>
      <c r="AE5" t="str">
        <f>VLOOKUP($A5,regions_full!$A$2:$AI$267,MATCH(polities_cats!AE$1,$A$1:$AN$1,0),0)</f>
        <v>Annex_II</v>
      </c>
      <c r="AF5" t="str">
        <f>VLOOKUP($A5,regions_full!$A$2:$AI$267,MATCH(polities_cats!AF$1,$A$1:$AN$1,0),0)</f>
        <v>Middle Africa</v>
      </c>
      <c r="AG5" t="str">
        <f>VLOOKUP($A5,regions_full!$A$2:$AI$267,MATCH(polities_cats!AG$1,$A$1:$AN$1,0),0)</f>
        <v>SAA</v>
      </c>
      <c r="AH5" t="str">
        <f>VLOOKUP($A5,regions_full!$A$2:$AI$267,MATCH(polities_cats!AH$1,$A$1:$AN$1,0),0)</f>
        <v>Middle Africa</v>
      </c>
      <c r="AI5" t="str">
        <f>VLOOKUP($A5,regions_full!$A$2:$AI$267,MATCH(polities_cats!AI$1,$A$1:$AN$1,0),0)</f>
        <v>Other</v>
      </c>
      <c r="AJ5" t="e">
        <f>VLOOKUP($A5,regions_full!$A$2:$AI$267,MATCH(polities_cats!AJ$1,$A$1:$AN$1,0),0)</f>
        <v>#REF!</v>
      </c>
      <c r="AK5" t="e">
        <f>VLOOKUP($A5,regions_full!$A$2:$AI$267,MATCH(polities_cats!AK$1,$A$1:$AN$1,0),0)</f>
        <v>#REF!</v>
      </c>
      <c r="AL5" t="e">
        <f>VLOOKUP($A5,regions_full!$A$2:$AI$267,MATCH(polities_cats!AL$1,$A$1:$AN$1,0),0)</f>
        <v>#REF!</v>
      </c>
      <c r="AM5" t="e">
        <f>VLOOKUP($A5,regions_full!$A$2:$AI$267,MATCH(polities_cats!AM$1,$A$1:$AN$1,0),0)</f>
        <v>#REF!</v>
      </c>
      <c r="AN5" t="e">
        <f>VLOOKUP($A5,regions_full!$A$2:$AI$267,MATCH(polities_cats!AN$1,$A$1:$AN$1,0),0)</f>
        <v>#REF!</v>
      </c>
    </row>
    <row r="6" spans="1:40" x14ac:dyDescent="0.3">
      <c r="A6" t="str">
        <f>polities_whep!A6</f>
        <v>ATG</v>
      </c>
      <c r="B6" t="str">
        <f>polities_whep!B6</f>
        <v>Antigua and Barbuda</v>
      </c>
      <c r="C6">
        <f>VLOOKUP($A6,regions_full!$A$2:$AI$267,MATCH(polities_cats!C$1,$A$1:$AN$1,0),0)</f>
        <v>8</v>
      </c>
      <c r="D6">
        <f>VLOOKUP($A6,regions_full!$A$2:$AI$267,MATCH(polities_cats!D$1,$A$1:$AN$1,0),0)</f>
        <v>8</v>
      </c>
      <c r="E6" t="str">
        <f>VLOOKUP($A6,regions_full!$A$2:$AI$267,MATCH(polities_cats!E$1,$A$1:$AN$1,0),0)</f>
        <v>ATG</v>
      </c>
      <c r="F6" t="str">
        <f>VLOOKUP($A6,regions_full!$A$2:$AI$267,MATCH(polities_cats!F$1,$A$1:$AN$1,0),0)</f>
        <v>Antigua and Barbuda</v>
      </c>
      <c r="G6" t="str">
        <f>VLOOKUP($A6,regions_full!$A$2:$AI$267,MATCH(polities_cats!G$1,$A$1:$AN$1,0),0)</f>
        <v>FALSE</v>
      </c>
      <c r="H6" t="str">
        <f>VLOOKUP($A6,regions_full!$A$2:$AI$267,MATCH(polities_cats!H$1,$A$1:$AN$1,0),0)</f>
        <v>Antigua and Barbuda</v>
      </c>
      <c r="I6" t="str">
        <f>VLOOKUP($A6,regions_full!$A$2:$AI$267,MATCH(polities_cats!I$1,$A$1:$AN$1,0),0)</f>
        <v>Antigua and Barbuda</v>
      </c>
      <c r="J6">
        <f>VLOOKUP($A6,regions_full!$A$2:$AI$267,MATCH(polities_cats!J$1,$A$1:$AN$1,0),0)</f>
        <v>0</v>
      </c>
      <c r="K6">
        <f>VLOOKUP($A6,regions_full!$A$2:$AI$267,MATCH(polities_cats!K$1,$A$1:$AN$1,0),0)</f>
        <v>8</v>
      </c>
      <c r="L6" t="str">
        <f>VLOOKUP($A6,regions_full!$A$2:$AI$267,MATCH(polities_cats!L$1,$A$1:$AN$1,0),0)</f>
        <v>Antigua and Barbuda</v>
      </c>
      <c r="M6">
        <f>VLOOKUP($A6,regions_full!$A$2:$AI$267,MATCH(polities_cats!M$1,$A$1:$AN$1,0),0)</f>
        <v>28</v>
      </c>
      <c r="N6">
        <f>VLOOKUP($A6,regions_full!$A$2:$AI$267,MATCH(polities_cats!N$1,$A$1:$AN$1,0),0)</f>
        <v>28</v>
      </c>
      <c r="O6">
        <f>VLOOKUP($A6,regions_full!$A$2:$AI$267,MATCH(polities_cats!O$1,$A$1:$AN$1,0),0)</f>
        <v>3</v>
      </c>
      <c r="P6" t="str">
        <f>VLOOKUP($A6,regions_full!$A$2:$AI$267,MATCH(polities_cats!P$1,$A$1:$AN$1,0),0)</f>
        <v>TRUE</v>
      </c>
      <c r="Q6">
        <f>VLOOKUP($A6,regions_full!$A$2:$AI$267,MATCH(polities_cats!Q$1,$A$1:$AN$1,0),0)</f>
        <v>8</v>
      </c>
      <c r="R6" t="str">
        <f>VLOOKUP($A6,regions_full!$A$2:$AI$267,MATCH(polities_cats!R$1,$A$1:$AN$1,0),0)</f>
        <v/>
      </c>
      <c r="S6" t="str">
        <f>VLOOKUP($A6,regions_full!$A$2:$AI$267,MATCH(polities_cats!S$1,$A$1:$AN$1,0),0)</f>
        <v>Central America</v>
      </c>
      <c r="T6">
        <f>VLOOKUP($A6,regions_full!$A$2:$AI$267,MATCH(polities_cats!T$1,$A$1:$AN$1,0),0)</f>
        <v>1</v>
      </c>
      <c r="U6" t="str">
        <f>VLOOKUP($A6,regions_full!$A$2:$AI$267,MATCH(polities_cats!U$1,$A$1:$AN$1,0),0)</f>
        <v>Antigua and Barbuda</v>
      </c>
      <c r="V6" t="str">
        <f>VLOOKUP($A6,regions_full!$A$2:$AI$267,MATCH(polities_cats!V$1,$A$1:$AN$1,0),0)</f>
        <v>Latin America and the Caribbean</v>
      </c>
      <c r="W6" t="str">
        <f>VLOOKUP($A6,regions_full!$A$2:$AI$267,MATCH(polities_cats!W$1,$A$1:$AN$1,0),0)</f>
        <v>Latin America and Caribbean</v>
      </c>
      <c r="X6" t="str">
        <f>VLOOKUP($A6,regions_full!$A$2:$AI$267,MATCH(polities_cats!X$1,$A$1:$AN$1,0),0)</f>
        <v>LACA</v>
      </c>
      <c r="Y6" t="str">
        <f>VLOOKUP($A6,regions_full!$A$2:$AI$267,MATCH(polities_cats!Y$1,$A$1:$AN$1,0),0)</f>
        <v>Latin America and the Caribbean</v>
      </c>
      <c r="Z6" t="str">
        <f>VLOOKUP($A6,regions_full!$A$2:$AI$267,MATCH(polities_cats!Z$1,$A$1:$AN$1,0),0)</f>
        <v>Americas</v>
      </c>
      <c r="AA6" t="str">
        <f>VLOOKUP($A6,regions_full!$A$2:$AI$267,MATCH(polities_cats!AA$1,$A$1:$AN$1,0),0)</f>
        <v>Americas</v>
      </c>
      <c r="AB6" t="str">
        <f>VLOOKUP($A6,regions_full!$A$2:$AI$267,MATCH(polities_cats!AB$1,$A$1:$AN$1,0),0)</f>
        <v>Latin America and the Caribbean</v>
      </c>
      <c r="AC6" t="str">
        <f>VLOOKUP($A6,regions_full!$A$2:$AI$267,MATCH(polities_cats!AC$1,$A$1:$AN$1,0),0)</f>
        <v>Caribbean</v>
      </c>
      <c r="AD6" t="str">
        <f>VLOOKUP($A6,regions_full!$A$2:$AI$267,MATCH(polities_cats!AD$1,$A$1:$AN$1,0),0)</f>
        <v>Emerging</v>
      </c>
      <c r="AE6" t="str">
        <f>VLOOKUP($A6,regions_full!$A$2:$AI$267,MATCH(polities_cats!AE$1,$A$1:$AN$1,0),0)</f>
        <v>Annex_II</v>
      </c>
      <c r="AF6" t="str">
        <f>VLOOKUP($A6,regions_full!$A$2:$AI$267,MATCH(polities_cats!AF$1,$A$1:$AN$1,0),0)</f>
        <v>Caribbean &amp; Centra Am.</v>
      </c>
      <c r="AG6" t="str">
        <f>VLOOKUP($A6,regions_full!$A$2:$AI$267,MATCH(polities_cats!AG$1,$A$1:$AN$1,0),0)</f>
        <v>LACA</v>
      </c>
      <c r="AH6" t="str">
        <f>VLOOKUP($A6,regions_full!$A$2:$AI$267,MATCH(polities_cats!AH$1,$A$1:$AN$1,0),0)</f>
        <v>no_mech</v>
      </c>
      <c r="AI6" t="str">
        <f>VLOOKUP($A6,regions_full!$A$2:$AI$267,MATCH(polities_cats!AI$1,$A$1:$AN$1,0),0)</f>
        <v>Other</v>
      </c>
      <c r="AJ6" t="e">
        <f>VLOOKUP($A6,regions_full!$A$2:$AI$267,MATCH(polities_cats!AJ$1,$A$1:$AN$1,0),0)</f>
        <v>#REF!</v>
      </c>
      <c r="AK6" t="e">
        <f>VLOOKUP($A6,regions_full!$A$2:$AI$267,MATCH(polities_cats!AK$1,$A$1:$AN$1,0),0)</f>
        <v>#REF!</v>
      </c>
      <c r="AL6" t="e">
        <f>VLOOKUP($A6,regions_full!$A$2:$AI$267,MATCH(polities_cats!AL$1,$A$1:$AN$1,0),0)</f>
        <v>#REF!</v>
      </c>
      <c r="AM6" t="e">
        <f>VLOOKUP($A6,regions_full!$A$2:$AI$267,MATCH(polities_cats!AM$1,$A$1:$AN$1,0),0)</f>
        <v>#REF!</v>
      </c>
      <c r="AN6" t="e">
        <f>VLOOKUP($A6,regions_full!$A$2:$AI$267,MATCH(polities_cats!AN$1,$A$1:$AN$1,0),0)</f>
        <v>#REF!</v>
      </c>
    </row>
    <row r="7" spans="1:40" x14ac:dyDescent="0.3">
      <c r="A7" t="str">
        <f>polities_whep!A7</f>
        <v>ARG</v>
      </c>
      <c r="B7" t="str">
        <f>polities_whep!B7</f>
        <v>Argentina</v>
      </c>
      <c r="C7">
        <f>VLOOKUP($A7,regions_full!$A$2:$AI$267,MATCH(polities_cats!C$1,$A$1:$AN$1,0),0)</f>
        <v>9</v>
      </c>
      <c r="D7">
        <f>VLOOKUP($A7,regions_full!$A$2:$AI$267,MATCH(polities_cats!D$1,$A$1:$AN$1,0),0)</f>
        <v>9</v>
      </c>
      <c r="E7" t="str">
        <f>VLOOKUP($A7,regions_full!$A$2:$AI$267,MATCH(polities_cats!E$1,$A$1:$AN$1,0),0)</f>
        <v>ARG</v>
      </c>
      <c r="F7" t="str">
        <f>VLOOKUP($A7,regions_full!$A$2:$AI$267,MATCH(polities_cats!F$1,$A$1:$AN$1,0),0)</f>
        <v>Argentina</v>
      </c>
      <c r="G7" t="str">
        <f>VLOOKUP($A7,regions_full!$A$2:$AI$267,MATCH(polities_cats!G$1,$A$1:$AN$1,0),0)</f>
        <v>FALSE</v>
      </c>
      <c r="H7" t="str">
        <f>VLOOKUP($A7,regions_full!$A$2:$AI$267,MATCH(polities_cats!H$1,$A$1:$AN$1,0),0)</f>
        <v>Argentina</v>
      </c>
      <c r="I7" t="str">
        <f>VLOOKUP($A7,regions_full!$A$2:$AI$267,MATCH(polities_cats!I$1,$A$1:$AN$1,0),0)</f>
        <v>Argentina</v>
      </c>
      <c r="J7" t="str">
        <f>VLOOKUP($A7,regions_full!$A$2:$AI$267,MATCH(polities_cats!J$1,$A$1:$AN$1,0),0)</f>
        <v>Argentina</v>
      </c>
      <c r="K7">
        <f>VLOOKUP($A7,regions_full!$A$2:$AI$267,MATCH(polities_cats!K$1,$A$1:$AN$1,0),0)</f>
        <v>9</v>
      </c>
      <c r="L7" t="str">
        <f>VLOOKUP($A7,regions_full!$A$2:$AI$267,MATCH(polities_cats!L$1,$A$1:$AN$1,0),0)</f>
        <v>Argentina</v>
      </c>
      <c r="M7">
        <f>VLOOKUP($A7,regions_full!$A$2:$AI$267,MATCH(polities_cats!M$1,$A$1:$AN$1,0),0)</f>
        <v>32</v>
      </c>
      <c r="N7">
        <f>VLOOKUP($A7,regions_full!$A$2:$AI$267,MATCH(polities_cats!N$1,$A$1:$AN$1,0),0)</f>
        <v>32</v>
      </c>
      <c r="O7">
        <f>VLOOKUP($A7,regions_full!$A$2:$AI$267,MATCH(polities_cats!O$1,$A$1:$AN$1,0),0)</f>
        <v>4</v>
      </c>
      <c r="P7" t="str">
        <f>VLOOKUP($A7,regions_full!$A$2:$AI$267,MATCH(polities_cats!P$1,$A$1:$AN$1,0),0)</f>
        <v>TRUE</v>
      </c>
      <c r="Q7">
        <f>VLOOKUP($A7,regions_full!$A$2:$AI$267,MATCH(polities_cats!Q$1,$A$1:$AN$1,0),0)</f>
        <v>9</v>
      </c>
      <c r="R7" t="str">
        <f>VLOOKUP($A7,regions_full!$A$2:$AI$267,MATCH(polities_cats!R$1,$A$1:$AN$1,0),0)</f>
        <v/>
      </c>
      <c r="S7" t="str">
        <f>VLOOKUP($A7,regions_full!$A$2:$AI$267,MATCH(polities_cats!S$1,$A$1:$AN$1,0),0)</f>
        <v>South America</v>
      </c>
      <c r="T7">
        <f>VLOOKUP($A7,regions_full!$A$2:$AI$267,MATCH(polities_cats!T$1,$A$1:$AN$1,0),0)</f>
        <v>1</v>
      </c>
      <c r="U7" t="str">
        <f>VLOOKUP($A7,regions_full!$A$2:$AI$267,MATCH(polities_cats!U$1,$A$1:$AN$1,0),0)</f>
        <v>Argentina</v>
      </c>
      <c r="V7" t="str">
        <f>VLOOKUP($A7,regions_full!$A$2:$AI$267,MATCH(polities_cats!V$1,$A$1:$AN$1,0),0)</f>
        <v>Latin America and the Caribbean</v>
      </c>
      <c r="W7" t="str">
        <f>VLOOKUP($A7,regions_full!$A$2:$AI$267,MATCH(polities_cats!W$1,$A$1:$AN$1,0),0)</f>
        <v>Latin America and Caribbean</v>
      </c>
      <c r="X7" t="str">
        <f>VLOOKUP($A7,regions_full!$A$2:$AI$267,MATCH(polities_cats!X$1,$A$1:$AN$1,0),0)</f>
        <v>LACA</v>
      </c>
      <c r="Y7" t="str">
        <f>VLOOKUP($A7,regions_full!$A$2:$AI$267,MATCH(polities_cats!Y$1,$A$1:$AN$1,0),0)</f>
        <v>Latin America and the Caribbean</v>
      </c>
      <c r="Z7" t="str">
        <f>VLOOKUP($A7,regions_full!$A$2:$AI$267,MATCH(polities_cats!Z$1,$A$1:$AN$1,0),0)</f>
        <v>Americas</v>
      </c>
      <c r="AA7" t="str">
        <f>VLOOKUP($A7,regions_full!$A$2:$AI$267,MATCH(polities_cats!AA$1,$A$1:$AN$1,0),0)</f>
        <v>Americas</v>
      </c>
      <c r="AB7" t="str">
        <f>VLOOKUP($A7,regions_full!$A$2:$AI$267,MATCH(polities_cats!AB$1,$A$1:$AN$1,0),0)</f>
        <v>Latin America and the Caribbean</v>
      </c>
      <c r="AC7" t="str">
        <f>VLOOKUP($A7,regions_full!$A$2:$AI$267,MATCH(polities_cats!AC$1,$A$1:$AN$1,0),0)</f>
        <v>South America</v>
      </c>
      <c r="AD7" t="str">
        <f>VLOOKUP($A7,regions_full!$A$2:$AI$267,MATCH(polities_cats!AD$1,$A$1:$AN$1,0),0)</f>
        <v>Emerging</v>
      </c>
      <c r="AE7" t="str">
        <f>VLOOKUP($A7,regions_full!$A$2:$AI$267,MATCH(polities_cats!AE$1,$A$1:$AN$1,0),0)</f>
        <v>Annex_II</v>
      </c>
      <c r="AF7" t="str">
        <f>VLOOKUP($A7,regions_full!$A$2:$AI$267,MATCH(polities_cats!AF$1,$A$1:$AN$1,0),0)</f>
        <v>South America - South Cone</v>
      </c>
      <c r="AG7" t="str">
        <f>VLOOKUP($A7,regions_full!$A$2:$AI$267,MATCH(polities_cats!AG$1,$A$1:$AN$1,0),0)</f>
        <v>LACA</v>
      </c>
      <c r="AH7" t="str">
        <f>VLOOKUP($A7,regions_full!$A$2:$AI$267,MATCH(polities_cats!AH$1,$A$1:$AN$1,0),0)</f>
        <v>mech</v>
      </c>
      <c r="AI7" t="str">
        <f>VLOOKUP($A7,regions_full!$A$2:$AI$267,MATCH(polities_cats!AI$1,$A$1:$AN$1,0),0)</f>
        <v>Other</v>
      </c>
      <c r="AJ7" t="e">
        <f>VLOOKUP($A7,regions_full!$A$2:$AI$267,MATCH(polities_cats!AJ$1,$A$1:$AN$1,0),0)</f>
        <v>#REF!</v>
      </c>
      <c r="AK7" t="e">
        <f>VLOOKUP($A7,regions_full!$A$2:$AI$267,MATCH(polities_cats!AK$1,$A$1:$AN$1,0),0)</f>
        <v>#REF!</v>
      </c>
      <c r="AL7" t="e">
        <f>VLOOKUP($A7,regions_full!$A$2:$AI$267,MATCH(polities_cats!AL$1,$A$1:$AN$1,0),0)</f>
        <v>#REF!</v>
      </c>
      <c r="AM7" t="e">
        <f>VLOOKUP($A7,regions_full!$A$2:$AI$267,MATCH(polities_cats!AM$1,$A$1:$AN$1,0),0)</f>
        <v>#REF!</v>
      </c>
      <c r="AN7" t="e">
        <f>VLOOKUP($A7,regions_full!$A$2:$AI$267,MATCH(polities_cats!AN$1,$A$1:$AN$1,0),0)</f>
        <v>#REF!</v>
      </c>
    </row>
    <row r="8" spans="1:40" x14ac:dyDescent="0.3">
      <c r="A8" t="str">
        <f>polities_whep!A8</f>
        <v>ARM</v>
      </c>
      <c r="B8" t="str">
        <f>polities_whep!B8</f>
        <v>Armenia</v>
      </c>
      <c r="C8">
        <f>VLOOKUP($A8,regions_full!$A$2:$AI$267,MATCH(polities_cats!C$1,$A$1:$AN$1,0),0)</f>
        <v>1</v>
      </c>
      <c r="D8">
        <f>VLOOKUP($A8,regions_full!$A$2:$AI$267,MATCH(polities_cats!D$1,$A$1:$AN$1,0),0)</f>
        <v>1</v>
      </c>
      <c r="E8" t="str">
        <f>VLOOKUP($A8,regions_full!$A$2:$AI$267,MATCH(polities_cats!E$1,$A$1:$AN$1,0),0)</f>
        <v>ARM</v>
      </c>
      <c r="F8" t="str">
        <f>VLOOKUP($A8,regions_full!$A$2:$AI$267,MATCH(polities_cats!F$1,$A$1:$AN$1,0),0)</f>
        <v>Armenia</v>
      </c>
      <c r="G8" t="str">
        <f>VLOOKUP($A8,regions_full!$A$2:$AI$267,MATCH(polities_cats!G$1,$A$1:$AN$1,0),0)</f>
        <v>FALSE</v>
      </c>
      <c r="H8" t="str">
        <f>VLOOKUP($A8,regions_full!$A$2:$AI$267,MATCH(polities_cats!H$1,$A$1:$AN$1,0),0)</f>
        <v>Armenia</v>
      </c>
      <c r="I8" t="str">
        <f>VLOOKUP($A8,regions_full!$A$2:$AI$267,MATCH(polities_cats!I$1,$A$1:$AN$1,0),0)</f>
        <v>Armenia</v>
      </c>
      <c r="J8" t="str">
        <f>VLOOKUP($A8,regions_full!$A$2:$AI$267,MATCH(polities_cats!J$1,$A$1:$AN$1,0),0)</f>
        <v>Armenia</v>
      </c>
      <c r="K8">
        <f>VLOOKUP($A8,regions_full!$A$2:$AI$267,MATCH(polities_cats!K$1,$A$1:$AN$1,0),0)</f>
        <v>1</v>
      </c>
      <c r="L8" t="str">
        <f>VLOOKUP($A8,regions_full!$A$2:$AI$267,MATCH(polities_cats!L$1,$A$1:$AN$1,0),0)</f>
        <v>Armenia</v>
      </c>
      <c r="M8">
        <f>VLOOKUP($A8,regions_full!$A$2:$AI$267,MATCH(polities_cats!M$1,$A$1:$AN$1,0),0)</f>
        <v>51</v>
      </c>
      <c r="N8">
        <f>VLOOKUP($A8,regions_full!$A$2:$AI$267,MATCH(polities_cats!N$1,$A$1:$AN$1,0),0)</f>
        <v>51</v>
      </c>
      <c r="O8">
        <f>VLOOKUP($A8,regions_full!$A$2:$AI$267,MATCH(polities_cats!O$1,$A$1:$AN$1,0),0)</f>
        <v>11</v>
      </c>
      <c r="P8" t="str">
        <f>VLOOKUP($A8,regions_full!$A$2:$AI$267,MATCH(polities_cats!P$1,$A$1:$AN$1,0),0)</f>
        <v>TRUE</v>
      </c>
      <c r="Q8">
        <f>VLOOKUP($A8,regions_full!$A$2:$AI$267,MATCH(polities_cats!Q$1,$A$1:$AN$1,0),0)</f>
        <v>1</v>
      </c>
      <c r="R8" t="str">
        <f>VLOOKUP($A8,regions_full!$A$2:$AI$267,MATCH(polities_cats!R$1,$A$1:$AN$1,0),0)</f>
        <v/>
      </c>
      <c r="S8" t="str">
        <f>VLOOKUP($A8,regions_full!$A$2:$AI$267,MATCH(polities_cats!S$1,$A$1:$AN$1,0),0)</f>
        <v>Former USSR</v>
      </c>
      <c r="T8">
        <f>VLOOKUP($A8,regions_full!$A$2:$AI$267,MATCH(polities_cats!T$1,$A$1:$AN$1,0),0)</f>
        <v>1</v>
      </c>
      <c r="U8" t="str">
        <f>VLOOKUP($A8,regions_full!$A$2:$AI$267,MATCH(polities_cats!U$1,$A$1:$AN$1,0),0)</f>
        <v>Armenia</v>
      </c>
      <c r="V8" t="str">
        <f>VLOOKUP($A8,regions_full!$A$2:$AI$267,MATCH(polities_cats!V$1,$A$1:$AN$1,0),0)</f>
        <v>Central Asia and Russian Federation</v>
      </c>
      <c r="W8" t="str">
        <f>VLOOKUP($A8,regions_full!$A$2:$AI$267,MATCH(polities_cats!W$1,$A$1:$AN$1,0),0)</f>
        <v>South and Central Asia</v>
      </c>
      <c r="X8" t="str">
        <f>VLOOKUP($A8,regions_full!$A$2:$AI$267,MATCH(polities_cats!X$1,$A$1:$AN$1,0),0)</f>
        <v>CAS &amp; Russia</v>
      </c>
      <c r="Y8" t="str">
        <f>VLOOKUP($A8,regions_full!$A$2:$AI$267,MATCH(polities_cats!Y$1,$A$1:$AN$1,0),0)</f>
        <v>Western Asia</v>
      </c>
      <c r="Z8" t="str">
        <f>VLOOKUP($A8,regions_full!$A$2:$AI$267,MATCH(polities_cats!Z$1,$A$1:$AN$1,0),0)</f>
        <v>Asia</v>
      </c>
      <c r="AA8" t="str">
        <f>VLOOKUP($A8,regions_full!$A$2:$AI$267,MATCH(polities_cats!AA$1,$A$1:$AN$1,0),0)</f>
        <v>Europe and Central Asia</v>
      </c>
      <c r="AB8" t="str">
        <f>VLOOKUP($A8,regions_full!$A$2:$AI$267,MATCH(polities_cats!AB$1,$A$1:$AN$1,0),0)</f>
        <v>Central and Western Asia</v>
      </c>
      <c r="AC8" t="str">
        <f>VLOOKUP($A8,regions_full!$A$2:$AI$267,MATCH(polities_cats!AC$1,$A$1:$AN$1,0),0)</f>
        <v>Western Asia</v>
      </c>
      <c r="AD8" t="str">
        <f>VLOOKUP($A8,regions_full!$A$2:$AI$267,MATCH(polities_cats!AD$1,$A$1:$AN$1,0),0)</f>
        <v>Emerging</v>
      </c>
      <c r="AE8" t="str">
        <f>VLOOKUP($A8,regions_full!$A$2:$AI$267,MATCH(polities_cats!AE$1,$A$1:$AN$1,0),0)</f>
        <v>Annex_II</v>
      </c>
      <c r="AF8" t="str">
        <f>VLOOKUP($A8,regions_full!$A$2:$AI$267,MATCH(polities_cats!AF$1,$A$1:$AN$1,0),0)</f>
        <v>FSU</v>
      </c>
      <c r="AG8" t="str">
        <f>VLOOKUP($A8,regions_full!$A$2:$AI$267,MATCH(polities_cats!AG$1,$A$1:$AN$1,0),0)</f>
        <v>FSU</v>
      </c>
      <c r="AH8" t="str">
        <f>VLOOKUP($A8,regions_full!$A$2:$AI$267,MATCH(polities_cats!AH$1,$A$1:$AN$1,0),0)</f>
        <v>no_mech</v>
      </c>
      <c r="AI8" t="str">
        <f>VLOOKUP($A8,regions_full!$A$2:$AI$267,MATCH(polities_cats!AI$1,$A$1:$AN$1,0),0)</f>
        <v>Other</v>
      </c>
      <c r="AJ8" t="e">
        <f>VLOOKUP($A8,regions_full!$A$2:$AI$267,MATCH(polities_cats!AJ$1,$A$1:$AN$1,0),0)</f>
        <v>#REF!</v>
      </c>
      <c r="AK8" t="e">
        <f>VLOOKUP($A8,regions_full!$A$2:$AI$267,MATCH(polities_cats!AK$1,$A$1:$AN$1,0),0)</f>
        <v>#REF!</v>
      </c>
      <c r="AL8" t="e">
        <f>VLOOKUP($A8,regions_full!$A$2:$AI$267,MATCH(polities_cats!AL$1,$A$1:$AN$1,0),0)</f>
        <v>#REF!</v>
      </c>
      <c r="AM8" t="e">
        <f>VLOOKUP($A8,regions_full!$A$2:$AI$267,MATCH(polities_cats!AM$1,$A$1:$AN$1,0),0)</f>
        <v>#REF!</v>
      </c>
      <c r="AN8" t="e">
        <f>VLOOKUP($A8,regions_full!$A$2:$AI$267,MATCH(polities_cats!AN$1,$A$1:$AN$1,0),0)</f>
        <v>#REF!</v>
      </c>
    </row>
    <row r="9" spans="1:40" x14ac:dyDescent="0.3">
      <c r="A9" t="str">
        <f>polities_whep!A9</f>
        <v>AUS</v>
      </c>
      <c r="B9" t="str">
        <f>polities_whep!B9</f>
        <v>Australia</v>
      </c>
      <c r="C9">
        <f>VLOOKUP($A9,regions_full!$A$2:$AI$267,MATCH(polities_cats!C$1,$A$1:$AN$1,0),0)</f>
        <v>10</v>
      </c>
      <c r="D9">
        <f>VLOOKUP($A9,regions_full!$A$2:$AI$267,MATCH(polities_cats!D$1,$A$1:$AN$1,0),0)</f>
        <v>10</v>
      </c>
      <c r="E9" t="str">
        <f>VLOOKUP($A9,regions_full!$A$2:$AI$267,MATCH(polities_cats!E$1,$A$1:$AN$1,0),0)</f>
        <v>AUS</v>
      </c>
      <c r="F9" t="str">
        <f>VLOOKUP($A9,regions_full!$A$2:$AI$267,MATCH(polities_cats!F$1,$A$1:$AN$1,0),0)</f>
        <v>Australia</v>
      </c>
      <c r="G9" t="str">
        <f>VLOOKUP($A9,regions_full!$A$2:$AI$267,MATCH(polities_cats!G$1,$A$1:$AN$1,0),0)</f>
        <v>FALSE</v>
      </c>
      <c r="H9" t="str">
        <f>VLOOKUP($A9,regions_full!$A$2:$AI$267,MATCH(polities_cats!H$1,$A$1:$AN$1,0),0)</f>
        <v>Australia</v>
      </c>
      <c r="I9" t="str">
        <f>VLOOKUP($A9,regions_full!$A$2:$AI$267,MATCH(polities_cats!I$1,$A$1:$AN$1,0),0)</f>
        <v>Australia</v>
      </c>
      <c r="J9" t="str">
        <f>VLOOKUP($A9,regions_full!$A$2:$AI$267,MATCH(polities_cats!J$1,$A$1:$AN$1,0),0)</f>
        <v>Australia</v>
      </c>
      <c r="K9">
        <f>VLOOKUP($A9,regions_full!$A$2:$AI$267,MATCH(polities_cats!K$1,$A$1:$AN$1,0),0)</f>
        <v>10</v>
      </c>
      <c r="L9" t="str">
        <f>VLOOKUP($A9,regions_full!$A$2:$AI$267,MATCH(polities_cats!L$1,$A$1:$AN$1,0),0)</f>
        <v>Australia</v>
      </c>
      <c r="M9">
        <f>VLOOKUP($A9,regions_full!$A$2:$AI$267,MATCH(polities_cats!M$1,$A$1:$AN$1,0),0)</f>
        <v>36</v>
      </c>
      <c r="N9">
        <f>VLOOKUP($A9,regions_full!$A$2:$AI$267,MATCH(polities_cats!N$1,$A$1:$AN$1,0),0)</f>
        <v>36</v>
      </c>
      <c r="O9">
        <f>VLOOKUP($A9,regions_full!$A$2:$AI$267,MATCH(polities_cats!O$1,$A$1:$AN$1,0),0)</f>
        <v>16</v>
      </c>
      <c r="P9" t="str">
        <f>VLOOKUP($A9,regions_full!$A$2:$AI$267,MATCH(polities_cats!P$1,$A$1:$AN$1,0),0)</f>
        <v>TRUE</v>
      </c>
      <c r="Q9">
        <f>VLOOKUP($A9,regions_full!$A$2:$AI$267,MATCH(polities_cats!Q$1,$A$1:$AN$1,0),0)</f>
        <v>10</v>
      </c>
      <c r="R9" t="str">
        <f>VLOOKUP($A9,regions_full!$A$2:$AI$267,MATCH(polities_cats!R$1,$A$1:$AN$1,0),0)</f>
        <v/>
      </c>
      <c r="S9" t="str">
        <f>VLOOKUP($A9,regions_full!$A$2:$AI$267,MATCH(polities_cats!S$1,$A$1:$AN$1,0),0)</f>
        <v>Oceania</v>
      </c>
      <c r="T9">
        <f>VLOOKUP($A9,regions_full!$A$2:$AI$267,MATCH(polities_cats!T$1,$A$1:$AN$1,0),0)</f>
        <v>1</v>
      </c>
      <c r="U9" t="str">
        <f>VLOOKUP($A9,regions_full!$A$2:$AI$267,MATCH(polities_cats!U$1,$A$1:$AN$1,0),0)</f>
        <v>Australia</v>
      </c>
      <c r="V9" t="str">
        <f>VLOOKUP($A9,regions_full!$A$2:$AI$267,MATCH(polities_cats!V$1,$A$1:$AN$1,0),0)</f>
        <v>Australia and Oceania</v>
      </c>
      <c r="W9" t="str">
        <f>VLOOKUP($A9,regions_full!$A$2:$AI$267,MATCH(polities_cats!W$1,$A$1:$AN$1,0),0)</f>
        <v>North America and Oceania</v>
      </c>
      <c r="X9" t="str">
        <f>VLOOKUP($A9,regions_full!$A$2:$AI$267,MATCH(polities_cats!X$1,$A$1:$AN$1,0),0)</f>
        <v>Oceania</v>
      </c>
      <c r="Y9" t="str">
        <f>VLOOKUP($A9,regions_full!$A$2:$AI$267,MATCH(polities_cats!Y$1,$A$1:$AN$1,0),0)</f>
        <v>Australia and New Zealand</v>
      </c>
      <c r="Z9" t="str">
        <f>VLOOKUP($A9,regions_full!$A$2:$AI$267,MATCH(polities_cats!Z$1,$A$1:$AN$1,0),0)</f>
        <v>Oceania</v>
      </c>
      <c r="AA9" t="str">
        <f>VLOOKUP($A9,regions_full!$A$2:$AI$267,MATCH(polities_cats!AA$1,$A$1:$AN$1,0),0)</f>
        <v>Asia and the Pacific</v>
      </c>
      <c r="AB9" t="str">
        <f>VLOOKUP($A9,regions_full!$A$2:$AI$267,MATCH(polities_cats!AB$1,$A$1:$AN$1,0),0)</f>
        <v>South-Eastern Asia and the Pacific</v>
      </c>
      <c r="AC9" t="str">
        <f>VLOOKUP($A9,regions_full!$A$2:$AI$267,MATCH(polities_cats!AC$1,$A$1:$AN$1,0),0)</f>
        <v>Pacific Islands</v>
      </c>
      <c r="AD9" t="str">
        <f>VLOOKUP($A9,regions_full!$A$2:$AI$267,MATCH(polities_cats!AD$1,$A$1:$AN$1,0),0)</f>
        <v>Advanced</v>
      </c>
      <c r="AE9" t="str">
        <f>VLOOKUP($A9,regions_full!$A$2:$AI$267,MATCH(polities_cats!AE$1,$A$1:$AN$1,0),0)</f>
        <v>Annex_I</v>
      </c>
      <c r="AF9" t="str">
        <f>VLOOKUP($A9,regions_full!$A$2:$AI$267,MATCH(polities_cats!AF$1,$A$1:$AN$1,0),0)</f>
        <v>Pacific</v>
      </c>
      <c r="AG9" t="str">
        <f>VLOOKUP($A9,regions_full!$A$2:$AI$267,MATCH(polities_cats!AG$1,$A$1:$AN$1,0),0)</f>
        <v>AUS</v>
      </c>
      <c r="AH9" t="str">
        <f>VLOOKUP($A9,regions_full!$A$2:$AI$267,MATCH(polities_cats!AH$1,$A$1:$AN$1,0),0)</f>
        <v>mech</v>
      </c>
      <c r="AI9" t="str">
        <f>VLOOKUP($A9,regions_full!$A$2:$AI$267,MATCH(polities_cats!AI$1,$A$1:$AN$1,0),0)</f>
        <v>Other</v>
      </c>
      <c r="AJ9" t="e">
        <f>VLOOKUP($A9,regions_full!$A$2:$AI$267,MATCH(polities_cats!AJ$1,$A$1:$AN$1,0),0)</f>
        <v>#REF!</v>
      </c>
      <c r="AK9" t="e">
        <f>VLOOKUP($A9,regions_full!$A$2:$AI$267,MATCH(polities_cats!AK$1,$A$1:$AN$1,0),0)</f>
        <v>#REF!</v>
      </c>
      <c r="AL9" t="e">
        <f>VLOOKUP($A9,regions_full!$A$2:$AI$267,MATCH(polities_cats!AL$1,$A$1:$AN$1,0),0)</f>
        <v>#REF!</v>
      </c>
      <c r="AM9" t="e">
        <f>VLOOKUP($A9,regions_full!$A$2:$AI$267,MATCH(polities_cats!AM$1,$A$1:$AN$1,0),0)</f>
        <v>#REF!</v>
      </c>
      <c r="AN9" t="e">
        <f>VLOOKUP($A9,regions_full!$A$2:$AI$267,MATCH(polities_cats!AN$1,$A$1:$AN$1,0),0)</f>
        <v>#REF!</v>
      </c>
    </row>
    <row r="10" spans="1:40" x14ac:dyDescent="0.3">
      <c r="A10" t="str">
        <f>polities_whep!A10</f>
        <v>AUT</v>
      </c>
      <c r="B10" t="str">
        <f>polities_whep!B10</f>
        <v>Austria</v>
      </c>
      <c r="C10">
        <f>VLOOKUP($A10,regions_full!$A$2:$AI$267,MATCH(polities_cats!C$1,$A$1:$AN$1,0),0)</f>
        <v>11</v>
      </c>
      <c r="D10">
        <f>VLOOKUP($A10,regions_full!$A$2:$AI$267,MATCH(polities_cats!D$1,$A$1:$AN$1,0),0)</f>
        <v>11</v>
      </c>
      <c r="E10" t="str">
        <f>VLOOKUP($A10,regions_full!$A$2:$AI$267,MATCH(polities_cats!E$1,$A$1:$AN$1,0),0)</f>
        <v>AUT</v>
      </c>
      <c r="F10" t="str">
        <f>VLOOKUP($A10,regions_full!$A$2:$AI$267,MATCH(polities_cats!F$1,$A$1:$AN$1,0),0)</f>
        <v>Austria</v>
      </c>
      <c r="G10" t="str">
        <f>VLOOKUP($A10,regions_full!$A$2:$AI$267,MATCH(polities_cats!G$1,$A$1:$AN$1,0),0)</f>
        <v>TRUE</v>
      </c>
      <c r="H10" t="str">
        <f>VLOOKUP($A10,regions_full!$A$2:$AI$267,MATCH(polities_cats!H$1,$A$1:$AN$1,0),0)</f>
        <v>Austria</v>
      </c>
      <c r="I10" t="str">
        <f>VLOOKUP($A10,regions_full!$A$2:$AI$267,MATCH(polities_cats!I$1,$A$1:$AN$1,0),0)</f>
        <v>Austria</v>
      </c>
      <c r="J10" t="str">
        <f>VLOOKUP($A10,regions_full!$A$2:$AI$267,MATCH(polities_cats!J$1,$A$1:$AN$1,0),0)</f>
        <v>Austria</v>
      </c>
      <c r="K10">
        <f>VLOOKUP($A10,regions_full!$A$2:$AI$267,MATCH(polities_cats!K$1,$A$1:$AN$1,0),0)</f>
        <v>11</v>
      </c>
      <c r="L10" t="str">
        <f>VLOOKUP($A10,regions_full!$A$2:$AI$267,MATCH(polities_cats!L$1,$A$1:$AN$1,0),0)</f>
        <v>Austria</v>
      </c>
      <c r="M10">
        <f>VLOOKUP($A10,regions_full!$A$2:$AI$267,MATCH(polities_cats!M$1,$A$1:$AN$1,0),0)</f>
        <v>40</v>
      </c>
      <c r="N10">
        <f>VLOOKUP($A10,regions_full!$A$2:$AI$267,MATCH(polities_cats!N$1,$A$1:$AN$1,0),0)</f>
        <v>40</v>
      </c>
      <c r="O10">
        <f>VLOOKUP($A10,regions_full!$A$2:$AI$267,MATCH(polities_cats!O$1,$A$1:$AN$1,0),0)</f>
        <v>9</v>
      </c>
      <c r="P10" t="str">
        <f>VLOOKUP($A10,regions_full!$A$2:$AI$267,MATCH(polities_cats!P$1,$A$1:$AN$1,0),0)</f>
        <v>TRUE</v>
      </c>
      <c r="Q10">
        <f>VLOOKUP($A10,regions_full!$A$2:$AI$267,MATCH(polities_cats!Q$1,$A$1:$AN$1,0),0)</f>
        <v>11</v>
      </c>
      <c r="R10" t="str">
        <f>VLOOKUP($A10,regions_full!$A$2:$AI$267,MATCH(polities_cats!R$1,$A$1:$AN$1,0),0)</f>
        <v/>
      </c>
      <c r="S10" t="str">
        <f>VLOOKUP($A10,regions_full!$A$2:$AI$267,MATCH(polities_cats!S$1,$A$1:$AN$1,0),0)</f>
        <v>OECD Europe</v>
      </c>
      <c r="T10">
        <f>VLOOKUP($A10,regions_full!$A$2:$AI$267,MATCH(polities_cats!T$1,$A$1:$AN$1,0),0)</f>
        <v>1</v>
      </c>
      <c r="U10" t="str">
        <f>VLOOKUP($A10,regions_full!$A$2:$AI$267,MATCH(polities_cats!U$1,$A$1:$AN$1,0),0)</f>
        <v>Austria</v>
      </c>
      <c r="V10" t="str">
        <f>VLOOKUP($A10,regions_full!$A$2:$AI$267,MATCH(polities_cats!V$1,$A$1:$AN$1,0),0)</f>
        <v>Western Europe</v>
      </c>
      <c r="W10" t="str">
        <f>VLOOKUP($A10,regions_full!$A$2:$AI$267,MATCH(polities_cats!W$1,$A$1:$AN$1,0),0)</f>
        <v>West Europe</v>
      </c>
      <c r="X10" t="str">
        <f>VLOOKUP($A10,regions_full!$A$2:$AI$267,MATCH(polities_cats!X$1,$A$1:$AN$1,0),0)</f>
        <v>Europe</v>
      </c>
      <c r="Y10" t="str">
        <f>VLOOKUP($A10,regions_full!$A$2:$AI$267,MATCH(polities_cats!Y$1,$A$1:$AN$1,0),0)</f>
        <v>Western Europe</v>
      </c>
      <c r="Z10" t="str">
        <f>VLOOKUP($A10,regions_full!$A$2:$AI$267,MATCH(polities_cats!Z$1,$A$1:$AN$1,0),0)</f>
        <v>Europe</v>
      </c>
      <c r="AA10" t="str">
        <f>VLOOKUP($A10,regions_full!$A$2:$AI$267,MATCH(polities_cats!AA$1,$A$1:$AN$1,0),0)</f>
        <v>Europe and Central Asia</v>
      </c>
      <c r="AB10" t="str">
        <f>VLOOKUP($A10,regions_full!$A$2:$AI$267,MATCH(polities_cats!AB$1,$A$1:$AN$1,0),0)</f>
        <v>Northern, Southern and Western Europe</v>
      </c>
      <c r="AC10" t="str">
        <f>VLOOKUP($A10,regions_full!$A$2:$AI$267,MATCH(polities_cats!AC$1,$A$1:$AN$1,0),0)</f>
        <v>Western Europe</v>
      </c>
      <c r="AD10" t="str">
        <f>VLOOKUP($A10,regions_full!$A$2:$AI$267,MATCH(polities_cats!AD$1,$A$1:$AN$1,0),0)</f>
        <v>Advanced</v>
      </c>
      <c r="AE10" t="str">
        <f>VLOOKUP($A10,regions_full!$A$2:$AI$267,MATCH(polities_cats!AE$1,$A$1:$AN$1,0),0)</f>
        <v>Annex_I</v>
      </c>
      <c r="AF10" t="str">
        <f>VLOOKUP($A10,regions_full!$A$2:$AI$267,MATCH(polities_cats!AF$1,$A$1:$AN$1,0),0)</f>
        <v>Western Europe</v>
      </c>
      <c r="AG10" t="str">
        <f>VLOOKUP($A10,regions_full!$A$2:$AI$267,MATCH(polities_cats!AG$1,$A$1:$AN$1,0),0)</f>
        <v>Europe</v>
      </c>
      <c r="AH10" t="str">
        <f>VLOOKUP($A10,regions_full!$A$2:$AI$267,MATCH(polities_cats!AH$1,$A$1:$AN$1,0),0)</f>
        <v>mech</v>
      </c>
      <c r="AI10" t="str">
        <f>VLOOKUP($A10,regions_full!$A$2:$AI$267,MATCH(polities_cats!AI$1,$A$1:$AN$1,0),0)</f>
        <v>Europe</v>
      </c>
      <c r="AJ10" t="e">
        <f>VLOOKUP($A10,regions_full!$A$2:$AI$267,MATCH(polities_cats!AJ$1,$A$1:$AN$1,0),0)</f>
        <v>#REF!</v>
      </c>
      <c r="AK10" t="e">
        <f>VLOOKUP($A10,regions_full!$A$2:$AI$267,MATCH(polities_cats!AK$1,$A$1:$AN$1,0),0)</f>
        <v>#REF!</v>
      </c>
      <c r="AL10" t="e">
        <f>VLOOKUP($A10,regions_full!$A$2:$AI$267,MATCH(polities_cats!AL$1,$A$1:$AN$1,0),0)</f>
        <v>#REF!</v>
      </c>
      <c r="AM10" t="e">
        <f>VLOOKUP($A10,regions_full!$A$2:$AI$267,MATCH(polities_cats!AM$1,$A$1:$AN$1,0),0)</f>
        <v>#REF!</v>
      </c>
      <c r="AN10" t="e">
        <f>VLOOKUP($A10,regions_full!$A$2:$AI$267,MATCH(polities_cats!AN$1,$A$1:$AN$1,0),0)</f>
        <v>#REF!</v>
      </c>
    </row>
    <row r="11" spans="1:40" x14ac:dyDescent="0.3">
      <c r="A11" t="str">
        <f>polities_whep!A11</f>
        <v>AZE</v>
      </c>
      <c r="B11" t="str">
        <f>polities_whep!B11</f>
        <v>Azerbaijan</v>
      </c>
      <c r="C11">
        <f>VLOOKUP($A11,regions_full!$A$2:$AI$267,MATCH(polities_cats!C$1,$A$1:$AN$1,0),0)</f>
        <v>52</v>
      </c>
      <c r="D11">
        <f>VLOOKUP($A11,regions_full!$A$2:$AI$267,MATCH(polities_cats!D$1,$A$1:$AN$1,0),0)</f>
        <v>52</v>
      </c>
      <c r="E11" t="str">
        <f>VLOOKUP($A11,regions_full!$A$2:$AI$267,MATCH(polities_cats!E$1,$A$1:$AN$1,0),0)</f>
        <v>AZE</v>
      </c>
      <c r="F11" t="str">
        <f>VLOOKUP($A11,regions_full!$A$2:$AI$267,MATCH(polities_cats!F$1,$A$1:$AN$1,0),0)</f>
        <v>Azerbaijan</v>
      </c>
      <c r="G11" t="str">
        <f>VLOOKUP($A11,regions_full!$A$2:$AI$267,MATCH(polities_cats!G$1,$A$1:$AN$1,0),0)</f>
        <v>FALSE</v>
      </c>
      <c r="H11" t="str">
        <f>VLOOKUP($A11,regions_full!$A$2:$AI$267,MATCH(polities_cats!H$1,$A$1:$AN$1,0),0)</f>
        <v>Azerbaijan</v>
      </c>
      <c r="I11" t="str">
        <f>VLOOKUP($A11,regions_full!$A$2:$AI$267,MATCH(polities_cats!I$1,$A$1:$AN$1,0),0)</f>
        <v>Azerbaijan</v>
      </c>
      <c r="J11" t="str">
        <f>VLOOKUP($A11,regions_full!$A$2:$AI$267,MATCH(polities_cats!J$1,$A$1:$AN$1,0),0)</f>
        <v>Azerbaijan</v>
      </c>
      <c r="K11">
        <f>VLOOKUP($A11,regions_full!$A$2:$AI$267,MATCH(polities_cats!K$1,$A$1:$AN$1,0),0)</f>
        <v>52</v>
      </c>
      <c r="L11" t="str">
        <f>VLOOKUP($A11,regions_full!$A$2:$AI$267,MATCH(polities_cats!L$1,$A$1:$AN$1,0),0)</f>
        <v>Azerbaijan</v>
      </c>
      <c r="M11">
        <f>VLOOKUP($A11,regions_full!$A$2:$AI$267,MATCH(polities_cats!M$1,$A$1:$AN$1,0),0)</f>
        <v>31</v>
      </c>
      <c r="N11">
        <f>VLOOKUP($A11,regions_full!$A$2:$AI$267,MATCH(polities_cats!N$1,$A$1:$AN$1,0),0)</f>
        <v>31</v>
      </c>
      <c r="O11">
        <f>VLOOKUP($A11,regions_full!$A$2:$AI$267,MATCH(polities_cats!O$1,$A$1:$AN$1,0),0)</f>
        <v>11</v>
      </c>
      <c r="P11" t="str">
        <f>VLOOKUP($A11,regions_full!$A$2:$AI$267,MATCH(polities_cats!P$1,$A$1:$AN$1,0),0)</f>
        <v>TRUE</v>
      </c>
      <c r="Q11">
        <f>VLOOKUP($A11,regions_full!$A$2:$AI$267,MATCH(polities_cats!Q$1,$A$1:$AN$1,0),0)</f>
        <v>52</v>
      </c>
      <c r="R11" t="str">
        <f>VLOOKUP($A11,regions_full!$A$2:$AI$267,MATCH(polities_cats!R$1,$A$1:$AN$1,0),0)</f>
        <v/>
      </c>
      <c r="S11" t="str">
        <f>VLOOKUP($A11,regions_full!$A$2:$AI$267,MATCH(polities_cats!S$1,$A$1:$AN$1,0),0)</f>
        <v>Former USSR</v>
      </c>
      <c r="T11">
        <f>VLOOKUP($A11,regions_full!$A$2:$AI$267,MATCH(polities_cats!T$1,$A$1:$AN$1,0),0)</f>
        <v>1</v>
      </c>
      <c r="U11" t="str">
        <f>VLOOKUP($A11,regions_full!$A$2:$AI$267,MATCH(polities_cats!U$1,$A$1:$AN$1,0),0)</f>
        <v>Azerbaijan</v>
      </c>
      <c r="V11" t="str">
        <f>VLOOKUP($A11,regions_full!$A$2:$AI$267,MATCH(polities_cats!V$1,$A$1:$AN$1,0),0)</f>
        <v>Central Asia and Russian Federation</v>
      </c>
      <c r="W11" t="str">
        <f>VLOOKUP($A11,regions_full!$A$2:$AI$267,MATCH(polities_cats!W$1,$A$1:$AN$1,0),0)</f>
        <v>South and Central Asia</v>
      </c>
      <c r="X11" t="str">
        <f>VLOOKUP($A11,regions_full!$A$2:$AI$267,MATCH(polities_cats!X$1,$A$1:$AN$1,0),0)</f>
        <v>CAS &amp; Russia</v>
      </c>
      <c r="Y11" t="str">
        <f>VLOOKUP($A11,regions_full!$A$2:$AI$267,MATCH(polities_cats!Y$1,$A$1:$AN$1,0),0)</f>
        <v>Western Asia</v>
      </c>
      <c r="Z11" t="str">
        <f>VLOOKUP($A11,regions_full!$A$2:$AI$267,MATCH(polities_cats!Z$1,$A$1:$AN$1,0),0)</f>
        <v>Asia</v>
      </c>
      <c r="AA11" t="str">
        <f>VLOOKUP($A11,regions_full!$A$2:$AI$267,MATCH(polities_cats!AA$1,$A$1:$AN$1,0),0)</f>
        <v>Europe and Central Asia</v>
      </c>
      <c r="AB11" t="str">
        <f>VLOOKUP($A11,regions_full!$A$2:$AI$267,MATCH(polities_cats!AB$1,$A$1:$AN$1,0),0)</f>
        <v>Central and Western Asia</v>
      </c>
      <c r="AC11" t="str">
        <f>VLOOKUP($A11,regions_full!$A$2:$AI$267,MATCH(polities_cats!AC$1,$A$1:$AN$1,0),0)</f>
        <v>Western Asia</v>
      </c>
      <c r="AD11" t="str">
        <f>VLOOKUP($A11,regions_full!$A$2:$AI$267,MATCH(polities_cats!AD$1,$A$1:$AN$1,0),0)</f>
        <v>Emerging</v>
      </c>
      <c r="AE11" t="str">
        <f>VLOOKUP($A11,regions_full!$A$2:$AI$267,MATCH(polities_cats!AE$1,$A$1:$AN$1,0),0)</f>
        <v>Annex_II</v>
      </c>
      <c r="AF11" t="str">
        <f>VLOOKUP($A11,regions_full!$A$2:$AI$267,MATCH(polities_cats!AF$1,$A$1:$AN$1,0),0)</f>
        <v>FSU</v>
      </c>
      <c r="AG11" t="str">
        <f>VLOOKUP($A11,regions_full!$A$2:$AI$267,MATCH(polities_cats!AG$1,$A$1:$AN$1,0),0)</f>
        <v>FSU</v>
      </c>
      <c r="AH11" t="str">
        <f>VLOOKUP($A11,regions_full!$A$2:$AI$267,MATCH(polities_cats!AH$1,$A$1:$AN$1,0),0)</f>
        <v>no_mech</v>
      </c>
      <c r="AI11" t="str">
        <f>VLOOKUP($A11,regions_full!$A$2:$AI$267,MATCH(polities_cats!AI$1,$A$1:$AN$1,0),0)</f>
        <v>Other</v>
      </c>
      <c r="AJ11" t="e">
        <f>VLOOKUP($A11,regions_full!$A$2:$AI$267,MATCH(polities_cats!AJ$1,$A$1:$AN$1,0),0)</f>
        <v>#REF!</v>
      </c>
      <c r="AK11" t="e">
        <f>VLOOKUP($A11,regions_full!$A$2:$AI$267,MATCH(polities_cats!AK$1,$A$1:$AN$1,0),0)</f>
        <v>#REF!</v>
      </c>
      <c r="AL11" t="e">
        <f>VLOOKUP($A11,regions_full!$A$2:$AI$267,MATCH(polities_cats!AL$1,$A$1:$AN$1,0),0)</f>
        <v>#REF!</v>
      </c>
      <c r="AM11" t="e">
        <f>VLOOKUP($A11,regions_full!$A$2:$AI$267,MATCH(polities_cats!AM$1,$A$1:$AN$1,0),0)</f>
        <v>#REF!</v>
      </c>
      <c r="AN11" t="e">
        <f>VLOOKUP($A11,regions_full!$A$2:$AI$267,MATCH(polities_cats!AN$1,$A$1:$AN$1,0),0)</f>
        <v>#REF!</v>
      </c>
    </row>
    <row r="12" spans="1:40" x14ac:dyDescent="0.3">
      <c r="A12" t="str">
        <f>polities_whep!A12</f>
        <v>BHS</v>
      </c>
      <c r="B12" t="str">
        <f>polities_whep!B12</f>
        <v>Bahamas</v>
      </c>
      <c r="C12">
        <f>VLOOKUP($A12,regions_full!$A$2:$AI$267,MATCH(polities_cats!C$1,$A$1:$AN$1,0),0)</f>
        <v>12</v>
      </c>
      <c r="D12">
        <f>VLOOKUP($A12,regions_full!$A$2:$AI$267,MATCH(polities_cats!D$1,$A$1:$AN$1,0),0)</f>
        <v>12</v>
      </c>
      <c r="E12" t="str">
        <f>VLOOKUP($A12,regions_full!$A$2:$AI$267,MATCH(polities_cats!E$1,$A$1:$AN$1,0),0)</f>
        <v>BHS</v>
      </c>
      <c r="F12" t="str">
        <f>VLOOKUP($A12,regions_full!$A$2:$AI$267,MATCH(polities_cats!F$1,$A$1:$AN$1,0),0)</f>
        <v>Bahamas</v>
      </c>
      <c r="G12" t="str">
        <f>VLOOKUP($A12,regions_full!$A$2:$AI$267,MATCH(polities_cats!G$1,$A$1:$AN$1,0),0)</f>
        <v>FALSE</v>
      </c>
      <c r="H12" t="str">
        <f>VLOOKUP($A12,regions_full!$A$2:$AI$267,MATCH(polities_cats!H$1,$A$1:$AN$1,0),0)</f>
        <v>Bahamas</v>
      </c>
      <c r="I12" t="str">
        <f>VLOOKUP($A12,regions_full!$A$2:$AI$267,MATCH(polities_cats!I$1,$A$1:$AN$1,0),0)</f>
        <v>Bahamas, The</v>
      </c>
      <c r="J12">
        <f>VLOOKUP($A12,regions_full!$A$2:$AI$267,MATCH(polities_cats!J$1,$A$1:$AN$1,0),0)</f>
        <v>0</v>
      </c>
      <c r="K12">
        <f>VLOOKUP($A12,regions_full!$A$2:$AI$267,MATCH(polities_cats!K$1,$A$1:$AN$1,0),0)</f>
        <v>12</v>
      </c>
      <c r="L12" t="str">
        <f>VLOOKUP($A12,regions_full!$A$2:$AI$267,MATCH(polities_cats!L$1,$A$1:$AN$1,0),0)</f>
        <v>Bahamas</v>
      </c>
      <c r="M12">
        <f>VLOOKUP($A12,regions_full!$A$2:$AI$267,MATCH(polities_cats!M$1,$A$1:$AN$1,0),0)</f>
        <v>44</v>
      </c>
      <c r="N12">
        <f>VLOOKUP($A12,regions_full!$A$2:$AI$267,MATCH(polities_cats!N$1,$A$1:$AN$1,0),0)</f>
        <v>44</v>
      </c>
      <c r="O12">
        <f>VLOOKUP($A12,regions_full!$A$2:$AI$267,MATCH(polities_cats!O$1,$A$1:$AN$1,0),0)</f>
        <v>3</v>
      </c>
      <c r="P12" t="str">
        <f>VLOOKUP($A12,regions_full!$A$2:$AI$267,MATCH(polities_cats!P$1,$A$1:$AN$1,0),0)</f>
        <v>TRUE</v>
      </c>
      <c r="Q12">
        <f>VLOOKUP($A12,regions_full!$A$2:$AI$267,MATCH(polities_cats!Q$1,$A$1:$AN$1,0),0)</f>
        <v>12</v>
      </c>
      <c r="R12" t="str">
        <f>VLOOKUP($A12,regions_full!$A$2:$AI$267,MATCH(polities_cats!R$1,$A$1:$AN$1,0),0)</f>
        <v/>
      </c>
      <c r="S12" t="str">
        <f>VLOOKUP($A12,regions_full!$A$2:$AI$267,MATCH(polities_cats!S$1,$A$1:$AN$1,0),0)</f>
        <v>Central America</v>
      </c>
      <c r="T12">
        <f>VLOOKUP($A12,regions_full!$A$2:$AI$267,MATCH(polities_cats!T$1,$A$1:$AN$1,0),0)</f>
        <v>1</v>
      </c>
      <c r="U12" t="str">
        <f>VLOOKUP($A12,regions_full!$A$2:$AI$267,MATCH(polities_cats!U$1,$A$1:$AN$1,0),0)</f>
        <v>Bahamas</v>
      </c>
      <c r="V12" t="str">
        <f>VLOOKUP($A12,regions_full!$A$2:$AI$267,MATCH(polities_cats!V$1,$A$1:$AN$1,0),0)</f>
        <v>Latin America and the Caribbean</v>
      </c>
      <c r="W12" t="str">
        <f>VLOOKUP($A12,regions_full!$A$2:$AI$267,MATCH(polities_cats!W$1,$A$1:$AN$1,0),0)</f>
        <v>Latin America and Caribbean</v>
      </c>
      <c r="X12" t="str">
        <f>VLOOKUP($A12,regions_full!$A$2:$AI$267,MATCH(polities_cats!X$1,$A$1:$AN$1,0),0)</f>
        <v>LACA</v>
      </c>
      <c r="Y12" t="str">
        <f>VLOOKUP($A12,regions_full!$A$2:$AI$267,MATCH(polities_cats!Y$1,$A$1:$AN$1,0),0)</f>
        <v>Latin America and the Caribbean</v>
      </c>
      <c r="Z12" t="str">
        <f>VLOOKUP($A12,regions_full!$A$2:$AI$267,MATCH(polities_cats!Z$1,$A$1:$AN$1,0),0)</f>
        <v>Americas</v>
      </c>
      <c r="AA12" t="str">
        <f>VLOOKUP($A12,regions_full!$A$2:$AI$267,MATCH(polities_cats!AA$1,$A$1:$AN$1,0),0)</f>
        <v>Americas</v>
      </c>
      <c r="AB12" t="str">
        <f>VLOOKUP($A12,regions_full!$A$2:$AI$267,MATCH(polities_cats!AB$1,$A$1:$AN$1,0),0)</f>
        <v>Latin America and the Caribbean</v>
      </c>
      <c r="AC12" t="str">
        <f>VLOOKUP($A12,regions_full!$A$2:$AI$267,MATCH(polities_cats!AC$1,$A$1:$AN$1,0),0)</f>
        <v>Caribbean</v>
      </c>
      <c r="AD12" t="str">
        <f>VLOOKUP($A12,regions_full!$A$2:$AI$267,MATCH(polities_cats!AD$1,$A$1:$AN$1,0),0)</f>
        <v>Emerging</v>
      </c>
      <c r="AE12" t="str">
        <f>VLOOKUP($A12,regions_full!$A$2:$AI$267,MATCH(polities_cats!AE$1,$A$1:$AN$1,0),0)</f>
        <v>Annex_II</v>
      </c>
      <c r="AF12" t="str">
        <f>VLOOKUP($A12,regions_full!$A$2:$AI$267,MATCH(polities_cats!AF$1,$A$1:$AN$1,0),0)</f>
        <v>Caribbean &amp; Centra Am.</v>
      </c>
      <c r="AG12" t="str">
        <f>VLOOKUP($A12,regions_full!$A$2:$AI$267,MATCH(polities_cats!AG$1,$A$1:$AN$1,0),0)</f>
        <v>LACA</v>
      </c>
      <c r="AH12" t="str">
        <f>VLOOKUP($A12,regions_full!$A$2:$AI$267,MATCH(polities_cats!AH$1,$A$1:$AN$1,0),0)</f>
        <v>no_mech</v>
      </c>
      <c r="AI12" t="str">
        <f>VLOOKUP($A12,regions_full!$A$2:$AI$267,MATCH(polities_cats!AI$1,$A$1:$AN$1,0),0)</f>
        <v>Other</v>
      </c>
      <c r="AJ12" t="e">
        <f>VLOOKUP($A12,regions_full!$A$2:$AI$267,MATCH(polities_cats!AJ$1,$A$1:$AN$1,0),0)</f>
        <v>#REF!</v>
      </c>
      <c r="AK12" t="e">
        <f>VLOOKUP($A12,regions_full!$A$2:$AI$267,MATCH(polities_cats!AK$1,$A$1:$AN$1,0),0)</f>
        <v>#REF!</v>
      </c>
      <c r="AL12" t="e">
        <f>VLOOKUP($A12,regions_full!$A$2:$AI$267,MATCH(polities_cats!AL$1,$A$1:$AN$1,0),0)</f>
        <v>#REF!</v>
      </c>
      <c r="AM12" t="e">
        <f>VLOOKUP($A12,regions_full!$A$2:$AI$267,MATCH(polities_cats!AM$1,$A$1:$AN$1,0),0)</f>
        <v>#REF!</v>
      </c>
      <c r="AN12" t="e">
        <f>VLOOKUP($A12,regions_full!$A$2:$AI$267,MATCH(polities_cats!AN$1,$A$1:$AN$1,0),0)</f>
        <v>#REF!</v>
      </c>
    </row>
    <row r="13" spans="1:40" x14ac:dyDescent="0.3">
      <c r="A13" t="str">
        <f>polities_whep!A13</f>
        <v>BHR</v>
      </c>
      <c r="B13" t="str">
        <f>polities_whep!B13</f>
        <v>Bahrain</v>
      </c>
      <c r="C13">
        <f>VLOOKUP($A13,regions_full!$A$2:$AI$267,MATCH(polities_cats!C$1,$A$1:$AN$1,0),0)</f>
        <v>13</v>
      </c>
      <c r="D13">
        <f>VLOOKUP($A13,regions_full!$A$2:$AI$267,MATCH(polities_cats!D$1,$A$1:$AN$1,0),0)</f>
        <v>13</v>
      </c>
      <c r="E13" t="str">
        <f>VLOOKUP($A13,regions_full!$A$2:$AI$267,MATCH(polities_cats!E$1,$A$1:$AN$1,0),0)</f>
        <v>BHR</v>
      </c>
      <c r="F13" t="str">
        <f>VLOOKUP($A13,regions_full!$A$2:$AI$267,MATCH(polities_cats!F$1,$A$1:$AN$1,0),0)</f>
        <v>Bahrain</v>
      </c>
      <c r="G13" t="str">
        <f>VLOOKUP($A13,regions_full!$A$2:$AI$267,MATCH(polities_cats!G$1,$A$1:$AN$1,0),0)</f>
        <v>FALSE</v>
      </c>
      <c r="H13" t="str">
        <f>VLOOKUP($A13,regions_full!$A$2:$AI$267,MATCH(polities_cats!H$1,$A$1:$AN$1,0),0)</f>
        <v>Bahrain</v>
      </c>
      <c r="I13" t="str">
        <f>VLOOKUP($A13,regions_full!$A$2:$AI$267,MATCH(polities_cats!I$1,$A$1:$AN$1,0),0)</f>
        <v>Bahrain</v>
      </c>
      <c r="J13" t="str">
        <f>VLOOKUP($A13,regions_full!$A$2:$AI$267,MATCH(polities_cats!J$1,$A$1:$AN$1,0),0)</f>
        <v>Bahrain</v>
      </c>
      <c r="K13">
        <f>VLOOKUP($A13,regions_full!$A$2:$AI$267,MATCH(polities_cats!K$1,$A$1:$AN$1,0),0)</f>
        <v>13</v>
      </c>
      <c r="L13" t="str">
        <f>VLOOKUP($A13,regions_full!$A$2:$AI$267,MATCH(polities_cats!L$1,$A$1:$AN$1,0),0)</f>
        <v>Bahrain</v>
      </c>
      <c r="M13">
        <f>VLOOKUP($A13,regions_full!$A$2:$AI$267,MATCH(polities_cats!M$1,$A$1:$AN$1,0),0)</f>
        <v>48</v>
      </c>
      <c r="N13">
        <f>VLOOKUP($A13,regions_full!$A$2:$AI$267,MATCH(polities_cats!N$1,$A$1:$AN$1,0),0)</f>
        <v>48</v>
      </c>
      <c r="O13">
        <f>VLOOKUP($A13,regions_full!$A$2:$AI$267,MATCH(polities_cats!O$1,$A$1:$AN$1,0),0)</f>
        <v>12</v>
      </c>
      <c r="P13" t="str">
        <f>VLOOKUP($A13,regions_full!$A$2:$AI$267,MATCH(polities_cats!P$1,$A$1:$AN$1,0),0)</f>
        <v>TRUE</v>
      </c>
      <c r="Q13">
        <f>VLOOKUP($A13,regions_full!$A$2:$AI$267,MATCH(polities_cats!Q$1,$A$1:$AN$1,0),0)</f>
        <v>13</v>
      </c>
      <c r="R13" t="str">
        <f>VLOOKUP($A13,regions_full!$A$2:$AI$267,MATCH(polities_cats!R$1,$A$1:$AN$1,0),0)</f>
        <v/>
      </c>
      <c r="S13" t="str">
        <f>VLOOKUP($A13,regions_full!$A$2:$AI$267,MATCH(polities_cats!S$1,$A$1:$AN$1,0),0)</f>
        <v>Middle East</v>
      </c>
      <c r="T13">
        <f>VLOOKUP($A13,regions_full!$A$2:$AI$267,MATCH(polities_cats!T$1,$A$1:$AN$1,0),0)</f>
        <v>1</v>
      </c>
      <c r="U13" t="str">
        <f>VLOOKUP($A13,regions_full!$A$2:$AI$267,MATCH(polities_cats!U$1,$A$1:$AN$1,0),0)</f>
        <v>Bahrain</v>
      </c>
      <c r="V13" t="str">
        <f>VLOOKUP($A13,regions_full!$A$2:$AI$267,MATCH(polities_cats!V$1,$A$1:$AN$1,0),0)</f>
        <v>Northern Africa and Western Asia</v>
      </c>
      <c r="W13" t="str">
        <f>VLOOKUP($A13,regions_full!$A$2:$AI$267,MATCH(polities_cats!W$1,$A$1:$AN$1,0),0)</f>
        <v>North Africa and West Asia</v>
      </c>
      <c r="X13" t="str">
        <f>VLOOKUP($A13,regions_full!$A$2:$AI$267,MATCH(polities_cats!X$1,$A$1:$AN$1,0),0)</f>
        <v>MENA</v>
      </c>
      <c r="Y13" t="str">
        <f>VLOOKUP($A13,regions_full!$A$2:$AI$267,MATCH(polities_cats!Y$1,$A$1:$AN$1,0),0)</f>
        <v>Western Asia</v>
      </c>
      <c r="Z13" t="str">
        <f>VLOOKUP($A13,regions_full!$A$2:$AI$267,MATCH(polities_cats!Z$1,$A$1:$AN$1,0),0)</f>
        <v>Asia</v>
      </c>
      <c r="AA13" t="str">
        <f>VLOOKUP($A13,regions_full!$A$2:$AI$267,MATCH(polities_cats!AA$1,$A$1:$AN$1,0),0)</f>
        <v>Arab States</v>
      </c>
      <c r="AB13" t="str">
        <f>VLOOKUP($A13,regions_full!$A$2:$AI$267,MATCH(polities_cats!AB$1,$A$1:$AN$1,0),0)</f>
        <v>Arab States</v>
      </c>
      <c r="AC13" t="str">
        <f>VLOOKUP($A13,regions_full!$A$2:$AI$267,MATCH(polities_cats!AC$1,$A$1:$AN$1,0),0)</f>
        <v>Arab States</v>
      </c>
      <c r="AD13" t="str">
        <f>VLOOKUP($A13,regions_full!$A$2:$AI$267,MATCH(polities_cats!AD$1,$A$1:$AN$1,0),0)</f>
        <v>Emerging</v>
      </c>
      <c r="AE13" t="str">
        <f>VLOOKUP($A13,regions_full!$A$2:$AI$267,MATCH(polities_cats!AE$1,$A$1:$AN$1,0),0)</f>
        <v>Annex_II</v>
      </c>
      <c r="AF13" t="str">
        <f>VLOOKUP($A13,regions_full!$A$2:$AI$267,MATCH(polities_cats!AF$1,$A$1:$AN$1,0),0)</f>
        <v>Western Asia</v>
      </c>
      <c r="AG13" t="str">
        <f>VLOOKUP($A13,regions_full!$A$2:$AI$267,MATCH(polities_cats!AG$1,$A$1:$AN$1,0),0)</f>
        <v>MENA</v>
      </c>
      <c r="AH13" t="str">
        <f>VLOOKUP($A13,regions_full!$A$2:$AI$267,MATCH(polities_cats!AH$1,$A$1:$AN$1,0),0)</f>
        <v>no_mech</v>
      </c>
      <c r="AI13" t="str">
        <f>VLOOKUP($A13,regions_full!$A$2:$AI$267,MATCH(polities_cats!AI$1,$A$1:$AN$1,0),0)</f>
        <v>Other</v>
      </c>
      <c r="AJ13" t="e">
        <f>VLOOKUP($A13,regions_full!$A$2:$AI$267,MATCH(polities_cats!AJ$1,$A$1:$AN$1,0),0)</f>
        <v>#REF!</v>
      </c>
      <c r="AK13" t="e">
        <f>VLOOKUP($A13,regions_full!$A$2:$AI$267,MATCH(polities_cats!AK$1,$A$1:$AN$1,0),0)</f>
        <v>#REF!</v>
      </c>
      <c r="AL13" t="e">
        <f>VLOOKUP($A13,regions_full!$A$2:$AI$267,MATCH(polities_cats!AL$1,$A$1:$AN$1,0),0)</f>
        <v>#REF!</v>
      </c>
      <c r="AM13" t="e">
        <f>VLOOKUP($A13,regions_full!$A$2:$AI$267,MATCH(polities_cats!AM$1,$A$1:$AN$1,0),0)</f>
        <v>#REF!</v>
      </c>
      <c r="AN13" t="e">
        <f>VLOOKUP($A13,regions_full!$A$2:$AI$267,MATCH(polities_cats!AN$1,$A$1:$AN$1,0),0)</f>
        <v>#REF!</v>
      </c>
    </row>
    <row r="14" spans="1:40" x14ac:dyDescent="0.3">
      <c r="A14" t="str">
        <f>polities_whep!A14</f>
        <v>BGD</v>
      </c>
      <c r="B14" t="str">
        <f>polities_whep!B14</f>
        <v>Bangladesh</v>
      </c>
      <c r="C14">
        <f>VLOOKUP($A14,regions_full!$A$2:$AI$267,MATCH(polities_cats!C$1,$A$1:$AN$1,0),0)</f>
        <v>16</v>
      </c>
      <c r="D14">
        <f>VLOOKUP($A14,regions_full!$A$2:$AI$267,MATCH(polities_cats!D$1,$A$1:$AN$1,0),0)</f>
        <v>16</v>
      </c>
      <c r="E14" t="str">
        <f>VLOOKUP($A14,regions_full!$A$2:$AI$267,MATCH(polities_cats!E$1,$A$1:$AN$1,0),0)</f>
        <v>BGD</v>
      </c>
      <c r="F14" t="str">
        <f>VLOOKUP($A14,regions_full!$A$2:$AI$267,MATCH(polities_cats!F$1,$A$1:$AN$1,0),0)</f>
        <v>Bangladesh</v>
      </c>
      <c r="G14" t="str">
        <f>VLOOKUP($A14,regions_full!$A$2:$AI$267,MATCH(polities_cats!G$1,$A$1:$AN$1,0),0)</f>
        <v>FALSE</v>
      </c>
      <c r="H14" t="str">
        <f>VLOOKUP($A14,regions_full!$A$2:$AI$267,MATCH(polities_cats!H$1,$A$1:$AN$1,0),0)</f>
        <v>Bangladesh</v>
      </c>
      <c r="I14" t="str">
        <f>VLOOKUP($A14,regions_full!$A$2:$AI$267,MATCH(polities_cats!I$1,$A$1:$AN$1,0),0)</f>
        <v>Bangladesh</v>
      </c>
      <c r="J14" t="str">
        <f>VLOOKUP($A14,regions_full!$A$2:$AI$267,MATCH(polities_cats!J$1,$A$1:$AN$1,0),0)</f>
        <v>Bangladesh</v>
      </c>
      <c r="K14">
        <f>VLOOKUP($A14,regions_full!$A$2:$AI$267,MATCH(polities_cats!K$1,$A$1:$AN$1,0),0)</f>
        <v>16</v>
      </c>
      <c r="L14" t="str">
        <f>VLOOKUP($A14,regions_full!$A$2:$AI$267,MATCH(polities_cats!L$1,$A$1:$AN$1,0),0)</f>
        <v>Bangladesh</v>
      </c>
      <c r="M14">
        <f>VLOOKUP($A14,regions_full!$A$2:$AI$267,MATCH(polities_cats!M$1,$A$1:$AN$1,0),0)</f>
        <v>50</v>
      </c>
      <c r="N14">
        <f>VLOOKUP($A14,regions_full!$A$2:$AI$267,MATCH(polities_cats!N$1,$A$1:$AN$1,0),0)</f>
        <v>50</v>
      </c>
      <c r="O14">
        <f>VLOOKUP($A14,regions_full!$A$2:$AI$267,MATCH(polities_cats!O$1,$A$1:$AN$1,0),0)</f>
        <v>13</v>
      </c>
      <c r="P14" t="str">
        <f>VLOOKUP($A14,regions_full!$A$2:$AI$267,MATCH(polities_cats!P$1,$A$1:$AN$1,0),0)</f>
        <v>TRUE</v>
      </c>
      <c r="Q14">
        <f>VLOOKUP($A14,regions_full!$A$2:$AI$267,MATCH(polities_cats!Q$1,$A$1:$AN$1,0),0)</f>
        <v>16</v>
      </c>
      <c r="R14" t="str">
        <f>VLOOKUP($A14,regions_full!$A$2:$AI$267,MATCH(polities_cats!R$1,$A$1:$AN$1,0),0)</f>
        <v/>
      </c>
      <c r="S14" t="str">
        <f>VLOOKUP($A14,regions_full!$A$2:$AI$267,MATCH(polities_cats!S$1,$A$1:$AN$1,0),0)</f>
        <v>South Asia</v>
      </c>
      <c r="T14">
        <f>VLOOKUP($A14,regions_full!$A$2:$AI$267,MATCH(polities_cats!T$1,$A$1:$AN$1,0),0)</f>
        <v>1</v>
      </c>
      <c r="U14" t="str">
        <f>VLOOKUP($A14,regions_full!$A$2:$AI$267,MATCH(polities_cats!U$1,$A$1:$AN$1,0),0)</f>
        <v>Bangladesh</v>
      </c>
      <c r="V14" t="str">
        <f>VLOOKUP($A14,regions_full!$A$2:$AI$267,MATCH(polities_cats!V$1,$A$1:$AN$1,0),0)</f>
        <v>Southern Asia</v>
      </c>
      <c r="W14" t="str">
        <f>VLOOKUP($A14,regions_full!$A$2:$AI$267,MATCH(polities_cats!W$1,$A$1:$AN$1,0),0)</f>
        <v>South and Central Asia</v>
      </c>
      <c r="X14" t="str">
        <f>VLOOKUP($A14,regions_full!$A$2:$AI$267,MATCH(polities_cats!X$1,$A$1:$AN$1,0),0)</f>
        <v>Southern Asia</v>
      </c>
      <c r="Y14" t="str">
        <f>VLOOKUP($A14,regions_full!$A$2:$AI$267,MATCH(polities_cats!Y$1,$A$1:$AN$1,0),0)</f>
        <v>Southern Asia</v>
      </c>
      <c r="Z14" t="str">
        <f>VLOOKUP($A14,regions_full!$A$2:$AI$267,MATCH(polities_cats!Z$1,$A$1:$AN$1,0),0)</f>
        <v>Asia</v>
      </c>
      <c r="AA14" t="str">
        <f>VLOOKUP($A14,regions_full!$A$2:$AI$267,MATCH(polities_cats!AA$1,$A$1:$AN$1,0),0)</f>
        <v>Asia and the Pacific</v>
      </c>
      <c r="AB14" t="str">
        <f>VLOOKUP($A14,regions_full!$A$2:$AI$267,MATCH(polities_cats!AB$1,$A$1:$AN$1,0),0)</f>
        <v>Southern Asia</v>
      </c>
      <c r="AC14" t="str">
        <f>VLOOKUP($A14,regions_full!$A$2:$AI$267,MATCH(polities_cats!AC$1,$A$1:$AN$1,0),0)</f>
        <v>Southern Asia</v>
      </c>
      <c r="AD14" t="str">
        <f>VLOOKUP($A14,regions_full!$A$2:$AI$267,MATCH(polities_cats!AD$1,$A$1:$AN$1,0),0)</f>
        <v>Emerging</v>
      </c>
      <c r="AE14" t="str">
        <f>VLOOKUP($A14,regions_full!$A$2:$AI$267,MATCH(polities_cats!AE$1,$A$1:$AN$1,0),0)</f>
        <v>Annex_II</v>
      </c>
      <c r="AF14" t="str">
        <f>VLOOKUP($A14,regions_full!$A$2:$AI$267,MATCH(polities_cats!AF$1,$A$1:$AN$1,0),0)</f>
        <v>Southern Asia</v>
      </c>
      <c r="AG14" t="str">
        <f>VLOOKUP($A14,regions_full!$A$2:$AI$267,MATCH(polities_cats!AG$1,$A$1:$AN$1,0),0)</f>
        <v>SE-Asia</v>
      </c>
      <c r="AH14" t="str">
        <f>VLOOKUP($A14,regions_full!$A$2:$AI$267,MATCH(polities_cats!AH$1,$A$1:$AN$1,0),0)</f>
        <v>no_mech</v>
      </c>
      <c r="AI14" t="str">
        <f>VLOOKUP($A14,regions_full!$A$2:$AI$267,MATCH(polities_cats!AI$1,$A$1:$AN$1,0),0)</f>
        <v>Other</v>
      </c>
      <c r="AJ14" t="e">
        <f>VLOOKUP($A14,regions_full!$A$2:$AI$267,MATCH(polities_cats!AJ$1,$A$1:$AN$1,0),0)</f>
        <v>#REF!</v>
      </c>
      <c r="AK14" t="e">
        <f>VLOOKUP($A14,regions_full!$A$2:$AI$267,MATCH(polities_cats!AK$1,$A$1:$AN$1,0),0)</f>
        <v>#REF!</v>
      </c>
      <c r="AL14" t="e">
        <f>VLOOKUP($A14,regions_full!$A$2:$AI$267,MATCH(polities_cats!AL$1,$A$1:$AN$1,0),0)</f>
        <v>#REF!</v>
      </c>
      <c r="AM14" t="e">
        <f>VLOOKUP($A14,regions_full!$A$2:$AI$267,MATCH(polities_cats!AM$1,$A$1:$AN$1,0),0)</f>
        <v>#REF!</v>
      </c>
      <c r="AN14" t="e">
        <f>VLOOKUP($A14,regions_full!$A$2:$AI$267,MATCH(polities_cats!AN$1,$A$1:$AN$1,0),0)</f>
        <v>#REF!</v>
      </c>
    </row>
    <row r="15" spans="1:40" x14ac:dyDescent="0.3">
      <c r="A15" t="str">
        <f>polities_whep!A15</f>
        <v>BRB</v>
      </c>
      <c r="B15" t="str">
        <f>polities_whep!B15</f>
        <v>Barbados</v>
      </c>
      <c r="C15">
        <f>VLOOKUP($A15,regions_full!$A$2:$AI$267,MATCH(polities_cats!C$1,$A$1:$AN$1,0),0)</f>
        <v>14</v>
      </c>
      <c r="D15">
        <f>VLOOKUP($A15,regions_full!$A$2:$AI$267,MATCH(polities_cats!D$1,$A$1:$AN$1,0),0)</f>
        <v>14</v>
      </c>
      <c r="E15" t="str">
        <f>VLOOKUP($A15,regions_full!$A$2:$AI$267,MATCH(polities_cats!E$1,$A$1:$AN$1,0),0)</f>
        <v>BRB</v>
      </c>
      <c r="F15" t="str">
        <f>VLOOKUP($A15,regions_full!$A$2:$AI$267,MATCH(polities_cats!F$1,$A$1:$AN$1,0),0)</f>
        <v>Barbados</v>
      </c>
      <c r="G15" t="str">
        <f>VLOOKUP($A15,regions_full!$A$2:$AI$267,MATCH(polities_cats!G$1,$A$1:$AN$1,0),0)</f>
        <v>FALSE</v>
      </c>
      <c r="H15" t="str">
        <f>VLOOKUP($A15,regions_full!$A$2:$AI$267,MATCH(polities_cats!H$1,$A$1:$AN$1,0),0)</f>
        <v>Barbados</v>
      </c>
      <c r="I15" t="str">
        <f>VLOOKUP($A15,regions_full!$A$2:$AI$267,MATCH(polities_cats!I$1,$A$1:$AN$1,0),0)</f>
        <v>Barbados</v>
      </c>
      <c r="J15">
        <f>VLOOKUP($A15,regions_full!$A$2:$AI$267,MATCH(polities_cats!J$1,$A$1:$AN$1,0),0)</f>
        <v>0</v>
      </c>
      <c r="K15">
        <f>VLOOKUP($A15,regions_full!$A$2:$AI$267,MATCH(polities_cats!K$1,$A$1:$AN$1,0),0)</f>
        <v>14</v>
      </c>
      <c r="L15" t="str">
        <f>VLOOKUP($A15,regions_full!$A$2:$AI$267,MATCH(polities_cats!L$1,$A$1:$AN$1,0),0)</f>
        <v>Barbados</v>
      </c>
      <c r="M15">
        <f>VLOOKUP($A15,regions_full!$A$2:$AI$267,MATCH(polities_cats!M$1,$A$1:$AN$1,0),0)</f>
        <v>52</v>
      </c>
      <c r="N15">
        <f>VLOOKUP($A15,regions_full!$A$2:$AI$267,MATCH(polities_cats!N$1,$A$1:$AN$1,0),0)</f>
        <v>52</v>
      </c>
      <c r="O15">
        <f>VLOOKUP($A15,regions_full!$A$2:$AI$267,MATCH(polities_cats!O$1,$A$1:$AN$1,0),0)</f>
        <v>3</v>
      </c>
      <c r="P15" t="str">
        <f>VLOOKUP($A15,regions_full!$A$2:$AI$267,MATCH(polities_cats!P$1,$A$1:$AN$1,0),0)</f>
        <v>TRUE</v>
      </c>
      <c r="Q15">
        <f>VLOOKUP($A15,regions_full!$A$2:$AI$267,MATCH(polities_cats!Q$1,$A$1:$AN$1,0),0)</f>
        <v>14</v>
      </c>
      <c r="R15" t="str">
        <f>VLOOKUP($A15,regions_full!$A$2:$AI$267,MATCH(polities_cats!R$1,$A$1:$AN$1,0),0)</f>
        <v/>
      </c>
      <c r="S15" t="str">
        <f>VLOOKUP($A15,regions_full!$A$2:$AI$267,MATCH(polities_cats!S$1,$A$1:$AN$1,0),0)</f>
        <v>Central America</v>
      </c>
      <c r="T15">
        <f>VLOOKUP($A15,regions_full!$A$2:$AI$267,MATCH(polities_cats!T$1,$A$1:$AN$1,0),0)</f>
        <v>1</v>
      </c>
      <c r="U15" t="str">
        <f>VLOOKUP($A15,regions_full!$A$2:$AI$267,MATCH(polities_cats!U$1,$A$1:$AN$1,0),0)</f>
        <v>Barbados</v>
      </c>
      <c r="V15" t="str">
        <f>VLOOKUP($A15,regions_full!$A$2:$AI$267,MATCH(polities_cats!V$1,$A$1:$AN$1,0),0)</f>
        <v>Latin America and the Caribbean</v>
      </c>
      <c r="W15" t="str">
        <f>VLOOKUP($A15,regions_full!$A$2:$AI$267,MATCH(polities_cats!W$1,$A$1:$AN$1,0),0)</f>
        <v>Latin America and Caribbean</v>
      </c>
      <c r="X15" t="str">
        <f>VLOOKUP($A15,regions_full!$A$2:$AI$267,MATCH(polities_cats!X$1,$A$1:$AN$1,0),0)</f>
        <v>LACA</v>
      </c>
      <c r="Y15" t="str">
        <f>VLOOKUP($A15,regions_full!$A$2:$AI$267,MATCH(polities_cats!Y$1,$A$1:$AN$1,0),0)</f>
        <v>Latin America and the Caribbean</v>
      </c>
      <c r="Z15" t="str">
        <f>VLOOKUP($A15,regions_full!$A$2:$AI$267,MATCH(polities_cats!Z$1,$A$1:$AN$1,0),0)</f>
        <v>Americas</v>
      </c>
      <c r="AA15" t="str">
        <f>VLOOKUP($A15,regions_full!$A$2:$AI$267,MATCH(polities_cats!AA$1,$A$1:$AN$1,0),0)</f>
        <v>Americas</v>
      </c>
      <c r="AB15" t="str">
        <f>VLOOKUP($A15,regions_full!$A$2:$AI$267,MATCH(polities_cats!AB$1,$A$1:$AN$1,0),0)</f>
        <v>Latin America and the Caribbean</v>
      </c>
      <c r="AC15" t="str">
        <f>VLOOKUP($A15,regions_full!$A$2:$AI$267,MATCH(polities_cats!AC$1,$A$1:$AN$1,0),0)</f>
        <v>Caribbean</v>
      </c>
      <c r="AD15" t="str">
        <f>VLOOKUP($A15,regions_full!$A$2:$AI$267,MATCH(polities_cats!AD$1,$A$1:$AN$1,0),0)</f>
        <v>Emerging</v>
      </c>
      <c r="AE15" t="str">
        <f>VLOOKUP($A15,regions_full!$A$2:$AI$267,MATCH(polities_cats!AE$1,$A$1:$AN$1,0),0)</f>
        <v>Annex_II</v>
      </c>
      <c r="AF15" t="str">
        <f>VLOOKUP($A15,regions_full!$A$2:$AI$267,MATCH(polities_cats!AF$1,$A$1:$AN$1,0),0)</f>
        <v>Caribbean &amp; Centra Am.</v>
      </c>
      <c r="AG15" t="str">
        <f>VLOOKUP($A15,regions_full!$A$2:$AI$267,MATCH(polities_cats!AG$1,$A$1:$AN$1,0),0)</f>
        <v>LACA</v>
      </c>
      <c r="AH15" t="str">
        <f>VLOOKUP($A15,regions_full!$A$2:$AI$267,MATCH(polities_cats!AH$1,$A$1:$AN$1,0),0)</f>
        <v>no_mech</v>
      </c>
      <c r="AI15" t="str">
        <f>VLOOKUP($A15,regions_full!$A$2:$AI$267,MATCH(polities_cats!AI$1,$A$1:$AN$1,0),0)</f>
        <v>Other</v>
      </c>
      <c r="AJ15" t="e">
        <f>VLOOKUP($A15,regions_full!$A$2:$AI$267,MATCH(polities_cats!AJ$1,$A$1:$AN$1,0),0)</f>
        <v>#REF!</v>
      </c>
      <c r="AK15" t="e">
        <f>VLOOKUP($A15,regions_full!$A$2:$AI$267,MATCH(polities_cats!AK$1,$A$1:$AN$1,0),0)</f>
        <v>#REF!</v>
      </c>
      <c r="AL15" t="e">
        <f>VLOOKUP($A15,regions_full!$A$2:$AI$267,MATCH(polities_cats!AL$1,$A$1:$AN$1,0),0)</f>
        <v>#REF!</v>
      </c>
      <c r="AM15" t="e">
        <f>VLOOKUP($A15,regions_full!$A$2:$AI$267,MATCH(polities_cats!AM$1,$A$1:$AN$1,0),0)</f>
        <v>#REF!</v>
      </c>
      <c r="AN15" t="e">
        <f>VLOOKUP($A15,regions_full!$A$2:$AI$267,MATCH(polities_cats!AN$1,$A$1:$AN$1,0),0)</f>
        <v>#REF!</v>
      </c>
    </row>
    <row r="16" spans="1:40" x14ac:dyDescent="0.3">
      <c r="A16" t="str">
        <f>polities_whep!A16</f>
        <v>BLR</v>
      </c>
      <c r="B16" t="str">
        <f>polities_whep!B16</f>
        <v>Belarus</v>
      </c>
      <c r="C16">
        <f>VLOOKUP($A16,regions_full!$A$2:$AI$267,MATCH(polities_cats!C$1,$A$1:$AN$1,0),0)</f>
        <v>57</v>
      </c>
      <c r="D16">
        <f>VLOOKUP($A16,regions_full!$A$2:$AI$267,MATCH(polities_cats!D$1,$A$1:$AN$1,0),0)</f>
        <v>57</v>
      </c>
      <c r="E16" t="str">
        <f>VLOOKUP($A16,regions_full!$A$2:$AI$267,MATCH(polities_cats!E$1,$A$1:$AN$1,0),0)</f>
        <v>BLR</v>
      </c>
      <c r="F16" t="str">
        <f>VLOOKUP($A16,regions_full!$A$2:$AI$267,MATCH(polities_cats!F$1,$A$1:$AN$1,0),0)</f>
        <v>Belarus</v>
      </c>
      <c r="G16" t="str">
        <f>VLOOKUP($A16,regions_full!$A$2:$AI$267,MATCH(polities_cats!G$1,$A$1:$AN$1,0),0)</f>
        <v>FALSE</v>
      </c>
      <c r="H16" t="str">
        <f>VLOOKUP($A16,regions_full!$A$2:$AI$267,MATCH(polities_cats!H$1,$A$1:$AN$1,0),0)</f>
        <v>Belarus</v>
      </c>
      <c r="I16" t="str">
        <f>VLOOKUP($A16,regions_full!$A$2:$AI$267,MATCH(polities_cats!I$1,$A$1:$AN$1,0),0)</f>
        <v>Belarus</v>
      </c>
      <c r="J16" t="str">
        <f>VLOOKUP($A16,regions_full!$A$2:$AI$267,MATCH(polities_cats!J$1,$A$1:$AN$1,0),0)</f>
        <v>Belarus</v>
      </c>
      <c r="K16">
        <f>VLOOKUP($A16,regions_full!$A$2:$AI$267,MATCH(polities_cats!K$1,$A$1:$AN$1,0),0)</f>
        <v>57</v>
      </c>
      <c r="L16" t="str">
        <f>VLOOKUP($A16,regions_full!$A$2:$AI$267,MATCH(polities_cats!L$1,$A$1:$AN$1,0),0)</f>
        <v>Belarus</v>
      </c>
      <c r="M16">
        <f>VLOOKUP($A16,regions_full!$A$2:$AI$267,MATCH(polities_cats!M$1,$A$1:$AN$1,0),0)</f>
        <v>112</v>
      </c>
      <c r="N16">
        <f>VLOOKUP($A16,regions_full!$A$2:$AI$267,MATCH(polities_cats!N$1,$A$1:$AN$1,0),0)</f>
        <v>112</v>
      </c>
      <c r="O16">
        <f>VLOOKUP($A16,regions_full!$A$2:$AI$267,MATCH(polities_cats!O$1,$A$1:$AN$1,0),0)</f>
        <v>11</v>
      </c>
      <c r="P16" t="str">
        <f>VLOOKUP($A16,regions_full!$A$2:$AI$267,MATCH(polities_cats!P$1,$A$1:$AN$1,0),0)</f>
        <v>TRUE</v>
      </c>
      <c r="Q16">
        <f>VLOOKUP($A16,regions_full!$A$2:$AI$267,MATCH(polities_cats!Q$1,$A$1:$AN$1,0),0)</f>
        <v>57</v>
      </c>
      <c r="R16" t="str">
        <f>VLOOKUP($A16,regions_full!$A$2:$AI$267,MATCH(polities_cats!R$1,$A$1:$AN$1,0),0)</f>
        <v/>
      </c>
      <c r="S16" t="str">
        <f>VLOOKUP($A16,regions_full!$A$2:$AI$267,MATCH(polities_cats!S$1,$A$1:$AN$1,0),0)</f>
        <v>Former USSR</v>
      </c>
      <c r="T16">
        <f>VLOOKUP($A16,regions_full!$A$2:$AI$267,MATCH(polities_cats!T$1,$A$1:$AN$1,0),0)</f>
        <v>1</v>
      </c>
      <c r="U16" t="str">
        <f>VLOOKUP($A16,regions_full!$A$2:$AI$267,MATCH(polities_cats!U$1,$A$1:$AN$1,0),0)</f>
        <v>Belarus</v>
      </c>
      <c r="V16" t="str">
        <f>VLOOKUP($A16,regions_full!$A$2:$AI$267,MATCH(polities_cats!V$1,$A$1:$AN$1,0),0)</f>
        <v>Central Asia and Russian Federation</v>
      </c>
      <c r="W16" t="str">
        <f>VLOOKUP($A16,regions_full!$A$2:$AI$267,MATCH(polities_cats!W$1,$A$1:$AN$1,0),0)</f>
        <v>South and Central Asia</v>
      </c>
      <c r="X16" t="str">
        <f>VLOOKUP($A16,regions_full!$A$2:$AI$267,MATCH(polities_cats!X$1,$A$1:$AN$1,0),0)</f>
        <v>CAS &amp; Russia</v>
      </c>
      <c r="Y16" t="str">
        <f>VLOOKUP($A16,regions_full!$A$2:$AI$267,MATCH(polities_cats!Y$1,$A$1:$AN$1,0),0)</f>
        <v>Eastern Europe</v>
      </c>
      <c r="Z16" t="str">
        <f>VLOOKUP($A16,regions_full!$A$2:$AI$267,MATCH(polities_cats!Z$1,$A$1:$AN$1,0),0)</f>
        <v>Europe</v>
      </c>
      <c r="AA16" t="str">
        <f>VLOOKUP($A16,regions_full!$A$2:$AI$267,MATCH(polities_cats!AA$1,$A$1:$AN$1,0),0)</f>
        <v>Europe and Central Asia</v>
      </c>
      <c r="AB16" t="str">
        <f>VLOOKUP($A16,regions_full!$A$2:$AI$267,MATCH(polities_cats!AB$1,$A$1:$AN$1,0),0)</f>
        <v>Eastern Europe</v>
      </c>
      <c r="AC16" t="str">
        <f>VLOOKUP($A16,regions_full!$A$2:$AI$267,MATCH(polities_cats!AC$1,$A$1:$AN$1,0),0)</f>
        <v>Eastern Europe</v>
      </c>
      <c r="AD16" t="str">
        <f>VLOOKUP($A16,regions_full!$A$2:$AI$267,MATCH(polities_cats!AD$1,$A$1:$AN$1,0),0)</f>
        <v>Emerging</v>
      </c>
      <c r="AE16" t="str">
        <f>VLOOKUP($A16,regions_full!$A$2:$AI$267,MATCH(polities_cats!AE$1,$A$1:$AN$1,0),0)</f>
        <v>Annex_I</v>
      </c>
      <c r="AF16" t="str">
        <f>VLOOKUP($A16,regions_full!$A$2:$AI$267,MATCH(polities_cats!AF$1,$A$1:$AN$1,0),0)</f>
        <v>FSU</v>
      </c>
      <c r="AG16" t="str">
        <f>VLOOKUP($A16,regions_full!$A$2:$AI$267,MATCH(polities_cats!AG$1,$A$1:$AN$1,0),0)</f>
        <v>FSU</v>
      </c>
      <c r="AH16" t="str">
        <f>VLOOKUP($A16,regions_full!$A$2:$AI$267,MATCH(polities_cats!AH$1,$A$1:$AN$1,0),0)</f>
        <v>mech</v>
      </c>
      <c r="AI16" t="str">
        <f>VLOOKUP($A16,regions_full!$A$2:$AI$267,MATCH(polities_cats!AI$1,$A$1:$AN$1,0),0)</f>
        <v>Europe</v>
      </c>
      <c r="AJ16" t="e">
        <f>VLOOKUP($A16,regions_full!$A$2:$AI$267,MATCH(polities_cats!AJ$1,$A$1:$AN$1,0),0)</f>
        <v>#REF!</v>
      </c>
      <c r="AK16" t="e">
        <f>VLOOKUP($A16,regions_full!$A$2:$AI$267,MATCH(polities_cats!AK$1,$A$1:$AN$1,0),0)</f>
        <v>#REF!</v>
      </c>
      <c r="AL16" t="e">
        <f>VLOOKUP($A16,regions_full!$A$2:$AI$267,MATCH(polities_cats!AL$1,$A$1:$AN$1,0),0)</f>
        <v>#REF!</v>
      </c>
      <c r="AM16" t="e">
        <f>VLOOKUP($A16,regions_full!$A$2:$AI$267,MATCH(polities_cats!AM$1,$A$1:$AN$1,0),0)</f>
        <v>#REF!</v>
      </c>
      <c r="AN16" t="e">
        <f>VLOOKUP($A16,regions_full!$A$2:$AI$267,MATCH(polities_cats!AN$1,$A$1:$AN$1,0),0)</f>
        <v>#REF!</v>
      </c>
    </row>
    <row r="17" spans="1:40" x14ac:dyDescent="0.3">
      <c r="A17" t="str">
        <f>polities_whep!A17</f>
        <v>BEL</v>
      </c>
      <c r="B17" t="str">
        <f>polities_whep!B17</f>
        <v>Belgium</v>
      </c>
      <c r="C17">
        <f>VLOOKUP($A17,regions_full!$A$2:$AI$267,MATCH(polities_cats!C$1,$A$1:$AN$1,0),0)</f>
        <v>246</v>
      </c>
      <c r="D17">
        <f>VLOOKUP($A17,regions_full!$A$2:$AI$267,MATCH(polities_cats!D$1,$A$1:$AN$1,0),0)</f>
        <v>255</v>
      </c>
      <c r="E17" t="str">
        <f>VLOOKUP($A17,regions_full!$A$2:$AI$267,MATCH(polities_cats!E$1,$A$1:$AN$1,0),0)</f>
        <v>BEL</v>
      </c>
      <c r="F17" t="str">
        <f>VLOOKUP($A17,regions_full!$A$2:$AI$267,MATCH(polities_cats!F$1,$A$1:$AN$1,0),0)</f>
        <v>Belgium</v>
      </c>
      <c r="G17" t="str">
        <f>VLOOKUP($A17,regions_full!$A$2:$AI$267,MATCH(polities_cats!G$1,$A$1:$AN$1,0),0)</f>
        <v>TRUE</v>
      </c>
      <c r="H17" t="str">
        <f>VLOOKUP($A17,regions_full!$A$2:$AI$267,MATCH(polities_cats!H$1,$A$1:$AN$1,0),0)</f>
        <v>Belgium</v>
      </c>
      <c r="I17" t="str">
        <f>VLOOKUP($A17,regions_full!$A$2:$AI$267,MATCH(polities_cats!I$1,$A$1:$AN$1,0),0)</f>
        <v>Belgium</v>
      </c>
      <c r="J17" t="str">
        <f>VLOOKUP($A17,regions_full!$A$2:$AI$267,MATCH(polities_cats!J$1,$A$1:$AN$1,0),0)</f>
        <v>Belgium</v>
      </c>
      <c r="K17">
        <f>VLOOKUP($A17,regions_full!$A$2:$AI$267,MATCH(polities_cats!K$1,$A$1:$AN$1,0),0)</f>
        <v>255</v>
      </c>
      <c r="L17" t="str">
        <f>VLOOKUP($A17,regions_full!$A$2:$AI$267,MATCH(polities_cats!L$1,$A$1:$AN$1,0),0)</f>
        <v>Belgium</v>
      </c>
      <c r="M17">
        <f>VLOOKUP($A17,regions_full!$A$2:$AI$267,MATCH(polities_cats!M$1,$A$1:$AN$1,0),0)</f>
        <v>56</v>
      </c>
      <c r="N17">
        <f>VLOOKUP($A17,regions_full!$A$2:$AI$267,MATCH(polities_cats!N$1,$A$1:$AN$1,0),0)</f>
        <v>56</v>
      </c>
      <c r="O17">
        <f>VLOOKUP($A17,regions_full!$A$2:$AI$267,MATCH(polities_cats!O$1,$A$1:$AN$1,0),0)</f>
        <v>9</v>
      </c>
      <c r="P17" t="str">
        <f>VLOOKUP($A17,regions_full!$A$2:$AI$267,MATCH(polities_cats!P$1,$A$1:$AN$1,0),0)</f>
        <v>TRUE</v>
      </c>
      <c r="Q17">
        <f>VLOOKUP($A17,regions_full!$A$2:$AI$267,MATCH(polities_cats!Q$1,$A$1:$AN$1,0),0)</f>
        <v>255</v>
      </c>
      <c r="R17" t="str">
        <f>VLOOKUP($A17,regions_full!$A$2:$AI$267,MATCH(polities_cats!R$1,$A$1:$AN$1,0),0)</f>
        <v>BE</v>
      </c>
      <c r="S17" t="str">
        <f>VLOOKUP($A17,regions_full!$A$2:$AI$267,MATCH(polities_cats!S$1,$A$1:$AN$1,0),0)</f>
        <v>OECD Europe</v>
      </c>
      <c r="T17">
        <f>VLOOKUP($A17,regions_full!$A$2:$AI$267,MATCH(polities_cats!T$1,$A$1:$AN$1,0),0)</f>
        <v>1</v>
      </c>
      <c r="U17" t="str">
        <f>VLOOKUP($A17,regions_full!$A$2:$AI$267,MATCH(polities_cats!U$1,$A$1:$AN$1,0),0)</f>
        <v>Belgium</v>
      </c>
      <c r="V17" t="str">
        <f>VLOOKUP($A17,regions_full!$A$2:$AI$267,MATCH(polities_cats!V$1,$A$1:$AN$1,0),0)</f>
        <v>Western Europe</v>
      </c>
      <c r="W17" t="str">
        <f>VLOOKUP($A17,regions_full!$A$2:$AI$267,MATCH(polities_cats!W$1,$A$1:$AN$1,0),0)</f>
        <v>West Europe</v>
      </c>
      <c r="X17" t="str">
        <f>VLOOKUP($A17,regions_full!$A$2:$AI$267,MATCH(polities_cats!X$1,$A$1:$AN$1,0),0)</f>
        <v>Europe</v>
      </c>
      <c r="Y17" t="str">
        <f>VLOOKUP($A17,regions_full!$A$2:$AI$267,MATCH(polities_cats!Y$1,$A$1:$AN$1,0),0)</f>
        <v>Western Europe</v>
      </c>
      <c r="Z17" t="str">
        <f>VLOOKUP($A17,regions_full!$A$2:$AI$267,MATCH(polities_cats!Z$1,$A$1:$AN$1,0),0)</f>
        <v>Europe</v>
      </c>
      <c r="AA17" t="str">
        <f>VLOOKUP($A17,regions_full!$A$2:$AI$267,MATCH(polities_cats!AA$1,$A$1:$AN$1,0),0)</f>
        <v>Europe and Central Asia</v>
      </c>
      <c r="AB17" t="str">
        <f>VLOOKUP($A17,regions_full!$A$2:$AI$267,MATCH(polities_cats!AB$1,$A$1:$AN$1,0),0)</f>
        <v>Northern, Southern and Western Europe</v>
      </c>
      <c r="AC17" t="str">
        <f>VLOOKUP($A17,regions_full!$A$2:$AI$267,MATCH(polities_cats!AC$1,$A$1:$AN$1,0),0)</f>
        <v>Western Europe</v>
      </c>
      <c r="AD17" t="str">
        <f>VLOOKUP($A17,regions_full!$A$2:$AI$267,MATCH(polities_cats!AD$1,$A$1:$AN$1,0),0)</f>
        <v>Advanced</v>
      </c>
      <c r="AE17" t="str">
        <f>VLOOKUP($A17,regions_full!$A$2:$AI$267,MATCH(polities_cats!AE$1,$A$1:$AN$1,0),0)</f>
        <v>Annex_I</v>
      </c>
      <c r="AF17" t="str">
        <f>VLOOKUP($A17,regions_full!$A$2:$AI$267,MATCH(polities_cats!AF$1,$A$1:$AN$1,0),0)</f>
        <v>Western Europe</v>
      </c>
      <c r="AG17" t="str">
        <f>VLOOKUP($A17,regions_full!$A$2:$AI$267,MATCH(polities_cats!AG$1,$A$1:$AN$1,0),0)</f>
        <v>Europe</v>
      </c>
      <c r="AH17" t="str">
        <f>VLOOKUP($A17,regions_full!$A$2:$AI$267,MATCH(polities_cats!AH$1,$A$1:$AN$1,0),0)</f>
        <v>mech</v>
      </c>
      <c r="AI17" t="str">
        <f>VLOOKUP($A17,regions_full!$A$2:$AI$267,MATCH(polities_cats!AI$1,$A$1:$AN$1,0),0)</f>
        <v>Europe</v>
      </c>
      <c r="AJ17" t="e">
        <f>VLOOKUP($A17,regions_full!$A$2:$AI$267,MATCH(polities_cats!AJ$1,$A$1:$AN$1,0),0)</f>
        <v>#REF!</v>
      </c>
      <c r="AK17" t="e">
        <f>VLOOKUP($A17,regions_full!$A$2:$AI$267,MATCH(polities_cats!AK$1,$A$1:$AN$1,0),0)</f>
        <v>#REF!</v>
      </c>
      <c r="AL17" t="e">
        <f>VLOOKUP($A17,regions_full!$A$2:$AI$267,MATCH(polities_cats!AL$1,$A$1:$AN$1,0),0)</f>
        <v>#REF!</v>
      </c>
      <c r="AM17" t="e">
        <f>VLOOKUP($A17,regions_full!$A$2:$AI$267,MATCH(polities_cats!AM$1,$A$1:$AN$1,0),0)</f>
        <v>#REF!</v>
      </c>
      <c r="AN17" t="e">
        <f>VLOOKUP($A17,regions_full!$A$2:$AI$267,MATCH(polities_cats!AN$1,$A$1:$AN$1,0),0)</f>
        <v>#REF!</v>
      </c>
    </row>
    <row r="18" spans="1:40" x14ac:dyDescent="0.3">
      <c r="A18" t="str">
        <f>polities_whep!A18</f>
        <v>BLX</v>
      </c>
      <c r="B18" t="str">
        <f>polities_whep!B18</f>
        <v>Belgium-Luxembourg</v>
      </c>
      <c r="C18">
        <f>VLOOKUP($A18,regions_full!$A$2:$AI$267,MATCH(polities_cats!C$1,$A$1:$AN$1,0),0)</f>
        <v>15</v>
      </c>
      <c r="D18">
        <f>VLOOKUP($A18,regions_full!$A$2:$AI$267,MATCH(polities_cats!D$1,$A$1:$AN$1,0),0)</f>
        <v>15</v>
      </c>
      <c r="E18" t="str">
        <f>VLOOKUP($A18,regions_full!$A$2:$AI$267,MATCH(polities_cats!E$1,$A$1:$AN$1,0),0)</f>
        <v>BLX</v>
      </c>
      <c r="F18" t="str">
        <f>VLOOKUP($A18,regions_full!$A$2:$AI$267,MATCH(polities_cats!F$1,$A$1:$AN$1,0),0)</f>
        <v>Belgium-Luxembourg</v>
      </c>
      <c r="G18" t="str">
        <f>VLOOKUP($A18,regions_full!$A$2:$AI$267,MATCH(polities_cats!G$1,$A$1:$AN$1,0),0)</f>
        <v>TRUE</v>
      </c>
      <c r="H18" t="str">
        <f>VLOOKUP($A18,regions_full!$A$2:$AI$267,MATCH(polities_cats!H$1,$A$1:$AN$1,0),0)</f>
        <v>Belgium-Luxembourg</v>
      </c>
      <c r="I18">
        <f>VLOOKUP($A18,regions_full!$A$2:$AI$267,MATCH(polities_cats!I$1,$A$1:$AN$1,0),0)</f>
        <v>0</v>
      </c>
      <c r="J18">
        <f>VLOOKUP($A18,regions_full!$A$2:$AI$267,MATCH(polities_cats!J$1,$A$1:$AN$1,0),0)</f>
        <v>0</v>
      </c>
      <c r="K18">
        <f>VLOOKUP($A18,regions_full!$A$2:$AI$267,MATCH(polities_cats!K$1,$A$1:$AN$1,0),0)</f>
        <v>255</v>
      </c>
      <c r="L18" t="str">
        <f>VLOOKUP($A18,regions_full!$A$2:$AI$267,MATCH(polities_cats!L$1,$A$1:$AN$1,0),0)</f>
        <v>Belgium</v>
      </c>
      <c r="M18">
        <f>VLOOKUP($A18,regions_full!$A$2:$AI$267,MATCH(polities_cats!M$1,$A$1:$AN$1,0),0)</f>
        <v>58</v>
      </c>
      <c r="N18">
        <f>VLOOKUP($A18,regions_full!$A$2:$AI$267,MATCH(polities_cats!N$1,$A$1:$AN$1,0),0)</f>
        <v>58</v>
      </c>
      <c r="O18">
        <f>VLOOKUP($A18,regions_full!$A$2:$AI$267,MATCH(polities_cats!O$1,$A$1:$AN$1,0),0)</f>
        <v>9</v>
      </c>
      <c r="P18" t="str">
        <f>VLOOKUP($A18,regions_full!$A$2:$AI$267,MATCH(polities_cats!P$1,$A$1:$AN$1,0),0)</f>
        <v>TRUE</v>
      </c>
      <c r="Q18">
        <f>VLOOKUP($A18,regions_full!$A$2:$AI$267,MATCH(polities_cats!Q$1,$A$1:$AN$1,0),0)</f>
        <v>15</v>
      </c>
      <c r="R18" t="str">
        <f>VLOOKUP($A18,regions_full!$A$2:$AI$267,MATCH(polities_cats!R$1,$A$1:$AN$1,0),0)</f>
        <v>BE_LU</v>
      </c>
      <c r="S18" t="str">
        <f>VLOOKUP($A18,regions_full!$A$2:$AI$267,MATCH(polities_cats!S$1,$A$1:$AN$1,0),0)</f>
        <v>OECD Europe</v>
      </c>
      <c r="T18">
        <f>VLOOKUP($A18,regions_full!$A$2:$AI$267,MATCH(polities_cats!T$1,$A$1:$AN$1,0),0)</f>
        <v>1</v>
      </c>
      <c r="U18" t="str">
        <f>VLOOKUP($A18,regions_full!$A$2:$AI$267,MATCH(polities_cats!U$1,$A$1:$AN$1,0),0)</f>
        <v>Belgium-Luxemburg</v>
      </c>
      <c r="V18" t="str">
        <f>VLOOKUP($A18,regions_full!$A$2:$AI$267,MATCH(polities_cats!V$1,$A$1:$AN$1,0),0)</f>
        <v>Western Europe</v>
      </c>
      <c r="W18" t="str">
        <f>VLOOKUP($A18,regions_full!$A$2:$AI$267,MATCH(polities_cats!W$1,$A$1:$AN$1,0),0)</f>
        <v>West Europe</v>
      </c>
      <c r="X18" t="str">
        <f>VLOOKUP($A18,regions_full!$A$2:$AI$267,MATCH(polities_cats!X$1,$A$1:$AN$1,0),0)</f>
        <v>Europe</v>
      </c>
      <c r="Y18" t="str">
        <f>VLOOKUP($A18,regions_full!$A$2:$AI$267,MATCH(polities_cats!Y$1,$A$1:$AN$1,0),0)</f>
        <v>Western Europe</v>
      </c>
      <c r="Z18" t="str">
        <f>VLOOKUP($A18,regions_full!$A$2:$AI$267,MATCH(polities_cats!Z$1,$A$1:$AN$1,0),0)</f>
        <v>Europe</v>
      </c>
      <c r="AA18" t="str">
        <f>VLOOKUP($A18,regions_full!$A$2:$AI$267,MATCH(polities_cats!AA$1,$A$1:$AN$1,0),0)</f>
        <v>Europe and Central Asia</v>
      </c>
      <c r="AB18" t="str">
        <f>VLOOKUP($A18,regions_full!$A$2:$AI$267,MATCH(polities_cats!AB$1,$A$1:$AN$1,0),0)</f>
        <v>Northern, Southern and Western Europe</v>
      </c>
      <c r="AC18" t="str">
        <f>VLOOKUP($A18,regions_full!$A$2:$AI$267,MATCH(polities_cats!AC$1,$A$1:$AN$1,0),0)</f>
        <v>Western Europe</v>
      </c>
      <c r="AD18" t="str">
        <f>VLOOKUP($A18,regions_full!$A$2:$AI$267,MATCH(polities_cats!AD$1,$A$1:$AN$1,0),0)</f>
        <v>Advanced</v>
      </c>
      <c r="AE18" t="str">
        <f>VLOOKUP($A18,regions_full!$A$2:$AI$267,MATCH(polities_cats!AE$1,$A$1:$AN$1,0),0)</f>
        <v>Annex_I</v>
      </c>
      <c r="AF18" t="str">
        <f>VLOOKUP($A18,regions_full!$A$2:$AI$267,MATCH(polities_cats!AF$1,$A$1:$AN$1,0),0)</f>
        <v>Western Europe</v>
      </c>
      <c r="AG18" t="str">
        <f>VLOOKUP($A18,regions_full!$A$2:$AI$267,MATCH(polities_cats!AG$1,$A$1:$AN$1,0),0)</f>
        <v>Europe</v>
      </c>
      <c r="AH18" t="str">
        <f>VLOOKUP($A18,regions_full!$A$2:$AI$267,MATCH(polities_cats!AH$1,$A$1:$AN$1,0),0)</f>
        <v>mech</v>
      </c>
      <c r="AI18" t="str">
        <f>VLOOKUP($A18,regions_full!$A$2:$AI$267,MATCH(polities_cats!AI$1,$A$1:$AN$1,0),0)</f>
        <v>Europe</v>
      </c>
      <c r="AJ18" t="e">
        <f>VLOOKUP($A18,regions_full!$A$2:$AI$267,MATCH(polities_cats!AJ$1,$A$1:$AN$1,0),0)</f>
        <v>#REF!</v>
      </c>
      <c r="AK18" t="e">
        <f>VLOOKUP($A18,regions_full!$A$2:$AI$267,MATCH(polities_cats!AK$1,$A$1:$AN$1,0),0)</f>
        <v>#REF!</v>
      </c>
      <c r="AL18" t="e">
        <f>VLOOKUP($A18,regions_full!$A$2:$AI$267,MATCH(polities_cats!AL$1,$A$1:$AN$1,0),0)</f>
        <v>#REF!</v>
      </c>
      <c r="AM18" t="e">
        <f>VLOOKUP($A18,regions_full!$A$2:$AI$267,MATCH(polities_cats!AM$1,$A$1:$AN$1,0),0)</f>
        <v>#REF!</v>
      </c>
      <c r="AN18" t="e">
        <f>VLOOKUP($A18,regions_full!$A$2:$AI$267,MATCH(polities_cats!AN$1,$A$1:$AN$1,0),0)</f>
        <v>#REF!</v>
      </c>
    </row>
    <row r="19" spans="1:40" x14ac:dyDescent="0.3">
      <c r="A19" t="str">
        <f>polities_whep!A19</f>
        <v>BLZ</v>
      </c>
      <c r="B19" t="str">
        <f>polities_whep!B19</f>
        <v>Belize</v>
      </c>
      <c r="C19">
        <f>VLOOKUP($A19,regions_full!$A$2:$AI$267,MATCH(polities_cats!C$1,$A$1:$AN$1,0),0)</f>
        <v>23</v>
      </c>
      <c r="D19">
        <f>VLOOKUP($A19,regions_full!$A$2:$AI$267,MATCH(polities_cats!D$1,$A$1:$AN$1,0),0)</f>
        <v>23</v>
      </c>
      <c r="E19" t="str">
        <f>VLOOKUP($A19,regions_full!$A$2:$AI$267,MATCH(polities_cats!E$1,$A$1:$AN$1,0),0)</f>
        <v>BLZ</v>
      </c>
      <c r="F19" t="str">
        <f>VLOOKUP($A19,regions_full!$A$2:$AI$267,MATCH(polities_cats!F$1,$A$1:$AN$1,0),0)</f>
        <v>Belize</v>
      </c>
      <c r="G19" t="str">
        <f>VLOOKUP($A19,regions_full!$A$2:$AI$267,MATCH(polities_cats!G$1,$A$1:$AN$1,0),0)</f>
        <v>FALSE</v>
      </c>
      <c r="H19" t="str">
        <f>VLOOKUP($A19,regions_full!$A$2:$AI$267,MATCH(polities_cats!H$1,$A$1:$AN$1,0),0)</f>
        <v>Belize</v>
      </c>
      <c r="I19" t="str">
        <f>VLOOKUP($A19,regions_full!$A$2:$AI$267,MATCH(polities_cats!I$1,$A$1:$AN$1,0),0)</f>
        <v>Belize</v>
      </c>
      <c r="J19">
        <f>VLOOKUP($A19,regions_full!$A$2:$AI$267,MATCH(polities_cats!J$1,$A$1:$AN$1,0),0)</f>
        <v>0</v>
      </c>
      <c r="K19">
        <f>VLOOKUP($A19,regions_full!$A$2:$AI$267,MATCH(polities_cats!K$1,$A$1:$AN$1,0),0)</f>
        <v>23</v>
      </c>
      <c r="L19" t="str">
        <f>VLOOKUP($A19,regions_full!$A$2:$AI$267,MATCH(polities_cats!L$1,$A$1:$AN$1,0),0)</f>
        <v>Belize</v>
      </c>
      <c r="M19">
        <f>VLOOKUP($A19,regions_full!$A$2:$AI$267,MATCH(polities_cats!M$1,$A$1:$AN$1,0),0)</f>
        <v>84</v>
      </c>
      <c r="N19">
        <f>VLOOKUP($A19,regions_full!$A$2:$AI$267,MATCH(polities_cats!N$1,$A$1:$AN$1,0),0)</f>
        <v>84</v>
      </c>
      <c r="O19">
        <f>VLOOKUP($A19,regions_full!$A$2:$AI$267,MATCH(polities_cats!O$1,$A$1:$AN$1,0),0)</f>
        <v>3</v>
      </c>
      <c r="P19" t="str">
        <f>VLOOKUP($A19,regions_full!$A$2:$AI$267,MATCH(polities_cats!P$1,$A$1:$AN$1,0),0)</f>
        <v>TRUE</v>
      </c>
      <c r="Q19">
        <f>VLOOKUP($A19,regions_full!$A$2:$AI$267,MATCH(polities_cats!Q$1,$A$1:$AN$1,0),0)</f>
        <v>23</v>
      </c>
      <c r="R19" t="str">
        <f>VLOOKUP($A19,regions_full!$A$2:$AI$267,MATCH(polities_cats!R$1,$A$1:$AN$1,0),0)</f>
        <v/>
      </c>
      <c r="S19" t="str">
        <f>VLOOKUP($A19,regions_full!$A$2:$AI$267,MATCH(polities_cats!S$1,$A$1:$AN$1,0),0)</f>
        <v>Central America</v>
      </c>
      <c r="T19">
        <f>VLOOKUP($A19,regions_full!$A$2:$AI$267,MATCH(polities_cats!T$1,$A$1:$AN$1,0),0)</f>
        <v>1</v>
      </c>
      <c r="U19" t="str">
        <f>VLOOKUP($A19,regions_full!$A$2:$AI$267,MATCH(polities_cats!U$1,$A$1:$AN$1,0),0)</f>
        <v>Belize</v>
      </c>
      <c r="V19" t="str">
        <f>VLOOKUP($A19,regions_full!$A$2:$AI$267,MATCH(polities_cats!V$1,$A$1:$AN$1,0),0)</f>
        <v>Latin America and the Caribbean</v>
      </c>
      <c r="W19" t="str">
        <f>VLOOKUP($A19,regions_full!$A$2:$AI$267,MATCH(polities_cats!W$1,$A$1:$AN$1,0),0)</f>
        <v>Latin America and Caribbean</v>
      </c>
      <c r="X19" t="str">
        <f>VLOOKUP($A19,regions_full!$A$2:$AI$267,MATCH(polities_cats!X$1,$A$1:$AN$1,0),0)</f>
        <v>LACA</v>
      </c>
      <c r="Y19" t="str">
        <f>VLOOKUP($A19,regions_full!$A$2:$AI$267,MATCH(polities_cats!Y$1,$A$1:$AN$1,0),0)</f>
        <v>Latin America and the Caribbean</v>
      </c>
      <c r="Z19" t="str">
        <f>VLOOKUP($A19,regions_full!$A$2:$AI$267,MATCH(polities_cats!Z$1,$A$1:$AN$1,0),0)</f>
        <v>Americas</v>
      </c>
      <c r="AA19" t="str">
        <f>VLOOKUP($A19,regions_full!$A$2:$AI$267,MATCH(polities_cats!AA$1,$A$1:$AN$1,0),0)</f>
        <v>Americas</v>
      </c>
      <c r="AB19" t="str">
        <f>VLOOKUP($A19,regions_full!$A$2:$AI$267,MATCH(polities_cats!AB$1,$A$1:$AN$1,0),0)</f>
        <v>Latin America and the Caribbean</v>
      </c>
      <c r="AC19" t="str">
        <f>VLOOKUP($A19,regions_full!$A$2:$AI$267,MATCH(polities_cats!AC$1,$A$1:$AN$1,0),0)</f>
        <v>Central America</v>
      </c>
      <c r="AD19" t="str">
        <f>VLOOKUP($A19,regions_full!$A$2:$AI$267,MATCH(polities_cats!AD$1,$A$1:$AN$1,0),0)</f>
        <v>Emerging</v>
      </c>
      <c r="AE19" t="str">
        <f>VLOOKUP($A19,regions_full!$A$2:$AI$267,MATCH(polities_cats!AE$1,$A$1:$AN$1,0),0)</f>
        <v>Annex_II</v>
      </c>
      <c r="AF19" t="str">
        <f>VLOOKUP($A19,regions_full!$A$2:$AI$267,MATCH(polities_cats!AF$1,$A$1:$AN$1,0),0)</f>
        <v>Caribbean &amp; Centra Am.</v>
      </c>
      <c r="AG19" t="str">
        <f>VLOOKUP($A19,regions_full!$A$2:$AI$267,MATCH(polities_cats!AG$1,$A$1:$AN$1,0),0)</f>
        <v>LACA</v>
      </c>
      <c r="AH19" t="str">
        <f>VLOOKUP($A19,regions_full!$A$2:$AI$267,MATCH(polities_cats!AH$1,$A$1:$AN$1,0),0)</f>
        <v>no_mech</v>
      </c>
      <c r="AI19" t="str">
        <f>VLOOKUP($A19,regions_full!$A$2:$AI$267,MATCH(polities_cats!AI$1,$A$1:$AN$1,0),0)</f>
        <v>Other</v>
      </c>
      <c r="AJ19" t="e">
        <f>VLOOKUP($A19,regions_full!$A$2:$AI$267,MATCH(polities_cats!AJ$1,$A$1:$AN$1,0),0)</f>
        <v>#REF!</v>
      </c>
      <c r="AK19" t="e">
        <f>VLOOKUP($A19,regions_full!$A$2:$AI$267,MATCH(polities_cats!AK$1,$A$1:$AN$1,0),0)</f>
        <v>#REF!</v>
      </c>
      <c r="AL19" t="e">
        <f>VLOOKUP($A19,regions_full!$A$2:$AI$267,MATCH(polities_cats!AL$1,$A$1:$AN$1,0),0)</f>
        <v>#REF!</v>
      </c>
      <c r="AM19" t="e">
        <f>VLOOKUP($A19,regions_full!$A$2:$AI$267,MATCH(polities_cats!AM$1,$A$1:$AN$1,0),0)</f>
        <v>#REF!</v>
      </c>
      <c r="AN19" t="e">
        <f>VLOOKUP($A19,regions_full!$A$2:$AI$267,MATCH(polities_cats!AN$1,$A$1:$AN$1,0),0)</f>
        <v>#REF!</v>
      </c>
    </row>
    <row r="20" spans="1:40" x14ac:dyDescent="0.3">
      <c r="A20" t="str">
        <f>polities_whep!A20</f>
        <v>BEN</v>
      </c>
      <c r="B20" t="str">
        <f>polities_whep!B20</f>
        <v>Benin</v>
      </c>
      <c r="C20">
        <f>VLOOKUP($A20,regions_full!$A$2:$AI$267,MATCH(polities_cats!C$1,$A$1:$AN$1,0),0)</f>
        <v>53</v>
      </c>
      <c r="D20">
        <f>VLOOKUP($A20,regions_full!$A$2:$AI$267,MATCH(polities_cats!D$1,$A$1:$AN$1,0),0)</f>
        <v>53</v>
      </c>
      <c r="E20" t="str">
        <f>VLOOKUP($A20,regions_full!$A$2:$AI$267,MATCH(polities_cats!E$1,$A$1:$AN$1,0),0)</f>
        <v>BEN</v>
      </c>
      <c r="F20" t="str">
        <f>VLOOKUP($A20,regions_full!$A$2:$AI$267,MATCH(polities_cats!F$1,$A$1:$AN$1,0),0)</f>
        <v>Benin</v>
      </c>
      <c r="G20" t="str">
        <f>VLOOKUP($A20,regions_full!$A$2:$AI$267,MATCH(polities_cats!G$1,$A$1:$AN$1,0),0)</f>
        <v>FALSE</v>
      </c>
      <c r="H20" t="str">
        <f>VLOOKUP($A20,regions_full!$A$2:$AI$267,MATCH(polities_cats!H$1,$A$1:$AN$1,0),0)</f>
        <v>Benin</v>
      </c>
      <c r="I20" t="str">
        <f>VLOOKUP($A20,regions_full!$A$2:$AI$267,MATCH(polities_cats!I$1,$A$1:$AN$1,0),0)</f>
        <v>Benin</v>
      </c>
      <c r="J20" t="str">
        <f>VLOOKUP($A20,regions_full!$A$2:$AI$267,MATCH(polities_cats!J$1,$A$1:$AN$1,0),0)</f>
        <v>Benin</v>
      </c>
      <c r="K20">
        <f>VLOOKUP($A20,regions_full!$A$2:$AI$267,MATCH(polities_cats!K$1,$A$1:$AN$1,0),0)</f>
        <v>53</v>
      </c>
      <c r="L20" t="str">
        <f>VLOOKUP($A20,regions_full!$A$2:$AI$267,MATCH(polities_cats!L$1,$A$1:$AN$1,0),0)</f>
        <v>Benin</v>
      </c>
      <c r="M20">
        <f>VLOOKUP($A20,regions_full!$A$2:$AI$267,MATCH(polities_cats!M$1,$A$1:$AN$1,0),0)</f>
        <v>204</v>
      </c>
      <c r="N20">
        <f>VLOOKUP($A20,regions_full!$A$2:$AI$267,MATCH(polities_cats!N$1,$A$1:$AN$1,0),0)</f>
        <v>204</v>
      </c>
      <c r="O20">
        <f>VLOOKUP($A20,regions_full!$A$2:$AI$267,MATCH(polities_cats!O$1,$A$1:$AN$1,0),0)</f>
        <v>6</v>
      </c>
      <c r="P20" t="str">
        <f>VLOOKUP($A20,regions_full!$A$2:$AI$267,MATCH(polities_cats!P$1,$A$1:$AN$1,0),0)</f>
        <v>TRUE</v>
      </c>
      <c r="Q20">
        <f>VLOOKUP($A20,regions_full!$A$2:$AI$267,MATCH(polities_cats!Q$1,$A$1:$AN$1,0),0)</f>
        <v>53</v>
      </c>
      <c r="R20" t="str">
        <f>VLOOKUP($A20,regions_full!$A$2:$AI$267,MATCH(polities_cats!R$1,$A$1:$AN$1,0),0)</f>
        <v/>
      </c>
      <c r="S20" t="str">
        <f>VLOOKUP($A20,regions_full!$A$2:$AI$267,MATCH(polities_cats!S$1,$A$1:$AN$1,0),0)</f>
        <v>Western Africa</v>
      </c>
      <c r="T20">
        <f>VLOOKUP($A20,regions_full!$A$2:$AI$267,MATCH(polities_cats!T$1,$A$1:$AN$1,0),0)</f>
        <v>1</v>
      </c>
      <c r="U20" t="str">
        <f>VLOOKUP($A20,regions_full!$A$2:$AI$267,MATCH(polities_cats!U$1,$A$1:$AN$1,0),0)</f>
        <v>Benin</v>
      </c>
      <c r="V20" t="str">
        <f>VLOOKUP($A20,regions_full!$A$2:$AI$267,MATCH(polities_cats!V$1,$A$1:$AN$1,0),0)</f>
        <v>Subsaharan Africa</v>
      </c>
      <c r="W20" t="str">
        <f>VLOOKUP($A20,regions_full!$A$2:$AI$267,MATCH(polities_cats!W$1,$A$1:$AN$1,0),0)</f>
        <v>Sub-saharan Africa</v>
      </c>
      <c r="X20" t="str">
        <f>VLOOKUP($A20,regions_full!$A$2:$AI$267,MATCH(polities_cats!X$1,$A$1:$AN$1,0),0)</f>
        <v>SSA</v>
      </c>
      <c r="Y20" t="str">
        <f>VLOOKUP($A20,regions_full!$A$2:$AI$267,MATCH(polities_cats!Y$1,$A$1:$AN$1,0),0)</f>
        <v>Sub-Saharan Africa</v>
      </c>
      <c r="Z20" t="str">
        <f>VLOOKUP($A20,regions_full!$A$2:$AI$267,MATCH(polities_cats!Z$1,$A$1:$AN$1,0),0)</f>
        <v>Africa</v>
      </c>
      <c r="AA20" t="str">
        <f>VLOOKUP($A20,regions_full!$A$2:$AI$267,MATCH(polities_cats!AA$1,$A$1:$AN$1,0),0)</f>
        <v>Africa</v>
      </c>
      <c r="AB20" t="str">
        <f>VLOOKUP($A20,regions_full!$A$2:$AI$267,MATCH(polities_cats!AB$1,$A$1:$AN$1,0),0)</f>
        <v>Sub-Saharan Africa</v>
      </c>
      <c r="AC20" t="str">
        <f>VLOOKUP($A20,regions_full!$A$2:$AI$267,MATCH(polities_cats!AC$1,$A$1:$AN$1,0),0)</f>
        <v>Western Africa</v>
      </c>
      <c r="AD20" t="str">
        <f>VLOOKUP($A20,regions_full!$A$2:$AI$267,MATCH(polities_cats!AD$1,$A$1:$AN$1,0),0)</f>
        <v>Emerging</v>
      </c>
      <c r="AE20" t="str">
        <f>VLOOKUP($A20,regions_full!$A$2:$AI$267,MATCH(polities_cats!AE$1,$A$1:$AN$1,0),0)</f>
        <v>Annex_II</v>
      </c>
      <c r="AF20" t="str">
        <f>VLOOKUP($A20,regions_full!$A$2:$AI$267,MATCH(polities_cats!AF$1,$A$1:$AN$1,0),0)</f>
        <v>Western Africa</v>
      </c>
      <c r="AG20" t="str">
        <f>VLOOKUP($A20,regions_full!$A$2:$AI$267,MATCH(polities_cats!AG$1,$A$1:$AN$1,0),0)</f>
        <v>SAA</v>
      </c>
      <c r="AH20" t="str">
        <f>VLOOKUP($A20,regions_full!$A$2:$AI$267,MATCH(polities_cats!AH$1,$A$1:$AN$1,0),0)</f>
        <v>no_mech</v>
      </c>
      <c r="AI20" t="str">
        <f>VLOOKUP($A20,regions_full!$A$2:$AI$267,MATCH(polities_cats!AI$1,$A$1:$AN$1,0),0)</f>
        <v>Other</v>
      </c>
      <c r="AJ20" t="e">
        <f>VLOOKUP($A20,regions_full!$A$2:$AI$267,MATCH(polities_cats!AJ$1,$A$1:$AN$1,0),0)</f>
        <v>#REF!</v>
      </c>
      <c r="AK20" t="e">
        <f>VLOOKUP($A20,regions_full!$A$2:$AI$267,MATCH(polities_cats!AK$1,$A$1:$AN$1,0),0)</f>
        <v>#REF!</v>
      </c>
      <c r="AL20" t="e">
        <f>VLOOKUP($A20,regions_full!$A$2:$AI$267,MATCH(polities_cats!AL$1,$A$1:$AN$1,0),0)</f>
        <v>#REF!</v>
      </c>
      <c r="AM20" t="e">
        <f>VLOOKUP($A20,regions_full!$A$2:$AI$267,MATCH(polities_cats!AM$1,$A$1:$AN$1,0),0)</f>
        <v>#REF!</v>
      </c>
      <c r="AN20" t="e">
        <f>VLOOKUP($A20,regions_full!$A$2:$AI$267,MATCH(polities_cats!AN$1,$A$1:$AN$1,0),0)</f>
        <v>#REF!</v>
      </c>
    </row>
    <row r="21" spans="1:40" x14ac:dyDescent="0.3">
      <c r="A21" t="str">
        <f>polities_whep!A21</f>
        <v>BOL</v>
      </c>
      <c r="B21" t="str">
        <f>polities_whep!B21</f>
        <v>Bolivia</v>
      </c>
      <c r="C21">
        <f>VLOOKUP($A21,regions_full!$A$2:$AI$267,MATCH(polities_cats!C$1,$A$1:$AN$1,0),0)</f>
        <v>19</v>
      </c>
      <c r="D21">
        <f>VLOOKUP($A21,regions_full!$A$2:$AI$267,MATCH(polities_cats!D$1,$A$1:$AN$1,0),0)</f>
        <v>19</v>
      </c>
      <c r="E21" t="str">
        <f>VLOOKUP($A21,regions_full!$A$2:$AI$267,MATCH(polities_cats!E$1,$A$1:$AN$1,0),0)</f>
        <v>BOL</v>
      </c>
      <c r="F21" t="str">
        <f>VLOOKUP($A21,regions_full!$A$2:$AI$267,MATCH(polities_cats!F$1,$A$1:$AN$1,0),0)</f>
        <v>Bolivia (Plurinational State of)</v>
      </c>
      <c r="G21" t="str">
        <f>VLOOKUP($A21,regions_full!$A$2:$AI$267,MATCH(polities_cats!G$1,$A$1:$AN$1,0),0)</f>
        <v>FALSE</v>
      </c>
      <c r="H21" t="str">
        <f>VLOOKUP($A21,regions_full!$A$2:$AI$267,MATCH(polities_cats!H$1,$A$1:$AN$1,0),0)</f>
        <v>Bolivia</v>
      </c>
      <c r="I21" t="str">
        <f>VLOOKUP($A21,regions_full!$A$2:$AI$267,MATCH(polities_cats!I$1,$A$1:$AN$1,0),0)</f>
        <v>Bolivia</v>
      </c>
      <c r="J21" t="str">
        <f>VLOOKUP($A21,regions_full!$A$2:$AI$267,MATCH(polities_cats!J$1,$A$1:$AN$1,0),0)</f>
        <v>Bolivia</v>
      </c>
      <c r="K21">
        <f>VLOOKUP($A21,regions_full!$A$2:$AI$267,MATCH(polities_cats!K$1,$A$1:$AN$1,0),0)</f>
        <v>19</v>
      </c>
      <c r="L21" t="str">
        <f>VLOOKUP($A21,regions_full!$A$2:$AI$267,MATCH(polities_cats!L$1,$A$1:$AN$1,0),0)</f>
        <v>Bolivia</v>
      </c>
      <c r="M21">
        <f>VLOOKUP($A21,regions_full!$A$2:$AI$267,MATCH(polities_cats!M$1,$A$1:$AN$1,0),0)</f>
        <v>68</v>
      </c>
      <c r="N21">
        <f>VLOOKUP($A21,regions_full!$A$2:$AI$267,MATCH(polities_cats!N$1,$A$1:$AN$1,0),0)</f>
        <v>68</v>
      </c>
      <c r="O21">
        <f>VLOOKUP($A21,regions_full!$A$2:$AI$267,MATCH(polities_cats!O$1,$A$1:$AN$1,0),0)</f>
        <v>4</v>
      </c>
      <c r="P21" t="str">
        <f>VLOOKUP($A21,regions_full!$A$2:$AI$267,MATCH(polities_cats!P$1,$A$1:$AN$1,0),0)</f>
        <v>TRUE</v>
      </c>
      <c r="Q21">
        <f>VLOOKUP($A21,regions_full!$A$2:$AI$267,MATCH(polities_cats!Q$1,$A$1:$AN$1,0),0)</f>
        <v>19</v>
      </c>
      <c r="R21" t="str">
        <f>VLOOKUP($A21,regions_full!$A$2:$AI$267,MATCH(polities_cats!R$1,$A$1:$AN$1,0),0)</f>
        <v/>
      </c>
      <c r="S21" t="str">
        <f>VLOOKUP($A21,regions_full!$A$2:$AI$267,MATCH(polities_cats!S$1,$A$1:$AN$1,0),0)</f>
        <v>South America</v>
      </c>
      <c r="T21">
        <f>VLOOKUP($A21,regions_full!$A$2:$AI$267,MATCH(polities_cats!T$1,$A$1:$AN$1,0),0)</f>
        <v>1</v>
      </c>
      <c r="U21" t="str">
        <f>VLOOKUP($A21,regions_full!$A$2:$AI$267,MATCH(polities_cats!U$1,$A$1:$AN$1,0),0)</f>
        <v>Bolivia (Plurinational State of)</v>
      </c>
      <c r="V21" t="str">
        <f>VLOOKUP($A21,regions_full!$A$2:$AI$267,MATCH(polities_cats!V$1,$A$1:$AN$1,0),0)</f>
        <v>Latin America and the Caribbean</v>
      </c>
      <c r="W21" t="str">
        <f>VLOOKUP($A21,regions_full!$A$2:$AI$267,MATCH(polities_cats!W$1,$A$1:$AN$1,0),0)</f>
        <v>Latin America and Caribbean</v>
      </c>
      <c r="X21" t="str">
        <f>VLOOKUP($A21,regions_full!$A$2:$AI$267,MATCH(polities_cats!X$1,$A$1:$AN$1,0),0)</f>
        <v>LACA</v>
      </c>
      <c r="Y21" t="str">
        <f>VLOOKUP($A21,regions_full!$A$2:$AI$267,MATCH(polities_cats!Y$1,$A$1:$AN$1,0),0)</f>
        <v>Latin America and the Caribbean</v>
      </c>
      <c r="Z21" t="str">
        <f>VLOOKUP($A21,regions_full!$A$2:$AI$267,MATCH(polities_cats!Z$1,$A$1:$AN$1,0),0)</f>
        <v>Americas</v>
      </c>
      <c r="AA21" t="str">
        <f>VLOOKUP($A21,regions_full!$A$2:$AI$267,MATCH(polities_cats!AA$1,$A$1:$AN$1,0),0)</f>
        <v>Americas</v>
      </c>
      <c r="AB21" t="str">
        <f>VLOOKUP($A21,regions_full!$A$2:$AI$267,MATCH(polities_cats!AB$1,$A$1:$AN$1,0),0)</f>
        <v>Latin America and the Caribbean</v>
      </c>
      <c r="AC21" t="str">
        <f>VLOOKUP($A21,regions_full!$A$2:$AI$267,MATCH(polities_cats!AC$1,$A$1:$AN$1,0),0)</f>
        <v>South America</v>
      </c>
      <c r="AD21" t="str">
        <f>VLOOKUP($A21,regions_full!$A$2:$AI$267,MATCH(polities_cats!AD$1,$A$1:$AN$1,0),0)</f>
        <v>Emerging</v>
      </c>
      <c r="AE21" t="str">
        <f>VLOOKUP($A21,regions_full!$A$2:$AI$267,MATCH(polities_cats!AE$1,$A$1:$AN$1,0),0)</f>
        <v>Annex_II</v>
      </c>
      <c r="AF21" t="str">
        <f>VLOOKUP($A21,regions_full!$A$2:$AI$267,MATCH(polities_cats!AF$1,$A$1:$AN$1,0),0)</f>
        <v>Andean &amp; Mexico</v>
      </c>
      <c r="AG21" t="str">
        <f>VLOOKUP($A21,regions_full!$A$2:$AI$267,MATCH(polities_cats!AG$1,$A$1:$AN$1,0),0)</f>
        <v>LACA</v>
      </c>
      <c r="AH21" t="str">
        <f>VLOOKUP($A21,regions_full!$A$2:$AI$267,MATCH(polities_cats!AH$1,$A$1:$AN$1,0),0)</f>
        <v>no_mech</v>
      </c>
      <c r="AI21" t="str">
        <f>VLOOKUP($A21,regions_full!$A$2:$AI$267,MATCH(polities_cats!AI$1,$A$1:$AN$1,0),0)</f>
        <v>Other</v>
      </c>
      <c r="AJ21" t="e">
        <f>VLOOKUP($A21,regions_full!$A$2:$AI$267,MATCH(polities_cats!AJ$1,$A$1:$AN$1,0),0)</f>
        <v>#REF!</v>
      </c>
      <c r="AK21" t="e">
        <f>VLOOKUP($A21,regions_full!$A$2:$AI$267,MATCH(polities_cats!AK$1,$A$1:$AN$1,0),0)</f>
        <v>#REF!</v>
      </c>
      <c r="AL21" t="e">
        <f>VLOOKUP($A21,regions_full!$A$2:$AI$267,MATCH(polities_cats!AL$1,$A$1:$AN$1,0),0)</f>
        <v>#REF!</v>
      </c>
      <c r="AM21" t="e">
        <f>VLOOKUP($A21,regions_full!$A$2:$AI$267,MATCH(polities_cats!AM$1,$A$1:$AN$1,0),0)</f>
        <v>#REF!</v>
      </c>
      <c r="AN21" t="e">
        <f>VLOOKUP($A21,regions_full!$A$2:$AI$267,MATCH(polities_cats!AN$1,$A$1:$AN$1,0),0)</f>
        <v>#REF!</v>
      </c>
    </row>
    <row r="22" spans="1:40" x14ac:dyDescent="0.3">
      <c r="A22" t="str">
        <f>polities_whep!A22</f>
        <v>BIH</v>
      </c>
      <c r="B22" t="str">
        <f>polities_whep!B22</f>
        <v>Bosnia and Herzegovina</v>
      </c>
      <c r="C22">
        <f>VLOOKUP($A22,regions_full!$A$2:$AI$267,MATCH(polities_cats!C$1,$A$1:$AN$1,0),0)</f>
        <v>77</v>
      </c>
      <c r="D22">
        <f>VLOOKUP($A22,regions_full!$A$2:$AI$267,MATCH(polities_cats!D$1,$A$1:$AN$1,0),0)</f>
        <v>80</v>
      </c>
      <c r="E22" t="str">
        <f>VLOOKUP($A22,regions_full!$A$2:$AI$267,MATCH(polities_cats!E$1,$A$1:$AN$1,0),0)</f>
        <v>BIH</v>
      </c>
      <c r="F22" t="str">
        <f>VLOOKUP($A22,regions_full!$A$2:$AI$267,MATCH(polities_cats!F$1,$A$1:$AN$1,0),0)</f>
        <v>Bosnia and Herzegovina</v>
      </c>
      <c r="G22" t="str">
        <f>VLOOKUP($A22,regions_full!$A$2:$AI$267,MATCH(polities_cats!G$1,$A$1:$AN$1,0),0)</f>
        <v>FALSE</v>
      </c>
      <c r="H22" t="str">
        <f>VLOOKUP($A22,regions_full!$A$2:$AI$267,MATCH(polities_cats!H$1,$A$1:$AN$1,0),0)</f>
        <v>Bosnia and Herzegovina</v>
      </c>
      <c r="I22" t="str">
        <f>VLOOKUP($A22,regions_full!$A$2:$AI$267,MATCH(polities_cats!I$1,$A$1:$AN$1,0),0)</f>
        <v>Bosnia and Herzegovina</v>
      </c>
      <c r="J22" t="str">
        <f>VLOOKUP($A22,regions_full!$A$2:$AI$267,MATCH(polities_cats!J$1,$A$1:$AN$1,0),0)</f>
        <v>Bosnia and Herzegovina</v>
      </c>
      <c r="K22">
        <f>VLOOKUP($A22,regions_full!$A$2:$AI$267,MATCH(polities_cats!K$1,$A$1:$AN$1,0),0)</f>
        <v>80</v>
      </c>
      <c r="L22" t="str">
        <f>VLOOKUP($A22,regions_full!$A$2:$AI$267,MATCH(polities_cats!L$1,$A$1:$AN$1,0),0)</f>
        <v>Bosnia and Herzegovina</v>
      </c>
      <c r="M22">
        <f>VLOOKUP($A22,regions_full!$A$2:$AI$267,MATCH(polities_cats!M$1,$A$1:$AN$1,0),0)</f>
        <v>70</v>
      </c>
      <c r="N22">
        <f>VLOOKUP($A22,regions_full!$A$2:$AI$267,MATCH(polities_cats!N$1,$A$1:$AN$1,0),0)</f>
        <v>70</v>
      </c>
      <c r="O22">
        <f>VLOOKUP($A22,regions_full!$A$2:$AI$267,MATCH(polities_cats!O$1,$A$1:$AN$1,0),0)</f>
        <v>10</v>
      </c>
      <c r="P22" t="str">
        <f>VLOOKUP($A22,regions_full!$A$2:$AI$267,MATCH(polities_cats!P$1,$A$1:$AN$1,0),0)</f>
        <v>TRUE</v>
      </c>
      <c r="Q22">
        <f>VLOOKUP($A22,regions_full!$A$2:$AI$267,MATCH(polities_cats!Q$1,$A$1:$AN$1,0),0)</f>
        <v>80</v>
      </c>
      <c r="R22" t="str">
        <f>VLOOKUP($A22,regions_full!$A$2:$AI$267,MATCH(polities_cats!R$1,$A$1:$AN$1,0),0)</f>
        <v/>
      </c>
      <c r="S22" t="str">
        <f>VLOOKUP($A22,regions_full!$A$2:$AI$267,MATCH(polities_cats!S$1,$A$1:$AN$1,0),0)</f>
        <v>Eastern Europe</v>
      </c>
      <c r="T22">
        <f>VLOOKUP($A22,regions_full!$A$2:$AI$267,MATCH(polities_cats!T$1,$A$1:$AN$1,0),0)</f>
        <v>1</v>
      </c>
      <c r="U22" t="str">
        <f>VLOOKUP($A22,regions_full!$A$2:$AI$267,MATCH(polities_cats!U$1,$A$1:$AN$1,0),0)</f>
        <v>Bosnia and Herzegovina</v>
      </c>
      <c r="V22" t="str">
        <f>VLOOKUP($A22,regions_full!$A$2:$AI$267,MATCH(polities_cats!V$1,$A$1:$AN$1,0),0)</f>
        <v>Eastern and South Eastern Europe</v>
      </c>
      <c r="W22" t="str">
        <f>VLOOKUP($A22,regions_full!$A$2:$AI$267,MATCH(polities_cats!W$1,$A$1:$AN$1,0),0)</f>
        <v>East Europe</v>
      </c>
      <c r="X22" t="str">
        <f>VLOOKUP($A22,regions_full!$A$2:$AI$267,MATCH(polities_cats!X$1,$A$1:$AN$1,0),0)</f>
        <v>Europe</v>
      </c>
      <c r="Y22" t="str">
        <f>VLOOKUP($A22,regions_full!$A$2:$AI$267,MATCH(polities_cats!Y$1,$A$1:$AN$1,0),0)</f>
        <v>Southern Europe</v>
      </c>
      <c r="Z22" t="str">
        <f>VLOOKUP($A22,regions_full!$A$2:$AI$267,MATCH(polities_cats!Z$1,$A$1:$AN$1,0),0)</f>
        <v>Europe</v>
      </c>
      <c r="AA22" t="str">
        <f>VLOOKUP($A22,regions_full!$A$2:$AI$267,MATCH(polities_cats!AA$1,$A$1:$AN$1,0),0)</f>
        <v>Europe and Central Asia</v>
      </c>
      <c r="AB22" t="str">
        <f>VLOOKUP($A22,regions_full!$A$2:$AI$267,MATCH(polities_cats!AB$1,$A$1:$AN$1,0),0)</f>
        <v>Northern, Southern and Western Europe</v>
      </c>
      <c r="AC22" t="str">
        <f>VLOOKUP($A22,regions_full!$A$2:$AI$267,MATCH(polities_cats!AC$1,$A$1:$AN$1,0),0)</f>
        <v>Southern Europe</v>
      </c>
      <c r="AD22" t="str">
        <f>VLOOKUP($A22,regions_full!$A$2:$AI$267,MATCH(polities_cats!AD$1,$A$1:$AN$1,0),0)</f>
        <v>Emerging</v>
      </c>
      <c r="AE22" t="str">
        <f>VLOOKUP($A22,regions_full!$A$2:$AI$267,MATCH(polities_cats!AE$1,$A$1:$AN$1,0),0)</f>
        <v>Annex_II</v>
      </c>
      <c r="AF22" t="str">
        <f>VLOOKUP($A22,regions_full!$A$2:$AI$267,MATCH(polities_cats!AF$1,$A$1:$AN$1,0),0)</f>
        <v>Southern Europe</v>
      </c>
      <c r="AG22" t="str">
        <f>VLOOKUP($A22,regions_full!$A$2:$AI$267,MATCH(polities_cats!AG$1,$A$1:$AN$1,0),0)</f>
        <v>Europe</v>
      </c>
      <c r="AH22" t="str">
        <f>VLOOKUP($A22,regions_full!$A$2:$AI$267,MATCH(polities_cats!AH$1,$A$1:$AN$1,0),0)</f>
        <v>mech</v>
      </c>
      <c r="AI22" t="str">
        <f>VLOOKUP($A22,regions_full!$A$2:$AI$267,MATCH(polities_cats!AI$1,$A$1:$AN$1,0),0)</f>
        <v>Europe</v>
      </c>
      <c r="AJ22" t="e">
        <f>VLOOKUP($A22,regions_full!$A$2:$AI$267,MATCH(polities_cats!AJ$1,$A$1:$AN$1,0),0)</f>
        <v>#REF!</v>
      </c>
      <c r="AK22" t="e">
        <f>VLOOKUP($A22,regions_full!$A$2:$AI$267,MATCH(polities_cats!AK$1,$A$1:$AN$1,0),0)</f>
        <v>#REF!</v>
      </c>
      <c r="AL22" t="e">
        <f>VLOOKUP($A22,regions_full!$A$2:$AI$267,MATCH(polities_cats!AL$1,$A$1:$AN$1,0),0)</f>
        <v>#REF!</v>
      </c>
      <c r="AM22" t="e">
        <f>VLOOKUP($A22,regions_full!$A$2:$AI$267,MATCH(polities_cats!AM$1,$A$1:$AN$1,0),0)</f>
        <v>#REF!</v>
      </c>
      <c r="AN22" t="e">
        <f>VLOOKUP($A22,regions_full!$A$2:$AI$267,MATCH(polities_cats!AN$1,$A$1:$AN$1,0),0)</f>
        <v>#REF!</v>
      </c>
    </row>
    <row r="23" spans="1:40" x14ac:dyDescent="0.3">
      <c r="A23" t="str">
        <f>polities_whep!A23</f>
        <v>BWA</v>
      </c>
      <c r="B23" t="str">
        <f>polities_whep!B23</f>
        <v>Botswana</v>
      </c>
      <c r="C23">
        <f>VLOOKUP($A23,regions_full!$A$2:$AI$267,MATCH(polities_cats!C$1,$A$1:$AN$1,0),0)</f>
        <v>20</v>
      </c>
      <c r="D23">
        <f>VLOOKUP($A23,regions_full!$A$2:$AI$267,MATCH(polities_cats!D$1,$A$1:$AN$1,0),0)</f>
        <v>20</v>
      </c>
      <c r="E23" t="str">
        <f>VLOOKUP($A23,regions_full!$A$2:$AI$267,MATCH(polities_cats!E$1,$A$1:$AN$1,0),0)</f>
        <v>BWA</v>
      </c>
      <c r="F23" t="str">
        <f>VLOOKUP($A23,regions_full!$A$2:$AI$267,MATCH(polities_cats!F$1,$A$1:$AN$1,0),0)</f>
        <v>Botswana</v>
      </c>
      <c r="G23" t="str">
        <f>VLOOKUP($A23,regions_full!$A$2:$AI$267,MATCH(polities_cats!G$1,$A$1:$AN$1,0),0)</f>
        <v>FALSE</v>
      </c>
      <c r="H23" t="str">
        <f>VLOOKUP($A23,regions_full!$A$2:$AI$267,MATCH(polities_cats!H$1,$A$1:$AN$1,0),0)</f>
        <v>Botswana</v>
      </c>
      <c r="I23" t="str">
        <f>VLOOKUP($A23,regions_full!$A$2:$AI$267,MATCH(polities_cats!I$1,$A$1:$AN$1,0),0)</f>
        <v>Botswana</v>
      </c>
      <c r="J23" t="str">
        <f>VLOOKUP($A23,regions_full!$A$2:$AI$267,MATCH(polities_cats!J$1,$A$1:$AN$1,0),0)</f>
        <v>Botswana</v>
      </c>
      <c r="K23">
        <f>VLOOKUP($A23,regions_full!$A$2:$AI$267,MATCH(polities_cats!K$1,$A$1:$AN$1,0),0)</f>
        <v>20</v>
      </c>
      <c r="L23" t="str">
        <f>VLOOKUP($A23,regions_full!$A$2:$AI$267,MATCH(polities_cats!L$1,$A$1:$AN$1,0),0)</f>
        <v>Botswana</v>
      </c>
      <c r="M23">
        <f>VLOOKUP($A23,regions_full!$A$2:$AI$267,MATCH(polities_cats!M$1,$A$1:$AN$1,0),0)</f>
        <v>72</v>
      </c>
      <c r="N23">
        <f>VLOOKUP($A23,regions_full!$A$2:$AI$267,MATCH(polities_cats!N$1,$A$1:$AN$1,0),0)</f>
        <v>72</v>
      </c>
      <c r="O23">
        <f>VLOOKUP($A23,regions_full!$A$2:$AI$267,MATCH(polities_cats!O$1,$A$1:$AN$1,0),0)</f>
        <v>8</v>
      </c>
      <c r="P23" t="str">
        <f>VLOOKUP($A23,regions_full!$A$2:$AI$267,MATCH(polities_cats!P$1,$A$1:$AN$1,0),0)</f>
        <v>TRUE</v>
      </c>
      <c r="Q23">
        <f>VLOOKUP($A23,regions_full!$A$2:$AI$267,MATCH(polities_cats!Q$1,$A$1:$AN$1,0),0)</f>
        <v>20</v>
      </c>
      <c r="R23" t="str">
        <f>VLOOKUP($A23,regions_full!$A$2:$AI$267,MATCH(polities_cats!R$1,$A$1:$AN$1,0),0)</f>
        <v/>
      </c>
      <c r="S23" t="str">
        <f>VLOOKUP($A23,regions_full!$A$2:$AI$267,MATCH(polities_cats!S$1,$A$1:$AN$1,0),0)</f>
        <v>Southern Africa</v>
      </c>
      <c r="T23">
        <f>VLOOKUP($A23,regions_full!$A$2:$AI$267,MATCH(polities_cats!T$1,$A$1:$AN$1,0),0)</f>
        <v>1</v>
      </c>
      <c r="U23" t="str">
        <f>VLOOKUP($A23,regions_full!$A$2:$AI$267,MATCH(polities_cats!U$1,$A$1:$AN$1,0),0)</f>
        <v>Botswana</v>
      </c>
      <c r="V23" t="str">
        <f>VLOOKUP($A23,regions_full!$A$2:$AI$267,MATCH(polities_cats!V$1,$A$1:$AN$1,0),0)</f>
        <v>Subsaharan Africa</v>
      </c>
      <c r="W23" t="str">
        <f>VLOOKUP($A23,regions_full!$A$2:$AI$267,MATCH(polities_cats!W$1,$A$1:$AN$1,0),0)</f>
        <v>Sub-saharan Africa</v>
      </c>
      <c r="X23" t="str">
        <f>VLOOKUP($A23,regions_full!$A$2:$AI$267,MATCH(polities_cats!X$1,$A$1:$AN$1,0),0)</f>
        <v>SSA</v>
      </c>
      <c r="Y23" t="str">
        <f>VLOOKUP($A23,regions_full!$A$2:$AI$267,MATCH(polities_cats!Y$1,$A$1:$AN$1,0),0)</f>
        <v>Sub-Saharan Africa</v>
      </c>
      <c r="Z23" t="str">
        <f>VLOOKUP($A23,regions_full!$A$2:$AI$267,MATCH(polities_cats!Z$1,$A$1:$AN$1,0),0)</f>
        <v>Africa</v>
      </c>
      <c r="AA23" t="str">
        <f>VLOOKUP($A23,regions_full!$A$2:$AI$267,MATCH(polities_cats!AA$1,$A$1:$AN$1,0),0)</f>
        <v>Africa</v>
      </c>
      <c r="AB23" t="str">
        <f>VLOOKUP($A23,regions_full!$A$2:$AI$267,MATCH(polities_cats!AB$1,$A$1:$AN$1,0),0)</f>
        <v>Sub-Saharan Africa</v>
      </c>
      <c r="AC23" t="str">
        <f>VLOOKUP($A23,regions_full!$A$2:$AI$267,MATCH(polities_cats!AC$1,$A$1:$AN$1,0),0)</f>
        <v>Southern Africa</v>
      </c>
      <c r="AD23" t="str">
        <f>VLOOKUP($A23,regions_full!$A$2:$AI$267,MATCH(polities_cats!AD$1,$A$1:$AN$1,0),0)</f>
        <v>Emerging</v>
      </c>
      <c r="AE23" t="str">
        <f>VLOOKUP($A23,regions_full!$A$2:$AI$267,MATCH(polities_cats!AE$1,$A$1:$AN$1,0),0)</f>
        <v>Annex_II</v>
      </c>
      <c r="AF23" t="str">
        <f>VLOOKUP($A23,regions_full!$A$2:$AI$267,MATCH(polities_cats!AF$1,$A$1:$AN$1,0),0)</f>
        <v>Southern Africa</v>
      </c>
      <c r="AG23" t="str">
        <f>VLOOKUP($A23,regions_full!$A$2:$AI$267,MATCH(polities_cats!AG$1,$A$1:$AN$1,0),0)</f>
        <v>SAA</v>
      </c>
      <c r="AH23" t="str">
        <f>VLOOKUP($A23,regions_full!$A$2:$AI$267,MATCH(polities_cats!AH$1,$A$1:$AN$1,0),0)</f>
        <v>mech</v>
      </c>
      <c r="AI23" t="str">
        <f>VLOOKUP($A23,regions_full!$A$2:$AI$267,MATCH(polities_cats!AI$1,$A$1:$AN$1,0),0)</f>
        <v>Other</v>
      </c>
      <c r="AJ23" t="e">
        <f>VLOOKUP($A23,regions_full!$A$2:$AI$267,MATCH(polities_cats!AJ$1,$A$1:$AN$1,0),0)</f>
        <v>#REF!</v>
      </c>
      <c r="AK23" t="e">
        <f>VLOOKUP($A23,regions_full!$A$2:$AI$267,MATCH(polities_cats!AK$1,$A$1:$AN$1,0),0)</f>
        <v>#REF!</v>
      </c>
      <c r="AL23" t="e">
        <f>VLOOKUP($A23,regions_full!$A$2:$AI$267,MATCH(polities_cats!AL$1,$A$1:$AN$1,0),0)</f>
        <v>#REF!</v>
      </c>
      <c r="AM23" t="e">
        <f>VLOOKUP($A23,regions_full!$A$2:$AI$267,MATCH(polities_cats!AM$1,$A$1:$AN$1,0),0)</f>
        <v>#REF!</v>
      </c>
      <c r="AN23" t="e">
        <f>VLOOKUP($A23,regions_full!$A$2:$AI$267,MATCH(polities_cats!AN$1,$A$1:$AN$1,0),0)</f>
        <v>#REF!</v>
      </c>
    </row>
    <row r="24" spans="1:40" x14ac:dyDescent="0.3">
      <c r="A24" t="str">
        <f>polities_whep!A24</f>
        <v>BRA</v>
      </c>
      <c r="B24" t="str">
        <f>polities_whep!B24</f>
        <v>Brazil</v>
      </c>
      <c r="C24">
        <f>VLOOKUP($A24,regions_full!$A$2:$AI$267,MATCH(polities_cats!C$1,$A$1:$AN$1,0),0)</f>
        <v>21</v>
      </c>
      <c r="D24">
        <f>VLOOKUP($A24,regions_full!$A$2:$AI$267,MATCH(polities_cats!D$1,$A$1:$AN$1,0),0)</f>
        <v>21</v>
      </c>
      <c r="E24" t="str">
        <f>VLOOKUP($A24,regions_full!$A$2:$AI$267,MATCH(polities_cats!E$1,$A$1:$AN$1,0),0)</f>
        <v>BRA</v>
      </c>
      <c r="F24" t="str">
        <f>VLOOKUP($A24,regions_full!$A$2:$AI$267,MATCH(polities_cats!F$1,$A$1:$AN$1,0),0)</f>
        <v>Brazil</v>
      </c>
      <c r="G24" t="str">
        <f>VLOOKUP($A24,regions_full!$A$2:$AI$267,MATCH(polities_cats!G$1,$A$1:$AN$1,0),0)</f>
        <v>FALSE</v>
      </c>
      <c r="H24" t="str">
        <f>VLOOKUP($A24,regions_full!$A$2:$AI$267,MATCH(polities_cats!H$1,$A$1:$AN$1,0),0)</f>
        <v>Brazil</v>
      </c>
      <c r="I24" t="str">
        <f>VLOOKUP($A24,regions_full!$A$2:$AI$267,MATCH(polities_cats!I$1,$A$1:$AN$1,0),0)</f>
        <v>Brazil</v>
      </c>
      <c r="J24" t="str">
        <f>VLOOKUP($A24,regions_full!$A$2:$AI$267,MATCH(polities_cats!J$1,$A$1:$AN$1,0),0)</f>
        <v>Brazil</v>
      </c>
      <c r="K24">
        <f>VLOOKUP($A24,regions_full!$A$2:$AI$267,MATCH(polities_cats!K$1,$A$1:$AN$1,0),0)</f>
        <v>21</v>
      </c>
      <c r="L24" t="str">
        <f>VLOOKUP($A24,regions_full!$A$2:$AI$267,MATCH(polities_cats!L$1,$A$1:$AN$1,0),0)</f>
        <v>Brazil</v>
      </c>
      <c r="M24">
        <f>VLOOKUP($A24,regions_full!$A$2:$AI$267,MATCH(polities_cats!M$1,$A$1:$AN$1,0),0)</f>
        <v>76</v>
      </c>
      <c r="N24">
        <f>VLOOKUP($A24,regions_full!$A$2:$AI$267,MATCH(polities_cats!N$1,$A$1:$AN$1,0),0)</f>
        <v>76</v>
      </c>
      <c r="O24">
        <f>VLOOKUP($A24,regions_full!$A$2:$AI$267,MATCH(polities_cats!O$1,$A$1:$AN$1,0),0)</f>
        <v>4</v>
      </c>
      <c r="P24" t="str">
        <f>VLOOKUP($A24,regions_full!$A$2:$AI$267,MATCH(polities_cats!P$1,$A$1:$AN$1,0),0)</f>
        <v>TRUE</v>
      </c>
      <c r="Q24">
        <f>VLOOKUP($A24,regions_full!$A$2:$AI$267,MATCH(polities_cats!Q$1,$A$1:$AN$1,0),0)</f>
        <v>21</v>
      </c>
      <c r="R24" t="str">
        <f>VLOOKUP($A24,regions_full!$A$2:$AI$267,MATCH(polities_cats!R$1,$A$1:$AN$1,0),0)</f>
        <v/>
      </c>
      <c r="S24" t="str">
        <f>VLOOKUP($A24,regions_full!$A$2:$AI$267,MATCH(polities_cats!S$1,$A$1:$AN$1,0),0)</f>
        <v>South America</v>
      </c>
      <c r="T24">
        <f>VLOOKUP($A24,regions_full!$A$2:$AI$267,MATCH(polities_cats!T$1,$A$1:$AN$1,0),0)</f>
        <v>1</v>
      </c>
      <c r="U24" t="str">
        <f>VLOOKUP($A24,regions_full!$A$2:$AI$267,MATCH(polities_cats!U$1,$A$1:$AN$1,0),0)</f>
        <v>Brazil</v>
      </c>
      <c r="V24" t="str">
        <f>VLOOKUP($A24,regions_full!$A$2:$AI$267,MATCH(polities_cats!V$1,$A$1:$AN$1,0),0)</f>
        <v>Latin America and the Caribbean</v>
      </c>
      <c r="W24" t="str">
        <f>VLOOKUP($A24,regions_full!$A$2:$AI$267,MATCH(polities_cats!W$1,$A$1:$AN$1,0),0)</f>
        <v>Latin America and Caribbean</v>
      </c>
      <c r="X24" t="str">
        <f>VLOOKUP($A24,regions_full!$A$2:$AI$267,MATCH(polities_cats!X$1,$A$1:$AN$1,0),0)</f>
        <v>LACA</v>
      </c>
      <c r="Y24" t="str">
        <f>VLOOKUP($A24,regions_full!$A$2:$AI$267,MATCH(polities_cats!Y$1,$A$1:$AN$1,0),0)</f>
        <v>Latin America and the Caribbean</v>
      </c>
      <c r="Z24" t="str">
        <f>VLOOKUP($A24,regions_full!$A$2:$AI$267,MATCH(polities_cats!Z$1,$A$1:$AN$1,0),0)</f>
        <v>Americas</v>
      </c>
      <c r="AA24" t="str">
        <f>VLOOKUP($A24,regions_full!$A$2:$AI$267,MATCH(polities_cats!AA$1,$A$1:$AN$1,0),0)</f>
        <v>Americas</v>
      </c>
      <c r="AB24" t="str">
        <f>VLOOKUP($A24,regions_full!$A$2:$AI$267,MATCH(polities_cats!AB$1,$A$1:$AN$1,0),0)</f>
        <v>Latin America and the Caribbean</v>
      </c>
      <c r="AC24" t="str">
        <f>VLOOKUP($A24,regions_full!$A$2:$AI$267,MATCH(polities_cats!AC$1,$A$1:$AN$1,0),0)</f>
        <v>South America</v>
      </c>
      <c r="AD24" t="str">
        <f>VLOOKUP($A24,regions_full!$A$2:$AI$267,MATCH(polities_cats!AD$1,$A$1:$AN$1,0),0)</f>
        <v>Emerging</v>
      </c>
      <c r="AE24" t="str">
        <f>VLOOKUP($A24,regions_full!$A$2:$AI$267,MATCH(polities_cats!AE$1,$A$1:$AN$1,0),0)</f>
        <v>Annex_II</v>
      </c>
      <c r="AF24" t="str">
        <f>VLOOKUP($A24,regions_full!$A$2:$AI$267,MATCH(polities_cats!AF$1,$A$1:$AN$1,0),0)</f>
        <v>South America - South Cone</v>
      </c>
      <c r="AG24" t="str">
        <f>VLOOKUP($A24,regions_full!$A$2:$AI$267,MATCH(polities_cats!AG$1,$A$1:$AN$1,0),0)</f>
        <v>LACA</v>
      </c>
      <c r="AH24" t="str">
        <f>VLOOKUP($A24,regions_full!$A$2:$AI$267,MATCH(polities_cats!AH$1,$A$1:$AN$1,0),0)</f>
        <v>mech</v>
      </c>
      <c r="AI24" t="str">
        <f>VLOOKUP($A24,regions_full!$A$2:$AI$267,MATCH(polities_cats!AI$1,$A$1:$AN$1,0),0)</f>
        <v>Other</v>
      </c>
      <c r="AJ24" t="e">
        <f>VLOOKUP($A24,regions_full!$A$2:$AI$267,MATCH(polities_cats!AJ$1,$A$1:$AN$1,0),0)</f>
        <v>#REF!</v>
      </c>
      <c r="AK24" t="e">
        <f>VLOOKUP($A24,regions_full!$A$2:$AI$267,MATCH(polities_cats!AK$1,$A$1:$AN$1,0),0)</f>
        <v>#REF!</v>
      </c>
      <c r="AL24" t="e">
        <f>VLOOKUP($A24,regions_full!$A$2:$AI$267,MATCH(polities_cats!AL$1,$A$1:$AN$1,0),0)</f>
        <v>#REF!</v>
      </c>
      <c r="AM24" t="e">
        <f>VLOOKUP($A24,regions_full!$A$2:$AI$267,MATCH(polities_cats!AM$1,$A$1:$AN$1,0),0)</f>
        <v>#REF!</v>
      </c>
      <c r="AN24" t="e">
        <f>VLOOKUP($A24,regions_full!$A$2:$AI$267,MATCH(polities_cats!AN$1,$A$1:$AN$1,0),0)</f>
        <v>#REF!</v>
      </c>
    </row>
    <row r="25" spans="1:40" x14ac:dyDescent="0.3">
      <c r="A25" t="str">
        <f>polities_whep!A25</f>
        <v>BRN</v>
      </c>
      <c r="B25" t="str">
        <f>polities_whep!B25</f>
        <v>Brunei Darussalam</v>
      </c>
      <c r="C25">
        <f>VLOOKUP($A25,regions_full!$A$2:$AI$267,MATCH(polities_cats!C$1,$A$1:$AN$1,0),0)</f>
        <v>26</v>
      </c>
      <c r="D25">
        <f>VLOOKUP($A25,regions_full!$A$2:$AI$267,MATCH(polities_cats!D$1,$A$1:$AN$1,0),0)</f>
        <v>26</v>
      </c>
      <c r="E25" t="str">
        <f>VLOOKUP($A25,regions_full!$A$2:$AI$267,MATCH(polities_cats!E$1,$A$1:$AN$1,0),0)</f>
        <v>BRN</v>
      </c>
      <c r="F25" t="str">
        <f>VLOOKUP($A25,regions_full!$A$2:$AI$267,MATCH(polities_cats!F$1,$A$1:$AN$1,0),0)</f>
        <v>Brunei Darussalam</v>
      </c>
      <c r="G25" t="str">
        <f>VLOOKUP($A25,regions_full!$A$2:$AI$267,MATCH(polities_cats!G$1,$A$1:$AN$1,0),0)</f>
        <v>FALSE</v>
      </c>
      <c r="H25" t="str">
        <f>VLOOKUP($A25,regions_full!$A$2:$AI$267,MATCH(polities_cats!H$1,$A$1:$AN$1,0),0)</f>
        <v>Brunei Darussalam</v>
      </c>
      <c r="I25" t="str">
        <f>VLOOKUP($A25,regions_full!$A$2:$AI$267,MATCH(polities_cats!I$1,$A$1:$AN$1,0),0)</f>
        <v>Brunei</v>
      </c>
      <c r="J25" t="str">
        <f>VLOOKUP($A25,regions_full!$A$2:$AI$267,MATCH(polities_cats!J$1,$A$1:$AN$1,0),0)</f>
        <v>Brunei Darussalam</v>
      </c>
      <c r="K25">
        <f>VLOOKUP($A25,regions_full!$A$2:$AI$267,MATCH(polities_cats!K$1,$A$1:$AN$1,0),0)</f>
        <v>26</v>
      </c>
      <c r="L25" t="str">
        <f>VLOOKUP($A25,regions_full!$A$2:$AI$267,MATCH(polities_cats!L$1,$A$1:$AN$1,0),0)</f>
        <v>Brunei Darussalam</v>
      </c>
      <c r="M25">
        <f>VLOOKUP($A25,regions_full!$A$2:$AI$267,MATCH(polities_cats!M$1,$A$1:$AN$1,0),0)</f>
        <v>96</v>
      </c>
      <c r="N25">
        <f>VLOOKUP($A25,regions_full!$A$2:$AI$267,MATCH(polities_cats!N$1,$A$1:$AN$1,0),0)</f>
        <v>96</v>
      </c>
      <c r="O25">
        <f>VLOOKUP($A25,regions_full!$A$2:$AI$267,MATCH(polities_cats!O$1,$A$1:$AN$1,0),0)</f>
        <v>15</v>
      </c>
      <c r="P25" t="str">
        <f>VLOOKUP($A25,regions_full!$A$2:$AI$267,MATCH(polities_cats!P$1,$A$1:$AN$1,0),0)</f>
        <v>TRUE</v>
      </c>
      <c r="Q25">
        <f>VLOOKUP($A25,regions_full!$A$2:$AI$267,MATCH(polities_cats!Q$1,$A$1:$AN$1,0),0)</f>
        <v>26</v>
      </c>
      <c r="R25" t="str">
        <f>VLOOKUP($A25,regions_full!$A$2:$AI$267,MATCH(polities_cats!R$1,$A$1:$AN$1,0),0)</f>
        <v/>
      </c>
      <c r="S25" t="str">
        <f>VLOOKUP($A25,regions_full!$A$2:$AI$267,MATCH(polities_cats!S$1,$A$1:$AN$1,0),0)</f>
        <v>South East Asia</v>
      </c>
      <c r="T25">
        <f>VLOOKUP($A25,regions_full!$A$2:$AI$267,MATCH(polities_cats!T$1,$A$1:$AN$1,0),0)</f>
        <v>1</v>
      </c>
      <c r="U25" t="str">
        <f>VLOOKUP($A25,regions_full!$A$2:$AI$267,MATCH(polities_cats!U$1,$A$1:$AN$1,0),0)</f>
        <v>Brunei Darussalam</v>
      </c>
      <c r="V25" t="str">
        <f>VLOOKUP($A25,regions_full!$A$2:$AI$267,MATCH(polities_cats!V$1,$A$1:$AN$1,0),0)</f>
        <v>Southeastern Asia</v>
      </c>
      <c r="W25" t="str">
        <f>VLOOKUP($A25,regions_full!$A$2:$AI$267,MATCH(polities_cats!W$1,$A$1:$AN$1,0),0)</f>
        <v>South and Central Asia</v>
      </c>
      <c r="X25" t="str">
        <f>VLOOKUP($A25,regions_full!$A$2:$AI$267,MATCH(polities_cats!X$1,$A$1:$AN$1,0),0)</f>
        <v>S&amp;E Asia</v>
      </c>
      <c r="Y25" t="str">
        <f>VLOOKUP($A25,regions_full!$A$2:$AI$267,MATCH(polities_cats!Y$1,$A$1:$AN$1,0),0)</f>
        <v>South-eastern Asia</v>
      </c>
      <c r="Z25" t="str">
        <f>VLOOKUP($A25,regions_full!$A$2:$AI$267,MATCH(polities_cats!Z$1,$A$1:$AN$1,0),0)</f>
        <v>Asia</v>
      </c>
      <c r="AA25" t="str">
        <f>VLOOKUP($A25,regions_full!$A$2:$AI$267,MATCH(polities_cats!AA$1,$A$1:$AN$1,0),0)</f>
        <v>Asia and the Pacific</v>
      </c>
      <c r="AB25" t="str">
        <f>VLOOKUP($A25,regions_full!$A$2:$AI$267,MATCH(polities_cats!AB$1,$A$1:$AN$1,0),0)</f>
        <v>South-Eastern Asia and the Pacific</v>
      </c>
      <c r="AC25" t="str">
        <f>VLOOKUP($A25,regions_full!$A$2:$AI$267,MATCH(polities_cats!AC$1,$A$1:$AN$1,0),0)</f>
        <v>South-Eastern Asia</v>
      </c>
      <c r="AD25" t="str">
        <f>VLOOKUP($A25,regions_full!$A$2:$AI$267,MATCH(polities_cats!AD$1,$A$1:$AN$1,0),0)</f>
        <v>Emerging</v>
      </c>
      <c r="AE25" t="str">
        <f>VLOOKUP($A25,regions_full!$A$2:$AI$267,MATCH(polities_cats!AE$1,$A$1:$AN$1,0),0)</f>
        <v>Annex_II</v>
      </c>
      <c r="AF25" t="str">
        <f>VLOOKUP($A25,regions_full!$A$2:$AI$267,MATCH(polities_cats!AF$1,$A$1:$AN$1,0),0)</f>
        <v>South-eastern Asia</v>
      </c>
      <c r="AG25" t="str">
        <f>VLOOKUP($A25,regions_full!$A$2:$AI$267,MATCH(polities_cats!AG$1,$A$1:$AN$1,0),0)</f>
        <v>SE-Asia</v>
      </c>
      <c r="AH25" t="str">
        <f>VLOOKUP($A25,regions_full!$A$2:$AI$267,MATCH(polities_cats!AH$1,$A$1:$AN$1,0),0)</f>
        <v>no_mech</v>
      </c>
      <c r="AI25" t="str">
        <f>VLOOKUP($A25,regions_full!$A$2:$AI$267,MATCH(polities_cats!AI$1,$A$1:$AN$1,0),0)</f>
        <v>Other</v>
      </c>
      <c r="AJ25" t="e">
        <f>VLOOKUP($A25,regions_full!$A$2:$AI$267,MATCH(polities_cats!AJ$1,$A$1:$AN$1,0),0)</f>
        <v>#REF!</v>
      </c>
      <c r="AK25" t="e">
        <f>VLOOKUP($A25,regions_full!$A$2:$AI$267,MATCH(polities_cats!AK$1,$A$1:$AN$1,0),0)</f>
        <v>#REF!</v>
      </c>
      <c r="AL25" t="e">
        <f>VLOOKUP($A25,regions_full!$A$2:$AI$267,MATCH(polities_cats!AL$1,$A$1:$AN$1,0),0)</f>
        <v>#REF!</v>
      </c>
      <c r="AM25" t="e">
        <f>VLOOKUP($A25,regions_full!$A$2:$AI$267,MATCH(polities_cats!AM$1,$A$1:$AN$1,0),0)</f>
        <v>#REF!</v>
      </c>
      <c r="AN25" t="e">
        <f>VLOOKUP($A25,regions_full!$A$2:$AI$267,MATCH(polities_cats!AN$1,$A$1:$AN$1,0),0)</f>
        <v>#REF!</v>
      </c>
    </row>
    <row r="26" spans="1:40" x14ac:dyDescent="0.3">
      <c r="A26" t="str">
        <f>polities_whep!A26</f>
        <v>BGR</v>
      </c>
      <c r="B26" t="str">
        <f>polities_whep!B26</f>
        <v>Bulgaria</v>
      </c>
      <c r="C26">
        <f>VLOOKUP($A26,regions_full!$A$2:$AI$267,MATCH(polities_cats!C$1,$A$1:$AN$1,0),0)</f>
        <v>27</v>
      </c>
      <c r="D26">
        <f>VLOOKUP($A26,regions_full!$A$2:$AI$267,MATCH(polities_cats!D$1,$A$1:$AN$1,0),0)</f>
        <v>27</v>
      </c>
      <c r="E26" t="str">
        <f>VLOOKUP($A26,regions_full!$A$2:$AI$267,MATCH(polities_cats!E$1,$A$1:$AN$1,0),0)</f>
        <v>BGR</v>
      </c>
      <c r="F26" t="str">
        <f>VLOOKUP($A26,regions_full!$A$2:$AI$267,MATCH(polities_cats!F$1,$A$1:$AN$1,0),0)</f>
        <v>Bulgaria</v>
      </c>
      <c r="G26" t="str">
        <f>VLOOKUP($A26,regions_full!$A$2:$AI$267,MATCH(polities_cats!G$1,$A$1:$AN$1,0),0)</f>
        <v>TRUE</v>
      </c>
      <c r="H26" t="str">
        <f>VLOOKUP($A26,regions_full!$A$2:$AI$267,MATCH(polities_cats!H$1,$A$1:$AN$1,0),0)</f>
        <v>Bulgaria</v>
      </c>
      <c r="I26" t="str">
        <f>VLOOKUP($A26,regions_full!$A$2:$AI$267,MATCH(polities_cats!I$1,$A$1:$AN$1,0),0)</f>
        <v>Bulgaria</v>
      </c>
      <c r="J26" t="str">
        <f>VLOOKUP($A26,regions_full!$A$2:$AI$267,MATCH(polities_cats!J$1,$A$1:$AN$1,0),0)</f>
        <v>Bulgaria</v>
      </c>
      <c r="K26">
        <f>VLOOKUP($A26,regions_full!$A$2:$AI$267,MATCH(polities_cats!K$1,$A$1:$AN$1,0),0)</f>
        <v>27</v>
      </c>
      <c r="L26" t="str">
        <f>VLOOKUP($A26,regions_full!$A$2:$AI$267,MATCH(polities_cats!L$1,$A$1:$AN$1,0),0)</f>
        <v>Bulgaria</v>
      </c>
      <c r="M26">
        <f>VLOOKUP($A26,regions_full!$A$2:$AI$267,MATCH(polities_cats!M$1,$A$1:$AN$1,0),0)</f>
        <v>100</v>
      </c>
      <c r="N26">
        <f>VLOOKUP($A26,regions_full!$A$2:$AI$267,MATCH(polities_cats!N$1,$A$1:$AN$1,0),0)</f>
        <v>100</v>
      </c>
      <c r="O26">
        <f>VLOOKUP($A26,regions_full!$A$2:$AI$267,MATCH(polities_cats!O$1,$A$1:$AN$1,0),0)</f>
        <v>10</v>
      </c>
      <c r="P26" t="str">
        <f>VLOOKUP($A26,regions_full!$A$2:$AI$267,MATCH(polities_cats!P$1,$A$1:$AN$1,0),0)</f>
        <v>TRUE</v>
      </c>
      <c r="Q26">
        <f>VLOOKUP($A26,regions_full!$A$2:$AI$267,MATCH(polities_cats!Q$1,$A$1:$AN$1,0),0)</f>
        <v>27</v>
      </c>
      <c r="R26" t="str">
        <f>VLOOKUP($A26,regions_full!$A$2:$AI$267,MATCH(polities_cats!R$1,$A$1:$AN$1,0),0)</f>
        <v>BG</v>
      </c>
      <c r="S26" t="str">
        <f>VLOOKUP($A26,regions_full!$A$2:$AI$267,MATCH(polities_cats!S$1,$A$1:$AN$1,0),0)</f>
        <v>Eastern Europe</v>
      </c>
      <c r="T26">
        <f>VLOOKUP($A26,regions_full!$A$2:$AI$267,MATCH(polities_cats!T$1,$A$1:$AN$1,0),0)</f>
        <v>1</v>
      </c>
      <c r="U26" t="str">
        <f>VLOOKUP($A26,regions_full!$A$2:$AI$267,MATCH(polities_cats!U$1,$A$1:$AN$1,0),0)</f>
        <v>Bulgaria</v>
      </c>
      <c r="V26" t="str">
        <f>VLOOKUP($A26,regions_full!$A$2:$AI$267,MATCH(polities_cats!V$1,$A$1:$AN$1,0),0)</f>
        <v>Eastern and South Eastern Europe</v>
      </c>
      <c r="W26" t="str">
        <f>VLOOKUP($A26,regions_full!$A$2:$AI$267,MATCH(polities_cats!W$1,$A$1:$AN$1,0),0)</f>
        <v>East Europe</v>
      </c>
      <c r="X26" t="str">
        <f>VLOOKUP($A26,regions_full!$A$2:$AI$267,MATCH(polities_cats!X$1,$A$1:$AN$1,0),0)</f>
        <v>Europe</v>
      </c>
      <c r="Y26" t="str">
        <f>VLOOKUP($A26,regions_full!$A$2:$AI$267,MATCH(polities_cats!Y$1,$A$1:$AN$1,0),0)</f>
        <v>Eastern Europe</v>
      </c>
      <c r="Z26" t="str">
        <f>VLOOKUP($A26,regions_full!$A$2:$AI$267,MATCH(polities_cats!Z$1,$A$1:$AN$1,0),0)</f>
        <v>Europe</v>
      </c>
      <c r="AA26" t="str">
        <f>VLOOKUP($A26,regions_full!$A$2:$AI$267,MATCH(polities_cats!AA$1,$A$1:$AN$1,0),0)</f>
        <v>Europe and Central Asia</v>
      </c>
      <c r="AB26" t="str">
        <f>VLOOKUP($A26,regions_full!$A$2:$AI$267,MATCH(polities_cats!AB$1,$A$1:$AN$1,0),0)</f>
        <v>Eastern Europe</v>
      </c>
      <c r="AC26" t="str">
        <f>VLOOKUP($A26,regions_full!$A$2:$AI$267,MATCH(polities_cats!AC$1,$A$1:$AN$1,0),0)</f>
        <v>Eastern Europe</v>
      </c>
      <c r="AD26" t="str">
        <f>VLOOKUP($A26,regions_full!$A$2:$AI$267,MATCH(polities_cats!AD$1,$A$1:$AN$1,0),0)</f>
        <v>Emerging</v>
      </c>
      <c r="AE26" t="str">
        <f>VLOOKUP($A26,regions_full!$A$2:$AI$267,MATCH(polities_cats!AE$1,$A$1:$AN$1,0),0)</f>
        <v>Annex_I</v>
      </c>
      <c r="AF26" t="str">
        <f>VLOOKUP($A26,regions_full!$A$2:$AI$267,MATCH(polities_cats!AF$1,$A$1:$AN$1,0),0)</f>
        <v>Eastern Europe</v>
      </c>
      <c r="AG26" t="str">
        <f>VLOOKUP($A26,regions_full!$A$2:$AI$267,MATCH(polities_cats!AG$1,$A$1:$AN$1,0),0)</f>
        <v>Europe</v>
      </c>
      <c r="AH26" t="str">
        <f>VLOOKUP($A26,regions_full!$A$2:$AI$267,MATCH(polities_cats!AH$1,$A$1:$AN$1,0),0)</f>
        <v>mech</v>
      </c>
      <c r="AI26" t="str">
        <f>VLOOKUP($A26,regions_full!$A$2:$AI$267,MATCH(polities_cats!AI$1,$A$1:$AN$1,0),0)</f>
        <v>Europe</v>
      </c>
      <c r="AJ26" t="e">
        <f>VLOOKUP($A26,regions_full!$A$2:$AI$267,MATCH(polities_cats!AJ$1,$A$1:$AN$1,0),0)</f>
        <v>#REF!</v>
      </c>
      <c r="AK26" t="e">
        <f>VLOOKUP($A26,regions_full!$A$2:$AI$267,MATCH(polities_cats!AK$1,$A$1:$AN$1,0),0)</f>
        <v>#REF!</v>
      </c>
      <c r="AL26" t="e">
        <f>VLOOKUP($A26,regions_full!$A$2:$AI$267,MATCH(polities_cats!AL$1,$A$1:$AN$1,0),0)</f>
        <v>#REF!</v>
      </c>
      <c r="AM26" t="e">
        <f>VLOOKUP($A26,regions_full!$A$2:$AI$267,MATCH(polities_cats!AM$1,$A$1:$AN$1,0),0)</f>
        <v>#REF!</v>
      </c>
      <c r="AN26" t="e">
        <f>VLOOKUP($A26,regions_full!$A$2:$AI$267,MATCH(polities_cats!AN$1,$A$1:$AN$1,0),0)</f>
        <v>#REF!</v>
      </c>
    </row>
    <row r="27" spans="1:40" x14ac:dyDescent="0.3">
      <c r="A27" t="str">
        <f>polities_whep!A27</f>
        <v>BFA</v>
      </c>
      <c r="B27" t="str">
        <f>polities_whep!B27</f>
        <v>Burkina Faso</v>
      </c>
      <c r="C27">
        <f>VLOOKUP($A27,regions_full!$A$2:$AI$267,MATCH(polities_cats!C$1,$A$1:$AN$1,0),0)</f>
        <v>229</v>
      </c>
      <c r="D27">
        <f>VLOOKUP($A27,regions_full!$A$2:$AI$267,MATCH(polities_cats!D$1,$A$1:$AN$1,0),0)</f>
        <v>233</v>
      </c>
      <c r="E27" t="str">
        <f>VLOOKUP($A27,regions_full!$A$2:$AI$267,MATCH(polities_cats!E$1,$A$1:$AN$1,0),0)</f>
        <v>BFA</v>
      </c>
      <c r="F27" t="str">
        <f>VLOOKUP($A27,regions_full!$A$2:$AI$267,MATCH(polities_cats!F$1,$A$1:$AN$1,0),0)</f>
        <v>Burkina Faso</v>
      </c>
      <c r="G27" t="str">
        <f>VLOOKUP($A27,regions_full!$A$2:$AI$267,MATCH(polities_cats!G$1,$A$1:$AN$1,0),0)</f>
        <v>FALSE</v>
      </c>
      <c r="H27" t="str">
        <f>VLOOKUP($A27,regions_full!$A$2:$AI$267,MATCH(polities_cats!H$1,$A$1:$AN$1,0),0)</f>
        <v>Burkina Faso</v>
      </c>
      <c r="I27" t="str">
        <f>VLOOKUP($A27,regions_full!$A$2:$AI$267,MATCH(polities_cats!I$1,$A$1:$AN$1,0),0)</f>
        <v>Burkina Faso</v>
      </c>
      <c r="J27">
        <f>VLOOKUP($A27,regions_full!$A$2:$AI$267,MATCH(polities_cats!J$1,$A$1:$AN$1,0),0)</f>
        <v>0</v>
      </c>
      <c r="K27">
        <f>VLOOKUP($A27,regions_full!$A$2:$AI$267,MATCH(polities_cats!K$1,$A$1:$AN$1,0),0)</f>
        <v>233</v>
      </c>
      <c r="L27" t="str">
        <f>VLOOKUP($A27,regions_full!$A$2:$AI$267,MATCH(polities_cats!L$1,$A$1:$AN$1,0),0)</f>
        <v>Burkina Faso</v>
      </c>
      <c r="M27">
        <f>VLOOKUP($A27,regions_full!$A$2:$AI$267,MATCH(polities_cats!M$1,$A$1:$AN$1,0),0)</f>
        <v>854</v>
      </c>
      <c r="N27">
        <f>VLOOKUP($A27,regions_full!$A$2:$AI$267,MATCH(polities_cats!N$1,$A$1:$AN$1,0),0)</f>
        <v>854</v>
      </c>
      <c r="O27">
        <f>VLOOKUP($A27,regions_full!$A$2:$AI$267,MATCH(polities_cats!O$1,$A$1:$AN$1,0),0)</f>
        <v>6</v>
      </c>
      <c r="P27" t="str">
        <f>VLOOKUP($A27,regions_full!$A$2:$AI$267,MATCH(polities_cats!P$1,$A$1:$AN$1,0),0)</f>
        <v>TRUE</v>
      </c>
      <c r="Q27">
        <f>VLOOKUP($A27,regions_full!$A$2:$AI$267,MATCH(polities_cats!Q$1,$A$1:$AN$1,0),0)</f>
        <v>233</v>
      </c>
      <c r="R27" t="str">
        <f>VLOOKUP($A27,regions_full!$A$2:$AI$267,MATCH(polities_cats!R$1,$A$1:$AN$1,0),0)</f>
        <v/>
      </c>
      <c r="S27" t="str">
        <f>VLOOKUP($A27,regions_full!$A$2:$AI$267,MATCH(polities_cats!S$1,$A$1:$AN$1,0),0)</f>
        <v>Western Africa</v>
      </c>
      <c r="T27">
        <f>VLOOKUP($A27,regions_full!$A$2:$AI$267,MATCH(polities_cats!T$1,$A$1:$AN$1,0),0)</f>
        <v>1</v>
      </c>
      <c r="U27" t="str">
        <f>VLOOKUP($A27,regions_full!$A$2:$AI$267,MATCH(polities_cats!U$1,$A$1:$AN$1,0),0)</f>
        <v>Burkina Faso</v>
      </c>
      <c r="V27" t="str">
        <f>VLOOKUP($A27,regions_full!$A$2:$AI$267,MATCH(polities_cats!V$1,$A$1:$AN$1,0),0)</f>
        <v>Subsaharan Africa</v>
      </c>
      <c r="W27" t="str">
        <f>VLOOKUP($A27,regions_full!$A$2:$AI$267,MATCH(polities_cats!W$1,$A$1:$AN$1,0),0)</f>
        <v>Sub-saharan Africa</v>
      </c>
      <c r="X27" t="str">
        <f>VLOOKUP($A27,regions_full!$A$2:$AI$267,MATCH(polities_cats!X$1,$A$1:$AN$1,0),0)</f>
        <v>SSA</v>
      </c>
      <c r="Y27" t="str">
        <f>VLOOKUP($A27,regions_full!$A$2:$AI$267,MATCH(polities_cats!Y$1,$A$1:$AN$1,0),0)</f>
        <v>Sub-Saharan Africa</v>
      </c>
      <c r="Z27" t="str">
        <f>VLOOKUP($A27,regions_full!$A$2:$AI$267,MATCH(polities_cats!Z$1,$A$1:$AN$1,0),0)</f>
        <v>Africa</v>
      </c>
      <c r="AA27" t="str">
        <f>VLOOKUP($A27,regions_full!$A$2:$AI$267,MATCH(polities_cats!AA$1,$A$1:$AN$1,0),0)</f>
        <v>Africa</v>
      </c>
      <c r="AB27" t="str">
        <f>VLOOKUP($A27,regions_full!$A$2:$AI$267,MATCH(polities_cats!AB$1,$A$1:$AN$1,0),0)</f>
        <v>Sub-Saharan Africa</v>
      </c>
      <c r="AC27" t="str">
        <f>VLOOKUP($A27,regions_full!$A$2:$AI$267,MATCH(polities_cats!AC$1,$A$1:$AN$1,0),0)</f>
        <v>Western Africa</v>
      </c>
      <c r="AD27" t="str">
        <f>VLOOKUP($A27,regions_full!$A$2:$AI$267,MATCH(polities_cats!AD$1,$A$1:$AN$1,0),0)</f>
        <v>Emerging</v>
      </c>
      <c r="AE27" t="str">
        <f>VLOOKUP($A27,regions_full!$A$2:$AI$267,MATCH(polities_cats!AE$1,$A$1:$AN$1,0),0)</f>
        <v>Annex_II</v>
      </c>
      <c r="AF27" t="str">
        <f>VLOOKUP($A27,regions_full!$A$2:$AI$267,MATCH(polities_cats!AF$1,$A$1:$AN$1,0),0)</f>
        <v>Western Africa</v>
      </c>
      <c r="AG27" t="str">
        <f>VLOOKUP($A27,regions_full!$A$2:$AI$267,MATCH(polities_cats!AG$1,$A$1:$AN$1,0),0)</f>
        <v>SAA</v>
      </c>
      <c r="AH27" t="str">
        <f>VLOOKUP($A27,regions_full!$A$2:$AI$267,MATCH(polities_cats!AH$1,$A$1:$AN$1,0),0)</f>
        <v>no_mech</v>
      </c>
      <c r="AI27" t="str">
        <f>VLOOKUP($A27,regions_full!$A$2:$AI$267,MATCH(polities_cats!AI$1,$A$1:$AN$1,0),0)</f>
        <v>Other</v>
      </c>
      <c r="AJ27" t="e">
        <f>VLOOKUP($A27,regions_full!$A$2:$AI$267,MATCH(polities_cats!AJ$1,$A$1:$AN$1,0),0)</f>
        <v>#REF!</v>
      </c>
      <c r="AK27" t="e">
        <f>VLOOKUP($A27,regions_full!$A$2:$AI$267,MATCH(polities_cats!AK$1,$A$1:$AN$1,0),0)</f>
        <v>#REF!</v>
      </c>
      <c r="AL27" t="e">
        <f>VLOOKUP($A27,regions_full!$A$2:$AI$267,MATCH(polities_cats!AL$1,$A$1:$AN$1,0),0)</f>
        <v>#REF!</v>
      </c>
      <c r="AM27" t="e">
        <f>VLOOKUP($A27,regions_full!$A$2:$AI$267,MATCH(polities_cats!AM$1,$A$1:$AN$1,0),0)</f>
        <v>#REF!</v>
      </c>
      <c r="AN27" t="e">
        <f>VLOOKUP($A27,regions_full!$A$2:$AI$267,MATCH(polities_cats!AN$1,$A$1:$AN$1,0),0)</f>
        <v>#REF!</v>
      </c>
    </row>
    <row r="28" spans="1:40" x14ac:dyDescent="0.3">
      <c r="A28" t="str">
        <f>polities_whep!A28</f>
        <v>BDI</v>
      </c>
      <c r="B28" t="str">
        <f>polities_whep!B28</f>
        <v>Burundi</v>
      </c>
      <c r="C28">
        <f>VLOOKUP($A28,regions_full!$A$2:$AI$267,MATCH(polities_cats!C$1,$A$1:$AN$1,0),0)</f>
        <v>29</v>
      </c>
      <c r="D28">
        <f>VLOOKUP($A28,regions_full!$A$2:$AI$267,MATCH(polities_cats!D$1,$A$1:$AN$1,0),0)</f>
        <v>29</v>
      </c>
      <c r="E28" t="str">
        <f>VLOOKUP($A28,regions_full!$A$2:$AI$267,MATCH(polities_cats!E$1,$A$1:$AN$1,0),0)</f>
        <v>BDI</v>
      </c>
      <c r="F28" t="str">
        <f>VLOOKUP($A28,regions_full!$A$2:$AI$267,MATCH(polities_cats!F$1,$A$1:$AN$1,0),0)</f>
        <v>Burundi</v>
      </c>
      <c r="G28" t="str">
        <f>VLOOKUP($A28,regions_full!$A$2:$AI$267,MATCH(polities_cats!G$1,$A$1:$AN$1,0),0)</f>
        <v>FALSE</v>
      </c>
      <c r="H28" t="str">
        <f>VLOOKUP($A28,regions_full!$A$2:$AI$267,MATCH(polities_cats!H$1,$A$1:$AN$1,0),0)</f>
        <v>Burundi</v>
      </c>
      <c r="I28" t="str">
        <f>VLOOKUP($A28,regions_full!$A$2:$AI$267,MATCH(polities_cats!I$1,$A$1:$AN$1,0),0)</f>
        <v>Burundi</v>
      </c>
      <c r="J28">
        <f>VLOOKUP($A28,regions_full!$A$2:$AI$267,MATCH(polities_cats!J$1,$A$1:$AN$1,0),0)</f>
        <v>0</v>
      </c>
      <c r="K28">
        <f>VLOOKUP($A28,regions_full!$A$2:$AI$267,MATCH(polities_cats!K$1,$A$1:$AN$1,0),0)</f>
        <v>29</v>
      </c>
      <c r="L28" t="str">
        <f>VLOOKUP($A28,regions_full!$A$2:$AI$267,MATCH(polities_cats!L$1,$A$1:$AN$1,0),0)</f>
        <v>Burundi</v>
      </c>
      <c r="M28">
        <f>VLOOKUP($A28,regions_full!$A$2:$AI$267,MATCH(polities_cats!M$1,$A$1:$AN$1,0),0)</f>
        <v>108</v>
      </c>
      <c r="N28">
        <f>VLOOKUP($A28,regions_full!$A$2:$AI$267,MATCH(polities_cats!N$1,$A$1:$AN$1,0),0)</f>
        <v>108</v>
      </c>
      <c r="O28">
        <f>VLOOKUP($A28,regions_full!$A$2:$AI$267,MATCH(polities_cats!O$1,$A$1:$AN$1,0),0)</f>
        <v>7</v>
      </c>
      <c r="P28" t="str">
        <f>VLOOKUP($A28,regions_full!$A$2:$AI$267,MATCH(polities_cats!P$1,$A$1:$AN$1,0),0)</f>
        <v>TRUE</v>
      </c>
      <c r="Q28">
        <f>VLOOKUP($A28,regions_full!$A$2:$AI$267,MATCH(polities_cats!Q$1,$A$1:$AN$1,0),0)</f>
        <v>29</v>
      </c>
      <c r="R28" t="str">
        <f>VLOOKUP($A28,regions_full!$A$2:$AI$267,MATCH(polities_cats!R$1,$A$1:$AN$1,0),0)</f>
        <v/>
      </c>
      <c r="S28" t="str">
        <f>VLOOKUP($A28,regions_full!$A$2:$AI$267,MATCH(polities_cats!S$1,$A$1:$AN$1,0),0)</f>
        <v>Eastern Africa</v>
      </c>
      <c r="T28">
        <f>VLOOKUP($A28,regions_full!$A$2:$AI$267,MATCH(polities_cats!T$1,$A$1:$AN$1,0),0)</f>
        <v>1</v>
      </c>
      <c r="U28" t="str">
        <f>VLOOKUP($A28,regions_full!$A$2:$AI$267,MATCH(polities_cats!U$1,$A$1:$AN$1,0),0)</f>
        <v>Burundi</v>
      </c>
      <c r="V28" t="str">
        <f>VLOOKUP($A28,regions_full!$A$2:$AI$267,MATCH(polities_cats!V$1,$A$1:$AN$1,0),0)</f>
        <v>Subsaharan Africa</v>
      </c>
      <c r="W28" t="str">
        <f>VLOOKUP($A28,regions_full!$A$2:$AI$267,MATCH(polities_cats!W$1,$A$1:$AN$1,0),0)</f>
        <v>Sub-saharan Africa</v>
      </c>
      <c r="X28" t="str">
        <f>VLOOKUP($A28,regions_full!$A$2:$AI$267,MATCH(polities_cats!X$1,$A$1:$AN$1,0),0)</f>
        <v>SSA</v>
      </c>
      <c r="Y28" t="str">
        <f>VLOOKUP($A28,regions_full!$A$2:$AI$267,MATCH(polities_cats!Y$1,$A$1:$AN$1,0),0)</f>
        <v>Sub-Saharan Africa</v>
      </c>
      <c r="Z28" t="str">
        <f>VLOOKUP($A28,regions_full!$A$2:$AI$267,MATCH(polities_cats!Z$1,$A$1:$AN$1,0),0)</f>
        <v>Africa</v>
      </c>
      <c r="AA28" t="str">
        <f>VLOOKUP($A28,regions_full!$A$2:$AI$267,MATCH(polities_cats!AA$1,$A$1:$AN$1,0),0)</f>
        <v>Africa</v>
      </c>
      <c r="AB28" t="str">
        <f>VLOOKUP($A28,regions_full!$A$2:$AI$267,MATCH(polities_cats!AB$1,$A$1:$AN$1,0),0)</f>
        <v>Sub-Saharan Africa</v>
      </c>
      <c r="AC28" t="str">
        <f>VLOOKUP($A28,regions_full!$A$2:$AI$267,MATCH(polities_cats!AC$1,$A$1:$AN$1,0),0)</f>
        <v>Eastern Africa</v>
      </c>
      <c r="AD28" t="str">
        <f>VLOOKUP($A28,regions_full!$A$2:$AI$267,MATCH(polities_cats!AD$1,$A$1:$AN$1,0),0)</f>
        <v>Emerging</v>
      </c>
      <c r="AE28" t="str">
        <f>VLOOKUP($A28,regions_full!$A$2:$AI$267,MATCH(polities_cats!AE$1,$A$1:$AN$1,0),0)</f>
        <v>Annex_II</v>
      </c>
      <c r="AF28" t="str">
        <f>VLOOKUP($A28,regions_full!$A$2:$AI$267,MATCH(polities_cats!AF$1,$A$1:$AN$1,0),0)</f>
        <v>Eastern Africa</v>
      </c>
      <c r="AG28" t="str">
        <f>VLOOKUP($A28,regions_full!$A$2:$AI$267,MATCH(polities_cats!AG$1,$A$1:$AN$1,0),0)</f>
        <v>SAA</v>
      </c>
      <c r="AH28" t="str">
        <f>VLOOKUP($A28,regions_full!$A$2:$AI$267,MATCH(polities_cats!AH$1,$A$1:$AN$1,0),0)</f>
        <v>no_mech</v>
      </c>
      <c r="AI28" t="str">
        <f>VLOOKUP($A28,regions_full!$A$2:$AI$267,MATCH(polities_cats!AI$1,$A$1:$AN$1,0),0)</f>
        <v>Other</v>
      </c>
      <c r="AJ28" t="e">
        <f>VLOOKUP($A28,regions_full!$A$2:$AI$267,MATCH(polities_cats!AJ$1,$A$1:$AN$1,0),0)</f>
        <v>#REF!</v>
      </c>
      <c r="AK28" t="e">
        <f>VLOOKUP($A28,regions_full!$A$2:$AI$267,MATCH(polities_cats!AK$1,$A$1:$AN$1,0),0)</f>
        <v>#REF!</v>
      </c>
      <c r="AL28" t="e">
        <f>VLOOKUP($A28,regions_full!$A$2:$AI$267,MATCH(polities_cats!AL$1,$A$1:$AN$1,0),0)</f>
        <v>#REF!</v>
      </c>
      <c r="AM28" t="e">
        <f>VLOOKUP($A28,regions_full!$A$2:$AI$267,MATCH(polities_cats!AM$1,$A$1:$AN$1,0),0)</f>
        <v>#REF!</v>
      </c>
      <c r="AN28" t="e">
        <f>VLOOKUP($A28,regions_full!$A$2:$AI$267,MATCH(polities_cats!AN$1,$A$1:$AN$1,0),0)</f>
        <v>#REF!</v>
      </c>
    </row>
    <row r="29" spans="1:40" x14ac:dyDescent="0.3">
      <c r="A29" t="str">
        <f>polities_whep!A29</f>
        <v>CPV</v>
      </c>
      <c r="B29" t="str">
        <f>polities_whep!B29</f>
        <v>Cabo Verde</v>
      </c>
      <c r="C29">
        <f>VLOOKUP($A29,regions_full!$A$2:$AI$267,MATCH(polities_cats!C$1,$A$1:$AN$1,0),0)</f>
        <v>35</v>
      </c>
      <c r="D29">
        <f>VLOOKUP($A29,regions_full!$A$2:$AI$267,MATCH(polities_cats!D$1,$A$1:$AN$1,0),0)</f>
        <v>35</v>
      </c>
      <c r="E29" t="str">
        <f>VLOOKUP($A29,regions_full!$A$2:$AI$267,MATCH(polities_cats!E$1,$A$1:$AN$1,0),0)</f>
        <v>CPV</v>
      </c>
      <c r="F29" t="str">
        <f>VLOOKUP($A29,regions_full!$A$2:$AI$267,MATCH(polities_cats!F$1,$A$1:$AN$1,0),0)</f>
        <v>Cabo Verde</v>
      </c>
      <c r="G29" t="str">
        <f>VLOOKUP($A29,regions_full!$A$2:$AI$267,MATCH(polities_cats!G$1,$A$1:$AN$1,0),0)</f>
        <v>FALSE</v>
      </c>
      <c r="H29" t="str">
        <f>VLOOKUP($A29,regions_full!$A$2:$AI$267,MATCH(polities_cats!H$1,$A$1:$AN$1,0),0)</f>
        <v>Cabo Verde</v>
      </c>
      <c r="I29" t="str">
        <f>VLOOKUP($A29,regions_full!$A$2:$AI$267,MATCH(polities_cats!I$1,$A$1:$AN$1,0),0)</f>
        <v>Cape Verde</v>
      </c>
      <c r="J29">
        <f>VLOOKUP($A29,regions_full!$A$2:$AI$267,MATCH(polities_cats!J$1,$A$1:$AN$1,0),0)</f>
        <v>0</v>
      </c>
      <c r="K29">
        <f>VLOOKUP($A29,regions_full!$A$2:$AI$267,MATCH(polities_cats!K$1,$A$1:$AN$1,0),0)</f>
        <v>35</v>
      </c>
      <c r="L29" t="str">
        <f>VLOOKUP($A29,regions_full!$A$2:$AI$267,MATCH(polities_cats!L$1,$A$1:$AN$1,0),0)</f>
        <v>Cape Verde</v>
      </c>
      <c r="M29">
        <f>VLOOKUP($A29,regions_full!$A$2:$AI$267,MATCH(polities_cats!M$1,$A$1:$AN$1,0),0)</f>
        <v>132</v>
      </c>
      <c r="N29">
        <f>VLOOKUP($A29,regions_full!$A$2:$AI$267,MATCH(polities_cats!N$1,$A$1:$AN$1,0),0)</f>
        <v>132</v>
      </c>
      <c r="O29">
        <f>VLOOKUP($A29,regions_full!$A$2:$AI$267,MATCH(polities_cats!O$1,$A$1:$AN$1,0),0)</f>
        <v>6</v>
      </c>
      <c r="P29" t="str">
        <f>VLOOKUP($A29,regions_full!$A$2:$AI$267,MATCH(polities_cats!P$1,$A$1:$AN$1,0),0)</f>
        <v>TRUE</v>
      </c>
      <c r="Q29">
        <f>VLOOKUP($A29,regions_full!$A$2:$AI$267,MATCH(polities_cats!Q$1,$A$1:$AN$1,0),0)</f>
        <v>35</v>
      </c>
      <c r="R29" t="str">
        <f>VLOOKUP($A29,regions_full!$A$2:$AI$267,MATCH(polities_cats!R$1,$A$1:$AN$1,0),0)</f>
        <v/>
      </c>
      <c r="S29" t="str">
        <f>VLOOKUP($A29,regions_full!$A$2:$AI$267,MATCH(polities_cats!S$1,$A$1:$AN$1,0),0)</f>
        <v>Western Africa</v>
      </c>
      <c r="T29">
        <f>VLOOKUP($A29,regions_full!$A$2:$AI$267,MATCH(polities_cats!T$1,$A$1:$AN$1,0),0)</f>
        <v>1</v>
      </c>
      <c r="U29" t="str">
        <f>VLOOKUP($A29,regions_full!$A$2:$AI$267,MATCH(polities_cats!U$1,$A$1:$AN$1,0),0)</f>
        <v>Cape Verde</v>
      </c>
      <c r="V29" t="str">
        <f>VLOOKUP($A29,regions_full!$A$2:$AI$267,MATCH(polities_cats!V$1,$A$1:$AN$1,0),0)</f>
        <v>Subsaharan Africa</v>
      </c>
      <c r="W29" t="str">
        <f>VLOOKUP($A29,regions_full!$A$2:$AI$267,MATCH(polities_cats!W$1,$A$1:$AN$1,0),0)</f>
        <v>Sub-saharan Africa</v>
      </c>
      <c r="X29" t="str">
        <f>VLOOKUP($A29,regions_full!$A$2:$AI$267,MATCH(polities_cats!X$1,$A$1:$AN$1,0),0)</f>
        <v>SSA</v>
      </c>
      <c r="Y29" t="str">
        <f>VLOOKUP($A29,regions_full!$A$2:$AI$267,MATCH(polities_cats!Y$1,$A$1:$AN$1,0),0)</f>
        <v>Sub-Saharan Africa</v>
      </c>
      <c r="Z29" t="str">
        <f>VLOOKUP($A29,regions_full!$A$2:$AI$267,MATCH(polities_cats!Z$1,$A$1:$AN$1,0),0)</f>
        <v>Africa</v>
      </c>
      <c r="AA29" t="str">
        <f>VLOOKUP($A29,regions_full!$A$2:$AI$267,MATCH(polities_cats!AA$1,$A$1:$AN$1,0),0)</f>
        <v>Africa</v>
      </c>
      <c r="AB29" t="str">
        <f>VLOOKUP($A29,regions_full!$A$2:$AI$267,MATCH(polities_cats!AB$1,$A$1:$AN$1,0),0)</f>
        <v>Sub-Saharan Africa</v>
      </c>
      <c r="AC29" t="str">
        <f>VLOOKUP($A29,regions_full!$A$2:$AI$267,MATCH(polities_cats!AC$1,$A$1:$AN$1,0),0)</f>
        <v>Western Africa</v>
      </c>
      <c r="AD29" t="str">
        <f>VLOOKUP($A29,regions_full!$A$2:$AI$267,MATCH(polities_cats!AD$1,$A$1:$AN$1,0),0)</f>
        <v>Emerging</v>
      </c>
      <c r="AE29" t="str">
        <f>VLOOKUP($A29,regions_full!$A$2:$AI$267,MATCH(polities_cats!AE$1,$A$1:$AN$1,0),0)</f>
        <v>Annex_II</v>
      </c>
      <c r="AF29" t="str">
        <f>VLOOKUP($A29,regions_full!$A$2:$AI$267,MATCH(polities_cats!AF$1,$A$1:$AN$1,0),0)</f>
        <v>Western Africa</v>
      </c>
      <c r="AG29" t="str">
        <f>VLOOKUP($A29,regions_full!$A$2:$AI$267,MATCH(polities_cats!AG$1,$A$1:$AN$1,0),0)</f>
        <v>SAA</v>
      </c>
      <c r="AH29" t="str">
        <f>VLOOKUP($A29,regions_full!$A$2:$AI$267,MATCH(polities_cats!AH$1,$A$1:$AN$1,0),0)</f>
        <v>no_mech</v>
      </c>
      <c r="AI29" t="str">
        <f>VLOOKUP($A29,regions_full!$A$2:$AI$267,MATCH(polities_cats!AI$1,$A$1:$AN$1,0),0)</f>
        <v>Other</v>
      </c>
      <c r="AJ29" t="e">
        <f>VLOOKUP($A29,regions_full!$A$2:$AI$267,MATCH(polities_cats!AJ$1,$A$1:$AN$1,0),0)</f>
        <v>#REF!</v>
      </c>
      <c r="AK29" t="e">
        <f>VLOOKUP($A29,regions_full!$A$2:$AI$267,MATCH(polities_cats!AK$1,$A$1:$AN$1,0),0)</f>
        <v>#REF!</v>
      </c>
      <c r="AL29" t="e">
        <f>VLOOKUP($A29,regions_full!$A$2:$AI$267,MATCH(polities_cats!AL$1,$A$1:$AN$1,0),0)</f>
        <v>#REF!</v>
      </c>
      <c r="AM29" t="e">
        <f>VLOOKUP($A29,regions_full!$A$2:$AI$267,MATCH(polities_cats!AM$1,$A$1:$AN$1,0),0)</f>
        <v>#REF!</v>
      </c>
      <c r="AN29" t="e">
        <f>VLOOKUP($A29,regions_full!$A$2:$AI$267,MATCH(polities_cats!AN$1,$A$1:$AN$1,0),0)</f>
        <v>#REF!</v>
      </c>
    </row>
    <row r="30" spans="1:40" x14ac:dyDescent="0.3">
      <c r="A30" t="str">
        <f>polities_whep!A30</f>
        <v>KHM</v>
      </c>
      <c r="B30" t="str">
        <f>polities_whep!B30</f>
        <v>Cambodia</v>
      </c>
      <c r="C30">
        <f>VLOOKUP($A30,regions_full!$A$2:$AI$267,MATCH(polities_cats!C$1,$A$1:$AN$1,0),0)</f>
        <v>112</v>
      </c>
      <c r="D30">
        <f>VLOOKUP($A30,regions_full!$A$2:$AI$267,MATCH(polities_cats!D$1,$A$1:$AN$1,0),0)</f>
        <v>115</v>
      </c>
      <c r="E30" t="str">
        <f>VLOOKUP($A30,regions_full!$A$2:$AI$267,MATCH(polities_cats!E$1,$A$1:$AN$1,0),0)</f>
        <v>KHM</v>
      </c>
      <c r="F30" t="str">
        <f>VLOOKUP($A30,regions_full!$A$2:$AI$267,MATCH(polities_cats!F$1,$A$1:$AN$1,0),0)</f>
        <v>Cambodia</v>
      </c>
      <c r="G30" t="str">
        <f>VLOOKUP($A30,regions_full!$A$2:$AI$267,MATCH(polities_cats!G$1,$A$1:$AN$1,0),0)</f>
        <v>FALSE</v>
      </c>
      <c r="H30" t="str">
        <f>VLOOKUP($A30,regions_full!$A$2:$AI$267,MATCH(polities_cats!H$1,$A$1:$AN$1,0),0)</f>
        <v>Cambodia</v>
      </c>
      <c r="I30" t="str">
        <f>VLOOKUP($A30,regions_full!$A$2:$AI$267,MATCH(polities_cats!I$1,$A$1:$AN$1,0),0)</f>
        <v>Cambodia</v>
      </c>
      <c r="J30" t="str">
        <f>VLOOKUP($A30,regions_full!$A$2:$AI$267,MATCH(polities_cats!J$1,$A$1:$AN$1,0),0)</f>
        <v>Cambodia</v>
      </c>
      <c r="K30">
        <f>VLOOKUP($A30,regions_full!$A$2:$AI$267,MATCH(polities_cats!K$1,$A$1:$AN$1,0),0)</f>
        <v>115</v>
      </c>
      <c r="L30" t="str">
        <f>VLOOKUP($A30,regions_full!$A$2:$AI$267,MATCH(polities_cats!L$1,$A$1:$AN$1,0),0)</f>
        <v>Cambodia</v>
      </c>
      <c r="M30">
        <f>VLOOKUP($A30,regions_full!$A$2:$AI$267,MATCH(polities_cats!M$1,$A$1:$AN$1,0),0)</f>
        <v>116</v>
      </c>
      <c r="N30">
        <f>VLOOKUP($A30,regions_full!$A$2:$AI$267,MATCH(polities_cats!N$1,$A$1:$AN$1,0),0)</f>
        <v>116</v>
      </c>
      <c r="O30">
        <f>VLOOKUP($A30,regions_full!$A$2:$AI$267,MATCH(polities_cats!O$1,$A$1:$AN$1,0),0)</f>
        <v>15</v>
      </c>
      <c r="P30" t="str">
        <f>VLOOKUP($A30,regions_full!$A$2:$AI$267,MATCH(polities_cats!P$1,$A$1:$AN$1,0),0)</f>
        <v>TRUE</v>
      </c>
      <c r="Q30">
        <f>VLOOKUP($A30,regions_full!$A$2:$AI$267,MATCH(polities_cats!Q$1,$A$1:$AN$1,0),0)</f>
        <v>115</v>
      </c>
      <c r="R30" t="str">
        <f>VLOOKUP($A30,regions_full!$A$2:$AI$267,MATCH(polities_cats!R$1,$A$1:$AN$1,0),0)</f>
        <v/>
      </c>
      <c r="S30" t="str">
        <f>VLOOKUP($A30,regions_full!$A$2:$AI$267,MATCH(polities_cats!S$1,$A$1:$AN$1,0),0)</f>
        <v>South East Asia</v>
      </c>
      <c r="T30">
        <f>VLOOKUP($A30,regions_full!$A$2:$AI$267,MATCH(polities_cats!T$1,$A$1:$AN$1,0),0)</f>
        <v>1</v>
      </c>
      <c r="U30" t="str">
        <f>VLOOKUP($A30,regions_full!$A$2:$AI$267,MATCH(polities_cats!U$1,$A$1:$AN$1,0),0)</f>
        <v>Cambodia</v>
      </c>
      <c r="V30" t="str">
        <f>VLOOKUP($A30,regions_full!$A$2:$AI$267,MATCH(polities_cats!V$1,$A$1:$AN$1,0),0)</f>
        <v>Southeastern Asia</v>
      </c>
      <c r="W30" t="str">
        <f>VLOOKUP($A30,regions_full!$A$2:$AI$267,MATCH(polities_cats!W$1,$A$1:$AN$1,0),0)</f>
        <v>South and Central Asia</v>
      </c>
      <c r="X30" t="str">
        <f>VLOOKUP($A30,regions_full!$A$2:$AI$267,MATCH(polities_cats!X$1,$A$1:$AN$1,0),0)</f>
        <v>S&amp;E Asia</v>
      </c>
      <c r="Y30" t="str">
        <f>VLOOKUP($A30,regions_full!$A$2:$AI$267,MATCH(polities_cats!Y$1,$A$1:$AN$1,0),0)</f>
        <v>South-eastern Asia</v>
      </c>
      <c r="Z30" t="str">
        <f>VLOOKUP($A30,regions_full!$A$2:$AI$267,MATCH(polities_cats!Z$1,$A$1:$AN$1,0),0)</f>
        <v>Asia</v>
      </c>
      <c r="AA30" t="str">
        <f>VLOOKUP($A30,regions_full!$A$2:$AI$267,MATCH(polities_cats!AA$1,$A$1:$AN$1,0),0)</f>
        <v>Asia and the Pacific</v>
      </c>
      <c r="AB30" t="str">
        <f>VLOOKUP($A30,regions_full!$A$2:$AI$267,MATCH(polities_cats!AB$1,$A$1:$AN$1,0),0)</f>
        <v>South-Eastern Asia and the Pacific</v>
      </c>
      <c r="AC30" t="str">
        <f>VLOOKUP($A30,regions_full!$A$2:$AI$267,MATCH(polities_cats!AC$1,$A$1:$AN$1,0),0)</f>
        <v>South-Eastern Asia</v>
      </c>
      <c r="AD30" t="str">
        <f>VLOOKUP($A30,regions_full!$A$2:$AI$267,MATCH(polities_cats!AD$1,$A$1:$AN$1,0),0)</f>
        <v>Emerging</v>
      </c>
      <c r="AE30" t="str">
        <f>VLOOKUP($A30,regions_full!$A$2:$AI$267,MATCH(polities_cats!AE$1,$A$1:$AN$1,0),0)</f>
        <v>Annex_II</v>
      </c>
      <c r="AF30" t="str">
        <f>VLOOKUP($A30,regions_full!$A$2:$AI$267,MATCH(polities_cats!AF$1,$A$1:$AN$1,0),0)</f>
        <v>South-eastern Asia</v>
      </c>
      <c r="AG30" t="str">
        <f>VLOOKUP($A30,regions_full!$A$2:$AI$267,MATCH(polities_cats!AG$1,$A$1:$AN$1,0),0)</f>
        <v>SE-Asia</v>
      </c>
      <c r="AH30" t="str">
        <f>VLOOKUP($A30,regions_full!$A$2:$AI$267,MATCH(polities_cats!AH$1,$A$1:$AN$1,0),0)</f>
        <v>no_mech</v>
      </c>
      <c r="AI30" t="str">
        <f>VLOOKUP($A30,regions_full!$A$2:$AI$267,MATCH(polities_cats!AI$1,$A$1:$AN$1,0),0)</f>
        <v>Other</v>
      </c>
      <c r="AJ30" t="e">
        <f>VLOOKUP($A30,regions_full!$A$2:$AI$267,MATCH(polities_cats!AJ$1,$A$1:$AN$1,0),0)</f>
        <v>#REF!</v>
      </c>
      <c r="AK30" t="e">
        <f>VLOOKUP($A30,regions_full!$A$2:$AI$267,MATCH(polities_cats!AK$1,$A$1:$AN$1,0),0)</f>
        <v>#REF!</v>
      </c>
      <c r="AL30" t="e">
        <f>VLOOKUP($A30,regions_full!$A$2:$AI$267,MATCH(polities_cats!AL$1,$A$1:$AN$1,0),0)</f>
        <v>#REF!</v>
      </c>
      <c r="AM30" t="e">
        <f>VLOOKUP($A30,regions_full!$A$2:$AI$267,MATCH(polities_cats!AM$1,$A$1:$AN$1,0),0)</f>
        <v>#REF!</v>
      </c>
      <c r="AN30" t="e">
        <f>VLOOKUP($A30,regions_full!$A$2:$AI$267,MATCH(polities_cats!AN$1,$A$1:$AN$1,0),0)</f>
        <v>#REF!</v>
      </c>
    </row>
    <row r="31" spans="1:40" x14ac:dyDescent="0.3">
      <c r="A31" t="str">
        <f>polities_whep!A31</f>
        <v>CMR</v>
      </c>
      <c r="B31" t="str">
        <f>polities_whep!B31</f>
        <v>Cameroon</v>
      </c>
      <c r="C31">
        <f>VLOOKUP($A31,regions_full!$A$2:$AI$267,MATCH(polities_cats!C$1,$A$1:$AN$1,0),0)</f>
        <v>32</v>
      </c>
      <c r="D31">
        <f>VLOOKUP($A31,regions_full!$A$2:$AI$267,MATCH(polities_cats!D$1,$A$1:$AN$1,0),0)</f>
        <v>32</v>
      </c>
      <c r="E31" t="str">
        <f>VLOOKUP($A31,regions_full!$A$2:$AI$267,MATCH(polities_cats!E$1,$A$1:$AN$1,0),0)</f>
        <v>CMR</v>
      </c>
      <c r="F31" t="str">
        <f>VLOOKUP($A31,regions_full!$A$2:$AI$267,MATCH(polities_cats!F$1,$A$1:$AN$1,0),0)</f>
        <v>Cameroon</v>
      </c>
      <c r="G31" t="str">
        <f>VLOOKUP($A31,regions_full!$A$2:$AI$267,MATCH(polities_cats!G$1,$A$1:$AN$1,0),0)</f>
        <v>FALSE</v>
      </c>
      <c r="H31" t="str">
        <f>VLOOKUP($A31,regions_full!$A$2:$AI$267,MATCH(polities_cats!H$1,$A$1:$AN$1,0),0)</f>
        <v>Cameroon</v>
      </c>
      <c r="I31" t="str">
        <f>VLOOKUP($A31,regions_full!$A$2:$AI$267,MATCH(polities_cats!I$1,$A$1:$AN$1,0),0)</f>
        <v>Cameroon</v>
      </c>
      <c r="J31" t="str">
        <f>VLOOKUP($A31,regions_full!$A$2:$AI$267,MATCH(polities_cats!J$1,$A$1:$AN$1,0),0)</f>
        <v>Cameroon</v>
      </c>
      <c r="K31">
        <f>VLOOKUP($A31,regions_full!$A$2:$AI$267,MATCH(polities_cats!K$1,$A$1:$AN$1,0),0)</f>
        <v>32</v>
      </c>
      <c r="L31" t="str">
        <f>VLOOKUP($A31,regions_full!$A$2:$AI$267,MATCH(polities_cats!L$1,$A$1:$AN$1,0),0)</f>
        <v>Cameroon</v>
      </c>
      <c r="M31">
        <f>VLOOKUP($A31,regions_full!$A$2:$AI$267,MATCH(polities_cats!M$1,$A$1:$AN$1,0),0)</f>
        <v>120</v>
      </c>
      <c r="N31">
        <f>VLOOKUP($A31,regions_full!$A$2:$AI$267,MATCH(polities_cats!N$1,$A$1:$AN$1,0),0)</f>
        <v>120</v>
      </c>
      <c r="O31">
        <f>VLOOKUP($A31,regions_full!$A$2:$AI$267,MATCH(polities_cats!O$1,$A$1:$AN$1,0),0)</f>
        <v>6</v>
      </c>
      <c r="P31" t="str">
        <f>VLOOKUP($A31,regions_full!$A$2:$AI$267,MATCH(polities_cats!P$1,$A$1:$AN$1,0),0)</f>
        <v>TRUE</v>
      </c>
      <c r="Q31">
        <f>VLOOKUP($A31,regions_full!$A$2:$AI$267,MATCH(polities_cats!Q$1,$A$1:$AN$1,0),0)</f>
        <v>32</v>
      </c>
      <c r="R31" t="str">
        <f>VLOOKUP($A31,regions_full!$A$2:$AI$267,MATCH(polities_cats!R$1,$A$1:$AN$1,0),0)</f>
        <v/>
      </c>
      <c r="S31" t="str">
        <f>VLOOKUP($A31,regions_full!$A$2:$AI$267,MATCH(polities_cats!S$1,$A$1:$AN$1,0),0)</f>
        <v>Western Africa</v>
      </c>
      <c r="T31">
        <f>VLOOKUP($A31,regions_full!$A$2:$AI$267,MATCH(polities_cats!T$1,$A$1:$AN$1,0),0)</f>
        <v>1</v>
      </c>
      <c r="U31" t="str">
        <f>VLOOKUP($A31,regions_full!$A$2:$AI$267,MATCH(polities_cats!U$1,$A$1:$AN$1,0),0)</f>
        <v>Cameroon</v>
      </c>
      <c r="V31" t="str">
        <f>VLOOKUP($A31,regions_full!$A$2:$AI$267,MATCH(polities_cats!V$1,$A$1:$AN$1,0),0)</f>
        <v>Subsaharan Africa</v>
      </c>
      <c r="W31" t="str">
        <f>VLOOKUP($A31,regions_full!$A$2:$AI$267,MATCH(polities_cats!W$1,$A$1:$AN$1,0),0)</f>
        <v>Sub-saharan Africa</v>
      </c>
      <c r="X31" t="str">
        <f>VLOOKUP($A31,regions_full!$A$2:$AI$267,MATCH(polities_cats!X$1,$A$1:$AN$1,0),0)</f>
        <v>SSA</v>
      </c>
      <c r="Y31" t="str">
        <f>VLOOKUP($A31,regions_full!$A$2:$AI$267,MATCH(polities_cats!Y$1,$A$1:$AN$1,0),0)</f>
        <v>Sub-Saharan Africa</v>
      </c>
      <c r="Z31" t="str">
        <f>VLOOKUP($A31,regions_full!$A$2:$AI$267,MATCH(polities_cats!Z$1,$A$1:$AN$1,0),0)</f>
        <v>Africa</v>
      </c>
      <c r="AA31" t="str">
        <f>VLOOKUP($A31,regions_full!$A$2:$AI$267,MATCH(polities_cats!AA$1,$A$1:$AN$1,0),0)</f>
        <v>Africa</v>
      </c>
      <c r="AB31" t="str">
        <f>VLOOKUP($A31,regions_full!$A$2:$AI$267,MATCH(polities_cats!AB$1,$A$1:$AN$1,0),0)</f>
        <v>Sub-Saharan Africa</v>
      </c>
      <c r="AC31" t="str">
        <f>VLOOKUP($A31,regions_full!$A$2:$AI$267,MATCH(polities_cats!AC$1,$A$1:$AN$1,0),0)</f>
        <v>Central Africa</v>
      </c>
      <c r="AD31" t="str">
        <f>VLOOKUP($A31,regions_full!$A$2:$AI$267,MATCH(polities_cats!AD$1,$A$1:$AN$1,0),0)</f>
        <v>Emerging</v>
      </c>
      <c r="AE31" t="str">
        <f>VLOOKUP($A31,regions_full!$A$2:$AI$267,MATCH(polities_cats!AE$1,$A$1:$AN$1,0),0)</f>
        <v>Annex_II</v>
      </c>
      <c r="AF31" t="str">
        <f>VLOOKUP($A31,regions_full!$A$2:$AI$267,MATCH(polities_cats!AF$1,$A$1:$AN$1,0),0)</f>
        <v>Middle Africa</v>
      </c>
      <c r="AG31" t="str">
        <f>VLOOKUP($A31,regions_full!$A$2:$AI$267,MATCH(polities_cats!AG$1,$A$1:$AN$1,0),0)</f>
        <v>SAA</v>
      </c>
      <c r="AH31" t="str">
        <f>VLOOKUP($A31,regions_full!$A$2:$AI$267,MATCH(polities_cats!AH$1,$A$1:$AN$1,0),0)</f>
        <v>no_mech</v>
      </c>
      <c r="AI31" t="str">
        <f>VLOOKUP($A31,regions_full!$A$2:$AI$267,MATCH(polities_cats!AI$1,$A$1:$AN$1,0),0)</f>
        <v>Other</v>
      </c>
      <c r="AJ31" t="e">
        <f>VLOOKUP($A31,regions_full!$A$2:$AI$267,MATCH(polities_cats!AJ$1,$A$1:$AN$1,0),0)</f>
        <v>#REF!</v>
      </c>
      <c r="AK31" t="e">
        <f>VLOOKUP($A31,regions_full!$A$2:$AI$267,MATCH(polities_cats!AK$1,$A$1:$AN$1,0),0)</f>
        <v>#REF!</v>
      </c>
      <c r="AL31" t="e">
        <f>VLOOKUP($A31,regions_full!$A$2:$AI$267,MATCH(polities_cats!AL$1,$A$1:$AN$1,0),0)</f>
        <v>#REF!</v>
      </c>
      <c r="AM31" t="e">
        <f>VLOOKUP($A31,regions_full!$A$2:$AI$267,MATCH(polities_cats!AM$1,$A$1:$AN$1,0),0)</f>
        <v>#REF!</v>
      </c>
      <c r="AN31" t="e">
        <f>VLOOKUP($A31,regions_full!$A$2:$AI$267,MATCH(polities_cats!AN$1,$A$1:$AN$1,0),0)</f>
        <v>#REF!</v>
      </c>
    </row>
    <row r="32" spans="1:40" x14ac:dyDescent="0.3">
      <c r="A32" t="str">
        <f>polities_whep!A32</f>
        <v>CAN</v>
      </c>
      <c r="B32" t="str">
        <f>polities_whep!B32</f>
        <v>Canada</v>
      </c>
      <c r="C32">
        <f>VLOOKUP($A32,regions_full!$A$2:$AI$267,MATCH(polities_cats!C$1,$A$1:$AN$1,0),0)</f>
        <v>33</v>
      </c>
      <c r="D32">
        <f>VLOOKUP($A32,regions_full!$A$2:$AI$267,MATCH(polities_cats!D$1,$A$1:$AN$1,0),0)</f>
        <v>33</v>
      </c>
      <c r="E32" t="str">
        <f>VLOOKUP($A32,regions_full!$A$2:$AI$267,MATCH(polities_cats!E$1,$A$1:$AN$1,0),0)</f>
        <v>CAN</v>
      </c>
      <c r="F32" t="str">
        <f>VLOOKUP($A32,regions_full!$A$2:$AI$267,MATCH(polities_cats!F$1,$A$1:$AN$1,0),0)</f>
        <v>Canada</v>
      </c>
      <c r="G32" t="str">
        <f>VLOOKUP($A32,regions_full!$A$2:$AI$267,MATCH(polities_cats!G$1,$A$1:$AN$1,0),0)</f>
        <v>FALSE</v>
      </c>
      <c r="H32" t="str">
        <f>VLOOKUP($A32,regions_full!$A$2:$AI$267,MATCH(polities_cats!H$1,$A$1:$AN$1,0),0)</f>
        <v>Canada</v>
      </c>
      <c r="I32" t="str">
        <f>VLOOKUP($A32,regions_full!$A$2:$AI$267,MATCH(polities_cats!I$1,$A$1:$AN$1,0),0)</f>
        <v>Canada</v>
      </c>
      <c r="J32" t="str">
        <f>VLOOKUP($A32,regions_full!$A$2:$AI$267,MATCH(polities_cats!J$1,$A$1:$AN$1,0),0)</f>
        <v>Canada</v>
      </c>
      <c r="K32">
        <f>VLOOKUP($A32,regions_full!$A$2:$AI$267,MATCH(polities_cats!K$1,$A$1:$AN$1,0),0)</f>
        <v>33</v>
      </c>
      <c r="L32" t="str">
        <f>VLOOKUP($A32,regions_full!$A$2:$AI$267,MATCH(polities_cats!L$1,$A$1:$AN$1,0),0)</f>
        <v>Canada</v>
      </c>
      <c r="M32">
        <f>VLOOKUP($A32,regions_full!$A$2:$AI$267,MATCH(polities_cats!M$1,$A$1:$AN$1,0),0)</f>
        <v>124</v>
      </c>
      <c r="N32">
        <f>VLOOKUP($A32,regions_full!$A$2:$AI$267,MATCH(polities_cats!N$1,$A$1:$AN$1,0),0)</f>
        <v>124</v>
      </c>
      <c r="O32">
        <f>VLOOKUP($A32,regions_full!$A$2:$AI$267,MATCH(polities_cats!O$1,$A$1:$AN$1,0),0)</f>
        <v>1</v>
      </c>
      <c r="P32" t="str">
        <f>VLOOKUP($A32,regions_full!$A$2:$AI$267,MATCH(polities_cats!P$1,$A$1:$AN$1,0),0)</f>
        <v>TRUE</v>
      </c>
      <c r="Q32">
        <f>VLOOKUP($A32,regions_full!$A$2:$AI$267,MATCH(polities_cats!Q$1,$A$1:$AN$1,0),0)</f>
        <v>33</v>
      </c>
      <c r="R32" t="str">
        <f>VLOOKUP($A32,regions_full!$A$2:$AI$267,MATCH(polities_cats!R$1,$A$1:$AN$1,0),0)</f>
        <v/>
      </c>
      <c r="S32" t="str">
        <f>VLOOKUP($A32,regions_full!$A$2:$AI$267,MATCH(polities_cats!S$1,$A$1:$AN$1,0),0)</f>
        <v>Canada</v>
      </c>
      <c r="T32">
        <f>VLOOKUP($A32,regions_full!$A$2:$AI$267,MATCH(polities_cats!T$1,$A$1:$AN$1,0),0)</f>
        <v>1</v>
      </c>
      <c r="U32" t="str">
        <f>VLOOKUP($A32,regions_full!$A$2:$AI$267,MATCH(polities_cats!U$1,$A$1:$AN$1,0),0)</f>
        <v>Canada</v>
      </c>
      <c r="V32" t="str">
        <f>VLOOKUP($A32,regions_full!$A$2:$AI$267,MATCH(polities_cats!V$1,$A$1:$AN$1,0),0)</f>
        <v>Northern America</v>
      </c>
      <c r="W32" t="str">
        <f>VLOOKUP($A32,regions_full!$A$2:$AI$267,MATCH(polities_cats!W$1,$A$1:$AN$1,0),0)</f>
        <v>North America and Oceania</v>
      </c>
      <c r="X32" t="str">
        <f>VLOOKUP($A32,regions_full!$A$2:$AI$267,MATCH(polities_cats!X$1,$A$1:$AN$1,0),0)</f>
        <v>Northern America</v>
      </c>
      <c r="Y32" t="str">
        <f>VLOOKUP($A32,regions_full!$A$2:$AI$267,MATCH(polities_cats!Y$1,$A$1:$AN$1,0),0)</f>
        <v>Northern America</v>
      </c>
      <c r="Z32" t="str">
        <f>VLOOKUP($A32,regions_full!$A$2:$AI$267,MATCH(polities_cats!Z$1,$A$1:$AN$1,0),0)</f>
        <v>Americas</v>
      </c>
      <c r="AA32" t="str">
        <f>VLOOKUP($A32,regions_full!$A$2:$AI$267,MATCH(polities_cats!AA$1,$A$1:$AN$1,0),0)</f>
        <v>Americas</v>
      </c>
      <c r="AB32" t="str">
        <f>VLOOKUP($A32,regions_full!$A$2:$AI$267,MATCH(polities_cats!AB$1,$A$1:$AN$1,0),0)</f>
        <v>Northern America</v>
      </c>
      <c r="AC32" t="str">
        <f>VLOOKUP($A32,regions_full!$A$2:$AI$267,MATCH(polities_cats!AC$1,$A$1:$AN$1,0),0)</f>
        <v>Northern America</v>
      </c>
      <c r="AD32" t="str">
        <f>VLOOKUP($A32,regions_full!$A$2:$AI$267,MATCH(polities_cats!AD$1,$A$1:$AN$1,0),0)</f>
        <v>Advanced</v>
      </c>
      <c r="AE32" t="str">
        <f>VLOOKUP($A32,regions_full!$A$2:$AI$267,MATCH(polities_cats!AE$1,$A$1:$AN$1,0),0)</f>
        <v>Annex_I</v>
      </c>
      <c r="AF32" t="str">
        <f>VLOOKUP($A32,regions_full!$A$2:$AI$267,MATCH(polities_cats!AF$1,$A$1:$AN$1,0),0)</f>
        <v>Northern America</v>
      </c>
      <c r="AG32" t="str">
        <f>VLOOKUP($A32,regions_full!$A$2:$AI$267,MATCH(polities_cats!AG$1,$A$1:$AN$1,0),0)</f>
        <v>NAME</v>
      </c>
      <c r="AH32" t="str">
        <f>VLOOKUP($A32,regions_full!$A$2:$AI$267,MATCH(polities_cats!AH$1,$A$1:$AN$1,0),0)</f>
        <v>mech</v>
      </c>
      <c r="AI32" t="str">
        <f>VLOOKUP($A32,regions_full!$A$2:$AI$267,MATCH(polities_cats!AI$1,$A$1:$AN$1,0),0)</f>
        <v>Other</v>
      </c>
      <c r="AJ32" t="e">
        <f>VLOOKUP($A32,regions_full!$A$2:$AI$267,MATCH(polities_cats!AJ$1,$A$1:$AN$1,0),0)</f>
        <v>#REF!</v>
      </c>
      <c r="AK32" t="e">
        <f>VLOOKUP($A32,regions_full!$A$2:$AI$267,MATCH(polities_cats!AK$1,$A$1:$AN$1,0),0)</f>
        <v>#REF!</v>
      </c>
      <c r="AL32" t="e">
        <f>VLOOKUP($A32,regions_full!$A$2:$AI$267,MATCH(polities_cats!AL$1,$A$1:$AN$1,0),0)</f>
        <v>#REF!</v>
      </c>
      <c r="AM32" t="e">
        <f>VLOOKUP($A32,regions_full!$A$2:$AI$267,MATCH(polities_cats!AM$1,$A$1:$AN$1,0),0)</f>
        <v>#REF!</v>
      </c>
      <c r="AN32" t="e">
        <f>VLOOKUP($A32,regions_full!$A$2:$AI$267,MATCH(polities_cats!AN$1,$A$1:$AN$1,0),0)</f>
        <v>#REF!</v>
      </c>
    </row>
    <row r="33" spans="1:40" x14ac:dyDescent="0.3">
      <c r="A33" t="str">
        <f>polities_whep!A33</f>
        <v>CAF</v>
      </c>
      <c r="B33" t="str">
        <f>polities_whep!B33</f>
        <v>Central African Republic</v>
      </c>
      <c r="C33">
        <f>VLOOKUP($A33,regions_full!$A$2:$AI$267,MATCH(polities_cats!C$1,$A$1:$AN$1,0),0)</f>
        <v>37</v>
      </c>
      <c r="D33">
        <f>VLOOKUP($A33,regions_full!$A$2:$AI$267,MATCH(polities_cats!D$1,$A$1:$AN$1,0),0)</f>
        <v>37</v>
      </c>
      <c r="E33" t="str">
        <f>VLOOKUP($A33,regions_full!$A$2:$AI$267,MATCH(polities_cats!E$1,$A$1:$AN$1,0),0)</f>
        <v>CAF</v>
      </c>
      <c r="F33" t="str">
        <f>VLOOKUP($A33,regions_full!$A$2:$AI$267,MATCH(polities_cats!F$1,$A$1:$AN$1,0),0)</f>
        <v>Central African Republic</v>
      </c>
      <c r="G33" t="str">
        <f>VLOOKUP($A33,regions_full!$A$2:$AI$267,MATCH(polities_cats!G$1,$A$1:$AN$1,0),0)</f>
        <v>FALSE</v>
      </c>
      <c r="H33" t="str">
        <f>VLOOKUP($A33,regions_full!$A$2:$AI$267,MATCH(polities_cats!H$1,$A$1:$AN$1,0),0)</f>
        <v>Central African Republic</v>
      </c>
      <c r="I33" t="str">
        <f>VLOOKUP($A33,regions_full!$A$2:$AI$267,MATCH(polities_cats!I$1,$A$1:$AN$1,0),0)</f>
        <v>Central African Republic</v>
      </c>
      <c r="J33">
        <f>VLOOKUP($A33,regions_full!$A$2:$AI$267,MATCH(polities_cats!J$1,$A$1:$AN$1,0),0)</f>
        <v>0</v>
      </c>
      <c r="K33">
        <f>VLOOKUP($A33,regions_full!$A$2:$AI$267,MATCH(polities_cats!K$1,$A$1:$AN$1,0),0)</f>
        <v>37</v>
      </c>
      <c r="L33" t="str">
        <f>VLOOKUP($A33,regions_full!$A$2:$AI$267,MATCH(polities_cats!L$1,$A$1:$AN$1,0),0)</f>
        <v>Central African Republic</v>
      </c>
      <c r="M33">
        <f>VLOOKUP($A33,regions_full!$A$2:$AI$267,MATCH(polities_cats!M$1,$A$1:$AN$1,0),0)</f>
        <v>140</v>
      </c>
      <c r="N33">
        <f>VLOOKUP($A33,regions_full!$A$2:$AI$267,MATCH(polities_cats!N$1,$A$1:$AN$1,0),0)</f>
        <v>140</v>
      </c>
      <c r="O33">
        <f>VLOOKUP($A33,regions_full!$A$2:$AI$267,MATCH(polities_cats!O$1,$A$1:$AN$1,0),0)</f>
        <v>6</v>
      </c>
      <c r="P33" t="str">
        <f>VLOOKUP($A33,regions_full!$A$2:$AI$267,MATCH(polities_cats!P$1,$A$1:$AN$1,0),0)</f>
        <v>TRUE</v>
      </c>
      <c r="Q33">
        <f>VLOOKUP($A33,regions_full!$A$2:$AI$267,MATCH(polities_cats!Q$1,$A$1:$AN$1,0),0)</f>
        <v>37</v>
      </c>
      <c r="R33" t="str">
        <f>VLOOKUP($A33,regions_full!$A$2:$AI$267,MATCH(polities_cats!R$1,$A$1:$AN$1,0),0)</f>
        <v/>
      </c>
      <c r="S33" t="str">
        <f>VLOOKUP($A33,regions_full!$A$2:$AI$267,MATCH(polities_cats!S$1,$A$1:$AN$1,0),0)</f>
        <v>Western Africa</v>
      </c>
      <c r="T33">
        <f>VLOOKUP($A33,regions_full!$A$2:$AI$267,MATCH(polities_cats!T$1,$A$1:$AN$1,0),0)</f>
        <v>1</v>
      </c>
      <c r="U33" t="str">
        <f>VLOOKUP($A33,regions_full!$A$2:$AI$267,MATCH(polities_cats!U$1,$A$1:$AN$1,0),0)</f>
        <v>Central African Republic</v>
      </c>
      <c r="V33" t="str">
        <f>VLOOKUP($A33,regions_full!$A$2:$AI$267,MATCH(polities_cats!V$1,$A$1:$AN$1,0),0)</f>
        <v>Subsaharan Africa</v>
      </c>
      <c r="W33" t="str">
        <f>VLOOKUP($A33,regions_full!$A$2:$AI$267,MATCH(polities_cats!W$1,$A$1:$AN$1,0),0)</f>
        <v>Sub-saharan Africa</v>
      </c>
      <c r="X33" t="str">
        <f>VLOOKUP($A33,regions_full!$A$2:$AI$267,MATCH(polities_cats!X$1,$A$1:$AN$1,0),0)</f>
        <v>SSA</v>
      </c>
      <c r="Y33" t="str">
        <f>VLOOKUP($A33,regions_full!$A$2:$AI$267,MATCH(polities_cats!Y$1,$A$1:$AN$1,0),0)</f>
        <v>Sub-Saharan Africa</v>
      </c>
      <c r="Z33" t="str">
        <f>VLOOKUP($A33,regions_full!$A$2:$AI$267,MATCH(polities_cats!Z$1,$A$1:$AN$1,0),0)</f>
        <v>Africa</v>
      </c>
      <c r="AA33" t="str">
        <f>VLOOKUP($A33,regions_full!$A$2:$AI$267,MATCH(polities_cats!AA$1,$A$1:$AN$1,0),0)</f>
        <v>Africa</v>
      </c>
      <c r="AB33" t="str">
        <f>VLOOKUP($A33,regions_full!$A$2:$AI$267,MATCH(polities_cats!AB$1,$A$1:$AN$1,0),0)</f>
        <v>Sub-Saharan Africa</v>
      </c>
      <c r="AC33" t="str">
        <f>VLOOKUP($A33,regions_full!$A$2:$AI$267,MATCH(polities_cats!AC$1,$A$1:$AN$1,0),0)</f>
        <v>Central Africa</v>
      </c>
      <c r="AD33" t="str">
        <f>VLOOKUP($A33,regions_full!$A$2:$AI$267,MATCH(polities_cats!AD$1,$A$1:$AN$1,0),0)</f>
        <v>Emerging</v>
      </c>
      <c r="AE33" t="str">
        <f>VLOOKUP($A33,regions_full!$A$2:$AI$267,MATCH(polities_cats!AE$1,$A$1:$AN$1,0),0)</f>
        <v>Annex_II</v>
      </c>
      <c r="AF33" t="str">
        <f>VLOOKUP($A33,regions_full!$A$2:$AI$267,MATCH(polities_cats!AF$1,$A$1:$AN$1,0),0)</f>
        <v>Middle Africa</v>
      </c>
      <c r="AG33" t="str">
        <f>VLOOKUP($A33,regions_full!$A$2:$AI$267,MATCH(polities_cats!AG$1,$A$1:$AN$1,0),0)</f>
        <v>SAA</v>
      </c>
      <c r="AH33" t="str">
        <f>VLOOKUP($A33,regions_full!$A$2:$AI$267,MATCH(polities_cats!AH$1,$A$1:$AN$1,0),0)</f>
        <v>no_mech</v>
      </c>
      <c r="AI33" t="str">
        <f>VLOOKUP($A33,regions_full!$A$2:$AI$267,MATCH(polities_cats!AI$1,$A$1:$AN$1,0),0)</f>
        <v>Other</v>
      </c>
      <c r="AJ33" t="e">
        <f>VLOOKUP($A33,regions_full!$A$2:$AI$267,MATCH(polities_cats!AJ$1,$A$1:$AN$1,0),0)</f>
        <v>#REF!</v>
      </c>
      <c r="AK33" t="e">
        <f>VLOOKUP($A33,regions_full!$A$2:$AI$267,MATCH(polities_cats!AK$1,$A$1:$AN$1,0),0)</f>
        <v>#REF!</v>
      </c>
      <c r="AL33" t="e">
        <f>VLOOKUP($A33,regions_full!$A$2:$AI$267,MATCH(polities_cats!AL$1,$A$1:$AN$1,0),0)</f>
        <v>#REF!</v>
      </c>
      <c r="AM33" t="e">
        <f>VLOOKUP($A33,regions_full!$A$2:$AI$267,MATCH(polities_cats!AM$1,$A$1:$AN$1,0),0)</f>
        <v>#REF!</v>
      </c>
      <c r="AN33" t="e">
        <f>VLOOKUP($A33,regions_full!$A$2:$AI$267,MATCH(polities_cats!AN$1,$A$1:$AN$1,0),0)</f>
        <v>#REF!</v>
      </c>
    </row>
    <row r="34" spans="1:40" x14ac:dyDescent="0.3">
      <c r="A34" t="str">
        <f>polities_whep!A34</f>
        <v>TCD</v>
      </c>
      <c r="B34" t="str">
        <f>polities_whep!B34</f>
        <v>Chad</v>
      </c>
      <c r="C34">
        <f>VLOOKUP($A34,regions_full!$A$2:$AI$267,MATCH(polities_cats!C$1,$A$1:$AN$1,0),0)</f>
        <v>39</v>
      </c>
      <c r="D34">
        <f>VLOOKUP($A34,regions_full!$A$2:$AI$267,MATCH(polities_cats!D$1,$A$1:$AN$1,0),0)</f>
        <v>39</v>
      </c>
      <c r="E34" t="str">
        <f>VLOOKUP($A34,regions_full!$A$2:$AI$267,MATCH(polities_cats!E$1,$A$1:$AN$1,0),0)</f>
        <v>TCD</v>
      </c>
      <c r="F34" t="str">
        <f>VLOOKUP($A34,regions_full!$A$2:$AI$267,MATCH(polities_cats!F$1,$A$1:$AN$1,0),0)</f>
        <v>Chad</v>
      </c>
      <c r="G34" t="str">
        <f>VLOOKUP($A34,regions_full!$A$2:$AI$267,MATCH(polities_cats!G$1,$A$1:$AN$1,0),0)</f>
        <v>FALSE</v>
      </c>
      <c r="H34" t="str">
        <f>VLOOKUP($A34,regions_full!$A$2:$AI$267,MATCH(polities_cats!H$1,$A$1:$AN$1,0),0)</f>
        <v>Chad</v>
      </c>
      <c r="I34" t="str">
        <f>VLOOKUP($A34,regions_full!$A$2:$AI$267,MATCH(polities_cats!I$1,$A$1:$AN$1,0),0)</f>
        <v>Chad</v>
      </c>
      <c r="J34">
        <f>VLOOKUP($A34,regions_full!$A$2:$AI$267,MATCH(polities_cats!J$1,$A$1:$AN$1,0),0)</f>
        <v>0</v>
      </c>
      <c r="K34">
        <f>VLOOKUP($A34,regions_full!$A$2:$AI$267,MATCH(polities_cats!K$1,$A$1:$AN$1,0),0)</f>
        <v>39</v>
      </c>
      <c r="L34" t="str">
        <f>VLOOKUP($A34,regions_full!$A$2:$AI$267,MATCH(polities_cats!L$1,$A$1:$AN$1,0),0)</f>
        <v>Chad</v>
      </c>
      <c r="M34">
        <f>VLOOKUP($A34,regions_full!$A$2:$AI$267,MATCH(polities_cats!M$1,$A$1:$AN$1,0),0)</f>
        <v>148</v>
      </c>
      <c r="N34">
        <f>VLOOKUP($A34,regions_full!$A$2:$AI$267,MATCH(polities_cats!N$1,$A$1:$AN$1,0),0)</f>
        <v>148</v>
      </c>
      <c r="O34">
        <f>VLOOKUP($A34,regions_full!$A$2:$AI$267,MATCH(polities_cats!O$1,$A$1:$AN$1,0),0)</f>
        <v>6</v>
      </c>
      <c r="P34" t="str">
        <f>VLOOKUP($A34,regions_full!$A$2:$AI$267,MATCH(polities_cats!P$1,$A$1:$AN$1,0),0)</f>
        <v>TRUE</v>
      </c>
      <c r="Q34">
        <f>VLOOKUP($A34,regions_full!$A$2:$AI$267,MATCH(polities_cats!Q$1,$A$1:$AN$1,0),0)</f>
        <v>39</v>
      </c>
      <c r="R34" t="str">
        <f>VLOOKUP($A34,regions_full!$A$2:$AI$267,MATCH(polities_cats!R$1,$A$1:$AN$1,0),0)</f>
        <v/>
      </c>
      <c r="S34" t="str">
        <f>VLOOKUP($A34,regions_full!$A$2:$AI$267,MATCH(polities_cats!S$1,$A$1:$AN$1,0),0)</f>
        <v>Western Africa</v>
      </c>
      <c r="T34">
        <f>VLOOKUP($A34,regions_full!$A$2:$AI$267,MATCH(polities_cats!T$1,$A$1:$AN$1,0),0)</f>
        <v>1</v>
      </c>
      <c r="U34" t="str">
        <f>VLOOKUP($A34,regions_full!$A$2:$AI$267,MATCH(polities_cats!U$1,$A$1:$AN$1,0),0)</f>
        <v>Chad</v>
      </c>
      <c r="V34" t="str">
        <f>VLOOKUP($A34,regions_full!$A$2:$AI$267,MATCH(polities_cats!V$1,$A$1:$AN$1,0),0)</f>
        <v>Subsaharan Africa</v>
      </c>
      <c r="W34" t="str">
        <f>VLOOKUP($A34,regions_full!$A$2:$AI$267,MATCH(polities_cats!W$1,$A$1:$AN$1,0),0)</f>
        <v>Sub-saharan Africa</v>
      </c>
      <c r="X34" t="str">
        <f>VLOOKUP($A34,regions_full!$A$2:$AI$267,MATCH(polities_cats!X$1,$A$1:$AN$1,0),0)</f>
        <v>SSA</v>
      </c>
      <c r="Y34" t="str">
        <f>VLOOKUP($A34,regions_full!$A$2:$AI$267,MATCH(polities_cats!Y$1,$A$1:$AN$1,0),0)</f>
        <v>Sub-Saharan Africa</v>
      </c>
      <c r="Z34" t="str">
        <f>VLOOKUP($A34,regions_full!$A$2:$AI$267,MATCH(polities_cats!Z$1,$A$1:$AN$1,0),0)</f>
        <v>Africa</v>
      </c>
      <c r="AA34" t="str">
        <f>VLOOKUP($A34,regions_full!$A$2:$AI$267,MATCH(polities_cats!AA$1,$A$1:$AN$1,0),0)</f>
        <v>Africa</v>
      </c>
      <c r="AB34" t="str">
        <f>VLOOKUP($A34,regions_full!$A$2:$AI$267,MATCH(polities_cats!AB$1,$A$1:$AN$1,0),0)</f>
        <v>Sub-Saharan Africa</v>
      </c>
      <c r="AC34" t="str">
        <f>VLOOKUP($A34,regions_full!$A$2:$AI$267,MATCH(polities_cats!AC$1,$A$1:$AN$1,0),0)</f>
        <v>Central Africa</v>
      </c>
      <c r="AD34" t="str">
        <f>VLOOKUP($A34,regions_full!$A$2:$AI$267,MATCH(polities_cats!AD$1,$A$1:$AN$1,0),0)</f>
        <v>Emerging</v>
      </c>
      <c r="AE34" t="str">
        <f>VLOOKUP($A34,regions_full!$A$2:$AI$267,MATCH(polities_cats!AE$1,$A$1:$AN$1,0),0)</f>
        <v>Annex_II</v>
      </c>
      <c r="AF34" t="str">
        <f>VLOOKUP($A34,regions_full!$A$2:$AI$267,MATCH(polities_cats!AF$1,$A$1:$AN$1,0),0)</f>
        <v>Middle Africa</v>
      </c>
      <c r="AG34" t="str">
        <f>VLOOKUP($A34,regions_full!$A$2:$AI$267,MATCH(polities_cats!AG$1,$A$1:$AN$1,0),0)</f>
        <v>SAA</v>
      </c>
      <c r="AH34" t="str">
        <f>VLOOKUP($A34,regions_full!$A$2:$AI$267,MATCH(polities_cats!AH$1,$A$1:$AN$1,0),0)</f>
        <v>no_mech</v>
      </c>
      <c r="AI34" t="str">
        <f>VLOOKUP($A34,regions_full!$A$2:$AI$267,MATCH(polities_cats!AI$1,$A$1:$AN$1,0),0)</f>
        <v>Other</v>
      </c>
      <c r="AJ34" t="e">
        <f>VLOOKUP($A34,regions_full!$A$2:$AI$267,MATCH(polities_cats!AJ$1,$A$1:$AN$1,0),0)</f>
        <v>#REF!</v>
      </c>
      <c r="AK34" t="e">
        <f>VLOOKUP($A34,regions_full!$A$2:$AI$267,MATCH(polities_cats!AK$1,$A$1:$AN$1,0),0)</f>
        <v>#REF!</v>
      </c>
      <c r="AL34" t="e">
        <f>VLOOKUP($A34,regions_full!$A$2:$AI$267,MATCH(polities_cats!AL$1,$A$1:$AN$1,0),0)</f>
        <v>#REF!</v>
      </c>
      <c r="AM34" t="e">
        <f>VLOOKUP($A34,regions_full!$A$2:$AI$267,MATCH(polities_cats!AM$1,$A$1:$AN$1,0),0)</f>
        <v>#REF!</v>
      </c>
      <c r="AN34" t="e">
        <f>VLOOKUP($A34,regions_full!$A$2:$AI$267,MATCH(polities_cats!AN$1,$A$1:$AN$1,0),0)</f>
        <v>#REF!</v>
      </c>
    </row>
    <row r="35" spans="1:40" x14ac:dyDescent="0.3">
      <c r="A35" t="str">
        <f>polities_whep!A35</f>
        <v>CHL</v>
      </c>
      <c r="B35" t="str">
        <f>polities_whep!B35</f>
        <v>Chile</v>
      </c>
      <c r="C35">
        <f>VLOOKUP($A35,regions_full!$A$2:$AI$267,MATCH(polities_cats!C$1,$A$1:$AN$1,0),0)</f>
        <v>40</v>
      </c>
      <c r="D35">
        <f>VLOOKUP($A35,regions_full!$A$2:$AI$267,MATCH(polities_cats!D$1,$A$1:$AN$1,0),0)</f>
        <v>40</v>
      </c>
      <c r="E35" t="str">
        <f>VLOOKUP($A35,regions_full!$A$2:$AI$267,MATCH(polities_cats!E$1,$A$1:$AN$1,0),0)</f>
        <v>CHL</v>
      </c>
      <c r="F35" t="str">
        <f>VLOOKUP($A35,regions_full!$A$2:$AI$267,MATCH(polities_cats!F$1,$A$1:$AN$1,0),0)</f>
        <v>Chile</v>
      </c>
      <c r="G35" t="str">
        <f>VLOOKUP($A35,regions_full!$A$2:$AI$267,MATCH(polities_cats!G$1,$A$1:$AN$1,0),0)</f>
        <v>FALSE</v>
      </c>
      <c r="H35" t="str">
        <f>VLOOKUP($A35,regions_full!$A$2:$AI$267,MATCH(polities_cats!H$1,$A$1:$AN$1,0),0)</f>
        <v>Chile</v>
      </c>
      <c r="I35" t="str">
        <f>VLOOKUP($A35,regions_full!$A$2:$AI$267,MATCH(polities_cats!I$1,$A$1:$AN$1,0),0)</f>
        <v>Chile</v>
      </c>
      <c r="J35" t="str">
        <f>VLOOKUP($A35,regions_full!$A$2:$AI$267,MATCH(polities_cats!J$1,$A$1:$AN$1,0),0)</f>
        <v>Chile</v>
      </c>
      <c r="K35">
        <f>VLOOKUP($A35,regions_full!$A$2:$AI$267,MATCH(polities_cats!K$1,$A$1:$AN$1,0),0)</f>
        <v>40</v>
      </c>
      <c r="L35" t="str">
        <f>VLOOKUP($A35,regions_full!$A$2:$AI$267,MATCH(polities_cats!L$1,$A$1:$AN$1,0),0)</f>
        <v>Chile</v>
      </c>
      <c r="M35">
        <f>VLOOKUP($A35,regions_full!$A$2:$AI$267,MATCH(polities_cats!M$1,$A$1:$AN$1,0),0)</f>
        <v>152</v>
      </c>
      <c r="N35">
        <f>VLOOKUP($A35,regions_full!$A$2:$AI$267,MATCH(polities_cats!N$1,$A$1:$AN$1,0),0)</f>
        <v>152</v>
      </c>
      <c r="O35">
        <f>VLOOKUP($A35,regions_full!$A$2:$AI$267,MATCH(polities_cats!O$1,$A$1:$AN$1,0),0)</f>
        <v>4</v>
      </c>
      <c r="P35" t="str">
        <f>VLOOKUP($A35,regions_full!$A$2:$AI$267,MATCH(polities_cats!P$1,$A$1:$AN$1,0),0)</f>
        <v>TRUE</v>
      </c>
      <c r="Q35">
        <f>VLOOKUP($A35,regions_full!$A$2:$AI$267,MATCH(polities_cats!Q$1,$A$1:$AN$1,0),0)</f>
        <v>40</v>
      </c>
      <c r="R35" t="str">
        <f>VLOOKUP($A35,regions_full!$A$2:$AI$267,MATCH(polities_cats!R$1,$A$1:$AN$1,0),0)</f>
        <v/>
      </c>
      <c r="S35" t="str">
        <f>VLOOKUP($A35,regions_full!$A$2:$AI$267,MATCH(polities_cats!S$1,$A$1:$AN$1,0),0)</f>
        <v>South America</v>
      </c>
      <c r="T35">
        <f>VLOOKUP($A35,regions_full!$A$2:$AI$267,MATCH(polities_cats!T$1,$A$1:$AN$1,0),0)</f>
        <v>1</v>
      </c>
      <c r="U35" t="str">
        <f>VLOOKUP($A35,regions_full!$A$2:$AI$267,MATCH(polities_cats!U$1,$A$1:$AN$1,0),0)</f>
        <v>Chile</v>
      </c>
      <c r="V35" t="str">
        <f>VLOOKUP($A35,regions_full!$A$2:$AI$267,MATCH(polities_cats!V$1,$A$1:$AN$1,0),0)</f>
        <v>Latin America and the Caribbean</v>
      </c>
      <c r="W35" t="str">
        <f>VLOOKUP($A35,regions_full!$A$2:$AI$267,MATCH(polities_cats!W$1,$A$1:$AN$1,0),0)</f>
        <v>Latin America and Caribbean</v>
      </c>
      <c r="X35" t="str">
        <f>VLOOKUP($A35,regions_full!$A$2:$AI$267,MATCH(polities_cats!X$1,$A$1:$AN$1,0),0)</f>
        <v>LACA</v>
      </c>
      <c r="Y35" t="str">
        <f>VLOOKUP($A35,regions_full!$A$2:$AI$267,MATCH(polities_cats!Y$1,$A$1:$AN$1,0),0)</f>
        <v>Latin America and the Caribbean</v>
      </c>
      <c r="Z35" t="str">
        <f>VLOOKUP($A35,regions_full!$A$2:$AI$267,MATCH(polities_cats!Z$1,$A$1:$AN$1,0),0)</f>
        <v>Americas</v>
      </c>
      <c r="AA35" t="str">
        <f>VLOOKUP($A35,regions_full!$A$2:$AI$267,MATCH(polities_cats!AA$1,$A$1:$AN$1,0),0)</f>
        <v>Americas</v>
      </c>
      <c r="AB35" t="str">
        <f>VLOOKUP($A35,regions_full!$A$2:$AI$267,MATCH(polities_cats!AB$1,$A$1:$AN$1,0),0)</f>
        <v>Latin America and the Caribbean</v>
      </c>
      <c r="AC35" t="str">
        <f>VLOOKUP($A35,regions_full!$A$2:$AI$267,MATCH(polities_cats!AC$1,$A$1:$AN$1,0),0)</f>
        <v>South America</v>
      </c>
      <c r="AD35" t="str">
        <f>VLOOKUP($A35,regions_full!$A$2:$AI$267,MATCH(polities_cats!AD$1,$A$1:$AN$1,0),0)</f>
        <v>Emerging</v>
      </c>
      <c r="AE35" t="str">
        <f>VLOOKUP($A35,regions_full!$A$2:$AI$267,MATCH(polities_cats!AE$1,$A$1:$AN$1,0),0)</f>
        <v>Annex_II</v>
      </c>
      <c r="AF35" t="str">
        <f>VLOOKUP($A35,regions_full!$A$2:$AI$267,MATCH(polities_cats!AF$1,$A$1:$AN$1,0),0)</f>
        <v>Andean &amp; Mexico</v>
      </c>
      <c r="AG35" t="str">
        <f>VLOOKUP($A35,regions_full!$A$2:$AI$267,MATCH(polities_cats!AG$1,$A$1:$AN$1,0),0)</f>
        <v>LACA</v>
      </c>
      <c r="AH35" t="str">
        <f>VLOOKUP($A35,regions_full!$A$2:$AI$267,MATCH(polities_cats!AH$1,$A$1:$AN$1,0),0)</f>
        <v>no_mech</v>
      </c>
      <c r="AI35" t="str">
        <f>VLOOKUP($A35,regions_full!$A$2:$AI$267,MATCH(polities_cats!AI$1,$A$1:$AN$1,0),0)</f>
        <v>Other</v>
      </c>
      <c r="AJ35" t="e">
        <f>VLOOKUP($A35,regions_full!$A$2:$AI$267,MATCH(polities_cats!AJ$1,$A$1:$AN$1,0),0)</f>
        <v>#REF!</v>
      </c>
      <c r="AK35" t="e">
        <f>VLOOKUP($A35,regions_full!$A$2:$AI$267,MATCH(polities_cats!AK$1,$A$1:$AN$1,0),0)</f>
        <v>#REF!</v>
      </c>
      <c r="AL35" t="e">
        <f>VLOOKUP($A35,regions_full!$A$2:$AI$267,MATCH(polities_cats!AL$1,$A$1:$AN$1,0),0)</f>
        <v>#REF!</v>
      </c>
      <c r="AM35" t="e">
        <f>VLOOKUP($A35,regions_full!$A$2:$AI$267,MATCH(polities_cats!AM$1,$A$1:$AN$1,0),0)</f>
        <v>#REF!</v>
      </c>
      <c r="AN35" t="e">
        <f>VLOOKUP($A35,regions_full!$A$2:$AI$267,MATCH(polities_cats!AN$1,$A$1:$AN$1,0),0)</f>
        <v>#REF!</v>
      </c>
    </row>
    <row r="36" spans="1:40" x14ac:dyDescent="0.3">
      <c r="A36" t="str">
        <f>polities_whep!A36</f>
        <v>HKG</v>
      </c>
      <c r="B36" t="str">
        <f>polities_whep!B36</f>
        <v>China, Hong Kong SAR</v>
      </c>
      <c r="C36">
        <f>VLOOKUP($A36,regions_full!$A$2:$AI$267,MATCH(polities_cats!C$1,$A$1:$AN$1,0),0)</f>
        <v>93</v>
      </c>
      <c r="D36">
        <f>VLOOKUP($A36,regions_full!$A$2:$AI$267,MATCH(polities_cats!D$1,$A$1:$AN$1,0),0)</f>
        <v>96</v>
      </c>
      <c r="E36" t="str">
        <f>VLOOKUP($A36,regions_full!$A$2:$AI$267,MATCH(polities_cats!E$1,$A$1:$AN$1,0),0)</f>
        <v>HKG</v>
      </c>
      <c r="F36" t="str">
        <f>VLOOKUP($A36,regions_full!$A$2:$AI$267,MATCH(polities_cats!F$1,$A$1:$AN$1,0),0)</f>
        <v>China, Hong Kong SAR</v>
      </c>
      <c r="G36" t="str">
        <f>VLOOKUP($A36,regions_full!$A$2:$AI$267,MATCH(polities_cats!G$1,$A$1:$AN$1,0),0)</f>
        <v>FALSE</v>
      </c>
      <c r="H36" t="str">
        <f>VLOOKUP($A36,regions_full!$A$2:$AI$267,MATCH(polities_cats!H$1,$A$1:$AN$1,0),0)</f>
        <v>China, Hong Kong SAR</v>
      </c>
      <c r="I36" t="str">
        <f>VLOOKUP($A36,regions_full!$A$2:$AI$267,MATCH(polities_cats!I$1,$A$1:$AN$1,0),0)</f>
        <v>Hong Kong</v>
      </c>
      <c r="J36" t="str">
        <f>VLOOKUP($A36,regions_full!$A$2:$AI$267,MATCH(polities_cats!J$1,$A$1:$AN$1,0),0)</f>
        <v>Hong Kong, China</v>
      </c>
      <c r="K36">
        <f>VLOOKUP($A36,regions_full!$A$2:$AI$267,MATCH(polities_cats!K$1,$A$1:$AN$1,0),0)</f>
        <v>351</v>
      </c>
      <c r="L36" t="str">
        <f>VLOOKUP($A36,regions_full!$A$2:$AI$267,MATCH(polities_cats!L$1,$A$1:$AN$1,0),0)</f>
        <v>China</v>
      </c>
      <c r="M36">
        <f>VLOOKUP($A36,regions_full!$A$2:$AI$267,MATCH(polities_cats!M$1,$A$1:$AN$1,0),0)</f>
        <v>344</v>
      </c>
      <c r="N36">
        <f>VLOOKUP($A36,regions_full!$A$2:$AI$267,MATCH(polities_cats!N$1,$A$1:$AN$1,0),0)</f>
        <v>344</v>
      </c>
      <c r="O36">
        <f>VLOOKUP($A36,regions_full!$A$2:$AI$267,MATCH(polities_cats!O$1,$A$1:$AN$1,0),0)</f>
        <v>14</v>
      </c>
      <c r="P36" t="str">
        <f>VLOOKUP($A36,regions_full!$A$2:$AI$267,MATCH(polities_cats!P$1,$A$1:$AN$1,0),0)</f>
        <v>TRUE</v>
      </c>
      <c r="Q36">
        <f>VLOOKUP($A36,regions_full!$A$2:$AI$267,MATCH(polities_cats!Q$1,$A$1:$AN$1,0),0)</f>
        <v>96</v>
      </c>
      <c r="R36" t="str">
        <f>VLOOKUP($A36,regions_full!$A$2:$AI$267,MATCH(polities_cats!R$1,$A$1:$AN$1,0),0)</f>
        <v/>
      </c>
      <c r="S36" t="str">
        <f>VLOOKUP($A36,regions_full!$A$2:$AI$267,MATCH(polities_cats!S$1,$A$1:$AN$1,0),0)</f>
        <v>East Asia</v>
      </c>
      <c r="T36">
        <f>VLOOKUP($A36,regions_full!$A$2:$AI$267,MATCH(polities_cats!T$1,$A$1:$AN$1,0),0)</f>
        <v>1</v>
      </c>
      <c r="U36" t="str">
        <f>VLOOKUP($A36,regions_full!$A$2:$AI$267,MATCH(polities_cats!U$1,$A$1:$AN$1,0),0)</f>
        <v>China</v>
      </c>
      <c r="V36" t="str">
        <f>VLOOKUP($A36,regions_full!$A$2:$AI$267,MATCH(polities_cats!V$1,$A$1:$AN$1,0),0)</f>
        <v>Eastern Asia</v>
      </c>
      <c r="W36" t="str">
        <f>VLOOKUP($A36,regions_full!$A$2:$AI$267,MATCH(polities_cats!W$1,$A$1:$AN$1,0),0)</f>
        <v>East Asia</v>
      </c>
      <c r="X36" t="str">
        <f>VLOOKUP($A36,regions_full!$A$2:$AI$267,MATCH(polities_cats!X$1,$A$1:$AN$1,0),0)</f>
        <v>S&amp;E Asia</v>
      </c>
      <c r="Y36" t="str">
        <f>VLOOKUP($A36,regions_full!$A$2:$AI$267,MATCH(polities_cats!Y$1,$A$1:$AN$1,0),0)</f>
        <v>Eastern Asia</v>
      </c>
      <c r="Z36" t="str">
        <f>VLOOKUP($A36,regions_full!$A$2:$AI$267,MATCH(polities_cats!Z$1,$A$1:$AN$1,0),0)</f>
        <v>Asia</v>
      </c>
      <c r="AA36" t="str">
        <f>VLOOKUP($A36,regions_full!$A$2:$AI$267,MATCH(polities_cats!AA$1,$A$1:$AN$1,0),0)</f>
        <v>Asia and the Pacific</v>
      </c>
      <c r="AB36" t="str">
        <f>VLOOKUP($A36,regions_full!$A$2:$AI$267,MATCH(polities_cats!AB$1,$A$1:$AN$1,0),0)</f>
        <v>Eastern Asia</v>
      </c>
      <c r="AC36" t="str">
        <f>VLOOKUP($A36,regions_full!$A$2:$AI$267,MATCH(polities_cats!AC$1,$A$1:$AN$1,0),0)</f>
        <v>Eastern Asia</v>
      </c>
      <c r="AD36" t="str">
        <f>VLOOKUP($A36,regions_full!$A$2:$AI$267,MATCH(polities_cats!AD$1,$A$1:$AN$1,0),0)</f>
        <v>Emerging</v>
      </c>
      <c r="AE36" t="str">
        <f>VLOOKUP($A36,regions_full!$A$2:$AI$267,MATCH(polities_cats!AE$1,$A$1:$AN$1,0),0)</f>
        <v>Annex_II</v>
      </c>
      <c r="AF36" t="str">
        <f>VLOOKUP($A36,regions_full!$A$2:$AI$267,MATCH(polities_cats!AF$1,$A$1:$AN$1,0),0)</f>
        <v>Eastern Asia</v>
      </c>
      <c r="AG36" t="str">
        <f>VLOOKUP($A36,regions_full!$A$2:$AI$267,MATCH(polities_cats!AG$1,$A$1:$AN$1,0),0)</f>
        <v>SE-Asia</v>
      </c>
      <c r="AH36" t="str">
        <f>VLOOKUP($A36,regions_full!$A$2:$AI$267,MATCH(polities_cats!AH$1,$A$1:$AN$1,0),0)</f>
        <v>no_mech</v>
      </c>
      <c r="AI36" t="str">
        <f>VLOOKUP($A36,regions_full!$A$2:$AI$267,MATCH(polities_cats!AI$1,$A$1:$AN$1,0),0)</f>
        <v>Other</v>
      </c>
      <c r="AJ36" t="e">
        <f>VLOOKUP($A36,regions_full!$A$2:$AI$267,MATCH(polities_cats!AJ$1,$A$1:$AN$1,0),0)</f>
        <v>#REF!</v>
      </c>
      <c r="AK36" t="e">
        <f>VLOOKUP($A36,regions_full!$A$2:$AI$267,MATCH(polities_cats!AK$1,$A$1:$AN$1,0),0)</f>
        <v>#REF!</v>
      </c>
      <c r="AL36" t="e">
        <f>VLOOKUP($A36,regions_full!$A$2:$AI$267,MATCH(polities_cats!AL$1,$A$1:$AN$1,0),0)</f>
        <v>#REF!</v>
      </c>
      <c r="AM36" t="e">
        <f>VLOOKUP($A36,regions_full!$A$2:$AI$267,MATCH(polities_cats!AM$1,$A$1:$AN$1,0),0)</f>
        <v>#REF!</v>
      </c>
      <c r="AN36" t="e">
        <f>VLOOKUP($A36,regions_full!$A$2:$AI$267,MATCH(polities_cats!AN$1,$A$1:$AN$1,0),0)</f>
        <v>#REF!</v>
      </c>
    </row>
    <row r="37" spans="1:40" x14ac:dyDescent="0.3">
      <c r="A37" t="str">
        <f>polities_whep!A37</f>
        <v>MAC</v>
      </c>
      <c r="B37" t="str">
        <f>polities_whep!B37</f>
        <v>China, Macao SAR</v>
      </c>
      <c r="C37">
        <f>VLOOKUP($A37,regions_full!$A$2:$AI$267,MATCH(polities_cats!C$1,$A$1:$AN$1,0),0)</f>
        <v>125</v>
      </c>
      <c r="D37">
        <f>VLOOKUP($A37,regions_full!$A$2:$AI$267,MATCH(polities_cats!D$1,$A$1:$AN$1,0),0)</f>
        <v>128</v>
      </c>
      <c r="E37" t="str">
        <f>VLOOKUP($A37,regions_full!$A$2:$AI$267,MATCH(polities_cats!E$1,$A$1:$AN$1,0),0)</f>
        <v>MAC</v>
      </c>
      <c r="F37" t="str">
        <f>VLOOKUP($A37,regions_full!$A$2:$AI$267,MATCH(polities_cats!F$1,$A$1:$AN$1,0),0)</f>
        <v>China, Macao SAR</v>
      </c>
      <c r="G37" t="str">
        <f>VLOOKUP($A37,regions_full!$A$2:$AI$267,MATCH(polities_cats!G$1,$A$1:$AN$1,0),0)</f>
        <v>FALSE</v>
      </c>
      <c r="H37" t="str">
        <f>VLOOKUP($A37,regions_full!$A$2:$AI$267,MATCH(polities_cats!H$1,$A$1:$AN$1,0),0)</f>
        <v>China, Macao SAR</v>
      </c>
      <c r="I37" t="str">
        <f>VLOOKUP($A37,regions_full!$A$2:$AI$267,MATCH(polities_cats!I$1,$A$1:$AN$1,0),0)</f>
        <v>Macau</v>
      </c>
      <c r="J37">
        <f>VLOOKUP($A37,regions_full!$A$2:$AI$267,MATCH(polities_cats!J$1,$A$1:$AN$1,0),0)</f>
        <v>0</v>
      </c>
      <c r="K37">
        <f>VLOOKUP($A37,regions_full!$A$2:$AI$267,MATCH(polities_cats!K$1,$A$1:$AN$1,0),0)</f>
        <v>351</v>
      </c>
      <c r="L37" t="str">
        <f>VLOOKUP($A37,regions_full!$A$2:$AI$267,MATCH(polities_cats!L$1,$A$1:$AN$1,0),0)</f>
        <v>China</v>
      </c>
      <c r="M37">
        <f>VLOOKUP($A37,regions_full!$A$2:$AI$267,MATCH(polities_cats!M$1,$A$1:$AN$1,0),0)</f>
        <v>446</v>
      </c>
      <c r="N37">
        <f>VLOOKUP($A37,regions_full!$A$2:$AI$267,MATCH(polities_cats!N$1,$A$1:$AN$1,0),0)</f>
        <v>446</v>
      </c>
      <c r="O37">
        <f>VLOOKUP($A37,regions_full!$A$2:$AI$267,MATCH(polities_cats!O$1,$A$1:$AN$1,0),0)</f>
        <v>14</v>
      </c>
      <c r="P37" t="str">
        <f>VLOOKUP($A37,regions_full!$A$2:$AI$267,MATCH(polities_cats!P$1,$A$1:$AN$1,0),0)</f>
        <v>TRUE</v>
      </c>
      <c r="Q37">
        <f>VLOOKUP($A37,regions_full!$A$2:$AI$267,MATCH(polities_cats!Q$1,$A$1:$AN$1,0),0)</f>
        <v>128</v>
      </c>
      <c r="R37" t="str">
        <f>VLOOKUP($A37,regions_full!$A$2:$AI$267,MATCH(polities_cats!R$1,$A$1:$AN$1,0),0)</f>
        <v/>
      </c>
      <c r="S37" t="str">
        <f>VLOOKUP($A37,regions_full!$A$2:$AI$267,MATCH(polities_cats!S$1,$A$1:$AN$1,0),0)</f>
        <v>East Asia</v>
      </c>
      <c r="T37">
        <f>VLOOKUP($A37,regions_full!$A$2:$AI$267,MATCH(polities_cats!T$1,$A$1:$AN$1,0),0)</f>
        <v>1</v>
      </c>
      <c r="U37" t="str">
        <f>VLOOKUP($A37,regions_full!$A$2:$AI$267,MATCH(polities_cats!U$1,$A$1:$AN$1,0),0)</f>
        <v>China</v>
      </c>
      <c r="V37" t="str">
        <f>VLOOKUP($A37,regions_full!$A$2:$AI$267,MATCH(polities_cats!V$1,$A$1:$AN$1,0),0)</f>
        <v>Eastern Asia</v>
      </c>
      <c r="W37" t="str">
        <f>VLOOKUP($A37,regions_full!$A$2:$AI$267,MATCH(polities_cats!W$1,$A$1:$AN$1,0),0)</f>
        <v>East Asia</v>
      </c>
      <c r="X37" t="str">
        <f>VLOOKUP($A37,regions_full!$A$2:$AI$267,MATCH(polities_cats!X$1,$A$1:$AN$1,0),0)</f>
        <v>S&amp;E Asia</v>
      </c>
      <c r="Y37" t="str">
        <f>VLOOKUP($A37,regions_full!$A$2:$AI$267,MATCH(polities_cats!Y$1,$A$1:$AN$1,0),0)</f>
        <v>Eastern Asia</v>
      </c>
      <c r="Z37" t="str">
        <f>VLOOKUP($A37,regions_full!$A$2:$AI$267,MATCH(polities_cats!Z$1,$A$1:$AN$1,0),0)</f>
        <v>Asia</v>
      </c>
      <c r="AA37" t="str">
        <f>VLOOKUP($A37,regions_full!$A$2:$AI$267,MATCH(polities_cats!AA$1,$A$1:$AN$1,0),0)</f>
        <v>Asia and the Pacific</v>
      </c>
      <c r="AB37" t="str">
        <f>VLOOKUP($A37,regions_full!$A$2:$AI$267,MATCH(polities_cats!AB$1,$A$1:$AN$1,0),0)</f>
        <v>Eastern Asia</v>
      </c>
      <c r="AC37" t="str">
        <f>VLOOKUP($A37,regions_full!$A$2:$AI$267,MATCH(polities_cats!AC$1,$A$1:$AN$1,0),0)</f>
        <v>Eastern Asia</v>
      </c>
      <c r="AD37" t="str">
        <f>VLOOKUP($A37,regions_full!$A$2:$AI$267,MATCH(polities_cats!AD$1,$A$1:$AN$1,0),0)</f>
        <v>Emerging</v>
      </c>
      <c r="AE37" t="str">
        <f>VLOOKUP($A37,regions_full!$A$2:$AI$267,MATCH(polities_cats!AE$1,$A$1:$AN$1,0),0)</f>
        <v>Annex_II</v>
      </c>
      <c r="AF37" t="str">
        <f>VLOOKUP($A37,regions_full!$A$2:$AI$267,MATCH(polities_cats!AF$1,$A$1:$AN$1,0),0)</f>
        <v>Eastern Asia</v>
      </c>
      <c r="AG37" t="str">
        <f>VLOOKUP($A37,regions_full!$A$2:$AI$267,MATCH(polities_cats!AG$1,$A$1:$AN$1,0),0)</f>
        <v>SE-Asia</v>
      </c>
      <c r="AH37" t="str">
        <f>VLOOKUP($A37,regions_full!$A$2:$AI$267,MATCH(polities_cats!AH$1,$A$1:$AN$1,0),0)</f>
        <v>no_mech</v>
      </c>
      <c r="AI37" t="str">
        <f>VLOOKUP($A37,regions_full!$A$2:$AI$267,MATCH(polities_cats!AI$1,$A$1:$AN$1,0),0)</f>
        <v>Other</v>
      </c>
      <c r="AJ37" t="e">
        <f>VLOOKUP($A37,regions_full!$A$2:$AI$267,MATCH(polities_cats!AJ$1,$A$1:$AN$1,0),0)</f>
        <v>#REF!</v>
      </c>
      <c r="AK37" t="e">
        <f>VLOOKUP($A37,regions_full!$A$2:$AI$267,MATCH(polities_cats!AK$1,$A$1:$AN$1,0),0)</f>
        <v>#REF!</v>
      </c>
      <c r="AL37" t="e">
        <f>VLOOKUP($A37,regions_full!$A$2:$AI$267,MATCH(polities_cats!AL$1,$A$1:$AN$1,0),0)</f>
        <v>#REF!</v>
      </c>
      <c r="AM37" t="e">
        <f>VLOOKUP($A37,regions_full!$A$2:$AI$267,MATCH(polities_cats!AM$1,$A$1:$AN$1,0),0)</f>
        <v>#REF!</v>
      </c>
      <c r="AN37" t="e">
        <f>VLOOKUP($A37,regions_full!$A$2:$AI$267,MATCH(polities_cats!AN$1,$A$1:$AN$1,0),0)</f>
        <v>#REF!</v>
      </c>
    </row>
    <row r="38" spans="1:40" x14ac:dyDescent="0.3">
      <c r="A38" t="str">
        <f>polities_whep!A38</f>
        <v>CHN</v>
      </c>
      <c r="B38" t="str">
        <f>polities_whep!B38</f>
        <v>China, mainland</v>
      </c>
      <c r="C38">
        <f>VLOOKUP($A38,regions_full!$A$2:$AI$267,MATCH(polities_cats!C$1,$A$1:$AN$1,0),0)</f>
        <v>41</v>
      </c>
      <c r="D38">
        <f>VLOOKUP($A38,regions_full!$A$2:$AI$267,MATCH(polities_cats!D$1,$A$1:$AN$1,0),0)</f>
        <v>41</v>
      </c>
      <c r="E38" t="str">
        <f>VLOOKUP($A38,regions_full!$A$2:$AI$267,MATCH(polities_cats!E$1,$A$1:$AN$1,0),0)</f>
        <v>CHN</v>
      </c>
      <c r="F38" t="str">
        <f>VLOOKUP($A38,regions_full!$A$2:$AI$267,MATCH(polities_cats!F$1,$A$1:$AN$1,0),0)</f>
        <v>China, mainland</v>
      </c>
      <c r="G38" t="str">
        <f>VLOOKUP($A38,regions_full!$A$2:$AI$267,MATCH(polities_cats!G$1,$A$1:$AN$1,0),0)</f>
        <v>FALSE</v>
      </c>
      <c r="H38" t="str">
        <f>VLOOKUP($A38,regions_full!$A$2:$AI$267,MATCH(polities_cats!H$1,$A$1:$AN$1,0),0)</f>
        <v>China, mainland</v>
      </c>
      <c r="I38" t="str">
        <f>VLOOKUP($A38,regions_full!$A$2:$AI$267,MATCH(polities_cats!I$1,$A$1:$AN$1,0),0)</f>
        <v>China</v>
      </c>
      <c r="J38" t="str">
        <f>VLOOKUP($A38,regions_full!$A$2:$AI$267,MATCH(polities_cats!J$1,$A$1:$AN$1,0),0)</f>
        <v>People's Republic of China</v>
      </c>
      <c r="K38">
        <f>VLOOKUP($A38,regions_full!$A$2:$AI$267,MATCH(polities_cats!K$1,$A$1:$AN$1,0),0)</f>
        <v>351</v>
      </c>
      <c r="L38" t="str">
        <f>VLOOKUP($A38,regions_full!$A$2:$AI$267,MATCH(polities_cats!L$1,$A$1:$AN$1,0),0)</f>
        <v>China</v>
      </c>
      <c r="M38">
        <f>VLOOKUP($A38,regions_full!$A$2:$AI$267,MATCH(polities_cats!M$1,$A$1:$AN$1,0),0)</f>
        <v>156</v>
      </c>
      <c r="N38">
        <f>VLOOKUP($A38,regions_full!$A$2:$AI$267,MATCH(polities_cats!N$1,$A$1:$AN$1,0),0)</f>
        <v>156</v>
      </c>
      <c r="O38">
        <f>VLOOKUP($A38,regions_full!$A$2:$AI$267,MATCH(polities_cats!O$1,$A$1:$AN$1,0),0)</f>
        <v>14</v>
      </c>
      <c r="P38" t="str">
        <f>VLOOKUP($A38,regions_full!$A$2:$AI$267,MATCH(polities_cats!P$1,$A$1:$AN$1,0),0)</f>
        <v>TRUE</v>
      </c>
      <c r="Q38">
        <f>VLOOKUP($A38,regions_full!$A$2:$AI$267,MATCH(polities_cats!Q$1,$A$1:$AN$1,0),0)</f>
        <v>41</v>
      </c>
      <c r="R38" t="str">
        <f>VLOOKUP($A38,regions_full!$A$2:$AI$267,MATCH(polities_cats!R$1,$A$1:$AN$1,0),0)</f>
        <v/>
      </c>
      <c r="S38" t="str">
        <f>VLOOKUP($A38,regions_full!$A$2:$AI$267,MATCH(polities_cats!S$1,$A$1:$AN$1,0),0)</f>
        <v>East Asia</v>
      </c>
      <c r="T38">
        <f>VLOOKUP($A38,regions_full!$A$2:$AI$267,MATCH(polities_cats!T$1,$A$1:$AN$1,0),0)</f>
        <v>1</v>
      </c>
      <c r="U38" t="str">
        <f>VLOOKUP($A38,regions_full!$A$2:$AI$267,MATCH(polities_cats!U$1,$A$1:$AN$1,0),0)</f>
        <v>China</v>
      </c>
      <c r="V38" t="str">
        <f>VLOOKUP($A38,regions_full!$A$2:$AI$267,MATCH(polities_cats!V$1,$A$1:$AN$1,0),0)</f>
        <v>Eastern Asia</v>
      </c>
      <c r="W38" t="str">
        <f>VLOOKUP($A38,regions_full!$A$2:$AI$267,MATCH(polities_cats!W$1,$A$1:$AN$1,0),0)</f>
        <v>East Asia</v>
      </c>
      <c r="X38" t="str">
        <f>VLOOKUP($A38,regions_full!$A$2:$AI$267,MATCH(polities_cats!X$1,$A$1:$AN$1,0),0)</f>
        <v>S&amp;E Asia</v>
      </c>
      <c r="Y38" t="str">
        <f>VLOOKUP($A38,regions_full!$A$2:$AI$267,MATCH(polities_cats!Y$1,$A$1:$AN$1,0),0)</f>
        <v>Eastern Asia</v>
      </c>
      <c r="Z38" t="str">
        <f>VLOOKUP($A38,regions_full!$A$2:$AI$267,MATCH(polities_cats!Z$1,$A$1:$AN$1,0),0)</f>
        <v>Asia</v>
      </c>
      <c r="AA38" t="str">
        <f>VLOOKUP($A38,regions_full!$A$2:$AI$267,MATCH(polities_cats!AA$1,$A$1:$AN$1,0),0)</f>
        <v>Asia and the Pacific</v>
      </c>
      <c r="AB38" t="str">
        <f>VLOOKUP($A38,regions_full!$A$2:$AI$267,MATCH(polities_cats!AB$1,$A$1:$AN$1,0),0)</f>
        <v>Eastern Asia</v>
      </c>
      <c r="AC38" t="str">
        <f>VLOOKUP($A38,regions_full!$A$2:$AI$267,MATCH(polities_cats!AC$1,$A$1:$AN$1,0),0)</f>
        <v>Eastern Asia</v>
      </c>
      <c r="AD38" t="str">
        <f>VLOOKUP($A38,regions_full!$A$2:$AI$267,MATCH(polities_cats!AD$1,$A$1:$AN$1,0),0)</f>
        <v>Emerging</v>
      </c>
      <c r="AE38" t="str">
        <f>VLOOKUP($A38,regions_full!$A$2:$AI$267,MATCH(polities_cats!AE$1,$A$1:$AN$1,0),0)</f>
        <v>Annex_II</v>
      </c>
      <c r="AF38" t="str">
        <f>VLOOKUP($A38,regions_full!$A$2:$AI$267,MATCH(polities_cats!AF$1,$A$1:$AN$1,0),0)</f>
        <v>Eastern Asia</v>
      </c>
      <c r="AG38" t="str">
        <f>VLOOKUP($A38,regions_full!$A$2:$AI$267,MATCH(polities_cats!AG$1,$A$1:$AN$1,0),0)</f>
        <v>SE-Asia</v>
      </c>
      <c r="AH38" t="str">
        <f>VLOOKUP($A38,regions_full!$A$2:$AI$267,MATCH(polities_cats!AH$1,$A$1:$AN$1,0),0)</f>
        <v>no_mech</v>
      </c>
      <c r="AI38" t="str">
        <f>VLOOKUP($A38,regions_full!$A$2:$AI$267,MATCH(polities_cats!AI$1,$A$1:$AN$1,0),0)</f>
        <v>Other</v>
      </c>
      <c r="AJ38" t="e">
        <f>VLOOKUP($A38,regions_full!$A$2:$AI$267,MATCH(polities_cats!AJ$1,$A$1:$AN$1,0),0)</f>
        <v>#REF!</v>
      </c>
      <c r="AK38" t="e">
        <f>VLOOKUP($A38,regions_full!$A$2:$AI$267,MATCH(polities_cats!AK$1,$A$1:$AN$1,0),0)</f>
        <v>#REF!</v>
      </c>
      <c r="AL38" t="e">
        <f>VLOOKUP($A38,regions_full!$A$2:$AI$267,MATCH(polities_cats!AL$1,$A$1:$AN$1,0),0)</f>
        <v>#REF!</v>
      </c>
      <c r="AM38" t="e">
        <f>VLOOKUP($A38,regions_full!$A$2:$AI$267,MATCH(polities_cats!AM$1,$A$1:$AN$1,0),0)</f>
        <v>#REF!</v>
      </c>
      <c r="AN38" t="e">
        <f>VLOOKUP($A38,regions_full!$A$2:$AI$267,MATCH(polities_cats!AN$1,$A$1:$AN$1,0),0)</f>
        <v>#REF!</v>
      </c>
    </row>
    <row r="39" spans="1:40" x14ac:dyDescent="0.3">
      <c r="A39" t="str">
        <f>polities_whep!A39</f>
        <v>TWN</v>
      </c>
      <c r="B39" t="str">
        <f>polities_whep!B39</f>
        <v>China, Taiwan</v>
      </c>
      <c r="C39">
        <f>VLOOKUP($A39,regions_full!$A$2:$AI$267,MATCH(polities_cats!C$1,$A$1:$AN$1,0),0)</f>
        <v>210</v>
      </c>
      <c r="D39">
        <f>VLOOKUP($A39,regions_full!$A$2:$AI$267,MATCH(polities_cats!D$1,$A$1:$AN$1,0),0)</f>
        <v>214</v>
      </c>
      <c r="E39" t="str">
        <f>VLOOKUP($A39,regions_full!$A$2:$AI$267,MATCH(polities_cats!E$1,$A$1:$AN$1,0),0)</f>
        <v>TWN</v>
      </c>
      <c r="F39" t="str">
        <f>VLOOKUP($A39,regions_full!$A$2:$AI$267,MATCH(polities_cats!F$1,$A$1:$AN$1,0),0)</f>
        <v>China, Taiwan Province of</v>
      </c>
      <c r="G39" t="str">
        <f>VLOOKUP($A39,regions_full!$A$2:$AI$267,MATCH(polities_cats!G$1,$A$1:$AN$1,0),0)</f>
        <v>FALSE</v>
      </c>
      <c r="H39" t="str">
        <f>VLOOKUP($A39,regions_full!$A$2:$AI$267,MATCH(polities_cats!H$1,$A$1:$AN$1,0),0)</f>
        <v>China, Taiwan Province of</v>
      </c>
      <c r="I39" t="str">
        <f>VLOOKUP($A39,regions_full!$A$2:$AI$267,MATCH(polities_cats!I$1,$A$1:$AN$1,0),0)</f>
        <v>Taiwan</v>
      </c>
      <c r="J39" t="str">
        <f>VLOOKUP($A39,regions_full!$A$2:$AI$267,MATCH(polities_cats!J$1,$A$1:$AN$1,0),0)</f>
        <v>Chinese Taipei</v>
      </c>
      <c r="K39">
        <f>VLOOKUP($A39,regions_full!$A$2:$AI$267,MATCH(polities_cats!K$1,$A$1:$AN$1,0),0)</f>
        <v>351</v>
      </c>
      <c r="L39" t="str">
        <f>VLOOKUP($A39,regions_full!$A$2:$AI$267,MATCH(polities_cats!L$1,$A$1:$AN$1,0),0)</f>
        <v>China</v>
      </c>
      <c r="M39" t="str">
        <f>VLOOKUP($A39,regions_full!$A$2:$AI$267,MATCH(polities_cats!M$1,$A$1:$AN$1,0),0)</f>
        <v>NA</v>
      </c>
      <c r="N39">
        <f>VLOOKUP($A39,regions_full!$A$2:$AI$267,MATCH(polities_cats!N$1,$A$1:$AN$1,0),0)</f>
        <v>158</v>
      </c>
      <c r="O39">
        <f>VLOOKUP($A39,regions_full!$A$2:$AI$267,MATCH(polities_cats!O$1,$A$1:$AN$1,0),0)</f>
        <v>14</v>
      </c>
      <c r="P39" t="str">
        <f>VLOOKUP($A39,regions_full!$A$2:$AI$267,MATCH(polities_cats!P$1,$A$1:$AN$1,0),0)</f>
        <v>TRUE</v>
      </c>
      <c r="Q39">
        <f>VLOOKUP($A39,regions_full!$A$2:$AI$267,MATCH(polities_cats!Q$1,$A$1:$AN$1,0),0)</f>
        <v>214</v>
      </c>
      <c r="R39" t="str">
        <f>VLOOKUP($A39,regions_full!$A$2:$AI$267,MATCH(polities_cats!R$1,$A$1:$AN$1,0),0)</f>
        <v/>
      </c>
      <c r="S39" t="str">
        <f>VLOOKUP($A39,regions_full!$A$2:$AI$267,MATCH(polities_cats!S$1,$A$1:$AN$1,0),0)</f>
        <v>East Asia</v>
      </c>
      <c r="T39">
        <f>VLOOKUP($A39,regions_full!$A$2:$AI$267,MATCH(polities_cats!T$1,$A$1:$AN$1,0),0)</f>
        <v>1</v>
      </c>
      <c r="U39" t="str">
        <f>VLOOKUP($A39,regions_full!$A$2:$AI$267,MATCH(polities_cats!U$1,$A$1:$AN$1,0),0)</f>
        <v>China</v>
      </c>
      <c r="V39" t="str">
        <f>VLOOKUP($A39,regions_full!$A$2:$AI$267,MATCH(polities_cats!V$1,$A$1:$AN$1,0),0)</f>
        <v>Eastern Asia</v>
      </c>
      <c r="W39" t="str">
        <f>VLOOKUP($A39,regions_full!$A$2:$AI$267,MATCH(polities_cats!W$1,$A$1:$AN$1,0),0)</f>
        <v>East Asia</v>
      </c>
      <c r="X39" t="str">
        <f>VLOOKUP($A39,regions_full!$A$2:$AI$267,MATCH(polities_cats!X$1,$A$1:$AN$1,0),0)</f>
        <v>S&amp;E Asia</v>
      </c>
      <c r="Y39" t="str">
        <f>VLOOKUP($A39,regions_full!$A$2:$AI$267,MATCH(polities_cats!Y$1,$A$1:$AN$1,0),0)</f>
        <v>Eastern Asia</v>
      </c>
      <c r="Z39" t="str">
        <f>VLOOKUP($A39,regions_full!$A$2:$AI$267,MATCH(polities_cats!Z$1,$A$1:$AN$1,0),0)</f>
        <v>Asia</v>
      </c>
      <c r="AA39" t="str">
        <f>VLOOKUP($A39,regions_full!$A$2:$AI$267,MATCH(polities_cats!AA$1,$A$1:$AN$1,0),0)</f>
        <v>Asia and the Pacific</v>
      </c>
      <c r="AB39" t="str">
        <f>VLOOKUP($A39,regions_full!$A$2:$AI$267,MATCH(polities_cats!AB$1,$A$1:$AN$1,0),0)</f>
        <v>Eastern Asia</v>
      </c>
      <c r="AC39" t="str">
        <f>VLOOKUP($A39,regions_full!$A$2:$AI$267,MATCH(polities_cats!AC$1,$A$1:$AN$1,0),0)</f>
        <v>Eastern Asia</v>
      </c>
      <c r="AD39" t="str">
        <f>VLOOKUP($A39,regions_full!$A$2:$AI$267,MATCH(polities_cats!AD$1,$A$1:$AN$1,0),0)</f>
        <v>Emerging</v>
      </c>
      <c r="AE39" t="str">
        <f>VLOOKUP($A39,regions_full!$A$2:$AI$267,MATCH(polities_cats!AE$1,$A$1:$AN$1,0),0)</f>
        <v>Annex_II</v>
      </c>
      <c r="AF39" t="str">
        <f>VLOOKUP($A39,regions_full!$A$2:$AI$267,MATCH(polities_cats!AF$1,$A$1:$AN$1,0),0)</f>
        <v>Eastern Asia</v>
      </c>
      <c r="AG39" t="str">
        <f>VLOOKUP($A39,regions_full!$A$2:$AI$267,MATCH(polities_cats!AG$1,$A$1:$AN$1,0),0)</f>
        <v>SE-Asia</v>
      </c>
      <c r="AH39" t="str">
        <f>VLOOKUP($A39,regions_full!$A$2:$AI$267,MATCH(polities_cats!AH$1,$A$1:$AN$1,0),0)</f>
        <v>no_mech</v>
      </c>
      <c r="AI39" t="str">
        <f>VLOOKUP($A39,regions_full!$A$2:$AI$267,MATCH(polities_cats!AI$1,$A$1:$AN$1,0),0)</f>
        <v>Other</v>
      </c>
      <c r="AJ39" t="e">
        <f>VLOOKUP($A39,regions_full!$A$2:$AI$267,MATCH(polities_cats!AJ$1,$A$1:$AN$1,0),0)</f>
        <v>#REF!</v>
      </c>
      <c r="AK39" t="e">
        <f>VLOOKUP($A39,regions_full!$A$2:$AI$267,MATCH(polities_cats!AK$1,$A$1:$AN$1,0),0)</f>
        <v>#REF!</v>
      </c>
      <c r="AL39" t="e">
        <f>VLOOKUP($A39,regions_full!$A$2:$AI$267,MATCH(polities_cats!AL$1,$A$1:$AN$1,0),0)</f>
        <v>#REF!</v>
      </c>
      <c r="AM39" t="e">
        <f>VLOOKUP($A39,regions_full!$A$2:$AI$267,MATCH(polities_cats!AM$1,$A$1:$AN$1,0),0)</f>
        <v>#REF!</v>
      </c>
      <c r="AN39" t="e">
        <f>VLOOKUP($A39,regions_full!$A$2:$AI$267,MATCH(polities_cats!AN$1,$A$1:$AN$1,0),0)</f>
        <v>#REF!</v>
      </c>
    </row>
    <row r="40" spans="1:40" x14ac:dyDescent="0.3">
      <c r="A40" t="str">
        <f>polities_whep!A40</f>
        <v>COL</v>
      </c>
      <c r="B40" t="str">
        <f>polities_whep!B40</f>
        <v>Colombia</v>
      </c>
      <c r="C40">
        <f>VLOOKUP($A40,regions_full!$A$2:$AI$267,MATCH(polities_cats!C$1,$A$1:$AN$1,0),0)</f>
        <v>44</v>
      </c>
      <c r="D40">
        <f>VLOOKUP($A40,regions_full!$A$2:$AI$267,MATCH(polities_cats!D$1,$A$1:$AN$1,0),0)</f>
        <v>44</v>
      </c>
      <c r="E40" t="str">
        <f>VLOOKUP($A40,regions_full!$A$2:$AI$267,MATCH(polities_cats!E$1,$A$1:$AN$1,0),0)</f>
        <v>COL</v>
      </c>
      <c r="F40" t="str">
        <f>VLOOKUP($A40,regions_full!$A$2:$AI$267,MATCH(polities_cats!F$1,$A$1:$AN$1,0),0)</f>
        <v>Colombia</v>
      </c>
      <c r="G40" t="str">
        <f>VLOOKUP($A40,regions_full!$A$2:$AI$267,MATCH(polities_cats!G$1,$A$1:$AN$1,0),0)</f>
        <v>FALSE</v>
      </c>
      <c r="H40" t="str">
        <f>VLOOKUP($A40,regions_full!$A$2:$AI$267,MATCH(polities_cats!H$1,$A$1:$AN$1,0),0)</f>
        <v>Colombia</v>
      </c>
      <c r="I40" t="str">
        <f>VLOOKUP($A40,regions_full!$A$2:$AI$267,MATCH(polities_cats!I$1,$A$1:$AN$1,0),0)</f>
        <v>Colombia</v>
      </c>
      <c r="J40" t="str">
        <f>VLOOKUP($A40,regions_full!$A$2:$AI$267,MATCH(polities_cats!J$1,$A$1:$AN$1,0),0)</f>
        <v>Colombia</v>
      </c>
      <c r="K40">
        <f>VLOOKUP($A40,regions_full!$A$2:$AI$267,MATCH(polities_cats!K$1,$A$1:$AN$1,0),0)</f>
        <v>44</v>
      </c>
      <c r="L40" t="str">
        <f>VLOOKUP($A40,regions_full!$A$2:$AI$267,MATCH(polities_cats!L$1,$A$1:$AN$1,0),0)</f>
        <v>Colombia</v>
      </c>
      <c r="M40">
        <f>VLOOKUP($A40,regions_full!$A$2:$AI$267,MATCH(polities_cats!M$1,$A$1:$AN$1,0),0)</f>
        <v>170</v>
      </c>
      <c r="N40">
        <f>VLOOKUP($A40,regions_full!$A$2:$AI$267,MATCH(polities_cats!N$1,$A$1:$AN$1,0),0)</f>
        <v>170</v>
      </c>
      <c r="O40">
        <f>VLOOKUP($A40,regions_full!$A$2:$AI$267,MATCH(polities_cats!O$1,$A$1:$AN$1,0),0)</f>
        <v>4</v>
      </c>
      <c r="P40" t="str">
        <f>VLOOKUP($A40,regions_full!$A$2:$AI$267,MATCH(polities_cats!P$1,$A$1:$AN$1,0),0)</f>
        <v>TRUE</v>
      </c>
      <c r="Q40">
        <f>VLOOKUP($A40,regions_full!$A$2:$AI$267,MATCH(polities_cats!Q$1,$A$1:$AN$1,0),0)</f>
        <v>44</v>
      </c>
      <c r="R40" t="str">
        <f>VLOOKUP($A40,regions_full!$A$2:$AI$267,MATCH(polities_cats!R$1,$A$1:$AN$1,0),0)</f>
        <v/>
      </c>
      <c r="S40" t="str">
        <f>VLOOKUP($A40,regions_full!$A$2:$AI$267,MATCH(polities_cats!S$1,$A$1:$AN$1,0),0)</f>
        <v>South America</v>
      </c>
      <c r="T40">
        <f>VLOOKUP($A40,regions_full!$A$2:$AI$267,MATCH(polities_cats!T$1,$A$1:$AN$1,0),0)</f>
        <v>1</v>
      </c>
      <c r="U40" t="str">
        <f>VLOOKUP($A40,regions_full!$A$2:$AI$267,MATCH(polities_cats!U$1,$A$1:$AN$1,0),0)</f>
        <v>Colombia</v>
      </c>
      <c r="V40" t="str">
        <f>VLOOKUP($A40,regions_full!$A$2:$AI$267,MATCH(polities_cats!V$1,$A$1:$AN$1,0),0)</f>
        <v>Latin America and the Caribbean</v>
      </c>
      <c r="W40" t="str">
        <f>VLOOKUP($A40,regions_full!$A$2:$AI$267,MATCH(polities_cats!W$1,$A$1:$AN$1,0),0)</f>
        <v>Latin America and Caribbean</v>
      </c>
      <c r="X40" t="str">
        <f>VLOOKUP($A40,regions_full!$A$2:$AI$267,MATCH(polities_cats!X$1,$A$1:$AN$1,0),0)</f>
        <v>LACA</v>
      </c>
      <c r="Y40" t="str">
        <f>VLOOKUP($A40,regions_full!$A$2:$AI$267,MATCH(polities_cats!Y$1,$A$1:$AN$1,0),0)</f>
        <v>Latin America and the Caribbean</v>
      </c>
      <c r="Z40" t="str">
        <f>VLOOKUP($A40,regions_full!$A$2:$AI$267,MATCH(polities_cats!Z$1,$A$1:$AN$1,0),0)</f>
        <v>Americas</v>
      </c>
      <c r="AA40" t="str">
        <f>VLOOKUP($A40,regions_full!$A$2:$AI$267,MATCH(polities_cats!AA$1,$A$1:$AN$1,0),0)</f>
        <v>Americas</v>
      </c>
      <c r="AB40" t="str">
        <f>VLOOKUP($A40,regions_full!$A$2:$AI$267,MATCH(polities_cats!AB$1,$A$1:$AN$1,0),0)</f>
        <v>Latin America and the Caribbean</v>
      </c>
      <c r="AC40" t="str">
        <f>VLOOKUP($A40,regions_full!$A$2:$AI$267,MATCH(polities_cats!AC$1,$A$1:$AN$1,0),0)</f>
        <v>South America</v>
      </c>
      <c r="AD40" t="str">
        <f>VLOOKUP($A40,regions_full!$A$2:$AI$267,MATCH(polities_cats!AD$1,$A$1:$AN$1,0),0)</f>
        <v>Emerging</v>
      </c>
      <c r="AE40" t="str">
        <f>VLOOKUP($A40,regions_full!$A$2:$AI$267,MATCH(polities_cats!AE$1,$A$1:$AN$1,0),0)</f>
        <v>Annex_II</v>
      </c>
      <c r="AF40" t="str">
        <f>VLOOKUP($A40,regions_full!$A$2:$AI$267,MATCH(polities_cats!AF$1,$A$1:$AN$1,0),0)</f>
        <v>Andean &amp; Mexico</v>
      </c>
      <c r="AG40" t="str">
        <f>VLOOKUP($A40,regions_full!$A$2:$AI$267,MATCH(polities_cats!AG$1,$A$1:$AN$1,0),0)</f>
        <v>LACA</v>
      </c>
      <c r="AH40" t="str">
        <f>VLOOKUP($A40,regions_full!$A$2:$AI$267,MATCH(polities_cats!AH$1,$A$1:$AN$1,0),0)</f>
        <v>no_mech</v>
      </c>
      <c r="AI40" t="str">
        <f>VLOOKUP($A40,regions_full!$A$2:$AI$267,MATCH(polities_cats!AI$1,$A$1:$AN$1,0),0)</f>
        <v>Other</v>
      </c>
      <c r="AJ40" t="e">
        <f>VLOOKUP($A40,regions_full!$A$2:$AI$267,MATCH(polities_cats!AJ$1,$A$1:$AN$1,0),0)</f>
        <v>#REF!</v>
      </c>
      <c r="AK40" t="e">
        <f>VLOOKUP($A40,regions_full!$A$2:$AI$267,MATCH(polities_cats!AK$1,$A$1:$AN$1,0),0)</f>
        <v>#REF!</v>
      </c>
      <c r="AL40" t="e">
        <f>VLOOKUP($A40,regions_full!$A$2:$AI$267,MATCH(polities_cats!AL$1,$A$1:$AN$1,0),0)</f>
        <v>#REF!</v>
      </c>
      <c r="AM40" t="e">
        <f>VLOOKUP($A40,regions_full!$A$2:$AI$267,MATCH(polities_cats!AM$1,$A$1:$AN$1,0),0)</f>
        <v>#REF!</v>
      </c>
      <c r="AN40" t="e">
        <f>VLOOKUP($A40,regions_full!$A$2:$AI$267,MATCH(polities_cats!AN$1,$A$1:$AN$1,0),0)</f>
        <v>#REF!</v>
      </c>
    </row>
    <row r="41" spans="1:40" x14ac:dyDescent="0.3">
      <c r="A41" t="str">
        <f>polities_whep!A41</f>
        <v>COG</v>
      </c>
      <c r="B41" t="str">
        <f>polities_whep!B41</f>
        <v>Congo</v>
      </c>
      <c r="C41">
        <f>VLOOKUP($A41,regions_full!$A$2:$AI$267,MATCH(polities_cats!C$1,$A$1:$AN$1,0),0)</f>
        <v>46</v>
      </c>
      <c r="D41">
        <f>VLOOKUP($A41,regions_full!$A$2:$AI$267,MATCH(polities_cats!D$1,$A$1:$AN$1,0),0)</f>
        <v>46</v>
      </c>
      <c r="E41" t="str">
        <f>VLOOKUP($A41,regions_full!$A$2:$AI$267,MATCH(polities_cats!E$1,$A$1:$AN$1,0),0)</f>
        <v>COG</v>
      </c>
      <c r="F41" t="str">
        <f>VLOOKUP($A41,regions_full!$A$2:$AI$267,MATCH(polities_cats!F$1,$A$1:$AN$1,0),0)</f>
        <v>Congo</v>
      </c>
      <c r="G41" t="str">
        <f>VLOOKUP($A41,regions_full!$A$2:$AI$267,MATCH(polities_cats!G$1,$A$1:$AN$1,0),0)</f>
        <v>FALSE</v>
      </c>
      <c r="H41" t="str">
        <f>VLOOKUP($A41,regions_full!$A$2:$AI$267,MATCH(polities_cats!H$1,$A$1:$AN$1,0),0)</f>
        <v>Congo</v>
      </c>
      <c r="I41" t="str">
        <f>VLOOKUP($A41,regions_full!$A$2:$AI$267,MATCH(polities_cats!I$1,$A$1:$AN$1,0),0)</f>
        <v>Congo (Brazzaville)</v>
      </c>
      <c r="J41" t="str">
        <f>VLOOKUP($A41,regions_full!$A$2:$AI$267,MATCH(polities_cats!J$1,$A$1:$AN$1,0),0)</f>
        <v>Republic of the Congo</v>
      </c>
      <c r="K41">
        <f>VLOOKUP($A41,regions_full!$A$2:$AI$267,MATCH(polities_cats!K$1,$A$1:$AN$1,0),0)</f>
        <v>46</v>
      </c>
      <c r="L41" t="str">
        <f>VLOOKUP($A41,regions_full!$A$2:$AI$267,MATCH(polities_cats!L$1,$A$1:$AN$1,0),0)</f>
        <v>Congo</v>
      </c>
      <c r="M41">
        <f>VLOOKUP($A41,regions_full!$A$2:$AI$267,MATCH(polities_cats!M$1,$A$1:$AN$1,0),0)</f>
        <v>178</v>
      </c>
      <c r="N41">
        <f>VLOOKUP($A41,regions_full!$A$2:$AI$267,MATCH(polities_cats!N$1,$A$1:$AN$1,0),0)</f>
        <v>178</v>
      </c>
      <c r="O41">
        <f>VLOOKUP($A41,regions_full!$A$2:$AI$267,MATCH(polities_cats!O$1,$A$1:$AN$1,0),0)</f>
        <v>6</v>
      </c>
      <c r="P41" t="str">
        <f>VLOOKUP($A41,regions_full!$A$2:$AI$267,MATCH(polities_cats!P$1,$A$1:$AN$1,0),0)</f>
        <v>TRUE</v>
      </c>
      <c r="Q41">
        <f>VLOOKUP($A41,regions_full!$A$2:$AI$267,MATCH(polities_cats!Q$1,$A$1:$AN$1,0),0)</f>
        <v>46</v>
      </c>
      <c r="R41" t="str">
        <f>VLOOKUP($A41,regions_full!$A$2:$AI$267,MATCH(polities_cats!R$1,$A$1:$AN$1,0),0)</f>
        <v/>
      </c>
      <c r="S41" t="str">
        <f>VLOOKUP($A41,regions_full!$A$2:$AI$267,MATCH(polities_cats!S$1,$A$1:$AN$1,0),0)</f>
        <v>Western Africa</v>
      </c>
      <c r="T41">
        <f>VLOOKUP($A41,regions_full!$A$2:$AI$267,MATCH(polities_cats!T$1,$A$1:$AN$1,0),0)</f>
        <v>1</v>
      </c>
      <c r="U41" t="str">
        <f>VLOOKUP($A41,regions_full!$A$2:$AI$267,MATCH(polities_cats!U$1,$A$1:$AN$1,0),0)</f>
        <v>Congo</v>
      </c>
      <c r="V41" t="str">
        <f>VLOOKUP($A41,regions_full!$A$2:$AI$267,MATCH(polities_cats!V$1,$A$1:$AN$1,0),0)</f>
        <v>Subsaharan Africa</v>
      </c>
      <c r="W41" t="str">
        <f>VLOOKUP($A41,regions_full!$A$2:$AI$267,MATCH(polities_cats!W$1,$A$1:$AN$1,0),0)</f>
        <v>Sub-saharan Africa</v>
      </c>
      <c r="X41" t="str">
        <f>VLOOKUP($A41,regions_full!$A$2:$AI$267,MATCH(polities_cats!X$1,$A$1:$AN$1,0),0)</f>
        <v>SSA</v>
      </c>
      <c r="Y41" t="str">
        <f>VLOOKUP($A41,regions_full!$A$2:$AI$267,MATCH(polities_cats!Y$1,$A$1:$AN$1,0),0)</f>
        <v>Sub-Saharan Africa</v>
      </c>
      <c r="Z41" t="str">
        <f>VLOOKUP($A41,regions_full!$A$2:$AI$267,MATCH(polities_cats!Z$1,$A$1:$AN$1,0),0)</f>
        <v>Africa</v>
      </c>
      <c r="AA41" t="str">
        <f>VLOOKUP($A41,regions_full!$A$2:$AI$267,MATCH(polities_cats!AA$1,$A$1:$AN$1,0),0)</f>
        <v>Africa</v>
      </c>
      <c r="AB41" t="str">
        <f>VLOOKUP($A41,regions_full!$A$2:$AI$267,MATCH(polities_cats!AB$1,$A$1:$AN$1,0),0)</f>
        <v>Sub-Saharan Africa</v>
      </c>
      <c r="AC41" t="str">
        <f>VLOOKUP($A41,regions_full!$A$2:$AI$267,MATCH(polities_cats!AC$1,$A$1:$AN$1,0),0)</f>
        <v>Central Africa</v>
      </c>
      <c r="AD41" t="str">
        <f>VLOOKUP($A41,regions_full!$A$2:$AI$267,MATCH(polities_cats!AD$1,$A$1:$AN$1,0),0)</f>
        <v>Emerging</v>
      </c>
      <c r="AE41" t="str">
        <f>VLOOKUP($A41,regions_full!$A$2:$AI$267,MATCH(polities_cats!AE$1,$A$1:$AN$1,0),0)</f>
        <v>Annex_II</v>
      </c>
      <c r="AF41" t="str">
        <f>VLOOKUP($A41,regions_full!$A$2:$AI$267,MATCH(polities_cats!AF$1,$A$1:$AN$1,0),0)</f>
        <v>Middle Africa</v>
      </c>
      <c r="AG41" t="str">
        <f>VLOOKUP($A41,regions_full!$A$2:$AI$267,MATCH(polities_cats!AG$1,$A$1:$AN$1,0),0)</f>
        <v>SAA</v>
      </c>
      <c r="AH41" t="str">
        <f>VLOOKUP($A41,regions_full!$A$2:$AI$267,MATCH(polities_cats!AH$1,$A$1:$AN$1,0),0)</f>
        <v>no_mech</v>
      </c>
      <c r="AI41" t="str">
        <f>VLOOKUP($A41,regions_full!$A$2:$AI$267,MATCH(polities_cats!AI$1,$A$1:$AN$1,0),0)</f>
        <v>Other</v>
      </c>
      <c r="AJ41" t="e">
        <f>VLOOKUP($A41,regions_full!$A$2:$AI$267,MATCH(polities_cats!AJ$1,$A$1:$AN$1,0),0)</f>
        <v>#REF!</v>
      </c>
      <c r="AK41" t="e">
        <f>VLOOKUP($A41,regions_full!$A$2:$AI$267,MATCH(polities_cats!AK$1,$A$1:$AN$1,0),0)</f>
        <v>#REF!</v>
      </c>
      <c r="AL41" t="e">
        <f>VLOOKUP($A41,regions_full!$A$2:$AI$267,MATCH(polities_cats!AL$1,$A$1:$AN$1,0),0)</f>
        <v>#REF!</v>
      </c>
      <c r="AM41" t="e">
        <f>VLOOKUP($A41,regions_full!$A$2:$AI$267,MATCH(polities_cats!AM$1,$A$1:$AN$1,0),0)</f>
        <v>#REF!</v>
      </c>
      <c r="AN41" t="e">
        <f>VLOOKUP($A41,regions_full!$A$2:$AI$267,MATCH(polities_cats!AN$1,$A$1:$AN$1,0),0)</f>
        <v>#REF!</v>
      </c>
    </row>
    <row r="42" spans="1:40" x14ac:dyDescent="0.3">
      <c r="A42" t="str">
        <f>polities_whep!A42</f>
        <v>CRI</v>
      </c>
      <c r="B42" t="str">
        <f>polities_whep!B42</f>
        <v>Costa Rica</v>
      </c>
      <c r="C42">
        <f>VLOOKUP($A42,regions_full!$A$2:$AI$267,MATCH(polities_cats!C$1,$A$1:$AN$1,0),0)</f>
        <v>48</v>
      </c>
      <c r="D42">
        <f>VLOOKUP($A42,regions_full!$A$2:$AI$267,MATCH(polities_cats!D$1,$A$1:$AN$1,0),0)</f>
        <v>48</v>
      </c>
      <c r="E42" t="str">
        <f>VLOOKUP($A42,regions_full!$A$2:$AI$267,MATCH(polities_cats!E$1,$A$1:$AN$1,0),0)</f>
        <v>CRI</v>
      </c>
      <c r="F42" t="str">
        <f>VLOOKUP($A42,regions_full!$A$2:$AI$267,MATCH(polities_cats!F$1,$A$1:$AN$1,0),0)</f>
        <v>Costa Rica</v>
      </c>
      <c r="G42" t="str">
        <f>VLOOKUP($A42,regions_full!$A$2:$AI$267,MATCH(polities_cats!G$1,$A$1:$AN$1,0),0)</f>
        <v>FALSE</v>
      </c>
      <c r="H42" t="str">
        <f>VLOOKUP($A42,regions_full!$A$2:$AI$267,MATCH(polities_cats!H$1,$A$1:$AN$1,0),0)</f>
        <v>Costa Rica</v>
      </c>
      <c r="I42" t="str">
        <f>VLOOKUP($A42,regions_full!$A$2:$AI$267,MATCH(polities_cats!I$1,$A$1:$AN$1,0),0)</f>
        <v>Costa Rica</v>
      </c>
      <c r="J42" t="str">
        <f>VLOOKUP($A42,regions_full!$A$2:$AI$267,MATCH(polities_cats!J$1,$A$1:$AN$1,0),0)</f>
        <v>Costa Rica</v>
      </c>
      <c r="K42">
        <f>VLOOKUP($A42,regions_full!$A$2:$AI$267,MATCH(polities_cats!K$1,$A$1:$AN$1,0),0)</f>
        <v>48</v>
      </c>
      <c r="L42" t="str">
        <f>VLOOKUP($A42,regions_full!$A$2:$AI$267,MATCH(polities_cats!L$1,$A$1:$AN$1,0),0)</f>
        <v>Costa Rica</v>
      </c>
      <c r="M42">
        <f>VLOOKUP($A42,regions_full!$A$2:$AI$267,MATCH(polities_cats!M$1,$A$1:$AN$1,0),0)</f>
        <v>188</v>
      </c>
      <c r="N42">
        <f>VLOOKUP($A42,regions_full!$A$2:$AI$267,MATCH(polities_cats!N$1,$A$1:$AN$1,0),0)</f>
        <v>188</v>
      </c>
      <c r="O42">
        <f>VLOOKUP($A42,regions_full!$A$2:$AI$267,MATCH(polities_cats!O$1,$A$1:$AN$1,0),0)</f>
        <v>3</v>
      </c>
      <c r="P42" t="str">
        <f>VLOOKUP($A42,regions_full!$A$2:$AI$267,MATCH(polities_cats!P$1,$A$1:$AN$1,0),0)</f>
        <v>TRUE</v>
      </c>
      <c r="Q42">
        <f>VLOOKUP($A42,regions_full!$A$2:$AI$267,MATCH(polities_cats!Q$1,$A$1:$AN$1,0),0)</f>
        <v>48</v>
      </c>
      <c r="R42" t="str">
        <f>VLOOKUP($A42,regions_full!$A$2:$AI$267,MATCH(polities_cats!R$1,$A$1:$AN$1,0),0)</f>
        <v/>
      </c>
      <c r="S42" t="str">
        <f>VLOOKUP($A42,regions_full!$A$2:$AI$267,MATCH(polities_cats!S$1,$A$1:$AN$1,0),0)</f>
        <v>Central America</v>
      </c>
      <c r="T42">
        <f>VLOOKUP($A42,regions_full!$A$2:$AI$267,MATCH(polities_cats!T$1,$A$1:$AN$1,0),0)</f>
        <v>1</v>
      </c>
      <c r="U42" t="str">
        <f>VLOOKUP($A42,regions_full!$A$2:$AI$267,MATCH(polities_cats!U$1,$A$1:$AN$1,0),0)</f>
        <v>Costa Rica</v>
      </c>
      <c r="V42" t="str">
        <f>VLOOKUP($A42,regions_full!$A$2:$AI$267,MATCH(polities_cats!V$1,$A$1:$AN$1,0),0)</f>
        <v>Latin America and the Caribbean</v>
      </c>
      <c r="W42" t="str">
        <f>VLOOKUP($A42,regions_full!$A$2:$AI$267,MATCH(polities_cats!W$1,$A$1:$AN$1,0),0)</f>
        <v>Latin America and Caribbean</v>
      </c>
      <c r="X42" t="str">
        <f>VLOOKUP($A42,regions_full!$A$2:$AI$267,MATCH(polities_cats!X$1,$A$1:$AN$1,0),0)</f>
        <v>LACA</v>
      </c>
      <c r="Y42" t="str">
        <f>VLOOKUP($A42,regions_full!$A$2:$AI$267,MATCH(polities_cats!Y$1,$A$1:$AN$1,0),0)</f>
        <v>Latin America and the Caribbean</v>
      </c>
      <c r="Z42" t="str">
        <f>VLOOKUP($A42,regions_full!$A$2:$AI$267,MATCH(polities_cats!Z$1,$A$1:$AN$1,0),0)</f>
        <v>Americas</v>
      </c>
      <c r="AA42" t="str">
        <f>VLOOKUP($A42,regions_full!$A$2:$AI$267,MATCH(polities_cats!AA$1,$A$1:$AN$1,0),0)</f>
        <v>Americas</v>
      </c>
      <c r="AB42" t="str">
        <f>VLOOKUP($A42,regions_full!$A$2:$AI$267,MATCH(polities_cats!AB$1,$A$1:$AN$1,0),0)</f>
        <v>Latin America and the Caribbean</v>
      </c>
      <c r="AC42" t="str">
        <f>VLOOKUP($A42,regions_full!$A$2:$AI$267,MATCH(polities_cats!AC$1,$A$1:$AN$1,0),0)</f>
        <v>Central America</v>
      </c>
      <c r="AD42" t="str">
        <f>VLOOKUP($A42,regions_full!$A$2:$AI$267,MATCH(polities_cats!AD$1,$A$1:$AN$1,0),0)</f>
        <v>Emerging</v>
      </c>
      <c r="AE42" t="str">
        <f>VLOOKUP($A42,regions_full!$A$2:$AI$267,MATCH(polities_cats!AE$1,$A$1:$AN$1,0),0)</f>
        <v>Annex_II</v>
      </c>
      <c r="AF42" t="str">
        <f>VLOOKUP($A42,regions_full!$A$2:$AI$267,MATCH(polities_cats!AF$1,$A$1:$AN$1,0),0)</f>
        <v>Caribbean &amp; Centra Am.</v>
      </c>
      <c r="AG42" t="str">
        <f>VLOOKUP($A42,regions_full!$A$2:$AI$267,MATCH(polities_cats!AG$1,$A$1:$AN$1,0),0)</f>
        <v>LACA</v>
      </c>
      <c r="AH42" t="str">
        <f>VLOOKUP($A42,regions_full!$A$2:$AI$267,MATCH(polities_cats!AH$1,$A$1:$AN$1,0),0)</f>
        <v>no_mech</v>
      </c>
      <c r="AI42" t="str">
        <f>VLOOKUP($A42,regions_full!$A$2:$AI$267,MATCH(polities_cats!AI$1,$A$1:$AN$1,0),0)</f>
        <v>Other</v>
      </c>
      <c r="AJ42" t="e">
        <f>VLOOKUP($A42,regions_full!$A$2:$AI$267,MATCH(polities_cats!AJ$1,$A$1:$AN$1,0),0)</f>
        <v>#REF!</v>
      </c>
      <c r="AK42" t="e">
        <f>VLOOKUP($A42,regions_full!$A$2:$AI$267,MATCH(polities_cats!AK$1,$A$1:$AN$1,0),0)</f>
        <v>#REF!</v>
      </c>
      <c r="AL42" t="e">
        <f>VLOOKUP($A42,regions_full!$A$2:$AI$267,MATCH(polities_cats!AL$1,$A$1:$AN$1,0),0)</f>
        <v>#REF!</v>
      </c>
      <c r="AM42" t="e">
        <f>VLOOKUP($A42,regions_full!$A$2:$AI$267,MATCH(polities_cats!AM$1,$A$1:$AN$1,0),0)</f>
        <v>#REF!</v>
      </c>
      <c r="AN42" t="e">
        <f>VLOOKUP($A42,regions_full!$A$2:$AI$267,MATCH(polities_cats!AN$1,$A$1:$AN$1,0),0)</f>
        <v>#REF!</v>
      </c>
    </row>
    <row r="43" spans="1:40" x14ac:dyDescent="0.3">
      <c r="A43" t="str">
        <f>polities_whep!A43</f>
        <v>HRV</v>
      </c>
      <c r="B43" t="str">
        <f>polities_whep!B43</f>
        <v>Croatia</v>
      </c>
      <c r="C43">
        <f>VLOOKUP($A43,regions_full!$A$2:$AI$267,MATCH(polities_cats!C$1,$A$1:$AN$1,0),0)</f>
        <v>95</v>
      </c>
      <c r="D43">
        <f>VLOOKUP($A43,regions_full!$A$2:$AI$267,MATCH(polities_cats!D$1,$A$1:$AN$1,0),0)</f>
        <v>98</v>
      </c>
      <c r="E43" t="str">
        <f>VLOOKUP($A43,regions_full!$A$2:$AI$267,MATCH(polities_cats!E$1,$A$1:$AN$1,0),0)</f>
        <v>HRV</v>
      </c>
      <c r="F43" t="str">
        <f>VLOOKUP($A43,regions_full!$A$2:$AI$267,MATCH(polities_cats!F$1,$A$1:$AN$1,0),0)</f>
        <v>Croatia</v>
      </c>
      <c r="G43" t="str">
        <f>VLOOKUP($A43,regions_full!$A$2:$AI$267,MATCH(polities_cats!G$1,$A$1:$AN$1,0),0)</f>
        <v>TRUE</v>
      </c>
      <c r="H43" t="str">
        <f>VLOOKUP($A43,regions_full!$A$2:$AI$267,MATCH(polities_cats!H$1,$A$1:$AN$1,0),0)</f>
        <v>Croatia</v>
      </c>
      <c r="I43" t="str">
        <f>VLOOKUP($A43,regions_full!$A$2:$AI$267,MATCH(polities_cats!I$1,$A$1:$AN$1,0),0)</f>
        <v>Croatia</v>
      </c>
      <c r="J43" t="str">
        <f>VLOOKUP($A43,regions_full!$A$2:$AI$267,MATCH(polities_cats!J$1,$A$1:$AN$1,0),0)</f>
        <v>Croatia</v>
      </c>
      <c r="K43">
        <f>VLOOKUP($A43,regions_full!$A$2:$AI$267,MATCH(polities_cats!K$1,$A$1:$AN$1,0),0)</f>
        <v>98</v>
      </c>
      <c r="L43" t="str">
        <f>VLOOKUP($A43,regions_full!$A$2:$AI$267,MATCH(polities_cats!L$1,$A$1:$AN$1,0),0)</f>
        <v>Croatia</v>
      </c>
      <c r="M43">
        <f>VLOOKUP($A43,regions_full!$A$2:$AI$267,MATCH(polities_cats!M$1,$A$1:$AN$1,0),0)</f>
        <v>191</v>
      </c>
      <c r="N43">
        <f>VLOOKUP($A43,regions_full!$A$2:$AI$267,MATCH(polities_cats!N$1,$A$1:$AN$1,0),0)</f>
        <v>191</v>
      </c>
      <c r="O43">
        <f>VLOOKUP($A43,regions_full!$A$2:$AI$267,MATCH(polities_cats!O$1,$A$1:$AN$1,0),0)</f>
        <v>10</v>
      </c>
      <c r="P43" t="str">
        <f>VLOOKUP($A43,regions_full!$A$2:$AI$267,MATCH(polities_cats!P$1,$A$1:$AN$1,0),0)</f>
        <v>TRUE</v>
      </c>
      <c r="Q43">
        <f>VLOOKUP($A43,regions_full!$A$2:$AI$267,MATCH(polities_cats!Q$1,$A$1:$AN$1,0),0)</f>
        <v>98</v>
      </c>
      <c r="R43" t="str">
        <f>VLOOKUP($A43,regions_full!$A$2:$AI$267,MATCH(polities_cats!R$1,$A$1:$AN$1,0),0)</f>
        <v>HR</v>
      </c>
      <c r="S43" t="str">
        <f>VLOOKUP($A43,regions_full!$A$2:$AI$267,MATCH(polities_cats!S$1,$A$1:$AN$1,0),0)</f>
        <v>Eastern Europe</v>
      </c>
      <c r="T43">
        <f>VLOOKUP($A43,regions_full!$A$2:$AI$267,MATCH(polities_cats!T$1,$A$1:$AN$1,0),0)</f>
        <v>1</v>
      </c>
      <c r="U43" t="str">
        <f>VLOOKUP($A43,regions_full!$A$2:$AI$267,MATCH(polities_cats!U$1,$A$1:$AN$1,0),0)</f>
        <v>Croatia</v>
      </c>
      <c r="V43" t="str">
        <f>VLOOKUP($A43,regions_full!$A$2:$AI$267,MATCH(polities_cats!V$1,$A$1:$AN$1,0),0)</f>
        <v>Eastern and South Eastern Europe</v>
      </c>
      <c r="W43" t="str">
        <f>VLOOKUP($A43,regions_full!$A$2:$AI$267,MATCH(polities_cats!W$1,$A$1:$AN$1,0),0)</f>
        <v>East Europe</v>
      </c>
      <c r="X43" t="str">
        <f>VLOOKUP($A43,regions_full!$A$2:$AI$267,MATCH(polities_cats!X$1,$A$1:$AN$1,0),0)</f>
        <v>Europe</v>
      </c>
      <c r="Y43" t="str">
        <f>VLOOKUP($A43,regions_full!$A$2:$AI$267,MATCH(polities_cats!Y$1,$A$1:$AN$1,0),0)</f>
        <v>Southern Europe</v>
      </c>
      <c r="Z43" t="str">
        <f>VLOOKUP($A43,regions_full!$A$2:$AI$267,MATCH(polities_cats!Z$1,$A$1:$AN$1,0),0)</f>
        <v>Europe</v>
      </c>
      <c r="AA43" t="str">
        <f>VLOOKUP($A43,regions_full!$A$2:$AI$267,MATCH(polities_cats!AA$1,$A$1:$AN$1,0),0)</f>
        <v>Europe and Central Asia</v>
      </c>
      <c r="AB43" t="str">
        <f>VLOOKUP($A43,regions_full!$A$2:$AI$267,MATCH(polities_cats!AB$1,$A$1:$AN$1,0),0)</f>
        <v>Northern, Southern and Western Europe</v>
      </c>
      <c r="AC43" t="str">
        <f>VLOOKUP($A43,regions_full!$A$2:$AI$267,MATCH(polities_cats!AC$1,$A$1:$AN$1,0),0)</f>
        <v>Southern Europe</v>
      </c>
      <c r="AD43" t="str">
        <f>VLOOKUP($A43,regions_full!$A$2:$AI$267,MATCH(polities_cats!AD$1,$A$1:$AN$1,0),0)</f>
        <v>Emerging</v>
      </c>
      <c r="AE43" t="str">
        <f>VLOOKUP($A43,regions_full!$A$2:$AI$267,MATCH(polities_cats!AE$1,$A$1:$AN$1,0),0)</f>
        <v>Annex_II</v>
      </c>
      <c r="AF43" t="str">
        <f>VLOOKUP($A43,regions_full!$A$2:$AI$267,MATCH(polities_cats!AF$1,$A$1:$AN$1,0),0)</f>
        <v>Southern Europe</v>
      </c>
      <c r="AG43" t="str">
        <f>VLOOKUP($A43,regions_full!$A$2:$AI$267,MATCH(polities_cats!AG$1,$A$1:$AN$1,0),0)</f>
        <v>Europe</v>
      </c>
      <c r="AH43" t="str">
        <f>VLOOKUP($A43,regions_full!$A$2:$AI$267,MATCH(polities_cats!AH$1,$A$1:$AN$1,0),0)</f>
        <v>mech</v>
      </c>
      <c r="AI43" t="str">
        <f>VLOOKUP($A43,regions_full!$A$2:$AI$267,MATCH(polities_cats!AI$1,$A$1:$AN$1,0),0)</f>
        <v>Europe</v>
      </c>
      <c r="AJ43" t="e">
        <f>VLOOKUP($A43,regions_full!$A$2:$AI$267,MATCH(polities_cats!AJ$1,$A$1:$AN$1,0),0)</f>
        <v>#REF!</v>
      </c>
      <c r="AK43" t="e">
        <f>VLOOKUP($A43,regions_full!$A$2:$AI$267,MATCH(polities_cats!AK$1,$A$1:$AN$1,0),0)</f>
        <v>#REF!</v>
      </c>
      <c r="AL43" t="e">
        <f>VLOOKUP($A43,regions_full!$A$2:$AI$267,MATCH(polities_cats!AL$1,$A$1:$AN$1,0),0)</f>
        <v>#REF!</v>
      </c>
      <c r="AM43" t="e">
        <f>VLOOKUP($A43,regions_full!$A$2:$AI$267,MATCH(polities_cats!AM$1,$A$1:$AN$1,0),0)</f>
        <v>#REF!</v>
      </c>
      <c r="AN43" t="e">
        <f>VLOOKUP($A43,regions_full!$A$2:$AI$267,MATCH(polities_cats!AN$1,$A$1:$AN$1,0),0)</f>
        <v>#REF!</v>
      </c>
    </row>
    <row r="44" spans="1:40" x14ac:dyDescent="0.3">
      <c r="A44" t="str">
        <f>polities_whep!A44</f>
        <v>CUB</v>
      </c>
      <c r="B44" t="str">
        <f>polities_whep!B44</f>
        <v>Cuba</v>
      </c>
      <c r="C44">
        <f>VLOOKUP($A44,regions_full!$A$2:$AI$267,MATCH(polities_cats!C$1,$A$1:$AN$1,0),0)</f>
        <v>49</v>
      </c>
      <c r="D44">
        <f>VLOOKUP($A44,regions_full!$A$2:$AI$267,MATCH(polities_cats!D$1,$A$1:$AN$1,0),0)</f>
        <v>49</v>
      </c>
      <c r="E44" t="str">
        <f>VLOOKUP($A44,regions_full!$A$2:$AI$267,MATCH(polities_cats!E$1,$A$1:$AN$1,0),0)</f>
        <v>CUB</v>
      </c>
      <c r="F44" t="str">
        <f>VLOOKUP($A44,regions_full!$A$2:$AI$267,MATCH(polities_cats!F$1,$A$1:$AN$1,0),0)</f>
        <v>Cuba</v>
      </c>
      <c r="G44" t="str">
        <f>VLOOKUP($A44,regions_full!$A$2:$AI$267,MATCH(polities_cats!G$1,$A$1:$AN$1,0),0)</f>
        <v>FALSE</v>
      </c>
      <c r="H44" t="str">
        <f>VLOOKUP($A44,regions_full!$A$2:$AI$267,MATCH(polities_cats!H$1,$A$1:$AN$1,0),0)</f>
        <v>Cuba</v>
      </c>
      <c r="I44" t="str">
        <f>VLOOKUP($A44,regions_full!$A$2:$AI$267,MATCH(polities_cats!I$1,$A$1:$AN$1,0),0)</f>
        <v>Cuba</v>
      </c>
      <c r="J44" t="str">
        <f>VLOOKUP($A44,regions_full!$A$2:$AI$267,MATCH(polities_cats!J$1,$A$1:$AN$1,0),0)</f>
        <v>Cuba</v>
      </c>
      <c r="K44">
        <f>VLOOKUP($A44,regions_full!$A$2:$AI$267,MATCH(polities_cats!K$1,$A$1:$AN$1,0),0)</f>
        <v>49</v>
      </c>
      <c r="L44" t="str">
        <f>VLOOKUP($A44,regions_full!$A$2:$AI$267,MATCH(polities_cats!L$1,$A$1:$AN$1,0),0)</f>
        <v>Cuba</v>
      </c>
      <c r="M44">
        <f>VLOOKUP($A44,regions_full!$A$2:$AI$267,MATCH(polities_cats!M$1,$A$1:$AN$1,0),0)</f>
        <v>192</v>
      </c>
      <c r="N44">
        <f>VLOOKUP($A44,regions_full!$A$2:$AI$267,MATCH(polities_cats!N$1,$A$1:$AN$1,0),0)</f>
        <v>192</v>
      </c>
      <c r="O44">
        <f>VLOOKUP($A44,regions_full!$A$2:$AI$267,MATCH(polities_cats!O$1,$A$1:$AN$1,0),0)</f>
        <v>3</v>
      </c>
      <c r="P44" t="str">
        <f>VLOOKUP($A44,regions_full!$A$2:$AI$267,MATCH(polities_cats!P$1,$A$1:$AN$1,0),0)</f>
        <v>TRUE</v>
      </c>
      <c r="Q44">
        <f>VLOOKUP($A44,regions_full!$A$2:$AI$267,MATCH(polities_cats!Q$1,$A$1:$AN$1,0),0)</f>
        <v>49</v>
      </c>
      <c r="R44" t="str">
        <f>VLOOKUP($A44,regions_full!$A$2:$AI$267,MATCH(polities_cats!R$1,$A$1:$AN$1,0),0)</f>
        <v/>
      </c>
      <c r="S44" t="str">
        <f>VLOOKUP($A44,regions_full!$A$2:$AI$267,MATCH(polities_cats!S$1,$A$1:$AN$1,0),0)</f>
        <v>Central America</v>
      </c>
      <c r="T44">
        <f>VLOOKUP($A44,regions_full!$A$2:$AI$267,MATCH(polities_cats!T$1,$A$1:$AN$1,0),0)</f>
        <v>1</v>
      </c>
      <c r="U44" t="str">
        <f>VLOOKUP($A44,regions_full!$A$2:$AI$267,MATCH(polities_cats!U$1,$A$1:$AN$1,0),0)</f>
        <v>Cuba</v>
      </c>
      <c r="V44" t="str">
        <f>VLOOKUP($A44,regions_full!$A$2:$AI$267,MATCH(polities_cats!V$1,$A$1:$AN$1,0),0)</f>
        <v>Latin America and the Caribbean</v>
      </c>
      <c r="W44" t="str">
        <f>VLOOKUP($A44,regions_full!$A$2:$AI$267,MATCH(polities_cats!W$1,$A$1:$AN$1,0),0)</f>
        <v>Latin America and Caribbean</v>
      </c>
      <c r="X44" t="str">
        <f>VLOOKUP($A44,regions_full!$A$2:$AI$267,MATCH(polities_cats!X$1,$A$1:$AN$1,0),0)</f>
        <v>LACA</v>
      </c>
      <c r="Y44" t="str">
        <f>VLOOKUP($A44,regions_full!$A$2:$AI$267,MATCH(polities_cats!Y$1,$A$1:$AN$1,0),0)</f>
        <v>Latin America and the Caribbean</v>
      </c>
      <c r="Z44" t="str">
        <f>VLOOKUP($A44,regions_full!$A$2:$AI$267,MATCH(polities_cats!Z$1,$A$1:$AN$1,0),0)</f>
        <v>Americas</v>
      </c>
      <c r="AA44" t="str">
        <f>VLOOKUP($A44,regions_full!$A$2:$AI$267,MATCH(polities_cats!AA$1,$A$1:$AN$1,0),0)</f>
        <v>Americas</v>
      </c>
      <c r="AB44" t="str">
        <f>VLOOKUP($A44,regions_full!$A$2:$AI$267,MATCH(polities_cats!AB$1,$A$1:$AN$1,0),0)</f>
        <v>Latin America and the Caribbean</v>
      </c>
      <c r="AC44" t="str">
        <f>VLOOKUP($A44,regions_full!$A$2:$AI$267,MATCH(polities_cats!AC$1,$A$1:$AN$1,0),0)</f>
        <v>Caribbean</v>
      </c>
      <c r="AD44" t="str">
        <f>VLOOKUP($A44,regions_full!$A$2:$AI$267,MATCH(polities_cats!AD$1,$A$1:$AN$1,0),0)</f>
        <v>Emerging</v>
      </c>
      <c r="AE44" t="str">
        <f>VLOOKUP($A44,regions_full!$A$2:$AI$267,MATCH(polities_cats!AE$1,$A$1:$AN$1,0),0)</f>
        <v>Annex_II</v>
      </c>
      <c r="AF44" t="str">
        <f>VLOOKUP($A44,regions_full!$A$2:$AI$267,MATCH(polities_cats!AF$1,$A$1:$AN$1,0),0)</f>
        <v>Caribbean &amp; Centra Am.</v>
      </c>
      <c r="AG44" t="str">
        <f>VLOOKUP($A44,regions_full!$A$2:$AI$267,MATCH(polities_cats!AG$1,$A$1:$AN$1,0),0)</f>
        <v>LACA</v>
      </c>
      <c r="AH44" t="str">
        <f>VLOOKUP($A44,regions_full!$A$2:$AI$267,MATCH(polities_cats!AH$1,$A$1:$AN$1,0),0)</f>
        <v>no_mech</v>
      </c>
      <c r="AI44" t="str">
        <f>VLOOKUP($A44,regions_full!$A$2:$AI$267,MATCH(polities_cats!AI$1,$A$1:$AN$1,0),0)</f>
        <v>Other</v>
      </c>
      <c r="AJ44" t="e">
        <f>VLOOKUP($A44,regions_full!$A$2:$AI$267,MATCH(polities_cats!AJ$1,$A$1:$AN$1,0),0)</f>
        <v>#REF!</v>
      </c>
      <c r="AK44" t="e">
        <f>VLOOKUP($A44,regions_full!$A$2:$AI$267,MATCH(polities_cats!AK$1,$A$1:$AN$1,0),0)</f>
        <v>#REF!</v>
      </c>
      <c r="AL44" t="e">
        <f>VLOOKUP($A44,regions_full!$A$2:$AI$267,MATCH(polities_cats!AL$1,$A$1:$AN$1,0),0)</f>
        <v>#REF!</v>
      </c>
      <c r="AM44" t="e">
        <f>VLOOKUP($A44,regions_full!$A$2:$AI$267,MATCH(polities_cats!AM$1,$A$1:$AN$1,0),0)</f>
        <v>#REF!</v>
      </c>
      <c r="AN44" t="e">
        <f>VLOOKUP($A44,regions_full!$A$2:$AI$267,MATCH(polities_cats!AN$1,$A$1:$AN$1,0),0)</f>
        <v>#REF!</v>
      </c>
    </row>
    <row r="45" spans="1:40" x14ac:dyDescent="0.3">
      <c r="A45" t="str">
        <f>polities_whep!A45</f>
        <v>CYP</v>
      </c>
      <c r="B45" t="str">
        <f>polities_whep!B45</f>
        <v>Cyprus</v>
      </c>
      <c r="C45">
        <f>VLOOKUP($A45,regions_full!$A$2:$AI$267,MATCH(polities_cats!C$1,$A$1:$AN$1,0),0)</f>
        <v>50</v>
      </c>
      <c r="D45">
        <f>VLOOKUP($A45,regions_full!$A$2:$AI$267,MATCH(polities_cats!D$1,$A$1:$AN$1,0),0)</f>
        <v>50</v>
      </c>
      <c r="E45" t="str">
        <f>VLOOKUP($A45,regions_full!$A$2:$AI$267,MATCH(polities_cats!E$1,$A$1:$AN$1,0),0)</f>
        <v>CYP</v>
      </c>
      <c r="F45" t="str">
        <f>VLOOKUP($A45,regions_full!$A$2:$AI$267,MATCH(polities_cats!F$1,$A$1:$AN$1,0),0)</f>
        <v>Cyprus</v>
      </c>
      <c r="G45" t="str">
        <f>VLOOKUP($A45,regions_full!$A$2:$AI$267,MATCH(polities_cats!G$1,$A$1:$AN$1,0),0)</f>
        <v>TRUE</v>
      </c>
      <c r="H45" t="str">
        <f>VLOOKUP($A45,regions_full!$A$2:$AI$267,MATCH(polities_cats!H$1,$A$1:$AN$1,0),0)</f>
        <v>Cyprus</v>
      </c>
      <c r="I45" t="str">
        <f>VLOOKUP($A45,regions_full!$A$2:$AI$267,MATCH(polities_cats!I$1,$A$1:$AN$1,0),0)</f>
        <v>Cyprus</v>
      </c>
      <c r="J45" t="str">
        <f>VLOOKUP($A45,regions_full!$A$2:$AI$267,MATCH(polities_cats!J$1,$A$1:$AN$1,0),0)</f>
        <v>Cyprus</v>
      </c>
      <c r="K45">
        <f>VLOOKUP($A45,regions_full!$A$2:$AI$267,MATCH(polities_cats!K$1,$A$1:$AN$1,0),0)</f>
        <v>50</v>
      </c>
      <c r="L45" t="str">
        <f>VLOOKUP($A45,regions_full!$A$2:$AI$267,MATCH(polities_cats!L$1,$A$1:$AN$1,0),0)</f>
        <v>Cyprus</v>
      </c>
      <c r="M45">
        <f>VLOOKUP($A45,regions_full!$A$2:$AI$267,MATCH(polities_cats!M$1,$A$1:$AN$1,0),0)</f>
        <v>196</v>
      </c>
      <c r="N45">
        <f>VLOOKUP($A45,regions_full!$A$2:$AI$267,MATCH(polities_cats!N$1,$A$1:$AN$1,0),0)</f>
        <v>196</v>
      </c>
      <c r="O45">
        <f>VLOOKUP($A45,regions_full!$A$2:$AI$267,MATCH(polities_cats!O$1,$A$1:$AN$1,0),0)</f>
        <v>12</v>
      </c>
      <c r="P45" t="str">
        <f>VLOOKUP($A45,regions_full!$A$2:$AI$267,MATCH(polities_cats!P$1,$A$1:$AN$1,0),0)</f>
        <v>TRUE</v>
      </c>
      <c r="Q45">
        <f>VLOOKUP($A45,regions_full!$A$2:$AI$267,MATCH(polities_cats!Q$1,$A$1:$AN$1,0),0)</f>
        <v>50</v>
      </c>
      <c r="R45" t="str">
        <f>VLOOKUP($A45,regions_full!$A$2:$AI$267,MATCH(polities_cats!R$1,$A$1:$AN$1,0),0)</f>
        <v/>
      </c>
      <c r="S45" t="str">
        <f>VLOOKUP($A45,regions_full!$A$2:$AI$267,MATCH(polities_cats!S$1,$A$1:$AN$1,0),0)</f>
        <v>Middle East</v>
      </c>
      <c r="T45">
        <f>VLOOKUP($A45,regions_full!$A$2:$AI$267,MATCH(polities_cats!T$1,$A$1:$AN$1,0),0)</f>
        <v>1</v>
      </c>
      <c r="U45" t="str">
        <f>VLOOKUP($A45,regions_full!$A$2:$AI$267,MATCH(polities_cats!U$1,$A$1:$AN$1,0),0)</f>
        <v>Cyprus</v>
      </c>
      <c r="V45" t="str">
        <f>VLOOKUP($A45,regions_full!$A$2:$AI$267,MATCH(polities_cats!V$1,$A$1:$AN$1,0),0)</f>
        <v>Northern Africa and Western Asia</v>
      </c>
      <c r="W45" t="str">
        <f>VLOOKUP($A45,regions_full!$A$2:$AI$267,MATCH(polities_cats!W$1,$A$1:$AN$1,0),0)</f>
        <v>North Africa and West Asia</v>
      </c>
      <c r="X45" t="str">
        <f>VLOOKUP($A45,regions_full!$A$2:$AI$267,MATCH(polities_cats!X$1,$A$1:$AN$1,0),0)</f>
        <v>MENA</v>
      </c>
      <c r="Y45" t="str">
        <f>VLOOKUP($A45,regions_full!$A$2:$AI$267,MATCH(polities_cats!Y$1,$A$1:$AN$1,0),0)</f>
        <v>Western Asia</v>
      </c>
      <c r="Z45" t="str">
        <f>VLOOKUP($A45,regions_full!$A$2:$AI$267,MATCH(polities_cats!Z$1,$A$1:$AN$1,0),0)</f>
        <v>Asia</v>
      </c>
      <c r="AA45" t="str">
        <f>VLOOKUP($A45,regions_full!$A$2:$AI$267,MATCH(polities_cats!AA$1,$A$1:$AN$1,0),0)</f>
        <v>Europe and Central Asia</v>
      </c>
      <c r="AB45" t="str">
        <f>VLOOKUP($A45,regions_full!$A$2:$AI$267,MATCH(polities_cats!AB$1,$A$1:$AN$1,0),0)</f>
        <v>Central and Western Asia</v>
      </c>
      <c r="AC45" t="str">
        <f>VLOOKUP($A45,regions_full!$A$2:$AI$267,MATCH(polities_cats!AC$1,$A$1:$AN$1,0),0)</f>
        <v>Western Asia</v>
      </c>
      <c r="AD45" t="str">
        <f>VLOOKUP($A45,regions_full!$A$2:$AI$267,MATCH(polities_cats!AD$1,$A$1:$AN$1,0),0)</f>
        <v>Emerging</v>
      </c>
      <c r="AE45" t="str">
        <f>VLOOKUP($A45,regions_full!$A$2:$AI$267,MATCH(polities_cats!AE$1,$A$1:$AN$1,0),0)</f>
        <v>Annex_II</v>
      </c>
      <c r="AF45" t="str">
        <f>VLOOKUP($A45,regions_full!$A$2:$AI$267,MATCH(polities_cats!AF$1,$A$1:$AN$1,0),0)</f>
        <v>Western Asia</v>
      </c>
      <c r="AG45" t="str">
        <f>VLOOKUP($A45,regions_full!$A$2:$AI$267,MATCH(polities_cats!AG$1,$A$1:$AN$1,0),0)</f>
        <v>MENA</v>
      </c>
      <c r="AH45" t="str">
        <f>VLOOKUP($A45,regions_full!$A$2:$AI$267,MATCH(polities_cats!AH$1,$A$1:$AN$1,0),0)</f>
        <v>no_mech</v>
      </c>
      <c r="AI45" t="str">
        <f>VLOOKUP($A45,regions_full!$A$2:$AI$267,MATCH(polities_cats!AI$1,$A$1:$AN$1,0),0)</f>
        <v>Other</v>
      </c>
      <c r="AJ45" t="e">
        <f>VLOOKUP($A45,regions_full!$A$2:$AI$267,MATCH(polities_cats!AJ$1,$A$1:$AN$1,0),0)</f>
        <v>#REF!</v>
      </c>
      <c r="AK45" t="e">
        <f>VLOOKUP($A45,regions_full!$A$2:$AI$267,MATCH(polities_cats!AK$1,$A$1:$AN$1,0),0)</f>
        <v>#REF!</v>
      </c>
      <c r="AL45" t="e">
        <f>VLOOKUP($A45,regions_full!$A$2:$AI$267,MATCH(polities_cats!AL$1,$A$1:$AN$1,0),0)</f>
        <v>#REF!</v>
      </c>
      <c r="AM45" t="e">
        <f>VLOOKUP($A45,regions_full!$A$2:$AI$267,MATCH(polities_cats!AM$1,$A$1:$AN$1,0),0)</f>
        <v>#REF!</v>
      </c>
      <c r="AN45" t="e">
        <f>VLOOKUP($A45,regions_full!$A$2:$AI$267,MATCH(polities_cats!AN$1,$A$1:$AN$1,0),0)</f>
        <v>#REF!</v>
      </c>
    </row>
    <row r="46" spans="1:40" x14ac:dyDescent="0.3">
      <c r="A46" t="str">
        <f>polities_whep!A46</f>
        <v>CZE</v>
      </c>
      <c r="B46" t="str">
        <f>polities_whep!B46</f>
        <v>Czechia</v>
      </c>
      <c r="C46">
        <f>VLOOKUP($A46,regions_full!$A$2:$AI$267,MATCH(polities_cats!C$1,$A$1:$AN$1,0),0)</f>
        <v>164</v>
      </c>
      <c r="D46">
        <f>VLOOKUP($A46,regions_full!$A$2:$AI$267,MATCH(polities_cats!D$1,$A$1:$AN$1,0),0)</f>
        <v>167</v>
      </c>
      <c r="E46" t="str">
        <f>VLOOKUP($A46,regions_full!$A$2:$AI$267,MATCH(polities_cats!E$1,$A$1:$AN$1,0),0)</f>
        <v>CZE</v>
      </c>
      <c r="F46" t="str">
        <f>VLOOKUP($A46,regions_full!$A$2:$AI$267,MATCH(polities_cats!F$1,$A$1:$AN$1,0),0)</f>
        <v>Czechia</v>
      </c>
      <c r="G46" t="str">
        <f>VLOOKUP($A46,regions_full!$A$2:$AI$267,MATCH(polities_cats!G$1,$A$1:$AN$1,0),0)</f>
        <v>TRUE</v>
      </c>
      <c r="H46" t="str">
        <f>VLOOKUP($A46,regions_full!$A$2:$AI$267,MATCH(polities_cats!H$1,$A$1:$AN$1,0),0)</f>
        <v>Czech Republic</v>
      </c>
      <c r="I46" t="str">
        <f>VLOOKUP($A46,regions_full!$A$2:$AI$267,MATCH(polities_cats!I$1,$A$1:$AN$1,0),0)</f>
        <v>Czech Republic</v>
      </c>
      <c r="J46" t="str">
        <f>VLOOKUP($A46,regions_full!$A$2:$AI$267,MATCH(polities_cats!J$1,$A$1:$AN$1,0),0)</f>
        <v>Czech Republic</v>
      </c>
      <c r="K46">
        <f>VLOOKUP($A46,regions_full!$A$2:$AI$267,MATCH(polities_cats!K$1,$A$1:$AN$1,0),0)</f>
        <v>167</v>
      </c>
      <c r="L46" t="str">
        <f>VLOOKUP($A46,regions_full!$A$2:$AI$267,MATCH(polities_cats!L$1,$A$1:$AN$1,0),0)</f>
        <v>Czech Republic</v>
      </c>
      <c r="M46">
        <f>VLOOKUP($A46,regions_full!$A$2:$AI$267,MATCH(polities_cats!M$1,$A$1:$AN$1,0),0)</f>
        <v>203</v>
      </c>
      <c r="N46">
        <f>VLOOKUP($A46,regions_full!$A$2:$AI$267,MATCH(polities_cats!N$1,$A$1:$AN$1,0),0)</f>
        <v>203</v>
      </c>
      <c r="O46">
        <f>VLOOKUP($A46,regions_full!$A$2:$AI$267,MATCH(polities_cats!O$1,$A$1:$AN$1,0),0)</f>
        <v>10</v>
      </c>
      <c r="P46" t="str">
        <f>VLOOKUP($A46,regions_full!$A$2:$AI$267,MATCH(polities_cats!P$1,$A$1:$AN$1,0),0)</f>
        <v>TRUE</v>
      </c>
      <c r="Q46">
        <f>VLOOKUP($A46,regions_full!$A$2:$AI$267,MATCH(polities_cats!Q$1,$A$1:$AN$1,0),0)</f>
        <v>167</v>
      </c>
      <c r="R46" t="str">
        <f>VLOOKUP($A46,regions_full!$A$2:$AI$267,MATCH(polities_cats!R$1,$A$1:$AN$1,0),0)</f>
        <v>CZ</v>
      </c>
      <c r="S46" t="str">
        <f>VLOOKUP($A46,regions_full!$A$2:$AI$267,MATCH(polities_cats!S$1,$A$1:$AN$1,0),0)</f>
        <v>Eastern Europe</v>
      </c>
      <c r="T46">
        <f>VLOOKUP($A46,regions_full!$A$2:$AI$267,MATCH(polities_cats!T$1,$A$1:$AN$1,0),0)</f>
        <v>1</v>
      </c>
      <c r="U46" t="str">
        <f>VLOOKUP($A46,regions_full!$A$2:$AI$267,MATCH(polities_cats!U$1,$A$1:$AN$1,0),0)</f>
        <v>Czech Republic</v>
      </c>
      <c r="V46" t="str">
        <f>VLOOKUP($A46,regions_full!$A$2:$AI$267,MATCH(polities_cats!V$1,$A$1:$AN$1,0),0)</f>
        <v>Eastern and South Eastern Europe</v>
      </c>
      <c r="W46" t="str">
        <f>VLOOKUP($A46,regions_full!$A$2:$AI$267,MATCH(polities_cats!W$1,$A$1:$AN$1,0),0)</f>
        <v>East Europe</v>
      </c>
      <c r="X46" t="str">
        <f>VLOOKUP($A46,regions_full!$A$2:$AI$267,MATCH(polities_cats!X$1,$A$1:$AN$1,0),0)</f>
        <v>Europe</v>
      </c>
      <c r="Y46" t="str">
        <f>VLOOKUP($A46,regions_full!$A$2:$AI$267,MATCH(polities_cats!Y$1,$A$1:$AN$1,0),0)</f>
        <v>Eastern Europe</v>
      </c>
      <c r="Z46" t="str">
        <f>VLOOKUP($A46,regions_full!$A$2:$AI$267,MATCH(polities_cats!Z$1,$A$1:$AN$1,0),0)</f>
        <v>Europe</v>
      </c>
      <c r="AA46" t="str">
        <f>VLOOKUP($A46,regions_full!$A$2:$AI$267,MATCH(polities_cats!AA$1,$A$1:$AN$1,0),0)</f>
        <v>Europe and Central Asia</v>
      </c>
      <c r="AB46" t="str">
        <f>VLOOKUP($A46,regions_full!$A$2:$AI$267,MATCH(polities_cats!AB$1,$A$1:$AN$1,0),0)</f>
        <v>Eastern Europe</v>
      </c>
      <c r="AC46" t="str">
        <f>VLOOKUP($A46,regions_full!$A$2:$AI$267,MATCH(polities_cats!AC$1,$A$1:$AN$1,0),0)</f>
        <v>Eastern Europe</v>
      </c>
      <c r="AD46" t="str">
        <f>VLOOKUP($A46,regions_full!$A$2:$AI$267,MATCH(polities_cats!AD$1,$A$1:$AN$1,0),0)</f>
        <v>Advanced</v>
      </c>
      <c r="AE46" t="str">
        <f>VLOOKUP($A46,regions_full!$A$2:$AI$267,MATCH(polities_cats!AE$1,$A$1:$AN$1,0),0)</f>
        <v>Annex_I</v>
      </c>
      <c r="AF46" t="str">
        <f>VLOOKUP($A46,regions_full!$A$2:$AI$267,MATCH(polities_cats!AF$1,$A$1:$AN$1,0),0)</f>
        <v>Eastern Europe</v>
      </c>
      <c r="AG46" t="str">
        <f>VLOOKUP($A46,regions_full!$A$2:$AI$267,MATCH(polities_cats!AG$1,$A$1:$AN$1,0),0)</f>
        <v>Europe</v>
      </c>
      <c r="AH46" t="str">
        <f>VLOOKUP($A46,regions_full!$A$2:$AI$267,MATCH(polities_cats!AH$1,$A$1:$AN$1,0),0)</f>
        <v>mech</v>
      </c>
      <c r="AI46" t="str">
        <f>VLOOKUP($A46,regions_full!$A$2:$AI$267,MATCH(polities_cats!AI$1,$A$1:$AN$1,0),0)</f>
        <v>Europe</v>
      </c>
      <c r="AJ46" t="e">
        <f>VLOOKUP($A46,regions_full!$A$2:$AI$267,MATCH(polities_cats!AJ$1,$A$1:$AN$1,0),0)</f>
        <v>#REF!</v>
      </c>
      <c r="AK46" t="e">
        <f>VLOOKUP($A46,regions_full!$A$2:$AI$267,MATCH(polities_cats!AK$1,$A$1:$AN$1,0),0)</f>
        <v>#REF!</v>
      </c>
      <c r="AL46" t="e">
        <f>VLOOKUP($A46,regions_full!$A$2:$AI$267,MATCH(polities_cats!AL$1,$A$1:$AN$1,0),0)</f>
        <v>#REF!</v>
      </c>
      <c r="AM46" t="e">
        <f>VLOOKUP($A46,regions_full!$A$2:$AI$267,MATCH(polities_cats!AM$1,$A$1:$AN$1,0),0)</f>
        <v>#REF!</v>
      </c>
      <c r="AN46" t="e">
        <f>VLOOKUP($A46,regions_full!$A$2:$AI$267,MATCH(polities_cats!AN$1,$A$1:$AN$1,0),0)</f>
        <v>#REF!</v>
      </c>
    </row>
    <row r="47" spans="1:40" x14ac:dyDescent="0.3">
      <c r="A47" t="str">
        <f>polities_whep!A47</f>
        <v>CSK</v>
      </c>
      <c r="B47" t="str">
        <f>polities_whep!B47</f>
        <v>Czechoslovakia</v>
      </c>
      <c r="C47">
        <f>VLOOKUP($A47,regions_full!$A$2:$AI$267,MATCH(polities_cats!C$1,$A$1:$AN$1,0),0)</f>
        <v>51</v>
      </c>
      <c r="D47">
        <f>VLOOKUP($A47,regions_full!$A$2:$AI$267,MATCH(polities_cats!D$1,$A$1:$AN$1,0),0)</f>
        <v>51</v>
      </c>
      <c r="E47" t="str">
        <f>VLOOKUP($A47,regions_full!$A$2:$AI$267,MATCH(polities_cats!E$1,$A$1:$AN$1,0),0)</f>
        <v>CSK</v>
      </c>
      <c r="F47" t="str">
        <f>VLOOKUP($A47,regions_full!$A$2:$AI$267,MATCH(polities_cats!F$1,$A$1:$AN$1,0),0)</f>
        <v>Czechoslovakia</v>
      </c>
      <c r="G47" t="str">
        <f>VLOOKUP($A47,regions_full!$A$2:$AI$267,MATCH(polities_cats!G$1,$A$1:$AN$1,0),0)</f>
        <v>TRUE</v>
      </c>
      <c r="H47" t="str">
        <f>VLOOKUP($A47,regions_full!$A$2:$AI$267,MATCH(polities_cats!H$1,$A$1:$AN$1,0),0)</f>
        <v>Czechoslovakia</v>
      </c>
      <c r="I47" t="str">
        <f>VLOOKUP($A47,regions_full!$A$2:$AI$267,MATCH(polities_cats!I$1,$A$1:$AN$1,0),0)</f>
        <v>Former Czechoslovakia</v>
      </c>
      <c r="J47">
        <f>VLOOKUP($A47,regions_full!$A$2:$AI$267,MATCH(polities_cats!J$1,$A$1:$AN$1,0),0)</f>
        <v>0</v>
      </c>
      <c r="K47">
        <f>VLOOKUP($A47,regions_full!$A$2:$AI$267,MATCH(polities_cats!K$1,$A$1:$AN$1,0),0)</f>
        <v>167</v>
      </c>
      <c r="L47" t="str">
        <f>VLOOKUP($A47,regions_full!$A$2:$AI$267,MATCH(polities_cats!L$1,$A$1:$AN$1,0),0)</f>
        <v>Czech Republic</v>
      </c>
      <c r="M47">
        <f>VLOOKUP($A47,regions_full!$A$2:$AI$267,MATCH(polities_cats!M$1,$A$1:$AN$1,0),0)</f>
        <v>200</v>
      </c>
      <c r="N47">
        <f>VLOOKUP($A47,regions_full!$A$2:$AI$267,MATCH(polities_cats!N$1,$A$1:$AN$1,0),0)</f>
        <v>200</v>
      </c>
      <c r="O47">
        <f>VLOOKUP($A47,regions_full!$A$2:$AI$267,MATCH(polities_cats!O$1,$A$1:$AN$1,0),0)</f>
        <v>9</v>
      </c>
      <c r="P47" t="str">
        <f>VLOOKUP($A47,regions_full!$A$2:$AI$267,MATCH(polities_cats!P$1,$A$1:$AN$1,0),0)</f>
        <v>TRUE</v>
      </c>
      <c r="Q47">
        <f>VLOOKUP($A47,regions_full!$A$2:$AI$267,MATCH(polities_cats!Q$1,$A$1:$AN$1,0),0)</f>
        <v>51</v>
      </c>
      <c r="R47" t="str">
        <f>VLOOKUP($A47,regions_full!$A$2:$AI$267,MATCH(polities_cats!R$1,$A$1:$AN$1,0),0)</f>
        <v>CZ_SK</v>
      </c>
      <c r="S47" t="str">
        <f>VLOOKUP($A47,regions_full!$A$2:$AI$267,MATCH(polities_cats!S$1,$A$1:$AN$1,0),0)</f>
        <v>OECD Europe</v>
      </c>
      <c r="T47">
        <f>VLOOKUP($A47,regions_full!$A$2:$AI$267,MATCH(polities_cats!T$1,$A$1:$AN$1,0),0)</f>
        <v>1</v>
      </c>
      <c r="U47" t="str">
        <f>VLOOKUP($A47,regions_full!$A$2:$AI$267,MATCH(polities_cats!U$1,$A$1:$AN$1,0),0)</f>
        <v>Czechoslovakia</v>
      </c>
      <c r="V47" t="str">
        <f>VLOOKUP($A47,regions_full!$A$2:$AI$267,MATCH(polities_cats!V$1,$A$1:$AN$1,0),0)</f>
        <v>Western Europe</v>
      </c>
      <c r="W47" t="str">
        <f>VLOOKUP($A47,regions_full!$A$2:$AI$267,MATCH(polities_cats!W$1,$A$1:$AN$1,0),0)</f>
        <v>West Europe</v>
      </c>
      <c r="X47" t="str">
        <f>VLOOKUP($A47,regions_full!$A$2:$AI$267,MATCH(polities_cats!X$1,$A$1:$AN$1,0),0)</f>
        <v>Europe</v>
      </c>
      <c r="Y47">
        <f>VLOOKUP($A47,regions_full!$A$2:$AI$267,MATCH(polities_cats!Y$1,$A$1:$AN$1,0),0)</f>
        <v>0</v>
      </c>
      <c r="Z47">
        <f>VLOOKUP($A47,regions_full!$A$2:$AI$267,MATCH(polities_cats!Z$1,$A$1:$AN$1,0),0)</f>
        <v>0</v>
      </c>
      <c r="AA47">
        <f>VLOOKUP($A47,regions_full!$A$2:$AI$267,MATCH(polities_cats!AA$1,$A$1:$AN$1,0),0)</f>
        <v>0</v>
      </c>
      <c r="AB47">
        <f>VLOOKUP($A47,regions_full!$A$2:$AI$267,MATCH(polities_cats!AB$1,$A$1:$AN$1,0),0)</f>
        <v>0</v>
      </c>
      <c r="AC47">
        <f>VLOOKUP($A47,regions_full!$A$2:$AI$267,MATCH(polities_cats!AC$1,$A$1:$AN$1,0),0)</f>
        <v>0</v>
      </c>
      <c r="AD47">
        <f>VLOOKUP($A47,regions_full!$A$2:$AI$267,MATCH(polities_cats!AD$1,$A$1:$AN$1,0),0)</f>
        <v>0</v>
      </c>
      <c r="AE47">
        <f>VLOOKUP($A47,regions_full!$A$2:$AI$267,MATCH(polities_cats!AE$1,$A$1:$AN$1,0),0)</f>
        <v>0</v>
      </c>
      <c r="AF47">
        <f>VLOOKUP($A47,regions_full!$A$2:$AI$267,MATCH(polities_cats!AF$1,$A$1:$AN$1,0),0)</f>
        <v>0</v>
      </c>
      <c r="AG47">
        <f>VLOOKUP($A47,regions_full!$A$2:$AI$267,MATCH(polities_cats!AG$1,$A$1:$AN$1,0),0)</f>
        <v>0</v>
      </c>
      <c r="AH47">
        <f>VLOOKUP($A47,regions_full!$A$2:$AI$267,MATCH(polities_cats!AH$1,$A$1:$AN$1,0),0)</f>
        <v>0</v>
      </c>
      <c r="AI47">
        <f>VLOOKUP($A47,regions_full!$A$2:$AI$267,MATCH(polities_cats!AI$1,$A$1:$AN$1,0),0)</f>
        <v>0</v>
      </c>
      <c r="AJ47" t="e">
        <f>VLOOKUP($A47,regions_full!$A$2:$AI$267,MATCH(polities_cats!AJ$1,$A$1:$AN$1,0),0)</f>
        <v>#REF!</v>
      </c>
      <c r="AK47" t="e">
        <f>VLOOKUP($A47,regions_full!$A$2:$AI$267,MATCH(polities_cats!AK$1,$A$1:$AN$1,0),0)</f>
        <v>#REF!</v>
      </c>
      <c r="AL47" t="e">
        <f>VLOOKUP($A47,regions_full!$A$2:$AI$267,MATCH(polities_cats!AL$1,$A$1:$AN$1,0),0)</f>
        <v>#REF!</v>
      </c>
      <c r="AM47" t="e">
        <f>VLOOKUP($A47,regions_full!$A$2:$AI$267,MATCH(polities_cats!AM$1,$A$1:$AN$1,0),0)</f>
        <v>#REF!</v>
      </c>
      <c r="AN47" t="e">
        <f>VLOOKUP($A47,regions_full!$A$2:$AI$267,MATCH(polities_cats!AN$1,$A$1:$AN$1,0),0)</f>
        <v>#REF!</v>
      </c>
    </row>
    <row r="48" spans="1:40" x14ac:dyDescent="0.3">
      <c r="A48" t="str">
        <f>polities_whep!A48</f>
        <v>DNK</v>
      </c>
      <c r="B48" t="str">
        <f>polities_whep!B48</f>
        <v>Denmark</v>
      </c>
      <c r="C48">
        <f>VLOOKUP($A48,regions_full!$A$2:$AI$267,MATCH(polities_cats!C$1,$A$1:$AN$1,0),0)</f>
        <v>54</v>
      </c>
      <c r="D48">
        <f>VLOOKUP($A48,regions_full!$A$2:$AI$267,MATCH(polities_cats!D$1,$A$1:$AN$1,0),0)</f>
        <v>54</v>
      </c>
      <c r="E48" t="str">
        <f>VLOOKUP($A48,regions_full!$A$2:$AI$267,MATCH(polities_cats!E$1,$A$1:$AN$1,0),0)</f>
        <v>DNK</v>
      </c>
      <c r="F48" t="str">
        <f>VLOOKUP($A48,regions_full!$A$2:$AI$267,MATCH(polities_cats!F$1,$A$1:$AN$1,0),0)</f>
        <v>Denmark</v>
      </c>
      <c r="G48" t="str">
        <f>VLOOKUP($A48,regions_full!$A$2:$AI$267,MATCH(polities_cats!G$1,$A$1:$AN$1,0),0)</f>
        <v>TRUE</v>
      </c>
      <c r="H48" t="str">
        <f>VLOOKUP($A48,regions_full!$A$2:$AI$267,MATCH(polities_cats!H$1,$A$1:$AN$1,0),0)</f>
        <v>Denmark</v>
      </c>
      <c r="I48" t="str">
        <f>VLOOKUP($A48,regions_full!$A$2:$AI$267,MATCH(polities_cats!I$1,$A$1:$AN$1,0),0)</f>
        <v>Denmark</v>
      </c>
      <c r="J48" t="str">
        <f>VLOOKUP($A48,regions_full!$A$2:$AI$267,MATCH(polities_cats!J$1,$A$1:$AN$1,0),0)</f>
        <v>Denmark</v>
      </c>
      <c r="K48">
        <f>VLOOKUP($A48,regions_full!$A$2:$AI$267,MATCH(polities_cats!K$1,$A$1:$AN$1,0),0)</f>
        <v>54</v>
      </c>
      <c r="L48" t="str">
        <f>VLOOKUP($A48,regions_full!$A$2:$AI$267,MATCH(polities_cats!L$1,$A$1:$AN$1,0),0)</f>
        <v>Denmark</v>
      </c>
      <c r="M48">
        <f>VLOOKUP($A48,regions_full!$A$2:$AI$267,MATCH(polities_cats!M$1,$A$1:$AN$1,0),0)</f>
        <v>208</v>
      </c>
      <c r="N48">
        <f>VLOOKUP($A48,regions_full!$A$2:$AI$267,MATCH(polities_cats!N$1,$A$1:$AN$1,0),0)</f>
        <v>208</v>
      </c>
      <c r="O48">
        <f>VLOOKUP($A48,regions_full!$A$2:$AI$267,MATCH(polities_cats!O$1,$A$1:$AN$1,0),0)</f>
        <v>9</v>
      </c>
      <c r="P48" t="str">
        <f>VLOOKUP($A48,regions_full!$A$2:$AI$267,MATCH(polities_cats!P$1,$A$1:$AN$1,0),0)</f>
        <v>TRUE</v>
      </c>
      <c r="Q48">
        <f>VLOOKUP($A48,regions_full!$A$2:$AI$267,MATCH(polities_cats!Q$1,$A$1:$AN$1,0),0)</f>
        <v>54</v>
      </c>
      <c r="R48" t="str">
        <f>VLOOKUP($A48,regions_full!$A$2:$AI$267,MATCH(polities_cats!R$1,$A$1:$AN$1,0),0)</f>
        <v>DK</v>
      </c>
      <c r="S48" t="str">
        <f>VLOOKUP($A48,regions_full!$A$2:$AI$267,MATCH(polities_cats!S$1,$A$1:$AN$1,0),0)</f>
        <v>OECD Europe</v>
      </c>
      <c r="T48">
        <f>VLOOKUP($A48,regions_full!$A$2:$AI$267,MATCH(polities_cats!T$1,$A$1:$AN$1,0),0)</f>
        <v>1</v>
      </c>
      <c r="U48" t="str">
        <f>VLOOKUP($A48,regions_full!$A$2:$AI$267,MATCH(polities_cats!U$1,$A$1:$AN$1,0),0)</f>
        <v>Denmark</v>
      </c>
      <c r="V48" t="str">
        <f>VLOOKUP($A48,regions_full!$A$2:$AI$267,MATCH(polities_cats!V$1,$A$1:$AN$1,0),0)</f>
        <v>Western Europe</v>
      </c>
      <c r="W48" t="str">
        <f>VLOOKUP($A48,regions_full!$A$2:$AI$267,MATCH(polities_cats!W$1,$A$1:$AN$1,0),0)</f>
        <v>West Europe</v>
      </c>
      <c r="X48" t="str">
        <f>VLOOKUP($A48,regions_full!$A$2:$AI$267,MATCH(polities_cats!X$1,$A$1:$AN$1,0),0)</f>
        <v>Europe</v>
      </c>
      <c r="Y48" t="str">
        <f>VLOOKUP($A48,regions_full!$A$2:$AI$267,MATCH(polities_cats!Y$1,$A$1:$AN$1,0),0)</f>
        <v>Northern Europe</v>
      </c>
      <c r="Z48" t="str">
        <f>VLOOKUP($A48,regions_full!$A$2:$AI$267,MATCH(polities_cats!Z$1,$A$1:$AN$1,0),0)</f>
        <v>Europe</v>
      </c>
      <c r="AA48" t="str">
        <f>VLOOKUP($A48,regions_full!$A$2:$AI$267,MATCH(polities_cats!AA$1,$A$1:$AN$1,0),0)</f>
        <v>Europe and Central Asia</v>
      </c>
      <c r="AB48" t="str">
        <f>VLOOKUP($A48,regions_full!$A$2:$AI$267,MATCH(polities_cats!AB$1,$A$1:$AN$1,0),0)</f>
        <v>Northern, Southern and Western Europe</v>
      </c>
      <c r="AC48" t="str">
        <f>VLOOKUP($A48,regions_full!$A$2:$AI$267,MATCH(polities_cats!AC$1,$A$1:$AN$1,0),0)</f>
        <v>Northern Europe</v>
      </c>
      <c r="AD48" t="str">
        <f>VLOOKUP($A48,regions_full!$A$2:$AI$267,MATCH(polities_cats!AD$1,$A$1:$AN$1,0),0)</f>
        <v>Advanced</v>
      </c>
      <c r="AE48" t="str">
        <f>VLOOKUP($A48,regions_full!$A$2:$AI$267,MATCH(polities_cats!AE$1,$A$1:$AN$1,0),0)</f>
        <v>Annex_I</v>
      </c>
      <c r="AF48" t="str">
        <f>VLOOKUP($A48,regions_full!$A$2:$AI$267,MATCH(polities_cats!AF$1,$A$1:$AN$1,0),0)</f>
        <v>Northern Europe</v>
      </c>
      <c r="AG48" t="str">
        <f>VLOOKUP($A48,regions_full!$A$2:$AI$267,MATCH(polities_cats!AG$1,$A$1:$AN$1,0),0)</f>
        <v>Europe</v>
      </c>
      <c r="AH48" t="str">
        <f>VLOOKUP($A48,regions_full!$A$2:$AI$267,MATCH(polities_cats!AH$1,$A$1:$AN$1,0),0)</f>
        <v>mech</v>
      </c>
      <c r="AI48" t="str">
        <f>VLOOKUP($A48,regions_full!$A$2:$AI$267,MATCH(polities_cats!AI$1,$A$1:$AN$1,0),0)</f>
        <v>Europe</v>
      </c>
      <c r="AJ48" t="e">
        <f>VLOOKUP($A48,regions_full!$A$2:$AI$267,MATCH(polities_cats!AJ$1,$A$1:$AN$1,0),0)</f>
        <v>#REF!</v>
      </c>
      <c r="AK48" t="e">
        <f>VLOOKUP($A48,regions_full!$A$2:$AI$267,MATCH(polities_cats!AK$1,$A$1:$AN$1,0),0)</f>
        <v>#REF!</v>
      </c>
      <c r="AL48" t="e">
        <f>VLOOKUP($A48,regions_full!$A$2:$AI$267,MATCH(polities_cats!AL$1,$A$1:$AN$1,0),0)</f>
        <v>#REF!</v>
      </c>
      <c r="AM48" t="e">
        <f>VLOOKUP($A48,regions_full!$A$2:$AI$267,MATCH(polities_cats!AM$1,$A$1:$AN$1,0),0)</f>
        <v>#REF!</v>
      </c>
      <c r="AN48" t="e">
        <f>VLOOKUP($A48,regions_full!$A$2:$AI$267,MATCH(polities_cats!AN$1,$A$1:$AN$1,0),0)</f>
        <v>#REF!</v>
      </c>
    </row>
    <row r="49" spans="1:40" x14ac:dyDescent="0.3">
      <c r="A49" t="str">
        <f>polities_whep!A49</f>
        <v>DJI</v>
      </c>
      <c r="B49" t="str">
        <f>polities_whep!B49</f>
        <v>Djibouti</v>
      </c>
      <c r="C49">
        <f>VLOOKUP($A49,regions_full!$A$2:$AI$267,MATCH(polities_cats!C$1,$A$1:$AN$1,0),0)</f>
        <v>72</v>
      </c>
      <c r="D49">
        <f>VLOOKUP($A49,regions_full!$A$2:$AI$267,MATCH(polities_cats!D$1,$A$1:$AN$1,0),0)</f>
        <v>72</v>
      </c>
      <c r="E49" t="str">
        <f>VLOOKUP($A49,regions_full!$A$2:$AI$267,MATCH(polities_cats!E$1,$A$1:$AN$1,0),0)</f>
        <v>DJI</v>
      </c>
      <c r="F49" t="str">
        <f>VLOOKUP($A49,regions_full!$A$2:$AI$267,MATCH(polities_cats!F$1,$A$1:$AN$1,0),0)</f>
        <v>Djibouti</v>
      </c>
      <c r="G49" t="str">
        <f>VLOOKUP($A49,regions_full!$A$2:$AI$267,MATCH(polities_cats!G$1,$A$1:$AN$1,0),0)</f>
        <v>FALSE</v>
      </c>
      <c r="H49" t="str">
        <f>VLOOKUP($A49,regions_full!$A$2:$AI$267,MATCH(polities_cats!H$1,$A$1:$AN$1,0),0)</f>
        <v>Djibouti</v>
      </c>
      <c r="I49" t="str">
        <f>VLOOKUP($A49,regions_full!$A$2:$AI$267,MATCH(polities_cats!I$1,$A$1:$AN$1,0),0)</f>
        <v>Djibouti</v>
      </c>
      <c r="J49">
        <f>VLOOKUP($A49,regions_full!$A$2:$AI$267,MATCH(polities_cats!J$1,$A$1:$AN$1,0),0)</f>
        <v>0</v>
      </c>
      <c r="K49">
        <f>VLOOKUP($A49,regions_full!$A$2:$AI$267,MATCH(polities_cats!K$1,$A$1:$AN$1,0),0)</f>
        <v>72</v>
      </c>
      <c r="L49" t="str">
        <f>VLOOKUP($A49,regions_full!$A$2:$AI$267,MATCH(polities_cats!L$1,$A$1:$AN$1,0),0)</f>
        <v>Djibouti</v>
      </c>
      <c r="M49">
        <f>VLOOKUP($A49,regions_full!$A$2:$AI$267,MATCH(polities_cats!M$1,$A$1:$AN$1,0),0)</f>
        <v>262</v>
      </c>
      <c r="N49">
        <f>VLOOKUP($A49,regions_full!$A$2:$AI$267,MATCH(polities_cats!N$1,$A$1:$AN$1,0),0)</f>
        <v>262</v>
      </c>
      <c r="O49">
        <f>VLOOKUP($A49,regions_full!$A$2:$AI$267,MATCH(polities_cats!O$1,$A$1:$AN$1,0),0)</f>
        <v>7</v>
      </c>
      <c r="P49" t="str">
        <f>VLOOKUP($A49,regions_full!$A$2:$AI$267,MATCH(polities_cats!P$1,$A$1:$AN$1,0),0)</f>
        <v>TRUE</v>
      </c>
      <c r="Q49">
        <f>VLOOKUP($A49,regions_full!$A$2:$AI$267,MATCH(polities_cats!Q$1,$A$1:$AN$1,0),0)</f>
        <v>72</v>
      </c>
      <c r="R49" t="str">
        <f>VLOOKUP($A49,regions_full!$A$2:$AI$267,MATCH(polities_cats!R$1,$A$1:$AN$1,0),0)</f>
        <v/>
      </c>
      <c r="S49" t="str">
        <f>VLOOKUP($A49,regions_full!$A$2:$AI$267,MATCH(polities_cats!S$1,$A$1:$AN$1,0),0)</f>
        <v>Eastern Africa</v>
      </c>
      <c r="T49">
        <f>VLOOKUP($A49,regions_full!$A$2:$AI$267,MATCH(polities_cats!T$1,$A$1:$AN$1,0),0)</f>
        <v>1</v>
      </c>
      <c r="U49" t="str">
        <f>VLOOKUP($A49,regions_full!$A$2:$AI$267,MATCH(polities_cats!U$1,$A$1:$AN$1,0),0)</f>
        <v>Djibouti</v>
      </c>
      <c r="V49" t="str">
        <f>VLOOKUP($A49,regions_full!$A$2:$AI$267,MATCH(polities_cats!V$1,$A$1:$AN$1,0),0)</f>
        <v>Subsaharan Africa</v>
      </c>
      <c r="W49" t="str">
        <f>VLOOKUP($A49,regions_full!$A$2:$AI$267,MATCH(polities_cats!W$1,$A$1:$AN$1,0),0)</f>
        <v>Sub-saharan Africa</v>
      </c>
      <c r="X49" t="str">
        <f>VLOOKUP($A49,regions_full!$A$2:$AI$267,MATCH(polities_cats!X$1,$A$1:$AN$1,0),0)</f>
        <v>SSA</v>
      </c>
      <c r="Y49" t="str">
        <f>VLOOKUP($A49,regions_full!$A$2:$AI$267,MATCH(polities_cats!Y$1,$A$1:$AN$1,0),0)</f>
        <v>Sub-Saharan Africa</v>
      </c>
      <c r="Z49" t="str">
        <f>VLOOKUP($A49,regions_full!$A$2:$AI$267,MATCH(polities_cats!Z$1,$A$1:$AN$1,0),0)</f>
        <v>Africa</v>
      </c>
      <c r="AA49" t="str">
        <f>VLOOKUP($A49,regions_full!$A$2:$AI$267,MATCH(polities_cats!AA$1,$A$1:$AN$1,0),0)</f>
        <v>Africa</v>
      </c>
      <c r="AB49" t="str">
        <f>VLOOKUP($A49,regions_full!$A$2:$AI$267,MATCH(polities_cats!AB$1,$A$1:$AN$1,0),0)</f>
        <v>Sub-Saharan Africa</v>
      </c>
      <c r="AC49" t="str">
        <f>VLOOKUP($A49,regions_full!$A$2:$AI$267,MATCH(polities_cats!AC$1,$A$1:$AN$1,0),0)</f>
        <v>Eastern Africa</v>
      </c>
      <c r="AD49" t="str">
        <f>VLOOKUP($A49,regions_full!$A$2:$AI$267,MATCH(polities_cats!AD$1,$A$1:$AN$1,0),0)</f>
        <v>Emerging</v>
      </c>
      <c r="AE49" t="str">
        <f>VLOOKUP($A49,regions_full!$A$2:$AI$267,MATCH(polities_cats!AE$1,$A$1:$AN$1,0),0)</f>
        <v>Annex_II</v>
      </c>
      <c r="AF49" t="str">
        <f>VLOOKUP($A49,regions_full!$A$2:$AI$267,MATCH(polities_cats!AF$1,$A$1:$AN$1,0),0)</f>
        <v>Eastern Africa</v>
      </c>
      <c r="AG49" t="str">
        <f>VLOOKUP($A49,regions_full!$A$2:$AI$267,MATCH(polities_cats!AG$1,$A$1:$AN$1,0),0)</f>
        <v>SAA</v>
      </c>
      <c r="AH49" t="str">
        <f>VLOOKUP($A49,regions_full!$A$2:$AI$267,MATCH(polities_cats!AH$1,$A$1:$AN$1,0),0)</f>
        <v>no_mech</v>
      </c>
      <c r="AI49" t="str">
        <f>VLOOKUP($A49,regions_full!$A$2:$AI$267,MATCH(polities_cats!AI$1,$A$1:$AN$1,0),0)</f>
        <v>Other</v>
      </c>
      <c r="AJ49" t="e">
        <f>VLOOKUP($A49,regions_full!$A$2:$AI$267,MATCH(polities_cats!AJ$1,$A$1:$AN$1,0),0)</f>
        <v>#REF!</v>
      </c>
      <c r="AK49" t="e">
        <f>VLOOKUP($A49,regions_full!$A$2:$AI$267,MATCH(polities_cats!AK$1,$A$1:$AN$1,0),0)</f>
        <v>#REF!</v>
      </c>
      <c r="AL49" t="e">
        <f>VLOOKUP($A49,regions_full!$A$2:$AI$267,MATCH(polities_cats!AL$1,$A$1:$AN$1,0),0)</f>
        <v>#REF!</v>
      </c>
      <c r="AM49" t="e">
        <f>VLOOKUP($A49,regions_full!$A$2:$AI$267,MATCH(polities_cats!AM$1,$A$1:$AN$1,0),0)</f>
        <v>#REF!</v>
      </c>
      <c r="AN49" t="e">
        <f>VLOOKUP($A49,regions_full!$A$2:$AI$267,MATCH(polities_cats!AN$1,$A$1:$AN$1,0),0)</f>
        <v>#REF!</v>
      </c>
    </row>
    <row r="50" spans="1:40" x14ac:dyDescent="0.3">
      <c r="A50" t="str">
        <f>polities_whep!A50</f>
        <v>DMA</v>
      </c>
      <c r="B50" t="str">
        <f>polities_whep!B50</f>
        <v>Dominica</v>
      </c>
      <c r="C50">
        <f>VLOOKUP($A50,regions_full!$A$2:$AI$267,MATCH(polities_cats!C$1,$A$1:$AN$1,0),0)</f>
        <v>55</v>
      </c>
      <c r="D50">
        <f>VLOOKUP($A50,regions_full!$A$2:$AI$267,MATCH(polities_cats!D$1,$A$1:$AN$1,0),0)</f>
        <v>55</v>
      </c>
      <c r="E50" t="str">
        <f>VLOOKUP($A50,regions_full!$A$2:$AI$267,MATCH(polities_cats!E$1,$A$1:$AN$1,0),0)</f>
        <v>DMA</v>
      </c>
      <c r="F50" t="str">
        <f>VLOOKUP($A50,regions_full!$A$2:$AI$267,MATCH(polities_cats!F$1,$A$1:$AN$1,0),0)</f>
        <v>Dominica</v>
      </c>
      <c r="G50" t="str">
        <f>VLOOKUP($A50,regions_full!$A$2:$AI$267,MATCH(polities_cats!G$1,$A$1:$AN$1,0),0)</f>
        <v>FALSE</v>
      </c>
      <c r="H50" t="str">
        <f>VLOOKUP($A50,regions_full!$A$2:$AI$267,MATCH(polities_cats!H$1,$A$1:$AN$1,0),0)</f>
        <v>Dominica</v>
      </c>
      <c r="I50" t="str">
        <f>VLOOKUP($A50,regions_full!$A$2:$AI$267,MATCH(polities_cats!I$1,$A$1:$AN$1,0),0)</f>
        <v>Dominica</v>
      </c>
      <c r="J50">
        <f>VLOOKUP($A50,regions_full!$A$2:$AI$267,MATCH(polities_cats!J$1,$A$1:$AN$1,0),0)</f>
        <v>0</v>
      </c>
      <c r="K50">
        <f>VLOOKUP($A50,regions_full!$A$2:$AI$267,MATCH(polities_cats!K$1,$A$1:$AN$1,0),0)</f>
        <v>55</v>
      </c>
      <c r="L50" t="str">
        <f>VLOOKUP($A50,regions_full!$A$2:$AI$267,MATCH(polities_cats!L$1,$A$1:$AN$1,0),0)</f>
        <v>Dominica</v>
      </c>
      <c r="M50">
        <f>VLOOKUP($A50,regions_full!$A$2:$AI$267,MATCH(polities_cats!M$1,$A$1:$AN$1,0),0)</f>
        <v>212</v>
      </c>
      <c r="N50">
        <f>VLOOKUP($A50,regions_full!$A$2:$AI$267,MATCH(polities_cats!N$1,$A$1:$AN$1,0),0)</f>
        <v>212</v>
      </c>
      <c r="O50">
        <f>VLOOKUP($A50,regions_full!$A$2:$AI$267,MATCH(polities_cats!O$1,$A$1:$AN$1,0),0)</f>
        <v>3</v>
      </c>
      <c r="P50" t="str">
        <f>VLOOKUP($A50,regions_full!$A$2:$AI$267,MATCH(polities_cats!P$1,$A$1:$AN$1,0),0)</f>
        <v>TRUE</v>
      </c>
      <c r="Q50">
        <f>VLOOKUP($A50,regions_full!$A$2:$AI$267,MATCH(polities_cats!Q$1,$A$1:$AN$1,0),0)</f>
        <v>55</v>
      </c>
      <c r="R50" t="str">
        <f>VLOOKUP($A50,regions_full!$A$2:$AI$267,MATCH(polities_cats!R$1,$A$1:$AN$1,0),0)</f>
        <v/>
      </c>
      <c r="S50" t="str">
        <f>VLOOKUP($A50,regions_full!$A$2:$AI$267,MATCH(polities_cats!S$1,$A$1:$AN$1,0),0)</f>
        <v>Central America</v>
      </c>
      <c r="T50">
        <f>VLOOKUP($A50,regions_full!$A$2:$AI$267,MATCH(polities_cats!T$1,$A$1:$AN$1,0),0)</f>
        <v>1</v>
      </c>
      <c r="U50" t="str">
        <f>VLOOKUP($A50,regions_full!$A$2:$AI$267,MATCH(polities_cats!U$1,$A$1:$AN$1,0),0)</f>
        <v>Dominica</v>
      </c>
      <c r="V50" t="str">
        <f>VLOOKUP($A50,regions_full!$A$2:$AI$267,MATCH(polities_cats!V$1,$A$1:$AN$1,0),0)</f>
        <v>Latin America and the Caribbean</v>
      </c>
      <c r="W50" t="str">
        <f>VLOOKUP($A50,regions_full!$A$2:$AI$267,MATCH(polities_cats!W$1,$A$1:$AN$1,0),0)</f>
        <v>Latin America and Caribbean</v>
      </c>
      <c r="X50" t="str">
        <f>VLOOKUP($A50,regions_full!$A$2:$AI$267,MATCH(polities_cats!X$1,$A$1:$AN$1,0),0)</f>
        <v>LACA</v>
      </c>
      <c r="Y50" t="str">
        <f>VLOOKUP($A50,regions_full!$A$2:$AI$267,MATCH(polities_cats!Y$1,$A$1:$AN$1,0),0)</f>
        <v>Latin America and the Caribbean</v>
      </c>
      <c r="Z50" t="str">
        <f>VLOOKUP($A50,regions_full!$A$2:$AI$267,MATCH(polities_cats!Z$1,$A$1:$AN$1,0),0)</f>
        <v>Americas</v>
      </c>
      <c r="AA50" t="str">
        <f>VLOOKUP($A50,regions_full!$A$2:$AI$267,MATCH(polities_cats!AA$1,$A$1:$AN$1,0),0)</f>
        <v>Americas</v>
      </c>
      <c r="AB50" t="str">
        <f>VLOOKUP($A50,regions_full!$A$2:$AI$267,MATCH(polities_cats!AB$1,$A$1:$AN$1,0),0)</f>
        <v>Latin America and the Caribbean</v>
      </c>
      <c r="AC50" t="str">
        <f>VLOOKUP($A50,regions_full!$A$2:$AI$267,MATCH(polities_cats!AC$1,$A$1:$AN$1,0),0)</f>
        <v>Caribbean</v>
      </c>
      <c r="AD50" t="str">
        <f>VLOOKUP($A50,regions_full!$A$2:$AI$267,MATCH(polities_cats!AD$1,$A$1:$AN$1,0),0)</f>
        <v>Emerging</v>
      </c>
      <c r="AE50" t="str">
        <f>VLOOKUP($A50,regions_full!$A$2:$AI$267,MATCH(polities_cats!AE$1,$A$1:$AN$1,0),0)</f>
        <v>Annex_II</v>
      </c>
      <c r="AF50" t="str">
        <f>VLOOKUP($A50,regions_full!$A$2:$AI$267,MATCH(polities_cats!AF$1,$A$1:$AN$1,0),0)</f>
        <v>Caribbean &amp; Centra Am.</v>
      </c>
      <c r="AG50" t="str">
        <f>VLOOKUP($A50,regions_full!$A$2:$AI$267,MATCH(polities_cats!AG$1,$A$1:$AN$1,0),0)</f>
        <v>LACA</v>
      </c>
      <c r="AH50" t="str">
        <f>VLOOKUP($A50,regions_full!$A$2:$AI$267,MATCH(polities_cats!AH$1,$A$1:$AN$1,0),0)</f>
        <v>no_mech</v>
      </c>
      <c r="AI50" t="str">
        <f>VLOOKUP($A50,regions_full!$A$2:$AI$267,MATCH(polities_cats!AI$1,$A$1:$AN$1,0),0)</f>
        <v>Other</v>
      </c>
      <c r="AJ50" t="e">
        <f>VLOOKUP($A50,regions_full!$A$2:$AI$267,MATCH(polities_cats!AJ$1,$A$1:$AN$1,0),0)</f>
        <v>#REF!</v>
      </c>
      <c r="AK50" t="e">
        <f>VLOOKUP($A50,regions_full!$A$2:$AI$267,MATCH(polities_cats!AK$1,$A$1:$AN$1,0),0)</f>
        <v>#REF!</v>
      </c>
      <c r="AL50" t="e">
        <f>VLOOKUP($A50,regions_full!$A$2:$AI$267,MATCH(polities_cats!AL$1,$A$1:$AN$1,0),0)</f>
        <v>#REF!</v>
      </c>
      <c r="AM50" t="e">
        <f>VLOOKUP($A50,regions_full!$A$2:$AI$267,MATCH(polities_cats!AM$1,$A$1:$AN$1,0),0)</f>
        <v>#REF!</v>
      </c>
      <c r="AN50" t="e">
        <f>VLOOKUP($A50,regions_full!$A$2:$AI$267,MATCH(polities_cats!AN$1,$A$1:$AN$1,0),0)</f>
        <v>#REF!</v>
      </c>
    </row>
    <row r="51" spans="1:40" x14ac:dyDescent="0.3">
      <c r="A51" t="str">
        <f>polities_whep!A51</f>
        <v>DOM</v>
      </c>
      <c r="B51" t="str">
        <f>polities_whep!B51</f>
        <v>Dominican Republic</v>
      </c>
      <c r="C51">
        <f>VLOOKUP($A51,regions_full!$A$2:$AI$267,MATCH(polities_cats!C$1,$A$1:$AN$1,0),0)</f>
        <v>56</v>
      </c>
      <c r="D51">
        <f>VLOOKUP($A51,regions_full!$A$2:$AI$267,MATCH(polities_cats!D$1,$A$1:$AN$1,0),0)</f>
        <v>56</v>
      </c>
      <c r="E51" t="str">
        <f>VLOOKUP($A51,regions_full!$A$2:$AI$267,MATCH(polities_cats!E$1,$A$1:$AN$1,0),0)</f>
        <v>DOM</v>
      </c>
      <c r="F51" t="str">
        <f>VLOOKUP($A51,regions_full!$A$2:$AI$267,MATCH(polities_cats!F$1,$A$1:$AN$1,0),0)</f>
        <v>Dominican Republic</v>
      </c>
      <c r="G51" t="str">
        <f>VLOOKUP($A51,regions_full!$A$2:$AI$267,MATCH(polities_cats!G$1,$A$1:$AN$1,0),0)</f>
        <v>FALSE</v>
      </c>
      <c r="H51" t="str">
        <f>VLOOKUP($A51,regions_full!$A$2:$AI$267,MATCH(polities_cats!H$1,$A$1:$AN$1,0),0)</f>
        <v>Dominican Republic</v>
      </c>
      <c r="I51" t="str">
        <f>VLOOKUP($A51,regions_full!$A$2:$AI$267,MATCH(polities_cats!I$1,$A$1:$AN$1,0),0)</f>
        <v>Dominican Republic</v>
      </c>
      <c r="J51" t="str">
        <f>VLOOKUP($A51,regions_full!$A$2:$AI$267,MATCH(polities_cats!J$1,$A$1:$AN$1,0),0)</f>
        <v>Dominican Republic</v>
      </c>
      <c r="K51">
        <f>VLOOKUP($A51,regions_full!$A$2:$AI$267,MATCH(polities_cats!K$1,$A$1:$AN$1,0),0)</f>
        <v>56</v>
      </c>
      <c r="L51" t="str">
        <f>VLOOKUP($A51,regions_full!$A$2:$AI$267,MATCH(polities_cats!L$1,$A$1:$AN$1,0),0)</f>
        <v>Dominican Republic</v>
      </c>
      <c r="M51">
        <f>VLOOKUP($A51,regions_full!$A$2:$AI$267,MATCH(polities_cats!M$1,$A$1:$AN$1,0),0)</f>
        <v>214</v>
      </c>
      <c r="N51">
        <f>VLOOKUP($A51,regions_full!$A$2:$AI$267,MATCH(polities_cats!N$1,$A$1:$AN$1,0),0)</f>
        <v>214</v>
      </c>
      <c r="O51">
        <f>VLOOKUP($A51,regions_full!$A$2:$AI$267,MATCH(polities_cats!O$1,$A$1:$AN$1,0),0)</f>
        <v>3</v>
      </c>
      <c r="P51" t="str">
        <f>VLOOKUP($A51,regions_full!$A$2:$AI$267,MATCH(polities_cats!P$1,$A$1:$AN$1,0),0)</f>
        <v>TRUE</v>
      </c>
      <c r="Q51">
        <f>VLOOKUP($A51,regions_full!$A$2:$AI$267,MATCH(polities_cats!Q$1,$A$1:$AN$1,0),0)</f>
        <v>56</v>
      </c>
      <c r="R51" t="str">
        <f>VLOOKUP($A51,regions_full!$A$2:$AI$267,MATCH(polities_cats!R$1,$A$1:$AN$1,0),0)</f>
        <v/>
      </c>
      <c r="S51" t="str">
        <f>VLOOKUP($A51,regions_full!$A$2:$AI$267,MATCH(polities_cats!S$1,$A$1:$AN$1,0),0)</f>
        <v>Central America</v>
      </c>
      <c r="T51">
        <f>VLOOKUP($A51,regions_full!$A$2:$AI$267,MATCH(polities_cats!T$1,$A$1:$AN$1,0),0)</f>
        <v>1</v>
      </c>
      <c r="U51" t="str">
        <f>VLOOKUP($A51,regions_full!$A$2:$AI$267,MATCH(polities_cats!U$1,$A$1:$AN$1,0),0)</f>
        <v>Dominican Republic</v>
      </c>
      <c r="V51" t="str">
        <f>VLOOKUP($A51,regions_full!$A$2:$AI$267,MATCH(polities_cats!V$1,$A$1:$AN$1,0),0)</f>
        <v>Latin America and the Caribbean</v>
      </c>
      <c r="W51" t="str">
        <f>VLOOKUP($A51,regions_full!$A$2:$AI$267,MATCH(polities_cats!W$1,$A$1:$AN$1,0),0)</f>
        <v>Latin America and Caribbean</v>
      </c>
      <c r="X51" t="str">
        <f>VLOOKUP($A51,regions_full!$A$2:$AI$267,MATCH(polities_cats!X$1,$A$1:$AN$1,0),0)</f>
        <v>LACA</v>
      </c>
      <c r="Y51" t="str">
        <f>VLOOKUP($A51,regions_full!$A$2:$AI$267,MATCH(polities_cats!Y$1,$A$1:$AN$1,0),0)</f>
        <v>Latin America and the Caribbean</v>
      </c>
      <c r="Z51" t="str">
        <f>VLOOKUP($A51,regions_full!$A$2:$AI$267,MATCH(polities_cats!Z$1,$A$1:$AN$1,0),0)</f>
        <v>Americas</v>
      </c>
      <c r="AA51" t="str">
        <f>VLOOKUP($A51,regions_full!$A$2:$AI$267,MATCH(polities_cats!AA$1,$A$1:$AN$1,0),0)</f>
        <v>Americas</v>
      </c>
      <c r="AB51" t="str">
        <f>VLOOKUP($A51,regions_full!$A$2:$AI$267,MATCH(polities_cats!AB$1,$A$1:$AN$1,0),0)</f>
        <v>Latin America and the Caribbean</v>
      </c>
      <c r="AC51" t="str">
        <f>VLOOKUP($A51,regions_full!$A$2:$AI$267,MATCH(polities_cats!AC$1,$A$1:$AN$1,0),0)</f>
        <v>Caribbean</v>
      </c>
      <c r="AD51" t="str">
        <f>VLOOKUP($A51,regions_full!$A$2:$AI$267,MATCH(polities_cats!AD$1,$A$1:$AN$1,0),0)</f>
        <v>Emerging</v>
      </c>
      <c r="AE51" t="str">
        <f>VLOOKUP($A51,regions_full!$A$2:$AI$267,MATCH(polities_cats!AE$1,$A$1:$AN$1,0),0)</f>
        <v>Annex_II</v>
      </c>
      <c r="AF51" t="str">
        <f>VLOOKUP($A51,regions_full!$A$2:$AI$267,MATCH(polities_cats!AF$1,$A$1:$AN$1,0),0)</f>
        <v>Caribbean &amp; Centra Am.</v>
      </c>
      <c r="AG51" t="str">
        <f>VLOOKUP($A51,regions_full!$A$2:$AI$267,MATCH(polities_cats!AG$1,$A$1:$AN$1,0),0)</f>
        <v>LACA</v>
      </c>
      <c r="AH51" t="str">
        <f>VLOOKUP($A51,regions_full!$A$2:$AI$267,MATCH(polities_cats!AH$1,$A$1:$AN$1,0),0)</f>
        <v>no_mech</v>
      </c>
      <c r="AI51" t="str">
        <f>VLOOKUP($A51,regions_full!$A$2:$AI$267,MATCH(polities_cats!AI$1,$A$1:$AN$1,0),0)</f>
        <v>Other</v>
      </c>
      <c r="AJ51" t="e">
        <f>VLOOKUP($A51,regions_full!$A$2:$AI$267,MATCH(polities_cats!AJ$1,$A$1:$AN$1,0),0)</f>
        <v>#REF!</v>
      </c>
      <c r="AK51" t="e">
        <f>VLOOKUP($A51,regions_full!$A$2:$AI$267,MATCH(polities_cats!AK$1,$A$1:$AN$1,0),0)</f>
        <v>#REF!</v>
      </c>
      <c r="AL51" t="e">
        <f>VLOOKUP($A51,regions_full!$A$2:$AI$267,MATCH(polities_cats!AL$1,$A$1:$AN$1,0),0)</f>
        <v>#REF!</v>
      </c>
      <c r="AM51" t="e">
        <f>VLOOKUP($A51,regions_full!$A$2:$AI$267,MATCH(polities_cats!AM$1,$A$1:$AN$1,0),0)</f>
        <v>#REF!</v>
      </c>
      <c r="AN51" t="e">
        <f>VLOOKUP($A51,regions_full!$A$2:$AI$267,MATCH(polities_cats!AN$1,$A$1:$AN$1,0),0)</f>
        <v>#REF!</v>
      </c>
    </row>
    <row r="52" spans="1:40" x14ac:dyDescent="0.3">
      <c r="A52" t="str">
        <f>polities_whep!A52</f>
        <v>COD</v>
      </c>
      <c r="B52" t="str">
        <f>polities_whep!B52</f>
        <v>DR Congo</v>
      </c>
      <c r="C52">
        <f>VLOOKUP($A52,regions_full!$A$2:$AI$267,MATCH(polities_cats!C$1,$A$1:$AN$1,0),0)</f>
        <v>242</v>
      </c>
      <c r="D52">
        <f>VLOOKUP($A52,regions_full!$A$2:$AI$267,MATCH(polities_cats!D$1,$A$1:$AN$1,0),0)</f>
        <v>250</v>
      </c>
      <c r="E52" t="str">
        <f>VLOOKUP($A52,regions_full!$A$2:$AI$267,MATCH(polities_cats!E$1,$A$1:$AN$1,0),0)</f>
        <v>COD</v>
      </c>
      <c r="F52" t="str">
        <f>VLOOKUP($A52,regions_full!$A$2:$AI$267,MATCH(polities_cats!F$1,$A$1:$AN$1,0),0)</f>
        <v>Democratic Republic of the Congo</v>
      </c>
      <c r="G52" t="str">
        <f>VLOOKUP($A52,regions_full!$A$2:$AI$267,MATCH(polities_cats!G$1,$A$1:$AN$1,0),0)</f>
        <v>FALSE</v>
      </c>
      <c r="H52" t="str">
        <f>VLOOKUP($A52,regions_full!$A$2:$AI$267,MATCH(polities_cats!H$1,$A$1:$AN$1,0),0)</f>
        <v>DR Congo</v>
      </c>
      <c r="I52" t="str">
        <f>VLOOKUP($A52,regions_full!$A$2:$AI$267,MATCH(polities_cats!I$1,$A$1:$AN$1,0),0)</f>
        <v>Congo (Kinshasa)</v>
      </c>
      <c r="J52" t="str">
        <f>VLOOKUP($A52,regions_full!$A$2:$AI$267,MATCH(polities_cats!J$1,$A$1:$AN$1,0),0)</f>
        <v>Democratic Republic of the Congo</v>
      </c>
      <c r="K52">
        <f>VLOOKUP($A52,regions_full!$A$2:$AI$267,MATCH(polities_cats!K$1,$A$1:$AN$1,0),0)</f>
        <v>250</v>
      </c>
      <c r="L52" t="str">
        <f>VLOOKUP($A52,regions_full!$A$2:$AI$267,MATCH(polities_cats!L$1,$A$1:$AN$1,0),0)</f>
        <v>Congo, Democratic Republic of</v>
      </c>
      <c r="M52">
        <f>VLOOKUP($A52,regions_full!$A$2:$AI$267,MATCH(polities_cats!M$1,$A$1:$AN$1,0),0)</f>
        <v>180</v>
      </c>
      <c r="N52">
        <f>VLOOKUP($A52,regions_full!$A$2:$AI$267,MATCH(polities_cats!N$1,$A$1:$AN$1,0),0)</f>
        <v>180</v>
      </c>
      <c r="O52">
        <f>VLOOKUP($A52,regions_full!$A$2:$AI$267,MATCH(polities_cats!O$1,$A$1:$AN$1,0),0)</f>
        <v>6</v>
      </c>
      <c r="P52" t="str">
        <f>VLOOKUP($A52,regions_full!$A$2:$AI$267,MATCH(polities_cats!P$1,$A$1:$AN$1,0),0)</f>
        <v>TRUE</v>
      </c>
      <c r="Q52">
        <f>VLOOKUP($A52,regions_full!$A$2:$AI$267,MATCH(polities_cats!Q$1,$A$1:$AN$1,0),0)</f>
        <v>250</v>
      </c>
      <c r="R52" t="str">
        <f>VLOOKUP($A52,regions_full!$A$2:$AI$267,MATCH(polities_cats!R$1,$A$1:$AN$1,0),0)</f>
        <v/>
      </c>
      <c r="S52" t="str">
        <f>VLOOKUP($A52,regions_full!$A$2:$AI$267,MATCH(polities_cats!S$1,$A$1:$AN$1,0),0)</f>
        <v>Western Africa</v>
      </c>
      <c r="T52">
        <f>VLOOKUP($A52,regions_full!$A$2:$AI$267,MATCH(polities_cats!T$1,$A$1:$AN$1,0),0)</f>
        <v>1</v>
      </c>
      <c r="U52" t="str">
        <f>VLOOKUP($A52,regions_full!$A$2:$AI$267,MATCH(polities_cats!U$1,$A$1:$AN$1,0),0)</f>
        <v>Democratic Republic of the Congo</v>
      </c>
      <c r="V52" t="str">
        <f>VLOOKUP($A52,regions_full!$A$2:$AI$267,MATCH(polities_cats!V$1,$A$1:$AN$1,0),0)</f>
        <v>Subsaharan Africa</v>
      </c>
      <c r="W52" t="str">
        <f>VLOOKUP($A52,regions_full!$A$2:$AI$267,MATCH(polities_cats!W$1,$A$1:$AN$1,0),0)</f>
        <v>Sub-saharan Africa</v>
      </c>
      <c r="X52" t="str">
        <f>VLOOKUP($A52,regions_full!$A$2:$AI$267,MATCH(polities_cats!X$1,$A$1:$AN$1,0),0)</f>
        <v>SSA</v>
      </c>
      <c r="Y52" t="str">
        <f>VLOOKUP($A52,regions_full!$A$2:$AI$267,MATCH(polities_cats!Y$1,$A$1:$AN$1,0),0)</f>
        <v>Sub-Saharan Africa</v>
      </c>
      <c r="Z52" t="str">
        <f>VLOOKUP($A52,regions_full!$A$2:$AI$267,MATCH(polities_cats!Z$1,$A$1:$AN$1,0),0)</f>
        <v>Africa</v>
      </c>
      <c r="AA52" t="str">
        <f>VLOOKUP($A52,regions_full!$A$2:$AI$267,MATCH(polities_cats!AA$1,$A$1:$AN$1,0),0)</f>
        <v>Africa</v>
      </c>
      <c r="AB52" t="str">
        <f>VLOOKUP($A52,regions_full!$A$2:$AI$267,MATCH(polities_cats!AB$1,$A$1:$AN$1,0),0)</f>
        <v>Sub-Saharan Africa</v>
      </c>
      <c r="AC52" t="str">
        <f>VLOOKUP($A52,regions_full!$A$2:$AI$267,MATCH(polities_cats!AC$1,$A$1:$AN$1,0),0)</f>
        <v>Central Africa</v>
      </c>
      <c r="AD52" t="str">
        <f>VLOOKUP($A52,regions_full!$A$2:$AI$267,MATCH(polities_cats!AD$1,$A$1:$AN$1,0),0)</f>
        <v>Emerging</v>
      </c>
      <c r="AE52" t="str">
        <f>VLOOKUP($A52,regions_full!$A$2:$AI$267,MATCH(polities_cats!AE$1,$A$1:$AN$1,0),0)</f>
        <v>Annex_II</v>
      </c>
      <c r="AF52" t="str">
        <f>VLOOKUP($A52,regions_full!$A$2:$AI$267,MATCH(polities_cats!AF$1,$A$1:$AN$1,0),0)</f>
        <v>Middle Africa</v>
      </c>
      <c r="AG52" t="str">
        <f>VLOOKUP($A52,regions_full!$A$2:$AI$267,MATCH(polities_cats!AG$1,$A$1:$AN$1,0),0)</f>
        <v>SAA</v>
      </c>
      <c r="AH52" t="str">
        <f>VLOOKUP($A52,regions_full!$A$2:$AI$267,MATCH(polities_cats!AH$1,$A$1:$AN$1,0),0)</f>
        <v>no_mech</v>
      </c>
      <c r="AI52" t="str">
        <f>VLOOKUP($A52,regions_full!$A$2:$AI$267,MATCH(polities_cats!AI$1,$A$1:$AN$1,0),0)</f>
        <v>Other</v>
      </c>
      <c r="AJ52" t="e">
        <f>VLOOKUP($A52,regions_full!$A$2:$AI$267,MATCH(polities_cats!AJ$1,$A$1:$AN$1,0),0)</f>
        <v>#REF!</v>
      </c>
      <c r="AK52" t="e">
        <f>VLOOKUP($A52,regions_full!$A$2:$AI$267,MATCH(polities_cats!AK$1,$A$1:$AN$1,0),0)</f>
        <v>#REF!</v>
      </c>
      <c r="AL52" t="e">
        <f>VLOOKUP($A52,regions_full!$A$2:$AI$267,MATCH(polities_cats!AL$1,$A$1:$AN$1,0),0)</f>
        <v>#REF!</v>
      </c>
      <c r="AM52" t="e">
        <f>VLOOKUP($A52,regions_full!$A$2:$AI$267,MATCH(polities_cats!AM$1,$A$1:$AN$1,0),0)</f>
        <v>#REF!</v>
      </c>
      <c r="AN52" t="e">
        <f>VLOOKUP($A52,regions_full!$A$2:$AI$267,MATCH(polities_cats!AN$1,$A$1:$AN$1,0),0)</f>
        <v>#REF!</v>
      </c>
    </row>
    <row r="53" spans="1:40" x14ac:dyDescent="0.3">
      <c r="A53" t="str">
        <f>polities_whep!A53</f>
        <v>ECU</v>
      </c>
      <c r="B53" t="str">
        <f>polities_whep!B53</f>
        <v>Ecuador</v>
      </c>
      <c r="C53">
        <f>VLOOKUP($A53,regions_full!$A$2:$AI$267,MATCH(polities_cats!C$1,$A$1:$AN$1,0),0)</f>
        <v>58</v>
      </c>
      <c r="D53">
        <f>VLOOKUP($A53,regions_full!$A$2:$AI$267,MATCH(polities_cats!D$1,$A$1:$AN$1,0),0)</f>
        <v>58</v>
      </c>
      <c r="E53" t="str">
        <f>VLOOKUP($A53,regions_full!$A$2:$AI$267,MATCH(polities_cats!E$1,$A$1:$AN$1,0),0)</f>
        <v>ECU</v>
      </c>
      <c r="F53" t="str">
        <f>VLOOKUP($A53,regions_full!$A$2:$AI$267,MATCH(polities_cats!F$1,$A$1:$AN$1,0),0)</f>
        <v>Ecuador</v>
      </c>
      <c r="G53" t="str">
        <f>VLOOKUP($A53,regions_full!$A$2:$AI$267,MATCH(polities_cats!G$1,$A$1:$AN$1,0),0)</f>
        <v>FALSE</v>
      </c>
      <c r="H53" t="str">
        <f>VLOOKUP($A53,regions_full!$A$2:$AI$267,MATCH(polities_cats!H$1,$A$1:$AN$1,0),0)</f>
        <v>Ecuador</v>
      </c>
      <c r="I53" t="str">
        <f>VLOOKUP($A53,regions_full!$A$2:$AI$267,MATCH(polities_cats!I$1,$A$1:$AN$1,0),0)</f>
        <v>Ecuador</v>
      </c>
      <c r="J53" t="str">
        <f>VLOOKUP($A53,regions_full!$A$2:$AI$267,MATCH(polities_cats!J$1,$A$1:$AN$1,0),0)</f>
        <v>Ecuador</v>
      </c>
      <c r="K53">
        <f>VLOOKUP($A53,regions_full!$A$2:$AI$267,MATCH(polities_cats!K$1,$A$1:$AN$1,0),0)</f>
        <v>58</v>
      </c>
      <c r="L53" t="str">
        <f>VLOOKUP($A53,regions_full!$A$2:$AI$267,MATCH(polities_cats!L$1,$A$1:$AN$1,0),0)</f>
        <v>Ecuador</v>
      </c>
      <c r="M53">
        <f>VLOOKUP($A53,regions_full!$A$2:$AI$267,MATCH(polities_cats!M$1,$A$1:$AN$1,0),0)</f>
        <v>218</v>
      </c>
      <c r="N53">
        <f>VLOOKUP($A53,regions_full!$A$2:$AI$267,MATCH(polities_cats!N$1,$A$1:$AN$1,0),0)</f>
        <v>218</v>
      </c>
      <c r="O53">
        <f>VLOOKUP($A53,regions_full!$A$2:$AI$267,MATCH(polities_cats!O$1,$A$1:$AN$1,0),0)</f>
        <v>4</v>
      </c>
      <c r="P53" t="str">
        <f>VLOOKUP($A53,regions_full!$A$2:$AI$267,MATCH(polities_cats!P$1,$A$1:$AN$1,0),0)</f>
        <v>TRUE</v>
      </c>
      <c r="Q53">
        <f>VLOOKUP($A53,regions_full!$A$2:$AI$267,MATCH(polities_cats!Q$1,$A$1:$AN$1,0),0)</f>
        <v>58</v>
      </c>
      <c r="R53" t="str">
        <f>VLOOKUP($A53,regions_full!$A$2:$AI$267,MATCH(polities_cats!R$1,$A$1:$AN$1,0),0)</f>
        <v/>
      </c>
      <c r="S53" t="str">
        <f>VLOOKUP($A53,regions_full!$A$2:$AI$267,MATCH(polities_cats!S$1,$A$1:$AN$1,0),0)</f>
        <v>South America</v>
      </c>
      <c r="T53">
        <f>VLOOKUP($A53,regions_full!$A$2:$AI$267,MATCH(polities_cats!T$1,$A$1:$AN$1,0),0)</f>
        <v>1</v>
      </c>
      <c r="U53" t="str">
        <f>VLOOKUP($A53,regions_full!$A$2:$AI$267,MATCH(polities_cats!U$1,$A$1:$AN$1,0),0)</f>
        <v>Ecuador</v>
      </c>
      <c r="V53" t="str">
        <f>VLOOKUP($A53,regions_full!$A$2:$AI$267,MATCH(polities_cats!V$1,$A$1:$AN$1,0),0)</f>
        <v>Latin America and the Caribbean</v>
      </c>
      <c r="W53" t="str">
        <f>VLOOKUP($A53,regions_full!$A$2:$AI$267,MATCH(polities_cats!W$1,$A$1:$AN$1,0),0)</f>
        <v>Latin America and Caribbean</v>
      </c>
      <c r="X53" t="str">
        <f>VLOOKUP($A53,regions_full!$A$2:$AI$267,MATCH(polities_cats!X$1,$A$1:$AN$1,0),0)</f>
        <v>LACA</v>
      </c>
      <c r="Y53" t="str">
        <f>VLOOKUP($A53,regions_full!$A$2:$AI$267,MATCH(polities_cats!Y$1,$A$1:$AN$1,0),0)</f>
        <v>Latin America and the Caribbean</v>
      </c>
      <c r="Z53" t="str">
        <f>VLOOKUP($A53,regions_full!$A$2:$AI$267,MATCH(polities_cats!Z$1,$A$1:$AN$1,0),0)</f>
        <v>Americas</v>
      </c>
      <c r="AA53" t="str">
        <f>VLOOKUP($A53,regions_full!$A$2:$AI$267,MATCH(polities_cats!AA$1,$A$1:$AN$1,0),0)</f>
        <v>Americas</v>
      </c>
      <c r="AB53" t="str">
        <f>VLOOKUP($A53,regions_full!$A$2:$AI$267,MATCH(polities_cats!AB$1,$A$1:$AN$1,0),0)</f>
        <v>Latin America and the Caribbean</v>
      </c>
      <c r="AC53" t="str">
        <f>VLOOKUP($A53,regions_full!$A$2:$AI$267,MATCH(polities_cats!AC$1,$A$1:$AN$1,0),0)</f>
        <v>South America</v>
      </c>
      <c r="AD53" t="str">
        <f>VLOOKUP($A53,regions_full!$A$2:$AI$267,MATCH(polities_cats!AD$1,$A$1:$AN$1,0),0)</f>
        <v>Emerging</v>
      </c>
      <c r="AE53" t="str">
        <f>VLOOKUP($A53,regions_full!$A$2:$AI$267,MATCH(polities_cats!AE$1,$A$1:$AN$1,0),0)</f>
        <v>Annex_II</v>
      </c>
      <c r="AF53" t="str">
        <f>VLOOKUP($A53,regions_full!$A$2:$AI$267,MATCH(polities_cats!AF$1,$A$1:$AN$1,0),0)</f>
        <v>Andean &amp; Mexico</v>
      </c>
      <c r="AG53" t="str">
        <f>VLOOKUP($A53,regions_full!$A$2:$AI$267,MATCH(polities_cats!AG$1,$A$1:$AN$1,0),0)</f>
        <v>LACA</v>
      </c>
      <c r="AH53" t="str">
        <f>VLOOKUP($A53,regions_full!$A$2:$AI$267,MATCH(polities_cats!AH$1,$A$1:$AN$1,0),0)</f>
        <v>no_mech</v>
      </c>
      <c r="AI53" t="str">
        <f>VLOOKUP($A53,regions_full!$A$2:$AI$267,MATCH(polities_cats!AI$1,$A$1:$AN$1,0),0)</f>
        <v>Other</v>
      </c>
      <c r="AJ53" t="e">
        <f>VLOOKUP($A53,regions_full!$A$2:$AI$267,MATCH(polities_cats!AJ$1,$A$1:$AN$1,0),0)</f>
        <v>#REF!</v>
      </c>
      <c r="AK53" t="e">
        <f>VLOOKUP($A53,regions_full!$A$2:$AI$267,MATCH(polities_cats!AK$1,$A$1:$AN$1,0),0)</f>
        <v>#REF!</v>
      </c>
      <c r="AL53" t="e">
        <f>VLOOKUP($A53,regions_full!$A$2:$AI$267,MATCH(polities_cats!AL$1,$A$1:$AN$1,0),0)</f>
        <v>#REF!</v>
      </c>
      <c r="AM53" t="e">
        <f>VLOOKUP($A53,regions_full!$A$2:$AI$267,MATCH(polities_cats!AM$1,$A$1:$AN$1,0),0)</f>
        <v>#REF!</v>
      </c>
      <c r="AN53" t="e">
        <f>VLOOKUP($A53,regions_full!$A$2:$AI$267,MATCH(polities_cats!AN$1,$A$1:$AN$1,0),0)</f>
        <v>#REF!</v>
      </c>
    </row>
    <row r="54" spans="1:40" x14ac:dyDescent="0.3">
      <c r="A54" t="str">
        <f>polities_whep!A54</f>
        <v>EGY</v>
      </c>
      <c r="B54" t="str">
        <f>polities_whep!B54</f>
        <v>Egypt</v>
      </c>
      <c r="C54">
        <f>VLOOKUP($A54,regions_full!$A$2:$AI$267,MATCH(polities_cats!C$1,$A$1:$AN$1,0),0)</f>
        <v>59</v>
      </c>
      <c r="D54">
        <f>VLOOKUP($A54,regions_full!$A$2:$AI$267,MATCH(polities_cats!D$1,$A$1:$AN$1,0),0)</f>
        <v>59</v>
      </c>
      <c r="E54" t="str">
        <f>VLOOKUP($A54,regions_full!$A$2:$AI$267,MATCH(polities_cats!E$1,$A$1:$AN$1,0),0)</f>
        <v>EGY</v>
      </c>
      <c r="F54" t="str">
        <f>VLOOKUP($A54,regions_full!$A$2:$AI$267,MATCH(polities_cats!F$1,$A$1:$AN$1,0),0)</f>
        <v>Egypt</v>
      </c>
      <c r="G54" t="str">
        <f>VLOOKUP($A54,regions_full!$A$2:$AI$267,MATCH(polities_cats!G$1,$A$1:$AN$1,0),0)</f>
        <v>FALSE</v>
      </c>
      <c r="H54" t="str">
        <f>VLOOKUP($A54,regions_full!$A$2:$AI$267,MATCH(polities_cats!H$1,$A$1:$AN$1,0),0)</f>
        <v>Egypt</v>
      </c>
      <c r="I54" t="str">
        <f>VLOOKUP($A54,regions_full!$A$2:$AI$267,MATCH(polities_cats!I$1,$A$1:$AN$1,0),0)</f>
        <v>Egypt</v>
      </c>
      <c r="J54" t="str">
        <f>VLOOKUP($A54,regions_full!$A$2:$AI$267,MATCH(polities_cats!J$1,$A$1:$AN$1,0),0)</f>
        <v>Egypt</v>
      </c>
      <c r="K54">
        <f>VLOOKUP($A54,regions_full!$A$2:$AI$267,MATCH(polities_cats!K$1,$A$1:$AN$1,0),0)</f>
        <v>59</v>
      </c>
      <c r="L54" t="str">
        <f>VLOOKUP($A54,regions_full!$A$2:$AI$267,MATCH(polities_cats!L$1,$A$1:$AN$1,0),0)</f>
        <v>Egypt</v>
      </c>
      <c r="M54">
        <f>VLOOKUP($A54,regions_full!$A$2:$AI$267,MATCH(polities_cats!M$1,$A$1:$AN$1,0),0)</f>
        <v>818</v>
      </c>
      <c r="N54">
        <f>VLOOKUP($A54,regions_full!$A$2:$AI$267,MATCH(polities_cats!N$1,$A$1:$AN$1,0),0)</f>
        <v>818</v>
      </c>
      <c r="O54">
        <f>VLOOKUP($A54,regions_full!$A$2:$AI$267,MATCH(polities_cats!O$1,$A$1:$AN$1,0),0)</f>
        <v>5</v>
      </c>
      <c r="P54" t="str">
        <f>VLOOKUP($A54,regions_full!$A$2:$AI$267,MATCH(polities_cats!P$1,$A$1:$AN$1,0),0)</f>
        <v>TRUE</v>
      </c>
      <c r="Q54">
        <f>VLOOKUP($A54,regions_full!$A$2:$AI$267,MATCH(polities_cats!Q$1,$A$1:$AN$1,0),0)</f>
        <v>59</v>
      </c>
      <c r="R54" t="str">
        <f>VLOOKUP($A54,regions_full!$A$2:$AI$267,MATCH(polities_cats!R$1,$A$1:$AN$1,0),0)</f>
        <v/>
      </c>
      <c r="S54" t="str">
        <f>VLOOKUP($A54,regions_full!$A$2:$AI$267,MATCH(polities_cats!S$1,$A$1:$AN$1,0),0)</f>
        <v>Northern Africa</v>
      </c>
      <c r="T54">
        <f>VLOOKUP($A54,regions_full!$A$2:$AI$267,MATCH(polities_cats!T$1,$A$1:$AN$1,0),0)</f>
        <v>1</v>
      </c>
      <c r="U54" t="str">
        <f>VLOOKUP($A54,regions_full!$A$2:$AI$267,MATCH(polities_cats!U$1,$A$1:$AN$1,0),0)</f>
        <v>Egypt</v>
      </c>
      <c r="V54" t="str">
        <f>VLOOKUP($A54,regions_full!$A$2:$AI$267,MATCH(polities_cats!V$1,$A$1:$AN$1,0),0)</f>
        <v>Northern Africa and Western Asia</v>
      </c>
      <c r="W54" t="str">
        <f>VLOOKUP($A54,regions_full!$A$2:$AI$267,MATCH(polities_cats!W$1,$A$1:$AN$1,0),0)</f>
        <v>North Africa and West Asia</v>
      </c>
      <c r="X54" t="str">
        <f>VLOOKUP($A54,regions_full!$A$2:$AI$267,MATCH(polities_cats!X$1,$A$1:$AN$1,0),0)</f>
        <v>MENA</v>
      </c>
      <c r="Y54" t="str">
        <f>VLOOKUP($A54,regions_full!$A$2:$AI$267,MATCH(polities_cats!Y$1,$A$1:$AN$1,0),0)</f>
        <v>Northern Africa</v>
      </c>
      <c r="Z54" t="str">
        <f>VLOOKUP($A54,regions_full!$A$2:$AI$267,MATCH(polities_cats!Z$1,$A$1:$AN$1,0),0)</f>
        <v>Africa</v>
      </c>
      <c r="AA54" t="str">
        <f>VLOOKUP($A54,regions_full!$A$2:$AI$267,MATCH(polities_cats!AA$1,$A$1:$AN$1,0),0)</f>
        <v>Africa</v>
      </c>
      <c r="AB54" t="str">
        <f>VLOOKUP($A54,regions_full!$A$2:$AI$267,MATCH(polities_cats!AB$1,$A$1:$AN$1,0),0)</f>
        <v>Northern Africa</v>
      </c>
      <c r="AC54" t="str">
        <f>VLOOKUP($A54,regions_full!$A$2:$AI$267,MATCH(polities_cats!AC$1,$A$1:$AN$1,0),0)</f>
        <v>Northern Africa</v>
      </c>
      <c r="AD54" t="str">
        <f>VLOOKUP($A54,regions_full!$A$2:$AI$267,MATCH(polities_cats!AD$1,$A$1:$AN$1,0),0)</f>
        <v>Emerging</v>
      </c>
      <c r="AE54" t="str">
        <f>VLOOKUP($A54,regions_full!$A$2:$AI$267,MATCH(polities_cats!AE$1,$A$1:$AN$1,0),0)</f>
        <v>Annex_II</v>
      </c>
      <c r="AF54" t="str">
        <f>VLOOKUP($A54,regions_full!$A$2:$AI$267,MATCH(polities_cats!AF$1,$A$1:$AN$1,0),0)</f>
        <v>Northern Africa</v>
      </c>
      <c r="AG54" t="str">
        <f>VLOOKUP($A54,regions_full!$A$2:$AI$267,MATCH(polities_cats!AG$1,$A$1:$AN$1,0),0)</f>
        <v>MENA</v>
      </c>
      <c r="AH54" t="str">
        <f>VLOOKUP($A54,regions_full!$A$2:$AI$267,MATCH(polities_cats!AH$1,$A$1:$AN$1,0),0)</f>
        <v>no_mech</v>
      </c>
      <c r="AI54" t="str">
        <f>VLOOKUP($A54,regions_full!$A$2:$AI$267,MATCH(polities_cats!AI$1,$A$1:$AN$1,0),0)</f>
        <v>Other</v>
      </c>
      <c r="AJ54" t="e">
        <f>VLOOKUP($A54,regions_full!$A$2:$AI$267,MATCH(polities_cats!AJ$1,$A$1:$AN$1,0),0)</f>
        <v>#REF!</v>
      </c>
      <c r="AK54" t="e">
        <f>VLOOKUP($A54,regions_full!$A$2:$AI$267,MATCH(polities_cats!AK$1,$A$1:$AN$1,0),0)</f>
        <v>#REF!</v>
      </c>
      <c r="AL54" t="e">
        <f>VLOOKUP($A54,regions_full!$A$2:$AI$267,MATCH(polities_cats!AL$1,$A$1:$AN$1,0),0)</f>
        <v>#REF!</v>
      </c>
      <c r="AM54" t="e">
        <f>VLOOKUP($A54,regions_full!$A$2:$AI$267,MATCH(polities_cats!AM$1,$A$1:$AN$1,0),0)</f>
        <v>#REF!</v>
      </c>
      <c r="AN54" t="e">
        <f>VLOOKUP($A54,regions_full!$A$2:$AI$267,MATCH(polities_cats!AN$1,$A$1:$AN$1,0),0)</f>
        <v>#REF!</v>
      </c>
    </row>
    <row r="55" spans="1:40" x14ac:dyDescent="0.3">
      <c r="A55" t="str">
        <f>polities_whep!A55</f>
        <v>SLV</v>
      </c>
      <c r="B55" t="str">
        <f>polities_whep!B55</f>
        <v>El Salvador</v>
      </c>
      <c r="C55">
        <f>VLOOKUP($A55,regions_full!$A$2:$AI$267,MATCH(polities_cats!C$1,$A$1:$AN$1,0),0)</f>
        <v>60</v>
      </c>
      <c r="D55">
        <f>VLOOKUP($A55,regions_full!$A$2:$AI$267,MATCH(polities_cats!D$1,$A$1:$AN$1,0),0)</f>
        <v>60</v>
      </c>
      <c r="E55" t="str">
        <f>VLOOKUP($A55,regions_full!$A$2:$AI$267,MATCH(polities_cats!E$1,$A$1:$AN$1,0),0)</f>
        <v>SLV</v>
      </c>
      <c r="F55" t="str">
        <f>VLOOKUP($A55,regions_full!$A$2:$AI$267,MATCH(polities_cats!F$1,$A$1:$AN$1,0),0)</f>
        <v>El Salvador</v>
      </c>
      <c r="G55" t="str">
        <f>VLOOKUP($A55,regions_full!$A$2:$AI$267,MATCH(polities_cats!G$1,$A$1:$AN$1,0),0)</f>
        <v>FALSE</v>
      </c>
      <c r="H55" t="str">
        <f>VLOOKUP($A55,regions_full!$A$2:$AI$267,MATCH(polities_cats!H$1,$A$1:$AN$1,0),0)</f>
        <v>El Salvador</v>
      </c>
      <c r="I55" t="str">
        <f>VLOOKUP($A55,regions_full!$A$2:$AI$267,MATCH(polities_cats!I$1,$A$1:$AN$1,0),0)</f>
        <v>El Salvador</v>
      </c>
      <c r="J55" t="str">
        <f>VLOOKUP($A55,regions_full!$A$2:$AI$267,MATCH(polities_cats!J$1,$A$1:$AN$1,0),0)</f>
        <v>El Salvador</v>
      </c>
      <c r="K55">
        <f>VLOOKUP($A55,regions_full!$A$2:$AI$267,MATCH(polities_cats!K$1,$A$1:$AN$1,0),0)</f>
        <v>60</v>
      </c>
      <c r="L55" t="str">
        <f>VLOOKUP($A55,regions_full!$A$2:$AI$267,MATCH(polities_cats!L$1,$A$1:$AN$1,0),0)</f>
        <v>El Salvador</v>
      </c>
      <c r="M55">
        <f>VLOOKUP($A55,regions_full!$A$2:$AI$267,MATCH(polities_cats!M$1,$A$1:$AN$1,0),0)</f>
        <v>222</v>
      </c>
      <c r="N55">
        <f>VLOOKUP($A55,regions_full!$A$2:$AI$267,MATCH(polities_cats!N$1,$A$1:$AN$1,0),0)</f>
        <v>222</v>
      </c>
      <c r="O55">
        <f>VLOOKUP($A55,regions_full!$A$2:$AI$267,MATCH(polities_cats!O$1,$A$1:$AN$1,0),0)</f>
        <v>3</v>
      </c>
      <c r="P55" t="str">
        <f>VLOOKUP($A55,regions_full!$A$2:$AI$267,MATCH(polities_cats!P$1,$A$1:$AN$1,0),0)</f>
        <v>TRUE</v>
      </c>
      <c r="Q55">
        <f>VLOOKUP($A55,regions_full!$A$2:$AI$267,MATCH(polities_cats!Q$1,$A$1:$AN$1,0),0)</f>
        <v>60</v>
      </c>
      <c r="R55" t="str">
        <f>VLOOKUP($A55,regions_full!$A$2:$AI$267,MATCH(polities_cats!R$1,$A$1:$AN$1,0),0)</f>
        <v/>
      </c>
      <c r="S55" t="str">
        <f>VLOOKUP($A55,regions_full!$A$2:$AI$267,MATCH(polities_cats!S$1,$A$1:$AN$1,0),0)</f>
        <v>Central America</v>
      </c>
      <c r="T55">
        <f>VLOOKUP($A55,regions_full!$A$2:$AI$267,MATCH(polities_cats!T$1,$A$1:$AN$1,0),0)</f>
        <v>1</v>
      </c>
      <c r="U55" t="str">
        <f>VLOOKUP($A55,regions_full!$A$2:$AI$267,MATCH(polities_cats!U$1,$A$1:$AN$1,0),0)</f>
        <v>El Salvador</v>
      </c>
      <c r="V55" t="str">
        <f>VLOOKUP($A55,regions_full!$A$2:$AI$267,MATCH(polities_cats!V$1,$A$1:$AN$1,0),0)</f>
        <v>Latin America and the Caribbean</v>
      </c>
      <c r="W55" t="str">
        <f>VLOOKUP($A55,regions_full!$A$2:$AI$267,MATCH(polities_cats!W$1,$A$1:$AN$1,0),0)</f>
        <v>Latin America and Caribbean</v>
      </c>
      <c r="X55" t="str">
        <f>VLOOKUP($A55,regions_full!$A$2:$AI$267,MATCH(polities_cats!X$1,$A$1:$AN$1,0),0)</f>
        <v>LACA</v>
      </c>
      <c r="Y55" t="str">
        <f>VLOOKUP($A55,regions_full!$A$2:$AI$267,MATCH(polities_cats!Y$1,$A$1:$AN$1,0),0)</f>
        <v>Latin America and the Caribbean</v>
      </c>
      <c r="Z55" t="str">
        <f>VLOOKUP($A55,regions_full!$A$2:$AI$267,MATCH(polities_cats!Z$1,$A$1:$AN$1,0),0)</f>
        <v>Americas</v>
      </c>
      <c r="AA55" t="str">
        <f>VLOOKUP($A55,regions_full!$A$2:$AI$267,MATCH(polities_cats!AA$1,$A$1:$AN$1,0),0)</f>
        <v>Americas</v>
      </c>
      <c r="AB55" t="str">
        <f>VLOOKUP($A55,regions_full!$A$2:$AI$267,MATCH(polities_cats!AB$1,$A$1:$AN$1,0),0)</f>
        <v>Latin America and the Caribbean</v>
      </c>
      <c r="AC55" t="str">
        <f>VLOOKUP($A55,regions_full!$A$2:$AI$267,MATCH(polities_cats!AC$1,$A$1:$AN$1,0),0)</f>
        <v>Central America</v>
      </c>
      <c r="AD55" t="str">
        <f>VLOOKUP($A55,regions_full!$A$2:$AI$267,MATCH(polities_cats!AD$1,$A$1:$AN$1,0),0)</f>
        <v>Emerging</v>
      </c>
      <c r="AE55" t="str">
        <f>VLOOKUP($A55,regions_full!$A$2:$AI$267,MATCH(polities_cats!AE$1,$A$1:$AN$1,0),0)</f>
        <v>Annex_II</v>
      </c>
      <c r="AF55" t="str">
        <f>VLOOKUP($A55,regions_full!$A$2:$AI$267,MATCH(polities_cats!AF$1,$A$1:$AN$1,0),0)</f>
        <v>Caribbean &amp; Centra Am.</v>
      </c>
      <c r="AG55" t="str">
        <f>VLOOKUP($A55,regions_full!$A$2:$AI$267,MATCH(polities_cats!AG$1,$A$1:$AN$1,0),0)</f>
        <v>LACA</v>
      </c>
      <c r="AH55" t="str">
        <f>VLOOKUP($A55,regions_full!$A$2:$AI$267,MATCH(polities_cats!AH$1,$A$1:$AN$1,0),0)</f>
        <v>no_mech</v>
      </c>
      <c r="AI55" t="str">
        <f>VLOOKUP($A55,regions_full!$A$2:$AI$267,MATCH(polities_cats!AI$1,$A$1:$AN$1,0),0)</f>
        <v>Other</v>
      </c>
      <c r="AJ55" t="e">
        <f>VLOOKUP($A55,regions_full!$A$2:$AI$267,MATCH(polities_cats!AJ$1,$A$1:$AN$1,0),0)</f>
        <v>#REF!</v>
      </c>
      <c r="AK55" t="e">
        <f>VLOOKUP($A55,regions_full!$A$2:$AI$267,MATCH(polities_cats!AK$1,$A$1:$AN$1,0),0)</f>
        <v>#REF!</v>
      </c>
      <c r="AL55" t="e">
        <f>VLOOKUP($A55,regions_full!$A$2:$AI$267,MATCH(polities_cats!AL$1,$A$1:$AN$1,0),0)</f>
        <v>#REF!</v>
      </c>
      <c r="AM55" t="e">
        <f>VLOOKUP($A55,regions_full!$A$2:$AI$267,MATCH(polities_cats!AM$1,$A$1:$AN$1,0),0)</f>
        <v>#REF!</v>
      </c>
      <c r="AN55" t="e">
        <f>VLOOKUP($A55,regions_full!$A$2:$AI$267,MATCH(polities_cats!AN$1,$A$1:$AN$1,0),0)</f>
        <v>#REF!</v>
      </c>
    </row>
    <row r="56" spans="1:40" x14ac:dyDescent="0.3">
      <c r="A56" t="str">
        <f>polities_whep!A56</f>
        <v>ERI</v>
      </c>
      <c r="B56" t="str">
        <f>polities_whep!B56</f>
        <v>Eritrea</v>
      </c>
      <c r="C56">
        <f>VLOOKUP($A56,regions_full!$A$2:$AI$267,MATCH(polities_cats!C$1,$A$1:$AN$1,0),0)</f>
        <v>175</v>
      </c>
      <c r="D56">
        <f>VLOOKUP($A56,regions_full!$A$2:$AI$267,MATCH(polities_cats!D$1,$A$1:$AN$1,0),0)</f>
        <v>178</v>
      </c>
      <c r="E56" t="str">
        <f>VLOOKUP($A56,regions_full!$A$2:$AI$267,MATCH(polities_cats!E$1,$A$1:$AN$1,0),0)</f>
        <v>ERI</v>
      </c>
      <c r="F56" t="str">
        <f>VLOOKUP($A56,regions_full!$A$2:$AI$267,MATCH(polities_cats!F$1,$A$1:$AN$1,0),0)</f>
        <v>Eritrea</v>
      </c>
      <c r="G56" t="str">
        <f>VLOOKUP($A56,regions_full!$A$2:$AI$267,MATCH(polities_cats!G$1,$A$1:$AN$1,0),0)</f>
        <v>FALSE</v>
      </c>
      <c r="H56" t="str">
        <f>VLOOKUP($A56,regions_full!$A$2:$AI$267,MATCH(polities_cats!H$1,$A$1:$AN$1,0),0)</f>
        <v>Eritrea</v>
      </c>
      <c r="I56" t="str">
        <f>VLOOKUP($A56,regions_full!$A$2:$AI$267,MATCH(polities_cats!I$1,$A$1:$AN$1,0),0)</f>
        <v>Eritrea</v>
      </c>
      <c r="J56" t="str">
        <f>VLOOKUP($A56,regions_full!$A$2:$AI$267,MATCH(polities_cats!J$1,$A$1:$AN$1,0),0)</f>
        <v>Eritrea</v>
      </c>
      <c r="K56">
        <f>VLOOKUP($A56,regions_full!$A$2:$AI$267,MATCH(polities_cats!K$1,$A$1:$AN$1,0),0)</f>
        <v>178</v>
      </c>
      <c r="L56" t="str">
        <f>VLOOKUP($A56,regions_full!$A$2:$AI$267,MATCH(polities_cats!L$1,$A$1:$AN$1,0),0)</f>
        <v>Eritrea</v>
      </c>
      <c r="M56">
        <f>VLOOKUP($A56,regions_full!$A$2:$AI$267,MATCH(polities_cats!M$1,$A$1:$AN$1,0),0)</f>
        <v>232</v>
      </c>
      <c r="N56">
        <f>VLOOKUP($A56,regions_full!$A$2:$AI$267,MATCH(polities_cats!N$1,$A$1:$AN$1,0),0)</f>
        <v>232</v>
      </c>
      <c r="O56">
        <f>VLOOKUP($A56,regions_full!$A$2:$AI$267,MATCH(polities_cats!O$1,$A$1:$AN$1,0),0)</f>
        <v>7</v>
      </c>
      <c r="P56" t="str">
        <f>VLOOKUP($A56,regions_full!$A$2:$AI$267,MATCH(polities_cats!P$1,$A$1:$AN$1,0),0)</f>
        <v>TRUE</v>
      </c>
      <c r="Q56">
        <f>VLOOKUP($A56,regions_full!$A$2:$AI$267,MATCH(polities_cats!Q$1,$A$1:$AN$1,0),0)</f>
        <v>178</v>
      </c>
      <c r="R56" t="str">
        <f>VLOOKUP($A56,regions_full!$A$2:$AI$267,MATCH(polities_cats!R$1,$A$1:$AN$1,0),0)</f>
        <v/>
      </c>
      <c r="S56" t="str">
        <f>VLOOKUP($A56,regions_full!$A$2:$AI$267,MATCH(polities_cats!S$1,$A$1:$AN$1,0),0)</f>
        <v>Eastern Africa</v>
      </c>
      <c r="T56">
        <f>VLOOKUP($A56,regions_full!$A$2:$AI$267,MATCH(polities_cats!T$1,$A$1:$AN$1,0),0)</f>
        <v>1</v>
      </c>
      <c r="U56" t="str">
        <f>VLOOKUP($A56,regions_full!$A$2:$AI$267,MATCH(polities_cats!U$1,$A$1:$AN$1,0),0)</f>
        <v>Eritrea</v>
      </c>
      <c r="V56" t="str">
        <f>VLOOKUP($A56,regions_full!$A$2:$AI$267,MATCH(polities_cats!V$1,$A$1:$AN$1,0),0)</f>
        <v>Subsaharan Africa</v>
      </c>
      <c r="W56" t="str">
        <f>VLOOKUP($A56,regions_full!$A$2:$AI$267,MATCH(polities_cats!W$1,$A$1:$AN$1,0),0)</f>
        <v>Sub-saharan Africa</v>
      </c>
      <c r="X56" t="str">
        <f>VLOOKUP($A56,regions_full!$A$2:$AI$267,MATCH(polities_cats!X$1,$A$1:$AN$1,0),0)</f>
        <v>SSA</v>
      </c>
      <c r="Y56" t="str">
        <f>VLOOKUP($A56,regions_full!$A$2:$AI$267,MATCH(polities_cats!Y$1,$A$1:$AN$1,0),0)</f>
        <v>Sub-Saharan Africa</v>
      </c>
      <c r="Z56" t="str">
        <f>VLOOKUP($A56,regions_full!$A$2:$AI$267,MATCH(polities_cats!Z$1,$A$1:$AN$1,0),0)</f>
        <v>Africa</v>
      </c>
      <c r="AA56" t="str">
        <f>VLOOKUP($A56,regions_full!$A$2:$AI$267,MATCH(polities_cats!AA$1,$A$1:$AN$1,0),0)</f>
        <v>Africa</v>
      </c>
      <c r="AB56" t="str">
        <f>VLOOKUP($A56,regions_full!$A$2:$AI$267,MATCH(polities_cats!AB$1,$A$1:$AN$1,0),0)</f>
        <v>Sub-Saharan Africa</v>
      </c>
      <c r="AC56" t="str">
        <f>VLOOKUP($A56,regions_full!$A$2:$AI$267,MATCH(polities_cats!AC$1,$A$1:$AN$1,0),0)</f>
        <v>Eastern Africa</v>
      </c>
      <c r="AD56" t="str">
        <f>VLOOKUP($A56,regions_full!$A$2:$AI$267,MATCH(polities_cats!AD$1,$A$1:$AN$1,0),0)</f>
        <v>Emerging</v>
      </c>
      <c r="AE56" t="str">
        <f>VLOOKUP($A56,regions_full!$A$2:$AI$267,MATCH(polities_cats!AE$1,$A$1:$AN$1,0),0)</f>
        <v>Annex_II</v>
      </c>
      <c r="AF56" t="str">
        <f>VLOOKUP($A56,regions_full!$A$2:$AI$267,MATCH(polities_cats!AF$1,$A$1:$AN$1,0),0)</f>
        <v>Eastern Africa</v>
      </c>
      <c r="AG56" t="str">
        <f>VLOOKUP($A56,regions_full!$A$2:$AI$267,MATCH(polities_cats!AG$1,$A$1:$AN$1,0),0)</f>
        <v>SAA</v>
      </c>
      <c r="AH56" t="str">
        <f>VLOOKUP($A56,regions_full!$A$2:$AI$267,MATCH(polities_cats!AH$1,$A$1:$AN$1,0),0)</f>
        <v>no_mech</v>
      </c>
      <c r="AI56" t="str">
        <f>VLOOKUP($A56,regions_full!$A$2:$AI$267,MATCH(polities_cats!AI$1,$A$1:$AN$1,0),0)</f>
        <v>Other</v>
      </c>
      <c r="AJ56" t="e">
        <f>VLOOKUP($A56,regions_full!$A$2:$AI$267,MATCH(polities_cats!AJ$1,$A$1:$AN$1,0),0)</f>
        <v>#REF!</v>
      </c>
      <c r="AK56" t="e">
        <f>VLOOKUP($A56,regions_full!$A$2:$AI$267,MATCH(polities_cats!AK$1,$A$1:$AN$1,0),0)</f>
        <v>#REF!</v>
      </c>
      <c r="AL56" t="e">
        <f>VLOOKUP($A56,regions_full!$A$2:$AI$267,MATCH(polities_cats!AL$1,$A$1:$AN$1,0),0)</f>
        <v>#REF!</v>
      </c>
      <c r="AM56" t="e">
        <f>VLOOKUP($A56,regions_full!$A$2:$AI$267,MATCH(polities_cats!AM$1,$A$1:$AN$1,0),0)</f>
        <v>#REF!</v>
      </c>
      <c r="AN56" t="e">
        <f>VLOOKUP($A56,regions_full!$A$2:$AI$267,MATCH(polities_cats!AN$1,$A$1:$AN$1,0),0)</f>
        <v>#REF!</v>
      </c>
    </row>
    <row r="57" spans="1:40" x14ac:dyDescent="0.3">
      <c r="A57" t="str">
        <f>polities_whep!A57</f>
        <v>EST</v>
      </c>
      <c r="B57" t="str">
        <f>polities_whep!B57</f>
        <v>Estonia</v>
      </c>
      <c r="C57">
        <f>VLOOKUP($A57,regions_full!$A$2:$AI$267,MATCH(polities_cats!C$1,$A$1:$AN$1,0),0)</f>
        <v>63</v>
      </c>
      <c r="D57">
        <f>VLOOKUP($A57,regions_full!$A$2:$AI$267,MATCH(polities_cats!D$1,$A$1:$AN$1,0),0)</f>
        <v>63</v>
      </c>
      <c r="E57" t="str">
        <f>VLOOKUP($A57,regions_full!$A$2:$AI$267,MATCH(polities_cats!E$1,$A$1:$AN$1,0),0)</f>
        <v>EST</v>
      </c>
      <c r="F57" t="str">
        <f>VLOOKUP($A57,regions_full!$A$2:$AI$267,MATCH(polities_cats!F$1,$A$1:$AN$1,0),0)</f>
        <v>Estonia</v>
      </c>
      <c r="G57" t="str">
        <f>VLOOKUP($A57,regions_full!$A$2:$AI$267,MATCH(polities_cats!G$1,$A$1:$AN$1,0),0)</f>
        <v>TRUE</v>
      </c>
      <c r="H57" t="str">
        <f>VLOOKUP($A57,regions_full!$A$2:$AI$267,MATCH(polities_cats!H$1,$A$1:$AN$1,0),0)</f>
        <v>Estonia</v>
      </c>
      <c r="I57" t="str">
        <f>VLOOKUP($A57,regions_full!$A$2:$AI$267,MATCH(polities_cats!I$1,$A$1:$AN$1,0),0)</f>
        <v>Estonia</v>
      </c>
      <c r="J57" t="str">
        <f>VLOOKUP($A57,regions_full!$A$2:$AI$267,MATCH(polities_cats!J$1,$A$1:$AN$1,0),0)</f>
        <v>Estonia</v>
      </c>
      <c r="K57">
        <f>VLOOKUP($A57,regions_full!$A$2:$AI$267,MATCH(polities_cats!K$1,$A$1:$AN$1,0),0)</f>
        <v>63</v>
      </c>
      <c r="L57" t="str">
        <f>VLOOKUP($A57,regions_full!$A$2:$AI$267,MATCH(polities_cats!L$1,$A$1:$AN$1,0),0)</f>
        <v>Estonia</v>
      </c>
      <c r="M57">
        <f>VLOOKUP($A57,regions_full!$A$2:$AI$267,MATCH(polities_cats!M$1,$A$1:$AN$1,0),0)</f>
        <v>233</v>
      </c>
      <c r="N57">
        <f>VLOOKUP($A57,regions_full!$A$2:$AI$267,MATCH(polities_cats!N$1,$A$1:$AN$1,0),0)</f>
        <v>233</v>
      </c>
      <c r="O57">
        <f>VLOOKUP($A57,regions_full!$A$2:$AI$267,MATCH(polities_cats!O$1,$A$1:$AN$1,0),0)</f>
        <v>11</v>
      </c>
      <c r="P57" t="str">
        <f>VLOOKUP($A57,regions_full!$A$2:$AI$267,MATCH(polities_cats!P$1,$A$1:$AN$1,0),0)</f>
        <v>TRUE</v>
      </c>
      <c r="Q57">
        <f>VLOOKUP($A57,regions_full!$A$2:$AI$267,MATCH(polities_cats!Q$1,$A$1:$AN$1,0),0)</f>
        <v>63</v>
      </c>
      <c r="R57" t="str">
        <f>VLOOKUP($A57,regions_full!$A$2:$AI$267,MATCH(polities_cats!R$1,$A$1:$AN$1,0),0)</f>
        <v>EE</v>
      </c>
      <c r="S57" t="str">
        <f>VLOOKUP($A57,regions_full!$A$2:$AI$267,MATCH(polities_cats!S$1,$A$1:$AN$1,0),0)</f>
        <v>Former USSR</v>
      </c>
      <c r="T57">
        <f>VLOOKUP($A57,regions_full!$A$2:$AI$267,MATCH(polities_cats!T$1,$A$1:$AN$1,0),0)</f>
        <v>1</v>
      </c>
      <c r="U57" t="str">
        <f>VLOOKUP($A57,regions_full!$A$2:$AI$267,MATCH(polities_cats!U$1,$A$1:$AN$1,0),0)</f>
        <v>Estonia</v>
      </c>
      <c r="V57" t="str">
        <f>VLOOKUP($A57,regions_full!$A$2:$AI$267,MATCH(polities_cats!V$1,$A$1:$AN$1,0),0)</f>
        <v>Eastern and South Eastern Europe</v>
      </c>
      <c r="W57" t="str">
        <f>VLOOKUP($A57,regions_full!$A$2:$AI$267,MATCH(polities_cats!W$1,$A$1:$AN$1,0),0)</f>
        <v>East Europe</v>
      </c>
      <c r="X57" t="str">
        <f>VLOOKUP($A57,regions_full!$A$2:$AI$267,MATCH(polities_cats!X$1,$A$1:$AN$1,0),0)</f>
        <v>Europe</v>
      </c>
      <c r="Y57" t="str">
        <f>VLOOKUP($A57,regions_full!$A$2:$AI$267,MATCH(polities_cats!Y$1,$A$1:$AN$1,0),0)</f>
        <v>Northern Europe</v>
      </c>
      <c r="Z57" t="str">
        <f>VLOOKUP($A57,regions_full!$A$2:$AI$267,MATCH(polities_cats!Z$1,$A$1:$AN$1,0),0)</f>
        <v>Europe</v>
      </c>
      <c r="AA57" t="str">
        <f>VLOOKUP($A57,regions_full!$A$2:$AI$267,MATCH(polities_cats!AA$1,$A$1:$AN$1,0),0)</f>
        <v>Europe and Central Asia</v>
      </c>
      <c r="AB57" t="str">
        <f>VLOOKUP($A57,regions_full!$A$2:$AI$267,MATCH(polities_cats!AB$1,$A$1:$AN$1,0),0)</f>
        <v>Northern, Southern and Western Europe</v>
      </c>
      <c r="AC57" t="str">
        <f>VLOOKUP($A57,regions_full!$A$2:$AI$267,MATCH(polities_cats!AC$1,$A$1:$AN$1,0),0)</f>
        <v>Northern Europe</v>
      </c>
      <c r="AD57" t="str">
        <f>VLOOKUP($A57,regions_full!$A$2:$AI$267,MATCH(polities_cats!AD$1,$A$1:$AN$1,0),0)</f>
        <v>Emerging</v>
      </c>
      <c r="AE57" t="str">
        <f>VLOOKUP($A57,regions_full!$A$2:$AI$267,MATCH(polities_cats!AE$1,$A$1:$AN$1,0),0)</f>
        <v>Annex_I</v>
      </c>
      <c r="AF57" t="str">
        <f>VLOOKUP($A57,regions_full!$A$2:$AI$267,MATCH(polities_cats!AF$1,$A$1:$AN$1,0),0)</f>
        <v>FSU</v>
      </c>
      <c r="AG57" t="str">
        <f>VLOOKUP($A57,regions_full!$A$2:$AI$267,MATCH(polities_cats!AG$1,$A$1:$AN$1,0),0)</f>
        <v>FSU</v>
      </c>
      <c r="AH57" t="str">
        <f>VLOOKUP($A57,regions_full!$A$2:$AI$267,MATCH(polities_cats!AH$1,$A$1:$AN$1,0),0)</f>
        <v>mech</v>
      </c>
      <c r="AI57" t="str">
        <f>VLOOKUP($A57,regions_full!$A$2:$AI$267,MATCH(polities_cats!AI$1,$A$1:$AN$1,0),0)</f>
        <v>Europe</v>
      </c>
      <c r="AJ57" t="e">
        <f>VLOOKUP($A57,regions_full!$A$2:$AI$267,MATCH(polities_cats!AJ$1,$A$1:$AN$1,0),0)</f>
        <v>#REF!</v>
      </c>
      <c r="AK57" t="e">
        <f>VLOOKUP($A57,regions_full!$A$2:$AI$267,MATCH(polities_cats!AK$1,$A$1:$AN$1,0),0)</f>
        <v>#REF!</v>
      </c>
      <c r="AL57" t="e">
        <f>VLOOKUP($A57,regions_full!$A$2:$AI$267,MATCH(polities_cats!AL$1,$A$1:$AN$1,0),0)</f>
        <v>#REF!</v>
      </c>
      <c r="AM57" t="e">
        <f>VLOOKUP($A57,regions_full!$A$2:$AI$267,MATCH(polities_cats!AM$1,$A$1:$AN$1,0),0)</f>
        <v>#REF!</v>
      </c>
      <c r="AN57" t="e">
        <f>VLOOKUP($A57,regions_full!$A$2:$AI$267,MATCH(polities_cats!AN$1,$A$1:$AN$1,0),0)</f>
        <v>#REF!</v>
      </c>
    </row>
    <row r="58" spans="1:40" x14ac:dyDescent="0.3">
      <c r="A58" t="str">
        <f>polities_whep!A58</f>
        <v>ETH</v>
      </c>
      <c r="B58" t="str">
        <f>polities_whep!B58</f>
        <v>Ethiopia</v>
      </c>
      <c r="C58">
        <f>VLOOKUP($A58,regions_full!$A$2:$AI$267,MATCH(polities_cats!C$1,$A$1:$AN$1,0),0)</f>
        <v>234</v>
      </c>
      <c r="D58">
        <f>VLOOKUP($A58,regions_full!$A$2:$AI$267,MATCH(polities_cats!D$1,$A$1:$AN$1,0),0)</f>
        <v>238</v>
      </c>
      <c r="E58" t="str">
        <f>VLOOKUP($A58,regions_full!$A$2:$AI$267,MATCH(polities_cats!E$1,$A$1:$AN$1,0),0)</f>
        <v>ETH</v>
      </c>
      <c r="F58" t="str">
        <f>VLOOKUP($A58,regions_full!$A$2:$AI$267,MATCH(polities_cats!F$1,$A$1:$AN$1,0),0)</f>
        <v>Ethiopia</v>
      </c>
      <c r="G58" t="str">
        <f>VLOOKUP($A58,regions_full!$A$2:$AI$267,MATCH(polities_cats!G$1,$A$1:$AN$1,0),0)</f>
        <v>FALSE</v>
      </c>
      <c r="H58" t="str">
        <f>VLOOKUP($A58,regions_full!$A$2:$AI$267,MATCH(polities_cats!H$1,$A$1:$AN$1,0),0)</f>
        <v>Ethiopia</v>
      </c>
      <c r="I58" t="str">
        <f>VLOOKUP($A58,regions_full!$A$2:$AI$267,MATCH(polities_cats!I$1,$A$1:$AN$1,0),0)</f>
        <v>Ethiopia</v>
      </c>
      <c r="J58" t="str">
        <f>VLOOKUP($A58,regions_full!$A$2:$AI$267,MATCH(polities_cats!J$1,$A$1:$AN$1,0),0)</f>
        <v>Ethiopia</v>
      </c>
      <c r="K58">
        <f>VLOOKUP($A58,regions_full!$A$2:$AI$267,MATCH(polities_cats!K$1,$A$1:$AN$1,0),0)</f>
        <v>238</v>
      </c>
      <c r="L58" t="str">
        <f>VLOOKUP($A58,regions_full!$A$2:$AI$267,MATCH(polities_cats!L$1,$A$1:$AN$1,0),0)</f>
        <v>Ethiopia</v>
      </c>
      <c r="M58">
        <f>VLOOKUP($A58,regions_full!$A$2:$AI$267,MATCH(polities_cats!M$1,$A$1:$AN$1,0),0)</f>
        <v>231</v>
      </c>
      <c r="N58">
        <f>VLOOKUP($A58,regions_full!$A$2:$AI$267,MATCH(polities_cats!N$1,$A$1:$AN$1,0),0)</f>
        <v>231</v>
      </c>
      <c r="O58">
        <f>VLOOKUP($A58,regions_full!$A$2:$AI$267,MATCH(polities_cats!O$1,$A$1:$AN$1,0),0)</f>
        <v>7</v>
      </c>
      <c r="P58" t="str">
        <f>VLOOKUP($A58,regions_full!$A$2:$AI$267,MATCH(polities_cats!P$1,$A$1:$AN$1,0),0)</f>
        <v>TRUE</v>
      </c>
      <c r="Q58">
        <f>VLOOKUP($A58,regions_full!$A$2:$AI$267,MATCH(polities_cats!Q$1,$A$1:$AN$1,0),0)</f>
        <v>238</v>
      </c>
      <c r="R58" t="str">
        <f>VLOOKUP($A58,regions_full!$A$2:$AI$267,MATCH(polities_cats!R$1,$A$1:$AN$1,0),0)</f>
        <v/>
      </c>
      <c r="S58" t="str">
        <f>VLOOKUP($A58,regions_full!$A$2:$AI$267,MATCH(polities_cats!S$1,$A$1:$AN$1,0),0)</f>
        <v>Eastern Africa</v>
      </c>
      <c r="T58">
        <f>VLOOKUP($A58,regions_full!$A$2:$AI$267,MATCH(polities_cats!T$1,$A$1:$AN$1,0),0)</f>
        <v>1</v>
      </c>
      <c r="U58" t="str">
        <f>VLOOKUP($A58,regions_full!$A$2:$AI$267,MATCH(polities_cats!U$1,$A$1:$AN$1,0),0)</f>
        <v>Ethiopia</v>
      </c>
      <c r="V58" t="str">
        <f>VLOOKUP($A58,regions_full!$A$2:$AI$267,MATCH(polities_cats!V$1,$A$1:$AN$1,0),0)</f>
        <v>Subsaharan Africa</v>
      </c>
      <c r="W58" t="str">
        <f>VLOOKUP($A58,regions_full!$A$2:$AI$267,MATCH(polities_cats!W$1,$A$1:$AN$1,0),0)</f>
        <v>Sub-saharan Africa</v>
      </c>
      <c r="X58" t="str">
        <f>VLOOKUP($A58,regions_full!$A$2:$AI$267,MATCH(polities_cats!X$1,$A$1:$AN$1,0),0)</f>
        <v>SSA</v>
      </c>
      <c r="Y58" t="str">
        <f>VLOOKUP($A58,regions_full!$A$2:$AI$267,MATCH(polities_cats!Y$1,$A$1:$AN$1,0),0)</f>
        <v>Sub-Saharan Africa</v>
      </c>
      <c r="Z58" t="str">
        <f>VLOOKUP($A58,regions_full!$A$2:$AI$267,MATCH(polities_cats!Z$1,$A$1:$AN$1,0),0)</f>
        <v>Africa</v>
      </c>
      <c r="AA58" t="str">
        <f>VLOOKUP($A58,regions_full!$A$2:$AI$267,MATCH(polities_cats!AA$1,$A$1:$AN$1,0),0)</f>
        <v>Africa</v>
      </c>
      <c r="AB58" t="str">
        <f>VLOOKUP($A58,regions_full!$A$2:$AI$267,MATCH(polities_cats!AB$1,$A$1:$AN$1,0),0)</f>
        <v>Sub-Saharan Africa</v>
      </c>
      <c r="AC58" t="str">
        <f>VLOOKUP($A58,regions_full!$A$2:$AI$267,MATCH(polities_cats!AC$1,$A$1:$AN$1,0),0)</f>
        <v>Eastern Africa</v>
      </c>
      <c r="AD58" t="str">
        <f>VLOOKUP($A58,regions_full!$A$2:$AI$267,MATCH(polities_cats!AD$1,$A$1:$AN$1,0),0)</f>
        <v>Emerging</v>
      </c>
      <c r="AE58" t="str">
        <f>VLOOKUP($A58,regions_full!$A$2:$AI$267,MATCH(polities_cats!AE$1,$A$1:$AN$1,0),0)</f>
        <v>Annex_II</v>
      </c>
      <c r="AF58" t="str">
        <f>VLOOKUP($A58,regions_full!$A$2:$AI$267,MATCH(polities_cats!AF$1,$A$1:$AN$1,0),0)</f>
        <v>Eastern Africa</v>
      </c>
      <c r="AG58" t="str">
        <f>VLOOKUP($A58,regions_full!$A$2:$AI$267,MATCH(polities_cats!AG$1,$A$1:$AN$1,0),0)</f>
        <v>SAA</v>
      </c>
      <c r="AH58" t="str">
        <f>VLOOKUP($A58,regions_full!$A$2:$AI$267,MATCH(polities_cats!AH$1,$A$1:$AN$1,0),0)</f>
        <v>no_mech</v>
      </c>
      <c r="AI58" t="str">
        <f>VLOOKUP($A58,regions_full!$A$2:$AI$267,MATCH(polities_cats!AI$1,$A$1:$AN$1,0),0)</f>
        <v>Other</v>
      </c>
      <c r="AJ58" t="e">
        <f>VLOOKUP($A58,regions_full!$A$2:$AI$267,MATCH(polities_cats!AJ$1,$A$1:$AN$1,0),0)</f>
        <v>#REF!</v>
      </c>
      <c r="AK58" t="e">
        <f>VLOOKUP($A58,regions_full!$A$2:$AI$267,MATCH(polities_cats!AK$1,$A$1:$AN$1,0),0)</f>
        <v>#REF!</v>
      </c>
      <c r="AL58" t="e">
        <f>VLOOKUP($A58,regions_full!$A$2:$AI$267,MATCH(polities_cats!AL$1,$A$1:$AN$1,0),0)</f>
        <v>#REF!</v>
      </c>
      <c r="AM58" t="e">
        <f>VLOOKUP($A58,regions_full!$A$2:$AI$267,MATCH(polities_cats!AM$1,$A$1:$AN$1,0),0)</f>
        <v>#REF!</v>
      </c>
      <c r="AN58" t="e">
        <f>VLOOKUP($A58,regions_full!$A$2:$AI$267,MATCH(polities_cats!AN$1,$A$1:$AN$1,0),0)</f>
        <v>#REF!</v>
      </c>
    </row>
    <row r="59" spans="1:40" x14ac:dyDescent="0.3">
      <c r="A59" t="str">
        <f>polities_whep!A59</f>
        <v>FJI</v>
      </c>
      <c r="B59" t="str">
        <f>polities_whep!B59</f>
        <v>Fiji</v>
      </c>
      <c r="C59">
        <f>VLOOKUP($A59,regions_full!$A$2:$AI$267,MATCH(polities_cats!C$1,$A$1:$AN$1,0),0)</f>
        <v>66</v>
      </c>
      <c r="D59">
        <f>VLOOKUP($A59,regions_full!$A$2:$AI$267,MATCH(polities_cats!D$1,$A$1:$AN$1,0),0)</f>
        <v>66</v>
      </c>
      <c r="E59" t="str">
        <f>VLOOKUP($A59,regions_full!$A$2:$AI$267,MATCH(polities_cats!E$1,$A$1:$AN$1,0),0)</f>
        <v>FJI</v>
      </c>
      <c r="F59" t="str">
        <f>VLOOKUP($A59,regions_full!$A$2:$AI$267,MATCH(polities_cats!F$1,$A$1:$AN$1,0),0)</f>
        <v>Fiji</v>
      </c>
      <c r="G59" t="str">
        <f>VLOOKUP($A59,regions_full!$A$2:$AI$267,MATCH(polities_cats!G$1,$A$1:$AN$1,0),0)</f>
        <v>FALSE</v>
      </c>
      <c r="H59" t="str">
        <f>VLOOKUP($A59,regions_full!$A$2:$AI$267,MATCH(polities_cats!H$1,$A$1:$AN$1,0),0)</f>
        <v>Fiji</v>
      </c>
      <c r="I59" t="str">
        <f>VLOOKUP($A59,regions_full!$A$2:$AI$267,MATCH(polities_cats!I$1,$A$1:$AN$1,0),0)</f>
        <v>Fiji</v>
      </c>
      <c r="J59">
        <f>VLOOKUP($A59,regions_full!$A$2:$AI$267,MATCH(polities_cats!J$1,$A$1:$AN$1,0),0)</f>
        <v>0</v>
      </c>
      <c r="K59">
        <f>VLOOKUP($A59,regions_full!$A$2:$AI$267,MATCH(polities_cats!K$1,$A$1:$AN$1,0),0)</f>
        <v>66</v>
      </c>
      <c r="L59" t="str">
        <f>VLOOKUP($A59,regions_full!$A$2:$AI$267,MATCH(polities_cats!L$1,$A$1:$AN$1,0),0)</f>
        <v>Fiji</v>
      </c>
      <c r="M59">
        <f>VLOOKUP($A59,regions_full!$A$2:$AI$267,MATCH(polities_cats!M$1,$A$1:$AN$1,0),0)</f>
        <v>242</v>
      </c>
      <c r="N59">
        <f>VLOOKUP($A59,regions_full!$A$2:$AI$267,MATCH(polities_cats!N$1,$A$1:$AN$1,0),0)</f>
        <v>242</v>
      </c>
      <c r="O59">
        <f>VLOOKUP($A59,regions_full!$A$2:$AI$267,MATCH(polities_cats!O$1,$A$1:$AN$1,0),0)</f>
        <v>16</v>
      </c>
      <c r="P59" t="str">
        <f>VLOOKUP($A59,regions_full!$A$2:$AI$267,MATCH(polities_cats!P$1,$A$1:$AN$1,0),0)</f>
        <v>TRUE</v>
      </c>
      <c r="Q59">
        <f>VLOOKUP($A59,regions_full!$A$2:$AI$267,MATCH(polities_cats!Q$1,$A$1:$AN$1,0),0)</f>
        <v>66</v>
      </c>
      <c r="R59" t="str">
        <f>VLOOKUP($A59,regions_full!$A$2:$AI$267,MATCH(polities_cats!R$1,$A$1:$AN$1,0),0)</f>
        <v/>
      </c>
      <c r="S59" t="str">
        <f>VLOOKUP($A59,regions_full!$A$2:$AI$267,MATCH(polities_cats!S$1,$A$1:$AN$1,0),0)</f>
        <v>Oceania</v>
      </c>
      <c r="T59">
        <f>VLOOKUP($A59,regions_full!$A$2:$AI$267,MATCH(polities_cats!T$1,$A$1:$AN$1,0),0)</f>
        <v>1</v>
      </c>
      <c r="U59" t="str">
        <f>VLOOKUP($A59,regions_full!$A$2:$AI$267,MATCH(polities_cats!U$1,$A$1:$AN$1,0),0)</f>
        <v>Fiji</v>
      </c>
      <c r="V59" t="str">
        <f>VLOOKUP($A59,regions_full!$A$2:$AI$267,MATCH(polities_cats!V$1,$A$1:$AN$1,0),0)</f>
        <v>Australia and Oceania</v>
      </c>
      <c r="W59" t="str">
        <f>VLOOKUP($A59,regions_full!$A$2:$AI$267,MATCH(polities_cats!W$1,$A$1:$AN$1,0),0)</f>
        <v>North America and Oceania</v>
      </c>
      <c r="X59" t="str">
        <f>VLOOKUP($A59,regions_full!$A$2:$AI$267,MATCH(polities_cats!X$1,$A$1:$AN$1,0),0)</f>
        <v>Oceania</v>
      </c>
      <c r="Y59" t="str">
        <f>VLOOKUP($A59,regions_full!$A$2:$AI$267,MATCH(polities_cats!Y$1,$A$1:$AN$1,0),0)</f>
        <v>Melanesia</v>
      </c>
      <c r="Z59" t="str">
        <f>VLOOKUP($A59,regions_full!$A$2:$AI$267,MATCH(polities_cats!Z$1,$A$1:$AN$1,0),0)</f>
        <v>Oceania</v>
      </c>
      <c r="AA59" t="str">
        <f>VLOOKUP($A59,regions_full!$A$2:$AI$267,MATCH(polities_cats!AA$1,$A$1:$AN$1,0),0)</f>
        <v>Asia and the Pacific</v>
      </c>
      <c r="AB59" t="str">
        <f>VLOOKUP($A59,regions_full!$A$2:$AI$267,MATCH(polities_cats!AB$1,$A$1:$AN$1,0),0)</f>
        <v>South-Eastern Asia and the Pacific</v>
      </c>
      <c r="AC59" t="str">
        <f>VLOOKUP($A59,regions_full!$A$2:$AI$267,MATCH(polities_cats!AC$1,$A$1:$AN$1,0),0)</f>
        <v>Pacific Islands</v>
      </c>
      <c r="AD59" t="str">
        <f>VLOOKUP($A59,regions_full!$A$2:$AI$267,MATCH(polities_cats!AD$1,$A$1:$AN$1,0),0)</f>
        <v>Emerging</v>
      </c>
      <c r="AE59" t="str">
        <f>VLOOKUP($A59,regions_full!$A$2:$AI$267,MATCH(polities_cats!AE$1,$A$1:$AN$1,0),0)</f>
        <v>Annex_II</v>
      </c>
      <c r="AF59" t="str">
        <f>VLOOKUP($A59,regions_full!$A$2:$AI$267,MATCH(polities_cats!AF$1,$A$1:$AN$1,0),0)</f>
        <v>Pacific</v>
      </c>
      <c r="AG59" t="str">
        <f>VLOOKUP($A59,regions_full!$A$2:$AI$267,MATCH(polities_cats!AG$1,$A$1:$AN$1,0),0)</f>
        <v>AUS</v>
      </c>
      <c r="AH59" t="str">
        <f>VLOOKUP($A59,regions_full!$A$2:$AI$267,MATCH(polities_cats!AH$1,$A$1:$AN$1,0),0)</f>
        <v>no_mech</v>
      </c>
      <c r="AI59" t="str">
        <f>VLOOKUP($A59,regions_full!$A$2:$AI$267,MATCH(polities_cats!AI$1,$A$1:$AN$1,0),0)</f>
        <v>Other</v>
      </c>
      <c r="AJ59" t="e">
        <f>VLOOKUP($A59,regions_full!$A$2:$AI$267,MATCH(polities_cats!AJ$1,$A$1:$AN$1,0),0)</f>
        <v>#REF!</v>
      </c>
      <c r="AK59" t="e">
        <f>VLOOKUP($A59,regions_full!$A$2:$AI$267,MATCH(polities_cats!AK$1,$A$1:$AN$1,0),0)</f>
        <v>#REF!</v>
      </c>
      <c r="AL59" t="e">
        <f>VLOOKUP($A59,regions_full!$A$2:$AI$267,MATCH(polities_cats!AL$1,$A$1:$AN$1,0),0)</f>
        <v>#REF!</v>
      </c>
      <c r="AM59" t="e">
        <f>VLOOKUP($A59,regions_full!$A$2:$AI$267,MATCH(polities_cats!AM$1,$A$1:$AN$1,0),0)</f>
        <v>#REF!</v>
      </c>
      <c r="AN59" t="e">
        <f>VLOOKUP($A59,regions_full!$A$2:$AI$267,MATCH(polities_cats!AN$1,$A$1:$AN$1,0),0)</f>
        <v>#REF!</v>
      </c>
    </row>
    <row r="60" spans="1:40" x14ac:dyDescent="0.3">
      <c r="A60" t="str">
        <f>polities_whep!A60</f>
        <v>FIN</v>
      </c>
      <c r="B60" t="str">
        <f>polities_whep!B60</f>
        <v>Finland</v>
      </c>
      <c r="C60">
        <f>VLOOKUP($A60,regions_full!$A$2:$AI$267,MATCH(polities_cats!C$1,$A$1:$AN$1,0),0)</f>
        <v>67</v>
      </c>
      <c r="D60">
        <f>VLOOKUP($A60,regions_full!$A$2:$AI$267,MATCH(polities_cats!D$1,$A$1:$AN$1,0),0)</f>
        <v>67</v>
      </c>
      <c r="E60" t="str">
        <f>VLOOKUP($A60,regions_full!$A$2:$AI$267,MATCH(polities_cats!E$1,$A$1:$AN$1,0),0)</f>
        <v>FIN</v>
      </c>
      <c r="F60" t="str">
        <f>VLOOKUP($A60,regions_full!$A$2:$AI$267,MATCH(polities_cats!F$1,$A$1:$AN$1,0),0)</f>
        <v>Finland</v>
      </c>
      <c r="G60" t="str">
        <f>VLOOKUP($A60,regions_full!$A$2:$AI$267,MATCH(polities_cats!G$1,$A$1:$AN$1,0),0)</f>
        <v>TRUE</v>
      </c>
      <c r="H60" t="str">
        <f>VLOOKUP($A60,regions_full!$A$2:$AI$267,MATCH(polities_cats!H$1,$A$1:$AN$1,0),0)</f>
        <v>Finland</v>
      </c>
      <c r="I60" t="str">
        <f>VLOOKUP($A60,regions_full!$A$2:$AI$267,MATCH(polities_cats!I$1,$A$1:$AN$1,0),0)</f>
        <v>Finland</v>
      </c>
      <c r="J60" t="str">
        <f>VLOOKUP($A60,regions_full!$A$2:$AI$267,MATCH(polities_cats!J$1,$A$1:$AN$1,0),0)</f>
        <v>Finland</v>
      </c>
      <c r="K60">
        <f>VLOOKUP($A60,regions_full!$A$2:$AI$267,MATCH(polities_cats!K$1,$A$1:$AN$1,0),0)</f>
        <v>67</v>
      </c>
      <c r="L60" t="str">
        <f>VLOOKUP($A60,regions_full!$A$2:$AI$267,MATCH(polities_cats!L$1,$A$1:$AN$1,0),0)</f>
        <v>Finland</v>
      </c>
      <c r="M60">
        <f>VLOOKUP($A60,regions_full!$A$2:$AI$267,MATCH(polities_cats!M$1,$A$1:$AN$1,0),0)</f>
        <v>246</v>
      </c>
      <c r="N60">
        <f>VLOOKUP($A60,regions_full!$A$2:$AI$267,MATCH(polities_cats!N$1,$A$1:$AN$1,0),0)</f>
        <v>246</v>
      </c>
      <c r="O60">
        <f>VLOOKUP($A60,regions_full!$A$2:$AI$267,MATCH(polities_cats!O$1,$A$1:$AN$1,0),0)</f>
        <v>9</v>
      </c>
      <c r="P60" t="str">
        <f>VLOOKUP($A60,regions_full!$A$2:$AI$267,MATCH(polities_cats!P$1,$A$1:$AN$1,0),0)</f>
        <v>TRUE</v>
      </c>
      <c r="Q60">
        <f>VLOOKUP($A60,regions_full!$A$2:$AI$267,MATCH(polities_cats!Q$1,$A$1:$AN$1,0),0)</f>
        <v>67</v>
      </c>
      <c r="R60" t="str">
        <f>VLOOKUP($A60,regions_full!$A$2:$AI$267,MATCH(polities_cats!R$1,$A$1:$AN$1,0),0)</f>
        <v>FI</v>
      </c>
      <c r="S60" t="str">
        <f>VLOOKUP($A60,regions_full!$A$2:$AI$267,MATCH(polities_cats!S$1,$A$1:$AN$1,0),0)</f>
        <v>OECD Europe</v>
      </c>
      <c r="T60">
        <f>VLOOKUP($A60,regions_full!$A$2:$AI$267,MATCH(polities_cats!T$1,$A$1:$AN$1,0),0)</f>
        <v>1</v>
      </c>
      <c r="U60" t="str">
        <f>VLOOKUP($A60,regions_full!$A$2:$AI$267,MATCH(polities_cats!U$1,$A$1:$AN$1,0),0)</f>
        <v>Finland</v>
      </c>
      <c r="V60" t="str">
        <f>VLOOKUP($A60,regions_full!$A$2:$AI$267,MATCH(polities_cats!V$1,$A$1:$AN$1,0),0)</f>
        <v>Western Europe</v>
      </c>
      <c r="W60" t="str">
        <f>VLOOKUP($A60,regions_full!$A$2:$AI$267,MATCH(polities_cats!W$1,$A$1:$AN$1,0),0)</f>
        <v>West Europe</v>
      </c>
      <c r="X60" t="str">
        <f>VLOOKUP($A60,regions_full!$A$2:$AI$267,MATCH(polities_cats!X$1,$A$1:$AN$1,0),0)</f>
        <v>Europe</v>
      </c>
      <c r="Y60" t="str">
        <f>VLOOKUP($A60,regions_full!$A$2:$AI$267,MATCH(polities_cats!Y$1,$A$1:$AN$1,0),0)</f>
        <v>Northern Europe</v>
      </c>
      <c r="Z60" t="str">
        <f>VLOOKUP($A60,regions_full!$A$2:$AI$267,MATCH(polities_cats!Z$1,$A$1:$AN$1,0),0)</f>
        <v>Europe</v>
      </c>
      <c r="AA60" t="str">
        <f>VLOOKUP($A60,regions_full!$A$2:$AI$267,MATCH(polities_cats!AA$1,$A$1:$AN$1,0),0)</f>
        <v>Europe and Central Asia</v>
      </c>
      <c r="AB60" t="str">
        <f>VLOOKUP($A60,regions_full!$A$2:$AI$267,MATCH(polities_cats!AB$1,$A$1:$AN$1,0),0)</f>
        <v>Northern, Southern and Western Europe</v>
      </c>
      <c r="AC60" t="str">
        <f>VLOOKUP($A60,regions_full!$A$2:$AI$267,MATCH(polities_cats!AC$1,$A$1:$AN$1,0),0)</f>
        <v>Northern Europe</v>
      </c>
      <c r="AD60" t="str">
        <f>VLOOKUP($A60,regions_full!$A$2:$AI$267,MATCH(polities_cats!AD$1,$A$1:$AN$1,0),0)</f>
        <v>Advanced</v>
      </c>
      <c r="AE60" t="str">
        <f>VLOOKUP($A60,regions_full!$A$2:$AI$267,MATCH(polities_cats!AE$1,$A$1:$AN$1,0),0)</f>
        <v>Annex_I</v>
      </c>
      <c r="AF60" t="str">
        <f>VLOOKUP($A60,regions_full!$A$2:$AI$267,MATCH(polities_cats!AF$1,$A$1:$AN$1,0),0)</f>
        <v>Northern Europe</v>
      </c>
      <c r="AG60" t="str">
        <f>VLOOKUP($A60,regions_full!$A$2:$AI$267,MATCH(polities_cats!AG$1,$A$1:$AN$1,0),0)</f>
        <v>Europe</v>
      </c>
      <c r="AH60" t="str">
        <f>VLOOKUP($A60,regions_full!$A$2:$AI$267,MATCH(polities_cats!AH$1,$A$1:$AN$1,0),0)</f>
        <v>mech</v>
      </c>
      <c r="AI60" t="str">
        <f>VLOOKUP($A60,regions_full!$A$2:$AI$267,MATCH(polities_cats!AI$1,$A$1:$AN$1,0),0)</f>
        <v>Europe</v>
      </c>
      <c r="AJ60" t="e">
        <f>VLOOKUP($A60,regions_full!$A$2:$AI$267,MATCH(polities_cats!AJ$1,$A$1:$AN$1,0),0)</f>
        <v>#REF!</v>
      </c>
      <c r="AK60" t="e">
        <f>VLOOKUP($A60,regions_full!$A$2:$AI$267,MATCH(polities_cats!AK$1,$A$1:$AN$1,0),0)</f>
        <v>#REF!</v>
      </c>
      <c r="AL60" t="e">
        <f>VLOOKUP($A60,regions_full!$A$2:$AI$267,MATCH(polities_cats!AL$1,$A$1:$AN$1,0),0)</f>
        <v>#REF!</v>
      </c>
      <c r="AM60" t="e">
        <f>VLOOKUP($A60,regions_full!$A$2:$AI$267,MATCH(polities_cats!AM$1,$A$1:$AN$1,0),0)</f>
        <v>#REF!</v>
      </c>
      <c r="AN60" t="e">
        <f>VLOOKUP($A60,regions_full!$A$2:$AI$267,MATCH(polities_cats!AN$1,$A$1:$AN$1,0),0)</f>
        <v>#REF!</v>
      </c>
    </row>
    <row r="61" spans="1:40" x14ac:dyDescent="0.3">
      <c r="A61" t="str">
        <f>polities_whep!A61</f>
        <v>FRA</v>
      </c>
      <c r="B61" t="str">
        <f>polities_whep!B61</f>
        <v>France</v>
      </c>
      <c r="C61">
        <f>VLOOKUP($A61,regions_full!$A$2:$AI$267,MATCH(polities_cats!C$1,$A$1:$AN$1,0),0)</f>
        <v>68</v>
      </c>
      <c r="D61">
        <f>VLOOKUP($A61,regions_full!$A$2:$AI$267,MATCH(polities_cats!D$1,$A$1:$AN$1,0),0)</f>
        <v>68</v>
      </c>
      <c r="E61" t="str">
        <f>VLOOKUP($A61,regions_full!$A$2:$AI$267,MATCH(polities_cats!E$1,$A$1:$AN$1,0),0)</f>
        <v>FRA</v>
      </c>
      <c r="F61" t="str">
        <f>VLOOKUP($A61,regions_full!$A$2:$AI$267,MATCH(polities_cats!F$1,$A$1:$AN$1,0),0)</f>
        <v>France</v>
      </c>
      <c r="G61" t="str">
        <f>VLOOKUP($A61,regions_full!$A$2:$AI$267,MATCH(polities_cats!G$1,$A$1:$AN$1,0),0)</f>
        <v>TRUE</v>
      </c>
      <c r="H61" t="str">
        <f>VLOOKUP($A61,regions_full!$A$2:$AI$267,MATCH(polities_cats!H$1,$A$1:$AN$1,0),0)</f>
        <v>France</v>
      </c>
      <c r="I61" t="str">
        <f>VLOOKUP($A61,regions_full!$A$2:$AI$267,MATCH(polities_cats!I$1,$A$1:$AN$1,0),0)</f>
        <v>France</v>
      </c>
      <c r="J61" t="str">
        <f>VLOOKUP($A61,regions_full!$A$2:$AI$267,MATCH(polities_cats!J$1,$A$1:$AN$1,0),0)</f>
        <v>France</v>
      </c>
      <c r="K61">
        <f>VLOOKUP($A61,regions_full!$A$2:$AI$267,MATCH(polities_cats!K$1,$A$1:$AN$1,0),0)</f>
        <v>68</v>
      </c>
      <c r="L61" t="str">
        <f>VLOOKUP($A61,regions_full!$A$2:$AI$267,MATCH(polities_cats!L$1,$A$1:$AN$1,0),0)</f>
        <v>France</v>
      </c>
      <c r="M61">
        <f>VLOOKUP($A61,regions_full!$A$2:$AI$267,MATCH(polities_cats!M$1,$A$1:$AN$1,0),0)</f>
        <v>251</v>
      </c>
      <c r="N61">
        <f>VLOOKUP($A61,regions_full!$A$2:$AI$267,MATCH(polities_cats!N$1,$A$1:$AN$1,0),0)</f>
        <v>250</v>
      </c>
      <c r="O61">
        <f>VLOOKUP($A61,regions_full!$A$2:$AI$267,MATCH(polities_cats!O$1,$A$1:$AN$1,0),0)</f>
        <v>9</v>
      </c>
      <c r="P61" t="str">
        <f>VLOOKUP($A61,regions_full!$A$2:$AI$267,MATCH(polities_cats!P$1,$A$1:$AN$1,0),0)</f>
        <v>TRUE</v>
      </c>
      <c r="Q61">
        <f>VLOOKUP($A61,regions_full!$A$2:$AI$267,MATCH(polities_cats!Q$1,$A$1:$AN$1,0),0)</f>
        <v>68</v>
      </c>
      <c r="R61" t="str">
        <f>VLOOKUP($A61,regions_full!$A$2:$AI$267,MATCH(polities_cats!R$1,$A$1:$AN$1,0),0)</f>
        <v>FR</v>
      </c>
      <c r="S61" t="str">
        <f>VLOOKUP($A61,regions_full!$A$2:$AI$267,MATCH(polities_cats!S$1,$A$1:$AN$1,0),0)</f>
        <v>OECD Europe</v>
      </c>
      <c r="T61">
        <f>VLOOKUP($A61,regions_full!$A$2:$AI$267,MATCH(polities_cats!T$1,$A$1:$AN$1,0),0)</f>
        <v>1</v>
      </c>
      <c r="U61" t="str">
        <f>VLOOKUP($A61,regions_full!$A$2:$AI$267,MATCH(polities_cats!U$1,$A$1:$AN$1,0),0)</f>
        <v>France</v>
      </c>
      <c r="V61" t="str">
        <f>VLOOKUP($A61,regions_full!$A$2:$AI$267,MATCH(polities_cats!V$1,$A$1:$AN$1,0),0)</f>
        <v>Western Europe</v>
      </c>
      <c r="W61" t="str">
        <f>VLOOKUP($A61,regions_full!$A$2:$AI$267,MATCH(polities_cats!W$1,$A$1:$AN$1,0),0)</f>
        <v>West Europe</v>
      </c>
      <c r="X61" t="str">
        <f>VLOOKUP($A61,regions_full!$A$2:$AI$267,MATCH(polities_cats!X$1,$A$1:$AN$1,0),0)</f>
        <v>Europe</v>
      </c>
      <c r="Y61" t="str">
        <f>VLOOKUP($A61,regions_full!$A$2:$AI$267,MATCH(polities_cats!Y$1,$A$1:$AN$1,0),0)</f>
        <v>Western Europe</v>
      </c>
      <c r="Z61" t="str">
        <f>VLOOKUP($A61,regions_full!$A$2:$AI$267,MATCH(polities_cats!Z$1,$A$1:$AN$1,0),0)</f>
        <v>Europe</v>
      </c>
      <c r="AA61" t="str">
        <f>VLOOKUP($A61,regions_full!$A$2:$AI$267,MATCH(polities_cats!AA$1,$A$1:$AN$1,0),0)</f>
        <v>Europe and Central Asia</v>
      </c>
      <c r="AB61" t="str">
        <f>VLOOKUP($A61,regions_full!$A$2:$AI$267,MATCH(polities_cats!AB$1,$A$1:$AN$1,0),0)</f>
        <v>Northern, Southern and Western Europe</v>
      </c>
      <c r="AC61" t="str">
        <f>VLOOKUP($A61,regions_full!$A$2:$AI$267,MATCH(polities_cats!AC$1,$A$1:$AN$1,0),0)</f>
        <v>Western Europe</v>
      </c>
      <c r="AD61" t="str">
        <f>VLOOKUP($A61,regions_full!$A$2:$AI$267,MATCH(polities_cats!AD$1,$A$1:$AN$1,0),0)</f>
        <v>Advanced</v>
      </c>
      <c r="AE61" t="str">
        <f>VLOOKUP($A61,regions_full!$A$2:$AI$267,MATCH(polities_cats!AE$1,$A$1:$AN$1,0),0)</f>
        <v>Annex_I</v>
      </c>
      <c r="AF61" t="str">
        <f>VLOOKUP($A61,regions_full!$A$2:$AI$267,MATCH(polities_cats!AF$1,$A$1:$AN$1,0),0)</f>
        <v>Western Europe</v>
      </c>
      <c r="AG61" t="str">
        <f>VLOOKUP($A61,regions_full!$A$2:$AI$267,MATCH(polities_cats!AG$1,$A$1:$AN$1,0),0)</f>
        <v>Europe</v>
      </c>
      <c r="AH61" t="str">
        <f>VLOOKUP($A61,regions_full!$A$2:$AI$267,MATCH(polities_cats!AH$1,$A$1:$AN$1,0),0)</f>
        <v>mech</v>
      </c>
      <c r="AI61" t="str">
        <f>VLOOKUP($A61,regions_full!$A$2:$AI$267,MATCH(polities_cats!AI$1,$A$1:$AN$1,0),0)</f>
        <v>Europe</v>
      </c>
      <c r="AJ61" t="e">
        <f>VLOOKUP($A61,regions_full!$A$2:$AI$267,MATCH(polities_cats!AJ$1,$A$1:$AN$1,0),0)</f>
        <v>#REF!</v>
      </c>
      <c r="AK61" t="e">
        <f>VLOOKUP($A61,regions_full!$A$2:$AI$267,MATCH(polities_cats!AK$1,$A$1:$AN$1,0),0)</f>
        <v>#REF!</v>
      </c>
      <c r="AL61" t="e">
        <f>VLOOKUP($A61,regions_full!$A$2:$AI$267,MATCH(polities_cats!AL$1,$A$1:$AN$1,0),0)</f>
        <v>#REF!</v>
      </c>
      <c r="AM61" t="e">
        <f>VLOOKUP($A61,regions_full!$A$2:$AI$267,MATCH(polities_cats!AM$1,$A$1:$AN$1,0),0)</f>
        <v>#REF!</v>
      </c>
      <c r="AN61" t="e">
        <f>VLOOKUP($A61,regions_full!$A$2:$AI$267,MATCH(polities_cats!AN$1,$A$1:$AN$1,0),0)</f>
        <v>#REF!</v>
      </c>
    </row>
    <row r="62" spans="1:40" x14ac:dyDescent="0.3">
      <c r="A62" t="str">
        <f>polities_whep!A62</f>
        <v>PYF</v>
      </c>
      <c r="B62" t="str">
        <f>polities_whep!B62</f>
        <v>French Polynesia</v>
      </c>
      <c r="C62">
        <f>VLOOKUP($A62,regions_full!$A$2:$AI$267,MATCH(polities_cats!C$1,$A$1:$AN$1,0),0)</f>
        <v>70</v>
      </c>
      <c r="D62">
        <f>VLOOKUP($A62,regions_full!$A$2:$AI$267,MATCH(polities_cats!D$1,$A$1:$AN$1,0),0)</f>
        <v>70</v>
      </c>
      <c r="E62" t="str">
        <f>VLOOKUP($A62,regions_full!$A$2:$AI$267,MATCH(polities_cats!E$1,$A$1:$AN$1,0),0)</f>
        <v>PYF</v>
      </c>
      <c r="F62" t="str">
        <f>VLOOKUP($A62,regions_full!$A$2:$AI$267,MATCH(polities_cats!F$1,$A$1:$AN$1,0),0)</f>
        <v>French Polynesia</v>
      </c>
      <c r="G62" t="str">
        <f>VLOOKUP($A62,regions_full!$A$2:$AI$267,MATCH(polities_cats!G$1,$A$1:$AN$1,0),0)</f>
        <v>FALSE</v>
      </c>
      <c r="H62" t="str">
        <f>VLOOKUP($A62,regions_full!$A$2:$AI$267,MATCH(polities_cats!H$1,$A$1:$AN$1,0),0)</f>
        <v>French Polynesia</v>
      </c>
      <c r="I62" t="str">
        <f>VLOOKUP($A62,regions_full!$A$2:$AI$267,MATCH(polities_cats!I$1,$A$1:$AN$1,0),0)</f>
        <v>French Polynesia</v>
      </c>
      <c r="J62">
        <f>VLOOKUP($A62,regions_full!$A$2:$AI$267,MATCH(polities_cats!J$1,$A$1:$AN$1,0),0)</f>
        <v>0</v>
      </c>
      <c r="K62">
        <f>VLOOKUP($A62,regions_full!$A$2:$AI$267,MATCH(polities_cats!K$1,$A$1:$AN$1,0),0)</f>
        <v>70</v>
      </c>
      <c r="L62" t="str">
        <f>VLOOKUP($A62,regions_full!$A$2:$AI$267,MATCH(polities_cats!L$1,$A$1:$AN$1,0),0)</f>
        <v>French Polynesia</v>
      </c>
      <c r="M62">
        <f>VLOOKUP($A62,regions_full!$A$2:$AI$267,MATCH(polities_cats!M$1,$A$1:$AN$1,0),0)</f>
        <v>258</v>
      </c>
      <c r="N62">
        <f>VLOOKUP($A62,regions_full!$A$2:$AI$267,MATCH(polities_cats!N$1,$A$1:$AN$1,0),0)</f>
        <v>258</v>
      </c>
      <c r="O62">
        <f>VLOOKUP($A62,regions_full!$A$2:$AI$267,MATCH(polities_cats!O$1,$A$1:$AN$1,0),0)</f>
        <v>16</v>
      </c>
      <c r="P62" t="str">
        <f>VLOOKUP($A62,regions_full!$A$2:$AI$267,MATCH(polities_cats!P$1,$A$1:$AN$1,0),0)</f>
        <v>TRUE</v>
      </c>
      <c r="Q62">
        <f>VLOOKUP($A62,regions_full!$A$2:$AI$267,MATCH(polities_cats!Q$1,$A$1:$AN$1,0),0)</f>
        <v>70</v>
      </c>
      <c r="R62" t="str">
        <f>VLOOKUP($A62,regions_full!$A$2:$AI$267,MATCH(polities_cats!R$1,$A$1:$AN$1,0),0)</f>
        <v/>
      </c>
      <c r="S62" t="str">
        <f>VLOOKUP($A62,regions_full!$A$2:$AI$267,MATCH(polities_cats!S$1,$A$1:$AN$1,0),0)</f>
        <v>Oceania</v>
      </c>
      <c r="T62">
        <f>VLOOKUP($A62,regions_full!$A$2:$AI$267,MATCH(polities_cats!T$1,$A$1:$AN$1,0),0)</f>
        <v>1</v>
      </c>
      <c r="U62" t="str">
        <f>VLOOKUP($A62,regions_full!$A$2:$AI$267,MATCH(polities_cats!U$1,$A$1:$AN$1,0),0)</f>
        <v>French Polynesia</v>
      </c>
      <c r="V62" t="str">
        <f>VLOOKUP($A62,regions_full!$A$2:$AI$267,MATCH(polities_cats!V$1,$A$1:$AN$1,0),0)</f>
        <v>Australia and Oceania</v>
      </c>
      <c r="W62" t="str">
        <f>VLOOKUP($A62,regions_full!$A$2:$AI$267,MATCH(polities_cats!W$1,$A$1:$AN$1,0),0)</f>
        <v>North America and Oceania</v>
      </c>
      <c r="X62" t="str">
        <f>VLOOKUP($A62,regions_full!$A$2:$AI$267,MATCH(polities_cats!X$1,$A$1:$AN$1,0),0)</f>
        <v>Oceania</v>
      </c>
      <c r="Y62" t="str">
        <f>VLOOKUP($A62,regions_full!$A$2:$AI$267,MATCH(polities_cats!Y$1,$A$1:$AN$1,0),0)</f>
        <v>Polynesia</v>
      </c>
      <c r="Z62" t="str">
        <f>VLOOKUP($A62,regions_full!$A$2:$AI$267,MATCH(polities_cats!Z$1,$A$1:$AN$1,0),0)</f>
        <v>Oceania</v>
      </c>
      <c r="AA62" t="str">
        <f>VLOOKUP($A62,regions_full!$A$2:$AI$267,MATCH(polities_cats!AA$1,$A$1:$AN$1,0),0)</f>
        <v>Asia and the Pacific</v>
      </c>
      <c r="AB62" t="str">
        <f>VLOOKUP($A62,regions_full!$A$2:$AI$267,MATCH(polities_cats!AB$1,$A$1:$AN$1,0),0)</f>
        <v>South-Eastern Asia and the Pacific</v>
      </c>
      <c r="AC62" t="str">
        <f>VLOOKUP($A62,regions_full!$A$2:$AI$267,MATCH(polities_cats!AC$1,$A$1:$AN$1,0),0)</f>
        <v>Pacific Islands</v>
      </c>
      <c r="AD62" t="str">
        <f>VLOOKUP($A62,regions_full!$A$2:$AI$267,MATCH(polities_cats!AD$1,$A$1:$AN$1,0),0)</f>
        <v>Emerging</v>
      </c>
      <c r="AE62" t="str">
        <f>VLOOKUP($A62,regions_full!$A$2:$AI$267,MATCH(polities_cats!AE$1,$A$1:$AN$1,0),0)</f>
        <v>Annex_II</v>
      </c>
      <c r="AF62" t="str">
        <f>VLOOKUP($A62,regions_full!$A$2:$AI$267,MATCH(polities_cats!AF$1,$A$1:$AN$1,0),0)</f>
        <v>Pacific</v>
      </c>
      <c r="AG62" t="str">
        <f>VLOOKUP($A62,regions_full!$A$2:$AI$267,MATCH(polities_cats!AG$1,$A$1:$AN$1,0),0)</f>
        <v>AUS</v>
      </c>
      <c r="AH62" t="str">
        <f>VLOOKUP($A62,regions_full!$A$2:$AI$267,MATCH(polities_cats!AH$1,$A$1:$AN$1,0),0)</f>
        <v>no_mech</v>
      </c>
      <c r="AI62" t="str">
        <f>VLOOKUP($A62,regions_full!$A$2:$AI$267,MATCH(polities_cats!AI$1,$A$1:$AN$1,0),0)</f>
        <v>Other</v>
      </c>
      <c r="AJ62" t="e">
        <f>VLOOKUP($A62,regions_full!$A$2:$AI$267,MATCH(polities_cats!AJ$1,$A$1:$AN$1,0),0)</f>
        <v>#REF!</v>
      </c>
      <c r="AK62" t="e">
        <f>VLOOKUP($A62,regions_full!$A$2:$AI$267,MATCH(polities_cats!AK$1,$A$1:$AN$1,0),0)</f>
        <v>#REF!</v>
      </c>
      <c r="AL62" t="e">
        <f>VLOOKUP($A62,regions_full!$A$2:$AI$267,MATCH(polities_cats!AL$1,$A$1:$AN$1,0),0)</f>
        <v>#REF!</v>
      </c>
      <c r="AM62" t="e">
        <f>VLOOKUP($A62,regions_full!$A$2:$AI$267,MATCH(polities_cats!AM$1,$A$1:$AN$1,0),0)</f>
        <v>#REF!</v>
      </c>
      <c r="AN62" t="e">
        <f>VLOOKUP($A62,regions_full!$A$2:$AI$267,MATCH(polities_cats!AN$1,$A$1:$AN$1,0),0)</f>
        <v>#REF!</v>
      </c>
    </row>
    <row r="63" spans="1:40" x14ac:dyDescent="0.3">
      <c r="A63" t="str">
        <f>polities_whep!A63</f>
        <v>GAB</v>
      </c>
      <c r="B63" t="str">
        <f>polities_whep!B63</f>
        <v>Gabon</v>
      </c>
      <c r="C63">
        <f>VLOOKUP($A63,regions_full!$A$2:$AI$267,MATCH(polities_cats!C$1,$A$1:$AN$1,0),0)</f>
        <v>74</v>
      </c>
      <c r="D63">
        <f>VLOOKUP($A63,regions_full!$A$2:$AI$267,MATCH(polities_cats!D$1,$A$1:$AN$1,0),0)</f>
        <v>74</v>
      </c>
      <c r="E63" t="str">
        <f>VLOOKUP($A63,regions_full!$A$2:$AI$267,MATCH(polities_cats!E$1,$A$1:$AN$1,0),0)</f>
        <v>GAB</v>
      </c>
      <c r="F63" t="str">
        <f>VLOOKUP($A63,regions_full!$A$2:$AI$267,MATCH(polities_cats!F$1,$A$1:$AN$1,0),0)</f>
        <v>Gabon</v>
      </c>
      <c r="G63" t="str">
        <f>VLOOKUP($A63,regions_full!$A$2:$AI$267,MATCH(polities_cats!G$1,$A$1:$AN$1,0),0)</f>
        <v>FALSE</v>
      </c>
      <c r="H63" t="str">
        <f>VLOOKUP($A63,regions_full!$A$2:$AI$267,MATCH(polities_cats!H$1,$A$1:$AN$1,0),0)</f>
        <v>Gabon</v>
      </c>
      <c r="I63" t="str">
        <f>VLOOKUP($A63,regions_full!$A$2:$AI$267,MATCH(polities_cats!I$1,$A$1:$AN$1,0),0)</f>
        <v>Gabon</v>
      </c>
      <c r="J63" t="str">
        <f>VLOOKUP($A63,regions_full!$A$2:$AI$267,MATCH(polities_cats!J$1,$A$1:$AN$1,0),0)</f>
        <v>Gabon</v>
      </c>
      <c r="K63">
        <f>VLOOKUP($A63,regions_full!$A$2:$AI$267,MATCH(polities_cats!K$1,$A$1:$AN$1,0),0)</f>
        <v>74</v>
      </c>
      <c r="L63" t="str">
        <f>VLOOKUP($A63,regions_full!$A$2:$AI$267,MATCH(polities_cats!L$1,$A$1:$AN$1,0),0)</f>
        <v>Gabon</v>
      </c>
      <c r="M63">
        <f>VLOOKUP($A63,regions_full!$A$2:$AI$267,MATCH(polities_cats!M$1,$A$1:$AN$1,0),0)</f>
        <v>266</v>
      </c>
      <c r="N63">
        <f>VLOOKUP($A63,regions_full!$A$2:$AI$267,MATCH(polities_cats!N$1,$A$1:$AN$1,0),0)</f>
        <v>266</v>
      </c>
      <c r="O63">
        <f>VLOOKUP($A63,regions_full!$A$2:$AI$267,MATCH(polities_cats!O$1,$A$1:$AN$1,0),0)</f>
        <v>6</v>
      </c>
      <c r="P63" t="str">
        <f>VLOOKUP($A63,regions_full!$A$2:$AI$267,MATCH(polities_cats!P$1,$A$1:$AN$1,0),0)</f>
        <v>TRUE</v>
      </c>
      <c r="Q63">
        <f>VLOOKUP($A63,regions_full!$A$2:$AI$267,MATCH(polities_cats!Q$1,$A$1:$AN$1,0),0)</f>
        <v>74</v>
      </c>
      <c r="R63" t="str">
        <f>VLOOKUP($A63,regions_full!$A$2:$AI$267,MATCH(polities_cats!R$1,$A$1:$AN$1,0),0)</f>
        <v/>
      </c>
      <c r="S63" t="str">
        <f>VLOOKUP($A63,regions_full!$A$2:$AI$267,MATCH(polities_cats!S$1,$A$1:$AN$1,0),0)</f>
        <v>Western Africa</v>
      </c>
      <c r="T63">
        <f>VLOOKUP($A63,regions_full!$A$2:$AI$267,MATCH(polities_cats!T$1,$A$1:$AN$1,0),0)</f>
        <v>1</v>
      </c>
      <c r="U63" t="str">
        <f>VLOOKUP($A63,regions_full!$A$2:$AI$267,MATCH(polities_cats!U$1,$A$1:$AN$1,0),0)</f>
        <v>Gabon</v>
      </c>
      <c r="V63" t="str">
        <f>VLOOKUP($A63,regions_full!$A$2:$AI$267,MATCH(polities_cats!V$1,$A$1:$AN$1,0),0)</f>
        <v>Subsaharan Africa</v>
      </c>
      <c r="W63" t="str">
        <f>VLOOKUP($A63,regions_full!$A$2:$AI$267,MATCH(polities_cats!W$1,$A$1:$AN$1,0),0)</f>
        <v>Sub-saharan Africa</v>
      </c>
      <c r="X63" t="str">
        <f>VLOOKUP($A63,regions_full!$A$2:$AI$267,MATCH(polities_cats!X$1,$A$1:$AN$1,0),0)</f>
        <v>SSA</v>
      </c>
      <c r="Y63" t="str">
        <f>VLOOKUP($A63,regions_full!$A$2:$AI$267,MATCH(polities_cats!Y$1,$A$1:$AN$1,0),0)</f>
        <v>Sub-Saharan Africa</v>
      </c>
      <c r="Z63" t="str">
        <f>VLOOKUP($A63,regions_full!$A$2:$AI$267,MATCH(polities_cats!Z$1,$A$1:$AN$1,0),0)</f>
        <v>Africa</v>
      </c>
      <c r="AA63" t="str">
        <f>VLOOKUP($A63,regions_full!$A$2:$AI$267,MATCH(polities_cats!AA$1,$A$1:$AN$1,0),0)</f>
        <v>Africa</v>
      </c>
      <c r="AB63" t="str">
        <f>VLOOKUP($A63,regions_full!$A$2:$AI$267,MATCH(polities_cats!AB$1,$A$1:$AN$1,0),0)</f>
        <v>Sub-Saharan Africa</v>
      </c>
      <c r="AC63" t="str">
        <f>VLOOKUP($A63,regions_full!$A$2:$AI$267,MATCH(polities_cats!AC$1,$A$1:$AN$1,0),0)</f>
        <v>Central Africa</v>
      </c>
      <c r="AD63" t="str">
        <f>VLOOKUP($A63,regions_full!$A$2:$AI$267,MATCH(polities_cats!AD$1,$A$1:$AN$1,0),0)</f>
        <v>Emerging</v>
      </c>
      <c r="AE63" t="str">
        <f>VLOOKUP($A63,regions_full!$A$2:$AI$267,MATCH(polities_cats!AE$1,$A$1:$AN$1,0),0)</f>
        <v>Annex_II</v>
      </c>
      <c r="AF63" t="str">
        <f>VLOOKUP($A63,regions_full!$A$2:$AI$267,MATCH(polities_cats!AF$1,$A$1:$AN$1,0),0)</f>
        <v>Middle Africa</v>
      </c>
      <c r="AG63" t="str">
        <f>VLOOKUP($A63,regions_full!$A$2:$AI$267,MATCH(polities_cats!AG$1,$A$1:$AN$1,0),0)</f>
        <v>SAA</v>
      </c>
      <c r="AH63" t="str">
        <f>VLOOKUP($A63,regions_full!$A$2:$AI$267,MATCH(polities_cats!AH$1,$A$1:$AN$1,0),0)</f>
        <v>no_mech</v>
      </c>
      <c r="AI63" t="str">
        <f>VLOOKUP($A63,regions_full!$A$2:$AI$267,MATCH(polities_cats!AI$1,$A$1:$AN$1,0),0)</f>
        <v>Other</v>
      </c>
      <c r="AJ63" t="e">
        <f>VLOOKUP($A63,regions_full!$A$2:$AI$267,MATCH(polities_cats!AJ$1,$A$1:$AN$1,0),0)</f>
        <v>#REF!</v>
      </c>
      <c r="AK63" t="e">
        <f>VLOOKUP($A63,regions_full!$A$2:$AI$267,MATCH(polities_cats!AK$1,$A$1:$AN$1,0),0)</f>
        <v>#REF!</v>
      </c>
      <c r="AL63" t="e">
        <f>VLOOKUP($A63,regions_full!$A$2:$AI$267,MATCH(polities_cats!AL$1,$A$1:$AN$1,0),0)</f>
        <v>#REF!</v>
      </c>
      <c r="AM63" t="e">
        <f>VLOOKUP($A63,regions_full!$A$2:$AI$267,MATCH(polities_cats!AM$1,$A$1:$AN$1,0),0)</f>
        <v>#REF!</v>
      </c>
      <c r="AN63" t="e">
        <f>VLOOKUP($A63,regions_full!$A$2:$AI$267,MATCH(polities_cats!AN$1,$A$1:$AN$1,0),0)</f>
        <v>#REF!</v>
      </c>
    </row>
    <row r="64" spans="1:40" x14ac:dyDescent="0.3">
      <c r="A64" t="str">
        <f>polities_whep!A64</f>
        <v>GMB</v>
      </c>
      <c r="B64" t="str">
        <f>polities_whep!B64</f>
        <v>Gambia</v>
      </c>
      <c r="C64">
        <f>VLOOKUP($A64,regions_full!$A$2:$AI$267,MATCH(polities_cats!C$1,$A$1:$AN$1,0),0)</f>
        <v>75</v>
      </c>
      <c r="D64">
        <f>VLOOKUP($A64,regions_full!$A$2:$AI$267,MATCH(polities_cats!D$1,$A$1:$AN$1,0),0)</f>
        <v>75</v>
      </c>
      <c r="E64" t="str">
        <f>VLOOKUP($A64,regions_full!$A$2:$AI$267,MATCH(polities_cats!E$1,$A$1:$AN$1,0),0)</f>
        <v>GMB</v>
      </c>
      <c r="F64" t="str">
        <f>VLOOKUP($A64,regions_full!$A$2:$AI$267,MATCH(polities_cats!F$1,$A$1:$AN$1,0),0)</f>
        <v>Gambia</v>
      </c>
      <c r="G64" t="str">
        <f>VLOOKUP($A64,regions_full!$A$2:$AI$267,MATCH(polities_cats!G$1,$A$1:$AN$1,0),0)</f>
        <v>FALSE</v>
      </c>
      <c r="H64" t="str">
        <f>VLOOKUP($A64,regions_full!$A$2:$AI$267,MATCH(polities_cats!H$1,$A$1:$AN$1,0),0)</f>
        <v>Gambia</v>
      </c>
      <c r="I64" t="str">
        <f>VLOOKUP($A64,regions_full!$A$2:$AI$267,MATCH(polities_cats!I$1,$A$1:$AN$1,0),0)</f>
        <v>Gambia, The</v>
      </c>
      <c r="J64">
        <f>VLOOKUP($A64,regions_full!$A$2:$AI$267,MATCH(polities_cats!J$1,$A$1:$AN$1,0),0)</f>
        <v>0</v>
      </c>
      <c r="K64">
        <f>VLOOKUP($A64,regions_full!$A$2:$AI$267,MATCH(polities_cats!K$1,$A$1:$AN$1,0),0)</f>
        <v>75</v>
      </c>
      <c r="L64" t="str">
        <f>VLOOKUP($A64,regions_full!$A$2:$AI$267,MATCH(polities_cats!L$1,$A$1:$AN$1,0),0)</f>
        <v>Gambia</v>
      </c>
      <c r="M64">
        <f>VLOOKUP($A64,regions_full!$A$2:$AI$267,MATCH(polities_cats!M$1,$A$1:$AN$1,0),0)</f>
        <v>270</v>
      </c>
      <c r="N64">
        <f>VLOOKUP($A64,regions_full!$A$2:$AI$267,MATCH(polities_cats!N$1,$A$1:$AN$1,0),0)</f>
        <v>270</v>
      </c>
      <c r="O64">
        <f>VLOOKUP($A64,regions_full!$A$2:$AI$267,MATCH(polities_cats!O$1,$A$1:$AN$1,0),0)</f>
        <v>6</v>
      </c>
      <c r="P64" t="str">
        <f>VLOOKUP($A64,regions_full!$A$2:$AI$267,MATCH(polities_cats!P$1,$A$1:$AN$1,0),0)</f>
        <v>TRUE</v>
      </c>
      <c r="Q64">
        <f>VLOOKUP($A64,regions_full!$A$2:$AI$267,MATCH(polities_cats!Q$1,$A$1:$AN$1,0),0)</f>
        <v>75</v>
      </c>
      <c r="R64" t="str">
        <f>VLOOKUP($A64,regions_full!$A$2:$AI$267,MATCH(polities_cats!R$1,$A$1:$AN$1,0),0)</f>
        <v/>
      </c>
      <c r="S64" t="str">
        <f>VLOOKUP($A64,regions_full!$A$2:$AI$267,MATCH(polities_cats!S$1,$A$1:$AN$1,0),0)</f>
        <v>Western Africa</v>
      </c>
      <c r="T64">
        <f>VLOOKUP($A64,regions_full!$A$2:$AI$267,MATCH(polities_cats!T$1,$A$1:$AN$1,0),0)</f>
        <v>1</v>
      </c>
      <c r="U64" t="str">
        <f>VLOOKUP($A64,regions_full!$A$2:$AI$267,MATCH(polities_cats!U$1,$A$1:$AN$1,0),0)</f>
        <v>Gambia</v>
      </c>
      <c r="V64" t="str">
        <f>VLOOKUP($A64,regions_full!$A$2:$AI$267,MATCH(polities_cats!V$1,$A$1:$AN$1,0),0)</f>
        <v>Subsaharan Africa</v>
      </c>
      <c r="W64" t="str">
        <f>VLOOKUP($A64,regions_full!$A$2:$AI$267,MATCH(polities_cats!W$1,$A$1:$AN$1,0),0)</f>
        <v>Sub-saharan Africa</v>
      </c>
      <c r="X64" t="str">
        <f>VLOOKUP($A64,regions_full!$A$2:$AI$267,MATCH(polities_cats!X$1,$A$1:$AN$1,0),0)</f>
        <v>SSA</v>
      </c>
      <c r="Y64" t="str">
        <f>VLOOKUP($A64,regions_full!$A$2:$AI$267,MATCH(polities_cats!Y$1,$A$1:$AN$1,0),0)</f>
        <v>Sub-Saharan Africa</v>
      </c>
      <c r="Z64" t="str">
        <f>VLOOKUP($A64,regions_full!$A$2:$AI$267,MATCH(polities_cats!Z$1,$A$1:$AN$1,0),0)</f>
        <v>Africa</v>
      </c>
      <c r="AA64" t="str">
        <f>VLOOKUP($A64,regions_full!$A$2:$AI$267,MATCH(polities_cats!AA$1,$A$1:$AN$1,0),0)</f>
        <v>Africa</v>
      </c>
      <c r="AB64" t="str">
        <f>VLOOKUP($A64,regions_full!$A$2:$AI$267,MATCH(polities_cats!AB$1,$A$1:$AN$1,0),0)</f>
        <v>Sub-Saharan Africa</v>
      </c>
      <c r="AC64" t="str">
        <f>VLOOKUP($A64,regions_full!$A$2:$AI$267,MATCH(polities_cats!AC$1,$A$1:$AN$1,0),0)</f>
        <v>Western Africa</v>
      </c>
      <c r="AD64" t="str">
        <f>VLOOKUP($A64,regions_full!$A$2:$AI$267,MATCH(polities_cats!AD$1,$A$1:$AN$1,0),0)</f>
        <v>Emerging</v>
      </c>
      <c r="AE64" t="str">
        <f>VLOOKUP($A64,regions_full!$A$2:$AI$267,MATCH(polities_cats!AE$1,$A$1:$AN$1,0),0)</f>
        <v>Annex_II</v>
      </c>
      <c r="AF64" t="str">
        <f>VLOOKUP($A64,regions_full!$A$2:$AI$267,MATCH(polities_cats!AF$1,$A$1:$AN$1,0),0)</f>
        <v>Western Africa</v>
      </c>
      <c r="AG64" t="str">
        <f>VLOOKUP($A64,regions_full!$A$2:$AI$267,MATCH(polities_cats!AG$1,$A$1:$AN$1,0),0)</f>
        <v>SAA</v>
      </c>
      <c r="AH64" t="str">
        <f>VLOOKUP($A64,regions_full!$A$2:$AI$267,MATCH(polities_cats!AH$1,$A$1:$AN$1,0),0)</f>
        <v>no_mech</v>
      </c>
      <c r="AI64" t="str">
        <f>VLOOKUP($A64,regions_full!$A$2:$AI$267,MATCH(polities_cats!AI$1,$A$1:$AN$1,0),0)</f>
        <v>Other</v>
      </c>
      <c r="AJ64" t="e">
        <f>VLOOKUP($A64,regions_full!$A$2:$AI$267,MATCH(polities_cats!AJ$1,$A$1:$AN$1,0),0)</f>
        <v>#REF!</v>
      </c>
      <c r="AK64" t="e">
        <f>VLOOKUP($A64,regions_full!$A$2:$AI$267,MATCH(polities_cats!AK$1,$A$1:$AN$1,0),0)</f>
        <v>#REF!</v>
      </c>
      <c r="AL64" t="e">
        <f>VLOOKUP($A64,regions_full!$A$2:$AI$267,MATCH(polities_cats!AL$1,$A$1:$AN$1,0),0)</f>
        <v>#REF!</v>
      </c>
      <c r="AM64" t="e">
        <f>VLOOKUP($A64,regions_full!$A$2:$AI$267,MATCH(polities_cats!AM$1,$A$1:$AN$1,0),0)</f>
        <v>#REF!</v>
      </c>
      <c r="AN64" t="e">
        <f>VLOOKUP($A64,regions_full!$A$2:$AI$267,MATCH(polities_cats!AN$1,$A$1:$AN$1,0),0)</f>
        <v>#REF!</v>
      </c>
    </row>
    <row r="65" spans="1:40" x14ac:dyDescent="0.3">
      <c r="A65" t="str">
        <f>polities_whep!A65</f>
        <v>GEO</v>
      </c>
      <c r="B65" t="str">
        <f>polities_whep!B65</f>
        <v>Georgia</v>
      </c>
      <c r="C65">
        <f>VLOOKUP($A65,regions_full!$A$2:$AI$267,MATCH(polities_cats!C$1,$A$1:$AN$1,0),0)</f>
        <v>73</v>
      </c>
      <c r="D65">
        <f>VLOOKUP($A65,regions_full!$A$2:$AI$267,MATCH(polities_cats!D$1,$A$1:$AN$1,0),0)</f>
        <v>73</v>
      </c>
      <c r="E65" t="str">
        <f>VLOOKUP($A65,regions_full!$A$2:$AI$267,MATCH(polities_cats!E$1,$A$1:$AN$1,0),0)</f>
        <v>GEO</v>
      </c>
      <c r="F65" t="str">
        <f>VLOOKUP($A65,regions_full!$A$2:$AI$267,MATCH(polities_cats!F$1,$A$1:$AN$1,0),0)</f>
        <v>Georgia</v>
      </c>
      <c r="G65" t="str">
        <f>VLOOKUP($A65,regions_full!$A$2:$AI$267,MATCH(polities_cats!G$1,$A$1:$AN$1,0),0)</f>
        <v>FALSE</v>
      </c>
      <c r="H65" t="str">
        <f>VLOOKUP($A65,regions_full!$A$2:$AI$267,MATCH(polities_cats!H$1,$A$1:$AN$1,0),0)</f>
        <v>Georgia</v>
      </c>
      <c r="I65" t="str">
        <f>VLOOKUP($A65,regions_full!$A$2:$AI$267,MATCH(polities_cats!I$1,$A$1:$AN$1,0),0)</f>
        <v>Georgia</v>
      </c>
      <c r="J65" t="str">
        <f>VLOOKUP($A65,regions_full!$A$2:$AI$267,MATCH(polities_cats!J$1,$A$1:$AN$1,0),0)</f>
        <v>Georgia</v>
      </c>
      <c r="K65">
        <f>VLOOKUP($A65,regions_full!$A$2:$AI$267,MATCH(polities_cats!K$1,$A$1:$AN$1,0),0)</f>
        <v>73</v>
      </c>
      <c r="L65" t="str">
        <f>VLOOKUP($A65,regions_full!$A$2:$AI$267,MATCH(polities_cats!L$1,$A$1:$AN$1,0),0)</f>
        <v>Georgia</v>
      </c>
      <c r="M65">
        <f>VLOOKUP($A65,regions_full!$A$2:$AI$267,MATCH(polities_cats!M$1,$A$1:$AN$1,0),0)</f>
        <v>268</v>
      </c>
      <c r="N65">
        <f>VLOOKUP($A65,regions_full!$A$2:$AI$267,MATCH(polities_cats!N$1,$A$1:$AN$1,0),0)</f>
        <v>268</v>
      </c>
      <c r="O65">
        <f>VLOOKUP($A65,regions_full!$A$2:$AI$267,MATCH(polities_cats!O$1,$A$1:$AN$1,0),0)</f>
        <v>11</v>
      </c>
      <c r="P65" t="str">
        <f>VLOOKUP($A65,regions_full!$A$2:$AI$267,MATCH(polities_cats!P$1,$A$1:$AN$1,0),0)</f>
        <v>TRUE</v>
      </c>
      <c r="Q65">
        <f>VLOOKUP($A65,regions_full!$A$2:$AI$267,MATCH(polities_cats!Q$1,$A$1:$AN$1,0),0)</f>
        <v>73</v>
      </c>
      <c r="R65" t="str">
        <f>VLOOKUP($A65,regions_full!$A$2:$AI$267,MATCH(polities_cats!R$1,$A$1:$AN$1,0),0)</f>
        <v/>
      </c>
      <c r="S65" t="str">
        <f>VLOOKUP($A65,regions_full!$A$2:$AI$267,MATCH(polities_cats!S$1,$A$1:$AN$1,0),0)</f>
        <v>Former USSR</v>
      </c>
      <c r="T65">
        <f>VLOOKUP($A65,regions_full!$A$2:$AI$267,MATCH(polities_cats!T$1,$A$1:$AN$1,0),0)</f>
        <v>1</v>
      </c>
      <c r="U65" t="str">
        <f>VLOOKUP($A65,regions_full!$A$2:$AI$267,MATCH(polities_cats!U$1,$A$1:$AN$1,0),0)</f>
        <v>Georgia</v>
      </c>
      <c r="V65" t="str">
        <f>VLOOKUP($A65,regions_full!$A$2:$AI$267,MATCH(polities_cats!V$1,$A$1:$AN$1,0),0)</f>
        <v>Central Asia and Russian Federation</v>
      </c>
      <c r="W65" t="str">
        <f>VLOOKUP($A65,regions_full!$A$2:$AI$267,MATCH(polities_cats!W$1,$A$1:$AN$1,0),0)</f>
        <v>South and Central Asia</v>
      </c>
      <c r="X65" t="str">
        <f>VLOOKUP($A65,regions_full!$A$2:$AI$267,MATCH(polities_cats!X$1,$A$1:$AN$1,0),0)</f>
        <v>CAS &amp; Russia</v>
      </c>
      <c r="Y65" t="str">
        <f>VLOOKUP($A65,regions_full!$A$2:$AI$267,MATCH(polities_cats!Y$1,$A$1:$AN$1,0),0)</f>
        <v>Western Asia</v>
      </c>
      <c r="Z65" t="str">
        <f>VLOOKUP($A65,regions_full!$A$2:$AI$267,MATCH(polities_cats!Z$1,$A$1:$AN$1,0),0)</f>
        <v>Asia</v>
      </c>
      <c r="AA65" t="str">
        <f>VLOOKUP($A65,regions_full!$A$2:$AI$267,MATCH(polities_cats!AA$1,$A$1:$AN$1,0),0)</f>
        <v>Europe and Central Asia</v>
      </c>
      <c r="AB65" t="str">
        <f>VLOOKUP($A65,regions_full!$A$2:$AI$267,MATCH(polities_cats!AB$1,$A$1:$AN$1,0),0)</f>
        <v>Central and Western Asia</v>
      </c>
      <c r="AC65" t="str">
        <f>VLOOKUP($A65,regions_full!$A$2:$AI$267,MATCH(polities_cats!AC$1,$A$1:$AN$1,0),0)</f>
        <v>Western Asia</v>
      </c>
      <c r="AD65" t="str">
        <f>VLOOKUP($A65,regions_full!$A$2:$AI$267,MATCH(polities_cats!AD$1,$A$1:$AN$1,0),0)</f>
        <v>Emerging</v>
      </c>
      <c r="AE65" t="str">
        <f>VLOOKUP($A65,regions_full!$A$2:$AI$267,MATCH(polities_cats!AE$1,$A$1:$AN$1,0),0)</f>
        <v>Annex_II</v>
      </c>
      <c r="AF65" t="str">
        <f>VLOOKUP($A65,regions_full!$A$2:$AI$267,MATCH(polities_cats!AF$1,$A$1:$AN$1,0),0)</f>
        <v>FSU</v>
      </c>
      <c r="AG65" t="str">
        <f>VLOOKUP($A65,regions_full!$A$2:$AI$267,MATCH(polities_cats!AG$1,$A$1:$AN$1,0),0)</f>
        <v>FSU</v>
      </c>
      <c r="AH65" t="str">
        <f>VLOOKUP($A65,regions_full!$A$2:$AI$267,MATCH(polities_cats!AH$1,$A$1:$AN$1,0),0)</f>
        <v>no_mech</v>
      </c>
      <c r="AI65" t="str">
        <f>VLOOKUP($A65,regions_full!$A$2:$AI$267,MATCH(polities_cats!AI$1,$A$1:$AN$1,0),0)</f>
        <v>Other</v>
      </c>
      <c r="AJ65" t="e">
        <f>VLOOKUP($A65,regions_full!$A$2:$AI$267,MATCH(polities_cats!AJ$1,$A$1:$AN$1,0),0)</f>
        <v>#REF!</v>
      </c>
      <c r="AK65" t="e">
        <f>VLOOKUP($A65,regions_full!$A$2:$AI$267,MATCH(polities_cats!AK$1,$A$1:$AN$1,0),0)</f>
        <v>#REF!</v>
      </c>
      <c r="AL65" t="e">
        <f>VLOOKUP($A65,regions_full!$A$2:$AI$267,MATCH(polities_cats!AL$1,$A$1:$AN$1,0),0)</f>
        <v>#REF!</v>
      </c>
      <c r="AM65" t="e">
        <f>VLOOKUP($A65,regions_full!$A$2:$AI$267,MATCH(polities_cats!AM$1,$A$1:$AN$1,0),0)</f>
        <v>#REF!</v>
      </c>
      <c r="AN65" t="e">
        <f>VLOOKUP($A65,regions_full!$A$2:$AI$267,MATCH(polities_cats!AN$1,$A$1:$AN$1,0),0)</f>
        <v>#REF!</v>
      </c>
    </row>
    <row r="66" spans="1:40" x14ac:dyDescent="0.3">
      <c r="A66" t="str">
        <f>polities_whep!A66</f>
        <v>DEU</v>
      </c>
      <c r="B66" t="str">
        <f>polities_whep!B66</f>
        <v>Germany</v>
      </c>
      <c r="C66">
        <f>VLOOKUP($A66,regions_full!$A$2:$AI$267,MATCH(polities_cats!C$1,$A$1:$AN$1,0),0)</f>
        <v>76</v>
      </c>
      <c r="D66">
        <f>VLOOKUP($A66,regions_full!$A$2:$AI$267,MATCH(polities_cats!D$1,$A$1:$AN$1,0),0)</f>
        <v>79</v>
      </c>
      <c r="E66" t="str">
        <f>VLOOKUP($A66,regions_full!$A$2:$AI$267,MATCH(polities_cats!E$1,$A$1:$AN$1,0),0)</f>
        <v>DEU</v>
      </c>
      <c r="F66" t="str">
        <f>VLOOKUP($A66,regions_full!$A$2:$AI$267,MATCH(polities_cats!F$1,$A$1:$AN$1,0),0)</f>
        <v>Germany</v>
      </c>
      <c r="G66" t="str">
        <f>VLOOKUP($A66,regions_full!$A$2:$AI$267,MATCH(polities_cats!G$1,$A$1:$AN$1,0),0)</f>
        <v>TRUE</v>
      </c>
      <c r="H66" t="str">
        <f>VLOOKUP($A66,regions_full!$A$2:$AI$267,MATCH(polities_cats!H$1,$A$1:$AN$1,0),0)</f>
        <v>Germany</v>
      </c>
      <c r="I66" t="str">
        <f>VLOOKUP($A66,regions_full!$A$2:$AI$267,MATCH(polities_cats!I$1,$A$1:$AN$1,0),0)</f>
        <v>Germany</v>
      </c>
      <c r="J66" t="str">
        <f>VLOOKUP($A66,regions_full!$A$2:$AI$267,MATCH(polities_cats!J$1,$A$1:$AN$1,0),0)</f>
        <v>Germany</v>
      </c>
      <c r="K66">
        <f>VLOOKUP($A66,regions_full!$A$2:$AI$267,MATCH(polities_cats!K$1,$A$1:$AN$1,0),0)</f>
        <v>79</v>
      </c>
      <c r="L66" t="str">
        <f>VLOOKUP($A66,regions_full!$A$2:$AI$267,MATCH(polities_cats!L$1,$A$1:$AN$1,0),0)</f>
        <v>Germany</v>
      </c>
      <c r="M66">
        <f>VLOOKUP($A66,regions_full!$A$2:$AI$267,MATCH(polities_cats!M$1,$A$1:$AN$1,0),0)</f>
        <v>276</v>
      </c>
      <c r="N66">
        <f>VLOOKUP($A66,regions_full!$A$2:$AI$267,MATCH(polities_cats!N$1,$A$1:$AN$1,0),0)</f>
        <v>276</v>
      </c>
      <c r="O66">
        <f>VLOOKUP($A66,regions_full!$A$2:$AI$267,MATCH(polities_cats!O$1,$A$1:$AN$1,0),0)</f>
        <v>9</v>
      </c>
      <c r="P66" t="str">
        <f>VLOOKUP($A66,regions_full!$A$2:$AI$267,MATCH(polities_cats!P$1,$A$1:$AN$1,0),0)</f>
        <v>TRUE</v>
      </c>
      <c r="Q66">
        <f>VLOOKUP($A66,regions_full!$A$2:$AI$267,MATCH(polities_cats!Q$1,$A$1:$AN$1,0),0)</f>
        <v>79</v>
      </c>
      <c r="R66" t="str">
        <f>VLOOKUP($A66,regions_full!$A$2:$AI$267,MATCH(polities_cats!R$1,$A$1:$AN$1,0),0)</f>
        <v>DE</v>
      </c>
      <c r="S66" t="str">
        <f>VLOOKUP($A66,regions_full!$A$2:$AI$267,MATCH(polities_cats!S$1,$A$1:$AN$1,0),0)</f>
        <v>OECD Europe</v>
      </c>
      <c r="T66">
        <f>VLOOKUP($A66,regions_full!$A$2:$AI$267,MATCH(polities_cats!T$1,$A$1:$AN$1,0),0)</f>
        <v>1</v>
      </c>
      <c r="U66" t="str">
        <f>VLOOKUP($A66,regions_full!$A$2:$AI$267,MATCH(polities_cats!U$1,$A$1:$AN$1,0),0)</f>
        <v>Germany</v>
      </c>
      <c r="V66" t="str">
        <f>VLOOKUP($A66,regions_full!$A$2:$AI$267,MATCH(polities_cats!V$1,$A$1:$AN$1,0),0)</f>
        <v>Western Europe</v>
      </c>
      <c r="W66" t="str">
        <f>VLOOKUP($A66,regions_full!$A$2:$AI$267,MATCH(polities_cats!W$1,$A$1:$AN$1,0),0)</f>
        <v>West Europe</v>
      </c>
      <c r="X66" t="str">
        <f>VLOOKUP($A66,regions_full!$A$2:$AI$267,MATCH(polities_cats!X$1,$A$1:$AN$1,0),0)</f>
        <v>Europe</v>
      </c>
      <c r="Y66" t="str">
        <f>VLOOKUP($A66,regions_full!$A$2:$AI$267,MATCH(polities_cats!Y$1,$A$1:$AN$1,0),0)</f>
        <v>Western Europe</v>
      </c>
      <c r="Z66" t="str">
        <f>VLOOKUP($A66,regions_full!$A$2:$AI$267,MATCH(polities_cats!Z$1,$A$1:$AN$1,0),0)</f>
        <v>Europe</v>
      </c>
      <c r="AA66" t="str">
        <f>VLOOKUP($A66,regions_full!$A$2:$AI$267,MATCH(polities_cats!AA$1,$A$1:$AN$1,0),0)</f>
        <v>Europe and Central Asia</v>
      </c>
      <c r="AB66" t="str">
        <f>VLOOKUP($A66,regions_full!$A$2:$AI$267,MATCH(polities_cats!AB$1,$A$1:$AN$1,0),0)</f>
        <v>Northern, Southern and Western Europe</v>
      </c>
      <c r="AC66" t="str">
        <f>VLOOKUP($A66,regions_full!$A$2:$AI$267,MATCH(polities_cats!AC$1,$A$1:$AN$1,0),0)</f>
        <v>Western Europe</v>
      </c>
      <c r="AD66" t="str">
        <f>VLOOKUP($A66,regions_full!$A$2:$AI$267,MATCH(polities_cats!AD$1,$A$1:$AN$1,0),0)</f>
        <v>Advanced</v>
      </c>
      <c r="AE66" t="str">
        <f>VLOOKUP($A66,regions_full!$A$2:$AI$267,MATCH(polities_cats!AE$1,$A$1:$AN$1,0),0)</f>
        <v>Annex_I</v>
      </c>
      <c r="AF66" t="str">
        <f>VLOOKUP($A66,regions_full!$A$2:$AI$267,MATCH(polities_cats!AF$1,$A$1:$AN$1,0),0)</f>
        <v>Western Europe</v>
      </c>
      <c r="AG66" t="str">
        <f>VLOOKUP($A66,regions_full!$A$2:$AI$267,MATCH(polities_cats!AG$1,$A$1:$AN$1,0),0)</f>
        <v>Europe</v>
      </c>
      <c r="AH66" t="str">
        <f>VLOOKUP($A66,regions_full!$A$2:$AI$267,MATCH(polities_cats!AH$1,$A$1:$AN$1,0),0)</f>
        <v>mech</v>
      </c>
      <c r="AI66" t="str">
        <f>VLOOKUP($A66,regions_full!$A$2:$AI$267,MATCH(polities_cats!AI$1,$A$1:$AN$1,0),0)</f>
        <v>Europe</v>
      </c>
      <c r="AJ66" t="e">
        <f>VLOOKUP($A66,regions_full!$A$2:$AI$267,MATCH(polities_cats!AJ$1,$A$1:$AN$1,0),0)</f>
        <v>#REF!</v>
      </c>
      <c r="AK66" t="e">
        <f>VLOOKUP($A66,regions_full!$A$2:$AI$267,MATCH(polities_cats!AK$1,$A$1:$AN$1,0),0)</f>
        <v>#REF!</v>
      </c>
      <c r="AL66" t="e">
        <f>VLOOKUP($A66,regions_full!$A$2:$AI$267,MATCH(polities_cats!AL$1,$A$1:$AN$1,0),0)</f>
        <v>#REF!</v>
      </c>
      <c r="AM66" t="e">
        <f>VLOOKUP($A66,regions_full!$A$2:$AI$267,MATCH(polities_cats!AM$1,$A$1:$AN$1,0),0)</f>
        <v>#REF!</v>
      </c>
      <c r="AN66" t="e">
        <f>VLOOKUP($A66,regions_full!$A$2:$AI$267,MATCH(polities_cats!AN$1,$A$1:$AN$1,0),0)</f>
        <v>#REF!</v>
      </c>
    </row>
    <row r="67" spans="1:40" x14ac:dyDescent="0.3">
      <c r="A67" t="str">
        <f>polities_whep!A67</f>
        <v>GHA</v>
      </c>
      <c r="B67" t="str">
        <f>polities_whep!B67</f>
        <v>Ghana</v>
      </c>
      <c r="C67">
        <f>VLOOKUP($A67,regions_full!$A$2:$AI$267,MATCH(polities_cats!C$1,$A$1:$AN$1,0),0)</f>
        <v>78</v>
      </c>
      <c r="D67">
        <f>VLOOKUP($A67,regions_full!$A$2:$AI$267,MATCH(polities_cats!D$1,$A$1:$AN$1,0),0)</f>
        <v>81</v>
      </c>
      <c r="E67" t="str">
        <f>VLOOKUP($A67,regions_full!$A$2:$AI$267,MATCH(polities_cats!E$1,$A$1:$AN$1,0),0)</f>
        <v>GHA</v>
      </c>
      <c r="F67" t="str">
        <f>VLOOKUP($A67,regions_full!$A$2:$AI$267,MATCH(polities_cats!F$1,$A$1:$AN$1,0),0)</f>
        <v>Ghana</v>
      </c>
      <c r="G67" t="str">
        <f>VLOOKUP($A67,regions_full!$A$2:$AI$267,MATCH(polities_cats!G$1,$A$1:$AN$1,0),0)</f>
        <v>FALSE</v>
      </c>
      <c r="H67" t="str">
        <f>VLOOKUP($A67,regions_full!$A$2:$AI$267,MATCH(polities_cats!H$1,$A$1:$AN$1,0),0)</f>
        <v>Ghana</v>
      </c>
      <c r="I67" t="str">
        <f>VLOOKUP($A67,regions_full!$A$2:$AI$267,MATCH(polities_cats!I$1,$A$1:$AN$1,0),0)</f>
        <v>Ghana</v>
      </c>
      <c r="J67" t="str">
        <f>VLOOKUP($A67,regions_full!$A$2:$AI$267,MATCH(polities_cats!J$1,$A$1:$AN$1,0),0)</f>
        <v>Ghana</v>
      </c>
      <c r="K67">
        <f>VLOOKUP($A67,regions_full!$A$2:$AI$267,MATCH(polities_cats!K$1,$A$1:$AN$1,0),0)</f>
        <v>81</v>
      </c>
      <c r="L67" t="str">
        <f>VLOOKUP($A67,regions_full!$A$2:$AI$267,MATCH(polities_cats!L$1,$A$1:$AN$1,0),0)</f>
        <v>Ghana</v>
      </c>
      <c r="M67">
        <f>VLOOKUP($A67,regions_full!$A$2:$AI$267,MATCH(polities_cats!M$1,$A$1:$AN$1,0),0)</f>
        <v>288</v>
      </c>
      <c r="N67">
        <f>VLOOKUP($A67,regions_full!$A$2:$AI$267,MATCH(polities_cats!N$1,$A$1:$AN$1,0),0)</f>
        <v>288</v>
      </c>
      <c r="O67">
        <f>VLOOKUP($A67,regions_full!$A$2:$AI$267,MATCH(polities_cats!O$1,$A$1:$AN$1,0),0)</f>
        <v>6</v>
      </c>
      <c r="P67" t="str">
        <f>VLOOKUP($A67,regions_full!$A$2:$AI$267,MATCH(polities_cats!P$1,$A$1:$AN$1,0),0)</f>
        <v>TRUE</v>
      </c>
      <c r="Q67">
        <f>VLOOKUP($A67,regions_full!$A$2:$AI$267,MATCH(polities_cats!Q$1,$A$1:$AN$1,0),0)</f>
        <v>81</v>
      </c>
      <c r="R67" t="str">
        <f>VLOOKUP($A67,regions_full!$A$2:$AI$267,MATCH(polities_cats!R$1,$A$1:$AN$1,0),0)</f>
        <v/>
      </c>
      <c r="S67" t="str">
        <f>VLOOKUP($A67,regions_full!$A$2:$AI$267,MATCH(polities_cats!S$1,$A$1:$AN$1,0),0)</f>
        <v>Western Africa</v>
      </c>
      <c r="T67">
        <f>VLOOKUP($A67,regions_full!$A$2:$AI$267,MATCH(polities_cats!T$1,$A$1:$AN$1,0),0)</f>
        <v>1</v>
      </c>
      <c r="U67" t="str">
        <f>VLOOKUP($A67,regions_full!$A$2:$AI$267,MATCH(polities_cats!U$1,$A$1:$AN$1,0),0)</f>
        <v>Ghana</v>
      </c>
      <c r="V67" t="str">
        <f>VLOOKUP($A67,regions_full!$A$2:$AI$267,MATCH(polities_cats!V$1,$A$1:$AN$1,0),0)</f>
        <v>Subsaharan Africa</v>
      </c>
      <c r="W67" t="str">
        <f>VLOOKUP($A67,regions_full!$A$2:$AI$267,MATCH(polities_cats!W$1,$A$1:$AN$1,0),0)</f>
        <v>Sub-saharan Africa</v>
      </c>
      <c r="X67" t="str">
        <f>VLOOKUP($A67,regions_full!$A$2:$AI$267,MATCH(polities_cats!X$1,$A$1:$AN$1,0),0)</f>
        <v>SSA</v>
      </c>
      <c r="Y67" t="str">
        <f>VLOOKUP($A67,regions_full!$A$2:$AI$267,MATCH(polities_cats!Y$1,$A$1:$AN$1,0),0)</f>
        <v>Sub-Saharan Africa</v>
      </c>
      <c r="Z67" t="str">
        <f>VLOOKUP($A67,regions_full!$A$2:$AI$267,MATCH(polities_cats!Z$1,$A$1:$AN$1,0),0)</f>
        <v>Africa</v>
      </c>
      <c r="AA67" t="str">
        <f>VLOOKUP($A67,regions_full!$A$2:$AI$267,MATCH(polities_cats!AA$1,$A$1:$AN$1,0),0)</f>
        <v>Africa</v>
      </c>
      <c r="AB67" t="str">
        <f>VLOOKUP($A67,regions_full!$A$2:$AI$267,MATCH(polities_cats!AB$1,$A$1:$AN$1,0),0)</f>
        <v>Sub-Saharan Africa</v>
      </c>
      <c r="AC67" t="str">
        <f>VLOOKUP($A67,regions_full!$A$2:$AI$267,MATCH(polities_cats!AC$1,$A$1:$AN$1,0),0)</f>
        <v>Western Africa</v>
      </c>
      <c r="AD67" t="str">
        <f>VLOOKUP($A67,regions_full!$A$2:$AI$267,MATCH(polities_cats!AD$1,$A$1:$AN$1,0),0)</f>
        <v>Emerging</v>
      </c>
      <c r="AE67" t="str">
        <f>VLOOKUP($A67,regions_full!$A$2:$AI$267,MATCH(polities_cats!AE$1,$A$1:$AN$1,0),0)</f>
        <v>Annex_II</v>
      </c>
      <c r="AF67" t="str">
        <f>VLOOKUP($A67,regions_full!$A$2:$AI$267,MATCH(polities_cats!AF$1,$A$1:$AN$1,0),0)</f>
        <v>Western Africa</v>
      </c>
      <c r="AG67" t="str">
        <f>VLOOKUP($A67,regions_full!$A$2:$AI$267,MATCH(polities_cats!AG$1,$A$1:$AN$1,0),0)</f>
        <v>SAA</v>
      </c>
      <c r="AH67" t="str">
        <f>VLOOKUP($A67,regions_full!$A$2:$AI$267,MATCH(polities_cats!AH$1,$A$1:$AN$1,0),0)</f>
        <v>no_mech</v>
      </c>
      <c r="AI67" t="str">
        <f>VLOOKUP($A67,regions_full!$A$2:$AI$267,MATCH(polities_cats!AI$1,$A$1:$AN$1,0),0)</f>
        <v>Other</v>
      </c>
      <c r="AJ67" t="e">
        <f>VLOOKUP($A67,regions_full!$A$2:$AI$267,MATCH(polities_cats!AJ$1,$A$1:$AN$1,0),0)</f>
        <v>#REF!</v>
      </c>
      <c r="AK67" t="e">
        <f>VLOOKUP($A67,regions_full!$A$2:$AI$267,MATCH(polities_cats!AK$1,$A$1:$AN$1,0),0)</f>
        <v>#REF!</v>
      </c>
      <c r="AL67" t="e">
        <f>VLOOKUP($A67,regions_full!$A$2:$AI$267,MATCH(polities_cats!AL$1,$A$1:$AN$1,0),0)</f>
        <v>#REF!</v>
      </c>
      <c r="AM67" t="e">
        <f>VLOOKUP($A67,regions_full!$A$2:$AI$267,MATCH(polities_cats!AM$1,$A$1:$AN$1,0),0)</f>
        <v>#REF!</v>
      </c>
      <c r="AN67" t="e">
        <f>VLOOKUP($A67,regions_full!$A$2:$AI$267,MATCH(polities_cats!AN$1,$A$1:$AN$1,0),0)</f>
        <v>#REF!</v>
      </c>
    </row>
    <row r="68" spans="1:40" x14ac:dyDescent="0.3">
      <c r="A68" t="str">
        <f>polities_whep!A68</f>
        <v>GRC</v>
      </c>
      <c r="B68" t="str">
        <f>polities_whep!B68</f>
        <v>Greece</v>
      </c>
      <c r="C68">
        <f>VLOOKUP($A68,regions_full!$A$2:$AI$267,MATCH(polities_cats!C$1,$A$1:$AN$1,0),0)</f>
        <v>81</v>
      </c>
      <c r="D68">
        <f>VLOOKUP($A68,regions_full!$A$2:$AI$267,MATCH(polities_cats!D$1,$A$1:$AN$1,0),0)</f>
        <v>84</v>
      </c>
      <c r="E68" t="str">
        <f>VLOOKUP($A68,regions_full!$A$2:$AI$267,MATCH(polities_cats!E$1,$A$1:$AN$1,0),0)</f>
        <v>GRC</v>
      </c>
      <c r="F68" t="str">
        <f>VLOOKUP($A68,regions_full!$A$2:$AI$267,MATCH(polities_cats!F$1,$A$1:$AN$1,0),0)</f>
        <v>Greece</v>
      </c>
      <c r="G68" t="str">
        <f>VLOOKUP($A68,regions_full!$A$2:$AI$267,MATCH(polities_cats!G$1,$A$1:$AN$1,0),0)</f>
        <v>TRUE</v>
      </c>
      <c r="H68" t="str">
        <f>VLOOKUP($A68,regions_full!$A$2:$AI$267,MATCH(polities_cats!H$1,$A$1:$AN$1,0),0)</f>
        <v>Greece</v>
      </c>
      <c r="I68" t="str">
        <f>VLOOKUP($A68,regions_full!$A$2:$AI$267,MATCH(polities_cats!I$1,$A$1:$AN$1,0),0)</f>
        <v>Greece</v>
      </c>
      <c r="J68" t="str">
        <f>VLOOKUP($A68,regions_full!$A$2:$AI$267,MATCH(polities_cats!J$1,$A$1:$AN$1,0),0)</f>
        <v>Greece</v>
      </c>
      <c r="K68">
        <f>VLOOKUP($A68,regions_full!$A$2:$AI$267,MATCH(polities_cats!K$1,$A$1:$AN$1,0),0)</f>
        <v>84</v>
      </c>
      <c r="L68" t="str">
        <f>VLOOKUP($A68,regions_full!$A$2:$AI$267,MATCH(polities_cats!L$1,$A$1:$AN$1,0),0)</f>
        <v>Greece</v>
      </c>
      <c r="M68">
        <f>VLOOKUP($A68,regions_full!$A$2:$AI$267,MATCH(polities_cats!M$1,$A$1:$AN$1,0),0)</f>
        <v>300</v>
      </c>
      <c r="N68">
        <f>VLOOKUP($A68,regions_full!$A$2:$AI$267,MATCH(polities_cats!N$1,$A$1:$AN$1,0),0)</f>
        <v>300</v>
      </c>
      <c r="O68">
        <f>VLOOKUP($A68,regions_full!$A$2:$AI$267,MATCH(polities_cats!O$1,$A$1:$AN$1,0),0)</f>
        <v>9</v>
      </c>
      <c r="P68" t="str">
        <f>VLOOKUP($A68,regions_full!$A$2:$AI$267,MATCH(polities_cats!P$1,$A$1:$AN$1,0),0)</f>
        <v>TRUE</v>
      </c>
      <c r="Q68">
        <f>VLOOKUP($A68,regions_full!$A$2:$AI$267,MATCH(polities_cats!Q$1,$A$1:$AN$1,0),0)</f>
        <v>84</v>
      </c>
      <c r="R68" t="str">
        <f>VLOOKUP($A68,regions_full!$A$2:$AI$267,MATCH(polities_cats!R$1,$A$1:$AN$1,0),0)</f>
        <v>GR</v>
      </c>
      <c r="S68" t="str">
        <f>VLOOKUP($A68,regions_full!$A$2:$AI$267,MATCH(polities_cats!S$1,$A$1:$AN$1,0),0)</f>
        <v>OECD Europe</v>
      </c>
      <c r="T68">
        <f>VLOOKUP($A68,regions_full!$A$2:$AI$267,MATCH(polities_cats!T$1,$A$1:$AN$1,0),0)</f>
        <v>1</v>
      </c>
      <c r="U68" t="str">
        <f>VLOOKUP($A68,regions_full!$A$2:$AI$267,MATCH(polities_cats!U$1,$A$1:$AN$1,0),0)</f>
        <v>Greece</v>
      </c>
      <c r="V68" t="str">
        <f>VLOOKUP($A68,regions_full!$A$2:$AI$267,MATCH(polities_cats!V$1,$A$1:$AN$1,0),0)</f>
        <v>Western Europe</v>
      </c>
      <c r="W68" t="str">
        <f>VLOOKUP($A68,regions_full!$A$2:$AI$267,MATCH(polities_cats!W$1,$A$1:$AN$1,0),0)</f>
        <v>West Europe</v>
      </c>
      <c r="X68" t="str">
        <f>VLOOKUP($A68,regions_full!$A$2:$AI$267,MATCH(polities_cats!X$1,$A$1:$AN$1,0),0)</f>
        <v>Europe</v>
      </c>
      <c r="Y68" t="str">
        <f>VLOOKUP($A68,regions_full!$A$2:$AI$267,MATCH(polities_cats!Y$1,$A$1:$AN$1,0),0)</f>
        <v>Southern Europe</v>
      </c>
      <c r="Z68" t="str">
        <f>VLOOKUP($A68,regions_full!$A$2:$AI$267,MATCH(polities_cats!Z$1,$A$1:$AN$1,0),0)</f>
        <v>Europe</v>
      </c>
      <c r="AA68" t="str">
        <f>VLOOKUP($A68,regions_full!$A$2:$AI$267,MATCH(polities_cats!AA$1,$A$1:$AN$1,0),0)</f>
        <v>Europe and Central Asia</v>
      </c>
      <c r="AB68" t="str">
        <f>VLOOKUP($A68,regions_full!$A$2:$AI$267,MATCH(polities_cats!AB$1,$A$1:$AN$1,0),0)</f>
        <v>Northern, Southern and Western Europe</v>
      </c>
      <c r="AC68" t="str">
        <f>VLOOKUP($A68,regions_full!$A$2:$AI$267,MATCH(polities_cats!AC$1,$A$1:$AN$1,0),0)</f>
        <v>Southern Europe</v>
      </c>
      <c r="AD68" t="str">
        <f>VLOOKUP($A68,regions_full!$A$2:$AI$267,MATCH(polities_cats!AD$1,$A$1:$AN$1,0),0)</f>
        <v>Advanced</v>
      </c>
      <c r="AE68" t="str">
        <f>VLOOKUP($A68,regions_full!$A$2:$AI$267,MATCH(polities_cats!AE$1,$A$1:$AN$1,0),0)</f>
        <v>Annex_I</v>
      </c>
      <c r="AF68" t="str">
        <f>VLOOKUP($A68,regions_full!$A$2:$AI$267,MATCH(polities_cats!AF$1,$A$1:$AN$1,0),0)</f>
        <v>Southern Europe</v>
      </c>
      <c r="AG68" t="str">
        <f>VLOOKUP($A68,regions_full!$A$2:$AI$267,MATCH(polities_cats!AG$1,$A$1:$AN$1,0),0)</f>
        <v>Europe</v>
      </c>
      <c r="AH68" t="str">
        <f>VLOOKUP($A68,regions_full!$A$2:$AI$267,MATCH(polities_cats!AH$1,$A$1:$AN$1,0),0)</f>
        <v>mech</v>
      </c>
      <c r="AI68" t="str">
        <f>VLOOKUP($A68,regions_full!$A$2:$AI$267,MATCH(polities_cats!AI$1,$A$1:$AN$1,0),0)</f>
        <v>Europe</v>
      </c>
      <c r="AJ68" t="e">
        <f>VLOOKUP($A68,regions_full!$A$2:$AI$267,MATCH(polities_cats!AJ$1,$A$1:$AN$1,0),0)</f>
        <v>#REF!</v>
      </c>
      <c r="AK68" t="e">
        <f>VLOOKUP($A68,regions_full!$A$2:$AI$267,MATCH(polities_cats!AK$1,$A$1:$AN$1,0),0)</f>
        <v>#REF!</v>
      </c>
      <c r="AL68" t="e">
        <f>VLOOKUP($A68,regions_full!$A$2:$AI$267,MATCH(polities_cats!AL$1,$A$1:$AN$1,0),0)</f>
        <v>#REF!</v>
      </c>
      <c r="AM68" t="e">
        <f>VLOOKUP($A68,regions_full!$A$2:$AI$267,MATCH(polities_cats!AM$1,$A$1:$AN$1,0),0)</f>
        <v>#REF!</v>
      </c>
      <c r="AN68" t="e">
        <f>VLOOKUP($A68,regions_full!$A$2:$AI$267,MATCH(polities_cats!AN$1,$A$1:$AN$1,0),0)</f>
        <v>#REF!</v>
      </c>
    </row>
    <row r="69" spans="1:40" x14ac:dyDescent="0.3">
      <c r="A69" t="str">
        <f>polities_whep!A69</f>
        <v>GRD</v>
      </c>
      <c r="B69" t="str">
        <f>polities_whep!B69</f>
        <v>Grenada</v>
      </c>
      <c r="C69">
        <f>VLOOKUP($A69,regions_full!$A$2:$AI$267,MATCH(polities_cats!C$1,$A$1:$AN$1,0),0)</f>
        <v>83</v>
      </c>
      <c r="D69">
        <f>VLOOKUP($A69,regions_full!$A$2:$AI$267,MATCH(polities_cats!D$1,$A$1:$AN$1,0),0)</f>
        <v>86</v>
      </c>
      <c r="E69" t="str">
        <f>VLOOKUP($A69,regions_full!$A$2:$AI$267,MATCH(polities_cats!E$1,$A$1:$AN$1,0),0)</f>
        <v>GRD</v>
      </c>
      <c r="F69" t="str">
        <f>VLOOKUP($A69,regions_full!$A$2:$AI$267,MATCH(polities_cats!F$1,$A$1:$AN$1,0),0)</f>
        <v>Grenada</v>
      </c>
      <c r="G69" t="str">
        <f>VLOOKUP($A69,regions_full!$A$2:$AI$267,MATCH(polities_cats!G$1,$A$1:$AN$1,0),0)</f>
        <v>FALSE</v>
      </c>
      <c r="H69" t="str">
        <f>VLOOKUP($A69,regions_full!$A$2:$AI$267,MATCH(polities_cats!H$1,$A$1:$AN$1,0),0)</f>
        <v>Grenada</v>
      </c>
      <c r="I69" t="str">
        <f>VLOOKUP($A69,regions_full!$A$2:$AI$267,MATCH(polities_cats!I$1,$A$1:$AN$1,0),0)</f>
        <v>Grenada</v>
      </c>
      <c r="J69">
        <f>VLOOKUP($A69,regions_full!$A$2:$AI$267,MATCH(polities_cats!J$1,$A$1:$AN$1,0),0)</f>
        <v>0</v>
      </c>
      <c r="K69">
        <f>VLOOKUP($A69,regions_full!$A$2:$AI$267,MATCH(polities_cats!K$1,$A$1:$AN$1,0),0)</f>
        <v>86</v>
      </c>
      <c r="L69" t="str">
        <f>VLOOKUP($A69,regions_full!$A$2:$AI$267,MATCH(polities_cats!L$1,$A$1:$AN$1,0),0)</f>
        <v>Grenada</v>
      </c>
      <c r="M69">
        <f>VLOOKUP($A69,regions_full!$A$2:$AI$267,MATCH(polities_cats!M$1,$A$1:$AN$1,0),0)</f>
        <v>308</v>
      </c>
      <c r="N69">
        <f>VLOOKUP($A69,regions_full!$A$2:$AI$267,MATCH(polities_cats!N$1,$A$1:$AN$1,0),0)</f>
        <v>308</v>
      </c>
      <c r="O69">
        <f>VLOOKUP($A69,regions_full!$A$2:$AI$267,MATCH(polities_cats!O$1,$A$1:$AN$1,0),0)</f>
        <v>3</v>
      </c>
      <c r="P69" t="str">
        <f>VLOOKUP($A69,regions_full!$A$2:$AI$267,MATCH(polities_cats!P$1,$A$1:$AN$1,0),0)</f>
        <v>TRUE</v>
      </c>
      <c r="Q69">
        <f>VLOOKUP($A69,regions_full!$A$2:$AI$267,MATCH(polities_cats!Q$1,$A$1:$AN$1,0),0)</f>
        <v>86</v>
      </c>
      <c r="R69" t="str">
        <f>VLOOKUP($A69,regions_full!$A$2:$AI$267,MATCH(polities_cats!R$1,$A$1:$AN$1,0),0)</f>
        <v/>
      </c>
      <c r="S69" t="str">
        <f>VLOOKUP($A69,regions_full!$A$2:$AI$267,MATCH(polities_cats!S$1,$A$1:$AN$1,0),0)</f>
        <v>Central America</v>
      </c>
      <c r="T69">
        <f>VLOOKUP($A69,regions_full!$A$2:$AI$267,MATCH(polities_cats!T$1,$A$1:$AN$1,0),0)</f>
        <v>1</v>
      </c>
      <c r="U69" t="str">
        <f>VLOOKUP($A69,regions_full!$A$2:$AI$267,MATCH(polities_cats!U$1,$A$1:$AN$1,0),0)</f>
        <v>Grenada</v>
      </c>
      <c r="V69" t="str">
        <f>VLOOKUP($A69,regions_full!$A$2:$AI$267,MATCH(polities_cats!V$1,$A$1:$AN$1,0),0)</f>
        <v>Latin America and the Caribbean</v>
      </c>
      <c r="W69" t="str">
        <f>VLOOKUP($A69,regions_full!$A$2:$AI$267,MATCH(polities_cats!W$1,$A$1:$AN$1,0),0)</f>
        <v>Latin America and Caribbean</v>
      </c>
      <c r="X69" t="str">
        <f>VLOOKUP($A69,regions_full!$A$2:$AI$267,MATCH(polities_cats!X$1,$A$1:$AN$1,0),0)</f>
        <v>LACA</v>
      </c>
      <c r="Y69" t="str">
        <f>VLOOKUP($A69,regions_full!$A$2:$AI$267,MATCH(polities_cats!Y$1,$A$1:$AN$1,0),0)</f>
        <v>Latin America and the Caribbean</v>
      </c>
      <c r="Z69" t="str">
        <f>VLOOKUP($A69,regions_full!$A$2:$AI$267,MATCH(polities_cats!Z$1,$A$1:$AN$1,0),0)</f>
        <v>Americas</v>
      </c>
      <c r="AA69" t="str">
        <f>VLOOKUP($A69,regions_full!$A$2:$AI$267,MATCH(polities_cats!AA$1,$A$1:$AN$1,0),0)</f>
        <v>Americas</v>
      </c>
      <c r="AB69" t="str">
        <f>VLOOKUP($A69,regions_full!$A$2:$AI$267,MATCH(polities_cats!AB$1,$A$1:$AN$1,0),0)</f>
        <v>Latin America and the Caribbean</v>
      </c>
      <c r="AC69" t="str">
        <f>VLOOKUP($A69,regions_full!$A$2:$AI$267,MATCH(polities_cats!AC$1,$A$1:$AN$1,0),0)</f>
        <v>Caribbean</v>
      </c>
      <c r="AD69" t="str">
        <f>VLOOKUP($A69,regions_full!$A$2:$AI$267,MATCH(polities_cats!AD$1,$A$1:$AN$1,0),0)</f>
        <v>Emerging</v>
      </c>
      <c r="AE69" t="str">
        <f>VLOOKUP($A69,regions_full!$A$2:$AI$267,MATCH(polities_cats!AE$1,$A$1:$AN$1,0),0)</f>
        <v>Annex_II</v>
      </c>
      <c r="AF69" t="str">
        <f>VLOOKUP($A69,regions_full!$A$2:$AI$267,MATCH(polities_cats!AF$1,$A$1:$AN$1,0),0)</f>
        <v>Caribbean &amp; Centra Am.</v>
      </c>
      <c r="AG69" t="str">
        <f>VLOOKUP($A69,regions_full!$A$2:$AI$267,MATCH(polities_cats!AG$1,$A$1:$AN$1,0),0)</f>
        <v>LACA</v>
      </c>
      <c r="AH69" t="str">
        <f>VLOOKUP($A69,regions_full!$A$2:$AI$267,MATCH(polities_cats!AH$1,$A$1:$AN$1,0),0)</f>
        <v>no_mech</v>
      </c>
      <c r="AI69" t="str">
        <f>VLOOKUP($A69,regions_full!$A$2:$AI$267,MATCH(polities_cats!AI$1,$A$1:$AN$1,0),0)</f>
        <v>Other</v>
      </c>
      <c r="AJ69" t="e">
        <f>VLOOKUP($A69,regions_full!$A$2:$AI$267,MATCH(polities_cats!AJ$1,$A$1:$AN$1,0),0)</f>
        <v>#REF!</v>
      </c>
      <c r="AK69" t="e">
        <f>VLOOKUP($A69,regions_full!$A$2:$AI$267,MATCH(polities_cats!AK$1,$A$1:$AN$1,0),0)</f>
        <v>#REF!</v>
      </c>
      <c r="AL69" t="e">
        <f>VLOOKUP($A69,regions_full!$A$2:$AI$267,MATCH(polities_cats!AL$1,$A$1:$AN$1,0),0)</f>
        <v>#REF!</v>
      </c>
      <c r="AM69" t="e">
        <f>VLOOKUP($A69,regions_full!$A$2:$AI$267,MATCH(polities_cats!AM$1,$A$1:$AN$1,0),0)</f>
        <v>#REF!</v>
      </c>
      <c r="AN69" t="e">
        <f>VLOOKUP($A69,regions_full!$A$2:$AI$267,MATCH(polities_cats!AN$1,$A$1:$AN$1,0),0)</f>
        <v>#REF!</v>
      </c>
    </row>
    <row r="70" spans="1:40" x14ac:dyDescent="0.3">
      <c r="A70" t="str">
        <f>polities_whep!A70</f>
        <v>GTM</v>
      </c>
      <c r="B70" t="str">
        <f>polities_whep!B70</f>
        <v>Guatemala</v>
      </c>
      <c r="C70">
        <f>VLOOKUP($A70,regions_full!$A$2:$AI$267,MATCH(polities_cats!C$1,$A$1:$AN$1,0),0)</f>
        <v>86</v>
      </c>
      <c r="D70">
        <f>VLOOKUP($A70,regions_full!$A$2:$AI$267,MATCH(polities_cats!D$1,$A$1:$AN$1,0),0)</f>
        <v>89</v>
      </c>
      <c r="E70" t="str">
        <f>VLOOKUP($A70,regions_full!$A$2:$AI$267,MATCH(polities_cats!E$1,$A$1:$AN$1,0),0)</f>
        <v>GTM</v>
      </c>
      <c r="F70" t="str">
        <f>VLOOKUP($A70,regions_full!$A$2:$AI$267,MATCH(polities_cats!F$1,$A$1:$AN$1,0),0)</f>
        <v>Guatemala</v>
      </c>
      <c r="G70" t="str">
        <f>VLOOKUP($A70,regions_full!$A$2:$AI$267,MATCH(polities_cats!G$1,$A$1:$AN$1,0),0)</f>
        <v>FALSE</v>
      </c>
      <c r="H70" t="str">
        <f>VLOOKUP($A70,regions_full!$A$2:$AI$267,MATCH(polities_cats!H$1,$A$1:$AN$1,0),0)</f>
        <v>Guatemala</v>
      </c>
      <c r="I70" t="str">
        <f>VLOOKUP($A70,regions_full!$A$2:$AI$267,MATCH(polities_cats!I$1,$A$1:$AN$1,0),0)</f>
        <v>Guatemala</v>
      </c>
      <c r="J70" t="str">
        <f>VLOOKUP($A70,regions_full!$A$2:$AI$267,MATCH(polities_cats!J$1,$A$1:$AN$1,0),0)</f>
        <v>Guatemala</v>
      </c>
      <c r="K70">
        <f>VLOOKUP($A70,regions_full!$A$2:$AI$267,MATCH(polities_cats!K$1,$A$1:$AN$1,0),0)</f>
        <v>89</v>
      </c>
      <c r="L70" t="str">
        <f>VLOOKUP($A70,regions_full!$A$2:$AI$267,MATCH(polities_cats!L$1,$A$1:$AN$1,0),0)</f>
        <v>Guatemala</v>
      </c>
      <c r="M70">
        <f>VLOOKUP($A70,regions_full!$A$2:$AI$267,MATCH(polities_cats!M$1,$A$1:$AN$1,0),0)</f>
        <v>320</v>
      </c>
      <c r="N70">
        <f>VLOOKUP($A70,regions_full!$A$2:$AI$267,MATCH(polities_cats!N$1,$A$1:$AN$1,0),0)</f>
        <v>320</v>
      </c>
      <c r="O70">
        <f>VLOOKUP($A70,regions_full!$A$2:$AI$267,MATCH(polities_cats!O$1,$A$1:$AN$1,0),0)</f>
        <v>3</v>
      </c>
      <c r="P70" t="str">
        <f>VLOOKUP($A70,regions_full!$A$2:$AI$267,MATCH(polities_cats!P$1,$A$1:$AN$1,0),0)</f>
        <v>TRUE</v>
      </c>
      <c r="Q70">
        <f>VLOOKUP($A70,regions_full!$A$2:$AI$267,MATCH(polities_cats!Q$1,$A$1:$AN$1,0),0)</f>
        <v>89</v>
      </c>
      <c r="R70" t="str">
        <f>VLOOKUP($A70,regions_full!$A$2:$AI$267,MATCH(polities_cats!R$1,$A$1:$AN$1,0),0)</f>
        <v/>
      </c>
      <c r="S70" t="str">
        <f>VLOOKUP($A70,regions_full!$A$2:$AI$267,MATCH(polities_cats!S$1,$A$1:$AN$1,0),0)</f>
        <v>Central America</v>
      </c>
      <c r="T70">
        <f>VLOOKUP($A70,regions_full!$A$2:$AI$267,MATCH(polities_cats!T$1,$A$1:$AN$1,0),0)</f>
        <v>1</v>
      </c>
      <c r="U70" t="str">
        <f>VLOOKUP($A70,regions_full!$A$2:$AI$267,MATCH(polities_cats!U$1,$A$1:$AN$1,0),0)</f>
        <v>Guatemala</v>
      </c>
      <c r="V70" t="str">
        <f>VLOOKUP($A70,regions_full!$A$2:$AI$267,MATCH(polities_cats!V$1,$A$1:$AN$1,0),0)</f>
        <v>Latin America and the Caribbean</v>
      </c>
      <c r="W70" t="str">
        <f>VLOOKUP($A70,regions_full!$A$2:$AI$267,MATCH(polities_cats!W$1,$A$1:$AN$1,0),0)</f>
        <v>Latin America and Caribbean</v>
      </c>
      <c r="X70" t="str">
        <f>VLOOKUP($A70,regions_full!$A$2:$AI$267,MATCH(polities_cats!X$1,$A$1:$AN$1,0),0)</f>
        <v>LACA</v>
      </c>
      <c r="Y70" t="str">
        <f>VLOOKUP($A70,regions_full!$A$2:$AI$267,MATCH(polities_cats!Y$1,$A$1:$AN$1,0),0)</f>
        <v>Latin America and the Caribbean</v>
      </c>
      <c r="Z70" t="str">
        <f>VLOOKUP($A70,regions_full!$A$2:$AI$267,MATCH(polities_cats!Z$1,$A$1:$AN$1,0),0)</f>
        <v>Americas</v>
      </c>
      <c r="AA70" t="str">
        <f>VLOOKUP($A70,regions_full!$A$2:$AI$267,MATCH(polities_cats!AA$1,$A$1:$AN$1,0),0)</f>
        <v>Americas</v>
      </c>
      <c r="AB70" t="str">
        <f>VLOOKUP($A70,regions_full!$A$2:$AI$267,MATCH(polities_cats!AB$1,$A$1:$AN$1,0),0)</f>
        <v>Latin America and the Caribbean</v>
      </c>
      <c r="AC70" t="str">
        <f>VLOOKUP($A70,regions_full!$A$2:$AI$267,MATCH(polities_cats!AC$1,$A$1:$AN$1,0),0)</f>
        <v>Central America</v>
      </c>
      <c r="AD70" t="str">
        <f>VLOOKUP($A70,regions_full!$A$2:$AI$267,MATCH(polities_cats!AD$1,$A$1:$AN$1,0),0)</f>
        <v>Emerging</v>
      </c>
      <c r="AE70" t="str">
        <f>VLOOKUP($A70,regions_full!$A$2:$AI$267,MATCH(polities_cats!AE$1,$A$1:$AN$1,0),0)</f>
        <v>Annex_II</v>
      </c>
      <c r="AF70" t="str">
        <f>VLOOKUP($A70,regions_full!$A$2:$AI$267,MATCH(polities_cats!AF$1,$A$1:$AN$1,0),0)</f>
        <v>Caribbean &amp; Centra Am.</v>
      </c>
      <c r="AG70" t="str">
        <f>VLOOKUP($A70,regions_full!$A$2:$AI$267,MATCH(polities_cats!AG$1,$A$1:$AN$1,0),0)</f>
        <v>LACA</v>
      </c>
      <c r="AH70" t="str">
        <f>VLOOKUP($A70,regions_full!$A$2:$AI$267,MATCH(polities_cats!AH$1,$A$1:$AN$1,0),0)</f>
        <v>no_mech</v>
      </c>
      <c r="AI70" t="str">
        <f>VLOOKUP($A70,regions_full!$A$2:$AI$267,MATCH(polities_cats!AI$1,$A$1:$AN$1,0),0)</f>
        <v>Other</v>
      </c>
      <c r="AJ70" t="e">
        <f>VLOOKUP($A70,regions_full!$A$2:$AI$267,MATCH(polities_cats!AJ$1,$A$1:$AN$1,0),0)</f>
        <v>#REF!</v>
      </c>
      <c r="AK70" t="e">
        <f>VLOOKUP($A70,regions_full!$A$2:$AI$267,MATCH(polities_cats!AK$1,$A$1:$AN$1,0),0)</f>
        <v>#REF!</v>
      </c>
      <c r="AL70" t="e">
        <f>VLOOKUP($A70,regions_full!$A$2:$AI$267,MATCH(polities_cats!AL$1,$A$1:$AN$1,0),0)</f>
        <v>#REF!</v>
      </c>
      <c r="AM70" t="e">
        <f>VLOOKUP($A70,regions_full!$A$2:$AI$267,MATCH(polities_cats!AM$1,$A$1:$AN$1,0),0)</f>
        <v>#REF!</v>
      </c>
      <c r="AN70" t="e">
        <f>VLOOKUP($A70,regions_full!$A$2:$AI$267,MATCH(polities_cats!AN$1,$A$1:$AN$1,0),0)</f>
        <v>#REF!</v>
      </c>
    </row>
    <row r="71" spans="1:40" x14ac:dyDescent="0.3">
      <c r="A71" t="str">
        <f>polities_whep!A71</f>
        <v>GIN</v>
      </c>
      <c r="B71" t="str">
        <f>polities_whep!B71</f>
        <v>Guinea</v>
      </c>
      <c r="C71">
        <f>VLOOKUP($A71,regions_full!$A$2:$AI$267,MATCH(polities_cats!C$1,$A$1:$AN$1,0),0)</f>
        <v>87</v>
      </c>
      <c r="D71">
        <f>VLOOKUP($A71,regions_full!$A$2:$AI$267,MATCH(polities_cats!D$1,$A$1:$AN$1,0),0)</f>
        <v>90</v>
      </c>
      <c r="E71" t="str">
        <f>VLOOKUP($A71,regions_full!$A$2:$AI$267,MATCH(polities_cats!E$1,$A$1:$AN$1,0),0)</f>
        <v>GIN</v>
      </c>
      <c r="F71" t="str">
        <f>VLOOKUP($A71,regions_full!$A$2:$AI$267,MATCH(polities_cats!F$1,$A$1:$AN$1,0),0)</f>
        <v>Guinea</v>
      </c>
      <c r="G71" t="str">
        <f>VLOOKUP($A71,regions_full!$A$2:$AI$267,MATCH(polities_cats!G$1,$A$1:$AN$1,0),0)</f>
        <v>FALSE</v>
      </c>
      <c r="H71" t="str">
        <f>VLOOKUP($A71,regions_full!$A$2:$AI$267,MATCH(polities_cats!H$1,$A$1:$AN$1,0),0)</f>
        <v>Guinea</v>
      </c>
      <c r="I71" t="str">
        <f>VLOOKUP($A71,regions_full!$A$2:$AI$267,MATCH(polities_cats!I$1,$A$1:$AN$1,0),0)</f>
        <v>Guinea</v>
      </c>
      <c r="J71">
        <f>VLOOKUP($A71,regions_full!$A$2:$AI$267,MATCH(polities_cats!J$1,$A$1:$AN$1,0),0)</f>
        <v>0</v>
      </c>
      <c r="K71">
        <f>VLOOKUP($A71,regions_full!$A$2:$AI$267,MATCH(polities_cats!K$1,$A$1:$AN$1,0),0)</f>
        <v>90</v>
      </c>
      <c r="L71" t="str">
        <f>VLOOKUP($A71,regions_full!$A$2:$AI$267,MATCH(polities_cats!L$1,$A$1:$AN$1,0),0)</f>
        <v>Guinea</v>
      </c>
      <c r="M71">
        <f>VLOOKUP($A71,regions_full!$A$2:$AI$267,MATCH(polities_cats!M$1,$A$1:$AN$1,0),0)</f>
        <v>324</v>
      </c>
      <c r="N71">
        <f>VLOOKUP($A71,regions_full!$A$2:$AI$267,MATCH(polities_cats!N$1,$A$1:$AN$1,0),0)</f>
        <v>324</v>
      </c>
      <c r="O71">
        <f>VLOOKUP($A71,regions_full!$A$2:$AI$267,MATCH(polities_cats!O$1,$A$1:$AN$1,0),0)</f>
        <v>6</v>
      </c>
      <c r="P71" t="str">
        <f>VLOOKUP($A71,regions_full!$A$2:$AI$267,MATCH(polities_cats!P$1,$A$1:$AN$1,0),0)</f>
        <v>TRUE</v>
      </c>
      <c r="Q71">
        <f>VLOOKUP($A71,regions_full!$A$2:$AI$267,MATCH(polities_cats!Q$1,$A$1:$AN$1,0),0)</f>
        <v>90</v>
      </c>
      <c r="R71" t="str">
        <f>VLOOKUP($A71,regions_full!$A$2:$AI$267,MATCH(polities_cats!R$1,$A$1:$AN$1,0),0)</f>
        <v/>
      </c>
      <c r="S71" t="str">
        <f>VLOOKUP($A71,regions_full!$A$2:$AI$267,MATCH(polities_cats!S$1,$A$1:$AN$1,0),0)</f>
        <v>Western Africa</v>
      </c>
      <c r="T71">
        <f>VLOOKUP($A71,regions_full!$A$2:$AI$267,MATCH(polities_cats!T$1,$A$1:$AN$1,0),0)</f>
        <v>1</v>
      </c>
      <c r="U71" t="str">
        <f>VLOOKUP($A71,regions_full!$A$2:$AI$267,MATCH(polities_cats!U$1,$A$1:$AN$1,0),0)</f>
        <v>Guinea</v>
      </c>
      <c r="V71" t="str">
        <f>VLOOKUP($A71,regions_full!$A$2:$AI$267,MATCH(polities_cats!V$1,$A$1:$AN$1,0),0)</f>
        <v>Subsaharan Africa</v>
      </c>
      <c r="W71" t="str">
        <f>VLOOKUP($A71,regions_full!$A$2:$AI$267,MATCH(polities_cats!W$1,$A$1:$AN$1,0),0)</f>
        <v>Sub-saharan Africa</v>
      </c>
      <c r="X71" t="str">
        <f>VLOOKUP($A71,regions_full!$A$2:$AI$267,MATCH(polities_cats!X$1,$A$1:$AN$1,0),0)</f>
        <v>SSA</v>
      </c>
      <c r="Y71" t="str">
        <f>VLOOKUP($A71,regions_full!$A$2:$AI$267,MATCH(polities_cats!Y$1,$A$1:$AN$1,0),0)</f>
        <v>Sub-Saharan Africa</v>
      </c>
      <c r="Z71" t="str">
        <f>VLOOKUP($A71,regions_full!$A$2:$AI$267,MATCH(polities_cats!Z$1,$A$1:$AN$1,0),0)</f>
        <v>Africa</v>
      </c>
      <c r="AA71" t="str">
        <f>VLOOKUP($A71,regions_full!$A$2:$AI$267,MATCH(polities_cats!AA$1,$A$1:$AN$1,0),0)</f>
        <v>Africa</v>
      </c>
      <c r="AB71" t="str">
        <f>VLOOKUP($A71,regions_full!$A$2:$AI$267,MATCH(polities_cats!AB$1,$A$1:$AN$1,0),0)</f>
        <v>Sub-Saharan Africa</v>
      </c>
      <c r="AC71" t="str">
        <f>VLOOKUP($A71,regions_full!$A$2:$AI$267,MATCH(polities_cats!AC$1,$A$1:$AN$1,0),0)</f>
        <v>Western Africa</v>
      </c>
      <c r="AD71" t="str">
        <f>VLOOKUP($A71,regions_full!$A$2:$AI$267,MATCH(polities_cats!AD$1,$A$1:$AN$1,0),0)</f>
        <v>Emerging</v>
      </c>
      <c r="AE71" t="str">
        <f>VLOOKUP($A71,regions_full!$A$2:$AI$267,MATCH(polities_cats!AE$1,$A$1:$AN$1,0),0)</f>
        <v>Annex_II</v>
      </c>
      <c r="AF71" t="str">
        <f>VLOOKUP($A71,regions_full!$A$2:$AI$267,MATCH(polities_cats!AF$1,$A$1:$AN$1,0),0)</f>
        <v>Western Africa</v>
      </c>
      <c r="AG71" t="str">
        <f>VLOOKUP($A71,regions_full!$A$2:$AI$267,MATCH(polities_cats!AG$1,$A$1:$AN$1,0),0)</f>
        <v>SAA</v>
      </c>
      <c r="AH71" t="str">
        <f>VLOOKUP($A71,regions_full!$A$2:$AI$267,MATCH(polities_cats!AH$1,$A$1:$AN$1,0),0)</f>
        <v>no_mech</v>
      </c>
      <c r="AI71" t="str">
        <f>VLOOKUP($A71,regions_full!$A$2:$AI$267,MATCH(polities_cats!AI$1,$A$1:$AN$1,0),0)</f>
        <v>Other</v>
      </c>
      <c r="AJ71" t="e">
        <f>VLOOKUP($A71,regions_full!$A$2:$AI$267,MATCH(polities_cats!AJ$1,$A$1:$AN$1,0),0)</f>
        <v>#REF!</v>
      </c>
      <c r="AK71" t="e">
        <f>VLOOKUP($A71,regions_full!$A$2:$AI$267,MATCH(polities_cats!AK$1,$A$1:$AN$1,0),0)</f>
        <v>#REF!</v>
      </c>
      <c r="AL71" t="e">
        <f>VLOOKUP($A71,regions_full!$A$2:$AI$267,MATCH(polities_cats!AL$1,$A$1:$AN$1,0),0)</f>
        <v>#REF!</v>
      </c>
      <c r="AM71" t="e">
        <f>VLOOKUP($A71,regions_full!$A$2:$AI$267,MATCH(polities_cats!AM$1,$A$1:$AN$1,0),0)</f>
        <v>#REF!</v>
      </c>
      <c r="AN71" t="e">
        <f>VLOOKUP($A71,regions_full!$A$2:$AI$267,MATCH(polities_cats!AN$1,$A$1:$AN$1,0),0)</f>
        <v>#REF!</v>
      </c>
    </row>
    <row r="72" spans="1:40" x14ac:dyDescent="0.3">
      <c r="A72" t="str">
        <f>polities_whep!A72</f>
        <v>GNB</v>
      </c>
      <c r="B72" t="str">
        <f>polities_whep!B72</f>
        <v>Guinea-Bissau</v>
      </c>
      <c r="C72">
        <f>VLOOKUP($A72,regions_full!$A$2:$AI$267,MATCH(polities_cats!C$1,$A$1:$AN$1,0),0)</f>
        <v>172</v>
      </c>
      <c r="D72">
        <f>VLOOKUP($A72,regions_full!$A$2:$AI$267,MATCH(polities_cats!D$1,$A$1:$AN$1,0),0)</f>
        <v>175</v>
      </c>
      <c r="E72" t="str">
        <f>VLOOKUP($A72,regions_full!$A$2:$AI$267,MATCH(polities_cats!E$1,$A$1:$AN$1,0),0)</f>
        <v>GNB</v>
      </c>
      <c r="F72" t="str">
        <f>VLOOKUP($A72,regions_full!$A$2:$AI$267,MATCH(polities_cats!F$1,$A$1:$AN$1,0),0)</f>
        <v>Guinea-Bissau</v>
      </c>
      <c r="G72" t="str">
        <f>VLOOKUP($A72,regions_full!$A$2:$AI$267,MATCH(polities_cats!G$1,$A$1:$AN$1,0),0)</f>
        <v>FALSE</v>
      </c>
      <c r="H72" t="str">
        <f>VLOOKUP($A72,regions_full!$A$2:$AI$267,MATCH(polities_cats!H$1,$A$1:$AN$1,0),0)</f>
        <v>Guinea-Bissau</v>
      </c>
      <c r="I72" t="str">
        <f>VLOOKUP($A72,regions_full!$A$2:$AI$267,MATCH(polities_cats!I$1,$A$1:$AN$1,0),0)</f>
        <v>Guinea-Bissau</v>
      </c>
      <c r="J72">
        <f>VLOOKUP($A72,regions_full!$A$2:$AI$267,MATCH(polities_cats!J$1,$A$1:$AN$1,0),0)</f>
        <v>0</v>
      </c>
      <c r="K72">
        <f>VLOOKUP($A72,regions_full!$A$2:$AI$267,MATCH(polities_cats!K$1,$A$1:$AN$1,0),0)</f>
        <v>175</v>
      </c>
      <c r="L72" t="str">
        <f>VLOOKUP($A72,regions_full!$A$2:$AI$267,MATCH(polities_cats!L$1,$A$1:$AN$1,0),0)</f>
        <v>Guinea-Bissau</v>
      </c>
      <c r="M72">
        <f>VLOOKUP($A72,regions_full!$A$2:$AI$267,MATCH(polities_cats!M$1,$A$1:$AN$1,0),0)</f>
        <v>624</v>
      </c>
      <c r="N72">
        <f>VLOOKUP($A72,regions_full!$A$2:$AI$267,MATCH(polities_cats!N$1,$A$1:$AN$1,0),0)</f>
        <v>624</v>
      </c>
      <c r="O72">
        <f>VLOOKUP($A72,regions_full!$A$2:$AI$267,MATCH(polities_cats!O$1,$A$1:$AN$1,0),0)</f>
        <v>6</v>
      </c>
      <c r="P72" t="str">
        <f>VLOOKUP($A72,regions_full!$A$2:$AI$267,MATCH(polities_cats!P$1,$A$1:$AN$1,0),0)</f>
        <v>TRUE</v>
      </c>
      <c r="Q72">
        <f>VLOOKUP($A72,regions_full!$A$2:$AI$267,MATCH(polities_cats!Q$1,$A$1:$AN$1,0),0)</f>
        <v>175</v>
      </c>
      <c r="R72" t="str">
        <f>VLOOKUP($A72,regions_full!$A$2:$AI$267,MATCH(polities_cats!R$1,$A$1:$AN$1,0),0)</f>
        <v/>
      </c>
      <c r="S72" t="str">
        <f>VLOOKUP($A72,regions_full!$A$2:$AI$267,MATCH(polities_cats!S$1,$A$1:$AN$1,0),0)</f>
        <v>Western Africa</v>
      </c>
      <c r="T72">
        <f>VLOOKUP($A72,regions_full!$A$2:$AI$267,MATCH(polities_cats!T$1,$A$1:$AN$1,0),0)</f>
        <v>1</v>
      </c>
      <c r="U72" t="str">
        <f>VLOOKUP($A72,regions_full!$A$2:$AI$267,MATCH(polities_cats!U$1,$A$1:$AN$1,0),0)</f>
        <v>Guinea-Bissau</v>
      </c>
      <c r="V72" t="str">
        <f>VLOOKUP($A72,regions_full!$A$2:$AI$267,MATCH(polities_cats!V$1,$A$1:$AN$1,0),0)</f>
        <v>Subsaharan Africa</v>
      </c>
      <c r="W72" t="str">
        <f>VLOOKUP($A72,regions_full!$A$2:$AI$267,MATCH(polities_cats!W$1,$A$1:$AN$1,0),0)</f>
        <v>Sub-saharan Africa</v>
      </c>
      <c r="X72" t="str">
        <f>VLOOKUP($A72,regions_full!$A$2:$AI$267,MATCH(polities_cats!X$1,$A$1:$AN$1,0),0)</f>
        <v>SSA</v>
      </c>
      <c r="Y72" t="str">
        <f>VLOOKUP($A72,regions_full!$A$2:$AI$267,MATCH(polities_cats!Y$1,$A$1:$AN$1,0),0)</f>
        <v>Sub-Saharan Africa</v>
      </c>
      <c r="Z72" t="str">
        <f>VLOOKUP($A72,regions_full!$A$2:$AI$267,MATCH(polities_cats!Z$1,$A$1:$AN$1,0),0)</f>
        <v>Africa</v>
      </c>
      <c r="AA72" t="str">
        <f>VLOOKUP($A72,regions_full!$A$2:$AI$267,MATCH(polities_cats!AA$1,$A$1:$AN$1,0),0)</f>
        <v>Africa</v>
      </c>
      <c r="AB72" t="str">
        <f>VLOOKUP($A72,regions_full!$A$2:$AI$267,MATCH(polities_cats!AB$1,$A$1:$AN$1,0),0)</f>
        <v>Sub-Saharan Africa</v>
      </c>
      <c r="AC72" t="str">
        <f>VLOOKUP($A72,regions_full!$A$2:$AI$267,MATCH(polities_cats!AC$1,$A$1:$AN$1,0),0)</f>
        <v>Western Africa</v>
      </c>
      <c r="AD72" t="str">
        <f>VLOOKUP($A72,regions_full!$A$2:$AI$267,MATCH(polities_cats!AD$1,$A$1:$AN$1,0),0)</f>
        <v>Emerging</v>
      </c>
      <c r="AE72" t="str">
        <f>VLOOKUP($A72,regions_full!$A$2:$AI$267,MATCH(polities_cats!AE$1,$A$1:$AN$1,0),0)</f>
        <v>Annex_II</v>
      </c>
      <c r="AF72" t="str">
        <f>VLOOKUP($A72,regions_full!$A$2:$AI$267,MATCH(polities_cats!AF$1,$A$1:$AN$1,0),0)</f>
        <v>Western Africa</v>
      </c>
      <c r="AG72" t="str">
        <f>VLOOKUP($A72,regions_full!$A$2:$AI$267,MATCH(polities_cats!AG$1,$A$1:$AN$1,0),0)</f>
        <v>SAA</v>
      </c>
      <c r="AH72" t="str">
        <f>VLOOKUP($A72,regions_full!$A$2:$AI$267,MATCH(polities_cats!AH$1,$A$1:$AN$1,0),0)</f>
        <v>no_mech</v>
      </c>
      <c r="AI72" t="str">
        <f>VLOOKUP($A72,regions_full!$A$2:$AI$267,MATCH(polities_cats!AI$1,$A$1:$AN$1,0),0)</f>
        <v>Other</v>
      </c>
      <c r="AJ72" t="e">
        <f>VLOOKUP($A72,regions_full!$A$2:$AI$267,MATCH(polities_cats!AJ$1,$A$1:$AN$1,0),0)</f>
        <v>#REF!</v>
      </c>
      <c r="AK72" t="e">
        <f>VLOOKUP($A72,regions_full!$A$2:$AI$267,MATCH(polities_cats!AK$1,$A$1:$AN$1,0),0)</f>
        <v>#REF!</v>
      </c>
      <c r="AL72" t="e">
        <f>VLOOKUP($A72,regions_full!$A$2:$AI$267,MATCH(polities_cats!AL$1,$A$1:$AN$1,0),0)</f>
        <v>#REF!</v>
      </c>
      <c r="AM72" t="e">
        <f>VLOOKUP($A72,regions_full!$A$2:$AI$267,MATCH(polities_cats!AM$1,$A$1:$AN$1,0),0)</f>
        <v>#REF!</v>
      </c>
      <c r="AN72" t="e">
        <f>VLOOKUP($A72,regions_full!$A$2:$AI$267,MATCH(polities_cats!AN$1,$A$1:$AN$1,0),0)</f>
        <v>#REF!</v>
      </c>
    </row>
    <row r="73" spans="1:40" x14ac:dyDescent="0.3">
      <c r="A73" t="str">
        <f>polities_whep!A73</f>
        <v>GUY</v>
      </c>
      <c r="B73" t="str">
        <f>polities_whep!B73</f>
        <v>Guyana</v>
      </c>
      <c r="C73">
        <f>VLOOKUP($A73,regions_full!$A$2:$AI$267,MATCH(polities_cats!C$1,$A$1:$AN$1,0),0)</f>
        <v>88</v>
      </c>
      <c r="D73">
        <f>VLOOKUP($A73,regions_full!$A$2:$AI$267,MATCH(polities_cats!D$1,$A$1:$AN$1,0),0)</f>
        <v>91</v>
      </c>
      <c r="E73" t="str">
        <f>VLOOKUP($A73,regions_full!$A$2:$AI$267,MATCH(polities_cats!E$1,$A$1:$AN$1,0),0)</f>
        <v>GUY</v>
      </c>
      <c r="F73" t="str">
        <f>VLOOKUP($A73,regions_full!$A$2:$AI$267,MATCH(polities_cats!F$1,$A$1:$AN$1,0),0)</f>
        <v>Guyana</v>
      </c>
      <c r="G73" t="str">
        <f>VLOOKUP($A73,regions_full!$A$2:$AI$267,MATCH(polities_cats!G$1,$A$1:$AN$1,0),0)</f>
        <v>FALSE</v>
      </c>
      <c r="H73" t="str">
        <f>VLOOKUP($A73,regions_full!$A$2:$AI$267,MATCH(polities_cats!H$1,$A$1:$AN$1,0),0)</f>
        <v>Guyana</v>
      </c>
      <c r="I73" t="str">
        <f>VLOOKUP($A73,regions_full!$A$2:$AI$267,MATCH(polities_cats!I$1,$A$1:$AN$1,0),0)</f>
        <v>Guyana</v>
      </c>
      <c r="J73">
        <f>VLOOKUP($A73,regions_full!$A$2:$AI$267,MATCH(polities_cats!J$1,$A$1:$AN$1,0),0)</f>
        <v>0</v>
      </c>
      <c r="K73">
        <f>VLOOKUP($A73,regions_full!$A$2:$AI$267,MATCH(polities_cats!K$1,$A$1:$AN$1,0),0)</f>
        <v>91</v>
      </c>
      <c r="L73" t="str">
        <f>VLOOKUP($A73,regions_full!$A$2:$AI$267,MATCH(polities_cats!L$1,$A$1:$AN$1,0),0)</f>
        <v>Guyana</v>
      </c>
      <c r="M73">
        <f>VLOOKUP($A73,regions_full!$A$2:$AI$267,MATCH(polities_cats!M$1,$A$1:$AN$1,0),0)</f>
        <v>328</v>
      </c>
      <c r="N73">
        <f>VLOOKUP($A73,regions_full!$A$2:$AI$267,MATCH(polities_cats!N$1,$A$1:$AN$1,0),0)</f>
        <v>328</v>
      </c>
      <c r="O73">
        <f>VLOOKUP($A73,regions_full!$A$2:$AI$267,MATCH(polities_cats!O$1,$A$1:$AN$1,0),0)</f>
        <v>4</v>
      </c>
      <c r="P73" t="str">
        <f>VLOOKUP($A73,regions_full!$A$2:$AI$267,MATCH(polities_cats!P$1,$A$1:$AN$1,0),0)</f>
        <v>TRUE</v>
      </c>
      <c r="Q73">
        <f>VLOOKUP($A73,regions_full!$A$2:$AI$267,MATCH(polities_cats!Q$1,$A$1:$AN$1,0),0)</f>
        <v>91</v>
      </c>
      <c r="R73" t="str">
        <f>VLOOKUP($A73,regions_full!$A$2:$AI$267,MATCH(polities_cats!R$1,$A$1:$AN$1,0),0)</f>
        <v/>
      </c>
      <c r="S73" t="str">
        <f>VLOOKUP($A73,regions_full!$A$2:$AI$267,MATCH(polities_cats!S$1,$A$1:$AN$1,0),0)</f>
        <v>South America</v>
      </c>
      <c r="T73">
        <f>VLOOKUP($A73,regions_full!$A$2:$AI$267,MATCH(polities_cats!T$1,$A$1:$AN$1,0),0)</f>
        <v>1</v>
      </c>
      <c r="U73" t="str">
        <f>VLOOKUP($A73,regions_full!$A$2:$AI$267,MATCH(polities_cats!U$1,$A$1:$AN$1,0),0)</f>
        <v>Guyana</v>
      </c>
      <c r="V73" t="str">
        <f>VLOOKUP($A73,regions_full!$A$2:$AI$267,MATCH(polities_cats!V$1,$A$1:$AN$1,0),0)</f>
        <v>Latin America and the Caribbean</v>
      </c>
      <c r="W73" t="str">
        <f>VLOOKUP($A73,regions_full!$A$2:$AI$267,MATCH(polities_cats!W$1,$A$1:$AN$1,0),0)</f>
        <v>Latin America and Caribbean</v>
      </c>
      <c r="X73" t="str">
        <f>VLOOKUP($A73,regions_full!$A$2:$AI$267,MATCH(polities_cats!X$1,$A$1:$AN$1,0),0)</f>
        <v>LACA</v>
      </c>
      <c r="Y73" t="str">
        <f>VLOOKUP($A73,regions_full!$A$2:$AI$267,MATCH(polities_cats!Y$1,$A$1:$AN$1,0),0)</f>
        <v>Latin America and the Caribbean</v>
      </c>
      <c r="Z73" t="str">
        <f>VLOOKUP($A73,regions_full!$A$2:$AI$267,MATCH(polities_cats!Z$1,$A$1:$AN$1,0),0)</f>
        <v>Americas</v>
      </c>
      <c r="AA73" t="str">
        <f>VLOOKUP($A73,regions_full!$A$2:$AI$267,MATCH(polities_cats!AA$1,$A$1:$AN$1,0),0)</f>
        <v>Americas</v>
      </c>
      <c r="AB73" t="str">
        <f>VLOOKUP($A73,regions_full!$A$2:$AI$267,MATCH(polities_cats!AB$1,$A$1:$AN$1,0),0)</f>
        <v>Latin America and the Caribbean</v>
      </c>
      <c r="AC73" t="str">
        <f>VLOOKUP($A73,regions_full!$A$2:$AI$267,MATCH(polities_cats!AC$1,$A$1:$AN$1,0),0)</f>
        <v>South America</v>
      </c>
      <c r="AD73" t="str">
        <f>VLOOKUP($A73,regions_full!$A$2:$AI$267,MATCH(polities_cats!AD$1,$A$1:$AN$1,0),0)</f>
        <v>Emerging</v>
      </c>
      <c r="AE73" t="str">
        <f>VLOOKUP($A73,regions_full!$A$2:$AI$267,MATCH(polities_cats!AE$1,$A$1:$AN$1,0),0)</f>
        <v>Annex_II</v>
      </c>
      <c r="AF73" t="str">
        <f>VLOOKUP($A73,regions_full!$A$2:$AI$267,MATCH(polities_cats!AF$1,$A$1:$AN$1,0),0)</f>
        <v>Andean &amp; Mexico</v>
      </c>
      <c r="AG73" t="str">
        <f>VLOOKUP($A73,regions_full!$A$2:$AI$267,MATCH(polities_cats!AG$1,$A$1:$AN$1,0),0)</f>
        <v>LACA</v>
      </c>
      <c r="AH73" t="str">
        <f>VLOOKUP($A73,regions_full!$A$2:$AI$267,MATCH(polities_cats!AH$1,$A$1:$AN$1,0),0)</f>
        <v>no_mech</v>
      </c>
      <c r="AI73" t="str">
        <f>VLOOKUP($A73,regions_full!$A$2:$AI$267,MATCH(polities_cats!AI$1,$A$1:$AN$1,0),0)</f>
        <v>Other</v>
      </c>
      <c r="AJ73" t="e">
        <f>VLOOKUP($A73,regions_full!$A$2:$AI$267,MATCH(polities_cats!AJ$1,$A$1:$AN$1,0),0)</f>
        <v>#REF!</v>
      </c>
      <c r="AK73" t="e">
        <f>VLOOKUP($A73,regions_full!$A$2:$AI$267,MATCH(polities_cats!AK$1,$A$1:$AN$1,0),0)</f>
        <v>#REF!</v>
      </c>
      <c r="AL73" t="e">
        <f>VLOOKUP($A73,regions_full!$A$2:$AI$267,MATCH(polities_cats!AL$1,$A$1:$AN$1,0),0)</f>
        <v>#REF!</v>
      </c>
      <c r="AM73" t="e">
        <f>VLOOKUP($A73,regions_full!$A$2:$AI$267,MATCH(polities_cats!AM$1,$A$1:$AN$1,0),0)</f>
        <v>#REF!</v>
      </c>
      <c r="AN73" t="e">
        <f>VLOOKUP($A73,regions_full!$A$2:$AI$267,MATCH(polities_cats!AN$1,$A$1:$AN$1,0),0)</f>
        <v>#REF!</v>
      </c>
    </row>
    <row r="74" spans="1:40" x14ac:dyDescent="0.3">
      <c r="A74" t="str">
        <f>polities_whep!A74</f>
        <v>HTI</v>
      </c>
      <c r="B74" t="str">
        <f>polities_whep!B74</f>
        <v>Haiti</v>
      </c>
      <c r="C74">
        <f>VLOOKUP($A74,regions_full!$A$2:$AI$267,MATCH(polities_cats!C$1,$A$1:$AN$1,0),0)</f>
        <v>90</v>
      </c>
      <c r="D74">
        <f>VLOOKUP($A74,regions_full!$A$2:$AI$267,MATCH(polities_cats!D$1,$A$1:$AN$1,0),0)</f>
        <v>93</v>
      </c>
      <c r="E74" t="str">
        <f>VLOOKUP($A74,regions_full!$A$2:$AI$267,MATCH(polities_cats!E$1,$A$1:$AN$1,0),0)</f>
        <v>HTI</v>
      </c>
      <c r="F74" t="str">
        <f>VLOOKUP($A74,regions_full!$A$2:$AI$267,MATCH(polities_cats!F$1,$A$1:$AN$1,0),0)</f>
        <v>Haiti</v>
      </c>
      <c r="G74" t="str">
        <f>VLOOKUP($A74,regions_full!$A$2:$AI$267,MATCH(polities_cats!G$1,$A$1:$AN$1,0),0)</f>
        <v>FALSE</v>
      </c>
      <c r="H74" t="str">
        <f>VLOOKUP($A74,regions_full!$A$2:$AI$267,MATCH(polities_cats!H$1,$A$1:$AN$1,0),0)</f>
        <v>Haiti</v>
      </c>
      <c r="I74" t="str">
        <f>VLOOKUP($A74,regions_full!$A$2:$AI$267,MATCH(polities_cats!I$1,$A$1:$AN$1,0),0)</f>
        <v>Haiti</v>
      </c>
      <c r="J74" t="str">
        <f>VLOOKUP($A74,regions_full!$A$2:$AI$267,MATCH(polities_cats!J$1,$A$1:$AN$1,0),0)</f>
        <v>Haiti</v>
      </c>
      <c r="K74">
        <f>VLOOKUP($A74,regions_full!$A$2:$AI$267,MATCH(polities_cats!K$1,$A$1:$AN$1,0),0)</f>
        <v>93</v>
      </c>
      <c r="L74" t="str">
        <f>VLOOKUP($A74,regions_full!$A$2:$AI$267,MATCH(polities_cats!L$1,$A$1:$AN$1,0),0)</f>
        <v>Haiti</v>
      </c>
      <c r="M74">
        <f>VLOOKUP($A74,regions_full!$A$2:$AI$267,MATCH(polities_cats!M$1,$A$1:$AN$1,0),0)</f>
        <v>332</v>
      </c>
      <c r="N74">
        <f>VLOOKUP($A74,regions_full!$A$2:$AI$267,MATCH(polities_cats!N$1,$A$1:$AN$1,0),0)</f>
        <v>332</v>
      </c>
      <c r="O74">
        <f>VLOOKUP($A74,regions_full!$A$2:$AI$267,MATCH(polities_cats!O$1,$A$1:$AN$1,0),0)</f>
        <v>3</v>
      </c>
      <c r="P74" t="str">
        <f>VLOOKUP($A74,regions_full!$A$2:$AI$267,MATCH(polities_cats!P$1,$A$1:$AN$1,0),0)</f>
        <v>TRUE</v>
      </c>
      <c r="Q74">
        <f>VLOOKUP($A74,regions_full!$A$2:$AI$267,MATCH(polities_cats!Q$1,$A$1:$AN$1,0),0)</f>
        <v>93</v>
      </c>
      <c r="R74" t="str">
        <f>VLOOKUP($A74,regions_full!$A$2:$AI$267,MATCH(polities_cats!R$1,$A$1:$AN$1,0),0)</f>
        <v/>
      </c>
      <c r="S74" t="str">
        <f>VLOOKUP($A74,regions_full!$A$2:$AI$267,MATCH(polities_cats!S$1,$A$1:$AN$1,0),0)</f>
        <v>Central America</v>
      </c>
      <c r="T74">
        <f>VLOOKUP($A74,regions_full!$A$2:$AI$267,MATCH(polities_cats!T$1,$A$1:$AN$1,0),0)</f>
        <v>1</v>
      </c>
      <c r="U74" t="str">
        <f>VLOOKUP($A74,regions_full!$A$2:$AI$267,MATCH(polities_cats!U$1,$A$1:$AN$1,0),0)</f>
        <v>Haiti</v>
      </c>
      <c r="V74" t="str">
        <f>VLOOKUP($A74,regions_full!$A$2:$AI$267,MATCH(polities_cats!V$1,$A$1:$AN$1,0),0)</f>
        <v>Latin America and the Caribbean</v>
      </c>
      <c r="W74" t="str">
        <f>VLOOKUP($A74,regions_full!$A$2:$AI$267,MATCH(polities_cats!W$1,$A$1:$AN$1,0),0)</f>
        <v>Latin America and Caribbean</v>
      </c>
      <c r="X74" t="str">
        <f>VLOOKUP($A74,regions_full!$A$2:$AI$267,MATCH(polities_cats!X$1,$A$1:$AN$1,0),0)</f>
        <v>LACA</v>
      </c>
      <c r="Y74" t="str">
        <f>VLOOKUP($A74,regions_full!$A$2:$AI$267,MATCH(polities_cats!Y$1,$A$1:$AN$1,0),0)</f>
        <v>Latin America and the Caribbean</v>
      </c>
      <c r="Z74" t="str">
        <f>VLOOKUP($A74,regions_full!$A$2:$AI$267,MATCH(polities_cats!Z$1,$A$1:$AN$1,0),0)</f>
        <v>Americas</v>
      </c>
      <c r="AA74" t="str">
        <f>VLOOKUP($A74,regions_full!$A$2:$AI$267,MATCH(polities_cats!AA$1,$A$1:$AN$1,0),0)</f>
        <v>Americas</v>
      </c>
      <c r="AB74" t="str">
        <f>VLOOKUP($A74,regions_full!$A$2:$AI$267,MATCH(polities_cats!AB$1,$A$1:$AN$1,0),0)</f>
        <v>Latin America and the Caribbean</v>
      </c>
      <c r="AC74" t="str">
        <f>VLOOKUP($A74,regions_full!$A$2:$AI$267,MATCH(polities_cats!AC$1,$A$1:$AN$1,0),0)</f>
        <v>Caribbean</v>
      </c>
      <c r="AD74" t="str">
        <f>VLOOKUP($A74,regions_full!$A$2:$AI$267,MATCH(polities_cats!AD$1,$A$1:$AN$1,0),0)</f>
        <v>Emerging</v>
      </c>
      <c r="AE74" t="str">
        <f>VLOOKUP($A74,regions_full!$A$2:$AI$267,MATCH(polities_cats!AE$1,$A$1:$AN$1,0),0)</f>
        <v>Annex_II</v>
      </c>
      <c r="AF74" t="str">
        <f>VLOOKUP($A74,regions_full!$A$2:$AI$267,MATCH(polities_cats!AF$1,$A$1:$AN$1,0),0)</f>
        <v>Caribbean &amp; Centra Am.</v>
      </c>
      <c r="AG74" t="str">
        <f>VLOOKUP($A74,regions_full!$A$2:$AI$267,MATCH(polities_cats!AG$1,$A$1:$AN$1,0),0)</f>
        <v>LACA</v>
      </c>
      <c r="AH74" t="str">
        <f>VLOOKUP($A74,regions_full!$A$2:$AI$267,MATCH(polities_cats!AH$1,$A$1:$AN$1,0),0)</f>
        <v>no_mech</v>
      </c>
      <c r="AI74" t="str">
        <f>VLOOKUP($A74,regions_full!$A$2:$AI$267,MATCH(polities_cats!AI$1,$A$1:$AN$1,0),0)</f>
        <v>Other</v>
      </c>
      <c r="AJ74" t="e">
        <f>VLOOKUP($A74,regions_full!$A$2:$AI$267,MATCH(polities_cats!AJ$1,$A$1:$AN$1,0),0)</f>
        <v>#REF!</v>
      </c>
      <c r="AK74" t="e">
        <f>VLOOKUP($A74,regions_full!$A$2:$AI$267,MATCH(polities_cats!AK$1,$A$1:$AN$1,0),0)</f>
        <v>#REF!</v>
      </c>
      <c r="AL74" t="e">
        <f>VLOOKUP($A74,regions_full!$A$2:$AI$267,MATCH(polities_cats!AL$1,$A$1:$AN$1,0),0)</f>
        <v>#REF!</v>
      </c>
      <c r="AM74" t="e">
        <f>VLOOKUP($A74,regions_full!$A$2:$AI$267,MATCH(polities_cats!AM$1,$A$1:$AN$1,0),0)</f>
        <v>#REF!</v>
      </c>
      <c r="AN74" t="e">
        <f>VLOOKUP($A74,regions_full!$A$2:$AI$267,MATCH(polities_cats!AN$1,$A$1:$AN$1,0),0)</f>
        <v>#REF!</v>
      </c>
    </row>
    <row r="75" spans="1:40" x14ac:dyDescent="0.3">
      <c r="A75" t="str">
        <f>polities_whep!A75</f>
        <v>HND</v>
      </c>
      <c r="B75" t="str">
        <f>polities_whep!B75</f>
        <v>Honduras</v>
      </c>
      <c r="C75">
        <f>VLOOKUP($A75,regions_full!$A$2:$AI$267,MATCH(polities_cats!C$1,$A$1:$AN$1,0),0)</f>
        <v>92</v>
      </c>
      <c r="D75">
        <f>VLOOKUP($A75,regions_full!$A$2:$AI$267,MATCH(polities_cats!D$1,$A$1:$AN$1,0),0)</f>
        <v>95</v>
      </c>
      <c r="E75" t="str">
        <f>VLOOKUP($A75,regions_full!$A$2:$AI$267,MATCH(polities_cats!E$1,$A$1:$AN$1,0),0)</f>
        <v>HND</v>
      </c>
      <c r="F75" t="str">
        <f>VLOOKUP($A75,regions_full!$A$2:$AI$267,MATCH(polities_cats!F$1,$A$1:$AN$1,0),0)</f>
        <v>Honduras</v>
      </c>
      <c r="G75" t="str">
        <f>VLOOKUP($A75,regions_full!$A$2:$AI$267,MATCH(polities_cats!G$1,$A$1:$AN$1,0),0)</f>
        <v>FALSE</v>
      </c>
      <c r="H75" t="str">
        <f>VLOOKUP($A75,regions_full!$A$2:$AI$267,MATCH(polities_cats!H$1,$A$1:$AN$1,0),0)</f>
        <v>Honduras</v>
      </c>
      <c r="I75" t="str">
        <f>VLOOKUP($A75,regions_full!$A$2:$AI$267,MATCH(polities_cats!I$1,$A$1:$AN$1,0),0)</f>
        <v>Honduras</v>
      </c>
      <c r="J75" t="str">
        <f>VLOOKUP($A75,regions_full!$A$2:$AI$267,MATCH(polities_cats!J$1,$A$1:$AN$1,0),0)</f>
        <v>Honduras</v>
      </c>
      <c r="K75">
        <f>VLOOKUP($A75,regions_full!$A$2:$AI$267,MATCH(polities_cats!K$1,$A$1:$AN$1,0),0)</f>
        <v>95</v>
      </c>
      <c r="L75" t="str">
        <f>VLOOKUP($A75,regions_full!$A$2:$AI$267,MATCH(polities_cats!L$1,$A$1:$AN$1,0),0)</f>
        <v>Honduras</v>
      </c>
      <c r="M75">
        <f>VLOOKUP($A75,regions_full!$A$2:$AI$267,MATCH(polities_cats!M$1,$A$1:$AN$1,0),0)</f>
        <v>340</v>
      </c>
      <c r="N75">
        <f>VLOOKUP($A75,regions_full!$A$2:$AI$267,MATCH(polities_cats!N$1,$A$1:$AN$1,0),0)</f>
        <v>340</v>
      </c>
      <c r="O75">
        <f>VLOOKUP($A75,regions_full!$A$2:$AI$267,MATCH(polities_cats!O$1,$A$1:$AN$1,0),0)</f>
        <v>3</v>
      </c>
      <c r="P75" t="str">
        <f>VLOOKUP($A75,regions_full!$A$2:$AI$267,MATCH(polities_cats!P$1,$A$1:$AN$1,0),0)</f>
        <v>TRUE</v>
      </c>
      <c r="Q75">
        <f>VLOOKUP($A75,regions_full!$A$2:$AI$267,MATCH(polities_cats!Q$1,$A$1:$AN$1,0),0)</f>
        <v>95</v>
      </c>
      <c r="R75" t="str">
        <f>VLOOKUP($A75,regions_full!$A$2:$AI$267,MATCH(polities_cats!R$1,$A$1:$AN$1,0),0)</f>
        <v/>
      </c>
      <c r="S75" t="str">
        <f>VLOOKUP($A75,regions_full!$A$2:$AI$267,MATCH(polities_cats!S$1,$A$1:$AN$1,0),0)</f>
        <v>Central America</v>
      </c>
      <c r="T75">
        <f>VLOOKUP($A75,regions_full!$A$2:$AI$267,MATCH(polities_cats!T$1,$A$1:$AN$1,0),0)</f>
        <v>1</v>
      </c>
      <c r="U75" t="str">
        <f>VLOOKUP($A75,regions_full!$A$2:$AI$267,MATCH(polities_cats!U$1,$A$1:$AN$1,0),0)</f>
        <v>Honduras</v>
      </c>
      <c r="V75" t="str">
        <f>VLOOKUP($A75,regions_full!$A$2:$AI$267,MATCH(polities_cats!V$1,$A$1:$AN$1,0),0)</f>
        <v>Latin America and the Caribbean</v>
      </c>
      <c r="W75" t="str">
        <f>VLOOKUP($A75,regions_full!$A$2:$AI$267,MATCH(polities_cats!W$1,$A$1:$AN$1,0),0)</f>
        <v>Latin America and Caribbean</v>
      </c>
      <c r="X75" t="str">
        <f>VLOOKUP($A75,regions_full!$A$2:$AI$267,MATCH(polities_cats!X$1,$A$1:$AN$1,0),0)</f>
        <v>LACA</v>
      </c>
      <c r="Y75" t="str">
        <f>VLOOKUP($A75,regions_full!$A$2:$AI$267,MATCH(polities_cats!Y$1,$A$1:$AN$1,0),0)</f>
        <v>Latin America and the Caribbean</v>
      </c>
      <c r="Z75" t="str">
        <f>VLOOKUP($A75,regions_full!$A$2:$AI$267,MATCH(polities_cats!Z$1,$A$1:$AN$1,0),0)</f>
        <v>Americas</v>
      </c>
      <c r="AA75" t="str">
        <f>VLOOKUP($A75,regions_full!$A$2:$AI$267,MATCH(polities_cats!AA$1,$A$1:$AN$1,0),0)</f>
        <v>Americas</v>
      </c>
      <c r="AB75" t="str">
        <f>VLOOKUP($A75,regions_full!$A$2:$AI$267,MATCH(polities_cats!AB$1,$A$1:$AN$1,0),0)</f>
        <v>Latin America and the Caribbean</v>
      </c>
      <c r="AC75" t="str">
        <f>VLOOKUP($A75,regions_full!$A$2:$AI$267,MATCH(polities_cats!AC$1,$A$1:$AN$1,0),0)</f>
        <v>Central America</v>
      </c>
      <c r="AD75" t="str">
        <f>VLOOKUP($A75,regions_full!$A$2:$AI$267,MATCH(polities_cats!AD$1,$A$1:$AN$1,0),0)</f>
        <v>Emerging</v>
      </c>
      <c r="AE75" t="str">
        <f>VLOOKUP($A75,regions_full!$A$2:$AI$267,MATCH(polities_cats!AE$1,$A$1:$AN$1,0),0)</f>
        <v>Annex_II</v>
      </c>
      <c r="AF75" t="str">
        <f>VLOOKUP($A75,regions_full!$A$2:$AI$267,MATCH(polities_cats!AF$1,$A$1:$AN$1,0),0)</f>
        <v>Caribbean &amp; Centra Am.</v>
      </c>
      <c r="AG75" t="str">
        <f>VLOOKUP($A75,regions_full!$A$2:$AI$267,MATCH(polities_cats!AG$1,$A$1:$AN$1,0),0)</f>
        <v>LACA</v>
      </c>
      <c r="AH75" t="str">
        <f>VLOOKUP($A75,regions_full!$A$2:$AI$267,MATCH(polities_cats!AH$1,$A$1:$AN$1,0),0)</f>
        <v>no_mech</v>
      </c>
      <c r="AI75" t="str">
        <f>VLOOKUP($A75,regions_full!$A$2:$AI$267,MATCH(polities_cats!AI$1,$A$1:$AN$1,0),0)</f>
        <v>Other</v>
      </c>
      <c r="AJ75" t="e">
        <f>VLOOKUP($A75,regions_full!$A$2:$AI$267,MATCH(polities_cats!AJ$1,$A$1:$AN$1,0),0)</f>
        <v>#REF!</v>
      </c>
      <c r="AK75" t="e">
        <f>VLOOKUP($A75,regions_full!$A$2:$AI$267,MATCH(polities_cats!AK$1,$A$1:$AN$1,0),0)</f>
        <v>#REF!</v>
      </c>
      <c r="AL75" t="e">
        <f>VLOOKUP($A75,regions_full!$A$2:$AI$267,MATCH(polities_cats!AL$1,$A$1:$AN$1,0),0)</f>
        <v>#REF!</v>
      </c>
      <c r="AM75" t="e">
        <f>VLOOKUP($A75,regions_full!$A$2:$AI$267,MATCH(polities_cats!AM$1,$A$1:$AN$1,0),0)</f>
        <v>#REF!</v>
      </c>
      <c r="AN75" t="e">
        <f>VLOOKUP($A75,regions_full!$A$2:$AI$267,MATCH(polities_cats!AN$1,$A$1:$AN$1,0),0)</f>
        <v>#REF!</v>
      </c>
    </row>
    <row r="76" spans="1:40" x14ac:dyDescent="0.3">
      <c r="A76" t="str">
        <f>polities_whep!A76</f>
        <v>HUN</v>
      </c>
      <c r="B76" t="str">
        <f>polities_whep!B76</f>
        <v>Hungary</v>
      </c>
      <c r="C76">
        <f>VLOOKUP($A76,regions_full!$A$2:$AI$267,MATCH(polities_cats!C$1,$A$1:$AN$1,0),0)</f>
        <v>94</v>
      </c>
      <c r="D76">
        <f>VLOOKUP($A76,regions_full!$A$2:$AI$267,MATCH(polities_cats!D$1,$A$1:$AN$1,0),0)</f>
        <v>97</v>
      </c>
      <c r="E76" t="str">
        <f>VLOOKUP($A76,regions_full!$A$2:$AI$267,MATCH(polities_cats!E$1,$A$1:$AN$1,0),0)</f>
        <v>HUN</v>
      </c>
      <c r="F76" t="str">
        <f>VLOOKUP($A76,regions_full!$A$2:$AI$267,MATCH(polities_cats!F$1,$A$1:$AN$1,0),0)</f>
        <v>Hungary</v>
      </c>
      <c r="G76" t="str">
        <f>VLOOKUP($A76,regions_full!$A$2:$AI$267,MATCH(polities_cats!G$1,$A$1:$AN$1,0),0)</f>
        <v>TRUE</v>
      </c>
      <c r="H76" t="str">
        <f>VLOOKUP($A76,regions_full!$A$2:$AI$267,MATCH(polities_cats!H$1,$A$1:$AN$1,0),0)</f>
        <v>Hungary</v>
      </c>
      <c r="I76" t="str">
        <f>VLOOKUP($A76,regions_full!$A$2:$AI$267,MATCH(polities_cats!I$1,$A$1:$AN$1,0),0)</f>
        <v>Hungary</v>
      </c>
      <c r="J76" t="str">
        <f>VLOOKUP($A76,regions_full!$A$2:$AI$267,MATCH(polities_cats!J$1,$A$1:$AN$1,0),0)</f>
        <v>Hungary</v>
      </c>
      <c r="K76">
        <f>VLOOKUP($A76,regions_full!$A$2:$AI$267,MATCH(polities_cats!K$1,$A$1:$AN$1,0),0)</f>
        <v>97</v>
      </c>
      <c r="L76" t="str">
        <f>VLOOKUP($A76,regions_full!$A$2:$AI$267,MATCH(polities_cats!L$1,$A$1:$AN$1,0),0)</f>
        <v>Hungary</v>
      </c>
      <c r="M76">
        <f>VLOOKUP($A76,regions_full!$A$2:$AI$267,MATCH(polities_cats!M$1,$A$1:$AN$1,0),0)</f>
        <v>348</v>
      </c>
      <c r="N76">
        <f>VLOOKUP($A76,regions_full!$A$2:$AI$267,MATCH(polities_cats!N$1,$A$1:$AN$1,0),0)</f>
        <v>348</v>
      </c>
      <c r="O76">
        <f>VLOOKUP($A76,regions_full!$A$2:$AI$267,MATCH(polities_cats!O$1,$A$1:$AN$1,0),0)</f>
        <v>10</v>
      </c>
      <c r="P76" t="str">
        <f>VLOOKUP($A76,regions_full!$A$2:$AI$267,MATCH(polities_cats!P$1,$A$1:$AN$1,0),0)</f>
        <v>TRUE</v>
      </c>
      <c r="Q76">
        <f>VLOOKUP($A76,regions_full!$A$2:$AI$267,MATCH(polities_cats!Q$1,$A$1:$AN$1,0),0)</f>
        <v>97</v>
      </c>
      <c r="R76" t="str">
        <f>VLOOKUP($A76,regions_full!$A$2:$AI$267,MATCH(polities_cats!R$1,$A$1:$AN$1,0),0)</f>
        <v>HU</v>
      </c>
      <c r="S76" t="str">
        <f>VLOOKUP($A76,regions_full!$A$2:$AI$267,MATCH(polities_cats!S$1,$A$1:$AN$1,0),0)</f>
        <v>Eastern Europe</v>
      </c>
      <c r="T76">
        <f>VLOOKUP($A76,regions_full!$A$2:$AI$267,MATCH(polities_cats!T$1,$A$1:$AN$1,0),0)</f>
        <v>1</v>
      </c>
      <c r="U76" t="str">
        <f>VLOOKUP($A76,regions_full!$A$2:$AI$267,MATCH(polities_cats!U$1,$A$1:$AN$1,0),0)</f>
        <v>Hungary</v>
      </c>
      <c r="V76" t="str">
        <f>VLOOKUP($A76,regions_full!$A$2:$AI$267,MATCH(polities_cats!V$1,$A$1:$AN$1,0),0)</f>
        <v>Eastern and South Eastern Europe</v>
      </c>
      <c r="W76" t="str">
        <f>VLOOKUP($A76,regions_full!$A$2:$AI$267,MATCH(polities_cats!W$1,$A$1:$AN$1,0),0)</f>
        <v>East Europe</v>
      </c>
      <c r="X76" t="str">
        <f>VLOOKUP($A76,regions_full!$A$2:$AI$267,MATCH(polities_cats!X$1,$A$1:$AN$1,0),0)</f>
        <v>Europe</v>
      </c>
      <c r="Y76" t="str">
        <f>VLOOKUP($A76,regions_full!$A$2:$AI$267,MATCH(polities_cats!Y$1,$A$1:$AN$1,0),0)</f>
        <v>Eastern Europe</v>
      </c>
      <c r="Z76" t="str">
        <f>VLOOKUP($A76,regions_full!$A$2:$AI$267,MATCH(polities_cats!Z$1,$A$1:$AN$1,0),0)</f>
        <v>Europe</v>
      </c>
      <c r="AA76" t="str">
        <f>VLOOKUP($A76,regions_full!$A$2:$AI$267,MATCH(polities_cats!AA$1,$A$1:$AN$1,0),0)</f>
        <v>Europe and Central Asia</v>
      </c>
      <c r="AB76" t="str">
        <f>VLOOKUP($A76,regions_full!$A$2:$AI$267,MATCH(polities_cats!AB$1,$A$1:$AN$1,0),0)</f>
        <v>Eastern Europe</v>
      </c>
      <c r="AC76" t="str">
        <f>VLOOKUP($A76,regions_full!$A$2:$AI$267,MATCH(polities_cats!AC$1,$A$1:$AN$1,0),0)</f>
        <v>Eastern Europe</v>
      </c>
      <c r="AD76" t="str">
        <f>VLOOKUP($A76,regions_full!$A$2:$AI$267,MATCH(polities_cats!AD$1,$A$1:$AN$1,0),0)</f>
        <v>Advanced</v>
      </c>
      <c r="AE76" t="str">
        <f>VLOOKUP($A76,regions_full!$A$2:$AI$267,MATCH(polities_cats!AE$1,$A$1:$AN$1,0),0)</f>
        <v>Annex_I</v>
      </c>
      <c r="AF76" t="str">
        <f>VLOOKUP($A76,regions_full!$A$2:$AI$267,MATCH(polities_cats!AF$1,$A$1:$AN$1,0),0)</f>
        <v>Eastern Europe</v>
      </c>
      <c r="AG76" t="str">
        <f>VLOOKUP($A76,regions_full!$A$2:$AI$267,MATCH(polities_cats!AG$1,$A$1:$AN$1,0),0)</f>
        <v>Europe</v>
      </c>
      <c r="AH76" t="str">
        <f>VLOOKUP($A76,regions_full!$A$2:$AI$267,MATCH(polities_cats!AH$1,$A$1:$AN$1,0),0)</f>
        <v>mech</v>
      </c>
      <c r="AI76" t="str">
        <f>VLOOKUP($A76,regions_full!$A$2:$AI$267,MATCH(polities_cats!AI$1,$A$1:$AN$1,0),0)</f>
        <v>Europe</v>
      </c>
      <c r="AJ76" t="e">
        <f>VLOOKUP($A76,regions_full!$A$2:$AI$267,MATCH(polities_cats!AJ$1,$A$1:$AN$1,0),0)</f>
        <v>#REF!</v>
      </c>
      <c r="AK76" t="e">
        <f>VLOOKUP($A76,regions_full!$A$2:$AI$267,MATCH(polities_cats!AK$1,$A$1:$AN$1,0),0)</f>
        <v>#REF!</v>
      </c>
      <c r="AL76" t="e">
        <f>VLOOKUP($A76,regions_full!$A$2:$AI$267,MATCH(polities_cats!AL$1,$A$1:$AN$1,0),0)</f>
        <v>#REF!</v>
      </c>
      <c r="AM76" t="e">
        <f>VLOOKUP($A76,regions_full!$A$2:$AI$267,MATCH(polities_cats!AM$1,$A$1:$AN$1,0),0)</f>
        <v>#REF!</v>
      </c>
      <c r="AN76" t="e">
        <f>VLOOKUP($A76,regions_full!$A$2:$AI$267,MATCH(polities_cats!AN$1,$A$1:$AN$1,0),0)</f>
        <v>#REF!</v>
      </c>
    </row>
    <row r="77" spans="1:40" x14ac:dyDescent="0.3">
      <c r="A77" t="str">
        <f>polities_whep!A77</f>
        <v>ISL</v>
      </c>
      <c r="B77" t="str">
        <f>polities_whep!B77</f>
        <v>Iceland</v>
      </c>
      <c r="C77">
        <f>VLOOKUP($A77,regions_full!$A$2:$AI$267,MATCH(polities_cats!C$1,$A$1:$AN$1,0),0)</f>
        <v>96</v>
      </c>
      <c r="D77">
        <f>VLOOKUP($A77,regions_full!$A$2:$AI$267,MATCH(polities_cats!D$1,$A$1:$AN$1,0),0)</f>
        <v>99</v>
      </c>
      <c r="E77" t="str">
        <f>VLOOKUP($A77,regions_full!$A$2:$AI$267,MATCH(polities_cats!E$1,$A$1:$AN$1,0),0)</f>
        <v>ISL</v>
      </c>
      <c r="F77" t="str">
        <f>VLOOKUP($A77,regions_full!$A$2:$AI$267,MATCH(polities_cats!F$1,$A$1:$AN$1,0),0)</f>
        <v>Iceland</v>
      </c>
      <c r="G77" t="str">
        <f>VLOOKUP($A77,regions_full!$A$2:$AI$267,MATCH(polities_cats!G$1,$A$1:$AN$1,0),0)</f>
        <v>FALSE</v>
      </c>
      <c r="H77" t="str">
        <f>VLOOKUP($A77,regions_full!$A$2:$AI$267,MATCH(polities_cats!H$1,$A$1:$AN$1,0),0)</f>
        <v>Iceland</v>
      </c>
      <c r="I77" t="str">
        <f>VLOOKUP($A77,regions_full!$A$2:$AI$267,MATCH(polities_cats!I$1,$A$1:$AN$1,0),0)</f>
        <v>Iceland</v>
      </c>
      <c r="J77" t="str">
        <f>VLOOKUP($A77,regions_full!$A$2:$AI$267,MATCH(polities_cats!J$1,$A$1:$AN$1,0),0)</f>
        <v>Iceland</v>
      </c>
      <c r="K77">
        <f>VLOOKUP($A77,regions_full!$A$2:$AI$267,MATCH(polities_cats!K$1,$A$1:$AN$1,0),0)</f>
        <v>99</v>
      </c>
      <c r="L77" t="str">
        <f>VLOOKUP($A77,regions_full!$A$2:$AI$267,MATCH(polities_cats!L$1,$A$1:$AN$1,0),0)</f>
        <v>Iceland</v>
      </c>
      <c r="M77">
        <f>VLOOKUP($A77,regions_full!$A$2:$AI$267,MATCH(polities_cats!M$1,$A$1:$AN$1,0),0)</f>
        <v>352</v>
      </c>
      <c r="N77">
        <f>VLOOKUP($A77,regions_full!$A$2:$AI$267,MATCH(polities_cats!N$1,$A$1:$AN$1,0),0)</f>
        <v>352</v>
      </c>
      <c r="O77">
        <f>VLOOKUP($A77,regions_full!$A$2:$AI$267,MATCH(polities_cats!O$1,$A$1:$AN$1,0),0)</f>
        <v>9</v>
      </c>
      <c r="P77" t="str">
        <f>VLOOKUP($A77,regions_full!$A$2:$AI$267,MATCH(polities_cats!P$1,$A$1:$AN$1,0),0)</f>
        <v>TRUE</v>
      </c>
      <c r="Q77">
        <f>VLOOKUP($A77,regions_full!$A$2:$AI$267,MATCH(polities_cats!Q$1,$A$1:$AN$1,0),0)</f>
        <v>99</v>
      </c>
      <c r="R77" t="str">
        <f>VLOOKUP($A77,regions_full!$A$2:$AI$267,MATCH(polities_cats!R$1,$A$1:$AN$1,0),0)</f>
        <v/>
      </c>
      <c r="S77" t="str">
        <f>VLOOKUP($A77,regions_full!$A$2:$AI$267,MATCH(polities_cats!S$1,$A$1:$AN$1,0),0)</f>
        <v>OECD Europe</v>
      </c>
      <c r="T77">
        <f>VLOOKUP($A77,regions_full!$A$2:$AI$267,MATCH(polities_cats!T$1,$A$1:$AN$1,0),0)</f>
        <v>1</v>
      </c>
      <c r="U77" t="str">
        <f>VLOOKUP($A77,regions_full!$A$2:$AI$267,MATCH(polities_cats!U$1,$A$1:$AN$1,0),0)</f>
        <v>Iceland</v>
      </c>
      <c r="V77" t="str">
        <f>VLOOKUP($A77,regions_full!$A$2:$AI$267,MATCH(polities_cats!V$1,$A$1:$AN$1,0),0)</f>
        <v>Western Europe</v>
      </c>
      <c r="W77" t="str">
        <f>VLOOKUP($A77,regions_full!$A$2:$AI$267,MATCH(polities_cats!W$1,$A$1:$AN$1,0),0)</f>
        <v>West Europe</v>
      </c>
      <c r="X77" t="str">
        <f>VLOOKUP($A77,regions_full!$A$2:$AI$267,MATCH(polities_cats!X$1,$A$1:$AN$1,0),0)</f>
        <v>Europe</v>
      </c>
      <c r="Y77" t="str">
        <f>VLOOKUP($A77,regions_full!$A$2:$AI$267,MATCH(polities_cats!Y$1,$A$1:$AN$1,0),0)</f>
        <v>Northern Europe</v>
      </c>
      <c r="Z77" t="str">
        <f>VLOOKUP($A77,regions_full!$A$2:$AI$267,MATCH(polities_cats!Z$1,$A$1:$AN$1,0),0)</f>
        <v>Europe</v>
      </c>
      <c r="AA77" t="str">
        <f>VLOOKUP($A77,regions_full!$A$2:$AI$267,MATCH(polities_cats!AA$1,$A$1:$AN$1,0),0)</f>
        <v>Europe and Central Asia</v>
      </c>
      <c r="AB77" t="str">
        <f>VLOOKUP($A77,regions_full!$A$2:$AI$267,MATCH(polities_cats!AB$1,$A$1:$AN$1,0),0)</f>
        <v>Northern, Southern and Western Europe</v>
      </c>
      <c r="AC77" t="str">
        <f>VLOOKUP($A77,regions_full!$A$2:$AI$267,MATCH(polities_cats!AC$1,$A$1:$AN$1,0),0)</f>
        <v>Northern Europe</v>
      </c>
      <c r="AD77" t="str">
        <f>VLOOKUP($A77,regions_full!$A$2:$AI$267,MATCH(polities_cats!AD$1,$A$1:$AN$1,0),0)</f>
        <v>Advanced</v>
      </c>
      <c r="AE77" t="str">
        <f>VLOOKUP($A77,regions_full!$A$2:$AI$267,MATCH(polities_cats!AE$1,$A$1:$AN$1,0),0)</f>
        <v>Annex_I</v>
      </c>
      <c r="AF77" t="str">
        <f>VLOOKUP($A77,regions_full!$A$2:$AI$267,MATCH(polities_cats!AF$1,$A$1:$AN$1,0),0)</f>
        <v>Northern Europe</v>
      </c>
      <c r="AG77" t="str">
        <f>VLOOKUP($A77,regions_full!$A$2:$AI$267,MATCH(polities_cats!AG$1,$A$1:$AN$1,0),0)</f>
        <v>Europe</v>
      </c>
      <c r="AH77" t="str">
        <f>VLOOKUP($A77,regions_full!$A$2:$AI$267,MATCH(polities_cats!AH$1,$A$1:$AN$1,0),0)</f>
        <v>mech</v>
      </c>
      <c r="AI77" t="str">
        <f>VLOOKUP($A77,regions_full!$A$2:$AI$267,MATCH(polities_cats!AI$1,$A$1:$AN$1,0),0)</f>
        <v>Europe</v>
      </c>
      <c r="AJ77" t="e">
        <f>VLOOKUP($A77,regions_full!$A$2:$AI$267,MATCH(polities_cats!AJ$1,$A$1:$AN$1,0),0)</f>
        <v>#REF!</v>
      </c>
      <c r="AK77" t="e">
        <f>VLOOKUP($A77,regions_full!$A$2:$AI$267,MATCH(polities_cats!AK$1,$A$1:$AN$1,0),0)</f>
        <v>#REF!</v>
      </c>
      <c r="AL77" t="e">
        <f>VLOOKUP($A77,regions_full!$A$2:$AI$267,MATCH(polities_cats!AL$1,$A$1:$AN$1,0),0)</f>
        <v>#REF!</v>
      </c>
      <c r="AM77" t="e">
        <f>VLOOKUP($A77,regions_full!$A$2:$AI$267,MATCH(polities_cats!AM$1,$A$1:$AN$1,0),0)</f>
        <v>#REF!</v>
      </c>
      <c r="AN77" t="e">
        <f>VLOOKUP($A77,regions_full!$A$2:$AI$267,MATCH(polities_cats!AN$1,$A$1:$AN$1,0),0)</f>
        <v>#REF!</v>
      </c>
    </row>
    <row r="78" spans="1:40" x14ac:dyDescent="0.3">
      <c r="A78" t="str">
        <f>polities_whep!A78</f>
        <v>IND</v>
      </c>
      <c r="B78" t="str">
        <f>polities_whep!B78</f>
        <v>India</v>
      </c>
      <c r="C78">
        <f>VLOOKUP($A78,regions_full!$A$2:$AI$267,MATCH(polities_cats!C$1,$A$1:$AN$1,0),0)</f>
        <v>97</v>
      </c>
      <c r="D78">
        <f>VLOOKUP($A78,regions_full!$A$2:$AI$267,MATCH(polities_cats!D$1,$A$1:$AN$1,0),0)</f>
        <v>100</v>
      </c>
      <c r="E78" t="str">
        <f>VLOOKUP($A78,regions_full!$A$2:$AI$267,MATCH(polities_cats!E$1,$A$1:$AN$1,0),0)</f>
        <v>IND</v>
      </c>
      <c r="F78" t="str">
        <f>VLOOKUP($A78,regions_full!$A$2:$AI$267,MATCH(polities_cats!F$1,$A$1:$AN$1,0),0)</f>
        <v>India</v>
      </c>
      <c r="G78" t="str">
        <f>VLOOKUP($A78,regions_full!$A$2:$AI$267,MATCH(polities_cats!G$1,$A$1:$AN$1,0),0)</f>
        <v>FALSE</v>
      </c>
      <c r="H78" t="str">
        <f>VLOOKUP($A78,regions_full!$A$2:$AI$267,MATCH(polities_cats!H$1,$A$1:$AN$1,0),0)</f>
        <v>India</v>
      </c>
      <c r="I78" t="str">
        <f>VLOOKUP($A78,regions_full!$A$2:$AI$267,MATCH(polities_cats!I$1,$A$1:$AN$1,0),0)</f>
        <v>India</v>
      </c>
      <c r="J78" t="str">
        <f>VLOOKUP($A78,regions_full!$A$2:$AI$267,MATCH(polities_cats!J$1,$A$1:$AN$1,0),0)</f>
        <v>India</v>
      </c>
      <c r="K78">
        <f>VLOOKUP($A78,regions_full!$A$2:$AI$267,MATCH(polities_cats!K$1,$A$1:$AN$1,0),0)</f>
        <v>100</v>
      </c>
      <c r="L78" t="str">
        <f>VLOOKUP($A78,regions_full!$A$2:$AI$267,MATCH(polities_cats!L$1,$A$1:$AN$1,0),0)</f>
        <v>India</v>
      </c>
      <c r="M78">
        <f>VLOOKUP($A78,regions_full!$A$2:$AI$267,MATCH(polities_cats!M$1,$A$1:$AN$1,0),0)</f>
        <v>699</v>
      </c>
      <c r="N78">
        <f>VLOOKUP($A78,regions_full!$A$2:$AI$267,MATCH(polities_cats!N$1,$A$1:$AN$1,0),0)</f>
        <v>356</v>
      </c>
      <c r="O78">
        <f>VLOOKUP($A78,regions_full!$A$2:$AI$267,MATCH(polities_cats!O$1,$A$1:$AN$1,0),0)</f>
        <v>13</v>
      </c>
      <c r="P78" t="str">
        <f>VLOOKUP($A78,regions_full!$A$2:$AI$267,MATCH(polities_cats!P$1,$A$1:$AN$1,0),0)</f>
        <v>TRUE</v>
      </c>
      <c r="Q78">
        <f>VLOOKUP($A78,regions_full!$A$2:$AI$267,MATCH(polities_cats!Q$1,$A$1:$AN$1,0),0)</f>
        <v>100</v>
      </c>
      <c r="R78" t="str">
        <f>VLOOKUP($A78,regions_full!$A$2:$AI$267,MATCH(polities_cats!R$1,$A$1:$AN$1,0),0)</f>
        <v/>
      </c>
      <c r="S78" t="str">
        <f>VLOOKUP($A78,regions_full!$A$2:$AI$267,MATCH(polities_cats!S$1,$A$1:$AN$1,0),0)</f>
        <v>South Asia</v>
      </c>
      <c r="T78">
        <f>VLOOKUP($A78,regions_full!$A$2:$AI$267,MATCH(polities_cats!T$1,$A$1:$AN$1,0),0)</f>
        <v>1</v>
      </c>
      <c r="U78" t="str">
        <f>VLOOKUP($A78,regions_full!$A$2:$AI$267,MATCH(polities_cats!U$1,$A$1:$AN$1,0),0)</f>
        <v>India</v>
      </c>
      <c r="V78" t="str">
        <f>VLOOKUP($A78,regions_full!$A$2:$AI$267,MATCH(polities_cats!V$1,$A$1:$AN$1,0),0)</f>
        <v>Southern Asia</v>
      </c>
      <c r="W78" t="str">
        <f>VLOOKUP($A78,regions_full!$A$2:$AI$267,MATCH(polities_cats!W$1,$A$1:$AN$1,0),0)</f>
        <v>South and Central Asia</v>
      </c>
      <c r="X78" t="str">
        <f>VLOOKUP($A78,regions_full!$A$2:$AI$267,MATCH(polities_cats!X$1,$A$1:$AN$1,0),0)</f>
        <v>Southern Asia</v>
      </c>
      <c r="Y78" t="str">
        <f>VLOOKUP($A78,regions_full!$A$2:$AI$267,MATCH(polities_cats!Y$1,$A$1:$AN$1,0),0)</f>
        <v>Southern Asia</v>
      </c>
      <c r="Z78" t="str">
        <f>VLOOKUP($A78,regions_full!$A$2:$AI$267,MATCH(polities_cats!Z$1,$A$1:$AN$1,0),0)</f>
        <v>Asia</v>
      </c>
      <c r="AA78" t="str">
        <f>VLOOKUP($A78,regions_full!$A$2:$AI$267,MATCH(polities_cats!AA$1,$A$1:$AN$1,0),0)</f>
        <v>Asia and the Pacific</v>
      </c>
      <c r="AB78" t="str">
        <f>VLOOKUP($A78,regions_full!$A$2:$AI$267,MATCH(polities_cats!AB$1,$A$1:$AN$1,0),0)</f>
        <v>Southern Asia</v>
      </c>
      <c r="AC78" t="str">
        <f>VLOOKUP($A78,regions_full!$A$2:$AI$267,MATCH(polities_cats!AC$1,$A$1:$AN$1,0),0)</f>
        <v>Southern Asia</v>
      </c>
      <c r="AD78" t="str">
        <f>VLOOKUP($A78,regions_full!$A$2:$AI$267,MATCH(polities_cats!AD$1,$A$1:$AN$1,0),0)</f>
        <v>Emerging</v>
      </c>
      <c r="AE78" t="str">
        <f>VLOOKUP($A78,regions_full!$A$2:$AI$267,MATCH(polities_cats!AE$1,$A$1:$AN$1,0),0)</f>
        <v>Annex_II</v>
      </c>
      <c r="AF78" t="str">
        <f>VLOOKUP($A78,regions_full!$A$2:$AI$267,MATCH(polities_cats!AF$1,$A$1:$AN$1,0),0)</f>
        <v>Southern Asia</v>
      </c>
      <c r="AG78" t="str">
        <f>VLOOKUP($A78,regions_full!$A$2:$AI$267,MATCH(polities_cats!AG$1,$A$1:$AN$1,0),0)</f>
        <v>SE-Asia</v>
      </c>
      <c r="AH78" t="str">
        <f>VLOOKUP($A78,regions_full!$A$2:$AI$267,MATCH(polities_cats!AH$1,$A$1:$AN$1,0),0)</f>
        <v>no_mech</v>
      </c>
      <c r="AI78" t="str">
        <f>VLOOKUP($A78,regions_full!$A$2:$AI$267,MATCH(polities_cats!AI$1,$A$1:$AN$1,0),0)</f>
        <v>Other</v>
      </c>
      <c r="AJ78" t="e">
        <f>VLOOKUP($A78,regions_full!$A$2:$AI$267,MATCH(polities_cats!AJ$1,$A$1:$AN$1,0),0)</f>
        <v>#REF!</v>
      </c>
      <c r="AK78" t="e">
        <f>VLOOKUP($A78,regions_full!$A$2:$AI$267,MATCH(polities_cats!AK$1,$A$1:$AN$1,0),0)</f>
        <v>#REF!</v>
      </c>
      <c r="AL78" t="e">
        <f>VLOOKUP($A78,regions_full!$A$2:$AI$267,MATCH(polities_cats!AL$1,$A$1:$AN$1,0),0)</f>
        <v>#REF!</v>
      </c>
      <c r="AM78" t="e">
        <f>VLOOKUP($A78,regions_full!$A$2:$AI$267,MATCH(polities_cats!AM$1,$A$1:$AN$1,0),0)</f>
        <v>#REF!</v>
      </c>
      <c r="AN78" t="e">
        <f>VLOOKUP($A78,regions_full!$A$2:$AI$267,MATCH(polities_cats!AN$1,$A$1:$AN$1,0),0)</f>
        <v>#REF!</v>
      </c>
    </row>
    <row r="79" spans="1:40" x14ac:dyDescent="0.3">
      <c r="A79" t="str">
        <f>polities_whep!A79</f>
        <v>IDN</v>
      </c>
      <c r="B79" t="str">
        <f>polities_whep!B79</f>
        <v>Indonesia</v>
      </c>
      <c r="C79">
        <f>VLOOKUP($A79,regions_full!$A$2:$AI$267,MATCH(polities_cats!C$1,$A$1:$AN$1,0),0)</f>
        <v>98</v>
      </c>
      <c r="D79">
        <f>VLOOKUP($A79,regions_full!$A$2:$AI$267,MATCH(polities_cats!D$1,$A$1:$AN$1,0),0)</f>
        <v>101</v>
      </c>
      <c r="E79" t="str">
        <f>VLOOKUP($A79,regions_full!$A$2:$AI$267,MATCH(polities_cats!E$1,$A$1:$AN$1,0),0)</f>
        <v>IDN</v>
      </c>
      <c r="F79" t="str">
        <f>VLOOKUP($A79,regions_full!$A$2:$AI$267,MATCH(polities_cats!F$1,$A$1:$AN$1,0),0)</f>
        <v>Indonesia</v>
      </c>
      <c r="G79" t="str">
        <f>VLOOKUP($A79,regions_full!$A$2:$AI$267,MATCH(polities_cats!G$1,$A$1:$AN$1,0),0)</f>
        <v>FALSE</v>
      </c>
      <c r="H79" t="str">
        <f>VLOOKUP($A79,regions_full!$A$2:$AI$267,MATCH(polities_cats!H$1,$A$1:$AN$1,0),0)</f>
        <v>Indonesia</v>
      </c>
      <c r="I79" t="str">
        <f>VLOOKUP($A79,regions_full!$A$2:$AI$267,MATCH(polities_cats!I$1,$A$1:$AN$1,0),0)</f>
        <v>Indonesia</v>
      </c>
      <c r="J79" t="str">
        <f>VLOOKUP($A79,regions_full!$A$2:$AI$267,MATCH(polities_cats!J$1,$A$1:$AN$1,0),0)</f>
        <v>Indonesia</v>
      </c>
      <c r="K79">
        <f>VLOOKUP($A79,regions_full!$A$2:$AI$267,MATCH(polities_cats!K$1,$A$1:$AN$1,0),0)</f>
        <v>101</v>
      </c>
      <c r="L79" t="str">
        <f>VLOOKUP($A79,regions_full!$A$2:$AI$267,MATCH(polities_cats!L$1,$A$1:$AN$1,0),0)</f>
        <v>Indonesia</v>
      </c>
      <c r="M79">
        <f>VLOOKUP($A79,regions_full!$A$2:$AI$267,MATCH(polities_cats!M$1,$A$1:$AN$1,0),0)</f>
        <v>360</v>
      </c>
      <c r="N79">
        <f>VLOOKUP($A79,regions_full!$A$2:$AI$267,MATCH(polities_cats!N$1,$A$1:$AN$1,0),0)</f>
        <v>360</v>
      </c>
      <c r="O79">
        <f>VLOOKUP($A79,regions_full!$A$2:$AI$267,MATCH(polities_cats!O$1,$A$1:$AN$1,0),0)</f>
        <v>15</v>
      </c>
      <c r="P79" t="str">
        <f>VLOOKUP($A79,regions_full!$A$2:$AI$267,MATCH(polities_cats!P$1,$A$1:$AN$1,0),0)</f>
        <v>TRUE</v>
      </c>
      <c r="Q79">
        <f>VLOOKUP($A79,regions_full!$A$2:$AI$267,MATCH(polities_cats!Q$1,$A$1:$AN$1,0),0)</f>
        <v>101</v>
      </c>
      <c r="R79" t="str">
        <f>VLOOKUP($A79,regions_full!$A$2:$AI$267,MATCH(polities_cats!R$1,$A$1:$AN$1,0),0)</f>
        <v/>
      </c>
      <c r="S79" t="str">
        <f>VLOOKUP($A79,regions_full!$A$2:$AI$267,MATCH(polities_cats!S$1,$A$1:$AN$1,0),0)</f>
        <v>South East Asia</v>
      </c>
      <c r="T79">
        <f>VLOOKUP($A79,regions_full!$A$2:$AI$267,MATCH(polities_cats!T$1,$A$1:$AN$1,0),0)</f>
        <v>1</v>
      </c>
      <c r="U79" t="str">
        <f>VLOOKUP($A79,regions_full!$A$2:$AI$267,MATCH(polities_cats!U$1,$A$1:$AN$1,0),0)</f>
        <v>Indonesia</v>
      </c>
      <c r="V79" t="str">
        <f>VLOOKUP($A79,regions_full!$A$2:$AI$267,MATCH(polities_cats!V$1,$A$1:$AN$1,0),0)</f>
        <v>Southeastern Asia</v>
      </c>
      <c r="W79" t="str">
        <f>VLOOKUP($A79,regions_full!$A$2:$AI$267,MATCH(polities_cats!W$1,$A$1:$AN$1,0),0)</f>
        <v>South and Central Asia</v>
      </c>
      <c r="X79" t="str">
        <f>VLOOKUP($A79,regions_full!$A$2:$AI$267,MATCH(polities_cats!X$1,$A$1:$AN$1,0),0)</f>
        <v>S&amp;E Asia</v>
      </c>
      <c r="Y79" t="str">
        <f>VLOOKUP($A79,regions_full!$A$2:$AI$267,MATCH(polities_cats!Y$1,$A$1:$AN$1,0),0)</f>
        <v>South-eastern Asia</v>
      </c>
      <c r="Z79" t="str">
        <f>VLOOKUP($A79,regions_full!$A$2:$AI$267,MATCH(polities_cats!Z$1,$A$1:$AN$1,0),0)</f>
        <v>Asia</v>
      </c>
      <c r="AA79" t="str">
        <f>VLOOKUP($A79,regions_full!$A$2:$AI$267,MATCH(polities_cats!AA$1,$A$1:$AN$1,0),0)</f>
        <v>Asia and the Pacific</v>
      </c>
      <c r="AB79" t="str">
        <f>VLOOKUP($A79,regions_full!$A$2:$AI$267,MATCH(polities_cats!AB$1,$A$1:$AN$1,0),0)</f>
        <v>South-Eastern Asia and the Pacific</v>
      </c>
      <c r="AC79" t="str">
        <f>VLOOKUP($A79,regions_full!$A$2:$AI$267,MATCH(polities_cats!AC$1,$A$1:$AN$1,0),0)</f>
        <v>South-Eastern Asia</v>
      </c>
      <c r="AD79" t="str">
        <f>VLOOKUP($A79,regions_full!$A$2:$AI$267,MATCH(polities_cats!AD$1,$A$1:$AN$1,0),0)</f>
        <v>Emerging</v>
      </c>
      <c r="AE79" t="str">
        <f>VLOOKUP($A79,regions_full!$A$2:$AI$267,MATCH(polities_cats!AE$1,$A$1:$AN$1,0),0)</f>
        <v>Annex_II</v>
      </c>
      <c r="AF79" t="str">
        <f>VLOOKUP($A79,regions_full!$A$2:$AI$267,MATCH(polities_cats!AF$1,$A$1:$AN$1,0),0)</f>
        <v>South-eastern Asia</v>
      </c>
      <c r="AG79" t="str">
        <f>VLOOKUP($A79,regions_full!$A$2:$AI$267,MATCH(polities_cats!AG$1,$A$1:$AN$1,0),0)</f>
        <v>SE-Asia</v>
      </c>
      <c r="AH79" t="str">
        <f>VLOOKUP($A79,regions_full!$A$2:$AI$267,MATCH(polities_cats!AH$1,$A$1:$AN$1,0),0)</f>
        <v>no_mech</v>
      </c>
      <c r="AI79" t="str">
        <f>VLOOKUP($A79,regions_full!$A$2:$AI$267,MATCH(polities_cats!AI$1,$A$1:$AN$1,0),0)</f>
        <v>Other</v>
      </c>
      <c r="AJ79" t="e">
        <f>VLOOKUP($A79,regions_full!$A$2:$AI$267,MATCH(polities_cats!AJ$1,$A$1:$AN$1,0),0)</f>
        <v>#REF!</v>
      </c>
      <c r="AK79" t="e">
        <f>VLOOKUP($A79,regions_full!$A$2:$AI$267,MATCH(polities_cats!AK$1,$A$1:$AN$1,0),0)</f>
        <v>#REF!</v>
      </c>
      <c r="AL79" t="e">
        <f>VLOOKUP($A79,regions_full!$A$2:$AI$267,MATCH(polities_cats!AL$1,$A$1:$AN$1,0),0)</f>
        <v>#REF!</v>
      </c>
      <c r="AM79" t="e">
        <f>VLOOKUP($A79,regions_full!$A$2:$AI$267,MATCH(polities_cats!AM$1,$A$1:$AN$1,0),0)</f>
        <v>#REF!</v>
      </c>
      <c r="AN79" t="e">
        <f>VLOOKUP($A79,regions_full!$A$2:$AI$267,MATCH(polities_cats!AN$1,$A$1:$AN$1,0),0)</f>
        <v>#REF!</v>
      </c>
    </row>
    <row r="80" spans="1:40" x14ac:dyDescent="0.3">
      <c r="A80" t="str">
        <f>polities_whep!A80</f>
        <v>IRN</v>
      </c>
      <c r="B80" t="str">
        <f>polities_whep!B80</f>
        <v>Iran</v>
      </c>
      <c r="C80">
        <f>VLOOKUP($A80,regions_full!$A$2:$AI$267,MATCH(polities_cats!C$1,$A$1:$AN$1,0),0)</f>
        <v>99</v>
      </c>
      <c r="D80">
        <f>VLOOKUP($A80,regions_full!$A$2:$AI$267,MATCH(polities_cats!D$1,$A$1:$AN$1,0),0)</f>
        <v>102</v>
      </c>
      <c r="E80" t="str">
        <f>VLOOKUP($A80,regions_full!$A$2:$AI$267,MATCH(polities_cats!E$1,$A$1:$AN$1,0),0)</f>
        <v>IRN</v>
      </c>
      <c r="F80" t="str">
        <f>VLOOKUP($A80,regions_full!$A$2:$AI$267,MATCH(polities_cats!F$1,$A$1:$AN$1,0),0)</f>
        <v>Iran (Islamic Republic of)</v>
      </c>
      <c r="G80" t="str">
        <f>VLOOKUP($A80,regions_full!$A$2:$AI$267,MATCH(polities_cats!G$1,$A$1:$AN$1,0),0)</f>
        <v>FALSE</v>
      </c>
      <c r="H80" t="str">
        <f>VLOOKUP($A80,regions_full!$A$2:$AI$267,MATCH(polities_cats!H$1,$A$1:$AN$1,0),0)</f>
        <v>Iran</v>
      </c>
      <c r="I80" t="str">
        <f>VLOOKUP($A80,regions_full!$A$2:$AI$267,MATCH(polities_cats!I$1,$A$1:$AN$1,0),0)</f>
        <v>Iran</v>
      </c>
      <c r="J80" t="str">
        <f>VLOOKUP($A80,regions_full!$A$2:$AI$267,MATCH(polities_cats!J$1,$A$1:$AN$1,0),0)</f>
        <v>Islamic Republic of Iran</v>
      </c>
      <c r="K80">
        <f>VLOOKUP($A80,regions_full!$A$2:$AI$267,MATCH(polities_cats!K$1,$A$1:$AN$1,0),0)</f>
        <v>102</v>
      </c>
      <c r="L80" t="str">
        <f>VLOOKUP($A80,regions_full!$A$2:$AI$267,MATCH(polities_cats!L$1,$A$1:$AN$1,0),0)</f>
        <v>Iran, Islamic Republic of</v>
      </c>
      <c r="M80">
        <f>VLOOKUP($A80,regions_full!$A$2:$AI$267,MATCH(polities_cats!M$1,$A$1:$AN$1,0),0)</f>
        <v>364</v>
      </c>
      <c r="N80">
        <f>VLOOKUP($A80,regions_full!$A$2:$AI$267,MATCH(polities_cats!N$1,$A$1:$AN$1,0),0)</f>
        <v>364</v>
      </c>
      <c r="O80">
        <f>VLOOKUP($A80,regions_full!$A$2:$AI$267,MATCH(polities_cats!O$1,$A$1:$AN$1,0),0)</f>
        <v>12</v>
      </c>
      <c r="P80" t="str">
        <f>VLOOKUP($A80,regions_full!$A$2:$AI$267,MATCH(polities_cats!P$1,$A$1:$AN$1,0),0)</f>
        <v>TRUE</v>
      </c>
      <c r="Q80">
        <f>VLOOKUP($A80,regions_full!$A$2:$AI$267,MATCH(polities_cats!Q$1,$A$1:$AN$1,0),0)</f>
        <v>102</v>
      </c>
      <c r="R80" t="str">
        <f>VLOOKUP($A80,regions_full!$A$2:$AI$267,MATCH(polities_cats!R$1,$A$1:$AN$1,0),0)</f>
        <v/>
      </c>
      <c r="S80" t="str">
        <f>VLOOKUP($A80,regions_full!$A$2:$AI$267,MATCH(polities_cats!S$1,$A$1:$AN$1,0),0)</f>
        <v>Middle East</v>
      </c>
      <c r="T80">
        <f>VLOOKUP($A80,regions_full!$A$2:$AI$267,MATCH(polities_cats!T$1,$A$1:$AN$1,0),0)</f>
        <v>1</v>
      </c>
      <c r="U80" t="str">
        <f>VLOOKUP($A80,regions_full!$A$2:$AI$267,MATCH(polities_cats!U$1,$A$1:$AN$1,0),0)</f>
        <v>Iran (Islamic Republic of)</v>
      </c>
      <c r="V80" t="str">
        <f>VLOOKUP($A80,regions_full!$A$2:$AI$267,MATCH(polities_cats!V$1,$A$1:$AN$1,0),0)</f>
        <v>Southern Asia</v>
      </c>
      <c r="W80" t="str">
        <f>VLOOKUP($A80,regions_full!$A$2:$AI$267,MATCH(polities_cats!W$1,$A$1:$AN$1,0),0)</f>
        <v>South and Central Asia</v>
      </c>
      <c r="X80" t="str">
        <f>VLOOKUP($A80,regions_full!$A$2:$AI$267,MATCH(polities_cats!X$1,$A$1:$AN$1,0),0)</f>
        <v>Southern Asia</v>
      </c>
      <c r="Y80" t="str">
        <f>VLOOKUP($A80,regions_full!$A$2:$AI$267,MATCH(polities_cats!Y$1,$A$1:$AN$1,0),0)</f>
        <v>Southern Asia</v>
      </c>
      <c r="Z80" t="str">
        <f>VLOOKUP($A80,regions_full!$A$2:$AI$267,MATCH(polities_cats!Z$1,$A$1:$AN$1,0),0)</f>
        <v>Asia</v>
      </c>
      <c r="AA80" t="str">
        <f>VLOOKUP($A80,regions_full!$A$2:$AI$267,MATCH(polities_cats!AA$1,$A$1:$AN$1,0),0)</f>
        <v>Asia and the Pacific</v>
      </c>
      <c r="AB80" t="str">
        <f>VLOOKUP($A80,regions_full!$A$2:$AI$267,MATCH(polities_cats!AB$1,$A$1:$AN$1,0),0)</f>
        <v>Southern Asia</v>
      </c>
      <c r="AC80" t="str">
        <f>VLOOKUP($A80,regions_full!$A$2:$AI$267,MATCH(polities_cats!AC$1,$A$1:$AN$1,0),0)</f>
        <v>Southern Asia</v>
      </c>
      <c r="AD80" t="str">
        <f>VLOOKUP($A80,regions_full!$A$2:$AI$267,MATCH(polities_cats!AD$1,$A$1:$AN$1,0),0)</f>
        <v>Emerging</v>
      </c>
      <c r="AE80" t="str">
        <f>VLOOKUP($A80,regions_full!$A$2:$AI$267,MATCH(polities_cats!AE$1,$A$1:$AN$1,0),0)</f>
        <v>Annex_II</v>
      </c>
      <c r="AF80" t="str">
        <f>VLOOKUP($A80,regions_full!$A$2:$AI$267,MATCH(polities_cats!AF$1,$A$1:$AN$1,0),0)</f>
        <v>Southern Asia</v>
      </c>
      <c r="AG80" t="str">
        <f>VLOOKUP($A80,regions_full!$A$2:$AI$267,MATCH(polities_cats!AG$1,$A$1:$AN$1,0),0)</f>
        <v>SE-Asia</v>
      </c>
      <c r="AH80" t="str">
        <f>VLOOKUP($A80,regions_full!$A$2:$AI$267,MATCH(polities_cats!AH$1,$A$1:$AN$1,0),0)</f>
        <v>no_mech</v>
      </c>
      <c r="AI80" t="str">
        <f>VLOOKUP($A80,regions_full!$A$2:$AI$267,MATCH(polities_cats!AI$1,$A$1:$AN$1,0),0)</f>
        <v>Other</v>
      </c>
      <c r="AJ80" t="e">
        <f>VLOOKUP($A80,regions_full!$A$2:$AI$267,MATCH(polities_cats!AJ$1,$A$1:$AN$1,0),0)</f>
        <v>#REF!</v>
      </c>
      <c r="AK80" t="e">
        <f>VLOOKUP($A80,regions_full!$A$2:$AI$267,MATCH(polities_cats!AK$1,$A$1:$AN$1,0),0)</f>
        <v>#REF!</v>
      </c>
      <c r="AL80" t="e">
        <f>VLOOKUP($A80,regions_full!$A$2:$AI$267,MATCH(polities_cats!AL$1,$A$1:$AN$1,0),0)</f>
        <v>#REF!</v>
      </c>
      <c r="AM80" t="e">
        <f>VLOOKUP($A80,regions_full!$A$2:$AI$267,MATCH(polities_cats!AM$1,$A$1:$AN$1,0),0)</f>
        <v>#REF!</v>
      </c>
      <c r="AN80" t="e">
        <f>VLOOKUP($A80,regions_full!$A$2:$AI$267,MATCH(polities_cats!AN$1,$A$1:$AN$1,0),0)</f>
        <v>#REF!</v>
      </c>
    </row>
    <row r="81" spans="1:40" x14ac:dyDescent="0.3">
      <c r="A81" t="str">
        <f>polities_whep!A81</f>
        <v>IRQ</v>
      </c>
      <c r="B81" t="str">
        <f>polities_whep!B81</f>
        <v>Iraq</v>
      </c>
      <c r="C81">
        <f>VLOOKUP($A81,regions_full!$A$2:$AI$267,MATCH(polities_cats!C$1,$A$1:$AN$1,0),0)</f>
        <v>100</v>
      </c>
      <c r="D81">
        <f>VLOOKUP($A81,regions_full!$A$2:$AI$267,MATCH(polities_cats!D$1,$A$1:$AN$1,0),0)</f>
        <v>103</v>
      </c>
      <c r="E81" t="str">
        <f>VLOOKUP($A81,regions_full!$A$2:$AI$267,MATCH(polities_cats!E$1,$A$1:$AN$1,0),0)</f>
        <v>IRQ</v>
      </c>
      <c r="F81" t="str">
        <f>VLOOKUP($A81,regions_full!$A$2:$AI$267,MATCH(polities_cats!F$1,$A$1:$AN$1,0),0)</f>
        <v>Iraq</v>
      </c>
      <c r="G81" t="str">
        <f>VLOOKUP($A81,regions_full!$A$2:$AI$267,MATCH(polities_cats!G$1,$A$1:$AN$1,0),0)</f>
        <v>FALSE</v>
      </c>
      <c r="H81" t="str">
        <f>VLOOKUP($A81,regions_full!$A$2:$AI$267,MATCH(polities_cats!H$1,$A$1:$AN$1,0),0)</f>
        <v>Iraq</v>
      </c>
      <c r="I81" t="str">
        <f>VLOOKUP($A81,regions_full!$A$2:$AI$267,MATCH(polities_cats!I$1,$A$1:$AN$1,0),0)</f>
        <v>Iraq</v>
      </c>
      <c r="J81" t="str">
        <f>VLOOKUP($A81,regions_full!$A$2:$AI$267,MATCH(polities_cats!J$1,$A$1:$AN$1,0),0)</f>
        <v>Iraq</v>
      </c>
      <c r="K81">
        <f>VLOOKUP($A81,regions_full!$A$2:$AI$267,MATCH(polities_cats!K$1,$A$1:$AN$1,0),0)</f>
        <v>103</v>
      </c>
      <c r="L81" t="str">
        <f>VLOOKUP($A81,regions_full!$A$2:$AI$267,MATCH(polities_cats!L$1,$A$1:$AN$1,0),0)</f>
        <v>Iraq</v>
      </c>
      <c r="M81">
        <f>VLOOKUP($A81,regions_full!$A$2:$AI$267,MATCH(polities_cats!M$1,$A$1:$AN$1,0),0)</f>
        <v>368</v>
      </c>
      <c r="N81">
        <f>VLOOKUP($A81,regions_full!$A$2:$AI$267,MATCH(polities_cats!N$1,$A$1:$AN$1,0),0)</f>
        <v>368</v>
      </c>
      <c r="O81">
        <f>VLOOKUP($A81,regions_full!$A$2:$AI$267,MATCH(polities_cats!O$1,$A$1:$AN$1,0),0)</f>
        <v>12</v>
      </c>
      <c r="P81" t="str">
        <f>VLOOKUP($A81,regions_full!$A$2:$AI$267,MATCH(polities_cats!P$1,$A$1:$AN$1,0),0)</f>
        <v>TRUE</v>
      </c>
      <c r="Q81">
        <f>VLOOKUP($A81,regions_full!$A$2:$AI$267,MATCH(polities_cats!Q$1,$A$1:$AN$1,0),0)</f>
        <v>103</v>
      </c>
      <c r="R81" t="str">
        <f>VLOOKUP($A81,regions_full!$A$2:$AI$267,MATCH(polities_cats!R$1,$A$1:$AN$1,0),0)</f>
        <v/>
      </c>
      <c r="S81" t="str">
        <f>VLOOKUP($A81,regions_full!$A$2:$AI$267,MATCH(polities_cats!S$1,$A$1:$AN$1,0),0)</f>
        <v>Middle East</v>
      </c>
      <c r="T81">
        <f>VLOOKUP($A81,regions_full!$A$2:$AI$267,MATCH(polities_cats!T$1,$A$1:$AN$1,0),0)</f>
        <v>1</v>
      </c>
      <c r="U81" t="str">
        <f>VLOOKUP($A81,regions_full!$A$2:$AI$267,MATCH(polities_cats!U$1,$A$1:$AN$1,0),0)</f>
        <v>Iraq</v>
      </c>
      <c r="V81" t="str">
        <f>VLOOKUP($A81,regions_full!$A$2:$AI$267,MATCH(polities_cats!V$1,$A$1:$AN$1,0),0)</f>
        <v>Northern Africa and Western Asia</v>
      </c>
      <c r="W81" t="str">
        <f>VLOOKUP($A81,regions_full!$A$2:$AI$267,MATCH(polities_cats!W$1,$A$1:$AN$1,0),0)</f>
        <v>North Africa and West Asia</v>
      </c>
      <c r="X81" t="str">
        <f>VLOOKUP($A81,regions_full!$A$2:$AI$267,MATCH(polities_cats!X$1,$A$1:$AN$1,0),0)</f>
        <v>MENA</v>
      </c>
      <c r="Y81" t="str">
        <f>VLOOKUP($A81,regions_full!$A$2:$AI$267,MATCH(polities_cats!Y$1,$A$1:$AN$1,0),0)</f>
        <v>Western Asia</v>
      </c>
      <c r="Z81" t="str">
        <f>VLOOKUP($A81,regions_full!$A$2:$AI$267,MATCH(polities_cats!Z$1,$A$1:$AN$1,0),0)</f>
        <v>Asia</v>
      </c>
      <c r="AA81" t="str">
        <f>VLOOKUP($A81,regions_full!$A$2:$AI$267,MATCH(polities_cats!AA$1,$A$1:$AN$1,0),0)</f>
        <v>Arab States</v>
      </c>
      <c r="AB81" t="str">
        <f>VLOOKUP($A81,regions_full!$A$2:$AI$267,MATCH(polities_cats!AB$1,$A$1:$AN$1,0),0)</f>
        <v>Arab States</v>
      </c>
      <c r="AC81" t="str">
        <f>VLOOKUP($A81,regions_full!$A$2:$AI$267,MATCH(polities_cats!AC$1,$A$1:$AN$1,0),0)</f>
        <v>Arab States</v>
      </c>
      <c r="AD81" t="str">
        <f>VLOOKUP($A81,regions_full!$A$2:$AI$267,MATCH(polities_cats!AD$1,$A$1:$AN$1,0),0)</f>
        <v>Emerging</v>
      </c>
      <c r="AE81" t="str">
        <f>VLOOKUP($A81,regions_full!$A$2:$AI$267,MATCH(polities_cats!AE$1,$A$1:$AN$1,0),0)</f>
        <v>Annex_II</v>
      </c>
      <c r="AF81" t="str">
        <f>VLOOKUP($A81,regions_full!$A$2:$AI$267,MATCH(polities_cats!AF$1,$A$1:$AN$1,0),0)</f>
        <v>Western Asia</v>
      </c>
      <c r="AG81" t="str">
        <f>VLOOKUP($A81,regions_full!$A$2:$AI$267,MATCH(polities_cats!AG$1,$A$1:$AN$1,0),0)</f>
        <v>MENA</v>
      </c>
      <c r="AH81" t="str">
        <f>VLOOKUP($A81,regions_full!$A$2:$AI$267,MATCH(polities_cats!AH$1,$A$1:$AN$1,0),0)</f>
        <v>no_mech</v>
      </c>
      <c r="AI81" t="str">
        <f>VLOOKUP($A81,regions_full!$A$2:$AI$267,MATCH(polities_cats!AI$1,$A$1:$AN$1,0),0)</f>
        <v>Other</v>
      </c>
      <c r="AJ81" t="e">
        <f>VLOOKUP($A81,regions_full!$A$2:$AI$267,MATCH(polities_cats!AJ$1,$A$1:$AN$1,0),0)</f>
        <v>#REF!</v>
      </c>
      <c r="AK81" t="e">
        <f>VLOOKUP($A81,regions_full!$A$2:$AI$267,MATCH(polities_cats!AK$1,$A$1:$AN$1,0),0)</f>
        <v>#REF!</v>
      </c>
      <c r="AL81" t="e">
        <f>VLOOKUP($A81,regions_full!$A$2:$AI$267,MATCH(polities_cats!AL$1,$A$1:$AN$1,0),0)</f>
        <v>#REF!</v>
      </c>
      <c r="AM81" t="e">
        <f>VLOOKUP($A81,regions_full!$A$2:$AI$267,MATCH(polities_cats!AM$1,$A$1:$AN$1,0),0)</f>
        <v>#REF!</v>
      </c>
      <c r="AN81" t="e">
        <f>VLOOKUP($A81,regions_full!$A$2:$AI$267,MATCH(polities_cats!AN$1,$A$1:$AN$1,0),0)</f>
        <v>#REF!</v>
      </c>
    </row>
    <row r="82" spans="1:40" x14ac:dyDescent="0.3">
      <c r="A82" t="str">
        <f>polities_whep!A82</f>
        <v>IRL</v>
      </c>
      <c r="B82" t="str">
        <f>polities_whep!B82</f>
        <v>Ireland</v>
      </c>
      <c r="C82">
        <f>VLOOKUP($A82,regions_full!$A$2:$AI$267,MATCH(polities_cats!C$1,$A$1:$AN$1,0),0)</f>
        <v>101</v>
      </c>
      <c r="D82">
        <f>VLOOKUP($A82,regions_full!$A$2:$AI$267,MATCH(polities_cats!D$1,$A$1:$AN$1,0),0)</f>
        <v>104</v>
      </c>
      <c r="E82" t="str">
        <f>VLOOKUP($A82,regions_full!$A$2:$AI$267,MATCH(polities_cats!E$1,$A$1:$AN$1,0),0)</f>
        <v>IRL</v>
      </c>
      <c r="F82" t="str">
        <f>VLOOKUP($A82,regions_full!$A$2:$AI$267,MATCH(polities_cats!F$1,$A$1:$AN$1,0),0)</f>
        <v>Ireland</v>
      </c>
      <c r="G82" t="str">
        <f>VLOOKUP($A82,regions_full!$A$2:$AI$267,MATCH(polities_cats!G$1,$A$1:$AN$1,0),0)</f>
        <v>TRUE</v>
      </c>
      <c r="H82" t="str">
        <f>VLOOKUP($A82,regions_full!$A$2:$AI$267,MATCH(polities_cats!H$1,$A$1:$AN$1,0),0)</f>
        <v>Ireland</v>
      </c>
      <c r="I82" t="str">
        <f>VLOOKUP($A82,regions_full!$A$2:$AI$267,MATCH(polities_cats!I$1,$A$1:$AN$1,0),0)</f>
        <v>Ireland</v>
      </c>
      <c r="J82" t="str">
        <f>VLOOKUP($A82,regions_full!$A$2:$AI$267,MATCH(polities_cats!J$1,$A$1:$AN$1,0),0)</f>
        <v>Ireland</v>
      </c>
      <c r="K82">
        <f>VLOOKUP($A82,regions_full!$A$2:$AI$267,MATCH(polities_cats!K$1,$A$1:$AN$1,0),0)</f>
        <v>104</v>
      </c>
      <c r="L82" t="str">
        <f>VLOOKUP($A82,regions_full!$A$2:$AI$267,MATCH(polities_cats!L$1,$A$1:$AN$1,0),0)</f>
        <v>Ireland</v>
      </c>
      <c r="M82">
        <f>VLOOKUP($A82,regions_full!$A$2:$AI$267,MATCH(polities_cats!M$1,$A$1:$AN$1,0),0)</f>
        <v>372</v>
      </c>
      <c r="N82">
        <f>VLOOKUP($A82,regions_full!$A$2:$AI$267,MATCH(polities_cats!N$1,$A$1:$AN$1,0),0)</f>
        <v>372</v>
      </c>
      <c r="O82">
        <f>VLOOKUP($A82,regions_full!$A$2:$AI$267,MATCH(polities_cats!O$1,$A$1:$AN$1,0),0)</f>
        <v>9</v>
      </c>
      <c r="P82" t="str">
        <f>VLOOKUP($A82,regions_full!$A$2:$AI$267,MATCH(polities_cats!P$1,$A$1:$AN$1,0),0)</f>
        <v>TRUE</v>
      </c>
      <c r="Q82">
        <f>VLOOKUP($A82,regions_full!$A$2:$AI$267,MATCH(polities_cats!Q$1,$A$1:$AN$1,0),0)</f>
        <v>104</v>
      </c>
      <c r="R82" t="str">
        <f>VLOOKUP($A82,regions_full!$A$2:$AI$267,MATCH(polities_cats!R$1,$A$1:$AN$1,0),0)</f>
        <v>IE</v>
      </c>
      <c r="S82" t="str">
        <f>VLOOKUP($A82,regions_full!$A$2:$AI$267,MATCH(polities_cats!S$1,$A$1:$AN$1,0),0)</f>
        <v>OECD Europe</v>
      </c>
      <c r="T82">
        <f>VLOOKUP($A82,regions_full!$A$2:$AI$267,MATCH(polities_cats!T$1,$A$1:$AN$1,0),0)</f>
        <v>1</v>
      </c>
      <c r="U82" t="str">
        <f>VLOOKUP($A82,regions_full!$A$2:$AI$267,MATCH(polities_cats!U$1,$A$1:$AN$1,0),0)</f>
        <v>Ireland</v>
      </c>
      <c r="V82" t="str">
        <f>VLOOKUP($A82,regions_full!$A$2:$AI$267,MATCH(polities_cats!V$1,$A$1:$AN$1,0),0)</f>
        <v>Western Europe</v>
      </c>
      <c r="W82" t="str">
        <f>VLOOKUP($A82,regions_full!$A$2:$AI$267,MATCH(polities_cats!W$1,$A$1:$AN$1,0),0)</f>
        <v>West Europe</v>
      </c>
      <c r="X82" t="str">
        <f>VLOOKUP($A82,regions_full!$A$2:$AI$267,MATCH(polities_cats!X$1,$A$1:$AN$1,0),0)</f>
        <v>Europe</v>
      </c>
      <c r="Y82" t="str">
        <f>VLOOKUP($A82,regions_full!$A$2:$AI$267,MATCH(polities_cats!Y$1,$A$1:$AN$1,0),0)</f>
        <v>Northern Europe</v>
      </c>
      <c r="Z82" t="str">
        <f>VLOOKUP($A82,regions_full!$A$2:$AI$267,MATCH(polities_cats!Z$1,$A$1:$AN$1,0),0)</f>
        <v>Europe</v>
      </c>
      <c r="AA82" t="str">
        <f>VLOOKUP($A82,regions_full!$A$2:$AI$267,MATCH(polities_cats!AA$1,$A$1:$AN$1,0),0)</f>
        <v>Europe and Central Asia</v>
      </c>
      <c r="AB82" t="str">
        <f>VLOOKUP($A82,regions_full!$A$2:$AI$267,MATCH(polities_cats!AB$1,$A$1:$AN$1,0),0)</f>
        <v>Northern, Southern and Western Europe</v>
      </c>
      <c r="AC82" t="str">
        <f>VLOOKUP($A82,regions_full!$A$2:$AI$267,MATCH(polities_cats!AC$1,$A$1:$AN$1,0),0)</f>
        <v>Northern Europe</v>
      </c>
      <c r="AD82" t="str">
        <f>VLOOKUP($A82,regions_full!$A$2:$AI$267,MATCH(polities_cats!AD$1,$A$1:$AN$1,0),0)</f>
        <v>Advanced</v>
      </c>
      <c r="AE82" t="str">
        <f>VLOOKUP($A82,regions_full!$A$2:$AI$267,MATCH(polities_cats!AE$1,$A$1:$AN$1,0),0)</f>
        <v>Annex_I</v>
      </c>
      <c r="AF82" t="str">
        <f>VLOOKUP($A82,regions_full!$A$2:$AI$267,MATCH(polities_cats!AF$1,$A$1:$AN$1,0),0)</f>
        <v>Northern Europe</v>
      </c>
      <c r="AG82" t="str">
        <f>VLOOKUP($A82,regions_full!$A$2:$AI$267,MATCH(polities_cats!AG$1,$A$1:$AN$1,0),0)</f>
        <v>Europe</v>
      </c>
      <c r="AH82" t="str">
        <f>VLOOKUP($A82,regions_full!$A$2:$AI$267,MATCH(polities_cats!AH$1,$A$1:$AN$1,0),0)</f>
        <v>mech</v>
      </c>
      <c r="AI82" t="str">
        <f>VLOOKUP($A82,regions_full!$A$2:$AI$267,MATCH(polities_cats!AI$1,$A$1:$AN$1,0),0)</f>
        <v>Europe</v>
      </c>
      <c r="AJ82" t="e">
        <f>VLOOKUP($A82,regions_full!$A$2:$AI$267,MATCH(polities_cats!AJ$1,$A$1:$AN$1,0),0)</f>
        <v>#REF!</v>
      </c>
      <c r="AK82" t="e">
        <f>VLOOKUP($A82,regions_full!$A$2:$AI$267,MATCH(polities_cats!AK$1,$A$1:$AN$1,0),0)</f>
        <v>#REF!</v>
      </c>
      <c r="AL82" t="e">
        <f>VLOOKUP($A82,regions_full!$A$2:$AI$267,MATCH(polities_cats!AL$1,$A$1:$AN$1,0),0)</f>
        <v>#REF!</v>
      </c>
      <c r="AM82" t="e">
        <f>VLOOKUP($A82,regions_full!$A$2:$AI$267,MATCH(polities_cats!AM$1,$A$1:$AN$1,0),0)</f>
        <v>#REF!</v>
      </c>
      <c r="AN82" t="e">
        <f>VLOOKUP($A82,regions_full!$A$2:$AI$267,MATCH(polities_cats!AN$1,$A$1:$AN$1,0),0)</f>
        <v>#REF!</v>
      </c>
    </row>
    <row r="83" spans="1:40" x14ac:dyDescent="0.3">
      <c r="A83" t="str">
        <f>polities_whep!A83</f>
        <v>ISR</v>
      </c>
      <c r="B83" t="str">
        <f>polities_whep!B83</f>
        <v>Israel</v>
      </c>
      <c r="C83">
        <f>VLOOKUP($A83,regions_full!$A$2:$AI$267,MATCH(polities_cats!C$1,$A$1:$AN$1,0),0)</f>
        <v>102</v>
      </c>
      <c r="D83">
        <f>VLOOKUP($A83,regions_full!$A$2:$AI$267,MATCH(polities_cats!D$1,$A$1:$AN$1,0),0)</f>
        <v>105</v>
      </c>
      <c r="E83" t="str">
        <f>VLOOKUP($A83,regions_full!$A$2:$AI$267,MATCH(polities_cats!E$1,$A$1:$AN$1,0),0)</f>
        <v>ISR</v>
      </c>
      <c r="F83" t="str">
        <f>VLOOKUP($A83,regions_full!$A$2:$AI$267,MATCH(polities_cats!F$1,$A$1:$AN$1,0),0)</f>
        <v>Israel</v>
      </c>
      <c r="G83" t="str">
        <f>VLOOKUP($A83,regions_full!$A$2:$AI$267,MATCH(polities_cats!G$1,$A$1:$AN$1,0),0)</f>
        <v>FALSE</v>
      </c>
      <c r="H83" t="str">
        <f>VLOOKUP($A83,regions_full!$A$2:$AI$267,MATCH(polities_cats!H$1,$A$1:$AN$1,0),0)</f>
        <v>Israel</v>
      </c>
      <c r="I83" t="str">
        <f>VLOOKUP($A83,regions_full!$A$2:$AI$267,MATCH(polities_cats!I$1,$A$1:$AN$1,0),0)</f>
        <v>Israel</v>
      </c>
      <c r="J83" t="str">
        <f>VLOOKUP($A83,regions_full!$A$2:$AI$267,MATCH(polities_cats!J$1,$A$1:$AN$1,0),0)</f>
        <v>Israel</v>
      </c>
      <c r="K83">
        <f>VLOOKUP($A83,regions_full!$A$2:$AI$267,MATCH(polities_cats!K$1,$A$1:$AN$1,0),0)</f>
        <v>105</v>
      </c>
      <c r="L83" t="str">
        <f>VLOOKUP($A83,regions_full!$A$2:$AI$267,MATCH(polities_cats!L$1,$A$1:$AN$1,0),0)</f>
        <v>Israel</v>
      </c>
      <c r="M83">
        <f>VLOOKUP($A83,regions_full!$A$2:$AI$267,MATCH(polities_cats!M$1,$A$1:$AN$1,0),0)</f>
        <v>376</v>
      </c>
      <c r="N83">
        <f>VLOOKUP($A83,regions_full!$A$2:$AI$267,MATCH(polities_cats!N$1,$A$1:$AN$1,0),0)</f>
        <v>376</v>
      </c>
      <c r="O83">
        <f>VLOOKUP($A83,regions_full!$A$2:$AI$267,MATCH(polities_cats!O$1,$A$1:$AN$1,0),0)</f>
        <v>12</v>
      </c>
      <c r="P83" t="str">
        <f>VLOOKUP($A83,regions_full!$A$2:$AI$267,MATCH(polities_cats!P$1,$A$1:$AN$1,0),0)</f>
        <v>TRUE</v>
      </c>
      <c r="Q83">
        <f>VLOOKUP($A83,regions_full!$A$2:$AI$267,MATCH(polities_cats!Q$1,$A$1:$AN$1,0),0)</f>
        <v>105</v>
      </c>
      <c r="R83" t="str">
        <f>VLOOKUP($A83,regions_full!$A$2:$AI$267,MATCH(polities_cats!R$1,$A$1:$AN$1,0),0)</f>
        <v/>
      </c>
      <c r="S83" t="str">
        <f>VLOOKUP($A83,regions_full!$A$2:$AI$267,MATCH(polities_cats!S$1,$A$1:$AN$1,0),0)</f>
        <v>Middle East</v>
      </c>
      <c r="T83">
        <f>VLOOKUP($A83,regions_full!$A$2:$AI$267,MATCH(polities_cats!T$1,$A$1:$AN$1,0),0)</f>
        <v>1</v>
      </c>
      <c r="U83" t="str">
        <f>VLOOKUP($A83,regions_full!$A$2:$AI$267,MATCH(polities_cats!U$1,$A$1:$AN$1,0),0)</f>
        <v>Israel</v>
      </c>
      <c r="V83" t="str">
        <f>VLOOKUP($A83,regions_full!$A$2:$AI$267,MATCH(polities_cats!V$1,$A$1:$AN$1,0),0)</f>
        <v>Northern Africa and Western Asia</v>
      </c>
      <c r="W83" t="str">
        <f>VLOOKUP($A83,regions_full!$A$2:$AI$267,MATCH(polities_cats!W$1,$A$1:$AN$1,0),0)</f>
        <v>North Africa and West Asia</v>
      </c>
      <c r="X83" t="str">
        <f>VLOOKUP($A83,regions_full!$A$2:$AI$267,MATCH(polities_cats!X$1,$A$1:$AN$1,0),0)</f>
        <v>MENA</v>
      </c>
      <c r="Y83" t="str">
        <f>VLOOKUP($A83,regions_full!$A$2:$AI$267,MATCH(polities_cats!Y$1,$A$1:$AN$1,0),0)</f>
        <v>Western Asia</v>
      </c>
      <c r="Z83" t="str">
        <f>VLOOKUP($A83,regions_full!$A$2:$AI$267,MATCH(polities_cats!Z$1,$A$1:$AN$1,0),0)</f>
        <v>Asia</v>
      </c>
      <c r="AA83" t="str">
        <f>VLOOKUP($A83,regions_full!$A$2:$AI$267,MATCH(polities_cats!AA$1,$A$1:$AN$1,0),0)</f>
        <v>Europe and Central Asia</v>
      </c>
      <c r="AB83" t="str">
        <f>VLOOKUP($A83,regions_full!$A$2:$AI$267,MATCH(polities_cats!AB$1,$A$1:$AN$1,0),0)</f>
        <v>Central and Western Asia</v>
      </c>
      <c r="AC83" t="str">
        <f>VLOOKUP($A83,regions_full!$A$2:$AI$267,MATCH(polities_cats!AC$1,$A$1:$AN$1,0),0)</f>
        <v>Western Asia</v>
      </c>
      <c r="AD83" t="str">
        <f>VLOOKUP($A83,regions_full!$A$2:$AI$267,MATCH(polities_cats!AD$1,$A$1:$AN$1,0),0)</f>
        <v>Advanced</v>
      </c>
      <c r="AE83" t="str">
        <f>VLOOKUP($A83,regions_full!$A$2:$AI$267,MATCH(polities_cats!AE$1,$A$1:$AN$1,0),0)</f>
        <v>Annex_II</v>
      </c>
      <c r="AF83" t="str">
        <f>VLOOKUP($A83,regions_full!$A$2:$AI$267,MATCH(polities_cats!AF$1,$A$1:$AN$1,0),0)</f>
        <v>Western Asia</v>
      </c>
      <c r="AG83" t="str">
        <f>VLOOKUP($A83,regions_full!$A$2:$AI$267,MATCH(polities_cats!AG$1,$A$1:$AN$1,0),0)</f>
        <v>MENA</v>
      </c>
      <c r="AH83" t="str">
        <f>VLOOKUP($A83,regions_full!$A$2:$AI$267,MATCH(polities_cats!AH$1,$A$1:$AN$1,0),0)</f>
        <v>no_mech</v>
      </c>
      <c r="AI83" t="str">
        <f>VLOOKUP($A83,regions_full!$A$2:$AI$267,MATCH(polities_cats!AI$1,$A$1:$AN$1,0),0)</f>
        <v>Other</v>
      </c>
      <c r="AJ83" t="e">
        <f>VLOOKUP($A83,regions_full!$A$2:$AI$267,MATCH(polities_cats!AJ$1,$A$1:$AN$1,0),0)</f>
        <v>#REF!</v>
      </c>
      <c r="AK83" t="e">
        <f>VLOOKUP($A83,regions_full!$A$2:$AI$267,MATCH(polities_cats!AK$1,$A$1:$AN$1,0),0)</f>
        <v>#REF!</v>
      </c>
      <c r="AL83" t="e">
        <f>VLOOKUP($A83,regions_full!$A$2:$AI$267,MATCH(polities_cats!AL$1,$A$1:$AN$1,0),0)</f>
        <v>#REF!</v>
      </c>
      <c r="AM83" t="e">
        <f>VLOOKUP($A83,regions_full!$A$2:$AI$267,MATCH(polities_cats!AM$1,$A$1:$AN$1,0),0)</f>
        <v>#REF!</v>
      </c>
      <c r="AN83" t="e">
        <f>VLOOKUP($A83,regions_full!$A$2:$AI$267,MATCH(polities_cats!AN$1,$A$1:$AN$1,0),0)</f>
        <v>#REF!</v>
      </c>
    </row>
    <row r="84" spans="1:40" x14ac:dyDescent="0.3">
      <c r="A84" t="str">
        <f>polities_whep!A84</f>
        <v>ITA</v>
      </c>
      <c r="B84" t="str">
        <f>polities_whep!B84</f>
        <v>Italy</v>
      </c>
      <c r="C84">
        <f>VLOOKUP($A84,regions_full!$A$2:$AI$267,MATCH(polities_cats!C$1,$A$1:$AN$1,0),0)</f>
        <v>103</v>
      </c>
      <c r="D84">
        <f>VLOOKUP($A84,regions_full!$A$2:$AI$267,MATCH(polities_cats!D$1,$A$1:$AN$1,0),0)</f>
        <v>106</v>
      </c>
      <c r="E84" t="str">
        <f>VLOOKUP($A84,regions_full!$A$2:$AI$267,MATCH(polities_cats!E$1,$A$1:$AN$1,0),0)</f>
        <v>ITA</v>
      </c>
      <c r="F84" t="str">
        <f>VLOOKUP($A84,regions_full!$A$2:$AI$267,MATCH(polities_cats!F$1,$A$1:$AN$1,0),0)</f>
        <v>Italy</v>
      </c>
      <c r="G84" t="str">
        <f>VLOOKUP($A84,regions_full!$A$2:$AI$267,MATCH(polities_cats!G$1,$A$1:$AN$1,0),0)</f>
        <v>TRUE</v>
      </c>
      <c r="H84" t="str">
        <f>VLOOKUP($A84,regions_full!$A$2:$AI$267,MATCH(polities_cats!H$1,$A$1:$AN$1,0),0)</f>
        <v>Italy</v>
      </c>
      <c r="I84" t="str">
        <f>VLOOKUP($A84,regions_full!$A$2:$AI$267,MATCH(polities_cats!I$1,$A$1:$AN$1,0),0)</f>
        <v>Italy</v>
      </c>
      <c r="J84" t="str">
        <f>VLOOKUP($A84,regions_full!$A$2:$AI$267,MATCH(polities_cats!J$1,$A$1:$AN$1,0),0)</f>
        <v>Italy</v>
      </c>
      <c r="K84">
        <f>VLOOKUP($A84,regions_full!$A$2:$AI$267,MATCH(polities_cats!K$1,$A$1:$AN$1,0),0)</f>
        <v>106</v>
      </c>
      <c r="L84" t="str">
        <f>VLOOKUP($A84,regions_full!$A$2:$AI$267,MATCH(polities_cats!L$1,$A$1:$AN$1,0),0)</f>
        <v>Italy</v>
      </c>
      <c r="M84">
        <f>VLOOKUP($A84,regions_full!$A$2:$AI$267,MATCH(polities_cats!M$1,$A$1:$AN$1,0),0)</f>
        <v>381</v>
      </c>
      <c r="N84">
        <f>VLOOKUP($A84,regions_full!$A$2:$AI$267,MATCH(polities_cats!N$1,$A$1:$AN$1,0),0)</f>
        <v>380</v>
      </c>
      <c r="O84">
        <f>VLOOKUP($A84,regions_full!$A$2:$AI$267,MATCH(polities_cats!O$1,$A$1:$AN$1,0),0)</f>
        <v>9</v>
      </c>
      <c r="P84" t="str">
        <f>VLOOKUP($A84,regions_full!$A$2:$AI$267,MATCH(polities_cats!P$1,$A$1:$AN$1,0),0)</f>
        <v>TRUE</v>
      </c>
      <c r="Q84">
        <f>VLOOKUP($A84,regions_full!$A$2:$AI$267,MATCH(polities_cats!Q$1,$A$1:$AN$1,0),0)</f>
        <v>106</v>
      </c>
      <c r="R84" t="str">
        <f>VLOOKUP($A84,regions_full!$A$2:$AI$267,MATCH(polities_cats!R$1,$A$1:$AN$1,0),0)</f>
        <v>IT</v>
      </c>
      <c r="S84" t="str">
        <f>VLOOKUP($A84,regions_full!$A$2:$AI$267,MATCH(polities_cats!S$1,$A$1:$AN$1,0),0)</f>
        <v>OECD Europe</v>
      </c>
      <c r="T84">
        <f>VLOOKUP($A84,regions_full!$A$2:$AI$267,MATCH(polities_cats!T$1,$A$1:$AN$1,0),0)</f>
        <v>1</v>
      </c>
      <c r="U84" t="str">
        <f>VLOOKUP($A84,regions_full!$A$2:$AI$267,MATCH(polities_cats!U$1,$A$1:$AN$1,0),0)</f>
        <v>Italy</v>
      </c>
      <c r="V84" t="str">
        <f>VLOOKUP($A84,regions_full!$A$2:$AI$267,MATCH(polities_cats!V$1,$A$1:$AN$1,0),0)</f>
        <v>Western Europe</v>
      </c>
      <c r="W84" t="str">
        <f>VLOOKUP($A84,regions_full!$A$2:$AI$267,MATCH(polities_cats!W$1,$A$1:$AN$1,0),0)</f>
        <v>West Europe</v>
      </c>
      <c r="X84" t="str">
        <f>VLOOKUP($A84,regions_full!$A$2:$AI$267,MATCH(polities_cats!X$1,$A$1:$AN$1,0),0)</f>
        <v>Europe</v>
      </c>
      <c r="Y84" t="str">
        <f>VLOOKUP($A84,regions_full!$A$2:$AI$267,MATCH(polities_cats!Y$1,$A$1:$AN$1,0),0)</f>
        <v>Southern Europe</v>
      </c>
      <c r="Z84" t="str">
        <f>VLOOKUP($A84,regions_full!$A$2:$AI$267,MATCH(polities_cats!Z$1,$A$1:$AN$1,0),0)</f>
        <v>Europe</v>
      </c>
      <c r="AA84" t="str">
        <f>VLOOKUP($A84,regions_full!$A$2:$AI$267,MATCH(polities_cats!AA$1,$A$1:$AN$1,0),0)</f>
        <v>Europe and Central Asia</v>
      </c>
      <c r="AB84" t="str">
        <f>VLOOKUP($A84,regions_full!$A$2:$AI$267,MATCH(polities_cats!AB$1,$A$1:$AN$1,0),0)</f>
        <v>Northern, Southern and Western Europe</v>
      </c>
      <c r="AC84" t="str">
        <f>VLOOKUP($A84,regions_full!$A$2:$AI$267,MATCH(polities_cats!AC$1,$A$1:$AN$1,0),0)</f>
        <v>Southern Europe</v>
      </c>
      <c r="AD84" t="str">
        <f>VLOOKUP($A84,regions_full!$A$2:$AI$267,MATCH(polities_cats!AD$1,$A$1:$AN$1,0),0)</f>
        <v>Advanced</v>
      </c>
      <c r="AE84" t="str">
        <f>VLOOKUP($A84,regions_full!$A$2:$AI$267,MATCH(polities_cats!AE$1,$A$1:$AN$1,0),0)</f>
        <v>Annex_I</v>
      </c>
      <c r="AF84" t="str">
        <f>VLOOKUP($A84,regions_full!$A$2:$AI$267,MATCH(polities_cats!AF$1,$A$1:$AN$1,0),0)</f>
        <v>Southern Europe</v>
      </c>
      <c r="AG84" t="str">
        <f>VLOOKUP($A84,regions_full!$A$2:$AI$267,MATCH(polities_cats!AG$1,$A$1:$AN$1,0),0)</f>
        <v>Europe</v>
      </c>
      <c r="AH84" t="str">
        <f>VLOOKUP($A84,regions_full!$A$2:$AI$267,MATCH(polities_cats!AH$1,$A$1:$AN$1,0),0)</f>
        <v>mech</v>
      </c>
      <c r="AI84" t="str">
        <f>VLOOKUP($A84,regions_full!$A$2:$AI$267,MATCH(polities_cats!AI$1,$A$1:$AN$1,0),0)</f>
        <v>Europe</v>
      </c>
      <c r="AJ84" t="e">
        <f>VLOOKUP($A84,regions_full!$A$2:$AI$267,MATCH(polities_cats!AJ$1,$A$1:$AN$1,0),0)</f>
        <v>#REF!</v>
      </c>
      <c r="AK84" t="e">
        <f>VLOOKUP($A84,regions_full!$A$2:$AI$267,MATCH(polities_cats!AK$1,$A$1:$AN$1,0),0)</f>
        <v>#REF!</v>
      </c>
      <c r="AL84" t="e">
        <f>VLOOKUP($A84,regions_full!$A$2:$AI$267,MATCH(polities_cats!AL$1,$A$1:$AN$1,0),0)</f>
        <v>#REF!</v>
      </c>
      <c r="AM84" t="e">
        <f>VLOOKUP($A84,regions_full!$A$2:$AI$267,MATCH(polities_cats!AM$1,$A$1:$AN$1,0),0)</f>
        <v>#REF!</v>
      </c>
      <c r="AN84" t="e">
        <f>VLOOKUP($A84,regions_full!$A$2:$AI$267,MATCH(polities_cats!AN$1,$A$1:$AN$1,0),0)</f>
        <v>#REF!</v>
      </c>
    </row>
    <row r="85" spans="1:40" x14ac:dyDescent="0.3">
      <c r="A85" t="str">
        <f>polities_whep!A85</f>
        <v>CIV</v>
      </c>
      <c r="B85" t="str">
        <f>polities_whep!B85</f>
        <v>Ivory Coast</v>
      </c>
      <c r="C85">
        <f>VLOOKUP($A85,regions_full!$A$2:$AI$267,MATCH(polities_cats!C$1,$A$1:$AN$1,0),0)</f>
        <v>104</v>
      </c>
      <c r="D85">
        <f>VLOOKUP($A85,regions_full!$A$2:$AI$267,MATCH(polities_cats!D$1,$A$1:$AN$1,0),0)</f>
        <v>107</v>
      </c>
      <c r="E85" t="str">
        <f>VLOOKUP($A85,regions_full!$A$2:$AI$267,MATCH(polities_cats!E$1,$A$1:$AN$1,0),0)</f>
        <v>CIV</v>
      </c>
      <c r="F85" t="str">
        <f>VLOOKUP($A85,regions_full!$A$2:$AI$267,MATCH(polities_cats!F$1,$A$1:$AN$1,0),0)</f>
        <v>Côte d'Ivoire</v>
      </c>
      <c r="G85" t="str">
        <f>VLOOKUP($A85,regions_full!$A$2:$AI$267,MATCH(polities_cats!G$1,$A$1:$AN$1,0),0)</f>
        <v>FALSE</v>
      </c>
      <c r="H85" t="str">
        <f>VLOOKUP($A85,regions_full!$A$2:$AI$267,MATCH(polities_cats!H$1,$A$1:$AN$1,0),0)</f>
        <v>Ivory Coast</v>
      </c>
      <c r="I85" t="str">
        <f>VLOOKUP($A85,regions_full!$A$2:$AI$267,MATCH(polities_cats!I$1,$A$1:$AN$1,0),0)</f>
        <v>Cote dIvoire (IvoryCoast)</v>
      </c>
      <c r="J85" t="str">
        <f>VLOOKUP($A85,regions_full!$A$2:$AI$267,MATCH(polities_cats!J$1,$A$1:$AN$1,0),0)</f>
        <v>CÃ´te d'Ivoire</v>
      </c>
      <c r="K85">
        <f>VLOOKUP($A85,regions_full!$A$2:$AI$267,MATCH(polities_cats!K$1,$A$1:$AN$1,0),0)</f>
        <v>107</v>
      </c>
      <c r="L85" t="str">
        <f>VLOOKUP($A85,regions_full!$A$2:$AI$267,MATCH(polities_cats!L$1,$A$1:$AN$1,0),0)</f>
        <v>CÃ´te d'Ivoire</v>
      </c>
      <c r="M85">
        <f>VLOOKUP($A85,regions_full!$A$2:$AI$267,MATCH(polities_cats!M$1,$A$1:$AN$1,0),0)</f>
        <v>384</v>
      </c>
      <c r="N85">
        <f>VLOOKUP($A85,regions_full!$A$2:$AI$267,MATCH(polities_cats!N$1,$A$1:$AN$1,0),0)</f>
        <v>384</v>
      </c>
      <c r="O85">
        <f>VLOOKUP($A85,regions_full!$A$2:$AI$267,MATCH(polities_cats!O$1,$A$1:$AN$1,0),0)</f>
        <v>6</v>
      </c>
      <c r="P85" t="str">
        <f>VLOOKUP($A85,regions_full!$A$2:$AI$267,MATCH(polities_cats!P$1,$A$1:$AN$1,0),0)</f>
        <v>TRUE</v>
      </c>
      <c r="Q85">
        <f>VLOOKUP($A85,regions_full!$A$2:$AI$267,MATCH(polities_cats!Q$1,$A$1:$AN$1,0),0)</f>
        <v>107</v>
      </c>
      <c r="R85" t="str">
        <f>VLOOKUP($A85,regions_full!$A$2:$AI$267,MATCH(polities_cats!R$1,$A$1:$AN$1,0),0)</f>
        <v/>
      </c>
      <c r="S85" t="str">
        <f>VLOOKUP($A85,regions_full!$A$2:$AI$267,MATCH(polities_cats!S$1,$A$1:$AN$1,0),0)</f>
        <v>Western Africa</v>
      </c>
      <c r="T85">
        <f>VLOOKUP($A85,regions_full!$A$2:$AI$267,MATCH(polities_cats!T$1,$A$1:$AN$1,0),0)</f>
        <v>1</v>
      </c>
      <c r="U85" t="str">
        <f>VLOOKUP($A85,regions_full!$A$2:$AI$267,MATCH(polities_cats!U$1,$A$1:$AN$1,0),0)</f>
        <v>Cote d'Ivoire</v>
      </c>
      <c r="V85" t="str">
        <f>VLOOKUP($A85,regions_full!$A$2:$AI$267,MATCH(polities_cats!V$1,$A$1:$AN$1,0),0)</f>
        <v>Subsaharan Africa</v>
      </c>
      <c r="W85" t="str">
        <f>VLOOKUP($A85,regions_full!$A$2:$AI$267,MATCH(polities_cats!W$1,$A$1:$AN$1,0),0)</f>
        <v>Sub-saharan Africa</v>
      </c>
      <c r="X85" t="str">
        <f>VLOOKUP($A85,regions_full!$A$2:$AI$267,MATCH(polities_cats!X$1,$A$1:$AN$1,0),0)</f>
        <v>SSA</v>
      </c>
      <c r="Y85" t="str">
        <f>VLOOKUP($A85,regions_full!$A$2:$AI$267,MATCH(polities_cats!Y$1,$A$1:$AN$1,0),0)</f>
        <v>Sub-Saharan Africa</v>
      </c>
      <c r="Z85" t="str">
        <f>VLOOKUP($A85,regions_full!$A$2:$AI$267,MATCH(polities_cats!Z$1,$A$1:$AN$1,0),0)</f>
        <v>Africa</v>
      </c>
      <c r="AA85" t="str">
        <f>VLOOKUP($A85,regions_full!$A$2:$AI$267,MATCH(polities_cats!AA$1,$A$1:$AN$1,0),0)</f>
        <v>Africa</v>
      </c>
      <c r="AB85" t="str">
        <f>VLOOKUP($A85,regions_full!$A$2:$AI$267,MATCH(polities_cats!AB$1,$A$1:$AN$1,0),0)</f>
        <v>Sub-Saharan Africa</v>
      </c>
      <c r="AC85" t="str">
        <f>VLOOKUP($A85,regions_full!$A$2:$AI$267,MATCH(polities_cats!AC$1,$A$1:$AN$1,0),0)</f>
        <v>Western Africa</v>
      </c>
      <c r="AD85" t="str">
        <f>VLOOKUP($A85,regions_full!$A$2:$AI$267,MATCH(polities_cats!AD$1,$A$1:$AN$1,0),0)</f>
        <v>Emerging</v>
      </c>
      <c r="AE85" t="str">
        <f>VLOOKUP($A85,regions_full!$A$2:$AI$267,MATCH(polities_cats!AE$1,$A$1:$AN$1,0),0)</f>
        <v>Annex_II</v>
      </c>
      <c r="AF85" t="str">
        <f>VLOOKUP($A85,regions_full!$A$2:$AI$267,MATCH(polities_cats!AF$1,$A$1:$AN$1,0),0)</f>
        <v>Western Africa</v>
      </c>
      <c r="AG85" t="str">
        <f>VLOOKUP($A85,regions_full!$A$2:$AI$267,MATCH(polities_cats!AG$1,$A$1:$AN$1,0),0)</f>
        <v>SAA</v>
      </c>
      <c r="AH85" t="str">
        <f>VLOOKUP($A85,regions_full!$A$2:$AI$267,MATCH(polities_cats!AH$1,$A$1:$AN$1,0),0)</f>
        <v>no_mech</v>
      </c>
      <c r="AI85" t="str">
        <f>VLOOKUP($A85,regions_full!$A$2:$AI$267,MATCH(polities_cats!AI$1,$A$1:$AN$1,0),0)</f>
        <v>Other</v>
      </c>
      <c r="AJ85" t="e">
        <f>VLOOKUP($A85,regions_full!$A$2:$AI$267,MATCH(polities_cats!AJ$1,$A$1:$AN$1,0),0)</f>
        <v>#REF!</v>
      </c>
      <c r="AK85" t="e">
        <f>VLOOKUP($A85,regions_full!$A$2:$AI$267,MATCH(polities_cats!AK$1,$A$1:$AN$1,0),0)</f>
        <v>#REF!</v>
      </c>
      <c r="AL85" t="e">
        <f>VLOOKUP($A85,regions_full!$A$2:$AI$267,MATCH(polities_cats!AL$1,$A$1:$AN$1,0),0)</f>
        <v>#REF!</v>
      </c>
      <c r="AM85" t="e">
        <f>VLOOKUP($A85,regions_full!$A$2:$AI$267,MATCH(polities_cats!AM$1,$A$1:$AN$1,0),0)</f>
        <v>#REF!</v>
      </c>
      <c r="AN85" t="e">
        <f>VLOOKUP($A85,regions_full!$A$2:$AI$267,MATCH(polities_cats!AN$1,$A$1:$AN$1,0),0)</f>
        <v>#REF!</v>
      </c>
    </row>
    <row r="86" spans="1:40" x14ac:dyDescent="0.3">
      <c r="A86" t="str">
        <f>polities_whep!A86</f>
        <v>JAM</v>
      </c>
      <c r="B86" t="str">
        <f>polities_whep!B86</f>
        <v>Jamaica</v>
      </c>
      <c r="C86">
        <f>VLOOKUP($A86,regions_full!$A$2:$AI$267,MATCH(polities_cats!C$1,$A$1:$AN$1,0),0)</f>
        <v>106</v>
      </c>
      <c r="D86">
        <f>VLOOKUP($A86,regions_full!$A$2:$AI$267,MATCH(polities_cats!D$1,$A$1:$AN$1,0),0)</f>
        <v>109</v>
      </c>
      <c r="E86" t="str">
        <f>VLOOKUP($A86,regions_full!$A$2:$AI$267,MATCH(polities_cats!E$1,$A$1:$AN$1,0),0)</f>
        <v>JAM</v>
      </c>
      <c r="F86" t="str">
        <f>VLOOKUP($A86,regions_full!$A$2:$AI$267,MATCH(polities_cats!F$1,$A$1:$AN$1,0),0)</f>
        <v>Jamaica</v>
      </c>
      <c r="G86" t="str">
        <f>VLOOKUP($A86,regions_full!$A$2:$AI$267,MATCH(polities_cats!G$1,$A$1:$AN$1,0),0)</f>
        <v>FALSE</v>
      </c>
      <c r="H86" t="str">
        <f>VLOOKUP($A86,regions_full!$A$2:$AI$267,MATCH(polities_cats!H$1,$A$1:$AN$1,0),0)</f>
        <v>Jamaica</v>
      </c>
      <c r="I86" t="str">
        <f>VLOOKUP($A86,regions_full!$A$2:$AI$267,MATCH(polities_cats!I$1,$A$1:$AN$1,0),0)</f>
        <v>Jamaica</v>
      </c>
      <c r="J86" t="str">
        <f>VLOOKUP($A86,regions_full!$A$2:$AI$267,MATCH(polities_cats!J$1,$A$1:$AN$1,0),0)</f>
        <v>Jamaica</v>
      </c>
      <c r="K86">
        <f>VLOOKUP($A86,regions_full!$A$2:$AI$267,MATCH(polities_cats!K$1,$A$1:$AN$1,0),0)</f>
        <v>109</v>
      </c>
      <c r="L86" t="str">
        <f>VLOOKUP($A86,regions_full!$A$2:$AI$267,MATCH(polities_cats!L$1,$A$1:$AN$1,0),0)</f>
        <v>Jamaica</v>
      </c>
      <c r="M86">
        <f>VLOOKUP($A86,regions_full!$A$2:$AI$267,MATCH(polities_cats!M$1,$A$1:$AN$1,0),0)</f>
        <v>388</v>
      </c>
      <c r="N86">
        <f>VLOOKUP($A86,regions_full!$A$2:$AI$267,MATCH(polities_cats!N$1,$A$1:$AN$1,0),0)</f>
        <v>388</v>
      </c>
      <c r="O86">
        <f>VLOOKUP($A86,regions_full!$A$2:$AI$267,MATCH(polities_cats!O$1,$A$1:$AN$1,0),0)</f>
        <v>3</v>
      </c>
      <c r="P86" t="str">
        <f>VLOOKUP($A86,regions_full!$A$2:$AI$267,MATCH(polities_cats!P$1,$A$1:$AN$1,0),0)</f>
        <v>TRUE</v>
      </c>
      <c r="Q86">
        <f>VLOOKUP($A86,regions_full!$A$2:$AI$267,MATCH(polities_cats!Q$1,$A$1:$AN$1,0),0)</f>
        <v>109</v>
      </c>
      <c r="R86" t="str">
        <f>VLOOKUP($A86,regions_full!$A$2:$AI$267,MATCH(polities_cats!R$1,$A$1:$AN$1,0),0)</f>
        <v/>
      </c>
      <c r="S86" t="str">
        <f>VLOOKUP($A86,regions_full!$A$2:$AI$267,MATCH(polities_cats!S$1,$A$1:$AN$1,0),0)</f>
        <v>Central America</v>
      </c>
      <c r="T86">
        <f>VLOOKUP($A86,regions_full!$A$2:$AI$267,MATCH(polities_cats!T$1,$A$1:$AN$1,0),0)</f>
        <v>1</v>
      </c>
      <c r="U86" t="str">
        <f>VLOOKUP($A86,regions_full!$A$2:$AI$267,MATCH(polities_cats!U$1,$A$1:$AN$1,0),0)</f>
        <v>Jamaica</v>
      </c>
      <c r="V86" t="str">
        <f>VLOOKUP($A86,regions_full!$A$2:$AI$267,MATCH(polities_cats!V$1,$A$1:$AN$1,0),0)</f>
        <v>Latin America and the Caribbean</v>
      </c>
      <c r="W86" t="str">
        <f>VLOOKUP($A86,regions_full!$A$2:$AI$267,MATCH(polities_cats!W$1,$A$1:$AN$1,0),0)</f>
        <v>Latin America and Caribbean</v>
      </c>
      <c r="X86" t="str">
        <f>VLOOKUP($A86,regions_full!$A$2:$AI$267,MATCH(polities_cats!X$1,$A$1:$AN$1,0),0)</f>
        <v>LACA</v>
      </c>
      <c r="Y86" t="str">
        <f>VLOOKUP($A86,regions_full!$A$2:$AI$267,MATCH(polities_cats!Y$1,$A$1:$AN$1,0),0)</f>
        <v>Latin America and the Caribbean</v>
      </c>
      <c r="Z86" t="str">
        <f>VLOOKUP($A86,regions_full!$A$2:$AI$267,MATCH(polities_cats!Z$1,$A$1:$AN$1,0),0)</f>
        <v>Americas</v>
      </c>
      <c r="AA86" t="str">
        <f>VLOOKUP($A86,regions_full!$A$2:$AI$267,MATCH(polities_cats!AA$1,$A$1:$AN$1,0),0)</f>
        <v>Americas</v>
      </c>
      <c r="AB86" t="str">
        <f>VLOOKUP($A86,regions_full!$A$2:$AI$267,MATCH(polities_cats!AB$1,$A$1:$AN$1,0),0)</f>
        <v>Latin America and the Caribbean</v>
      </c>
      <c r="AC86" t="str">
        <f>VLOOKUP($A86,regions_full!$A$2:$AI$267,MATCH(polities_cats!AC$1,$A$1:$AN$1,0),0)</f>
        <v>Caribbean</v>
      </c>
      <c r="AD86" t="str">
        <f>VLOOKUP($A86,regions_full!$A$2:$AI$267,MATCH(polities_cats!AD$1,$A$1:$AN$1,0),0)</f>
        <v>Emerging</v>
      </c>
      <c r="AE86" t="str">
        <f>VLOOKUP($A86,regions_full!$A$2:$AI$267,MATCH(polities_cats!AE$1,$A$1:$AN$1,0),0)</f>
        <v>Annex_II</v>
      </c>
      <c r="AF86" t="str">
        <f>VLOOKUP($A86,regions_full!$A$2:$AI$267,MATCH(polities_cats!AF$1,$A$1:$AN$1,0),0)</f>
        <v>Caribbean &amp; Centra Am.</v>
      </c>
      <c r="AG86" t="str">
        <f>VLOOKUP($A86,regions_full!$A$2:$AI$267,MATCH(polities_cats!AG$1,$A$1:$AN$1,0),0)</f>
        <v>LACA</v>
      </c>
      <c r="AH86" t="str">
        <f>VLOOKUP($A86,regions_full!$A$2:$AI$267,MATCH(polities_cats!AH$1,$A$1:$AN$1,0),0)</f>
        <v>no_mech</v>
      </c>
      <c r="AI86" t="str">
        <f>VLOOKUP($A86,regions_full!$A$2:$AI$267,MATCH(polities_cats!AI$1,$A$1:$AN$1,0),0)</f>
        <v>Other</v>
      </c>
      <c r="AJ86" t="e">
        <f>VLOOKUP($A86,regions_full!$A$2:$AI$267,MATCH(polities_cats!AJ$1,$A$1:$AN$1,0),0)</f>
        <v>#REF!</v>
      </c>
      <c r="AK86" t="e">
        <f>VLOOKUP($A86,regions_full!$A$2:$AI$267,MATCH(polities_cats!AK$1,$A$1:$AN$1,0),0)</f>
        <v>#REF!</v>
      </c>
      <c r="AL86" t="e">
        <f>VLOOKUP($A86,regions_full!$A$2:$AI$267,MATCH(polities_cats!AL$1,$A$1:$AN$1,0),0)</f>
        <v>#REF!</v>
      </c>
      <c r="AM86" t="e">
        <f>VLOOKUP($A86,regions_full!$A$2:$AI$267,MATCH(polities_cats!AM$1,$A$1:$AN$1,0),0)</f>
        <v>#REF!</v>
      </c>
      <c r="AN86" t="e">
        <f>VLOOKUP($A86,regions_full!$A$2:$AI$267,MATCH(polities_cats!AN$1,$A$1:$AN$1,0),0)</f>
        <v>#REF!</v>
      </c>
    </row>
    <row r="87" spans="1:40" x14ac:dyDescent="0.3">
      <c r="A87" t="str">
        <f>polities_whep!A87</f>
        <v>JPN</v>
      </c>
      <c r="B87" t="str">
        <f>polities_whep!B87</f>
        <v>Japan</v>
      </c>
      <c r="C87">
        <f>VLOOKUP($A87,regions_full!$A$2:$AI$267,MATCH(polities_cats!C$1,$A$1:$AN$1,0),0)</f>
        <v>107</v>
      </c>
      <c r="D87">
        <f>VLOOKUP($A87,regions_full!$A$2:$AI$267,MATCH(polities_cats!D$1,$A$1:$AN$1,0),0)</f>
        <v>110</v>
      </c>
      <c r="E87" t="str">
        <f>VLOOKUP($A87,regions_full!$A$2:$AI$267,MATCH(polities_cats!E$1,$A$1:$AN$1,0),0)</f>
        <v>JPN</v>
      </c>
      <c r="F87" t="str">
        <f>VLOOKUP($A87,regions_full!$A$2:$AI$267,MATCH(polities_cats!F$1,$A$1:$AN$1,0),0)</f>
        <v>Japan</v>
      </c>
      <c r="G87" t="str">
        <f>VLOOKUP($A87,regions_full!$A$2:$AI$267,MATCH(polities_cats!G$1,$A$1:$AN$1,0),0)</f>
        <v>FALSE</v>
      </c>
      <c r="H87" t="str">
        <f>VLOOKUP($A87,regions_full!$A$2:$AI$267,MATCH(polities_cats!H$1,$A$1:$AN$1,0),0)</f>
        <v>Japan</v>
      </c>
      <c r="I87" t="str">
        <f>VLOOKUP($A87,regions_full!$A$2:$AI$267,MATCH(polities_cats!I$1,$A$1:$AN$1,0),0)</f>
        <v>Japan</v>
      </c>
      <c r="J87" t="str">
        <f>VLOOKUP($A87,regions_full!$A$2:$AI$267,MATCH(polities_cats!J$1,$A$1:$AN$1,0),0)</f>
        <v>Japan</v>
      </c>
      <c r="K87">
        <f>VLOOKUP($A87,regions_full!$A$2:$AI$267,MATCH(polities_cats!K$1,$A$1:$AN$1,0),0)</f>
        <v>110</v>
      </c>
      <c r="L87" t="str">
        <f>VLOOKUP($A87,regions_full!$A$2:$AI$267,MATCH(polities_cats!L$1,$A$1:$AN$1,0),0)</f>
        <v>Japan</v>
      </c>
      <c r="M87">
        <f>VLOOKUP($A87,regions_full!$A$2:$AI$267,MATCH(polities_cats!M$1,$A$1:$AN$1,0),0)</f>
        <v>392</v>
      </c>
      <c r="N87">
        <f>VLOOKUP($A87,regions_full!$A$2:$AI$267,MATCH(polities_cats!N$1,$A$1:$AN$1,0),0)</f>
        <v>392</v>
      </c>
      <c r="O87">
        <f>VLOOKUP($A87,regions_full!$A$2:$AI$267,MATCH(polities_cats!O$1,$A$1:$AN$1,0),0)</f>
        <v>17</v>
      </c>
      <c r="P87" t="str">
        <f>VLOOKUP($A87,regions_full!$A$2:$AI$267,MATCH(polities_cats!P$1,$A$1:$AN$1,0),0)</f>
        <v>TRUE</v>
      </c>
      <c r="Q87">
        <f>VLOOKUP($A87,regions_full!$A$2:$AI$267,MATCH(polities_cats!Q$1,$A$1:$AN$1,0),0)</f>
        <v>110</v>
      </c>
      <c r="R87" t="str">
        <f>VLOOKUP($A87,regions_full!$A$2:$AI$267,MATCH(polities_cats!R$1,$A$1:$AN$1,0),0)</f>
        <v/>
      </c>
      <c r="S87" t="str">
        <f>VLOOKUP($A87,regions_full!$A$2:$AI$267,MATCH(polities_cats!S$1,$A$1:$AN$1,0),0)</f>
        <v>Japan</v>
      </c>
      <c r="T87">
        <f>VLOOKUP($A87,regions_full!$A$2:$AI$267,MATCH(polities_cats!T$1,$A$1:$AN$1,0),0)</f>
        <v>1</v>
      </c>
      <c r="U87" t="str">
        <f>VLOOKUP($A87,regions_full!$A$2:$AI$267,MATCH(polities_cats!U$1,$A$1:$AN$1,0),0)</f>
        <v>Japan</v>
      </c>
      <c r="V87" t="str">
        <f>VLOOKUP($A87,regions_full!$A$2:$AI$267,MATCH(polities_cats!V$1,$A$1:$AN$1,0),0)</f>
        <v>Eastern Asia</v>
      </c>
      <c r="W87" t="str">
        <f>VLOOKUP($A87,regions_full!$A$2:$AI$267,MATCH(polities_cats!W$1,$A$1:$AN$1,0),0)</f>
        <v>East Asia</v>
      </c>
      <c r="X87" t="str">
        <f>VLOOKUP($A87,regions_full!$A$2:$AI$267,MATCH(polities_cats!X$1,$A$1:$AN$1,0),0)</f>
        <v>S&amp;E Asia</v>
      </c>
      <c r="Y87" t="str">
        <f>VLOOKUP($A87,regions_full!$A$2:$AI$267,MATCH(polities_cats!Y$1,$A$1:$AN$1,0),0)</f>
        <v>Eastern Asia</v>
      </c>
      <c r="Z87" t="str">
        <f>VLOOKUP($A87,regions_full!$A$2:$AI$267,MATCH(polities_cats!Z$1,$A$1:$AN$1,0),0)</f>
        <v>Asia</v>
      </c>
      <c r="AA87" t="str">
        <f>VLOOKUP($A87,regions_full!$A$2:$AI$267,MATCH(polities_cats!AA$1,$A$1:$AN$1,0),0)</f>
        <v>Asia and the Pacific</v>
      </c>
      <c r="AB87" t="str">
        <f>VLOOKUP($A87,regions_full!$A$2:$AI$267,MATCH(polities_cats!AB$1,$A$1:$AN$1,0),0)</f>
        <v>Eastern Asia</v>
      </c>
      <c r="AC87" t="str">
        <f>VLOOKUP($A87,regions_full!$A$2:$AI$267,MATCH(polities_cats!AC$1,$A$1:$AN$1,0),0)</f>
        <v>Eastern Asia</v>
      </c>
      <c r="AD87" t="str">
        <f>VLOOKUP($A87,regions_full!$A$2:$AI$267,MATCH(polities_cats!AD$1,$A$1:$AN$1,0),0)</f>
        <v>Advanced</v>
      </c>
      <c r="AE87" t="str">
        <f>VLOOKUP($A87,regions_full!$A$2:$AI$267,MATCH(polities_cats!AE$1,$A$1:$AN$1,0),0)</f>
        <v>Annex_I</v>
      </c>
      <c r="AF87" t="str">
        <f>VLOOKUP($A87,regions_full!$A$2:$AI$267,MATCH(polities_cats!AF$1,$A$1:$AN$1,0),0)</f>
        <v>Eastern Asia</v>
      </c>
      <c r="AG87" t="str">
        <f>VLOOKUP($A87,regions_full!$A$2:$AI$267,MATCH(polities_cats!AG$1,$A$1:$AN$1,0),0)</f>
        <v>SE-Asia</v>
      </c>
      <c r="AH87" t="str">
        <f>VLOOKUP($A87,regions_full!$A$2:$AI$267,MATCH(polities_cats!AH$1,$A$1:$AN$1,0),0)</f>
        <v>no_mech</v>
      </c>
      <c r="AI87" t="str">
        <f>VLOOKUP($A87,regions_full!$A$2:$AI$267,MATCH(polities_cats!AI$1,$A$1:$AN$1,0),0)</f>
        <v>Other</v>
      </c>
      <c r="AJ87" t="e">
        <f>VLOOKUP($A87,regions_full!$A$2:$AI$267,MATCH(polities_cats!AJ$1,$A$1:$AN$1,0),0)</f>
        <v>#REF!</v>
      </c>
      <c r="AK87" t="e">
        <f>VLOOKUP($A87,regions_full!$A$2:$AI$267,MATCH(polities_cats!AK$1,$A$1:$AN$1,0),0)</f>
        <v>#REF!</v>
      </c>
      <c r="AL87" t="e">
        <f>VLOOKUP($A87,regions_full!$A$2:$AI$267,MATCH(polities_cats!AL$1,$A$1:$AN$1,0),0)</f>
        <v>#REF!</v>
      </c>
      <c r="AM87" t="e">
        <f>VLOOKUP($A87,regions_full!$A$2:$AI$267,MATCH(polities_cats!AM$1,$A$1:$AN$1,0),0)</f>
        <v>#REF!</v>
      </c>
      <c r="AN87" t="e">
        <f>VLOOKUP($A87,regions_full!$A$2:$AI$267,MATCH(polities_cats!AN$1,$A$1:$AN$1,0),0)</f>
        <v>#REF!</v>
      </c>
    </row>
    <row r="88" spans="1:40" x14ac:dyDescent="0.3">
      <c r="A88" t="str">
        <f>polities_whep!A88</f>
        <v>JOR</v>
      </c>
      <c r="B88" t="str">
        <f>polities_whep!B88</f>
        <v>Jordan</v>
      </c>
      <c r="C88">
        <f>VLOOKUP($A88,regions_full!$A$2:$AI$267,MATCH(polities_cats!C$1,$A$1:$AN$1,0),0)</f>
        <v>109</v>
      </c>
      <c r="D88">
        <f>VLOOKUP($A88,regions_full!$A$2:$AI$267,MATCH(polities_cats!D$1,$A$1:$AN$1,0),0)</f>
        <v>112</v>
      </c>
      <c r="E88" t="str">
        <f>VLOOKUP($A88,regions_full!$A$2:$AI$267,MATCH(polities_cats!E$1,$A$1:$AN$1,0),0)</f>
        <v>JOR</v>
      </c>
      <c r="F88" t="str">
        <f>VLOOKUP($A88,regions_full!$A$2:$AI$267,MATCH(polities_cats!F$1,$A$1:$AN$1,0),0)</f>
        <v>Jordan</v>
      </c>
      <c r="G88" t="str">
        <f>VLOOKUP($A88,regions_full!$A$2:$AI$267,MATCH(polities_cats!G$1,$A$1:$AN$1,0),0)</f>
        <v>FALSE</v>
      </c>
      <c r="H88" t="str">
        <f>VLOOKUP($A88,regions_full!$A$2:$AI$267,MATCH(polities_cats!H$1,$A$1:$AN$1,0),0)</f>
        <v>Jordan</v>
      </c>
      <c r="I88" t="str">
        <f>VLOOKUP($A88,regions_full!$A$2:$AI$267,MATCH(polities_cats!I$1,$A$1:$AN$1,0),0)</f>
        <v>Jordan</v>
      </c>
      <c r="J88" t="str">
        <f>VLOOKUP($A88,regions_full!$A$2:$AI$267,MATCH(polities_cats!J$1,$A$1:$AN$1,0),0)</f>
        <v>Jordan</v>
      </c>
      <c r="K88">
        <f>VLOOKUP($A88,regions_full!$A$2:$AI$267,MATCH(polities_cats!K$1,$A$1:$AN$1,0),0)</f>
        <v>112</v>
      </c>
      <c r="L88" t="str">
        <f>VLOOKUP($A88,regions_full!$A$2:$AI$267,MATCH(polities_cats!L$1,$A$1:$AN$1,0),0)</f>
        <v>Jordan</v>
      </c>
      <c r="M88">
        <f>VLOOKUP($A88,regions_full!$A$2:$AI$267,MATCH(polities_cats!M$1,$A$1:$AN$1,0),0)</f>
        <v>400</v>
      </c>
      <c r="N88">
        <f>VLOOKUP($A88,regions_full!$A$2:$AI$267,MATCH(polities_cats!N$1,$A$1:$AN$1,0),0)</f>
        <v>400</v>
      </c>
      <c r="O88">
        <f>VLOOKUP($A88,regions_full!$A$2:$AI$267,MATCH(polities_cats!O$1,$A$1:$AN$1,0),0)</f>
        <v>12</v>
      </c>
      <c r="P88" t="str">
        <f>VLOOKUP($A88,regions_full!$A$2:$AI$267,MATCH(polities_cats!P$1,$A$1:$AN$1,0),0)</f>
        <v>TRUE</v>
      </c>
      <c r="Q88">
        <f>VLOOKUP($A88,regions_full!$A$2:$AI$267,MATCH(polities_cats!Q$1,$A$1:$AN$1,0),0)</f>
        <v>112</v>
      </c>
      <c r="R88" t="str">
        <f>VLOOKUP($A88,regions_full!$A$2:$AI$267,MATCH(polities_cats!R$1,$A$1:$AN$1,0),0)</f>
        <v/>
      </c>
      <c r="S88" t="str">
        <f>VLOOKUP($A88,regions_full!$A$2:$AI$267,MATCH(polities_cats!S$1,$A$1:$AN$1,0),0)</f>
        <v>Middle East</v>
      </c>
      <c r="T88">
        <f>VLOOKUP($A88,regions_full!$A$2:$AI$267,MATCH(polities_cats!T$1,$A$1:$AN$1,0),0)</f>
        <v>1</v>
      </c>
      <c r="U88" t="str">
        <f>VLOOKUP($A88,regions_full!$A$2:$AI$267,MATCH(polities_cats!U$1,$A$1:$AN$1,0),0)</f>
        <v>Jordan</v>
      </c>
      <c r="V88" t="str">
        <f>VLOOKUP($A88,regions_full!$A$2:$AI$267,MATCH(polities_cats!V$1,$A$1:$AN$1,0),0)</f>
        <v>Northern Africa and Western Asia</v>
      </c>
      <c r="W88" t="str">
        <f>VLOOKUP($A88,regions_full!$A$2:$AI$267,MATCH(polities_cats!W$1,$A$1:$AN$1,0),0)</f>
        <v>North Africa and West Asia</v>
      </c>
      <c r="X88" t="str">
        <f>VLOOKUP($A88,regions_full!$A$2:$AI$267,MATCH(polities_cats!X$1,$A$1:$AN$1,0),0)</f>
        <v>MENA</v>
      </c>
      <c r="Y88" t="str">
        <f>VLOOKUP($A88,regions_full!$A$2:$AI$267,MATCH(polities_cats!Y$1,$A$1:$AN$1,0),0)</f>
        <v>Western Asia</v>
      </c>
      <c r="Z88" t="str">
        <f>VLOOKUP($A88,regions_full!$A$2:$AI$267,MATCH(polities_cats!Z$1,$A$1:$AN$1,0),0)</f>
        <v>Asia</v>
      </c>
      <c r="AA88" t="str">
        <f>VLOOKUP($A88,regions_full!$A$2:$AI$267,MATCH(polities_cats!AA$1,$A$1:$AN$1,0),0)</f>
        <v>Arab States</v>
      </c>
      <c r="AB88" t="str">
        <f>VLOOKUP($A88,regions_full!$A$2:$AI$267,MATCH(polities_cats!AB$1,$A$1:$AN$1,0),0)</f>
        <v>Arab States</v>
      </c>
      <c r="AC88" t="str">
        <f>VLOOKUP($A88,regions_full!$A$2:$AI$267,MATCH(polities_cats!AC$1,$A$1:$AN$1,0),0)</f>
        <v>Arab States</v>
      </c>
      <c r="AD88" t="str">
        <f>VLOOKUP($A88,regions_full!$A$2:$AI$267,MATCH(polities_cats!AD$1,$A$1:$AN$1,0),0)</f>
        <v>Emerging</v>
      </c>
      <c r="AE88" t="str">
        <f>VLOOKUP($A88,regions_full!$A$2:$AI$267,MATCH(polities_cats!AE$1,$A$1:$AN$1,0),0)</f>
        <v>Annex_II</v>
      </c>
      <c r="AF88" t="str">
        <f>VLOOKUP($A88,regions_full!$A$2:$AI$267,MATCH(polities_cats!AF$1,$A$1:$AN$1,0),0)</f>
        <v>Western Asia</v>
      </c>
      <c r="AG88" t="str">
        <f>VLOOKUP($A88,regions_full!$A$2:$AI$267,MATCH(polities_cats!AG$1,$A$1:$AN$1,0),0)</f>
        <v>MENA</v>
      </c>
      <c r="AH88" t="str">
        <f>VLOOKUP($A88,regions_full!$A$2:$AI$267,MATCH(polities_cats!AH$1,$A$1:$AN$1,0),0)</f>
        <v>no_mech</v>
      </c>
      <c r="AI88" t="str">
        <f>VLOOKUP($A88,regions_full!$A$2:$AI$267,MATCH(polities_cats!AI$1,$A$1:$AN$1,0),0)</f>
        <v>Other</v>
      </c>
      <c r="AJ88" t="e">
        <f>VLOOKUP($A88,regions_full!$A$2:$AI$267,MATCH(polities_cats!AJ$1,$A$1:$AN$1,0),0)</f>
        <v>#REF!</v>
      </c>
      <c r="AK88" t="e">
        <f>VLOOKUP($A88,regions_full!$A$2:$AI$267,MATCH(polities_cats!AK$1,$A$1:$AN$1,0),0)</f>
        <v>#REF!</v>
      </c>
      <c r="AL88" t="e">
        <f>VLOOKUP($A88,regions_full!$A$2:$AI$267,MATCH(polities_cats!AL$1,$A$1:$AN$1,0),0)</f>
        <v>#REF!</v>
      </c>
      <c r="AM88" t="e">
        <f>VLOOKUP($A88,regions_full!$A$2:$AI$267,MATCH(polities_cats!AM$1,$A$1:$AN$1,0),0)</f>
        <v>#REF!</v>
      </c>
      <c r="AN88" t="e">
        <f>VLOOKUP($A88,regions_full!$A$2:$AI$267,MATCH(polities_cats!AN$1,$A$1:$AN$1,0),0)</f>
        <v>#REF!</v>
      </c>
    </row>
    <row r="89" spans="1:40" x14ac:dyDescent="0.3">
      <c r="A89" t="str">
        <f>polities_whep!A89</f>
        <v>KAZ</v>
      </c>
      <c r="B89" t="str">
        <f>polities_whep!B89</f>
        <v>Kazakhstan</v>
      </c>
      <c r="C89">
        <f>VLOOKUP($A89,regions_full!$A$2:$AI$267,MATCH(polities_cats!C$1,$A$1:$AN$1,0),0)</f>
        <v>105</v>
      </c>
      <c r="D89">
        <f>VLOOKUP($A89,regions_full!$A$2:$AI$267,MATCH(polities_cats!D$1,$A$1:$AN$1,0),0)</f>
        <v>108</v>
      </c>
      <c r="E89" t="str">
        <f>VLOOKUP($A89,regions_full!$A$2:$AI$267,MATCH(polities_cats!E$1,$A$1:$AN$1,0),0)</f>
        <v>KAZ</v>
      </c>
      <c r="F89" t="str">
        <f>VLOOKUP($A89,regions_full!$A$2:$AI$267,MATCH(polities_cats!F$1,$A$1:$AN$1,0),0)</f>
        <v>Kazakhstan</v>
      </c>
      <c r="G89" t="str">
        <f>VLOOKUP($A89,regions_full!$A$2:$AI$267,MATCH(polities_cats!G$1,$A$1:$AN$1,0),0)</f>
        <v>FALSE</v>
      </c>
      <c r="H89" t="str">
        <f>VLOOKUP($A89,regions_full!$A$2:$AI$267,MATCH(polities_cats!H$1,$A$1:$AN$1,0),0)</f>
        <v>Kazakhstan</v>
      </c>
      <c r="I89" t="str">
        <f>VLOOKUP($A89,regions_full!$A$2:$AI$267,MATCH(polities_cats!I$1,$A$1:$AN$1,0),0)</f>
        <v>Kazakhstan</v>
      </c>
      <c r="J89" t="str">
        <f>VLOOKUP($A89,regions_full!$A$2:$AI$267,MATCH(polities_cats!J$1,$A$1:$AN$1,0),0)</f>
        <v>Kazakhstan</v>
      </c>
      <c r="K89">
        <f>VLOOKUP($A89,regions_full!$A$2:$AI$267,MATCH(polities_cats!K$1,$A$1:$AN$1,0),0)</f>
        <v>108</v>
      </c>
      <c r="L89" t="str">
        <f>VLOOKUP($A89,regions_full!$A$2:$AI$267,MATCH(polities_cats!L$1,$A$1:$AN$1,0),0)</f>
        <v>Kazakhstan</v>
      </c>
      <c r="M89">
        <f>VLOOKUP($A89,regions_full!$A$2:$AI$267,MATCH(polities_cats!M$1,$A$1:$AN$1,0),0)</f>
        <v>398</v>
      </c>
      <c r="N89">
        <f>VLOOKUP($A89,regions_full!$A$2:$AI$267,MATCH(polities_cats!N$1,$A$1:$AN$1,0),0)</f>
        <v>398</v>
      </c>
      <c r="O89">
        <f>VLOOKUP($A89,regions_full!$A$2:$AI$267,MATCH(polities_cats!O$1,$A$1:$AN$1,0),0)</f>
        <v>11</v>
      </c>
      <c r="P89" t="str">
        <f>VLOOKUP($A89,regions_full!$A$2:$AI$267,MATCH(polities_cats!P$1,$A$1:$AN$1,0),0)</f>
        <v>TRUE</v>
      </c>
      <c r="Q89">
        <f>VLOOKUP($A89,regions_full!$A$2:$AI$267,MATCH(polities_cats!Q$1,$A$1:$AN$1,0),0)</f>
        <v>108</v>
      </c>
      <c r="R89" t="str">
        <f>VLOOKUP($A89,regions_full!$A$2:$AI$267,MATCH(polities_cats!R$1,$A$1:$AN$1,0),0)</f>
        <v/>
      </c>
      <c r="S89" t="str">
        <f>VLOOKUP($A89,regions_full!$A$2:$AI$267,MATCH(polities_cats!S$1,$A$1:$AN$1,0),0)</f>
        <v>Former USSR</v>
      </c>
      <c r="T89">
        <f>VLOOKUP($A89,regions_full!$A$2:$AI$267,MATCH(polities_cats!T$1,$A$1:$AN$1,0),0)</f>
        <v>1</v>
      </c>
      <c r="U89" t="str">
        <f>VLOOKUP($A89,regions_full!$A$2:$AI$267,MATCH(polities_cats!U$1,$A$1:$AN$1,0),0)</f>
        <v>Kazakhstan</v>
      </c>
      <c r="V89" t="str">
        <f>VLOOKUP($A89,regions_full!$A$2:$AI$267,MATCH(polities_cats!V$1,$A$1:$AN$1,0),0)</f>
        <v>Central Asia and Russian Federation</v>
      </c>
      <c r="W89" t="str">
        <f>VLOOKUP($A89,regions_full!$A$2:$AI$267,MATCH(polities_cats!W$1,$A$1:$AN$1,0),0)</f>
        <v>South and Central Asia</v>
      </c>
      <c r="X89" t="str">
        <f>VLOOKUP($A89,regions_full!$A$2:$AI$267,MATCH(polities_cats!X$1,$A$1:$AN$1,0),0)</f>
        <v>CAS &amp; Russia</v>
      </c>
      <c r="Y89" t="str">
        <f>VLOOKUP($A89,regions_full!$A$2:$AI$267,MATCH(polities_cats!Y$1,$A$1:$AN$1,0),0)</f>
        <v>Central Asia</v>
      </c>
      <c r="Z89" t="str">
        <f>VLOOKUP($A89,regions_full!$A$2:$AI$267,MATCH(polities_cats!Z$1,$A$1:$AN$1,0),0)</f>
        <v>Asia</v>
      </c>
      <c r="AA89" t="str">
        <f>VLOOKUP($A89,regions_full!$A$2:$AI$267,MATCH(polities_cats!AA$1,$A$1:$AN$1,0),0)</f>
        <v>Europe and Central Asia</v>
      </c>
      <c r="AB89" t="str">
        <f>VLOOKUP($A89,regions_full!$A$2:$AI$267,MATCH(polities_cats!AB$1,$A$1:$AN$1,0),0)</f>
        <v>Central and Western Asia</v>
      </c>
      <c r="AC89" t="str">
        <f>VLOOKUP($A89,regions_full!$A$2:$AI$267,MATCH(polities_cats!AC$1,$A$1:$AN$1,0),0)</f>
        <v>Central Asia</v>
      </c>
      <c r="AD89" t="str">
        <f>VLOOKUP($A89,regions_full!$A$2:$AI$267,MATCH(polities_cats!AD$1,$A$1:$AN$1,0),0)</f>
        <v>Emerging</v>
      </c>
      <c r="AE89" t="str">
        <f>VLOOKUP($A89,regions_full!$A$2:$AI$267,MATCH(polities_cats!AE$1,$A$1:$AN$1,0),0)</f>
        <v>Annex_II</v>
      </c>
      <c r="AF89" t="str">
        <f>VLOOKUP($A89,regions_full!$A$2:$AI$267,MATCH(polities_cats!AF$1,$A$1:$AN$1,0),0)</f>
        <v>FSU</v>
      </c>
      <c r="AG89" t="str">
        <f>VLOOKUP($A89,regions_full!$A$2:$AI$267,MATCH(polities_cats!AG$1,$A$1:$AN$1,0),0)</f>
        <v>FSU</v>
      </c>
      <c r="AH89" t="str">
        <f>VLOOKUP($A89,regions_full!$A$2:$AI$267,MATCH(polities_cats!AH$1,$A$1:$AN$1,0),0)</f>
        <v>mech</v>
      </c>
      <c r="AI89" t="str">
        <f>VLOOKUP($A89,regions_full!$A$2:$AI$267,MATCH(polities_cats!AI$1,$A$1:$AN$1,0),0)</f>
        <v>Other</v>
      </c>
      <c r="AJ89" t="e">
        <f>VLOOKUP($A89,regions_full!$A$2:$AI$267,MATCH(polities_cats!AJ$1,$A$1:$AN$1,0),0)</f>
        <v>#REF!</v>
      </c>
      <c r="AK89" t="e">
        <f>VLOOKUP($A89,regions_full!$A$2:$AI$267,MATCH(polities_cats!AK$1,$A$1:$AN$1,0),0)</f>
        <v>#REF!</v>
      </c>
      <c r="AL89" t="e">
        <f>VLOOKUP($A89,regions_full!$A$2:$AI$267,MATCH(polities_cats!AL$1,$A$1:$AN$1,0),0)</f>
        <v>#REF!</v>
      </c>
      <c r="AM89" t="e">
        <f>VLOOKUP($A89,regions_full!$A$2:$AI$267,MATCH(polities_cats!AM$1,$A$1:$AN$1,0),0)</f>
        <v>#REF!</v>
      </c>
      <c r="AN89" t="e">
        <f>VLOOKUP($A89,regions_full!$A$2:$AI$267,MATCH(polities_cats!AN$1,$A$1:$AN$1,0),0)</f>
        <v>#REF!</v>
      </c>
    </row>
    <row r="90" spans="1:40" x14ac:dyDescent="0.3">
      <c r="A90" t="str">
        <f>polities_whep!A90</f>
        <v>KEN</v>
      </c>
      <c r="B90" t="str">
        <f>polities_whep!B90</f>
        <v>Kenya</v>
      </c>
      <c r="C90">
        <f>VLOOKUP($A90,regions_full!$A$2:$AI$267,MATCH(polities_cats!C$1,$A$1:$AN$1,0),0)</f>
        <v>111</v>
      </c>
      <c r="D90">
        <f>VLOOKUP($A90,regions_full!$A$2:$AI$267,MATCH(polities_cats!D$1,$A$1:$AN$1,0),0)</f>
        <v>114</v>
      </c>
      <c r="E90" t="str">
        <f>VLOOKUP($A90,regions_full!$A$2:$AI$267,MATCH(polities_cats!E$1,$A$1:$AN$1,0),0)</f>
        <v>KEN</v>
      </c>
      <c r="F90" t="str">
        <f>VLOOKUP($A90,regions_full!$A$2:$AI$267,MATCH(polities_cats!F$1,$A$1:$AN$1,0),0)</f>
        <v>Kenya</v>
      </c>
      <c r="G90" t="str">
        <f>VLOOKUP($A90,regions_full!$A$2:$AI$267,MATCH(polities_cats!G$1,$A$1:$AN$1,0),0)</f>
        <v>FALSE</v>
      </c>
      <c r="H90" t="str">
        <f>VLOOKUP($A90,regions_full!$A$2:$AI$267,MATCH(polities_cats!H$1,$A$1:$AN$1,0),0)</f>
        <v>Kenya</v>
      </c>
      <c r="I90" t="str">
        <f>VLOOKUP($A90,regions_full!$A$2:$AI$267,MATCH(polities_cats!I$1,$A$1:$AN$1,0),0)</f>
        <v>Kenya</v>
      </c>
      <c r="J90" t="str">
        <f>VLOOKUP($A90,regions_full!$A$2:$AI$267,MATCH(polities_cats!J$1,$A$1:$AN$1,0),0)</f>
        <v>Kenya</v>
      </c>
      <c r="K90">
        <f>VLOOKUP($A90,regions_full!$A$2:$AI$267,MATCH(polities_cats!K$1,$A$1:$AN$1,0),0)</f>
        <v>114</v>
      </c>
      <c r="L90" t="str">
        <f>VLOOKUP($A90,regions_full!$A$2:$AI$267,MATCH(polities_cats!L$1,$A$1:$AN$1,0),0)</f>
        <v>Kenya</v>
      </c>
      <c r="M90">
        <f>VLOOKUP($A90,regions_full!$A$2:$AI$267,MATCH(polities_cats!M$1,$A$1:$AN$1,0),0)</f>
        <v>404</v>
      </c>
      <c r="N90">
        <f>VLOOKUP($A90,regions_full!$A$2:$AI$267,MATCH(polities_cats!N$1,$A$1:$AN$1,0),0)</f>
        <v>404</v>
      </c>
      <c r="O90">
        <f>VLOOKUP($A90,regions_full!$A$2:$AI$267,MATCH(polities_cats!O$1,$A$1:$AN$1,0),0)</f>
        <v>7</v>
      </c>
      <c r="P90" t="str">
        <f>VLOOKUP($A90,regions_full!$A$2:$AI$267,MATCH(polities_cats!P$1,$A$1:$AN$1,0),0)</f>
        <v>TRUE</v>
      </c>
      <c r="Q90">
        <f>VLOOKUP($A90,regions_full!$A$2:$AI$267,MATCH(polities_cats!Q$1,$A$1:$AN$1,0),0)</f>
        <v>114</v>
      </c>
      <c r="R90" t="str">
        <f>VLOOKUP($A90,regions_full!$A$2:$AI$267,MATCH(polities_cats!R$1,$A$1:$AN$1,0),0)</f>
        <v/>
      </c>
      <c r="S90" t="str">
        <f>VLOOKUP($A90,regions_full!$A$2:$AI$267,MATCH(polities_cats!S$1,$A$1:$AN$1,0),0)</f>
        <v>Eastern Africa</v>
      </c>
      <c r="T90">
        <f>VLOOKUP($A90,regions_full!$A$2:$AI$267,MATCH(polities_cats!T$1,$A$1:$AN$1,0),0)</f>
        <v>1</v>
      </c>
      <c r="U90" t="str">
        <f>VLOOKUP($A90,regions_full!$A$2:$AI$267,MATCH(polities_cats!U$1,$A$1:$AN$1,0),0)</f>
        <v>Kenya</v>
      </c>
      <c r="V90" t="str">
        <f>VLOOKUP($A90,regions_full!$A$2:$AI$267,MATCH(polities_cats!V$1,$A$1:$AN$1,0),0)</f>
        <v>Subsaharan Africa</v>
      </c>
      <c r="W90" t="str">
        <f>VLOOKUP($A90,regions_full!$A$2:$AI$267,MATCH(polities_cats!W$1,$A$1:$AN$1,0),0)</f>
        <v>Sub-saharan Africa</v>
      </c>
      <c r="X90" t="str">
        <f>VLOOKUP($A90,regions_full!$A$2:$AI$267,MATCH(polities_cats!X$1,$A$1:$AN$1,0),0)</f>
        <v>SSA</v>
      </c>
      <c r="Y90" t="str">
        <f>VLOOKUP($A90,regions_full!$A$2:$AI$267,MATCH(polities_cats!Y$1,$A$1:$AN$1,0),0)</f>
        <v>Sub-Saharan Africa</v>
      </c>
      <c r="Z90" t="str">
        <f>VLOOKUP($A90,regions_full!$A$2:$AI$267,MATCH(polities_cats!Z$1,$A$1:$AN$1,0),0)</f>
        <v>Africa</v>
      </c>
      <c r="AA90" t="str">
        <f>VLOOKUP($A90,regions_full!$A$2:$AI$267,MATCH(polities_cats!AA$1,$A$1:$AN$1,0),0)</f>
        <v>Africa</v>
      </c>
      <c r="AB90" t="str">
        <f>VLOOKUP($A90,regions_full!$A$2:$AI$267,MATCH(polities_cats!AB$1,$A$1:$AN$1,0),0)</f>
        <v>Sub-Saharan Africa</v>
      </c>
      <c r="AC90" t="str">
        <f>VLOOKUP($A90,regions_full!$A$2:$AI$267,MATCH(polities_cats!AC$1,$A$1:$AN$1,0),0)</f>
        <v>Eastern Africa</v>
      </c>
      <c r="AD90" t="str">
        <f>VLOOKUP($A90,regions_full!$A$2:$AI$267,MATCH(polities_cats!AD$1,$A$1:$AN$1,0),0)</f>
        <v>Emerging</v>
      </c>
      <c r="AE90" t="str">
        <f>VLOOKUP($A90,regions_full!$A$2:$AI$267,MATCH(polities_cats!AE$1,$A$1:$AN$1,0),0)</f>
        <v>Annex_II</v>
      </c>
      <c r="AF90" t="str">
        <f>VLOOKUP($A90,regions_full!$A$2:$AI$267,MATCH(polities_cats!AF$1,$A$1:$AN$1,0),0)</f>
        <v>Eastern Africa</v>
      </c>
      <c r="AG90" t="str">
        <f>VLOOKUP($A90,regions_full!$A$2:$AI$267,MATCH(polities_cats!AG$1,$A$1:$AN$1,0),0)</f>
        <v>SAA</v>
      </c>
      <c r="AH90" t="str">
        <f>VLOOKUP($A90,regions_full!$A$2:$AI$267,MATCH(polities_cats!AH$1,$A$1:$AN$1,0),0)</f>
        <v>no_mech</v>
      </c>
      <c r="AI90" t="str">
        <f>VLOOKUP($A90,regions_full!$A$2:$AI$267,MATCH(polities_cats!AI$1,$A$1:$AN$1,0),0)</f>
        <v>Other</v>
      </c>
      <c r="AJ90" t="e">
        <f>VLOOKUP($A90,regions_full!$A$2:$AI$267,MATCH(polities_cats!AJ$1,$A$1:$AN$1,0),0)</f>
        <v>#REF!</v>
      </c>
      <c r="AK90" t="e">
        <f>VLOOKUP($A90,regions_full!$A$2:$AI$267,MATCH(polities_cats!AK$1,$A$1:$AN$1,0),0)</f>
        <v>#REF!</v>
      </c>
      <c r="AL90" t="e">
        <f>VLOOKUP($A90,regions_full!$A$2:$AI$267,MATCH(polities_cats!AL$1,$A$1:$AN$1,0),0)</f>
        <v>#REF!</v>
      </c>
      <c r="AM90" t="e">
        <f>VLOOKUP($A90,regions_full!$A$2:$AI$267,MATCH(polities_cats!AM$1,$A$1:$AN$1,0),0)</f>
        <v>#REF!</v>
      </c>
      <c r="AN90" t="e">
        <f>VLOOKUP($A90,regions_full!$A$2:$AI$267,MATCH(polities_cats!AN$1,$A$1:$AN$1,0),0)</f>
        <v>#REF!</v>
      </c>
    </row>
    <row r="91" spans="1:40" x14ac:dyDescent="0.3">
      <c r="A91" t="str">
        <f>polities_whep!A91</f>
        <v>KIR</v>
      </c>
      <c r="B91" t="str">
        <f>polities_whep!B91</f>
        <v>Kiribati</v>
      </c>
      <c r="C91">
        <f>VLOOKUP($A91,regions_full!$A$2:$AI$267,MATCH(polities_cats!C$1,$A$1:$AN$1,0),0)</f>
        <v>80</v>
      </c>
      <c r="D91">
        <f>VLOOKUP($A91,regions_full!$A$2:$AI$267,MATCH(polities_cats!D$1,$A$1:$AN$1,0),0)</f>
        <v>83</v>
      </c>
      <c r="E91" t="str">
        <f>VLOOKUP($A91,regions_full!$A$2:$AI$267,MATCH(polities_cats!E$1,$A$1:$AN$1,0),0)</f>
        <v>KIR</v>
      </c>
      <c r="F91" t="str">
        <f>VLOOKUP($A91,regions_full!$A$2:$AI$267,MATCH(polities_cats!F$1,$A$1:$AN$1,0),0)</f>
        <v>Kiribati</v>
      </c>
      <c r="G91" t="str">
        <f>VLOOKUP($A91,regions_full!$A$2:$AI$267,MATCH(polities_cats!G$1,$A$1:$AN$1,0),0)</f>
        <v>FALSE</v>
      </c>
      <c r="H91" t="str">
        <f>VLOOKUP($A91,regions_full!$A$2:$AI$267,MATCH(polities_cats!H$1,$A$1:$AN$1,0),0)</f>
        <v>Kiribati</v>
      </c>
      <c r="I91" t="str">
        <f>VLOOKUP($A91,regions_full!$A$2:$AI$267,MATCH(polities_cats!I$1,$A$1:$AN$1,0),0)</f>
        <v>Kiribati</v>
      </c>
      <c r="J91">
        <f>VLOOKUP($A91,regions_full!$A$2:$AI$267,MATCH(polities_cats!J$1,$A$1:$AN$1,0),0)</f>
        <v>0</v>
      </c>
      <c r="K91">
        <f>VLOOKUP($A91,regions_full!$A$2:$AI$267,MATCH(polities_cats!K$1,$A$1:$AN$1,0),0)</f>
        <v>83</v>
      </c>
      <c r="L91" t="str">
        <f>VLOOKUP($A91,regions_full!$A$2:$AI$267,MATCH(polities_cats!L$1,$A$1:$AN$1,0),0)</f>
        <v>Kiribati</v>
      </c>
      <c r="M91">
        <f>VLOOKUP($A91,regions_full!$A$2:$AI$267,MATCH(polities_cats!M$1,$A$1:$AN$1,0),0)</f>
        <v>296</v>
      </c>
      <c r="N91">
        <f>VLOOKUP($A91,regions_full!$A$2:$AI$267,MATCH(polities_cats!N$1,$A$1:$AN$1,0),0)</f>
        <v>296</v>
      </c>
      <c r="O91">
        <f>VLOOKUP($A91,regions_full!$A$2:$AI$267,MATCH(polities_cats!O$1,$A$1:$AN$1,0),0)</f>
        <v>16</v>
      </c>
      <c r="P91" t="str">
        <f>VLOOKUP($A91,regions_full!$A$2:$AI$267,MATCH(polities_cats!P$1,$A$1:$AN$1,0),0)</f>
        <v>TRUE</v>
      </c>
      <c r="Q91">
        <f>VLOOKUP($A91,regions_full!$A$2:$AI$267,MATCH(polities_cats!Q$1,$A$1:$AN$1,0),0)</f>
        <v>83</v>
      </c>
      <c r="R91" t="str">
        <f>VLOOKUP($A91,regions_full!$A$2:$AI$267,MATCH(polities_cats!R$1,$A$1:$AN$1,0),0)</f>
        <v/>
      </c>
      <c r="S91" t="str">
        <f>VLOOKUP($A91,regions_full!$A$2:$AI$267,MATCH(polities_cats!S$1,$A$1:$AN$1,0),0)</f>
        <v>Oceania</v>
      </c>
      <c r="T91">
        <f>VLOOKUP($A91,regions_full!$A$2:$AI$267,MATCH(polities_cats!T$1,$A$1:$AN$1,0),0)</f>
        <v>1</v>
      </c>
      <c r="U91" t="str">
        <f>VLOOKUP($A91,regions_full!$A$2:$AI$267,MATCH(polities_cats!U$1,$A$1:$AN$1,0),0)</f>
        <v>Kiribati</v>
      </c>
      <c r="V91" t="str">
        <f>VLOOKUP($A91,regions_full!$A$2:$AI$267,MATCH(polities_cats!V$1,$A$1:$AN$1,0),0)</f>
        <v>Australia and Oceania</v>
      </c>
      <c r="W91" t="str">
        <f>VLOOKUP($A91,regions_full!$A$2:$AI$267,MATCH(polities_cats!W$1,$A$1:$AN$1,0),0)</f>
        <v>North America and Oceania</v>
      </c>
      <c r="X91" t="str">
        <f>VLOOKUP($A91,regions_full!$A$2:$AI$267,MATCH(polities_cats!X$1,$A$1:$AN$1,0),0)</f>
        <v>Oceania</v>
      </c>
      <c r="Y91" t="str">
        <f>VLOOKUP($A91,regions_full!$A$2:$AI$267,MATCH(polities_cats!Y$1,$A$1:$AN$1,0),0)</f>
        <v>Micronesia</v>
      </c>
      <c r="Z91" t="str">
        <f>VLOOKUP($A91,regions_full!$A$2:$AI$267,MATCH(polities_cats!Z$1,$A$1:$AN$1,0),0)</f>
        <v>Oceania</v>
      </c>
      <c r="AA91" t="str">
        <f>VLOOKUP($A91,regions_full!$A$2:$AI$267,MATCH(polities_cats!AA$1,$A$1:$AN$1,0),0)</f>
        <v>Asia and the Pacific</v>
      </c>
      <c r="AB91" t="str">
        <f>VLOOKUP($A91,regions_full!$A$2:$AI$267,MATCH(polities_cats!AB$1,$A$1:$AN$1,0),0)</f>
        <v>South-Eastern Asia and the Pacific</v>
      </c>
      <c r="AC91" t="str">
        <f>VLOOKUP($A91,regions_full!$A$2:$AI$267,MATCH(polities_cats!AC$1,$A$1:$AN$1,0),0)</f>
        <v>Pacific Islands</v>
      </c>
      <c r="AD91" t="str">
        <f>VLOOKUP($A91,regions_full!$A$2:$AI$267,MATCH(polities_cats!AD$1,$A$1:$AN$1,0),0)</f>
        <v>Emerging</v>
      </c>
      <c r="AE91" t="str">
        <f>VLOOKUP($A91,regions_full!$A$2:$AI$267,MATCH(polities_cats!AE$1,$A$1:$AN$1,0),0)</f>
        <v>Annex_II</v>
      </c>
      <c r="AF91" t="str">
        <f>VLOOKUP($A91,regions_full!$A$2:$AI$267,MATCH(polities_cats!AF$1,$A$1:$AN$1,0),0)</f>
        <v>Pacific</v>
      </c>
      <c r="AG91" t="str">
        <f>VLOOKUP($A91,regions_full!$A$2:$AI$267,MATCH(polities_cats!AG$1,$A$1:$AN$1,0),0)</f>
        <v>AUS</v>
      </c>
      <c r="AH91" t="str">
        <f>VLOOKUP($A91,regions_full!$A$2:$AI$267,MATCH(polities_cats!AH$1,$A$1:$AN$1,0),0)</f>
        <v>mech</v>
      </c>
      <c r="AI91" t="str">
        <f>VLOOKUP($A91,regions_full!$A$2:$AI$267,MATCH(polities_cats!AI$1,$A$1:$AN$1,0),0)</f>
        <v>Other</v>
      </c>
      <c r="AJ91" t="e">
        <f>VLOOKUP($A91,regions_full!$A$2:$AI$267,MATCH(polities_cats!AJ$1,$A$1:$AN$1,0),0)</f>
        <v>#REF!</v>
      </c>
      <c r="AK91" t="e">
        <f>VLOOKUP($A91,regions_full!$A$2:$AI$267,MATCH(polities_cats!AK$1,$A$1:$AN$1,0),0)</f>
        <v>#REF!</v>
      </c>
      <c r="AL91" t="e">
        <f>VLOOKUP($A91,regions_full!$A$2:$AI$267,MATCH(polities_cats!AL$1,$A$1:$AN$1,0),0)</f>
        <v>#REF!</v>
      </c>
      <c r="AM91" t="e">
        <f>VLOOKUP($A91,regions_full!$A$2:$AI$267,MATCH(polities_cats!AM$1,$A$1:$AN$1,0),0)</f>
        <v>#REF!</v>
      </c>
      <c r="AN91" t="e">
        <f>VLOOKUP($A91,regions_full!$A$2:$AI$267,MATCH(polities_cats!AN$1,$A$1:$AN$1,0),0)</f>
        <v>#REF!</v>
      </c>
    </row>
    <row r="92" spans="1:40" x14ac:dyDescent="0.3">
      <c r="A92" t="str">
        <f>polities_whep!A92</f>
        <v>KWT</v>
      </c>
      <c r="B92" t="str">
        <f>polities_whep!B92</f>
        <v>Kuwait</v>
      </c>
      <c r="C92">
        <f>VLOOKUP($A92,regions_full!$A$2:$AI$267,MATCH(polities_cats!C$1,$A$1:$AN$1,0),0)</f>
        <v>115</v>
      </c>
      <c r="D92">
        <f>VLOOKUP($A92,regions_full!$A$2:$AI$267,MATCH(polities_cats!D$1,$A$1:$AN$1,0),0)</f>
        <v>118</v>
      </c>
      <c r="E92" t="str">
        <f>VLOOKUP($A92,regions_full!$A$2:$AI$267,MATCH(polities_cats!E$1,$A$1:$AN$1,0),0)</f>
        <v>KWT</v>
      </c>
      <c r="F92" t="str">
        <f>VLOOKUP($A92,regions_full!$A$2:$AI$267,MATCH(polities_cats!F$1,$A$1:$AN$1,0),0)</f>
        <v>Kuwait</v>
      </c>
      <c r="G92" t="str">
        <f>VLOOKUP($A92,regions_full!$A$2:$AI$267,MATCH(polities_cats!G$1,$A$1:$AN$1,0),0)</f>
        <v>FALSE</v>
      </c>
      <c r="H92" t="str">
        <f>VLOOKUP($A92,regions_full!$A$2:$AI$267,MATCH(polities_cats!H$1,$A$1:$AN$1,0),0)</f>
        <v>Kuwait</v>
      </c>
      <c r="I92" t="str">
        <f>VLOOKUP($A92,regions_full!$A$2:$AI$267,MATCH(polities_cats!I$1,$A$1:$AN$1,0),0)</f>
        <v>Kuwait</v>
      </c>
      <c r="J92" t="str">
        <f>VLOOKUP($A92,regions_full!$A$2:$AI$267,MATCH(polities_cats!J$1,$A$1:$AN$1,0),0)</f>
        <v>Kuwait</v>
      </c>
      <c r="K92">
        <f>VLOOKUP($A92,regions_full!$A$2:$AI$267,MATCH(polities_cats!K$1,$A$1:$AN$1,0),0)</f>
        <v>118</v>
      </c>
      <c r="L92" t="str">
        <f>VLOOKUP($A92,regions_full!$A$2:$AI$267,MATCH(polities_cats!L$1,$A$1:$AN$1,0),0)</f>
        <v>Kuwait</v>
      </c>
      <c r="M92">
        <f>VLOOKUP($A92,regions_full!$A$2:$AI$267,MATCH(polities_cats!M$1,$A$1:$AN$1,0),0)</f>
        <v>414</v>
      </c>
      <c r="N92">
        <f>VLOOKUP($A92,regions_full!$A$2:$AI$267,MATCH(polities_cats!N$1,$A$1:$AN$1,0),0)</f>
        <v>414</v>
      </c>
      <c r="O92">
        <f>VLOOKUP($A92,regions_full!$A$2:$AI$267,MATCH(polities_cats!O$1,$A$1:$AN$1,0),0)</f>
        <v>12</v>
      </c>
      <c r="P92" t="str">
        <f>VLOOKUP($A92,regions_full!$A$2:$AI$267,MATCH(polities_cats!P$1,$A$1:$AN$1,0),0)</f>
        <v>TRUE</v>
      </c>
      <c r="Q92">
        <f>VLOOKUP($A92,regions_full!$A$2:$AI$267,MATCH(polities_cats!Q$1,$A$1:$AN$1,0),0)</f>
        <v>118</v>
      </c>
      <c r="R92" t="str">
        <f>VLOOKUP($A92,regions_full!$A$2:$AI$267,MATCH(polities_cats!R$1,$A$1:$AN$1,0),0)</f>
        <v/>
      </c>
      <c r="S92" t="str">
        <f>VLOOKUP($A92,regions_full!$A$2:$AI$267,MATCH(polities_cats!S$1,$A$1:$AN$1,0),0)</f>
        <v>Middle East</v>
      </c>
      <c r="T92">
        <f>VLOOKUP($A92,regions_full!$A$2:$AI$267,MATCH(polities_cats!T$1,$A$1:$AN$1,0),0)</f>
        <v>1</v>
      </c>
      <c r="U92" t="str">
        <f>VLOOKUP($A92,regions_full!$A$2:$AI$267,MATCH(polities_cats!U$1,$A$1:$AN$1,0),0)</f>
        <v>Kuwait</v>
      </c>
      <c r="V92" t="str">
        <f>VLOOKUP($A92,regions_full!$A$2:$AI$267,MATCH(polities_cats!V$1,$A$1:$AN$1,0),0)</f>
        <v>Northern Africa and Western Asia</v>
      </c>
      <c r="W92" t="str">
        <f>VLOOKUP($A92,regions_full!$A$2:$AI$267,MATCH(polities_cats!W$1,$A$1:$AN$1,0),0)</f>
        <v>North Africa and West Asia</v>
      </c>
      <c r="X92" t="str">
        <f>VLOOKUP($A92,regions_full!$A$2:$AI$267,MATCH(polities_cats!X$1,$A$1:$AN$1,0),0)</f>
        <v>MENA</v>
      </c>
      <c r="Y92" t="str">
        <f>VLOOKUP($A92,regions_full!$A$2:$AI$267,MATCH(polities_cats!Y$1,$A$1:$AN$1,0),0)</f>
        <v>Western Asia</v>
      </c>
      <c r="Z92" t="str">
        <f>VLOOKUP($A92,regions_full!$A$2:$AI$267,MATCH(polities_cats!Z$1,$A$1:$AN$1,0),0)</f>
        <v>Asia</v>
      </c>
      <c r="AA92" t="str">
        <f>VLOOKUP($A92,regions_full!$A$2:$AI$267,MATCH(polities_cats!AA$1,$A$1:$AN$1,0),0)</f>
        <v>Arab States</v>
      </c>
      <c r="AB92" t="str">
        <f>VLOOKUP($A92,regions_full!$A$2:$AI$267,MATCH(polities_cats!AB$1,$A$1:$AN$1,0),0)</f>
        <v>Arab States</v>
      </c>
      <c r="AC92" t="str">
        <f>VLOOKUP($A92,regions_full!$A$2:$AI$267,MATCH(polities_cats!AC$1,$A$1:$AN$1,0),0)</f>
        <v>Arab States</v>
      </c>
      <c r="AD92" t="str">
        <f>VLOOKUP($A92,regions_full!$A$2:$AI$267,MATCH(polities_cats!AD$1,$A$1:$AN$1,0),0)</f>
        <v>Emerging</v>
      </c>
      <c r="AE92" t="str">
        <f>VLOOKUP($A92,regions_full!$A$2:$AI$267,MATCH(polities_cats!AE$1,$A$1:$AN$1,0),0)</f>
        <v>Annex_II</v>
      </c>
      <c r="AF92" t="str">
        <f>VLOOKUP($A92,regions_full!$A$2:$AI$267,MATCH(polities_cats!AF$1,$A$1:$AN$1,0),0)</f>
        <v>Western Asia</v>
      </c>
      <c r="AG92" t="str">
        <f>VLOOKUP($A92,regions_full!$A$2:$AI$267,MATCH(polities_cats!AG$1,$A$1:$AN$1,0),0)</f>
        <v>MENA</v>
      </c>
      <c r="AH92" t="str">
        <f>VLOOKUP($A92,regions_full!$A$2:$AI$267,MATCH(polities_cats!AH$1,$A$1:$AN$1,0),0)</f>
        <v>no_mech</v>
      </c>
      <c r="AI92" t="str">
        <f>VLOOKUP($A92,regions_full!$A$2:$AI$267,MATCH(polities_cats!AI$1,$A$1:$AN$1,0),0)</f>
        <v>Other</v>
      </c>
      <c r="AJ92" t="e">
        <f>VLOOKUP($A92,regions_full!$A$2:$AI$267,MATCH(polities_cats!AJ$1,$A$1:$AN$1,0),0)</f>
        <v>#REF!</v>
      </c>
      <c r="AK92" t="e">
        <f>VLOOKUP($A92,regions_full!$A$2:$AI$267,MATCH(polities_cats!AK$1,$A$1:$AN$1,0),0)</f>
        <v>#REF!</v>
      </c>
      <c r="AL92" t="e">
        <f>VLOOKUP($A92,regions_full!$A$2:$AI$267,MATCH(polities_cats!AL$1,$A$1:$AN$1,0),0)</f>
        <v>#REF!</v>
      </c>
      <c r="AM92" t="e">
        <f>VLOOKUP($A92,regions_full!$A$2:$AI$267,MATCH(polities_cats!AM$1,$A$1:$AN$1,0),0)</f>
        <v>#REF!</v>
      </c>
      <c r="AN92" t="e">
        <f>VLOOKUP($A92,regions_full!$A$2:$AI$267,MATCH(polities_cats!AN$1,$A$1:$AN$1,0),0)</f>
        <v>#REF!</v>
      </c>
    </row>
    <row r="93" spans="1:40" x14ac:dyDescent="0.3">
      <c r="A93" t="str">
        <f>polities_whep!A93</f>
        <v>KGZ</v>
      </c>
      <c r="B93" t="str">
        <f>polities_whep!B93</f>
        <v>Kyrgyzstan</v>
      </c>
      <c r="C93">
        <f>VLOOKUP($A93,regions_full!$A$2:$AI$267,MATCH(polities_cats!C$1,$A$1:$AN$1,0),0)</f>
        <v>110</v>
      </c>
      <c r="D93">
        <f>VLOOKUP($A93,regions_full!$A$2:$AI$267,MATCH(polities_cats!D$1,$A$1:$AN$1,0),0)</f>
        <v>113</v>
      </c>
      <c r="E93" t="str">
        <f>VLOOKUP($A93,regions_full!$A$2:$AI$267,MATCH(polities_cats!E$1,$A$1:$AN$1,0),0)</f>
        <v>KGZ</v>
      </c>
      <c r="F93" t="str">
        <f>VLOOKUP($A93,regions_full!$A$2:$AI$267,MATCH(polities_cats!F$1,$A$1:$AN$1,0),0)</f>
        <v>Kyrgyzstan</v>
      </c>
      <c r="G93" t="str">
        <f>VLOOKUP($A93,regions_full!$A$2:$AI$267,MATCH(polities_cats!G$1,$A$1:$AN$1,0),0)</f>
        <v>FALSE</v>
      </c>
      <c r="H93" t="str">
        <f>VLOOKUP($A93,regions_full!$A$2:$AI$267,MATCH(polities_cats!H$1,$A$1:$AN$1,0),0)</f>
        <v>Kyrgyzstan</v>
      </c>
      <c r="I93" t="str">
        <f>VLOOKUP($A93,regions_full!$A$2:$AI$267,MATCH(polities_cats!I$1,$A$1:$AN$1,0),0)</f>
        <v>Kyrgyzstan</v>
      </c>
      <c r="J93" t="str">
        <f>VLOOKUP($A93,regions_full!$A$2:$AI$267,MATCH(polities_cats!J$1,$A$1:$AN$1,0),0)</f>
        <v>Kyrgyzstan</v>
      </c>
      <c r="K93">
        <f>VLOOKUP($A93,regions_full!$A$2:$AI$267,MATCH(polities_cats!K$1,$A$1:$AN$1,0),0)</f>
        <v>113</v>
      </c>
      <c r="L93" t="str">
        <f>VLOOKUP($A93,regions_full!$A$2:$AI$267,MATCH(polities_cats!L$1,$A$1:$AN$1,0),0)</f>
        <v>Kyrgyzstan</v>
      </c>
      <c r="M93">
        <f>VLOOKUP($A93,regions_full!$A$2:$AI$267,MATCH(polities_cats!M$1,$A$1:$AN$1,0),0)</f>
        <v>417</v>
      </c>
      <c r="N93">
        <f>VLOOKUP($A93,regions_full!$A$2:$AI$267,MATCH(polities_cats!N$1,$A$1:$AN$1,0),0)</f>
        <v>417</v>
      </c>
      <c r="O93">
        <f>VLOOKUP($A93,regions_full!$A$2:$AI$267,MATCH(polities_cats!O$1,$A$1:$AN$1,0),0)</f>
        <v>11</v>
      </c>
      <c r="P93" t="str">
        <f>VLOOKUP($A93,regions_full!$A$2:$AI$267,MATCH(polities_cats!P$1,$A$1:$AN$1,0),0)</f>
        <v>TRUE</v>
      </c>
      <c r="Q93">
        <f>VLOOKUP($A93,regions_full!$A$2:$AI$267,MATCH(polities_cats!Q$1,$A$1:$AN$1,0),0)</f>
        <v>113</v>
      </c>
      <c r="R93" t="str">
        <f>VLOOKUP($A93,regions_full!$A$2:$AI$267,MATCH(polities_cats!R$1,$A$1:$AN$1,0),0)</f>
        <v/>
      </c>
      <c r="S93" t="str">
        <f>VLOOKUP($A93,regions_full!$A$2:$AI$267,MATCH(polities_cats!S$1,$A$1:$AN$1,0),0)</f>
        <v>Former USSR</v>
      </c>
      <c r="T93">
        <f>VLOOKUP($A93,regions_full!$A$2:$AI$267,MATCH(polities_cats!T$1,$A$1:$AN$1,0),0)</f>
        <v>1</v>
      </c>
      <c r="U93" t="str">
        <f>VLOOKUP($A93,regions_full!$A$2:$AI$267,MATCH(polities_cats!U$1,$A$1:$AN$1,0),0)</f>
        <v>Kyrgyzstan</v>
      </c>
      <c r="V93" t="str">
        <f>VLOOKUP($A93,regions_full!$A$2:$AI$267,MATCH(polities_cats!V$1,$A$1:$AN$1,0),0)</f>
        <v>Central Asia and Russian Federation</v>
      </c>
      <c r="W93" t="str">
        <f>VLOOKUP($A93,regions_full!$A$2:$AI$267,MATCH(polities_cats!W$1,$A$1:$AN$1,0),0)</f>
        <v>South and Central Asia</v>
      </c>
      <c r="X93" t="str">
        <f>VLOOKUP($A93,regions_full!$A$2:$AI$267,MATCH(polities_cats!X$1,$A$1:$AN$1,0),0)</f>
        <v>CAS &amp; Russia</v>
      </c>
      <c r="Y93" t="str">
        <f>VLOOKUP($A93,regions_full!$A$2:$AI$267,MATCH(polities_cats!Y$1,$A$1:$AN$1,0),0)</f>
        <v>Central Asia</v>
      </c>
      <c r="Z93" t="str">
        <f>VLOOKUP($A93,regions_full!$A$2:$AI$267,MATCH(polities_cats!Z$1,$A$1:$AN$1,0),0)</f>
        <v>Asia</v>
      </c>
      <c r="AA93" t="str">
        <f>VLOOKUP($A93,regions_full!$A$2:$AI$267,MATCH(polities_cats!AA$1,$A$1:$AN$1,0),0)</f>
        <v>Europe and Central Asia</v>
      </c>
      <c r="AB93" t="str">
        <f>VLOOKUP($A93,regions_full!$A$2:$AI$267,MATCH(polities_cats!AB$1,$A$1:$AN$1,0),0)</f>
        <v>Central and Western Asia</v>
      </c>
      <c r="AC93" t="str">
        <f>VLOOKUP($A93,regions_full!$A$2:$AI$267,MATCH(polities_cats!AC$1,$A$1:$AN$1,0),0)</f>
        <v>Central Asia</v>
      </c>
      <c r="AD93" t="str">
        <f>VLOOKUP($A93,regions_full!$A$2:$AI$267,MATCH(polities_cats!AD$1,$A$1:$AN$1,0),0)</f>
        <v>Emerging</v>
      </c>
      <c r="AE93" t="str">
        <f>VLOOKUP($A93,regions_full!$A$2:$AI$267,MATCH(polities_cats!AE$1,$A$1:$AN$1,0),0)</f>
        <v>Annex_II</v>
      </c>
      <c r="AF93" t="str">
        <f>VLOOKUP($A93,regions_full!$A$2:$AI$267,MATCH(polities_cats!AF$1,$A$1:$AN$1,0),0)</f>
        <v>FSU</v>
      </c>
      <c r="AG93" t="str">
        <f>VLOOKUP($A93,regions_full!$A$2:$AI$267,MATCH(polities_cats!AG$1,$A$1:$AN$1,0),0)</f>
        <v>FSU</v>
      </c>
      <c r="AH93" t="str">
        <f>VLOOKUP($A93,regions_full!$A$2:$AI$267,MATCH(polities_cats!AH$1,$A$1:$AN$1,0),0)</f>
        <v>mech</v>
      </c>
      <c r="AI93" t="str">
        <f>VLOOKUP($A93,regions_full!$A$2:$AI$267,MATCH(polities_cats!AI$1,$A$1:$AN$1,0),0)</f>
        <v>Other</v>
      </c>
      <c r="AJ93" t="e">
        <f>VLOOKUP($A93,regions_full!$A$2:$AI$267,MATCH(polities_cats!AJ$1,$A$1:$AN$1,0),0)</f>
        <v>#REF!</v>
      </c>
      <c r="AK93" t="e">
        <f>VLOOKUP($A93,regions_full!$A$2:$AI$267,MATCH(polities_cats!AK$1,$A$1:$AN$1,0),0)</f>
        <v>#REF!</v>
      </c>
      <c r="AL93" t="e">
        <f>VLOOKUP($A93,regions_full!$A$2:$AI$267,MATCH(polities_cats!AL$1,$A$1:$AN$1,0),0)</f>
        <v>#REF!</v>
      </c>
      <c r="AM93" t="e">
        <f>VLOOKUP($A93,regions_full!$A$2:$AI$267,MATCH(polities_cats!AM$1,$A$1:$AN$1,0),0)</f>
        <v>#REF!</v>
      </c>
      <c r="AN93" t="e">
        <f>VLOOKUP($A93,regions_full!$A$2:$AI$267,MATCH(polities_cats!AN$1,$A$1:$AN$1,0),0)</f>
        <v>#REF!</v>
      </c>
    </row>
    <row r="94" spans="1:40" x14ac:dyDescent="0.3">
      <c r="A94" t="str">
        <f>polities_whep!A94</f>
        <v>LAO</v>
      </c>
      <c r="B94" t="str">
        <f>polities_whep!B94</f>
        <v>Lao</v>
      </c>
      <c r="C94">
        <f>VLOOKUP($A94,regions_full!$A$2:$AI$267,MATCH(polities_cats!C$1,$A$1:$AN$1,0),0)</f>
        <v>117</v>
      </c>
      <c r="D94">
        <f>VLOOKUP($A94,regions_full!$A$2:$AI$267,MATCH(polities_cats!D$1,$A$1:$AN$1,0),0)</f>
        <v>120</v>
      </c>
      <c r="E94" t="str">
        <f>VLOOKUP($A94,regions_full!$A$2:$AI$267,MATCH(polities_cats!E$1,$A$1:$AN$1,0),0)</f>
        <v>LAO</v>
      </c>
      <c r="F94" t="str">
        <f>VLOOKUP($A94,regions_full!$A$2:$AI$267,MATCH(polities_cats!F$1,$A$1:$AN$1,0),0)</f>
        <v>Lao People's Democratic Republic</v>
      </c>
      <c r="G94" t="str">
        <f>VLOOKUP($A94,regions_full!$A$2:$AI$267,MATCH(polities_cats!G$1,$A$1:$AN$1,0),0)</f>
        <v>FALSE</v>
      </c>
      <c r="H94" t="str">
        <f>VLOOKUP($A94,regions_full!$A$2:$AI$267,MATCH(polities_cats!H$1,$A$1:$AN$1,0),0)</f>
        <v>Lao</v>
      </c>
      <c r="I94" t="str">
        <f>VLOOKUP($A94,regions_full!$A$2:$AI$267,MATCH(polities_cats!I$1,$A$1:$AN$1,0),0)</f>
        <v>Laos</v>
      </c>
      <c r="J94">
        <f>VLOOKUP($A94,regions_full!$A$2:$AI$267,MATCH(polities_cats!J$1,$A$1:$AN$1,0),0)</f>
        <v>0</v>
      </c>
      <c r="K94">
        <f>VLOOKUP($A94,regions_full!$A$2:$AI$267,MATCH(polities_cats!K$1,$A$1:$AN$1,0),0)</f>
        <v>120</v>
      </c>
      <c r="L94" t="str">
        <f>VLOOKUP($A94,regions_full!$A$2:$AI$267,MATCH(polities_cats!L$1,$A$1:$AN$1,0),0)</f>
        <v>Lao People's Democratic Republic</v>
      </c>
      <c r="M94">
        <f>VLOOKUP($A94,regions_full!$A$2:$AI$267,MATCH(polities_cats!M$1,$A$1:$AN$1,0),0)</f>
        <v>418</v>
      </c>
      <c r="N94">
        <f>VLOOKUP($A94,regions_full!$A$2:$AI$267,MATCH(polities_cats!N$1,$A$1:$AN$1,0),0)</f>
        <v>418</v>
      </c>
      <c r="O94">
        <f>VLOOKUP($A94,regions_full!$A$2:$AI$267,MATCH(polities_cats!O$1,$A$1:$AN$1,0),0)</f>
        <v>15</v>
      </c>
      <c r="P94" t="str">
        <f>VLOOKUP($A94,regions_full!$A$2:$AI$267,MATCH(polities_cats!P$1,$A$1:$AN$1,0),0)</f>
        <v>TRUE</v>
      </c>
      <c r="Q94">
        <f>VLOOKUP($A94,regions_full!$A$2:$AI$267,MATCH(polities_cats!Q$1,$A$1:$AN$1,0),0)</f>
        <v>120</v>
      </c>
      <c r="R94" t="str">
        <f>VLOOKUP($A94,regions_full!$A$2:$AI$267,MATCH(polities_cats!R$1,$A$1:$AN$1,0),0)</f>
        <v/>
      </c>
      <c r="S94" t="str">
        <f>VLOOKUP($A94,regions_full!$A$2:$AI$267,MATCH(polities_cats!S$1,$A$1:$AN$1,0),0)</f>
        <v>South East Asia</v>
      </c>
      <c r="T94">
        <f>VLOOKUP($A94,regions_full!$A$2:$AI$267,MATCH(polities_cats!T$1,$A$1:$AN$1,0),0)</f>
        <v>1</v>
      </c>
      <c r="U94" t="str">
        <f>VLOOKUP($A94,regions_full!$A$2:$AI$267,MATCH(polities_cats!U$1,$A$1:$AN$1,0),0)</f>
        <v>Lao People's Democratic Republic</v>
      </c>
      <c r="V94" t="str">
        <f>VLOOKUP($A94,regions_full!$A$2:$AI$267,MATCH(polities_cats!V$1,$A$1:$AN$1,0),0)</f>
        <v>Southeastern Asia</v>
      </c>
      <c r="W94" t="str">
        <f>VLOOKUP($A94,regions_full!$A$2:$AI$267,MATCH(polities_cats!W$1,$A$1:$AN$1,0),0)</f>
        <v>South and Central Asia</v>
      </c>
      <c r="X94" t="str">
        <f>VLOOKUP($A94,regions_full!$A$2:$AI$267,MATCH(polities_cats!X$1,$A$1:$AN$1,0),0)</f>
        <v>S&amp;E Asia</v>
      </c>
      <c r="Y94" t="str">
        <f>VLOOKUP($A94,regions_full!$A$2:$AI$267,MATCH(polities_cats!Y$1,$A$1:$AN$1,0),0)</f>
        <v>South-eastern Asia</v>
      </c>
      <c r="Z94" t="str">
        <f>VLOOKUP($A94,regions_full!$A$2:$AI$267,MATCH(polities_cats!Z$1,$A$1:$AN$1,0),0)</f>
        <v>Asia</v>
      </c>
      <c r="AA94" t="str">
        <f>VLOOKUP($A94,regions_full!$A$2:$AI$267,MATCH(polities_cats!AA$1,$A$1:$AN$1,0),0)</f>
        <v>Asia and the Pacific</v>
      </c>
      <c r="AB94" t="str">
        <f>VLOOKUP($A94,regions_full!$A$2:$AI$267,MATCH(polities_cats!AB$1,$A$1:$AN$1,0),0)</f>
        <v>South-Eastern Asia and the Pacific</v>
      </c>
      <c r="AC94" t="str">
        <f>VLOOKUP($A94,regions_full!$A$2:$AI$267,MATCH(polities_cats!AC$1,$A$1:$AN$1,0),0)</f>
        <v>South-Eastern Asia</v>
      </c>
      <c r="AD94" t="str">
        <f>VLOOKUP($A94,regions_full!$A$2:$AI$267,MATCH(polities_cats!AD$1,$A$1:$AN$1,0),0)</f>
        <v>Emerging</v>
      </c>
      <c r="AE94" t="str">
        <f>VLOOKUP($A94,regions_full!$A$2:$AI$267,MATCH(polities_cats!AE$1,$A$1:$AN$1,0),0)</f>
        <v>Annex_II</v>
      </c>
      <c r="AF94" t="str">
        <f>VLOOKUP($A94,regions_full!$A$2:$AI$267,MATCH(polities_cats!AF$1,$A$1:$AN$1,0),0)</f>
        <v>South-eastern Asia</v>
      </c>
      <c r="AG94" t="str">
        <f>VLOOKUP($A94,regions_full!$A$2:$AI$267,MATCH(polities_cats!AG$1,$A$1:$AN$1,0),0)</f>
        <v>SE-Asia</v>
      </c>
      <c r="AH94" t="str">
        <f>VLOOKUP($A94,regions_full!$A$2:$AI$267,MATCH(polities_cats!AH$1,$A$1:$AN$1,0),0)</f>
        <v>no_mech</v>
      </c>
      <c r="AI94" t="str">
        <f>VLOOKUP($A94,regions_full!$A$2:$AI$267,MATCH(polities_cats!AI$1,$A$1:$AN$1,0),0)</f>
        <v>Other</v>
      </c>
      <c r="AJ94" t="e">
        <f>VLOOKUP($A94,regions_full!$A$2:$AI$267,MATCH(polities_cats!AJ$1,$A$1:$AN$1,0),0)</f>
        <v>#REF!</v>
      </c>
      <c r="AK94" t="e">
        <f>VLOOKUP($A94,regions_full!$A$2:$AI$267,MATCH(polities_cats!AK$1,$A$1:$AN$1,0),0)</f>
        <v>#REF!</v>
      </c>
      <c r="AL94" t="e">
        <f>VLOOKUP($A94,regions_full!$A$2:$AI$267,MATCH(polities_cats!AL$1,$A$1:$AN$1,0),0)</f>
        <v>#REF!</v>
      </c>
      <c r="AM94" t="e">
        <f>VLOOKUP($A94,regions_full!$A$2:$AI$267,MATCH(polities_cats!AM$1,$A$1:$AN$1,0),0)</f>
        <v>#REF!</v>
      </c>
      <c r="AN94" t="e">
        <f>VLOOKUP($A94,regions_full!$A$2:$AI$267,MATCH(polities_cats!AN$1,$A$1:$AN$1,0),0)</f>
        <v>#REF!</v>
      </c>
    </row>
    <row r="95" spans="1:40" x14ac:dyDescent="0.3">
      <c r="A95" t="str">
        <f>polities_whep!A95</f>
        <v>LVA</v>
      </c>
      <c r="B95" t="str">
        <f>polities_whep!B95</f>
        <v>Latvia</v>
      </c>
      <c r="C95">
        <f>VLOOKUP($A95,regions_full!$A$2:$AI$267,MATCH(polities_cats!C$1,$A$1:$AN$1,0),0)</f>
        <v>116</v>
      </c>
      <c r="D95">
        <f>VLOOKUP($A95,regions_full!$A$2:$AI$267,MATCH(polities_cats!D$1,$A$1:$AN$1,0),0)</f>
        <v>119</v>
      </c>
      <c r="E95" t="str">
        <f>VLOOKUP($A95,regions_full!$A$2:$AI$267,MATCH(polities_cats!E$1,$A$1:$AN$1,0),0)</f>
        <v>LVA</v>
      </c>
      <c r="F95" t="str">
        <f>VLOOKUP($A95,regions_full!$A$2:$AI$267,MATCH(polities_cats!F$1,$A$1:$AN$1,0),0)</f>
        <v>Latvia</v>
      </c>
      <c r="G95" t="str">
        <f>VLOOKUP($A95,regions_full!$A$2:$AI$267,MATCH(polities_cats!G$1,$A$1:$AN$1,0),0)</f>
        <v>TRUE</v>
      </c>
      <c r="H95" t="str">
        <f>VLOOKUP($A95,regions_full!$A$2:$AI$267,MATCH(polities_cats!H$1,$A$1:$AN$1,0),0)</f>
        <v>Latvia</v>
      </c>
      <c r="I95" t="str">
        <f>VLOOKUP($A95,regions_full!$A$2:$AI$267,MATCH(polities_cats!I$1,$A$1:$AN$1,0),0)</f>
        <v>Latvia</v>
      </c>
      <c r="J95" t="str">
        <f>VLOOKUP($A95,regions_full!$A$2:$AI$267,MATCH(polities_cats!J$1,$A$1:$AN$1,0),0)</f>
        <v>Latvia</v>
      </c>
      <c r="K95">
        <f>VLOOKUP($A95,regions_full!$A$2:$AI$267,MATCH(polities_cats!K$1,$A$1:$AN$1,0),0)</f>
        <v>119</v>
      </c>
      <c r="L95" t="str">
        <f>VLOOKUP($A95,regions_full!$A$2:$AI$267,MATCH(polities_cats!L$1,$A$1:$AN$1,0),0)</f>
        <v>Latvia</v>
      </c>
      <c r="M95">
        <f>VLOOKUP($A95,regions_full!$A$2:$AI$267,MATCH(polities_cats!M$1,$A$1:$AN$1,0),0)</f>
        <v>428</v>
      </c>
      <c r="N95">
        <f>VLOOKUP($A95,regions_full!$A$2:$AI$267,MATCH(polities_cats!N$1,$A$1:$AN$1,0),0)</f>
        <v>428</v>
      </c>
      <c r="O95">
        <f>VLOOKUP($A95,regions_full!$A$2:$AI$267,MATCH(polities_cats!O$1,$A$1:$AN$1,0),0)</f>
        <v>11</v>
      </c>
      <c r="P95" t="str">
        <f>VLOOKUP($A95,regions_full!$A$2:$AI$267,MATCH(polities_cats!P$1,$A$1:$AN$1,0),0)</f>
        <v>TRUE</v>
      </c>
      <c r="Q95">
        <f>VLOOKUP($A95,regions_full!$A$2:$AI$267,MATCH(polities_cats!Q$1,$A$1:$AN$1,0),0)</f>
        <v>119</v>
      </c>
      <c r="R95" t="str">
        <f>VLOOKUP($A95,regions_full!$A$2:$AI$267,MATCH(polities_cats!R$1,$A$1:$AN$1,0),0)</f>
        <v>LV</v>
      </c>
      <c r="S95" t="str">
        <f>VLOOKUP($A95,regions_full!$A$2:$AI$267,MATCH(polities_cats!S$1,$A$1:$AN$1,0),0)</f>
        <v>Former USSR</v>
      </c>
      <c r="T95">
        <f>VLOOKUP($A95,regions_full!$A$2:$AI$267,MATCH(polities_cats!T$1,$A$1:$AN$1,0),0)</f>
        <v>1</v>
      </c>
      <c r="U95" t="str">
        <f>VLOOKUP($A95,regions_full!$A$2:$AI$267,MATCH(polities_cats!U$1,$A$1:$AN$1,0),0)</f>
        <v>Latvia</v>
      </c>
      <c r="V95" t="str">
        <f>VLOOKUP($A95,regions_full!$A$2:$AI$267,MATCH(polities_cats!V$1,$A$1:$AN$1,0),0)</f>
        <v>Eastern and South Eastern Europe</v>
      </c>
      <c r="W95" t="str">
        <f>VLOOKUP($A95,regions_full!$A$2:$AI$267,MATCH(polities_cats!W$1,$A$1:$AN$1,0),0)</f>
        <v>East Europe</v>
      </c>
      <c r="X95" t="str">
        <f>VLOOKUP($A95,regions_full!$A$2:$AI$267,MATCH(polities_cats!X$1,$A$1:$AN$1,0),0)</f>
        <v>Europe</v>
      </c>
      <c r="Y95" t="str">
        <f>VLOOKUP($A95,regions_full!$A$2:$AI$267,MATCH(polities_cats!Y$1,$A$1:$AN$1,0),0)</f>
        <v>Northern Europe</v>
      </c>
      <c r="Z95" t="str">
        <f>VLOOKUP($A95,regions_full!$A$2:$AI$267,MATCH(polities_cats!Z$1,$A$1:$AN$1,0),0)</f>
        <v>Europe</v>
      </c>
      <c r="AA95" t="str">
        <f>VLOOKUP($A95,regions_full!$A$2:$AI$267,MATCH(polities_cats!AA$1,$A$1:$AN$1,0),0)</f>
        <v>Europe and Central Asia</v>
      </c>
      <c r="AB95" t="str">
        <f>VLOOKUP($A95,regions_full!$A$2:$AI$267,MATCH(polities_cats!AB$1,$A$1:$AN$1,0),0)</f>
        <v>Northern, Southern and Western Europe</v>
      </c>
      <c r="AC95" t="str">
        <f>VLOOKUP($A95,regions_full!$A$2:$AI$267,MATCH(polities_cats!AC$1,$A$1:$AN$1,0),0)</f>
        <v>Northern Europe</v>
      </c>
      <c r="AD95" t="str">
        <f>VLOOKUP($A95,regions_full!$A$2:$AI$267,MATCH(polities_cats!AD$1,$A$1:$AN$1,0),0)</f>
        <v>Emerging</v>
      </c>
      <c r="AE95" t="str">
        <f>VLOOKUP($A95,regions_full!$A$2:$AI$267,MATCH(polities_cats!AE$1,$A$1:$AN$1,0),0)</f>
        <v>Annex_I</v>
      </c>
      <c r="AF95" t="str">
        <f>VLOOKUP($A95,regions_full!$A$2:$AI$267,MATCH(polities_cats!AF$1,$A$1:$AN$1,0),0)</f>
        <v>FSU</v>
      </c>
      <c r="AG95" t="str">
        <f>VLOOKUP($A95,regions_full!$A$2:$AI$267,MATCH(polities_cats!AG$1,$A$1:$AN$1,0),0)</f>
        <v>FSU</v>
      </c>
      <c r="AH95" t="str">
        <f>VLOOKUP($A95,regions_full!$A$2:$AI$267,MATCH(polities_cats!AH$1,$A$1:$AN$1,0),0)</f>
        <v>mech</v>
      </c>
      <c r="AI95" t="str">
        <f>VLOOKUP($A95,regions_full!$A$2:$AI$267,MATCH(polities_cats!AI$1,$A$1:$AN$1,0),0)</f>
        <v>Europe</v>
      </c>
      <c r="AJ95" t="e">
        <f>VLOOKUP($A95,regions_full!$A$2:$AI$267,MATCH(polities_cats!AJ$1,$A$1:$AN$1,0),0)</f>
        <v>#REF!</v>
      </c>
      <c r="AK95" t="e">
        <f>VLOOKUP($A95,regions_full!$A$2:$AI$267,MATCH(polities_cats!AK$1,$A$1:$AN$1,0),0)</f>
        <v>#REF!</v>
      </c>
      <c r="AL95" t="e">
        <f>VLOOKUP($A95,regions_full!$A$2:$AI$267,MATCH(polities_cats!AL$1,$A$1:$AN$1,0),0)</f>
        <v>#REF!</v>
      </c>
      <c r="AM95" t="e">
        <f>VLOOKUP($A95,regions_full!$A$2:$AI$267,MATCH(polities_cats!AM$1,$A$1:$AN$1,0),0)</f>
        <v>#REF!</v>
      </c>
      <c r="AN95" t="e">
        <f>VLOOKUP($A95,regions_full!$A$2:$AI$267,MATCH(polities_cats!AN$1,$A$1:$AN$1,0),0)</f>
        <v>#REF!</v>
      </c>
    </row>
    <row r="96" spans="1:40" x14ac:dyDescent="0.3">
      <c r="A96" t="str">
        <f>polities_whep!A96</f>
        <v>LBN</v>
      </c>
      <c r="B96" t="str">
        <f>polities_whep!B96</f>
        <v>Lebanon</v>
      </c>
      <c r="C96">
        <f>VLOOKUP($A96,regions_full!$A$2:$AI$267,MATCH(polities_cats!C$1,$A$1:$AN$1,0),0)</f>
        <v>118</v>
      </c>
      <c r="D96">
        <f>VLOOKUP($A96,regions_full!$A$2:$AI$267,MATCH(polities_cats!D$1,$A$1:$AN$1,0),0)</f>
        <v>121</v>
      </c>
      <c r="E96" t="str">
        <f>VLOOKUP($A96,regions_full!$A$2:$AI$267,MATCH(polities_cats!E$1,$A$1:$AN$1,0),0)</f>
        <v>LBN</v>
      </c>
      <c r="F96" t="str">
        <f>VLOOKUP($A96,regions_full!$A$2:$AI$267,MATCH(polities_cats!F$1,$A$1:$AN$1,0),0)</f>
        <v>Lebanon</v>
      </c>
      <c r="G96" t="str">
        <f>VLOOKUP($A96,regions_full!$A$2:$AI$267,MATCH(polities_cats!G$1,$A$1:$AN$1,0),0)</f>
        <v>FALSE</v>
      </c>
      <c r="H96" t="str">
        <f>VLOOKUP($A96,regions_full!$A$2:$AI$267,MATCH(polities_cats!H$1,$A$1:$AN$1,0),0)</f>
        <v>Lebanon</v>
      </c>
      <c r="I96" t="str">
        <f>VLOOKUP($A96,regions_full!$A$2:$AI$267,MATCH(polities_cats!I$1,$A$1:$AN$1,0),0)</f>
        <v>Lebanon</v>
      </c>
      <c r="J96" t="str">
        <f>VLOOKUP($A96,regions_full!$A$2:$AI$267,MATCH(polities_cats!J$1,$A$1:$AN$1,0),0)</f>
        <v>Lebanon</v>
      </c>
      <c r="K96">
        <f>VLOOKUP($A96,regions_full!$A$2:$AI$267,MATCH(polities_cats!K$1,$A$1:$AN$1,0),0)</f>
        <v>121</v>
      </c>
      <c r="L96" t="str">
        <f>VLOOKUP($A96,regions_full!$A$2:$AI$267,MATCH(polities_cats!L$1,$A$1:$AN$1,0),0)</f>
        <v>Lebanon</v>
      </c>
      <c r="M96">
        <f>VLOOKUP($A96,regions_full!$A$2:$AI$267,MATCH(polities_cats!M$1,$A$1:$AN$1,0),0)</f>
        <v>422</v>
      </c>
      <c r="N96">
        <f>VLOOKUP($A96,regions_full!$A$2:$AI$267,MATCH(polities_cats!N$1,$A$1:$AN$1,0),0)</f>
        <v>422</v>
      </c>
      <c r="O96">
        <f>VLOOKUP($A96,regions_full!$A$2:$AI$267,MATCH(polities_cats!O$1,$A$1:$AN$1,0),0)</f>
        <v>12</v>
      </c>
      <c r="P96" t="str">
        <f>VLOOKUP($A96,regions_full!$A$2:$AI$267,MATCH(polities_cats!P$1,$A$1:$AN$1,0),0)</f>
        <v>TRUE</v>
      </c>
      <c r="Q96">
        <f>VLOOKUP($A96,regions_full!$A$2:$AI$267,MATCH(polities_cats!Q$1,$A$1:$AN$1,0),0)</f>
        <v>121</v>
      </c>
      <c r="R96" t="str">
        <f>VLOOKUP($A96,regions_full!$A$2:$AI$267,MATCH(polities_cats!R$1,$A$1:$AN$1,0),0)</f>
        <v/>
      </c>
      <c r="S96" t="str">
        <f>VLOOKUP($A96,regions_full!$A$2:$AI$267,MATCH(polities_cats!S$1,$A$1:$AN$1,0),0)</f>
        <v>Middle East</v>
      </c>
      <c r="T96">
        <f>VLOOKUP($A96,regions_full!$A$2:$AI$267,MATCH(polities_cats!T$1,$A$1:$AN$1,0),0)</f>
        <v>1</v>
      </c>
      <c r="U96" t="str">
        <f>VLOOKUP($A96,regions_full!$A$2:$AI$267,MATCH(polities_cats!U$1,$A$1:$AN$1,0),0)</f>
        <v>Lebanon</v>
      </c>
      <c r="V96" t="str">
        <f>VLOOKUP($A96,regions_full!$A$2:$AI$267,MATCH(polities_cats!V$1,$A$1:$AN$1,0),0)</f>
        <v>Northern Africa and Western Asia</v>
      </c>
      <c r="W96" t="str">
        <f>VLOOKUP($A96,regions_full!$A$2:$AI$267,MATCH(polities_cats!W$1,$A$1:$AN$1,0),0)</f>
        <v>North Africa and West Asia</v>
      </c>
      <c r="X96" t="str">
        <f>VLOOKUP($A96,regions_full!$A$2:$AI$267,MATCH(polities_cats!X$1,$A$1:$AN$1,0),0)</f>
        <v>MENA</v>
      </c>
      <c r="Y96" t="str">
        <f>VLOOKUP($A96,regions_full!$A$2:$AI$267,MATCH(polities_cats!Y$1,$A$1:$AN$1,0),0)</f>
        <v>Western Asia</v>
      </c>
      <c r="Z96" t="str">
        <f>VLOOKUP($A96,regions_full!$A$2:$AI$267,MATCH(polities_cats!Z$1,$A$1:$AN$1,0),0)</f>
        <v>Asia</v>
      </c>
      <c r="AA96" t="str">
        <f>VLOOKUP($A96,regions_full!$A$2:$AI$267,MATCH(polities_cats!AA$1,$A$1:$AN$1,0),0)</f>
        <v>Arab States</v>
      </c>
      <c r="AB96" t="str">
        <f>VLOOKUP($A96,regions_full!$A$2:$AI$267,MATCH(polities_cats!AB$1,$A$1:$AN$1,0),0)</f>
        <v>Arab States</v>
      </c>
      <c r="AC96" t="str">
        <f>VLOOKUP($A96,regions_full!$A$2:$AI$267,MATCH(polities_cats!AC$1,$A$1:$AN$1,0),0)</f>
        <v>Arab States</v>
      </c>
      <c r="AD96" t="str">
        <f>VLOOKUP($A96,regions_full!$A$2:$AI$267,MATCH(polities_cats!AD$1,$A$1:$AN$1,0),0)</f>
        <v>Emerging</v>
      </c>
      <c r="AE96" t="str">
        <f>VLOOKUP($A96,regions_full!$A$2:$AI$267,MATCH(polities_cats!AE$1,$A$1:$AN$1,0),0)</f>
        <v>Annex_II</v>
      </c>
      <c r="AF96" t="str">
        <f>VLOOKUP($A96,regions_full!$A$2:$AI$267,MATCH(polities_cats!AF$1,$A$1:$AN$1,0),0)</f>
        <v>Western Asia</v>
      </c>
      <c r="AG96" t="str">
        <f>VLOOKUP($A96,regions_full!$A$2:$AI$267,MATCH(polities_cats!AG$1,$A$1:$AN$1,0),0)</f>
        <v>MENA</v>
      </c>
      <c r="AH96" t="str">
        <f>VLOOKUP($A96,regions_full!$A$2:$AI$267,MATCH(polities_cats!AH$1,$A$1:$AN$1,0),0)</f>
        <v>no_mech</v>
      </c>
      <c r="AI96" t="str">
        <f>VLOOKUP($A96,regions_full!$A$2:$AI$267,MATCH(polities_cats!AI$1,$A$1:$AN$1,0),0)</f>
        <v>Other</v>
      </c>
      <c r="AJ96" t="e">
        <f>VLOOKUP($A96,regions_full!$A$2:$AI$267,MATCH(polities_cats!AJ$1,$A$1:$AN$1,0),0)</f>
        <v>#REF!</v>
      </c>
      <c r="AK96" t="e">
        <f>VLOOKUP($A96,regions_full!$A$2:$AI$267,MATCH(polities_cats!AK$1,$A$1:$AN$1,0),0)</f>
        <v>#REF!</v>
      </c>
      <c r="AL96" t="e">
        <f>VLOOKUP($A96,regions_full!$A$2:$AI$267,MATCH(polities_cats!AL$1,$A$1:$AN$1,0),0)</f>
        <v>#REF!</v>
      </c>
      <c r="AM96" t="e">
        <f>VLOOKUP($A96,regions_full!$A$2:$AI$267,MATCH(polities_cats!AM$1,$A$1:$AN$1,0),0)</f>
        <v>#REF!</v>
      </c>
      <c r="AN96" t="e">
        <f>VLOOKUP($A96,regions_full!$A$2:$AI$267,MATCH(polities_cats!AN$1,$A$1:$AN$1,0),0)</f>
        <v>#REF!</v>
      </c>
    </row>
    <row r="97" spans="1:40" x14ac:dyDescent="0.3">
      <c r="A97" t="str">
        <f>polities_whep!A97</f>
        <v>LSO</v>
      </c>
      <c r="B97" t="str">
        <f>polities_whep!B97</f>
        <v>Lesotho</v>
      </c>
      <c r="C97">
        <f>VLOOKUP($A97,regions_full!$A$2:$AI$267,MATCH(polities_cats!C$1,$A$1:$AN$1,0),0)</f>
        <v>119</v>
      </c>
      <c r="D97">
        <f>VLOOKUP($A97,regions_full!$A$2:$AI$267,MATCH(polities_cats!D$1,$A$1:$AN$1,0),0)</f>
        <v>122</v>
      </c>
      <c r="E97" t="str">
        <f>VLOOKUP($A97,regions_full!$A$2:$AI$267,MATCH(polities_cats!E$1,$A$1:$AN$1,0),0)</f>
        <v>LSO</v>
      </c>
      <c r="F97" t="str">
        <f>VLOOKUP($A97,regions_full!$A$2:$AI$267,MATCH(polities_cats!F$1,$A$1:$AN$1,0),0)</f>
        <v>Lesotho</v>
      </c>
      <c r="G97" t="str">
        <f>VLOOKUP($A97,regions_full!$A$2:$AI$267,MATCH(polities_cats!G$1,$A$1:$AN$1,0),0)</f>
        <v>FALSE</v>
      </c>
      <c r="H97" t="str">
        <f>VLOOKUP($A97,regions_full!$A$2:$AI$267,MATCH(polities_cats!H$1,$A$1:$AN$1,0),0)</f>
        <v>Lesotho</v>
      </c>
      <c r="I97" t="str">
        <f>VLOOKUP($A97,regions_full!$A$2:$AI$267,MATCH(polities_cats!I$1,$A$1:$AN$1,0),0)</f>
        <v>Lesotho</v>
      </c>
      <c r="J97">
        <f>VLOOKUP($A97,regions_full!$A$2:$AI$267,MATCH(polities_cats!J$1,$A$1:$AN$1,0),0)</f>
        <v>0</v>
      </c>
      <c r="K97">
        <f>VLOOKUP($A97,regions_full!$A$2:$AI$267,MATCH(polities_cats!K$1,$A$1:$AN$1,0),0)</f>
        <v>122</v>
      </c>
      <c r="L97" t="str">
        <f>VLOOKUP($A97,regions_full!$A$2:$AI$267,MATCH(polities_cats!L$1,$A$1:$AN$1,0),0)</f>
        <v>Lesotho</v>
      </c>
      <c r="M97">
        <f>VLOOKUP($A97,regions_full!$A$2:$AI$267,MATCH(polities_cats!M$1,$A$1:$AN$1,0),0)</f>
        <v>426</v>
      </c>
      <c r="N97">
        <f>VLOOKUP($A97,regions_full!$A$2:$AI$267,MATCH(polities_cats!N$1,$A$1:$AN$1,0),0)</f>
        <v>426</v>
      </c>
      <c r="O97">
        <f>VLOOKUP($A97,regions_full!$A$2:$AI$267,MATCH(polities_cats!O$1,$A$1:$AN$1,0),0)</f>
        <v>8</v>
      </c>
      <c r="P97" t="str">
        <f>VLOOKUP($A97,regions_full!$A$2:$AI$267,MATCH(polities_cats!P$1,$A$1:$AN$1,0),0)</f>
        <v>TRUE</v>
      </c>
      <c r="Q97">
        <f>VLOOKUP($A97,regions_full!$A$2:$AI$267,MATCH(polities_cats!Q$1,$A$1:$AN$1,0),0)</f>
        <v>122</v>
      </c>
      <c r="R97" t="str">
        <f>VLOOKUP($A97,regions_full!$A$2:$AI$267,MATCH(polities_cats!R$1,$A$1:$AN$1,0),0)</f>
        <v/>
      </c>
      <c r="S97" t="str">
        <f>VLOOKUP($A97,regions_full!$A$2:$AI$267,MATCH(polities_cats!S$1,$A$1:$AN$1,0),0)</f>
        <v>Southern Africa</v>
      </c>
      <c r="T97">
        <f>VLOOKUP($A97,regions_full!$A$2:$AI$267,MATCH(polities_cats!T$1,$A$1:$AN$1,0),0)</f>
        <v>1</v>
      </c>
      <c r="U97" t="str">
        <f>VLOOKUP($A97,regions_full!$A$2:$AI$267,MATCH(polities_cats!U$1,$A$1:$AN$1,0),0)</f>
        <v>Lesotho</v>
      </c>
      <c r="V97" t="str">
        <f>VLOOKUP($A97,regions_full!$A$2:$AI$267,MATCH(polities_cats!V$1,$A$1:$AN$1,0),0)</f>
        <v>Subsaharan Africa</v>
      </c>
      <c r="W97" t="str">
        <f>VLOOKUP($A97,regions_full!$A$2:$AI$267,MATCH(polities_cats!W$1,$A$1:$AN$1,0),0)</f>
        <v>Sub-saharan Africa</v>
      </c>
      <c r="X97" t="str">
        <f>VLOOKUP($A97,regions_full!$A$2:$AI$267,MATCH(polities_cats!X$1,$A$1:$AN$1,0),0)</f>
        <v>SSA</v>
      </c>
      <c r="Y97" t="str">
        <f>VLOOKUP($A97,regions_full!$A$2:$AI$267,MATCH(polities_cats!Y$1,$A$1:$AN$1,0),0)</f>
        <v>Sub-Saharan Africa</v>
      </c>
      <c r="Z97" t="str">
        <f>VLOOKUP($A97,regions_full!$A$2:$AI$267,MATCH(polities_cats!Z$1,$A$1:$AN$1,0),0)</f>
        <v>Africa</v>
      </c>
      <c r="AA97" t="str">
        <f>VLOOKUP($A97,regions_full!$A$2:$AI$267,MATCH(polities_cats!AA$1,$A$1:$AN$1,0),0)</f>
        <v>Africa</v>
      </c>
      <c r="AB97" t="str">
        <f>VLOOKUP($A97,regions_full!$A$2:$AI$267,MATCH(polities_cats!AB$1,$A$1:$AN$1,0),0)</f>
        <v>Sub-Saharan Africa</v>
      </c>
      <c r="AC97" t="str">
        <f>VLOOKUP($A97,regions_full!$A$2:$AI$267,MATCH(polities_cats!AC$1,$A$1:$AN$1,0),0)</f>
        <v>Southern Africa</v>
      </c>
      <c r="AD97" t="str">
        <f>VLOOKUP($A97,regions_full!$A$2:$AI$267,MATCH(polities_cats!AD$1,$A$1:$AN$1,0),0)</f>
        <v>Emerging</v>
      </c>
      <c r="AE97" t="str">
        <f>VLOOKUP($A97,regions_full!$A$2:$AI$267,MATCH(polities_cats!AE$1,$A$1:$AN$1,0),0)</f>
        <v>Annex_II</v>
      </c>
      <c r="AF97" t="str">
        <f>VLOOKUP($A97,regions_full!$A$2:$AI$267,MATCH(polities_cats!AF$1,$A$1:$AN$1,0),0)</f>
        <v>Southern Africa</v>
      </c>
      <c r="AG97" t="str">
        <f>VLOOKUP($A97,regions_full!$A$2:$AI$267,MATCH(polities_cats!AG$1,$A$1:$AN$1,0),0)</f>
        <v>SAA</v>
      </c>
      <c r="AH97" t="str">
        <f>VLOOKUP($A97,regions_full!$A$2:$AI$267,MATCH(polities_cats!AH$1,$A$1:$AN$1,0),0)</f>
        <v>mech</v>
      </c>
      <c r="AI97" t="str">
        <f>VLOOKUP($A97,regions_full!$A$2:$AI$267,MATCH(polities_cats!AI$1,$A$1:$AN$1,0),0)</f>
        <v>Other</v>
      </c>
      <c r="AJ97" t="e">
        <f>VLOOKUP($A97,regions_full!$A$2:$AI$267,MATCH(polities_cats!AJ$1,$A$1:$AN$1,0),0)</f>
        <v>#REF!</v>
      </c>
      <c r="AK97" t="e">
        <f>VLOOKUP($A97,regions_full!$A$2:$AI$267,MATCH(polities_cats!AK$1,$A$1:$AN$1,0),0)</f>
        <v>#REF!</v>
      </c>
      <c r="AL97" t="e">
        <f>VLOOKUP($A97,regions_full!$A$2:$AI$267,MATCH(polities_cats!AL$1,$A$1:$AN$1,0),0)</f>
        <v>#REF!</v>
      </c>
      <c r="AM97" t="e">
        <f>VLOOKUP($A97,regions_full!$A$2:$AI$267,MATCH(polities_cats!AM$1,$A$1:$AN$1,0),0)</f>
        <v>#REF!</v>
      </c>
      <c r="AN97" t="e">
        <f>VLOOKUP($A97,regions_full!$A$2:$AI$267,MATCH(polities_cats!AN$1,$A$1:$AN$1,0),0)</f>
        <v>#REF!</v>
      </c>
    </row>
    <row r="98" spans="1:40" x14ac:dyDescent="0.3">
      <c r="A98" t="str">
        <f>polities_whep!A98</f>
        <v>LBR</v>
      </c>
      <c r="B98" t="str">
        <f>polities_whep!B98</f>
        <v>Liberia</v>
      </c>
      <c r="C98">
        <f>VLOOKUP($A98,regions_full!$A$2:$AI$267,MATCH(polities_cats!C$1,$A$1:$AN$1,0),0)</f>
        <v>120</v>
      </c>
      <c r="D98">
        <f>VLOOKUP($A98,regions_full!$A$2:$AI$267,MATCH(polities_cats!D$1,$A$1:$AN$1,0),0)</f>
        <v>123</v>
      </c>
      <c r="E98" t="str">
        <f>VLOOKUP($A98,regions_full!$A$2:$AI$267,MATCH(polities_cats!E$1,$A$1:$AN$1,0),0)</f>
        <v>LBR</v>
      </c>
      <c r="F98" t="str">
        <f>VLOOKUP($A98,regions_full!$A$2:$AI$267,MATCH(polities_cats!F$1,$A$1:$AN$1,0),0)</f>
        <v>Liberia</v>
      </c>
      <c r="G98" t="str">
        <f>VLOOKUP($A98,regions_full!$A$2:$AI$267,MATCH(polities_cats!G$1,$A$1:$AN$1,0),0)</f>
        <v>FALSE</v>
      </c>
      <c r="H98" t="str">
        <f>VLOOKUP($A98,regions_full!$A$2:$AI$267,MATCH(polities_cats!H$1,$A$1:$AN$1,0),0)</f>
        <v>Liberia</v>
      </c>
      <c r="I98" t="str">
        <f>VLOOKUP($A98,regions_full!$A$2:$AI$267,MATCH(polities_cats!I$1,$A$1:$AN$1,0),0)</f>
        <v>Liberia</v>
      </c>
      <c r="J98">
        <f>VLOOKUP($A98,regions_full!$A$2:$AI$267,MATCH(polities_cats!J$1,$A$1:$AN$1,0),0)</f>
        <v>0</v>
      </c>
      <c r="K98">
        <f>VLOOKUP($A98,regions_full!$A$2:$AI$267,MATCH(polities_cats!K$1,$A$1:$AN$1,0),0)</f>
        <v>123</v>
      </c>
      <c r="L98" t="str">
        <f>VLOOKUP($A98,regions_full!$A$2:$AI$267,MATCH(polities_cats!L$1,$A$1:$AN$1,0),0)</f>
        <v>Liberia</v>
      </c>
      <c r="M98">
        <f>VLOOKUP($A98,regions_full!$A$2:$AI$267,MATCH(polities_cats!M$1,$A$1:$AN$1,0),0)</f>
        <v>430</v>
      </c>
      <c r="N98">
        <f>VLOOKUP($A98,regions_full!$A$2:$AI$267,MATCH(polities_cats!N$1,$A$1:$AN$1,0),0)</f>
        <v>430</v>
      </c>
      <c r="O98">
        <f>VLOOKUP($A98,regions_full!$A$2:$AI$267,MATCH(polities_cats!O$1,$A$1:$AN$1,0),0)</f>
        <v>6</v>
      </c>
      <c r="P98" t="str">
        <f>VLOOKUP($A98,regions_full!$A$2:$AI$267,MATCH(polities_cats!P$1,$A$1:$AN$1,0),0)</f>
        <v>TRUE</v>
      </c>
      <c r="Q98">
        <f>VLOOKUP($A98,regions_full!$A$2:$AI$267,MATCH(polities_cats!Q$1,$A$1:$AN$1,0),0)</f>
        <v>123</v>
      </c>
      <c r="R98" t="str">
        <f>VLOOKUP($A98,regions_full!$A$2:$AI$267,MATCH(polities_cats!R$1,$A$1:$AN$1,0),0)</f>
        <v/>
      </c>
      <c r="S98" t="str">
        <f>VLOOKUP($A98,regions_full!$A$2:$AI$267,MATCH(polities_cats!S$1,$A$1:$AN$1,0),0)</f>
        <v>Western Africa</v>
      </c>
      <c r="T98">
        <f>VLOOKUP($A98,regions_full!$A$2:$AI$267,MATCH(polities_cats!T$1,$A$1:$AN$1,0),0)</f>
        <v>1</v>
      </c>
      <c r="U98" t="str">
        <f>VLOOKUP($A98,regions_full!$A$2:$AI$267,MATCH(polities_cats!U$1,$A$1:$AN$1,0),0)</f>
        <v>Liberia</v>
      </c>
      <c r="V98" t="str">
        <f>VLOOKUP($A98,regions_full!$A$2:$AI$267,MATCH(polities_cats!V$1,$A$1:$AN$1,0),0)</f>
        <v>Subsaharan Africa</v>
      </c>
      <c r="W98" t="str">
        <f>VLOOKUP($A98,regions_full!$A$2:$AI$267,MATCH(polities_cats!W$1,$A$1:$AN$1,0),0)</f>
        <v>Sub-saharan Africa</v>
      </c>
      <c r="X98" t="str">
        <f>VLOOKUP($A98,regions_full!$A$2:$AI$267,MATCH(polities_cats!X$1,$A$1:$AN$1,0),0)</f>
        <v>SSA</v>
      </c>
      <c r="Y98" t="str">
        <f>VLOOKUP($A98,regions_full!$A$2:$AI$267,MATCH(polities_cats!Y$1,$A$1:$AN$1,0),0)</f>
        <v>Sub-Saharan Africa</v>
      </c>
      <c r="Z98" t="str">
        <f>VLOOKUP($A98,regions_full!$A$2:$AI$267,MATCH(polities_cats!Z$1,$A$1:$AN$1,0),0)</f>
        <v>Africa</v>
      </c>
      <c r="AA98" t="str">
        <f>VLOOKUP($A98,regions_full!$A$2:$AI$267,MATCH(polities_cats!AA$1,$A$1:$AN$1,0),0)</f>
        <v>Africa</v>
      </c>
      <c r="AB98" t="str">
        <f>VLOOKUP($A98,regions_full!$A$2:$AI$267,MATCH(polities_cats!AB$1,$A$1:$AN$1,0),0)</f>
        <v>Sub-Saharan Africa</v>
      </c>
      <c r="AC98" t="str">
        <f>VLOOKUP($A98,regions_full!$A$2:$AI$267,MATCH(polities_cats!AC$1,$A$1:$AN$1,0),0)</f>
        <v>Western Africa</v>
      </c>
      <c r="AD98" t="str">
        <f>VLOOKUP($A98,regions_full!$A$2:$AI$267,MATCH(polities_cats!AD$1,$A$1:$AN$1,0),0)</f>
        <v>Emerging</v>
      </c>
      <c r="AE98" t="str">
        <f>VLOOKUP($A98,regions_full!$A$2:$AI$267,MATCH(polities_cats!AE$1,$A$1:$AN$1,0),0)</f>
        <v>Annex_II</v>
      </c>
      <c r="AF98" t="str">
        <f>VLOOKUP($A98,regions_full!$A$2:$AI$267,MATCH(polities_cats!AF$1,$A$1:$AN$1,0),0)</f>
        <v>Western Africa</v>
      </c>
      <c r="AG98" t="str">
        <f>VLOOKUP($A98,regions_full!$A$2:$AI$267,MATCH(polities_cats!AG$1,$A$1:$AN$1,0),0)</f>
        <v>SAA</v>
      </c>
      <c r="AH98" t="str">
        <f>VLOOKUP($A98,regions_full!$A$2:$AI$267,MATCH(polities_cats!AH$1,$A$1:$AN$1,0),0)</f>
        <v>no_mech</v>
      </c>
      <c r="AI98" t="str">
        <f>VLOOKUP($A98,regions_full!$A$2:$AI$267,MATCH(polities_cats!AI$1,$A$1:$AN$1,0),0)</f>
        <v>Other</v>
      </c>
      <c r="AJ98" t="e">
        <f>VLOOKUP($A98,regions_full!$A$2:$AI$267,MATCH(polities_cats!AJ$1,$A$1:$AN$1,0),0)</f>
        <v>#REF!</v>
      </c>
      <c r="AK98" t="e">
        <f>VLOOKUP($A98,regions_full!$A$2:$AI$267,MATCH(polities_cats!AK$1,$A$1:$AN$1,0),0)</f>
        <v>#REF!</v>
      </c>
      <c r="AL98" t="e">
        <f>VLOOKUP($A98,regions_full!$A$2:$AI$267,MATCH(polities_cats!AL$1,$A$1:$AN$1,0),0)</f>
        <v>#REF!</v>
      </c>
      <c r="AM98" t="e">
        <f>VLOOKUP($A98,regions_full!$A$2:$AI$267,MATCH(polities_cats!AM$1,$A$1:$AN$1,0),0)</f>
        <v>#REF!</v>
      </c>
      <c r="AN98" t="e">
        <f>VLOOKUP($A98,regions_full!$A$2:$AI$267,MATCH(polities_cats!AN$1,$A$1:$AN$1,0),0)</f>
        <v>#REF!</v>
      </c>
    </row>
    <row r="99" spans="1:40" x14ac:dyDescent="0.3">
      <c r="A99" t="str">
        <f>polities_whep!A99</f>
        <v>LBY</v>
      </c>
      <c r="B99" t="str">
        <f>polities_whep!B99</f>
        <v>Libya</v>
      </c>
      <c r="C99">
        <f>VLOOKUP($A99,regions_full!$A$2:$AI$267,MATCH(polities_cats!C$1,$A$1:$AN$1,0),0)</f>
        <v>121</v>
      </c>
      <c r="D99">
        <f>VLOOKUP($A99,regions_full!$A$2:$AI$267,MATCH(polities_cats!D$1,$A$1:$AN$1,0),0)</f>
        <v>124</v>
      </c>
      <c r="E99" t="str">
        <f>VLOOKUP($A99,regions_full!$A$2:$AI$267,MATCH(polities_cats!E$1,$A$1:$AN$1,0),0)</f>
        <v>LBY</v>
      </c>
      <c r="F99" t="str">
        <f>VLOOKUP($A99,regions_full!$A$2:$AI$267,MATCH(polities_cats!F$1,$A$1:$AN$1,0),0)</f>
        <v>Libya</v>
      </c>
      <c r="G99" t="str">
        <f>VLOOKUP($A99,regions_full!$A$2:$AI$267,MATCH(polities_cats!G$1,$A$1:$AN$1,0),0)</f>
        <v>FALSE</v>
      </c>
      <c r="H99" t="str">
        <f>VLOOKUP($A99,regions_full!$A$2:$AI$267,MATCH(polities_cats!H$1,$A$1:$AN$1,0),0)</f>
        <v>Libya</v>
      </c>
      <c r="I99" t="str">
        <f>VLOOKUP($A99,regions_full!$A$2:$AI$267,MATCH(polities_cats!I$1,$A$1:$AN$1,0),0)</f>
        <v>Libya</v>
      </c>
      <c r="J99" t="str">
        <f>VLOOKUP($A99,regions_full!$A$2:$AI$267,MATCH(polities_cats!J$1,$A$1:$AN$1,0),0)</f>
        <v>Libya</v>
      </c>
      <c r="K99">
        <f>VLOOKUP($A99,regions_full!$A$2:$AI$267,MATCH(polities_cats!K$1,$A$1:$AN$1,0),0)</f>
        <v>124</v>
      </c>
      <c r="L99" t="str">
        <f>VLOOKUP($A99,regions_full!$A$2:$AI$267,MATCH(polities_cats!L$1,$A$1:$AN$1,0),0)</f>
        <v>Libyan Arab Jamahiriya</v>
      </c>
      <c r="M99">
        <f>VLOOKUP($A99,regions_full!$A$2:$AI$267,MATCH(polities_cats!M$1,$A$1:$AN$1,0),0)</f>
        <v>434</v>
      </c>
      <c r="N99">
        <f>VLOOKUP($A99,regions_full!$A$2:$AI$267,MATCH(polities_cats!N$1,$A$1:$AN$1,0),0)</f>
        <v>434</v>
      </c>
      <c r="O99">
        <f>VLOOKUP($A99,regions_full!$A$2:$AI$267,MATCH(polities_cats!O$1,$A$1:$AN$1,0),0)</f>
        <v>5</v>
      </c>
      <c r="P99" t="str">
        <f>VLOOKUP($A99,regions_full!$A$2:$AI$267,MATCH(polities_cats!P$1,$A$1:$AN$1,0),0)</f>
        <v>TRUE</v>
      </c>
      <c r="Q99">
        <f>VLOOKUP($A99,regions_full!$A$2:$AI$267,MATCH(polities_cats!Q$1,$A$1:$AN$1,0),0)</f>
        <v>124</v>
      </c>
      <c r="R99" t="str">
        <f>VLOOKUP($A99,regions_full!$A$2:$AI$267,MATCH(polities_cats!R$1,$A$1:$AN$1,0),0)</f>
        <v/>
      </c>
      <c r="S99" t="str">
        <f>VLOOKUP($A99,regions_full!$A$2:$AI$267,MATCH(polities_cats!S$1,$A$1:$AN$1,0),0)</f>
        <v>Northern Africa</v>
      </c>
      <c r="T99">
        <f>VLOOKUP($A99,regions_full!$A$2:$AI$267,MATCH(polities_cats!T$1,$A$1:$AN$1,0),0)</f>
        <v>1</v>
      </c>
      <c r="U99" t="str">
        <f>VLOOKUP($A99,regions_full!$A$2:$AI$267,MATCH(polities_cats!U$1,$A$1:$AN$1,0),0)</f>
        <v>Libya</v>
      </c>
      <c r="V99" t="str">
        <f>VLOOKUP($A99,regions_full!$A$2:$AI$267,MATCH(polities_cats!V$1,$A$1:$AN$1,0),0)</f>
        <v>Northern Africa and Western Asia</v>
      </c>
      <c r="W99" t="str">
        <f>VLOOKUP($A99,regions_full!$A$2:$AI$267,MATCH(polities_cats!W$1,$A$1:$AN$1,0),0)</f>
        <v>North Africa and West Asia</v>
      </c>
      <c r="X99" t="str">
        <f>VLOOKUP($A99,regions_full!$A$2:$AI$267,MATCH(polities_cats!X$1,$A$1:$AN$1,0),0)</f>
        <v>MENA</v>
      </c>
      <c r="Y99" t="str">
        <f>VLOOKUP($A99,regions_full!$A$2:$AI$267,MATCH(polities_cats!Y$1,$A$1:$AN$1,0),0)</f>
        <v>Northern Africa</v>
      </c>
      <c r="Z99" t="str">
        <f>VLOOKUP($A99,regions_full!$A$2:$AI$267,MATCH(polities_cats!Z$1,$A$1:$AN$1,0),0)</f>
        <v>Africa</v>
      </c>
      <c r="AA99" t="str">
        <f>VLOOKUP($A99,regions_full!$A$2:$AI$267,MATCH(polities_cats!AA$1,$A$1:$AN$1,0),0)</f>
        <v>Africa</v>
      </c>
      <c r="AB99" t="str">
        <f>VLOOKUP($A99,regions_full!$A$2:$AI$267,MATCH(polities_cats!AB$1,$A$1:$AN$1,0),0)</f>
        <v>Northern Africa</v>
      </c>
      <c r="AC99" t="str">
        <f>VLOOKUP($A99,regions_full!$A$2:$AI$267,MATCH(polities_cats!AC$1,$A$1:$AN$1,0),0)</f>
        <v>Northern Africa</v>
      </c>
      <c r="AD99" t="str">
        <f>VLOOKUP($A99,regions_full!$A$2:$AI$267,MATCH(polities_cats!AD$1,$A$1:$AN$1,0),0)</f>
        <v>Emerging</v>
      </c>
      <c r="AE99" t="str">
        <f>VLOOKUP($A99,regions_full!$A$2:$AI$267,MATCH(polities_cats!AE$1,$A$1:$AN$1,0),0)</f>
        <v>Annex_II</v>
      </c>
      <c r="AF99" t="str">
        <f>VLOOKUP($A99,regions_full!$A$2:$AI$267,MATCH(polities_cats!AF$1,$A$1:$AN$1,0),0)</f>
        <v>Northern Africa</v>
      </c>
      <c r="AG99" t="str">
        <f>VLOOKUP($A99,regions_full!$A$2:$AI$267,MATCH(polities_cats!AG$1,$A$1:$AN$1,0),0)</f>
        <v>MENA</v>
      </c>
      <c r="AH99" t="str">
        <f>VLOOKUP($A99,regions_full!$A$2:$AI$267,MATCH(polities_cats!AH$1,$A$1:$AN$1,0),0)</f>
        <v>no_mech</v>
      </c>
      <c r="AI99" t="str">
        <f>VLOOKUP($A99,regions_full!$A$2:$AI$267,MATCH(polities_cats!AI$1,$A$1:$AN$1,0),0)</f>
        <v>Other</v>
      </c>
      <c r="AJ99" t="e">
        <f>VLOOKUP($A99,regions_full!$A$2:$AI$267,MATCH(polities_cats!AJ$1,$A$1:$AN$1,0),0)</f>
        <v>#REF!</v>
      </c>
      <c r="AK99" t="e">
        <f>VLOOKUP($A99,regions_full!$A$2:$AI$267,MATCH(polities_cats!AK$1,$A$1:$AN$1,0),0)</f>
        <v>#REF!</v>
      </c>
      <c r="AL99" t="e">
        <f>VLOOKUP($A99,regions_full!$A$2:$AI$267,MATCH(polities_cats!AL$1,$A$1:$AN$1,0),0)</f>
        <v>#REF!</v>
      </c>
      <c r="AM99" t="e">
        <f>VLOOKUP($A99,regions_full!$A$2:$AI$267,MATCH(polities_cats!AM$1,$A$1:$AN$1,0),0)</f>
        <v>#REF!</v>
      </c>
      <c r="AN99" t="e">
        <f>VLOOKUP($A99,regions_full!$A$2:$AI$267,MATCH(polities_cats!AN$1,$A$1:$AN$1,0),0)</f>
        <v>#REF!</v>
      </c>
    </row>
    <row r="100" spans="1:40" x14ac:dyDescent="0.3">
      <c r="A100" t="str">
        <f>polities_whep!A100</f>
        <v>LTU</v>
      </c>
      <c r="B100" t="str">
        <f>polities_whep!B100</f>
        <v>Lithuania</v>
      </c>
      <c r="C100">
        <f>VLOOKUP($A100,regions_full!$A$2:$AI$267,MATCH(polities_cats!C$1,$A$1:$AN$1,0),0)</f>
        <v>123</v>
      </c>
      <c r="D100">
        <f>VLOOKUP($A100,regions_full!$A$2:$AI$267,MATCH(polities_cats!D$1,$A$1:$AN$1,0),0)</f>
        <v>126</v>
      </c>
      <c r="E100" t="str">
        <f>VLOOKUP($A100,regions_full!$A$2:$AI$267,MATCH(polities_cats!E$1,$A$1:$AN$1,0),0)</f>
        <v>LTU</v>
      </c>
      <c r="F100" t="str">
        <f>VLOOKUP($A100,regions_full!$A$2:$AI$267,MATCH(polities_cats!F$1,$A$1:$AN$1,0),0)</f>
        <v>Lithuania</v>
      </c>
      <c r="G100" t="str">
        <f>VLOOKUP($A100,regions_full!$A$2:$AI$267,MATCH(polities_cats!G$1,$A$1:$AN$1,0),0)</f>
        <v>TRUE</v>
      </c>
      <c r="H100" t="str">
        <f>VLOOKUP($A100,regions_full!$A$2:$AI$267,MATCH(polities_cats!H$1,$A$1:$AN$1,0),0)</f>
        <v>Lithuania</v>
      </c>
      <c r="I100" t="str">
        <f>VLOOKUP($A100,regions_full!$A$2:$AI$267,MATCH(polities_cats!I$1,$A$1:$AN$1,0),0)</f>
        <v>Lithuania</v>
      </c>
      <c r="J100" t="str">
        <f>VLOOKUP($A100,regions_full!$A$2:$AI$267,MATCH(polities_cats!J$1,$A$1:$AN$1,0),0)</f>
        <v>Lithuania</v>
      </c>
      <c r="K100">
        <f>VLOOKUP($A100,regions_full!$A$2:$AI$267,MATCH(polities_cats!K$1,$A$1:$AN$1,0),0)</f>
        <v>126</v>
      </c>
      <c r="L100" t="str">
        <f>VLOOKUP($A100,regions_full!$A$2:$AI$267,MATCH(polities_cats!L$1,$A$1:$AN$1,0),0)</f>
        <v>Lithuania</v>
      </c>
      <c r="M100">
        <f>VLOOKUP($A100,regions_full!$A$2:$AI$267,MATCH(polities_cats!M$1,$A$1:$AN$1,0),0)</f>
        <v>440</v>
      </c>
      <c r="N100">
        <f>VLOOKUP($A100,regions_full!$A$2:$AI$267,MATCH(polities_cats!N$1,$A$1:$AN$1,0),0)</f>
        <v>440</v>
      </c>
      <c r="O100">
        <f>VLOOKUP($A100,regions_full!$A$2:$AI$267,MATCH(polities_cats!O$1,$A$1:$AN$1,0),0)</f>
        <v>11</v>
      </c>
      <c r="P100" t="str">
        <f>VLOOKUP($A100,regions_full!$A$2:$AI$267,MATCH(polities_cats!P$1,$A$1:$AN$1,0),0)</f>
        <v>TRUE</v>
      </c>
      <c r="Q100">
        <f>VLOOKUP($A100,regions_full!$A$2:$AI$267,MATCH(polities_cats!Q$1,$A$1:$AN$1,0),0)</f>
        <v>126</v>
      </c>
      <c r="R100" t="str">
        <f>VLOOKUP($A100,regions_full!$A$2:$AI$267,MATCH(polities_cats!R$1,$A$1:$AN$1,0),0)</f>
        <v>LT</v>
      </c>
      <c r="S100" t="str">
        <f>VLOOKUP($A100,regions_full!$A$2:$AI$267,MATCH(polities_cats!S$1,$A$1:$AN$1,0),0)</f>
        <v>Former USSR</v>
      </c>
      <c r="T100">
        <f>VLOOKUP($A100,regions_full!$A$2:$AI$267,MATCH(polities_cats!T$1,$A$1:$AN$1,0),0)</f>
        <v>1</v>
      </c>
      <c r="U100" t="str">
        <f>VLOOKUP($A100,regions_full!$A$2:$AI$267,MATCH(polities_cats!U$1,$A$1:$AN$1,0),0)</f>
        <v>Lithuania</v>
      </c>
      <c r="V100" t="str">
        <f>VLOOKUP($A100,regions_full!$A$2:$AI$267,MATCH(polities_cats!V$1,$A$1:$AN$1,0),0)</f>
        <v>Eastern and South Eastern Europe</v>
      </c>
      <c r="W100" t="str">
        <f>VLOOKUP($A100,regions_full!$A$2:$AI$267,MATCH(polities_cats!W$1,$A$1:$AN$1,0),0)</f>
        <v>East Europe</v>
      </c>
      <c r="X100" t="str">
        <f>VLOOKUP($A100,regions_full!$A$2:$AI$267,MATCH(polities_cats!X$1,$A$1:$AN$1,0),0)</f>
        <v>Europe</v>
      </c>
      <c r="Y100" t="str">
        <f>VLOOKUP($A100,regions_full!$A$2:$AI$267,MATCH(polities_cats!Y$1,$A$1:$AN$1,0),0)</f>
        <v>Northern Europe</v>
      </c>
      <c r="Z100" t="str">
        <f>VLOOKUP($A100,regions_full!$A$2:$AI$267,MATCH(polities_cats!Z$1,$A$1:$AN$1,0),0)</f>
        <v>Europe</v>
      </c>
      <c r="AA100" t="str">
        <f>VLOOKUP($A100,regions_full!$A$2:$AI$267,MATCH(polities_cats!AA$1,$A$1:$AN$1,0),0)</f>
        <v>Europe and Central Asia</v>
      </c>
      <c r="AB100" t="str">
        <f>VLOOKUP($A100,regions_full!$A$2:$AI$267,MATCH(polities_cats!AB$1,$A$1:$AN$1,0),0)</f>
        <v>Northern, Southern and Western Europe</v>
      </c>
      <c r="AC100" t="str">
        <f>VLOOKUP($A100,regions_full!$A$2:$AI$267,MATCH(polities_cats!AC$1,$A$1:$AN$1,0),0)</f>
        <v>Northern Europe</v>
      </c>
      <c r="AD100" t="str">
        <f>VLOOKUP($A100,regions_full!$A$2:$AI$267,MATCH(polities_cats!AD$1,$A$1:$AN$1,0),0)</f>
        <v>Emerging</v>
      </c>
      <c r="AE100" t="str">
        <f>VLOOKUP($A100,regions_full!$A$2:$AI$267,MATCH(polities_cats!AE$1,$A$1:$AN$1,0),0)</f>
        <v>Annex_I</v>
      </c>
      <c r="AF100" t="str">
        <f>VLOOKUP($A100,regions_full!$A$2:$AI$267,MATCH(polities_cats!AF$1,$A$1:$AN$1,0),0)</f>
        <v>FSU</v>
      </c>
      <c r="AG100" t="str">
        <f>VLOOKUP($A100,regions_full!$A$2:$AI$267,MATCH(polities_cats!AG$1,$A$1:$AN$1,0),0)</f>
        <v>FSU</v>
      </c>
      <c r="AH100" t="str">
        <f>VLOOKUP($A100,regions_full!$A$2:$AI$267,MATCH(polities_cats!AH$1,$A$1:$AN$1,0),0)</f>
        <v>mech</v>
      </c>
      <c r="AI100" t="str">
        <f>VLOOKUP($A100,regions_full!$A$2:$AI$267,MATCH(polities_cats!AI$1,$A$1:$AN$1,0),0)</f>
        <v>Europe</v>
      </c>
      <c r="AJ100" t="e">
        <f>VLOOKUP($A100,regions_full!$A$2:$AI$267,MATCH(polities_cats!AJ$1,$A$1:$AN$1,0),0)</f>
        <v>#REF!</v>
      </c>
      <c r="AK100" t="e">
        <f>VLOOKUP($A100,regions_full!$A$2:$AI$267,MATCH(polities_cats!AK$1,$A$1:$AN$1,0),0)</f>
        <v>#REF!</v>
      </c>
      <c r="AL100" t="e">
        <f>VLOOKUP($A100,regions_full!$A$2:$AI$267,MATCH(polities_cats!AL$1,$A$1:$AN$1,0),0)</f>
        <v>#REF!</v>
      </c>
      <c r="AM100" t="e">
        <f>VLOOKUP($A100,regions_full!$A$2:$AI$267,MATCH(polities_cats!AM$1,$A$1:$AN$1,0),0)</f>
        <v>#REF!</v>
      </c>
      <c r="AN100" t="e">
        <f>VLOOKUP($A100,regions_full!$A$2:$AI$267,MATCH(polities_cats!AN$1,$A$1:$AN$1,0),0)</f>
        <v>#REF!</v>
      </c>
    </row>
    <row r="101" spans="1:40" x14ac:dyDescent="0.3">
      <c r="A101" t="str">
        <f>polities_whep!A101</f>
        <v>LUX</v>
      </c>
      <c r="B101" t="str">
        <f>polities_whep!B101</f>
        <v>Luxembourg</v>
      </c>
      <c r="C101">
        <f>VLOOKUP($A101,regions_full!$A$2:$AI$267,MATCH(polities_cats!C$1,$A$1:$AN$1,0),0)</f>
        <v>247</v>
      </c>
      <c r="D101">
        <f>VLOOKUP($A101,regions_full!$A$2:$AI$267,MATCH(polities_cats!D$1,$A$1:$AN$1,0),0)</f>
        <v>256</v>
      </c>
      <c r="E101" t="str">
        <f>VLOOKUP($A101,regions_full!$A$2:$AI$267,MATCH(polities_cats!E$1,$A$1:$AN$1,0),0)</f>
        <v>LUX</v>
      </c>
      <c r="F101" t="str">
        <f>VLOOKUP($A101,regions_full!$A$2:$AI$267,MATCH(polities_cats!F$1,$A$1:$AN$1,0),0)</f>
        <v>Luxembourg</v>
      </c>
      <c r="G101" t="str">
        <f>VLOOKUP($A101,regions_full!$A$2:$AI$267,MATCH(polities_cats!G$1,$A$1:$AN$1,0),0)</f>
        <v>TRUE</v>
      </c>
      <c r="H101" t="str">
        <f>VLOOKUP($A101,regions_full!$A$2:$AI$267,MATCH(polities_cats!H$1,$A$1:$AN$1,0),0)</f>
        <v>Luxembourg</v>
      </c>
      <c r="I101" t="str">
        <f>VLOOKUP($A101,regions_full!$A$2:$AI$267,MATCH(polities_cats!I$1,$A$1:$AN$1,0),0)</f>
        <v>Luxembourg</v>
      </c>
      <c r="J101" t="str">
        <f>VLOOKUP($A101,regions_full!$A$2:$AI$267,MATCH(polities_cats!J$1,$A$1:$AN$1,0),0)</f>
        <v>Luxembourg</v>
      </c>
      <c r="K101">
        <f>VLOOKUP($A101,regions_full!$A$2:$AI$267,MATCH(polities_cats!K$1,$A$1:$AN$1,0),0)</f>
        <v>256</v>
      </c>
      <c r="L101" t="str">
        <f>VLOOKUP($A101,regions_full!$A$2:$AI$267,MATCH(polities_cats!L$1,$A$1:$AN$1,0),0)</f>
        <v>Luxembourg</v>
      </c>
      <c r="M101">
        <f>VLOOKUP($A101,regions_full!$A$2:$AI$267,MATCH(polities_cats!M$1,$A$1:$AN$1,0),0)</f>
        <v>442</v>
      </c>
      <c r="N101">
        <f>VLOOKUP($A101,regions_full!$A$2:$AI$267,MATCH(polities_cats!N$1,$A$1:$AN$1,0),0)</f>
        <v>442</v>
      </c>
      <c r="O101">
        <f>VLOOKUP($A101,regions_full!$A$2:$AI$267,MATCH(polities_cats!O$1,$A$1:$AN$1,0),0)</f>
        <v>9</v>
      </c>
      <c r="P101" t="str">
        <f>VLOOKUP($A101,regions_full!$A$2:$AI$267,MATCH(polities_cats!P$1,$A$1:$AN$1,0),0)</f>
        <v>TRUE</v>
      </c>
      <c r="Q101">
        <f>VLOOKUP($A101,regions_full!$A$2:$AI$267,MATCH(polities_cats!Q$1,$A$1:$AN$1,0),0)</f>
        <v>256</v>
      </c>
      <c r="R101" t="str">
        <f>VLOOKUP($A101,regions_full!$A$2:$AI$267,MATCH(polities_cats!R$1,$A$1:$AN$1,0),0)</f>
        <v>LU</v>
      </c>
      <c r="S101" t="str">
        <f>VLOOKUP($A101,regions_full!$A$2:$AI$267,MATCH(polities_cats!S$1,$A$1:$AN$1,0),0)</f>
        <v>OECD Europe</v>
      </c>
      <c r="T101">
        <f>VLOOKUP($A101,regions_full!$A$2:$AI$267,MATCH(polities_cats!T$1,$A$1:$AN$1,0),0)</f>
        <v>1</v>
      </c>
      <c r="U101" t="str">
        <f>VLOOKUP($A101,regions_full!$A$2:$AI$267,MATCH(polities_cats!U$1,$A$1:$AN$1,0),0)</f>
        <v>Luxembourg</v>
      </c>
      <c r="V101" t="str">
        <f>VLOOKUP($A101,regions_full!$A$2:$AI$267,MATCH(polities_cats!V$1,$A$1:$AN$1,0),0)</f>
        <v>Western Europe</v>
      </c>
      <c r="W101" t="str">
        <f>VLOOKUP($A101,regions_full!$A$2:$AI$267,MATCH(polities_cats!W$1,$A$1:$AN$1,0),0)</f>
        <v>West Europe</v>
      </c>
      <c r="X101" t="str">
        <f>VLOOKUP($A101,regions_full!$A$2:$AI$267,MATCH(polities_cats!X$1,$A$1:$AN$1,0),0)</f>
        <v>Europe</v>
      </c>
      <c r="Y101" t="str">
        <f>VLOOKUP($A101,regions_full!$A$2:$AI$267,MATCH(polities_cats!Y$1,$A$1:$AN$1,0),0)</f>
        <v>Western Europe</v>
      </c>
      <c r="Z101" t="str">
        <f>VLOOKUP($A101,regions_full!$A$2:$AI$267,MATCH(polities_cats!Z$1,$A$1:$AN$1,0),0)</f>
        <v>Europe</v>
      </c>
      <c r="AA101" t="str">
        <f>VLOOKUP($A101,regions_full!$A$2:$AI$267,MATCH(polities_cats!AA$1,$A$1:$AN$1,0),0)</f>
        <v>Europe and Central Asia</v>
      </c>
      <c r="AB101" t="str">
        <f>VLOOKUP($A101,regions_full!$A$2:$AI$267,MATCH(polities_cats!AB$1,$A$1:$AN$1,0),0)</f>
        <v>Northern, Southern and Western Europe</v>
      </c>
      <c r="AC101" t="str">
        <f>VLOOKUP($A101,regions_full!$A$2:$AI$267,MATCH(polities_cats!AC$1,$A$1:$AN$1,0),0)</f>
        <v>Western Europe</v>
      </c>
      <c r="AD101" t="str">
        <f>VLOOKUP($A101,regions_full!$A$2:$AI$267,MATCH(polities_cats!AD$1,$A$1:$AN$1,0),0)</f>
        <v>Advanced</v>
      </c>
      <c r="AE101" t="str">
        <f>VLOOKUP($A101,regions_full!$A$2:$AI$267,MATCH(polities_cats!AE$1,$A$1:$AN$1,0),0)</f>
        <v>Annex_I</v>
      </c>
      <c r="AF101" t="str">
        <f>VLOOKUP($A101,regions_full!$A$2:$AI$267,MATCH(polities_cats!AF$1,$A$1:$AN$1,0),0)</f>
        <v>Western Europe</v>
      </c>
      <c r="AG101" t="str">
        <f>VLOOKUP($A101,regions_full!$A$2:$AI$267,MATCH(polities_cats!AG$1,$A$1:$AN$1,0),0)</f>
        <v>Europe</v>
      </c>
      <c r="AH101" t="str">
        <f>VLOOKUP($A101,regions_full!$A$2:$AI$267,MATCH(polities_cats!AH$1,$A$1:$AN$1,0),0)</f>
        <v>mech</v>
      </c>
      <c r="AI101" t="str">
        <f>VLOOKUP($A101,regions_full!$A$2:$AI$267,MATCH(polities_cats!AI$1,$A$1:$AN$1,0),0)</f>
        <v>Europe</v>
      </c>
      <c r="AJ101" t="e">
        <f>VLOOKUP($A101,regions_full!$A$2:$AI$267,MATCH(polities_cats!AJ$1,$A$1:$AN$1,0),0)</f>
        <v>#REF!</v>
      </c>
      <c r="AK101" t="e">
        <f>VLOOKUP($A101,regions_full!$A$2:$AI$267,MATCH(polities_cats!AK$1,$A$1:$AN$1,0),0)</f>
        <v>#REF!</v>
      </c>
      <c r="AL101" t="e">
        <f>VLOOKUP($A101,regions_full!$A$2:$AI$267,MATCH(polities_cats!AL$1,$A$1:$AN$1,0),0)</f>
        <v>#REF!</v>
      </c>
      <c r="AM101" t="e">
        <f>VLOOKUP($A101,regions_full!$A$2:$AI$267,MATCH(polities_cats!AM$1,$A$1:$AN$1,0),0)</f>
        <v>#REF!</v>
      </c>
      <c r="AN101" t="e">
        <f>VLOOKUP($A101,regions_full!$A$2:$AI$267,MATCH(polities_cats!AN$1,$A$1:$AN$1,0),0)</f>
        <v>#REF!</v>
      </c>
    </row>
    <row r="102" spans="1:40" x14ac:dyDescent="0.3">
      <c r="A102" t="str">
        <f>polities_whep!A102</f>
        <v>MKD</v>
      </c>
      <c r="B102" t="str">
        <f>polities_whep!B102</f>
        <v>North Macedonia</v>
      </c>
      <c r="C102">
        <f>VLOOKUP($A102,regions_full!$A$2:$AI$267,MATCH(polities_cats!C$1,$A$1:$AN$1,0),0)</f>
        <v>151</v>
      </c>
      <c r="D102">
        <f>VLOOKUP($A102,regions_full!$A$2:$AI$267,MATCH(polities_cats!D$1,$A$1:$AN$1,0),0)</f>
        <v>154</v>
      </c>
      <c r="E102" t="str">
        <f>VLOOKUP($A102,regions_full!$A$2:$AI$267,MATCH(polities_cats!E$1,$A$1:$AN$1,0),0)</f>
        <v>MKD</v>
      </c>
      <c r="F102" t="str">
        <f>VLOOKUP($A102,regions_full!$A$2:$AI$267,MATCH(polities_cats!F$1,$A$1:$AN$1,0),0)</f>
        <v>North Macedonia</v>
      </c>
      <c r="G102" t="str">
        <f>VLOOKUP($A102,regions_full!$A$2:$AI$267,MATCH(polities_cats!G$1,$A$1:$AN$1,0),0)</f>
        <v>FALSE</v>
      </c>
      <c r="H102" t="str">
        <f>VLOOKUP($A102,regions_full!$A$2:$AI$267,MATCH(polities_cats!H$1,$A$1:$AN$1,0),0)</f>
        <v>North Macedonia</v>
      </c>
      <c r="I102" t="str">
        <f>VLOOKUP($A102,regions_full!$A$2:$AI$267,MATCH(polities_cats!I$1,$A$1:$AN$1,0),0)</f>
        <v>Macedonia</v>
      </c>
      <c r="J102" t="str">
        <f>VLOOKUP($A102,regions_full!$A$2:$AI$267,MATCH(polities_cats!J$1,$A$1:$AN$1,0),0)</f>
        <v>Former Yugoslav Republic of Macedonia</v>
      </c>
      <c r="K102">
        <f>VLOOKUP($A102,regions_full!$A$2:$AI$267,MATCH(polities_cats!K$1,$A$1:$AN$1,0),0)</f>
        <v>154</v>
      </c>
      <c r="L102" t="str">
        <f>VLOOKUP($A102,regions_full!$A$2:$AI$267,MATCH(polities_cats!L$1,$A$1:$AN$1,0),0)</f>
        <v>The former Yugoslav Republic of Macedonia</v>
      </c>
      <c r="M102">
        <f>VLOOKUP($A102,regions_full!$A$2:$AI$267,MATCH(polities_cats!M$1,$A$1:$AN$1,0),0)</f>
        <v>807</v>
      </c>
      <c r="N102">
        <f>VLOOKUP($A102,regions_full!$A$2:$AI$267,MATCH(polities_cats!N$1,$A$1:$AN$1,0),0)</f>
        <v>807</v>
      </c>
      <c r="O102">
        <f>VLOOKUP($A102,regions_full!$A$2:$AI$267,MATCH(polities_cats!O$1,$A$1:$AN$1,0),0)</f>
        <v>10</v>
      </c>
      <c r="P102" t="str">
        <f>VLOOKUP($A102,regions_full!$A$2:$AI$267,MATCH(polities_cats!P$1,$A$1:$AN$1,0),0)</f>
        <v>TRUE</v>
      </c>
      <c r="Q102">
        <f>VLOOKUP($A102,regions_full!$A$2:$AI$267,MATCH(polities_cats!Q$1,$A$1:$AN$1,0),0)</f>
        <v>999</v>
      </c>
      <c r="R102" t="str">
        <f>VLOOKUP($A102,regions_full!$A$2:$AI$267,MATCH(polities_cats!R$1,$A$1:$AN$1,0),0)</f>
        <v/>
      </c>
      <c r="S102" t="str">
        <f>VLOOKUP($A102,regions_full!$A$2:$AI$267,MATCH(polities_cats!S$1,$A$1:$AN$1,0),0)</f>
        <v>Eastern Europe</v>
      </c>
      <c r="T102">
        <f>VLOOKUP($A102,regions_full!$A$2:$AI$267,MATCH(polities_cats!T$1,$A$1:$AN$1,0),0)</f>
        <v>1</v>
      </c>
      <c r="U102" t="str">
        <f>VLOOKUP($A102,regions_full!$A$2:$AI$267,MATCH(polities_cats!U$1,$A$1:$AN$1,0),0)</f>
        <v>North Macedonia</v>
      </c>
      <c r="V102" t="str">
        <f>VLOOKUP($A102,regions_full!$A$2:$AI$267,MATCH(polities_cats!V$1,$A$1:$AN$1,0),0)</f>
        <v>Eastern and South Eastern Europe</v>
      </c>
      <c r="W102" t="str">
        <f>VLOOKUP($A102,regions_full!$A$2:$AI$267,MATCH(polities_cats!W$1,$A$1:$AN$1,0),0)</f>
        <v>East Europe</v>
      </c>
      <c r="X102" t="str">
        <f>VLOOKUP($A102,regions_full!$A$2:$AI$267,MATCH(polities_cats!X$1,$A$1:$AN$1,0),0)</f>
        <v>Europe</v>
      </c>
      <c r="Y102" t="str">
        <f>VLOOKUP($A102,regions_full!$A$2:$AI$267,MATCH(polities_cats!Y$1,$A$1:$AN$1,0),0)</f>
        <v>Southern Europe</v>
      </c>
      <c r="Z102" t="str">
        <f>VLOOKUP($A102,regions_full!$A$2:$AI$267,MATCH(polities_cats!Z$1,$A$1:$AN$1,0),0)</f>
        <v>Europe</v>
      </c>
      <c r="AA102" t="str">
        <f>VLOOKUP($A102,regions_full!$A$2:$AI$267,MATCH(polities_cats!AA$1,$A$1:$AN$1,0),0)</f>
        <v>Europe and Central Asia</v>
      </c>
      <c r="AB102" t="str">
        <f>VLOOKUP($A102,regions_full!$A$2:$AI$267,MATCH(polities_cats!AB$1,$A$1:$AN$1,0),0)</f>
        <v>Northern, Southern and Western Europe</v>
      </c>
      <c r="AC102" t="str">
        <f>VLOOKUP($A102,regions_full!$A$2:$AI$267,MATCH(polities_cats!AC$1,$A$1:$AN$1,0),0)</f>
        <v>Southern Europe</v>
      </c>
      <c r="AD102" t="str">
        <f>VLOOKUP($A102,regions_full!$A$2:$AI$267,MATCH(polities_cats!AD$1,$A$1:$AN$1,0),0)</f>
        <v>Emerging</v>
      </c>
      <c r="AE102" t="str">
        <f>VLOOKUP($A102,regions_full!$A$2:$AI$267,MATCH(polities_cats!AE$1,$A$1:$AN$1,0),0)</f>
        <v>Annex_II</v>
      </c>
      <c r="AF102" t="str">
        <f>VLOOKUP($A102,regions_full!$A$2:$AI$267,MATCH(polities_cats!AF$1,$A$1:$AN$1,0),0)</f>
        <v>Southern Europe</v>
      </c>
      <c r="AG102" t="str">
        <f>VLOOKUP($A102,regions_full!$A$2:$AI$267,MATCH(polities_cats!AG$1,$A$1:$AN$1,0),0)</f>
        <v>Europe</v>
      </c>
      <c r="AH102" t="str">
        <f>VLOOKUP($A102,regions_full!$A$2:$AI$267,MATCH(polities_cats!AH$1,$A$1:$AN$1,0),0)</f>
        <v>mech</v>
      </c>
      <c r="AI102" t="str">
        <f>VLOOKUP($A102,regions_full!$A$2:$AI$267,MATCH(polities_cats!AI$1,$A$1:$AN$1,0),0)</f>
        <v>Europe</v>
      </c>
      <c r="AJ102" t="e">
        <f>VLOOKUP($A102,regions_full!$A$2:$AI$267,MATCH(polities_cats!AJ$1,$A$1:$AN$1,0),0)</f>
        <v>#REF!</v>
      </c>
      <c r="AK102" t="e">
        <f>VLOOKUP($A102,regions_full!$A$2:$AI$267,MATCH(polities_cats!AK$1,$A$1:$AN$1,0),0)</f>
        <v>#REF!</v>
      </c>
      <c r="AL102" t="e">
        <f>VLOOKUP($A102,regions_full!$A$2:$AI$267,MATCH(polities_cats!AL$1,$A$1:$AN$1,0),0)</f>
        <v>#REF!</v>
      </c>
      <c r="AM102" t="e">
        <f>VLOOKUP($A102,regions_full!$A$2:$AI$267,MATCH(polities_cats!AM$1,$A$1:$AN$1,0),0)</f>
        <v>#REF!</v>
      </c>
      <c r="AN102" t="e">
        <f>VLOOKUP($A102,regions_full!$A$2:$AI$267,MATCH(polities_cats!AN$1,$A$1:$AN$1,0),0)</f>
        <v>#REF!</v>
      </c>
    </row>
    <row r="103" spans="1:40" x14ac:dyDescent="0.3">
      <c r="A103" t="str">
        <f>polities_whep!A103</f>
        <v>MDG</v>
      </c>
      <c r="B103" t="str">
        <f>polities_whep!B103</f>
        <v>Madagascar</v>
      </c>
      <c r="C103">
        <f>VLOOKUP($A103,regions_full!$A$2:$AI$267,MATCH(polities_cats!C$1,$A$1:$AN$1,0),0)</f>
        <v>126</v>
      </c>
      <c r="D103">
        <f>VLOOKUP($A103,regions_full!$A$2:$AI$267,MATCH(polities_cats!D$1,$A$1:$AN$1,0),0)</f>
        <v>129</v>
      </c>
      <c r="E103" t="str">
        <f>VLOOKUP($A103,regions_full!$A$2:$AI$267,MATCH(polities_cats!E$1,$A$1:$AN$1,0),0)</f>
        <v>MDG</v>
      </c>
      <c r="F103" t="str">
        <f>VLOOKUP($A103,regions_full!$A$2:$AI$267,MATCH(polities_cats!F$1,$A$1:$AN$1,0),0)</f>
        <v>Madagascar</v>
      </c>
      <c r="G103" t="str">
        <f>VLOOKUP($A103,regions_full!$A$2:$AI$267,MATCH(polities_cats!G$1,$A$1:$AN$1,0),0)</f>
        <v>FALSE</v>
      </c>
      <c r="H103" t="str">
        <f>VLOOKUP($A103,regions_full!$A$2:$AI$267,MATCH(polities_cats!H$1,$A$1:$AN$1,0),0)</f>
        <v>Madagascar</v>
      </c>
      <c r="I103" t="str">
        <f>VLOOKUP($A103,regions_full!$A$2:$AI$267,MATCH(polities_cats!I$1,$A$1:$AN$1,0),0)</f>
        <v>Madagascar</v>
      </c>
      <c r="J103">
        <f>VLOOKUP($A103,regions_full!$A$2:$AI$267,MATCH(polities_cats!J$1,$A$1:$AN$1,0),0)</f>
        <v>0</v>
      </c>
      <c r="K103">
        <f>VLOOKUP($A103,regions_full!$A$2:$AI$267,MATCH(polities_cats!K$1,$A$1:$AN$1,0),0)</f>
        <v>129</v>
      </c>
      <c r="L103" t="str">
        <f>VLOOKUP($A103,regions_full!$A$2:$AI$267,MATCH(polities_cats!L$1,$A$1:$AN$1,0),0)</f>
        <v>Madagascar</v>
      </c>
      <c r="M103">
        <f>VLOOKUP($A103,regions_full!$A$2:$AI$267,MATCH(polities_cats!M$1,$A$1:$AN$1,0),0)</f>
        <v>450</v>
      </c>
      <c r="N103">
        <f>VLOOKUP($A103,regions_full!$A$2:$AI$267,MATCH(polities_cats!N$1,$A$1:$AN$1,0),0)</f>
        <v>450</v>
      </c>
      <c r="O103">
        <f>VLOOKUP($A103,regions_full!$A$2:$AI$267,MATCH(polities_cats!O$1,$A$1:$AN$1,0),0)</f>
        <v>7</v>
      </c>
      <c r="P103" t="str">
        <f>VLOOKUP($A103,regions_full!$A$2:$AI$267,MATCH(polities_cats!P$1,$A$1:$AN$1,0),0)</f>
        <v>TRUE</v>
      </c>
      <c r="Q103">
        <f>VLOOKUP($A103,regions_full!$A$2:$AI$267,MATCH(polities_cats!Q$1,$A$1:$AN$1,0),0)</f>
        <v>129</v>
      </c>
      <c r="R103" t="str">
        <f>VLOOKUP($A103,regions_full!$A$2:$AI$267,MATCH(polities_cats!R$1,$A$1:$AN$1,0),0)</f>
        <v/>
      </c>
      <c r="S103" t="str">
        <f>VLOOKUP($A103,regions_full!$A$2:$AI$267,MATCH(polities_cats!S$1,$A$1:$AN$1,0),0)</f>
        <v>Eastern Africa</v>
      </c>
      <c r="T103">
        <f>VLOOKUP($A103,regions_full!$A$2:$AI$267,MATCH(polities_cats!T$1,$A$1:$AN$1,0),0)</f>
        <v>1</v>
      </c>
      <c r="U103" t="str">
        <f>VLOOKUP($A103,regions_full!$A$2:$AI$267,MATCH(polities_cats!U$1,$A$1:$AN$1,0),0)</f>
        <v>Madagascar</v>
      </c>
      <c r="V103" t="str">
        <f>VLOOKUP($A103,regions_full!$A$2:$AI$267,MATCH(polities_cats!V$1,$A$1:$AN$1,0),0)</f>
        <v>Subsaharan Africa</v>
      </c>
      <c r="W103" t="str">
        <f>VLOOKUP($A103,regions_full!$A$2:$AI$267,MATCH(polities_cats!W$1,$A$1:$AN$1,0),0)</f>
        <v>Sub-saharan Africa</v>
      </c>
      <c r="X103" t="str">
        <f>VLOOKUP($A103,regions_full!$A$2:$AI$267,MATCH(polities_cats!X$1,$A$1:$AN$1,0),0)</f>
        <v>SSA</v>
      </c>
      <c r="Y103" t="str">
        <f>VLOOKUP($A103,regions_full!$A$2:$AI$267,MATCH(polities_cats!Y$1,$A$1:$AN$1,0),0)</f>
        <v>Sub-Saharan Africa</v>
      </c>
      <c r="Z103" t="str">
        <f>VLOOKUP($A103,regions_full!$A$2:$AI$267,MATCH(polities_cats!Z$1,$A$1:$AN$1,0),0)</f>
        <v>Africa</v>
      </c>
      <c r="AA103" t="str">
        <f>VLOOKUP($A103,regions_full!$A$2:$AI$267,MATCH(polities_cats!AA$1,$A$1:$AN$1,0),0)</f>
        <v>Africa</v>
      </c>
      <c r="AB103" t="str">
        <f>VLOOKUP($A103,regions_full!$A$2:$AI$267,MATCH(polities_cats!AB$1,$A$1:$AN$1,0),0)</f>
        <v>Sub-Saharan Africa</v>
      </c>
      <c r="AC103" t="str">
        <f>VLOOKUP($A103,regions_full!$A$2:$AI$267,MATCH(polities_cats!AC$1,$A$1:$AN$1,0),0)</f>
        <v>Eastern Africa</v>
      </c>
      <c r="AD103" t="str">
        <f>VLOOKUP($A103,regions_full!$A$2:$AI$267,MATCH(polities_cats!AD$1,$A$1:$AN$1,0),0)</f>
        <v>Emerging</v>
      </c>
      <c r="AE103" t="str">
        <f>VLOOKUP($A103,regions_full!$A$2:$AI$267,MATCH(polities_cats!AE$1,$A$1:$AN$1,0),0)</f>
        <v>Annex_II</v>
      </c>
      <c r="AF103" t="str">
        <f>VLOOKUP($A103,regions_full!$A$2:$AI$267,MATCH(polities_cats!AF$1,$A$1:$AN$1,0),0)</f>
        <v>Eastern Africa</v>
      </c>
      <c r="AG103" t="str">
        <f>VLOOKUP($A103,regions_full!$A$2:$AI$267,MATCH(polities_cats!AG$1,$A$1:$AN$1,0),0)</f>
        <v>SAA</v>
      </c>
      <c r="AH103" t="str">
        <f>VLOOKUP($A103,regions_full!$A$2:$AI$267,MATCH(polities_cats!AH$1,$A$1:$AN$1,0),0)</f>
        <v>no_mech</v>
      </c>
      <c r="AI103" t="str">
        <f>VLOOKUP($A103,regions_full!$A$2:$AI$267,MATCH(polities_cats!AI$1,$A$1:$AN$1,0),0)</f>
        <v>Other</v>
      </c>
      <c r="AJ103" t="e">
        <f>VLOOKUP($A103,regions_full!$A$2:$AI$267,MATCH(polities_cats!AJ$1,$A$1:$AN$1,0),0)</f>
        <v>#REF!</v>
      </c>
      <c r="AK103" t="e">
        <f>VLOOKUP($A103,regions_full!$A$2:$AI$267,MATCH(polities_cats!AK$1,$A$1:$AN$1,0),0)</f>
        <v>#REF!</v>
      </c>
      <c r="AL103" t="e">
        <f>VLOOKUP($A103,regions_full!$A$2:$AI$267,MATCH(polities_cats!AL$1,$A$1:$AN$1,0),0)</f>
        <v>#REF!</v>
      </c>
      <c r="AM103" t="e">
        <f>VLOOKUP($A103,regions_full!$A$2:$AI$267,MATCH(polities_cats!AM$1,$A$1:$AN$1,0),0)</f>
        <v>#REF!</v>
      </c>
      <c r="AN103" t="e">
        <f>VLOOKUP($A103,regions_full!$A$2:$AI$267,MATCH(polities_cats!AN$1,$A$1:$AN$1,0),0)</f>
        <v>#REF!</v>
      </c>
    </row>
    <row r="104" spans="1:40" x14ac:dyDescent="0.3">
      <c r="A104" t="str">
        <f>polities_whep!A104</f>
        <v>MWI</v>
      </c>
      <c r="B104" t="str">
        <f>polities_whep!B104</f>
        <v>Malawi</v>
      </c>
      <c r="C104">
        <f>VLOOKUP($A104,regions_full!$A$2:$AI$267,MATCH(polities_cats!C$1,$A$1:$AN$1,0),0)</f>
        <v>127</v>
      </c>
      <c r="D104">
        <f>VLOOKUP($A104,regions_full!$A$2:$AI$267,MATCH(polities_cats!D$1,$A$1:$AN$1,0),0)</f>
        <v>130</v>
      </c>
      <c r="E104" t="str">
        <f>VLOOKUP($A104,regions_full!$A$2:$AI$267,MATCH(polities_cats!E$1,$A$1:$AN$1,0),0)</f>
        <v>MWI</v>
      </c>
      <c r="F104" t="str">
        <f>VLOOKUP($A104,regions_full!$A$2:$AI$267,MATCH(polities_cats!F$1,$A$1:$AN$1,0),0)</f>
        <v>Malawi</v>
      </c>
      <c r="G104" t="str">
        <f>VLOOKUP($A104,regions_full!$A$2:$AI$267,MATCH(polities_cats!G$1,$A$1:$AN$1,0),0)</f>
        <v>FALSE</v>
      </c>
      <c r="H104" t="str">
        <f>VLOOKUP($A104,regions_full!$A$2:$AI$267,MATCH(polities_cats!H$1,$A$1:$AN$1,0),0)</f>
        <v>Malawi</v>
      </c>
      <c r="I104" t="str">
        <f>VLOOKUP($A104,regions_full!$A$2:$AI$267,MATCH(polities_cats!I$1,$A$1:$AN$1,0),0)</f>
        <v>Malawi</v>
      </c>
      <c r="J104">
        <f>VLOOKUP($A104,regions_full!$A$2:$AI$267,MATCH(polities_cats!J$1,$A$1:$AN$1,0),0)</f>
        <v>0</v>
      </c>
      <c r="K104">
        <f>VLOOKUP($A104,regions_full!$A$2:$AI$267,MATCH(polities_cats!K$1,$A$1:$AN$1,0),0)</f>
        <v>130</v>
      </c>
      <c r="L104" t="str">
        <f>VLOOKUP($A104,regions_full!$A$2:$AI$267,MATCH(polities_cats!L$1,$A$1:$AN$1,0),0)</f>
        <v>Malawi</v>
      </c>
      <c r="M104">
        <f>VLOOKUP($A104,regions_full!$A$2:$AI$267,MATCH(polities_cats!M$1,$A$1:$AN$1,0),0)</f>
        <v>454</v>
      </c>
      <c r="N104">
        <f>VLOOKUP($A104,regions_full!$A$2:$AI$267,MATCH(polities_cats!N$1,$A$1:$AN$1,0),0)</f>
        <v>454</v>
      </c>
      <c r="O104">
        <f>VLOOKUP($A104,regions_full!$A$2:$AI$267,MATCH(polities_cats!O$1,$A$1:$AN$1,0),0)</f>
        <v>8</v>
      </c>
      <c r="P104" t="str">
        <f>VLOOKUP($A104,regions_full!$A$2:$AI$267,MATCH(polities_cats!P$1,$A$1:$AN$1,0),0)</f>
        <v>TRUE</v>
      </c>
      <c r="Q104">
        <f>VLOOKUP($A104,regions_full!$A$2:$AI$267,MATCH(polities_cats!Q$1,$A$1:$AN$1,0),0)</f>
        <v>130</v>
      </c>
      <c r="R104" t="str">
        <f>VLOOKUP($A104,regions_full!$A$2:$AI$267,MATCH(polities_cats!R$1,$A$1:$AN$1,0),0)</f>
        <v/>
      </c>
      <c r="S104" t="str">
        <f>VLOOKUP($A104,regions_full!$A$2:$AI$267,MATCH(polities_cats!S$1,$A$1:$AN$1,0),0)</f>
        <v>Southern Africa</v>
      </c>
      <c r="T104">
        <f>VLOOKUP($A104,regions_full!$A$2:$AI$267,MATCH(polities_cats!T$1,$A$1:$AN$1,0),0)</f>
        <v>1</v>
      </c>
      <c r="U104" t="str">
        <f>VLOOKUP($A104,regions_full!$A$2:$AI$267,MATCH(polities_cats!U$1,$A$1:$AN$1,0),0)</f>
        <v>Malawi</v>
      </c>
      <c r="V104" t="str">
        <f>VLOOKUP($A104,regions_full!$A$2:$AI$267,MATCH(polities_cats!V$1,$A$1:$AN$1,0),0)</f>
        <v>Subsaharan Africa</v>
      </c>
      <c r="W104" t="str">
        <f>VLOOKUP($A104,regions_full!$A$2:$AI$267,MATCH(polities_cats!W$1,$A$1:$AN$1,0),0)</f>
        <v>Sub-saharan Africa</v>
      </c>
      <c r="X104" t="str">
        <f>VLOOKUP($A104,regions_full!$A$2:$AI$267,MATCH(polities_cats!X$1,$A$1:$AN$1,0),0)</f>
        <v>SSA</v>
      </c>
      <c r="Y104" t="str">
        <f>VLOOKUP($A104,regions_full!$A$2:$AI$267,MATCH(polities_cats!Y$1,$A$1:$AN$1,0),0)</f>
        <v>Sub-Saharan Africa</v>
      </c>
      <c r="Z104" t="str">
        <f>VLOOKUP($A104,regions_full!$A$2:$AI$267,MATCH(polities_cats!Z$1,$A$1:$AN$1,0),0)</f>
        <v>Africa</v>
      </c>
      <c r="AA104" t="str">
        <f>VLOOKUP($A104,regions_full!$A$2:$AI$267,MATCH(polities_cats!AA$1,$A$1:$AN$1,0),0)</f>
        <v>Africa</v>
      </c>
      <c r="AB104" t="str">
        <f>VLOOKUP($A104,regions_full!$A$2:$AI$267,MATCH(polities_cats!AB$1,$A$1:$AN$1,0),0)</f>
        <v>Sub-Saharan Africa</v>
      </c>
      <c r="AC104" t="str">
        <f>VLOOKUP($A104,regions_full!$A$2:$AI$267,MATCH(polities_cats!AC$1,$A$1:$AN$1,0),0)</f>
        <v>Eastern Africa</v>
      </c>
      <c r="AD104" t="str">
        <f>VLOOKUP($A104,regions_full!$A$2:$AI$267,MATCH(polities_cats!AD$1,$A$1:$AN$1,0),0)</f>
        <v>Emerging</v>
      </c>
      <c r="AE104" t="str">
        <f>VLOOKUP($A104,regions_full!$A$2:$AI$267,MATCH(polities_cats!AE$1,$A$1:$AN$1,0),0)</f>
        <v>Annex_II</v>
      </c>
      <c r="AF104" t="str">
        <f>VLOOKUP($A104,regions_full!$A$2:$AI$267,MATCH(polities_cats!AF$1,$A$1:$AN$1,0),0)</f>
        <v>Eastern Africa</v>
      </c>
      <c r="AG104" t="str">
        <f>VLOOKUP($A104,regions_full!$A$2:$AI$267,MATCH(polities_cats!AG$1,$A$1:$AN$1,0),0)</f>
        <v>SAA</v>
      </c>
      <c r="AH104" t="str">
        <f>VLOOKUP($A104,regions_full!$A$2:$AI$267,MATCH(polities_cats!AH$1,$A$1:$AN$1,0),0)</f>
        <v>no_mech</v>
      </c>
      <c r="AI104" t="str">
        <f>VLOOKUP($A104,regions_full!$A$2:$AI$267,MATCH(polities_cats!AI$1,$A$1:$AN$1,0),0)</f>
        <v>Other</v>
      </c>
      <c r="AJ104" t="e">
        <f>VLOOKUP($A104,regions_full!$A$2:$AI$267,MATCH(polities_cats!AJ$1,$A$1:$AN$1,0),0)</f>
        <v>#REF!</v>
      </c>
      <c r="AK104" t="e">
        <f>VLOOKUP($A104,regions_full!$A$2:$AI$267,MATCH(polities_cats!AK$1,$A$1:$AN$1,0),0)</f>
        <v>#REF!</v>
      </c>
      <c r="AL104" t="e">
        <f>VLOOKUP($A104,regions_full!$A$2:$AI$267,MATCH(polities_cats!AL$1,$A$1:$AN$1,0),0)</f>
        <v>#REF!</v>
      </c>
      <c r="AM104" t="e">
        <f>VLOOKUP($A104,regions_full!$A$2:$AI$267,MATCH(polities_cats!AM$1,$A$1:$AN$1,0),0)</f>
        <v>#REF!</v>
      </c>
      <c r="AN104" t="e">
        <f>VLOOKUP($A104,regions_full!$A$2:$AI$267,MATCH(polities_cats!AN$1,$A$1:$AN$1,0),0)</f>
        <v>#REF!</v>
      </c>
    </row>
    <row r="105" spans="1:40" x14ac:dyDescent="0.3">
      <c r="A105" t="str">
        <f>polities_whep!A105</f>
        <v>MYS</v>
      </c>
      <c r="B105" t="str">
        <f>polities_whep!B105</f>
        <v>Malaysia</v>
      </c>
      <c r="C105">
        <f>VLOOKUP($A105,regions_full!$A$2:$AI$267,MATCH(polities_cats!C$1,$A$1:$AN$1,0),0)</f>
        <v>128</v>
      </c>
      <c r="D105">
        <f>VLOOKUP($A105,regions_full!$A$2:$AI$267,MATCH(polities_cats!D$1,$A$1:$AN$1,0),0)</f>
        <v>131</v>
      </c>
      <c r="E105" t="str">
        <f>VLOOKUP($A105,regions_full!$A$2:$AI$267,MATCH(polities_cats!E$1,$A$1:$AN$1,0),0)</f>
        <v>MYS</v>
      </c>
      <c r="F105" t="str">
        <f>VLOOKUP($A105,regions_full!$A$2:$AI$267,MATCH(polities_cats!F$1,$A$1:$AN$1,0),0)</f>
        <v>Malaysia</v>
      </c>
      <c r="G105" t="str">
        <f>VLOOKUP($A105,regions_full!$A$2:$AI$267,MATCH(polities_cats!G$1,$A$1:$AN$1,0),0)</f>
        <v>FALSE</v>
      </c>
      <c r="H105" t="str">
        <f>VLOOKUP($A105,regions_full!$A$2:$AI$267,MATCH(polities_cats!H$1,$A$1:$AN$1,0),0)</f>
        <v>Malaysia</v>
      </c>
      <c r="I105" t="str">
        <f>VLOOKUP($A105,regions_full!$A$2:$AI$267,MATCH(polities_cats!I$1,$A$1:$AN$1,0),0)</f>
        <v>Malaysia</v>
      </c>
      <c r="J105" t="str">
        <f>VLOOKUP($A105,regions_full!$A$2:$AI$267,MATCH(polities_cats!J$1,$A$1:$AN$1,0),0)</f>
        <v>Malaysia</v>
      </c>
      <c r="K105">
        <f>VLOOKUP($A105,regions_full!$A$2:$AI$267,MATCH(polities_cats!K$1,$A$1:$AN$1,0),0)</f>
        <v>131</v>
      </c>
      <c r="L105" t="str">
        <f>VLOOKUP($A105,regions_full!$A$2:$AI$267,MATCH(polities_cats!L$1,$A$1:$AN$1,0),0)</f>
        <v>Malaysia</v>
      </c>
      <c r="M105">
        <f>VLOOKUP($A105,regions_full!$A$2:$AI$267,MATCH(polities_cats!M$1,$A$1:$AN$1,0),0)</f>
        <v>458</v>
      </c>
      <c r="N105">
        <f>VLOOKUP($A105,regions_full!$A$2:$AI$267,MATCH(polities_cats!N$1,$A$1:$AN$1,0),0)</f>
        <v>458</v>
      </c>
      <c r="O105">
        <f>VLOOKUP($A105,regions_full!$A$2:$AI$267,MATCH(polities_cats!O$1,$A$1:$AN$1,0),0)</f>
        <v>15</v>
      </c>
      <c r="P105" t="str">
        <f>VLOOKUP($A105,regions_full!$A$2:$AI$267,MATCH(polities_cats!P$1,$A$1:$AN$1,0),0)</f>
        <v>TRUE</v>
      </c>
      <c r="Q105">
        <f>VLOOKUP($A105,regions_full!$A$2:$AI$267,MATCH(polities_cats!Q$1,$A$1:$AN$1,0),0)</f>
        <v>131</v>
      </c>
      <c r="R105" t="str">
        <f>VLOOKUP($A105,regions_full!$A$2:$AI$267,MATCH(polities_cats!R$1,$A$1:$AN$1,0),0)</f>
        <v/>
      </c>
      <c r="S105" t="str">
        <f>VLOOKUP($A105,regions_full!$A$2:$AI$267,MATCH(polities_cats!S$1,$A$1:$AN$1,0),0)</f>
        <v>South East Asia</v>
      </c>
      <c r="T105">
        <f>VLOOKUP($A105,regions_full!$A$2:$AI$267,MATCH(polities_cats!T$1,$A$1:$AN$1,0),0)</f>
        <v>1</v>
      </c>
      <c r="U105" t="str">
        <f>VLOOKUP($A105,regions_full!$A$2:$AI$267,MATCH(polities_cats!U$1,$A$1:$AN$1,0),0)</f>
        <v>Malaysia</v>
      </c>
      <c r="V105" t="str">
        <f>VLOOKUP($A105,regions_full!$A$2:$AI$267,MATCH(polities_cats!V$1,$A$1:$AN$1,0),0)</f>
        <v>Southeastern Asia</v>
      </c>
      <c r="W105" t="str">
        <f>VLOOKUP($A105,regions_full!$A$2:$AI$267,MATCH(polities_cats!W$1,$A$1:$AN$1,0),0)</f>
        <v>South and Central Asia</v>
      </c>
      <c r="X105" t="str">
        <f>VLOOKUP($A105,regions_full!$A$2:$AI$267,MATCH(polities_cats!X$1,$A$1:$AN$1,0),0)</f>
        <v>S&amp;E Asia</v>
      </c>
      <c r="Y105" t="str">
        <f>VLOOKUP($A105,regions_full!$A$2:$AI$267,MATCH(polities_cats!Y$1,$A$1:$AN$1,0),0)</f>
        <v>South-eastern Asia</v>
      </c>
      <c r="Z105" t="str">
        <f>VLOOKUP($A105,regions_full!$A$2:$AI$267,MATCH(polities_cats!Z$1,$A$1:$AN$1,0),0)</f>
        <v>Asia</v>
      </c>
      <c r="AA105" t="str">
        <f>VLOOKUP($A105,regions_full!$A$2:$AI$267,MATCH(polities_cats!AA$1,$A$1:$AN$1,0),0)</f>
        <v>Asia and the Pacific</v>
      </c>
      <c r="AB105" t="str">
        <f>VLOOKUP($A105,regions_full!$A$2:$AI$267,MATCH(polities_cats!AB$1,$A$1:$AN$1,0),0)</f>
        <v>South-Eastern Asia and the Pacific</v>
      </c>
      <c r="AC105" t="str">
        <f>VLOOKUP($A105,regions_full!$A$2:$AI$267,MATCH(polities_cats!AC$1,$A$1:$AN$1,0),0)</f>
        <v>South-Eastern Asia</v>
      </c>
      <c r="AD105" t="str">
        <f>VLOOKUP($A105,regions_full!$A$2:$AI$267,MATCH(polities_cats!AD$1,$A$1:$AN$1,0),0)</f>
        <v>Emerging</v>
      </c>
      <c r="AE105" t="str">
        <f>VLOOKUP($A105,regions_full!$A$2:$AI$267,MATCH(polities_cats!AE$1,$A$1:$AN$1,0),0)</f>
        <v>Annex_II</v>
      </c>
      <c r="AF105" t="str">
        <f>VLOOKUP($A105,regions_full!$A$2:$AI$267,MATCH(polities_cats!AF$1,$A$1:$AN$1,0),0)</f>
        <v>South-eastern Asia</v>
      </c>
      <c r="AG105" t="str">
        <f>VLOOKUP($A105,regions_full!$A$2:$AI$267,MATCH(polities_cats!AG$1,$A$1:$AN$1,0),0)</f>
        <v>SE-Asia</v>
      </c>
      <c r="AH105" t="str">
        <f>VLOOKUP($A105,regions_full!$A$2:$AI$267,MATCH(polities_cats!AH$1,$A$1:$AN$1,0),0)</f>
        <v>no_mech</v>
      </c>
      <c r="AI105" t="str">
        <f>VLOOKUP($A105,regions_full!$A$2:$AI$267,MATCH(polities_cats!AI$1,$A$1:$AN$1,0),0)</f>
        <v>Other</v>
      </c>
      <c r="AJ105" t="e">
        <f>VLOOKUP($A105,regions_full!$A$2:$AI$267,MATCH(polities_cats!AJ$1,$A$1:$AN$1,0),0)</f>
        <v>#REF!</v>
      </c>
      <c r="AK105" t="e">
        <f>VLOOKUP($A105,regions_full!$A$2:$AI$267,MATCH(polities_cats!AK$1,$A$1:$AN$1,0),0)</f>
        <v>#REF!</v>
      </c>
      <c r="AL105" t="e">
        <f>VLOOKUP($A105,regions_full!$A$2:$AI$267,MATCH(polities_cats!AL$1,$A$1:$AN$1,0),0)</f>
        <v>#REF!</v>
      </c>
      <c r="AM105" t="e">
        <f>VLOOKUP($A105,regions_full!$A$2:$AI$267,MATCH(polities_cats!AM$1,$A$1:$AN$1,0),0)</f>
        <v>#REF!</v>
      </c>
      <c r="AN105" t="e">
        <f>VLOOKUP($A105,regions_full!$A$2:$AI$267,MATCH(polities_cats!AN$1,$A$1:$AN$1,0),0)</f>
        <v>#REF!</v>
      </c>
    </row>
    <row r="106" spans="1:40" x14ac:dyDescent="0.3">
      <c r="A106" t="str">
        <f>polities_whep!A106</f>
        <v>MDV</v>
      </c>
      <c r="B106" t="str">
        <f>polities_whep!B106</f>
        <v>Maldives</v>
      </c>
      <c r="C106">
        <f>VLOOKUP($A106,regions_full!$A$2:$AI$267,MATCH(polities_cats!C$1,$A$1:$AN$1,0),0)</f>
        <v>129</v>
      </c>
      <c r="D106">
        <f>VLOOKUP($A106,regions_full!$A$2:$AI$267,MATCH(polities_cats!D$1,$A$1:$AN$1,0),0)</f>
        <v>132</v>
      </c>
      <c r="E106" t="str">
        <f>VLOOKUP($A106,regions_full!$A$2:$AI$267,MATCH(polities_cats!E$1,$A$1:$AN$1,0),0)</f>
        <v>MDV</v>
      </c>
      <c r="F106" t="str">
        <f>VLOOKUP($A106,regions_full!$A$2:$AI$267,MATCH(polities_cats!F$1,$A$1:$AN$1,0),0)</f>
        <v>Maldives</v>
      </c>
      <c r="G106" t="str">
        <f>VLOOKUP($A106,regions_full!$A$2:$AI$267,MATCH(polities_cats!G$1,$A$1:$AN$1,0),0)</f>
        <v>FALSE</v>
      </c>
      <c r="H106" t="str">
        <f>VLOOKUP($A106,regions_full!$A$2:$AI$267,MATCH(polities_cats!H$1,$A$1:$AN$1,0),0)</f>
        <v>Maldives</v>
      </c>
      <c r="I106" t="str">
        <f>VLOOKUP($A106,regions_full!$A$2:$AI$267,MATCH(polities_cats!I$1,$A$1:$AN$1,0),0)</f>
        <v>Maldives</v>
      </c>
      <c r="J106">
        <f>VLOOKUP($A106,regions_full!$A$2:$AI$267,MATCH(polities_cats!J$1,$A$1:$AN$1,0),0)</f>
        <v>0</v>
      </c>
      <c r="K106">
        <f>VLOOKUP($A106,regions_full!$A$2:$AI$267,MATCH(polities_cats!K$1,$A$1:$AN$1,0),0)</f>
        <v>132</v>
      </c>
      <c r="L106" t="str">
        <f>VLOOKUP($A106,regions_full!$A$2:$AI$267,MATCH(polities_cats!L$1,$A$1:$AN$1,0),0)</f>
        <v>Maldives</v>
      </c>
      <c r="M106">
        <f>VLOOKUP($A106,regions_full!$A$2:$AI$267,MATCH(polities_cats!M$1,$A$1:$AN$1,0),0)</f>
        <v>462</v>
      </c>
      <c r="N106">
        <f>VLOOKUP($A106,regions_full!$A$2:$AI$267,MATCH(polities_cats!N$1,$A$1:$AN$1,0),0)</f>
        <v>462</v>
      </c>
      <c r="O106">
        <f>VLOOKUP($A106,regions_full!$A$2:$AI$267,MATCH(polities_cats!O$1,$A$1:$AN$1,0),0)</f>
        <v>13</v>
      </c>
      <c r="P106" t="str">
        <f>VLOOKUP($A106,regions_full!$A$2:$AI$267,MATCH(polities_cats!P$1,$A$1:$AN$1,0),0)</f>
        <v>TRUE</v>
      </c>
      <c r="Q106">
        <f>VLOOKUP($A106,regions_full!$A$2:$AI$267,MATCH(polities_cats!Q$1,$A$1:$AN$1,0),0)</f>
        <v>132</v>
      </c>
      <c r="R106" t="str">
        <f>VLOOKUP($A106,regions_full!$A$2:$AI$267,MATCH(polities_cats!R$1,$A$1:$AN$1,0),0)</f>
        <v/>
      </c>
      <c r="S106" t="str">
        <f>VLOOKUP($A106,regions_full!$A$2:$AI$267,MATCH(polities_cats!S$1,$A$1:$AN$1,0),0)</f>
        <v>South Asia</v>
      </c>
      <c r="T106">
        <f>VLOOKUP($A106,regions_full!$A$2:$AI$267,MATCH(polities_cats!T$1,$A$1:$AN$1,0),0)</f>
        <v>1</v>
      </c>
      <c r="U106" t="str">
        <f>VLOOKUP($A106,regions_full!$A$2:$AI$267,MATCH(polities_cats!U$1,$A$1:$AN$1,0),0)</f>
        <v>Maldives</v>
      </c>
      <c r="V106" t="str">
        <f>VLOOKUP($A106,regions_full!$A$2:$AI$267,MATCH(polities_cats!V$1,$A$1:$AN$1,0),0)</f>
        <v>Southern Asia</v>
      </c>
      <c r="W106" t="str">
        <f>VLOOKUP($A106,regions_full!$A$2:$AI$267,MATCH(polities_cats!W$1,$A$1:$AN$1,0),0)</f>
        <v>South and Central Asia</v>
      </c>
      <c r="X106" t="str">
        <f>VLOOKUP($A106,regions_full!$A$2:$AI$267,MATCH(polities_cats!X$1,$A$1:$AN$1,0),0)</f>
        <v>Southern Asia</v>
      </c>
      <c r="Y106" t="str">
        <f>VLOOKUP($A106,regions_full!$A$2:$AI$267,MATCH(polities_cats!Y$1,$A$1:$AN$1,0),0)</f>
        <v>Southern Asia</v>
      </c>
      <c r="Z106" t="str">
        <f>VLOOKUP($A106,regions_full!$A$2:$AI$267,MATCH(polities_cats!Z$1,$A$1:$AN$1,0),0)</f>
        <v>Asia</v>
      </c>
      <c r="AA106" t="str">
        <f>VLOOKUP($A106,regions_full!$A$2:$AI$267,MATCH(polities_cats!AA$1,$A$1:$AN$1,0),0)</f>
        <v>Asia and the Pacific</v>
      </c>
      <c r="AB106" t="str">
        <f>VLOOKUP($A106,regions_full!$A$2:$AI$267,MATCH(polities_cats!AB$1,$A$1:$AN$1,0),0)</f>
        <v>Southern Asia</v>
      </c>
      <c r="AC106" t="str">
        <f>VLOOKUP($A106,regions_full!$A$2:$AI$267,MATCH(polities_cats!AC$1,$A$1:$AN$1,0),0)</f>
        <v>Southern Asia</v>
      </c>
      <c r="AD106" t="str">
        <f>VLOOKUP($A106,regions_full!$A$2:$AI$267,MATCH(polities_cats!AD$1,$A$1:$AN$1,0),0)</f>
        <v>Emerging</v>
      </c>
      <c r="AE106" t="str">
        <f>VLOOKUP($A106,regions_full!$A$2:$AI$267,MATCH(polities_cats!AE$1,$A$1:$AN$1,0),0)</f>
        <v>Annex_II</v>
      </c>
      <c r="AF106" t="str">
        <f>VLOOKUP($A106,regions_full!$A$2:$AI$267,MATCH(polities_cats!AF$1,$A$1:$AN$1,0),0)</f>
        <v>Southern Asia</v>
      </c>
      <c r="AG106" t="str">
        <f>VLOOKUP($A106,regions_full!$A$2:$AI$267,MATCH(polities_cats!AG$1,$A$1:$AN$1,0),0)</f>
        <v>SE-Asia</v>
      </c>
      <c r="AH106" t="str">
        <f>VLOOKUP($A106,regions_full!$A$2:$AI$267,MATCH(polities_cats!AH$1,$A$1:$AN$1,0),0)</f>
        <v>no_mech</v>
      </c>
      <c r="AI106" t="str">
        <f>VLOOKUP($A106,regions_full!$A$2:$AI$267,MATCH(polities_cats!AI$1,$A$1:$AN$1,0),0)</f>
        <v>Other</v>
      </c>
      <c r="AJ106" t="e">
        <f>VLOOKUP($A106,regions_full!$A$2:$AI$267,MATCH(polities_cats!AJ$1,$A$1:$AN$1,0),0)</f>
        <v>#REF!</v>
      </c>
      <c r="AK106" t="e">
        <f>VLOOKUP($A106,regions_full!$A$2:$AI$267,MATCH(polities_cats!AK$1,$A$1:$AN$1,0),0)</f>
        <v>#REF!</v>
      </c>
      <c r="AL106" t="e">
        <f>VLOOKUP($A106,regions_full!$A$2:$AI$267,MATCH(polities_cats!AL$1,$A$1:$AN$1,0),0)</f>
        <v>#REF!</v>
      </c>
      <c r="AM106" t="e">
        <f>VLOOKUP($A106,regions_full!$A$2:$AI$267,MATCH(polities_cats!AM$1,$A$1:$AN$1,0),0)</f>
        <v>#REF!</v>
      </c>
      <c r="AN106" t="e">
        <f>VLOOKUP($A106,regions_full!$A$2:$AI$267,MATCH(polities_cats!AN$1,$A$1:$AN$1,0),0)</f>
        <v>#REF!</v>
      </c>
    </row>
    <row r="107" spans="1:40" x14ac:dyDescent="0.3">
      <c r="A107" t="str">
        <f>polities_whep!A107</f>
        <v>MLI</v>
      </c>
      <c r="B107" t="str">
        <f>polities_whep!B107</f>
        <v>Mali</v>
      </c>
      <c r="C107">
        <f>VLOOKUP($A107,regions_full!$A$2:$AI$267,MATCH(polities_cats!C$1,$A$1:$AN$1,0),0)</f>
        <v>130</v>
      </c>
      <c r="D107">
        <f>VLOOKUP($A107,regions_full!$A$2:$AI$267,MATCH(polities_cats!D$1,$A$1:$AN$1,0),0)</f>
        <v>133</v>
      </c>
      <c r="E107" t="str">
        <f>VLOOKUP($A107,regions_full!$A$2:$AI$267,MATCH(polities_cats!E$1,$A$1:$AN$1,0),0)</f>
        <v>MLI</v>
      </c>
      <c r="F107" t="str">
        <f>VLOOKUP($A107,regions_full!$A$2:$AI$267,MATCH(polities_cats!F$1,$A$1:$AN$1,0),0)</f>
        <v>Mali</v>
      </c>
      <c r="G107" t="str">
        <f>VLOOKUP($A107,regions_full!$A$2:$AI$267,MATCH(polities_cats!G$1,$A$1:$AN$1,0),0)</f>
        <v>FALSE</v>
      </c>
      <c r="H107" t="str">
        <f>VLOOKUP($A107,regions_full!$A$2:$AI$267,MATCH(polities_cats!H$1,$A$1:$AN$1,0),0)</f>
        <v>Mali</v>
      </c>
      <c r="I107" t="str">
        <f>VLOOKUP($A107,regions_full!$A$2:$AI$267,MATCH(polities_cats!I$1,$A$1:$AN$1,0),0)</f>
        <v>Mali</v>
      </c>
      <c r="J107">
        <f>VLOOKUP($A107,regions_full!$A$2:$AI$267,MATCH(polities_cats!J$1,$A$1:$AN$1,0),0)</f>
        <v>0</v>
      </c>
      <c r="K107">
        <f>VLOOKUP($A107,regions_full!$A$2:$AI$267,MATCH(polities_cats!K$1,$A$1:$AN$1,0),0)</f>
        <v>133</v>
      </c>
      <c r="L107" t="str">
        <f>VLOOKUP($A107,regions_full!$A$2:$AI$267,MATCH(polities_cats!L$1,$A$1:$AN$1,0),0)</f>
        <v>Mali</v>
      </c>
      <c r="M107">
        <f>VLOOKUP($A107,regions_full!$A$2:$AI$267,MATCH(polities_cats!M$1,$A$1:$AN$1,0),0)</f>
        <v>466</v>
      </c>
      <c r="N107">
        <f>VLOOKUP($A107,regions_full!$A$2:$AI$267,MATCH(polities_cats!N$1,$A$1:$AN$1,0),0)</f>
        <v>466</v>
      </c>
      <c r="O107">
        <f>VLOOKUP($A107,regions_full!$A$2:$AI$267,MATCH(polities_cats!O$1,$A$1:$AN$1,0),0)</f>
        <v>6</v>
      </c>
      <c r="P107" t="str">
        <f>VLOOKUP($A107,regions_full!$A$2:$AI$267,MATCH(polities_cats!P$1,$A$1:$AN$1,0),0)</f>
        <v>TRUE</v>
      </c>
      <c r="Q107">
        <f>VLOOKUP($A107,regions_full!$A$2:$AI$267,MATCH(polities_cats!Q$1,$A$1:$AN$1,0),0)</f>
        <v>133</v>
      </c>
      <c r="R107" t="str">
        <f>VLOOKUP($A107,regions_full!$A$2:$AI$267,MATCH(polities_cats!R$1,$A$1:$AN$1,0),0)</f>
        <v/>
      </c>
      <c r="S107" t="str">
        <f>VLOOKUP($A107,regions_full!$A$2:$AI$267,MATCH(polities_cats!S$1,$A$1:$AN$1,0),0)</f>
        <v>Western Africa</v>
      </c>
      <c r="T107">
        <f>VLOOKUP($A107,regions_full!$A$2:$AI$267,MATCH(polities_cats!T$1,$A$1:$AN$1,0),0)</f>
        <v>1</v>
      </c>
      <c r="U107" t="str">
        <f>VLOOKUP($A107,regions_full!$A$2:$AI$267,MATCH(polities_cats!U$1,$A$1:$AN$1,0),0)</f>
        <v>Mali</v>
      </c>
      <c r="V107" t="str">
        <f>VLOOKUP($A107,regions_full!$A$2:$AI$267,MATCH(polities_cats!V$1,$A$1:$AN$1,0),0)</f>
        <v>Subsaharan Africa</v>
      </c>
      <c r="W107" t="str">
        <f>VLOOKUP($A107,regions_full!$A$2:$AI$267,MATCH(polities_cats!W$1,$A$1:$AN$1,0),0)</f>
        <v>Sub-saharan Africa</v>
      </c>
      <c r="X107" t="str">
        <f>VLOOKUP($A107,regions_full!$A$2:$AI$267,MATCH(polities_cats!X$1,$A$1:$AN$1,0),0)</f>
        <v>SSA</v>
      </c>
      <c r="Y107" t="str">
        <f>VLOOKUP($A107,regions_full!$A$2:$AI$267,MATCH(polities_cats!Y$1,$A$1:$AN$1,0),0)</f>
        <v>Sub-Saharan Africa</v>
      </c>
      <c r="Z107" t="str">
        <f>VLOOKUP($A107,regions_full!$A$2:$AI$267,MATCH(polities_cats!Z$1,$A$1:$AN$1,0),0)</f>
        <v>Africa</v>
      </c>
      <c r="AA107" t="str">
        <f>VLOOKUP($A107,regions_full!$A$2:$AI$267,MATCH(polities_cats!AA$1,$A$1:$AN$1,0),0)</f>
        <v>Africa</v>
      </c>
      <c r="AB107" t="str">
        <f>VLOOKUP($A107,regions_full!$A$2:$AI$267,MATCH(polities_cats!AB$1,$A$1:$AN$1,0),0)</f>
        <v>Sub-Saharan Africa</v>
      </c>
      <c r="AC107" t="str">
        <f>VLOOKUP($A107,regions_full!$A$2:$AI$267,MATCH(polities_cats!AC$1,$A$1:$AN$1,0),0)</f>
        <v>Western Africa</v>
      </c>
      <c r="AD107" t="str">
        <f>VLOOKUP($A107,regions_full!$A$2:$AI$267,MATCH(polities_cats!AD$1,$A$1:$AN$1,0),0)</f>
        <v>Emerging</v>
      </c>
      <c r="AE107" t="str">
        <f>VLOOKUP($A107,regions_full!$A$2:$AI$267,MATCH(polities_cats!AE$1,$A$1:$AN$1,0),0)</f>
        <v>Annex_II</v>
      </c>
      <c r="AF107" t="str">
        <f>VLOOKUP($A107,regions_full!$A$2:$AI$267,MATCH(polities_cats!AF$1,$A$1:$AN$1,0),0)</f>
        <v>Western Africa</v>
      </c>
      <c r="AG107" t="str">
        <f>VLOOKUP($A107,regions_full!$A$2:$AI$267,MATCH(polities_cats!AG$1,$A$1:$AN$1,0),0)</f>
        <v>SAA</v>
      </c>
      <c r="AH107" t="str">
        <f>VLOOKUP($A107,regions_full!$A$2:$AI$267,MATCH(polities_cats!AH$1,$A$1:$AN$1,0),0)</f>
        <v>no_mech</v>
      </c>
      <c r="AI107" t="str">
        <f>VLOOKUP($A107,regions_full!$A$2:$AI$267,MATCH(polities_cats!AI$1,$A$1:$AN$1,0),0)</f>
        <v>Other</v>
      </c>
      <c r="AJ107" t="e">
        <f>VLOOKUP($A107,regions_full!$A$2:$AI$267,MATCH(polities_cats!AJ$1,$A$1:$AN$1,0),0)</f>
        <v>#REF!</v>
      </c>
      <c r="AK107" t="e">
        <f>VLOOKUP($A107,regions_full!$A$2:$AI$267,MATCH(polities_cats!AK$1,$A$1:$AN$1,0),0)</f>
        <v>#REF!</v>
      </c>
      <c r="AL107" t="e">
        <f>VLOOKUP($A107,regions_full!$A$2:$AI$267,MATCH(polities_cats!AL$1,$A$1:$AN$1,0),0)</f>
        <v>#REF!</v>
      </c>
      <c r="AM107" t="e">
        <f>VLOOKUP($A107,regions_full!$A$2:$AI$267,MATCH(polities_cats!AM$1,$A$1:$AN$1,0),0)</f>
        <v>#REF!</v>
      </c>
      <c r="AN107" t="e">
        <f>VLOOKUP($A107,regions_full!$A$2:$AI$267,MATCH(polities_cats!AN$1,$A$1:$AN$1,0),0)</f>
        <v>#REF!</v>
      </c>
    </row>
    <row r="108" spans="1:40" x14ac:dyDescent="0.3">
      <c r="A108" t="str">
        <f>polities_whep!A108</f>
        <v>MLT</v>
      </c>
      <c r="B108" t="str">
        <f>polities_whep!B108</f>
        <v>Malta</v>
      </c>
      <c r="C108">
        <f>VLOOKUP($A108,regions_full!$A$2:$AI$267,MATCH(polities_cats!C$1,$A$1:$AN$1,0),0)</f>
        <v>131</v>
      </c>
      <c r="D108">
        <f>VLOOKUP($A108,regions_full!$A$2:$AI$267,MATCH(polities_cats!D$1,$A$1:$AN$1,0),0)</f>
        <v>134</v>
      </c>
      <c r="E108" t="str">
        <f>VLOOKUP($A108,regions_full!$A$2:$AI$267,MATCH(polities_cats!E$1,$A$1:$AN$1,0),0)</f>
        <v>MLT</v>
      </c>
      <c r="F108" t="str">
        <f>VLOOKUP($A108,regions_full!$A$2:$AI$267,MATCH(polities_cats!F$1,$A$1:$AN$1,0),0)</f>
        <v>Malta</v>
      </c>
      <c r="G108" t="str">
        <f>VLOOKUP($A108,regions_full!$A$2:$AI$267,MATCH(polities_cats!G$1,$A$1:$AN$1,0),0)</f>
        <v>TRUE</v>
      </c>
      <c r="H108" t="str">
        <f>VLOOKUP($A108,regions_full!$A$2:$AI$267,MATCH(polities_cats!H$1,$A$1:$AN$1,0),0)</f>
        <v>Malta</v>
      </c>
      <c r="I108" t="str">
        <f>VLOOKUP($A108,regions_full!$A$2:$AI$267,MATCH(polities_cats!I$1,$A$1:$AN$1,0),0)</f>
        <v>Malta</v>
      </c>
      <c r="J108" t="str">
        <f>VLOOKUP($A108,regions_full!$A$2:$AI$267,MATCH(polities_cats!J$1,$A$1:$AN$1,0),0)</f>
        <v>Malta</v>
      </c>
      <c r="K108">
        <f>VLOOKUP($A108,regions_full!$A$2:$AI$267,MATCH(polities_cats!K$1,$A$1:$AN$1,0),0)</f>
        <v>134</v>
      </c>
      <c r="L108" t="str">
        <f>VLOOKUP($A108,regions_full!$A$2:$AI$267,MATCH(polities_cats!L$1,$A$1:$AN$1,0),0)</f>
        <v>Malta</v>
      </c>
      <c r="M108">
        <f>VLOOKUP($A108,regions_full!$A$2:$AI$267,MATCH(polities_cats!M$1,$A$1:$AN$1,0),0)</f>
        <v>470</v>
      </c>
      <c r="N108">
        <f>VLOOKUP($A108,regions_full!$A$2:$AI$267,MATCH(polities_cats!N$1,$A$1:$AN$1,0),0)</f>
        <v>470</v>
      </c>
      <c r="O108">
        <f>VLOOKUP($A108,regions_full!$A$2:$AI$267,MATCH(polities_cats!O$1,$A$1:$AN$1,0),0)</f>
        <v>9</v>
      </c>
      <c r="P108" t="str">
        <f>VLOOKUP($A108,regions_full!$A$2:$AI$267,MATCH(polities_cats!P$1,$A$1:$AN$1,0),0)</f>
        <v>TRUE</v>
      </c>
      <c r="Q108">
        <f>VLOOKUP($A108,regions_full!$A$2:$AI$267,MATCH(polities_cats!Q$1,$A$1:$AN$1,0),0)</f>
        <v>134</v>
      </c>
      <c r="R108" t="str">
        <f>VLOOKUP($A108,regions_full!$A$2:$AI$267,MATCH(polities_cats!R$1,$A$1:$AN$1,0),0)</f>
        <v/>
      </c>
      <c r="S108" t="str">
        <f>VLOOKUP($A108,regions_full!$A$2:$AI$267,MATCH(polities_cats!S$1,$A$1:$AN$1,0),0)</f>
        <v>OECD Europe</v>
      </c>
      <c r="T108">
        <f>VLOOKUP($A108,regions_full!$A$2:$AI$267,MATCH(polities_cats!T$1,$A$1:$AN$1,0),0)</f>
        <v>1</v>
      </c>
      <c r="U108" t="str">
        <f>VLOOKUP($A108,regions_full!$A$2:$AI$267,MATCH(polities_cats!U$1,$A$1:$AN$1,0),0)</f>
        <v>Malta</v>
      </c>
      <c r="V108" t="str">
        <f>VLOOKUP($A108,regions_full!$A$2:$AI$267,MATCH(polities_cats!V$1,$A$1:$AN$1,0),0)</f>
        <v>Western Europe</v>
      </c>
      <c r="W108" t="str">
        <f>VLOOKUP($A108,regions_full!$A$2:$AI$267,MATCH(polities_cats!W$1,$A$1:$AN$1,0),0)</f>
        <v>West Europe</v>
      </c>
      <c r="X108" t="str">
        <f>VLOOKUP($A108,regions_full!$A$2:$AI$267,MATCH(polities_cats!X$1,$A$1:$AN$1,0),0)</f>
        <v>Europe</v>
      </c>
      <c r="Y108" t="str">
        <f>VLOOKUP($A108,regions_full!$A$2:$AI$267,MATCH(polities_cats!Y$1,$A$1:$AN$1,0),0)</f>
        <v>Southern Europe</v>
      </c>
      <c r="Z108" t="str">
        <f>VLOOKUP($A108,regions_full!$A$2:$AI$267,MATCH(polities_cats!Z$1,$A$1:$AN$1,0),0)</f>
        <v>Europe</v>
      </c>
      <c r="AA108" t="str">
        <f>VLOOKUP($A108,regions_full!$A$2:$AI$267,MATCH(polities_cats!AA$1,$A$1:$AN$1,0),0)</f>
        <v>Europe and Central Asia</v>
      </c>
      <c r="AB108" t="str">
        <f>VLOOKUP($A108,regions_full!$A$2:$AI$267,MATCH(polities_cats!AB$1,$A$1:$AN$1,0),0)</f>
        <v>Northern, Southern and Western Europe</v>
      </c>
      <c r="AC108" t="str">
        <f>VLOOKUP($A108,regions_full!$A$2:$AI$267,MATCH(polities_cats!AC$1,$A$1:$AN$1,0),0)</f>
        <v>Southern Europe</v>
      </c>
      <c r="AD108" t="str">
        <f>VLOOKUP($A108,regions_full!$A$2:$AI$267,MATCH(polities_cats!AD$1,$A$1:$AN$1,0),0)</f>
        <v>Emerging</v>
      </c>
      <c r="AE108" t="str">
        <f>VLOOKUP($A108,regions_full!$A$2:$AI$267,MATCH(polities_cats!AE$1,$A$1:$AN$1,0),0)</f>
        <v>Annex_II</v>
      </c>
      <c r="AF108" t="str">
        <f>VLOOKUP($A108,regions_full!$A$2:$AI$267,MATCH(polities_cats!AF$1,$A$1:$AN$1,0),0)</f>
        <v>Southern Europe</v>
      </c>
      <c r="AG108" t="str">
        <f>VLOOKUP($A108,regions_full!$A$2:$AI$267,MATCH(polities_cats!AG$1,$A$1:$AN$1,0),0)</f>
        <v>Europe</v>
      </c>
      <c r="AH108" t="str">
        <f>VLOOKUP($A108,regions_full!$A$2:$AI$267,MATCH(polities_cats!AH$1,$A$1:$AN$1,0),0)</f>
        <v>mech</v>
      </c>
      <c r="AI108" t="str">
        <f>VLOOKUP($A108,regions_full!$A$2:$AI$267,MATCH(polities_cats!AI$1,$A$1:$AN$1,0),0)</f>
        <v>Europe</v>
      </c>
      <c r="AJ108" t="e">
        <f>VLOOKUP($A108,regions_full!$A$2:$AI$267,MATCH(polities_cats!AJ$1,$A$1:$AN$1,0),0)</f>
        <v>#REF!</v>
      </c>
      <c r="AK108" t="e">
        <f>VLOOKUP($A108,regions_full!$A$2:$AI$267,MATCH(polities_cats!AK$1,$A$1:$AN$1,0),0)</f>
        <v>#REF!</v>
      </c>
      <c r="AL108" t="e">
        <f>VLOOKUP($A108,regions_full!$A$2:$AI$267,MATCH(polities_cats!AL$1,$A$1:$AN$1,0),0)</f>
        <v>#REF!</v>
      </c>
      <c r="AM108" t="e">
        <f>VLOOKUP($A108,regions_full!$A$2:$AI$267,MATCH(polities_cats!AM$1,$A$1:$AN$1,0),0)</f>
        <v>#REF!</v>
      </c>
      <c r="AN108" t="e">
        <f>VLOOKUP($A108,regions_full!$A$2:$AI$267,MATCH(polities_cats!AN$1,$A$1:$AN$1,0),0)</f>
        <v>#REF!</v>
      </c>
    </row>
    <row r="109" spans="1:40" x14ac:dyDescent="0.3">
      <c r="A109" t="str">
        <f>polities_whep!A109</f>
        <v>MRT</v>
      </c>
      <c r="B109" t="str">
        <f>polities_whep!B109</f>
        <v>Mauritania</v>
      </c>
      <c r="C109">
        <f>VLOOKUP($A109,regions_full!$A$2:$AI$267,MATCH(polities_cats!C$1,$A$1:$AN$1,0),0)</f>
        <v>133</v>
      </c>
      <c r="D109">
        <f>VLOOKUP($A109,regions_full!$A$2:$AI$267,MATCH(polities_cats!D$1,$A$1:$AN$1,0),0)</f>
        <v>136</v>
      </c>
      <c r="E109" t="str">
        <f>VLOOKUP($A109,regions_full!$A$2:$AI$267,MATCH(polities_cats!E$1,$A$1:$AN$1,0),0)</f>
        <v>MRT</v>
      </c>
      <c r="F109" t="str">
        <f>VLOOKUP($A109,regions_full!$A$2:$AI$267,MATCH(polities_cats!F$1,$A$1:$AN$1,0),0)</f>
        <v>Mauritania</v>
      </c>
      <c r="G109" t="str">
        <f>VLOOKUP($A109,regions_full!$A$2:$AI$267,MATCH(polities_cats!G$1,$A$1:$AN$1,0),0)</f>
        <v>FALSE</v>
      </c>
      <c r="H109" t="str">
        <f>VLOOKUP($A109,regions_full!$A$2:$AI$267,MATCH(polities_cats!H$1,$A$1:$AN$1,0),0)</f>
        <v>Mauritania</v>
      </c>
      <c r="I109" t="str">
        <f>VLOOKUP($A109,regions_full!$A$2:$AI$267,MATCH(polities_cats!I$1,$A$1:$AN$1,0),0)</f>
        <v>Mauritania</v>
      </c>
      <c r="J109">
        <f>VLOOKUP($A109,regions_full!$A$2:$AI$267,MATCH(polities_cats!J$1,$A$1:$AN$1,0),0)</f>
        <v>0</v>
      </c>
      <c r="K109">
        <f>VLOOKUP($A109,regions_full!$A$2:$AI$267,MATCH(polities_cats!K$1,$A$1:$AN$1,0),0)</f>
        <v>136</v>
      </c>
      <c r="L109" t="str">
        <f>VLOOKUP($A109,regions_full!$A$2:$AI$267,MATCH(polities_cats!L$1,$A$1:$AN$1,0),0)</f>
        <v>Mauritania</v>
      </c>
      <c r="M109">
        <f>VLOOKUP($A109,regions_full!$A$2:$AI$267,MATCH(polities_cats!M$1,$A$1:$AN$1,0),0)</f>
        <v>478</v>
      </c>
      <c r="N109">
        <f>VLOOKUP($A109,regions_full!$A$2:$AI$267,MATCH(polities_cats!N$1,$A$1:$AN$1,0),0)</f>
        <v>478</v>
      </c>
      <c r="O109">
        <f>VLOOKUP($A109,regions_full!$A$2:$AI$267,MATCH(polities_cats!O$1,$A$1:$AN$1,0),0)</f>
        <v>6</v>
      </c>
      <c r="P109" t="str">
        <f>VLOOKUP($A109,regions_full!$A$2:$AI$267,MATCH(polities_cats!P$1,$A$1:$AN$1,0),0)</f>
        <v>TRUE</v>
      </c>
      <c r="Q109">
        <f>VLOOKUP($A109,regions_full!$A$2:$AI$267,MATCH(polities_cats!Q$1,$A$1:$AN$1,0),0)</f>
        <v>136</v>
      </c>
      <c r="R109" t="str">
        <f>VLOOKUP($A109,regions_full!$A$2:$AI$267,MATCH(polities_cats!R$1,$A$1:$AN$1,0),0)</f>
        <v/>
      </c>
      <c r="S109" t="str">
        <f>VLOOKUP($A109,regions_full!$A$2:$AI$267,MATCH(polities_cats!S$1,$A$1:$AN$1,0),0)</f>
        <v>Western Africa</v>
      </c>
      <c r="T109">
        <f>VLOOKUP($A109,regions_full!$A$2:$AI$267,MATCH(polities_cats!T$1,$A$1:$AN$1,0),0)</f>
        <v>1</v>
      </c>
      <c r="U109" t="str">
        <f>VLOOKUP($A109,regions_full!$A$2:$AI$267,MATCH(polities_cats!U$1,$A$1:$AN$1,0),0)</f>
        <v>Mauritania</v>
      </c>
      <c r="V109" t="str">
        <f>VLOOKUP($A109,regions_full!$A$2:$AI$267,MATCH(polities_cats!V$1,$A$1:$AN$1,0),0)</f>
        <v>Subsaharan Africa</v>
      </c>
      <c r="W109" t="str">
        <f>VLOOKUP($A109,regions_full!$A$2:$AI$267,MATCH(polities_cats!W$1,$A$1:$AN$1,0),0)</f>
        <v>Sub-saharan Africa</v>
      </c>
      <c r="X109" t="str">
        <f>VLOOKUP($A109,regions_full!$A$2:$AI$267,MATCH(polities_cats!X$1,$A$1:$AN$1,0),0)</f>
        <v>SSA</v>
      </c>
      <c r="Y109" t="str">
        <f>VLOOKUP($A109,regions_full!$A$2:$AI$267,MATCH(polities_cats!Y$1,$A$1:$AN$1,0),0)</f>
        <v>Sub-Saharan Africa</v>
      </c>
      <c r="Z109" t="str">
        <f>VLOOKUP($A109,regions_full!$A$2:$AI$267,MATCH(polities_cats!Z$1,$A$1:$AN$1,0),0)</f>
        <v>Africa</v>
      </c>
      <c r="AA109" t="str">
        <f>VLOOKUP($A109,regions_full!$A$2:$AI$267,MATCH(polities_cats!AA$1,$A$1:$AN$1,0),0)</f>
        <v>Africa</v>
      </c>
      <c r="AB109" t="str">
        <f>VLOOKUP($A109,regions_full!$A$2:$AI$267,MATCH(polities_cats!AB$1,$A$1:$AN$1,0),0)</f>
        <v>Sub-Saharan Africa</v>
      </c>
      <c r="AC109" t="str">
        <f>VLOOKUP($A109,regions_full!$A$2:$AI$267,MATCH(polities_cats!AC$1,$A$1:$AN$1,0),0)</f>
        <v>Western Africa</v>
      </c>
      <c r="AD109" t="str">
        <f>VLOOKUP($A109,regions_full!$A$2:$AI$267,MATCH(polities_cats!AD$1,$A$1:$AN$1,0),0)</f>
        <v>Emerging</v>
      </c>
      <c r="AE109" t="str">
        <f>VLOOKUP($A109,regions_full!$A$2:$AI$267,MATCH(polities_cats!AE$1,$A$1:$AN$1,0),0)</f>
        <v>Annex_II</v>
      </c>
      <c r="AF109" t="str">
        <f>VLOOKUP($A109,regions_full!$A$2:$AI$267,MATCH(polities_cats!AF$1,$A$1:$AN$1,0),0)</f>
        <v>Western Africa</v>
      </c>
      <c r="AG109" t="str">
        <f>VLOOKUP($A109,regions_full!$A$2:$AI$267,MATCH(polities_cats!AG$1,$A$1:$AN$1,0),0)</f>
        <v>SAA</v>
      </c>
      <c r="AH109" t="str">
        <f>VLOOKUP($A109,regions_full!$A$2:$AI$267,MATCH(polities_cats!AH$1,$A$1:$AN$1,0),0)</f>
        <v>no_mech</v>
      </c>
      <c r="AI109" t="str">
        <f>VLOOKUP($A109,regions_full!$A$2:$AI$267,MATCH(polities_cats!AI$1,$A$1:$AN$1,0),0)</f>
        <v>Other</v>
      </c>
      <c r="AJ109" t="e">
        <f>VLOOKUP($A109,regions_full!$A$2:$AI$267,MATCH(polities_cats!AJ$1,$A$1:$AN$1,0),0)</f>
        <v>#REF!</v>
      </c>
      <c r="AK109" t="e">
        <f>VLOOKUP($A109,regions_full!$A$2:$AI$267,MATCH(polities_cats!AK$1,$A$1:$AN$1,0),0)</f>
        <v>#REF!</v>
      </c>
      <c r="AL109" t="e">
        <f>VLOOKUP($A109,regions_full!$A$2:$AI$267,MATCH(polities_cats!AL$1,$A$1:$AN$1,0),0)</f>
        <v>#REF!</v>
      </c>
      <c r="AM109" t="e">
        <f>VLOOKUP($A109,regions_full!$A$2:$AI$267,MATCH(polities_cats!AM$1,$A$1:$AN$1,0),0)</f>
        <v>#REF!</v>
      </c>
      <c r="AN109" t="e">
        <f>VLOOKUP($A109,regions_full!$A$2:$AI$267,MATCH(polities_cats!AN$1,$A$1:$AN$1,0),0)</f>
        <v>#REF!</v>
      </c>
    </row>
    <row r="110" spans="1:40" x14ac:dyDescent="0.3">
      <c r="A110" t="str">
        <f>polities_whep!A110</f>
        <v>MUS</v>
      </c>
      <c r="B110" t="str">
        <f>polities_whep!B110</f>
        <v>Mauritius</v>
      </c>
      <c r="C110">
        <f>VLOOKUP($A110,regions_full!$A$2:$AI$267,MATCH(polities_cats!C$1,$A$1:$AN$1,0),0)</f>
        <v>134</v>
      </c>
      <c r="D110">
        <f>VLOOKUP($A110,regions_full!$A$2:$AI$267,MATCH(polities_cats!D$1,$A$1:$AN$1,0),0)</f>
        <v>137</v>
      </c>
      <c r="E110" t="str">
        <f>VLOOKUP($A110,regions_full!$A$2:$AI$267,MATCH(polities_cats!E$1,$A$1:$AN$1,0),0)</f>
        <v>MUS</v>
      </c>
      <c r="F110" t="str">
        <f>VLOOKUP($A110,regions_full!$A$2:$AI$267,MATCH(polities_cats!F$1,$A$1:$AN$1,0),0)</f>
        <v>Mauritius</v>
      </c>
      <c r="G110" t="str">
        <f>VLOOKUP($A110,regions_full!$A$2:$AI$267,MATCH(polities_cats!G$1,$A$1:$AN$1,0),0)</f>
        <v>FALSE</v>
      </c>
      <c r="H110" t="str">
        <f>VLOOKUP($A110,regions_full!$A$2:$AI$267,MATCH(polities_cats!H$1,$A$1:$AN$1,0),0)</f>
        <v>Mauritius</v>
      </c>
      <c r="I110" t="str">
        <f>VLOOKUP($A110,regions_full!$A$2:$AI$267,MATCH(polities_cats!I$1,$A$1:$AN$1,0),0)</f>
        <v>Mauritius</v>
      </c>
      <c r="J110" t="str">
        <f>VLOOKUP($A110,regions_full!$A$2:$AI$267,MATCH(polities_cats!J$1,$A$1:$AN$1,0),0)</f>
        <v>Mauritius</v>
      </c>
      <c r="K110">
        <f>VLOOKUP($A110,regions_full!$A$2:$AI$267,MATCH(polities_cats!K$1,$A$1:$AN$1,0),0)</f>
        <v>137</v>
      </c>
      <c r="L110" t="str">
        <f>VLOOKUP($A110,regions_full!$A$2:$AI$267,MATCH(polities_cats!L$1,$A$1:$AN$1,0),0)</f>
        <v>Mauritius</v>
      </c>
      <c r="M110">
        <f>VLOOKUP($A110,regions_full!$A$2:$AI$267,MATCH(polities_cats!M$1,$A$1:$AN$1,0),0)</f>
        <v>480</v>
      </c>
      <c r="N110">
        <f>VLOOKUP($A110,regions_full!$A$2:$AI$267,MATCH(polities_cats!N$1,$A$1:$AN$1,0),0)</f>
        <v>480</v>
      </c>
      <c r="O110">
        <f>VLOOKUP($A110,regions_full!$A$2:$AI$267,MATCH(polities_cats!O$1,$A$1:$AN$1,0),0)</f>
        <v>7</v>
      </c>
      <c r="P110" t="str">
        <f>VLOOKUP($A110,regions_full!$A$2:$AI$267,MATCH(polities_cats!P$1,$A$1:$AN$1,0),0)</f>
        <v>TRUE</v>
      </c>
      <c r="Q110">
        <f>VLOOKUP($A110,regions_full!$A$2:$AI$267,MATCH(polities_cats!Q$1,$A$1:$AN$1,0),0)</f>
        <v>137</v>
      </c>
      <c r="R110" t="str">
        <f>VLOOKUP($A110,regions_full!$A$2:$AI$267,MATCH(polities_cats!R$1,$A$1:$AN$1,0),0)</f>
        <v/>
      </c>
      <c r="S110" t="str">
        <f>VLOOKUP($A110,regions_full!$A$2:$AI$267,MATCH(polities_cats!S$1,$A$1:$AN$1,0),0)</f>
        <v>Eastern Africa</v>
      </c>
      <c r="T110">
        <f>VLOOKUP($A110,regions_full!$A$2:$AI$267,MATCH(polities_cats!T$1,$A$1:$AN$1,0),0)</f>
        <v>1</v>
      </c>
      <c r="U110" t="str">
        <f>VLOOKUP($A110,regions_full!$A$2:$AI$267,MATCH(polities_cats!U$1,$A$1:$AN$1,0),0)</f>
        <v>Mauritius</v>
      </c>
      <c r="V110" t="str">
        <f>VLOOKUP($A110,regions_full!$A$2:$AI$267,MATCH(polities_cats!V$1,$A$1:$AN$1,0),0)</f>
        <v>Subsaharan Africa</v>
      </c>
      <c r="W110" t="str">
        <f>VLOOKUP($A110,regions_full!$A$2:$AI$267,MATCH(polities_cats!W$1,$A$1:$AN$1,0),0)</f>
        <v>Sub-saharan Africa</v>
      </c>
      <c r="X110" t="str">
        <f>VLOOKUP($A110,regions_full!$A$2:$AI$267,MATCH(polities_cats!X$1,$A$1:$AN$1,0),0)</f>
        <v>SSA</v>
      </c>
      <c r="Y110" t="str">
        <f>VLOOKUP($A110,regions_full!$A$2:$AI$267,MATCH(polities_cats!Y$1,$A$1:$AN$1,0),0)</f>
        <v>Sub-Saharan Africa</v>
      </c>
      <c r="Z110" t="str">
        <f>VLOOKUP($A110,regions_full!$A$2:$AI$267,MATCH(polities_cats!Z$1,$A$1:$AN$1,0),0)</f>
        <v>Africa</v>
      </c>
      <c r="AA110" t="str">
        <f>VLOOKUP($A110,regions_full!$A$2:$AI$267,MATCH(polities_cats!AA$1,$A$1:$AN$1,0),0)</f>
        <v>Africa</v>
      </c>
      <c r="AB110" t="str">
        <f>VLOOKUP($A110,regions_full!$A$2:$AI$267,MATCH(polities_cats!AB$1,$A$1:$AN$1,0),0)</f>
        <v>Sub-Saharan Africa</v>
      </c>
      <c r="AC110" t="str">
        <f>VLOOKUP($A110,regions_full!$A$2:$AI$267,MATCH(polities_cats!AC$1,$A$1:$AN$1,0),0)</f>
        <v>Eastern Africa</v>
      </c>
      <c r="AD110" t="str">
        <f>VLOOKUP($A110,regions_full!$A$2:$AI$267,MATCH(polities_cats!AD$1,$A$1:$AN$1,0),0)</f>
        <v>Emerging</v>
      </c>
      <c r="AE110" t="str">
        <f>VLOOKUP($A110,regions_full!$A$2:$AI$267,MATCH(polities_cats!AE$1,$A$1:$AN$1,0),0)</f>
        <v>Annex_II</v>
      </c>
      <c r="AF110" t="str">
        <f>VLOOKUP($A110,regions_full!$A$2:$AI$267,MATCH(polities_cats!AF$1,$A$1:$AN$1,0),0)</f>
        <v>Eastern Africa</v>
      </c>
      <c r="AG110" t="str">
        <f>VLOOKUP($A110,regions_full!$A$2:$AI$267,MATCH(polities_cats!AG$1,$A$1:$AN$1,0),0)</f>
        <v>SAA</v>
      </c>
      <c r="AH110" t="str">
        <f>VLOOKUP($A110,regions_full!$A$2:$AI$267,MATCH(polities_cats!AH$1,$A$1:$AN$1,0),0)</f>
        <v>no_mech</v>
      </c>
      <c r="AI110" t="str">
        <f>VLOOKUP($A110,regions_full!$A$2:$AI$267,MATCH(polities_cats!AI$1,$A$1:$AN$1,0),0)</f>
        <v>Other</v>
      </c>
      <c r="AJ110" t="e">
        <f>VLOOKUP($A110,regions_full!$A$2:$AI$267,MATCH(polities_cats!AJ$1,$A$1:$AN$1,0),0)</f>
        <v>#REF!</v>
      </c>
      <c r="AK110" t="e">
        <f>VLOOKUP($A110,regions_full!$A$2:$AI$267,MATCH(polities_cats!AK$1,$A$1:$AN$1,0),0)</f>
        <v>#REF!</v>
      </c>
      <c r="AL110" t="e">
        <f>VLOOKUP($A110,regions_full!$A$2:$AI$267,MATCH(polities_cats!AL$1,$A$1:$AN$1,0),0)</f>
        <v>#REF!</v>
      </c>
      <c r="AM110" t="e">
        <f>VLOOKUP($A110,regions_full!$A$2:$AI$267,MATCH(polities_cats!AM$1,$A$1:$AN$1,0),0)</f>
        <v>#REF!</v>
      </c>
      <c r="AN110" t="e">
        <f>VLOOKUP($A110,regions_full!$A$2:$AI$267,MATCH(polities_cats!AN$1,$A$1:$AN$1,0),0)</f>
        <v>#REF!</v>
      </c>
    </row>
    <row r="111" spans="1:40" x14ac:dyDescent="0.3">
      <c r="A111" t="str">
        <f>polities_whep!A111</f>
        <v>MEX</v>
      </c>
      <c r="B111" t="str">
        <f>polities_whep!B111</f>
        <v>Mexico</v>
      </c>
      <c r="C111">
        <f>VLOOKUP($A111,regions_full!$A$2:$AI$267,MATCH(polities_cats!C$1,$A$1:$AN$1,0),0)</f>
        <v>135</v>
      </c>
      <c r="D111">
        <f>VLOOKUP($A111,regions_full!$A$2:$AI$267,MATCH(polities_cats!D$1,$A$1:$AN$1,0),0)</f>
        <v>138</v>
      </c>
      <c r="E111" t="str">
        <f>VLOOKUP($A111,regions_full!$A$2:$AI$267,MATCH(polities_cats!E$1,$A$1:$AN$1,0),0)</f>
        <v>MEX</v>
      </c>
      <c r="F111" t="str">
        <f>VLOOKUP($A111,regions_full!$A$2:$AI$267,MATCH(polities_cats!F$1,$A$1:$AN$1,0),0)</f>
        <v>Mexico</v>
      </c>
      <c r="G111" t="str">
        <f>VLOOKUP($A111,regions_full!$A$2:$AI$267,MATCH(polities_cats!G$1,$A$1:$AN$1,0),0)</f>
        <v>FALSE</v>
      </c>
      <c r="H111" t="str">
        <f>VLOOKUP($A111,regions_full!$A$2:$AI$267,MATCH(polities_cats!H$1,$A$1:$AN$1,0),0)</f>
        <v>Mexico</v>
      </c>
      <c r="I111" t="str">
        <f>VLOOKUP($A111,regions_full!$A$2:$AI$267,MATCH(polities_cats!I$1,$A$1:$AN$1,0),0)</f>
        <v>Mexico</v>
      </c>
      <c r="J111" t="str">
        <f>VLOOKUP($A111,regions_full!$A$2:$AI$267,MATCH(polities_cats!J$1,$A$1:$AN$1,0),0)</f>
        <v>Mexico</v>
      </c>
      <c r="K111">
        <f>VLOOKUP($A111,regions_full!$A$2:$AI$267,MATCH(polities_cats!K$1,$A$1:$AN$1,0),0)</f>
        <v>138</v>
      </c>
      <c r="L111" t="str">
        <f>VLOOKUP($A111,regions_full!$A$2:$AI$267,MATCH(polities_cats!L$1,$A$1:$AN$1,0),0)</f>
        <v>Mexico</v>
      </c>
      <c r="M111">
        <f>VLOOKUP($A111,regions_full!$A$2:$AI$267,MATCH(polities_cats!M$1,$A$1:$AN$1,0),0)</f>
        <v>484</v>
      </c>
      <c r="N111">
        <f>VLOOKUP($A111,regions_full!$A$2:$AI$267,MATCH(polities_cats!N$1,$A$1:$AN$1,0),0)</f>
        <v>484</v>
      </c>
      <c r="O111">
        <f>VLOOKUP($A111,regions_full!$A$2:$AI$267,MATCH(polities_cats!O$1,$A$1:$AN$1,0),0)</f>
        <v>3</v>
      </c>
      <c r="P111" t="str">
        <f>VLOOKUP($A111,regions_full!$A$2:$AI$267,MATCH(polities_cats!P$1,$A$1:$AN$1,0),0)</f>
        <v>TRUE</v>
      </c>
      <c r="Q111">
        <f>VLOOKUP($A111,regions_full!$A$2:$AI$267,MATCH(polities_cats!Q$1,$A$1:$AN$1,0),0)</f>
        <v>138</v>
      </c>
      <c r="R111" t="str">
        <f>VLOOKUP($A111,regions_full!$A$2:$AI$267,MATCH(polities_cats!R$1,$A$1:$AN$1,0),0)</f>
        <v/>
      </c>
      <c r="S111" t="str">
        <f>VLOOKUP($A111,regions_full!$A$2:$AI$267,MATCH(polities_cats!S$1,$A$1:$AN$1,0),0)</f>
        <v>Central America</v>
      </c>
      <c r="T111">
        <f>VLOOKUP($A111,regions_full!$A$2:$AI$267,MATCH(polities_cats!T$1,$A$1:$AN$1,0),0)</f>
        <v>1</v>
      </c>
      <c r="U111" t="str">
        <f>VLOOKUP($A111,regions_full!$A$2:$AI$267,MATCH(polities_cats!U$1,$A$1:$AN$1,0),0)</f>
        <v>Mexico</v>
      </c>
      <c r="V111" t="str">
        <f>VLOOKUP($A111,regions_full!$A$2:$AI$267,MATCH(polities_cats!V$1,$A$1:$AN$1,0),0)</f>
        <v>Latin America and the Caribbean</v>
      </c>
      <c r="W111" t="str">
        <f>VLOOKUP($A111,regions_full!$A$2:$AI$267,MATCH(polities_cats!W$1,$A$1:$AN$1,0),0)</f>
        <v>Latin America and Caribbean</v>
      </c>
      <c r="X111" t="str">
        <f>VLOOKUP($A111,regions_full!$A$2:$AI$267,MATCH(polities_cats!X$1,$A$1:$AN$1,0),0)</f>
        <v>LACA</v>
      </c>
      <c r="Y111" t="str">
        <f>VLOOKUP($A111,regions_full!$A$2:$AI$267,MATCH(polities_cats!Y$1,$A$1:$AN$1,0),0)</f>
        <v>Latin America and the Caribbean</v>
      </c>
      <c r="Z111" t="str">
        <f>VLOOKUP($A111,regions_full!$A$2:$AI$267,MATCH(polities_cats!Z$1,$A$1:$AN$1,0),0)</f>
        <v>Americas</v>
      </c>
      <c r="AA111" t="str">
        <f>VLOOKUP($A111,regions_full!$A$2:$AI$267,MATCH(polities_cats!AA$1,$A$1:$AN$1,0),0)</f>
        <v>Americas</v>
      </c>
      <c r="AB111" t="str">
        <f>VLOOKUP($A111,regions_full!$A$2:$AI$267,MATCH(polities_cats!AB$1,$A$1:$AN$1,0),0)</f>
        <v>Latin America and the Caribbean</v>
      </c>
      <c r="AC111" t="str">
        <f>VLOOKUP($A111,regions_full!$A$2:$AI$267,MATCH(polities_cats!AC$1,$A$1:$AN$1,0),0)</f>
        <v>Central America</v>
      </c>
      <c r="AD111" t="str">
        <f>VLOOKUP($A111,regions_full!$A$2:$AI$267,MATCH(polities_cats!AD$1,$A$1:$AN$1,0),0)</f>
        <v>Emerging</v>
      </c>
      <c r="AE111" t="str">
        <f>VLOOKUP($A111,regions_full!$A$2:$AI$267,MATCH(polities_cats!AE$1,$A$1:$AN$1,0),0)</f>
        <v>Annex_II</v>
      </c>
      <c r="AF111" t="str">
        <f>VLOOKUP($A111,regions_full!$A$2:$AI$267,MATCH(polities_cats!AF$1,$A$1:$AN$1,0),0)</f>
        <v>Andean &amp; Mexico</v>
      </c>
      <c r="AG111" t="str">
        <f>VLOOKUP($A111,regions_full!$A$2:$AI$267,MATCH(polities_cats!AG$1,$A$1:$AN$1,0),0)</f>
        <v>LACA</v>
      </c>
      <c r="AH111" t="str">
        <f>VLOOKUP($A111,regions_full!$A$2:$AI$267,MATCH(polities_cats!AH$1,$A$1:$AN$1,0),0)</f>
        <v>no_mech</v>
      </c>
      <c r="AI111" t="str">
        <f>VLOOKUP($A111,regions_full!$A$2:$AI$267,MATCH(polities_cats!AI$1,$A$1:$AN$1,0),0)</f>
        <v>Other</v>
      </c>
      <c r="AJ111" t="e">
        <f>VLOOKUP($A111,regions_full!$A$2:$AI$267,MATCH(polities_cats!AJ$1,$A$1:$AN$1,0),0)</f>
        <v>#REF!</v>
      </c>
      <c r="AK111" t="e">
        <f>VLOOKUP($A111,regions_full!$A$2:$AI$267,MATCH(polities_cats!AK$1,$A$1:$AN$1,0),0)</f>
        <v>#REF!</v>
      </c>
      <c r="AL111" t="e">
        <f>VLOOKUP($A111,regions_full!$A$2:$AI$267,MATCH(polities_cats!AL$1,$A$1:$AN$1,0),0)</f>
        <v>#REF!</v>
      </c>
      <c r="AM111" t="e">
        <f>VLOOKUP($A111,regions_full!$A$2:$AI$267,MATCH(polities_cats!AM$1,$A$1:$AN$1,0),0)</f>
        <v>#REF!</v>
      </c>
      <c r="AN111" t="e">
        <f>VLOOKUP($A111,regions_full!$A$2:$AI$267,MATCH(polities_cats!AN$1,$A$1:$AN$1,0),0)</f>
        <v>#REF!</v>
      </c>
    </row>
    <row r="112" spans="1:40" x14ac:dyDescent="0.3">
      <c r="A112" t="str">
        <f>polities_whep!A112</f>
        <v>MDA</v>
      </c>
      <c r="B112" t="str">
        <f>polities_whep!B112</f>
        <v>Republic of Moldova</v>
      </c>
      <c r="C112">
        <f>VLOOKUP($A112,regions_full!$A$2:$AI$267,MATCH(polities_cats!C$1,$A$1:$AN$1,0),0)</f>
        <v>143</v>
      </c>
      <c r="D112">
        <f>VLOOKUP($A112,regions_full!$A$2:$AI$267,MATCH(polities_cats!D$1,$A$1:$AN$1,0),0)</f>
        <v>146</v>
      </c>
      <c r="E112" t="str">
        <f>VLOOKUP($A112,regions_full!$A$2:$AI$267,MATCH(polities_cats!E$1,$A$1:$AN$1,0),0)</f>
        <v>MDA</v>
      </c>
      <c r="F112" t="str">
        <f>VLOOKUP($A112,regions_full!$A$2:$AI$267,MATCH(polities_cats!F$1,$A$1:$AN$1,0),0)</f>
        <v>Republic of Moldova</v>
      </c>
      <c r="G112" t="str">
        <f>VLOOKUP($A112,regions_full!$A$2:$AI$267,MATCH(polities_cats!G$1,$A$1:$AN$1,0),0)</f>
        <v>FALSE</v>
      </c>
      <c r="H112" t="str">
        <f>VLOOKUP($A112,regions_full!$A$2:$AI$267,MATCH(polities_cats!H$1,$A$1:$AN$1,0),0)</f>
        <v>Moldova</v>
      </c>
      <c r="I112" t="str">
        <f>VLOOKUP($A112,regions_full!$A$2:$AI$267,MATCH(polities_cats!I$1,$A$1:$AN$1,0),0)</f>
        <v>Moldova</v>
      </c>
      <c r="J112" t="str">
        <f>VLOOKUP($A112,regions_full!$A$2:$AI$267,MATCH(polities_cats!J$1,$A$1:$AN$1,0),0)</f>
        <v>Republic of Moldova</v>
      </c>
      <c r="K112">
        <f>VLOOKUP($A112,regions_full!$A$2:$AI$267,MATCH(polities_cats!K$1,$A$1:$AN$1,0),0)</f>
        <v>146</v>
      </c>
      <c r="L112" t="str">
        <f>VLOOKUP($A112,regions_full!$A$2:$AI$267,MATCH(polities_cats!L$1,$A$1:$AN$1,0),0)</f>
        <v>Moldova</v>
      </c>
      <c r="M112">
        <f>VLOOKUP($A112,regions_full!$A$2:$AI$267,MATCH(polities_cats!M$1,$A$1:$AN$1,0),0)</f>
        <v>498</v>
      </c>
      <c r="N112">
        <f>VLOOKUP($A112,regions_full!$A$2:$AI$267,MATCH(polities_cats!N$1,$A$1:$AN$1,0),0)</f>
        <v>498</v>
      </c>
      <c r="O112">
        <f>VLOOKUP($A112,regions_full!$A$2:$AI$267,MATCH(polities_cats!O$1,$A$1:$AN$1,0),0)</f>
        <v>11</v>
      </c>
      <c r="P112" t="str">
        <f>VLOOKUP($A112,regions_full!$A$2:$AI$267,MATCH(polities_cats!P$1,$A$1:$AN$1,0),0)</f>
        <v>TRUE</v>
      </c>
      <c r="Q112">
        <f>VLOOKUP($A112,regions_full!$A$2:$AI$267,MATCH(polities_cats!Q$1,$A$1:$AN$1,0),0)</f>
        <v>146</v>
      </c>
      <c r="R112" t="str">
        <f>VLOOKUP($A112,regions_full!$A$2:$AI$267,MATCH(polities_cats!R$1,$A$1:$AN$1,0),0)</f>
        <v/>
      </c>
      <c r="S112" t="str">
        <f>VLOOKUP($A112,regions_full!$A$2:$AI$267,MATCH(polities_cats!S$1,$A$1:$AN$1,0),0)</f>
        <v>Former USSR</v>
      </c>
      <c r="T112">
        <f>VLOOKUP($A112,regions_full!$A$2:$AI$267,MATCH(polities_cats!T$1,$A$1:$AN$1,0),0)</f>
        <v>1</v>
      </c>
      <c r="U112" t="str">
        <f>VLOOKUP($A112,regions_full!$A$2:$AI$267,MATCH(polities_cats!U$1,$A$1:$AN$1,0),0)</f>
        <v>Moldova</v>
      </c>
      <c r="V112" t="str">
        <f>VLOOKUP($A112,regions_full!$A$2:$AI$267,MATCH(polities_cats!V$1,$A$1:$AN$1,0),0)</f>
        <v>Eastern and South Eastern Europe</v>
      </c>
      <c r="W112" t="str">
        <f>VLOOKUP($A112,regions_full!$A$2:$AI$267,MATCH(polities_cats!W$1,$A$1:$AN$1,0),0)</f>
        <v>East Europe</v>
      </c>
      <c r="X112" t="str">
        <f>VLOOKUP($A112,regions_full!$A$2:$AI$267,MATCH(polities_cats!X$1,$A$1:$AN$1,0),0)</f>
        <v>Europe</v>
      </c>
      <c r="Y112" t="str">
        <f>VLOOKUP($A112,regions_full!$A$2:$AI$267,MATCH(polities_cats!Y$1,$A$1:$AN$1,0),0)</f>
        <v>Eastern Europe</v>
      </c>
      <c r="Z112" t="str">
        <f>VLOOKUP($A112,regions_full!$A$2:$AI$267,MATCH(polities_cats!Z$1,$A$1:$AN$1,0),0)</f>
        <v>Europe</v>
      </c>
      <c r="AA112" t="str">
        <f>VLOOKUP($A112,regions_full!$A$2:$AI$267,MATCH(polities_cats!AA$1,$A$1:$AN$1,0),0)</f>
        <v>Europe and Central Asia</v>
      </c>
      <c r="AB112" t="str">
        <f>VLOOKUP($A112,regions_full!$A$2:$AI$267,MATCH(polities_cats!AB$1,$A$1:$AN$1,0),0)</f>
        <v>Eastern Europe</v>
      </c>
      <c r="AC112" t="str">
        <f>VLOOKUP($A112,regions_full!$A$2:$AI$267,MATCH(polities_cats!AC$1,$A$1:$AN$1,0),0)</f>
        <v>Eastern Europe</v>
      </c>
      <c r="AD112" t="str">
        <f>VLOOKUP($A112,regions_full!$A$2:$AI$267,MATCH(polities_cats!AD$1,$A$1:$AN$1,0),0)</f>
        <v>Emerging</v>
      </c>
      <c r="AE112" t="str">
        <f>VLOOKUP($A112,regions_full!$A$2:$AI$267,MATCH(polities_cats!AE$1,$A$1:$AN$1,0),0)</f>
        <v>Annex_II</v>
      </c>
      <c r="AF112" t="str">
        <f>VLOOKUP($A112,regions_full!$A$2:$AI$267,MATCH(polities_cats!AF$1,$A$1:$AN$1,0),0)</f>
        <v>FSU</v>
      </c>
      <c r="AG112" t="str">
        <f>VLOOKUP($A112,regions_full!$A$2:$AI$267,MATCH(polities_cats!AG$1,$A$1:$AN$1,0),0)</f>
        <v>FSU</v>
      </c>
      <c r="AH112" t="str">
        <f>VLOOKUP($A112,regions_full!$A$2:$AI$267,MATCH(polities_cats!AH$1,$A$1:$AN$1,0),0)</f>
        <v>mech</v>
      </c>
      <c r="AI112" t="str">
        <f>VLOOKUP($A112,regions_full!$A$2:$AI$267,MATCH(polities_cats!AI$1,$A$1:$AN$1,0),0)</f>
        <v>Europe</v>
      </c>
      <c r="AJ112" t="e">
        <f>VLOOKUP($A112,regions_full!$A$2:$AI$267,MATCH(polities_cats!AJ$1,$A$1:$AN$1,0),0)</f>
        <v>#REF!</v>
      </c>
      <c r="AK112" t="e">
        <f>VLOOKUP($A112,regions_full!$A$2:$AI$267,MATCH(polities_cats!AK$1,$A$1:$AN$1,0),0)</f>
        <v>#REF!</v>
      </c>
      <c r="AL112" t="e">
        <f>VLOOKUP($A112,regions_full!$A$2:$AI$267,MATCH(polities_cats!AL$1,$A$1:$AN$1,0),0)</f>
        <v>#REF!</v>
      </c>
      <c r="AM112" t="e">
        <f>VLOOKUP($A112,regions_full!$A$2:$AI$267,MATCH(polities_cats!AM$1,$A$1:$AN$1,0),0)</f>
        <v>#REF!</v>
      </c>
      <c r="AN112" t="e">
        <f>VLOOKUP($A112,regions_full!$A$2:$AI$267,MATCH(polities_cats!AN$1,$A$1:$AN$1,0),0)</f>
        <v>#REF!</v>
      </c>
    </row>
    <row r="113" spans="1:40" x14ac:dyDescent="0.3">
      <c r="A113" t="str">
        <f>polities_whep!A113</f>
        <v>MNG</v>
      </c>
      <c r="B113" t="str">
        <f>polities_whep!B113</f>
        <v>Mongolia</v>
      </c>
      <c r="C113">
        <f>VLOOKUP($A113,regions_full!$A$2:$AI$267,MATCH(polities_cats!C$1,$A$1:$AN$1,0),0)</f>
        <v>138</v>
      </c>
      <c r="D113">
        <f>VLOOKUP($A113,regions_full!$A$2:$AI$267,MATCH(polities_cats!D$1,$A$1:$AN$1,0),0)</f>
        <v>141</v>
      </c>
      <c r="E113" t="str">
        <f>VLOOKUP($A113,regions_full!$A$2:$AI$267,MATCH(polities_cats!E$1,$A$1:$AN$1,0),0)</f>
        <v>MNG</v>
      </c>
      <c r="F113" t="str">
        <f>VLOOKUP($A113,regions_full!$A$2:$AI$267,MATCH(polities_cats!F$1,$A$1:$AN$1,0),0)</f>
        <v>Mongolia</v>
      </c>
      <c r="G113" t="str">
        <f>VLOOKUP($A113,regions_full!$A$2:$AI$267,MATCH(polities_cats!G$1,$A$1:$AN$1,0),0)</f>
        <v>FALSE</v>
      </c>
      <c r="H113" t="str">
        <f>VLOOKUP($A113,regions_full!$A$2:$AI$267,MATCH(polities_cats!H$1,$A$1:$AN$1,0),0)</f>
        <v>Mongolia</v>
      </c>
      <c r="I113" t="str">
        <f>VLOOKUP($A113,regions_full!$A$2:$AI$267,MATCH(polities_cats!I$1,$A$1:$AN$1,0),0)</f>
        <v>Mongolia</v>
      </c>
      <c r="J113" t="str">
        <f>VLOOKUP($A113,regions_full!$A$2:$AI$267,MATCH(polities_cats!J$1,$A$1:$AN$1,0),0)</f>
        <v>Mongolia</v>
      </c>
      <c r="K113">
        <f>VLOOKUP($A113,regions_full!$A$2:$AI$267,MATCH(polities_cats!K$1,$A$1:$AN$1,0),0)</f>
        <v>141</v>
      </c>
      <c r="L113" t="str">
        <f>VLOOKUP($A113,regions_full!$A$2:$AI$267,MATCH(polities_cats!L$1,$A$1:$AN$1,0),0)</f>
        <v>Mongolia</v>
      </c>
      <c r="M113">
        <f>VLOOKUP($A113,regions_full!$A$2:$AI$267,MATCH(polities_cats!M$1,$A$1:$AN$1,0),0)</f>
        <v>496</v>
      </c>
      <c r="N113">
        <f>VLOOKUP($A113,regions_full!$A$2:$AI$267,MATCH(polities_cats!N$1,$A$1:$AN$1,0),0)</f>
        <v>496</v>
      </c>
      <c r="O113">
        <f>VLOOKUP($A113,regions_full!$A$2:$AI$267,MATCH(polities_cats!O$1,$A$1:$AN$1,0),0)</f>
        <v>14</v>
      </c>
      <c r="P113" t="str">
        <f>VLOOKUP($A113,regions_full!$A$2:$AI$267,MATCH(polities_cats!P$1,$A$1:$AN$1,0),0)</f>
        <v>TRUE</v>
      </c>
      <c r="Q113">
        <f>VLOOKUP($A113,regions_full!$A$2:$AI$267,MATCH(polities_cats!Q$1,$A$1:$AN$1,0),0)</f>
        <v>141</v>
      </c>
      <c r="R113" t="str">
        <f>VLOOKUP($A113,regions_full!$A$2:$AI$267,MATCH(polities_cats!R$1,$A$1:$AN$1,0),0)</f>
        <v/>
      </c>
      <c r="S113" t="str">
        <f>VLOOKUP($A113,regions_full!$A$2:$AI$267,MATCH(polities_cats!S$1,$A$1:$AN$1,0),0)</f>
        <v>East Asia</v>
      </c>
      <c r="T113">
        <f>VLOOKUP($A113,regions_full!$A$2:$AI$267,MATCH(polities_cats!T$1,$A$1:$AN$1,0),0)</f>
        <v>1</v>
      </c>
      <c r="U113" t="str">
        <f>VLOOKUP($A113,regions_full!$A$2:$AI$267,MATCH(polities_cats!U$1,$A$1:$AN$1,0),0)</f>
        <v>Mongolia</v>
      </c>
      <c r="V113" t="str">
        <f>VLOOKUP($A113,regions_full!$A$2:$AI$267,MATCH(polities_cats!V$1,$A$1:$AN$1,0),0)</f>
        <v>Eastern Asia</v>
      </c>
      <c r="W113" t="str">
        <f>VLOOKUP($A113,regions_full!$A$2:$AI$267,MATCH(polities_cats!W$1,$A$1:$AN$1,0),0)</f>
        <v>East Asia</v>
      </c>
      <c r="X113" t="str">
        <f>VLOOKUP($A113,regions_full!$A$2:$AI$267,MATCH(polities_cats!X$1,$A$1:$AN$1,0),0)</f>
        <v>S&amp;E Asia</v>
      </c>
      <c r="Y113" t="str">
        <f>VLOOKUP($A113,regions_full!$A$2:$AI$267,MATCH(polities_cats!Y$1,$A$1:$AN$1,0),0)</f>
        <v>Eastern Asia</v>
      </c>
      <c r="Z113" t="str">
        <f>VLOOKUP($A113,regions_full!$A$2:$AI$267,MATCH(polities_cats!Z$1,$A$1:$AN$1,0),0)</f>
        <v>Asia</v>
      </c>
      <c r="AA113" t="str">
        <f>VLOOKUP($A113,regions_full!$A$2:$AI$267,MATCH(polities_cats!AA$1,$A$1:$AN$1,0),0)</f>
        <v>Asia and the Pacific</v>
      </c>
      <c r="AB113" t="str">
        <f>VLOOKUP($A113,regions_full!$A$2:$AI$267,MATCH(polities_cats!AB$1,$A$1:$AN$1,0),0)</f>
        <v>Eastern Asia</v>
      </c>
      <c r="AC113" t="str">
        <f>VLOOKUP($A113,regions_full!$A$2:$AI$267,MATCH(polities_cats!AC$1,$A$1:$AN$1,0),0)</f>
        <v>Eastern Asia</v>
      </c>
      <c r="AD113" t="str">
        <f>VLOOKUP($A113,regions_full!$A$2:$AI$267,MATCH(polities_cats!AD$1,$A$1:$AN$1,0),0)</f>
        <v>Emerging</v>
      </c>
      <c r="AE113" t="str">
        <f>VLOOKUP($A113,regions_full!$A$2:$AI$267,MATCH(polities_cats!AE$1,$A$1:$AN$1,0),0)</f>
        <v>Annex_II</v>
      </c>
      <c r="AF113" t="str">
        <f>VLOOKUP($A113,regions_full!$A$2:$AI$267,MATCH(polities_cats!AF$1,$A$1:$AN$1,0),0)</f>
        <v>Eastern Asia</v>
      </c>
      <c r="AG113" t="str">
        <f>VLOOKUP($A113,regions_full!$A$2:$AI$267,MATCH(polities_cats!AG$1,$A$1:$AN$1,0),0)</f>
        <v>SE-Asia</v>
      </c>
      <c r="AH113" t="str">
        <f>VLOOKUP($A113,regions_full!$A$2:$AI$267,MATCH(polities_cats!AH$1,$A$1:$AN$1,0),0)</f>
        <v>no_mech</v>
      </c>
      <c r="AI113" t="str">
        <f>VLOOKUP($A113,regions_full!$A$2:$AI$267,MATCH(polities_cats!AI$1,$A$1:$AN$1,0),0)</f>
        <v>Other</v>
      </c>
      <c r="AJ113" t="e">
        <f>VLOOKUP($A113,regions_full!$A$2:$AI$267,MATCH(polities_cats!AJ$1,$A$1:$AN$1,0),0)</f>
        <v>#REF!</v>
      </c>
      <c r="AK113" t="e">
        <f>VLOOKUP($A113,regions_full!$A$2:$AI$267,MATCH(polities_cats!AK$1,$A$1:$AN$1,0),0)</f>
        <v>#REF!</v>
      </c>
      <c r="AL113" t="e">
        <f>VLOOKUP($A113,regions_full!$A$2:$AI$267,MATCH(polities_cats!AL$1,$A$1:$AN$1,0),0)</f>
        <v>#REF!</v>
      </c>
      <c r="AM113" t="e">
        <f>VLOOKUP($A113,regions_full!$A$2:$AI$267,MATCH(polities_cats!AM$1,$A$1:$AN$1,0),0)</f>
        <v>#REF!</v>
      </c>
      <c r="AN113" t="e">
        <f>VLOOKUP($A113,regions_full!$A$2:$AI$267,MATCH(polities_cats!AN$1,$A$1:$AN$1,0),0)</f>
        <v>#REF!</v>
      </c>
    </row>
    <row r="114" spans="1:40" x14ac:dyDescent="0.3">
      <c r="A114" t="str">
        <f>polities_whep!A114</f>
        <v>MNE</v>
      </c>
      <c r="B114" t="str">
        <f>polities_whep!B114</f>
        <v>Montenegro</v>
      </c>
      <c r="C114">
        <f>VLOOKUP($A114,regions_full!$A$2:$AI$267,MATCH(polities_cats!C$1,$A$1:$AN$1,0),0)</f>
        <v>253</v>
      </c>
      <c r="D114">
        <f>VLOOKUP($A114,regions_full!$A$2:$AI$267,MATCH(polities_cats!D$1,$A$1:$AN$1,0),0)</f>
        <v>273</v>
      </c>
      <c r="E114" t="str">
        <f>VLOOKUP($A114,regions_full!$A$2:$AI$267,MATCH(polities_cats!E$1,$A$1:$AN$1,0),0)</f>
        <v>MNE</v>
      </c>
      <c r="F114" t="str">
        <f>VLOOKUP($A114,regions_full!$A$2:$AI$267,MATCH(polities_cats!F$1,$A$1:$AN$1,0),0)</f>
        <v>Montenegro</v>
      </c>
      <c r="G114" t="str">
        <f>VLOOKUP($A114,regions_full!$A$2:$AI$267,MATCH(polities_cats!G$1,$A$1:$AN$1,0),0)</f>
        <v>FALSE</v>
      </c>
      <c r="H114" t="str">
        <f>VLOOKUP($A114,regions_full!$A$2:$AI$267,MATCH(polities_cats!H$1,$A$1:$AN$1,0),0)</f>
        <v>Montenegro</v>
      </c>
      <c r="I114" t="str">
        <f>VLOOKUP($A114,regions_full!$A$2:$AI$267,MATCH(polities_cats!I$1,$A$1:$AN$1,0),0)</f>
        <v>Montenegro</v>
      </c>
      <c r="J114" t="str">
        <f>VLOOKUP($A114,regions_full!$A$2:$AI$267,MATCH(polities_cats!J$1,$A$1:$AN$1,0),0)</f>
        <v>Montenegro</v>
      </c>
      <c r="K114">
        <f>VLOOKUP($A114,regions_full!$A$2:$AI$267,MATCH(polities_cats!K$1,$A$1:$AN$1,0),0)</f>
        <v>186</v>
      </c>
      <c r="L114" t="str">
        <f>VLOOKUP($A114,regions_full!$A$2:$AI$267,MATCH(polities_cats!L$1,$A$1:$AN$1,0),0)</f>
        <v>Serbia and Montenegro</v>
      </c>
      <c r="M114">
        <f>VLOOKUP($A114,regions_full!$A$2:$AI$267,MATCH(polities_cats!M$1,$A$1:$AN$1,0),0)</f>
        <v>499</v>
      </c>
      <c r="N114">
        <f>VLOOKUP($A114,regions_full!$A$2:$AI$267,MATCH(polities_cats!N$1,$A$1:$AN$1,0),0)</f>
        <v>499</v>
      </c>
      <c r="O114">
        <f>VLOOKUP($A114,regions_full!$A$2:$AI$267,MATCH(polities_cats!O$1,$A$1:$AN$1,0),0)</f>
        <v>9</v>
      </c>
      <c r="P114" t="str">
        <f>VLOOKUP($A114,regions_full!$A$2:$AI$267,MATCH(polities_cats!P$1,$A$1:$AN$1,0),0)</f>
        <v>TRUE</v>
      </c>
      <c r="Q114">
        <f>VLOOKUP($A114,regions_full!$A$2:$AI$267,MATCH(polities_cats!Q$1,$A$1:$AN$1,0),0)</f>
        <v>273</v>
      </c>
      <c r="R114" t="str">
        <f>VLOOKUP($A114,regions_full!$A$2:$AI$267,MATCH(polities_cats!R$1,$A$1:$AN$1,0),0)</f>
        <v/>
      </c>
      <c r="S114" t="str">
        <f>VLOOKUP($A114,regions_full!$A$2:$AI$267,MATCH(polities_cats!S$1,$A$1:$AN$1,0),0)</f>
        <v>OECD Europe</v>
      </c>
      <c r="T114">
        <f>VLOOKUP($A114,regions_full!$A$2:$AI$267,MATCH(polities_cats!T$1,$A$1:$AN$1,0),0)</f>
        <v>1</v>
      </c>
      <c r="U114" t="str">
        <f>VLOOKUP($A114,regions_full!$A$2:$AI$267,MATCH(polities_cats!U$1,$A$1:$AN$1,0),0)</f>
        <v>Montenegro</v>
      </c>
      <c r="V114" t="str">
        <f>VLOOKUP($A114,regions_full!$A$2:$AI$267,MATCH(polities_cats!V$1,$A$1:$AN$1,0),0)</f>
        <v>Western Europe</v>
      </c>
      <c r="W114" t="str">
        <f>VLOOKUP($A114,regions_full!$A$2:$AI$267,MATCH(polities_cats!W$1,$A$1:$AN$1,0),0)</f>
        <v>West Europe</v>
      </c>
      <c r="X114" t="str">
        <f>VLOOKUP($A114,regions_full!$A$2:$AI$267,MATCH(polities_cats!X$1,$A$1:$AN$1,0),0)</f>
        <v>Europe</v>
      </c>
      <c r="Y114" t="str">
        <f>VLOOKUP($A114,regions_full!$A$2:$AI$267,MATCH(polities_cats!Y$1,$A$1:$AN$1,0),0)</f>
        <v>Southern Europe</v>
      </c>
      <c r="Z114" t="str">
        <f>VLOOKUP($A114,regions_full!$A$2:$AI$267,MATCH(polities_cats!Z$1,$A$1:$AN$1,0),0)</f>
        <v>Europe</v>
      </c>
      <c r="AA114" t="str">
        <f>VLOOKUP($A114,regions_full!$A$2:$AI$267,MATCH(polities_cats!AA$1,$A$1:$AN$1,0),0)</f>
        <v>Europe and Central Asia</v>
      </c>
      <c r="AB114" t="str">
        <f>VLOOKUP($A114,regions_full!$A$2:$AI$267,MATCH(polities_cats!AB$1,$A$1:$AN$1,0),0)</f>
        <v>Northern, Southern and Western Europe</v>
      </c>
      <c r="AC114" t="str">
        <f>VLOOKUP($A114,regions_full!$A$2:$AI$267,MATCH(polities_cats!AC$1,$A$1:$AN$1,0),0)</f>
        <v>Southern Europe</v>
      </c>
      <c r="AD114" t="str">
        <f>VLOOKUP($A114,regions_full!$A$2:$AI$267,MATCH(polities_cats!AD$1,$A$1:$AN$1,0),0)</f>
        <v>Emerging</v>
      </c>
      <c r="AE114" t="str">
        <f>VLOOKUP($A114,regions_full!$A$2:$AI$267,MATCH(polities_cats!AE$1,$A$1:$AN$1,0),0)</f>
        <v>Annex_II</v>
      </c>
      <c r="AF114" t="str">
        <f>VLOOKUP($A114,regions_full!$A$2:$AI$267,MATCH(polities_cats!AF$1,$A$1:$AN$1,0),0)</f>
        <v>Southern Europe</v>
      </c>
      <c r="AG114" t="str">
        <f>VLOOKUP($A114,regions_full!$A$2:$AI$267,MATCH(polities_cats!AG$1,$A$1:$AN$1,0),0)</f>
        <v>Europe</v>
      </c>
      <c r="AH114" t="str">
        <f>VLOOKUP($A114,regions_full!$A$2:$AI$267,MATCH(polities_cats!AH$1,$A$1:$AN$1,0),0)</f>
        <v>mech</v>
      </c>
      <c r="AI114" t="str">
        <f>VLOOKUP($A114,regions_full!$A$2:$AI$267,MATCH(polities_cats!AI$1,$A$1:$AN$1,0),0)</f>
        <v>Europe</v>
      </c>
      <c r="AJ114" t="e">
        <f>VLOOKUP($A114,regions_full!$A$2:$AI$267,MATCH(polities_cats!AJ$1,$A$1:$AN$1,0),0)</f>
        <v>#REF!</v>
      </c>
      <c r="AK114" t="e">
        <f>VLOOKUP($A114,regions_full!$A$2:$AI$267,MATCH(polities_cats!AK$1,$A$1:$AN$1,0),0)</f>
        <v>#REF!</v>
      </c>
      <c r="AL114" t="e">
        <f>VLOOKUP($A114,regions_full!$A$2:$AI$267,MATCH(polities_cats!AL$1,$A$1:$AN$1,0),0)</f>
        <v>#REF!</v>
      </c>
      <c r="AM114" t="e">
        <f>VLOOKUP($A114,regions_full!$A$2:$AI$267,MATCH(polities_cats!AM$1,$A$1:$AN$1,0),0)</f>
        <v>#REF!</v>
      </c>
      <c r="AN114" t="e">
        <f>VLOOKUP($A114,regions_full!$A$2:$AI$267,MATCH(polities_cats!AN$1,$A$1:$AN$1,0),0)</f>
        <v>#REF!</v>
      </c>
    </row>
    <row r="115" spans="1:40" x14ac:dyDescent="0.3">
      <c r="A115" t="str">
        <f>polities_whep!A115</f>
        <v>MAR</v>
      </c>
      <c r="B115" t="str">
        <f>polities_whep!B115</f>
        <v>Morocco</v>
      </c>
      <c r="C115">
        <f>VLOOKUP($A115,regions_full!$A$2:$AI$267,MATCH(polities_cats!C$1,$A$1:$AN$1,0),0)</f>
        <v>140</v>
      </c>
      <c r="D115">
        <f>VLOOKUP($A115,regions_full!$A$2:$AI$267,MATCH(polities_cats!D$1,$A$1:$AN$1,0),0)</f>
        <v>143</v>
      </c>
      <c r="E115" t="str">
        <f>VLOOKUP($A115,regions_full!$A$2:$AI$267,MATCH(polities_cats!E$1,$A$1:$AN$1,0),0)</f>
        <v>MAR</v>
      </c>
      <c r="F115" t="str">
        <f>VLOOKUP($A115,regions_full!$A$2:$AI$267,MATCH(polities_cats!F$1,$A$1:$AN$1,0),0)</f>
        <v>Morocco</v>
      </c>
      <c r="G115" t="str">
        <f>VLOOKUP($A115,regions_full!$A$2:$AI$267,MATCH(polities_cats!G$1,$A$1:$AN$1,0),0)</f>
        <v>FALSE</v>
      </c>
      <c r="H115" t="str">
        <f>VLOOKUP($A115,regions_full!$A$2:$AI$267,MATCH(polities_cats!H$1,$A$1:$AN$1,0),0)</f>
        <v>Morocco</v>
      </c>
      <c r="I115" t="str">
        <f>VLOOKUP($A115,regions_full!$A$2:$AI$267,MATCH(polities_cats!I$1,$A$1:$AN$1,0),0)</f>
        <v>Morocco</v>
      </c>
      <c r="J115" t="str">
        <f>VLOOKUP($A115,regions_full!$A$2:$AI$267,MATCH(polities_cats!J$1,$A$1:$AN$1,0),0)</f>
        <v>Morocco</v>
      </c>
      <c r="K115">
        <f>VLOOKUP($A115,regions_full!$A$2:$AI$267,MATCH(polities_cats!K$1,$A$1:$AN$1,0),0)</f>
        <v>143</v>
      </c>
      <c r="L115" t="str">
        <f>VLOOKUP($A115,regions_full!$A$2:$AI$267,MATCH(polities_cats!L$1,$A$1:$AN$1,0),0)</f>
        <v>Morocco</v>
      </c>
      <c r="M115">
        <f>VLOOKUP($A115,regions_full!$A$2:$AI$267,MATCH(polities_cats!M$1,$A$1:$AN$1,0),0)</f>
        <v>504</v>
      </c>
      <c r="N115">
        <f>VLOOKUP($A115,regions_full!$A$2:$AI$267,MATCH(polities_cats!N$1,$A$1:$AN$1,0),0)</f>
        <v>504</v>
      </c>
      <c r="O115">
        <f>VLOOKUP($A115,regions_full!$A$2:$AI$267,MATCH(polities_cats!O$1,$A$1:$AN$1,0),0)</f>
        <v>5</v>
      </c>
      <c r="P115" t="str">
        <f>VLOOKUP($A115,regions_full!$A$2:$AI$267,MATCH(polities_cats!P$1,$A$1:$AN$1,0),0)</f>
        <v>TRUE</v>
      </c>
      <c r="Q115">
        <f>VLOOKUP($A115,regions_full!$A$2:$AI$267,MATCH(polities_cats!Q$1,$A$1:$AN$1,0),0)</f>
        <v>143</v>
      </c>
      <c r="R115" t="str">
        <f>VLOOKUP($A115,regions_full!$A$2:$AI$267,MATCH(polities_cats!R$1,$A$1:$AN$1,0),0)</f>
        <v/>
      </c>
      <c r="S115" t="str">
        <f>VLOOKUP($A115,regions_full!$A$2:$AI$267,MATCH(polities_cats!S$1,$A$1:$AN$1,0),0)</f>
        <v>Northern Africa</v>
      </c>
      <c r="T115">
        <f>VLOOKUP($A115,regions_full!$A$2:$AI$267,MATCH(polities_cats!T$1,$A$1:$AN$1,0),0)</f>
        <v>1</v>
      </c>
      <c r="U115" t="str">
        <f>VLOOKUP($A115,regions_full!$A$2:$AI$267,MATCH(polities_cats!U$1,$A$1:$AN$1,0),0)</f>
        <v>Morocco</v>
      </c>
      <c r="V115" t="str">
        <f>VLOOKUP($A115,regions_full!$A$2:$AI$267,MATCH(polities_cats!V$1,$A$1:$AN$1,0),0)</f>
        <v>Northern Africa and Western Asia</v>
      </c>
      <c r="W115" t="str">
        <f>VLOOKUP($A115,regions_full!$A$2:$AI$267,MATCH(polities_cats!W$1,$A$1:$AN$1,0),0)</f>
        <v>North Africa and West Asia</v>
      </c>
      <c r="X115" t="str">
        <f>VLOOKUP($A115,regions_full!$A$2:$AI$267,MATCH(polities_cats!X$1,$A$1:$AN$1,0),0)</f>
        <v>MENA</v>
      </c>
      <c r="Y115" t="str">
        <f>VLOOKUP($A115,regions_full!$A$2:$AI$267,MATCH(polities_cats!Y$1,$A$1:$AN$1,0),0)</f>
        <v>Northern Africa</v>
      </c>
      <c r="Z115" t="str">
        <f>VLOOKUP($A115,regions_full!$A$2:$AI$267,MATCH(polities_cats!Z$1,$A$1:$AN$1,0),0)</f>
        <v>Africa</v>
      </c>
      <c r="AA115" t="str">
        <f>VLOOKUP($A115,regions_full!$A$2:$AI$267,MATCH(polities_cats!AA$1,$A$1:$AN$1,0),0)</f>
        <v>Africa</v>
      </c>
      <c r="AB115" t="str">
        <f>VLOOKUP($A115,regions_full!$A$2:$AI$267,MATCH(polities_cats!AB$1,$A$1:$AN$1,0),0)</f>
        <v>Northern Africa</v>
      </c>
      <c r="AC115" t="str">
        <f>VLOOKUP($A115,regions_full!$A$2:$AI$267,MATCH(polities_cats!AC$1,$A$1:$AN$1,0),0)</f>
        <v>Northern Africa</v>
      </c>
      <c r="AD115" t="str">
        <f>VLOOKUP($A115,regions_full!$A$2:$AI$267,MATCH(polities_cats!AD$1,$A$1:$AN$1,0),0)</f>
        <v>Emerging</v>
      </c>
      <c r="AE115" t="str">
        <f>VLOOKUP($A115,regions_full!$A$2:$AI$267,MATCH(polities_cats!AE$1,$A$1:$AN$1,0),0)</f>
        <v>Annex_II</v>
      </c>
      <c r="AF115" t="str">
        <f>VLOOKUP($A115,regions_full!$A$2:$AI$267,MATCH(polities_cats!AF$1,$A$1:$AN$1,0),0)</f>
        <v>Northern Africa</v>
      </c>
      <c r="AG115" t="str">
        <f>VLOOKUP($A115,regions_full!$A$2:$AI$267,MATCH(polities_cats!AG$1,$A$1:$AN$1,0),0)</f>
        <v>MENA</v>
      </c>
      <c r="AH115" t="str">
        <f>VLOOKUP($A115,regions_full!$A$2:$AI$267,MATCH(polities_cats!AH$1,$A$1:$AN$1,0),0)</f>
        <v>no_mech</v>
      </c>
      <c r="AI115" t="str">
        <f>VLOOKUP($A115,regions_full!$A$2:$AI$267,MATCH(polities_cats!AI$1,$A$1:$AN$1,0),0)</f>
        <v>Other</v>
      </c>
      <c r="AJ115" t="e">
        <f>VLOOKUP($A115,regions_full!$A$2:$AI$267,MATCH(polities_cats!AJ$1,$A$1:$AN$1,0),0)</f>
        <v>#REF!</v>
      </c>
      <c r="AK115" t="e">
        <f>VLOOKUP($A115,regions_full!$A$2:$AI$267,MATCH(polities_cats!AK$1,$A$1:$AN$1,0),0)</f>
        <v>#REF!</v>
      </c>
      <c r="AL115" t="e">
        <f>VLOOKUP($A115,regions_full!$A$2:$AI$267,MATCH(polities_cats!AL$1,$A$1:$AN$1,0),0)</f>
        <v>#REF!</v>
      </c>
      <c r="AM115" t="e">
        <f>VLOOKUP($A115,regions_full!$A$2:$AI$267,MATCH(polities_cats!AM$1,$A$1:$AN$1,0),0)</f>
        <v>#REF!</v>
      </c>
      <c r="AN115" t="e">
        <f>VLOOKUP($A115,regions_full!$A$2:$AI$267,MATCH(polities_cats!AN$1,$A$1:$AN$1,0),0)</f>
        <v>#REF!</v>
      </c>
    </row>
    <row r="116" spans="1:40" x14ac:dyDescent="0.3">
      <c r="A116" t="str">
        <f>polities_whep!A116</f>
        <v>MOZ</v>
      </c>
      <c r="B116" t="str">
        <f>polities_whep!B116</f>
        <v>Mozambique</v>
      </c>
      <c r="C116">
        <f>VLOOKUP($A116,regions_full!$A$2:$AI$267,MATCH(polities_cats!C$1,$A$1:$AN$1,0),0)</f>
        <v>141</v>
      </c>
      <c r="D116">
        <f>VLOOKUP($A116,regions_full!$A$2:$AI$267,MATCH(polities_cats!D$1,$A$1:$AN$1,0),0)</f>
        <v>144</v>
      </c>
      <c r="E116" t="str">
        <f>VLOOKUP($A116,regions_full!$A$2:$AI$267,MATCH(polities_cats!E$1,$A$1:$AN$1,0),0)</f>
        <v>MOZ</v>
      </c>
      <c r="F116" t="str">
        <f>VLOOKUP($A116,regions_full!$A$2:$AI$267,MATCH(polities_cats!F$1,$A$1:$AN$1,0),0)</f>
        <v>Mozambique</v>
      </c>
      <c r="G116" t="str">
        <f>VLOOKUP($A116,regions_full!$A$2:$AI$267,MATCH(polities_cats!G$1,$A$1:$AN$1,0),0)</f>
        <v>FALSE</v>
      </c>
      <c r="H116" t="str">
        <f>VLOOKUP($A116,regions_full!$A$2:$AI$267,MATCH(polities_cats!H$1,$A$1:$AN$1,0),0)</f>
        <v>Mozambique</v>
      </c>
      <c r="I116" t="str">
        <f>VLOOKUP($A116,regions_full!$A$2:$AI$267,MATCH(polities_cats!I$1,$A$1:$AN$1,0),0)</f>
        <v>Mozambique</v>
      </c>
      <c r="J116" t="str">
        <f>VLOOKUP($A116,regions_full!$A$2:$AI$267,MATCH(polities_cats!J$1,$A$1:$AN$1,0),0)</f>
        <v>Mozambique</v>
      </c>
      <c r="K116">
        <f>VLOOKUP($A116,regions_full!$A$2:$AI$267,MATCH(polities_cats!K$1,$A$1:$AN$1,0),0)</f>
        <v>144</v>
      </c>
      <c r="L116" t="str">
        <f>VLOOKUP($A116,regions_full!$A$2:$AI$267,MATCH(polities_cats!L$1,$A$1:$AN$1,0),0)</f>
        <v>Mozambique</v>
      </c>
      <c r="M116">
        <f>VLOOKUP($A116,regions_full!$A$2:$AI$267,MATCH(polities_cats!M$1,$A$1:$AN$1,0),0)</f>
        <v>508</v>
      </c>
      <c r="N116">
        <f>VLOOKUP($A116,regions_full!$A$2:$AI$267,MATCH(polities_cats!N$1,$A$1:$AN$1,0),0)</f>
        <v>508</v>
      </c>
      <c r="O116">
        <f>VLOOKUP($A116,regions_full!$A$2:$AI$267,MATCH(polities_cats!O$1,$A$1:$AN$1,0),0)</f>
        <v>8</v>
      </c>
      <c r="P116" t="str">
        <f>VLOOKUP($A116,regions_full!$A$2:$AI$267,MATCH(polities_cats!P$1,$A$1:$AN$1,0),0)</f>
        <v>TRUE</v>
      </c>
      <c r="Q116">
        <f>VLOOKUP($A116,regions_full!$A$2:$AI$267,MATCH(polities_cats!Q$1,$A$1:$AN$1,0),0)</f>
        <v>144</v>
      </c>
      <c r="R116" t="str">
        <f>VLOOKUP($A116,regions_full!$A$2:$AI$267,MATCH(polities_cats!R$1,$A$1:$AN$1,0),0)</f>
        <v/>
      </c>
      <c r="S116" t="str">
        <f>VLOOKUP($A116,regions_full!$A$2:$AI$267,MATCH(polities_cats!S$1,$A$1:$AN$1,0),0)</f>
        <v>Southern Africa</v>
      </c>
      <c r="T116">
        <f>VLOOKUP($A116,regions_full!$A$2:$AI$267,MATCH(polities_cats!T$1,$A$1:$AN$1,0),0)</f>
        <v>1</v>
      </c>
      <c r="U116" t="str">
        <f>VLOOKUP($A116,regions_full!$A$2:$AI$267,MATCH(polities_cats!U$1,$A$1:$AN$1,0),0)</f>
        <v>Mozambique</v>
      </c>
      <c r="V116" t="str">
        <f>VLOOKUP($A116,regions_full!$A$2:$AI$267,MATCH(polities_cats!V$1,$A$1:$AN$1,0),0)</f>
        <v>Subsaharan Africa</v>
      </c>
      <c r="W116" t="str">
        <f>VLOOKUP($A116,regions_full!$A$2:$AI$267,MATCH(polities_cats!W$1,$A$1:$AN$1,0),0)</f>
        <v>Sub-saharan Africa</v>
      </c>
      <c r="X116" t="str">
        <f>VLOOKUP($A116,regions_full!$A$2:$AI$267,MATCH(polities_cats!X$1,$A$1:$AN$1,0),0)</f>
        <v>SSA</v>
      </c>
      <c r="Y116" t="str">
        <f>VLOOKUP($A116,regions_full!$A$2:$AI$267,MATCH(polities_cats!Y$1,$A$1:$AN$1,0),0)</f>
        <v>Sub-Saharan Africa</v>
      </c>
      <c r="Z116" t="str">
        <f>VLOOKUP($A116,regions_full!$A$2:$AI$267,MATCH(polities_cats!Z$1,$A$1:$AN$1,0),0)</f>
        <v>Africa</v>
      </c>
      <c r="AA116" t="str">
        <f>VLOOKUP($A116,regions_full!$A$2:$AI$267,MATCH(polities_cats!AA$1,$A$1:$AN$1,0),0)</f>
        <v>Africa</v>
      </c>
      <c r="AB116" t="str">
        <f>VLOOKUP($A116,regions_full!$A$2:$AI$267,MATCH(polities_cats!AB$1,$A$1:$AN$1,0),0)</f>
        <v>Sub-Saharan Africa</v>
      </c>
      <c r="AC116" t="str">
        <f>VLOOKUP($A116,regions_full!$A$2:$AI$267,MATCH(polities_cats!AC$1,$A$1:$AN$1,0),0)</f>
        <v>Eastern Africa</v>
      </c>
      <c r="AD116" t="str">
        <f>VLOOKUP($A116,regions_full!$A$2:$AI$267,MATCH(polities_cats!AD$1,$A$1:$AN$1,0),0)</f>
        <v>Emerging</v>
      </c>
      <c r="AE116" t="str">
        <f>VLOOKUP($A116,regions_full!$A$2:$AI$267,MATCH(polities_cats!AE$1,$A$1:$AN$1,0),0)</f>
        <v>Annex_II</v>
      </c>
      <c r="AF116" t="str">
        <f>VLOOKUP($A116,regions_full!$A$2:$AI$267,MATCH(polities_cats!AF$1,$A$1:$AN$1,0),0)</f>
        <v>Eastern Africa</v>
      </c>
      <c r="AG116" t="str">
        <f>VLOOKUP($A116,regions_full!$A$2:$AI$267,MATCH(polities_cats!AG$1,$A$1:$AN$1,0),0)</f>
        <v>SAA</v>
      </c>
      <c r="AH116" t="str">
        <f>VLOOKUP($A116,regions_full!$A$2:$AI$267,MATCH(polities_cats!AH$1,$A$1:$AN$1,0),0)</f>
        <v>no_mech</v>
      </c>
      <c r="AI116" t="str">
        <f>VLOOKUP($A116,regions_full!$A$2:$AI$267,MATCH(polities_cats!AI$1,$A$1:$AN$1,0),0)</f>
        <v>Other</v>
      </c>
      <c r="AJ116" t="e">
        <f>VLOOKUP($A116,regions_full!$A$2:$AI$267,MATCH(polities_cats!AJ$1,$A$1:$AN$1,0),0)</f>
        <v>#REF!</v>
      </c>
      <c r="AK116" t="e">
        <f>VLOOKUP($A116,regions_full!$A$2:$AI$267,MATCH(polities_cats!AK$1,$A$1:$AN$1,0),0)</f>
        <v>#REF!</v>
      </c>
      <c r="AL116" t="e">
        <f>VLOOKUP($A116,regions_full!$A$2:$AI$267,MATCH(polities_cats!AL$1,$A$1:$AN$1,0),0)</f>
        <v>#REF!</v>
      </c>
      <c r="AM116" t="e">
        <f>VLOOKUP($A116,regions_full!$A$2:$AI$267,MATCH(polities_cats!AM$1,$A$1:$AN$1,0),0)</f>
        <v>#REF!</v>
      </c>
      <c r="AN116" t="e">
        <f>VLOOKUP($A116,regions_full!$A$2:$AI$267,MATCH(polities_cats!AN$1,$A$1:$AN$1,0),0)</f>
        <v>#REF!</v>
      </c>
    </row>
    <row r="117" spans="1:40" x14ac:dyDescent="0.3">
      <c r="A117" t="str">
        <f>polities_whep!A117</f>
        <v>MMR</v>
      </c>
      <c r="B117" t="str">
        <f>polities_whep!B117</f>
        <v>Myanmar</v>
      </c>
      <c r="C117">
        <f>VLOOKUP($A117,regions_full!$A$2:$AI$267,MATCH(polities_cats!C$1,$A$1:$AN$1,0),0)</f>
        <v>28</v>
      </c>
      <c r="D117">
        <f>VLOOKUP($A117,regions_full!$A$2:$AI$267,MATCH(polities_cats!D$1,$A$1:$AN$1,0),0)</f>
        <v>28</v>
      </c>
      <c r="E117" t="str">
        <f>VLOOKUP($A117,regions_full!$A$2:$AI$267,MATCH(polities_cats!E$1,$A$1:$AN$1,0),0)</f>
        <v>MMR</v>
      </c>
      <c r="F117" t="str">
        <f>VLOOKUP($A117,regions_full!$A$2:$AI$267,MATCH(polities_cats!F$1,$A$1:$AN$1,0),0)</f>
        <v>Myanmar</v>
      </c>
      <c r="G117" t="str">
        <f>VLOOKUP($A117,regions_full!$A$2:$AI$267,MATCH(polities_cats!G$1,$A$1:$AN$1,0),0)</f>
        <v>FALSE</v>
      </c>
      <c r="H117" t="str">
        <f>VLOOKUP($A117,regions_full!$A$2:$AI$267,MATCH(polities_cats!H$1,$A$1:$AN$1,0),0)</f>
        <v>Myanmar</v>
      </c>
      <c r="I117" t="str">
        <f>VLOOKUP($A117,regions_full!$A$2:$AI$267,MATCH(polities_cats!I$1,$A$1:$AN$1,0),0)</f>
        <v>Burma (Myanmar)</v>
      </c>
      <c r="J117" t="str">
        <f>VLOOKUP($A117,regions_full!$A$2:$AI$267,MATCH(polities_cats!J$1,$A$1:$AN$1,0),0)</f>
        <v>Myanmar</v>
      </c>
      <c r="K117">
        <f>VLOOKUP($A117,regions_full!$A$2:$AI$267,MATCH(polities_cats!K$1,$A$1:$AN$1,0),0)</f>
        <v>28</v>
      </c>
      <c r="L117" t="str">
        <f>VLOOKUP($A117,regions_full!$A$2:$AI$267,MATCH(polities_cats!L$1,$A$1:$AN$1,0),0)</f>
        <v>Myanmar</v>
      </c>
      <c r="M117">
        <f>VLOOKUP($A117,regions_full!$A$2:$AI$267,MATCH(polities_cats!M$1,$A$1:$AN$1,0),0)</f>
        <v>104</v>
      </c>
      <c r="N117">
        <f>VLOOKUP($A117,regions_full!$A$2:$AI$267,MATCH(polities_cats!N$1,$A$1:$AN$1,0),0)</f>
        <v>104</v>
      </c>
      <c r="O117">
        <f>VLOOKUP($A117,regions_full!$A$2:$AI$267,MATCH(polities_cats!O$1,$A$1:$AN$1,0),0)</f>
        <v>15</v>
      </c>
      <c r="P117" t="str">
        <f>VLOOKUP($A117,regions_full!$A$2:$AI$267,MATCH(polities_cats!P$1,$A$1:$AN$1,0),0)</f>
        <v>TRUE</v>
      </c>
      <c r="Q117">
        <f>VLOOKUP($A117,regions_full!$A$2:$AI$267,MATCH(polities_cats!Q$1,$A$1:$AN$1,0),0)</f>
        <v>28</v>
      </c>
      <c r="R117" t="str">
        <f>VLOOKUP($A117,regions_full!$A$2:$AI$267,MATCH(polities_cats!R$1,$A$1:$AN$1,0),0)</f>
        <v/>
      </c>
      <c r="S117" t="str">
        <f>VLOOKUP($A117,regions_full!$A$2:$AI$267,MATCH(polities_cats!S$1,$A$1:$AN$1,0),0)</f>
        <v>South East Asia</v>
      </c>
      <c r="T117">
        <f>VLOOKUP($A117,regions_full!$A$2:$AI$267,MATCH(polities_cats!T$1,$A$1:$AN$1,0),0)</f>
        <v>1</v>
      </c>
      <c r="U117" t="str">
        <f>VLOOKUP($A117,regions_full!$A$2:$AI$267,MATCH(polities_cats!U$1,$A$1:$AN$1,0),0)</f>
        <v>Myanmar</v>
      </c>
      <c r="V117" t="str">
        <f>VLOOKUP($A117,regions_full!$A$2:$AI$267,MATCH(polities_cats!V$1,$A$1:$AN$1,0),0)</f>
        <v>Southeastern Asia</v>
      </c>
      <c r="W117" t="str">
        <f>VLOOKUP($A117,regions_full!$A$2:$AI$267,MATCH(polities_cats!W$1,$A$1:$AN$1,0),0)</f>
        <v>South and Central Asia</v>
      </c>
      <c r="X117" t="str">
        <f>VLOOKUP($A117,regions_full!$A$2:$AI$267,MATCH(polities_cats!X$1,$A$1:$AN$1,0),0)</f>
        <v>S&amp;E Asia</v>
      </c>
      <c r="Y117" t="str">
        <f>VLOOKUP($A117,regions_full!$A$2:$AI$267,MATCH(polities_cats!Y$1,$A$1:$AN$1,0),0)</f>
        <v>South-eastern Asia</v>
      </c>
      <c r="Z117" t="str">
        <f>VLOOKUP($A117,regions_full!$A$2:$AI$267,MATCH(polities_cats!Z$1,$A$1:$AN$1,0),0)</f>
        <v>Asia</v>
      </c>
      <c r="AA117" t="str">
        <f>VLOOKUP($A117,regions_full!$A$2:$AI$267,MATCH(polities_cats!AA$1,$A$1:$AN$1,0),0)</f>
        <v>Asia and the Pacific</v>
      </c>
      <c r="AB117" t="str">
        <f>VLOOKUP($A117,regions_full!$A$2:$AI$267,MATCH(polities_cats!AB$1,$A$1:$AN$1,0),0)</f>
        <v>South-Eastern Asia and the Pacific</v>
      </c>
      <c r="AC117" t="str">
        <f>VLOOKUP($A117,regions_full!$A$2:$AI$267,MATCH(polities_cats!AC$1,$A$1:$AN$1,0),0)</f>
        <v>South-Eastern Asia</v>
      </c>
      <c r="AD117" t="str">
        <f>VLOOKUP($A117,regions_full!$A$2:$AI$267,MATCH(polities_cats!AD$1,$A$1:$AN$1,0),0)</f>
        <v>Emerging</v>
      </c>
      <c r="AE117" t="str">
        <f>VLOOKUP($A117,regions_full!$A$2:$AI$267,MATCH(polities_cats!AE$1,$A$1:$AN$1,0),0)</f>
        <v>Annex_II</v>
      </c>
      <c r="AF117" t="str">
        <f>VLOOKUP($A117,regions_full!$A$2:$AI$267,MATCH(polities_cats!AF$1,$A$1:$AN$1,0),0)</f>
        <v>South-eastern Asia</v>
      </c>
      <c r="AG117" t="str">
        <f>VLOOKUP($A117,regions_full!$A$2:$AI$267,MATCH(polities_cats!AG$1,$A$1:$AN$1,0),0)</f>
        <v>SE-Asia</v>
      </c>
      <c r="AH117" t="str">
        <f>VLOOKUP($A117,regions_full!$A$2:$AI$267,MATCH(polities_cats!AH$1,$A$1:$AN$1,0),0)</f>
        <v>no_mech</v>
      </c>
      <c r="AI117" t="str">
        <f>VLOOKUP($A117,regions_full!$A$2:$AI$267,MATCH(polities_cats!AI$1,$A$1:$AN$1,0),0)</f>
        <v>Other</v>
      </c>
      <c r="AJ117" t="e">
        <f>VLOOKUP($A117,regions_full!$A$2:$AI$267,MATCH(polities_cats!AJ$1,$A$1:$AN$1,0),0)</f>
        <v>#REF!</v>
      </c>
      <c r="AK117" t="e">
        <f>VLOOKUP($A117,regions_full!$A$2:$AI$267,MATCH(polities_cats!AK$1,$A$1:$AN$1,0),0)</f>
        <v>#REF!</v>
      </c>
      <c r="AL117" t="e">
        <f>VLOOKUP($A117,regions_full!$A$2:$AI$267,MATCH(polities_cats!AL$1,$A$1:$AN$1,0),0)</f>
        <v>#REF!</v>
      </c>
      <c r="AM117" t="e">
        <f>VLOOKUP($A117,regions_full!$A$2:$AI$267,MATCH(polities_cats!AM$1,$A$1:$AN$1,0),0)</f>
        <v>#REF!</v>
      </c>
      <c r="AN117" t="e">
        <f>VLOOKUP($A117,regions_full!$A$2:$AI$267,MATCH(polities_cats!AN$1,$A$1:$AN$1,0),0)</f>
        <v>#REF!</v>
      </c>
    </row>
    <row r="118" spans="1:40" x14ac:dyDescent="0.3">
      <c r="A118" t="str">
        <f>polities_whep!A118</f>
        <v>NAM</v>
      </c>
      <c r="B118" t="str">
        <f>polities_whep!B118</f>
        <v>Namibia</v>
      </c>
      <c r="C118">
        <f>VLOOKUP($A118,regions_full!$A$2:$AI$267,MATCH(polities_cats!C$1,$A$1:$AN$1,0),0)</f>
        <v>144</v>
      </c>
      <c r="D118">
        <f>VLOOKUP($A118,regions_full!$A$2:$AI$267,MATCH(polities_cats!D$1,$A$1:$AN$1,0),0)</f>
        <v>147</v>
      </c>
      <c r="E118" t="str">
        <f>VLOOKUP($A118,regions_full!$A$2:$AI$267,MATCH(polities_cats!E$1,$A$1:$AN$1,0),0)</f>
        <v>NAM</v>
      </c>
      <c r="F118" t="str">
        <f>VLOOKUP($A118,regions_full!$A$2:$AI$267,MATCH(polities_cats!F$1,$A$1:$AN$1,0),0)</f>
        <v>Namibia</v>
      </c>
      <c r="G118" t="str">
        <f>VLOOKUP($A118,regions_full!$A$2:$AI$267,MATCH(polities_cats!G$1,$A$1:$AN$1,0),0)</f>
        <v>FALSE</v>
      </c>
      <c r="H118" t="str">
        <f>VLOOKUP($A118,regions_full!$A$2:$AI$267,MATCH(polities_cats!H$1,$A$1:$AN$1,0),0)</f>
        <v>Namibia</v>
      </c>
      <c r="I118" t="str">
        <f>VLOOKUP($A118,regions_full!$A$2:$AI$267,MATCH(polities_cats!I$1,$A$1:$AN$1,0),0)</f>
        <v>Namibia</v>
      </c>
      <c r="J118" t="str">
        <f>VLOOKUP($A118,regions_full!$A$2:$AI$267,MATCH(polities_cats!J$1,$A$1:$AN$1,0),0)</f>
        <v>Namibia</v>
      </c>
      <c r="K118">
        <f>VLOOKUP($A118,regions_full!$A$2:$AI$267,MATCH(polities_cats!K$1,$A$1:$AN$1,0),0)</f>
        <v>147</v>
      </c>
      <c r="L118" t="str">
        <f>VLOOKUP($A118,regions_full!$A$2:$AI$267,MATCH(polities_cats!L$1,$A$1:$AN$1,0),0)</f>
        <v>Namibia</v>
      </c>
      <c r="M118">
        <f>VLOOKUP($A118,regions_full!$A$2:$AI$267,MATCH(polities_cats!M$1,$A$1:$AN$1,0),0)</f>
        <v>516</v>
      </c>
      <c r="N118">
        <f>VLOOKUP($A118,regions_full!$A$2:$AI$267,MATCH(polities_cats!N$1,$A$1:$AN$1,0),0)</f>
        <v>516</v>
      </c>
      <c r="O118">
        <f>VLOOKUP($A118,regions_full!$A$2:$AI$267,MATCH(polities_cats!O$1,$A$1:$AN$1,0),0)</f>
        <v>8</v>
      </c>
      <c r="P118" t="str">
        <f>VLOOKUP($A118,regions_full!$A$2:$AI$267,MATCH(polities_cats!P$1,$A$1:$AN$1,0),0)</f>
        <v>TRUE</v>
      </c>
      <c r="Q118">
        <f>VLOOKUP($A118,regions_full!$A$2:$AI$267,MATCH(polities_cats!Q$1,$A$1:$AN$1,0),0)</f>
        <v>147</v>
      </c>
      <c r="R118" t="str">
        <f>VLOOKUP($A118,regions_full!$A$2:$AI$267,MATCH(polities_cats!R$1,$A$1:$AN$1,0),0)</f>
        <v/>
      </c>
      <c r="S118" t="str">
        <f>VLOOKUP($A118,regions_full!$A$2:$AI$267,MATCH(polities_cats!S$1,$A$1:$AN$1,0),0)</f>
        <v>Southern Africa</v>
      </c>
      <c r="T118">
        <f>VLOOKUP($A118,regions_full!$A$2:$AI$267,MATCH(polities_cats!T$1,$A$1:$AN$1,0),0)</f>
        <v>1</v>
      </c>
      <c r="U118" t="str">
        <f>VLOOKUP($A118,regions_full!$A$2:$AI$267,MATCH(polities_cats!U$1,$A$1:$AN$1,0),0)</f>
        <v>Namibia</v>
      </c>
      <c r="V118" t="str">
        <f>VLOOKUP($A118,regions_full!$A$2:$AI$267,MATCH(polities_cats!V$1,$A$1:$AN$1,0),0)</f>
        <v>Subsaharan Africa</v>
      </c>
      <c r="W118" t="str">
        <f>VLOOKUP($A118,regions_full!$A$2:$AI$267,MATCH(polities_cats!W$1,$A$1:$AN$1,0),0)</f>
        <v>Sub-saharan Africa</v>
      </c>
      <c r="X118" t="str">
        <f>VLOOKUP($A118,regions_full!$A$2:$AI$267,MATCH(polities_cats!X$1,$A$1:$AN$1,0),0)</f>
        <v>SSA</v>
      </c>
      <c r="Y118" t="str">
        <f>VLOOKUP($A118,regions_full!$A$2:$AI$267,MATCH(polities_cats!Y$1,$A$1:$AN$1,0),0)</f>
        <v>Sub-Saharan Africa</v>
      </c>
      <c r="Z118" t="str">
        <f>VLOOKUP($A118,regions_full!$A$2:$AI$267,MATCH(polities_cats!Z$1,$A$1:$AN$1,0),0)</f>
        <v>Africa</v>
      </c>
      <c r="AA118" t="str">
        <f>VLOOKUP($A118,regions_full!$A$2:$AI$267,MATCH(polities_cats!AA$1,$A$1:$AN$1,0),0)</f>
        <v>Africa</v>
      </c>
      <c r="AB118" t="str">
        <f>VLOOKUP($A118,regions_full!$A$2:$AI$267,MATCH(polities_cats!AB$1,$A$1:$AN$1,0),0)</f>
        <v>Sub-Saharan Africa</v>
      </c>
      <c r="AC118" t="str">
        <f>VLOOKUP($A118,regions_full!$A$2:$AI$267,MATCH(polities_cats!AC$1,$A$1:$AN$1,0),0)</f>
        <v>Southern Africa</v>
      </c>
      <c r="AD118" t="str">
        <f>VLOOKUP($A118,regions_full!$A$2:$AI$267,MATCH(polities_cats!AD$1,$A$1:$AN$1,0),0)</f>
        <v>Emerging</v>
      </c>
      <c r="AE118" t="str">
        <f>VLOOKUP($A118,regions_full!$A$2:$AI$267,MATCH(polities_cats!AE$1,$A$1:$AN$1,0),0)</f>
        <v>Annex_II</v>
      </c>
      <c r="AF118" t="str">
        <f>VLOOKUP($A118,regions_full!$A$2:$AI$267,MATCH(polities_cats!AF$1,$A$1:$AN$1,0),0)</f>
        <v>Southern Africa</v>
      </c>
      <c r="AG118" t="str">
        <f>VLOOKUP($A118,regions_full!$A$2:$AI$267,MATCH(polities_cats!AG$1,$A$1:$AN$1,0),0)</f>
        <v>SAA</v>
      </c>
      <c r="AH118" t="str">
        <f>VLOOKUP($A118,regions_full!$A$2:$AI$267,MATCH(polities_cats!AH$1,$A$1:$AN$1,0),0)</f>
        <v>mech</v>
      </c>
      <c r="AI118" t="str">
        <f>VLOOKUP($A118,regions_full!$A$2:$AI$267,MATCH(polities_cats!AI$1,$A$1:$AN$1,0),0)</f>
        <v>Other</v>
      </c>
      <c r="AJ118" t="e">
        <f>VLOOKUP($A118,regions_full!$A$2:$AI$267,MATCH(polities_cats!AJ$1,$A$1:$AN$1,0),0)</f>
        <v>#REF!</v>
      </c>
      <c r="AK118" t="e">
        <f>VLOOKUP($A118,regions_full!$A$2:$AI$267,MATCH(polities_cats!AK$1,$A$1:$AN$1,0),0)</f>
        <v>#REF!</v>
      </c>
      <c r="AL118" t="e">
        <f>VLOOKUP($A118,regions_full!$A$2:$AI$267,MATCH(polities_cats!AL$1,$A$1:$AN$1,0),0)</f>
        <v>#REF!</v>
      </c>
      <c r="AM118" t="e">
        <f>VLOOKUP($A118,regions_full!$A$2:$AI$267,MATCH(polities_cats!AM$1,$A$1:$AN$1,0),0)</f>
        <v>#REF!</v>
      </c>
      <c r="AN118" t="e">
        <f>VLOOKUP($A118,regions_full!$A$2:$AI$267,MATCH(polities_cats!AN$1,$A$1:$AN$1,0),0)</f>
        <v>#REF!</v>
      </c>
    </row>
    <row r="119" spans="1:40" x14ac:dyDescent="0.3">
      <c r="A119" t="str">
        <f>polities_whep!A119</f>
        <v>NPL</v>
      </c>
      <c r="B119" t="str">
        <f>polities_whep!B119</f>
        <v>Nepal</v>
      </c>
      <c r="C119">
        <f>VLOOKUP($A119,regions_full!$A$2:$AI$267,MATCH(polities_cats!C$1,$A$1:$AN$1,0),0)</f>
        <v>146</v>
      </c>
      <c r="D119">
        <f>VLOOKUP($A119,regions_full!$A$2:$AI$267,MATCH(polities_cats!D$1,$A$1:$AN$1,0),0)</f>
        <v>149</v>
      </c>
      <c r="E119" t="str">
        <f>VLOOKUP($A119,regions_full!$A$2:$AI$267,MATCH(polities_cats!E$1,$A$1:$AN$1,0),0)</f>
        <v>NPL</v>
      </c>
      <c r="F119" t="str">
        <f>VLOOKUP($A119,regions_full!$A$2:$AI$267,MATCH(polities_cats!F$1,$A$1:$AN$1,0),0)</f>
        <v>Nepal</v>
      </c>
      <c r="G119" t="str">
        <f>VLOOKUP($A119,regions_full!$A$2:$AI$267,MATCH(polities_cats!G$1,$A$1:$AN$1,0),0)</f>
        <v>FALSE</v>
      </c>
      <c r="H119" t="str">
        <f>VLOOKUP($A119,regions_full!$A$2:$AI$267,MATCH(polities_cats!H$1,$A$1:$AN$1,0),0)</f>
        <v>Nepal</v>
      </c>
      <c r="I119" t="str">
        <f>VLOOKUP($A119,regions_full!$A$2:$AI$267,MATCH(polities_cats!I$1,$A$1:$AN$1,0),0)</f>
        <v>Nepal</v>
      </c>
      <c r="J119" t="str">
        <f>VLOOKUP($A119,regions_full!$A$2:$AI$267,MATCH(polities_cats!J$1,$A$1:$AN$1,0),0)</f>
        <v>Nepal</v>
      </c>
      <c r="K119">
        <f>VLOOKUP($A119,regions_full!$A$2:$AI$267,MATCH(polities_cats!K$1,$A$1:$AN$1,0),0)</f>
        <v>149</v>
      </c>
      <c r="L119" t="str">
        <f>VLOOKUP($A119,regions_full!$A$2:$AI$267,MATCH(polities_cats!L$1,$A$1:$AN$1,0),0)</f>
        <v>Nepal</v>
      </c>
      <c r="M119">
        <f>VLOOKUP($A119,regions_full!$A$2:$AI$267,MATCH(polities_cats!M$1,$A$1:$AN$1,0),0)</f>
        <v>524</v>
      </c>
      <c r="N119">
        <f>VLOOKUP($A119,regions_full!$A$2:$AI$267,MATCH(polities_cats!N$1,$A$1:$AN$1,0),0)</f>
        <v>524</v>
      </c>
      <c r="O119">
        <f>VLOOKUP($A119,regions_full!$A$2:$AI$267,MATCH(polities_cats!O$1,$A$1:$AN$1,0),0)</f>
        <v>13</v>
      </c>
      <c r="P119" t="str">
        <f>VLOOKUP($A119,regions_full!$A$2:$AI$267,MATCH(polities_cats!P$1,$A$1:$AN$1,0),0)</f>
        <v>TRUE</v>
      </c>
      <c r="Q119">
        <f>VLOOKUP($A119,regions_full!$A$2:$AI$267,MATCH(polities_cats!Q$1,$A$1:$AN$1,0),0)</f>
        <v>149</v>
      </c>
      <c r="R119" t="str">
        <f>VLOOKUP($A119,regions_full!$A$2:$AI$267,MATCH(polities_cats!R$1,$A$1:$AN$1,0),0)</f>
        <v/>
      </c>
      <c r="S119" t="str">
        <f>VLOOKUP($A119,regions_full!$A$2:$AI$267,MATCH(polities_cats!S$1,$A$1:$AN$1,0),0)</f>
        <v>South Asia</v>
      </c>
      <c r="T119">
        <f>VLOOKUP($A119,regions_full!$A$2:$AI$267,MATCH(polities_cats!T$1,$A$1:$AN$1,0),0)</f>
        <v>1</v>
      </c>
      <c r="U119" t="str">
        <f>VLOOKUP($A119,regions_full!$A$2:$AI$267,MATCH(polities_cats!U$1,$A$1:$AN$1,0),0)</f>
        <v>Nepal</v>
      </c>
      <c r="V119" t="str">
        <f>VLOOKUP($A119,regions_full!$A$2:$AI$267,MATCH(polities_cats!V$1,$A$1:$AN$1,0),0)</f>
        <v>Southern Asia</v>
      </c>
      <c r="W119" t="str">
        <f>VLOOKUP($A119,regions_full!$A$2:$AI$267,MATCH(polities_cats!W$1,$A$1:$AN$1,0),0)</f>
        <v>South and Central Asia</v>
      </c>
      <c r="X119" t="str">
        <f>VLOOKUP($A119,regions_full!$A$2:$AI$267,MATCH(polities_cats!X$1,$A$1:$AN$1,0),0)</f>
        <v>Southern Asia</v>
      </c>
      <c r="Y119" t="str">
        <f>VLOOKUP($A119,regions_full!$A$2:$AI$267,MATCH(polities_cats!Y$1,$A$1:$AN$1,0),0)</f>
        <v>Southern Asia</v>
      </c>
      <c r="Z119" t="str">
        <f>VLOOKUP($A119,regions_full!$A$2:$AI$267,MATCH(polities_cats!Z$1,$A$1:$AN$1,0),0)</f>
        <v>Asia</v>
      </c>
      <c r="AA119" t="str">
        <f>VLOOKUP($A119,regions_full!$A$2:$AI$267,MATCH(polities_cats!AA$1,$A$1:$AN$1,0),0)</f>
        <v>Asia and the Pacific</v>
      </c>
      <c r="AB119" t="str">
        <f>VLOOKUP($A119,regions_full!$A$2:$AI$267,MATCH(polities_cats!AB$1,$A$1:$AN$1,0),0)</f>
        <v>Southern Asia</v>
      </c>
      <c r="AC119" t="str">
        <f>VLOOKUP($A119,regions_full!$A$2:$AI$267,MATCH(polities_cats!AC$1,$A$1:$AN$1,0),0)</f>
        <v>Southern Asia</v>
      </c>
      <c r="AD119" t="str">
        <f>VLOOKUP($A119,regions_full!$A$2:$AI$267,MATCH(polities_cats!AD$1,$A$1:$AN$1,0),0)</f>
        <v>Emerging</v>
      </c>
      <c r="AE119" t="str">
        <f>VLOOKUP($A119,regions_full!$A$2:$AI$267,MATCH(polities_cats!AE$1,$A$1:$AN$1,0),0)</f>
        <v>Annex_II</v>
      </c>
      <c r="AF119" t="str">
        <f>VLOOKUP($A119,regions_full!$A$2:$AI$267,MATCH(polities_cats!AF$1,$A$1:$AN$1,0),0)</f>
        <v>Southern Asia</v>
      </c>
      <c r="AG119" t="str">
        <f>VLOOKUP($A119,regions_full!$A$2:$AI$267,MATCH(polities_cats!AG$1,$A$1:$AN$1,0),0)</f>
        <v>SE-Asia</v>
      </c>
      <c r="AH119" t="str">
        <f>VLOOKUP($A119,regions_full!$A$2:$AI$267,MATCH(polities_cats!AH$1,$A$1:$AN$1,0),0)</f>
        <v>no_mech</v>
      </c>
      <c r="AI119" t="str">
        <f>VLOOKUP($A119,regions_full!$A$2:$AI$267,MATCH(polities_cats!AI$1,$A$1:$AN$1,0),0)</f>
        <v>Other</v>
      </c>
      <c r="AJ119" t="e">
        <f>VLOOKUP($A119,regions_full!$A$2:$AI$267,MATCH(polities_cats!AJ$1,$A$1:$AN$1,0),0)</f>
        <v>#REF!</v>
      </c>
      <c r="AK119" t="e">
        <f>VLOOKUP($A119,regions_full!$A$2:$AI$267,MATCH(polities_cats!AK$1,$A$1:$AN$1,0),0)</f>
        <v>#REF!</v>
      </c>
      <c r="AL119" t="e">
        <f>VLOOKUP($A119,regions_full!$A$2:$AI$267,MATCH(polities_cats!AL$1,$A$1:$AN$1,0),0)</f>
        <v>#REF!</v>
      </c>
      <c r="AM119" t="e">
        <f>VLOOKUP($A119,regions_full!$A$2:$AI$267,MATCH(polities_cats!AM$1,$A$1:$AN$1,0),0)</f>
        <v>#REF!</v>
      </c>
      <c r="AN119" t="e">
        <f>VLOOKUP($A119,regions_full!$A$2:$AI$267,MATCH(polities_cats!AN$1,$A$1:$AN$1,0),0)</f>
        <v>#REF!</v>
      </c>
    </row>
    <row r="120" spans="1:40" x14ac:dyDescent="0.3">
      <c r="A120" t="str">
        <f>polities_whep!A120</f>
        <v>NLD</v>
      </c>
      <c r="B120" t="str">
        <f>polities_whep!B120</f>
        <v>Netherlands</v>
      </c>
      <c r="C120">
        <f>VLOOKUP($A120,regions_full!$A$2:$AI$267,MATCH(polities_cats!C$1,$A$1:$AN$1,0),0)</f>
        <v>147</v>
      </c>
      <c r="D120">
        <f>VLOOKUP($A120,regions_full!$A$2:$AI$267,MATCH(polities_cats!D$1,$A$1:$AN$1,0),0)</f>
        <v>150</v>
      </c>
      <c r="E120" t="str">
        <f>VLOOKUP($A120,regions_full!$A$2:$AI$267,MATCH(polities_cats!E$1,$A$1:$AN$1,0),0)</f>
        <v>NLD</v>
      </c>
      <c r="F120" t="str">
        <f>VLOOKUP($A120,regions_full!$A$2:$AI$267,MATCH(polities_cats!F$1,$A$1:$AN$1,0),0)</f>
        <v>Netherlands (Kingdom of the)</v>
      </c>
      <c r="G120" t="str">
        <f>VLOOKUP($A120,regions_full!$A$2:$AI$267,MATCH(polities_cats!G$1,$A$1:$AN$1,0),0)</f>
        <v>TRUE</v>
      </c>
      <c r="H120" t="str">
        <f>VLOOKUP($A120,regions_full!$A$2:$AI$267,MATCH(polities_cats!H$1,$A$1:$AN$1,0),0)</f>
        <v>Netherlands</v>
      </c>
      <c r="I120" t="str">
        <f>VLOOKUP($A120,regions_full!$A$2:$AI$267,MATCH(polities_cats!I$1,$A$1:$AN$1,0),0)</f>
        <v>Netherlands</v>
      </c>
      <c r="J120" t="str">
        <f>VLOOKUP($A120,regions_full!$A$2:$AI$267,MATCH(polities_cats!J$1,$A$1:$AN$1,0),0)</f>
        <v>Netherlands</v>
      </c>
      <c r="K120">
        <f>VLOOKUP($A120,regions_full!$A$2:$AI$267,MATCH(polities_cats!K$1,$A$1:$AN$1,0),0)</f>
        <v>150</v>
      </c>
      <c r="L120" t="str">
        <f>VLOOKUP($A120,regions_full!$A$2:$AI$267,MATCH(polities_cats!L$1,$A$1:$AN$1,0),0)</f>
        <v>Netherlands</v>
      </c>
      <c r="M120">
        <f>VLOOKUP($A120,regions_full!$A$2:$AI$267,MATCH(polities_cats!M$1,$A$1:$AN$1,0),0)</f>
        <v>528</v>
      </c>
      <c r="N120">
        <f>VLOOKUP($A120,regions_full!$A$2:$AI$267,MATCH(polities_cats!N$1,$A$1:$AN$1,0),0)</f>
        <v>528</v>
      </c>
      <c r="O120">
        <f>VLOOKUP($A120,regions_full!$A$2:$AI$267,MATCH(polities_cats!O$1,$A$1:$AN$1,0),0)</f>
        <v>9</v>
      </c>
      <c r="P120" t="str">
        <f>VLOOKUP($A120,regions_full!$A$2:$AI$267,MATCH(polities_cats!P$1,$A$1:$AN$1,0),0)</f>
        <v>TRUE</v>
      </c>
      <c r="Q120">
        <f>VLOOKUP($A120,regions_full!$A$2:$AI$267,MATCH(polities_cats!Q$1,$A$1:$AN$1,0),0)</f>
        <v>150</v>
      </c>
      <c r="R120" t="str">
        <f>VLOOKUP($A120,regions_full!$A$2:$AI$267,MATCH(polities_cats!R$1,$A$1:$AN$1,0),0)</f>
        <v>NL</v>
      </c>
      <c r="S120" t="str">
        <f>VLOOKUP($A120,regions_full!$A$2:$AI$267,MATCH(polities_cats!S$1,$A$1:$AN$1,0),0)</f>
        <v>OECD Europe</v>
      </c>
      <c r="T120">
        <f>VLOOKUP($A120,regions_full!$A$2:$AI$267,MATCH(polities_cats!T$1,$A$1:$AN$1,0),0)</f>
        <v>1</v>
      </c>
      <c r="U120" t="str">
        <f>VLOOKUP($A120,regions_full!$A$2:$AI$267,MATCH(polities_cats!U$1,$A$1:$AN$1,0),0)</f>
        <v>Netherlands</v>
      </c>
      <c r="V120" t="str">
        <f>VLOOKUP($A120,regions_full!$A$2:$AI$267,MATCH(polities_cats!V$1,$A$1:$AN$1,0),0)</f>
        <v>Western Europe</v>
      </c>
      <c r="W120" t="str">
        <f>VLOOKUP($A120,regions_full!$A$2:$AI$267,MATCH(polities_cats!W$1,$A$1:$AN$1,0),0)</f>
        <v>West Europe</v>
      </c>
      <c r="X120" t="str">
        <f>VLOOKUP($A120,regions_full!$A$2:$AI$267,MATCH(polities_cats!X$1,$A$1:$AN$1,0),0)</f>
        <v>Europe</v>
      </c>
      <c r="Y120" t="str">
        <f>VLOOKUP($A120,regions_full!$A$2:$AI$267,MATCH(polities_cats!Y$1,$A$1:$AN$1,0),0)</f>
        <v>Western Europe</v>
      </c>
      <c r="Z120" t="str">
        <f>VLOOKUP($A120,regions_full!$A$2:$AI$267,MATCH(polities_cats!Z$1,$A$1:$AN$1,0),0)</f>
        <v>Europe</v>
      </c>
      <c r="AA120" t="str">
        <f>VLOOKUP($A120,regions_full!$A$2:$AI$267,MATCH(polities_cats!AA$1,$A$1:$AN$1,0),0)</f>
        <v>Europe and Central Asia</v>
      </c>
      <c r="AB120" t="str">
        <f>VLOOKUP($A120,regions_full!$A$2:$AI$267,MATCH(polities_cats!AB$1,$A$1:$AN$1,0),0)</f>
        <v>Northern, Southern and Western Europe</v>
      </c>
      <c r="AC120" t="str">
        <f>VLOOKUP($A120,regions_full!$A$2:$AI$267,MATCH(polities_cats!AC$1,$A$1:$AN$1,0),0)</f>
        <v>Western Europe</v>
      </c>
      <c r="AD120" t="str">
        <f>VLOOKUP($A120,regions_full!$A$2:$AI$267,MATCH(polities_cats!AD$1,$A$1:$AN$1,0),0)</f>
        <v>Advanced</v>
      </c>
      <c r="AE120" t="str">
        <f>VLOOKUP($A120,regions_full!$A$2:$AI$267,MATCH(polities_cats!AE$1,$A$1:$AN$1,0),0)</f>
        <v>Annex_I</v>
      </c>
      <c r="AF120" t="str">
        <f>VLOOKUP($A120,regions_full!$A$2:$AI$267,MATCH(polities_cats!AF$1,$A$1:$AN$1,0),0)</f>
        <v>Western Europe</v>
      </c>
      <c r="AG120" t="str">
        <f>VLOOKUP($A120,regions_full!$A$2:$AI$267,MATCH(polities_cats!AG$1,$A$1:$AN$1,0),0)</f>
        <v>Europe</v>
      </c>
      <c r="AH120" t="str">
        <f>VLOOKUP($A120,regions_full!$A$2:$AI$267,MATCH(polities_cats!AH$1,$A$1:$AN$1,0),0)</f>
        <v>mech</v>
      </c>
      <c r="AI120" t="str">
        <f>VLOOKUP($A120,regions_full!$A$2:$AI$267,MATCH(polities_cats!AI$1,$A$1:$AN$1,0),0)</f>
        <v>Europe</v>
      </c>
      <c r="AJ120" t="e">
        <f>VLOOKUP($A120,regions_full!$A$2:$AI$267,MATCH(polities_cats!AJ$1,$A$1:$AN$1,0),0)</f>
        <v>#REF!</v>
      </c>
      <c r="AK120" t="e">
        <f>VLOOKUP($A120,regions_full!$A$2:$AI$267,MATCH(polities_cats!AK$1,$A$1:$AN$1,0),0)</f>
        <v>#REF!</v>
      </c>
      <c r="AL120" t="e">
        <f>VLOOKUP($A120,regions_full!$A$2:$AI$267,MATCH(polities_cats!AL$1,$A$1:$AN$1,0),0)</f>
        <v>#REF!</v>
      </c>
      <c r="AM120" t="e">
        <f>VLOOKUP($A120,regions_full!$A$2:$AI$267,MATCH(polities_cats!AM$1,$A$1:$AN$1,0),0)</f>
        <v>#REF!</v>
      </c>
      <c r="AN120" t="e">
        <f>VLOOKUP($A120,regions_full!$A$2:$AI$267,MATCH(polities_cats!AN$1,$A$1:$AN$1,0),0)</f>
        <v>#REF!</v>
      </c>
    </row>
    <row r="121" spans="1:40" x14ac:dyDescent="0.3">
      <c r="A121" t="str">
        <f>polities_whep!A121</f>
        <v>NZL</v>
      </c>
      <c r="B121" t="str">
        <f>polities_whep!B121</f>
        <v>New Zealand</v>
      </c>
      <c r="C121">
        <f>VLOOKUP($A121,regions_full!$A$2:$AI$267,MATCH(polities_cats!C$1,$A$1:$AN$1,0),0)</f>
        <v>153</v>
      </c>
      <c r="D121">
        <f>VLOOKUP($A121,regions_full!$A$2:$AI$267,MATCH(polities_cats!D$1,$A$1:$AN$1,0),0)</f>
        <v>156</v>
      </c>
      <c r="E121" t="str">
        <f>VLOOKUP($A121,regions_full!$A$2:$AI$267,MATCH(polities_cats!E$1,$A$1:$AN$1,0),0)</f>
        <v>NZL</v>
      </c>
      <c r="F121" t="str">
        <f>VLOOKUP($A121,regions_full!$A$2:$AI$267,MATCH(polities_cats!F$1,$A$1:$AN$1,0),0)</f>
        <v>New Zealand</v>
      </c>
      <c r="G121" t="str">
        <f>VLOOKUP($A121,regions_full!$A$2:$AI$267,MATCH(polities_cats!G$1,$A$1:$AN$1,0),0)</f>
        <v>FALSE</v>
      </c>
      <c r="H121" t="str">
        <f>VLOOKUP($A121,regions_full!$A$2:$AI$267,MATCH(polities_cats!H$1,$A$1:$AN$1,0),0)</f>
        <v>New Zealand</v>
      </c>
      <c r="I121" t="str">
        <f>VLOOKUP($A121,regions_full!$A$2:$AI$267,MATCH(polities_cats!I$1,$A$1:$AN$1,0),0)</f>
        <v>New Zealand</v>
      </c>
      <c r="J121" t="str">
        <f>VLOOKUP($A121,regions_full!$A$2:$AI$267,MATCH(polities_cats!J$1,$A$1:$AN$1,0),0)</f>
        <v>New Zealand</v>
      </c>
      <c r="K121">
        <f>VLOOKUP($A121,regions_full!$A$2:$AI$267,MATCH(polities_cats!K$1,$A$1:$AN$1,0),0)</f>
        <v>156</v>
      </c>
      <c r="L121" t="str">
        <f>VLOOKUP($A121,regions_full!$A$2:$AI$267,MATCH(polities_cats!L$1,$A$1:$AN$1,0),0)</f>
        <v>New Zealand</v>
      </c>
      <c r="M121">
        <f>VLOOKUP($A121,regions_full!$A$2:$AI$267,MATCH(polities_cats!M$1,$A$1:$AN$1,0),0)</f>
        <v>554</v>
      </c>
      <c r="N121">
        <f>VLOOKUP($A121,regions_full!$A$2:$AI$267,MATCH(polities_cats!N$1,$A$1:$AN$1,0),0)</f>
        <v>554</v>
      </c>
      <c r="O121">
        <f>VLOOKUP($A121,regions_full!$A$2:$AI$267,MATCH(polities_cats!O$1,$A$1:$AN$1,0),0)</f>
        <v>16</v>
      </c>
      <c r="P121" t="str">
        <f>VLOOKUP($A121,regions_full!$A$2:$AI$267,MATCH(polities_cats!P$1,$A$1:$AN$1,0),0)</f>
        <v>TRUE</v>
      </c>
      <c r="Q121">
        <f>VLOOKUP($A121,regions_full!$A$2:$AI$267,MATCH(polities_cats!Q$1,$A$1:$AN$1,0),0)</f>
        <v>156</v>
      </c>
      <c r="R121" t="str">
        <f>VLOOKUP($A121,regions_full!$A$2:$AI$267,MATCH(polities_cats!R$1,$A$1:$AN$1,0),0)</f>
        <v/>
      </c>
      <c r="S121" t="str">
        <f>VLOOKUP($A121,regions_full!$A$2:$AI$267,MATCH(polities_cats!S$1,$A$1:$AN$1,0),0)</f>
        <v>Oceania</v>
      </c>
      <c r="T121">
        <f>VLOOKUP($A121,regions_full!$A$2:$AI$267,MATCH(polities_cats!T$1,$A$1:$AN$1,0),0)</f>
        <v>1</v>
      </c>
      <c r="U121" t="str">
        <f>VLOOKUP($A121,regions_full!$A$2:$AI$267,MATCH(polities_cats!U$1,$A$1:$AN$1,0),0)</f>
        <v>New Zealand</v>
      </c>
      <c r="V121" t="str">
        <f>VLOOKUP($A121,regions_full!$A$2:$AI$267,MATCH(polities_cats!V$1,$A$1:$AN$1,0),0)</f>
        <v>Australia and Oceania</v>
      </c>
      <c r="W121" t="str">
        <f>VLOOKUP($A121,regions_full!$A$2:$AI$267,MATCH(polities_cats!W$1,$A$1:$AN$1,0),0)</f>
        <v>North America and Oceania</v>
      </c>
      <c r="X121" t="str">
        <f>VLOOKUP($A121,regions_full!$A$2:$AI$267,MATCH(polities_cats!X$1,$A$1:$AN$1,0),0)</f>
        <v>Oceania</v>
      </c>
      <c r="Y121" t="str">
        <f>VLOOKUP($A121,regions_full!$A$2:$AI$267,MATCH(polities_cats!Y$1,$A$1:$AN$1,0),0)</f>
        <v>Australia and New Zealand</v>
      </c>
      <c r="Z121" t="str">
        <f>VLOOKUP($A121,regions_full!$A$2:$AI$267,MATCH(polities_cats!Z$1,$A$1:$AN$1,0),0)</f>
        <v>Oceania</v>
      </c>
      <c r="AA121" t="str">
        <f>VLOOKUP($A121,regions_full!$A$2:$AI$267,MATCH(polities_cats!AA$1,$A$1:$AN$1,0),0)</f>
        <v>Asia and the Pacific</v>
      </c>
      <c r="AB121" t="str">
        <f>VLOOKUP($A121,regions_full!$A$2:$AI$267,MATCH(polities_cats!AB$1,$A$1:$AN$1,0),0)</f>
        <v>South-Eastern Asia and the Pacific</v>
      </c>
      <c r="AC121" t="str">
        <f>VLOOKUP($A121,regions_full!$A$2:$AI$267,MATCH(polities_cats!AC$1,$A$1:$AN$1,0),0)</f>
        <v>Pacific Islands</v>
      </c>
      <c r="AD121" t="str">
        <f>VLOOKUP($A121,regions_full!$A$2:$AI$267,MATCH(polities_cats!AD$1,$A$1:$AN$1,0),0)</f>
        <v>Advanced</v>
      </c>
      <c r="AE121" t="str">
        <f>VLOOKUP($A121,regions_full!$A$2:$AI$267,MATCH(polities_cats!AE$1,$A$1:$AN$1,0),0)</f>
        <v>Annex_I</v>
      </c>
      <c r="AF121" t="str">
        <f>VLOOKUP($A121,regions_full!$A$2:$AI$267,MATCH(polities_cats!AF$1,$A$1:$AN$1,0),0)</f>
        <v>Pacific</v>
      </c>
      <c r="AG121" t="str">
        <f>VLOOKUP($A121,regions_full!$A$2:$AI$267,MATCH(polities_cats!AG$1,$A$1:$AN$1,0),0)</f>
        <v>AUS</v>
      </c>
      <c r="AH121" t="str">
        <f>VLOOKUP($A121,regions_full!$A$2:$AI$267,MATCH(polities_cats!AH$1,$A$1:$AN$1,0),0)</f>
        <v>mech</v>
      </c>
      <c r="AI121" t="str">
        <f>VLOOKUP($A121,regions_full!$A$2:$AI$267,MATCH(polities_cats!AI$1,$A$1:$AN$1,0),0)</f>
        <v>Other</v>
      </c>
      <c r="AJ121" t="e">
        <f>VLOOKUP($A121,regions_full!$A$2:$AI$267,MATCH(polities_cats!AJ$1,$A$1:$AN$1,0),0)</f>
        <v>#REF!</v>
      </c>
      <c r="AK121" t="e">
        <f>VLOOKUP($A121,regions_full!$A$2:$AI$267,MATCH(polities_cats!AK$1,$A$1:$AN$1,0),0)</f>
        <v>#REF!</v>
      </c>
      <c r="AL121" t="e">
        <f>VLOOKUP($A121,regions_full!$A$2:$AI$267,MATCH(polities_cats!AL$1,$A$1:$AN$1,0),0)</f>
        <v>#REF!</v>
      </c>
      <c r="AM121" t="e">
        <f>VLOOKUP($A121,regions_full!$A$2:$AI$267,MATCH(polities_cats!AM$1,$A$1:$AN$1,0),0)</f>
        <v>#REF!</v>
      </c>
      <c r="AN121" t="e">
        <f>VLOOKUP($A121,regions_full!$A$2:$AI$267,MATCH(polities_cats!AN$1,$A$1:$AN$1,0),0)</f>
        <v>#REF!</v>
      </c>
    </row>
    <row r="122" spans="1:40" x14ac:dyDescent="0.3">
      <c r="A122" t="str">
        <f>polities_whep!A122</f>
        <v>NIC</v>
      </c>
      <c r="B122" t="str">
        <f>polities_whep!B122</f>
        <v>Nicaragua</v>
      </c>
      <c r="C122">
        <f>VLOOKUP($A122,regions_full!$A$2:$AI$267,MATCH(polities_cats!C$1,$A$1:$AN$1,0),0)</f>
        <v>154</v>
      </c>
      <c r="D122">
        <f>VLOOKUP($A122,regions_full!$A$2:$AI$267,MATCH(polities_cats!D$1,$A$1:$AN$1,0),0)</f>
        <v>157</v>
      </c>
      <c r="E122" t="str">
        <f>VLOOKUP($A122,regions_full!$A$2:$AI$267,MATCH(polities_cats!E$1,$A$1:$AN$1,0),0)</f>
        <v>NIC</v>
      </c>
      <c r="F122" t="str">
        <f>VLOOKUP($A122,regions_full!$A$2:$AI$267,MATCH(polities_cats!F$1,$A$1:$AN$1,0),0)</f>
        <v>Nicaragua</v>
      </c>
      <c r="G122" t="str">
        <f>VLOOKUP($A122,regions_full!$A$2:$AI$267,MATCH(polities_cats!G$1,$A$1:$AN$1,0),0)</f>
        <v>FALSE</v>
      </c>
      <c r="H122" t="str">
        <f>VLOOKUP($A122,regions_full!$A$2:$AI$267,MATCH(polities_cats!H$1,$A$1:$AN$1,0),0)</f>
        <v>Nicaragua</v>
      </c>
      <c r="I122" t="str">
        <f>VLOOKUP($A122,regions_full!$A$2:$AI$267,MATCH(polities_cats!I$1,$A$1:$AN$1,0),0)</f>
        <v>Nicaragua</v>
      </c>
      <c r="J122" t="str">
        <f>VLOOKUP($A122,regions_full!$A$2:$AI$267,MATCH(polities_cats!J$1,$A$1:$AN$1,0),0)</f>
        <v>Nicaragua</v>
      </c>
      <c r="K122">
        <f>VLOOKUP($A122,regions_full!$A$2:$AI$267,MATCH(polities_cats!K$1,$A$1:$AN$1,0),0)</f>
        <v>157</v>
      </c>
      <c r="L122" t="str">
        <f>VLOOKUP($A122,regions_full!$A$2:$AI$267,MATCH(polities_cats!L$1,$A$1:$AN$1,0),0)</f>
        <v>Nicaragua</v>
      </c>
      <c r="M122">
        <f>VLOOKUP($A122,regions_full!$A$2:$AI$267,MATCH(polities_cats!M$1,$A$1:$AN$1,0),0)</f>
        <v>558</v>
      </c>
      <c r="N122">
        <f>VLOOKUP($A122,regions_full!$A$2:$AI$267,MATCH(polities_cats!N$1,$A$1:$AN$1,0),0)</f>
        <v>558</v>
      </c>
      <c r="O122">
        <f>VLOOKUP($A122,regions_full!$A$2:$AI$267,MATCH(polities_cats!O$1,$A$1:$AN$1,0),0)</f>
        <v>3</v>
      </c>
      <c r="P122" t="str">
        <f>VLOOKUP($A122,regions_full!$A$2:$AI$267,MATCH(polities_cats!P$1,$A$1:$AN$1,0),0)</f>
        <v>TRUE</v>
      </c>
      <c r="Q122">
        <f>VLOOKUP($A122,regions_full!$A$2:$AI$267,MATCH(polities_cats!Q$1,$A$1:$AN$1,0),0)</f>
        <v>157</v>
      </c>
      <c r="R122" t="str">
        <f>VLOOKUP($A122,regions_full!$A$2:$AI$267,MATCH(polities_cats!R$1,$A$1:$AN$1,0),0)</f>
        <v/>
      </c>
      <c r="S122" t="str">
        <f>VLOOKUP($A122,regions_full!$A$2:$AI$267,MATCH(polities_cats!S$1,$A$1:$AN$1,0),0)</f>
        <v>Central America</v>
      </c>
      <c r="T122">
        <f>VLOOKUP($A122,regions_full!$A$2:$AI$267,MATCH(polities_cats!T$1,$A$1:$AN$1,0),0)</f>
        <v>1</v>
      </c>
      <c r="U122" t="str">
        <f>VLOOKUP($A122,regions_full!$A$2:$AI$267,MATCH(polities_cats!U$1,$A$1:$AN$1,0),0)</f>
        <v>Nicaragua</v>
      </c>
      <c r="V122" t="str">
        <f>VLOOKUP($A122,regions_full!$A$2:$AI$267,MATCH(polities_cats!V$1,$A$1:$AN$1,0),0)</f>
        <v>Latin America and the Caribbean</v>
      </c>
      <c r="W122" t="str">
        <f>VLOOKUP($A122,regions_full!$A$2:$AI$267,MATCH(polities_cats!W$1,$A$1:$AN$1,0),0)</f>
        <v>Latin America and Caribbean</v>
      </c>
      <c r="X122" t="str">
        <f>VLOOKUP($A122,regions_full!$A$2:$AI$267,MATCH(polities_cats!X$1,$A$1:$AN$1,0),0)</f>
        <v>LACA</v>
      </c>
      <c r="Y122" t="str">
        <f>VLOOKUP($A122,regions_full!$A$2:$AI$267,MATCH(polities_cats!Y$1,$A$1:$AN$1,0),0)</f>
        <v>Latin America and the Caribbean</v>
      </c>
      <c r="Z122" t="str">
        <f>VLOOKUP($A122,regions_full!$A$2:$AI$267,MATCH(polities_cats!Z$1,$A$1:$AN$1,0),0)</f>
        <v>Americas</v>
      </c>
      <c r="AA122" t="str">
        <f>VLOOKUP($A122,regions_full!$A$2:$AI$267,MATCH(polities_cats!AA$1,$A$1:$AN$1,0),0)</f>
        <v>Americas</v>
      </c>
      <c r="AB122" t="str">
        <f>VLOOKUP($A122,regions_full!$A$2:$AI$267,MATCH(polities_cats!AB$1,$A$1:$AN$1,0),0)</f>
        <v>Latin America and the Caribbean</v>
      </c>
      <c r="AC122" t="str">
        <f>VLOOKUP($A122,regions_full!$A$2:$AI$267,MATCH(polities_cats!AC$1,$A$1:$AN$1,0),0)</f>
        <v>Central America</v>
      </c>
      <c r="AD122" t="str">
        <f>VLOOKUP($A122,regions_full!$A$2:$AI$267,MATCH(polities_cats!AD$1,$A$1:$AN$1,0),0)</f>
        <v>Emerging</v>
      </c>
      <c r="AE122" t="str">
        <f>VLOOKUP($A122,regions_full!$A$2:$AI$267,MATCH(polities_cats!AE$1,$A$1:$AN$1,0),0)</f>
        <v>Annex_II</v>
      </c>
      <c r="AF122" t="str">
        <f>VLOOKUP($A122,regions_full!$A$2:$AI$267,MATCH(polities_cats!AF$1,$A$1:$AN$1,0),0)</f>
        <v>Caribbean &amp; Centra Am.</v>
      </c>
      <c r="AG122" t="str">
        <f>VLOOKUP($A122,regions_full!$A$2:$AI$267,MATCH(polities_cats!AG$1,$A$1:$AN$1,0),0)</f>
        <v>LACA</v>
      </c>
      <c r="AH122" t="str">
        <f>VLOOKUP($A122,regions_full!$A$2:$AI$267,MATCH(polities_cats!AH$1,$A$1:$AN$1,0),0)</f>
        <v>no_mech</v>
      </c>
      <c r="AI122" t="str">
        <f>VLOOKUP($A122,regions_full!$A$2:$AI$267,MATCH(polities_cats!AI$1,$A$1:$AN$1,0),0)</f>
        <v>Other</v>
      </c>
      <c r="AJ122" t="e">
        <f>VLOOKUP($A122,regions_full!$A$2:$AI$267,MATCH(polities_cats!AJ$1,$A$1:$AN$1,0),0)</f>
        <v>#REF!</v>
      </c>
      <c r="AK122" t="e">
        <f>VLOOKUP($A122,regions_full!$A$2:$AI$267,MATCH(polities_cats!AK$1,$A$1:$AN$1,0),0)</f>
        <v>#REF!</v>
      </c>
      <c r="AL122" t="e">
        <f>VLOOKUP($A122,regions_full!$A$2:$AI$267,MATCH(polities_cats!AL$1,$A$1:$AN$1,0),0)</f>
        <v>#REF!</v>
      </c>
      <c r="AM122" t="e">
        <f>VLOOKUP($A122,regions_full!$A$2:$AI$267,MATCH(polities_cats!AM$1,$A$1:$AN$1,0),0)</f>
        <v>#REF!</v>
      </c>
      <c r="AN122" t="e">
        <f>VLOOKUP($A122,regions_full!$A$2:$AI$267,MATCH(polities_cats!AN$1,$A$1:$AN$1,0),0)</f>
        <v>#REF!</v>
      </c>
    </row>
    <row r="123" spans="1:40" x14ac:dyDescent="0.3">
      <c r="A123" t="str">
        <f>polities_whep!A123</f>
        <v>NER</v>
      </c>
      <c r="B123" t="str">
        <f>polities_whep!B123</f>
        <v>Niger</v>
      </c>
      <c r="C123">
        <f>VLOOKUP($A123,regions_full!$A$2:$AI$267,MATCH(polities_cats!C$1,$A$1:$AN$1,0),0)</f>
        <v>155</v>
      </c>
      <c r="D123">
        <f>VLOOKUP($A123,regions_full!$A$2:$AI$267,MATCH(polities_cats!D$1,$A$1:$AN$1,0),0)</f>
        <v>158</v>
      </c>
      <c r="E123" t="str">
        <f>VLOOKUP($A123,regions_full!$A$2:$AI$267,MATCH(polities_cats!E$1,$A$1:$AN$1,0),0)</f>
        <v>NER</v>
      </c>
      <c r="F123" t="str">
        <f>VLOOKUP($A123,regions_full!$A$2:$AI$267,MATCH(polities_cats!F$1,$A$1:$AN$1,0),0)</f>
        <v>Niger</v>
      </c>
      <c r="G123" t="str">
        <f>VLOOKUP($A123,regions_full!$A$2:$AI$267,MATCH(polities_cats!G$1,$A$1:$AN$1,0),0)</f>
        <v>FALSE</v>
      </c>
      <c r="H123" t="str">
        <f>VLOOKUP($A123,regions_full!$A$2:$AI$267,MATCH(polities_cats!H$1,$A$1:$AN$1,0),0)</f>
        <v>Niger</v>
      </c>
      <c r="I123" t="str">
        <f>VLOOKUP($A123,regions_full!$A$2:$AI$267,MATCH(polities_cats!I$1,$A$1:$AN$1,0),0)</f>
        <v>Niger</v>
      </c>
      <c r="J123" t="str">
        <f>VLOOKUP($A123,regions_full!$A$2:$AI$267,MATCH(polities_cats!J$1,$A$1:$AN$1,0),0)</f>
        <v>Niger</v>
      </c>
      <c r="K123">
        <f>VLOOKUP($A123,regions_full!$A$2:$AI$267,MATCH(polities_cats!K$1,$A$1:$AN$1,0),0)</f>
        <v>158</v>
      </c>
      <c r="L123" t="str">
        <f>VLOOKUP($A123,regions_full!$A$2:$AI$267,MATCH(polities_cats!L$1,$A$1:$AN$1,0),0)</f>
        <v>Niger</v>
      </c>
      <c r="M123">
        <f>VLOOKUP($A123,regions_full!$A$2:$AI$267,MATCH(polities_cats!M$1,$A$1:$AN$1,0),0)</f>
        <v>562</v>
      </c>
      <c r="N123">
        <f>VLOOKUP($A123,regions_full!$A$2:$AI$267,MATCH(polities_cats!N$1,$A$1:$AN$1,0),0)</f>
        <v>562</v>
      </c>
      <c r="O123">
        <f>VLOOKUP($A123,regions_full!$A$2:$AI$267,MATCH(polities_cats!O$1,$A$1:$AN$1,0),0)</f>
        <v>6</v>
      </c>
      <c r="P123" t="str">
        <f>VLOOKUP($A123,regions_full!$A$2:$AI$267,MATCH(polities_cats!P$1,$A$1:$AN$1,0),0)</f>
        <v>TRUE</v>
      </c>
      <c r="Q123">
        <f>VLOOKUP($A123,regions_full!$A$2:$AI$267,MATCH(polities_cats!Q$1,$A$1:$AN$1,0),0)</f>
        <v>158</v>
      </c>
      <c r="R123" t="str">
        <f>VLOOKUP($A123,regions_full!$A$2:$AI$267,MATCH(polities_cats!R$1,$A$1:$AN$1,0),0)</f>
        <v/>
      </c>
      <c r="S123" t="str">
        <f>VLOOKUP($A123,regions_full!$A$2:$AI$267,MATCH(polities_cats!S$1,$A$1:$AN$1,0),0)</f>
        <v>Western Africa</v>
      </c>
      <c r="T123">
        <f>VLOOKUP($A123,regions_full!$A$2:$AI$267,MATCH(polities_cats!T$1,$A$1:$AN$1,0),0)</f>
        <v>1</v>
      </c>
      <c r="U123" t="str">
        <f>VLOOKUP($A123,regions_full!$A$2:$AI$267,MATCH(polities_cats!U$1,$A$1:$AN$1,0),0)</f>
        <v>Niger</v>
      </c>
      <c r="V123" t="str">
        <f>VLOOKUP($A123,regions_full!$A$2:$AI$267,MATCH(polities_cats!V$1,$A$1:$AN$1,0),0)</f>
        <v>Subsaharan Africa</v>
      </c>
      <c r="W123" t="str">
        <f>VLOOKUP($A123,regions_full!$A$2:$AI$267,MATCH(polities_cats!W$1,$A$1:$AN$1,0),0)</f>
        <v>Sub-saharan Africa</v>
      </c>
      <c r="X123" t="str">
        <f>VLOOKUP($A123,regions_full!$A$2:$AI$267,MATCH(polities_cats!X$1,$A$1:$AN$1,0),0)</f>
        <v>SSA</v>
      </c>
      <c r="Y123" t="str">
        <f>VLOOKUP($A123,regions_full!$A$2:$AI$267,MATCH(polities_cats!Y$1,$A$1:$AN$1,0),0)</f>
        <v>Sub-Saharan Africa</v>
      </c>
      <c r="Z123" t="str">
        <f>VLOOKUP($A123,regions_full!$A$2:$AI$267,MATCH(polities_cats!Z$1,$A$1:$AN$1,0),0)</f>
        <v>Africa</v>
      </c>
      <c r="AA123" t="str">
        <f>VLOOKUP($A123,regions_full!$A$2:$AI$267,MATCH(polities_cats!AA$1,$A$1:$AN$1,0),0)</f>
        <v>Africa</v>
      </c>
      <c r="AB123" t="str">
        <f>VLOOKUP($A123,regions_full!$A$2:$AI$267,MATCH(polities_cats!AB$1,$A$1:$AN$1,0),0)</f>
        <v>Sub-Saharan Africa</v>
      </c>
      <c r="AC123" t="str">
        <f>VLOOKUP($A123,regions_full!$A$2:$AI$267,MATCH(polities_cats!AC$1,$A$1:$AN$1,0),0)</f>
        <v>Western Africa</v>
      </c>
      <c r="AD123" t="str">
        <f>VLOOKUP($A123,regions_full!$A$2:$AI$267,MATCH(polities_cats!AD$1,$A$1:$AN$1,0),0)</f>
        <v>Emerging</v>
      </c>
      <c r="AE123" t="str">
        <f>VLOOKUP($A123,regions_full!$A$2:$AI$267,MATCH(polities_cats!AE$1,$A$1:$AN$1,0),0)</f>
        <v>Annex_II</v>
      </c>
      <c r="AF123" t="str">
        <f>VLOOKUP($A123,regions_full!$A$2:$AI$267,MATCH(polities_cats!AF$1,$A$1:$AN$1,0),0)</f>
        <v>Western Africa</v>
      </c>
      <c r="AG123" t="str">
        <f>VLOOKUP($A123,regions_full!$A$2:$AI$267,MATCH(polities_cats!AG$1,$A$1:$AN$1,0),0)</f>
        <v>SAA</v>
      </c>
      <c r="AH123" t="str">
        <f>VLOOKUP($A123,regions_full!$A$2:$AI$267,MATCH(polities_cats!AH$1,$A$1:$AN$1,0),0)</f>
        <v>no_mech</v>
      </c>
      <c r="AI123" t="str">
        <f>VLOOKUP($A123,regions_full!$A$2:$AI$267,MATCH(polities_cats!AI$1,$A$1:$AN$1,0),0)</f>
        <v>Other</v>
      </c>
      <c r="AJ123" t="e">
        <f>VLOOKUP($A123,regions_full!$A$2:$AI$267,MATCH(polities_cats!AJ$1,$A$1:$AN$1,0),0)</f>
        <v>#REF!</v>
      </c>
      <c r="AK123" t="e">
        <f>VLOOKUP($A123,regions_full!$A$2:$AI$267,MATCH(polities_cats!AK$1,$A$1:$AN$1,0),0)</f>
        <v>#REF!</v>
      </c>
      <c r="AL123" t="e">
        <f>VLOOKUP($A123,regions_full!$A$2:$AI$267,MATCH(polities_cats!AL$1,$A$1:$AN$1,0),0)</f>
        <v>#REF!</v>
      </c>
      <c r="AM123" t="e">
        <f>VLOOKUP($A123,regions_full!$A$2:$AI$267,MATCH(polities_cats!AM$1,$A$1:$AN$1,0),0)</f>
        <v>#REF!</v>
      </c>
      <c r="AN123" t="e">
        <f>VLOOKUP($A123,regions_full!$A$2:$AI$267,MATCH(polities_cats!AN$1,$A$1:$AN$1,0),0)</f>
        <v>#REF!</v>
      </c>
    </row>
    <row r="124" spans="1:40" x14ac:dyDescent="0.3">
      <c r="A124" t="str">
        <f>polities_whep!A124</f>
        <v>NGA</v>
      </c>
      <c r="B124" t="str">
        <f>polities_whep!B124</f>
        <v>Nigeria</v>
      </c>
      <c r="C124">
        <f>VLOOKUP($A124,regions_full!$A$2:$AI$267,MATCH(polities_cats!C$1,$A$1:$AN$1,0),0)</f>
        <v>156</v>
      </c>
      <c r="D124">
        <f>VLOOKUP($A124,regions_full!$A$2:$AI$267,MATCH(polities_cats!D$1,$A$1:$AN$1,0),0)</f>
        <v>159</v>
      </c>
      <c r="E124" t="str">
        <f>VLOOKUP($A124,regions_full!$A$2:$AI$267,MATCH(polities_cats!E$1,$A$1:$AN$1,0),0)</f>
        <v>NGA</v>
      </c>
      <c r="F124" t="str">
        <f>VLOOKUP($A124,regions_full!$A$2:$AI$267,MATCH(polities_cats!F$1,$A$1:$AN$1,0),0)</f>
        <v>Nigeria</v>
      </c>
      <c r="G124" t="str">
        <f>VLOOKUP($A124,regions_full!$A$2:$AI$267,MATCH(polities_cats!G$1,$A$1:$AN$1,0),0)</f>
        <v>FALSE</v>
      </c>
      <c r="H124" t="str">
        <f>VLOOKUP($A124,regions_full!$A$2:$AI$267,MATCH(polities_cats!H$1,$A$1:$AN$1,0),0)</f>
        <v>Nigeria</v>
      </c>
      <c r="I124" t="str">
        <f>VLOOKUP($A124,regions_full!$A$2:$AI$267,MATCH(polities_cats!I$1,$A$1:$AN$1,0),0)</f>
        <v>Nigeria</v>
      </c>
      <c r="J124" t="str">
        <f>VLOOKUP($A124,regions_full!$A$2:$AI$267,MATCH(polities_cats!J$1,$A$1:$AN$1,0),0)</f>
        <v>Nigeria</v>
      </c>
      <c r="K124">
        <f>VLOOKUP($A124,regions_full!$A$2:$AI$267,MATCH(polities_cats!K$1,$A$1:$AN$1,0),0)</f>
        <v>159</v>
      </c>
      <c r="L124" t="str">
        <f>VLOOKUP($A124,regions_full!$A$2:$AI$267,MATCH(polities_cats!L$1,$A$1:$AN$1,0),0)</f>
        <v>Nigeria</v>
      </c>
      <c r="M124">
        <f>VLOOKUP($A124,regions_full!$A$2:$AI$267,MATCH(polities_cats!M$1,$A$1:$AN$1,0),0)</f>
        <v>566</v>
      </c>
      <c r="N124">
        <f>VLOOKUP($A124,regions_full!$A$2:$AI$267,MATCH(polities_cats!N$1,$A$1:$AN$1,0),0)</f>
        <v>566</v>
      </c>
      <c r="O124">
        <f>VLOOKUP($A124,regions_full!$A$2:$AI$267,MATCH(polities_cats!O$1,$A$1:$AN$1,0),0)</f>
        <v>6</v>
      </c>
      <c r="P124" t="str">
        <f>VLOOKUP($A124,regions_full!$A$2:$AI$267,MATCH(polities_cats!P$1,$A$1:$AN$1,0),0)</f>
        <v>TRUE</v>
      </c>
      <c r="Q124">
        <f>VLOOKUP($A124,regions_full!$A$2:$AI$267,MATCH(polities_cats!Q$1,$A$1:$AN$1,0),0)</f>
        <v>159</v>
      </c>
      <c r="R124" t="str">
        <f>VLOOKUP($A124,regions_full!$A$2:$AI$267,MATCH(polities_cats!R$1,$A$1:$AN$1,0),0)</f>
        <v/>
      </c>
      <c r="S124" t="str">
        <f>VLOOKUP($A124,regions_full!$A$2:$AI$267,MATCH(polities_cats!S$1,$A$1:$AN$1,0),0)</f>
        <v>Western Africa</v>
      </c>
      <c r="T124">
        <f>VLOOKUP($A124,regions_full!$A$2:$AI$267,MATCH(polities_cats!T$1,$A$1:$AN$1,0),0)</f>
        <v>1</v>
      </c>
      <c r="U124" t="str">
        <f>VLOOKUP($A124,regions_full!$A$2:$AI$267,MATCH(polities_cats!U$1,$A$1:$AN$1,0),0)</f>
        <v>Nigeria</v>
      </c>
      <c r="V124" t="str">
        <f>VLOOKUP($A124,regions_full!$A$2:$AI$267,MATCH(polities_cats!V$1,$A$1:$AN$1,0),0)</f>
        <v>Subsaharan Africa</v>
      </c>
      <c r="W124" t="str">
        <f>VLOOKUP($A124,regions_full!$A$2:$AI$267,MATCH(polities_cats!W$1,$A$1:$AN$1,0),0)</f>
        <v>Sub-saharan Africa</v>
      </c>
      <c r="X124" t="str">
        <f>VLOOKUP($A124,regions_full!$A$2:$AI$267,MATCH(polities_cats!X$1,$A$1:$AN$1,0),0)</f>
        <v>SSA</v>
      </c>
      <c r="Y124" t="str">
        <f>VLOOKUP($A124,regions_full!$A$2:$AI$267,MATCH(polities_cats!Y$1,$A$1:$AN$1,0),0)</f>
        <v>Sub-Saharan Africa</v>
      </c>
      <c r="Z124" t="str">
        <f>VLOOKUP($A124,regions_full!$A$2:$AI$267,MATCH(polities_cats!Z$1,$A$1:$AN$1,0),0)</f>
        <v>Africa</v>
      </c>
      <c r="AA124" t="str">
        <f>VLOOKUP($A124,regions_full!$A$2:$AI$267,MATCH(polities_cats!AA$1,$A$1:$AN$1,0),0)</f>
        <v>Africa</v>
      </c>
      <c r="AB124" t="str">
        <f>VLOOKUP($A124,regions_full!$A$2:$AI$267,MATCH(polities_cats!AB$1,$A$1:$AN$1,0),0)</f>
        <v>Sub-Saharan Africa</v>
      </c>
      <c r="AC124" t="str">
        <f>VLOOKUP($A124,regions_full!$A$2:$AI$267,MATCH(polities_cats!AC$1,$A$1:$AN$1,0),0)</f>
        <v>Western Africa</v>
      </c>
      <c r="AD124" t="str">
        <f>VLOOKUP($A124,regions_full!$A$2:$AI$267,MATCH(polities_cats!AD$1,$A$1:$AN$1,0),0)</f>
        <v>Emerging</v>
      </c>
      <c r="AE124" t="str">
        <f>VLOOKUP($A124,regions_full!$A$2:$AI$267,MATCH(polities_cats!AE$1,$A$1:$AN$1,0),0)</f>
        <v>Annex_II</v>
      </c>
      <c r="AF124" t="str">
        <f>VLOOKUP($A124,regions_full!$A$2:$AI$267,MATCH(polities_cats!AF$1,$A$1:$AN$1,0),0)</f>
        <v>Western Africa</v>
      </c>
      <c r="AG124" t="str">
        <f>VLOOKUP($A124,regions_full!$A$2:$AI$267,MATCH(polities_cats!AG$1,$A$1:$AN$1,0),0)</f>
        <v>SAA</v>
      </c>
      <c r="AH124" t="str">
        <f>VLOOKUP($A124,regions_full!$A$2:$AI$267,MATCH(polities_cats!AH$1,$A$1:$AN$1,0),0)</f>
        <v>no_mech</v>
      </c>
      <c r="AI124" t="str">
        <f>VLOOKUP($A124,regions_full!$A$2:$AI$267,MATCH(polities_cats!AI$1,$A$1:$AN$1,0),0)</f>
        <v>Other</v>
      </c>
      <c r="AJ124" t="e">
        <f>VLOOKUP($A124,regions_full!$A$2:$AI$267,MATCH(polities_cats!AJ$1,$A$1:$AN$1,0),0)</f>
        <v>#REF!</v>
      </c>
      <c r="AK124" t="e">
        <f>VLOOKUP($A124,regions_full!$A$2:$AI$267,MATCH(polities_cats!AK$1,$A$1:$AN$1,0),0)</f>
        <v>#REF!</v>
      </c>
      <c r="AL124" t="e">
        <f>VLOOKUP($A124,regions_full!$A$2:$AI$267,MATCH(polities_cats!AL$1,$A$1:$AN$1,0),0)</f>
        <v>#REF!</v>
      </c>
      <c r="AM124" t="e">
        <f>VLOOKUP($A124,regions_full!$A$2:$AI$267,MATCH(polities_cats!AM$1,$A$1:$AN$1,0),0)</f>
        <v>#REF!</v>
      </c>
      <c r="AN124" t="e">
        <f>VLOOKUP($A124,regions_full!$A$2:$AI$267,MATCH(polities_cats!AN$1,$A$1:$AN$1,0),0)</f>
        <v>#REF!</v>
      </c>
    </row>
    <row r="125" spans="1:40" x14ac:dyDescent="0.3">
      <c r="A125" t="str">
        <f>polities_whep!A125</f>
        <v>PRK</v>
      </c>
      <c r="B125" t="str">
        <f>polities_whep!B125</f>
        <v>North Korea</v>
      </c>
      <c r="C125">
        <f>VLOOKUP($A125,regions_full!$A$2:$AI$267,MATCH(polities_cats!C$1,$A$1:$AN$1,0),0)</f>
        <v>113</v>
      </c>
      <c r="D125">
        <f>VLOOKUP($A125,regions_full!$A$2:$AI$267,MATCH(polities_cats!D$1,$A$1:$AN$1,0),0)</f>
        <v>116</v>
      </c>
      <c r="E125" t="str">
        <f>VLOOKUP($A125,regions_full!$A$2:$AI$267,MATCH(polities_cats!E$1,$A$1:$AN$1,0),0)</f>
        <v>PRK</v>
      </c>
      <c r="F125" t="str">
        <f>VLOOKUP($A125,regions_full!$A$2:$AI$267,MATCH(polities_cats!F$1,$A$1:$AN$1,0),0)</f>
        <v>Democratic People's Republic of Korea</v>
      </c>
      <c r="G125" t="str">
        <f>VLOOKUP($A125,regions_full!$A$2:$AI$267,MATCH(polities_cats!G$1,$A$1:$AN$1,0),0)</f>
        <v>FALSE</v>
      </c>
      <c r="H125" t="str">
        <f>VLOOKUP($A125,regions_full!$A$2:$AI$267,MATCH(polities_cats!H$1,$A$1:$AN$1,0),0)</f>
        <v>North Korea</v>
      </c>
      <c r="I125" t="str">
        <f>VLOOKUP($A125,regions_full!$A$2:$AI$267,MATCH(polities_cats!I$1,$A$1:$AN$1,0),0)</f>
        <v>Korea, North</v>
      </c>
      <c r="J125" t="str">
        <f>VLOOKUP($A125,regions_full!$A$2:$AI$267,MATCH(polities_cats!J$1,$A$1:$AN$1,0),0)</f>
        <v>Democratic People's Republic of Korea</v>
      </c>
      <c r="K125">
        <f>VLOOKUP($A125,regions_full!$A$2:$AI$267,MATCH(polities_cats!K$1,$A$1:$AN$1,0),0)</f>
        <v>116</v>
      </c>
      <c r="L125" t="str">
        <f>VLOOKUP($A125,regions_full!$A$2:$AI$267,MATCH(polities_cats!L$1,$A$1:$AN$1,0),0)</f>
        <v>Korea, Democratic People's Republic of</v>
      </c>
      <c r="M125">
        <f>VLOOKUP($A125,regions_full!$A$2:$AI$267,MATCH(polities_cats!M$1,$A$1:$AN$1,0),0)</f>
        <v>408</v>
      </c>
      <c r="N125">
        <f>VLOOKUP($A125,regions_full!$A$2:$AI$267,MATCH(polities_cats!N$1,$A$1:$AN$1,0),0)</f>
        <v>408</v>
      </c>
      <c r="O125">
        <f>VLOOKUP($A125,regions_full!$A$2:$AI$267,MATCH(polities_cats!O$1,$A$1:$AN$1,0),0)</f>
        <v>14</v>
      </c>
      <c r="P125" t="str">
        <f>VLOOKUP($A125,regions_full!$A$2:$AI$267,MATCH(polities_cats!P$1,$A$1:$AN$1,0),0)</f>
        <v>TRUE</v>
      </c>
      <c r="Q125">
        <f>VLOOKUP($A125,regions_full!$A$2:$AI$267,MATCH(polities_cats!Q$1,$A$1:$AN$1,0),0)</f>
        <v>116</v>
      </c>
      <c r="R125" t="str">
        <f>VLOOKUP($A125,regions_full!$A$2:$AI$267,MATCH(polities_cats!R$1,$A$1:$AN$1,0),0)</f>
        <v/>
      </c>
      <c r="S125" t="str">
        <f>VLOOKUP($A125,regions_full!$A$2:$AI$267,MATCH(polities_cats!S$1,$A$1:$AN$1,0),0)</f>
        <v>East Asia</v>
      </c>
      <c r="T125">
        <f>VLOOKUP($A125,regions_full!$A$2:$AI$267,MATCH(polities_cats!T$1,$A$1:$AN$1,0),0)</f>
        <v>1</v>
      </c>
      <c r="U125" t="str">
        <f>VLOOKUP($A125,regions_full!$A$2:$AI$267,MATCH(polities_cats!U$1,$A$1:$AN$1,0),0)</f>
        <v>DPRepublic of Korea</v>
      </c>
      <c r="V125" t="str">
        <f>VLOOKUP($A125,regions_full!$A$2:$AI$267,MATCH(polities_cats!V$1,$A$1:$AN$1,0),0)</f>
        <v>Eastern Asia</v>
      </c>
      <c r="W125" t="str">
        <f>VLOOKUP($A125,regions_full!$A$2:$AI$267,MATCH(polities_cats!W$1,$A$1:$AN$1,0),0)</f>
        <v>East Asia</v>
      </c>
      <c r="X125" t="str">
        <f>VLOOKUP($A125,regions_full!$A$2:$AI$267,MATCH(polities_cats!X$1,$A$1:$AN$1,0),0)</f>
        <v>S&amp;E Asia</v>
      </c>
      <c r="Y125" t="str">
        <f>VLOOKUP($A125,regions_full!$A$2:$AI$267,MATCH(polities_cats!Y$1,$A$1:$AN$1,0),0)</f>
        <v>Eastern Asia</v>
      </c>
      <c r="Z125" t="str">
        <f>VLOOKUP($A125,regions_full!$A$2:$AI$267,MATCH(polities_cats!Z$1,$A$1:$AN$1,0),0)</f>
        <v>Asia</v>
      </c>
      <c r="AA125" t="str">
        <f>VLOOKUP($A125,regions_full!$A$2:$AI$267,MATCH(polities_cats!AA$1,$A$1:$AN$1,0),0)</f>
        <v>Asia and the Pacific</v>
      </c>
      <c r="AB125" t="str">
        <f>VLOOKUP($A125,regions_full!$A$2:$AI$267,MATCH(polities_cats!AB$1,$A$1:$AN$1,0),0)</f>
        <v>Eastern Asia</v>
      </c>
      <c r="AC125" t="str">
        <f>VLOOKUP($A125,regions_full!$A$2:$AI$267,MATCH(polities_cats!AC$1,$A$1:$AN$1,0),0)</f>
        <v>Eastern Asia</v>
      </c>
      <c r="AD125" t="str">
        <f>VLOOKUP($A125,regions_full!$A$2:$AI$267,MATCH(polities_cats!AD$1,$A$1:$AN$1,0),0)</f>
        <v>Emerging</v>
      </c>
      <c r="AE125" t="str">
        <f>VLOOKUP($A125,regions_full!$A$2:$AI$267,MATCH(polities_cats!AE$1,$A$1:$AN$1,0),0)</f>
        <v>Annex_II</v>
      </c>
      <c r="AF125" t="str">
        <f>VLOOKUP($A125,regions_full!$A$2:$AI$267,MATCH(polities_cats!AF$1,$A$1:$AN$1,0),0)</f>
        <v>Eastern Asia</v>
      </c>
      <c r="AG125" t="str">
        <f>VLOOKUP($A125,regions_full!$A$2:$AI$267,MATCH(polities_cats!AG$1,$A$1:$AN$1,0),0)</f>
        <v>SE-Asia</v>
      </c>
      <c r="AH125" t="str">
        <f>VLOOKUP($A125,regions_full!$A$2:$AI$267,MATCH(polities_cats!AH$1,$A$1:$AN$1,0),0)</f>
        <v>no_mech</v>
      </c>
      <c r="AI125" t="str">
        <f>VLOOKUP($A125,regions_full!$A$2:$AI$267,MATCH(polities_cats!AI$1,$A$1:$AN$1,0),0)</f>
        <v>Other</v>
      </c>
      <c r="AJ125" t="e">
        <f>VLOOKUP($A125,regions_full!$A$2:$AI$267,MATCH(polities_cats!AJ$1,$A$1:$AN$1,0),0)</f>
        <v>#REF!</v>
      </c>
      <c r="AK125" t="e">
        <f>VLOOKUP($A125,regions_full!$A$2:$AI$267,MATCH(polities_cats!AK$1,$A$1:$AN$1,0),0)</f>
        <v>#REF!</v>
      </c>
      <c r="AL125" t="e">
        <f>VLOOKUP($A125,regions_full!$A$2:$AI$267,MATCH(polities_cats!AL$1,$A$1:$AN$1,0),0)</f>
        <v>#REF!</v>
      </c>
      <c r="AM125" t="e">
        <f>VLOOKUP($A125,regions_full!$A$2:$AI$267,MATCH(polities_cats!AM$1,$A$1:$AN$1,0),0)</f>
        <v>#REF!</v>
      </c>
      <c r="AN125" t="e">
        <f>VLOOKUP($A125,regions_full!$A$2:$AI$267,MATCH(polities_cats!AN$1,$A$1:$AN$1,0),0)</f>
        <v>#REF!</v>
      </c>
    </row>
    <row r="126" spans="1:40" x14ac:dyDescent="0.3">
      <c r="A126" t="str">
        <f>polities_whep!A126</f>
        <v>NOR</v>
      </c>
      <c r="B126" t="str">
        <f>polities_whep!B126</f>
        <v>Norway</v>
      </c>
      <c r="C126">
        <f>VLOOKUP($A126,regions_full!$A$2:$AI$267,MATCH(polities_cats!C$1,$A$1:$AN$1,0),0)</f>
        <v>159</v>
      </c>
      <c r="D126">
        <f>VLOOKUP($A126,regions_full!$A$2:$AI$267,MATCH(polities_cats!D$1,$A$1:$AN$1,0),0)</f>
        <v>162</v>
      </c>
      <c r="E126" t="str">
        <f>VLOOKUP($A126,regions_full!$A$2:$AI$267,MATCH(polities_cats!E$1,$A$1:$AN$1,0),0)</f>
        <v>NOR</v>
      </c>
      <c r="F126" t="str">
        <f>VLOOKUP($A126,regions_full!$A$2:$AI$267,MATCH(polities_cats!F$1,$A$1:$AN$1,0),0)</f>
        <v>Norway</v>
      </c>
      <c r="G126" t="str">
        <f>VLOOKUP($A126,regions_full!$A$2:$AI$267,MATCH(polities_cats!G$1,$A$1:$AN$1,0),0)</f>
        <v>FALSE</v>
      </c>
      <c r="H126" t="str">
        <f>VLOOKUP($A126,regions_full!$A$2:$AI$267,MATCH(polities_cats!H$1,$A$1:$AN$1,0),0)</f>
        <v>Norway</v>
      </c>
      <c r="I126" t="str">
        <f>VLOOKUP($A126,regions_full!$A$2:$AI$267,MATCH(polities_cats!I$1,$A$1:$AN$1,0),0)</f>
        <v>Norway</v>
      </c>
      <c r="J126" t="str">
        <f>VLOOKUP($A126,regions_full!$A$2:$AI$267,MATCH(polities_cats!J$1,$A$1:$AN$1,0),0)</f>
        <v>Norway</v>
      </c>
      <c r="K126">
        <f>VLOOKUP($A126,regions_full!$A$2:$AI$267,MATCH(polities_cats!K$1,$A$1:$AN$1,0),0)</f>
        <v>162</v>
      </c>
      <c r="L126" t="str">
        <f>VLOOKUP($A126,regions_full!$A$2:$AI$267,MATCH(polities_cats!L$1,$A$1:$AN$1,0),0)</f>
        <v>Norway</v>
      </c>
      <c r="M126">
        <f>VLOOKUP($A126,regions_full!$A$2:$AI$267,MATCH(polities_cats!M$1,$A$1:$AN$1,0),0)</f>
        <v>579</v>
      </c>
      <c r="N126">
        <f>VLOOKUP($A126,regions_full!$A$2:$AI$267,MATCH(polities_cats!N$1,$A$1:$AN$1,0),0)</f>
        <v>578</v>
      </c>
      <c r="O126">
        <f>VLOOKUP($A126,regions_full!$A$2:$AI$267,MATCH(polities_cats!O$1,$A$1:$AN$1,0),0)</f>
        <v>9</v>
      </c>
      <c r="P126" t="str">
        <f>VLOOKUP($A126,regions_full!$A$2:$AI$267,MATCH(polities_cats!P$1,$A$1:$AN$1,0),0)</f>
        <v>TRUE</v>
      </c>
      <c r="Q126">
        <f>VLOOKUP($A126,regions_full!$A$2:$AI$267,MATCH(polities_cats!Q$1,$A$1:$AN$1,0),0)</f>
        <v>162</v>
      </c>
      <c r="R126" t="str">
        <f>VLOOKUP($A126,regions_full!$A$2:$AI$267,MATCH(polities_cats!R$1,$A$1:$AN$1,0),0)</f>
        <v/>
      </c>
      <c r="S126" t="str">
        <f>VLOOKUP($A126,regions_full!$A$2:$AI$267,MATCH(polities_cats!S$1,$A$1:$AN$1,0),0)</f>
        <v>OECD Europe</v>
      </c>
      <c r="T126">
        <f>VLOOKUP($A126,regions_full!$A$2:$AI$267,MATCH(polities_cats!T$1,$A$1:$AN$1,0),0)</f>
        <v>1</v>
      </c>
      <c r="U126" t="str">
        <f>VLOOKUP($A126,regions_full!$A$2:$AI$267,MATCH(polities_cats!U$1,$A$1:$AN$1,0),0)</f>
        <v>Norway</v>
      </c>
      <c r="V126" t="str">
        <f>VLOOKUP($A126,regions_full!$A$2:$AI$267,MATCH(polities_cats!V$1,$A$1:$AN$1,0),0)</f>
        <v>Western Europe</v>
      </c>
      <c r="W126" t="str">
        <f>VLOOKUP($A126,regions_full!$A$2:$AI$267,MATCH(polities_cats!W$1,$A$1:$AN$1,0),0)</f>
        <v>West Europe</v>
      </c>
      <c r="X126" t="str">
        <f>VLOOKUP($A126,regions_full!$A$2:$AI$267,MATCH(polities_cats!X$1,$A$1:$AN$1,0),0)</f>
        <v>Europe</v>
      </c>
      <c r="Y126" t="str">
        <f>VLOOKUP($A126,regions_full!$A$2:$AI$267,MATCH(polities_cats!Y$1,$A$1:$AN$1,0),0)</f>
        <v>Northern Europe</v>
      </c>
      <c r="Z126" t="str">
        <f>VLOOKUP($A126,regions_full!$A$2:$AI$267,MATCH(polities_cats!Z$1,$A$1:$AN$1,0),0)</f>
        <v>Europe</v>
      </c>
      <c r="AA126" t="str">
        <f>VLOOKUP($A126,regions_full!$A$2:$AI$267,MATCH(polities_cats!AA$1,$A$1:$AN$1,0),0)</f>
        <v>Europe and Central Asia</v>
      </c>
      <c r="AB126" t="str">
        <f>VLOOKUP($A126,regions_full!$A$2:$AI$267,MATCH(polities_cats!AB$1,$A$1:$AN$1,0),0)</f>
        <v>Northern, Southern and Western Europe</v>
      </c>
      <c r="AC126" t="str">
        <f>VLOOKUP($A126,regions_full!$A$2:$AI$267,MATCH(polities_cats!AC$1,$A$1:$AN$1,0),0)</f>
        <v>Northern Europe</v>
      </c>
      <c r="AD126" t="str">
        <f>VLOOKUP($A126,regions_full!$A$2:$AI$267,MATCH(polities_cats!AD$1,$A$1:$AN$1,0),0)</f>
        <v>Advanced</v>
      </c>
      <c r="AE126" t="str">
        <f>VLOOKUP($A126,regions_full!$A$2:$AI$267,MATCH(polities_cats!AE$1,$A$1:$AN$1,0),0)</f>
        <v>Annex_I</v>
      </c>
      <c r="AF126" t="str">
        <f>VLOOKUP($A126,regions_full!$A$2:$AI$267,MATCH(polities_cats!AF$1,$A$1:$AN$1,0),0)</f>
        <v>Northern Europe</v>
      </c>
      <c r="AG126" t="str">
        <f>VLOOKUP($A126,regions_full!$A$2:$AI$267,MATCH(polities_cats!AG$1,$A$1:$AN$1,0),0)</f>
        <v>Europe</v>
      </c>
      <c r="AH126" t="str">
        <f>VLOOKUP($A126,regions_full!$A$2:$AI$267,MATCH(polities_cats!AH$1,$A$1:$AN$1,0),0)</f>
        <v>mech</v>
      </c>
      <c r="AI126" t="str">
        <f>VLOOKUP($A126,regions_full!$A$2:$AI$267,MATCH(polities_cats!AI$1,$A$1:$AN$1,0),0)</f>
        <v>Europe</v>
      </c>
      <c r="AJ126" t="e">
        <f>VLOOKUP($A126,regions_full!$A$2:$AI$267,MATCH(polities_cats!AJ$1,$A$1:$AN$1,0),0)</f>
        <v>#REF!</v>
      </c>
      <c r="AK126" t="e">
        <f>VLOOKUP($A126,regions_full!$A$2:$AI$267,MATCH(polities_cats!AK$1,$A$1:$AN$1,0),0)</f>
        <v>#REF!</v>
      </c>
      <c r="AL126" t="e">
        <f>VLOOKUP($A126,regions_full!$A$2:$AI$267,MATCH(polities_cats!AL$1,$A$1:$AN$1,0),0)</f>
        <v>#REF!</v>
      </c>
      <c r="AM126" t="e">
        <f>VLOOKUP($A126,regions_full!$A$2:$AI$267,MATCH(polities_cats!AM$1,$A$1:$AN$1,0),0)</f>
        <v>#REF!</v>
      </c>
      <c r="AN126" t="e">
        <f>VLOOKUP($A126,regions_full!$A$2:$AI$267,MATCH(polities_cats!AN$1,$A$1:$AN$1,0),0)</f>
        <v>#REF!</v>
      </c>
    </row>
    <row r="127" spans="1:40" x14ac:dyDescent="0.3">
      <c r="A127" t="str">
        <f>polities_whep!A127</f>
        <v>OMN</v>
      </c>
      <c r="B127" t="str">
        <f>polities_whep!B127</f>
        <v>Oman</v>
      </c>
      <c r="C127">
        <f>VLOOKUP($A127,regions_full!$A$2:$AI$267,MATCH(polities_cats!C$1,$A$1:$AN$1,0),0)</f>
        <v>217</v>
      </c>
      <c r="D127">
        <f>VLOOKUP($A127,regions_full!$A$2:$AI$267,MATCH(polities_cats!D$1,$A$1:$AN$1,0),0)</f>
        <v>221</v>
      </c>
      <c r="E127" t="str">
        <f>VLOOKUP($A127,regions_full!$A$2:$AI$267,MATCH(polities_cats!E$1,$A$1:$AN$1,0),0)</f>
        <v>OMN</v>
      </c>
      <c r="F127" t="str">
        <f>VLOOKUP($A127,regions_full!$A$2:$AI$267,MATCH(polities_cats!F$1,$A$1:$AN$1,0),0)</f>
        <v>Oman</v>
      </c>
      <c r="G127" t="str">
        <f>VLOOKUP($A127,regions_full!$A$2:$AI$267,MATCH(polities_cats!G$1,$A$1:$AN$1,0),0)</f>
        <v>FALSE</v>
      </c>
      <c r="H127" t="str">
        <f>VLOOKUP($A127,regions_full!$A$2:$AI$267,MATCH(polities_cats!H$1,$A$1:$AN$1,0),0)</f>
        <v>Oman</v>
      </c>
      <c r="I127" t="str">
        <f>VLOOKUP($A127,regions_full!$A$2:$AI$267,MATCH(polities_cats!I$1,$A$1:$AN$1,0),0)</f>
        <v>Oman</v>
      </c>
      <c r="J127" t="str">
        <f>VLOOKUP($A127,regions_full!$A$2:$AI$267,MATCH(polities_cats!J$1,$A$1:$AN$1,0),0)</f>
        <v>Oman</v>
      </c>
      <c r="K127">
        <f>VLOOKUP($A127,regions_full!$A$2:$AI$267,MATCH(polities_cats!K$1,$A$1:$AN$1,0),0)</f>
        <v>221</v>
      </c>
      <c r="L127" t="str">
        <f>VLOOKUP($A127,regions_full!$A$2:$AI$267,MATCH(polities_cats!L$1,$A$1:$AN$1,0),0)</f>
        <v>Oman</v>
      </c>
      <c r="M127">
        <f>VLOOKUP($A127,regions_full!$A$2:$AI$267,MATCH(polities_cats!M$1,$A$1:$AN$1,0),0)</f>
        <v>512</v>
      </c>
      <c r="N127">
        <f>VLOOKUP($A127,regions_full!$A$2:$AI$267,MATCH(polities_cats!N$1,$A$1:$AN$1,0),0)</f>
        <v>512</v>
      </c>
      <c r="O127">
        <f>VLOOKUP($A127,regions_full!$A$2:$AI$267,MATCH(polities_cats!O$1,$A$1:$AN$1,0),0)</f>
        <v>12</v>
      </c>
      <c r="P127" t="str">
        <f>VLOOKUP($A127,regions_full!$A$2:$AI$267,MATCH(polities_cats!P$1,$A$1:$AN$1,0),0)</f>
        <v>TRUE</v>
      </c>
      <c r="Q127">
        <f>VLOOKUP($A127,regions_full!$A$2:$AI$267,MATCH(polities_cats!Q$1,$A$1:$AN$1,0),0)</f>
        <v>221</v>
      </c>
      <c r="R127" t="str">
        <f>VLOOKUP($A127,regions_full!$A$2:$AI$267,MATCH(polities_cats!R$1,$A$1:$AN$1,0),0)</f>
        <v/>
      </c>
      <c r="S127" t="str">
        <f>VLOOKUP($A127,regions_full!$A$2:$AI$267,MATCH(polities_cats!S$1,$A$1:$AN$1,0),0)</f>
        <v>Middle East</v>
      </c>
      <c r="T127">
        <f>VLOOKUP($A127,regions_full!$A$2:$AI$267,MATCH(polities_cats!T$1,$A$1:$AN$1,0),0)</f>
        <v>1</v>
      </c>
      <c r="U127" t="str">
        <f>VLOOKUP($A127,regions_full!$A$2:$AI$267,MATCH(polities_cats!U$1,$A$1:$AN$1,0),0)</f>
        <v>Oman</v>
      </c>
      <c r="V127" t="str">
        <f>VLOOKUP($A127,regions_full!$A$2:$AI$267,MATCH(polities_cats!V$1,$A$1:$AN$1,0),0)</f>
        <v>Northern Africa and Western Asia</v>
      </c>
      <c r="W127" t="str">
        <f>VLOOKUP($A127,regions_full!$A$2:$AI$267,MATCH(polities_cats!W$1,$A$1:$AN$1,0),0)</f>
        <v>North Africa and West Asia</v>
      </c>
      <c r="X127" t="str">
        <f>VLOOKUP($A127,regions_full!$A$2:$AI$267,MATCH(polities_cats!X$1,$A$1:$AN$1,0),0)</f>
        <v>MENA</v>
      </c>
      <c r="Y127" t="str">
        <f>VLOOKUP($A127,regions_full!$A$2:$AI$267,MATCH(polities_cats!Y$1,$A$1:$AN$1,0),0)</f>
        <v>Western Asia</v>
      </c>
      <c r="Z127" t="str">
        <f>VLOOKUP($A127,regions_full!$A$2:$AI$267,MATCH(polities_cats!Z$1,$A$1:$AN$1,0),0)</f>
        <v>Asia</v>
      </c>
      <c r="AA127" t="str">
        <f>VLOOKUP($A127,regions_full!$A$2:$AI$267,MATCH(polities_cats!AA$1,$A$1:$AN$1,0),0)</f>
        <v>Arab States</v>
      </c>
      <c r="AB127" t="str">
        <f>VLOOKUP($A127,regions_full!$A$2:$AI$267,MATCH(polities_cats!AB$1,$A$1:$AN$1,0),0)</f>
        <v>Arab States</v>
      </c>
      <c r="AC127" t="str">
        <f>VLOOKUP($A127,regions_full!$A$2:$AI$267,MATCH(polities_cats!AC$1,$A$1:$AN$1,0),0)</f>
        <v>Arab States</v>
      </c>
      <c r="AD127" t="str">
        <f>VLOOKUP($A127,regions_full!$A$2:$AI$267,MATCH(polities_cats!AD$1,$A$1:$AN$1,0),0)</f>
        <v>Emerging</v>
      </c>
      <c r="AE127" t="str">
        <f>VLOOKUP($A127,regions_full!$A$2:$AI$267,MATCH(polities_cats!AE$1,$A$1:$AN$1,0),0)</f>
        <v>Annex_II</v>
      </c>
      <c r="AF127" t="str">
        <f>VLOOKUP($A127,regions_full!$A$2:$AI$267,MATCH(polities_cats!AF$1,$A$1:$AN$1,0),0)</f>
        <v>Western Asia</v>
      </c>
      <c r="AG127" t="str">
        <f>VLOOKUP($A127,regions_full!$A$2:$AI$267,MATCH(polities_cats!AG$1,$A$1:$AN$1,0),0)</f>
        <v>MENA</v>
      </c>
      <c r="AH127" t="str">
        <f>VLOOKUP($A127,regions_full!$A$2:$AI$267,MATCH(polities_cats!AH$1,$A$1:$AN$1,0),0)</f>
        <v>no_mech</v>
      </c>
      <c r="AI127" t="str">
        <f>VLOOKUP($A127,regions_full!$A$2:$AI$267,MATCH(polities_cats!AI$1,$A$1:$AN$1,0),0)</f>
        <v>Other</v>
      </c>
      <c r="AJ127" t="e">
        <f>VLOOKUP($A127,regions_full!$A$2:$AI$267,MATCH(polities_cats!AJ$1,$A$1:$AN$1,0),0)</f>
        <v>#REF!</v>
      </c>
      <c r="AK127" t="e">
        <f>VLOOKUP($A127,regions_full!$A$2:$AI$267,MATCH(polities_cats!AK$1,$A$1:$AN$1,0),0)</f>
        <v>#REF!</v>
      </c>
      <c r="AL127" t="e">
        <f>VLOOKUP($A127,regions_full!$A$2:$AI$267,MATCH(polities_cats!AL$1,$A$1:$AN$1,0),0)</f>
        <v>#REF!</v>
      </c>
      <c r="AM127" t="e">
        <f>VLOOKUP($A127,regions_full!$A$2:$AI$267,MATCH(polities_cats!AM$1,$A$1:$AN$1,0),0)</f>
        <v>#REF!</v>
      </c>
      <c r="AN127" t="e">
        <f>VLOOKUP($A127,regions_full!$A$2:$AI$267,MATCH(polities_cats!AN$1,$A$1:$AN$1,0),0)</f>
        <v>#REF!</v>
      </c>
    </row>
    <row r="128" spans="1:40" x14ac:dyDescent="0.3">
      <c r="A128" t="str">
        <f>polities_whep!A128</f>
        <v>PAK</v>
      </c>
      <c r="B128" t="str">
        <f>polities_whep!B128</f>
        <v>Pakistan</v>
      </c>
      <c r="C128">
        <f>VLOOKUP($A128,regions_full!$A$2:$AI$267,MATCH(polities_cats!C$1,$A$1:$AN$1,0),0)</f>
        <v>162</v>
      </c>
      <c r="D128">
        <f>VLOOKUP($A128,regions_full!$A$2:$AI$267,MATCH(polities_cats!D$1,$A$1:$AN$1,0),0)</f>
        <v>165</v>
      </c>
      <c r="E128" t="str">
        <f>VLOOKUP($A128,regions_full!$A$2:$AI$267,MATCH(polities_cats!E$1,$A$1:$AN$1,0),0)</f>
        <v>PAK</v>
      </c>
      <c r="F128" t="str">
        <f>VLOOKUP($A128,regions_full!$A$2:$AI$267,MATCH(polities_cats!F$1,$A$1:$AN$1,0),0)</f>
        <v>Pakistan</v>
      </c>
      <c r="G128" t="str">
        <f>VLOOKUP($A128,regions_full!$A$2:$AI$267,MATCH(polities_cats!G$1,$A$1:$AN$1,0),0)</f>
        <v>FALSE</v>
      </c>
      <c r="H128" t="str">
        <f>VLOOKUP($A128,regions_full!$A$2:$AI$267,MATCH(polities_cats!H$1,$A$1:$AN$1,0),0)</f>
        <v>Pakistan</v>
      </c>
      <c r="I128" t="str">
        <f>VLOOKUP($A128,regions_full!$A$2:$AI$267,MATCH(polities_cats!I$1,$A$1:$AN$1,0),0)</f>
        <v>Pakistan</v>
      </c>
      <c r="J128" t="str">
        <f>VLOOKUP($A128,regions_full!$A$2:$AI$267,MATCH(polities_cats!J$1,$A$1:$AN$1,0),0)</f>
        <v>Pakistan</v>
      </c>
      <c r="K128">
        <f>VLOOKUP($A128,regions_full!$A$2:$AI$267,MATCH(polities_cats!K$1,$A$1:$AN$1,0),0)</f>
        <v>165</v>
      </c>
      <c r="L128" t="str">
        <f>VLOOKUP($A128,regions_full!$A$2:$AI$267,MATCH(polities_cats!L$1,$A$1:$AN$1,0),0)</f>
        <v>Pakistan</v>
      </c>
      <c r="M128">
        <f>VLOOKUP($A128,regions_full!$A$2:$AI$267,MATCH(polities_cats!M$1,$A$1:$AN$1,0),0)</f>
        <v>586</v>
      </c>
      <c r="N128">
        <f>VLOOKUP($A128,regions_full!$A$2:$AI$267,MATCH(polities_cats!N$1,$A$1:$AN$1,0),0)</f>
        <v>586</v>
      </c>
      <c r="O128">
        <f>VLOOKUP($A128,regions_full!$A$2:$AI$267,MATCH(polities_cats!O$1,$A$1:$AN$1,0),0)</f>
        <v>13</v>
      </c>
      <c r="P128" t="str">
        <f>VLOOKUP($A128,regions_full!$A$2:$AI$267,MATCH(polities_cats!P$1,$A$1:$AN$1,0),0)</f>
        <v>TRUE</v>
      </c>
      <c r="Q128">
        <f>VLOOKUP($A128,regions_full!$A$2:$AI$267,MATCH(polities_cats!Q$1,$A$1:$AN$1,0),0)</f>
        <v>165</v>
      </c>
      <c r="R128" t="str">
        <f>VLOOKUP($A128,regions_full!$A$2:$AI$267,MATCH(polities_cats!R$1,$A$1:$AN$1,0),0)</f>
        <v/>
      </c>
      <c r="S128" t="str">
        <f>VLOOKUP($A128,regions_full!$A$2:$AI$267,MATCH(polities_cats!S$1,$A$1:$AN$1,0),0)</f>
        <v>South Asia</v>
      </c>
      <c r="T128">
        <f>VLOOKUP($A128,regions_full!$A$2:$AI$267,MATCH(polities_cats!T$1,$A$1:$AN$1,0),0)</f>
        <v>1</v>
      </c>
      <c r="U128" t="str">
        <f>VLOOKUP($A128,regions_full!$A$2:$AI$267,MATCH(polities_cats!U$1,$A$1:$AN$1,0),0)</f>
        <v>Pakistan</v>
      </c>
      <c r="V128" t="str">
        <f>VLOOKUP($A128,regions_full!$A$2:$AI$267,MATCH(polities_cats!V$1,$A$1:$AN$1,0),0)</f>
        <v>Southern Asia</v>
      </c>
      <c r="W128" t="str">
        <f>VLOOKUP($A128,regions_full!$A$2:$AI$267,MATCH(polities_cats!W$1,$A$1:$AN$1,0),0)</f>
        <v>South and Central Asia</v>
      </c>
      <c r="X128" t="str">
        <f>VLOOKUP($A128,regions_full!$A$2:$AI$267,MATCH(polities_cats!X$1,$A$1:$AN$1,0),0)</f>
        <v>Southern Asia</v>
      </c>
      <c r="Y128" t="str">
        <f>VLOOKUP($A128,regions_full!$A$2:$AI$267,MATCH(polities_cats!Y$1,$A$1:$AN$1,0),0)</f>
        <v>Southern Asia</v>
      </c>
      <c r="Z128" t="str">
        <f>VLOOKUP($A128,regions_full!$A$2:$AI$267,MATCH(polities_cats!Z$1,$A$1:$AN$1,0),0)</f>
        <v>Asia</v>
      </c>
      <c r="AA128" t="str">
        <f>VLOOKUP($A128,regions_full!$A$2:$AI$267,MATCH(polities_cats!AA$1,$A$1:$AN$1,0),0)</f>
        <v>Asia and the Pacific</v>
      </c>
      <c r="AB128" t="str">
        <f>VLOOKUP($A128,regions_full!$A$2:$AI$267,MATCH(polities_cats!AB$1,$A$1:$AN$1,0),0)</f>
        <v>Southern Asia</v>
      </c>
      <c r="AC128" t="str">
        <f>VLOOKUP($A128,regions_full!$A$2:$AI$267,MATCH(polities_cats!AC$1,$A$1:$AN$1,0),0)</f>
        <v>Southern Asia</v>
      </c>
      <c r="AD128" t="str">
        <f>VLOOKUP($A128,regions_full!$A$2:$AI$267,MATCH(polities_cats!AD$1,$A$1:$AN$1,0),0)</f>
        <v>Emerging</v>
      </c>
      <c r="AE128" t="str">
        <f>VLOOKUP($A128,regions_full!$A$2:$AI$267,MATCH(polities_cats!AE$1,$A$1:$AN$1,0),0)</f>
        <v>Annex_II</v>
      </c>
      <c r="AF128" t="str">
        <f>VLOOKUP($A128,regions_full!$A$2:$AI$267,MATCH(polities_cats!AF$1,$A$1:$AN$1,0),0)</f>
        <v>Southern Asia</v>
      </c>
      <c r="AG128" t="str">
        <f>VLOOKUP($A128,regions_full!$A$2:$AI$267,MATCH(polities_cats!AG$1,$A$1:$AN$1,0),0)</f>
        <v>SE-Asia</v>
      </c>
      <c r="AH128" t="str">
        <f>VLOOKUP($A128,regions_full!$A$2:$AI$267,MATCH(polities_cats!AH$1,$A$1:$AN$1,0),0)</f>
        <v>no_mech</v>
      </c>
      <c r="AI128" t="str">
        <f>VLOOKUP($A128,regions_full!$A$2:$AI$267,MATCH(polities_cats!AI$1,$A$1:$AN$1,0),0)</f>
        <v>Other</v>
      </c>
      <c r="AJ128" t="e">
        <f>VLOOKUP($A128,regions_full!$A$2:$AI$267,MATCH(polities_cats!AJ$1,$A$1:$AN$1,0),0)</f>
        <v>#REF!</v>
      </c>
      <c r="AK128" t="e">
        <f>VLOOKUP($A128,regions_full!$A$2:$AI$267,MATCH(polities_cats!AK$1,$A$1:$AN$1,0),0)</f>
        <v>#REF!</v>
      </c>
      <c r="AL128" t="e">
        <f>VLOOKUP($A128,regions_full!$A$2:$AI$267,MATCH(polities_cats!AL$1,$A$1:$AN$1,0),0)</f>
        <v>#REF!</v>
      </c>
      <c r="AM128" t="e">
        <f>VLOOKUP($A128,regions_full!$A$2:$AI$267,MATCH(polities_cats!AM$1,$A$1:$AN$1,0),0)</f>
        <v>#REF!</v>
      </c>
      <c r="AN128" t="e">
        <f>VLOOKUP($A128,regions_full!$A$2:$AI$267,MATCH(polities_cats!AN$1,$A$1:$AN$1,0),0)</f>
        <v>#REF!</v>
      </c>
    </row>
    <row r="129" spans="1:40" x14ac:dyDescent="0.3">
      <c r="A129" t="str">
        <f>polities_whep!A129</f>
        <v>PSE</v>
      </c>
      <c r="B129" t="str">
        <f>polities_whep!B129</f>
        <v>Palestine</v>
      </c>
      <c r="C129">
        <f>VLOOKUP($A129,regions_full!$A$2:$AI$267,MATCH(polities_cats!C$1,$A$1:$AN$1,0),0)</f>
        <v>258</v>
      </c>
      <c r="D129">
        <f>VLOOKUP($A129,regions_full!$A$2:$AI$267,MATCH(polities_cats!D$1,$A$1:$AN$1,0),0)</f>
        <v>299</v>
      </c>
      <c r="E129" t="str">
        <f>VLOOKUP($A129,regions_full!$A$2:$AI$267,MATCH(polities_cats!E$1,$A$1:$AN$1,0),0)</f>
        <v>PSE</v>
      </c>
      <c r="F129" t="str">
        <f>VLOOKUP($A129,regions_full!$A$2:$AI$267,MATCH(polities_cats!F$1,$A$1:$AN$1,0),0)</f>
        <v>Palestine</v>
      </c>
      <c r="G129" t="str">
        <f>VLOOKUP($A129,regions_full!$A$2:$AI$267,MATCH(polities_cats!G$1,$A$1:$AN$1,0),0)</f>
        <v>FALSE</v>
      </c>
      <c r="H129" t="str">
        <f>VLOOKUP($A129,regions_full!$A$2:$AI$267,MATCH(polities_cats!H$1,$A$1:$AN$1,0),0)</f>
        <v>Palestine</v>
      </c>
      <c r="I129" t="str">
        <f>VLOOKUP($A129,regions_full!$A$2:$AI$267,MATCH(polities_cats!I$1,$A$1:$AN$1,0),0)</f>
        <v>Palestinian Territories</v>
      </c>
      <c r="J129">
        <f>VLOOKUP($A129,regions_full!$A$2:$AI$267,MATCH(polities_cats!J$1,$A$1:$AN$1,0),0)</f>
        <v>0</v>
      </c>
      <c r="K129">
        <f>VLOOKUP($A129,regions_full!$A$2:$AI$267,MATCH(polities_cats!K$1,$A$1:$AN$1,0),0)</f>
        <v>299</v>
      </c>
      <c r="L129" t="str">
        <f>VLOOKUP($A129,regions_full!$A$2:$AI$267,MATCH(polities_cats!L$1,$A$1:$AN$1,0),0)</f>
        <v>Occupied Palestinian Territory</v>
      </c>
      <c r="M129">
        <f>VLOOKUP($A129,regions_full!$A$2:$AI$267,MATCH(polities_cats!M$1,$A$1:$AN$1,0),0)</f>
        <v>275</v>
      </c>
      <c r="N129">
        <f>VLOOKUP($A129,regions_full!$A$2:$AI$267,MATCH(polities_cats!N$1,$A$1:$AN$1,0),0)</f>
        <v>275</v>
      </c>
      <c r="O129">
        <f>VLOOKUP($A129,regions_full!$A$2:$AI$267,MATCH(polities_cats!O$1,$A$1:$AN$1,0),0)</f>
        <v>12</v>
      </c>
      <c r="P129" t="str">
        <f>VLOOKUP($A129,regions_full!$A$2:$AI$267,MATCH(polities_cats!P$1,$A$1:$AN$1,0),0)</f>
        <v>FALSE</v>
      </c>
      <c r="Q129">
        <f>VLOOKUP($A129,regions_full!$A$2:$AI$267,MATCH(polities_cats!Q$1,$A$1:$AN$1,0),0)</f>
        <v>999</v>
      </c>
      <c r="R129" t="str">
        <f>VLOOKUP($A129,regions_full!$A$2:$AI$267,MATCH(polities_cats!R$1,$A$1:$AN$1,0),0)</f>
        <v/>
      </c>
      <c r="S129" t="str">
        <f>VLOOKUP($A129,regions_full!$A$2:$AI$267,MATCH(polities_cats!S$1,$A$1:$AN$1,0),0)</f>
        <v>Middle East</v>
      </c>
      <c r="T129">
        <f>VLOOKUP($A129,regions_full!$A$2:$AI$267,MATCH(polities_cats!T$1,$A$1:$AN$1,0),0)</f>
        <v>1</v>
      </c>
      <c r="U129" t="str">
        <f>VLOOKUP($A129,regions_full!$A$2:$AI$267,MATCH(polities_cats!U$1,$A$1:$AN$1,0),0)</f>
        <v>Occupied Palestinian Territory</v>
      </c>
      <c r="V129" t="str">
        <f>VLOOKUP($A129,regions_full!$A$2:$AI$267,MATCH(polities_cats!V$1,$A$1:$AN$1,0),0)</f>
        <v>Northern Africa and Western Asia</v>
      </c>
      <c r="W129" t="str">
        <f>VLOOKUP($A129,regions_full!$A$2:$AI$267,MATCH(polities_cats!W$1,$A$1:$AN$1,0),0)</f>
        <v>North Africa and West Asia</v>
      </c>
      <c r="X129" t="str">
        <f>VLOOKUP($A129,regions_full!$A$2:$AI$267,MATCH(polities_cats!X$1,$A$1:$AN$1,0),0)</f>
        <v>MENA</v>
      </c>
      <c r="Y129" t="str">
        <f>VLOOKUP($A129,regions_full!$A$2:$AI$267,MATCH(polities_cats!Y$1,$A$1:$AN$1,0),0)</f>
        <v>Western Asia</v>
      </c>
      <c r="Z129" t="str">
        <f>VLOOKUP($A129,regions_full!$A$2:$AI$267,MATCH(polities_cats!Z$1,$A$1:$AN$1,0),0)</f>
        <v>Asia</v>
      </c>
      <c r="AA129" t="str">
        <f>VLOOKUP($A129,regions_full!$A$2:$AI$267,MATCH(polities_cats!AA$1,$A$1:$AN$1,0),0)</f>
        <v>Arab States</v>
      </c>
      <c r="AB129" t="str">
        <f>VLOOKUP($A129,regions_full!$A$2:$AI$267,MATCH(polities_cats!AB$1,$A$1:$AN$1,0),0)</f>
        <v>Arab States</v>
      </c>
      <c r="AC129" t="str">
        <f>VLOOKUP($A129,regions_full!$A$2:$AI$267,MATCH(polities_cats!AC$1,$A$1:$AN$1,0),0)</f>
        <v>Arab States</v>
      </c>
      <c r="AD129" t="str">
        <f>VLOOKUP($A129,regions_full!$A$2:$AI$267,MATCH(polities_cats!AD$1,$A$1:$AN$1,0),0)</f>
        <v>Emerging</v>
      </c>
      <c r="AE129" t="str">
        <f>VLOOKUP($A129,regions_full!$A$2:$AI$267,MATCH(polities_cats!AE$1,$A$1:$AN$1,0),0)</f>
        <v>Annex_II</v>
      </c>
      <c r="AF129" t="str">
        <f>VLOOKUP($A129,regions_full!$A$2:$AI$267,MATCH(polities_cats!AF$1,$A$1:$AN$1,0),0)</f>
        <v>Western Asia</v>
      </c>
      <c r="AG129" t="str">
        <f>VLOOKUP($A129,regions_full!$A$2:$AI$267,MATCH(polities_cats!AG$1,$A$1:$AN$1,0),0)</f>
        <v>MENA</v>
      </c>
      <c r="AH129" t="str">
        <f>VLOOKUP($A129,regions_full!$A$2:$AI$267,MATCH(polities_cats!AH$1,$A$1:$AN$1,0),0)</f>
        <v>no_mech</v>
      </c>
      <c r="AI129" t="str">
        <f>VLOOKUP($A129,regions_full!$A$2:$AI$267,MATCH(polities_cats!AI$1,$A$1:$AN$1,0),0)</f>
        <v>Other</v>
      </c>
      <c r="AJ129" t="e">
        <f>VLOOKUP($A129,regions_full!$A$2:$AI$267,MATCH(polities_cats!AJ$1,$A$1:$AN$1,0),0)</f>
        <v>#REF!</v>
      </c>
      <c r="AK129" t="e">
        <f>VLOOKUP($A129,regions_full!$A$2:$AI$267,MATCH(polities_cats!AK$1,$A$1:$AN$1,0),0)</f>
        <v>#REF!</v>
      </c>
      <c r="AL129" t="e">
        <f>VLOOKUP($A129,regions_full!$A$2:$AI$267,MATCH(polities_cats!AL$1,$A$1:$AN$1,0),0)</f>
        <v>#REF!</v>
      </c>
      <c r="AM129" t="e">
        <f>VLOOKUP($A129,regions_full!$A$2:$AI$267,MATCH(polities_cats!AM$1,$A$1:$AN$1,0),0)</f>
        <v>#REF!</v>
      </c>
      <c r="AN129" t="e">
        <f>VLOOKUP($A129,regions_full!$A$2:$AI$267,MATCH(polities_cats!AN$1,$A$1:$AN$1,0),0)</f>
        <v>#REF!</v>
      </c>
    </row>
    <row r="130" spans="1:40" x14ac:dyDescent="0.3">
      <c r="A130" t="str">
        <f>polities_whep!A130</f>
        <v>PAN</v>
      </c>
      <c r="B130" t="str">
        <f>polities_whep!B130</f>
        <v>Panama</v>
      </c>
      <c r="C130">
        <f>VLOOKUP($A130,regions_full!$A$2:$AI$267,MATCH(polities_cats!C$1,$A$1:$AN$1,0),0)</f>
        <v>163</v>
      </c>
      <c r="D130">
        <f>VLOOKUP($A130,regions_full!$A$2:$AI$267,MATCH(polities_cats!D$1,$A$1:$AN$1,0),0)</f>
        <v>166</v>
      </c>
      <c r="E130" t="str">
        <f>VLOOKUP($A130,regions_full!$A$2:$AI$267,MATCH(polities_cats!E$1,$A$1:$AN$1,0),0)</f>
        <v>PAN</v>
      </c>
      <c r="F130" t="str">
        <f>VLOOKUP($A130,regions_full!$A$2:$AI$267,MATCH(polities_cats!F$1,$A$1:$AN$1,0),0)</f>
        <v>Panama</v>
      </c>
      <c r="G130" t="str">
        <f>VLOOKUP($A130,regions_full!$A$2:$AI$267,MATCH(polities_cats!G$1,$A$1:$AN$1,0),0)</f>
        <v>FALSE</v>
      </c>
      <c r="H130" t="str">
        <f>VLOOKUP($A130,regions_full!$A$2:$AI$267,MATCH(polities_cats!H$1,$A$1:$AN$1,0),0)</f>
        <v>Panama</v>
      </c>
      <c r="I130" t="str">
        <f>VLOOKUP($A130,regions_full!$A$2:$AI$267,MATCH(polities_cats!I$1,$A$1:$AN$1,0),0)</f>
        <v>Panama</v>
      </c>
      <c r="J130" t="str">
        <f>VLOOKUP($A130,regions_full!$A$2:$AI$267,MATCH(polities_cats!J$1,$A$1:$AN$1,0),0)</f>
        <v>Panama</v>
      </c>
      <c r="K130">
        <f>VLOOKUP($A130,regions_full!$A$2:$AI$267,MATCH(polities_cats!K$1,$A$1:$AN$1,0),0)</f>
        <v>166</v>
      </c>
      <c r="L130" t="str">
        <f>VLOOKUP($A130,regions_full!$A$2:$AI$267,MATCH(polities_cats!L$1,$A$1:$AN$1,0),0)</f>
        <v>Panama</v>
      </c>
      <c r="M130">
        <f>VLOOKUP($A130,regions_full!$A$2:$AI$267,MATCH(polities_cats!M$1,$A$1:$AN$1,0),0)</f>
        <v>591</v>
      </c>
      <c r="N130">
        <f>VLOOKUP($A130,regions_full!$A$2:$AI$267,MATCH(polities_cats!N$1,$A$1:$AN$1,0),0)</f>
        <v>591</v>
      </c>
      <c r="O130">
        <f>VLOOKUP($A130,regions_full!$A$2:$AI$267,MATCH(polities_cats!O$1,$A$1:$AN$1,0),0)</f>
        <v>3</v>
      </c>
      <c r="P130" t="str">
        <f>VLOOKUP($A130,regions_full!$A$2:$AI$267,MATCH(polities_cats!P$1,$A$1:$AN$1,0),0)</f>
        <v>TRUE</v>
      </c>
      <c r="Q130">
        <f>VLOOKUP($A130,regions_full!$A$2:$AI$267,MATCH(polities_cats!Q$1,$A$1:$AN$1,0),0)</f>
        <v>166</v>
      </c>
      <c r="R130" t="str">
        <f>VLOOKUP($A130,regions_full!$A$2:$AI$267,MATCH(polities_cats!R$1,$A$1:$AN$1,0),0)</f>
        <v/>
      </c>
      <c r="S130" t="str">
        <f>VLOOKUP($A130,regions_full!$A$2:$AI$267,MATCH(polities_cats!S$1,$A$1:$AN$1,0),0)</f>
        <v>Central America</v>
      </c>
      <c r="T130">
        <f>VLOOKUP($A130,regions_full!$A$2:$AI$267,MATCH(polities_cats!T$1,$A$1:$AN$1,0),0)</f>
        <v>1</v>
      </c>
      <c r="U130" t="str">
        <f>VLOOKUP($A130,regions_full!$A$2:$AI$267,MATCH(polities_cats!U$1,$A$1:$AN$1,0),0)</f>
        <v>Panama</v>
      </c>
      <c r="V130" t="str">
        <f>VLOOKUP($A130,regions_full!$A$2:$AI$267,MATCH(polities_cats!V$1,$A$1:$AN$1,0),0)</f>
        <v>Latin America and the Caribbean</v>
      </c>
      <c r="W130" t="str">
        <f>VLOOKUP($A130,regions_full!$A$2:$AI$267,MATCH(polities_cats!W$1,$A$1:$AN$1,0),0)</f>
        <v>Latin America and Caribbean</v>
      </c>
      <c r="X130" t="str">
        <f>VLOOKUP($A130,regions_full!$A$2:$AI$267,MATCH(polities_cats!X$1,$A$1:$AN$1,0),0)</f>
        <v>LACA</v>
      </c>
      <c r="Y130" t="str">
        <f>VLOOKUP($A130,regions_full!$A$2:$AI$267,MATCH(polities_cats!Y$1,$A$1:$AN$1,0),0)</f>
        <v>Latin America and the Caribbean</v>
      </c>
      <c r="Z130" t="str">
        <f>VLOOKUP($A130,regions_full!$A$2:$AI$267,MATCH(polities_cats!Z$1,$A$1:$AN$1,0),0)</f>
        <v>Americas</v>
      </c>
      <c r="AA130" t="str">
        <f>VLOOKUP($A130,regions_full!$A$2:$AI$267,MATCH(polities_cats!AA$1,$A$1:$AN$1,0),0)</f>
        <v>Americas</v>
      </c>
      <c r="AB130" t="str">
        <f>VLOOKUP($A130,regions_full!$A$2:$AI$267,MATCH(polities_cats!AB$1,$A$1:$AN$1,0),0)</f>
        <v>Latin America and the Caribbean</v>
      </c>
      <c r="AC130" t="str">
        <f>VLOOKUP($A130,regions_full!$A$2:$AI$267,MATCH(polities_cats!AC$1,$A$1:$AN$1,0),0)</f>
        <v>Central America</v>
      </c>
      <c r="AD130" t="str">
        <f>VLOOKUP($A130,regions_full!$A$2:$AI$267,MATCH(polities_cats!AD$1,$A$1:$AN$1,0),0)</f>
        <v>Emerging</v>
      </c>
      <c r="AE130" t="str">
        <f>VLOOKUP($A130,regions_full!$A$2:$AI$267,MATCH(polities_cats!AE$1,$A$1:$AN$1,0),0)</f>
        <v>Annex_II</v>
      </c>
      <c r="AF130" t="str">
        <f>VLOOKUP($A130,regions_full!$A$2:$AI$267,MATCH(polities_cats!AF$1,$A$1:$AN$1,0),0)</f>
        <v>Caribbean &amp; Centra Am.</v>
      </c>
      <c r="AG130" t="str">
        <f>VLOOKUP($A130,regions_full!$A$2:$AI$267,MATCH(polities_cats!AG$1,$A$1:$AN$1,0),0)</f>
        <v>LACA</v>
      </c>
      <c r="AH130" t="str">
        <f>VLOOKUP($A130,regions_full!$A$2:$AI$267,MATCH(polities_cats!AH$1,$A$1:$AN$1,0),0)</f>
        <v>no_mech</v>
      </c>
      <c r="AI130" t="str">
        <f>VLOOKUP($A130,regions_full!$A$2:$AI$267,MATCH(polities_cats!AI$1,$A$1:$AN$1,0),0)</f>
        <v>Other</v>
      </c>
      <c r="AJ130" t="e">
        <f>VLOOKUP($A130,regions_full!$A$2:$AI$267,MATCH(polities_cats!AJ$1,$A$1:$AN$1,0),0)</f>
        <v>#REF!</v>
      </c>
      <c r="AK130" t="e">
        <f>VLOOKUP($A130,regions_full!$A$2:$AI$267,MATCH(polities_cats!AK$1,$A$1:$AN$1,0),0)</f>
        <v>#REF!</v>
      </c>
      <c r="AL130" t="e">
        <f>VLOOKUP($A130,regions_full!$A$2:$AI$267,MATCH(polities_cats!AL$1,$A$1:$AN$1,0),0)</f>
        <v>#REF!</v>
      </c>
      <c r="AM130" t="e">
        <f>VLOOKUP($A130,regions_full!$A$2:$AI$267,MATCH(polities_cats!AM$1,$A$1:$AN$1,0),0)</f>
        <v>#REF!</v>
      </c>
      <c r="AN130" t="e">
        <f>VLOOKUP($A130,regions_full!$A$2:$AI$267,MATCH(polities_cats!AN$1,$A$1:$AN$1,0),0)</f>
        <v>#REF!</v>
      </c>
    </row>
    <row r="131" spans="1:40" x14ac:dyDescent="0.3">
      <c r="A131" t="str">
        <f>polities_whep!A131</f>
        <v>PNG</v>
      </c>
      <c r="B131" t="str">
        <f>polities_whep!B131</f>
        <v>Papua New Guinea</v>
      </c>
      <c r="C131">
        <f>VLOOKUP($A131,regions_full!$A$2:$AI$267,MATCH(polities_cats!C$1,$A$1:$AN$1,0),0)</f>
        <v>165</v>
      </c>
      <c r="D131">
        <f>VLOOKUP($A131,regions_full!$A$2:$AI$267,MATCH(polities_cats!D$1,$A$1:$AN$1,0),0)</f>
        <v>168</v>
      </c>
      <c r="E131" t="str">
        <f>VLOOKUP($A131,regions_full!$A$2:$AI$267,MATCH(polities_cats!E$1,$A$1:$AN$1,0),0)</f>
        <v>PNG</v>
      </c>
      <c r="F131" t="str">
        <f>VLOOKUP($A131,regions_full!$A$2:$AI$267,MATCH(polities_cats!F$1,$A$1:$AN$1,0),0)</f>
        <v>Papua New Guinea</v>
      </c>
      <c r="G131" t="str">
        <f>VLOOKUP($A131,regions_full!$A$2:$AI$267,MATCH(polities_cats!G$1,$A$1:$AN$1,0),0)</f>
        <v>FALSE</v>
      </c>
      <c r="H131" t="str">
        <f>VLOOKUP($A131,regions_full!$A$2:$AI$267,MATCH(polities_cats!H$1,$A$1:$AN$1,0),0)</f>
        <v>Papua New Guinea</v>
      </c>
      <c r="I131" t="str">
        <f>VLOOKUP($A131,regions_full!$A$2:$AI$267,MATCH(polities_cats!I$1,$A$1:$AN$1,0),0)</f>
        <v>Papua New Guinea</v>
      </c>
      <c r="J131">
        <f>VLOOKUP($A131,regions_full!$A$2:$AI$267,MATCH(polities_cats!J$1,$A$1:$AN$1,0),0)</f>
        <v>0</v>
      </c>
      <c r="K131">
        <f>VLOOKUP($A131,regions_full!$A$2:$AI$267,MATCH(polities_cats!K$1,$A$1:$AN$1,0),0)</f>
        <v>168</v>
      </c>
      <c r="L131" t="str">
        <f>VLOOKUP($A131,regions_full!$A$2:$AI$267,MATCH(polities_cats!L$1,$A$1:$AN$1,0),0)</f>
        <v>Papua New Guinea</v>
      </c>
      <c r="M131">
        <f>VLOOKUP($A131,regions_full!$A$2:$AI$267,MATCH(polities_cats!M$1,$A$1:$AN$1,0),0)</f>
        <v>598</v>
      </c>
      <c r="N131">
        <f>VLOOKUP($A131,regions_full!$A$2:$AI$267,MATCH(polities_cats!N$1,$A$1:$AN$1,0),0)</f>
        <v>598</v>
      </c>
      <c r="O131">
        <f>VLOOKUP($A131,regions_full!$A$2:$AI$267,MATCH(polities_cats!O$1,$A$1:$AN$1,0),0)</f>
        <v>16</v>
      </c>
      <c r="P131" t="str">
        <f>VLOOKUP($A131,regions_full!$A$2:$AI$267,MATCH(polities_cats!P$1,$A$1:$AN$1,0),0)</f>
        <v>TRUE</v>
      </c>
      <c r="Q131">
        <f>VLOOKUP($A131,regions_full!$A$2:$AI$267,MATCH(polities_cats!Q$1,$A$1:$AN$1,0),0)</f>
        <v>168</v>
      </c>
      <c r="R131" t="str">
        <f>VLOOKUP($A131,regions_full!$A$2:$AI$267,MATCH(polities_cats!R$1,$A$1:$AN$1,0),0)</f>
        <v/>
      </c>
      <c r="S131" t="str">
        <f>VLOOKUP($A131,regions_full!$A$2:$AI$267,MATCH(polities_cats!S$1,$A$1:$AN$1,0),0)</f>
        <v>Oceania</v>
      </c>
      <c r="T131">
        <f>VLOOKUP($A131,regions_full!$A$2:$AI$267,MATCH(polities_cats!T$1,$A$1:$AN$1,0),0)</f>
        <v>1</v>
      </c>
      <c r="U131" t="str">
        <f>VLOOKUP($A131,regions_full!$A$2:$AI$267,MATCH(polities_cats!U$1,$A$1:$AN$1,0),0)</f>
        <v>Papua New Guinea</v>
      </c>
      <c r="V131" t="str">
        <f>VLOOKUP($A131,regions_full!$A$2:$AI$267,MATCH(polities_cats!V$1,$A$1:$AN$1,0),0)</f>
        <v>Australia and Oceania</v>
      </c>
      <c r="W131" t="str">
        <f>VLOOKUP($A131,regions_full!$A$2:$AI$267,MATCH(polities_cats!W$1,$A$1:$AN$1,0),0)</f>
        <v>North America and Oceania</v>
      </c>
      <c r="X131" t="str">
        <f>VLOOKUP($A131,regions_full!$A$2:$AI$267,MATCH(polities_cats!X$1,$A$1:$AN$1,0),0)</f>
        <v>Oceania</v>
      </c>
      <c r="Y131" t="str">
        <f>VLOOKUP($A131,regions_full!$A$2:$AI$267,MATCH(polities_cats!Y$1,$A$1:$AN$1,0),0)</f>
        <v>Melanesia</v>
      </c>
      <c r="Z131" t="str">
        <f>VLOOKUP($A131,regions_full!$A$2:$AI$267,MATCH(polities_cats!Z$1,$A$1:$AN$1,0),0)</f>
        <v>Oceania</v>
      </c>
      <c r="AA131" t="str">
        <f>VLOOKUP($A131,regions_full!$A$2:$AI$267,MATCH(polities_cats!AA$1,$A$1:$AN$1,0),0)</f>
        <v>Asia and the Pacific</v>
      </c>
      <c r="AB131" t="str">
        <f>VLOOKUP($A131,regions_full!$A$2:$AI$267,MATCH(polities_cats!AB$1,$A$1:$AN$1,0),0)</f>
        <v>South-Eastern Asia and the Pacific</v>
      </c>
      <c r="AC131" t="str">
        <f>VLOOKUP($A131,regions_full!$A$2:$AI$267,MATCH(polities_cats!AC$1,$A$1:$AN$1,0),0)</f>
        <v>Pacific Islands</v>
      </c>
      <c r="AD131" t="str">
        <f>VLOOKUP($A131,regions_full!$A$2:$AI$267,MATCH(polities_cats!AD$1,$A$1:$AN$1,0),0)</f>
        <v>Emerging</v>
      </c>
      <c r="AE131" t="str">
        <f>VLOOKUP($A131,regions_full!$A$2:$AI$267,MATCH(polities_cats!AE$1,$A$1:$AN$1,0),0)</f>
        <v>Annex_II</v>
      </c>
      <c r="AF131" t="str">
        <f>VLOOKUP($A131,regions_full!$A$2:$AI$267,MATCH(polities_cats!AF$1,$A$1:$AN$1,0),0)</f>
        <v>Pacific</v>
      </c>
      <c r="AG131" t="str">
        <f>VLOOKUP($A131,regions_full!$A$2:$AI$267,MATCH(polities_cats!AG$1,$A$1:$AN$1,0),0)</f>
        <v>AUS</v>
      </c>
      <c r="AH131" t="str">
        <f>VLOOKUP($A131,regions_full!$A$2:$AI$267,MATCH(polities_cats!AH$1,$A$1:$AN$1,0),0)</f>
        <v>no_mech</v>
      </c>
      <c r="AI131" t="str">
        <f>VLOOKUP($A131,regions_full!$A$2:$AI$267,MATCH(polities_cats!AI$1,$A$1:$AN$1,0),0)</f>
        <v>Other</v>
      </c>
      <c r="AJ131" t="e">
        <f>VLOOKUP($A131,regions_full!$A$2:$AI$267,MATCH(polities_cats!AJ$1,$A$1:$AN$1,0),0)</f>
        <v>#REF!</v>
      </c>
      <c r="AK131" t="e">
        <f>VLOOKUP($A131,regions_full!$A$2:$AI$267,MATCH(polities_cats!AK$1,$A$1:$AN$1,0),0)</f>
        <v>#REF!</v>
      </c>
      <c r="AL131" t="e">
        <f>VLOOKUP($A131,regions_full!$A$2:$AI$267,MATCH(polities_cats!AL$1,$A$1:$AN$1,0),0)</f>
        <v>#REF!</v>
      </c>
      <c r="AM131" t="e">
        <f>VLOOKUP($A131,regions_full!$A$2:$AI$267,MATCH(polities_cats!AM$1,$A$1:$AN$1,0),0)</f>
        <v>#REF!</v>
      </c>
      <c r="AN131" t="e">
        <f>VLOOKUP($A131,regions_full!$A$2:$AI$267,MATCH(polities_cats!AN$1,$A$1:$AN$1,0),0)</f>
        <v>#REF!</v>
      </c>
    </row>
    <row r="132" spans="1:40" x14ac:dyDescent="0.3">
      <c r="A132" t="str">
        <f>polities_whep!A132</f>
        <v>PRY</v>
      </c>
      <c r="B132" t="str">
        <f>polities_whep!B132</f>
        <v>Paraguay</v>
      </c>
      <c r="C132">
        <f>VLOOKUP($A132,regions_full!$A$2:$AI$267,MATCH(polities_cats!C$1,$A$1:$AN$1,0),0)</f>
        <v>166</v>
      </c>
      <c r="D132">
        <f>VLOOKUP($A132,regions_full!$A$2:$AI$267,MATCH(polities_cats!D$1,$A$1:$AN$1,0),0)</f>
        <v>169</v>
      </c>
      <c r="E132" t="str">
        <f>VLOOKUP($A132,regions_full!$A$2:$AI$267,MATCH(polities_cats!E$1,$A$1:$AN$1,0),0)</f>
        <v>PRY</v>
      </c>
      <c r="F132" t="str">
        <f>VLOOKUP($A132,regions_full!$A$2:$AI$267,MATCH(polities_cats!F$1,$A$1:$AN$1,0),0)</f>
        <v>Paraguay</v>
      </c>
      <c r="G132" t="str">
        <f>VLOOKUP($A132,regions_full!$A$2:$AI$267,MATCH(polities_cats!G$1,$A$1:$AN$1,0),0)</f>
        <v>FALSE</v>
      </c>
      <c r="H132" t="str">
        <f>VLOOKUP($A132,regions_full!$A$2:$AI$267,MATCH(polities_cats!H$1,$A$1:$AN$1,0),0)</f>
        <v>Paraguay</v>
      </c>
      <c r="I132" t="str">
        <f>VLOOKUP($A132,regions_full!$A$2:$AI$267,MATCH(polities_cats!I$1,$A$1:$AN$1,0),0)</f>
        <v>Paraguay</v>
      </c>
      <c r="J132" t="str">
        <f>VLOOKUP($A132,regions_full!$A$2:$AI$267,MATCH(polities_cats!J$1,$A$1:$AN$1,0),0)</f>
        <v>Paraguay</v>
      </c>
      <c r="K132">
        <f>VLOOKUP($A132,regions_full!$A$2:$AI$267,MATCH(polities_cats!K$1,$A$1:$AN$1,0),0)</f>
        <v>169</v>
      </c>
      <c r="L132" t="str">
        <f>VLOOKUP($A132,regions_full!$A$2:$AI$267,MATCH(polities_cats!L$1,$A$1:$AN$1,0),0)</f>
        <v>Paraguay</v>
      </c>
      <c r="M132">
        <f>VLOOKUP($A132,regions_full!$A$2:$AI$267,MATCH(polities_cats!M$1,$A$1:$AN$1,0),0)</f>
        <v>600</v>
      </c>
      <c r="N132">
        <f>VLOOKUP($A132,regions_full!$A$2:$AI$267,MATCH(polities_cats!N$1,$A$1:$AN$1,0),0)</f>
        <v>600</v>
      </c>
      <c r="O132">
        <f>VLOOKUP($A132,regions_full!$A$2:$AI$267,MATCH(polities_cats!O$1,$A$1:$AN$1,0),0)</f>
        <v>4</v>
      </c>
      <c r="P132" t="str">
        <f>VLOOKUP($A132,regions_full!$A$2:$AI$267,MATCH(polities_cats!P$1,$A$1:$AN$1,0),0)</f>
        <v>TRUE</v>
      </c>
      <c r="Q132">
        <f>VLOOKUP($A132,regions_full!$A$2:$AI$267,MATCH(polities_cats!Q$1,$A$1:$AN$1,0),0)</f>
        <v>169</v>
      </c>
      <c r="R132" t="str">
        <f>VLOOKUP($A132,regions_full!$A$2:$AI$267,MATCH(polities_cats!R$1,$A$1:$AN$1,0),0)</f>
        <v/>
      </c>
      <c r="S132" t="str">
        <f>VLOOKUP($A132,regions_full!$A$2:$AI$267,MATCH(polities_cats!S$1,$A$1:$AN$1,0),0)</f>
        <v>South America</v>
      </c>
      <c r="T132">
        <f>VLOOKUP($A132,regions_full!$A$2:$AI$267,MATCH(polities_cats!T$1,$A$1:$AN$1,0),0)</f>
        <v>1</v>
      </c>
      <c r="U132" t="str">
        <f>VLOOKUP($A132,regions_full!$A$2:$AI$267,MATCH(polities_cats!U$1,$A$1:$AN$1,0),0)</f>
        <v>Paraguay</v>
      </c>
      <c r="V132" t="str">
        <f>VLOOKUP($A132,regions_full!$A$2:$AI$267,MATCH(polities_cats!V$1,$A$1:$AN$1,0),0)</f>
        <v>Latin America and the Caribbean</v>
      </c>
      <c r="W132" t="str">
        <f>VLOOKUP($A132,regions_full!$A$2:$AI$267,MATCH(polities_cats!W$1,$A$1:$AN$1,0),0)</f>
        <v>Latin America and Caribbean</v>
      </c>
      <c r="X132" t="str">
        <f>VLOOKUP($A132,regions_full!$A$2:$AI$267,MATCH(polities_cats!X$1,$A$1:$AN$1,0),0)</f>
        <v>LACA</v>
      </c>
      <c r="Y132" t="str">
        <f>VLOOKUP($A132,regions_full!$A$2:$AI$267,MATCH(polities_cats!Y$1,$A$1:$AN$1,0),0)</f>
        <v>Latin America and the Caribbean</v>
      </c>
      <c r="Z132" t="str">
        <f>VLOOKUP($A132,regions_full!$A$2:$AI$267,MATCH(polities_cats!Z$1,$A$1:$AN$1,0),0)</f>
        <v>Americas</v>
      </c>
      <c r="AA132" t="str">
        <f>VLOOKUP($A132,regions_full!$A$2:$AI$267,MATCH(polities_cats!AA$1,$A$1:$AN$1,0),0)</f>
        <v>Americas</v>
      </c>
      <c r="AB132" t="str">
        <f>VLOOKUP($A132,regions_full!$A$2:$AI$267,MATCH(polities_cats!AB$1,$A$1:$AN$1,0),0)</f>
        <v>Latin America and the Caribbean</v>
      </c>
      <c r="AC132" t="str">
        <f>VLOOKUP($A132,regions_full!$A$2:$AI$267,MATCH(polities_cats!AC$1,$A$1:$AN$1,0),0)</f>
        <v>South America</v>
      </c>
      <c r="AD132" t="str">
        <f>VLOOKUP($A132,regions_full!$A$2:$AI$267,MATCH(polities_cats!AD$1,$A$1:$AN$1,0),0)</f>
        <v>Emerging</v>
      </c>
      <c r="AE132" t="str">
        <f>VLOOKUP($A132,regions_full!$A$2:$AI$267,MATCH(polities_cats!AE$1,$A$1:$AN$1,0),0)</f>
        <v>Annex_II</v>
      </c>
      <c r="AF132" t="str">
        <f>VLOOKUP($A132,regions_full!$A$2:$AI$267,MATCH(polities_cats!AF$1,$A$1:$AN$1,0),0)</f>
        <v>South America - South Cone</v>
      </c>
      <c r="AG132" t="str">
        <f>VLOOKUP($A132,regions_full!$A$2:$AI$267,MATCH(polities_cats!AG$1,$A$1:$AN$1,0),0)</f>
        <v>LACA</v>
      </c>
      <c r="AH132" t="str">
        <f>VLOOKUP($A132,regions_full!$A$2:$AI$267,MATCH(polities_cats!AH$1,$A$1:$AN$1,0),0)</f>
        <v>no_mech</v>
      </c>
      <c r="AI132" t="str">
        <f>VLOOKUP($A132,regions_full!$A$2:$AI$267,MATCH(polities_cats!AI$1,$A$1:$AN$1,0),0)</f>
        <v>Other</v>
      </c>
      <c r="AJ132" t="e">
        <f>VLOOKUP($A132,regions_full!$A$2:$AI$267,MATCH(polities_cats!AJ$1,$A$1:$AN$1,0),0)</f>
        <v>#REF!</v>
      </c>
      <c r="AK132" t="e">
        <f>VLOOKUP($A132,regions_full!$A$2:$AI$267,MATCH(polities_cats!AK$1,$A$1:$AN$1,0),0)</f>
        <v>#REF!</v>
      </c>
      <c r="AL132" t="e">
        <f>VLOOKUP($A132,regions_full!$A$2:$AI$267,MATCH(polities_cats!AL$1,$A$1:$AN$1,0),0)</f>
        <v>#REF!</v>
      </c>
      <c r="AM132" t="e">
        <f>VLOOKUP($A132,regions_full!$A$2:$AI$267,MATCH(polities_cats!AM$1,$A$1:$AN$1,0),0)</f>
        <v>#REF!</v>
      </c>
      <c r="AN132" t="e">
        <f>VLOOKUP($A132,regions_full!$A$2:$AI$267,MATCH(polities_cats!AN$1,$A$1:$AN$1,0),0)</f>
        <v>#REF!</v>
      </c>
    </row>
    <row r="133" spans="1:40" x14ac:dyDescent="0.3">
      <c r="A133" t="str">
        <f>polities_whep!A133</f>
        <v>PER</v>
      </c>
      <c r="B133" t="str">
        <f>polities_whep!B133</f>
        <v>Peru</v>
      </c>
      <c r="C133">
        <f>VLOOKUP($A133,regions_full!$A$2:$AI$267,MATCH(polities_cats!C$1,$A$1:$AN$1,0),0)</f>
        <v>167</v>
      </c>
      <c r="D133">
        <f>VLOOKUP($A133,regions_full!$A$2:$AI$267,MATCH(polities_cats!D$1,$A$1:$AN$1,0),0)</f>
        <v>170</v>
      </c>
      <c r="E133" t="str">
        <f>VLOOKUP($A133,regions_full!$A$2:$AI$267,MATCH(polities_cats!E$1,$A$1:$AN$1,0),0)</f>
        <v>PER</v>
      </c>
      <c r="F133" t="str">
        <f>VLOOKUP($A133,regions_full!$A$2:$AI$267,MATCH(polities_cats!F$1,$A$1:$AN$1,0),0)</f>
        <v>Peru</v>
      </c>
      <c r="G133" t="str">
        <f>VLOOKUP($A133,regions_full!$A$2:$AI$267,MATCH(polities_cats!G$1,$A$1:$AN$1,0),0)</f>
        <v>FALSE</v>
      </c>
      <c r="H133" t="str">
        <f>VLOOKUP($A133,regions_full!$A$2:$AI$267,MATCH(polities_cats!H$1,$A$1:$AN$1,0),0)</f>
        <v>Peru</v>
      </c>
      <c r="I133" t="str">
        <f>VLOOKUP($A133,regions_full!$A$2:$AI$267,MATCH(polities_cats!I$1,$A$1:$AN$1,0),0)</f>
        <v>Peru</v>
      </c>
      <c r="J133" t="str">
        <f>VLOOKUP($A133,regions_full!$A$2:$AI$267,MATCH(polities_cats!J$1,$A$1:$AN$1,0),0)</f>
        <v>Peru</v>
      </c>
      <c r="K133">
        <f>VLOOKUP($A133,regions_full!$A$2:$AI$267,MATCH(polities_cats!K$1,$A$1:$AN$1,0),0)</f>
        <v>170</v>
      </c>
      <c r="L133" t="str">
        <f>VLOOKUP($A133,regions_full!$A$2:$AI$267,MATCH(polities_cats!L$1,$A$1:$AN$1,0),0)</f>
        <v>Peru</v>
      </c>
      <c r="M133">
        <f>VLOOKUP($A133,regions_full!$A$2:$AI$267,MATCH(polities_cats!M$1,$A$1:$AN$1,0),0)</f>
        <v>604</v>
      </c>
      <c r="N133">
        <f>VLOOKUP($A133,regions_full!$A$2:$AI$267,MATCH(polities_cats!N$1,$A$1:$AN$1,0),0)</f>
        <v>604</v>
      </c>
      <c r="O133">
        <f>VLOOKUP($A133,regions_full!$A$2:$AI$267,MATCH(polities_cats!O$1,$A$1:$AN$1,0),0)</f>
        <v>4</v>
      </c>
      <c r="P133" t="str">
        <f>VLOOKUP($A133,regions_full!$A$2:$AI$267,MATCH(polities_cats!P$1,$A$1:$AN$1,0),0)</f>
        <v>TRUE</v>
      </c>
      <c r="Q133">
        <f>VLOOKUP($A133,regions_full!$A$2:$AI$267,MATCH(polities_cats!Q$1,$A$1:$AN$1,0),0)</f>
        <v>170</v>
      </c>
      <c r="R133" t="str">
        <f>VLOOKUP($A133,regions_full!$A$2:$AI$267,MATCH(polities_cats!R$1,$A$1:$AN$1,0),0)</f>
        <v/>
      </c>
      <c r="S133" t="str">
        <f>VLOOKUP($A133,regions_full!$A$2:$AI$267,MATCH(polities_cats!S$1,$A$1:$AN$1,0),0)</f>
        <v>South America</v>
      </c>
      <c r="T133">
        <f>VLOOKUP($A133,regions_full!$A$2:$AI$267,MATCH(polities_cats!T$1,$A$1:$AN$1,0),0)</f>
        <v>1</v>
      </c>
      <c r="U133" t="str">
        <f>VLOOKUP($A133,regions_full!$A$2:$AI$267,MATCH(polities_cats!U$1,$A$1:$AN$1,0),0)</f>
        <v>Peru</v>
      </c>
      <c r="V133" t="str">
        <f>VLOOKUP($A133,regions_full!$A$2:$AI$267,MATCH(polities_cats!V$1,$A$1:$AN$1,0),0)</f>
        <v>Latin America and the Caribbean</v>
      </c>
      <c r="W133" t="str">
        <f>VLOOKUP($A133,regions_full!$A$2:$AI$267,MATCH(polities_cats!W$1,$A$1:$AN$1,0),0)</f>
        <v>Latin America and Caribbean</v>
      </c>
      <c r="X133" t="str">
        <f>VLOOKUP($A133,regions_full!$A$2:$AI$267,MATCH(polities_cats!X$1,$A$1:$AN$1,0),0)</f>
        <v>LACA</v>
      </c>
      <c r="Y133" t="str">
        <f>VLOOKUP($A133,regions_full!$A$2:$AI$267,MATCH(polities_cats!Y$1,$A$1:$AN$1,0),0)</f>
        <v>Latin America and the Caribbean</v>
      </c>
      <c r="Z133" t="str">
        <f>VLOOKUP($A133,regions_full!$A$2:$AI$267,MATCH(polities_cats!Z$1,$A$1:$AN$1,0),0)</f>
        <v>Americas</v>
      </c>
      <c r="AA133" t="str">
        <f>VLOOKUP($A133,regions_full!$A$2:$AI$267,MATCH(polities_cats!AA$1,$A$1:$AN$1,0),0)</f>
        <v>Americas</v>
      </c>
      <c r="AB133" t="str">
        <f>VLOOKUP($A133,regions_full!$A$2:$AI$267,MATCH(polities_cats!AB$1,$A$1:$AN$1,0),0)</f>
        <v>Latin America and the Caribbean</v>
      </c>
      <c r="AC133" t="str">
        <f>VLOOKUP($A133,regions_full!$A$2:$AI$267,MATCH(polities_cats!AC$1,$A$1:$AN$1,0),0)</f>
        <v>South America</v>
      </c>
      <c r="AD133" t="str">
        <f>VLOOKUP($A133,regions_full!$A$2:$AI$267,MATCH(polities_cats!AD$1,$A$1:$AN$1,0),0)</f>
        <v>Emerging</v>
      </c>
      <c r="AE133" t="str">
        <f>VLOOKUP($A133,regions_full!$A$2:$AI$267,MATCH(polities_cats!AE$1,$A$1:$AN$1,0),0)</f>
        <v>Annex_II</v>
      </c>
      <c r="AF133" t="str">
        <f>VLOOKUP($A133,regions_full!$A$2:$AI$267,MATCH(polities_cats!AF$1,$A$1:$AN$1,0),0)</f>
        <v>Andean &amp; Mexico</v>
      </c>
      <c r="AG133" t="str">
        <f>VLOOKUP($A133,regions_full!$A$2:$AI$267,MATCH(polities_cats!AG$1,$A$1:$AN$1,0),0)</f>
        <v>LACA</v>
      </c>
      <c r="AH133" t="str">
        <f>VLOOKUP($A133,regions_full!$A$2:$AI$267,MATCH(polities_cats!AH$1,$A$1:$AN$1,0),0)</f>
        <v>no_mech</v>
      </c>
      <c r="AI133" t="str">
        <f>VLOOKUP($A133,regions_full!$A$2:$AI$267,MATCH(polities_cats!AI$1,$A$1:$AN$1,0),0)</f>
        <v>Other</v>
      </c>
      <c r="AJ133" t="e">
        <f>VLOOKUP($A133,regions_full!$A$2:$AI$267,MATCH(polities_cats!AJ$1,$A$1:$AN$1,0),0)</f>
        <v>#REF!</v>
      </c>
      <c r="AK133" t="e">
        <f>VLOOKUP($A133,regions_full!$A$2:$AI$267,MATCH(polities_cats!AK$1,$A$1:$AN$1,0),0)</f>
        <v>#REF!</v>
      </c>
      <c r="AL133" t="e">
        <f>VLOOKUP($A133,regions_full!$A$2:$AI$267,MATCH(polities_cats!AL$1,$A$1:$AN$1,0),0)</f>
        <v>#REF!</v>
      </c>
      <c r="AM133" t="e">
        <f>VLOOKUP($A133,regions_full!$A$2:$AI$267,MATCH(polities_cats!AM$1,$A$1:$AN$1,0),0)</f>
        <v>#REF!</v>
      </c>
      <c r="AN133" t="e">
        <f>VLOOKUP($A133,regions_full!$A$2:$AI$267,MATCH(polities_cats!AN$1,$A$1:$AN$1,0),0)</f>
        <v>#REF!</v>
      </c>
    </row>
    <row r="134" spans="1:40" x14ac:dyDescent="0.3">
      <c r="A134" t="str">
        <f>polities_whep!A134</f>
        <v>PHL</v>
      </c>
      <c r="B134" t="str">
        <f>polities_whep!B134</f>
        <v>Philippines</v>
      </c>
      <c r="C134">
        <f>VLOOKUP($A134,regions_full!$A$2:$AI$267,MATCH(polities_cats!C$1,$A$1:$AN$1,0),0)</f>
        <v>168</v>
      </c>
      <c r="D134">
        <f>VLOOKUP($A134,regions_full!$A$2:$AI$267,MATCH(polities_cats!D$1,$A$1:$AN$1,0),0)</f>
        <v>171</v>
      </c>
      <c r="E134" t="str">
        <f>VLOOKUP($A134,regions_full!$A$2:$AI$267,MATCH(polities_cats!E$1,$A$1:$AN$1,0),0)</f>
        <v>PHL</v>
      </c>
      <c r="F134" t="str">
        <f>VLOOKUP($A134,regions_full!$A$2:$AI$267,MATCH(polities_cats!F$1,$A$1:$AN$1,0),0)</f>
        <v>Philippines</v>
      </c>
      <c r="G134" t="str">
        <f>VLOOKUP($A134,regions_full!$A$2:$AI$267,MATCH(polities_cats!G$1,$A$1:$AN$1,0),0)</f>
        <v>FALSE</v>
      </c>
      <c r="H134" t="str">
        <f>VLOOKUP($A134,regions_full!$A$2:$AI$267,MATCH(polities_cats!H$1,$A$1:$AN$1,0),0)</f>
        <v>Philippines</v>
      </c>
      <c r="I134" t="str">
        <f>VLOOKUP($A134,regions_full!$A$2:$AI$267,MATCH(polities_cats!I$1,$A$1:$AN$1,0),0)</f>
        <v>Philippines</v>
      </c>
      <c r="J134" t="str">
        <f>VLOOKUP($A134,regions_full!$A$2:$AI$267,MATCH(polities_cats!J$1,$A$1:$AN$1,0),0)</f>
        <v>Philippines</v>
      </c>
      <c r="K134">
        <f>VLOOKUP($A134,regions_full!$A$2:$AI$267,MATCH(polities_cats!K$1,$A$1:$AN$1,0),0)</f>
        <v>171</v>
      </c>
      <c r="L134" t="str">
        <f>VLOOKUP($A134,regions_full!$A$2:$AI$267,MATCH(polities_cats!L$1,$A$1:$AN$1,0),0)</f>
        <v>Philippines</v>
      </c>
      <c r="M134">
        <f>VLOOKUP($A134,regions_full!$A$2:$AI$267,MATCH(polities_cats!M$1,$A$1:$AN$1,0),0)</f>
        <v>608</v>
      </c>
      <c r="N134">
        <f>VLOOKUP($A134,regions_full!$A$2:$AI$267,MATCH(polities_cats!N$1,$A$1:$AN$1,0),0)</f>
        <v>608</v>
      </c>
      <c r="O134">
        <f>VLOOKUP($A134,regions_full!$A$2:$AI$267,MATCH(polities_cats!O$1,$A$1:$AN$1,0),0)</f>
        <v>15</v>
      </c>
      <c r="P134" t="str">
        <f>VLOOKUP($A134,regions_full!$A$2:$AI$267,MATCH(polities_cats!P$1,$A$1:$AN$1,0),0)</f>
        <v>TRUE</v>
      </c>
      <c r="Q134">
        <f>VLOOKUP($A134,regions_full!$A$2:$AI$267,MATCH(polities_cats!Q$1,$A$1:$AN$1,0),0)</f>
        <v>171</v>
      </c>
      <c r="R134" t="str">
        <f>VLOOKUP($A134,regions_full!$A$2:$AI$267,MATCH(polities_cats!R$1,$A$1:$AN$1,0),0)</f>
        <v/>
      </c>
      <c r="S134" t="str">
        <f>VLOOKUP($A134,regions_full!$A$2:$AI$267,MATCH(polities_cats!S$1,$A$1:$AN$1,0),0)</f>
        <v>South East Asia</v>
      </c>
      <c r="T134">
        <f>VLOOKUP($A134,regions_full!$A$2:$AI$267,MATCH(polities_cats!T$1,$A$1:$AN$1,0),0)</f>
        <v>1</v>
      </c>
      <c r="U134" t="str">
        <f>VLOOKUP($A134,regions_full!$A$2:$AI$267,MATCH(polities_cats!U$1,$A$1:$AN$1,0),0)</f>
        <v>Philippines</v>
      </c>
      <c r="V134" t="str">
        <f>VLOOKUP($A134,regions_full!$A$2:$AI$267,MATCH(polities_cats!V$1,$A$1:$AN$1,0),0)</f>
        <v>Southeastern Asia</v>
      </c>
      <c r="W134" t="str">
        <f>VLOOKUP($A134,regions_full!$A$2:$AI$267,MATCH(polities_cats!W$1,$A$1:$AN$1,0),0)</f>
        <v>South and Central Asia</v>
      </c>
      <c r="X134" t="str">
        <f>VLOOKUP($A134,regions_full!$A$2:$AI$267,MATCH(polities_cats!X$1,$A$1:$AN$1,0),0)</f>
        <v>S&amp;E Asia</v>
      </c>
      <c r="Y134" t="str">
        <f>VLOOKUP($A134,regions_full!$A$2:$AI$267,MATCH(polities_cats!Y$1,$A$1:$AN$1,0),0)</f>
        <v>South-eastern Asia</v>
      </c>
      <c r="Z134" t="str">
        <f>VLOOKUP($A134,regions_full!$A$2:$AI$267,MATCH(polities_cats!Z$1,$A$1:$AN$1,0),0)</f>
        <v>Asia</v>
      </c>
      <c r="AA134" t="str">
        <f>VLOOKUP($A134,regions_full!$A$2:$AI$267,MATCH(polities_cats!AA$1,$A$1:$AN$1,0),0)</f>
        <v>Asia and the Pacific</v>
      </c>
      <c r="AB134" t="str">
        <f>VLOOKUP($A134,regions_full!$A$2:$AI$267,MATCH(polities_cats!AB$1,$A$1:$AN$1,0),0)</f>
        <v>South-Eastern Asia and the Pacific</v>
      </c>
      <c r="AC134" t="str">
        <f>VLOOKUP($A134,regions_full!$A$2:$AI$267,MATCH(polities_cats!AC$1,$A$1:$AN$1,0),0)</f>
        <v>South-Eastern Asia</v>
      </c>
      <c r="AD134" t="str">
        <f>VLOOKUP($A134,regions_full!$A$2:$AI$267,MATCH(polities_cats!AD$1,$A$1:$AN$1,0),0)</f>
        <v>Emerging</v>
      </c>
      <c r="AE134" t="str">
        <f>VLOOKUP($A134,regions_full!$A$2:$AI$267,MATCH(polities_cats!AE$1,$A$1:$AN$1,0),0)</f>
        <v>Annex_II</v>
      </c>
      <c r="AF134" t="str">
        <f>VLOOKUP($A134,regions_full!$A$2:$AI$267,MATCH(polities_cats!AF$1,$A$1:$AN$1,0),0)</f>
        <v>South-eastern Asia</v>
      </c>
      <c r="AG134" t="str">
        <f>VLOOKUP($A134,regions_full!$A$2:$AI$267,MATCH(polities_cats!AG$1,$A$1:$AN$1,0),0)</f>
        <v>SE-Asia</v>
      </c>
      <c r="AH134" t="str">
        <f>VLOOKUP($A134,regions_full!$A$2:$AI$267,MATCH(polities_cats!AH$1,$A$1:$AN$1,0),0)</f>
        <v>no_mech</v>
      </c>
      <c r="AI134" t="str">
        <f>VLOOKUP($A134,regions_full!$A$2:$AI$267,MATCH(polities_cats!AI$1,$A$1:$AN$1,0),0)</f>
        <v>Other</v>
      </c>
      <c r="AJ134" t="e">
        <f>VLOOKUP($A134,regions_full!$A$2:$AI$267,MATCH(polities_cats!AJ$1,$A$1:$AN$1,0),0)</f>
        <v>#REF!</v>
      </c>
      <c r="AK134" t="e">
        <f>VLOOKUP($A134,regions_full!$A$2:$AI$267,MATCH(polities_cats!AK$1,$A$1:$AN$1,0),0)</f>
        <v>#REF!</v>
      </c>
      <c r="AL134" t="e">
        <f>VLOOKUP($A134,regions_full!$A$2:$AI$267,MATCH(polities_cats!AL$1,$A$1:$AN$1,0),0)</f>
        <v>#REF!</v>
      </c>
      <c r="AM134" t="e">
        <f>VLOOKUP($A134,regions_full!$A$2:$AI$267,MATCH(polities_cats!AM$1,$A$1:$AN$1,0),0)</f>
        <v>#REF!</v>
      </c>
      <c r="AN134" t="e">
        <f>VLOOKUP($A134,regions_full!$A$2:$AI$267,MATCH(polities_cats!AN$1,$A$1:$AN$1,0),0)</f>
        <v>#REF!</v>
      </c>
    </row>
    <row r="135" spans="1:40" x14ac:dyDescent="0.3">
      <c r="A135" t="str">
        <f>polities_whep!A135</f>
        <v>POL</v>
      </c>
      <c r="B135" t="str">
        <f>polities_whep!B135</f>
        <v>Poland</v>
      </c>
      <c r="C135">
        <f>VLOOKUP($A135,regions_full!$A$2:$AI$267,MATCH(polities_cats!C$1,$A$1:$AN$1,0),0)</f>
        <v>170</v>
      </c>
      <c r="D135">
        <f>VLOOKUP($A135,regions_full!$A$2:$AI$267,MATCH(polities_cats!D$1,$A$1:$AN$1,0),0)</f>
        <v>173</v>
      </c>
      <c r="E135" t="str">
        <f>VLOOKUP($A135,regions_full!$A$2:$AI$267,MATCH(polities_cats!E$1,$A$1:$AN$1,0),0)</f>
        <v>POL</v>
      </c>
      <c r="F135" t="str">
        <f>VLOOKUP($A135,regions_full!$A$2:$AI$267,MATCH(polities_cats!F$1,$A$1:$AN$1,0),0)</f>
        <v>Poland</v>
      </c>
      <c r="G135" t="str">
        <f>VLOOKUP($A135,regions_full!$A$2:$AI$267,MATCH(polities_cats!G$1,$A$1:$AN$1,0),0)</f>
        <v>TRUE</v>
      </c>
      <c r="H135" t="str">
        <f>VLOOKUP($A135,regions_full!$A$2:$AI$267,MATCH(polities_cats!H$1,$A$1:$AN$1,0),0)</f>
        <v>Poland</v>
      </c>
      <c r="I135" t="str">
        <f>VLOOKUP($A135,regions_full!$A$2:$AI$267,MATCH(polities_cats!I$1,$A$1:$AN$1,0),0)</f>
        <v>Poland</v>
      </c>
      <c r="J135" t="str">
        <f>VLOOKUP($A135,regions_full!$A$2:$AI$267,MATCH(polities_cats!J$1,$A$1:$AN$1,0),0)</f>
        <v>Poland</v>
      </c>
      <c r="K135">
        <f>VLOOKUP($A135,regions_full!$A$2:$AI$267,MATCH(polities_cats!K$1,$A$1:$AN$1,0),0)</f>
        <v>173</v>
      </c>
      <c r="L135" t="str">
        <f>VLOOKUP($A135,regions_full!$A$2:$AI$267,MATCH(polities_cats!L$1,$A$1:$AN$1,0),0)</f>
        <v>Poland</v>
      </c>
      <c r="M135">
        <f>VLOOKUP($A135,regions_full!$A$2:$AI$267,MATCH(polities_cats!M$1,$A$1:$AN$1,0),0)</f>
        <v>616</v>
      </c>
      <c r="N135">
        <f>VLOOKUP($A135,regions_full!$A$2:$AI$267,MATCH(polities_cats!N$1,$A$1:$AN$1,0),0)</f>
        <v>616</v>
      </c>
      <c r="O135">
        <f>VLOOKUP($A135,regions_full!$A$2:$AI$267,MATCH(polities_cats!O$1,$A$1:$AN$1,0),0)</f>
        <v>10</v>
      </c>
      <c r="P135" t="str">
        <f>VLOOKUP($A135,regions_full!$A$2:$AI$267,MATCH(polities_cats!P$1,$A$1:$AN$1,0),0)</f>
        <v>TRUE</v>
      </c>
      <c r="Q135">
        <f>VLOOKUP($A135,regions_full!$A$2:$AI$267,MATCH(polities_cats!Q$1,$A$1:$AN$1,0),0)</f>
        <v>173</v>
      </c>
      <c r="R135" t="str">
        <f>VLOOKUP($A135,regions_full!$A$2:$AI$267,MATCH(polities_cats!R$1,$A$1:$AN$1,0),0)</f>
        <v>PL</v>
      </c>
      <c r="S135" t="str">
        <f>VLOOKUP($A135,regions_full!$A$2:$AI$267,MATCH(polities_cats!S$1,$A$1:$AN$1,0),0)</f>
        <v>Eastern Europe</v>
      </c>
      <c r="T135">
        <f>VLOOKUP($A135,regions_full!$A$2:$AI$267,MATCH(polities_cats!T$1,$A$1:$AN$1,0),0)</f>
        <v>1</v>
      </c>
      <c r="U135" t="str">
        <f>VLOOKUP($A135,regions_full!$A$2:$AI$267,MATCH(polities_cats!U$1,$A$1:$AN$1,0),0)</f>
        <v>Poland</v>
      </c>
      <c r="V135" t="str">
        <f>VLOOKUP($A135,regions_full!$A$2:$AI$267,MATCH(polities_cats!V$1,$A$1:$AN$1,0),0)</f>
        <v>Eastern and South Eastern Europe</v>
      </c>
      <c r="W135" t="str">
        <f>VLOOKUP($A135,regions_full!$A$2:$AI$267,MATCH(polities_cats!W$1,$A$1:$AN$1,0),0)</f>
        <v>East Europe</v>
      </c>
      <c r="X135" t="str">
        <f>VLOOKUP($A135,regions_full!$A$2:$AI$267,MATCH(polities_cats!X$1,$A$1:$AN$1,0),0)</f>
        <v>Europe</v>
      </c>
      <c r="Y135" t="str">
        <f>VLOOKUP($A135,regions_full!$A$2:$AI$267,MATCH(polities_cats!Y$1,$A$1:$AN$1,0),0)</f>
        <v>Eastern Europe</v>
      </c>
      <c r="Z135" t="str">
        <f>VLOOKUP($A135,regions_full!$A$2:$AI$267,MATCH(polities_cats!Z$1,$A$1:$AN$1,0),0)</f>
        <v>Europe</v>
      </c>
      <c r="AA135" t="str">
        <f>VLOOKUP($A135,regions_full!$A$2:$AI$267,MATCH(polities_cats!AA$1,$A$1:$AN$1,0),0)</f>
        <v>Europe and Central Asia</v>
      </c>
      <c r="AB135" t="str">
        <f>VLOOKUP($A135,regions_full!$A$2:$AI$267,MATCH(polities_cats!AB$1,$A$1:$AN$1,0),0)</f>
        <v>Eastern Europe</v>
      </c>
      <c r="AC135" t="str">
        <f>VLOOKUP($A135,regions_full!$A$2:$AI$267,MATCH(polities_cats!AC$1,$A$1:$AN$1,0),0)</f>
        <v>Eastern Europe</v>
      </c>
      <c r="AD135" t="str">
        <f>VLOOKUP($A135,regions_full!$A$2:$AI$267,MATCH(polities_cats!AD$1,$A$1:$AN$1,0),0)</f>
        <v>Advanced</v>
      </c>
      <c r="AE135" t="str">
        <f>VLOOKUP($A135,regions_full!$A$2:$AI$267,MATCH(polities_cats!AE$1,$A$1:$AN$1,0),0)</f>
        <v>Annex_I</v>
      </c>
      <c r="AF135" t="str">
        <f>VLOOKUP($A135,regions_full!$A$2:$AI$267,MATCH(polities_cats!AF$1,$A$1:$AN$1,0),0)</f>
        <v>Eastern Europe</v>
      </c>
      <c r="AG135" t="str">
        <f>VLOOKUP($A135,regions_full!$A$2:$AI$267,MATCH(polities_cats!AG$1,$A$1:$AN$1,0),0)</f>
        <v>Europe</v>
      </c>
      <c r="AH135" t="str">
        <f>VLOOKUP($A135,regions_full!$A$2:$AI$267,MATCH(polities_cats!AH$1,$A$1:$AN$1,0),0)</f>
        <v>mech</v>
      </c>
      <c r="AI135" t="str">
        <f>VLOOKUP($A135,regions_full!$A$2:$AI$267,MATCH(polities_cats!AI$1,$A$1:$AN$1,0),0)</f>
        <v>Europe</v>
      </c>
      <c r="AJ135" t="e">
        <f>VLOOKUP($A135,regions_full!$A$2:$AI$267,MATCH(polities_cats!AJ$1,$A$1:$AN$1,0),0)</f>
        <v>#REF!</v>
      </c>
      <c r="AK135" t="e">
        <f>VLOOKUP($A135,regions_full!$A$2:$AI$267,MATCH(polities_cats!AK$1,$A$1:$AN$1,0),0)</f>
        <v>#REF!</v>
      </c>
      <c r="AL135" t="e">
        <f>VLOOKUP($A135,regions_full!$A$2:$AI$267,MATCH(polities_cats!AL$1,$A$1:$AN$1,0),0)</f>
        <v>#REF!</v>
      </c>
      <c r="AM135" t="e">
        <f>VLOOKUP($A135,regions_full!$A$2:$AI$267,MATCH(polities_cats!AM$1,$A$1:$AN$1,0),0)</f>
        <v>#REF!</v>
      </c>
      <c r="AN135" t="e">
        <f>VLOOKUP($A135,regions_full!$A$2:$AI$267,MATCH(polities_cats!AN$1,$A$1:$AN$1,0),0)</f>
        <v>#REF!</v>
      </c>
    </row>
    <row r="136" spans="1:40" x14ac:dyDescent="0.3">
      <c r="A136" t="str">
        <f>polities_whep!A136</f>
        <v>PRT</v>
      </c>
      <c r="B136" t="str">
        <f>polities_whep!B136</f>
        <v>Portugal</v>
      </c>
      <c r="C136">
        <f>VLOOKUP($A136,regions_full!$A$2:$AI$267,MATCH(polities_cats!C$1,$A$1:$AN$1,0),0)</f>
        <v>171</v>
      </c>
      <c r="D136">
        <f>VLOOKUP($A136,regions_full!$A$2:$AI$267,MATCH(polities_cats!D$1,$A$1:$AN$1,0),0)</f>
        <v>174</v>
      </c>
      <c r="E136" t="str">
        <f>VLOOKUP($A136,regions_full!$A$2:$AI$267,MATCH(polities_cats!E$1,$A$1:$AN$1,0),0)</f>
        <v>PRT</v>
      </c>
      <c r="F136" t="str">
        <f>VLOOKUP($A136,regions_full!$A$2:$AI$267,MATCH(polities_cats!F$1,$A$1:$AN$1,0),0)</f>
        <v>Portugal</v>
      </c>
      <c r="G136" t="str">
        <f>VLOOKUP($A136,regions_full!$A$2:$AI$267,MATCH(polities_cats!G$1,$A$1:$AN$1,0),0)</f>
        <v>TRUE</v>
      </c>
      <c r="H136" t="str">
        <f>VLOOKUP($A136,regions_full!$A$2:$AI$267,MATCH(polities_cats!H$1,$A$1:$AN$1,0),0)</f>
        <v>Portugal</v>
      </c>
      <c r="I136" t="str">
        <f>VLOOKUP($A136,regions_full!$A$2:$AI$267,MATCH(polities_cats!I$1,$A$1:$AN$1,0),0)</f>
        <v>Portugal</v>
      </c>
      <c r="J136" t="str">
        <f>VLOOKUP($A136,regions_full!$A$2:$AI$267,MATCH(polities_cats!J$1,$A$1:$AN$1,0),0)</f>
        <v>Portugal</v>
      </c>
      <c r="K136">
        <f>VLOOKUP($A136,regions_full!$A$2:$AI$267,MATCH(polities_cats!K$1,$A$1:$AN$1,0),0)</f>
        <v>174</v>
      </c>
      <c r="L136" t="str">
        <f>VLOOKUP($A136,regions_full!$A$2:$AI$267,MATCH(polities_cats!L$1,$A$1:$AN$1,0),0)</f>
        <v>Portugal</v>
      </c>
      <c r="M136">
        <f>VLOOKUP($A136,regions_full!$A$2:$AI$267,MATCH(polities_cats!M$1,$A$1:$AN$1,0),0)</f>
        <v>620</v>
      </c>
      <c r="N136">
        <f>VLOOKUP($A136,regions_full!$A$2:$AI$267,MATCH(polities_cats!N$1,$A$1:$AN$1,0),0)</f>
        <v>620</v>
      </c>
      <c r="O136">
        <f>VLOOKUP($A136,regions_full!$A$2:$AI$267,MATCH(polities_cats!O$1,$A$1:$AN$1,0),0)</f>
        <v>9</v>
      </c>
      <c r="P136" t="str">
        <f>VLOOKUP($A136,regions_full!$A$2:$AI$267,MATCH(polities_cats!P$1,$A$1:$AN$1,0),0)</f>
        <v>TRUE</v>
      </c>
      <c r="Q136">
        <f>VLOOKUP($A136,regions_full!$A$2:$AI$267,MATCH(polities_cats!Q$1,$A$1:$AN$1,0),0)</f>
        <v>174</v>
      </c>
      <c r="R136" t="str">
        <f>VLOOKUP($A136,regions_full!$A$2:$AI$267,MATCH(polities_cats!R$1,$A$1:$AN$1,0),0)</f>
        <v>PT</v>
      </c>
      <c r="S136" t="str">
        <f>VLOOKUP($A136,regions_full!$A$2:$AI$267,MATCH(polities_cats!S$1,$A$1:$AN$1,0),0)</f>
        <v>OECD Europe</v>
      </c>
      <c r="T136">
        <f>VLOOKUP($A136,regions_full!$A$2:$AI$267,MATCH(polities_cats!T$1,$A$1:$AN$1,0),0)</f>
        <v>1</v>
      </c>
      <c r="U136" t="str">
        <f>VLOOKUP($A136,regions_full!$A$2:$AI$267,MATCH(polities_cats!U$1,$A$1:$AN$1,0),0)</f>
        <v>Portugal</v>
      </c>
      <c r="V136" t="str">
        <f>VLOOKUP($A136,regions_full!$A$2:$AI$267,MATCH(polities_cats!V$1,$A$1:$AN$1,0),0)</f>
        <v>Western Europe</v>
      </c>
      <c r="W136" t="str">
        <f>VLOOKUP($A136,regions_full!$A$2:$AI$267,MATCH(polities_cats!W$1,$A$1:$AN$1,0),0)</f>
        <v>West Europe</v>
      </c>
      <c r="X136" t="str">
        <f>VLOOKUP($A136,regions_full!$A$2:$AI$267,MATCH(polities_cats!X$1,$A$1:$AN$1,0),0)</f>
        <v>Europe</v>
      </c>
      <c r="Y136" t="str">
        <f>VLOOKUP($A136,regions_full!$A$2:$AI$267,MATCH(polities_cats!Y$1,$A$1:$AN$1,0),0)</f>
        <v>Southern Europe</v>
      </c>
      <c r="Z136" t="str">
        <f>VLOOKUP($A136,regions_full!$A$2:$AI$267,MATCH(polities_cats!Z$1,$A$1:$AN$1,0),0)</f>
        <v>Europe</v>
      </c>
      <c r="AA136" t="str">
        <f>VLOOKUP($A136,regions_full!$A$2:$AI$267,MATCH(polities_cats!AA$1,$A$1:$AN$1,0),0)</f>
        <v>Europe and Central Asia</v>
      </c>
      <c r="AB136" t="str">
        <f>VLOOKUP($A136,regions_full!$A$2:$AI$267,MATCH(polities_cats!AB$1,$A$1:$AN$1,0),0)</f>
        <v>Northern, Southern and Western Europe</v>
      </c>
      <c r="AC136" t="str">
        <f>VLOOKUP($A136,regions_full!$A$2:$AI$267,MATCH(polities_cats!AC$1,$A$1:$AN$1,0),0)</f>
        <v>Southern Europe</v>
      </c>
      <c r="AD136" t="str">
        <f>VLOOKUP($A136,regions_full!$A$2:$AI$267,MATCH(polities_cats!AD$1,$A$1:$AN$1,0),0)</f>
        <v>Advanced</v>
      </c>
      <c r="AE136" t="str">
        <f>VLOOKUP($A136,regions_full!$A$2:$AI$267,MATCH(polities_cats!AE$1,$A$1:$AN$1,0),0)</f>
        <v>Annex_I</v>
      </c>
      <c r="AF136" t="str">
        <f>VLOOKUP($A136,regions_full!$A$2:$AI$267,MATCH(polities_cats!AF$1,$A$1:$AN$1,0),0)</f>
        <v>Southern Europe</v>
      </c>
      <c r="AG136" t="str">
        <f>VLOOKUP($A136,regions_full!$A$2:$AI$267,MATCH(polities_cats!AG$1,$A$1:$AN$1,0),0)</f>
        <v>Europe</v>
      </c>
      <c r="AH136" t="str">
        <f>VLOOKUP($A136,regions_full!$A$2:$AI$267,MATCH(polities_cats!AH$1,$A$1:$AN$1,0),0)</f>
        <v>mech</v>
      </c>
      <c r="AI136" t="str">
        <f>VLOOKUP($A136,regions_full!$A$2:$AI$267,MATCH(polities_cats!AI$1,$A$1:$AN$1,0),0)</f>
        <v>Europe</v>
      </c>
      <c r="AJ136" t="e">
        <f>VLOOKUP($A136,regions_full!$A$2:$AI$267,MATCH(polities_cats!AJ$1,$A$1:$AN$1,0),0)</f>
        <v>#REF!</v>
      </c>
      <c r="AK136" t="e">
        <f>VLOOKUP($A136,regions_full!$A$2:$AI$267,MATCH(polities_cats!AK$1,$A$1:$AN$1,0),0)</f>
        <v>#REF!</v>
      </c>
      <c r="AL136" t="e">
        <f>VLOOKUP($A136,regions_full!$A$2:$AI$267,MATCH(polities_cats!AL$1,$A$1:$AN$1,0),0)</f>
        <v>#REF!</v>
      </c>
      <c r="AM136" t="e">
        <f>VLOOKUP($A136,regions_full!$A$2:$AI$267,MATCH(polities_cats!AM$1,$A$1:$AN$1,0),0)</f>
        <v>#REF!</v>
      </c>
      <c r="AN136" t="e">
        <f>VLOOKUP($A136,regions_full!$A$2:$AI$267,MATCH(polities_cats!AN$1,$A$1:$AN$1,0),0)</f>
        <v>#REF!</v>
      </c>
    </row>
    <row r="137" spans="1:40" x14ac:dyDescent="0.3">
      <c r="A137" t="str">
        <f>polities_whep!A137</f>
        <v>PRI</v>
      </c>
      <c r="B137" t="str">
        <f>polities_whep!B137</f>
        <v>Puerto Rico</v>
      </c>
      <c r="C137">
        <f>VLOOKUP($A137,regions_full!$A$2:$AI$267,MATCH(polities_cats!C$1,$A$1:$AN$1,0),0)</f>
        <v>174</v>
      </c>
      <c r="D137">
        <f>VLOOKUP($A137,regions_full!$A$2:$AI$267,MATCH(polities_cats!D$1,$A$1:$AN$1,0),0)</f>
        <v>177</v>
      </c>
      <c r="E137" t="str">
        <f>VLOOKUP($A137,regions_full!$A$2:$AI$267,MATCH(polities_cats!E$1,$A$1:$AN$1,0),0)</f>
        <v>PRI</v>
      </c>
      <c r="F137" t="str">
        <f>VLOOKUP($A137,regions_full!$A$2:$AI$267,MATCH(polities_cats!F$1,$A$1:$AN$1,0),0)</f>
        <v>Puerto Rico</v>
      </c>
      <c r="G137" t="str">
        <f>VLOOKUP($A137,regions_full!$A$2:$AI$267,MATCH(polities_cats!G$1,$A$1:$AN$1,0),0)</f>
        <v>FALSE</v>
      </c>
      <c r="H137" t="str">
        <f>VLOOKUP($A137,regions_full!$A$2:$AI$267,MATCH(polities_cats!H$1,$A$1:$AN$1,0),0)</f>
        <v>Puerto Rico</v>
      </c>
      <c r="I137" t="str">
        <f>VLOOKUP($A137,regions_full!$A$2:$AI$267,MATCH(polities_cats!I$1,$A$1:$AN$1,0),0)</f>
        <v>Puerto Rico</v>
      </c>
      <c r="J137">
        <f>VLOOKUP($A137,regions_full!$A$2:$AI$267,MATCH(polities_cats!J$1,$A$1:$AN$1,0),0)</f>
        <v>0</v>
      </c>
      <c r="K137">
        <f>VLOOKUP($A137,regions_full!$A$2:$AI$267,MATCH(polities_cats!K$1,$A$1:$AN$1,0),0)</f>
        <v>177</v>
      </c>
      <c r="L137" t="str">
        <f>VLOOKUP($A137,regions_full!$A$2:$AI$267,MATCH(polities_cats!L$1,$A$1:$AN$1,0),0)</f>
        <v>Puerto Rico</v>
      </c>
      <c r="M137" t="str">
        <f>VLOOKUP($A137,regions_full!$A$2:$AI$267,MATCH(polities_cats!M$1,$A$1:$AN$1,0),0)</f>
        <v>NA</v>
      </c>
      <c r="N137">
        <f>VLOOKUP($A137,regions_full!$A$2:$AI$267,MATCH(polities_cats!N$1,$A$1:$AN$1,0),0)</f>
        <v>630</v>
      </c>
      <c r="O137">
        <f>VLOOKUP($A137,regions_full!$A$2:$AI$267,MATCH(polities_cats!O$1,$A$1:$AN$1,0),0)</f>
        <v>3</v>
      </c>
      <c r="P137" t="str">
        <f>VLOOKUP($A137,regions_full!$A$2:$AI$267,MATCH(polities_cats!P$1,$A$1:$AN$1,0),0)</f>
        <v>TRUE</v>
      </c>
      <c r="Q137">
        <f>VLOOKUP($A137,regions_full!$A$2:$AI$267,MATCH(polities_cats!Q$1,$A$1:$AN$1,0),0)</f>
        <v>177</v>
      </c>
      <c r="R137" t="str">
        <f>VLOOKUP($A137,regions_full!$A$2:$AI$267,MATCH(polities_cats!R$1,$A$1:$AN$1,0),0)</f>
        <v/>
      </c>
      <c r="S137" t="str">
        <f>VLOOKUP($A137,regions_full!$A$2:$AI$267,MATCH(polities_cats!S$1,$A$1:$AN$1,0),0)</f>
        <v>Central America</v>
      </c>
      <c r="T137">
        <f>VLOOKUP($A137,regions_full!$A$2:$AI$267,MATCH(polities_cats!T$1,$A$1:$AN$1,0),0)</f>
        <v>1</v>
      </c>
      <c r="U137" t="str">
        <f>VLOOKUP($A137,regions_full!$A$2:$AI$267,MATCH(polities_cats!U$1,$A$1:$AN$1,0),0)</f>
        <v>Puerto Rico</v>
      </c>
      <c r="V137" t="str">
        <f>VLOOKUP($A137,regions_full!$A$2:$AI$267,MATCH(polities_cats!V$1,$A$1:$AN$1,0),0)</f>
        <v>Latin America and the Caribbean</v>
      </c>
      <c r="W137" t="str">
        <f>VLOOKUP($A137,regions_full!$A$2:$AI$267,MATCH(polities_cats!W$1,$A$1:$AN$1,0),0)</f>
        <v>Latin America and Caribbean</v>
      </c>
      <c r="X137" t="str">
        <f>VLOOKUP($A137,regions_full!$A$2:$AI$267,MATCH(polities_cats!X$1,$A$1:$AN$1,0),0)</f>
        <v>LACA</v>
      </c>
      <c r="Y137" t="str">
        <f>VLOOKUP($A137,regions_full!$A$2:$AI$267,MATCH(polities_cats!Y$1,$A$1:$AN$1,0),0)</f>
        <v>Latin America and the Caribbean</v>
      </c>
      <c r="Z137" t="str">
        <f>VLOOKUP($A137,regions_full!$A$2:$AI$267,MATCH(polities_cats!Z$1,$A$1:$AN$1,0),0)</f>
        <v>Americas</v>
      </c>
      <c r="AA137" t="str">
        <f>VLOOKUP($A137,regions_full!$A$2:$AI$267,MATCH(polities_cats!AA$1,$A$1:$AN$1,0),0)</f>
        <v>Americas</v>
      </c>
      <c r="AB137" t="str">
        <f>VLOOKUP($A137,regions_full!$A$2:$AI$267,MATCH(polities_cats!AB$1,$A$1:$AN$1,0),0)</f>
        <v>Latin America and the Caribbean</v>
      </c>
      <c r="AC137" t="str">
        <f>VLOOKUP($A137,regions_full!$A$2:$AI$267,MATCH(polities_cats!AC$1,$A$1:$AN$1,0),0)</f>
        <v>Caribbean</v>
      </c>
      <c r="AD137" t="str">
        <f>VLOOKUP($A137,regions_full!$A$2:$AI$267,MATCH(polities_cats!AD$1,$A$1:$AN$1,0),0)</f>
        <v>Emerging</v>
      </c>
      <c r="AE137" t="str">
        <f>VLOOKUP($A137,regions_full!$A$2:$AI$267,MATCH(polities_cats!AE$1,$A$1:$AN$1,0),0)</f>
        <v>Annex_II</v>
      </c>
      <c r="AF137" t="str">
        <f>VLOOKUP($A137,regions_full!$A$2:$AI$267,MATCH(polities_cats!AF$1,$A$1:$AN$1,0),0)</f>
        <v>Caribbean &amp; Centra Am.</v>
      </c>
      <c r="AG137" t="str">
        <f>VLOOKUP($A137,regions_full!$A$2:$AI$267,MATCH(polities_cats!AG$1,$A$1:$AN$1,0),0)</f>
        <v>LACA</v>
      </c>
      <c r="AH137" t="str">
        <f>VLOOKUP($A137,regions_full!$A$2:$AI$267,MATCH(polities_cats!AH$1,$A$1:$AN$1,0),0)</f>
        <v>no_mech</v>
      </c>
      <c r="AI137" t="str">
        <f>VLOOKUP($A137,regions_full!$A$2:$AI$267,MATCH(polities_cats!AI$1,$A$1:$AN$1,0),0)</f>
        <v>Other</v>
      </c>
      <c r="AJ137" t="e">
        <f>VLOOKUP($A137,regions_full!$A$2:$AI$267,MATCH(polities_cats!AJ$1,$A$1:$AN$1,0),0)</f>
        <v>#REF!</v>
      </c>
      <c r="AK137" t="e">
        <f>VLOOKUP($A137,regions_full!$A$2:$AI$267,MATCH(polities_cats!AK$1,$A$1:$AN$1,0),0)</f>
        <v>#REF!</v>
      </c>
      <c r="AL137" t="e">
        <f>VLOOKUP($A137,regions_full!$A$2:$AI$267,MATCH(polities_cats!AL$1,$A$1:$AN$1,0),0)</f>
        <v>#REF!</v>
      </c>
      <c r="AM137" t="e">
        <f>VLOOKUP($A137,regions_full!$A$2:$AI$267,MATCH(polities_cats!AM$1,$A$1:$AN$1,0),0)</f>
        <v>#REF!</v>
      </c>
      <c r="AN137" t="e">
        <f>VLOOKUP($A137,regions_full!$A$2:$AI$267,MATCH(polities_cats!AN$1,$A$1:$AN$1,0),0)</f>
        <v>#REF!</v>
      </c>
    </row>
    <row r="138" spans="1:40" x14ac:dyDescent="0.3">
      <c r="A138" t="str">
        <f>polities_whep!A138</f>
        <v>QAT</v>
      </c>
      <c r="B138" t="str">
        <f>polities_whep!B138</f>
        <v>Qatar</v>
      </c>
      <c r="C138">
        <f>VLOOKUP($A138,regions_full!$A$2:$AI$267,MATCH(polities_cats!C$1,$A$1:$AN$1,0),0)</f>
        <v>176</v>
      </c>
      <c r="D138">
        <f>VLOOKUP($A138,regions_full!$A$2:$AI$267,MATCH(polities_cats!D$1,$A$1:$AN$1,0),0)</f>
        <v>179</v>
      </c>
      <c r="E138" t="str">
        <f>VLOOKUP($A138,regions_full!$A$2:$AI$267,MATCH(polities_cats!E$1,$A$1:$AN$1,0),0)</f>
        <v>QAT</v>
      </c>
      <c r="F138" t="str">
        <f>VLOOKUP($A138,regions_full!$A$2:$AI$267,MATCH(polities_cats!F$1,$A$1:$AN$1,0),0)</f>
        <v>Qatar</v>
      </c>
      <c r="G138" t="str">
        <f>VLOOKUP($A138,regions_full!$A$2:$AI$267,MATCH(polities_cats!G$1,$A$1:$AN$1,0),0)</f>
        <v>FALSE</v>
      </c>
      <c r="H138" t="str">
        <f>VLOOKUP($A138,regions_full!$A$2:$AI$267,MATCH(polities_cats!H$1,$A$1:$AN$1,0),0)</f>
        <v>Qatar</v>
      </c>
      <c r="I138" t="str">
        <f>VLOOKUP($A138,regions_full!$A$2:$AI$267,MATCH(polities_cats!I$1,$A$1:$AN$1,0),0)</f>
        <v>Qatar</v>
      </c>
      <c r="J138" t="str">
        <f>VLOOKUP($A138,regions_full!$A$2:$AI$267,MATCH(polities_cats!J$1,$A$1:$AN$1,0),0)</f>
        <v>Qatar</v>
      </c>
      <c r="K138">
        <f>VLOOKUP($A138,regions_full!$A$2:$AI$267,MATCH(polities_cats!K$1,$A$1:$AN$1,0),0)</f>
        <v>179</v>
      </c>
      <c r="L138" t="str">
        <f>VLOOKUP($A138,regions_full!$A$2:$AI$267,MATCH(polities_cats!L$1,$A$1:$AN$1,0),0)</f>
        <v>Qatar</v>
      </c>
      <c r="M138">
        <f>VLOOKUP($A138,regions_full!$A$2:$AI$267,MATCH(polities_cats!M$1,$A$1:$AN$1,0),0)</f>
        <v>634</v>
      </c>
      <c r="N138">
        <f>VLOOKUP($A138,regions_full!$A$2:$AI$267,MATCH(polities_cats!N$1,$A$1:$AN$1,0),0)</f>
        <v>634</v>
      </c>
      <c r="O138">
        <f>VLOOKUP($A138,regions_full!$A$2:$AI$267,MATCH(polities_cats!O$1,$A$1:$AN$1,0),0)</f>
        <v>12</v>
      </c>
      <c r="P138" t="str">
        <f>VLOOKUP($A138,regions_full!$A$2:$AI$267,MATCH(polities_cats!P$1,$A$1:$AN$1,0),0)</f>
        <v>TRUE</v>
      </c>
      <c r="Q138">
        <f>VLOOKUP($A138,regions_full!$A$2:$AI$267,MATCH(polities_cats!Q$1,$A$1:$AN$1,0),0)</f>
        <v>179</v>
      </c>
      <c r="R138" t="str">
        <f>VLOOKUP($A138,regions_full!$A$2:$AI$267,MATCH(polities_cats!R$1,$A$1:$AN$1,0),0)</f>
        <v/>
      </c>
      <c r="S138" t="str">
        <f>VLOOKUP($A138,regions_full!$A$2:$AI$267,MATCH(polities_cats!S$1,$A$1:$AN$1,0),0)</f>
        <v>Middle East</v>
      </c>
      <c r="T138">
        <f>VLOOKUP($A138,regions_full!$A$2:$AI$267,MATCH(polities_cats!T$1,$A$1:$AN$1,0),0)</f>
        <v>1</v>
      </c>
      <c r="U138" t="str">
        <f>VLOOKUP($A138,regions_full!$A$2:$AI$267,MATCH(polities_cats!U$1,$A$1:$AN$1,0),0)</f>
        <v>Qatar</v>
      </c>
      <c r="V138" t="str">
        <f>VLOOKUP($A138,regions_full!$A$2:$AI$267,MATCH(polities_cats!V$1,$A$1:$AN$1,0),0)</f>
        <v>Northern Africa and Western Asia</v>
      </c>
      <c r="W138" t="str">
        <f>VLOOKUP($A138,regions_full!$A$2:$AI$267,MATCH(polities_cats!W$1,$A$1:$AN$1,0),0)</f>
        <v>North Africa and West Asia</v>
      </c>
      <c r="X138" t="str">
        <f>VLOOKUP($A138,regions_full!$A$2:$AI$267,MATCH(polities_cats!X$1,$A$1:$AN$1,0),0)</f>
        <v>MENA</v>
      </c>
      <c r="Y138" t="str">
        <f>VLOOKUP($A138,regions_full!$A$2:$AI$267,MATCH(polities_cats!Y$1,$A$1:$AN$1,0),0)</f>
        <v>Western Asia</v>
      </c>
      <c r="Z138" t="str">
        <f>VLOOKUP($A138,regions_full!$A$2:$AI$267,MATCH(polities_cats!Z$1,$A$1:$AN$1,0),0)</f>
        <v>Asia</v>
      </c>
      <c r="AA138" t="str">
        <f>VLOOKUP($A138,regions_full!$A$2:$AI$267,MATCH(polities_cats!AA$1,$A$1:$AN$1,0),0)</f>
        <v>Arab States</v>
      </c>
      <c r="AB138" t="str">
        <f>VLOOKUP($A138,regions_full!$A$2:$AI$267,MATCH(polities_cats!AB$1,$A$1:$AN$1,0),0)</f>
        <v>Arab States</v>
      </c>
      <c r="AC138" t="str">
        <f>VLOOKUP($A138,regions_full!$A$2:$AI$267,MATCH(polities_cats!AC$1,$A$1:$AN$1,0),0)</f>
        <v>Arab States</v>
      </c>
      <c r="AD138" t="str">
        <f>VLOOKUP($A138,regions_full!$A$2:$AI$267,MATCH(polities_cats!AD$1,$A$1:$AN$1,0),0)</f>
        <v>Emerging</v>
      </c>
      <c r="AE138" t="str">
        <f>VLOOKUP($A138,regions_full!$A$2:$AI$267,MATCH(polities_cats!AE$1,$A$1:$AN$1,0),0)</f>
        <v>Annex_II</v>
      </c>
      <c r="AF138" t="str">
        <f>VLOOKUP($A138,regions_full!$A$2:$AI$267,MATCH(polities_cats!AF$1,$A$1:$AN$1,0),0)</f>
        <v>Western Asia</v>
      </c>
      <c r="AG138" t="str">
        <f>VLOOKUP($A138,regions_full!$A$2:$AI$267,MATCH(polities_cats!AG$1,$A$1:$AN$1,0),0)</f>
        <v>MENA</v>
      </c>
      <c r="AH138" t="str">
        <f>VLOOKUP($A138,regions_full!$A$2:$AI$267,MATCH(polities_cats!AH$1,$A$1:$AN$1,0),0)</f>
        <v>no_mech</v>
      </c>
      <c r="AI138" t="str">
        <f>VLOOKUP($A138,regions_full!$A$2:$AI$267,MATCH(polities_cats!AI$1,$A$1:$AN$1,0),0)</f>
        <v>Other</v>
      </c>
      <c r="AJ138" t="e">
        <f>VLOOKUP($A138,regions_full!$A$2:$AI$267,MATCH(polities_cats!AJ$1,$A$1:$AN$1,0),0)</f>
        <v>#REF!</v>
      </c>
      <c r="AK138" t="e">
        <f>VLOOKUP($A138,regions_full!$A$2:$AI$267,MATCH(polities_cats!AK$1,$A$1:$AN$1,0),0)</f>
        <v>#REF!</v>
      </c>
      <c r="AL138" t="e">
        <f>VLOOKUP($A138,regions_full!$A$2:$AI$267,MATCH(polities_cats!AL$1,$A$1:$AN$1,0),0)</f>
        <v>#REF!</v>
      </c>
      <c r="AM138" t="e">
        <f>VLOOKUP($A138,regions_full!$A$2:$AI$267,MATCH(polities_cats!AM$1,$A$1:$AN$1,0),0)</f>
        <v>#REF!</v>
      </c>
      <c r="AN138" t="e">
        <f>VLOOKUP($A138,regions_full!$A$2:$AI$267,MATCH(polities_cats!AN$1,$A$1:$AN$1,0),0)</f>
        <v>#REF!</v>
      </c>
    </row>
    <row r="139" spans="1:40" x14ac:dyDescent="0.3">
      <c r="A139" t="str">
        <f>polities_whep!A139</f>
        <v>ROU</v>
      </c>
      <c r="B139" t="str">
        <f>polities_whep!B139</f>
        <v>Romania</v>
      </c>
      <c r="C139">
        <f>VLOOKUP($A139,regions_full!$A$2:$AI$267,MATCH(polities_cats!C$1,$A$1:$AN$1,0),0)</f>
        <v>180</v>
      </c>
      <c r="D139">
        <f>VLOOKUP($A139,regions_full!$A$2:$AI$267,MATCH(polities_cats!D$1,$A$1:$AN$1,0),0)</f>
        <v>183</v>
      </c>
      <c r="E139" t="str">
        <f>VLOOKUP($A139,regions_full!$A$2:$AI$267,MATCH(polities_cats!E$1,$A$1:$AN$1,0),0)</f>
        <v>ROU</v>
      </c>
      <c r="F139" t="str">
        <f>VLOOKUP($A139,regions_full!$A$2:$AI$267,MATCH(polities_cats!F$1,$A$1:$AN$1,0),0)</f>
        <v>Romania</v>
      </c>
      <c r="G139" t="str">
        <f>VLOOKUP($A139,regions_full!$A$2:$AI$267,MATCH(polities_cats!G$1,$A$1:$AN$1,0),0)</f>
        <v>TRUE</v>
      </c>
      <c r="H139" t="str">
        <f>VLOOKUP($A139,regions_full!$A$2:$AI$267,MATCH(polities_cats!H$1,$A$1:$AN$1,0),0)</f>
        <v>Romania</v>
      </c>
      <c r="I139" t="str">
        <f>VLOOKUP($A139,regions_full!$A$2:$AI$267,MATCH(polities_cats!I$1,$A$1:$AN$1,0),0)</f>
        <v>Romania</v>
      </c>
      <c r="J139" t="str">
        <f>VLOOKUP($A139,regions_full!$A$2:$AI$267,MATCH(polities_cats!J$1,$A$1:$AN$1,0),0)</f>
        <v>Romania</v>
      </c>
      <c r="K139">
        <f>VLOOKUP($A139,regions_full!$A$2:$AI$267,MATCH(polities_cats!K$1,$A$1:$AN$1,0),0)</f>
        <v>183</v>
      </c>
      <c r="L139" t="str">
        <f>VLOOKUP($A139,regions_full!$A$2:$AI$267,MATCH(polities_cats!L$1,$A$1:$AN$1,0),0)</f>
        <v>Romania</v>
      </c>
      <c r="M139">
        <f>VLOOKUP($A139,regions_full!$A$2:$AI$267,MATCH(polities_cats!M$1,$A$1:$AN$1,0),0)</f>
        <v>642</v>
      </c>
      <c r="N139">
        <f>VLOOKUP($A139,regions_full!$A$2:$AI$267,MATCH(polities_cats!N$1,$A$1:$AN$1,0),0)</f>
        <v>642</v>
      </c>
      <c r="O139">
        <f>VLOOKUP($A139,regions_full!$A$2:$AI$267,MATCH(polities_cats!O$1,$A$1:$AN$1,0),0)</f>
        <v>10</v>
      </c>
      <c r="P139" t="str">
        <f>VLOOKUP($A139,regions_full!$A$2:$AI$267,MATCH(polities_cats!P$1,$A$1:$AN$1,0),0)</f>
        <v>TRUE</v>
      </c>
      <c r="Q139">
        <f>VLOOKUP($A139,regions_full!$A$2:$AI$267,MATCH(polities_cats!Q$1,$A$1:$AN$1,0),0)</f>
        <v>183</v>
      </c>
      <c r="R139" t="str">
        <f>VLOOKUP($A139,regions_full!$A$2:$AI$267,MATCH(polities_cats!R$1,$A$1:$AN$1,0),0)</f>
        <v>RO</v>
      </c>
      <c r="S139" t="str">
        <f>VLOOKUP($A139,regions_full!$A$2:$AI$267,MATCH(polities_cats!S$1,$A$1:$AN$1,0),0)</f>
        <v>Eastern Europe</v>
      </c>
      <c r="T139">
        <f>VLOOKUP($A139,regions_full!$A$2:$AI$267,MATCH(polities_cats!T$1,$A$1:$AN$1,0),0)</f>
        <v>1</v>
      </c>
      <c r="U139" t="str">
        <f>VLOOKUP($A139,regions_full!$A$2:$AI$267,MATCH(polities_cats!U$1,$A$1:$AN$1,0),0)</f>
        <v>Romania</v>
      </c>
      <c r="V139" t="str">
        <f>VLOOKUP($A139,regions_full!$A$2:$AI$267,MATCH(polities_cats!V$1,$A$1:$AN$1,0),0)</f>
        <v>Eastern and South Eastern Europe</v>
      </c>
      <c r="W139" t="str">
        <f>VLOOKUP($A139,regions_full!$A$2:$AI$267,MATCH(polities_cats!W$1,$A$1:$AN$1,0),0)</f>
        <v>East Europe</v>
      </c>
      <c r="X139" t="str">
        <f>VLOOKUP($A139,regions_full!$A$2:$AI$267,MATCH(polities_cats!X$1,$A$1:$AN$1,0),0)</f>
        <v>Europe</v>
      </c>
      <c r="Y139" t="str">
        <f>VLOOKUP($A139,regions_full!$A$2:$AI$267,MATCH(polities_cats!Y$1,$A$1:$AN$1,0),0)</f>
        <v>Eastern Europe</v>
      </c>
      <c r="Z139" t="str">
        <f>VLOOKUP($A139,regions_full!$A$2:$AI$267,MATCH(polities_cats!Z$1,$A$1:$AN$1,0),0)</f>
        <v>Europe</v>
      </c>
      <c r="AA139" t="str">
        <f>VLOOKUP($A139,regions_full!$A$2:$AI$267,MATCH(polities_cats!AA$1,$A$1:$AN$1,0),0)</f>
        <v>Europe and Central Asia</v>
      </c>
      <c r="AB139" t="str">
        <f>VLOOKUP($A139,regions_full!$A$2:$AI$267,MATCH(polities_cats!AB$1,$A$1:$AN$1,0),0)</f>
        <v>Eastern Europe</v>
      </c>
      <c r="AC139" t="str">
        <f>VLOOKUP($A139,regions_full!$A$2:$AI$267,MATCH(polities_cats!AC$1,$A$1:$AN$1,0),0)</f>
        <v>Eastern Europe</v>
      </c>
      <c r="AD139" t="str">
        <f>VLOOKUP($A139,regions_full!$A$2:$AI$267,MATCH(polities_cats!AD$1,$A$1:$AN$1,0),0)</f>
        <v>Emerging</v>
      </c>
      <c r="AE139" t="str">
        <f>VLOOKUP($A139,regions_full!$A$2:$AI$267,MATCH(polities_cats!AE$1,$A$1:$AN$1,0),0)</f>
        <v>Annex_I</v>
      </c>
      <c r="AF139" t="str">
        <f>VLOOKUP($A139,regions_full!$A$2:$AI$267,MATCH(polities_cats!AF$1,$A$1:$AN$1,0),0)</f>
        <v>Eastern Europe</v>
      </c>
      <c r="AG139" t="str">
        <f>VLOOKUP($A139,regions_full!$A$2:$AI$267,MATCH(polities_cats!AG$1,$A$1:$AN$1,0),0)</f>
        <v>Europe</v>
      </c>
      <c r="AH139" t="str">
        <f>VLOOKUP($A139,regions_full!$A$2:$AI$267,MATCH(polities_cats!AH$1,$A$1:$AN$1,0),0)</f>
        <v>mech</v>
      </c>
      <c r="AI139" t="str">
        <f>VLOOKUP($A139,regions_full!$A$2:$AI$267,MATCH(polities_cats!AI$1,$A$1:$AN$1,0),0)</f>
        <v>Europe</v>
      </c>
      <c r="AJ139" t="e">
        <f>VLOOKUP($A139,regions_full!$A$2:$AI$267,MATCH(polities_cats!AJ$1,$A$1:$AN$1,0),0)</f>
        <v>#REF!</v>
      </c>
      <c r="AK139" t="e">
        <f>VLOOKUP($A139,regions_full!$A$2:$AI$267,MATCH(polities_cats!AK$1,$A$1:$AN$1,0),0)</f>
        <v>#REF!</v>
      </c>
      <c r="AL139" t="e">
        <f>VLOOKUP($A139,regions_full!$A$2:$AI$267,MATCH(polities_cats!AL$1,$A$1:$AN$1,0),0)</f>
        <v>#REF!</v>
      </c>
      <c r="AM139" t="e">
        <f>VLOOKUP($A139,regions_full!$A$2:$AI$267,MATCH(polities_cats!AM$1,$A$1:$AN$1,0),0)</f>
        <v>#REF!</v>
      </c>
      <c r="AN139" t="e">
        <f>VLOOKUP($A139,regions_full!$A$2:$AI$267,MATCH(polities_cats!AN$1,$A$1:$AN$1,0),0)</f>
        <v>#REF!</v>
      </c>
    </row>
    <row r="140" spans="1:40" x14ac:dyDescent="0.3">
      <c r="A140" t="str">
        <f>polities_whep!A140</f>
        <v>RUS</v>
      </c>
      <c r="B140" t="str">
        <f>polities_whep!B140</f>
        <v>Russian Federation</v>
      </c>
      <c r="C140">
        <f>VLOOKUP($A140,regions_full!$A$2:$AI$267,MATCH(polities_cats!C$1,$A$1:$AN$1,0),0)</f>
        <v>182</v>
      </c>
      <c r="D140">
        <f>VLOOKUP($A140,regions_full!$A$2:$AI$267,MATCH(polities_cats!D$1,$A$1:$AN$1,0),0)</f>
        <v>185</v>
      </c>
      <c r="E140" t="str">
        <f>VLOOKUP($A140,regions_full!$A$2:$AI$267,MATCH(polities_cats!E$1,$A$1:$AN$1,0),0)</f>
        <v>RUS</v>
      </c>
      <c r="F140" t="str">
        <f>VLOOKUP($A140,regions_full!$A$2:$AI$267,MATCH(polities_cats!F$1,$A$1:$AN$1,0),0)</f>
        <v>Russian Federation</v>
      </c>
      <c r="G140" t="str">
        <f>VLOOKUP($A140,regions_full!$A$2:$AI$267,MATCH(polities_cats!G$1,$A$1:$AN$1,0),0)</f>
        <v>FALSE</v>
      </c>
      <c r="H140" t="str">
        <f>VLOOKUP($A140,regions_full!$A$2:$AI$267,MATCH(polities_cats!H$1,$A$1:$AN$1,0),0)</f>
        <v>Russian Federation</v>
      </c>
      <c r="I140" t="str">
        <f>VLOOKUP($A140,regions_full!$A$2:$AI$267,MATCH(polities_cats!I$1,$A$1:$AN$1,0),0)</f>
        <v>Russia</v>
      </c>
      <c r="J140" t="str">
        <f>VLOOKUP($A140,regions_full!$A$2:$AI$267,MATCH(polities_cats!J$1,$A$1:$AN$1,0),0)</f>
        <v>Russia</v>
      </c>
      <c r="K140">
        <f>VLOOKUP($A140,regions_full!$A$2:$AI$267,MATCH(polities_cats!K$1,$A$1:$AN$1,0),0)</f>
        <v>185</v>
      </c>
      <c r="L140" t="str">
        <f>VLOOKUP($A140,regions_full!$A$2:$AI$267,MATCH(polities_cats!L$1,$A$1:$AN$1,0),0)</f>
        <v>Russian Federation</v>
      </c>
      <c r="M140">
        <f>VLOOKUP($A140,regions_full!$A$2:$AI$267,MATCH(polities_cats!M$1,$A$1:$AN$1,0),0)</f>
        <v>643</v>
      </c>
      <c r="N140">
        <f>VLOOKUP($A140,regions_full!$A$2:$AI$267,MATCH(polities_cats!N$1,$A$1:$AN$1,0),0)</f>
        <v>643</v>
      </c>
      <c r="O140">
        <f>VLOOKUP($A140,regions_full!$A$2:$AI$267,MATCH(polities_cats!O$1,$A$1:$AN$1,0),0)</f>
        <v>11</v>
      </c>
      <c r="P140" t="str">
        <f>VLOOKUP($A140,regions_full!$A$2:$AI$267,MATCH(polities_cats!P$1,$A$1:$AN$1,0),0)</f>
        <v>TRUE</v>
      </c>
      <c r="Q140">
        <f>VLOOKUP($A140,regions_full!$A$2:$AI$267,MATCH(polities_cats!Q$1,$A$1:$AN$1,0),0)</f>
        <v>185</v>
      </c>
      <c r="R140" t="str">
        <f>VLOOKUP($A140,regions_full!$A$2:$AI$267,MATCH(polities_cats!R$1,$A$1:$AN$1,0),0)</f>
        <v/>
      </c>
      <c r="S140" t="str">
        <f>VLOOKUP($A140,regions_full!$A$2:$AI$267,MATCH(polities_cats!S$1,$A$1:$AN$1,0),0)</f>
        <v>Former USSR</v>
      </c>
      <c r="T140">
        <f>VLOOKUP($A140,regions_full!$A$2:$AI$267,MATCH(polities_cats!T$1,$A$1:$AN$1,0),0)</f>
        <v>1</v>
      </c>
      <c r="U140" t="str">
        <f>VLOOKUP($A140,regions_full!$A$2:$AI$267,MATCH(polities_cats!U$1,$A$1:$AN$1,0),0)</f>
        <v>Russian Federation</v>
      </c>
      <c r="V140" t="str">
        <f>VLOOKUP($A140,regions_full!$A$2:$AI$267,MATCH(polities_cats!V$1,$A$1:$AN$1,0),0)</f>
        <v>Central Asia and Russian Federation</v>
      </c>
      <c r="W140" t="str">
        <f>VLOOKUP($A140,regions_full!$A$2:$AI$267,MATCH(polities_cats!W$1,$A$1:$AN$1,0),0)</f>
        <v>South and Central Asia</v>
      </c>
      <c r="X140" t="str">
        <f>VLOOKUP($A140,regions_full!$A$2:$AI$267,MATCH(polities_cats!X$1,$A$1:$AN$1,0),0)</f>
        <v>CAS &amp; Russia</v>
      </c>
      <c r="Y140" t="str">
        <f>VLOOKUP($A140,regions_full!$A$2:$AI$267,MATCH(polities_cats!Y$1,$A$1:$AN$1,0),0)</f>
        <v>Eastern Europe</v>
      </c>
      <c r="Z140" t="str">
        <f>VLOOKUP($A140,regions_full!$A$2:$AI$267,MATCH(polities_cats!Z$1,$A$1:$AN$1,0),0)</f>
        <v>Europe</v>
      </c>
      <c r="AA140" t="str">
        <f>VLOOKUP($A140,regions_full!$A$2:$AI$267,MATCH(polities_cats!AA$1,$A$1:$AN$1,0),0)</f>
        <v>Europe and Central Asia</v>
      </c>
      <c r="AB140" t="str">
        <f>VLOOKUP($A140,regions_full!$A$2:$AI$267,MATCH(polities_cats!AB$1,$A$1:$AN$1,0),0)</f>
        <v>Eastern Europe</v>
      </c>
      <c r="AC140" t="str">
        <f>VLOOKUP($A140,regions_full!$A$2:$AI$267,MATCH(polities_cats!AC$1,$A$1:$AN$1,0),0)</f>
        <v>Eastern Europe</v>
      </c>
      <c r="AD140" t="str">
        <f>VLOOKUP($A140,regions_full!$A$2:$AI$267,MATCH(polities_cats!AD$1,$A$1:$AN$1,0),0)</f>
        <v>Emerging</v>
      </c>
      <c r="AE140" t="str">
        <f>VLOOKUP($A140,regions_full!$A$2:$AI$267,MATCH(polities_cats!AE$1,$A$1:$AN$1,0),0)</f>
        <v>Annex_I</v>
      </c>
      <c r="AF140" t="str">
        <f>VLOOKUP($A140,regions_full!$A$2:$AI$267,MATCH(polities_cats!AF$1,$A$1:$AN$1,0),0)</f>
        <v>FSU</v>
      </c>
      <c r="AG140" t="str">
        <f>VLOOKUP($A140,regions_full!$A$2:$AI$267,MATCH(polities_cats!AG$1,$A$1:$AN$1,0),0)</f>
        <v>FSU</v>
      </c>
      <c r="AH140" t="str">
        <f>VLOOKUP($A140,regions_full!$A$2:$AI$267,MATCH(polities_cats!AH$1,$A$1:$AN$1,0),0)</f>
        <v>mech</v>
      </c>
      <c r="AI140" t="str">
        <f>VLOOKUP($A140,regions_full!$A$2:$AI$267,MATCH(polities_cats!AI$1,$A$1:$AN$1,0),0)</f>
        <v>Europe</v>
      </c>
      <c r="AJ140" t="e">
        <f>VLOOKUP($A140,regions_full!$A$2:$AI$267,MATCH(polities_cats!AJ$1,$A$1:$AN$1,0),0)</f>
        <v>#REF!</v>
      </c>
      <c r="AK140" t="e">
        <f>VLOOKUP($A140,regions_full!$A$2:$AI$267,MATCH(polities_cats!AK$1,$A$1:$AN$1,0),0)</f>
        <v>#REF!</v>
      </c>
      <c r="AL140" t="e">
        <f>VLOOKUP($A140,regions_full!$A$2:$AI$267,MATCH(polities_cats!AL$1,$A$1:$AN$1,0),0)</f>
        <v>#REF!</v>
      </c>
      <c r="AM140" t="e">
        <f>VLOOKUP($A140,regions_full!$A$2:$AI$267,MATCH(polities_cats!AM$1,$A$1:$AN$1,0),0)</f>
        <v>#REF!</v>
      </c>
      <c r="AN140" t="e">
        <f>VLOOKUP($A140,regions_full!$A$2:$AI$267,MATCH(polities_cats!AN$1,$A$1:$AN$1,0),0)</f>
        <v>#REF!</v>
      </c>
    </row>
    <row r="141" spans="1:40" x14ac:dyDescent="0.3">
      <c r="A141" t="str">
        <f>polities_whep!A141</f>
        <v>RWA</v>
      </c>
      <c r="B141" t="str">
        <f>polities_whep!B141</f>
        <v>Rwanda</v>
      </c>
      <c r="C141">
        <f>VLOOKUP($A141,regions_full!$A$2:$AI$267,MATCH(polities_cats!C$1,$A$1:$AN$1,0),0)</f>
        <v>181</v>
      </c>
      <c r="D141">
        <f>VLOOKUP($A141,regions_full!$A$2:$AI$267,MATCH(polities_cats!D$1,$A$1:$AN$1,0),0)</f>
        <v>184</v>
      </c>
      <c r="E141" t="str">
        <f>VLOOKUP($A141,regions_full!$A$2:$AI$267,MATCH(polities_cats!E$1,$A$1:$AN$1,0),0)</f>
        <v>RWA</v>
      </c>
      <c r="F141" t="str">
        <f>VLOOKUP($A141,regions_full!$A$2:$AI$267,MATCH(polities_cats!F$1,$A$1:$AN$1,0),0)</f>
        <v>Rwanda</v>
      </c>
      <c r="G141" t="str">
        <f>VLOOKUP($A141,regions_full!$A$2:$AI$267,MATCH(polities_cats!G$1,$A$1:$AN$1,0),0)</f>
        <v>FALSE</v>
      </c>
      <c r="H141" t="str">
        <f>VLOOKUP($A141,regions_full!$A$2:$AI$267,MATCH(polities_cats!H$1,$A$1:$AN$1,0),0)</f>
        <v>Rwanda</v>
      </c>
      <c r="I141" t="str">
        <f>VLOOKUP($A141,regions_full!$A$2:$AI$267,MATCH(polities_cats!I$1,$A$1:$AN$1,0),0)</f>
        <v>Rwanda</v>
      </c>
      <c r="J141">
        <f>VLOOKUP($A141,regions_full!$A$2:$AI$267,MATCH(polities_cats!J$1,$A$1:$AN$1,0),0)</f>
        <v>0</v>
      </c>
      <c r="K141">
        <f>VLOOKUP($A141,regions_full!$A$2:$AI$267,MATCH(polities_cats!K$1,$A$1:$AN$1,0),0)</f>
        <v>184</v>
      </c>
      <c r="L141" t="str">
        <f>VLOOKUP($A141,regions_full!$A$2:$AI$267,MATCH(polities_cats!L$1,$A$1:$AN$1,0),0)</f>
        <v>Rwanda</v>
      </c>
      <c r="M141">
        <f>VLOOKUP($A141,regions_full!$A$2:$AI$267,MATCH(polities_cats!M$1,$A$1:$AN$1,0),0)</f>
        <v>646</v>
      </c>
      <c r="N141">
        <f>VLOOKUP($A141,regions_full!$A$2:$AI$267,MATCH(polities_cats!N$1,$A$1:$AN$1,0),0)</f>
        <v>646</v>
      </c>
      <c r="O141">
        <f>VLOOKUP($A141,regions_full!$A$2:$AI$267,MATCH(polities_cats!O$1,$A$1:$AN$1,0),0)</f>
        <v>7</v>
      </c>
      <c r="P141" t="str">
        <f>VLOOKUP($A141,regions_full!$A$2:$AI$267,MATCH(polities_cats!P$1,$A$1:$AN$1,0),0)</f>
        <v>TRUE</v>
      </c>
      <c r="Q141">
        <f>VLOOKUP($A141,regions_full!$A$2:$AI$267,MATCH(polities_cats!Q$1,$A$1:$AN$1,0),0)</f>
        <v>184</v>
      </c>
      <c r="R141" t="str">
        <f>VLOOKUP($A141,regions_full!$A$2:$AI$267,MATCH(polities_cats!R$1,$A$1:$AN$1,0),0)</f>
        <v/>
      </c>
      <c r="S141" t="str">
        <f>VLOOKUP($A141,regions_full!$A$2:$AI$267,MATCH(polities_cats!S$1,$A$1:$AN$1,0),0)</f>
        <v>Eastern Africa</v>
      </c>
      <c r="T141">
        <f>VLOOKUP($A141,regions_full!$A$2:$AI$267,MATCH(polities_cats!T$1,$A$1:$AN$1,0),0)</f>
        <v>1</v>
      </c>
      <c r="U141" t="str">
        <f>VLOOKUP($A141,regions_full!$A$2:$AI$267,MATCH(polities_cats!U$1,$A$1:$AN$1,0),0)</f>
        <v>Rwanda</v>
      </c>
      <c r="V141" t="str">
        <f>VLOOKUP($A141,regions_full!$A$2:$AI$267,MATCH(polities_cats!V$1,$A$1:$AN$1,0),0)</f>
        <v>Subsaharan Africa</v>
      </c>
      <c r="W141" t="str">
        <f>VLOOKUP($A141,regions_full!$A$2:$AI$267,MATCH(polities_cats!W$1,$A$1:$AN$1,0),0)</f>
        <v>Sub-saharan Africa</v>
      </c>
      <c r="X141" t="str">
        <f>VLOOKUP($A141,regions_full!$A$2:$AI$267,MATCH(polities_cats!X$1,$A$1:$AN$1,0),0)</f>
        <v>SSA</v>
      </c>
      <c r="Y141" t="str">
        <f>VLOOKUP($A141,regions_full!$A$2:$AI$267,MATCH(polities_cats!Y$1,$A$1:$AN$1,0),0)</f>
        <v>Sub-Saharan Africa</v>
      </c>
      <c r="Z141" t="str">
        <f>VLOOKUP($A141,regions_full!$A$2:$AI$267,MATCH(polities_cats!Z$1,$A$1:$AN$1,0),0)</f>
        <v>Africa</v>
      </c>
      <c r="AA141" t="str">
        <f>VLOOKUP($A141,regions_full!$A$2:$AI$267,MATCH(polities_cats!AA$1,$A$1:$AN$1,0),0)</f>
        <v>Africa</v>
      </c>
      <c r="AB141" t="str">
        <f>VLOOKUP($A141,regions_full!$A$2:$AI$267,MATCH(polities_cats!AB$1,$A$1:$AN$1,0),0)</f>
        <v>Sub-Saharan Africa</v>
      </c>
      <c r="AC141" t="str">
        <f>VLOOKUP($A141,regions_full!$A$2:$AI$267,MATCH(polities_cats!AC$1,$A$1:$AN$1,0),0)</f>
        <v>Eastern Africa</v>
      </c>
      <c r="AD141" t="str">
        <f>VLOOKUP($A141,regions_full!$A$2:$AI$267,MATCH(polities_cats!AD$1,$A$1:$AN$1,0),0)</f>
        <v>Emerging</v>
      </c>
      <c r="AE141" t="str">
        <f>VLOOKUP($A141,regions_full!$A$2:$AI$267,MATCH(polities_cats!AE$1,$A$1:$AN$1,0),0)</f>
        <v>Annex_II</v>
      </c>
      <c r="AF141" t="str">
        <f>VLOOKUP($A141,regions_full!$A$2:$AI$267,MATCH(polities_cats!AF$1,$A$1:$AN$1,0),0)</f>
        <v>Eastern Africa</v>
      </c>
      <c r="AG141" t="str">
        <f>VLOOKUP($A141,regions_full!$A$2:$AI$267,MATCH(polities_cats!AG$1,$A$1:$AN$1,0),0)</f>
        <v>SAA</v>
      </c>
      <c r="AH141" t="str">
        <f>VLOOKUP($A141,regions_full!$A$2:$AI$267,MATCH(polities_cats!AH$1,$A$1:$AN$1,0),0)</f>
        <v>no_mech</v>
      </c>
      <c r="AI141" t="str">
        <f>VLOOKUP($A141,regions_full!$A$2:$AI$267,MATCH(polities_cats!AI$1,$A$1:$AN$1,0),0)</f>
        <v>Other</v>
      </c>
      <c r="AJ141" t="e">
        <f>VLOOKUP($A141,regions_full!$A$2:$AI$267,MATCH(polities_cats!AJ$1,$A$1:$AN$1,0),0)</f>
        <v>#REF!</v>
      </c>
      <c r="AK141" t="e">
        <f>VLOOKUP($A141,regions_full!$A$2:$AI$267,MATCH(polities_cats!AK$1,$A$1:$AN$1,0),0)</f>
        <v>#REF!</v>
      </c>
      <c r="AL141" t="e">
        <f>VLOOKUP($A141,regions_full!$A$2:$AI$267,MATCH(polities_cats!AL$1,$A$1:$AN$1,0),0)</f>
        <v>#REF!</v>
      </c>
      <c r="AM141" t="e">
        <f>VLOOKUP($A141,regions_full!$A$2:$AI$267,MATCH(polities_cats!AM$1,$A$1:$AN$1,0),0)</f>
        <v>#REF!</v>
      </c>
      <c r="AN141" t="e">
        <f>VLOOKUP($A141,regions_full!$A$2:$AI$267,MATCH(polities_cats!AN$1,$A$1:$AN$1,0),0)</f>
        <v>#REF!</v>
      </c>
    </row>
    <row r="142" spans="1:40" x14ac:dyDescent="0.3">
      <c r="A142" t="str">
        <f>polities_whep!A142</f>
        <v>KNA</v>
      </c>
      <c r="B142" t="str">
        <f>polities_whep!B142</f>
        <v>Saint Kitts and Nevis</v>
      </c>
      <c r="C142">
        <f>VLOOKUP($A142,regions_full!$A$2:$AI$267,MATCH(polities_cats!C$1,$A$1:$AN$1,0),0)</f>
        <v>185</v>
      </c>
      <c r="D142">
        <f>VLOOKUP($A142,regions_full!$A$2:$AI$267,MATCH(polities_cats!D$1,$A$1:$AN$1,0),0)</f>
        <v>188</v>
      </c>
      <c r="E142" t="str">
        <f>VLOOKUP($A142,regions_full!$A$2:$AI$267,MATCH(polities_cats!E$1,$A$1:$AN$1,0),0)</f>
        <v>KNA</v>
      </c>
      <c r="F142" t="str">
        <f>VLOOKUP($A142,regions_full!$A$2:$AI$267,MATCH(polities_cats!F$1,$A$1:$AN$1,0),0)</f>
        <v>Saint Kitts and Nevis</v>
      </c>
      <c r="G142" t="str">
        <f>VLOOKUP($A142,regions_full!$A$2:$AI$267,MATCH(polities_cats!G$1,$A$1:$AN$1,0),0)</f>
        <v>FALSE</v>
      </c>
      <c r="H142" t="str">
        <f>VLOOKUP($A142,regions_full!$A$2:$AI$267,MATCH(polities_cats!H$1,$A$1:$AN$1,0),0)</f>
        <v>Saint Kitts and Nevis</v>
      </c>
      <c r="I142" t="str">
        <f>VLOOKUP($A142,regions_full!$A$2:$AI$267,MATCH(polities_cats!I$1,$A$1:$AN$1,0),0)</f>
        <v>Saint Kitts and Nevis</v>
      </c>
      <c r="J142">
        <f>VLOOKUP($A142,regions_full!$A$2:$AI$267,MATCH(polities_cats!J$1,$A$1:$AN$1,0),0)</f>
        <v>0</v>
      </c>
      <c r="K142">
        <f>VLOOKUP($A142,regions_full!$A$2:$AI$267,MATCH(polities_cats!K$1,$A$1:$AN$1,0),0)</f>
        <v>188</v>
      </c>
      <c r="L142" t="str">
        <f>VLOOKUP($A142,regions_full!$A$2:$AI$267,MATCH(polities_cats!L$1,$A$1:$AN$1,0),0)</f>
        <v>Saint Kitts and Nevis</v>
      </c>
      <c r="M142">
        <f>VLOOKUP($A142,regions_full!$A$2:$AI$267,MATCH(polities_cats!M$1,$A$1:$AN$1,0),0)</f>
        <v>659</v>
      </c>
      <c r="N142">
        <f>VLOOKUP($A142,regions_full!$A$2:$AI$267,MATCH(polities_cats!N$1,$A$1:$AN$1,0),0)</f>
        <v>659</v>
      </c>
      <c r="O142">
        <f>VLOOKUP($A142,regions_full!$A$2:$AI$267,MATCH(polities_cats!O$1,$A$1:$AN$1,0),0)</f>
        <v>3</v>
      </c>
      <c r="P142" t="str">
        <f>VLOOKUP($A142,regions_full!$A$2:$AI$267,MATCH(polities_cats!P$1,$A$1:$AN$1,0),0)</f>
        <v>TRUE</v>
      </c>
      <c r="Q142">
        <f>VLOOKUP($A142,regions_full!$A$2:$AI$267,MATCH(polities_cats!Q$1,$A$1:$AN$1,0),0)</f>
        <v>188</v>
      </c>
      <c r="R142" t="str">
        <f>VLOOKUP($A142,regions_full!$A$2:$AI$267,MATCH(polities_cats!R$1,$A$1:$AN$1,0),0)</f>
        <v/>
      </c>
      <c r="S142" t="str">
        <f>VLOOKUP($A142,regions_full!$A$2:$AI$267,MATCH(polities_cats!S$1,$A$1:$AN$1,0),0)</f>
        <v>Central America</v>
      </c>
      <c r="T142">
        <f>VLOOKUP($A142,regions_full!$A$2:$AI$267,MATCH(polities_cats!T$1,$A$1:$AN$1,0),0)</f>
        <v>1</v>
      </c>
      <c r="U142" t="str">
        <f>VLOOKUP($A142,regions_full!$A$2:$AI$267,MATCH(polities_cats!U$1,$A$1:$AN$1,0),0)</f>
        <v>Saint Kitts and Nevis</v>
      </c>
      <c r="V142" t="str">
        <f>VLOOKUP($A142,regions_full!$A$2:$AI$267,MATCH(polities_cats!V$1,$A$1:$AN$1,0),0)</f>
        <v>Latin America and the Caribbean</v>
      </c>
      <c r="W142" t="str">
        <f>VLOOKUP($A142,regions_full!$A$2:$AI$267,MATCH(polities_cats!W$1,$A$1:$AN$1,0),0)</f>
        <v>Latin America and Caribbean</v>
      </c>
      <c r="X142" t="str">
        <f>VLOOKUP($A142,regions_full!$A$2:$AI$267,MATCH(polities_cats!X$1,$A$1:$AN$1,0),0)</f>
        <v>LACA</v>
      </c>
      <c r="Y142" t="str">
        <f>VLOOKUP($A142,regions_full!$A$2:$AI$267,MATCH(polities_cats!Y$1,$A$1:$AN$1,0),0)</f>
        <v>Latin America and the Caribbean</v>
      </c>
      <c r="Z142" t="str">
        <f>VLOOKUP($A142,regions_full!$A$2:$AI$267,MATCH(polities_cats!Z$1,$A$1:$AN$1,0),0)</f>
        <v>Americas</v>
      </c>
      <c r="AA142" t="str">
        <f>VLOOKUP($A142,regions_full!$A$2:$AI$267,MATCH(polities_cats!AA$1,$A$1:$AN$1,0),0)</f>
        <v>Americas</v>
      </c>
      <c r="AB142" t="str">
        <f>VLOOKUP($A142,regions_full!$A$2:$AI$267,MATCH(polities_cats!AB$1,$A$1:$AN$1,0),0)</f>
        <v>Latin America and the Caribbean</v>
      </c>
      <c r="AC142" t="str">
        <f>VLOOKUP($A142,regions_full!$A$2:$AI$267,MATCH(polities_cats!AC$1,$A$1:$AN$1,0),0)</f>
        <v>Caribbean</v>
      </c>
      <c r="AD142" t="str">
        <f>VLOOKUP($A142,regions_full!$A$2:$AI$267,MATCH(polities_cats!AD$1,$A$1:$AN$1,0),0)</f>
        <v>Emerging</v>
      </c>
      <c r="AE142" t="str">
        <f>VLOOKUP($A142,regions_full!$A$2:$AI$267,MATCH(polities_cats!AE$1,$A$1:$AN$1,0),0)</f>
        <v>Annex_II</v>
      </c>
      <c r="AF142" t="str">
        <f>VLOOKUP($A142,regions_full!$A$2:$AI$267,MATCH(polities_cats!AF$1,$A$1:$AN$1,0),0)</f>
        <v>Caribbean &amp; Centra Am.</v>
      </c>
      <c r="AG142" t="str">
        <f>VLOOKUP($A142,regions_full!$A$2:$AI$267,MATCH(polities_cats!AG$1,$A$1:$AN$1,0),0)</f>
        <v>LACA</v>
      </c>
      <c r="AH142" t="str">
        <f>VLOOKUP($A142,regions_full!$A$2:$AI$267,MATCH(polities_cats!AH$1,$A$1:$AN$1,0),0)</f>
        <v>no_mech</v>
      </c>
      <c r="AI142" t="str">
        <f>VLOOKUP($A142,regions_full!$A$2:$AI$267,MATCH(polities_cats!AI$1,$A$1:$AN$1,0),0)</f>
        <v>Other</v>
      </c>
      <c r="AJ142" t="e">
        <f>VLOOKUP($A142,regions_full!$A$2:$AI$267,MATCH(polities_cats!AJ$1,$A$1:$AN$1,0),0)</f>
        <v>#REF!</v>
      </c>
      <c r="AK142" t="e">
        <f>VLOOKUP($A142,regions_full!$A$2:$AI$267,MATCH(polities_cats!AK$1,$A$1:$AN$1,0),0)</f>
        <v>#REF!</v>
      </c>
      <c r="AL142" t="e">
        <f>VLOOKUP($A142,regions_full!$A$2:$AI$267,MATCH(polities_cats!AL$1,$A$1:$AN$1,0),0)</f>
        <v>#REF!</v>
      </c>
      <c r="AM142" t="e">
        <f>VLOOKUP($A142,regions_full!$A$2:$AI$267,MATCH(polities_cats!AM$1,$A$1:$AN$1,0),0)</f>
        <v>#REF!</v>
      </c>
      <c r="AN142" t="e">
        <f>VLOOKUP($A142,regions_full!$A$2:$AI$267,MATCH(polities_cats!AN$1,$A$1:$AN$1,0),0)</f>
        <v>#REF!</v>
      </c>
    </row>
    <row r="143" spans="1:40" x14ac:dyDescent="0.3">
      <c r="A143" t="str">
        <f>polities_whep!A143</f>
        <v>LCA</v>
      </c>
      <c r="B143" t="str">
        <f>polities_whep!B143</f>
        <v>Saint Lucia</v>
      </c>
      <c r="C143">
        <f>VLOOKUP($A143,regions_full!$A$2:$AI$267,MATCH(polities_cats!C$1,$A$1:$AN$1,0),0)</f>
        <v>186</v>
      </c>
      <c r="D143">
        <f>VLOOKUP($A143,regions_full!$A$2:$AI$267,MATCH(polities_cats!D$1,$A$1:$AN$1,0),0)</f>
        <v>189</v>
      </c>
      <c r="E143" t="str">
        <f>VLOOKUP($A143,regions_full!$A$2:$AI$267,MATCH(polities_cats!E$1,$A$1:$AN$1,0),0)</f>
        <v>LCA</v>
      </c>
      <c r="F143" t="str">
        <f>VLOOKUP($A143,regions_full!$A$2:$AI$267,MATCH(polities_cats!F$1,$A$1:$AN$1,0),0)</f>
        <v>Saint Lucia</v>
      </c>
      <c r="G143" t="str">
        <f>VLOOKUP($A143,regions_full!$A$2:$AI$267,MATCH(polities_cats!G$1,$A$1:$AN$1,0),0)</f>
        <v>FALSE</v>
      </c>
      <c r="H143" t="str">
        <f>VLOOKUP($A143,regions_full!$A$2:$AI$267,MATCH(polities_cats!H$1,$A$1:$AN$1,0),0)</f>
        <v>Saint Lucia</v>
      </c>
      <c r="I143" t="str">
        <f>VLOOKUP($A143,regions_full!$A$2:$AI$267,MATCH(polities_cats!I$1,$A$1:$AN$1,0),0)</f>
        <v>Saint Lucia</v>
      </c>
      <c r="J143">
        <f>VLOOKUP($A143,regions_full!$A$2:$AI$267,MATCH(polities_cats!J$1,$A$1:$AN$1,0),0)</f>
        <v>0</v>
      </c>
      <c r="K143">
        <f>VLOOKUP($A143,regions_full!$A$2:$AI$267,MATCH(polities_cats!K$1,$A$1:$AN$1,0),0)</f>
        <v>189</v>
      </c>
      <c r="L143" t="str">
        <f>VLOOKUP($A143,regions_full!$A$2:$AI$267,MATCH(polities_cats!L$1,$A$1:$AN$1,0),0)</f>
        <v>Saint Lucia</v>
      </c>
      <c r="M143">
        <f>VLOOKUP($A143,regions_full!$A$2:$AI$267,MATCH(polities_cats!M$1,$A$1:$AN$1,0),0)</f>
        <v>662</v>
      </c>
      <c r="N143">
        <f>VLOOKUP($A143,regions_full!$A$2:$AI$267,MATCH(polities_cats!N$1,$A$1:$AN$1,0),0)</f>
        <v>662</v>
      </c>
      <c r="O143">
        <f>VLOOKUP($A143,regions_full!$A$2:$AI$267,MATCH(polities_cats!O$1,$A$1:$AN$1,0),0)</f>
        <v>3</v>
      </c>
      <c r="P143" t="str">
        <f>VLOOKUP($A143,regions_full!$A$2:$AI$267,MATCH(polities_cats!P$1,$A$1:$AN$1,0),0)</f>
        <v>TRUE</v>
      </c>
      <c r="Q143">
        <f>VLOOKUP($A143,regions_full!$A$2:$AI$267,MATCH(polities_cats!Q$1,$A$1:$AN$1,0),0)</f>
        <v>189</v>
      </c>
      <c r="R143" t="str">
        <f>VLOOKUP($A143,regions_full!$A$2:$AI$267,MATCH(polities_cats!R$1,$A$1:$AN$1,0),0)</f>
        <v/>
      </c>
      <c r="S143" t="str">
        <f>VLOOKUP($A143,regions_full!$A$2:$AI$267,MATCH(polities_cats!S$1,$A$1:$AN$1,0),0)</f>
        <v>Central America</v>
      </c>
      <c r="T143">
        <f>VLOOKUP($A143,regions_full!$A$2:$AI$267,MATCH(polities_cats!T$1,$A$1:$AN$1,0),0)</f>
        <v>1</v>
      </c>
      <c r="U143" t="str">
        <f>VLOOKUP($A143,regions_full!$A$2:$AI$267,MATCH(polities_cats!U$1,$A$1:$AN$1,0),0)</f>
        <v>Saint Lucia</v>
      </c>
      <c r="V143" t="str">
        <f>VLOOKUP($A143,regions_full!$A$2:$AI$267,MATCH(polities_cats!V$1,$A$1:$AN$1,0),0)</f>
        <v>Latin America and the Caribbean</v>
      </c>
      <c r="W143" t="str">
        <f>VLOOKUP($A143,regions_full!$A$2:$AI$267,MATCH(polities_cats!W$1,$A$1:$AN$1,0),0)</f>
        <v>Latin America and Caribbean</v>
      </c>
      <c r="X143" t="str">
        <f>VLOOKUP($A143,regions_full!$A$2:$AI$267,MATCH(polities_cats!X$1,$A$1:$AN$1,0),0)</f>
        <v>LACA</v>
      </c>
      <c r="Y143" t="str">
        <f>VLOOKUP($A143,regions_full!$A$2:$AI$267,MATCH(polities_cats!Y$1,$A$1:$AN$1,0),0)</f>
        <v>Latin America and the Caribbean</v>
      </c>
      <c r="Z143" t="str">
        <f>VLOOKUP($A143,regions_full!$A$2:$AI$267,MATCH(polities_cats!Z$1,$A$1:$AN$1,0),0)</f>
        <v>Americas</v>
      </c>
      <c r="AA143" t="str">
        <f>VLOOKUP($A143,regions_full!$A$2:$AI$267,MATCH(polities_cats!AA$1,$A$1:$AN$1,0),0)</f>
        <v>Americas</v>
      </c>
      <c r="AB143" t="str">
        <f>VLOOKUP($A143,regions_full!$A$2:$AI$267,MATCH(polities_cats!AB$1,$A$1:$AN$1,0),0)</f>
        <v>Latin America and the Caribbean</v>
      </c>
      <c r="AC143" t="str">
        <f>VLOOKUP($A143,regions_full!$A$2:$AI$267,MATCH(polities_cats!AC$1,$A$1:$AN$1,0),0)</f>
        <v>Caribbean</v>
      </c>
      <c r="AD143" t="str">
        <f>VLOOKUP($A143,regions_full!$A$2:$AI$267,MATCH(polities_cats!AD$1,$A$1:$AN$1,0),0)</f>
        <v>Emerging</v>
      </c>
      <c r="AE143" t="str">
        <f>VLOOKUP($A143,regions_full!$A$2:$AI$267,MATCH(polities_cats!AE$1,$A$1:$AN$1,0),0)</f>
        <v>Annex_II</v>
      </c>
      <c r="AF143" t="str">
        <f>VLOOKUP($A143,regions_full!$A$2:$AI$267,MATCH(polities_cats!AF$1,$A$1:$AN$1,0),0)</f>
        <v>Caribbean &amp; Centra Am.</v>
      </c>
      <c r="AG143" t="str">
        <f>VLOOKUP($A143,regions_full!$A$2:$AI$267,MATCH(polities_cats!AG$1,$A$1:$AN$1,0),0)</f>
        <v>LACA</v>
      </c>
      <c r="AH143" t="str">
        <f>VLOOKUP($A143,regions_full!$A$2:$AI$267,MATCH(polities_cats!AH$1,$A$1:$AN$1,0),0)</f>
        <v>no_mech</v>
      </c>
      <c r="AI143" t="str">
        <f>VLOOKUP($A143,regions_full!$A$2:$AI$267,MATCH(polities_cats!AI$1,$A$1:$AN$1,0),0)</f>
        <v>Other</v>
      </c>
      <c r="AJ143" t="e">
        <f>VLOOKUP($A143,regions_full!$A$2:$AI$267,MATCH(polities_cats!AJ$1,$A$1:$AN$1,0),0)</f>
        <v>#REF!</v>
      </c>
      <c r="AK143" t="e">
        <f>VLOOKUP($A143,regions_full!$A$2:$AI$267,MATCH(polities_cats!AK$1,$A$1:$AN$1,0),0)</f>
        <v>#REF!</v>
      </c>
      <c r="AL143" t="e">
        <f>VLOOKUP($A143,regions_full!$A$2:$AI$267,MATCH(polities_cats!AL$1,$A$1:$AN$1,0),0)</f>
        <v>#REF!</v>
      </c>
      <c r="AM143" t="e">
        <f>VLOOKUP($A143,regions_full!$A$2:$AI$267,MATCH(polities_cats!AM$1,$A$1:$AN$1,0),0)</f>
        <v>#REF!</v>
      </c>
      <c r="AN143" t="e">
        <f>VLOOKUP($A143,regions_full!$A$2:$AI$267,MATCH(polities_cats!AN$1,$A$1:$AN$1,0),0)</f>
        <v>#REF!</v>
      </c>
    </row>
    <row r="144" spans="1:40" x14ac:dyDescent="0.3">
      <c r="A144" t="str">
        <f>polities_whep!A144</f>
        <v>VCT</v>
      </c>
      <c r="B144" t="str">
        <f>polities_whep!B144</f>
        <v>Saint Vincent and the Grenadines</v>
      </c>
      <c r="C144">
        <f>VLOOKUP($A144,regions_full!$A$2:$AI$267,MATCH(polities_cats!C$1,$A$1:$AN$1,0),0)</f>
        <v>188</v>
      </c>
      <c r="D144">
        <f>VLOOKUP($A144,regions_full!$A$2:$AI$267,MATCH(polities_cats!D$1,$A$1:$AN$1,0),0)</f>
        <v>191</v>
      </c>
      <c r="E144" t="str">
        <f>VLOOKUP($A144,regions_full!$A$2:$AI$267,MATCH(polities_cats!E$1,$A$1:$AN$1,0),0)</f>
        <v>VCT</v>
      </c>
      <c r="F144" t="str">
        <f>VLOOKUP($A144,regions_full!$A$2:$AI$267,MATCH(polities_cats!F$1,$A$1:$AN$1,0),0)</f>
        <v>Saint Vincent and the Grenadines</v>
      </c>
      <c r="G144" t="str">
        <f>VLOOKUP($A144,regions_full!$A$2:$AI$267,MATCH(polities_cats!G$1,$A$1:$AN$1,0),0)</f>
        <v>FALSE</v>
      </c>
      <c r="H144" t="str">
        <f>VLOOKUP($A144,regions_full!$A$2:$AI$267,MATCH(polities_cats!H$1,$A$1:$AN$1,0),0)</f>
        <v>Saint Vincent and the Grenadines</v>
      </c>
      <c r="I144" t="str">
        <f>VLOOKUP($A144,regions_full!$A$2:$AI$267,MATCH(polities_cats!I$1,$A$1:$AN$1,0),0)</f>
        <v>Saint Vincent/Grenadines</v>
      </c>
      <c r="J144">
        <f>VLOOKUP($A144,regions_full!$A$2:$AI$267,MATCH(polities_cats!J$1,$A$1:$AN$1,0),0)</f>
        <v>0</v>
      </c>
      <c r="K144">
        <f>VLOOKUP($A144,regions_full!$A$2:$AI$267,MATCH(polities_cats!K$1,$A$1:$AN$1,0),0)</f>
        <v>191</v>
      </c>
      <c r="L144" t="str">
        <f>VLOOKUP($A144,regions_full!$A$2:$AI$267,MATCH(polities_cats!L$1,$A$1:$AN$1,0),0)</f>
        <v>Saint Vincent and Grenadines</v>
      </c>
      <c r="M144">
        <f>VLOOKUP($A144,regions_full!$A$2:$AI$267,MATCH(polities_cats!M$1,$A$1:$AN$1,0),0)</f>
        <v>670</v>
      </c>
      <c r="N144">
        <f>VLOOKUP($A144,regions_full!$A$2:$AI$267,MATCH(polities_cats!N$1,$A$1:$AN$1,0),0)</f>
        <v>670</v>
      </c>
      <c r="O144">
        <f>VLOOKUP($A144,regions_full!$A$2:$AI$267,MATCH(polities_cats!O$1,$A$1:$AN$1,0),0)</f>
        <v>3</v>
      </c>
      <c r="P144" t="str">
        <f>VLOOKUP($A144,regions_full!$A$2:$AI$267,MATCH(polities_cats!P$1,$A$1:$AN$1,0),0)</f>
        <v>TRUE</v>
      </c>
      <c r="Q144">
        <f>VLOOKUP($A144,regions_full!$A$2:$AI$267,MATCH(polities_cats!Q$1,$A$1:$AN$1,0),0)</f>
        <v>191</v>
      </c>
      <c r="R144" t="str">
        <f>VLOOKUP($A144,regions_full!$A$2:$AI$267,MATCH(polities_cats!R$1,$A$1:$AN$1,0),0)</f>
        <v/>
      </c>
      <c r="S144" t="str">
        <f>VLOOKUP($A144,regions_full!$A$2:$AI$267,MATCH(polities_cats!S$1,$A$1:$AN$1,0),0)</f>
        <v>Central America</v>
      </c>
      <c r="T144">
        <f>VLOOKUP($A144,regions_full!$A$2:$AI$267,MATCH(polities_cats!T$1,$A$1:$AN$1,0),0)</f>
        <v>1</v>
      </c>
      <c r="U144" t="str">
        <f>VLOOKUP($A144,regions_full!$A$2:$AI$267,MATCH(polities_cats!U$1,$A$1:$AN$1,0),0)</f>
        <v>Saint Vincent and the Grenadines</v>
      </c>
      <c r="V144" t="str">
        <f>VLOOKUP($A144,regions_full!$A$2:$AI$267,MATCH(polities_cats!V$1,$A$1:$AN$1,0),0)</f>
        <v>Latin America and the Caribbean</v>
      </c>
      <c r="W144" t="str">
        <f>VLOOKUP($A144,regions_full!$A$2:$AI$267,MATCH(polities_cats!W$1,$A$1:$AN$1,0),0)</f>
        <v>Latin America and Caribbean</v>
      </c>
      <c r="X144" t="str">
        <f>VLOOKUP($A144,regions_full!$A$2:$AI$267,MATCH(polities_cats!X$1,$A$1:$AN$1,0),0)</f>
        <v>LACA</v>
      </c>
      <c r="Y144" t="str">
        <f>VLOOKUP($A144,regions_full!$A$2:$AI$267,MATCH(polities_cats!Y$1,$A$1:$AN$1,0),0)</f>
        <v>Latin America and the Caribbean</v>
      </c>
      <c r="Z144" t="str">
        <f>VLOOKUP($A144,regions_full!$A$2:$AI$267,MATCH(polities_cats!Z$1,$A$1:$AN$1,0),0)</f>
        <v>Americas</v>
      </c>
      <c r="AA144" t="str">
        <f>VLOOKUP($A144,regions_full!$A$2:$AI$267,MATCH(polities_cats!AA$1,$A$1:$AN$1,0),0)</f>
        <v>Americas</v>
      </c>
      <c r="AB144" t="str">
        <f>VLOOKUP($A144,regions_full!$A$2:$AI$267,MATCH(polities_cats!AB$1,$A$1:$AN$1,0),0)</f>
        <v>Latin America and the Caribbean</v>
      </c>
      <c r="AC144" t="str">
        <f>VLOOKUP($A144,regions_full!$A$2:$AI$267,MATCH(polities_cats!AC$1,$A$1:$AN$1,0),0)</f>
        <v>Caribbean</v>
      </c>
      <c r="AD144" t="str">
        <f>VLOOKUP($A144,regions_full!$A$2:$AI$267,MATCH(polities_cats!AD$1,$A$1:$AN$1,0),0)</f>
        <v>Emerging</v>
      </c>
      <c r="AE144" t="str">
        <f>VLOOKUP($A144,regions_full!$A$2:$AI$267,MATCH(polities_cats!AE$1,$A$1:$AN$1,0),0)</f>
        <v>Annex_II</v>
      </c>
      <c r="AF144" t="str">
        <f>VLOOKUP($A144,regions_full!$A$2:$AI$267,MATCH(polities_cats!AF$1,$A$1:$AN$1,0),0)</f>
        <v>Caribbean &amp; Centra Am.</v>
      </c>
      <c r="AG144" t="str">
        <f>VLOOKUP($A144,regions_full!$A$2:$AI$267,MATCH(polities_cats!AG$1,$A$1:$AN$1,0),0)</f>
        <v>LACA</v>
      </c>
      <c r="AH144" t="str">
        <f>VLOOKUP($A144,regions_full!$A$2:$AI$267,MATCH(polities_cats!AH$1,$A$1:$AN$1,0),0)</f>
        <v>no_mech</v>
      </c>
      <c r="AI144" t="str">
        <f>VLOOKUP($A144,regions_full!$A$2:$AI$267,MATCH(polities_cats!AI$1,$A$1:$AN$1,0),0)</f>
        <v>Other</v>
      </c>
      <c r="AJ144" t="e">
        <f>VLOOKUP($A144,regions_full!$A$2:$AI$267,MATCH(polities_cats!AJ$1,$A$1:$AN$1,0),0)</f>
        <v>#REF!</v>
      </c>
      <c r="AK144" t="e">
        <f>VLOOKUP($A144,regions_full!$A$2:$AI$267,MATCH(polities_cats!AK$1,$A$1:$AN$1,0),0)</f>
        <v>#REF!</v>
      </c>
      <c r="AL144" t="e">
        <f>VLOOKUP($A144,regions_full!$A$2:$AI$267,MATCH(polities_cats!AL$1,$A$1:$AN$1,0),0)</f>
        <v>#REF!</v>
      </c>
      <c r="AM144" t="e">
        <f>VLOOKUP($A144,regions_full!$A$2:$AI$267,MATCH(polities_cats!AM$1,$A$1:$AN$1,0),0)</f>
        <v>#REF!</v>
      </c>
      <c r="AN144" t="e">
        <f>VLOOKUP($A144,regions_full!$A$2:$AI$267,MATCH(polities_cats!AN$1,$A$1:$AN$1,0),0)</f>
        <v>#REF!</v>
      </c>
    </row>
    <row r="145" spans="1:40" x14ac:dyDescent="0.3">
      <c r="A145" t="str">
        <f>polities_whep!A145</f>
        <v>WSM</v>
      </c>
      <c r="B145" t="str">
        <f>polities_whep!B145</f>
        <v>Samoa</v>
      </c>
      <c r="C145">
        <f>VLOOKUP($A145,regions_full!$A$2:$AI$267,MATCH(polities_cats!C$1,$A$1:$AN$1,0),0)</f>
        <v>239</v>
      </c>
      <c r="D145">
        <f>VLOOKUP($A145,regions_full!$A$2:$AI$267,MATCH(polities_cats!D$1,$A$1:$AN$1,0),0)</f>
        <v>244</v>
      </c>
      <c r="E145" t="str">
        <f>VLOOKUP($A145,regions_full!$A$2:$AI$267,MATCH(polities_cats!E$1,$A$1:$AN$1,0),0)</f>
        <v>WSM</v>
      </c>
      <c r="F145" t="str">
        <f>VLOOKUP($A145,regions_full!$A$2:$AI$267,MATCH(polities_cats!F$1,$A$1:$AN$1,0),0)</f>
        <v>Samoa</v>
      </c>
      <c r="G145" t="str">
        <f>VLOOKUP($A145,regions_full!$A$2:$AI$267,MATCH(polities_cats!G$1,$A$1:$AN$1,0),0)</f>
        <v>FALSE</v>
      </c>
      <c r="H145" t="str">
        <f>VLOOKUP($A145,regions_full!$A$2:$AI$267,MATCH(polities_cats!H$1,$A$1:$AN$1,0),0)</f>
        <v>Samoa</v>
      </c>
      <c r="I145" t="str">
        <f>VLOOKUP($A145,regions_full!$A$2:$AI$267,MATCH(polities_cats!I$1,$A$1:$AN$1,0),0)</f>
        <v>Samoa</v>
      </c>
      <c r="J145">
        <f>VLOOKUP($A145,regions_full!$A$2:$AI$267,MATCH(polities_cats!J$1,$A$1:$AN$1,0),0)</f>
        <v>0</v>
      </c>
      <c r="K145">
        <f>VLOOKUP($A145,regions_full!$A$2:$AI$267,MATCH(polities_cats!K$1,$A$1:$AN$1,0),0)</f>
        <v>244</v>
      </c>
      <c r="L145" t="str">
        <f>VLOOKUP($A145,regions_full!$A$2:$AI$267,MATCH(polities_cats!L$1,$A$1:$AN$1,0),0)</f>
        <v>Samoa</v>
      </c>
      <c r="M145">
        <f>VLOOKUP($A145,regions_full!$A$2:$AI$267,MATCH(polities_cats!M$1,$A$1:$AN$1,0),0)</f>
        <v>882</v>
      </c>
      <c r="N145">
        <f>VLOOKUP($A145,regions_full!$A$2:$AI$267,MATCH(polities_cats!N$1,$A$1:$AN$1,0),0)</f>
        <v>882</v>
      </c>
      <c r="O145">
        <f>VLOOKUP($A145,regions_full!$A$2:$AI$267,MATCH(polities_cats!O$1,$A$1:$AN$1,0),0)</f>
        <v>16</v>
      </c>
      <c r="P145" t="str">
        <f>VLOOKUP($A145,regions_full!$A$2:$AI$267,MATCH(polities_cats!P$1,$A$1:$AN$1,0),0)</f>
        <v>TRUE</v>
      </c>
      <c r="Q145">
        <f>VLOOKUP($A145,regions_full!$A$2:$AI$267,MATCH(polities_cats!Q$1,$A$1:$AN$1,0),0)</f>
        <v>244</v>
      </c>
      <c r="R145" t="str">
        <f>VLOOKUP($A145,regions_full!$A$2:$AI$267,MATCH(polities_cats!R$1,$A$1:$AN$1,0),0)</f>
        <v/>
      </c>
      <c r="S145" t="str">
        <f>VLOOKUP($A145,regions_full!$A$2:$AI$267,MATCH(polities_cats!S$1,$A$1:$AN$1,0),0)</f>
        <v>Oceania</v>
      </c>
      <c r="T145">
        <f>VLOOKUP($A145,regions_full!$A$2:$AI$267,MATCH(polities_cats!T$1,$A$1:$AN$1,0),0)</f>
        <v>1</v>
      </c>
      <c r="U145" t="str">
        <f>VLOOKUP($A145,regions_full!$A$2:$AI$267,MATCH(polities_cats!U$1,$A$1:$AN$1,0),0)</f>
        <v>Samoa</v>
      </c>
      <c r="V145" t="str">
        <f>VLOOKUP($A145,regions_full!$A$2:$AI$267,MATCH(polities_cats!V$1,$A$1:$AN$1,0),0)</f>
        <v>Australia and Oceania</v>
      </c>
      <c r="W145" t="str">
        <f>VLOOKUP($A145,regions_full!$A$2:$AI$267,MATCH(polities_cats!W$1,$A$1:$AN$1,0),0)</f>
        <v>North America and Oceania</v>
      </c>
      <c r="X145" t="str">
        <f>VLOOKUP($A145,regions_full!$A$2:$AI$267,MATCH(polities_cats!X$1,$A$1:$AN$1,0),0)</f>
        <v>Oceania</v>
      </c>
      <c r="Y145" t="str">
        <f>VLOOKUP($A145,regions_full!$A$2:$AI$267,MATCH(polities_cats!Y$1,$A$1:$AN$1,0),0)</f>
        <v>Polynesia</v>
      </c>
      <c r="Z145" t="str">
        <f>VLOOKUP($A145,regions_full!$A$2:$AI$267,MATCH(polities_cats!Z$1,$A$1:$AN$1,0),0)</f>
        <v>Oceania</v>
      </c>
      <c r="AA145" t="str">
        <f>VLOOKUP($A145,regions_full!$A$2:$AI$267,MATCH(polities_cats!AA$1,$A$1:$AN$1,0),0)</f>
        <v>Asia and the Pacific</v>
      </c>
      <c r="AB145" t="str">
        <f>VLOOKUP($A145,regions_full!$A$2:$AI$267,MATCH(polities_cats!AB$1,$A$1:$AN$1,0),0)</f>
        <v>South-Eastern Asia and the Pacific</v>
      </c>
      <c r="AC145" t="str">
        <f>VLOOKUP($A145,regions_full!$A$2:$AI$267,MATCH(polities_cats!AC$1,$A$1:$AN$1,0),0)</f>
        <v>Pacific Islands</v>
      </c>
      <c r="AD145" t="str">
        <f>VLOOKUP($A145,regions_full!$A$2:$AI$267,MATCH(polities_cats!AD$1,$A$1:$AN$1,0),0)</f>
        <v>Emerging</v>
      </c>
      <c r="AE145" t="str">
        <f>VLOOKUP($A145,regions_full!$A$2:$AI$267,MATCH(polities_cats!AE$1,$A$1:$AN$1,0),0)</f>
        <v>Annex_II</v>
      </c>
      <c r="AF145" t="str">
        <f>VLOOKUP($A145,regions_full!$A$2:$AI$267,MATCH(polities_cats!AF$1,$A$1:$AN$1,0),0)</f>
        <v>Pacific</v>
      </c>
      <c r="AG145" t="str">
        <f>VLOOKUP($A145,regions_full!$A$2:$AI$267,MATCH(polities_cats!AG$1,$A$1:$AN$1,0),0)</f>
        <v>AUS</v>
      </c>
      <c r="AH145" t="str">
        <f>VLOOKUP($A145,regions_full!$A$2:$AI$267,MATCH(polities_cats!AH$1,$A$1:$AN$1,0),0)</f>
        <v>no_mech</v>
      </c>
      <c r="AI145" t="str">
        <f>VLOOKUP($A145,regions_full!$A$2:$AI$267,MATCH(polities_cats!AI$1,$A$1:$AN$1,0),0)</f>
        <v>Other</v>
      </c>
      <c r="AJ145" t="e">
        <f>VLOOKUP($A145,regions_full!$A$2:$AI$267,MATCH(polities_cats!AJ$1,$A$1:$AN$1,0),0)</f>
        <v>#REF!</v>
      </c>
      <c r="AK145" t="e">
        <f>VLOOKUP($A145,regions_full!$A$2:$AI$267,MATCH(polities_cats!AK$1,$A$1:$AN$1,0),0)</f>
        <v>#REF!</v>
      </c>
      <c r="AL145" t="e">
        <f>VLOOKUP($A145,regions_full!$A$2:$AI$267,MATCH(polities_cats!AL$1,$A$1:$AN$1,0),0)</f>
        <v>#REF!</v>
      </c>
      <c r="AM145" t="e">
        <f>VLOOKUP($A145,regions_full!$A$2:$AI$267,MATCH(polities_cats!AM$1,$A$1:$AN$1,0),0)</f>
        <v>#REF!</v>
      </c>
      <c r="AN145" t="e">
        <f>VLOOKUP($A145,regions_full!$A$2:$AI$267,MATCH(polities_cats!AN$1,$A$1:$AN$1,0),0)</f>
        <v>#REF!</v>
      </c>
    </row>
    <row r="146" spans="1:40" x14ac:dyDescent="0.3">
      <c r="A146" t="str">
        <f>polities_whep!A146</f>
        <v>STP</v>
      </c>
      <c r="B146" t="str">
        <f>polities_whep!B146</f>
        <v>Sao Tome and Principe</v>
      </c>
      <c r="C146">
        <f>VLOOKUP($A146,regions_full!$A$2:$AI$267,MATCH(polities_cats!C$1,$A$1:$AN$1,0),0)</f>
        <v>190</v>
      </c>
      <c r="D146">
        <f>VLOOKUP($A146,regions_full!$A$2:$AI$267,MATCH(polities_cats!D$1,$A$1:$AN$1,0),0)</f>
        <v>193</v>
      </c>
      <c r="E146" t="str">
        <f>VLOOKUP($A146,regions_full!$A$2:$AI$267,MATCH(polities_cats!E$1,$A$1:$AN$1,0),0)</f>
        <v>STP</v>
      </c>
      <c r="F146" t="str">
        <f>VLOOKUP($A146,regions_full!$A$2:$AI$267,MATCH(polities_cats!F$1,$A$1:$AN$1,0),0)</f>
        <v>Sao Tome and Principe</v>
      </c>
      <c r="G146" t="str">
        <f>VLOOKUP($A146,regions_full!$A$2:$AI$267,MATCH(polities_cats!G$1,$A$1:$AN$1,0),0)</f>
        <v>FALSE</v>
      </c>
      <c r="H146" t="str">
        <f>VLOOKUP($A146,regions_full!$A$2:$AI$267,MATCH(polities_cats!H$1,$A$1:$AN$1,0),0)</f>
        <v>Sao Tome and Principe</v>
      </c>
      <c r="I146" t="str">
        <f>VLOOKUP($A146,regions_full!$A$2:$AI$267,MATCH(polities_cats!I$1,$A$1:$AN$1,0),0)</f>
        <v>Sao Tome and Principe</v>
      </c>
      <c r="J146">
        <f>VLOOKUP($A146,regions_full!$A$2:$AI$267,MATCH(polities_cats!J$1,$A$1:$AN$1,0),0)</f>
        <v>0</v>
      </c>
      <c r="K146">
        <f>VLOOKUP($A146,regions_full!$A$2:$AI$267,MATCH(polities_cats!K$1,$A$1:$AN$1,0),0)</f>
        <v>193</v>
      </c>
      <c r="L146" t="str">
        <f>VLOOKUP($A146,regions_full!$A$2:$AI$267,MATCH(polities_cats!L$1,$A$1:$AN$1,0),0)</f>
        <v>Sao Tome and Principe</v>
      </c>
      <c r="M146">
        <f>VLOOKUP($A146,regions_full!$A$2:$AI$267,MATCH(polities_cats!M$1,$A$1:$AN$1,0),0)</f>
        <v>678</v>
      </c>
      <c r="N146">
        <f>VLOOKUP($A146,regions_full!$A$2:$AI$267,MATCH(polities_cats!N$1,$A$1:$AN$1,0),0)</f>
        <v>678</v>
      </c>
      <c r="O146">
        <f>VLOOKUP($A146,regions_full!$A$2:$AI$267,MATCH(polities_cats!O$1,$A$1:$AN$1,0),0)</f>
        <v>6</v>
      </c>
      <c r="P146" t="str">
        <f>VLOOKUP($A146,regions_full!$A$2:$AI$267,MATCH(polities_cats!P$1,$A$1:$AN$1,0),0)</f>
        <v>TRUE</v>
      </c>
      <c r="Q146">
        <f>VLOOKUP($A146,regions_full!$A$2:$AI$267,MATCH(polities_cats!Q$1,$A$1:$AN$1,0),0)</f>
        <v>193</v>
      </c>
      <c r="R146" t="str">
        <f>VLOOKUP($A146,regions_full!$A$2:$AI$267,MATCH(polities_cats!R$1,$A$1:$AN$1,0),0)</f>
        <v/>
      </c>
      <c r="S146" t="str">
        <f>VLOOKUP($A146,regions_full!$A$2:$AI$267,MATCH(polities_cats!S$1,$A$1:$AN$1,0),0)</f>
        <v>Western Africa</v>
      </c>
      <c r="T146">
        <f>VLOOKUP($A146,regions_full!$A$2:$AI$267,MATCH(polities_cats!T$1,$A$1:$AN$1,0),0)</f>
        <v>1</v>
      </c>
      <c r="U146" t="str">
        <f>VLOOKUP($A146,regions_full!$A$2:$AI$267,MATCH(polities_cats!U$1,$A$1:$AN$1,0),0)</f>
        <v>Sao Tome and Principe</v>
      </c>
      <c r="V146" t="str">
        <f>VLOOKUP($A146,regions_full!$A$2:$AI$267,MATCH(polities_cats!V$1,$A$1:$AN$1,0),0)</f>
        <v>Subsaharan Africa</v>
      </c>
      <c r="W146" t="str">
        <f>VLOOKUP($A146,regions_full!$A$2:$AI$267,MATCH(polities_cats!W$1,$A$1:$AN$1,0),0)</f>
        <v>Sub-saharan Africa</v>
      </c>
      <c r="X146" t="str">
        <f>VLOOKUP($A146,regions_full!$A$2:$AI$267,MATCH(polities_cats!X$1,$A$1:$AN$1,0),0)</f>
        <v>SSA</v>
      </c>
      <c r="Y146" t="str">
        <f>VLOOKUP($A146,regions_full!$A$2:$AI$267,MATCH(polities_cats!Y$1,$A$1:$AN$1,0),0)</f>
        <v>Sub-Saharan Africa</v>
      </c>
      <c r="Z146" t="str">
        <f>VLOOKUP($A146,regions_full!$A$2:$AI$267,MATCH(polities_cats!Z$1,$A$1:$AN$1,0),0)</f>
        <v>Africa</v>
      </c>
      <c r="AA146" t="str">
        <f>VLOOKUP($A146,regions_full!$A$2:$AI$267,MATCH(polities_cats!AA$1,$A$1:$AN$1,0),0)</f>
        <v>Africa</v>
      </c>
      <c r="AB146" t="str">
        <f>VLOOKUP($A146,regions_full!$A$2:$AI$267,MATCH(polities_cats!AB$1,$A$1:$AN$1,0),0)</f>
        <v>Sub-Saharan Africa</v>
      </c>
      <c r="AC146" t="str">
        <f>VLOOKUP($A146,regions_full!$A$2:$AI$267,MATCH(polities_cats!AC$1,$A$1:$AN$1,0),0)</f>
        <v>Central Africa</v>
      </c>
      <c r="AD146" t="str">
        <f>VLOOKUP($A146,regions_full!$A$2:$AI$267,MATCH(polities_cats!AD$1,$A$1:$AN$1,0),0)</f>
        <v>Emerging</v>
      </c>
      <c r="AE146" t="str">
        <f>VLOOKUP($A146,regions_full!$A$2:$AI$267,MATCH(polities_cats!AE$1,$A$1:$AN$1,0),0)</f>
        <v>Annex_II</v>
      </c>
      <c r="AF146" t="str">
        <f>VLOOKUP($A146,regions_full!$A$2:$AI$267,MATCH(polities_cats!AF$1,$A$1:$AN$1,0),0)</f>
        <v>Middle Africa</v>
      </c>
      <c r="AG146" t="str">
        <f>VLOOKUP($A146,regions_full!$A$2:$AI$267,MATCH(polities_cats!AG$1,$A$1:$AN$1,0),0)</f>
        <v>SAA</v>
      </c>
      <c r="AH146" t="str">
        <f>VLOOKUP($A146,regions_full!$A$2:$AI$267,MATCH(polities_cats!AH$1,$A$1:$AN$1,0),0)</f>
        <v>no_mech</v>
      </c>
      <c r="AI146" t="str">
        <f>VLOOKUP($A146,regions_full!$A$2:$AI$267,MATCH(polities_cats!AI$1,$A$1:$AN$1,0),0)</f>
        <v>Other</v>
      </c>
      <c r="AJ146" t="e">
        <f>VLOOKUP($A146,regions_full!$A$2:$AI$267,MATCH(polities_cats!AJ$1,$A$1:$AN$1,0),0)</f>
        <v>#REF!</v>
      </c>
      <c r="AK146" t="e">
        <f>VLOOKUP($A146,regions_full!$A$2:$AI$267,MATCH(polities_cats!AK$1,$A$1:$AN$1,0),0)</f>
        <v>#REF!</v>
      </c>
      <c r="AL146" t="e">
        <f>VLOOKUP($A146,regions_full!$A$2:$AI$267,MATCH(polities_cats!AL$1,$A$1:$AN$1,0),0)</f>
        <v>#REF!</v>
      </c>
      <c r="AM146" t="e">
        <f>VLOOKUP($A146,regions_full!$A$2:$AI$267,MATCH(polities_cats!AM$1,$A$1:$AN$1,0),0)</f>
        <v>#REF!</v>
      </c>
      <c r="AN146" t="e">
        <f>VLOOKUP($A146,regions_full!$A$2:$AI$267,MATCH(polities_cats!AN$1,$A$1:$AN$1,0),0)</f>
        <v>#REF!</v>
      </c>
    </row>
    <row r="147" spans="1:40" x14ac:dyDescent="0.3">
      <c r="A147" t="str">
        <f>polities_whep!A147</f>
        <v>SAU</v>
      </c>
      <c r="B147" t="str">
        <f>polities_whep!B147</f>
        <v>Saudi Arabia</v>
      </c>
      <c r="C147">
        <f>VLOOKUP($A147,regions_full!$A$2:$AI$267,MATCH(polities_cats!C$1,$A$1:$AN$1,0),0)</f>
        <v>191</v>
      </c>
      <c r="D147">
        <f>VLOOKUP($A147,regions_full!$A$2:$AI$267,MATCH(polities_cats!D$1,$A$1:$AN$1,0),0)</f>
        <v>194</v>
      </c>
      <c r="E147" t="str">
        <f>VLOOKUP($A147,regions_full!$A$2:$AI$267,MATCH(polities_cats!E$1,$A$1:$AN$1,0),0)</f>
        <v>SAU</v>
      </c>
      <c r="F147" t="str">
        <f>VLOOKUP($A147,regions_full!$A$2:$AI$267,MATCH(polities_cats!F$1,$A$1:$AN$1,0),0)</f>
        <v>Saudi Arabia</v>
      </c>
      <c r="G147" t="str">
        <f>VLOOKUP($A147,regions_full!$A$2:$AI$267,MATCH(polities_cats!G$1,$A$1:$AN$1,0),0)</f>
        <v>FALSE</v>
      </c>
      <c r="H147" t="str">
        <f>VLOOKUP($A147,regions_full!$A$2:$AI$267,MATCH(polities_cats!H$1,$A$1:$AN$1,0),0)</f>
        <v>Saudi Arabia</v>
      </c>
      <c r="I147" t="str">
        <f>VLOOKUP($A147,regions_full!$A$2:$AI$267,MATCH(polities_cats!I$1,$A$1:$AN$1,0),0)</f>
        <v>Saudi Arabia</v>
      </c>
      <c r="J147" t="str">
        <f>VLOOKUP($A147,regions_full!$A$2:$AI$267,MATCH(polities_cats!J$1,$A$1:$AN$1,0),0)</f>
        <v>Saudi Arabia</v>
      </c>
      <c r="K147">
        <f>VLOOKUP($A147,regions_full!$A$2:$AI$267,MATCH(polities_cats!K$1,$A$1:$AN$1,0),0)</f>
        <v>194</v>
      </c>
      <c r="L147" t="str">
        <f>VLOOKUP($A147,regions_full!$A$2:$AI$267,MATCH(polities_cats!L$1,$A$1:$AN$1,0),0)</f>
        <v>Saudi Arabia</v>
      </c>
      <c r="M147">
        <f>VLOOKUP($A147,regions_full!$A$2:$AI$267,MATCH(polities_cats!M$1,$A$1:$AN$1,0),0)</f>
        <v>682</v>
      </c>
      <c r="N147">
        <f>VLOOKUP($A147,regions_full!$A$2:$AI$267,MATCH(polities_cats!N$1,$A$1:$AN$1,0),0)</f>
        <v>682</v>
      </c>
      <c r="O147">
        <f>VLOOKUP($A147,regions_full!$A$2:$AI$267,MATCH(polities_cats!O$1,$A$1:$AN$1,0),0)</f>
        <v>12</v>
      </c>
      <c r="P147" t="str">
        <f>VLOOKUP($A147,regions_full!$A$2:$AI$267,MATCH(polities_cats!P$1,$A$1:$AN$1,0),0)</f>
        <v>TRUE</v>
      </c>
      <c r="Q147">
        <f>VLOOKUP($A147,regions_full!$A$2:$AI$267,MATCH(polities_cats!Q$1,$A$1:$AN$1,0),0)</f>
        <v>194</v>
      </c>
      <c r="R147" t="str">
        <f>VLOOKUP($A147,regions_full!$A$2:$AI$267,MATCH(polities_cats!R$1,$A$1:$AN$1,0),0)</f>
        <v/>
      </c>
      <c r="S147" t="str">
        <f>VLOOKUP($A147,regions_full!$A$2:$AI$267,MATCH(polities_cats!S$1,$A$1:$AN$1,0),0)</f>
        <v>Middle East</v>
      </c>
      <c r="T147">
        <f>VLOOKUP($A147,regions_full!$A$2:$AI$267,MATCH(polities_cats!T$1,$A$1:$AN$1,0),0)</f>
        <v>1</v>
      </c>
      <c r="U147" t="str">
        <f>VLOOKUP($A147,regions_full!$A$2:$AI$267,MATCH(polities_cats!U$1,$A$1:$AN$1,0),0)</f>
        <v>Saudi Arabia</v>
      </c>
      <c r="V147" t="str">
        <f>VLOOKUP($A147,regions_full!$A$2:$AI$267,MATCH(polities_cats!V$1,$A$1:$AN$1,0),0)</f>
        <v>Northern Africa and Western Asia</v>
      </c>
      <c r="W147" t="str">
        <f>VLOOKUP($A147,regions_full!$A$2:$AI$267,MATCH(polities_cats!W$1,$A$1:$AN$1,0),0)</f>
        <v>North Africa and West Asia</v>
      </c>
      <c r="X147" t="str">
        <f>VLOOKUP($A147,regions_full!$A$2:$AI$267,MATCH(polities_cats!X$1,$A$1:$AN$1,0),0)</f>
        <v>MENA</v>
      </c>
      <c r="Y147" t="str">
        <f>VLOOKUP($A147,regions_full!$A$2:$AI$267,MATCH(polities_cats!Y$1,$A$1:$AN$1,0),0)</f>
        <v>Western Asia</v>
      </c>
      <c r="Z147" t="str">
        <f>VLOOKUP($A147,regions_full!$A$2:$AI$267,MATCH(polities_cats!Z$1,$A$1:$AN$1,0),0)</f>
        <v>Asia</v>
      </c>
      <c r="AA147" t="str">
        <f>VLOOKUP($A147,regions_full!$A$2:$AI$267,MATCH(polities_cats!AA$1,$A$1:$AN$1,0),0)</f>
        <v>Arab States</v>
      </c>
      <c r="AB147" t="str">
        <f>VLOOKUP($A147,regions_full!$A$2:$AI$267,MATCH(polities_cats!AB$1,$A$1:$AN$1,0),0)</f>
        <v>Arab States</v>
      </c>
      <c r="AC147" t="str">
        <f>VLOOKUP($A147,regions_full!$A$2:$AI$267,MATCH(polities_cats!AC$1,$A$1:$AN$1,0),0)</f>
        <v>Arab States</v>
      </c>
      <c r="AD147" t="str">
        <f>VLOOKUP($A147,regions_full!$A$2:$AI$267,MATCH(polities_cats!AD$1,$A$1:$AN$1,0),0)</f>
        <v>Emerging</v>
      </c>
      <c r="AE147" t="str">
        <f>VLOOKUP($A147,regions_full!$A$2:$AI$267,MATCH(polities_cats!AE$1,$A$1:$AN$1,0),0)</f>
        <v>Annex_II</v>
      </c>
      <c r="AF147" t="str">
        <f>VLOOKUP($A147,regions_full!$A$2:$AI$267,MATCH(polities_cats!AF$1,$A$1:$AN$1,0),0)</f>
        <v>Western Asia</v>
      </c>
      <c r="AG147" t="str">
        <f>VLOOKUP($A147,regions_full!$A$2:$AI$267,MATCH(polities_cats!AG$1,$A$1:$AN$1,0),0)</f>
        <v>MENA</v>
      </c>
      <c r="AH147" t="str">
        <f>VLOOKUP($A147,regions_full!$A$2:$AI$267,MATCH(polities_cats!AH$1,$A$1:$AN$1,0),0)</f>
        <v>no_mech</v>
      </c>
      <c r="AI147" t="str">
        <f>VLOOKUP($A147,regions_full!$A$2:$AI$267,MATCH(polities_cats!AI$1,$A$1:$AN$1,0),0)</f>
        <v>Other</v>
      </c>
      <c r="AJ147" t="e">
        <f>VLOOKUP($A147,regions_full!$A$2:$AI$267,MATCH(polities_cats!AJ$1,$A$1:$AN$1,0),0)</f>
        <v>#REF!</v>
      </c>
      <c r="AK147" t="e">
        <f>VLOOKUP($A147,regions_full!$A$2:$AI$267,MATCH(polities_cats!AK$1,$A$1:$AN$1,0),0)</f>
        <v>#REF!</v>
      </c>
      <c r="AL147" t="e">
        <f>VLOOKUP($A147,regions_full!$A$2:$AI$267,MATCH(polities_cats!AL$1,$A$1:$AN$1,0),0)</f>
        <v>#REF!</v>
      </c>
      <c r="AM147" t="e">
        <f>VLOOKUP($A147,regions_full!$A$2:$AI$267,MATCH(polities_cats!AM$1,$A$1:$AN$1,0),0)</f>
        <v>#REF!</v>
      </c>
      <c r="AN147" t="e">
        <f>VLOOKUP($A147,regions_full!$A$2:$AI$267,MATCH(polities_cats!AN$1,$A$1:$AN$1,0),0)</f>
        <v>#REF!</v>
      </c>
    </row>
    <row r="148" spans="1:40" x14ac:dyDescent="0.3">
      <c r="A148" t="str">
        <f>polities_whep!A148</f>
        <v>SEN</v>
      </c>
      <c r="B148" t="str">
        <f>polities_whep!B148</f>
        <v>Senegal</v>
      </c>
      <c r="C148">
        <f>VLOOKUP($A148,regions_full!$A$2:$AI$267,MATCH(polities_cats!C$1,$A$1:$AN$1,0),0)</f>
        <v>192</v>
      </c>
      <c r="D148">
        <f>VLOOKUP($A148,regions_full!$A$2:$AI$267,MATCH(polities_cats!D$1,$A$1:$AN$1,0),0)</f>
        <v>195</v>
      </c>
      <c r="E148" t="str">
        <f>VLOOKUP($A148,regions_full!$A$2:$AI$267,MATCH(polities_cats!E$1,$A$1:$AN$1,0),0)</f>
        <v>SEN</v>
      </c>
      <c r="F148" t="str">
        <f>VLOOKUP($A148,regions_full!$A$2:$AI$267,MATCH(polities_cats!F$1,$A$1:$AN$1,0),0)</f>
        <v>Senegal</v>
      </c>
      <c r="G148" t="str">
        <f>VLOOKUP($A148,regions_full!$A$2:$AI$267,MATCH(polities_cats!G$1,$A$1:$AN$1,0),0)</f>
        <v>FALSE</v>
      </c>
      <c r="H148" t="str">
        <f>VLOOKUP($A148,regions_full!$A$2:$AI$267,MATCH(polities_cats!H$1,$A$1:$AN$1,0),0)</f>
        <v>Senegal</v>
      </c>
      <c r="I148" t="str">
        <f>VLOOKUP($A148,regions_full!$A$2:$AI$267,MATCH(polities_cats!I$1,$A$1:$AN$1,0),0)</f>
        <v>Senegal</v>
      </c>
      <c r="J148" t="str">
        <f>VLOOKUP($A148,regions_full!$A$2:$AI$267,MATCH(polities_cats!J$1,$A$1:$AN$1,0),0)</f>
        <v>Senegal</v>
      </c>
      <c r="K148">
        <f>VLOOKUP($A148,regions_full!$A$2:$AI$267,MATCH(polities_cats!K$1,$A$1:$AN$1,0),0)</f>
        <v>195</v>
      </c>
      <c r="L148" t="str">
        <f>VLOOKUP($A148,regions_full!$A$2:$AI$267,MATCH(polities_cats!L$1,$A$1:$AN$1,0),0)</f>
        <v>Senegal</v>
      </c>
      <c r="M148">
        <f>VLOOKUP($A148,regions_full!$A$2:$AI$267,MATCH(polities_cats!M$1,$A$1:$AN$1,0),0)</f>
        <v>686</v>
      </c>
      <c r="N148">
        <f>VLOOKUP($A148,regions_full!$A$2:$AI$267,MATCH(polities_cats!N$1,$A$1:$AN$1,0),0)</f>
        <v>686</v>
      </c>
      <c r="O148">
        <f>VLOOKUP($A148,regions_full!$A$2:$AI$267,MATCH(polities_cats!O$1,$A$1:$AN$1,0),0)</f>
        <v>6</v>
      </c>
      <c r="P148" t="str">
        <f>VLOOKUP($A148,regions_full!$A$2:$AI$267,MATCH(polities_cats!P$1,$A$1:$AN$1,0),0)</f>
        <v>TRUE</v>
      </c>
      <c r="Q148">
        <f>VLOOKUP($A148,regions_full!$A$2:$AI$267,MATCH(polities_cats!Q$1,$A$1:$AN$1,0),0)</f>
        <v>195</v>
      </c>
      <c r="R148" t="str">
        <f>VLOOKUP($A148,regions_full!$A$2:$AI$267,MATCH(polities_cats!R$1,$A$1:$AN$1,0),0)</f>
        <v/>
      </c>
      <c r="S148" t="str">
        <f>VLOOKUP($A148,regions_full!$A$2:$AI$267,MATCH(polities_cats!S$1,$A$1:$AN$1,0),0)</f>
        <v>Western Africa</v>
      </c>
      <c r="T148">
        <f>VLOOKUP($A148,regions_full!$A$2:$AI$267,MATCH(polities_cats!T$1,$A$1:$AN$1,0),0)</f>
        <v>1</v>
      </c>
      <c r="U148" t="str">
        <f>VLOOKUP($A148,regions_full!$A$2:$AI$267,MATCH(polities_cats!U$1,$A$1:$AN$1,0),0)</f>
        <v>Senegal</v>
      </c>
      <c r="V148" t="str">
        <f>VLOOKUP($A148,regions_full!$A$2:$AI$267,MATCH(polities_cats!V$1,$A$1:$AN$1,0),0)</f>
        <v>Subsaharan Africa</v>
      </c>
      <c r="W148" t="str">
        <f>VLOOKUP($A148,regions_full!$A$2:$AI$267,MATCH(polities_cats!W$1,$A$1:$AN$1,0),0)</f>
        <v>Sub-saharan Africa</v>
      </c>
      <c r="X148" t="str">
        <f>VLOOKUP($A148,regions_full!$A$2:$AI$267,MATCH(polities_cats!X$1,$A$1:$AN$1,0),0)</f>
        <v>SSA</v>
      </c>
      <c r="Y148" t="str">
        <f>VLOOKUP($A148,regions_full!$A$2:$AI$267,MATCH(polities_cats!Y$1,$A$1:$AN$1,0),0)</f>
        <v>Sub-Saharan Africa</v>
      </c>
      <c r="Z148" t="str">
        <f>VLOOKUP($A148,regions_full!$A$2:$AI$267,MATCH(polities_cats!Z$1,$A$1:$AN$1,0),0)</f>
        <v>Africa</v>
      </c>
      <c r="AA148" t="str">
        <f>VLOOKUP($A148,regions_full!$A$2:$AI$267,MATCH(polities_cats!AA$1,$A$1:$AN$1,0),0)</f>
        <v>Africa</v>
      </c>
      <c r="AB148" t="str">
        <f>VLOOKUP($A148,regions_full!$A$2:$AI$267,MATCH(polities_cats!AB$1,$A$1:$AN$1,0),0)</f>
        <v>Sub-Saharan Africa</v>
      </c>
      <c r="AC148" t="str">
        <f>VLOOKUP($A148,regions_full!$A$2:$AI$267,MATCH(polities_cats!AC$1,$A$1:$AN$1,0),0)</f>
        <v>Western Africa</v>
      </c>
      <c r="AD148" t="str">
        <f>VLOOKUP($A148,regions_full!$A$2:$AI$267,MATCH(polities_cats!AD$1,$A$1:$AN$1,0),0)</f>
        <v>Emerging</v>
      </c>
      <c r="AE148" t="str">
        <f>VLOOKUP($A148,regions_full!$A$2:$AI$267,MATCH(polities_cats!AE$1,$A$1:$AN$1,0),0)</f>
        <v>Annex_II</v>
      </c>
      <c r="AF148" t="str">
        <f>VLOOKUP($A148,regions_full!$A$2:$AI$267,MATCH(polities_cats!AF$1,$A$1:$AN$1,0),0)</f>
        <v>Western Africa</v>
      </c>
      <c r="AG148" t="str">
        <f>VLOOKUP($A148,regions_full!$A$2:$AI$267,MATCH(polities_cats!AG$1,$A$1:$AN$1,0),0)</f>
        <v>SAA</v>
      </c>
      <c r="AH148" t="str">
        <f>VLOOKUP($A148,regions_full!$A$2:$AI$267,MATCH(polities_cats!AH$1,$A$1:$AN$1,0),0)</f>
        <v>no_mech</v>
      </c>
      <c r="AI148" t="str">
        <f>VLOOKUP($A148,regions_full!$A$2:$AI$267,MATCH(polities_cats!AI$1,$A$1:$AN$1,0),0)</f>
        <v>Other</v>
      </c>
      <c r="AJ148" t="e">
        <f>VLOOKUP($A148,regions_full!$A$2:$AI$267,MATCH(polities_cats!AJ$1,$A$1:$AN$1,0),0)</f>
        <v>#REF!</v>
      </c>
      <c r="AK148" t="e">
        <f>VLOOKUP($A148,regions_full!$A$2:$AI$267,MATCH(polities_cats!AK$1,$A$1:$AN$1,0),0)</f>
        <v>#REF!</v>
      </c>
      <c r="AL148" t="e">
        <f>VLOOKUP($A148,regions_full!$A$2:$AI$267,MATCH(polities_cats!AL$1,$A$1:$AN$1,0),0)</f>
        <v>#REF!</v>
      </c>
      <c r="AM148" t="e">
        <f>VLOOKUP($A148,regions_full!$A$2:$AI$267,MATCH(polities_cats!AM$1,$A$1:$AN$1,0),0)</f>
        <v>#REF!</v>
      </c>
      <c r="AN148" t="e">
        <f>VLOOKUP($A148,regions_full!$A$2:$AI$267,MATCH(polities_cats!AN$1,$A$1:$AN$1,0),0)</f>
        <v>#REF!</v>
      </c>
    </row>
    <row r="149" spans="1:40" x14ac:dyDescent="0.3">
      <c r="A149" t="str">
        <f>polities_whep!A149</f>
        <v>SRB</v>
      </c>
      <c r="B149" t="str">
        <f>polities_whep!B149</f>
        <v>Serbia</v>
      </c>
      <c r="C149">
        <f>VLOOKUP($A149,regions_full!$A$2:$AI$267,MATCH(polities_cats!C$1,$A$1:$AN$1,0),0)</f>
        <v>252</v>
      </c>
      <c r="D149">
        <f>VLOOKUP($A149,regions_full!$A$2:$AI$267,MATCH(polities_cats!D$1,$A$1:$AN$1,0),0)</f>
        <v>272</v>
      </c>
      <c r="E149" t="str">
        <f>VLOOKUP($A149,regions_full!$A$2:$AI$267,MATCH(polities_cats!E$1,$A$1:$AN$1,0),0)</f>
        <v>SRB</v>
      </c>
      <c r="F149" t="str">
        <f>VLOOKUP($A149,regions_full!$A$2:$AI$267,MATCH(polities_cats!F$1,$A$1:$AN$1,0),0)</f>
        <v>Serbia</v>
      </c>
      <c r="G149" t="str">
        <f>VLOOKUP($A149,regions_full!$A$2:$AI$267,MATCH(polities_cats!G$1,$A$1:$AN$1,0),0)</f>
        <v>FALSE</v>
      </c>
      <c r="H149" t="str">
        <f>VLOOKUP($A149,regions_full!$A$2:$AI$267,MATCH(polities_cats!H$1,$A$1:$AN$1,0),0)</f>
        <v>Serbia</v>
      </c>
      <c r="I149" t="str">
        <f>VLOOKUP($A149,regions_full!$A$2:$AI$267,MATCH(polities_cats!I$1,$A$1:$AN$1,0),0)</f>
        <v>Serbia</v>
      </c>
      <c r="J149" t="str">
        <f>VLOOKUP($A149,regions_full!$A$2:$AI$267,MATCH(polities_cats!J$1,$A$1:$AN$1,0),0)</f>
        <v>Serbia</v>
      </c>
      <c r="K149">
        <f>VLOOKUP($A149,regions_full!$A$2:$AI$267,MATCH(polities_cats!K$1,$A$1:$AN$1,0),0)</f>
        <v>186</v>
      </c>
      <c r="L149" t="str">
        <f>VLOOKUP($A149,regions_full!$A$2:$AI$267,MATCH(polities_cats!L$1,$A$1:$AN$1,0),0)</f>
        <v>Serbia and Montenegro</v>
      </c>
      <c r="M149">
        <f>VLOOKUP($A149,regions_full!$A$2:$AI$267,MATCH(polities_cats!M$1,$A$1:$AN$1,0),0)</f>
        <v>688</v>
      </c>
      <c r="N149">
        <f>VLOOKUP($A149,regions_full!$A$2:$AI$267,MATCH(polities_cats!N$1,$A$1:$AN$1,0),0)</f>
        <v>688</v>
      </c>
      <c r="O149">
        <f>VLOOKUP($A149,regions_full!$A$2:$AI$267,MATCH(polities_cats!O$1,$A$1:$AN$1,0),0)</f>
        <v>9</v>
      </c>
      <c r="P149" t="str">
        <f>VLOOKUP($A149,regions_full!$A$2:$AI$267,MATCH(polities_cats!P$1,$A$1:$AN$1,0),0)</f>
        <v>TRUE</v>
      </c>
      <c r="Q149">
        <f>VLOOKUP($A149,regions_full!$A$2:$AI$267,MATCH(polities_cats!Q$1,$A$1:$AN$1,0),0)</f>
        <v>272</v>
      </c>
      <c r="R149" t="str">
        <f>VLOOKUP($A149,regions_full!$A$2:$AI$267,MATCH(polities_cats!R$1,$A$1:$AN$1,0),0)</f>
        <v/>
      </c>
      <c r="S149" t="str">
        <f>VLOOKUP($A149,regions_full!$A$2:$AI$267,MATCH(polities_cats!S$1,$A$1:$AN$1,0),0)</f>
        <v>OECD Europe</v>
      </c>
      <c r="T149">
        <f>VLOOKUP($A149,regions_full!$A$2:$AI$267,MATCH(polities_cats!T$1,$A$1:$AN$1,0),0)</f>
        <v>1</v>
      </c>
      <c r="U149" t="str">
        <f>VLOOKUP($A149,regions_full!$A$2:$AI$267,MATCH(polities_cats!U$1,$A$1:$AN$1,0),0)</f>
        <v>Serbia</v>
      </c>
      <c r="V149" t="str">
        <f>VLOOKUP($A149,regions_full!$A$2:$AI$267,MATCH(polities_cats!V$1,$A$1:$AN$1,0),0)</f>
        <v>Western Europe</v>
      </c>
      <c r="W149" t="str">
        <f>VLOOKUP($A149,regions_full!$A$2:$AI$267,MATCH(polities_cats!W$1,$A$1:$AN$1,0),0)</f>
        <v>West Europe</v>
      </c>
      <c r="X149" t="str">
        <f>VLOOKUP($A149,regions_full!$A$2:$AI$267,MATCH(polities_cats!X$1,$A$1:$AN$1,0),0)</f>
        <v>Europe</v>
      </c>
      <c r="Y149" t="str">
        <f>VLOOKUP($A149,regions_full!$A$2:$AI$267,MATCH(polities_cats!Y$1,$A$1:$AN$1,0),0)</f>
        <v>Southern Europe</v>
      </c>
      <c r="Z149" t="str">
        <f>VLOOKUP($A149,regions_full!$A$2:$AI$267,MATCH(polities_cats!Z$1,$A$1:$AN$1,0),0)</f>
        <v>Europe</v>
      </c>
      <c r="AA149" t="str">
        <f>VLOOKUP($A149,regions_full!$A$2:$AI$267,MATCH(polities_cats!AA$1,$A$1:$AN$1,0),0)</f>
        <v>Europe and Central Asia</v>
      </c>
      <c r="AB149" t="str">
        <f>VLOOKUP($A149,regions_full!$A$2:$AI$267,MATCH(polities_cats!AB$1,$A$1:$AN$1,0),0)</f>
        <v>Northern, Southern and Western Europe</v>
      </c>
      <c r="AC149" t="str">
        <f>VLOOKUP($A149,regions_full!$A$2:$AI$267,MATCH(polities_cats!AC$1,$A$1:$AN$1,0),0)</f>
        <v>Southern Europe</v>
      </c>
      <c r="AD149" t="str">
        <f>VLOOKUP($A149,regions_full!$A$2:$AI$267,MATCH(polities_cats!AD$1,$A$1:$AN$1,0),0)</f>
        <v>Emerging</v>
      </c>
      <c r="AE149" t="str">
        <f>VLOOKUP($A149,regions_full!$A$2:$AI$267,MATCH(polities_cats!AE$1,$A$1:$AN$1,0),0)</f>
        <v>Annex_II</v>
      </c>
      <c r="AF149" t="str">
        <f>VLOOKUP($A149,regions_full!$A$2:$AI$267,MATCH(polities_cats!AF$1,$A$1:$AN$1,0),0)</f>
        <v>Southern Europe</v>
      </c>
      <c r="AG149" t="str">
        <f>VLOOKUP($A149,regions_full!$A$2:$AI$267,MATCH(polities_cats!AG$1,$A$1:$AN$1,0),0)</f>
        <v>Europe</v>
      </c>
      <c r="AH149" t="str">
        <f>VLOOKUP($A149,regions_full!$A$2:$AI$267,MATCH(polities_cats!AH$1,$A$1:$AN$1,0),0)</f>
        <v>mech</v>
      </c>
      <c r="AI149" t="str">
        <f>VLOOKUP($A149,regions_full!$A$2:$AI$267,MATCH(polities_cats!AI$1,$A$1:$AN$1,0),0)</f>
        <v>Europe</v>
      </c>
      <c r="AJ149" t="e">
        <f>VLOOKUP($A149,regions_full!$A$2:$AI$267,MATCH(polities_cats!AJ$1,$A$1:$AN$1,0),0)</f>
        <v>#REF!</v>
      </c>
      <c r="AK149" t="e">
        <f>VLOOKUP($A149,regions_full!$A$2:$AI$267,MATCH(polities_cats!AK$1,$A$1:$AN$1,0),0)</f>
        <v>#REF!</v>
      </c>
      <c r="AL149" t="e">
        <f>VLOOKUP($A149,regions_full!$A$2:$AI$267,MATCH(polities_cats!AL$1,$A$1:$AN$1,0),0)</f>
        <v>#REF!</v>
      </c>
      <c r="AM149" t="e">
        <f>VLOOKUP($A149,regions_full!$A$2:$AI$267,MATCH(polities_cats!AM$1,$A$1:$AN$1,0),0)</f>
        <v>#REF!</v>
      </c>
      <c r="AN149" t="e">
        <f>VLOOKUP($A149,regions_full!$A$2:$AI$267,MATCH(polities_cats!AN$1,$A$1:$AN$1,0),0)</f>
        <v>#REF!</v>
      </c>
    </row>
    <row r="150" spans="1:40" x14ac:dyDescent="0.3">
      <c r="A150" t="str">
        <f>polities_whep!A150</f>
        <v>SCG</v>
      </c>
      <c r="B150" t="str">
        <f>polities_whep!B150</f>
        <v>Serbia and Montenegro</v>
      </c>
      <c r="C150">
        <f>VLOOKUP($A150,regions_full!$A$2:$AI$267,MATCH(polities_cats!C$1,$A$1:$AN$1,0),0)</f>
        <v>183</v>
      </c>
      <c r="D150">
        <f>VLOOKUP($A150,regions_full!$A$2:$AI$267,MATCH(polities_cats!D$1,$A$1:$AN$1,0),0)</f>
        <v>186</v>
      </c>
      <c r="E150" t="str">
        <f>VLOOKUP($A150,regions_full!$A$2:$AI$267,MATCH(polities_cats!E$1,$A$1:$AN$1,0),0)</f>
        <v>SCG</v>
      </c>
      <c r="F150" t="str">
        <f>VLOOKUP($A150,regions_full!$A$2:$AI$267,MATCH(polities_cats!F$1,$A$1:$AN$1,0),0)</f>
        <v>Serbia and Montenegro</v>
      </c>
      <c r="G150" t="str">
        <f>VLOOKUP($A150,regions_full!$A$2:$AI$267,MATCH(polities_cats!G$1,$A$1:$AN$1,0),0)</f>
        <v>FALSE</v>
      </c>
      <c r="H150" t="str">
        <f>VLOOKUP($A150,regions_full!$A$2:$AI$267,MATCH(polities_cats!H$1,$A$1:$AN$1,0),0)</f>
        <v>Serbia and Montenegro</v>
      </c>
      <c r="I150" t="str">
        <f>VLOOKUP($A150,regions_full!$A$2:$AI$267,MATCH(polities_cats!I$1,$A$1:$AN$1,0),0)</f>
        <v>Former Serbia and Montenegro</v>
      </c>
      <c r="J150">
        <f>VLOOKUP($A150,regions_full!$A$2:$AI$267,MATCH(polities_cats!J$1,$A$1:$AN$1,0),0)</f>
        <v>0</v>
      </c>
      <c r="K150">
        <f>VLOOKUP($A150,regions_full!$A$2:$AI$267,MATCH(polities_cats!K$1,$A$1:$AN$1,0),0)</f>
        <v>186</v>
      </c>
      <c r="L150" t="str">
        <f>VLOOKUP($A150,regions_full!$A$2:$AI$267,MATCH(polities_cats!L$1,$A$1:$AN$1,0),0)</f>
        <v>Serbia and Montenegro</v>
      </c>
      <c r="M150">
        <f>VLOOKUP($A150,regions_full!$A$2:$AI$267,MATCH(polities_cats!M$1,$A$1:$AN$1,0),0)</f>
        <v>891</v>
      </c>
      <c r="N150">
        <f>VLOOKUP($A150,regions_full!$A$2:$AI$267,MATCH(polities_cats!N$1,$A$1:$AN$1,0),0)</f>
        <v>891</v>
      </c>
      <c r="O150">
        <f>VLOOKUP($A150,regions_full!$A$2:$AI$267,MATCH(polities_cats!O$1,$A$1:$AN$1,0),0)</f>
        <v>9</v>
      </c>
      <c r="P150" t="str">
        <f>VLOOKUP($A150,regions_full!$A$2:$AI$267,MATCH(polities_cats!P$1,$A$1:$AN$1,0),0)</f>
        <v>TRUE</v>
      </c>
      <c r="Q150">
        <f>VLOOKUP($A150,regions_full!$A$2:$AI$267,MATCH(polities_cats!Q$1,$A$1:$AN$1,0),0)</f>
        <v>186</v>
      </c>
      <c r="R150" t="str">
        <f>VLOOKUP($A150,regions_full!$A$2:$AI$267,MATCH(polities_cats!R$1,$A$1:$AN$1,0),0)</f>
        <v/>
      </c>
      <c r="S150" t="str">
        <f>VLOOKUP($A150,regions_full!$A$2:$AI$267,MATCH(polities_cats!S$1,$A$1:$AN$1,0),0)</f>
        <v>OECD Europe</v>
      </c>
      <c r="T150">
        <f>VLOOKUP($A150,regions_full!$A$2:$AI$267,MATCH(polities_cats!T$1,$A$1:$AN$1,0),0)</f>
        <v>1</v>
      </c>
      <c r="U150" t="str">
        <f>VLOOKUP($A150,regions_full!$A$2:$AI$267,MATCH(polities_cats!U$1,$A$1:$AN$1,0),0)</f>
        <v>Serbia and Montenegro</v>
      </c>
      <c r="V150" t="str">
        <f>VLOOKUP($A150,regions_full!$A$2:$AI$267,MATCH(polities_cats!V$1,$A$1:$AN$1,0),0)</f>
        <v>Western Europe</v>
      </c>
      <c r="W150" t="str">
        <f>VLOOKUP($A150,regions_full!$A$2:$AI$267,MATCH(polities_cats!W$1,$A$1:$AN$1,0),0)</f>
        <v>West Europe</v>
      </c>
      <c r="X150" t="str">
        <f>VLOOKUP($A150,regions_full!$A$2:$AI$267,MATCH(polities_cats!X$1,$A$1:$AN$1,0),0)</f>
        <v>Europe</v>
      </c>
      <c r="Y150">
        <f>VLOOKUP($A150,regions_full!$A$2:$AI$267,MATCH(polities_cats!Y$1,$A$1:$AN$1,0),0)</f>
        <v>0</v>
      </c>
      <c r="Z150" t="str">
        <f>VLOOKUP($A150,regions_full!$A$2:$AI$267,MATCH(polities_cats!Z$1,$A$1:$AN$1,0),0)</f>
        <v>Europe</v>
      </c>
      <c r="AA150">
        <f>VLOOKUP($A150,regions_full!$A$2:$AI$267,MATCH(polities_cats!AA$1,$A$1:$AN$1,0),0)</f>
        <v>0</v>
      </c>
      <c r="AB150">
        <f>VLOOKUP($A150,regions_full!$A$2:$AI$267,MATCH(polities_cats!AB$1,$A$1:$AN$1,0),0)</f>
        <v>0</v>
      </c>
      <c r="AC150">
        <f>VLOOKUP($A150,regions_full!$A$2:$AI$267,MATCH(polities_cats!AC$1,$A$1:$AN$1,0),0)</f>
        <v>0</v>
      </c>
      <c r="AD150">
        <f>VLOOKUP($A150,regions_full!$A$2:$AI$267,MATCH(polities_cats!AD$1,$A$1:$AN$1,0),0)</f>
        <v>0</v>
      </c>
      <c r="AE150">
        <f>VLOOKUP($A150,regions_full!$A$2:$AI$267,MATCH(polities_cats!AE$1,$A$1:$AN$1,0),0)</f>
        <v>0</v>
      </c>
      <c r="AF150" t="str">
        <f>VLOOKUP($A150,regions_full!$A$2:$AI$267,MATCH(polities_cats!AF$1,$A$1:$AN$1,0),0)</f>
        <v>Southern Europe</v>
      </c>
      <c r="AG150" t="str">
        <f>VLOOKUP($A150,regions_full!$A$2:$AI$267,MATCH(polities_cats!AG$1,$A$1:$AN$1,0),0)</f>
        <v>Europe</v>
      </c>
      <c r="AH150" t="str">
        <f>VLOOKUP($A150,regions_full!$A$2:$AI$267,MATCH(polities_cats!AH$1,$A$1:$AN$1,0),0)</f>
        <v>mech</v>
      </c>
      <c r="AI150" t="str">
        <f>VLOOKUP($A150,regions_full!$A$2:$AI$267,MATCH(polities_cats!AI$1,$A$1:$AN$1,0),0)</f>
        <v>Europe</v>
      </c>
      <c r="AJ150" t="e">
        <f>VLOOKUP($A150,regions_full!$A$2:$AI$267,MATCH(polities_cats!AJ$1,$A$1:$AN$1,0),0)</f>
        <v>#REF!</v>
      </c>
      <c r="AK150" t="e">
        <f>VLOOKUP($A150,regions_full!$A$2:$AI$267,MATCH(polities_cats!AK$1,$A$1:$AN$1,0),0)</f>
        <v>#REF!</v>
      </c>
      <c r="AL150" t="e">
        <f>VLOOKUP($A150,regions_full!$A$2:$AI$267,MATCH(polities_cats!AL$1,$A$1:$AN$1,0),0)</f>
        <v>#REF!</v>
      </c>
      <c r="AM150" t="e">
        <f>VLOOKUP($A150,regions_full!$A$2:$AI$267,MATCH(polities_cats!AM$1,$A$1:$AN$1,0),0)</f>
        <v>#REF!</v>
      </c>
      <c r="AN150" t="e">
        <f>VLOOKUP($A150,regions_full!$A$2:$AI$267,MATCH(polities_cats!AN$1,$A$1:$AN$1,0),0)</f>
        <v>#REF!</v>
      </c>
    </row>
    <row r="151" spans="1:40" x14ac:dyDescent="0.3">
      <c r="A151" t="str">
        <f>polities_whep!A151</f>
        <v>SLE</v>
      </c>
      <c r="B151" t="str">
        <f>polities_whep!B151</f>
        <v>Sierra Leone</v>
      </c>
      <c r="C151">
        <f>VLOOKUP($A151,regions_full!$A$2:$AI$267,MATCH(polities_cats!C$1,$A$1:$AN$1,0),0)</f>
        <v>194</v>
      </c>
      <c r="D151">
        <f>VLOOKUP($A151,regions_full!$A$2:$AI$267,MATCH(polities_cats!D$1,$A$1:$AN$1,0),0)</f>
        <v>197</v>
      </c>
      <c r="E151" t="str">
        <f>VLOOKUP($A151,regions_full!$A$2:$AI$267,MATCH(polities_cats!E$1,$A$1:$AN$1,0),0)</f>
        <v>SLE</v>
      </c>
      <c r="F151" t="str">
        <f>VLOOKUP($A151,regions_full!$A$2:$AI$267,MATCH(polities_cats!F$1,$A$1:$AN$1,0),0)</f>
        <v>Sierra Leone</v>
      </c>
      <c r="G151" t="str">
        <f>VLOOKUP($A151,regions_full!$A$2:$AI$267,MATCH(polities_cats!G$1,$A$1:$AN$1,0),0)</f>
        <v>FALSE</v>
      </c>
      <c r="H151" t="str">
        <f>VLOOKUP($A151,regions_full!$A$2:$AI$267,MATCH(polities_cats!H$1,$A$1:$AN$1,0),0)</f>
        <v>Sierra Leone</v>
      </c>
      <c r="I151" t="str">
        <f>VLOOKUP($A151,regions_full!$A$2:$AI$267,MATCH(polities_cats!I$1,$A$1:$AN$1,0),0)</f>
        <v>Sierra Leone</v>
      </c>
      <c r="J151">
        <f>VLOOKUP($A151,regions_full!$A$2:$AI$267,MATCH(polities_cats!J$1,$A$1:$AN$1,0),0)</f>
        <v>0</v>
      </c>
      <c r="K151">
        <f>VLOOKUP($A151,regions_full!$A$2:$AI$267,MATCH(polities_cats!K$1,$A$1:$AN$1,0),0)</f>
        <v>197</v>
      </c>
      <c r="L151" t="str">
        <f>VLOOKUP($A151,regions_full!$A$2:$AI$267,MATCH(polities_cats!L$1,$A$1:$AN$1,0),0)</f>
        <v>Sierra Leone</v>
      </c>
      <c r="M151">
        <f>VLOOKUP($A151,regions_full!$A$2:$AI$267,MATCH(polities_cats!M$1,$A$1:$AN$1,0),0)</f>
        <v>694</v>
      </c>
      <c r="N151">
        <f>VLOOKUP($A151,regions_full!$A$2:$AI$267,MATCH(polities_cats!N$1,$A$1:$AN$1,0),0)</f>
        <v>694</v>
      </c>
      <c r="O151">
        <f>VLOOKUP($A151,regions_full!$A$2:$AI$267,MATCH(polities_cats!O$1,$A$1:$AN$1,0),0)</f>
        <v>6</v>
      </c>
      <c r="P151" t="str">
        <f>VLOOKUP($A151,regions_full!$A$2:$AI$267,MATCH(polities_cats!P$1,$A$1:$AN$1,0),0)</f>
        <v>TRUE</v>
      </c>
      <c r="Q151">
        <f>VLOOKUP($A151,regions_full!$A$2:$AI$267,MATCH(polities_cats!Q$1,$A$1:$AN$1,0),0)</f>
        <v>197</v>
      </c>
      <c r="R151" t="str">
        <f>VLOOKUP($A151,regions_full!$A$2:$AI$267,MATCH(polities_cats!R$1,$A$1:$AN$1,0),0)</f>
        <v/>
      </c>
      <c r="S151" t="str">
        <f>VLOOKUP($A151,regions_full!$A$2:$AI$267,MATCH(polities_cats!S$1,$A$1:$AN$1,0),0)</f>
        <v>Western Africa</v>
      </c>
      <c r="T151">
        <f>VLOOKUP($A151,regions_full!$A$2:$AI$267,MATCH(polities_cats!T$1,$A$1:$AN$1,0),0)</f>
        <v>1</v>
      </c>
      <c r="U151" t="str">
        <f>VLOOKUP($A151,regions_full!$A$2:$AI$267,MATCH(polities_cats!U$1,$A$1:$AN$1,0),0)</f>
        <v>Sierra Leone</v>
      </c>
      <c r="V151" t="str">
        <f>VLOOKUP($A151,regions_full!$A$2:$AI$267,MATCH(polities_cats!V$1,$A$1:$AN$1,0),0)</f>
        <v>Subsaharan Africa</v>
      </c>
      <c r="W151" t="str">
        <f>VLOOKUP($A151,regions_full!$A$2:$AI$267,MATCH(polities_cats!W$1,$A$1:$AN$1,0),0)</f>
        <v>Sub-saharan Africa</v>
      </c>
      <c r="X151" t="str">
        <f>VLOOKUP($A151,regions_full!$A$2:$AI$267,MATCH(polities_cats!X$1,$A$1:$AN$1,0),0)</f>
        <v>SSA</v>
      </c>
      <c r="Y151" t="str">
        <f>VLOOKUP($A151,regions_full!$A$2:$AI$267,MATCH(polities_cats!Y$1,$A$1:$AN$1,0),0)</f>
        <v>Sub-Saharan Africa</v>
      </c>
      <c r="Z151" t="str">
        <f>VLOOKUP($A151,regions_full!$A$2:$AI$267,MATCH(polities_cats!Z$1,$A$1:$AN$1,0),0)</f>
        <v>Africa</v>
      </c>
      <c r="AA151" t="str">
        <f>VLOOKUP($A151,regions_full!$A$2:$AI$267,MATCH(polities_cats!AA$1,$A$1:$AN$1,0),0)</f>
        <v>Africa</v>
      </c>
      <c r="AB151" t="str">
        <f>VLOOKUP($A151,regions_full!$A$2:$AI$267,MATCH(polities_cats!AB$1,$A$1:$AN$1,0),0)</f>
        <v>Sub-Saharan Africa</v>
      </c>
      <c r="AC151" t="str">
        <f>VLOOKUP($A151,regions_full!$A$2:$AI$267,MATCH(polities_cats!AC$1,$A$1:$AN$1,0),0)</f>
        <v>Western Africa</v>
      </c>
      <c r="AD151" t="str">
        <f>VLOOKUP($A151,regions_full!$A$2:$AI$267,MATCH(polities_cats!AD$1,$A$1:$AN$1,0),0)</f>
        <v>Emerging</v>
      </c>
      <c r="AE151" t="str">
        <f>VLOOKUP($A151,regions_full!$A$2:$AI$267,MATCH(polities_cats!AE$1,$A$1:$AN$1,0),0)</f>
        <v>Annex_II</v>
      </c>
      <c r="AF151" t="str">
        <f>VLOOKUP($A151,regions_full!$A$2:$AI$267,MATCH(polities_cats!AF$1,$A$1:$AN$1,0),0)</f>
        <v>Western Africa</v>
      </c>
      <c r="AG151" t="str">
        <f>VLOOKUP($A151,regions_full!$A$2:$AI$267,MATCH(polities_cats!AG$1,$A$1:$AN$1,0),0)</f>
        <v>SAA</v>
      </c>
      <c r="AH151" t="str">
        <f>VLOOKUP($A151,regions_full!$A$2:$AI$267,MATCH(polities_cats!AH$1,$A$1:$AN$1,0),0)</f>
        <v>no_mech</v>
      </c>
      <c r="AI151" t="str">
        <f>VLOOKUP($A151,regions_full!$A$2:$AI$267,MATCH(polities_cats!AI$1,$A$1:$AN$1,0),0)</f>
        <v>Other</v>
      </c>
      <c r="AJ151" t="e">
        <f>VLOOKUP($A151,regions_full!$A$2:$AI$267,MATCH(polities_cats!AJ$1,$A$1:$AN$1,0),0)</f>
        <v>#REF!</v>
      </c>
      <c r="AK151" t="e">
        <f>VLOOKUP($A151,regions_full!$A$2:$AI$267,MATCH(polities_cats!AK$1,$A$1:$AN$1,0),0)</f>
        <v>#REF!</v>
      </c>
      <c r="AL151" t="e">
        <f>VLOOKUP($A151,regions_full!$A$2:$AI$267,MATCH(polities_cats!AL$1,$A$1:$AN$1,0),0)</f>
        <v>#REF!</v>
      </c>
      <c r="AM151" t="e">
        <f>VLOOKUP($A151,regions_full!$A$2:$AI$267,MATCH(polities_cats!AM$1,$A$1:$AN$1,0),0)</f>
        <v>#REF!</v>
      </c>
      <c r="AN151" t="e">
        <f>VLOOKUP($A151,regions_full!$A$2:$AI$267,MATCH(polities_cats!AN$1,$A$1:$AN$1,0),0)</f>
        <v>#REF!</v>
      </c>
    </row>
    <row r="152" spans="1:40" x14ac:dyDescent="0.3">
      <c r="A152" t="str">
        <f>polities_whep!A152</f>
        <v>SGP</v>
      </c>
      <c r="B152" t="str">
        <f>polities_whep!B152</f>
        <v>Singapore</v>
      </c>
      <c r="C152">
        <f>VLOOKUP($A152,regions_full!$A$2:$AI$267,MATCH(polities_cats!C$1,$A$1:$AN$1,0),0)</f>
        <v>197</v>
      </c>
      <c r="D152">
        <f>VLOOKUP($A152,regions_full!$A$2:$AI$267,MATCH(polities_cats!D$1,$A$1:$AN$1,0),0)</f>
        <v>200</v>
      </c>
      <c r="E152" t="str">
        <f>VLOOKUP($A152,regions_full!$A$2:$AI$267,MATCH(polities_cats!E$1,$A$1:$AN$1,0),0)</f>
        <v>SGP</v>
      </c>
      <c r="F152" t="str">
        <f>VLOOKUP($A152,regions_full!$A$2:$AI$267,MATCH(polities_cats!F$1,$A$1:$AN$1,0),0)</f>
        <v>Singapore</v>
      </c>
      <c r="G152" t="str">
        <f>VLOOKUP($A152,regions_full!$A$2:$AI$267,MATCH(polities_cats!G$1,$A$1:$AN$1,0),0)</f>
        <v>FALSE</v>
      </c>
      <c r="H152" t="str">
        <f>VLOOKUP($A152,regions_full!$A$2:$AI$267,MATCH(polities_cats!H$1,$A$1:$AN$1,0),0)</f>
        <v>Singapore</v>
      </c>
      <c r="I152" t="str">
        <f>VLOOKUP($A152,regions_full!$A$2:$AI$267,MATCH(polities_cats!I$1,$A$1:$AN$1,0),0)</f>
        <v>Singapore</v>
      </c>
      <c r="J152" t="str">
        <f>VLOOKUP($A152,regions_full!$A$2:$AI$267,MATCH(polities_cats!J$1,$A$1:$AN$1,0),0)</f>
        <v>Singapore</v>
      </c>
      <c r="K152">
        <f>VLOOKUP($A152,regions_full!$A$2:$AI$267,MATCH(polities_cats!K$1,$A$1:$AN$1,0),0)</f>
        <v>200</v>
      </c>
      <c r="L152" t="str">
        <f>VLOOKUP($A152,regions_full!$A$2:$AI$267,MATCH(polities_cats!L$1,$A$1:$AN$1,0),0)</f>
        <v>Singapore</v>
      </c>
      <c r="M152">
        <f>VLOOKUP($A152,regions_full!$A$2:$AI$267,MATCH(polities_cats!M$1,$A$1:$AN$1,0),0)</f>
        <v>702</v>
      </c>
      <c r="N152">
        <f>VLOOKUP($A152,regions_full!$A$2:$AI$267,MATCH(polities_cats!N$1,$A$1:$AN$1,0),0)</f>
        <v>702</v>
      </c>
      <c r="O152">
        <f>VLOOKUP($A152,regions_full!$A$2:$AI$267,MATCH(polities_cats!O$1,$A$1:$AN$1,0),0)</f>
        <v>15</v>
      </c>
      <c r="P152" t="str">
        <f>VLOOKUP($A152,regions_full!$A$2:$AI$267,MATCH(polities_cats!P$1,$A$1:$AN$1,0),0)</f>
        <v>TRUE</v>
      </c>
      <c r="Q152">
        <f>VLOOKUP($A152,regions_full!$A$2:$AI$267,MATCH(polities_cats!Q$1,$A$1:$AN$1,0),0)</f>
        <v>200</v>
      </c>
      <c r="R152" t="str">
        <f>VLOOKUP($A152,regions_full!$A$2:$AI$267,MATCH(polities_cats!R$1,$A$1:$AN$1,0),0)</f>
        <v/>
      </c>
      <c r="S152" t="str">
        <f>VLOOKUP($A152,regions_full!$A$2:$AI$267,MATCH(polities_cats!S$1,$A$1:$AN$1,0),0)</f>
        <v>South East Asia</v>
      </c>
      <c r="T152">
        <f>VLOOKUP($A152,regions_full!$A$2:$AI$267,MATCH(polities_cats!T$1,$A$1:$AN$1,0),0)</f>
        <v>1</v>
      </c>
      <c r="U152" t="str">
        <f>VLOOKUP($A152,regions_full!$A$2:$AI$267,MATCH(polities_cats!U$1,$A$1:$AN$1,0),0)</f>
        <v>Singapore</v>
      </c>
      <c r="V152" t="str">
        <f>VLOOKUP($A152,regions_full!$A$2:$AI$267,MATCH(polities_cats!V$1,$A$1:$AN$1,0),0)</f>
        <v>Southeastern Asia</v>
      </c>
      <c r="W152" t="str">
        <f>VLOOKUP($A152,regions_full!$A$2:$AI$267,MATCH(polities_cats!W$1,$A$1:$AN$1,0),0)</f>
        <v>South and Central Asia</v>
      </c>
      <c r="X152" t="str">
        <f>VLOOKUP($A152,regions_full!$A$2:$AI$267,MATCH(polities_cats!X$1,$A$1:$AN$1,0),0)</f>
        <v>S&amp;E Asia</v>
      </c>
      <c r="Y152" t="str">
        <f>VLOOKUP($A152,regions_full!$A$2:$AI$267,MATCH(polities_cats!Y$1,$A$1:$AN$1,0),0)</f>
        <v>South-eastern Asia</v>
      </c>
      <c r="Z152" t="str">
        <f>VLOOKUP($A152,regions_full!$A$2:$AI$267,MATCH(polities_cats!Z$1,$A$1:$AN$1,0),0)</f>
        <v>Asia</v>
      </c>
      <c r="AA152" t="str">
        <f>VLOOKUP($A152,regions_full!$A$2:$AI$267,MATCH(polities_cats!AA$1,$A$1:$AN$1,0),0)</f>
        <v>Asia and the Pacific</v>
      </c>
      <c r="AB152" t="str">
        <f>VLOOKUP($A152,regions_full!$A$2:$AI$267,MATCH(polities_cats!AB$1,$A$1:$AN$1,0),0)</f>
        <v>South-Eastern Asia and the Pacific</v>
      </c>
      <c r="AC152" t="str">
        <f>VLOOKUP($A152,regions_full!$A$2:$AI$267,MATCH(polities_cats!AC$1,$A$1:$AN$1,0),0)</f>
        <v>South-Eastern Asia</v>
      </c>
      <c r="AD152" t="str">
        <f>VLOOKUP($A152,regions_full!$A$2:$AI$267,MATCH(polities_cats!AD$1,$A$1:$AN$1,0),0)</f>
        <v>Emerging</v>
      </c>
      <c r="AE152" t="str">
        <f>VLOOKUP($A152,regions_full!$A$2:$AI$267,MATCH(polities_cats!AE$1,$A$1:$AN$1,0),0)</f>
        <v>Annex_II</v>
      </c>
      <c r="AF152" t="str">
        <f>VLOOKUP($A152,regions_full!$A$2:$AI$267,MATCH(polities_cats!AF$1,$A$1:$AN$1,0),0)</f>
        <v>South-eastern Asia</v>
      </c>
      <c r="AG152" t="str">
        <f>VLOOKUP($A152,regions_full!$A$2:$AI$267,MATCH(polities_cats!AG$1,$A$1:$AN$1,0),0)</f>
        <v>SE-Asia</v>
      </c>
      <c r="AH152" t="str">
        <f>VLOOKUP($A152,regions_full!$A$2:$AI$267,MATCH(polities_cats!AH$1,$A$1:$AN$1,0),0)</f>
        <v>no_mech</v>
      </c>
      <c r="AI152" t="str">
        <f>VLOOKUP($A152,regions_full!$A$2:$AI$267,MATCH(polities_cats!AI$1,$A$1:$AN$1,0),0)</f>
        <v>Other</v>
      </c>
      <c r="AJ152" t="e">
        <f>VLOOKUP($A152,regions_full!$A$2:$AI$267,MATCH(polities_cats!AJ$1,$A$1:$AN$1,0),0)</f>
        <v>#REF!</v>
      </c>
      <c r="AK152" t="e">
        <f>VLOOKUP($A152,regions_full!$A$2:$AI$267,MATCH(polities_cats!AK$1,$A$1:$AN$1,0),0)</f>
        <v>#REF!</v>
      </c>
      <c r="AL152" t="e">
        <f>VLOOKUP($A152,regions_full!$A$2:$AI$267,MATCH(polities_cats!AL$1,$A$1:$AN$1,0),0)</f>
        <v>#REF!</v>
      </c>
      <c r="AM152" t="e">
        <f>VLOOKUP($A152,regions_full!$A$2:$AI$267,MATCH(polities_cats!AM$1,$A$1:$AN$1,0),0)</f>
        <v>#REF!</v>
      </c>
      <c r="AN152" t="e">
        <f>VLOOKUP($A152,regions_full!$A$2:$AI$267,MATCH(polities_cats!AN$1,$A$1:$AN$1,0),0)</f>
        <v>#REF!</v>
      </c>
    </row>
    <row r="153" spans="1:40" x14ac:dyDescent="0.3">
      <c r="A153" t="str">
        <f>polities_whep!A153</f>
        <v>SVK</v>
      </c>
      <c r="B153" t="str">
        <f>polities_whep!B153</f>
        <v>Slovakia</v>
      </c>
      <c r="C153">
        <f>VLOOKUP($A153,regions_full!$A$2:$AI$267,MATCH(polities_cats!C$1,$A$1:$AN$1,0),0)</f>
        <v>196</v>
      </c>
      <c r="D153">
        <f>VLOOKUP($A153,regions_full!$A$2:$AI$267,MATCH(polities_cats!D$1,$A$1:$AN$1,0),0)</f>
        <v>199</v>
      </c>
      <c r="E153" t="str">
        <f>VLOOKUP($A153,regions_full!$A$2:$AI$267,MATCH(polities_cats!E$1,$A$1:$AN$1,0),0)</f>
        <v>SVK</v>
      </c>
      <c r="F153" t="str">
        <f>VLOOKUP($A153,regions_full!$A$2:$AI$267,MATCH(polities_cats!F$1,$A$1:$AN$1,0),0)</f>
        <v>Slovakia</v>
      </c>
      <c r="G153" t="str">
        <f>VLOOKUP($A153,regions_full!$A$2:$AI$267,MATCH(polities_cats!G$1,$A$1:$AN$1,0),0)</f>
        <v>TRUE</v>
      </c>
      <c r="H153" t="str">
        <f>VLOOKUP($A153,regions_full!$A$2:$AI$267,MATCH(polities_cats!H$1,$A$1:$AN$1,0),0)</f>
        <v>Slovakia</v>
      </c>
      <c r="I153" t="str">
        <f>VLOOKUP($A153,regions_full!$A$2:$AI$267,MATCH(polities_cats!I$1,$A$1:$AN$1,0),0)</f>
        <v>Slovakia</v>
      </c>
      <c r="J153" t="str">
        <f>VLOOKUP($A153,regions_full!$A$2:$AI$267,MATCH(polities_cats!J$1,$A$1:$AN$1,0),0)</f>
        <v>Slovak Republic</v>
      </c>
      <c r="K153">
        <f>VLOOKUP($A153,regions_full!$A$2:$AI$267,MATCH(polities_cats!K$1,$A$1:$AN$1,0),0)</f>
        <v>199</v>
      </c>
      <c r="L153" t="str">
        <f>VLOOKUP($A153,regions_full!$A$2:$AI$267,MATCH(polities_cats!L$1,$A$1:$AN$1,0),0)</f>
        <v>Slovakia</v>
      </c>
      <c r="M153">
        <f>VLOOKUP($A153,regions_full!$A$2:$AI$267,MATCH(polities_cats!M$1,$A$1:$AN$1,0),0)</f>
        <v>703</v>
      </c>
      <c r="N153">
        <f>VLOOKUP($A153,regions_full!$A$2:$AI$267,MATCH(polities_cats!N$1,$A$1:$AN$1,0),0)</f>
        <v>703</v>
      </c>
      <c r="O153">
        <f>VLOOKUP($A153,regions_full!$A$2:$AI$267,MATCH(polities_cats!O$1,$A$1:$AN$1,0),0)</f>
        <v>10</v>
      </c>
      <c r="P153" t="str">
        <f>VLOOKUP($A153,regions_full!$A$2:$AI$267,MATCH(polities_cats!P$1,$A$1:$AN$1,0),0)</f>
        <v>TRUE</v>
      </c>
      <c r="Q153">
        <f>VLOOKUP($A153,regions_full!$A$2:$AI$267,MATCH(polities_cats!Q$1,$A$1:$AN$1,0),0)</f>
        <v>199</v>
      </c>
      <c r="R153" t="str">
        <f>VLOOKUP($A153,regions_full!$A$2:$AI$267,MATCH(polities_cats!R$1,$A$1:$AN$1,0),0)</f>
        <v>SK</v>
      </c>
      <c r="S153" t="str">
        <f>VLOOKUP($A153,regions_full!$A$2:$AI$267,MATCH(polities_cats!S$1,$A$1:$AN$1,0),0)</f>
        <v>Eastern Europe</v>
      </c>
      <c r="T153">
        <f>VLOOKUP($A153,regions_full!$A$2:$AI$267,MATCH(polities_cats!T$1,$A$1:$AN$1,0),0)</f>
        <v>1</v>
      </c>
      <c r="U153" t="str">
        <f>VLOOKUP($A153,regions_full!$A$2:$AI$267,MATCH(polities_cats!U$1,$A$1:$AN$1,0),0)</f>
        <v>Slovakia</v>
      </c>
      <c r="V153" t="str">
        <f>VLOOKUP($A153,regions_full!$A$2:$AI$267,MATCH(polities_cats!V$1,$A$1:$AN$1,0),0)</f>
        <v>Eastern and South Eastern Europe</v>
      </c>
      <c r="W153" t="str">
        <f>VLOOKUP($A153,regions_full!$A$2:$AI$267,MATCH(polities_cats!W$1,$A$1:$AN$1,0),0)</f>
        <v>East Europe</v>
      </c>
      <c r="X153" t="str">
        <f>VLOOKUP($A153,regions_full!$A$2:$AI$267,MATCH(polities_cats!X$1,$A$1:$AN$1,0),0)</f>
        <v>Europe</v>
      </c>
      <c r="Y153" t="str">
        <f>VLOOKUP($A153,regions_full!$A$2:$AI$267,MATCH(polities_cats!Y$1,$A$1:$AN$1,0),0)</f>
        <v>Eastern Europe</v>
      </c>
      <c r="Z153" t="str">
        <f>VLOOKUP($A153,regions_full!$A$2:$AI$267,MATCH(polities_cats!Z$1,$A$1:$AN$1,0),0)</f>
        <v>Europe</v>
      </c>
      <c r="AA153" t="str">
        <f>VLOOKUP($A153,regions_full!$A$2:$AI$267,MATCH(polities_cats!AA$1,$A$1:$AN$1,0),0)</f>
        <v>Europe and Central Asia</v>
      </c>
      <c r="AB153" t="str">
        <f>VLOOKUP($A153,regions_full!$A$2:$AI$267,MATCH(polities_cats!AB$1,$A$1:$AN$1,0),0)</f>
        <v>Eastern Europe</v>
      </c>
      <c r="AC153" t="str">
        <f>VLOOKUP($A153,regions_full!$A$2:$AI$267,MATCH(polities_cats!AC$1,$A$1:$AN$1,0),0)</f>
        <v>Eastern Europe</v>
      </c>
      <c r="AD153" t="str">
        <f>VLOOKUP($A153,regions_full!$A$2:$AI$267,MATCH(polities_cats!AD$1,$A$1:$AN$1,0),0)</f>
        <v>Advanced</v>
      </c>
      <c r="AE153" t="str">
        <f>VLOOKUP($A153,regions_full!$A$2:$AI$267,MATCH(polities_cats!AE$1,$A$1:$AN$1,0),0)</f>
        <v>Annex_I</v>
      </c>
      <c r="AF153" t="str">
        <f>VLOOKUP($A153,regions_full!$A$2:$AI$267,MATCH(polities_cats!AF$1,$A$1:$AN$1,0),0)</f>
        <v>Eastern Europe</v>
      </c>
      <c r="AG153" t="str">
        <f>VLOOKUP($A153,regions_full!$A$2:$AI$267,MATCH(polities_cats!AG$1,$A$1:$AN$1,0),0)</f>
        <v>Europe</v>
      </c>
      <c r="AH153" t="str">
        <f>VLOOKUP($A153,regions_full!$A$2:$AI$267,MATCH(polities_cats!AH$1,$A$1:$AN$1,0),0)</f>
        <v>mech</v>
      </c>
      <c r="AI153" t="str">
        <f>VLOOKUP($A153,regions_full!$A$2:$AI$267,MATCH(polities_cats!AI$1,$A$1:$AN$1,0),0)</f>
        <v>Europe</v>
      </c>
      <c r="AJ153" t="e">
        <f>VLOOKUP($A153,regions_full!$A$2:$AI$267,MATCH(polities_cats!AJ$1,$A$1:$AN$1,0),0)</f>
        <v>#REF!</v>
      </c>
      <c r="AK153" t="e">
        <f>VLOOKUP($A153,regions_full!$A$2:$AI$267,MATCH(polities_cats!AK$1,$A$1:$AN$1,0),0)</f>
        <v>#REF!</v>
      </c>
      <c r="AL153" t="e">
        <f>VLOOKUP($A153,regions_full!$A$2:$AI$267,MATCH(polities_cats!AL$1,$A$1:$AN$1,0),0)</f>
        <v>#REF!</v>
      </c>
      <c r="AM153" t="e">
        <f>VLOOKUP($A153,regions_full!$A$2:$AI$267,MATCH(polities_cats!AM$1,$A$1:$AN$1,0),0)</f>
        <v>#REF!</v>
      </c>
      <c r="AN153" t="e">
        <f>VLOOKUP($A153,regions_full!$A$2:$AI$267,MATCH(polities_cats!AN$1,$A$1:$AN$1,0),0)</f>
        <v>#REF!</v>
      </c>
    </row>
    <row r="154" spans="1:40" x14ac:dyDescent="0.3">
      <c r="A154" t="str">
        <f>polities_whep!A154</f>
        <v>SVN</v>
      </c>
      <c r="B154" t="str">
        <f>polities_whep!B154</f>
        <v>Slovenia</v>
      </c>
      <c r="C154">
        <f>VLOOKUP($A154,regions_full!$A$2:$AI$267,MATCH(polities_cats!C$1,$A$1:$AN$1,0),0)</f>
        <v>195</v>
      </c>
      <c r="D154">
        <f>VLOOKUP($A154,regions_full!$A$2:$AI$267,MATCH(polities_cats!D$1,$A$1:$AN$1,0),0)</f>
        <v>198</v>
      </c>
      <c r="E154" t="str">
        <f>VLOOKUP($A154,regions_full!$A$2:$AI$267,MATCH(polities_cats!E$1,$A$1:$AN$1,0),0)</f>
        <v>SVN</v>
      </c>
      <c r="F154" t="str">
        <f>VLOOKUP($A154,regions_full!$A$2:$AI$267,MATCH(polities_cats!F$1,$A$1:$AN$1,0),0)</f>
        <v>Slovenia</v>
      </c>
      <c r="G154" t="str">
        <f>VLOOKUP($A154,regions_full!$A$2:$AI$267,MATCH(polities_cats!G$1,$A$1:$AN$1,0),0)</f>
        <v>TRUE</v>
      </c>
      <c r="H154" t="str">
        <f>VLOOKUP($A154,regions_full!$A$2:$AI$267,MATCH(polities_cats!H$1,$A$1:$AN$1,0),0)</f>
        <v>Slovenia</v>
      </c>
      <c r="I154" t="str">
        <f>VLOOKUP($A154,regions_full!$A$2:$AI$267,MATCH(polities_cats!I$1,$A$1:$AN$1,0),0)</f>
        <v>Slovenia</v>
      </c>
      <c r="J154" t="str">
        <f>VLOOKUP($A154,regions_full!$A$2:$AI$267,MATCH(polities_cats!J$1,$A$1:$AN$1,0),0)</f>
        <v>Slovenia</v>
      </c>
      <c r="K154">
        <f>VLOOKUP($A154,regions_full!$A$2:$AI$267,MATCH(polities_cats!K$1,$A$1:$AN$1,0),0)</f>
        <v>198</v>
      </c>
      <c r="L154" t="str">
        <f>VLOOKUP($A154,regions_full!$A$2:$AI$267,MATCH(polities_cats!L$1,$A$1:$AN$1,0),0)</f>
        <v>Slovenia</v>
      </c>
      <c r="M154">
        <f>VLOOKUP($A154,regions_full!$A$2:$AI$267,MATCH(polities_cats!M$1,$A$1:$AN$1,0),0)</f>
        <v>705</v>
      </c>
      <c r="N154">
        <f>VLOOKUP($A154,regions_full!$A$2:$AI$267,MATCH(polities_cats!N$1,$A$1:$AN$1,0),0)</f>
        <v>705</v>
      </c>
      <c r="O154">
        <f>VLOOKUP($A154,regions_full!$A$2:$AI$267,MATCH(polities_cats!O$1,$A$1:$AN$1,0),0)</f>
        <v>10</v>
      </c>
      <c r="P154" t="str">
        <f>VLOOKUP($A154,regions_full!$A$2:$AI$267,MATCH(polities_cats!P$1,$A$1:$AN$1,0),0)</f>
        <v>TRUE</v>
      </c>
      <c r="Q154">
        <f>VLOOKUP($A154,regions_full!$A$2:$AI$267,MATCH(polities_cats!Q$1,$A$1:$AN$1,0),0)</f>
        <v>198</v>
      </c>
      <c r="R154" t="str">
        <f>VLOOKUP($A154,regions_full!$A$2:$AI$267,MATCH(polities_cats!R$1,$A$1:$AN$1,0),0)</f>
        <v>SI</v>
      </c>
      <c r="S154" t="str">
        <f>VLOOKUP($A154,regions_full!$A$2:$AI$267,MATCH(polities_cats!S$1,$A$1:$AN$1,0),0)</f>
        <v>Eastern Europe</v>
      </c>
      <c r="T154">
        <f>VLOOKUP($A154,regions_full!$A$2:$AI$267,MATCH(polities_cats!T$1,$A$1:$AN$1,0),0)</f>
        <v>1</v>
      </c>
      <c r="U154" t="str">
        <f>VLOOKUP($A154,regions_full!$A$2:$AI$267,MATCH(polities_cats!U$1,$A$1:$AN$1,0),0)</f>
        <v>Slovenia</v>
      </c>
      <c r="V154" t="str">
        <f>VLOOKUP($A154,regions_full!$A$2:$AI$267,MATCH(polities_cats!V$1,$A$1:$AN$1,0),0)</f>
        <v>Eastern and South Eastern Europe</v>
      </c>
      <c r="W154" t="str">
        <f>VLOOKUP($A154,regions_full!$A$2:$AI$267,MATCH(polities_cats!W$1,$A$1:$AN$1,0),0)</f>
        <v>East Europe</v>
      </c>
      <c r="X154" t="str">
        <f>VLOOKUP($A154,regions_full!$A$2:$AI$267,MATCH(polities_cats!X$1,$A$1:$AN$1,0),0)</f>
        <v>Europe</v>
      </c>
      <c r="Y154" t="str">
        <f>VLOOKUP($A154,regions_full!$A$2:$AI$267,MATCH(polities_cats!Y$1,$A$1:$AN$1,0),0)</f>
        <v>Southern Europe</v>
      </c>
      <c r="Z154" t="str">
        <f>VLOOKUP($A154,regions_full!$A$2:$AI$267,MATCH(polities_cats!Z$1,$A$1:$AN$1,0),0)</f>
        <v>Europe</v>
      </c>
      <c r="AA154" t="str">
        <f>VLOOKUP($A154,regions_full!$A$2:$AI$267,MATCH(polities_cats!AA$1,$A$1:$AN$1,0),0)</f>
        <v>Europe and Central Asia</v>
      </c>
      <c r="AB154" t="str">
        <f>VLOOKUP($A154,regions_full!$A$2:$AI$267,MATCH(polities_cats!AB$1,$A$1:$AN$1,0),0)</f>
        <v>Northern, Southern and Western Europe</v>
      </c>
      <c r="AC154" t="str">
        <f>VLOOKUP($A154,regions_full!$A$2:$AI$267,MATCH(polities_cats!AC$1,$A$1:$AN$1,0),0)</f>
        <v>Southern Europe</v>
      </c>
      <c r="AD154" t="str">
        <f>VLOOKUP($A154,regions_full!$A$2:$AI$267,MATCH(polities_cats!AD$1,$A$1:$AN$1,0),0)</f>
        <v>Emerging</v>
      </c>
      <c r="AE154" t="str">
        <f>VLOOKUP($A154,regions_full!$A$2:$AI$267,MATCH(polities_cats!AE$1,$A$1:$AN$1,0),0)</f>
        <v>Annex_II</v>
      </c>
      <c r="AF154" t="str">
        <f>VLOOKUP($A154,regions_full!$A$2:$AI$267,MATCH(polities_cats!AF$1,$A$1:$AN$1,0),0)</f>
        <v>Southern Europe</v>
      </c>
      <c r="AG154" t="str">
        <f>VLOOKUP($A154,regions_full!$A$2:$AI$267,MATCH(polities_cats!AG$1,$A$1:$AN$1,0),0)</f>
        <v>Europe</v>
      </c>
      <c r="AH154" t="str">
        <f>VLOOKUP($A154,regions_full!$A$2:$AI$267,MATCH(polities_cats!AH$1,$A$1:$AN$1,0),0)</f>
        <v>mech</v>
      </c>
      <c r="AI154" t="str">
        <f>VLOOKUP($A154,regions_full!$A$2:$AI$267,MATCH(polities_cats!AI$1,$A$1:$AN$1,0),0)</f>
        <v>Europe</v>
      </c>
      <c r="AJ154" t="e">
        <f>VLOOKUP($A154,regions_full!$A$2:$AI$267,MATCH(polities_cats!AJ$1,$A$1:$AN$1,0),0)</f>
        <v>#REF!</v>
      </c>
      <c r="AK154" t="e">
        <f>VLOOKUP($A154,regions_full!$A$2:$AI$267,MATCH(polities_cats!AK$1,$A$1:$AN$1,0),0)</f>
        <v>#REF!</v>
      </c>
      <c r="AL154" t="e">
        <f>VLOOKUP($A154,regions_full!$A$2:$AI$267,MATCH(polities_cats!AL$1,$A$1:$AN$1,0),0)</f>
        <v>#REF!</v>
      </c>
      <c r="AM154" t="e">
        <f>VLOOKUP($A154,regions_full!$A$2:$AI$267,MATCH(polities_cats!AM$1,$A$1:$AN$1,0),0)</f>
        <v>#REF!</v>
      </c>
      <c r="AN154" t="e">
        <f>VLOOKUP($A154,regions_full!$A$2:$AI$267,MATCH(polities_cats!AN$1,$A$1:$AN$1,0),0)</f>
        <v>#REF!</v>
      </c>
    </row>
    <row r="155" spans="1:40" x14ac:dyDescent="0.3">
      <c r="A155" t="str">
        <f>polities_whep!A155</f>
        <v>SLB</v>
      </c>
      <c r="B155" t="str">
        <f>polities_whep!B155</f>
        <v>Solomon Islands</v>
      </c>
      <c r="C155">
        <f>VLOOKUP($A155,regions_full!$A$2:$AI$267,MATCH(polities_cats!C$1,$A$1:$AN$1,0),0)</f>
        <v>25</v>
      </c>
      <c r="D155">
        <f>VLOOKUP($A155,regions_full!$A$2:$AI$267,MATCH(polities_cats!D$1,$A$1:$AN$1,0),0)</f>
        <v>25</v>
      </c>
      <c r="E155" t="str">
        <f>VLOOKUP($A155,regions_full!$A$2:$AI$267,MATCH(polities_cats!E$1,$A$1:$AN$1,0),0)</f>
        <v>SLB</v>
      </c>
      <c r="F155" t="str">
        <f>VLOOKUP($A155,regions_full!$A$2:$AI$267,MATCH(polities_cats!F$1,$A$1:$AN$1,0),0)</f>
        <v>Solomon Islands</v>
      </c>
      <c r="G155" t="str">
        <f>VLOOKUP($A155,regions_full!$A$2:$AI$267,MATCH(polities_cats!G$1,$A$1:$AN$1,0),0)</f>
        <v>FALSE</v>
      </c>
      <c r="H155" t="str">
        <f>VLOOKUP($A155,regions_full!$A$2:$AI$267,MATCH(polities_cats!H$1,$A$1:$AN$1,0),0)</f>
        <v>Solomon Islands</v>
      </c>
      <c r="I155" t="str">
        <f>VLOOKUP($A155,regions_full!$A$2:$AI$267,MATCH(polities_cats!I$1,$A$1:$AN$1,0),0)</f>
        <v>Solomon Islands</v>
      </c>
      <c r="J155">
        <f>VLOOKUP($A155,regions_full!$A$2:$AI$267,MATCH(polities_cats!J$1,$A$1:$AN$1,0),0)</f>
        <v>0</v>
      </c>
      <c r="K155">
        <f>VLOOKUP($A155,regions_full!$A$2:$AI$267,MATCH(polities_cats!K$1,$A$1:$AN$1,0),0)</f>
        <v>25</v>
      </c>
      <c r="L155" t="str">
        <f>VLOOKUP($A155,regions_full!$A$2:$AI$267,MATCH(polities_cats!L$1,$A$1:$AN$1,0),0)</f>
        <v>Solomon Islands</v>
      </c>
      <c r="M155">
        <f>VLOOKUP($A155,regions_full!$A$2:$AI$267,MATCH(polities_cats!M$1,$A$1:$AN$1,0),0)</f>
        <v>90</v>
      </c>
      <c r="N155">
        <f>VLOOKUP($A155,regions_full!$A$2:$AI$267,MATCH(polities_cats!N$1,$A$1:$AN$1,0),0)</f>
        <v>90</v>
      </c>
      <c r="O155">
        <f>VLOOKUP($A155,regions_full!$A$2:$AI$267,MATCH(polities_cats!O$1,$A$1:$AN$1,0),0)</f>
        <v>16</v>
      </c>
      <c r="P155" t="str">
        <f>VLOOKUP($A155,regions_full!$A$2:$AI$267,MATCH(polities_cats!P$1,$A$1:$AN$1,0),0)</f>
        <v>TRUE</v>
      </c>
      <c r="Q155">
        <f>VLOOKUP($A155,regions_full!$A$2:$AI$267,MATCH(polities_cats!Q$1,$A$1:$AN$1,0),0)</f>
        <v>25</v>
      </c>
      <c r="R155" t="str">
        <f>VLOOKUP($A155,regions_full!$A$2:$AI$267,MATCH(polities_cats!R$1,$A$1:$AN$1,0),0)</f>
        <v/>
      </c>
      <c r="S155" t="str">
        <f>VLOOKUP($A155,regions_full!$A$2:$AI$267,MATCH(polities_cats!S$1,$A$1:$AN$1,0),0)</f>
        <v>Oceania</v>
      </c>
      <c r="T155">
        <f>VLOOKUP($A155,regions_full!$A$2:$AI$267,MATCH(polities_cats!T$1,$A$1:$AN$1,0),0)</f>
        <v>1</v>
      </c>
      <c r="U155" t="str">
        <f>VLOOKUP($A155,regions_full!$A$2:$AI$267,MATCH(polities_cats!U$1,$A$1:$AN$1,0),0)</f>
        <v>Solomon Islands</v>
      </c>
      <c r="V155" t="str">
        <f>VLOOKUP($A155,regions_full!$A$2:$AI$267,MATCH(polities_cats!V$1,$A$1:$AN$1,0),0)</f>
        <v>Australia and Oceania</v>
      </c>
      <c r="W155" t="str">
        <f>VLOOKUP($A155,regions_full!$A$2:$AI$267,MATCH(polities_cats!W$1,$A$1:$AN$1,0),0)</f>
        <v>North America and Oceania</v>
      </c>
      <c r="X155" t="str">
        <f>VLOOKUP($A155,regions_full!$A$2:$AI$267,MATCH(polities_cats!X$1,$A$1:$AN$1,0),0)</f>
        <v>Oceania</v>
      </c>
      <c r="Y155" t="str">
        <f>VLOOKUP($A155,regions_full!$A$2:$AI$267,MATCH(polities_cats!Y$1,$A$1:$AN$1,0),0)</f>
        <v>Melanesia</v>
      </c>
      <c r="Z155" t="str">
        <f>VLOOKUP($A155,regions_full!$A$2:$AI$267,MATCH(polities_cats!Z$1,$A$1:$AN$1,0),0)</f>
        <v>Oceania</v>
      </c>
      <c r="AA155" t="str">
        <f>VLOOKUP($A155,regions_full!$A$2:$AI$267,MATCH(polities_cats!AA$1,$A$1:$AN$1,0),0)</f>
        <v>Asia and the Pacific</v>
      </c>
      <c r="AB155" t="str">
        <f>VLOOKUP($A155,regions_full!$A$2:$AI$267,MATCH(polities_cats!AB$1,$A$1:$AN$1,0),0)</f>
        <v>South-Eastern Asia and the Pacific</v>
      </c>
      <c r="AC155" t="str">
        <f>VLOOKUP($A155,regions_full!$A$2:$AI$267,MATCH(polities_cats!AC$1,$A$1:$AN$1,0),0)</f>
        <v>Pacific Islands</v>
      </c>
      <c r="AD155" t="str">
        <f>VLOOKUP($A155,regions_full!$A$2:$AI$267,MATCH(polities_cats!AD$1,$A$1:$AN$1,0),0)</f>
        <v>Emerging</v>
      </c>
      <c r="AE155" t="str">
        <f>VLOOKUP($A155,regions_full!$A$2:$AI$267,MATCH(polities_cats!AE$1,$A$1:$AN$1,0),0)</f>
        <v>Annex_II</v>
      </c>
      <c r="AF155" t="str">
        <f>VLOOKUP($A155,regions_full!$A$2:$AI$267,MATCH(polities_cats!AF$1,$A$1:$AN$1,0),0)</f>
        <v>Pacific</v>
      </c>
      <c r="AG155" t="str">
        <f>VLOOKUP($A155,regions_full!$A$2:$AI$267,MATCH(polities_cats!AG$1,$A$1:$AN$1,0),0)</f>
        <v>AUS</v>
      </c>
      <c r="AH155" t="str">
        <f>VLOOKUP($A155,regions_full!$A$2:$AI$267,MATCH(polities_cats!AH$1,$A$1:$AN$1,0),0)</f>
        <v>no_mech</v>
      </c>
      <c r="AI155" t="str">
        <f>VLOOKUP($A155,regions_full!$A$2:$AI$267,MATCH(polities_cats!AI$1,$A$1:$AN$1,0),0)</f>
        <v>Other</v>
      </c>
      <c r="AJ155" t="e">
        <f>VLOOKUP($A155,regions_full!$A$2:$AI$267,MATCH(polities_cats!AJ$1,$A$1:$AN$1,0),0)</f>
        <v>#REF!</v>
      </c>
      <c r="AK155" t="e">
        <f>VLOOKUP($A155,regions_full!$A$2:$AI$267,MATCH(polities_cats!AK$1,$A$1:$AN$1,0),0)</f>
        <v>#REF!</v>
      </c>
      <c r="AL155" t="e">
        <f>VLOOKUP($A155,regions_full!$A$2:$AI$267,MATCH(polities_cats!AL$1,$A$1:$AN$1,0),0)</f>
        <v>#REF!</v>
      </c>
      <c r="AM155" t="e">
        <f>VLOOKUP($A155,regions_full!$A$2:$AI$267,MATCH(polities_cats!AM$1,$A$1:$AN$1,0),0)</f>
        <v>#REF!</v>
      </c>
      <c r="AN155" t="e">
        <f>VLOOKUP($A155,regions_full!$A$2:$AI$267,MATCH(polities_cats!AN$1,$A$1:$AN$1,0),0)</f>
        <v>#REF!</v>
      </c>
    </row>
    <row r="156" spans="1:40" x14ac:dyDescent="0.3">
      <c r="A156" t="str">
        <f>polities_whep!A156</f>
        <v>SOM</v>
      </c>
      <c r="B156" t="str">
        <f>polities_whep!B156</f>
        <v>Somalia</v>
      </c>
      <c r="C156">
        <f>VLOOKUP($A156,regions_full!$A$2:$AI$267,MATCH(polities_cats!C$1,$A$1:$AN$1,0),0)</f>
        <v>198</v>
      </c>
      <c r="D156">
        <f>VLOOKUP($A156,regions_full!$A$2:$AI$267,MATCH(polities_cats!D$1,$A$1:$AN$1,0),0)</f>
        <v>201</v>
      </c>
      <c r="E156" t="str">
        <f>VLOOKUP($A156,regions_full!$A$2:$AI$267,MATCH(polities_cats!E$1,$A$1:$AN$1,0),0)</f>
        <v>SOM</v>
      </c>
      <c r="F156" t="str">
        <f>VLOOKUP($A156,regions_full!$A$2:$AI$267,MATCH(polities_cats!F$1,$A$1:$AN$1,0),0)</f>
        <v>Somalia</v>
      </c>
      <c r="G156" t="str">
        <f>VLOOKUP($A156,regions_full!$A$2:$AI$267,MATCH(polities_cats!G$1,$A$1:$AN$1,0),0)</f>
        <v>FALSE</v>
      </c>
      <c r="H156" t="str">
        <f>VLOOKUP($A156,regions_full!$A$2:$AI$267,MATCH(polities_cats!H$1,$A$1:$AN$1,0),0)</f>
        <v>Somalia</v>
      </c>
      <c r="I156" t="str">
        <f>VLOOKUP($A156,regions_full!$A$2:$AI$267,MATCH(polities_cats!I$1,$A$1:$AN$1,0),0)</f>
        <v>Somalia</v>
      </c>
      <c r="J156">
        <f>VLOOKUP($A156,regions_full!$A$2:$AI$267,MATCH(polities_cats!J$1,$A$1:$AN$1,0),0)</f>
        <v>0</v>
      </c>
      <c r="K156">
        <f>VLOOKUP($A156,regions_full!$A$2:$AI$267,MATCH(polities_cats!K$1,$A$1:$AN$1,0),0)</f>
        <v>201</v>
      </c>
      <c r="L156" t="str">
        <f>VLOOKUP($A156,regions_full!$A$2:$AI$267,MATCH(polities_cats!L$1,$A$1:$AN$1,0),0)</f>
        <v>Somalia</v>
      </c>
      <c r="M156">
        <f>VLOOKUP($A156,regions_full!$A$2:$AI$267,MATCH(polities_cats!M$1,$A$1:$AN$1,0),0)</f>
        <v>706</v>
      </c>
      <c r="N156">
        <f>VLOOKUP($A156,regions_full!$A$2:$AI$267,MATCH(polities_cats!N$1,$A$1:$AN$1,0),0)</f>
        <v>706</v>
      </c>
      <c r="O156">
        <f>VLOOKUP($A156,regions_full!$A$2:$AI$267,MATCH(polities_cats!O$1,$A$1:$AN$1,0),0)</f>
        <v>7</v>
      </c>
      <c r="P156" t="str">
        <f>VLOOKUP($A156,regions_full!$A$2:$AI$267,MATCH(polities_cats!P$1,$A$1:$AN$1,0),0)</f>
        <v>TRUE</v>
      </c>
      <c r="Q156">
        <f>VLOOKUP($A156,regions_full!$A$2:$AI$267,MATCH(polities_cats!Q$1,$A$1:$AN$1,0),0)</f>
        <v>201</v>
      </c>
      <c r="R156" t="str">
        <f>VLOOKUP($A156,regions_full!$A$2:$AI$267,MATCH(polities_cats!R$1,$A$1:$AN$1,0),0)</f>
        <v/>
      </c>
      <c r="S156" t="str">
        <f>VLOOKUP($A156,regions_full!$A$2:$AI$267,MATCH(polities_cats!S$1,$A$1:$AN$1,0),0)</f>
        <v>Eastern Africa</v>
      </c>
      <c r="T156">
        <f>VLOOKUP($A156,regions_full!$A$2:$AI$267,MATCH(polities_cats!T$1,$A$1:$AN$1,0),0)</f>
        <v>1</v>
      </c>
      <c r="U156" t="str">
        <f>VLOOKUP($A156,regions_full!$A$2:$AI$267,MATCH(polities_cats!U$1,$A$1:$AN$1,0),0)</f>
        <v>Somalia</v>
      </c>
      <c r="V156" t="str">
        <f>VLOOKUP($A156,regions_full!$A$2:$AI$267,MATCH(polities_cats!V$1,$A$1:$AN$1,0),0)</f>
        <v>Subsaharan Africa</v>
      </c>
      <c r="W156" t="str">
        <f>VLOOKUP($A156,regions_full!$A$2:$AI$267,MATCH(polities_cats!W$1,$A$1:$AN$1,0),0)</f>
        <v>Sub-saharan Africa</v>
      </c>
      <c r="X156" t="str">
        <f>VLOOKUP($A156,regions_full!$A$2:$AI$267,MATCH(polities_cats!X$1,$A$1:$AN$1,0),0)</f>
        <v>SSA</v>
      </c>
      <c r="Y156" t="str">
        <f>VLOOKUP($A156,regions_full!$A$2:$AI$267,MATCH(polities_cats!Y$1,$A$1:$AN$1,0),0)</f>
        <v>Sub-Saharan Africa</v>
      </c>
      <c r="Z156" t="str">
        <f>VLOOKUP($A156,regions_full!$A$2:$AI$267,MATCH(polities_cats!Z$1,$A$1:$AN$1,0),0)</f>
        <v>Africa</v>
      </c>
      <c r="AA156" t="str">
        <f>VLOOKUP($A156,regions_full!$A$2:$AI$267,MATCH(polities_cats!AA$1,$A$1:$AN$1,0),0)</f>
        <v>Africa</v>
      </c>
      <c r="AB156" t="str">
        <f>VLOOKUP($A156,regions_full!$A$2:$AI$267,MATCH(polities_cats!AB$1,$A$1:$AN$1,0),0)</f>
        <v>Sub-Saharan Africa</v>
      </c>
      <c r="AC156" t="str">
        <f>VLOOKUP($A156,regions_full!$A$2:$AI$267,MATCH(polities_cats!AC$1,$A$1:$AN$1,0),0)</f>
        <v>Eastern Africa</v>
      </c>
      <c r="AD156" t="str">
        <f>VLOOKUP($A156,regions_full!$A$2:$AI$267,MATCH(polities_cats!AD$1,$A$1:$AN$1,0),0)</f>
        <v>Emerging</v>
      </c>
      <c r="AE156" t="str">
        <f>VLOOKUP($A156,regions_full!$A$2:$AI$267,MATCH(polities_cats!AE$1,$A$1:$AN$1,0),0)</f>
        <v>Annex_II</v>
      </c>
      <c r="AF156" t="str">
        <f>VLOOKUP($A156,regions_full!$A$2:$AI$267,MATCH(polities_cats!AF$1,$A$1:$AN$1,0),0)</f>
        <v>Eastern Africa</v>
      </c>
      <c r="AG156" t="str">
        <f>VLOOKUP($A156,regions_full!$A$2:$AI$267,MATCH(polities_cats!AG$1,$A$1:$AN$1,0),0)</f>
        <v>SAA</v>
      </c>
      <c r="AH156" t="str">
        <f>VLOOKUP($A156,regions_full!$A$2:$AI$267,MATCH(polities_cats!AH$1,$A$1:$AN$1,0),0)</f>
        <v>no_mech</v>
      </c>
      <c r="AI156" t="str">
        <f>VLOOKUP($A156,regions_full!$A$2:$AI$267,MATCH(polities_cats!AI$1,$A$1:$AN$1,0),0)</f>
        <v>Other</v>
      </c>
      <c r="AJ156" t="e">
        <f>VLOOKUP($A156,regions_full!$A$2:$AI$267,MATCH(polities_cats!AJ$1,$A$1:$AN$1,0),0)</f>
        <v>#REF!</v>
      </c>
      <c r="AK156" t="e">
        <f>VLOOKUP($A156,regions_full!$A$2:$AI$267,MATCH(polities_cats!AK$1,$A$1:$AN$1,0),0)</f>
        <v>#REF!</v>
      </c>
      <c r="AL156" t="e">
        <f>VLOOKUP($A156,regions_full!$A$2:$AI$267,MATCH(polities_cats!AL$1,$A$1:$AN$1,0),0)</f>
        <v>#REF!</v>
      </c>
      <c r="AM156" t="e">
        <f>VLOOKUP($A156,regions_full!$A$2:$AI$267,MATCH(polities_cats!AM$1,$A$1:$AN$1,0),0)</f>
        <v>#REF!</v>
      </c>
      <c r="AN156" t="e">
        <f>VLOOKUP($A156,regions_full!$A$2:$AI$267,MATCH(polities_cats!AN$1,$A$1:$AN$1,0),0)</f>
        <v>#REF!</v>
      </c>
    </row>
    <row r="157" spans="1:40" x14ac:dyDescent="0.3">
      <c r="A157" t="str">
        <f>polities_whep!A157</f>
        <v>ZAF</v>
      </c>
      <c r="B157" t="str">
        <f>polities_whep!B157</f>
        <v>South Africa</v>
      </c>
      <c r="C157">
        <f>VLOOKUP($A157,regions_full!$A$2:$AI$267,MATCH(polities_cats!C$1,$A$1:$AN$1,0),0)</f>
        <v>199</v>
      </c>
      <c r="D157">
        <f>VLOOKUP($A157,regions_full!$A$2:$AI$267,MATCH(polities_cats!D$1,$A$1:$AN$1,0),0)</f>
        <v>202</v>
      </c>
      <c r="E157" t="str">
        <f>VLOOKUP($A157,regions_full!$A$2:$AI$267,MATCH(polities_cats!E$1,$A$1:$AN$1,0),0)</f>
        <v>ZAF</v>
      </c>
      <c r="F157" t="str">
        <f>VLOOKUP($A157,regions_full!$A$2:$AI$267,MATCH(polities_cats!F$1,$A$1:$AN$1,0),0)</f>
        <v>South Africa</v>
      </c>
      <c r="G157" t="str">
        <f>VLOOKUP($A157,regions_full!$A$2:$AI$267,MATCH(polities_cats!G$1,$A$1:$AN$1,0),0)</f>
        <v>FALSE</v>
      </c>
      <c r="H157" t="str">
        <f>VLOOKUP($A157,regions_full!$A$2:$AI$267,MATCH(polities_cats!H$1,$A$1:$AN$1,0),0)</f>
        <v>South Africa</v>
      </c>
      <c r="I157" t="str">
        <f>VLOOKUP($A157,regions_full!$A$2:$AI$267,MATCH(polities_cats!I$1,$A$1:$AN$1,0),0)</f>
        <v>South Africa</v>
      </c>
      <c r="J157" t="str">
        <f>VLOOKUP($A157,regions_full!$A$2:$AI$267,MATCH(polities_cats!J$1,$A$1:$AN$1,0),0)</f>
        <v>South Africa</v>
      </c>
      <c r="K157">
        <f>VLOOKUP($A157,regions_full!$A$2:$AI$267,MATCH(polities_cats!K$1,$A$1:$AN$1,0),0)</f>
        <v>202</v>
      </c>
      <c r="L157" t="str">
        <f>VLOOKUP($A157,regions_full!$A$2:$AI$267,MATCH(polities_cats!L$1,$A$1:$AN$1,0),0)</f>
        <v>South Africa</v>
      </c>
      <c r="M157">
        <f>VLOOKUP($A157,regions_full!$A$2:$AI$267,MATCH(polities_cats!M$1,$A$1:$AN$1,0),0)</f>
        <v>711</v>
      </c>
      <c r="N157">
        <f>VLOOKUP($A157,regions_full!$A$2:$AI$267,MATCH(polities_cats!N$1,$A$1:$AN$1,0),0)</f>
        <v>710</v>
      </c>
      <c r="O157">
        <f>VLOOKUP($A157,regions_full!$A$2:$AI$267,MATCH(polities_cats!O$1,$A$1:$AN$1,0),0)</f>
        <v>8</v>
      </c>
      <c r="P157" t="str">
        <f>VLOOKUP($A157,regions_full!$A$2:$AI$267,MATCH(polities_cats!P$1,$A$1:$AN$1,0),0)</f>
        <v>TRUE</v>
      </c>
      <c r="Q157">
        <f>VLOOKUP($A157,regions_full!$A$2:$AI$267,MATCH(polities_cats!Q$1,$A$1:$AN$1,0),0)</f>
        <v>202</v>
      </c>
      <c r="R157" t="str">
        <f>VLOOKUP($A157,regions_full!$A$2:$AI$267,MATCH(polities_cats!R$1,$A$1:$AN$1,0),0)</f>
        <v/>
      </c>
      <c r="S157" t="str">
        <f>VLOOKUP($A157,regions_full!$A$2:$AI$267,MATCH(polities_cats!S$1,$A$1:$AN$1,0),0)</f>
        <v>Southern Africa</v>
      </c>
      <c r="T157">
        <f>VLOOKUP($A157,regions_full!$A$2:$AI$267,MATCH(polities_cats!T$1,$A$1:$AN$1,0),0)</f>
        <v>1</v>
      </c>
      <c r="U157" t="str">
        <f>VLOOKUP($A157,regions_full!$A$2:$AI$267,MATCH(polities_cats!U$1,$A$1:$AN$1,0),0)</f>
        <v>South Africa</v>
      </c>
      <c r="V157" t="str">
        <f>VLOOKUP($A157,regions_full!$A$2:$AI$267,MATCH(polities_cats!V$1,$A$1:$AN$1,0),0)</f>
        <v>Subsaharan Africa</v>
      </c>
      <c r="W157" t="str">
        <f>VLOOKUP($A157,regions_full!$A$2:$AI$267,MATCH(polities_cats!W$1,$A$1:$AN$1,0),0)</f>
        <v>Sub-saharan Africa</v>
      </c>
      <c r="X157" t="str">
        <f>VLOOKUP($A157,regions_full!$A$2:$AI$267,MATCH(polities_cats!X$1,$A$1:$AN$1,0),0)</f>
        <v>SSA</v>
      </c>
      <c r="Y157" t="str">
        <f>VLOOKUP($A157,regions_full!$A$2:$AI$267,MATCH(polities_cats!Y$1,$A$1:$AN$1,0),0)</f>
        <v>Sub-Saharan Africa</v>
      </c>
      <c r="Z157" t="str">
        <f>VLOOKUP($A157,regions_full!$A$2:$AI$267,MATCH(polities_cats!Z$1,$A$1:$AN$1,0),0)</f>
        <v>Africa</v>
      </c>
      <c r="AA157" t="str">
        <f>VLOOKUP($A157,regions_full!$A$2:$AI$267,MATCH(polities_cats!AA$1,$A$1:$AN$1,0),0)</f>
        <v>Africa</v>
      </c>
      <c r="AB157" t="str">
        <f>VLOOKUP($A157,regions_full!$A$2:$AI$267,MATCH(polities_cats!AB$1,$A$1:$AN$1,0),0)</f>
        <v>Sub-Saharan Africa</v>
      </c>
      <c r="AC157" t="str">
        <f>VLOOKUP($A157,regions_full!$A$2:$AI$267,MATCH(polities_cats!AC$1,$A$1:$AN$1,0),0)</f>
        <v>Southern Africa</v>
      </c>
      <c r="AD157" t="str">
        <f>VLOOKUP($A157,regions_full!$A$2:$AI$267,MATCH(polities_cats!AD$1,$A$1:$AN$1,0),0)</f>
        <v>Emerging</v>
      </c>
      <c r="AE157" t="str">
        <f>VLOOKUP($A157,regions_full!$A$2:$AI$267,MATCH(polities_cats!AE$1,$A$1:$AN$1,0),0)</f>
        <v>Annex_II</v>
      </c>
      <c r="AF157" t="str">
        <f>VLOOKUP($A157,regions_full!$A$2:$AI$267,MATCH(polities_cats!AF$1,$A$1:$AN$1,0),0)</f>
        <v>Southern Africa</v>
      </c>
      <c r="AG157" t="str">
        <f>VLOOKUP($A157,regions_full!$A$2:$AI$267,MATCH(polities_cats!AG$1,$A$1:$AN$1,0),0)</f>
        <v>SAA</v>
      </c>
      <c r="AH157" t="str">
        <f>VLOOKUP($A157,regions_full!$A$2:$AI$267,MATCH(polities_cats!AH$1,$A$1:$AN$1,0),0)</f>
        <v>mech</v>
      </c>
      <c r="AI157" t="str">
        <f>VLOOKUP($A157,regions_full!$A$2:$AI$267,MATCH(polities_cats!AI$1,$A$1:$AN$1,0),0)</f>
        <v>Other</v>
      </c>
      <c r="AJ157" t="e">
        <f>VLOOKUP($A157,regions_full!$A$2:$AI$267,MATCH(polities_cats!AJ$1,$A$1:$AN$1,0),0)</f>
        <v>#REF!</v>
      </c>
      <c r="AK157" t="e">
        <f>VLOOKUP($A157,regions_full!$A$2:$AI$267,MATCH(polities_cats!AK$1,$A$1:$AN$1,0),0)</f>
        <v>#REF!</v>
      </c>
      <c r="AL157" t="e">
        <f>VLOOKUP($A157,regions_full!$A$2:$AI$267,MATCH(polities_cats!AL$1,$A$1:$AN$1,0),0)</f>
        <v>#REF!</v>
      </c>
      <c r="AM157" t="e">
        <f>VLOOKUP($A157,regions_full!$A$2:$AI$267,MATCH(polities_cats!AM$1,$A$1:$AN$1,0),0)</f>
        <v>#REF!</v>
      </c>
      <c r="AN157" t="e">
        <f>VLOOKUP($A157,regions_full!$A$2:$AI$267,MATCH(polities_cats!AN$1,$A$1:$AN$1,0),0)</f>
        <v>#REF!</v>
      </c>
    </row>
    <row r="158" spans="1:40" x14ac:dyDescent="0.3">
      <c r="A158" t="str">
        <f>polities_whep!A158</f>
        <v>KOR</v>
      </c>
      <c r="B158" t="str">
        <f>polities_whep!B158</f>
        <v>Republic of Korea</v>
      </c>
      <c r="C158">
        <f>VLOOKUP($A158,regions_full!$A$2:$AI$267,MATCH(polities_cats!C$1,$A$1:$AN$1,0),0)</f>
        <v>114</v>
      </c>
      <c r="D158">
        <f>VLOOKUP($A158,regions_full!$A$2:$AI$267,MATCH(polities_cats!D$1,$A$1:$AN$1,0),0)</f>
        <v>117</v>
      </c>
      <c r="E158" t="str">
        <f>VLOOKUP($A158,regions_full!$A$2:$AI$267,MATCH(polities_cats!E$1,$A$1:$AN$1,0),0)</f>
        <v>KOR</v>
      </c>
      <c r="F158" t="str">
        <f>VLOOKUP($A158,regions_full!$A$2:$AI$267,MATCH(polities_cats!F$1,$A$1:$AN$1,0),0)</f>
        <v>Republic of Korea</v>
      </c>
      <c r="G158" t="str">
        <f>VLOOKUP($A158,regions_full!$A$2:$AI$267,MATCH(polities_cats!G$1,$A$1:$AN$1,0),0)</f>
        <v>FALSE</v>
      </c>
      <c r="H158" t="str">
        <f>VLOOKUP($A158,regions_full!$A$2:$AI$267,MATCH(polities_cats!H$1,$A$1:$AN$1,0),0)</f>
        <v>South Korea</v>
      </c>
      <c r="I158" t="str">
        <f>VLOOKUP($A158,regions_full!$A$2:$AI$267,MATCH(polities_cats!I$1,$A$1:$AN$1,0),0)</f>
        <v>Korea, South</v>
      </c>
      <c r="J158" t="str">
        <f>VLOOKUP($A158,regions_full!$A$2:$AI$267,MATCH(polities_cats!J$1,$A$1:$AN$1,0),0)</f>
        <v>Korea</v>
      </c>
      <c r="K158">
        <f>VLOOKUP($A158,regions_full!$A$2:$AI$267,MATCH(polities_cats!K$1,$A$1:$AN$1,0),0)</f>
        <v>117</v>
      </c>
      <c r="L158" t="str">
        <f>VLOOKUP($A158,regions_full!$A$2:$AI$267,MATCH(polities_cats!L$1,$A$1:$AN$1,0),0)</f>
        <v>Korea, Republic of</v>
      </c>
      <c r="M158">
        <f>VLOOKUP($A158,regions_full!$A$2:$AI$267,MATCH(polities_cats!M$1,$A$1:$AN$1,0),0)</f>
        <v>410</v>
      </c>
      <c r="N158">
        <f>VLOOKUP($A158,regions_full!$A$2:$AI$267,MATCH(polities_cats!N$1,$A$1:$AN$1,0),0)</f>
        <v>410</v>
      </c>
      <c r="O158">
        <f>VLOOKUP($A158,regions_full!$A$2:$AI$267,MATCH(polities_cats!O$1,$A$1:$AN$1,0),0)</f>
        <v>14</v>
      </c>
      <c r="P158" t="str">
        <f>VLOOKUP($A158,regions_full!$A$2:$AI$267,MATCH(polities_cats!P$1,$A$1:$AN$1,0),0)</f>
        <v>TRUE</v>
      </c>
      <c r="Q158">
        <f>VLOOKUP($A158,regions_full!$A$2:$AI$267,MATCH(polities_cats!Q$1,$A$1:$AN$1,0),0)</f>
        <v>117</v>
      </c>
      <c r="R158" t="str">
        <f>VLOOKUP($A158,regions_full!$A$2:$AI$267,MATCH(polities_cats!R$1,$A$1:$AN$1,0),0)</f>
        <v/>
      </c>
      <c r="S158" t="str">
        <f>VLOOKUP($A158,regions_full!$A$2:$AI$267,MATCH(polities_cats!S$1,$A$1:$AN$1,0),0)</f>
        <v>East Asia</v>
      </c>
      <c r="T158">
        <f>VLOOKUP($A158,regions_full!$A$2:$AI$267,MATCH(polities_cats!T$1,$A$1:$AN$1,0),0)</f>
        <v>1</v>
      </c>
      <c r="U158" t="str">
        <f>VLOOKUP($A158,regions_full!$A$2:$AI$267,MATCH(polities_cats!U$1,$A$1:$AN$1,0),0)</f>
        <v>Republic of Korea</v>
      </c>
      <c r="V158" t="str">
        <f>VLOOKUP($A158,regions_full!$A$2:$AI$267,MATCH(polities_cats!V$1,$A$1:$AN$1,0),0)</f>
        <v>Eastern Asia</v>
      </c>
      <c r="W158" t="str">
        <f>VLOOKUP($A158,regions_full!$A$2:$AI$267,MATCH(polities_cats!W$1,$A$1:$AN$1,0),0)</f>
        <v>East Asia</v>
      </c>
      <c r="X158" t="str">
        <f>VLOOKUP($A158,regions_full!$A$2:$AI$267,MATCH(polities_cats!X$1,$A$1:$AN$1,0),0)</f>
        <v>S&amp;E Asia</v>
      </c>
      <c r="Y158" t="str">
        <f>VLOOKUP($A158,regions_full!$A$2:$AI$267,MATCH(polities_cats!Y$1,$A$1:$AN$1,0),0)</f>
        <v>Eastern Asia</v>
      </c>
      <c r="Z158" t="str">
        <f>VLOOKUP($A158,regions_full!$A$2:$AI$267,MATCH(polities_cats!Z$1,$A$1:$AN$1,0),0)</f>
        <v>Asia</v>
      </c>
      <c r="AA158" t="str">
        <f>VLOOKUP($A158,regions_full!$A$2:$AI$267,MATCH(polities_cats!AA$1,$A$1:$AN$1,0),0)</f>
        <v>Asia and the Pacific</v>
      </c>
      <c r="AB158" t="str">
        <f>VLOOKUP($A158,regions_full!$A$2:$AI$267,MATCH(polities_cats!AB$1,$A$1:$AN$1,0),0)</f>
        <v>Eastern Asia</v>
      </c>
      <c r="AC158" t="str">
        <f>VLOOKUP($A158,regions_full!$A$2:$AI$267,MATCH(polities_cats!AC$1,$A$1:$AN$1,0),0)</f>
        <v>Eastern Asia</v>
      </c>
      <c r="AD158" t="str">
        <f>VLOOKUP($A158,regions_full!$A$2:$AI$267,MATCH(polities_cats!AD$1,$A$1:$AN$1,0),0)</f>
        <v>Advanced</v>
      </c>
      <c r="AE158" t="str">
        <f>VLOOKUP($A158,regions_full!$A$2:$AI$267,MATCH(polities_cats!AE$1,$A$1:$AN$1,0),0)</f>
        <v>Annex_II</v>
      </c>
      <c r="AF158" t="str">
        <f>VLOOKUP($A158,regions_full!$A$2:$AI$267,MATCH(polities_cats!AF$1,$A$1:$AN$1,0),0)</f>
        <v>Eastern Asia</v>
      </c>
      <c r="AG158" t="str">
        <f>VLOOKUP($A158,regions_full!$A$2:$AI$267,MATCH(polities_cats!AG$1,$A$1:$AN$1,0),0)</f>
        <v>SE-Asia</v>
      </c>
      <c r="AH158" t="str">
        <f>VLOOKUP($A158,regions_full!$A$2:$AI$267,MATCH(polities_cats!AH$1,$A$1:$AN$1,0),0)</f>
        <v>no_mech</v>
      </c>
      <c r="AI158" t="str">
        <f>VLOOKUP($A158,regions_full!$A$2:$AI$267,MATCH(polities_cats!AI$1,$A$1:$AN$1,0),0)</f>
        <v>Other</v>
      </c>
      <c r="AJ158" t="e">
        <f>VLOOKUP($A158,regions_full!$A$2:$AI$267,MATCH(polities_cats!AJ$1,$A$1:$AN$1,0),0)</f>
        <v>#REF!</v>
      </c>
      <c r="AK158" t="e">
        <f>VLOOKUP($A158,regions_full!$A$2:$AI$267,MATCH(polities_cats!AK$1,$A$1:$AN$1,0),0)</f>
        <v>#REF!</v>
      </c>
      <c r="AL158" t="e">
        <f>VLOOKUP($A158,regions_full!$A$2:$AI$267,MATCH(polities_cats!AL$1,$A$1:$AN$1,0),0)</f>
        <v>#REF!</v>
      </c>
      <c r="AM158" t="e">
        <f>VLOOKUP($A158,regions_full!$A$2:$AI$267,MATCH(polities_cats!AM$1,$A$1:$AN$1,0),0)</f>
        <v>#REF!</v>
      </c>
      <c r="AN158" t="e">
        <f>VLOOKUP($A158,regions_full!$A$2:$AI$267,MATCH(polities_cats!AN$1,$A$1:$AN$1,0),0)</f>
        <v>#REF!</v>
      </c>
    </row>
    <row r="159" spans="1:40" x14ac:dyDescent="0.3">
      <c r="A159" t="str">
        <f>polities_whep!A159</f>
        <v>ESP</v>
      </c>
      <c r="B159" t="str">
        <f>polities_whep!B159</f>
        <v>Spain</v>
      </c>
      <c r="C159">
        <f>VLOOKUP($A159,regions_full!$A$2:$AI$267,MATCH(polities_cats!C$1,$A$1:$AN$1,0),0)</f>
        <v>200</v>
      </c>
      <c r="D159">
        <f>VLOOKUP($A159,regions_full!$A$2:$AI$267,MATCH(polities_cats!D$1,$A$1:$AN$1,0),0)</f>
        <v>203</v>
      </c>
      <c r="E159" t="str">
        <f>VLOOKUP($A159,regions_full!$A$2:$AI$267,MATCH(polities_cats!E$1,$A$1:$AN$1,0),0)</f>
        <v>ESP</v>
      </c>
      <c r="F159" t="str">
        <f>VLOOKUP($A159,regions_full!$A$2:$AI$267,MATCH(polities_cats!F$1,$A$1:$AN$1,0),0)</f>
        <v>Spain</v>
      </c>
      <c r="G159" t="str">
        <f>VLOOKUP($A159,regions_full!$A$2:$AI$267,MATCH(polities_cats!G$1,$A$1:$AN$1,0),0)</f>
        <v>TRUE</v>
      </c>
      <c r="H159" t="str">
        <f>VLOOKUP($A159,regions_full!$A$2:$AI$267,MATCH(polities_cats!H$1,$A$1:$AN$1,0),0)</f>
        <v>Spain</v>
      </c>
      <c r="I159" t="str">
        <f>VLOOKUP($A159,regions_full!$A$2:$AI$267,MATCH(polities_cats!I$1,$A$1:$AN$1,0),0)</f>
        <v>Spain</v>
      </c>
      <c r="J159" t="str">
        <f>VLOOKUP($A159,regions_full!$A$2:$AI$267,MATCH(polities_cats!J$1,$A$1:$AN$1,0),0)</f>
        <v>Spain</v>
      </c>
      <c r="K159">
        <f>VLOOKUP($A159,regions_full!$A$2:$AI$267,MATCH(polities_cats!K$1,$A$1:$AN$1,0),0)</f>
        <v>203</v>
      </c>
      <c r="L159" t="str">
        <f>VLOOKUP($A159,regions_full!$A$2:$AI$267,MATCH(polities_cats!L$1,$A$1:$AN$1,0),0)</f>
        <v>Spain</v>
      </c>
      <c r="M159">
        <f>VLOOKUP($A159,regions_full!$A$2:$AI$267,MATCH(polities_cats!M$1,$A$1:$AN$1,0),0)</f>
        <v>724</v>
      </c>
      <c r="N159">
        <f>VLOOKUP($A159,regions_full!$A$2:$AI$267,MATCH(polities_cats!N$1,$A$1:$AN$1,0),0)</f>
        <v>724</v>
      </c>
      <c r="O159">
        <f>VLOOKUP($A159,regions_full!$A$2:$AI$267,MATCH(polities_cats!O$1,$A$1:$AN$1,0),0)</f>
        <v>9</v>
      </c>
      <c r="P159" t="str">
        <f>VLOOKUP($A159,regions_full!$A$2:$AI$267,MATCH(polities_cats!P$1,$A$1:$AN$1,0),0)</f>
        <v>TRUE</v>
      </c>
      <c r="Q159">
        <f>VLOOKUP($A159,regions_full!$A$2:$AI$267,MATCH(polities_cats!Q$1,$A$1:$AN$1,0),0)</f>
        <v>203</v>
      </c>
      <c r="R159" t="str">
        <f>VLOOKUP($A159,regions_full!$A$2:$AI$267,MATCH(polities_cats!R$1,$A$1:$AN$1,0),0)</f>
        <v>ES</v>
      </c>
      <c r="S159" t="str">
        <f>VLOOKUP($A159,regions_full!$A$2:$AI$267,MATCH(polities_cats!S$1,$A$1:$AN$1,0),0)</f>
        <v>OECD Europe</v>
      </c>
      <c r="T159">
        <f>VLOOKUP($A159,regions_full!$A$2:$AI$267,MATCH(polities_cats!T$1,$A$1:$AN$1,0),0)</f>
        <v>1</v>
      </c>
      <c r="U159" t="str">
        <f>VLOOKUP($A159,regions_full!$A$2:$AI$267,MATCH(polities_cats!U$1,$A$1:$AN$1,0),0)</f>
        <v>Spain</v>
      </c>
      <c r="V159" t="str">
        <f>VLOOKUP($A159,regions_full!$A$2:$AI$267,MATCH(polities_cats!V$1,$A$1:$AN$1,0),0)</f>
        <v>Western Europe</v>
      </c>
      <c r="W159" t="str">
        <f>VLOOKUP($A159,regions_full!$A$2:$AI$267,MATCH(polities_cats!W$1,$A$1:$AN$1,0),0)</f>
        <v>West Europe</v>
      </c>
      <c r="X159" t="str">
        <f>VLOOKUP($A159,regions_full!$A$2:$AI$267,MATCH(polities_cats!X$1,$A$1:$AN$1,0),0)</f>
        <v>Europe</v>
      </c>
      <c r="Y159" t="str">
        <f>VLOOKUP($A159,regions_full!$A$2:$AI$267,MATCH(polities_cats!Y$1,$A$1:$AN$1,0),0)</f>
        <v>Southern Europe</v>
      </c>
      <c r="Z159" t="str">
        <f>VLOOKUP($A159,regions_full!$A$2:$AI$267,MATCH(polities_cats!Z$1,$A$1:$AN$1,0),0)</f>
        <v>Europe</v>
      </c>
      <c r="AA159" t="str">
        <f>VLOOKUP($A159,regions_full!$A$2:$AI$267,MATCH(polities_cats!AA$1,$A$1:$AN$1,0),0)</f>
        <v>Europe and Central Asia</v>
      </c>
      <c r="AB159" t="str">
        <f>VLOOKUP($A159,regions_full!$A$2:$AI$267,MATCH(polities_cats!AB$1,$A$1:$AN$1,0),0)</f>
        <v>Northern, Southern and Western Europe</v>
      </c>
      <c r="AC159" t="str">
        <f>VLOOKUP($A159,regions_full!$A$2:$AI$267,MATCH(polities_cats!AC$1,$A$1:$AN$1,0),0)</f>
        <v>Southern Europe</v>
      </c>
      <c r="AD159" t="str">
        <f>VLOOKUP($A159,regions_full!$A$2:$AI$267,MATCH(polities_cats!AD$1,$A$1:$AN$1,0),0)</f>
        <v>Advanced</v>
      </c>
      <c r="AE159" t="str">
        <f>VLOOKUP($A159,regions_full!$A$2:$AI$267,MATCH(polities_cats!AE$1,$A$1:$AN$1,0),0)</f>
        <v>Annex_I</v>
      </c>
      <c r="AF159" t="str">
        <f>VLOOKUP($A159,regions_full!$A$2:$AI$267,MATCH(polities_cats!AF$1,$A$1:$AN$1,0),0)</f>
        <v>Southern Europe</v>
      </c>
      <c r="AG159" t="str">
        <f>VLOOKUP($A159,regions_full!$A$2:$AI$267,MATCH(polities_cats!AG$1,$A$1:$AN$1,0),0)</f>
        <v>Europe</v>
      </c>
      <c r="AH159" t="str">
        <f>VLOOKUP($A159,regions_full!$A$2:$AI$267,MATCH(polities_cats!AH$1,$A$1:$AN$1,0),0)</f>
        <v>mech</v>
      </c>
      <c r="AI159" t="str">
        <f>VLOOKUP($A159,regions_full!$A$2:$AI$267,MATCH(polities_cats!AI$1,$A$1:$AN$1,0),0)</f>
        <v>Europe</v>
      </c>
      <c r="AJ159" t="e">
        <f>VLOOKUP($A159,regions_full!$A$2:$AI$267,MATCH(polities_cats!AJ$1,$A$1:$AN$1,0),0)</f>
        <v>#REF!</v>
      </c>
      <c r="AK159" t="e">
        <f>VLOOKUP($A159,regions_full!$A$2:$AI$267,MATCH(polities_cats!AK$1,$A$1:$AN$1,0),0)</f>
        <v>#REF!</v>
      </c>
      <c r="AL159" t="e">
        <f>VLOOKUP($A159,regions_full!$A$2:$AI$267,MATCH(polities_cats!AL$1,$A$1:$AN$1,0),0)</f>
        <v>#REF!</v>
      </c>
      <c r="AM159" t="e">
        <f>VLOOKUP($A159,regions_full!$A$2:$AI$267,MATCH(polities_cats!AM$1,$A$1:$AN$1,0),0)</f>
        <v>#REF!</v>
      </c>
      <c r="AN159" t="e">
        <f>VLOOKUP($A159,regions_full!$A$2:$AI$267,MATCH(polities_cats!AN$1,$A$1:$AN$1,0),0)</f>
        <v>#REF!</v>
      </c>
    </row>
    <row r="160" spans="1:40" x14ac:dyDescent="0.3">
      <c r="A160" t="str">
        <f>polities_whep!A160</f>
        <v>LKA</v>
      </c>
      <c r="B160" t="str">
        <f>polities_whep!B160</f>
        <v>Sri Lanka</v>
      </c>
      <c r="C160">
        <f>VLOOKUP($A160,regions_full!$A$2:$AI$267,MATCH(polities_cats!C$1,$A$1:$AN$1,0),0)</f>
        <v>38</v>
      </c>
      <c r="D160">
        <f>VLOOKUP($A160,regions_full!$A$2:$AI$267,MATCH(polities_cats!D$1,$A$1:$AN$1,0),0)</f>
        <v>38</v>
      </c>
      <c r="E160" t="str">
        <f>VLOOKUP($A160,regions_full!$A$2:$AI$267,MATCH(polities_cats!E$1,$A$1:$AN$1,0),0)</f>
        <v>LKA</v>
      </c>
      <c r="F160" t="str">
        <f>VLOOKUP($A160,regions_full!$A$2:$AI$267,MATCH(polities_cats!F$1,$A$1:$AN$1,0),0)</f>
        <v>Sri Lanka</v>
      </c>
      <c r="G160" t="str">
        <f>VLOOKUP($A160,regions_full!$A$2:$AI$267,MATCH(polities_cats!G$1,$A$1:$AN$1,0),0)</f>
        <v>FALSE</v>
      </c>
      <c r="H160" t="str">
        <f>VLOOKUP($A160,regions_full!$A$2:$AI$267,MATCH(polities_cats!H$1,$A$1:$AN$1,0),0)</f>
        <v>Sri Lanka</v>
      </c>
      <c r="I160" t="str">
        <f>VLOOKUP($A160,regions_full!$A$2:$AI$267,MATCH(polities_cats!I$1,$A$1:$AN$1,0),0)</f>
        <v>Sri Lanka</v>
      </c>
      <c r="J160" t="str">
        <f>VLOOKUP($A160,regions_full!$A$2:$AI$267,MATCH(polities_cats!J$1,$A$1:$AN$1,0),0)</f>
        <v>Sri Lanka</v>
      </c>
      <c r="K160">
        <f>VLOOKUP($A160,regions_full!$A$2:$AI$267,MATCH(polities_cats!K$1,$A$1:$AN$1,0),0)</f>
        <v>38</v>
      </c>
      <c r="L160" t="str">
        <f>VLOOKUP($A160,regions_full!$A$2:$AI$267,MATCH(polities_cats!L$1,$A$1:$AN$1,0),0)</f>
        <v>Sri Lanka</v>
      </c>
      <c r="M160">
        <f>VLOOKUP($A160,regions_full!$A$2:$AI$267,MATCH(polities_cats!M$1,$A$1:$AN$1,0),0)</f>
        <v>144</v>
      </c>
      <c r="N160">
        <f>VLOOKUP($A160,regions_full!$A$2:$AI$267,MATCH(polities_cats!N$1,$A$1:$AN$1,0),0)</f>
        <v>144</v>
      </c>
      <c r="O160">
        <f>VLOOKUP($A160,regions_full!$A$2:$AI$267,MATCH(polities_cats!O$1,$A$1:$AN$1,0),0)</f>
        <v>13</v>
      </c>
      <c r="P160" t="str">
        <f>VLOOKUP($A160,regions_full!$A$2:$AI$267,MATCH(polities_cats!P$1,$A$1:$AN$1,0),0)</f>
        <v>TRUE</v>
      </c>
      <c r="Q160">
        <f>VLOOKUP($A160,regions_full!$A$2:$AI$267,MATCH(polities_cats!Q$1,$A$1:$AN$1,0),0)</f>
        <v>38</v>
      </c>
      <c r="R160" t="str">
        <f>VLOOKUP($A160,regions_full!$A$2:$AI$267,MATCH(polities_cats!R$1,$A$1:$AN$1,0),0)</f>
        <v/>
      </c>
      <c r="S160" t="str">
        <f>VLOOKUP($A160,regions_full!$A$2:$AI$267,MATCH(polities_cats!S$1,$A$1:$AN$1,0),0)</f>
        <v>South Asia</v>
      </c>
      <c r="T160">
        <f>VLOOKUP($A160,regions_full!$A$2:$AI$267,MATCH(polities_cats!T$1,$A$1:$AN$1,0),0)</f>
        <v>1</v>
      </c>
      <c r="U160" t="str">
        <f>VLOOKUP($A160,regions_full!$A$2:$AI$267,MATCH(polities_cats!U$1,$A$1:$AN$1,0),0)</f>
        <v>Sri Lanka</v>
      </c>
      <c r="V160" t="str">
        <f>VLOOKUP($A160,regions_full!$A$2:$AI$267,MATCH(polities_cats!V$1,$A$1:$AN$1,0),0)</f>
        <v>Southern Asia</v>
      </c>
      <c r="W160" t="str">
        <f>VLOOKUP($A160,regions_full!$A$2:$AI$267,MATCH(polities_cats!W$1,$A$1:$AN$1,0),0)</f>
        <v>South and Central Asia</v>
      </c>
      <c r="X160" t="str">
        <f>VLOOKUP($A160,regions_full!$A$2:$AI$267,MATCH(polities_cats!X$1,$A$1:$AN$1,0),0)</f>
        <v>Southern Asia</v>
      </c>
      <c r="Y160" t="str">
        <f>VLOOKUP($A160,regions_full!$A$2:$AI$267,MATCH(polities_cats!Y$1,$A$1:$AN$1,0),0)</f>
        <v>Southern Asia</v>
      </c>
      <c r="Z160" t="str">
        <f>VLOOKUP($A160,regions_full!$A$2:$AI$267,MATCH(polities_cats!Z$1,$A$1:$AN$1,0),0)</f>
        <v>Asia</v>
      </c>
      <c r="AA160" t="str">
        <f>VLOOKUP($A160,regions_full!$A$2:$AI$267,MATCH(polities_cats!AA$1,$A$1:$AN$1,0),0)</f>
        <v>Asia and the Pacific</v>
      </c>
      <c r="AB160" t="str">
        <f>VLOOKUP($A160,regions_full!$A$2:$AI$267,MATCH(polities_cats!AB$1,$A$1:$AN$1,0),0)</f>
        <v>Southern Asia</v>
      </c>
      <c r="AC160" t="str">
        <f>VLOOKUP($A160,regions_full!$A$2:$AI$267,MATCH(polities_cats!AC$1,$A$1:$AN$1,0),0)</f>
        <v>Southern Asia</v>
      </c>
      <c r="AD160" t="str">
        <f>VLOOKUP($A160,regions_full!$A$2:$AI$267,MATCH(polities_cats!AD$1,$A$1:$AN$1,0),0)</f>
        <v>Emerging</v>
      </c>
      <c r="AE160" t="str">
        <f>VLOOKUP($A160,regions_full!$A$2:$AI$267,MATCH(polities_cats!AE$1,$A$1:$AN$1,0),0)</f>
        <v>Annex_II</v>
      </c>
      <c r="AF160" t="str">
        <f>VLOOKUP($A160,regions_full!$A$2:$AI$267,MATCH(polities_cats!AF$1,$A$1:$AN$1,0),0)</f>
        <v>Southern Asia</v>
      </c>
      <c r="AG160" t="str">
        <f>VLOOKUP($A160,regions_full!$A$2:$AI$267,MATCH(polities_cats!AG$1,$A$1:$AN$1,0),0)</f>
        <v>SE-Asia</v>
      </c>
      <c r="AH160" t="str">
        <f>VLOOKUP($A160,regions_full!$A$2:$AI$267,MATCH(polities_cats!AH$1,$A$1:$AN$1,0),0)</f>
        <v>no_mech</v>
      </c>
      <c r="AI160" t="str">
        <f>VLOOKUP($A160,regions_full!$A$2:$AI$267,MATCH(polities_cats!AI$1,$A$1:$AN$1,0),0)</f>
        <v>Other</v>
      </c>
      <c r="AJ160" t="e">
        <f>VLOOKUP($A160,regions_full!$A$2:$AI$267,MATCH(polities_cats!AJ$1,$A$1:$AN$1,0),0)</f>
        <v>#REF!</v>
      </c>
      <c r="AK160" t="e">
        <f>VLOOKUP($A160,regions_full!$A$2:$AI$267,MATCH(polities_cats!AK$1,$A$1:$AN$1,0),0)</f>
        <v>#REF!</v>
      </c>
      <c r="AL160" t="e">
        <f>VLOOKUP($A160,regions_full!$A$2:$AI$267,MATCH(polities_cats!AL$1,$A$1:$AN$1,0),0)</f>
        <v>#REF!</v>
      </c>
      <c r="AM160" t="e">
        <f>VLOOKUP($A160,regions_full!$A$2:$AI$267,MATCH(polities_cats!AM$1,$A$1:$AN$1,0),0)</f>
        <v>#REF!</v>
      </c>
      <c r="AN160" t="e">
        <f>VLOOKUP($A160,regions_full!$A$2:$AI$267,MATCH(polities_cats!AN$1,$A$1:$AN$1,0),0)</f>
        <v>#REF!</v>
      </c>
    </row>
    <row r="161" spans="1:40" x14ac:dyDescent="0.3">
      <c r="A161" t="str">
        <f>polities_whep!A161</f>
        <v>SDN</v>
      </c>
      <c r="B161" t="str">
        <f>polities_whep!B161</f>
        <v>Sudan</v>
      </c>
      <c r="C161">
        <f>VLOOKUP($A161,regions_full!$A$2:$AI$267,MATCH(polities_cats!C$1,$A$1:$AN$1,0),0)</f>
        <v>254</v>
      </c>
      <c r="D161">
        <f>VLOOKUP($A161,regions_full!$A$2:$AI$267,MATCH(polities_cats!D$1,$A$1:$AN$1,0),0)</f>
        <v>276</v>
      </c>
      <c r="E161" t="str">
        <f>VLOOKUP($A161,regions_full!$A$2:$AI$267,MATCH(polities_cats!E$1,$A$1:$AN$1,0),0)</f>
        <v>SDN</v>
      </c>
      <c r="F161" t="str">
        <f>VLOOKUP($A161,regions_full!$A$2:$AI$267,MATCH(polities_cats!F$1,$A$1:$AN$1,0),0)</f>
        <v>Sudan</v>
      </c>
      <c r="G161" t="str">
        <f>VLOOKUP($A161,regions_full!$A$2:$AI$267,MATCH(polities_cats!G$1,$A$1:$AN$1,0),0)</f>
        <v>FALSE</v>
      </c>
      <c r="H161" t="str">
        <f>VLOOKUP($A161,regions_full!$A$2:$AI$267,MATCH(polities_cats!H$1,$A$1:$AN$1,0),0)</f>
        <v>Sudan</v>
      </c>
      <c r="I161">
        <f>VLOOKUP($A161,regions_full!$A$2:$AI$267,MATCH(polities_cats!I$1,$A$1:$AN$1,0),0)</f>
        <v>0</v>
      </c>
      <c r="J161">
        <f>VLOOKUP($A161,regions_full!$A$2:$AI$267,MATCH(polities_cats!J$1,$A$1:$AN$1,0),0)</f>
        <v>0</v>
      </c>
      <c r="K161">
        <f>VLOOKUP($A161,regions_full!$A$2:$AI$267,MATCH(polities_cats!K$1,$A$1:$AN$1,0),0)</f>
        <v>206</v>
      </c>
      <c r="L161" t="str">
        <f>VLOOKUP($A161,regions_full!$A$2:$AI$267,MATCH(polities_cats!L$1,$A$1:$AN$1,0),0)</f>
        <v>Sudan</v>
      </c>
      <c r="M161">
        <f>VLOOKUP($A161,regions_full!$A$2:$AI$267,MATCH(polities_cats!M$1,$A$1:$AN$1,0),0)</f>
        <v>729</v>
      </c>
      <c r="N161">
        <f>VLOOKUP($A161,regions_full!$A$2:$AI$267,MATCH(polities_cats!N$1,$A$1:$AN$1,0),0)</f>
        <v>729</v>
      </c>
      <c r="O161">
        <f>VLOOKUP($A161,regions_full!$A$2:$AI$267,MATCH(polities_cats!O$1,$A$1:$AN$1,0),0)</f>
        <v>7</v>
      </c>
      <c r="P161" t="str">
        <f>VLOOKUP($A161,regions_full!$A$2:$AI$267,MATCH(polities_cats!P$1,$A$1:$AN$1,0),0)</f>
        <v>TRUE</v>
      </c>
      <c r="Q161">
        <f>VLOOKUP($A161,regions_full!$A$2:$AI$267,MATCH(polities_cats!Q$1,$A$1:$AN$1,0),0)</f>
        <v>206</v>
      </c>
      <c r="R161" t="str">
        <f>VLOOKUP($A161,regions_full!$A$2:$AI$267,MATCH(polities_cats!R$1,$A$1:$AN$1,0),0)</f>
        <v/>
      </c>
      <c r="S161" t="str">
        <f>VLOOKUP($A161,regions_full!$A$2:$AI$267,MATCH(polities_cats!S$1,$A$1:$AN$1,0),0)</f>
        <v>Eastern Africa</v>
      </c>
      <c r="T161">
        <f>VLOOKUP($A161,regions_full!$A$2:$AI$267,MATCH(polities_cats!T$1,$A$1:$AN$1,0),0)</f>
        <v>0</v>
      </c>
      <c r="U161" t="str">
        <f>VLOOKUP($A161,regions_full!$A$2:$AI$267,MATCH(polities_cats!U$1,$A$1:$AN$1,0),0)</f>
        <v>Sudan</v>
      </c>
      <c r="V161" t="str">
        <f>VLOOKUP($A161,regions_full!$A$2:$AI$267,MATCH(polities_cats!V$1,$A$1:$AN$1,0),0)</f>
        <v>Subsaharan Africa</v>
      </c>
      <c r="W161" t="str">
        <f>VLOOKUP($A161,regions_full!$A$2:$AI$267,MATCH(polities_cats!W$1,$A$1:$AN$1,0),0)</f>
        <v>Sub-saharan Africa</v>
      </c>
      <c r="X161" t="str">
        <f>VLOOKUP($A161,regions_full!$A$2:$AI$267,MATCH(polities_cats!X$1,$A$1:$AN$1,0),0)</f>
        <v>SSA</v>
      </c>
      <c r="Y161" t="str">
        <f>VLOOKUP($A161,regions_full!$A$2:$AI$267,MATCH(polities_cats!Y$1,$A$1:$AN$1,0),0)</f>
        <v>Northern Africa</v>
      </c>
      <c r="Z161" t="str">
        <f>VLOOKUP($A161,regions_full!$A$2:$AI$267,MATCH(polities_cats!Z$1,$A$1:$AN$1,0),0)</f>
        <v>Africa</v>
      </c>
      <c r="AA161" t="str">
        <f>VLOOKUP($A161,regions_full!$A$2:$AI$267,MATCH(polities_cats!AA$1,$A$1:$AN$1,0),0)</f>
        <v>Africa</v>
      </c>
      <c r="AB161" t="str">
        <f>VLOOKUP($A161,regions_full!$A$2:$AI$267,MATCH(polities_cats!AB$1,$A$1:$AN$1,0),0)</f>
        <v>Northern Africa</v>
      </c>
      <c r="AC161" t="str">
        <f>VLOOKUP($A161,regions_full!$A$2:$AI$267,MATCH(polities_cats!AC$1,$A$1:$AN$1,0),0)</f>
        <v>Northern Africa</v>
      </c>
      <c r="AD161" t="str">
        <f>VLOOKUP($A161,regions_full!$A$2:$AI$267,MATCH(polities_cats!AD$1,$A$1:$AN$1,0),0)</f>
        <v>Emerging</v>
      </c>
      <c r="AE161" t="str">
        <f>VLOOKUP($A161,regions_full!$A$2:$AI$267,MATCH(polities_cats!AE$1,$A$1:$AN$1,0),0)</f>
        <v>Annex_II</v>
      </c>
      <c r="AF161" t="str">
        <f>VLOOKUP($A161,regions_full!$A$2:$AI$267,MATCH(polities_cats!AF$1,$A$1:$AN$1,0),0)</f>
        <v>Northern Africa</v>
      </c>
      <c r="AG161" t="str">
        <f>VLOOKUP($A161,regions_full!$A$2:$AI$267,MATCH(polities_cats!AG$1,$A$1:$AN$1,0),0)</f>
        <v>MENA</v>
      </c>
      <c r="AH161" t="str">
        <f>VLOOKUP($A161,regions_full!$A$2:$AI$267,MATCH(polities_cats!AH$1,$A$1:$AN$1,0),0)</f>
        <v>no_mech</v>
      </c>
      <c r="AI161" t="str">
        <f>VLOOKUP($A161,regions_full!$A$2:$AI$267,MATCH(polities_cats!AI$1,$A$1:$AN$1,0),0)</f>
        <v>Other</v>
      </c>
      <c r="AJ161" t="e">
        <f>VLOOKUP($A161,regions_full!$A$2:$AI$267,MATCH(polities_cats!AJ$1,$A$1:$AN$1,0),0)</f>
        <v>#REF!</v>
      </c>
      <c r="AK161" t="e">
        <f>VLOOKUP($A161,regions_full!$A$2:$AI$267,MATCH(polities_cats!AK$1,$A$1:$AN$1,0),0)</f>
        <v>#REF!</v>
      </c>
      <c r="AL161" t="e">
        <f>VLOOKUP($A161,regions_full!$A$2:$AI$267,MATCH(polities_cats!AL$1,$A$1:$AN$1,0),0)</f>
        <v>#REF!</v>
      </c>
      <c r="AM161" t="e">
        <f>VLOOKUP($A161,regions_full!$A$2:$AI$267,MATCH(polities_cats!AM$1,$A$1:$AN$1,0),0)</f>
        <v>#REF!</v>
      </c>
      <c r="AN161" t="e">
        <f>VLOOKUP($A161,regions_full!$A$2:$AI$267,MATCH(polities_cats!AN$1,$A$1:$AN$1,0),0)</f>
        <v>#REF!</v>
      </c>
    </row>
    <row r="162" spans="1:40" x14ac:dyDescent="0.3">
      <c r="A162" t="str">
        <f>polities_whep!A162</f>
        <v>SSD</v>
      </c>
      <c r="B162" t="str">
        <f>polities_whep!B162</f>
        <v>South Sudan</v>
      </c>
      <c r="C162">
        <f>VLOOKUP($A162,regions_full!$A$2:$AI$267,MATCH(polities_cats!C$1,$A$1:$AN$1,0),0)</f>
        <v>255</v>
      </c>
      <c r="D162">
        <f>VLOOKUP($A162,regions_full!$A$2:$AI$267,MATCH(polities_cats!D$1,$A$1:$AN$1,0),0)</f>
        <v>277</v>
      </c>
      <c r="E162" t="str">
        <f>VLOOKUP($A162,regions_full!$A$2:$AI$267,MATCH(polities_cats!E$1,$A$1:$AN$1,0),0)</f>
        <v>SSD</v>
      </c>
      <c r="F162" t="str">
        <f>VLOOKUP($A162,regions_full!$A$2:$AI$267,MATCH(polities_cats!F$1,$A$1:$AN$1,0),0)</f>
        <v>South Sudan</v>
      </c>
      <c r="G162" t="str">
        <f>VLOOKUP($A162,regions_full!$A$2:$AI$267,MATCH(polities_cats!G$1,$A$1:$AN$1,0),0)</f>
        <v>FALSE</v>
      </c>
      <c r="H162" t="str">
        <f>VLOOKUP($A162,regions_full!$A$2:$AI$267,MATCH(polities_cats!H$1,$A$1:$AN$1,0),0)</f>
        <v>South Sudan</v>
      </c>
      <c r="I162">
        <f>VLOOKUP($A162,regions_full!$A$2:$AI$267,MATCH(polities_cats!I$1,$A$1:$AN$1,0),0)</f>
        <v>0</v>
      </c>
      <c r="J162" t="str">
        <f>VLOOKUP($A162,regions_full!$A$2:$AI$267,MATCH(polities_cats!J$1,$A$1:$AN$1,0),0)</f>
        <v>South Sudan</v>
      </c>
      <c r="K162">
        <f>VLOOKUP($A162,regions_full!$A$2:$AI$267,MATCH(polities_cats!K$1,$A$1:$AN$1,0),0)</f>
        <v>206</v>
      </c>
      <c r="L162" t="str">
        <f>VLOOKUP($A162,regions_full!$A$2:$AI$267,MATCH(polities_cats!L$1,$A$1:$AN$1,0),0)</f>
        <v>Sudan</v>
      </c>
      <c r="M162">
        <f>VLOOKUP($A162,regions_full!$A$2:$AI$267,MATCH(polities_cats!M$1,$A$1:$AN$1,0),0)</f>
        <v>728</v>
      </c>
      <c r="N162">
        <f>VLOOKUP($A162,regions_full!$A$2:$AI$267,MATCH(polities_cats!N$1,$A$1:$AN$1,0),0)</f>
        <v>728</v>
      </c>
      <c r="O162">
        <f>VLOOKUP($A162,regions_full!$A$2:$AI$267,MATCH(polities_cats!O$1,$A$1:$AN$1,0),0)</f>
        <v>7</v>
      </c>
      <c r="P162" t="str">
        <f>VLOOKUP($A162,regions_full!$A$2:$AI$267,MATCH(polities_cats!P$1,$A$1:$AN$1,0),0)</f>
        <v>TRUE</v>
      </c>
      <c r="Q162">
        <f>VLOOKUP($A162,regions_full!$A$2:$AI$267,MATCH(polities_cats!Q$1,$A$1:$AN$1,0),0)</f>
        <v>206</v>
      </c>
      <c r="R162" t="str">
        <f>VLOOKUP($A162,regions_full!$A$2:$AI$267,MATCH(polities_cats!R$1,$A$1:$AN$1,0),0)</f>
        <v/>
      </c>
      <c r="S162" t="str">
        <f>VLOOKUP($A162,regions_full!$A$2:$AI$267,MATCH(polities_cats!S$1,$A$1:$AN$1,0),0)</f>
        <v>Eastern Africa</v>
      </c>
      <c r="T162">
        <f>VLOOKUP($A162,regions_full!$A$2:$AI$267,MATCH(polities_cats!T$1,$A$1:$AN$1,0),0)</f>
        <v>1</v>
      </c>
      <c r="U162" t="str">
        <f>VLOOKUP($A162,regions_full!$A$2:$AI$267,MATCH(polities_cats!U$1,$A$1:$AN$1,0),0)</f>
        <v>South Sudan</v>
      </c>
      <c r="V162" t="str">
        <f>VLOOKUP($A162,regions_full!$A$2:$AI$267,MATCH(polities_cats!V$1,$A$1:$AN$1,0),0)</f>
        <v>Subsaharan Africa</v>
      </c>
      <c r="W162" t="str">
        <f>VLOOKUP($A162,regions_full!$A$2:$AI$267,MATCH(polities_cats!W$1,$A$1:$AN$1,0),0)</f>
        <v>Sub-saharan Africa</v>
      </c>
      <c r="X162" t="str">
        <f>VLOOKUP($A162,regions_full!$A$2:$AI$267,MATCH(polities_cats!X$1,$A$1:$AN$1,0),0)</f>
        <v>SSA</v>
      </c>
      <c r="Y162" t="str">
        <f>VLOOKUP($A162,regions_full!$A$2:$AI$267,MATCH(polities_cats!Y$1,$A$1:$AN$1,0),0)</f>
        <v>Sub-Saharan Africa</v>
      </c>
      <c r="Z162" t="str">
        <f>VLOOKUP($A162,regions_full!$A$2:$AI$267,MATCH(polities_cats!Z$1,$A$1:$AN$1,0),0)</f>
        <v>Africa</v>
      </c>
      <c r="AA162" t="str">
        <f>VLOOKUP($A162,regions_full!$A$2:$AI$267,MATCH(polities_cats!AA$1,$A$1:$AN$1,0),0)</f>
        <v>Africa</v>
      </c>
      <c r="AB162" t="str">
        <f>VLOOKUP($A162,regions_full!$A$2:$AI$267,MATCH(polities_cats!AB$1,$A$1:$AN$1,0),0)</f>
        <v>Sub-Saharan Africa</v>
      </c>
      <c r="AC162" t="str">
        <f>VLOOKUP($A162,regions_full!$A$2:$AI$267,MATCH(polities_cats!AC$1,$A$1:$AN$1,0),0)</f>
        <v>Eastern Africa</v>
      </c>
      <c r="AD162" t="str">
        <f>VLOOKUP($A162,regions_full!$A$2:$AI$267,MATCH(polities_cats!AD$1,$A$1:$AN$1,0),0)</f>
        <v>Emerging</v>
      </c>
      <c r="AE162" t="str">
        <f>VLOOKUP($A162,regions_full!$A$2:$AI$267,MATCH(polities_cats!AE$1,$A$1:$AN$1,0),0)</f>
        <v>Annex_II</v>
      </c>
      <c r="AF162" t="str">
        <f>VLOOKUP($A162,regions_full!$A$2:$AI$267,MATCH(polities_cats!AF$1,$A$1:$AN$1,0),0)</f>
        <v>Eastern Africa</v>
      </c>
      <c r="AG162" t="str">
        <f>VLOOKUP($A162,regions_full!$A$2:$AI$267,MATCH(polities_cats!AG$1,$A$1:$AN$1,0),0)</f>
        <v>SAA</v>
      </c>
      <c r="AH162" t="str">
        <f>VLOOKUP($A162,regions_full!$A$2:$AI$267,MATCH(polities_cats!AH$1,$A$1:$AN$1,0),0)</f>
        <v>no_mech</v>
      </c>
      <c r="AI162" t="str">
        <f>VLOOKUP($A162,regions_full!$A$2:$AI$267,MATCH(polities_cats!AI$1,$A$1:$AN$1,0),0)</f>
        <v>Other</v>
      </c>
      <c r="AJ162" t="e">
        <f>VLOOKUP($A162,regions_full!$A$2:$AI$267,MATCH(polities_cats!AJ$1,$A$1:$AN$1,0),0)</f>
        <v>#REF!</v>
      </c>
      <c r="AK162" t="e">
        <f>VLOOKUP($A162,regions_full!$A$2:$AI$267,MATCH(polities_cats!AK$1,$A$1:$AN$1,0),0)</f>
        <v>#REF!</v>
      </c>
      <c r="AL162" t="e">
        <f>VLOOKUP($A162,regions_full!$A$2:$AI$267,MATCH(polities_cats!AL$1,$A$1:$AN$1,0),0)</f>
        <v>#REF!</v>
      </c>
      <c r="AM162" t="e">
        <f>VLOOKUP($A162,regions_full!$A$2:$AI$267,MATCH(polities_cats!AM$1,$A$1:$AN$1,0),0)</f>
        <v>#REF!</v>
      </c>
      <c r="AN162" t="e">
        <f>VLOOKUP($A162,regions_full!$A$2:$AI$267,MATCH(polities_cats!AN$1,$A$1:$AN$1,0),0)</f>
        <v>#REF!</v>
      </c>
    </row>
    <row r="163" spans="1:40" x14ac:dyDescent="0.3">
      <c r="A163" t="str">
        <f>polities_whep!A163</f>
        <v>SUR</v>
      </c>
      <c r="B163" t="str">
        <f>polities_whep!B163</f>
        <v>Suriname</v>
      </c>
      <c r="C163">
        <f>VLOOKUP($A163,regions_full!$A$2:$AI$267,MATCH(polities_cats!C$1,$A$1:$AN$1,0),0)</f>
        <v>203</v>
      </c>
      <c r="D163">
        <f>VLOOKUP($A163,regions_full!$A$2:$AI$267,MATCH(polities_cats!D$1,$A$1:$AN$1,0),0)</f>
        <v>207</v>
      </c>
      <c r="E163" t="str">
        <f>VLOOKUP($A163,regions_full!$A$2:$AI$267,MATCH(polities_cats!E$1,$A$1:$AN$1,0),0)</f>
        <v>SUR</v>
      </c>
      <c r="F163" t="str">
        <f>VLOOKUP($A163,regions_full!$A$2:$AI$267,MATCH(polities_cats!F$1,$A$1:$AN$1,0),0)</f>
        <v>Suriname</v>
      </c>
      <c r="G163" t="str">
        <f>VLOOKUP($A163,regions_full!$A$2:$AI$267,MATCH(polities_cats!G$1,$A$1:$AN$1,0),0)</f>
        <v>FALSE</v>
      </c>
      <c r="H163" t="str">
        <f>VLOOKUP($A163,regions_full!$A$2:$AI$267,MATCH(polities_cats!H$1,$A$1:$AN$1,0),0)</f>
        <v>Suriname</v>
      </c>
      <c r="I163" t="str">
        <f>VLOOKUP($A163,regions_full!$A$2:$AI$267,MATCH(polities_cats!I$1,$A$1:$AN$1,0),0)</f>
        <v>Suriname</v>
      </c>
      <c r="J163" t="str">
        <f>VLOOKUP($A163,regions_full!$A$2:$AI$267,MATCH(polities_cats!J$1,$A$1:$AN$1,0),0)</f>
        <v>Suriname</v>
      </c>
      <c r="K163">
        <f>VLOOKUP($A163,regions_full!$A$2:$AI$267,MATCH(polities_cats!K$1,$A$1:$AN$1,0),0)</f>
        <v>207</v>
      </c>
      <c r="L163" t="str">
        <f>VLOOKUP($A163,regions_full!$A$2:$AI$267,MATCH(polities_cats!L$1,$A$1:$AN$1,0),0)</f>
        <v>Suriname</v>
      </c>
      <c r="M163">
        <f>VLOOKUP($A163,regions_full!$A$2:$AI$267,MATCH(polities_cats!M$1,$A$1:$AN$1,0),0)</f>
        <v>740</v>
      </c>
      <c r="N163">
        <f>VLOOKUP($A163,regions_full!$A$2:$AI$267,MATCH(polities_cats!N$1,$A$1:$AN$1,0),0)</f>
        <v>740</v>
      </c>
      <c r="O163">
        <f>VLOOKUP($A163,regions_full!$A$2:$AI$267,MATCH(polities_cats!O$1,$A$1:$AN$1,0),0)</f>
        <v>4</v>
      </c>
      <c r="P163" t="str">
        <f>VLOOKUP($A163,regions_full!$A$2:$AI$267,MATCH(polities_cats!P$1,$A$1:$AN$1,0),0)</f>
        <v>TRUE</v>
      </c>
      <c r="Q163">
        <f>VLOOKUP($A163,regions_full!$A$2:$AI$267,MATCH(polities_cats!Q$1,$A$1:$AN$1,0),0)</f>
        <v>207</v>
      </c>
      <c r="R163" t="str">
        <f>VLOOKUP($A163,regions_full!$A$2:$AI$267,MATCH(polities_cats!R$1,$A$1:$AN$1,0),0)</f>
        <v/>
      </c>
      <c r="S163" t="str">
        <f>VLOOKUP($A163,regions_full!$A$2:$AI$267,MATCH(polities_cats!S$1,$A$1:$AN$1,0),0)</f>
        <v>South America</v>
      </c>
      <c r="T163">
        <f>VLOOKUP($A163,regions_full!$A$2:$AI$267,MATCH(polities_cats!T$1,$A$1:$AN$1,0),0)</f>
        <v>1</v>
      </c>
      <c r="U163" t="str">
        <f>VLOOKUP($A163,regions_full!$A$2:$AI$267,MATCH(polities_cats!U$1,$A$1:$AN$1,0),0)</f>
        <v>Suriname</v>
      </c>
      <c r="V163" t="str">
        <f>VLOOKUP($A163,regions_full!$A$2:$AI$267,MATCH(polities_cats!V$1,$A$1:$AN$1,0),0)</f>
        <v>Latin America and the Caribbean</v>
      </c>
      <c r="W163" t="str">
        <f>VLOOKUP($A163,regions_full!$A$2:$AI$267,MATCH(polities_cats!W$1,$A$1:$AN$1,0),0)</f>
        <v>Latin America and Caribbean</v>
      </c>
      <c r="X163" t="str">
        <f>VLOOKUP($A163,regions_full!$A$2:$AI$267,MATCH(polities_cats!X$1,$A$1:$AN$1,0),0)</f>
        <v>LACA</v>
      </c>
      <c r="Y163" t="str">
        <f>VLOOKUP($A163,regions_full!$A$2:$AI$267,MATCH(polities_cats!Y$1,$A$1:$AN$1,0),0)</f>
        <v>Latin America and the Caribbean</v>
      </c>
      <c r="Z163" t="str">
        <f>VLOOKUP($A163,regions_full!$A$2:$AI$267,MATCH(polities_cats!Z$1,$A$1:$AN$1,0),0)</f>
        <v>Americas</v>
      </c>
      <c r="AA163" t="str">
        <f>VLOOKUP($A163,regions_full!$A$2:$AI$267,MATCH(polities_cats!AA$1,$A$1:$AN$1,0),0)</f>
        <v>Americas</v>
      </c>
      <c r="AB163" t="str">
        <f>VLOOKUP($A163,regions_full!$A$2:$AI$267,MATCH(polities_cats!AB$1,$A$1:$AN$1,0),0)</f>
        <v>Latin America and the Caribbean</v>
      </c>
      <c r="AC163" t="str">
        <f>VLOOKUP($A163,regions_full!$A$2:$AI$267,MATCH(polities_cats!AC$1,$A$1:$AN$1,0),0)</f>
        <v>South America</v>
      </c>
      <c r="AD163" t="str">
        <f>VLOOKUP($A163,regions_full!$A$2:$AI$267,MATCH(polities_cats!AD$1,$A$1:$AN$1,0),0)</f>
        <v>Emerging</v>
      </c>
      <c r="AE163" t="str">
        <f>VLOOKUP($A163,regions_full!$A$2:$AI$267,MATCH(polities_cats!AE$1,$A$1:$AN$1,0),0)</f>
        <v>Annex_II</v>
      </c>
      <c r="AF163" t="str">
        <f>VLOOKUP($A163,regions_full!$A$2:$AI$267,MATCH(polities_cats!AF$1,$A$1:$AN$1,0),0)</f>
        <v>Andean &amp; Mexico</v>
      </c>
      <c r="AG163" t="str">
        <f>VLOOKUP($A163,regions_full!$A$2:$AI$267,MATCH(polities_cats!AG$1,$A$1:$AN$1,0),0)</f>
        <v>LACA</v>
      </c>
      <c r="AH163" t="str">
        <f>VLOOKUP($A163,regions_full!$A$2:$AI$267,MATCH(polities_cats!AH$1,$A$1:$AN$1,0),0)</f>
        <v>no_mech</v>
      </c>
      <c r="AI163" t="str">
        <f>VLOOKUP($A163,regions_full!$A$2:$AI$267,MATCH(polities_cats!AI$1,$A$1:$AN$1,0),0)</f>
        <v>Other</v>
      </c>
      <c r="AJ163" t="e">
        <f>VLOOKUP($A163,regions_full!$A$2:$AI$267,MATCH(polities_cats!AJ$1,$A$1:$AN$1,0),0)</f>
        <v>#REF!</v>
      </c>
      <c r="AK163" t="e">
        <f>VLOOKUP($A163,regions_full!$A$2:$AI$267,MATCH(polities_cats!AK$1,$A$1:$AN$1,0),0)</f>
        <v>#REF!</v>
      </c>
      <c r="AL163" t="e">
        <f>VLOOKUP($A163,regions_full!$A$2:$AI$267,MATCH(polities_cats!AL$1,$A$1:$AN$1,0),0)</f>
        <v>#REF!</v>
      </c>
      <c r="AM163" t="e">
        <f>VLOOKUP($A163,regions_full!$A$2:$AI$267,MATCH(polities_cats!AM$1,$A$1:$AN$1,0),0)</f>
        <v>#REF!</v>
      </c>
      <c r="AN163" t="e">
        <f>VLOOKUP($A163,regions_full!$A$2:$AI$267,MATCH(polities_cats!AN$1,$A$1:$AN$1,0),0)</f>
        <v>#REF!</v>
      </c>
    </row>
    <row r="164" spans="1:40" x14ac:dyDescent="0.3">
      <c r="A164" t="str">
        <f>polities_whep!A164</f>
        <v>SWZ</v>
      </c>
      <c r="B164" t="str">
        <f>polities_whep!B164</f>
        <v>Eswatini</v>
      </c>
      <c r="C164">
        <f>VLOOKUP($A164,regions_full!$A$2:$AI$267,MATCH(polities_cats!C$1,$A$1:$AN$1,0),0)</f>
        <v>205</v>
      </c>
      <c r="D164">
        <f>VLOOKUP($A164,regions_full!$A$2:$AI$267,MATCH(polities_cats!D$1,$A$1:$AN$1,0),0)</f>
        <v>209</v>
      </c>
      <c r="E164" t="str">
        <f>VLOOKUP($A164,regions_full!$A$2:$AI$267,MATCH(polities_cats!E$1,$A$1:$AN$1,0),0)</f>
        <v>SWZ</v>
      </c>
      <c r="F164" t="str">
        <f>VLOOKUP($A164,regions_full!$A$2:$AI$267,MATCH(polities_cats!F$1,$A$1:$AN$1,0),0)</f>
        <v>Eswatini</v>
      </c>
      <c r="G164" t="str">
        <f>VLOOKUP($A164,regions_full!$A$2:$AI$267,MATCH(polities_cats!G$1,$A$1:$AN$1,0),0)</f>
        <v>FALSE</v>
      </c>
      <c r="H164" t="str">
        <f>VLOOKUP($A164,regions_full!$A$2:$AI$267,MATCH(polities_cats!H$1,$A$1:$AN$1,0),0)</f>
        <v>Eswatini</v>
      </c>
      <c r="I164" t="str">
        <f>VLOOKUP($A164,regions_full!$A$2:$AI$267,MATCH(polities_cats!I$1,$A$1:$AN$1,0),0)</f>
        <v>Swaziland</v>
      </c>
      <c r="J164">
        <f>VLOOKUP($A164,regions_full!$A$2:$AI$267,MATCH(polities_cats!J$1,$A$1:$AN$1,0),0)</f>
        <v>0</v>
      </c>
      <c r="K164">
        <f>VLOOKUP($A164,regions_full!$A$2:$AI$267,MATCH(polities_cats!K$1,$A$1:$AN$1,0),0)</f>
        <v>209</v>
      </c>
      <c r="L164" t="str">
        <f>VLOOKUP($A164,regions_full!$A$2:$AI$267,MATCH(polities_cats!L$1,$A$1:$AN$1,0),0)</f>
        <v>Swaziland</v>
      </c>
      <c r="M164" t="str">
        <f>VLOOKUP($A164,regions_full!$A$2:$AI$267,MATCH(polities_cats!M$1,$A$1:$AN$1,0),0)</f>
        <v>NA</v>
      </c>
      <c r="N164">
        <f>VLOOKUP($A164,regions_full!$A$2:$AI$267,MATCH(polities_cats!N$1,$A$1:$AN$1,0),0)</f>
        <v>748</v>
      </c>
      <c r="O164">
        <f>VLOOKUP($A164,regions_full!$A$2:$AI$267,MATCH(polities_cats!O$1,$A$1:$AN$1,0),0)</f>
        <v>8</v>
      </c>
      <c r="P164" t="str">
        <f>VLOOKUP($A164,regions_full!$A$2:$AI$267,MATCH(polities_cats!P$1,$A$1:$AN$1,0),0)</f>
        <v>TRUE</v>
      </c>
      <c r="Q164">
        <f>VLOOKUP($A164,regions_full!$A$2:$AI$267,MATCH(polities_cats!Q$1,$A$1:$AN$1,0),0)</f>
        <v>999</v>
      </c>
      <c r="R164" t="str">
        <f>VLOOKUP($A164,regions_full!$A$2:$AI$267,MATCH(polities_cats!R$1,$A$1:$AN$1,0),0)</f>
        <v/>
      </c>
      <c r="S164" t="str">
        <f>VLOOKUP($A164,regions_full!$A$2:$AI$267,MATCH(polities_cats!S$1,$A$1:$AN$1,0),0)</f>
        <v>Southern Africa</v>
      </c>
      <c r="T164">
        <f>VLOOKUP($A164,regions_full!$A$2:$AI$267,MATCH(polities_cats!T$1,$A$1:$AN$1,0),0)</f>
        <v>1</v>
      </c>
      <c r="U164" t="str">
        <f>VLOOKUP($A164,regions_full!$A$2:$AI$267,MATCH(polities_cats!U$1,$A$1:$AN$1,0),0)</f>
        <v>Swaziland</v>
      </c>
      <c r="V164" t="str">
        <f>VLOOKUP($A164,regions_full!$A$2:$AI$267,MATCH(polities_cats!V$1,$A$1:$AN$1,0),0)</f>
        <v>Subsaharan Africa</v>
      </c>
      <c r="W164" t="str">
        <f>VLOOKUP($A164,regions_full!$A$2:$AI$267,MATCH(polities_cats!W$1,$A$1:$AN$1,0),0)</f>
        <v>Sub-saharan Africa</v>
      </c>
      <c r="X164" t="str">
        <f>VLOOKUP($A164,regions_full!$A$2:$AI$267,MATCH(polities_cats!X$1,$A$1:$AN$1,0),0)</f>
        <v>SSA</v>
      </c>
      <c r="Y164" t="str">
        <f>VLOOKUP($A164,regions_full!$A$2:$AI$267,MATCH(polities_cats!Y$1,$A$1:$AN$1,0),0)</f>
        <v>Sub-Saharan Africa</v>
      </c>
      <c r="Z164" t="str">
        <f>VLOOKUP($A164,regions_full!$A$2:$AI$267,MATCH(polities_cats!Z$1,$A$1:$AN$1,0),0)</f>
        <v>Africa</v>
      </c>
      <c r="AA164" t="str">
        <f>VLOOKUP($A164,regions_full!$A$2:$AI$267,MATCH(polities_cats!AA$1,$A$1:$AN$1,0),0)</f>
        <v>Africa</v>
      </c>
      <c r="AB164" t="str">
        <f>VLOOKUP($A164,regions_full!$A$2:$AI$267,MATCH(polities_cats!AB$1,$A$1:$AN$1,0),0)</f>
        <v>Sub-Saharan Africa</v>
      </c>
      <c r="AC164" t="str">
        <f>VLOOKUP($A164,regions_full!$A$2:$AI$267,MATCH(polities_cats!AC$1,$A$1:$AN$1,0),0)</f>
        <v>Southern Africa</v>
      </c>
      <c r="AD164" t="str">
        <f>VLOOKUP($A164,regions_full!$A$2:$AI$267,MATCH(polities_cats!AD$1,$A$1:$AN$1,0),0)</f>
        <v>Emerging</v>
      </c>
      <c r="AE164" t="str">
        <f>VLOOKUP($A164,regions_full!$A$2:$AI$267,MATCH(polities_cats!AE$1,$A$1:$AN$1,0),0)</f>
        <v>Annex_II</v>
      </c>
      <c r="AF164" t="str">
        <f>VLOOKUP($A164,regions_full!$A$2:$AI$267,MATCH(polities_cats!AF$1,$A$1:$AN$1,0),0)</f>
        <v>Southern Africa</v>
      </c>
      <c r="AG164" t="str">
        <f>VLOOKUP($A164,regions_full!$A$2:$AI$267,MATCH(polities_cats!AG$1,$A$1:$AN$1,0),0)</f>
        <v>SAA</v>
      </c>
      <c r="AH164" t="str">
        <f>VLOOKUP($A164,regions_full!$A$2:$AI$267,MATCH(polities_cats!AH$1,$A$1:$AN$1,0),0)</f>
        <v>mech</v>
      </c>
      <c r="AI164" t="str">
        <f>VLOOKUP($A164,regions_full!$A$2:$AI$267,MATCH(polities_cats!AI$1,$A$1:$AN$1,0),0)</f>
        <v>Other</v>
      </c>
      <c r="AJ164" t="e">
        <f>VLOOKUP($A164,regions_full!$A$2:$AI$267,MATCH(polities_cats!AJ$1,$A$1:$AN$1,0),0)</f>
        <v>#REF!</v>
      </c>
      <c r="AK164" t="e">
        <f>VLOOKUP($A164,regions_full!$A$2:$AI$267,MATCH(polities_cats!AK$1,$A$1:$AN$1,0),0)</f>
        <v>#REF!</v>
      </c>
      <c r="AL164" t="e">
        <f>VLOOKUP($A164,regions_full!$A$2:$AI$267,MATCH(polities_cats!AL$1,$A$1:$AN$1,0),0)</f>
        <v>#REF!</v>
      </c>
      <c r="AM164" t="e">
        <f>VLOOKUP($A164,regions_full!$A$2:$AI$267,MATCH(polities_cats!AM$1,$A$1:$AN$1,0),0)</f>
        <v>#REF!</v>
      </c>
      <c r="AN164" t="e">
        <f>VLOOKUP($A164,regions_full!$A$2:$AI$267,MATCH(polities_cats!AN$1,$A$1:$AN$1,0),0)</f>
        <v>#REF!</v>
      </c>
    </row>
    <row r="165" spans="1:40" x14ac:dyDescent="0.3">
      <c r="A165" t="str">
        <f>polities_whep!A165</f>
        <v>SWE</v>
      </c>
      <c r="B165" t="str">
        <f>polities_whep!B165</f>
        <v>Sweden</v>
      </c>
      <c r="C165">
        <f>VLOOKUP($A165,regions_full!$A$2:$AI$267,MATCH(polities_cats!C$1,$A$1:$AN$1,0),0)</f>
        <v>206</v>
      </c>
      <c r="D165">
        <f>VLOOKUP($A165,regions_full!$A$2:$AI$267,MATCH(polities_cats!D$1,$A$1:$AN$1,0),0)</f>
        <v>210</v>
      </c>
      <c r="E165" t="str">
        <f>VLOOKUP($A165,regions_full!$A$2:$AI$267,MATCH(polities_cats!E$1,$A$1:$AN$1,0),0)</f>
        <v>SWE</v>
      </c>
      <c r="F165" t="str">
        <f>VLOOKUP($A165,regions_full!$A$2:$AI$267,MATCH(polities_cats!F$1,$A$1:$AN$1,0),0)</f>
        <v>Sweden</v>
      </c>
      <c r="G165" t="str">
        <f>VLOOKUP($A165,regions_full!$A$2:$AI$267,MATCH(polities_cats!G$1,$A$1:$AN$1,0),0)</f>
        <v>TRUE</v>
      </c>
      <c r="H165" t="str">
        <f>VLOOKUP($A165,regions_full!$A$2:$AI$267,MATCH(polities_cats!H$1,$A$1:$AN$1,0),0)</f>
        <v>Sweden</v>
      </c>
      <c r="I165" t="str">
        <f>VLOOKUP($A165,regions_full!$A$2:$AI$267,MATCH(polities_cats!I$1,$A$1:$AN$1,0),0)</f>
        <v>Sweden</v>
      </c>
      <c r="J165" t="str">
        <f>VLOOKUP($A165,regions_full!$A$2:$AI$267,MATCH(polities_cats!J$1,$A$1:$AN$1,0),0)</f>
        <v>Sweden</v>
      </c>
      <c r="K165">
        <f>VLOOKUP($A165,regions_full!$A$2:$AI$267,MATCH(polities_cats!K$1,$A$1:$AN$1,0),0)</f>
        <v>210</v>
      </c>
      <c r="L165" t="str">
        <f>VLOOKUP($A165,regions_full!$A$2:$AI$267,MATCH(polities_cats!L$1,$A$1:$AN$1,0),0)</f>
        <v>Sweden</v>
      </c>
      <c r="M165">
        <f>VLOOKUP($A165,regions_full!$A$2:$AI$267,MATCH(polities_cats!M$1,$A$1:$AN$1,0),0)</f>
        <v>752</v>
      </c>
      <c r="N165">
        <f>VLOOKUP($A165,regions_full!$A$2:$AI$267,MATCH(polities_cats!N$1,$A$1:$AN$1,0),0)</f>
        <v>752</v>
      </c>
      <c r="O165">
        <f>VLOOKUP($A165,regions_full!$A$2:$AI$267,MATCH(polities_cats!O$1,$A$1:$AN$1,0),0)</f>
        <v>9</v>
      </c>
      <c r="P165" t="str">
        <f>VLOOKUP($A165,regions_full!$A$2:$AI$267,MATCH(polities_cats!P$1,$A$1:$AN$1,0),0)</f>
        <v>TRUE</v>
      </c>
      <c r="Q165">
        <f>VLOOKUP($A165,regions_full!$A$2:$AI$267,MATCH(polities_cats!Q$1,$A$1:$AN$1,0),0)</f>
        <v>210</v>
      </c>
      <c r="R165" t="str">
        <f>VLOOKUP($A165,regions_full!$A$2:$AI$267,MATCH(polities_cats!R$1,$A$1:$AN$1,0),0)</f>
        <v>SE</v>
      </c>
      <c r="S165" t="str">
        <f>VLOOKUP($A165,regions_full!$A$2:$AI$267,MATCH(polities_cats!S$1,$A$1:$AN$1,0),0)</f>
        <v>OECD Europe</v>
      </c>
      <c r="T165">
        <f>VLOOKUP($A165,regions_full!$A$2:$AI$267,MATCH(polities_cats!T$1,$A$1:$AN$1,0),0)</f>
        <v>1</v>
      </c>
      <c r="U165" t="str">
        <f>VLOOKUP($A165,regions_full!$A$2:$AI$267,MATCH(polities_cats!U$1,$A$1:$AN$1,0),0)</f>
        <v>Sweden</v>
      </c>
      <c r="V165" t="str">
        <f>VLOOKUP($A165,regions_full!$A$2:$AI$267,MATCH(polities_cats!V$1,$A$1:$AN$1,0),0)</f>
        <v>Western Europe</v>
      </c>
      <c r="W165" t="str">
        <f>VLOOKUP($A165,regions_full!$A$2:$AI$267,MATCH(polities_cats!W$1,$A$1:$AN$1,0),0)</f>
        <v>West Europe</v>
      </c>
      <c r="X165" t="str">
        <f>VLOOKUP($A165,regions_full!$A$2:$AI$267,MATCH(polities_cats!X$1,$A$1:$AN$1,0),0)</f>
        <v>Europe</v>
      </c>
      <c r="Y165" t="str">
        <f>VLOOKUP($A165,regions_full!$A$2:$AI$267,MATCH(polities_cats!Y$1,$A$1:$AN$1,0),0)</f>
        <v>Northern Europe</v>
      </c>
      <c r="Z165" t="str">
        <f>VLOOKUP($A165,regions_full!$A$2:$AI$267,MATCH(polities_cats!Z$1,$A$1:$AN$1,0),0)</f>
        <v>Europe</v>
      </c>
      <c r="AA165" t="str">
        <f>VLOOKUP($A165,regions_full!$A$2:$AI$267,MATCH(polities_cats!AA$1,$A$1:$AN$1,0),0)</f>
        <v>Europe and Central Asia</v>
      </c>
      <c r="AB165" t="str">
        <f>VLOOKUP($A165,regions_full!$A$2:$AI$267,MATCH(polities_cats!AB$1,$A$1:$AN$1,0),0)</f>
        <v>Northern, Southern and Western Europe</v>
      </c>
      <c r="AC165" t="str">
        <f>VLOOKUP($A165,regions_full!$A$2:$AI$267,MATCH(polities_cats!AC$1,$A$1:$AN$1,0),0)</f>
        <v>Northern Europe</v>
      </c>
      <c r="AD165" t="str">
        <f>VLOOKUP($A165,regions_full!$A$2:$AI$267,MATCH(polities_cats!AD$1,$A$1:$AN$1,0),0)</f>
        <v>Advanced</v>
      </c>
      <c r="AE165" t="str">
        <f>VLOOKUP($A165,regions_full!$A$2:$AI$267,MATCH(polities_cats!AE$1,$A$1:$AN$1,0),0)</f>
        <v>Annex_I</v>
      </c>
      <c r="AF165" t="str">
        <f>VLOOKUP($A165,regions_full!$A$2:$AI$267,MATCH(polities_cats!AF$1,$A$1:$AN$1,0),0)</f>
        <v>Northern Europe</v>
      </c>
      <c r="AG165" t="str">
        <f>VLOOKUP($A165,regions_full!$A$2:$AI$267,MATCH(polities_cats!AG$1,$A$1:$AN$1,0),0)</f>
        <v>Europe</v>
      </c>
      <c r="AH165" t="str">
        <f>VLOOKUP($A165,regions_full!$A$2:$AI$267,MATCH(polities_cats!AH$1,$A$1:$AN$1,0),0)</f>
        <v>mech</v>
      </c>
      <c r="AI165" t="str">
        <f>VLOOKUP($A165,regions_full!$A$2:$AI$267,MATCH(polities_cats!AI$1,$A$1:$AN$1,0),0)</f>
        <v>Europe</v>
      </c>
      <c r="AJ165" t="e">
        <f>VLOOKUP($A165,regions_full!$A$2:$AI$267,MATCH(polities_cats!AJ$1,$A$1:$AN$1,0),0)</f>
        <v>#REF!</v>
      </c>
      <c r="AK165" t="e">
        <f>VLOOKUP($A165,regions_full!$A$2:$AI$267,MATCH(polities_cats!AK$1,$A$1:$AN$1,0),0)</f>
        <v>#REF!</v>
      </c>
      <c r="AL165" t="e">
        <f>VLOOKUP($A165,regions_full!$A$2:$AI$267,MATCH(polities_cats!AL$1,$A$1:$AN$1,0),0)</f>
        <v>#REF!</v>
      </c>
      <c r="AM165" t="e">
        <f>VLOOKUP($A165,regions_full!$A$2:$AI$267,MATCH(polities_cats!AM$1,$A$1:$AN$1,0),0)</f>
        <v>#REF!</v>
      </c>
      <c r="AN165" t="e">
        <f>VLOOKUP($A165,regions_full!$A$2:$AI$267,MATCH(polities_cats!AN$1,$A$1:$AN$1,0),0)</f>
        <v>#REF!</v>
      </c>
    </row>
    <row r="166" spans="1:40" x14ac:dyDescent="0.3">
      <c r="A166" t="str">
        <f>polities_whep!A166</f>
        <v>CHE</v>
      </c>
      <c r="B166" t="str">
        <f>polities_whep!B166</f>
        <v>Switzerland</v>
      </c>
      <c r="C166">
        <f>VLOOKUP($A166,regions_full!$A$2:$AI$267,MATCH(polities_cats!C$1,$A$1:$AN$1,0),0)</f>
        <v>207</v>
      </c>
      <c r="D166">
        <f>VLOOKUP($A166,regions_full!$A$2:$AI$267,MATCH(polities_cats!D$1,$A$1:$AN$1,0),0)</f>
        <v>211</v>
      </c>
      <c r="E166" t="str">
        <f>VLOOKUP($A166,regions_full!$A$2:$AI$267,MATCH(polities_cats!E$1,$A$1:$AN$1,0),0)</f>
        <v>CHE</v>
      </c>
      <c r="F166" t="str">
        <f>VLOOKUP($A166,regions_full!$A$2:$AI$267,MATCH(polities_cats!F$1,$A$1:$AN$1,0),0)</f>
        <v>Switzerland</v>
      </c>
      <c r="G166" t="str">
        <f>VLOOKUP($A166,regions_full!$A$2:$AI$267,MATCH(polities_cats!G$1,$A$1:$AN$1,0),0)</f>
        <v>FALSE</v>
      </c>
      <c r="H166" t="str">
        <f>VLOOKUP($A166,regions_full!$A$2:$AI$267,MATCH(polities_cats!H$1,$A$1:$AN$1,0),0)</f>
        <v>Switzerland</v>
      </c>
      <c r="I166" t="str">
        <f>VLOOKUP($A166,regions_full!$A$2:$AI$267,MATCH(polities_cats!I$1,$A$1:$AN$1,0),0)</f>
        <v>Switzerland</v>
      </c>
      <c r="J166" t="str">
        <f>VLOOKUP($A166,regions_full!$A$2:$AI$267,MATCH(polities_cats!J$1,$A$1:$AN$1,0),0)</f>
        <v>Switzerland</v>
      </c>
      <c r="K166">
        <f>VLOOKUP($A166,regions_full!$A$2:$AI$267,MATCH(polities_cats!K$1,$A$1:$AN$1,0),0)</f>
        <v>211</v>
      </c>
      <c r="L166" t="str">
        <f>VLOOKUP($A166,regions_full!$A$2:$AI$267,MATCH(polities_cats!L$1,$A$1:$AN$1,0),0)</f>
        <v>Switzerland</v>
      </c>
      <c r="M166">
        <f>VLOOKUP($A166,regions_full!$A$2:$AI$267,MATCH(polities_cats!M$1,$A$1:$AN$1,0),0)</f>
        <v>757</v>
      </c>
      <c r="N166">
        <f>VLOOKUP($A166,regions_full!$A$2:$AI$267,MATCH(polities_cats!N$1,$A$1:$AN$1,0),0)</f>
        <v>756</v>
      </c>
      <c r="O166">
        <f>VLOOKUP($A166,regions_full!$A$2:$AI$267,MATCH(polities_cats!O$1,$A$1:$AN$1,0),0)</f>
        <v>9</v>
      </c>
      <c r="P166" t="str">
        <f>VLOOKUP($A166,regions_full!$A$2:$AI$267,MATCH(polities_cats!P$1,$A$1:$AN$1,0),0)</f>
        <v>TRUE</v>
      </c>
      <c r="Q166">
        <f>VLOOKUP($A166,regions_full!$A$2:$AI$267,MATCH(polities_cats!Q$1,$A$1:$AN$1,0),0)</f>
        <v>211</v>
      </c>
      <c r="R166" t="str">
        <f>VLOOKUP($A166,regions_full!$A$2:$AI$267,MATCH(polities_cats!R$1,$A$1:$AN$1,0),0)</f>
        <v/>
      </c>
      <c r="S166" t="str">
        <f>VLOOKUP($A166,regions_full!$A$2:$AI$267,MATCH(polities_cats!S$1,$A$1:$AN$1,0),0)</f>
        <v>OECD Europe</v>
      </c>
      <c r="T166">
        <f>VLOOKUP($A166,regions_full!$A$2:$AI$267,MATCH(polities_cats!T$1,$A$1:$AN$1,0),0)</f>
        <v>1</v>
      </c>
      <c r="U166" t="str">
        <f>VLOOKUP($A166,regions_full!$A$2:$AI$267,MATCH(polities_cats!U$1,$A$1:$AN$1,0),0)</f>
        <v>Switzerland</v>
      </c>
      <c r="V166" t="str">
        <f>VLOOKUP($A166,regions_full!$A$2:$AI$267,MATCH(polities_cats!V$1,$A$1:$AN$1,0),0)</f>
        <v>Western Europe</v>
      </c>
      <c r="W166" t="str">
        <f>VLOOKUP($A166,regions_full!$A$2:$AI$267,MATCH(polities_cats!W$1,$A$1:$AN$1,0),0)</f>
        <v>West Europe</v>
      </c>
      <c r="X166" t="str">
        <f>VLOOKUP($A166,regions_full!$A$2:$AI$267,MATCH(polities_cats!X$1,$A$1:$AN$1,0),0)</f>
        <v>Europe</v>
      </c>
      <c r="Y166" t="str">
        <f>VLOOKUP($A166,regions_full!$A$2:$AI$267,MATCH(polities_cats!Y$1,$A$1:$AN$1,0),0)</f>
        <v>Western Europe</v>
      </c>
      <c r="Z166" t="str">
        <f>VLOOKUP($A166,regions_full!$A$2:$AI$267,MATCH(polities_cats!Z$1,$A$1:$AN$1,0),0)</f>
        <v>Europe</v>
      </c>
      <c r="AA166" t="str">
        <f>VLOOKUP($A166,regions_full!$A$2:$AI$267,MATCH(polities_cats!AA$1,$A$1:$AN$1,0),0)</f>
        <v>Europe and Central Asia</v>
      </c>
      <c r="AB166" t="str">
        <f>VLOOKUP($A166,regions_full!$A$2:$AI$267,MATCH(polities_cats!AB$1,$A$1:$AN$1,0),0)</f>
        <v>Northern, Southern and Western Europe</v>
      </c>
      <c r="AC166" t="str">
        <f>VLOOKUP($A166,regions_full!$A$2:$AI$267,MATCH(polities_cats!AC$1,$A$1:$AN$1,0),0)</f>
        <v>Western Europe</v>
      </c>
      <c r="AD166" t="str">
        <f>VLOOKUP($A166,regions_full!$A$2:$AI$267,MATCH(polities_cats!AD$1,$A$1:$AN$1,0),0)</f>
        <v>Advanced</v>
      </c>
      <c r="AE166" t="str">
        <f>VLOOKUP($A166,regions_full!$A$2:$AI$267,MATCH(polities_cats!AE$1,$A$1:$AN$1,0),0)</f>
        <v>Annex_I</v>
      </c>
      <c r="AF166" t="str">
        <f>VLOOKUP($A166,regions_full!$A$2:$AI$267,MATCH(polities_cats!AF$1,$A$1:$AN$1,0),0)</f>
        <v>Western Europe</v>
      </c>
      <c r="AG166" t="str">
        <f>VLOOKUP($A166,regions_full!$A$2:$AI$267,MATCH(polities_cats!AG$1,$A$1:$AN$1,0),0)</f>
        <v>Europe</v>
      </c>
      <c r="AH166" t="str">
        <f>VLOOKUP($A166,regions_full!$A$2:$AI$267,MATCH(polities_cats!AH$1,$A$1:$AN$1,0),0)</f>
        <v>mech</v>
      </c>
      <c r="AI166" t="str">
        <f>VLOOKUP($A166,regions_full!$A$2:$AI$267,MATCH(polities_cats!AI$1,$A$1:$AN$1,0),0)</f>
        <v>Europe</v>
      </c>
      <c r="AJ166" t="e">
        <f>VLOOKUP($A166,regions_full!$A$2:$AI$267,MATCH(polities_cats!AJ$1,$A$1:$AN$1,0),0)</f>
        <v>#REF!</v>
      </c>
      <c r="AK166" t="e">
        <f>VLOOKUP($A166,regions_full!$A$2:$AI$267,MATCH(polities_cats!AK$1,$A$1:$AN$1,0),0)</f>
        <v>#REF!</v>
      </c>
      <c r="AL166" t="e">
        <f>VLOOKUP($A166,regions_full!$A$2:$AI$267,MATCH(polities_cats!AL$1,$A$1:$AN$1,0),0)</f>
        <v>#REF!</v>
      </c>
      <c r="AM166" t="e">
        <f>VLOOKUP($A166,regions_full!$A$2:$AI$267,MATCH(polities_cats!AM$1,$A$1:$AN$1,0),0)</f>
        <v>#REF!</v>
      </c>
      <c r="AN166" t="e">
        <f>VLOOKUP($A166,regions_full!$A$2:$AI$267,MATCH(polities_cats!AN$1,$A$1:$AN$1,0),0)</f>
        <v>#REF!</v>
      </c>
    </row>
    <row r="167" spans="1:40" x14ac:dyDescent="0.3">
      <c r="A167" t="str">
        <f>polities_whep!A167</f>
        <v>SYR</v>
      </c>
      <c r="B167" t="str">
        <f>polities_whep!B167</f>
        <v>Syria</v>
      </c>
      <c r="C167">
        <f>VLOOKUP($A167,regions_full!$A$2:$AI$267,MATCH(polities_cats!C$1,$A$1:$AN$1,0),0)</f>
        <v>208</v>
      </c>
      <c r="D167">
        <f>VLOOKUP($A167,regions_full!$A$2:$AI$267,MATCH(polities_cats!D$1,$A$1:$AN$1,0),0)</f>
        <v>212</v>
      </c>
      <c r="E167" t="str">
        <f>VLOOKUP($A167,regions_full!$A$2:$AI$267,MATCH(polities_cats!E$1,$A$1:$AN$1,0),0)</f>
        <v>SYR</v>
      </c>
      <c r="F167" t="str">
        <f>VLOOKUP($A167,regions_full!$A$2:$AI$267,MATCH(polities_cats!F$1,$A$1:$AN$1,0),0)</f>
        <v>Syrian Arab Republic</v>
      </c>
      <c r="G167" t="str">
        <f>VLOOKUP($A167,regions_full!$A$2:$AI$267,MATCH(polities_cats!G$1,$A$1:$AN$1,0),0)</f>
        <v>FALSE</v>
      </c>
      <c r="H167" t="str">
        <f>VLOOKUP($A167,regions_full!$A$2:$AI$267,MATCH(polities_cats!H$1,$A$1:$AN$1,0),0)</f>
        <v>Syrian Arab Republic</v>
      </c>
      <c r="I167" t="str">
        <f>VLOOKUP($A167,regions_full!$A$2:$AI$267,MATCH(polities_cats!I$1,$A$1:$AN$1,0),0)</f>
        <v>Syria</v>
      </c>
      <c r="J167" t="str">
        <f>VLOOKUP($A167,regions_full!$A$2:$AI$267,MATCH(polities_cats!J$1,$A$1:$AN$1,0),0)</f>
        <v>Syrian Arab Republic</v>
      </c>
      <c r="K167">
        <f>VLOOKUP($A167,regions_full!$A$2:$AI$267,MATCH(polities_cats!K$1,$A$1:$AN$1,0),0)</f>
        <v>212</v>
      </c>
      <c r="L167" t="str">
        <f>VLOOKUP($A167,regions_full!$A$2:$AI$267,MATCH(polities_cats!L$1,$A$1:$AN$1,0),0)</f>
        <v>Syrian Arab Republic</v>
      </c>
      <c r="M167">
        <f>VLOOKUP($A167,regions_full!$A$2:$AI$267,MATCH(polities_cats!M$1,$A$1:$AN$1,0),0)</f>
        <v>760</v>
      </c>
      <c r="N167">
        <f>VLOOKUP($A167,regions_full!$A$2:$AI$267,MATCH(polities_cats!N$1,$A$1:$AN$1,0),0)</f>
        <v>760</v>
      </c>
      <c r="O167">
        <f>VLOOKUP($A167,regions_full!$A$2:$AI$267,MATCH(polities_cats!O$1,$A$1:$AN$1,0),0)</f>
        <v>12</v>
      </c>
      <c r="P167" t="str">
        <f>VLOOKUP($A167,regions_full!$A$2:$AI$267,MATCH(polities_cats!P$1,$A$1:$AN$1,0),0)</f>
        <v>TRUE</v>
      </c>
      <c r="Q167">
        <f>VLOOKUP($A167,regions_full!$A$2:$AI$267,MATCH(polities_cats!Q$1,$A$1:$AN$1,0),0)</f>
        <v>999</v>
      </c>
      <c r="R167" t="str">
        <f>VLOOKUP($A167,regions_full!$A$2:$AI$267,MATCH(polities_cats!R$1,$A$1:$AN$1,0),0)</f>
        <v/>
      </c>
      <c r="S167" t="str">
        <f>VLOOKUP($A167,regions_full!$A$2:$AI$267,MATCH(polities_cats!S$1,$A$1:$AN$1,0),0)</f>
        <v>Middle East</v>
      </c>
      <c r="T167">
        <f>VLOOKUP($A167,regions_full!$A$2:$AI$267,MATCH(polities_cats!T$1,$A$1:$AN$1,0),0)</f>
        <v>1</v>
      </c>
      <c r="U167" t="str">
        <f>VLOOKUP($A167,regions_full!$A$2:$AI$267,MATCH(polities_cats!U$1,$A$1:$AN$1,0),0)</f>
        <v>Syrian Arab Republic</v>
      </c>
      <c r="V167" t="str">
        <f>VLOOKUP($A167,regions_full!$A$2:$AI$267,MATCH(polities_cats!V$1,$A$1:$AN$1,0),0)</f>
        <v>Northern Africa and Western Asia</v>
      </c>
      <c r="W167" t="str">
        <f>VLOOKUP($A167,regions_full!$A$2:$AI$267,MATCH(polities_cats!W$1,$A$1:$AN$1,0),0)</f>
        <v>North Africa and West Asia</v>
      </c>
      <c r="X167" t="str">
        <f>VLOOKUP($A167,regions_full!$A$2:$AI$267,MATCH(polities_cats!X$1,$A$1:$AN$1,0),0)</f>
        <v>MENA</v>
      </c>
      <c r="Y167" t="str">
        <f>VLOOKUP($A167,regions_full!$A$2:$AI$267,MATCH(polities_cats!Y$1,$A$1:$AN$1,0),0)</f>
        <v>Western Asia</v>
      </c>
      <c r="Z167" t="str">
        <f>VLOOKUP($A167,regions_full!$A$2:$AI$267,MATCH(polities_cats!Z$1,$A$1:$AN$1,0),0)</f>
        <v>Asia</v>
      </c>
      <c r="AA167" t="str">
        <f>VLOOKUP($A167,regions_full!$A$2:$AI$267,MATCH(polities_cats!AA$1,$A$1:$AN$1,0),0)</f>
        <v>Arab States</v>
      </c>
      <c r="AB167" t="str">
        <f>VLOOKUP($A167,regions_full!$A$2:$AI$267,MATCH(polities_cats!AB$1,$A$1:$AN$1,0),0)</f>
        <v>Arab States</v>
      </c>
      <c r="AC167" t="str">
        <f>VLOOKUP($A167,regions_full!$A$2:$AI$267,MATCH(polities_cats!AC$1,$A$1:$AN$1,0),0)</f>
        <v>Arab States</v>
      </c>
      <c r="AD167" t="str">
        <f>VLOOKUP($A167,regions_full!$A$2:$AI$267,MATCH(polities_cats!AD$1,$A$1:$AN$1,0),0)</f>
        <v>Emerging</v>
      </c>
      <c r="AE167" t="str">
        <f>VLOOKUP($A167,regions_full!$A$2:$AI$267,MATCH(polities_cats!AE$1,$A$1:$AN$1,0),0)</f>
        <v>Annex_II</v>
      </c>
      <c r="AF167" t="str">
        <f>VLOOKUP($A167,regions_full!$A$2:$AI$267,MATCH(polities_cats!AF$1,$A$1:$AN$1,0),0)</f>
        <v>Western Asia</v>
      </c>
      <c r="AG167" t="str">
        <f>VLOOKUP($A167,regions_full!$A$2:$AI$267,MATCH(polities_cats!AG$1,$A$1:$AN$1,0),0)</f>
        <v>MENA</v>
      </c>
      <c r="AH167" t="str">
        <f>VLOOKUP($A167,regions_full!$A$2:$AI$267,MATCH(polities_cats!AH$1,$A$1:$AN$1,0),0)</f>
        <v>no_mech</v>
      </c>
      <c r="AI167" t="str">
        <f>VLOOKUP($A167,regions_full!$A$2:$AI$267,MATCH(polities_cats!AI$1,$A$1:$AN$1,0),0)</f>
        <v>Other</v>
      </c>
      <c r="AJ167" t="e">
        <f>VLOOKUP($A167,regions_full!$A$2:$AI$267,MATCH(polities_cats!AJ$1,$A$1:$AN$1,0),0)</f>
        <v>#REF!</v>
      </c>
      <c r="AK167" t="e">
        <f>VLOOKUP($A167,regions_full!$A$2:$AI$267,MATCH(polities_cats!AK$1,$A$1:$AN$1,0),0)</f>
        <v>#REF!</v>
      </c>
      <c r="AL167" t="e">
        <f>VLOOKUP($A167,regions_full!$A$2:$AI$267,MATCH(polities_cats!AL$1,$A$1:$AN$1,0),0)</f>
        <v>#REF!</v>
      </c>
      <c r="AM167" t="e">
        <f>VLOOKUP($A167,regions_full!$A$2:$AI$267,MATCH(polities_cats!AM$1,$A$1:$AN$1,0),0)</f>
        <v>#REF!</v>
      </c>
      <c r="AN167" t="e">
        <f>VLOOKUP($A167,regions_full!$A$2:$AI$267,MATCH(polities_cats!AN$1,$A$1:$AN$1,0),0)</f>
        <v>#REF!</v>
      </c>
    </row>
    <row r="168" spans="1:40" x14ac:dyDescent="0.3">
      <c r="A168" t="str">
        <f>polities_whep!A168</f>
        <v>TJK</v>
      </c>
      <c r="B168" t="str">
        <f>polities_whep!B168</f>
        <v>Tajikistan</v>
      </c>
      <c r="C168">
        <f>VLOOKUP($A168,regions_full!$A$2:$AI$267,MATCH(polities_cats!C$1,$A$1:$AN$1,0),0)</f>
        <v>204</v>
      </c>
      <c r="D168">
        <f>VLOOKUP($A168,regions_full!$A$2:$AI$267,MATCH(polities_cats!D$1,$A$1:$AN$1,0),0)</f>
        <v>208</v>
      </c>
      <c r="E168" t="str">
        <f>VLOOKUP($A168,regions_full!$A$2:$AI$267,MATCH(polities_cats!E$1,$A$1:$AN$1,0),0)</f>
        <v>TJK</v>
      </c>
      <c r="F168" t="str">
        <f>VLOOKUP($A168,regions_full!$A$2:$AI$267,MATCH(polities_cats!F$1,$A$1:$AN$1,0),0)</f>
        <v>Tajikistan</v>
      </c>
      <c r="G168" t="str">
        <f>VLOOKUP($A168,regions_full!$A$2:$AI$267,MATCH(polities_cats!G$1,$A$1:$AN$1,0),0)</f>
        <v>FALSE</v>
      </c>
      <c r="H168" t="str">
        <f>VLOOKUP($A168,regions_full!$A$2:$AI$267,MATCH(polities_cats!H$1,$A$1:$AN$1,0),0)</f>
        <v>Tajikistan</v>
      </c>
      <c r="I168" t="str">
        <f>VLOOKUP($A168,regions_full!$A$2:$AI$267,MATCH(polities_cats!I$1,$A$1:$AN$1,0),0)</f>
        <v>Tajikistan</v>
      </c>
      <c r="J168" t="str">
        <f>VLOOKUP($A168,regions_full!$A$2:$AI$267,MATCH(polities_cats!J$1,$A$1:$AN$1,0),0)</f>
        <v>Tajikistan</v>
      </c>
      <c r="K168">
        <f>VLOOKUP($A168,regions_full!$A$2:$AI$267,MATCH(polities_cats!K$1,$A$1:$AN$1,0),0)</f>
        <v>208</v>
      </c>
      <c r="L168" t="str">
        <f>VLOOKUP($A168,regions_full!$A$2:$AI$267,MATCH(polities_cats!L$1,$A$1:$AN$1,0),0)</f>
        <v>Tajikistan</v>
      </c>
      <c r="M168">
        <f>VLOOKUP($A168,regions_full!$A$2:$AI$267,MATCH(polities_cats!M$1,$A$1:$AN$1,0),0)</f>
        <v>762</v>
      </c>
      <c r="N168">
        <f>VLOOKUP($A168,regions_full!$A$2:$AI$267,MATCH(polities_cats!N$1,$A$1:$AN$1,0),0)</f>
        <v>762</v>
      </c>
      <c r="O168">
        <f>VLOOKUP($A168,regions_full!$A$2:$AI$267,MATCH(polities_cats!O$1,$A$1:$AN$1,0),0)</f>
        <v>11</v>
      </c>
      <c r="P168" t="str">
        <f>VLOOKUP($A168,regions_full!$A$2:$AI$267,MATCH(polities_cats!P$1,$A$1:$AN$1,0),0)</f>
        <v>TRUE</v>
      </c>
      <c r="Q168">
        <f>VLOOKUP($A168,regions_full!$A$2:$AI$267,MATCH(polities_cats!Q$1,$A$1:$AN$1,0),0)</f>
        <v>208</v>
      </c>
      <c r="R168" t="str">
        <f>VLOOKUP($A168,regions_full!$A$2:$AI$267,MATCH(polities_cats!R$1,$A$1:$AN$1,0),0)</f>
        <v/>
      </c>
      <c r="S168" t="str">
        <f>VLOOKUP($A168,regions_full!$A$2:$AI$267,MATCH(polities_cats!S$1,$A$1:$AN$1,0),0)</f>
        <v>Former USSR</v>
      </c>
      <c r="T168">
        <f>VLOOKUP($A168,regions_full!$A$2:$AI$267,MATCH(polities_cats!T$1,$A$1:$AN$1,0),0)</f>
        <v>1</v>
      </c>
      <c r="U168" t="str">
        <f>VLOOKUP($A168,regions_full!$A$2:$AI$267,MATCH(polities_cats!U$1,$A$1:$AN$1,0),0)</f>
        <v>Tajikistan</v>
      </c>
      <c r="V168" t="str">
        <f>VLOOKUP($A168,regions_full!$A$2:$AI$267,MATCH(polities_cats!V$1,$A$1:$AN$1,0),0)</f>
        <v>Central Asia and Russian Federation</v>
      </c>
      <c r="W168" t="str">
        <f>VLOOKUP($A168,regions_full!$A$2:$AI$267,MATCH(polities_cats!W$1,$A$1:$AN$1,0),0)</f>
        <v>South and Central Asia</v>
      </c>
      <c r="X168" t="str">
        <f>VLOOKUP($A168,regions_full!$A$2:$AI$267,MATCH(polities_cats!X$1,$A$1:$AN$1,0),0)</f>
        <v>CAS &amp; Russia</v>
      </c>
      <c r="Y168" t="str">
        <f>VLOOKUP($A168,regions_full!$A$2:$AI$267,MATCH(polities_cats!Y$1,$A$1:$AN$1,0),0)</f>
        <v>Central Asia</v>
      </c>
      <c r="Z168" t="str">
        <f>VLOOKUP($A168,regions_full!$A$2:$AI$267,MATCH(polities_cats!Z$1,$A$1:$AN$1,0),0)</f>
        <v>Asia</v>
      </c>
      <c r="AA168" t="str">
        <f>VLOOKUP($A168,regions_full!$A$2:$AI$267,MATCH(polities_cats!AA$1,$A$1:$AN$1,0),0)</f>
        <v>Europe and Central Asia</v>
      </c>
      <c r="AB168" t="str">
        <f>VLOOKUP($A168,regions_full!$A$2:$AI$267,MATCH(polities_cats!AB$1,$A$1:$AN$1,0),0)</f>
        <v>Central and Western Asia</v>
      </c>
      <c r="AC168" t="str">
        <f>VLOOKUP($A168,regions_full!$A$2:$AI$267,MATCH(polities_cats!AC$1,$A$1:$AN$1,0),0)</f>
        <v>Central Asia</v>
      </c>
      <c r="AD168" t="str">
        <f>VLOOKUP($A168,regions_full!$A$2:$AI$267,MATCH(polities_cats!AD$1,$A$1:$AN$1,0),0)</f>
        <v>Emerging</v>
      </c>
      <c r="AE168" t="str">
        <f>VLOOKUP($A168,regions_full!$A$2:$AI$267,MATCH(polities_cats!AE$1,$A$1:$AN$1,0),0)</f>
        <v>Annex_II</v>
      </c>
      <c r="AF168" t="str">
        <f>VLOOKUP($A168,regions_full!$A$2:$AI$267,MATCH(polities_cats!AF$1,$A$1:$AN$1,0),0)</f>
        <v>FSU</v>
      </c>
      <c r="AG168" t="str">
        <f>VLOOKUP($A168,regions_full!$A$2:$AI$267,MATCH(polities_cats!AG$1,$A$1:$AN$1,0),0)</f>
        <v>FSU</v>
      </c>
      <c r="AH168" t="str">
        <f>VLOOKUP($A168,regions_full!$A$2:$AI$267,MATCH(polities_cats!AH$1,$A$1:$AN$1,0),0)</f>
        <v>mech</v>
      </c>
      <c r="AI168" t="str">
        <f>VLOOKUP($A168,regions_full!$A$2:$AI$267,MATCH(polities_cats!AI$1,$A$1:$AN$1,0),0)</f>
        <v>Other</v>
      </c>
      <c r="AJ168" t="e">
        <f>VLOOKUP($A168,regions_full!$A$2:$AI$267,MATCH(polities_cats!AJ$1,$A$1:$AN$1,0),0)</f>
        <v>#REF!</v>
      </c>
      <c r="AK168" t="e">
        <f>VLOOKUP($A168,regions_full!$A$2:$AI$267,MATCH(polities_cats!AK$1,$A$1:$AN$1,0),0)</f>
        <v>#REF!</v>
      </c>
      <c r="AL168" t="e">
        <f>VLOOKUP($A168,regions_full!$A$2:$AI$267,MATCH(polities_cats!AL$1,$A$1:$AN$1,0),0)</f>
        <v>#REF!</v>
      </c>
      <c r="AM168" t="e">
        <f>VLOOKUP($A168,regions_full!$A$2:$AI$267,MATCH(polities_cats!AM$1,$A$1:$AN$1,0),0)</f>
        <v>#REF!</v>
      </c>
      <c r="AN168" t="e">
        <f>VLOOKUP($A168,regions_full!$A$2:$AI$267,MATCH(polities_cats!AN$1,$A$1:$AN$1,0),0)</f>
        <v>#REF!</v>
      </c>
    </row>
    <row r="169" spans="1:40" x14ac:dyDescent="0.3">
      <c r="A169" t="str">
        <f>polities_whep!A169</f>
        <v>TZA</v>
      </c>
      <c r="B169" t="str">
        <f>polities_whep!B169</f>
        <v>Tanzania</v>
      </c>
      <c r="C169">
        <f>VLOOKUP($A169,regions_full!$A$2:$AI$267,MATCH(polities_cats!C$1,$A$1:$AN$1,0),0)</f>
        <v>211</v>
      </c>
      <c r="D169">
        <f>VLOOKUP($A169,regions_full!$A$2:$AI$267,MATCH(polities_cats!D$1,$A$1:$AN$1,0),0)</f>
        <v>215</v>
      </c>
      <c r="E169" t="str">
        <f>VLOOKUP($A169,regions_full!$A$2:$AI$267,MATCH(polities_cats!E$1,$A$1:$AN$1,0),0)</f>
        <v>TZA</v>
      </c>
      <c r="F169" t="str">
        <f>VLOOKUP($A169,regions_full!$A$2:$AI$267,MATCH(polities_cats!F$1,$A$1:$AN$1,0),0)</f>
        <v>United Republic of Tanzania</v>
      </c>
      <c r="G169" t="str">
        <f>VLOOKUP($A169,regions_full!$A$2:$AI$267,MATCH(polities_cats!G$1,$A$1:$AN$1,0),0)</f>
        <v>FALSE</v>
      </c>
      <c r="H169" t="str">
        <f>VLOOKUP($A169,regions_full!$A$2:$AI$267,MATCH(polities_cats!H$1,$A$1:$AN$1,0),0)</f>
        <v>Tanzania</v>
      </c>
      <c r="I169" t="str">
        <f>VLOOKUP($A169,regions_full!$A$2:$AI$267,MATCH(polities_cats!I$1,$A$1:$AN$1,0),0)</f>
        <v>Tanzania</v>
      </c>
      <c r="J169" t="str">
        <f>VLOOKUP($A169,regions_full!$A$2:$AI$267,MATCH(polities_cats!J$1,$A$1:$AN$1,0),0)</f>
        <v>United Republic of Tanzania</v>
      </c>
      <c r="K169">
        <f>VLOOKUP($A169,regions_full!$A$2:$AI$267,MATCH(polities_cats!K$1,$A$1:$AN$1,0),0)</f>
        <v>215</v>
      </c>
      <c r="L169" t="str">
        <f>VLOOKUP($A169,regions_full!$A$2:$AI$267,MATCH(polities_cats!L$1,$A$1:$AN$1,0),0)</f>
        <v>Tanzania, United Republic of</v>
      </c>
      <c r="M169">
        <f>VLOOKUP($A169,regions_full!$A$2:$AI$267,MATCH(polities_cats!M$1,$A$1:$AN$1,0),0)</f>
        <v>834</v>
      </c>
      <c r="N169">
        <f>VLOOKUP($A169,regions_full!$A$2:$AI$267,MATCH(polities_cats!N$1,$A$1:$AN$1,0),0)</f>
        <v>834</v>
      </c>
      <c r="O169">
        <f>VLOOKUP($A169,regions_full!$A$2:$AI$267,MATCH(polities_cats!O$1,$A$1:$AN$1,0),0)</f>
        <v>8</v>
      </c>
      <c r="P169" t="str">
        <f>VLOOKUP($A169,regions_full!$A$2:$AI$267,MATCH(polities_cats!P$1,$A$1:$AN$1,0),0)</f>
        <v>TRUE</v>
      </c>
      <c r="Q169">
        <f>VLOOKUP($A169,regions_full!$A$2:$AI$267,MATCH(polities_cats!Q$1,$A$1:$AN$1,0),0)</f>
        <v>215</v>
      </c>
      <c r="R169" t="str">
        <f>VLOOKUP($A169,regions_full!$A$2:$AI$267,MATCH(polities_cats!R$1,$A$1:$AN$1,0),0)</f>
        <v/>
      </c>
      <c r="S169" t="str">
        <f>VLOOKUP($A169,regions_full!$A$2:$AI$267,MATCH(polities_cats!S$1,$A$1:$AN$1,0),0)</f>
        <v>Southern Africa</v>
      </c>
      <c r="T169">
        <f>VLOOKUP($A169,regions_full!$A$2:$AI$267,MATCH(polities_cats!T$1,$A$1:$AN$1,0),0)</f>
        <v>1</v>
      </c>
      <c r="U169" t="str">
        <f>VLOOKUP($A169,regions_full!$A$2:$AI$267,MATCH(polities_cats!U$1,$A$1:$AN$1,0),0)</f>
        <v>United Republic of Tanzania</v>
      </c>
      <c r="V169" t="str">
        <f>VLOOKUP($A169,regions_full!$A$2:$AI$267,MATCH(polities_cats!V$1,$A$1:$AN$1,0),0)</f>
        <v>Subsaharan Africa</v>
      </c>
      <c r="W169" t="str">
        <f>VLOOKUP($A169,regions_full!$A$2:$AI$267,MATCH(polities_cats!W$1,$A$1:$AN$1,0),0)</f>
        <v>Sub-saharan Africa</v>
      </c>
      <c r="X169" t="str">
        <f>VLOOKUP($A169,regions_full!$A$2:$AI$267,MATCH(polities_cats!X$1,$A$1:$AN$1,0),0)</f>
        <v>SSA</v>
      </c>
      <c r="Y169" t="str">
        <f>VLOOKUP($A169,regions_full!$A$2:$AI$267,MATCH(polities_cats!Y$1,$A$1:$AN$1,0),0)</f>
        <v>Sub-Saharan Africa</v>
      </c>
      <c r="Z169" t="str">
        <f>VLOOKUP($A169,regions_full!$A$2:$AI$267,MATCH(polities_cats!Z$1,$A$1:$AN$1,0),0)</f>
        <v>Africa</v>
      </c>
      <c r="AA169" t="str">
        <f>VLOOKUP($A169,regions_full!$A$2:$AI$267,MATCH(polities_cats!AA$1,$A$1:$AN$1,0),0)</f>
        <v>Africa</v>
      </c>
      <c r="AB169" t="str">
        <f>VLOOKUP($A169,regions_full!$A$2:$AI$267,MATCH(polities_cats!AB$1,$A$1:$AN$1,0),0)</f>
        <v>Sub-Saharan Africa</v>
      </c>
      <c r="AC169" t="str">
        <f>VLOOKUP($A169,regions_full!$A$2:$AI$267,MATCH(polities_cats!AC$1,$A$1:$AN$1,0),0)</f>
        <v>Eastern Africa</v>
      </c>
      <c r="AD169" t="str">
        <f>VLOOKUP($A169,regions_full!$A$2:$AI$267,MATCH(polities_cats!AD$1,$A$1:$AN$1,0),0)</f>
        <v>Emerging</v>
      </c>
      <c r="AE169" t="str">
        <f>VLOOKUP($A169,regions_full!$A$2:$AI$267,MATCH(polities_cats!AE$1,$A$1:$AN$1,0),0)</f>
        <v>Annex_II</v>
      </c>
      <c r="AF169" t="str">
        <f>VLOOKUP($A169,regions_full!$A$2:$AI$267,MATCH(polities_cats!AF$1,$A$1:$AN$1,0),0)</f>
        <v>Eastern Africa</v>
      </c>
      <c r="AG169" t="str">
        <f>VLOOKUP($A169,regions_full!$A$2:$AI$267,MATCH(polities_cats!AG$1,$A$1:$AN$1,0),0)</f>
        <v>SAA</v>
      </c>
      <c r="AH169" t="str">
        <f>VLOOKUP($A169,regions_full!$A$2:$AI$267,MATCH(polities_cats!AH$1,$A$1:$AN$1,0),0)</f>
        <v>no_mech</v>
      </c>
      <c r="AI169" t="str">
        <f>VLOOKUP($A169,regions_full!$A$2:$AI$267,MATCH(polities_cats!AI$1,$A$1:$AN$1,0),0)</f>
        <v>Other</v>
      </c>
      <c r="AJ169" t="e">
        <f>VLOOKUP($A169,regions_full!$A$2:$AI$267,MATCH(polities_cats!AJ$1,$A$1:$AN$1,0),0)</f>
        <v>#REF!</v>
      </c>
      <c r="AK169" t="e">
        <f>VLOOKUP($A169,regions_full!$A$2:$AI$267,MATCH(polities_cats!AK$1,$A$1:$AN$1,0),0)</f>
        <v>#REF!</v>
      </c>
      <c r="AL169" t="e">
        <f>VLOOKUP($A169,regions_full!$A$2:$AI$267,MATCH(polities_cats!AL$1,$A$1:$AN$1,0),0)</f>
        <v>#REF!</v>
      </c>
      <c r="AM169" t="e">
        <f>VLOOKUP($A169,regions_full!$A$2:$AI$267,MATCH(polities_cats!AM$1,$A$1:$AN$1,0),0)</f>
        <v>#REF!</v>
      </c>
      <c r="AN169" t="e">
        <f>VLOOKUP($A169,regions_full!$A$2:$AI$267,MATCH(polities_cats!AN$1,$A$1:$AN$1,0),0)</f>
        <v>#REF!</v>
      </c>
    </row>
    <row r="170" spans="1:40" x14ac:dyDescent="0.3">
      <c r="A170" t="str">
        <f>polities_whep!A170</f>
        <v>THA</v>
      </c>
      <c r="B170" t="str">
        <f>polities_whep!B170</f>
        <v>Thailand</v>
      </c>
      <c r="C170">
        <f>VLOOKUP($A170,regions_full!$A$2:$AI$267,MATCH(polities_cats!C$1,$A$1:$AN$1,0),0)</f>
        <v>212</v>
      </c>
      <c r="D170">
        <f>VLOOKUP($A170,regions_full!$A$2:$AI$267,MATCH(polities_cats!D$1,$A$1:$AN$1,0),0)</f>
        <v>216</v>
      </c>
      <c r="E170" t="str">
        <f>VLOOKUP($A170,regions_full!$A$2:$AI$267,MATCH(polities_cats!E$1,$A$1:$AN$1,0),0)</f>
        <v>THA</v>
      </c>
      <c r="F170" t="str">
        <f>VLOOKUP($A170,regions_full!$A$2:$AI$267,MATCH(polities_cats!F$1,$A$1:$AN$1,0),0)</f>
        <v>Thailand</v>
      </c>
      <c r="G170" t="str">
        <f>VLOOKUP($A170,regions_full!$A$2:$AI$267,MATCH(polities_cats!G$1,$A$1:$AN$1,0),0)</f>
        <v>FALSE</v>
      </c>
      <c r="H170" t="str">
        <f>VLOOKUP($A170,regions_full!$A$2:$AI$267,MATCH(polities_cats!H$1,$A$1:$AN$1,0),0)</f>
        <v>Thailand</v>
      </c>
      <c r="I170" t="str">
        <f>VLOOKUP($A170,regions_full!$A$2:$AI$267,MATCH(polities_cats!I$1,$A$1:$AN$1,0),0)</f>
        <v>Thailand</v>
      </c>
      <c r="J170" t="str">
        <f>VLOOKUP($A170,regions_full!$A$2:$AI$267,MATCH(polities_cats!J$1,$A$1:$AN$1,0),0)</f>
        <v>Thailand</v>
      </c>
      <c r="K170">
        <f>VLOOKUP($A170,regions_full!$A$2:$AI$267,MATCH(polities_cats!K$1,$A$1:$AN$1,0),0)</f>
        <v>216</v>
      </c>
      <c r="L170" t="str">
        <f>VLOOKUP($A170,regions_full!$A$2:$AI$267,MATCH(polities_cats!L$1,$A$1:$AN$1,0),0)</f>
        <v>Thailand</v>
      </c>
      <c r="M170">
        <f>VLOOKUP($A170,regions_full!$A$2:$AI$267,MATCH(polities_cats!M$1,$A$1:$AN$1,0),0)</f>
        <v>764</v>
      </c>
      <c r="N170">
        <f>VLOOKUP($A170,regions_full!$A$2:$AI$267,MATCH(polities_cats!N$1,$A$1:$AN$1,0),0)</f>
        <v>764</v>
      </c>
      <c r="O170">
        <f>VLOOKUP($A170,regions_full!$A$2:$AI$267,MATCH(polities_cats!O$1,$A$1:$AN$1,0),0)</f>
        <v>15</v>
      </c>
      <c r="P170" t="str">
        <f>VLOOKUP($A170,regions_full!$A$2:$AI$267,MATCH(polities_cats!P$1,$A$1:$AN$1,0),0)</f>
        <v>TRUE</v>
      </c>
      <c r="Q170">
        <f>VLOOKUP($A170,regions_full!$A$2:$AI$267,MATCH(polities_cats!Q$1,$A$1:$AN$1,0),0)</f>
        <v>216</v>
      </c>
      <c r="R170" t="str">
        <f>VLOOKUP($A170,regions_full!$A$2:$AI$267,MATCH(polities_cats!R$1,$A$1:$AN$1,0),0)</f>
        <v/>
      </c>
      <c r="S170" t="str">
        <f>VLOOKUP($A170,regions_full!$A$2:$AI$267,MATCH(polities_cats!S$1,$A$1:$AN$1,0),0)</f>
        <v>South East Asia</v>
      </c>
      <c r="T170">
        <f>VLOOKUP($A170,regions_full!$A$2:$AI$267,MATCH(polities_cats!T$1,$A$1:$AN$1,0),0)</f>
        <v>1</v>
      </c>
      <c r="U170" t="str">
        <f>VLOOKUP($A170,regions_full!$A$2:$AI$267,MATCH(polities_cats!U$1,$A$1:$AN$1,0),0)</f>
        <v>Thailand</v>
      </c>
      <c r="V170" t="str">
        <f>VLOOKUP($A170,regions_full!$A$2:$AI$267,MATCH(polities_cats!V$1,$A$1:$AN$1,0),0)</f>
        <v>Southeastern Asia</v>
      </c>
      <c r="W170" t="str">
        <f>VLOOKUP($A170,regions_full!$A$2:$AI$267,MATCH(polities_cats!W$1,$A$1:$AN$1,0),0)</f>
        <v>South and Central Asia</v>
      </c>
      <c r="X170" t="str">
        <f>VLOOKUP($A170,regions_full!$A$2:$AI$267,MATCH(polities_cats!X$1,$A$1:$AN$1,0),0)</f>
        <v>S&amp;E Asia</v>
      </c>
      <c r="Y170" t="str">
        <f>VLOOKUP($A170,regions_full!$A$2:$AI$267,MATCH(polities_cats!Y$1,$A$1:$AN$1,0),0)</f>
        <v>South-eastern Asia</v>
      </c>
      <c r="Z170" t="str">
        <f>VLOOKUP($A170,regions_full!$A$2:$AI$267,MATCH(polities_cats!Z$1,$A$1:$AN$1,0),0)</f>
        <v>Asia</v>
      </c>
      <c r="AA170" t="str">
        <f>VLOOKUP($A170,regions_full!$A$2:$AI$267,MATCH(polities_cats!AA$1,$A$1:$AN$1,0),0)</f>
        <v>Asia and the Pacific</v>
      </c>
      <c r="AB170" t="str">
        <f>VLOOKUP($A170,regions_full!$A$2:$AI$267,MATCH(polities_cats!AB$1,$A$1:$AN$1,0),0)</f>
        <v>South-Eastern Asia and the Pacific</v>
      </c>
      <c r="AC170" t="str">
        <f>VLOOKUP($A170,regions_full!$A$2:$AI$267,MATCH(polities_cats!AC$1,$A$1:$AN$1,0),0)</f>
        <v>South-Eastern Asia</v>
      </c>
      <c r="AD170" t="str">
        <f>VLOOKUP($A170,regions_full!$A$2:$AI$267,MATCH(polities_cats!AD$1,$A$1:$AN$1,0),0)</f>
        <v>Emerging</v>
      </c>
      <c r="AE170" t="str">
        <f>VLOOKUP($A170,regions_full!$A$2:$AI$267,MATCH(polities_cats!AE$1,$A$1:$AN$1,0),0)</f>
        <v>Annex_II</v>
      </c>
      <c r="AF170" t="str">
        <f>VLOOKUP($A170,regions_full!$A$2:$AI$267,MATCH(polities_cats!AF$1,$A$1:$AN$1,0),0)</f>
        <v>South-eastern Asia</v>
      </c>
      <c r="AG170" t="str">
        <f>VLOOKUP($A170,regions_full!$A$2:$AI$267,MATCH(polities_cats!AG$1,$A$1:$AN$1,0),0)</f>
        <v>SE-Asia</v>
      </c>
      <c r="AH170" t="str">
        <f>VLOOKUP($A170,regions_full!$A$2:$AI$267,MATCH(polities_cats!AH$1,$A$1:$AN$1,0),0)</f>
        <v>no_mech</v>
      </c>
      <c r="AI170" t="str">
        <f>VLOOKUP($A170,regions_full!$A$2:$AI$267,MATCH(polities_cats!AI$1,$A$1:$AN$1,0),0)</f>
        <v>Other</v>
      </c>
      <c r="AJ170" t="e">
        <f>VLOOKUP($A170,regions_full!$A$2:$AI$267,MATCH(polities_cats!AJ$1,$A$1:$AN$1,0),0)</f>
        <v>#REF!</v>
      </c>
      <c r="AK170" t="e">
        <f>VLOOKUP($A170,regions_full!$A$2:$AI$267,MATCH(polities_cats!AK$1,$A$1:$AN$1,0),0)</f>
        <v>#REF!</v>
      </c>
      <c r="AL170" t="e">
        <f>VLOOKUP($A170,regions_full!$A$2:$AI$267,MATCH(polities_cats!AL$1,$A$1:$AN$1,0),0)</f>
        <v>#REF!</v>
      </c>
      <c r="AM170" t="e">
        <f>VLOOKUP($A170,regions_full!$A$2:$AI$267,MATCH(polities_cats!AM$1,$A$1:$AN$1,0),0)</f>
        <v>#REF!</v>
      </c>
      <c r="AN170" t="e">
        <f>VLOOKUP($A170,regions_full!$A$2:$AI$267,MATCH(polities_cats!AN$1,$A$1:$AN$1,0),0)</f>
        <v>#REF!</v>
      </c>
    </row>
    <row r="171" spans="1:40" x14ac:dyDescent="0.3">
      <c r="A171" t="str">
        <f>polities_whep!A171</f>
        <v>TLS</v>
      </c>
      <c r="B171" t="str">
        <f>polities_whep!B171</f>
        <v>Timor-Leste</v>
      </c>
      <c r="C171">
        <f>VLOOKUP($A171,regions_full!$A$2:$AI$267,MATCH(polities_cats!C$1,$A$1:$AN$1,0),0)</f>
        <v>173</v>
      </c>
      <c r="D171">
        <f>VLOOKUP($A171,regions_full!$A$2:$AI$267,MATCH(polities_cats!D$1,$A$1:$AN$1,0),0)</f>
        <v>176</v>
      </c>
      <c r="E171" t="str">
        <f>VLOOKUP($A171,regions_full!$A$2:$AI$267,MATCH(polities_cats!E$1,$A$1:$AN$1,0),0)</f>
        <v>TLS</v>
      </c>
      <c r="F171" t="str">
        <f>VLOOKUP($A171,regions_full!$A$2:$AI$267,MATCH(polities_cats!F$1,$A$1:$AN$1,0),0)</f>
        <v>Timor-Leste</v>
      </c>
      <c r="G171" t="str">
        <f>VLOOKUP($A171,regions_full!$A$2:$AI$267,MATCH(polities_cats!G$1,$A$1:$AN$1,0),0)</f>
        <v>FALSE</v>
      </c>
      <c r="H171" t="str">
        <f>VLOOKUP($A171,regions_full!$A$2:$AI$267,MATCH(polities_cats!H$1,$A$1:$AN$1,0),0)</f>
        <v>Timor-Leste</v>
      </c>
      <c r="I171" t="str">
        <f>VLOOKUP($A171,regions_full!$A$2:$AI$267,MATCH(polities_cats!I$1,$A$1:$AN$1,0),0)</f>
        <v>Timor-Leste (East Timor)</v>
      </c>
      <c r="J171">
        <f>VLOOKUP($A171,regions_full!$A$2:$AI$267,MATCH(polities_cats!J$1,$A$1:$AN$1,0),0)</f>
        <v>0</v>
      </c>
      <c r="K171">
        <f>VLOOKUP($A171,regions_full!$A$2:$AI$267,MATCH(polities_cats!K$1,$A$1:$AN$1,0),0)</f>
        <v>176</v>
      </c>
      <c r="L171" t="str">
        <f>VLOOKUP($A171,regions_full!$A$2:$AI$267,MATCH(polities_cats!L$1,$A$1:$AN$1,0),0)</f>
        <v>Timor-Leste</v>
      </c>
      <c r="M171">
        <f>VLOOKUP($A171,regions_full!$A$2:$AI$267,MATCH(polities_cats!M$1,$A$1:$AN$1,0),0)</f>
        <v>626</v>
      </c>
      <c r="N171">
        <f>VLOOKUP($A171,regions_full!$A$2:$AI$267,MATCH(polities_cats!N$1,$A$1:$AN$1,0),0)</f>
        <v>626</v>
      </c>
      <c r="O171">
        <f>VLOOKUP($A171,regions_full!$A$2:$AI$267,MATCH(polities_cats!O$1,$A$1:$AN$1,0),0)</f>
        <v>15</v>
      </c>
      <c r="P171" t="str">
        <f>VLOOKUP($A171,regions_full!$A$2:$AI$267,MATCH(polities_cats!P$1,$A$1:$AN$1,0),0)</f>
        <v>TRUE</v>
      </c>
      <c r="Q171">
        <f>VLOOKUP($A171,regions_full!$A$2:$AI$267,MATCH(polities_cats!Q$1,$A$1:$AN$1,0),0)</f>
        <v>176</v>
      </c>
      <c r="R171" t="str">
        <f>VLOOKUP($A171,regions_full!$A$2:$AI$267,MATCH(polities_cats!R$1,$A$1:$AN$1,0),0)</f>
        <v/>
      </c>
      <c r="S171" t="str">
        <f>VLOOKUP($A171,regions_full!$A$2:$AI$267,MATCH(polities_cats!S$1,$A$1:$AN$1,0),0)</f>
        <v>South East Asia</v>
      </c>
      <c r="T171">
        <f>VLOOKUP($A171,regions_full!$A$2:$AI$267,MATCH(polities_cats!T$1,$A$1:$AN$1,0),0)</f>
        <v>1</v>
      </c>
      <c r="U171" t="str">
        <f>VLOOKUP($A171,regions_full!$A$2:$AI$267,MATCH(polities_cats!U$1,$A$1:$AN$1,0),0)</f>
        <v>Timor-Leste</v>
      </c>
      <c r="V171" t="str">
        <f>VLOOKUP($A171,regions_full!$A$2:$AI$267,MATCH(polities_cats!V$1,$A$1:$AN$1,0),0)</f>
        <v>Southeastern Asia</v>
      </c>
      <c r="W171" t="str">
        <f>VLOOKUP($A171,regions_full!$A$2:$AI$267,MATCH(polities_cats!W$1,$A$1:$AN$1,0),0)</f>
        <v>South and Central Asia</v>
      </c>
      <c r="X171" t="str">
        <f>VLOOKUP($A171,regions_full!$A$2:$AI$267,MATCH(polities_cats!X$1,$A$1:$AN$1,0),0)</f>
        <v>S&amp;E Asia</v>
      </c>
      <c r="Y171" t="str">
        <f>VLOOKUP($A171,regions_full!$A$2:$AI$267,MATCH(polities_cats!Y$1,$A$1:$AN$1,0),0)</f>
        <v>South-eastern Asia</v>
      </c>
      <c r="Z171" t="str">
        <f>VLOOKUP($A171,regions_full!$A$2:$AI$267,MATCH(polities_cats!Z$1,$A$1:$AN$1,0),0)</f>
        <v>Asia</v>
      </c>
      <c r="AA171" t="str">
        <f>VLOOKUP($A171,regions_full!$A$2:$AI$267,MATCH(polities_cats!AA$1,$A$1:$AN$1,0),0)</f>
        <v>Asia and the Pacific</v>
      </c>
      <c r="AB171" t="str">
        <f>VLOOKUP($A171,regions_full!$A$2:$AI$267,MATCH(polities_cats!AB$1,$A$1:$AN$1,0),0)</f>
        <v>South-Eastern Asia and the Pacific</v>
      </c>
      <c r="AC171" t="str">
        <f>VLOOKUP($A171,regions_full!$A$2:$AI$267,MATCH(polities_cats!AC$1,$A$1:$AN$1,0),0)</f>
        <v>South-Eastern Asia</v>
      </c>
      <c r="AD171" t="str">
        <f>VLOOKUP($A171,regions_full!$A$2:$AI$267,MATCH(polities_cats!AD$1,$A$1:$AN$1,0),0)</f>
        <v>Emerging</v>
      </c>
      <c r="AE171" t="str">
        <f>VLOOKUP($A171,regions_full!$A$2:$AI$267,MATCH(polities_cats!AE$1,$A$1:$AN$1,0),0)</f>
        <v>Annex_II</v>
      </c>
      <c r="AF171" t="str">
        <f>VLOOKUP($A171,regions_full!$A$2:$AI$267,MATCH(polities_cats!AF$1,$A$1:$AN$1,0),0)</f>
        <v>South-eastern Asia</v>
      </c>
      <c r="AG171" t="str">
        <f>VLOOKUP($A171,regions_full!$A$2:$AI$267,MATCH(polities_cats!AG$1,$A$1:$AN$1,0),0)</f>
        <v>SE-Asia</v>
      </c>
      <c r="AH171" t="str">
        <f>VLOOKUP($A171,regions_full!$A$2:$AI$267,MATCH(polities_cats!AH$1,$A$1:$AN$1,0),0)</f>
        <v>no_mech</v>
      </c>
      <c r="AI171" t="str">
        <f>VLOOKUP($A171,regions_full!$A$2:$AI$267,MATCH(polities_cats!AI$1,$A$1:$AN$1,0),0)</f>
        <v>Other</v>
      </c>
      <c r="AJ171" t="e">
        <f>VLOOKUP($A171,regions_full!$A$2:$AI$267,MATCH(polities_cats!AJ$1,$A$1:$AN$1,0),0)</f>
        <v>#REF!</v>
      </c>
      <c r="AK171" t="e">
        <f>VLOOKUP($A171,regions_full!$A$2:$AI$267,MATCH(polities_cats!AK$1,$A$1:$AN$1,0),0)</f>
        <v>#REF!</v>
      </c>
      <c r="AL171" t="e">
        <f>VLOOKUP($A171,regions_full!$A$2:$AI$267,MATCH(polities_cats!AL$1,$A$1:$AN$1,0),0)</f>
        <v>#REF!</v>
      </c>
      <c r="AM171" t="e">
        <f>VLOOKUP($A171,regions_full!$A$2:$AI$267,MATCH(polities_cats!AM$1,$A$1:$AN$1,0),0)</f>
        <v>#REF!</v>
      </c>
      <c r="AN171" t="e">
        <f>VLOOKUP($A171,regions_full!$A$2:$AI$267,MATCH(polities_cats!AN$1,$A$1:$AN$1,0),0)</f>
        <v>#REF!</v>
      </c>
    </row>
    <row r="172" spans="1:40" x14ac:dyDescent="0.3">
      <c r="A172" t="str">
        <f>polities_whep!A172</f>
        <v>TGO</v>
      </c>
      <c r="B172" t="str">
        <f>polities_whep!B172</f>
        <v>Togo</v>
      </c>
      <c r="C172">
        <f>VLOOKUP($A172,regions_full!$A$2:$AI$267,MATCH(polities_cats!C$1,$A$1:$AN$1,0),0)</f>
        <v>213</v>
      </c>
      <c r="D172">
        <f>VLOOKUP($A172,regions_full!$A$2:$AI$267,MATCH(polities_cats!D$1,$A$1:$AN$1,0),0)</f>
        <v>217</v>
      </c>
      <c r="E172" t="str">
        <f>VLOOKUP($A172,regions_full!$A$2:$AI$267,MATCH(polities_cats!E$1,$A$1:$AN$1,0),0)</f>
        <v>TGO</v>
      </c>
      <c r="F172" t="str">
        <f>VLOOKUP($A172,regions_full!$A$2:$AI$267,MATCH(polities_cats!F$1,$A$1:$AN$1,0),0)</f>
        <v>Togo</v>
      </c>
      <c r="G172" t="str">
        <f>VLOOKUP($A172,regions_full!$A$2:$AI$267,MATCH(polities_cats!G$1,$A$1:$AN$1,0),0)</f>
        <v>FALSE</v>
      </c>
      <c r="H172" t="str">
        <f>VLOOKUP($A172,regions_full!$A$2:$AI$267,MATCH(polities_cats!H$1,$A$1:$AN$1,0),0)</f>
        <v>Togo</v>
      </c>
      <c r="I172" t="str">
        <f>VLOOKUP($A172,regions_full!$A$2:$AI$267,MATCH(polities_cats!I$1,$A$1:$AN$1,0),0)</f>
        <v>Togo</v>
      </c>
      <c r="J172" t="str">
        <f>VLOOKUP($A172,regions_full!$A$2:$AI$267,MATCH(polities_cats!J$1,$A$1:$AN$1,0),0)</f>
        <v>Togo</v>
      </c>
      <c r="K172">
        <f>VLOOKUP($A172,regions_full!$A$2:$AI$267,MATCH(polities_cats!K$1,$A$1:$AN$1,0),0)</f>
        <v>217</v>
      </c>
      <c r="L172" t="str">
        <f>VLOOKUP($A172,regions_full!$A$2:$AI$267,MATCH(polities_cats!L$1,$A$1:$AN$1,0),0)</f>
        <v>Togo</v>
      </c>
      <c r="M172">
        <f>VLOOKUP($A172,regions_full!$A$2:$AI$267,MATCH(polities_cats!M$1,$A$1:$AN$1,0),0)</f>
        <v>768</v>
      </c>
      <c r="N172">
        <f>VLOOKUP($A172,regions_full!$A$2:$AI$267,MATCH(polities_cats!N$1,$A$1:$AN$1,0),0)</f>
        <v>768</v>
      </c>
      <c r="O172">
        <f>VLOOKUP($A172,regions_full!$A$2:$AI$267,MATCH(polities_cats!O$1,$A$1:$AN$1,0),0)</f>
        <v>6</v>
      </c>
      <c r="P172" t="str">
        <f>VLOOKUP($A172,regions_full!$A$2:$AI$267,MATCH(polities_cats!P$1,$A$1:$AN$1,0),0)</f>
        <v>TRUE</v>
      </c>
      <c r="Q172">
        <f>VLOOKUP($A172,regions_full!$A$2:$AI$267,MATCH(polities_cats!Q$1,$A$1:$AN$1,0),0)</f>
        <v>217</v>
      </c>
      <c r="R172" t="str">
        <f>VLOOKUP($A172,regions_full!$A$2:$AI$267,MATCH(polities_cats!R$1,$A$1:$AN$1,0),0)</f>
        <v/>
      </c>
      <c r="S172" t="str">
        <f>VLOOKUP($A172,regions_full!$A$2:$AI$267,MATCH(polities_cats!S$1,$A$1:$AN$1,0),0)</f>
        <v>Western Africa</v>
      </c>
      <c r="T172">
        <f>VLOOKUP($A172,regions_full!$A$2:$AI$267,MATCH(polities_cats!T$1,$A$1:$AN$1,0),0)</f>
        <v>1</v>
      </c>
      <c r="U172" t="str">
        <f>VLOOKUP($A172,regions_full!$A$2:$AI$267,MATCH(polities_cats!U$1,$A$1:$AN$1,0),0)</f>
        <v>Togo</v>
      </c>
      <c r="V172" t="str">
        <f>VLOOKUP($A172,regions_full!$A$2:$AI$267,MATCH(polities_cats!V$1,$A$1:$AN$1,0),0)</f>
        <v>Subsaharan Africa</v>
      </c>
      <c r="W172" t="str">
        <f>VLOOKUP($A172,regions_full!$A$2:$AI$267,MATCH(polities_cats!W$1,$A$1:$AN$1,0),0)</f>
        <v>Sub-saharan Africa</v>
      </c>
      <c r="X172" t="str">
        <f>VLOOKUP($A172,regions_full!$A$2:$AI$267,MATCH(polities_cats!X$1,$A$1:$AN$1,0),0)</f>
        <v>SSA</v>
      </c>
      <c r="Y172" t="str">
        <f>VLOOKUP($A172,regions_full!$A$2:$AI$267,MATCH(polities_cats!Y$1,$A$1:$AN$1,0),0)</f>
        <v>Sub-Saharan Africa</v>
      </c>
      <c r="Z172" t="str">
        <f>VLOOKUP($A172,regions_full!$A$2:$AI$267,MATCH(polities_cats!Z$1,$A$1:$AN$1,0),0)</f>
        <v>Africa</v>
      </c>
      <c r="AA172" t="str">
        <f>VLOOKUP($A172,regions_full!$A$2:$AI$267,MATCH(polities_cats!AA$1,$A$1:$AN$1,0),0)</f>
        <v>Africa</v>
      </c>
      <c r="AB172" t="str">
        <f>VLOOKUP($A172,regions_full!$A$2:$AI$267,MATCH(polities_cats!AB$1,$A$1:$AN$1,0),0)</f>
        <v>Sub-Saharan Africa</v>
      </c>
      <c r="AC172" t="str">
        <f>VLOOKUP($A172,regions_full!$A$2:$AI$267,MATCH(polities_cats!AC$1,$A$1:$AN$1,0),0)</f>
        <v>Western Africa</v>
      </c>
      <c r="AD172" t="str">
        <f>VLOOKUP($A172,regions_full!$A$2:$AI$267,MATCH(polities_cats!AD$1,$A$1:$AN$1,0),0)</f>
        <v>Emerging</v>
      </c>
      <c r="AE172" t="str">
        <f>VLOOKUP($A172,regions_full!$A$2:$AI$267,MATCH(polities_cats!AE$1,$A$1:$AN$1,0),0)</f>
        <v>Annex_II</v>
      </c>
      <c r="AF172" t="str">
        <f>VLOOKUP($A172,regions_full!$A$2:$AI$267,MATCH(polities_cats!AF$1,$A$1:$AN$1,0),0)</f>
        <v>Western Africa</v>
      </c>
      <c r="AG172" t="str">
        <f>VLOOKUP($A172,regions_full!$A$2:$AI$267,MATCH(polities_cats!AG$1,$A$1:$AN$1,0),0)</f>
        <v>SAA</v>
      </c>
      <c r="AH172" t="str">
        <f>VLOOKUP($A172,regions_full!$A$2:$AI$267,MATCH(polities_cats!AH$1,$A$1:$AN$1,0),0)</f>
        <v>no_mech</v>
      </c>
      <c r="AI172" t="str">
        <f>VLOOKUP($A172,regions_full!$A$2:$AI$267,MATCH(polities_cats!AI$1,$A$1:$AN$1,0),0)</f>
        <v>Other</v>
      </c>
      <c r="AJ172" t="e">
        <f>VLOOKUP($A172,regions_full!$A$2:$AI$267,MATCH(polities_cats!AJ$1,$A$1:$AN$1,0),0)</f>
        <v>#REF!</v>
      </c>
      <c r="AK172" t="e">
        <f>VLOOKUP($A172,regions_full!$A$2:$AI$267,MATCH(polities_cats!AK$1,$A$1:$AN$1,0),0)</f>
        <v>#REF!</v>
      </c>
      <c r="AL172" t="e">
        <f>VLOOKUP($A172,regions_full!$A$2:$AI$267,MATCH(polities_cats!AL$1,$A$1:$AN$1,0),0)</f>
        <v>#REF!</v>
      </c>
      <c r="AM172" t="e">
        <f>VLOOKUP($A172,regions_full!$A$2:$AI$267,MATCH(polities_cats!AM$1,$A$1:$AN$1,0),0)</f>
        <v>#REF!</v>
      </c>
      <c r="AN172" t="e">
        <f>VLOOKUP($A172,regions_full!$A$2:$AI$267,MATCH(polities_cats!AN$1,$A$1:$AN$1,0),0)</f>
        <v>#REF!</v>
      </c>
    </row>
    <row r="173" spans="1:40" x14ac:dyDescent="0.3">
      <c r="A173" t="str">
        <f>polities_whep!A173</f>
        <v>TTO</v>
      </c>
      <c r="B173" t="str">
        <f>polities_whep!B173</f>
        <v>Trinidad and Tobago</v>
      </c>
      <c r="C173">
        <f>VLOOKUP($A173,regions_full!$A$2:$AI$267,MATCH(polities_cats!C$1,$A$1:$AN$1,0),0)</f>
        <v>216</v>
      </c>
      <c r="D173">
        <f>VLOOKUP($A173,regions_full!$A$2:$AI$267,MATCH(polities_cats!D$1,$A$1:$AN$1,0),0)</f>
        <v>220</v>
      </c>
      <c r="E173" t="str">
        <f>VLOOKUP($A173,regions_full!$A$2:$AI$267,MATCH(polities_cats!E$1,$A$1:$AN$1,0),0)</f>
        <v>TTO</v>
      </c>
      <c r="F173" t="str">
        <f>VLOOKUP($A173,regions_full!$A$2:$AI$267,MATCH(polities_cats!F$1,$A$1:$AN$1,0),0)</f>
        <v>Trinidad and Tobago</v>
      </c>
      <c r="G173" t="str">
        <f>VLOOKUP($A173,regions_full!$A$2:$AI$267,MATCH(polities_cats!G$1,$A$1:$AN$1,0),0)</f>
        <v>FALSE</v>
      </c>
      <c r="H173" t="str">
        <f>VLOOKUP($A173,regions_full!$A$2:$AI$267,MATCH(polities_cats!H$1,$A$1:$AN$1,0),0)</f>
        <v>Trinidad and Tobago</v>
      </c>
      <c r="I173" t="str">
        <f>VLOOKUP($A173,regions_full!$A$2:$AI$267,MATCH(polities_cats!I$1,$A$1:$AN$1,0),0)</f>
        <v>Trinidad and Tobago</v>
      </c>
      <c r="J173" t="str">
        <f>VLOOKUP($A173,regions_full!$A$2:$AI$267,MATCH(polities_cats!J$1,$A$1:$AN$1,0),0)</f>
        <v>Trinidad and Tobago</v>
      </c>
      <c r="K173">
        <f>VLOOKUP($A173,regions_full!$A$2:$AI$267,MATCH(polities_cats!K$1,$A$1:$AN$1,0),0)</f>
        <v>220</v>
      </c>
      <c r="L173" t="str">
        <f>VLOOKUP($A173,regions_full!$A$2:$AI$267,MATCH(polities_cats!L$1,$A$1:$AN$1,0),0)</f>
        <v>Trinidad and Tobago</v>
      </c>
      <c r="M173">
        <f>VLOOKUP($A173,regions_full!$A$2:$AI$267,MATCH(polities_cats!M$1,$A$1:$AN$1,0),0)</f>
        <v>780</v>
      </c>
      <c r="N173">
        <f>VLOOKUP($A173,regions_full!$A$2:$AI$267,MATCH(polities_cats!N$1,$A$1:$AN$1,0),0)</f>
        <v>780</v>
      </c>
      <c r="O173">
        <f>VLOOKUP($A173,regions_full!$A$2:$AI$267,MATCH(polities_cats!O$1,$A$1:$AN$1,0),0)</f>
        <v>3</v>
      </c>
      <c r="P173" t="str">
        <f>VLOOKUP($A173,regions_full!$A$2:$AI$267,MATCH(polities_cats!P$1,$A$1:$AN$1,0),0)</f>
        <v>TRUE</v>
      </c>
      <c r="Q173">
        <f>VLOOKUP($A173,regions_full!$A$2:$AI$267,MATCH(polities_cats!Q$1,$A$1:$AN$1,0),0)</f>
        <v>220</v>
      </c>
      <c r="R173" t="str">
        <f>VLOOKUP($A173,regions_full!$A$2:$AI$267,MATCH(polities_cats!R$1,$A$1:$AN$1,0),0)</f>
        <v/>
      </c>
      <c r="S173" t="str">
        <f>VLOOKUP($A173,regions_full!$A$2:$AI$267,MATCH(polities_cats!S$1,$A$1:$AN$1,0),0)</f>
        <v>Central America</v>
      </c>
      <c r="T173">
        <f>VLOOKUP($A173,regions_full!$A$2:$AI$267,MATCH(polities_cats!T$1,$A$1:$AN$1,0),0)</f>
        <v>1</v>
      </c>
      <c r="U173" t="str">
        <f>VLOOKUP($A173,regions_full!$A$2:$AI$267,MATCH(polities_cats!U$1,$A$1:$AN$1,0),0)</f>
        <v>Trinidad and Tobago</v>
      </c>
      <c r="V173" t="str">
        <f>VLOOKUP($A173,regions_full!$A$2:$AI$267,MATCH(polities_cats!V$1,$A$1:$AN$1,0),0)</f>
        <v>Latin America and the Caribbean</v>
      </c>
      <c r="W173" t="str">
        <f>VLOOKUP($A173,regions_full!$A$2:$AI$267,MATCH(polities_cats!W$1,$A$1:$AN$1,0),0)</f>
        <v>Latin America and Caribbean</v>
      </c>
      <c r="X173" t="str">
        <f>VLOOKUP($A173,regions_full!$A$2:$AI$267,MATCH(polities_cats!X$1,$A$1:$AN$1,0),0)</f>
        <v>LACA</v>
      </c>
      <c r="Y173" t="str">
        <f>VLOOKUP($A173,regions_full!$A$2:$AI$267,MATCH(polities_cats!Y$1,$A$1:$AN$1,0),0)</f>
        <v>Latin America and the Caribbean</v>
      </c>
      <c r="Z173" t="str">
        <f>VLOOKUP($A173,regions_full!$A$2:$AI$267,MATCH(polities_cats!Z$1,$A$1:$AN$1,0),0)</f>
        <v>Americas</v>
      </c>
      <c r="AA173" t="str">
        <f>VLOOKUP($A173,regions_full!$A$2:$AI$267,MATCH(polities_cats!AA$1,$A$1:$AN$1,0),0)</f>
        <v>Americas</v>
      </c>
      <c r="AB173" t="str">
        <f>VLOOKUP($A173,regions_full!$A$2:$AI$267,MATCH(polities_cats!AB$1,$A$1:$AN$1,0),0)</f>
        <v>Latin America and the Caribbean</v>
      </c>
      <c r="AC173" t="str">
        <f>VLOOKUP($A173,regions_full!$A$2:$AI$267,MATCH(polities_cats!AC$1,$A$1:$AN$1,0),0)</f>
        <v>Caribbean</v>
      </c>
      <c r="AD173" t="str">
        <f>VLOOKUP($A173,regions_full!$A$2:$AI$267,MATCH(polities_cats!AD$1,$A$1:$AN$1,0),0)</f>
        <v>Emerging</v>
      </c>
      <c r="AE173" t="str">
        <f>VLOOKUP($A173,regions_full!$A$2:$AI$267,MATCH(polities_cats!AE$1,$A$1:$AN$1,0),0)</f>
        <v>Annex_II</v>
      </c>
      <c r="AF173" t="str">
        <f>VLOOKUP($A173,regions_full!$A$2:$AI$267,MATCH(polities_cats!AF$1,$A$1:$AN$1,0),0)</f>
        <v>Caribbean &amp; Centra Am.</v>
      </c>
      <c r="AG173" t="str">
        <f>VLOOKUP($A173,regions_full!$A$2:$AI$267,MATCH(polities_cats!AG$1,$A$1:$AN$1,0),0)</f>
        <v>LACA</v>
      </c>
      <c r="AH173" t="str">
        <f>VLOOKUP($A173,regions_full!$A$2:$AI$267,MATCH(polities_cats!AH$1,$A$1:$AN$1,0),0)</f>
        <v>no_mech</v>
      </c>
      <c r="AI173" t="str">
        <f>VLOOKUP($A173,regions_full!$A$2:$AI$267,MATCH(polities_cats!AI$1,$A$1:$AN$1,0),0)</f>
        <v>Other</v>
      </c>
      <c r="AJ173" t="e">
        <f>VLOOKUP($A173,regions_full!$A$2:$AI$267,MATCH(polities_cats!AJ$1,$A$1:$AN$1,0),0)</f>
        <v>#REF!</v>
      </c>
      <c r="AK173" t="e">
        <f>VLOOKUP($A173,regions_full!$A$2:$AI$267,MATCH(polities_cats!AK$1,$A$1:$AN$1,0),0)</f>
        <v>#REF!</v>
      </c>
      <c r="AL173" t="e">
        <f>VLOOKUP($A173,regions_full!$A$2:$AI$267,MATCH(polities_cats!AL$1,$A$1:$AN$1,0),0)</f>
        <v>#REF!</v>
      </c>
      <c r="AM173" t="e">
        <f>VLOOKUP($A173,regions_full!$A$2:$AI$267,MATCH(polities_cats!AM$1,$A$1:$AN$1,0),0)</f>
        <v>#REF!</v>
      </c>
      <c r="AN173" t="e">
        <f>VLOOKUP($A173,regions_full!$A$2:$AI$267,MATCH(polities_cats!AN$1,$A$1:$AN$1,0),0)</f>
        <v>#REF!</v>
      </c>
    </row>
    <row r="174" spans="1:40" x14ac:dyDescent="0.3">
      <c r="A174" t="str">
        <f>polities_whep!A174</f>
        <v>TUN</v>
      </c>
      <c r="B174" t="str">
        <f>polities_whep!B174</f>
        <v>Tunisia</v>
      </c>
      <c r="C174">
        <f>VLOOKUP($A174,regions_full!$A$2:$AI$267,MATCH(polities_cats!C$1,$A$1:$AN$1,0),0)</f>
        <v>218</v>
      </c>
      <c r="D174">
        <f>VLOOKUP($A174,regions_full!$A$2:$AI$267,MATCH(polities_cats!D$1,$A$1:$AN$1,0),0)</f>
        <v>222</v>
      </c>
      <c r="E174" t="str">
        <f>VLOOKUP($A174,regions_full!$A$2:$AI$267,MATCH(polities_cats!E$1,$A$1:$AN$1,0),0)</f>
        <v>TUN</v>
      </c>
      <c r="F174" t="str">
        <f>VLOOKUP($A174,regions_full!$A$2:$AI$267,MATCH(polities_cats!F$1,$A$1:$AN$1,0),0)</f>
        <v>Tunisia</v>
      </c>
      <c r="G174" t="str">
        <f>VLOOKUP($A174,regions_full!$A$2:$AI$267,MATCH(polities_cats!G$1,$A$1:$AN$1,0),0)</f>
        <v>FALSE</v>
      </c>
      <c r="H174" t="str">
        <f>VLOOKUP($A174,regions_full!$A$2:$AI$267,MATCH(polities_cats!H$1,$A$1:$AN$1,0),0)</f>
        <v>Tunisia</v>
      </c>
      <c r="I174" t="str">
        <f>VLOOKUP($A174,regions_full!$A$2:$AI$267,MATCH(polities_cats!I$1,$A$1:$AN$1,0),0)</f>
        <v>Tunisia</v>
      </c>
      <c r="J174" t="str">
        <f>VLOOKUP($A174,regions_full!$A$2:$AI$267,MATCH(polities_cats!J$1,$A$1:$AN$1,0),0)</f>
        <v>Tunisia</v>
      </c>
      <c r="K174">
        <f>VLOOKUP($A174,regions_full!$A$2:$AI$267,MATCH(polities_cats!K$1,$A$1:$AN$1,0),0)</f>
        <v>222</v>
      </c>
      <c r="L174" t="str">
        <f>VLOOKUP($A174,regions_full!$A$2:$AI$267,MATCH(polities_cats!L$1,$A$1:$AN$1,0),0)</f>
        <v>Tunisia</v>
      </c>
      <c r="M174">
        <f>VLOOKUP($A174,regions_full!$A$2:$AI$267,MATCH(polities_cats!M$1,$A$1:$AN$1,0),0)</f>
        <v>788</v>
      </c>
      <c r="N174">
        <f>VLOOKUP($A174,regions_full!$A$2:$AI$267,MATCH(polities_cats!N$1,$A$1:$AN$1,0),0)</f>
        <v>788</v>
      </c>
      <c r="O174">
        <f>VLOOKUP($A174,regions_full!$A$2:$AI$267,MATCH(polities_cats!O$1,$A$1:$AN$1,0),0)</f>
        <v>5</v>
      </c>
      <c r="P174" t="str">
        <f>VLOOKUP($A174,regions_full!$A$2:$AI$267,MATCH(polities_cats!P$1,$A$1:$AN$1,0),0)</f>
        <v>TRUE</v>
      </c>
      <c r="Q174">
        <f>VLOOKUP($A174,regions_full!$A$2:$AI$267,MATCH(polities_cats!Q$1,$A$1:$AN$1,0),0)</f>
        <v>222</v>
      </c>
      <c r="R174" t="str">
        <f>VLOOKUP($A174,regions_full!$A$2:$AI$267,MATCH(polities_cats!R$1,$A$1:$AN$1,0),0)</f>
        <v/>
      </c>
      <c r="S174" t="str">
        <f>VLOOKUP($A174,regions_full!$A$2:$AI$267,MATCH(polities_cats!S$1,$A$1:$AN$1,0),0)</f>
        <v>Northern Africa</v>
      </c>
      <c r="T174">
        <f>VLOOKUP($A174,regions_full!$A$2:$AI$267,MATCH(polities_cats!T$1,$A$1:$AN$1,0),0)</f>
        <v>1</v>
      </c>
      <c r="U174" t="str">
        <f>VLOOKUP($A174,regions_full!$A$2:$AI$267,MATCH(polities_cats!U$1,$A$1:$AN$1,0),0)</f>
        <v>Tunisia</v>
      </c>
      <c r="V174" t="str">
        <f>VLOOKUP($A174,regions_full!$A$2:$AI$267,MATCH(polities_cats!V$1,$A$1:$AN$1,0),0)</f>
        <v>Northern Africa and Western Asia</v>
      </c>
      <c r="W174" t="str">
        <f>VLOOKUP($A174,regions_full!$A$2:$AI$267,MATCH(polities_cats!W$1,$A$1:$AN$1,0),0)</f>
        <v>North Africa and West Asia</v>
      </c>
      <c r="X174" t="str">
        <f>VLOOKUP($A174,regions_full!$A$2:$AI$267,MATCH(polities_cats!X$1,$A$1:$AN$1,0),0)</f>
        <v>MENA</v>
      </c>
      <c r="Y174" t="str">
        <f>VLOOKUP($A174,regions_full!$A$2:$AI$267,MATCH(polities_cats!Y$1,$A$1:$AN$1,0),0)</f>
        <v>Northern Africa</v>
      </c>
      <c r="Z174" t="str">
        <f>VLOOKUP($A174,regions_full!$A$2:$AI$267,MATCH(polities_cats!Z$1,$A$1:$AN$1,0),0)</f>
        <v>Africa</v>
      </c>
      <c r="AA174" t="str">
        <f>VLOOKUP($A174,regions_full!$A$2:$AI$267,MATCH(polities_cats!AA$1,$A$1:$AN$1,0),0)</f>
        <v>Africa</v>
      </c>
      <c r="AB174" t="str">
        <f>VLOOKUP($A174,regions_full!$A$2:$AI$267,MATCH(polities_cats!AB$1,$A$1:$AN$1,0),0)</f>
        <v>Northern Africa</v>
      </c>
      <c r="AC174" t="str">
        <f>VLOOKUP($A174,regions_full!$A$2:$AI$267,MATCH(polities_cats!AC$1,$A$1:$AN$1,0),0)</f>
        <v>Northern Africa</v>
      </c>
      <c r="AD174" t="str">
        <f>VLOOKUP($A174,regions_full!$A$2:$AI$267,MATCH(polities_cats!AD$1,$A$1:$AN$1,0),0)</f>
        <v>Emerging</v>
      </c>
      <c r="AE174" t="str">
        <f>VLOOKUP($A174,regions_full!$A$2:$AI$267,MATCH(polities_cats!AE$1,$A$1:$AN$1,0),0)</f>
        <v>Annex_II</v>
      </c>
      <c r="AF174" t="str">
        <f>VLOOKUP($A174,regions_full!$A$2:$AI$267,MATCH(polities_cats!AF$1,$A$1:$AN$1,0),0)</f>
        <v>Northern Africa</v>
      </c>
      <c r="AG174" t="str">
        <f>VLOOKUP($A174,regions_full!$A$2:$AI$267,MATCH(polities_cats!AG$1,$A$1:$AN$1,0),0)</f>
        <v>MENA</v>
      </c>
      <c r="AH174" t="str">
        <f>VLOOKUP($A174,regions_full!$A$2:$AI$267,MATCH(polities_cats!AH$1,$A$1:$AN$1,0),0)</f>
        <v>no_mech</v>
      </c>
      <c r="AI174" t="str">
        <f>VLOOKUP($A174,regions_full!$A$2:$AI$267,MATCH(polities_cats!AI$1,$A$1:$AN$1,0),0)</f>
        <v>Other</v>
      </c>
      <c r="AJ174" t="e">
        <f>VLOOKUP($A174,regions_full!$A$2:$AI$267,MATCH(polities_cats!AJ$1,$A$1:$AN$1,0),0)</f>
        <v>#REF!</v>
      </c>
      <c r="AK174" t="e">
        <f>VLOOKUP($A174,regions_full!$A$2:$AI$267,MATCH(polities_cats!AK$1,$A$1:$AN$1,0),0)</f>
        <v>#REF!</v>
      </c>
      <c r="AL174" t="e">
        <f>VLOOKUP($A174,regions_full!$A$2:$AI$267,MATCH(polities_cats!AL$1,$A$1:$AN$1,0),0)</f>
        <v>#REF!</v>
      </c>
      <c r="AM174" t="e">
        <f>VLOOKUP($A174,regions_full!$A$2:$AI$267,MATCH(polities_cats!AM$1,$A$1:$AN$1,0),0)</f>
        <v>#REF!</v>
      </c>
      <c r="AN174" t="e">
        <f>VLOOKUP($A174,regions_full!$A$2:$AI$267,MATCH(polities_cats!AN$1,$A$1:$AN$1,0),0)</f>
        <v>#REF!</v>
      </c>
    </row>
    <row r="175" spans="1:40" x14ac:dyDescent="0.3">
      <c r="A175" t="str">
        <f>polities_whep!A175</f>
        <v>TUR</v>
      </c>
      <c r="B175" t="str">
        <f>polities_whep!B175</f>
        <v>Turkey</v>
      </c>
      <c r="C175">
        <f>VLOOKUP($A175,regions_full!$A$2:$AI$267,MATCH(polities_cats!C$1,$A$1:$AN$1,0),0)</f>
        <v>219</v>
      </c>
      <c r="D175">
        <f>VLOOKUP($A175,regions_full!$A$2:$AI$267,MATCH(polities_cats!D$1,$A$1:$AN$1,0),0)</f>
        <v>223</v>
      </c>
      <c r="E175" t="str">
        <f>VLOOKUP($A175,regions_full!$A$2:$AI$267,MATCH(polities_cats!E$1,$A$1:$AN$1,0),0)</f>
        <v>TUR</v>
      </c>
      <c r="F175" t="str">
        <f>VLOOKUP($A175,regions_full!$A$2:$AI$267,MATCH(polities_cats!F$1,$A$1:$AN$1,0),0)</f>
        <v>Türkiye</v>
      </c>
      <c r="G175" t="str">
        <f>VLOOKUP($A175,regions_full!$A$2:$AI$267,MATCH(polities_cats!G$1,$A$1:$AN$1,0),0)</f>
        <v>FALSE</v>
      </c>
      <c r="H175" t="str">
        <f>VLOOKUP($A175,regions_full!$A$2:$AI$267,MATCH(polities_cats!H$1,$A$1:$AN$1,0),0)</f>
        <v>Turkey</v>
      </c>
      <c r="I175" t="str">
        <f>VLOOKUP($A175,regions_full!$A$2:$AI$267,MATCH(polities_cats!I$1,$A$1:$AN$1,0),0)</f>
        <v>Turkey</v>
      </c>
      <c r="J175" t="str">
        <f>VLOOKUP($A175,regions_full!$A$2:$AI$267,MATCH(polities_cats!J$1,$A$1:$AN$1,0),0)</f>
        <v>Turkey</v>
      </c>
      <c r="K175">
        <f>VLOOKUP($A175,regions_full!$A$2:$AI$267,MATCH(polities_cats!K$1,$A$1:$AN$1,0),0)</f>
        <v>223</v>
      </c>
      <c r="L175" t="str">
        <f>VLOOKUP($A175,regions_full!$A$2:$AI$267,MATCH(polities_cats!L$1,$A$1:$AN$1,0),0)</f>
        <v>Turkey</v>
      </c>
      <c r="M175">
        <f>VLOOKUP($A175,regions_full!$A$2:$AI$267,MATCH(polities_cats!M$1,$A$1:$AN$1,0),0)</f>
        <v>792</v>
      </c>
      <c r="N175">
        <f>VLOOKUP($A175,regions_full!$A$2:$AI$267,MATCH(polities_cats!N$1,$A$1:$AN$1,0),0)</f>
        <v>792</v>
      </c>
      <c r="O175">
        <f>VLOOKUP($A175,regions_full!$A$2:$AI$267,MATCH(polities_cats!O$1,$A$1:$AN$1,0),0)</f>
        <v>12</v>
      </c>
      <c r="P175" t="str">
        <f>VLOOKUP($A175,regions_full!$A$2:$AI$267,MATCH(polities_cats!P$1,$A$1:$AN$1,0),0)</f>
        <v>TRUE</v>
      </c>
      <c r="Q175">
        <f>VLOOKUP($A175,regions_full!$A$2:$AI$267,MATCH(polities_cats!Q$1,$A$1:$AN$1,0),0)</f>
        <v>223</v>
      </c>
      <c r="R175" t="str">
        <f>VLOOKUP($A175,regions_full!$A$2:$AI$267,MATCH(polities_cats!R$1,$A$1:$AN$1,0),0)</f>
        <v/>
      </c>
      <c r="S175" t="str">
        <f>VLOOKUP($A175,regions_full!$A$2:$AI$267,MATCH(polities_cats!S$1,$A$1:$AN$1,0),0)</f>
        <v>Middle East</v>
      </c>
      <c r="T175">
        <f>VLOOKUP($A175,regions_full!$A$2:$AI$267,MATCH(polities_cats!T$1,$A$1:$AN$1,0),0)</f>
        <v>1</v>
      </c>
      <c r="U175" t="str">
        <f>VLOOKUP($A175,regions_full!$A$2:$AI$267,MATCH(polities_cats!U$1,$A$1:$AN$1,0),0)</f>
        <v>Turkey</v>
      </c>
      <c r="V175" t="str">
        <f>VLOOKUP($A175,regions_full!$A$2:$AI$267,MATCH(polities_cats!V$1,$A$1:$AN$1,0),0)</f>
        <v>Northern Africa and Western Asia</v>
      </c>
      <c r="W175" t="str">
        <f>VLOOKUP($A175,regions_full!$A$2:$AI$267,MATCH(polities_cats!W$1,$A$1:$AN$1,0),0)</f>
        <v>North Africa and West Asia</v>
      </c>
      <c r="X175" t="str">
        <f>VLOOKUP($A175,regions_full!$A$2:$AI$267,MATCH(polities_cats!X$1,$A$1:$AN$1,0),0)</f>
        <v>MENA</v>
      </c>
      <c r="Y175" t="str">
        <f>VLOOKUP($A175,regions_full!$A$2:$AI$267,MATCH(polities_cats!Y$1,$A$1:$AN$1,0),0)</f>
        <v>Western Asia</v>
      </c>
      <c r="Z175" t="str">
        <f>VLOOKUP($A175,regions_full!$A$2:$AI$267,MATCH(polities_cats!Z$1,$A$1:$AN$1,0),0)</f>
        <v>Asia</v>
      </c>
      <c r="AA175" t="str">
        <f>VLOOKUP($A175,regions_full!$A$2:$AI$267,MATCH(polities_cats!AA$1,$A$1:$AN$1,0),0)</f>
        <v>Europe and Central Asia</v>
      </c>
      <c r="AB175" t="str">
        <f>VLOOKUP($A175,regions_full!$A$2:$AI$267,MATCH(polities_cats!AB$1,$A$1:$AN$1,0),0)</f>
        <v>Central and Western Asia</v>
      </c>
      <c r="AC175" t="str">
        <f>VLOOKUP($A175,regions_full!$A$2:$AI$267,MATCH(polities_cats!AC$1,$A$1:$AN$1,0),0)</f>
        <v>Western Asia</v>
      </c>
      <c r="AD175" t="str">
        <f>VLOOKUP($A175,regions_full!$A$2:$AI$267,MATCH(polities_cats!AD$1,$A$1:$AN$1,0),0)</f>
        <v>Advanced</v>
      </c>
      <c r="AE175" t="str">
        <f>VLOOKUP($A175,regions_full!$A$2:$AI$267,MATCH(polities_cats!AE$1,$A$1:$AN$1,0),0)</f>
        <v>Annex_I</v>
      </c>
      <c r="AF175" t="str">
        <f>VLOOKUP($A175,regions_full!$A$2:$AI$267,MATCH(polities_cats!AF$1,$A$1:$AN$1,0),0)</f>
        <v>Western Asia</v>
      </c>
      <c r="AG175" t="str">
        <f>VLOOKUP($A175,regions_full!$A$2:$AI$267,MATCH(polities_cats!AG$1,$A$1:$AN$1,0),0)</f>
        <v>MENA</v>
      </c>
      <c r="AH175" t="str">
        <f>VLOOKUP($A175,regions_full!$A$2:$AI$267,MATCH(polities_cats!AH$1,$A$1:$AN$1,0),0)</f>
        <v>no_mech</v>
      </c>
      <c r="AI175" t="str">
        <f>VLOOKUP($A175,regions_full!$A$2:$AI$267,MATCH(polities_cats!AI$1,$A$1:$AN$1,0),0)</f>
        <v>Other</v>
      </c>
      <c r="AJ175" t="e">
        <f>VLOOKUP($A175,regions_full!$A$2:$AI$267,MATCH(polities_cats!AJ$1,$A$1:$AN$1,0),0)</f>
        <v>#REF!</v>
      </c>
      <c r="AK175" t="e">
        <f>VLOOKUP($A175,regions_full!$A$2:$AI$267,MATCH(polities_cats!AK$1,$A$1:$AN$1,0),0)</f>
        <v>#REF!</v>
      </c>
      <c r="AL175" t="e">
        <f>VLOOKUP($A175,regions_full!$A$2:$AI$267,MATCH(polities_cats!AL$1,$A$1:$AN$1,0),0)</f>
        <v>#REF!</v>
      </c>
      <c r="AM175" t="e">
        <f>VLOOKUP($A175,regions_full!$A$2:$AI$267,MATCH(polities_cats!AM$1,$A$1:$AN$1,0),0)</f>
        <v>#REF!</v>
      </c>
      <c r="AN175" t="e">
        <f>VLOOKUP($A175,regions_full!$A$2:$AI$267,MATCH(polities_cats!AN$1,$A$1:$AN$1,0),0)</f>
        <v>#REF!</v>
      </c>
    </row>
    <row r="176" spans="1:40" x14ac:dyDescent="0.3">
      <c r="A176" t="str">
        <f>polities_whep!A176</f>
        <v>TKM</v>
      </c>
      <c r="B176" t="str">
        <f>polities_whep!B176</f>
        <v>Turkmenistan</v>
      </c>
      <c r="C176">
        <f>VLOOKUP($A176,regions_full!$A$2:$AI$267,MATCH(polities_cats!C$1,$A$1:$AN$1,0),0)</f>
        <v>209</v>
      </c>
      <c r="D176">
        <f>VLOOKUP($A176,regions_full!$A$2:$AI$267,MATCH(polities_cats!D$1,$A$1:$AN$1,0),0)</f>
        <v>213</v>
      </c>
      <c r="E176" t="str">
        <f>VLOOKUP($A176,regions_full!$A$2:$AI$267,MATCH(polities_cats!E$1,$A$1:$AN$1,0),0)</f>
        <v>TKM</v>
      </c>
      <c r="F176" t="str">
        <f>VLOOKUP($A176,regions_full!$A$2:$AI$267,MATCH(polities_cats!F$1,$A$1:$AN$1,0),0)</f>
        <v>Turkmenistan</v>
      </c>
      <c r="G176" t="str">
        <f>VLOOKUP($A176,regions_full!$A$2:$AI$267,MATCH(polities_cats!G$1,$A$1:$AN$1,0),0)</f>
        <v>FALSE</v>
      </c>
      <c r="H176" t="str">
        <f>VLOOKUP($A176,regions_full!$A$2:$AI$267,MATCH(polities_cats!H$1,$A$1:$AN$1,0),0)</f>
        <v>Turkmenistan</v>
      </c>
      <c r="I176" t="str">
        <f>VLOOKUP($A176,regions_full!$A$2:$AI$267,MATCH(polities_cats!I$1,$A$1:$AN$1,0),0)</f>
        <v>Turkmenistan</v>
      </c>
      <c r="J176" t="str">
        <f>VLOOKUP($A176,regions_full!$A$2:$AI$267,MATCH(polities_cats!J$1,$A$1:$AN$1,0),0)</f>
        <v>Turkmenistan</v>
      </c>
      <c r="K176">
        <f>VLOOKUP($A176,regions_full!$A$2:$AI$267,MATCH(polities_cats!K$1,$A$1:$AN$1,0),0)</f>
        <v>213</v>
      </c>
      <c r="L176" t="str">
        <f>VLOOKUP($A176,regions_full!$A$2:$AI$267,MATCH(polities_cats!L$1,$A$1:$AN$1,0),0)</f>
        <v>Turkmenistan</v>
      </c>
      <c r="M176">
        <f>VLOOKUP($A176,regions_full!$A$2:$AI$267,MATCH(polities_cats!M$1,$A$1:$AN$1,0),0)</f>
        <v>795</v>
      </c>
      <c r="N176">
        <f>VLOOKUP($A176,regions_full!$A$2:$AI$267,MATCH(polities_cats!N$1,$A$1:$AN$1,0),0)</f>
        <v>795</v>
      </c>
      <c r="O176">
        <f>VLOOKUP($A176,regions_full!$A$2:$AI$267,MATCH(polities_cats!O$1,$A$1:$AN$1,0),0)</f>
        <v>11</v>
      </c>
      <c r="P176" t="str">
        <f>VLOOKUP($A176,regions_full!$A$2:$AI$267,MATCH(polities_cats!P$1,$A$1:$AN$1,0),0)</f>
        <v>TRUE</v>
      </c>
      <c r="Q176">
        <f>VLOOKUP($A176,regions_full!$A$2:$AI$267,MATCH(polities_cats!Q$1,$A$1:$AN$1,0),0)</f>
        <v>213</v>
      </c>
      <c r="R176" t="str">
        <f>VLOOKUP($A176,regions_full!$A$2:$AI$267,MATCH(polities_cats!R$1,$A$1:$AN$1,0),0)</f>
        <v/>
      </c>
      <c r="S176" t="str">
        <f>VLOOKUP($A176,regions_full!$A$2:$AI$267,MATCH(polities_cats!S$1,$A$1:$AN$1,0),0)</f>
        <v>Former USSR</v>
      </c>
      <c r="T176">
        <f>VLOOKUP($A176,regions_full!$A$2:$AI$267,MATCH(polities_cats!T$1,$A$1:$AN$1,0),0)</f>
        <v>1</v>
      </c>
      <c r="U176" t="str">
        <f>VLOOKUP($A176,regions_full!$A$2:$AI$267,MATCH(polities_cats!U$1,$A$1:$AN$1,0),0)</f>
        <v>Turkmenistan</v>
      </c>
      <c r="V176" t="str">
        <f>VLOOKUP($A176,regions_full!$A$2:$AI$267,MATCH(polities_cats!V$1,$A$1:$AN$1,0),0)</f>
        <v>Central Asia and Russian Federation</v>
      </c>
      <c r="W176" t="str">
        <f>VLOOKUP($A176,regions_full!$A$2:$AI$267,MATCH(polities_cats!W$1,$A$1:$AN$1,0),0)</f>
        <v>South and Central Asia</v>
      </c>
      <c r="X176" t="str">
        <f>VLOOKUP($A176,regions_full!$A$2:$AI$267,MATCH(polities_cats!X$1,$A$1:$AN$1,0),0)</f>
        <v>CAS &amp; Russia</v>
      </c>
      <c r="Y176" t="str">
        <f>VLOOKUP($A176,regions_full!$A$2:$AI$267,MATCH(polities_cats!Y$1,$A$1:$AN$1,0),0)</f>
        <v>Central Asia</v>
      </c>
      <c r="Z176" t="str">
        <f>VLOOKUP($A176,regions_full!$A$2:$AI$267,MATCH(polities_cats!Z$1,$A$1:$AN$1,0),0)</f>
        <v>Asia</v>
      </c>
      <c r="AA176" t="str">
        <f>VLOOKUP($A176,regions_full!$A$2:$AI$267,MATCH(polities_cats!AA$1,$A$1:$AN$1,0),0)</f>
        <v>Europe and Central Asia</v>
      </c>
      <c r="AB176" t="str">
        <f>VLOOKUP($A176,regions_full!$A$2:$AI$267,MATCH(polities_cats!AB$1,$A$1:$AN$1,0),0)</f>
        <v>Central and Western Asia</v>
      </c>
      <c r="AC176" t="str">
        <f>VLOOKUP($A176,regions_full!$A$2:$AI$267,MATCH(polities_cats!AC$1,$A$1:$AN$1,0),0)</f>
        <v>Central Asia</v>
      </c>
      <c r="AD176" t="str">
        <f>VLOOKUP($A176,regions_full!$A$2:$AI$267,MATCH(polities_cats!AD$1,$A$1:$AN$1,0),0)</f>
        <v>Emerging</v>
      </c>
      <c r="AE176" t="str">
        <f>VLOOKUP($A176,regions_full!$A$2:$AI$267,MATCH(polities_cats!AE$1,$A$1:$AN$1,0),0)</f>
        <v>Annex_II</v>
      </c>
      <c r="AF176" t="str">
        <f>VLOOKUP($A176,regions_full!$A$2:$AI$267,MATCH(polities_cats!AF$1,$A$1:$AN$1,0),0)</f>
        <v>FSU</v>
      </c>
      <c r="AG176" t="str">
        <f>VLOOKUP($A176,regions_full!$A$2:$AI$267,MATCH(polities_cats!AG$1,$A$1:$AN$1,0),0)</f>
        <v>FSU</v>
      </c>
      <c r="AH176" t="str">
        <f>VLOOKUP($A176,regions_full!$A$2:$AI$267,MATCH(polities_cats!AH$1,$A$1:$AN$1,0),0)</f>
        <v>mech</v>
      </c>
      <c r="AI176" t="str">
        <f>VLOOKUP($A176,regions_full!$A$2:$AI$267,MATCH(polities_cats!AI$1,$A$1:$AN$1,0),0)</f>
        <v>Other</v>
      </c>
      <c r="AJ176" t="e">
        <f>VLOOKUP($A176,regions_full!$A$2:$AI$267,MATCH(polities_cats!AJ$1,$A$1:$AN$1,0),0)</f>
        <v>#REF!</v>
      </c>
      <c r="AK176" t="e">
        <f>VLOOKUP($A176,regions_full!$A$2:$AI$267,MATCH(polities_cats!AK$1,$A$1:$AN$1,0),0)</f>
        <v>#REF!</v>
      </c>
      <c r="AL176" t="e">
        <f>VLOOKUP($A176,regions_full!$A$2:$AI$267,MATCH(polities_cats!AL$1,$A$1:$AN$1,0),0)</f>
        <v>#REF!</v>
      </c>
      <c r="AM176" t="e">
        <f>VLOOKUP($A176,regions_full!$A$2:$AI$267,MATCH(polities_cats!AM$1,$A$1:$AN$1,0),0)</f>
        <v>#REF!</v>
      </c>
      <c r="AN176" t="e">
        <f>VLOOKUP($A176,regions_full!$A$2:$AI$267,MATCH(polities_cats!AN$1,$A$1:$AN$1,0),0)</f>
        <v>#REF!</v>
      </c>
    </row>
    <row r="177" spans="1:40" x14ac:dyDescent="0.3">
      <c r="A177" t="str">
        <f>polities_whep!A177</f>
        <v>UGA</v>
      </c>
      <c r="B177" t="str">
        <f>polities_whep!B177</f>
        <v>Uganda</v>
      </c>
      <c r="C177">
        <f>VLOOKUP($A177,regions_full!$A$2:$AI$267,MATCH(polities_cats!C$1,$A$1:$AN$1,0),0)</f>
        <v>222</v>
      </c>
      <c r="D177">
        <f>VLOOKUP($A177,regions_full!$A$2:$AI$267,MATCH(polities_cats!D$1,$A$1:$AN$1,0),0)</f>
        <v>226</v>
      </c>
      <c r="E177" t="str">
        <f>VLOOKUP($A177,regions_full!$A$2:$AI$267,MATCH(polities_cats!E$1,$A$1:$AN$1,0),0)</f>
        <v>UGA</v>
      </c>
      <c r="F177" t="str">
        <f>VLOOKUP($A177,regions_full!$A$2:$AI$267,MATCH(polities_cats!F$1,$A$1:$AN$1,0),0)</f>
        <v>Uganda</v>
      </c>
      <c r="G177" t="str">
        <f>VLOOKUP($A177,regions_full!$A$2:$AI$267,MATCH(polities_cats!G$1,$A$1:$AN$1,0),0)</f>
        <v>FALSE</v>
      </c>
      <c r="H177" t="str">
        <f>VLOOKUP($A177,regions_full!$A$2:$AI$267,MATCH(polities_cats!H$1,$A$1:$AN$1,0),0)</f>
        <v>Uganda</v>
      </c>
      <c r="I177" t="str">
        <f>VLOOKUP($A177,regions_full!$A$2:$AI$267,MATCH(polities_cats!I$1,$A$1:$AN$1,0),0)</f>
        <v>Uganda</v>
      </c>
      <c r="J177">
        <f>VLOOKUP($A177,regions_full!$A$2:$AI$267,MATCH(polities_cats!J$1,$A$1:$AN$1,0),0)</f>
        <v>0</v>
      </c>
      <c r="K177">
        <f>VLOOKUP($A177,regions_full!$A$2:$AI$267,MATCH(polities_cats!K$1,$A$1:$AN$1,0),0)</f>
        <v>226</v>
      </c>
      <c r="L177" t="str">
        <f>VLOOKUP($A177,regions_full!$A$2:$AI$267,MATCH(polities_cats!L$1,$A$1:$AN$1,0),0)</f>
        <v>Uganda</v>
      </c>
      <c r="M177">
        <f>VLOOKUP($A177,regions_full!$A$2:$AI$267,MATCH(polities_cats!M$1,$A$1:$AN$1,0),0)</f>
        <v>800</v>
      </c>
      <c r="N177">
        <f>VLOOKUP($A177,regions_full!$A$2:$AI$267,MATCH(polities_cats!N$1,$A$1:$AN$1,0),0)</f>
        <v>800</v>
      </c>
      <c r="O177">
        <f>VLOOKUP($A177,regions_full!$A$2:$AI$267,MATCH(polities_cats!O$1,$A$1:$AN$1,0),0)</f>
        <v>7</v>
      </c>
      <c r="P177" t="str">
        <f>VLOOKUP($A177,regions_full!$A$2:$AI$267,MATCH(polities_cats!P$1,$A$1:$AN$1,0),0)</f>
        <v>TRUE</v>
      </c>
      <c r="Q177">
        <f>VLOOKUP($A177,regions_full!$A$2:$AI$267,MATCH(polities_cats!Q$1,$A$1:$AN$1,0),0)</f>
        <v>226</v>
      </c>
      <c r="R177" t="str">
        <f>VLOOKUP($A177,regions_full!$A$2:$AI$267,MATCH(polities_cats!R$1,$A$1:$AN$1,0),0)</f>
        <v/>
      </c>
      <c r="S177" t="str">
        <f>VLOOKUP($A177,regions_full!$A$2:$AI$267,MATCH(polities_cats!S$1,$A$1:$AN$1,0),0)</f>
        <v>Eastern Africa</v>
      </c>
      <c r="T177">
        <f>VLOOKUP($A177,regions_full!$A$2:$AI$267,MATCH(polities_cats!T$1,$A$1:$AN$1,0),0)</f>
        <v>1</v>
      </c>
      <c r="U177" t="str">
        <f>VLOOKUP($A177,regions_full!$A$2:$AI$267,MATCH(polities_cats!U$1,$A$1:$AN$1,0),0)</f>
        <v>Uganda</v>
      </c>
      <c r="V177" t="str">
        <f>VLOOKUP($A177,regions_full!$A$2:$AI$267,MATCH(polities_cats!V$1,$A$1:$AN$1,0),0)</f>
        <v>Subsaharan Africa</v>
      </c>
      <c r="W177" t="str">
        <f>VLOOKUP($A177,regions_full!$A$2:$AI$267,MATCH(polities_cats!W$1,$A$1:$AN$1,0),0)</f>
        <v>Sub-saharan Africa</v>
      </c>
      <c r="X177" t="str">
        <f>VLOOKUP($A177,regions_full!$A$2:$AI$267,MATCH(polities_cats!X$1,$A$1:$AN$1,0),0)</f>
        <v>SSA</v>
      </c>
      <c r="Y177" t="str">
        <f>VLOOKUP($A177,regions_full!$A$2:$AI$267,MATCH(polities_cats!Y$1,$A$1:$AN$1,0),0)</f>
        <v>Sub-Saharan Africa</v>
      </c>
      <c r="Z177" t="str">
        <f>VLOOKUP($A177,regions_full!$A$2:$AI$267,MATCH(polities_cats!Z$1,$A$1:$AN$1,0),0)</f>
        <v>Africa</v>
      </c>
      <c r="AA177" t="str">
        <f>VLOOKUP($A177,regions_full!$A$2:$AI$267,MATCH(polities_cats!AA$1,$A$1:$AN$1,0),0)</f>
        <v>Africa</v>
      </c>
      <c r="AB177" t="str">
        <f>VLOOKUP($A177,regions_full!$A$2:$AI$267,MATCH(polities_cats!AB$1,$A$1:$AN$1,0),0)</f>
        <v>Sub-Saharan Africa</v>
      </c>
      <c r="AC177" t="str">
        <f>VLOOKUP($A177,regions_full!$A$2:$AI$267,MATCH(polities_cats!AC$1,$A$1:$AN$1,0),0)</f>
        <v>Eastern Africa</v>
      </c>
      <c r="AD177" t="str">
        <f>VLOOKUP($A177,regions_full!$A$2:$AI$267,MATCH(polities_cats!AD$1,$A$1:$AN$1,0),0)</f>
        <v>Emerging</v>
      </c>
      <c r="AE177" t="str">
        <f>VLOOKUP($A177,regions_full!$A$2:$AI$267,MATCH(polities_cats!AE$1,$A$1:$AN$1,0),0)</f>
        <v>Annex_II</v>
      </c>
      <c r="AF177" t="str">
        <f>VLOOKUP($A177,regions_full!$A$2:$AI$267,MATCH(polities_cats!AF$1,$A$1:$AN$1,0),0)</f>
        <v>Eastern Africa</v>
      </c>
      <c r="AG177" t="str">
        <f>VLOOKUP($A177,regions_full!$A$2:$AI$267,MATCH(polities_cats!AG$1,$A$1:$AN$1,0),0)</f>
        <v>SAA</v>
      </c>
      <c r="AH177" t="str">
        <f>VLOOKUP($A177,regions_full!$A$2:$AI$267,MATCH(polities_cats!AH$1,$A$1:$AN$1,0),0)</f>
        <v>no_mech</v>
      </c>
      <c r="AI177" t="str">
        <f>VLOOKUP($A177,regions_full!$A$2:$AI$267,MATCH(polities_cats!AI$1,$A$1:$AN$1,0),0)</f>
        <v>Other</v>
      </c>
      <c r="AJ177" t="e">
        <f>VLOOKUP($A177,regions_full!$A$2:$AI$267,MATCH(polities_cats!AJ$1,$A$1:$AN$1,0),0)</f>
        <v>#REF!</v>
      </c>
      <c r="AK177" t="e">
        <f>VLOOKUP($A177,regions_full!$A$2:$AI$267,MATCH(polities_cats!AK$1,$A$1:$AN$1,0),0)</f>
        <v>#REF!</v>
      </c>
      <c r="AL177" t="e">
        <f>VLOOKUP($A177,regions_full!$A$2:$AI$267,MATCH(polities_cats!AL$1,$A$1:$AN$1,0),0)</f>
        <v>#REF!</v>
      </c>
      <c r="AM177" t="e">
        <f>VLOOKUP($A177,regions_full!$A$2:$AI$267,MATCH(polities_cats!AM$1,$A$1:$AN$1,0),0)</f>
        <v>#REF!</v>
      </c>
      <c r="AN177" t="e">
        <f>VLOOKUP($A177,regions_full!$A$2:$AI$267,MATCH(polities_cats!AN$1,$A$1:$AN$1,0),0)</f>
        <v>#REF!</v>
      </c>
    </row>
    <row r="178" spans="1:40" x14ac:dyDescent="0.3">
      <c r="A178" t="str">
        <f>polities_whep!A178</f>
        <v>UKR</v>
      </c>
      <c r="B178" t="str">
        <f>polities_whep!B178</f>
        <v>Ukraine</v>
      </c>
      <c r="C178">
        <f>VLOOKUP($A178,regions_full!$A$2:$AI$267,MATCH(polities_cats!C$1,$A$1:$AN$1,0),0)</f>
        <v>226</v>
      </c>
      <c r="D178">
        <f>VLOOKUP($A178,regions_full!$A$2:$AI$267,MATCH(polities_cats!D$1,$A$1:$AN$1,0),0)</f>
        <v>230</v>
      </c>
      <c r="E178" t="str">
        <f>VLOOKUP($A178,regions_full!$A$2:$AI$267,MATCH(polities_cats!E$1,$A$1:$AN$1,0),0)</f>
        <v>UKR</v>
      </c>
      <c r="F178" t="str">
        <f>VLOOKUP($A178,regions_full!$A$2:$AI$267,MATCH(polities_cats!F$1,$A$1:$AN$1,0),0)</f>
        <v>Ukraine</v>
      </c>
      <c r="G178" t="str">
        <f>VLOOKUP($A178,regions_full!$A$2:$AI$267,MATCH(polities_cats!G$1,$A$1:$AN$1,0),0)</f>
        <v>FALSE</v>
      </c>
      <c r="H178" t="str">
        <f>VLOOKUP($A178,regions_full!$A$2:$AI$267,MATCH(polities_cats!H$1,$A$1:$AN$1,0),0)</f>
        <v>Ukraine</v>
      </c>
      <c r="I178" t="str">
        <f>VLOOKUP($A178,regions_full!$A$2:$AI$267,MATCH(polities_cats!I$1,$A$1:$AN$1,0),0)</f>
        <v>Ukraine</v>
      </c>
      <c r="J178" t="str">
        <f>VLOOKUP($A178,regions_full!$A$2:$AI$267,MATCH(polities_cats!J$1,$A$1:$AN$1,0),0)</f>
        <v>Ukraine</v>
      </c>
      <c r="K178">
        <f>VLOOKUP($A178,regions_full!$A$2:$AI$267,MATCH(polities_cats!K$1,$A$1:$AN$1,0),0)</f>
        <v>230</v>
      </c>
      <c r="L178" t="str">
        <f>VLOOKUP($A178,regions_full!$A$2:$AI$267,MATCH(polities_cats!L$1,$A$1:$AN$1,0),0)</f>
        <v>Ukraine</v>
      </c>
      <c r="M178">
        <f>VLOOKUP($A178,regions_full!$A$2:$AI$267,MATCH(polities_cats!M$1,$A$1:$AN$1,0),0)</f>
        <v>804</v>
      </c>
      <c r="N178">
        <f>VLOOKUP($A178,regions_full!$A$2:$AI$267,MATCH(polities_cats!N$1,$A$1:$AN$1,0),0)</f>
        <v>804</v>
      </c>
      <c r="O178">
        <f>VLOOKUP($A178,regions_full!$A$2:$AI$267,MATCH(polities_cats!O$1,$A$1:$AN$1,0),0)</f>
        <v>11</v>
      </c>
      <c r="P178" t="str">
        <f>VLOOKUP($A178,regions_full!$A$2:$AI$267,MATCH(polities_cats!P$1,$A$1:$AN$1,0),0)</f>
        <v>TRUE</v>
      </c>
      <c r="Q178">
        <f>VLOOKUP($A178,regions_full!$A$2:$AI$267,MATCH(polities_cats!Q$1,$A$1:$AN$1,0),0)</f>
        <v>230</v>
      </c>
      <c r="R178" t="str">
        <f>VLOOKUP($A178,regions_full!$A$2:$AI$267,MATCH(polities_cats!R$1,$A$1:$AN$1,0),0)</f>
        <v/>
      </c>
      <c r="S178" t="str">
        <f>VLOOKUP($A178,regions_full!$A$2:$AI$267,MATCH(polities_cats!S$1,$A$1:$AN$1,0),0)</f>
        <v>Former USSR</v>
      </c>
      <c r="T178">
        <f>VLOOKUP($A178,regions_full!$A$2:$AI$267,MATCH(polities_cats!T$1,$A$1:$AN$1,0),0)</f>
        <v>1</v>
      </c>
      <c r="U178" t="str">
        <f>VLOOKUP($A178,regions_full!$A$2:$AI$267,MATCH(polities_cats!U$1,$A$1:$AN$1,0),0)</f>
        <v>Ukraine</v>
      </c>
      <c r="V178" t="str">
        <f>VLOOKUP($A178,regions_full!$A$2:$AI$267,MATCH(polities_cats!V$1,$A$1:$AN$1,0),0)</f>
        <v>Eastern and South Eastern Europe</v>
      </c>
      <c r="W178" t="str">
        <f>VLOOKUP($A178,regions_full!$A$2:$AI$267,MATCH(polities_cats!W$1,$A$1:$AN$1,0),0)</f>
        <v>East Europe</v>
      </c>
      <c r="X178" t="str">
        <f>VLOOKUP($A178,regions_full!$A$2:$AI$267,MATCH(polities_cats!X$1,$A$1:$AN$1,0),0)</f>
        <v>Europe</v>
      </c>
      <c r="Y178" t="str">
        <f>VLOOKUP($A178,regions_full!$A$2:$AI$267,MATCH(polities_cats!Y$1,$A$1:$AN$1,0),0)</f>
        <v>Eastern Europe</v>
      </c>
      <c r="Z178" t="str">
        <f>VLOOKUP($A178,regions_full!$A$2:$AI$267,MATCH(polities_cats!Z$1,$A$1:$AN$1,0),0)</f>
        <v>Europe</v>
      </c>
      <c r="AA178" t="str">
        <f>VLOOKUP($A178,regions_full!$A$2:$AI$267,MATCH(polities_cats!AA$1,$A$1:$AN$1,0),0)</f>
        <v>Europe and Central Asia</v>
      </c>
      <c r="AB178" t="str">
        <f>VLOOKUP($A178,regions_full!$A$2:$AI$267,MATCH(polities_cats!AB$1,$A$1:$AN$1,0),0)</f>
        <v>Eastern Europe</v>
      </c>
      <c r="AC178" t="str">
        <f>VLOOKUP($A178,regions_full!$A$2:$AI$267,MATCH(polities_cats!AC$1,$A$1:$AN$1,0),0)</f>
        <v>Eastern Europe</v>
      </c>
      <c r="AD178" t="str">
        <f>VLOOKUP($A178,regions_full!$A$2:$AI$267,MATCH(polities_cats!AD$1,$A$1:$AN$1,0),0)</f>
        <v>Emerging</v>
      </c>
      <c r="AE178" t="str">
        <f>VLOOKUP($A178,regions_full!$A$2:$AI$267,MATCH(polities_cats!AE$1,$A$1:$AN$1,0),0)</f>
        <v>Annex_I</v>
      </c>
      <c r="AF178" t="str">
        <f>VLOOKUP($A178,regions_full!$A$2:$AI$267,MATCH(polities_cats!AF$1,$A$1:$AN$1,0),0)</f>
        <v>FSU</v>
      </c>
      <c r="AG178" t="str">
        <f>VLOOKUP($A178,regions_full!$A$2:$AI$267,MATCH(polities_cats!AG$1,$A$1:$AN$1,0),0)</f>
        <v>FSU</v>
      </c>
      <c r="AH178" t="str">
        <f>VLOOKUP($A178,regions_full!$A$2:$AI$267,MATCH(polities_cats!AH$1,$A$1:$AN$1,0),0)</f>
        <v>mech</v>
      </c>
      <c r="AI178" t="str">
        <f>VLOOKUP($A178,regions_full!$A$2:$AI$267,MATCH(polities_cats!AI$1,$A$1:$AN$1,0),0)</f>
        <v>Europe</v>
      </c>
      <c r="AJ178" t="e">
        <f>VLOOKUP($A178,regions_full!$A$2:$AI$267,MATCH(polities_cats!AJ$1,$A$1:$AN$1,0),0)</f>
        <v>#REF!</v>
      </c>
      <c r="AK178" t="e">
        <f>VLOOKUP($A178,regions_full!$A$2:$AI$267,MATCH(polities_cats!AK$1,$A$1:$AN$1,0),0)</f>
        <v>#REF!</v>
      </c>
      <c r="AL178" t="e">
        <f>VLOOKUP($A178,regions_full!$A$2:$AI$267,MATCH(polities_cats!AL$1,$A$1:$AN$1,0),0)</f>
        <v>#REF!</v>
      </c>
      <c r="AM178" t="e">
        <f>VLOOKUP($A178,regions_full!$A$2:$AI$267,MATCH(polities_cats!AM$1,$A$1:$AN$1,0),0)</f>
        <v>#REF!</v>
      </c>
      <c r="AN178" t="e">
        <f>VLOOKUP($A178,regions_full!$A$2:$AI$267,MATCH(polities_cats!AN$1,$A$1:$AN$1,0),0)</f>
        <v>#REF!</v>
      </c>
    </row>
    <row r="179" spans="1:40" x14ac:dyDescent="0.3">
      <c r="A179" t="str">
        <f>polities_whep!A179</f>
        <v>ARE</v>
      </c>
      <c r="B179" t="str">
        <f>polities_whep!B179</f>
        <v>United Arab Emirates</v>
      </c>
      <c r="C179">
        <f>VLOOKUP($A179,regions_full!$A$2:$AI$267,MATCH(polities_cats!C$1,$A$1:$AN$1,0),0)</f>
        <v>221</v>
      </c>
      <c r="D179">
        <f>VLOOKUP($A179,regions_full!$A$2:$AI$267,MATCH(polities_cats!D$1,$A$1:$AN$1,0),0)</f>
        <v>225</v>
      </c>
      <c r="E179" t="str">
        <f>VLOOKUP($A179,regions_full!$A$2:$AI$267,MATCH(polities_cats!E$1,$A$1:$AN$1,0),0)</f>
        <v>ARE</v>
      </c>
      <c r="F179" t="str">
        <f>VLOOKUP($A179,regions_full!$A$2:$AI$267,MATCH(polities_cats!F$1,$A$1:$AN$1,0),0)</f>
        <v>United Arab Emirates</v>
      </c>
      <c r="G179" t="str">
        <f>VLOOKUP($A179,regions_full!$A$2:$AI$267,MATCH(polities_cats!G$1,$A$1:$AN$1,0),0)</f>
        <v>FALSE</v>
      </c>
      <c r="H179" t="str">
        <f>VLOOKUP($A179,regions_full!$A$2:$AI$267,MATCH(polities_cats!H$1,$A$1:$AN$1,0),0)</f>
        <v>United Arab Emirates</v>
      </c>
      <c r="I179" t="str">
        <f>VLOOKUP($A179,regions_full!$A$2:$AI$267,MATCH(polities_cats!I$1,$A$1:$AN$1,0),0)</f>
        <v>United Arab Emirates</v>
      </c>
      <c r="J179" t="str">
        <f>VLOOKUP($A179,regions_full!$A$2:$AI$267,MATCH(polities_cats!J$1,$A$1:$AN$1,0),0)</f>
        <v>United Arab Emirates</v>
      </c>
      <c r="K179">
        <f>VLOOKUP($A179,regions_full!$A$2:$AI$267,MATCH(polities_cats!K$1,$A$1:$AN$1,0),0)</f>
        <v>225</v>
      </c>
      <c r="L179" t="str">
        <f>VLOOKUP($A179,regions_full!$A$2:$AI$267,MATCH(polities_cats!L$1,$A$1:$AN$1,0),0)</f>
        <v>United Arab Emirates</v>
      </c>
      <c r="M179">
        <f>VLOOKUP($A179,regions_full!$A$2:$AI$267,MATCH(polities_cats!M$1,$A$1:$AN$1,0),0)</f>
        <v>784</v>
      </c>
      <c r="N179">
        <f>VLOOKUP($A179,regions_full!$A$2:$AI$267,MATCH(polities_cats!N$1,$A$1:$AN$1,0),0)</f>
        <v>784</v>
      </c>
      <c r="O179">
        <f>VLOOKUP($A179,regions_full!$A$2:$AI$267,MATCH(polities_cats!O$1,$A$1:$AN$1,0),0)</f>
        <v>12</v>
      </c>
      <c r="P179" t="str">
        <f>VLOOKUP($A179,regions_full!$A$2:$AI$267,MATCH(polities_cats!P$1,$A$1:$AN$1,0),0)</f>
        <v>TRUE</v>
      </c>
      <c r="Q179">
        <f>VLOOKUP($A179,regions_full!$A$2:$AI$267,MATCH(polities_cats!Q$1,$A$1:$AN$1,0),0)</f>
        <v>225</v>
      </c>
      <c r="R179" t="str">
        <f>VLOOKUP($A179,regions_full!$A$2:$AI$267,MATCH(polities_cats!R$1,$A$1:$AN$1,0),0)</f>
        <v/>
      </c>
      <c r="S179" t="str">
        <f>VLOOKUP($A179,regions_full!$A$2:$AI$267,MATCH(polities_cats!S$1,$A$1:$AN$1,0),0)</f>
        <v>Middle East</v>
      </c>
      <c r="T179">
        <f>VLOOKUP($A179,regions_full!$A$2:$AI$267,MATCH(polities_cats!T$1,$A$1:$AN$1,0),0)</f>
        <v>1</v>
      </c>
      <c r="U179" t="str">
        <f>VLOOKUP($A179,regions_full!$A$2:$AI$267,MATCH(polities_cats!U$1,$A$1:$AN$1,0),0)</f>
        <v>United Arab Emirates</v>
      </c>
      <c r="V179" t="str">
        <f>VLOOKUP($A179,regions_full!$A$2:$AI$267,MATCH(polities_cats!V$1,$A$1:$AN$1,0),0)</f>
        <v>Northern Africa and Western Asia</v>
      </c>
      <c r="W179" t="str">
        <f>VLOOKUP($A179,regions_full!$A$2:$AI$267,MATCH(polities_cats!W$1,$A$1:$AN$1,0),0)</f>
        <v>North Africa and West Asia</v>
      </c>
      <c r="X179" t="str">
        <f>VLOOKUP($A179,regions_full!$A$2:$AI$267,MATCH(polities_cats!X$1,$A$1:$AN$1,0),0)</f>
        <v>MENA</v>
      </c>
      <c r="Y179" t="str">
        <f>VLOOKUP($A179,regions_full!$A$2:$AI$267,MATCH(polities_cats!Y$1,$A$1:$AN$1,0),0)</f>
        <v>Western Asia</v>
      </c>
      <c r="Z179" t="str">
        <f>VLOOKUP($A179,regions_full!$A$2:$AI$267,MATCH(polities_cats!Z$1,$A$1:$AN$1,0),0)</f>
        <v>Asia</v>
      </c>
      <c r="AA179" t="str">
        <f>VLOOKUP($A179,regions_full!$A$2:$AI$267,MATCH(polities_cats!AA$1,$A$1:$AN$1,0),0)</f>
        <v>Arab States</v>
      </c>
      <c r="AB179" t="str">
        <f>VLOOKUP($A179,regions_full!$A$2:$AI$267,MATCH(polities_cats!AB$1,$A$1:$AN$1,0),0)</f>
        <v>Arab States</v>
      </c>
      <c r="AC179" t="str">
        <f>VLOOKUP($A179,regions_full!$A$2:$AI$267,MATCH(polities_cats!AC$1,$A$1:$AN$1,0),0)</f>
        <v>Arab States</v>
      </c>
      <c r="AD179" t="str">
        <f>VLOOKUP($A179,regions_full!$A$2:$AI$267,MATCH(polities_cats!AD$1,$A$1:$AN$1,0),0)</f>
        <v>Emerging</v>
      </c>
      <c r="AE179" t="str">
        <f>VLOOKUP($A179,regions_full!$A$2:$AI$267,MATCH(polities_cats!AE$1,$A$1:$AN$1,0),0)</f>
        <v>Annex_II</v>
      </c>
      <c r="AF179" t="str">
        <f>VLOOKUP($A179,regions_full!$A$2:$AI$267,MATCH(polities_cats!AF$1,$A$1:$AN$1,0),0)</f>
        <v>Western Asia</v>
      </c>
      <c r="AG179" t="str">
        <f>VLOOKUP($A179,regions_full!$A$2:$AI$267,MATCH(polities_cats!AG$1,$A$1:$AN$1,0),0)</f>
        <v>MENA</v>
      </c>
      <c r="AH179" t="str">
        <f>VLOOKUP($A179,regions_full!$A$2:$AI$267,MATCH(polities_cats!AH$1,$A$1:$AN$1,0),0)</f>
        <v>no_mech</v>
      </c>
      <c r="AI179" t="str">
        <f>VLOOKUP($A179,regions_full!$A$2:$AI$267,MATCH(polities_cats!AI$1,$A$1:$AN$1,0),0)</f>
        <v>Other</v>
      </c>
      <c r="AJ179" t="e">
        <f>VLOOKUP($A179,regions_full!$A$2:$AI$267,MATCH(polities_cats!AJ$1,$A$1:$AN$1,0),0)</f>
        <v>#REF!</v>
      </c>
      <c r="AK179" t="e">
        <f>VLOOKUP($A179,regions_full!$A$2:$AI$267,MATCH(polities_cats!AK$1,$A$1:$AN$1,0),0)</f>
        <v>#REF!</v>
      </c>
      <c r="AL179" t="e">
        <f>VLOOKUP($A179,regions_full!$A$2:$AI$267,MATCH(polities_cats!AL$1,$A$1:$AN$1,0),0)</f>
        <v>#REF!</v>
      </c>
      <c r="AM179" t="e">
        <f>VLOOKUP($A179,regions_full!$A$2:$AI$267,MATCH(polities_cats!AM$1,$A$1:$AN$1,0),0)</f>
        <v>#REF!</v>
      </c>
      <c r="AN179" t="e">
        <f>VLOOKUP($A179,regions_full!$A$2:$AI$267,MATCH(polities_cats!AN$1,$A$1:$AN$1,0),0)</f>
        <v>#REF!</v>
      </c>
    </row>
    <row r="180" spans="1:40" x14ac:dyDescent="0.3">
      <c r="A180" t="str">
        <f>polities_whep!A180</f>
        <v>GBR</v>
      </c>
      <c r="B180" t="str">
        <f>polities_whep!B180</f>
        <v>United Kingdom</v>
      </c>
      <c r="C180">
        <f>VLOOKUP($A180,regions_full!$A$2:$AI$267,MATCH(polities_cats!C$1,$A$1:$AN$1,0),0)</f>
        <v>225</v>
      </c>
      <c r="D180">
        <f>VLOOKUP($A180,regions_full!$A$2:$AI$267,MATCH(polities_cats!D$1,$A$1:$AN$1,0),0)</f>
        <v>229</v>
      </c>
      <c r="E180" t="str">
        <f>VLOOKUP($A180,regions_full!$A$2:$AI$267,MATCH(polities_cats!E$1,$A$1:$AN$1,0),0)</f>
        <v>GBR</v>
      </c>
      <c r="F180" t="str">
        <f>VLOOKUP($A180,regions_full!$A$2:$AI$267,MATCH(polities_cats!F$1,$A$1:$AN$1,0),0)</f>
        <v>United Kingdom of Great Britain and Northern Ireland</v>
      </c>
      <c r="G180" t="str">
        <f>VLOOKUP($A180,regions_full!$A$2:$AI$267,MATCH(polities_cats!G$1,$A$1:$AN$1,0),0)</f>
        <v>FALSE</v>
      </c>
      <c r="H180" t="str">
        <f>VLOOKUP($A180,regions_full!$A$2:$AI$267,MATCH(polities_cats!H$1,$A$1:$AN$1,0),0)</f>
        <v>United Kingdom</v>
      </c>
      <c r="I180" t="str">
        <f>VLOOKUP($A180,regions_full!$A$2:$AI$267,MATCH(polities_cats!I$1,$A$1:$AN$1,0),0)</f>
        <v>United Kingdom</v>
      </c>
      <c r="J180" t="str">
        <f>VLOOKUP($A180,regions_full!$A$2:$AI$267,MATCH(polities_cats!J$1,$A$1:$AN$1,0),0)</f>
        <v>United Kingdom</v>
      </c>
      <c r="K180">
        <f>VLOOKUP($A180,regions_full!$A$2:$AI$267,MATCH(polities_cats!K$1,$A$1:$AN$1,0),0)</f>
        <v>229</v>
      </c>
      <c r="L180" t="str">
        <f>VLOOKUP($A180,regions_full!$A$2:$AI$267,MATCH(polities_cats!L$1,$A$1:$AN$1,0),0)</f>
        <v>United Kingdom</v>
      </c>
      <c r="M180">
        <f>VLOOKUP($A180,regions_full!$A$2:$AI$267,MATCH(polities_cats!M$1,$A$1:$AN$1,0),0)</f>
        <v>826</v>
      </c>
      <c r="N180">
        <f>VLOOKUP($A180,regions_full!$A$2:$AI$267,MATCH(polities_cats!N$1,$A$1:$AN$1,0),0)</f>
        <v>826</v>
      </c>
      <c r="O180">
        <f>VLOOKUP($A180,regions_full!$A$2:$AI$267,MATCH(polities_cats!O$1,$A$1:$AN$1,0),0)</f>
        <v>9</v>
      </c>
      <c r="P180" t="str">
        <f>VLOOKUP($A180,regions_full!$A$2:$AI$267,MATCH(polities_cats!P$1,$A$1:$AN$1,0),0)</f>
        <v>TRUE</v>
      </c>
      <c r="Q180">
        <f>VLOOKUP($A180,regions_full!$A$2:$AI$267,MATCH(polities_cats!Q$1,$A$1:$AN$1,0),0)</f>
        <v>229</v>
      </c>
      <c r="R180" t="str">
        <f>VLOOKUP($A180,regions_full!$A$2:$AI$267,MATCH(polities_cats!R$1,$A$1:$AN$1,0),0)</f>
        <v/>
      </c>
      <c r="S180" t="str">
        <f>VLOOKUP($A180,regions_full!$A$2:$AI$267,MATCH(polities_cats!S$1,$A$1:$AN$1,0),0)</f>
        <v>OECD Europe</v>
      </c>
      <c r="T180">
        <f>VLOOKUP($A180,regions_full!$A$2:$AI$267,MATCH(polities_cats!T$1,$A$1:$AN$1,0),0)</f>
        <v>1</v>
      </c>
      <c r="U180" t="str">
        <f>VLOOKUP($A180,regions_full!$A$2:$AI$267,MATCH(polities_cats!U$1,$A$1:$AN$1,0),0)</f>
        <v>United Kingdom</v>
      </c>
      <c r="V180" t="str">
        <f>VLOOKUP($A180,regions_full!$A$2:$AI$267,MATCH(polities_cats!V$1,$A$1:$AN$1,0),0)</f>
        <v>Western Europe</v>
      </c>
      <c r="W180" t="str">
        <f>VLOOKUP($A180,regions_full!$A$2:$AI$267,MATCH(polities_cats!W$1,$A$1:$AN$1,0),0)</f>
        <v>West Europe</v>
      </c>
      <c r="X180" t="str">
        <f>VLOOKUP($A180,regions_full!$A$2:$AI$267,MATCH(polities_cats!X$1,$A$1:$AN$1,0),0)</f>
        <v>Europe</v>
      </c>
      <c r="Y180" t="str">
        <f>VLOOKUP($A180,regions_full!$A$2:$AI$267,MATCH(polities_cats!Y$1,$A$1:$AN$1,0),0)</f>
        <v>Northern Europe</v>
      </c>
      <c r="Z180" t="str">
        <f>VLOOKUP($A180,regions_full!$A$2:$AI$267,MATCH(polities_cats!Z$1,$A$1:$AN$1,0),0)</f>
        <v>Europe</v>
      </c>
      <c r="AA180" t="str">
        <f>VLOOKUP($A180,regions_full!$A$2:$AI$267,MATCH(polities_cats!AA$1,$A$1:$AN$1,0),0)</f>
        <v>Europe and Central Asia</v>
      </c>
      <c r="AB180" t="str">
        <f>VLOOKUP($A180,regions_full!$A$2:$AI$267,MATCH(polities_cats!AB$1,$A$1:$AN$1,0),0)</f>
        <v>Northern, Southern and Western Europe</v>
      </c>
      <c r="AC180" t="str">
        <f>VLOOKUP($A180,regions_full!$A$2:$AI$267,MATCH(polities_cats!AC$1,$A$1:$AN$1,0),0)</f>
        <v>Northern Europe</v>
      </c>
      <c r="AD180" t="str">
        <f>VLOOKUP($A180,regions_full!$A$2:$AI$267,MATCH(polities_cats!AD$1,$A$1:$AN$1,0),0)</f>
        <v>Advanced</v>
      </c>
      <c r="AE180" t="str">
        <f>VLOOKUP($A180,regions_full!$A$2:$AI$267,MATCH(polities_cats!AE$1,$A$1:$AN$1,0),0)</f>
        <v>Annex_I</v>
      </c>
      <c r="AF180" t="str">
        <f>VLOOKUP($A180,regions_full!$A$2:$AI$267,MATCH(polities_cats!AF$1,$A$1:$AN$1,0),0)</f>
        <v>Northern Europe</v>
      </c>
      <c r="AG180" t="str">
        <f>VLOOKUP($A180,regions_full!$A$2:$AI$267,MATCH(polities_cats!AG$1,$A$1:$AN$1,0),0)</f>
        <v>Europe</v>
      </c>
      <c r="AH180" t="str">
        <f>VLOOKUP($A180,regions_full!$A$2:$AI$267,MATCH(polities_cats!AH$1,$A$1:$AN$1,0),0)</f>
        <v>mech</v>
      </c>
      <c r="AI180" t="str">
        <f>VLOOKUP($A180,regions_full!$A$2:$AI$267,MATCH(polities_cats!AI$1,$A$1:$AN$1,0),0)</f>
        <v>Europe</v>
      </c>
      <c r="AJ180" t="e">
        <f>VLOOKUP($A180,regions_full!$A$2:$AI$267,MATCH(polities_cats!AJ$1,$A$1:$AN$1,0),0)</f>
        <v>#REF!</v>
      </c>
      <c r="AK180" t="e">
        <f>VLOOKUP($A180,regions_full!$A$2:$AI$267,MATCH(polities_cats!AK$1,$A$1:$AN$1,0),0)</f>
        <v>#REF!</v>
      </c>
      <c r="AL180" t="e">
        <f>VLOOKUP($A180,regions_full!$A$2:$AI$267,MATCH(polities_cats!AL$1,$A$1:$AN$1,0),0)</f>
        <v>#REF!</v>
      </c>
      <c r="AM180" t="e">
        <f>VLOOKUP($A180,regions_full!$A$2:$AI$267,MATCH(polities_cats!AM$1,$A$1:$AN$1,0),0)</f>
        <v>#REF!</v>
      </c>
      <c r="AN180" t="e">
        <f>VLOOKUP($A180,regions_full!$A$2:$AI$267,MATCH(polities_cats!AN$1,$A$1:$AN$1,0),0)</f>
        <v>#REF!</v>
      </c>
    </row>
    <row r="181" spans="1:40" x14ac:dyDescent="0.3">
      <c r="A181" t="str">
        <f>polities_whep!A181</f>
        <v>USA</v>
      </c>
      <c r="B181" t="str">
        <f>polities_whep!B181</f>
        <v>United States of America</v>
      </c>
      <c r="C181">
        <f>VLOOKUP($A181,regions_full!$A$2:$AI$267,MATCH(polities_cats!C$1,$A$1:$AN$1,0),0)</f>
        <v>227</v>
      </c>
      <c r="D181">
        <f>VLOOKUP($A181,regions_full!$A$2:$AI$267,MATCH(polities_cats!D$1,$A$1:$AN$1,0),0)</f>
        <v>231</v>
      </c>
      <c r="E181" t="str">
        <f>VLOOKUP($A181,regions_full!$A$2:$AI$267,MATCH(polities_cats!E$1,$A$1:$AN$1,0),0)</f>
        <v>USA</v>
      </c>
      <c r="F181" t="str">
        <f>VLOOKUP($A181,regions_full!$A$2:$AI$267,MATCH(polities_cats!F$1,$A$1:$AN$1,0),0)</f>
        <v>United States of America</v>
      </c>
      <c r="G181" t="str">
        <f>VLOOKUP($A181,regions_full!$A$2:$AI$267,MATCH(polities_cats!G$1,$A$1:$AN$1,0),0)</f>
        <v>FALSE</v>
      </c>
      <c r="H181" t="str">
        <f>VLOOKUP($A181,regions_full!$A$2:$AI$267,MATCH(polities_cats!H$1,$A$1:$AN$1,0),0)</f>
        <v>United States of America</v>
      </c>
      <c r="I181" t="str">
        <f>VLOOKUP($A181,regions_full!$A$2:$AI$267,MATCH(polities_cats!I$1,$A$1:$AN$1,0),0)</f>
        <v>United States</v>
      </c>
      <c r="J181" t="str">
        <f>VLOOKUP($A181,regions_full!$A$2:$AI$267,MATCH(polities_cats!J$1,$A$1:$AN$1,0),0)</f>
        <v>United States</v>
      </c>
      <c r="K181">
        <f>VLOOKUP($A181,regions_full!$A$2:$AI$267,MATCH(polities_cats!K$1,$A$1:$AN$1,0),0)</f>
        <v>231</v>
      </c>
      <c r="L181" t="str">
        <f>VLOOKUP($A181,regions_full!$A$2:$AI$267,MATCH(polities_cats!L$1,$A$1:$AN$1,0),0)</f>
        <v>United States of America</v>
      </c>
      <c r="M181">
        <f>VLOOKUP($A181,regions_full!$A$2:$AI$267,MATCH(polities_cats!M$1,$A$1:$AN$1,0),0)</f>
        <v>842</v>
      </c>
      <c r="N181">
        <f>VLOOKUP($A181,regions_full!$A$2:$AI$267,MATCH(polities_cats!N$1,$A$1:$AN$1,0),0)</f>
        <v>840</v>
      </c>
      <c r="O181">
        <f>VLOOKUP($A181,regions_full!$A$2:$AI$267,MATCH(polities_cats!O$1,$A$1:$AN$1,0),0)</f>
        <v>2</v>
      </c>
      <c r="P181" t="str">
        <f>VLOOKUP($A181,regions_full!$A$2:$AI$267,MATCH(polities_cats!P$1,$A$1:$AN$1,0),0)</f>
        <v>TRUE</v>
      </c>
      <c r="Q181">
        <f>VLOOKUP($A181,regions_full!$A$2:$AI$267,MATCH(polities_cats!Q$1,$A$1:$AN$1,0),0)</f>
        <v>231</v>
      </c>
      <c r="R181" t="str">
        <f>VLOOKUP($A181,regions_full!$A$2:$AI$267,MATCH(polities_cats!R$1,$A$1:$AN$1,0),0)</f>
        <v/>
      </c>
      <c r="S181" t="str">
        <f>VLOOKUP($A181,regions_full!$A$2:$AI$267,MATCH(polities_cats!S$1,$A$1:$AN$1,0),0)</f>
        <v>USA</v>
      </c>
      <c r="T181">
        <f>VLOOKUP($A181,regions_full!$A$2:$AI$267,MATCH(polities_cats!T$1,$A$1:$AN$1,0),0)</f>
        <v>1</v>
      </c>
      <c r="U181" t="str">
        <f>VLOOKUP($A181,regions_full!$A$2:$AI$267,MATCH(polities_cats!U$1,$A$1:$AN$1,0),0)</f>
        <v>United States of America</v>
      </c>
      <c r="V181" t="str">
        <f>VLOOKUP($A181,regions_full!$A$2:$AI$267,MATCH(polities_cats!V$1,$A$1:$AN$1,0),0)</f>
        <v>Northern America</v>
      </c>
      <c r="W181" t="str">
        <f>VLOOKUP($A181,regions_full!$A$2:$AI$267,MATCH(polities_cats!W$1,$A$1:$AN$1,0),0)</f>
        <v>North America and Oceania</v>
      </c>
      <c r="X181" t="str">
        <f>VLOOKUP($A181,regions_full!$A$2:$AI$267,MATCH(polities_cats!X$1,$A$1:$AN$1,0),0)</f>
        <v>Northern America</v>
      </c>
      <c r="Y181" t="str">
        <f>VLOOKUP($A181,regions_full!$A$2:$AI$267,MATCH(polities_cats!Y$1,$A$1:$AN$1,0),0)</f>
        <v>Northern America</v>
      </c>
      <c r="Z181" t="str">
        <f>VLOOKUP($A181,regions_full!$A$2:$AI$267,MATCH(polities_cats!Z$1,$A$1:$AN$1,0),0)</f>
        <v>Americas</v>
      </c>
      <c r="AA181" t="str">
        <f>VLOOKUP($A181,regions_full!$A$2:$AI$267,MATCH(polities_cats!AA$1,$A$1:$AN$1,0),0)</f>
        <v>Americas</v>
      </c>
      <c r="AB181" t="str">
        <f>VLOOKUP($A181,regions_full!$A$2:$AI$267,MATCH(polities_cats!AB$1,$A$1:$AN$1,0),0)</f>
        <v>Northern America</v>
      </c>
      <c r="AC181" t="str">
        <f>VLOOKUP($A181,regions_full!$A$2:$AI$267,MATCH(polities_cats!AC$1,$A$1:$AN$1,0),0)</f>
        <v>Northern America</v>
      </c>
      <c r="AD181" t="str">
        <f>VLOOKUP($A181,regions_full!$A$2:$AI$267,MATCH(polities_cats!AD$1,$A$1:$AN$1,0),0)</f>
        <v>Advanced</v>
      </c>
      <c r="AE181" t="str">
        <f>VLOOKUP($A181,regions_full!$A$2:$AI$267,MATCH(polities_cats!AE$1,$A$1:$AN$1,0),0)</f>
        <v>Annex_I</v>
      </c>
      <c r="AF181" t="str">
        <f>VLOOKUP($A181,regions_full!$A$2:$AI$267,MATCH(polities_cats!AF$1,$A$1:$AN$1,0),0)</f>
        <v>Northern America</v>
      </c>
      <c r="AG181" t="str">
        <f>VLOOKUP($A181,regions_full!$A$2:$AI$267,MATCH(polities_cats!AG$1,$A$1:$AN$1,0),0)</f>
        <v>NAME</v>
      </c>
      <c r="AH181" t="str">
        <f>VLOOKUP($A181,regions_full!$A$2:$AI$267,MATCH(polities_cats!AH$1,$A$1:$AN$1,0),0)</f>
        <v>mech</v>
      </c>
      <c r="AI181" t="str">
        <f>VLOOKUP($A181,regions_full!$A$2:$AI$267,MATCH(polities_cats!AI$1,$A$1:$AN$1,0),0)</f>
        <v>Other</v>
      </c>
      <c r="AJ181" t="e">
        <f>VLOOKUP($A181,regions_full!$A$2:$AI$267,MATCH(polities_cats!AJ$1,$A$1:$AN$1,0),0)</f>
        <v>#REF!</v>
      </c>
      <c r="AK181" t="e">
        <f>VLOOKUP($A181,regions_full!$A$2:$AI$267,MATCH(polities_cats!AK$1,$A$1:$AN$1,0),0)</f>
        <v>#REF!</v>
      </c>
      <c r="AL181" t="e">
        <f>VLOOKUP($A181,regions_full!$A$2:$AI$267,MATCH(polities_cats!AL$1,$A$1:$AN$1,0),0)</f>
        <v>#REF!</v>
      </c>
      <c r="AM181" t="e">
        <f>VLOOKUP($A181,regions_full!$A$2:$AI$267,MATCH(polities_cats!AM$1,$A$1:$AN$1,0),0)</f>
        <v>#REF!</v>
      </c>
      <c r="AN181" t="e">
        <f>VLOOKUP($A181,regions_full!$A$2:$AI$267,MATCH(polities_cats!AN$1,$A$1:$AN$1,0),0)</f>
        <v>#REF!</v>
      </c>
    </row>
    <row r="182" spans="1:40" x14ac:dyDescent="0.3">
      <c r="A182" t="str">
        <f>polities_whep!A182</f>
        <v>URY</v>
      </c>
      <c r="B182" t="str">
        <f>polities_whep!B182</f>
        <v>Uruguay</v>
      </c>
      <c r="C182">
        <f>VLOOKUP($A182,regions_full!$A$2:$AI$267,MATCH(polities_cats!C$1,$A$1:$AN$1,0),0)</f>
        <v>230</v>
      </c>
      <c r="D182">
        <f>VLOOKUP($A182,regions_full!$A$2:$AI$267,MATCH(polities_cats!D$1,$A$1:$AN$1,0),0)</f>
        <v>234</v>
      </c>
      <c r="E182" t="str">
        <f>VLOOKUP($A182,regions_full!$A$2:$AI$267,MATCH(polities_cats!E$1,$A$1:$AN$1,0),0)</f>
        <v>URY</v>
      </c>
      <c r="F182" t="str">
        <f>VLOOKUP($A182,regions_full!$A$2:$AI$267,MATCH(polities_cats!F$1,$A$1:$AN$1,0),0)</f>
        <v>Uruguay</v>
      </c>
      <c r="G182" t="str">
        <f>VLOOKUP($A182,regions_full!$A$2:$AI$267,MATCH(polities_cats!G$1,$A$1:$AN$1,0),0)</f>
        <v>FALSE</v>
      </c>
      <c r="H182" t="str">
        <f>VLOOKUP($A182,regions_full!$A$2:$AI$267,MATCH(polities_cats!H$1,$A$1:$AN$1,0),0)</f>
        <v>Uruguay</v>
      </c>
      <c r="I182" t="str">
        <f>VLOOKUP($A182,regions_full!$A$2:$AI$267,MATCH(polities_cats!I$1,$A$1:$AN$1,0),0)</f>
        <v>Uruguay</v>
      </c>
      <c r="J182" t="str">
        <f>VLOOKUP($A182,regions_full!$A$2:$AI$267,MATCH(polities_cats!J$1,$A$1:$AN$1,0),0)</f>
        <v>Uruguay</v>
      </c>
      <c r="K182">
        <f>VLOOKUP($A182,regions_full!$A$2:$AI$267,MATCH(polities_cats!K$1,$A$1:$AN$1,0),0)</f>
        <v>234</v>
      </c>
      <c r="L182" t="str">
        <f>VLOOKUP($A182,regions_full!$A$2:$AI$267,MATCH(polities_cats!L$1,$A$1:$AN$1,0),0)</f>
        <v>Uruguay</v>
      </c>
      <c r="M182">
        <f>VLOOKUP($A182,regions_full!$A$2:$AI$267,MATCH(polities_cats!M$1,$A$1:$AN$1,0),0)</f>
        <v>858</v>
      </c>
      <c r="N182">
        <f>VLOOKUP($A182,regions_full!$A$2:$AI$267,MATCH(polities_cats!N$1,$A$1:$AN$1,0),0)</f>
        <v>858</v>
      </c>
      <c r="O182">
        <f>VLOOKUP($A182,regions_full!$A$2:$AI$267,MATCH(polities_cats!O$1,$A$1:$AN$1,0),0)</f>
        <v>4</v>
      </c>
      <c r="P182" t="str">
        <f>VLOOKUP($A182,regions_full!$A$2:$AI$267,MATCH(polities_cats!P$1,$A$1:$AN$1,0),0)</f>
        <v>TRUE</v>
      </c>
      <c r="Q182">
        <f>VLOOKUP($A182,regions_full!$A$2:$AI$267,MATCH(polities_cats!Q$1,$A$1:$AN$1,0),0)</f>
        <v>234</v>
      </c>
      <c r="R182" t="str">
        <f>VLOOKUP($A182,regions_full!$A$2:$AI$267,MATCH(polities_cats!R$1,$A$1:$AN$1,0),0)</f>
        <v/>
      </c>
      <c r="S182" t="str">
        <f>VLOOKUP($A182,regions_full!$A$2:$AI$267,MATCH(polities_cats!S$1,$A$1:$AN$1,0),0)</f>
        <v>South America</v>
      </c>
      <c r="T182">
        <f>VLOOKUP($A182,regions_full!$A$2:$AI$267,MATCH(polities_cats!T$1,$A$1:$AN$1,0),0)</f>
        <v>1</v>
      </c>
      <c r="U182" t="str">
        <f>VLOOKUP($A182,regions_full!$A$2:$AI$267,MATCH(polities_cats!U$1,$A$1:$AN$1,0),0)</f>
        <v>Uruguay</v>
      </c>
      <c r="V182" t="str">
        <f>VLOOKUP($A182,regions_full!$A$2:$AI$267,MATCH(polities_cats!V$1,$A$1:$AN$1,0),0)</f>
        <v>Latin America and the Caribbean</v>
      </c>
      <c r="W182" t="str">
        <f>VLOOKUP($A182,regions_full!$A$2:$AI$267,MATCH(polities_cats!W$1,$A$1:$AN$1,0),0)</f>
        <v>Latin America and Caribbean</v>
      </c>
      <c r="X182" t="str">
        <f>VLOOKUP($A182,regions_full!$A$2:$AI$267,MATCH(polities_cats!X$1,$A$1:$AN$1,0),0)</f>
        <v>LACA</v>
      </c>
      <c r="Y182" t="str">
        <f>VLOOKUP($A182,regions_full!$A$2:$AI$267,MATCH(polities_cats!Y$1,$A$1:$AN$1,0),0)</f>
        <v>Latin America and the Caribbean</v>
      </c>
      <c r="Z182" t="str">
        <f>VLOOKUP($A182,regions_full!$A$2:$AI$267,MATCH(polities_cats!Z$1,$A$1:$AN$1,0),0)</f>
        <v>Americas</v>
      </c>
      <c r="AA182" t="str">
        <f>VLOOKUP($A182,regions_full!$A$2:$AI$267,MATCH(polities_cats!AA$1,$A$1:$AN$1,0),0)</f>
        <v>Americas</v>
      </c>
      <c r="AB182" t="str">
        <f>VLOOKUP($A182,regions_full!$A$2:$AI$267,MATCH(polities_cats!AB$1,$A$1:$AN$1,0),0)</f>
        <v>Latin America and the Caribbean</v>
      </c>
      <c r="AC182" t="str">
        <f>VLOOKUP($A182,regions_full!$A$2:$AI$267,MATCH(polities_cats!AC$1,$A$1:$AN$1,0),0)</f>
        <v>South America</v>
      </c>
      <c r="AD182" t="str">
        <f>VLOOKUP($A182,regions_full!$A$2:$AI$267,MATCH(polities_cats!AD$1,$A$1:$AN$1,0),0)</f>
        <v>Emerging</v>
      </c>
      <c r="AE182" t="str">
        <f>VLOOKUP($A182,regions_full!$A$2:$AI$267,MATCH(polities_cats!AE$1,$A$1:$AN$1,0),0)</f>
        <v>Annex_II</v>
      </c>
      <c r="AF182" t="str">
        <f>VLOOKUP($A182,regions_full!$A$2:$AI$267,MATCH(polities_cats!AF$1,$A$1:$AN$1,0),0)</f>
        <v>South America - South Cone</v>
      </c>
      <c r="AG182" t="str">
        <f>VLOOKUP($A182,regions_full!$A$2:$AI$267,MATCH(polities_cats!AG$1,$A$1:$AN$1,0),0)</f>
        <v>LACA</v>
      </c>
      <c r="AH182" t="str">
        <f>VLOOKUP($A182,regions_full!$A$2:$AI$267,MATCH(polities_cats!AH$1,$A$1:$AN$1,0),0)</f>
        <v>mech</v>
      </c>
      <c r="AI182" t="str">
        <f>VLOOKUP($A182,regions_full!$A$2:$AI$267,MATCH(polities_cats!AI$1,$A$1:$AN$1,0),0)</f>
        <v>Other</v>
      </c>
      <c r="AJ182" t="e">
        <f>VLOOKUP($A182,regions_full!$A$2:$AI$267,MATCH(polities_cats!AJ$1,$A$1:$AN$1,0),0)</f>
        <v>#REF!</v>
      </c>
      <c r="AK182" t="e">
        <f>VLOOKUP($A182,regions_full!$A$2:$AI$267,MATCH(polities_cats!AK$1,$A$1:$AN$1,0),0)</f>
        <v>#REF!</v>
      </c>
      <c r="AL182" t="e">
        <f>VLOOKUP($A182,regions_full!$A$2:$AI$267,MATCH(polities_cats!AL$1,$A$1:$AN$1,0),0)</f>
        <v>#REF!</v>
      </c>
      <c r="AM182" t="e">
        <f>VLOOKUP($A182,regions_full!$A$2:$AI$267,MATCH(polities_cats!AM$1,$A$1:$AN$1,0),0)</f>
        <v>#REF!</v>
      </c>
      <c r="AN182" t="e">
        <f>VLOOKUP($A182,regions_full!$A$2:$AI$267,MATCH(polities_cats!AN$1,$A$1:$AN$1,0),0)</f>
        <v>#REF!</v>
      </c>
    </row>
    <row r="183" spans="1:40" x14ac:dyDescent="0.3">
      <c r="A183" t="str">
        <f>polities_whep!A183</f>
        <v>SUN</v>
      </c>
      <c r="B183" t="str">
        <f>polities_whep!B183</f>
        <v>USSR</v>
      </c>
      <c r="C183">
        <f>VLOOKUP($A183,regions_full!$A$2:$AI$267,MATCH(polities_cats!C$1,$A$1:$AN$1,0),0)</f>
        <v>224</v>
      </c>
      <c r="D183">
        <f>VLOOKUP($A183,regions_full!$A$2:$AI$267,MATCH(polities_cats!D$1,$A$1:$AN$1,0),0)</f>
        <v>228</v>
      </c>
      <c r="E183" t="str">
        <f>VLOOKUP($A183,regions_full!$A$2:$AI$267,MATCH(polities_cats!E$1,$A$1:$AN$1,0),0)</f>
        <v>SUN</v>
      </c>
      <c r="F183" t="str">
        <f>VLOOKUP($A183,regions_full!$A$2:$AI$267,MATCH(polities_cats!F$1,$A$1:$AN$1,0),0)</f>
        <v>USSR</v>
      </c>
      <c r="G183" t="str">
        <f>VLOOKUP($A183,regions_full!$A$2:$AI$267,MATCH(polities_cats!G$1,$A$1:$AN$1,0),0)</f>
        <v>FALSE</v>
      </c>
      <c r="H183" t="str">
        <f>VLOOKUP($A183,regions_full!$A$2:$AI$267,MATCH(polities_cats!H$1,$A$1:$AN$1,0),0)</f>
        <v>USSR</v>
      </c>
      <c r="I183" t="str">
        <f>VLOOKUP($A183,regions_full!$A$2:$AI$267,MATCH(polities_cats!I$1,$A$1:$AN$1,0),0)</f>
        <v>Former U.S.S.R.</v>
      </c>
      <c r="J183">
        <f>VLOOKUP($A183,regions_full!$A$2:$AI$267,MATCH(polities_cats!J$1,$A$1:$AN$1,0),0)</f>
        <v>0</v>
      </c>
      <c r="K183">
        <f>VLOOKUP($A183,regions_full!$A$2:$AI$267,MATCH(polities_cats!K$1,$A$1:$AN$1,0),0)</f>
        <v>185</v>
      </c>
      <c r="L183" t="str">
        <f>VLOOKUP($A183,regions_full!$A$2:$AI$267,MATCH(polities_cats!L$1,$A$1:$AN$1,0),0)</f>
        <v>Russian Federation</v>
      </c>
      <c r="M183">
        <f>VLOOKUP($A183,regions_full!$A$2:$AI$267,MATCH(polities_cats!M$1,$A$1:$AN$1,0),0)</f>
        <v>810</v>
      </c>
      <c r="N183">
        <f>VLOOKUP($A183,regions_full!$A$2:$AI$267,MATCH(polities_cats!N$1,$A$1:$AN$1,0),0)</f>
        <v>810</v>
      </c>
      <c r="O183">
        <f>VLOOKUP($A183,regions_full!$A$2:$AI$267,MATCH(polities_cats!O$1,$A$1:$AN$1,0),0)</f>
        <v>11</v>
      </c>
      <c r="P183" t="str">
        <f>VLOOKUP($A183,regions_full!$A$2:$AI$267,MATCH(polities_cats!P$1,$A$1:$AN$1,0),0)</f>
        <v>TRUE</v>
      </c>
      <c r="Q183">
        <f>VLOOKUP($A183,regions_full!$A$2:$AI$267,MATCH(polities_cats!Q$1,$A$1:$AN$1,0),0)</f>
        <v>228</v>
      </c>
      <c r="R183" t="str">
        <f>VLOOKUP($A183,regions_full!$A$2:$AI$267,MATCH(polities_cats!R$1,$A$1:$AN$1,0),0)</f>
        <v/>
      </c>
      <c r="S183" t="str">
        <f>VLOOKUP($A183,regions_full!$A$2:$AI$267,MATCH(polities_cats!S$1,$A$1:$AN$1,0),0)</f>
        <v>Former USSR</v>
      </c>
      <c r="T183">
        <f>VLOOKUP($A183,regions_full!$A$2:$AI$267,MATCH(polities_cats!T$1,$A$1:$AN$1,0),0)</f>
        <v>1</v>
      </c>
      <c r="U183" t="str">
        <f>VLOOKUP($A183,regions_full!$A$2:$AI$267,MATCH(polities_cats!U$1,$A$1:$AN$1,0),0)</f>
        <v>FSU</v>
      </c>
      <c r="V183" t="str">
        <f>VLOOKUP($A183,regions_full!$A$2:$AI$267,MATCH(polities_cats!V$1,$A$1:$AN$1,0),0)</f>
        <v>Central Asia and Russian Federation</v>
      </c>
      <c r="W183" t="str">
        <f>VLOOKUP($A183,regions_full!$A$2:$AI$267,MATCH(polities_cats!W$1,$A$1:$AN$1,0),0)</f>
        <v>South and Central Asia</v>
      </c>
      <c r="X183" t="str">
        <f>VLOOKUP($A183,regions_full!$A$2:$AI$267,MATCH(polities_cats!X$1,$A$1:$AN$1,0),0)</f>
        <v>CAS &amp; Russia</v>
      </c>
      <c r="Y183">
        <f>VLOOKUP($A183,regions_full!$A$2:$AI$267,MATCH(polities_cats!Y$1,$A$1:$AN$1,0),0)</f>
        <v>0</v>
      </c>
      <c r="Z183" t="str">
        <f>VLOOKUP($A183,regions_full!$A$2:$AI$267,MATCH(polities_cats!Z$1,$A$1:$AN$1,0),0)</f>
        <v>Asia</v>
      </c>
      <c r="AA183">
        <f>VLOOKUP($A183,regions_full!$A$2:$AI$267,MATCH(polities_cats!AA$1,$A$1:$AN$1,0),0)</f>
        <v>0</v>
      </c>
      <c r="AB183">
        <f>VLOOKUP($A183,regions_full!$A$2:$AI$267,MATCH(polities_cats!AB$1,$A$1:$AN$1,0),0)</f>
        <v>0</v>
      </c>
      <c r="AC183">
        <f>VLOOKUP($A183,regions_full!$A$2:$AI$267,MATCH(polities_cats!AC$1,$A$1:$AN$1,0),0)</f>
        <v>0</v>
      </c>
      <c r="AD183">
        <f>VLOOKUP($A183,regions_full!$A$2:$AI$267,MATCH(polities_cats!AD$1,$A$1:$AN$1,0),0)</f>
        <v>0</v>
      </c>
      <c r="AE183">
        <f>VLOOKUP($A183,regions_full!$A$2:$AI$267,MATCH(polities_cats!AE$1,$A$1:$AN$1,0),0)</f>
        <v>0</v>
      </c>
      <c r="AF183" t="str">
        <f>VLOOKUP($A183,regions_full!$A$2:$AI$267,MATCH(polities_cats!AF$1,$A$1:$AN$1,0),0)</f>
        <v>FSU</v>
      </c>
      <c r="AG183" t="str">
        <f>VLOOKUP($A183,regions_full!$A$2:$AI$267,MATCH(polities_cats!AG$1,$A$1:$AN$1,0),0)</f>
        <v>FSU</v>
      </c>
      <c r="AH183">
        <f>VLOOKUP($A183,regions_full!$A$2:$AI$267,MATCH(polities_cats!AH$1,$A$1:$AN$1,0),0)</f>
        <v>0</v>
      </c>
      <c r="AI183" t="str">
        <f>VLOOKUP($A183,regions_full!$A$2:$AI$267,MATCH(polities_cats!AI$1,$A$1:$AN$1,0),0)</f>
        <v>Other</v>
      </c>
      <c r="AJ183" t="e">
        <f>VLOOKUP($A183,regions_full!$A$2:$AI$267,MATCH(polities_cats!AJ$1,$A$1:$AN$1,0),0)</f>
        <v>#REF!</v>
      </c>
      <c r="AK183" t="e">
        <f>VLOOKUP($A183,regions_full!$A$2:$AI$267,MATCH(polities_cats!AK$1,$A$1:$AN$1,0),0)</f>
        <v>#REF!</v>
      </c>
      <c r="AL183" t="e">
        <f>VLOOKUP($A183,regions_full!$A$2:$AI$267,MATCH(polities_cats!AL$1,$A$1:$AN$1,0),0)</f>
        <v>#REF!</v>
      </c>
      <c r="AM183" t="e">
        <f>VLOOKUP($A183,regions_full!$A$2:$AI$267,MATCH(polities_cats!AM$1,$A$1:$AN$1,0),0)</f>
        <v>#REF!</v>
      </c>
      <c r="AN183" t="e">
        <f>VLOOKUP($A183,regions_full!$A$2:$AI$267,MATCH(polities_cats!AN$1,$A$1:$AN$1,0),0)</f>
        <v>#REF!</v>
      </c>
    </row>
    <row r="184" spans="1:40" x14ac:dyDescent="0.3">
      <c r="A184" t="str">
        <f>polities_whep!A184</f>
        <v>UZB</v>
      </c>
      <c r="B184" t="str">
        <f>polities_whep!B184</f>
        <v>Uzbekistan</v>
      </c>
      <c r="C184">
        <f>VLOOKUP($A184,regions_full!$A$2:$AI$267,MATCH(polities_cats!C$1,$A$1:$AN$1,0),0)</f>
        <v>231</v>
      </c>
      <c r="D184">
        <f>VLOOKUP($A184,regions_full!$A$2:$AI$267,MATCH(polities_cats!D$1,$A$1:$AN$1,0),0)</f>
        <v>235</v>
      </c>
      <c r="E184" t="str">
        <f>VLOOKUP($A184,regions_full!$A$2:$AI$267,MATCH(polities_cats!E$1,$A$1:$AN$1,0),0)</f>
        <v>UZB</v>
      </c>
      <c r="F184" t="str">
        <f>VLOOKUP($A184,regions_full!$A$2:$AI$267,MATCH(polities_cats!F$1,$A$1:$AN$1,0),0)</f>
        <v>Uzbekistan</v>
      </c>
      <c r="G184" t="str">
        <f>VLOOKUP($A184,regions_full!$A$2:$AI$267,MATCH(polities_cats!G$1,$A$1:$AN$1,0),0)</f>
        <v>FALSE</v>
      </c>
      <c r="H184" t="str">
        <f>VLOOKUP($A184,regions_full!$A$2:$AI$267,MATCH(polities_cats!H$1,$A$1:$AN$1,0),0)</f>
        <v>Uzbekistan</v>
      </c>
      <c r="I184" t="str">
        <f>VLOOKUP($A184,regions_full!$A$2:$AI$267,MATCH(polities_cats!I$1,$A$1:$AN$1,0),0)</f>
        <v>Uzbekistan</v>
      </c>
      <c r="J184" t="str">
        <f>VLOOKUP($A184,regions_full!$A$2:$AI$267,MATCH(polities_cats!J$1,$A$1:$AN$1,0),0)</f>
        <v>Uzbekistan</v>
      </c>
      <c r="K184">
        <f>VLOOKUP($A184,regions_full!$A$2:$AI$267,MATCH(polities_cats!K$1,$A$1:$AN$1,0),0)</f>
        <v>235</v>
      </c>
      <c r="L184" t="str">
        <f>VLOOKUP($A184,regions_full!$A$2:$AI$267,MATCH(polities_cats!L$1,$A$1:$AN$1,0),0)</f>
        <v>Uzbekistan</v>
      </c>
      <c r="M184">
        <f>VLOOKUP($A184,regions_full!$A$2:$AI$267,MATCH(polities_cats!M$1,$A$1:$AN$1,0),0)</f>
        <v>860</v>
      </c>
      <c r="N184">
        <f>VLOOKUP($A184,regions_full!$A$2:$AI$267,MATCH(polities_cats!N$1,$A$1:$AN$1,0),0)</f>
        <v>860</v>
      </c>
      <c r="O184">
        <f>VLOOKUP($A184,regions_full!$A$2:$AI$267,MATCH(polities_cats!O$1,$A$1:$AN$1,0),0)</f>
        <v>11</v>
      </c>
      <c r="P184" t="str">
        <f>VLOOKUP($A184,regions_full!$A$2:$AI$267,MATCH(polities_cats!P$1,$A$1:$AN$1,0),0)</f>
        <v>TRUE</v>
      </c>
      <c r="Q184">
        <f>VLOOKUP($A184,regions_full!$A$2:$AI$267,MATCH(polities_cats!Q$1,$A$1:$AN$1,0),0)</f>
        <v>235</v>
      </c>
      <c r="R184" t="str">
        <f>VLOOKUP($A184,regions_full!$A$2:$AI$267,MATCH(polities_cats!R$1,$A$1:$AN$1,0),0)</f>
        <v/>
      </c>
      <c r="S184" t="str">
        <f>VLOOKUP($A184,regions_full!$A$2:$AI$267,MATCH(polities_cats!S$1,$A$1:$AN$1,0),0)</f>
        <v>Former USSR</v>
      </c>
      <c r="T184">
        <f>VLOOKUP($A184,regions_full!$A$2:$AI$267,MATCH(polities_cats!T$1,$A$1:$AN$1,0),0)</f>
        <v>1</v>
      </c>
      <c r="U184" t="str">
        <f>VLOOKUP($A184,regions_full!$A$2:$AI$267,MATCH(polities_cats!U$1,$A$1:$AN$1,0),0)</f>
        <v>Uzbekistan</v>
      </c>
      <c r="V184" t="str">
        <f>VLOOKUP($A184,regions_full!$A$2:$AI$267,MATCH(polities_cats!V$1,$A$1:$AN$1,0),0)</f>
        <v>Central Asia and Russian Federation</v>
      </c>
      <c r="W184" t="str">
        <f>VLOOKUP($A184,regions_full!$A$2:$AI$267,MATCH(polities_cats!W$1,$A$1:$AN$1,0),0)</f>
        <v>South and Central Asia</v>
      </c>
      <c r="X184" t="str">
        <f>VLOOKUP($A184,regions_full!$A$2:$AI$267,MATCH(polities_cats!X$1,$A$1:$AN$1,0),0)</f>
        <v>CAS &amp; Russia</v>
      </c>
      <c r="Y184" t="str">
        <f>VLOOKUP($A184,regions_full!$A$2:$AI$267,MATCH(polities_cats!Y$1,$A$1:$AN$1,0),0)</f>
        <v>Central Asia</v>
      </c>
      <c r="Z184" t="str">
        <f>VLOOKUP($A184,regions_full!$A$2:$AI$267,MATCH(polities_cats!Z$1,$A$1:$AN$1,0),0)</f>
        <v>Asia</v>
      </c>
      <c r="AA184" t="str">
        <f>VLOOKUP($A184,regions_full!$A$2:$AI$267,MATCH(polities_cats!AA$1,$A$1:$AN$1,0),0)</f>
        <v>Europe and Central Asia</v>
      </c>
      <c r="AB184" t="str">
        <f>VLOOKUP($A184,regions_full!$A$2:$AI$267,MATCH(polities_cats!AB$1,$A$1:$AN$1,0),0)</f>
        <v>Central and Western Asia</v>
      </c>
      <c r="AC184" t="str">
        <f>VLOOKUP($A184,regions_full!$A$2:$AI$267,MATCH(polities_cats!AC$1,$A$1:$AN$1,0),0)</f>
        <v>Central Asia</v>
      </c>
      <c r="AD184" t="str">
        <f>VLOOKUP($A184,regions_full!$A$2:$AI$267,MATCH(polities_cats!AD$1,$A$1:$AN$1,0),0)</f>
        <v>Emerging</v>
      </c>
      <c r="AE184" t="str">
        <f>VLOOKUP($A184,regions_full!$A$2:$AI$267,MATCH(polities_cats!AE$1,$A$1:$AN$1,0),0)</f>
        <v>Annex_II</v>
      </c>
      <c r="AF184" t="str">
        <f>VLOOKUP($A184,regions_full!$A$2:$AI$267,MATCH(polities_cats!AF$1,$A$1:$AN$1,0),0)</f>
        <v>FSU</v>
      </c>
      <c r="AG184" t="str">
        <f>VLOOKUP($A184,regions_full!$A$2:$AI$267,MATCH(polities_cats!AG$1,$A$1:$AN$1,0),0)</f>
        <v>FSU</v>
      </c>
      <c r="AH184" t="str">
        <f>VLOOKUP($A184,regions_full!$A$2:$AI$267,MATCH(polities_cats!AH$1,$A$1:$AN$1,0),0)</f>
        <v>mech</v>
      </c>
      <c r="AI184" t="str">
        <f>VLOOKUP($A184,regions_full!$A$2:$AI$267,MATCH(polities_cats!AI$1,$A$1:$AN$1,0),0)</f>
        <v>Other</v>
      </c>
      <c r="AJ184" t="e">
        <f>VLOOKUP($A184,regions_full!$A$2:$AI$267,MATCH(polities_cats!AJ$1,$A$1:$AN$1,0),0)</f>
        <v>#REF!</v>
      </c>
      <c r="AK184" t="e">
        <f>VLOOKUP($A184,regions_full!$A$2:$AI$267,MATCH(polities_cats!AK$1,$A$1:$AN$1,0),0)</f>
        <v>#REF!</v>
      </c>
      <c r="AL184" t="e">
        <f>VLOOKUP($A184,regions_full!$A$2:$AI$267,MATCH(polities_cats!AL$1,$A$1:$AN$1,0),0)</f>
        <v>#REF!</v>
      </c>
      <c r="AM184" t="e">
        <f>VLOOKUP($A184,regions_full!$A$2:$AI$267,MATCH(polities_cats!AM$1,$A$1:$AN$1,0),0)</f>
        <v>#REF!</v>
      </c>
      <c r="AN184" t="e">
        <f>VLOOKUP($A184,regions_full!$A$2:$AI$267,MATCH(polities_cats!AN$1,$A$1:$AN$1,0),0)</f>
        <v>#REF!</v>
      </c>
    </row>
    <row r="185" spans="1:40" x14ac:dyDescent="0.3">
      <c r="A185" t="str">
        <f>polities_whep!A185</f>
        <v>VUT</v>
      </c>
      <c r="B185" t="str">
        <f>polities_whep!B185</f>
        <v>Vanuatu</v>
      </c>
      <c r="C185">
        <f>VLOOKUP($A185,regions_full!$A$2:$AI$267,MATCH(polities_cats!C$1,$A$1:$AN$1,0),0)</f>
        <v>152</v>
      </c>
      <c r="D185">
        <f>VLOOKUP($A185,regions_full!$A$2:$AI$267,MATCH(polities_cats!D$1,$A$1:$AN$1,0),0)</f>
        <v>155</v>
      </c>
      <c r="E185" t="str">
        <f>VLOOKUP($A185,regions_full!$A$2:$AI$267,MATCH(polities_cats!E$1,$A$1:$AN$1,0),0)</f>
        <v>VUT</v>
      </c>
      <c r="F185" t="str">
        <f>VLOOKUP($A185,regions_full!$A$2:$AI$267,MATCH(polities_cats!F$1,$A$1:$AN$1,0),0)</f>
        <v>Vanuatu</v>
      </c>
      <c r="G185" t="str">
        <f>VLOOKUP($A185,regions_full!$A$2:$AI$267,MATCH(polities_cats!G$1,$A$1:$AN$1,0),0)</f>
        <v>FALSE</v>
      </c>
      <c r="H185" t="str">
        <f>VLOOKUP($A185,regions_full!$A$2:$AI$267,MATCH(polities_cats!H$1,$A$1:$AN$1,0),0)</f>
        <v>Vanuatu</v>
      </c>
      <c r="I185" t="str">
        <f>VLOOKUP($A185,regions_full!$A$2:$AI$267,MATCH(polities_cats!I$1,$A$1:$AN$1,0),0)</f>
        <v>Vanuatu</v>
      </c>
      <c r="J185">
        <f>VLOOKUP($A185,regions_full!$A$2:$AI$267,MATCH(polities_cats!J$1,$A$1:$AN$1,0),0)</f>
        <v>0</v>
      </c>
      <c r="K185">
        <f>VLOOKUP($A185,regions_full!$A$2:$AI$267,MATCH(polities_cats!K$1,$A$1:$AN$1,0),0)</f>
        <v>155</v>
      </c>
      <c r="L185" t="str">
        <f>VLOOKUP($A185,regions_full!$A$2:$AI$267,MATCH(polities_cats!L$1,$A$1:$AN$1,0),0)</f>
        <v>Vanuatu</v>
      </c>
      <c r="M185">
        <f>VLOOKUP($A185,regions_full!$A$2:$AI$267,MATCH(polities_cats!M$1,$A$1:$AN$1,0),0)</f>
        <v>548</v>
      </c>
      <c r="N185">
        <f>VLOOKUP($A185,regions_full!$A$2:$AI$267,MATCH(polities_cats!N$1,$A$1:$AN$1,0),0)</f>
        <v>548</v>
      </c>
      <c r="O185">
        <f>VLOOKUP($A185,regions_full!$A$2:$AI$267,MATCH(polities_cats!O$1,$A$1:$AN$1,0),0)</f>
        <v>16</v>
      </c>
      <c r="P185" t="str">
        <f>VLOOKUP($A185,regions_full!$A$2:$AI$267,MATCH(polities_cats!P$1,$A$1:$AN$1,0),0)</f>
        <v>TRUE</v>
      </c>
      <c r="Q185">
        <f>VLOOKUP($A185,regions_full!$A$2:$AI$267,MATCH(polities_cats!Q$1,$A$1:$AN$1,0),0)</f>
        <v>155</v>
      </c>
      <c r="R185" t="str">
        <f>VLOOKUP($A185,regions_full!$A$2:$AI$267,MATCH(polities_cats!R$1,$A$1:$AN$1,0),0)</f>
        <v/>
      </c>
      <c r="S185" t="str">
        <f>VLOOKUP($A185,regions_full!$A$2:$AI$267,MATCH(polities_cats!S$1,$A$1:$AN$1,0),0)</f>
        <v>Oceania</v>
      </c>
      <c r="T185">
        <f>VLOOKUP($A185,regions_full!$A$2:$AI$267,MATCH(polities_cats!T$1,$A$1:$AN$1,0),0)</f>
        <v>1</v>
      </c>
      <c r="U185" t="str">
        <f>VLOOKUP($A185,regions_full!$A$2:$AI$267,MATCH(polities_cats!U$1,$A$1:$AN$1,0),0)</f>
        <v>Vanuatu</v>
      </c>
      <c r="V185" t="str">
        <f>VLOOKUP($A185,regions_full!$A$2:$AI$267,MATCH(polities_cats!V$1,$A$1:$AN$1,0),0)</f>
        <v>Australia and Oceania</v>
      </c>
      <c r="W185" t="str">
        <f>VLOOKUP($A185,regions_full!$A$2:$AI$267,MATCH(polities_cats!W$1,$A$1:$AN$1,0),0)</f>
        <v>North America and Oceania</v>
      </c>
      <c r="X185" t="str">
        <f>VLOOKUP($A185,regions_full!$A$2:$AI$267,MATCH(polities_cats!X$1,$A$1:$AN$1,0),0)</f>
        <v>Oceania</v>
      </c>
      <c r="Y185" t="str">
        <f>VLOOKUP($A185,regions_full!$A$2:$AI$267,MATCH(polities_cats!Y$1,$A$1:$AN$1,0),0)</f>
        <v>Melanesia</v>
      </c>
      <c r="Z185" t="str">
        <f>VLOOKUP($A185,regions_full!$A$2:$AI$267,MATCH(polities_cats!Z$1,$A$1:$AN$1,0),0)</f>
        <v>Oceania</v>
      </c>
      <c r="AA185" t="str">
        <f>VLOOKUP($A185,regions_full!$A$2:$AI$267,MATCH(polities_cats!AA$1,$A$1:$AN$1,0),0)</f>
        <v>Asia and the Pacific</v>
      </c>
      <c r="AB185" t="str">
        <f>VLOOKUP($A185,regions_full!$A$2:$AI$267,MATCH(polities_cats!AB$1,$A$1:$AN$1,0),0)</f>
        <v>South-Eastern Asia and the Pacific</v>
      </c>
      <c r="AC185" t="str">
        <f>VLOOKUP($A185,regions_full!$A$2:$AI$267,MATCH(polities_cats!AC$1,$A$1:$AN$1,0),0)</f>
        <v>Pacific Islands</v>
      </c>
      <c r="AD185" t="str">
        <f>VLOOKUP($A185,regions_full!$A$2:$AI$267,MATCH(polities_cats!AD$1,$A$1:$AN$1,0),0)</f>
        <v>Emerging</v>
      </c>
      <c r="AE185" t="str">
        <f>VLOOKUP($A185,regions_full!$A$2:$AI$267,MATCH(polities_cats!AE$1,$A$1:$AN$1,0),0)</f>
        <v>Annex_II</v>
      </c>
      <c r="AF185" t="str">
        <f>VLOOKUP($A185,regions_full!$A$2:$AI$267,MATCH(polities_cats!AF$1,$A$1:$AN$1,0),0)</f>
        <v>Pacific</v>
      </c>
      <c r="AG185" t="str">
        <f>VLOOKUP($A185,regions_full!$A$2:$AI$267,MATCH(polities_cats!AG$1,$A$1:$AN$1,0),0)</f>
        <v>AUS</v>
      </c>
      <c r="AH185" t="str">
        <f>VLOOKUP($A185,regions_full!$A$2:$AI$267,MATCH(polities_cats!AH$1,$A$1:$AN$1,0),0)</f>
        <v>no_mech</v>
      </c>
      <c r="AI185" t="str">
        <f>VLOOKUP($A185,regions_full!$A$2:$AI$267,MATCH(polities_cats!AI$1,$A$1:$AN$1,0),0)</f>
        <v>Other</v>
      </c>
      <c r="AJ185" t="e">
        <f>VLOOKUP($A185,regions_full!$A$2:$AI$267,MATCH(polities_cats!AJ$1,$A$1:$AN$1,0),0)</f>
        <v>#REF!</v>
      </c>
      <c r="AK185" t="e">
        <f>VLOOKUP($A185,regions_full!$A$2:$AI$267,MATCH(polities_cats!AK$1,$A$1:$AN$1,0),0)</f>
        <v>#REF!</v>
      </c>
      <c r="AL185" t="e">
        <f>VLOOKUP($A185,regions_full!$A$2:$AI$267,MATCH(polities_cats!AL$1,$A$1:$AN$1,0),0)</f>
        <v>#REF!</v>
      </c>
      <c r="AM185" t="e">
        <f>VLOOKUP($A185,regions_full!$A$2:$AI$267,MATCH(polities_cats!AM$1,$A$1:$AN$1,0),0)</f>
        <v>#REF!</v>
      </c>
      <c r="AN185" t="e">
        <f>VLOOKUP($A185,regions_full!$A$2:$AI$267,MATCH(polities_cats!AN$1,$A$1:$AN$1,0),0)</f>
        <v>#REF!</v>
      </c>
    </row>
    <row r="186" spans="1:40" x14ac:dyDescent="0.3">
      <c r="A186" t="str">
        <f>polities_whep!A186</f>
        <v>VEN</v>
      </c>
      <c r="B186" t="str">
        <f>polities_whep!B186</f>
        <v>Venezuela</v>
      </c>
      <c r="C186">
        <f>VLOOKUP($A186,regions_full!$A$2:$AI$267,MATCH(polities_cats!C$1,$A$1:$AN$1,0),0)</f>
        <v>232</v>
      </c>
      <c r="D186">
        <f>VLOOKUP($A186,regions_full!$A$2:$AI$267,MATCH(polities_cats!D$1,$A$1:$AN$1,0),0)</f>
        <v>236</v>
      </c>
      <c r="E186" t="str">
        <f>VLOOKUP($A186,regions_full!$A$2:$AI$267,MATCH(polities_cats!E$1,$A$1:$AN$1,0),0)</f>
        <v>VEN</v>
      </c>
      <c r="F186" t="str">
        <f>VLOOKUP($A186,regions_full!$A$2:$AI$267,MATCH(polities_cats!F$1,$A$1:$AN$1,0),0)</f>
        <v>Venezuela (Bolivarian Republic of)</v>
      </c>
      <c r="G186" t="str">
        <f>VLOOKUP($A186,regions_full!$A$2:$AI$267,MATCH(polities_cats!G$1,$A$1:$AN$1,0),0)</f>
        <v>FALSE</v>
      </c>
      <c r="H186" t="str">
        <f>VLOOKUP($A186,regions_full!$A$2:$AI$267,MATCH(polities_cats!H$1,$A$1:$AN$1,0),0)</f>
        <v>Venezuela</v>
      </c>
      <c r="I186" t="str">
        <f>VLOOKUP($A186,regions_full!$A$2:$AI$267,MATCH(polities_cats!I$1,$A$1:$AN$1,0),0)</f>
        <v>Venezuela</v>
      </c>
      <c r="J186" t="str">
        <f>VLOOKUP($A186,regions_full!$A$2:$AI$267,MATCH(polities_cats!J$1,$A$1:$AN$1,0),0)</f>
        <v>Venezuela</v>
      </c>
      <c r="K186">
        <f>VLOOKUP($A186,regions_full!$A$2:$AI$267,MATCH(polities_cats!K$1,$A$1:$AN$1,0),0)</f>
        <v>236</v>
      </c>
      <c r="L186" t="str">
        <f>VLOOKUP($A186,regions_full!$A$2:$AI$267,MATCH(polities_cats!L$1,$A$1:$AN$1,0),0)</f>
        <v>Venezuela, Bolivarian Republic of</v>
      </c>
      <c r="M186">
        <f>VLOOKUP($A186,regions_full!$A$2:$AI$267,MATCH(polities_cats!M$1,$A$1:$AN$1,0),0)</f>
        <v>862</v>
      </c>
      <c r="N186">
        <f>VLOOKUP($A186,regions_full!$A$2:$AI$267,MATCH(polities_cats!N$1,$A$1:$AN$1,0),0)</f>
        <v>862</v>
      </c>
      <c r="O186">
        <f>VLOOKUP($A186,regions_full!$A$2:$AI$267,MATCH(polities_cats!O$1,$A$1:$AN$1,0),0)</f>
        <v>4</v>
      </c>
      <c r="P186" t="str">
        <f>VLOOKUP($A186,regions_full!$A$2:$AI$267,MATCH(polities_cats!P$1,$A$1:$AN$1,0),0)</f>
        <v>TRUE</v>
      </c>
      <c r="Q186">
        <f>VLOOKUP($A186,regions_full!$A$2:$AI$267,MATCH(polities_cats!Q$1,$A$1:$AN$1,0),0)</f>
        <v>236</v>
      </c>
      <c r="R186" t="str">
        <f>VLOOKUP($A186,regions_full!$A$2:$AI$267,MATCH(polities_cats!R$1,$A$1:$AN$1,0),0)</f>
        <v/>
      </c>
      <c r="S186" t="str">
        <f>VLOOKUP($A186,regions_full!$A$2:$AI$267,MATCH(polities_cats!S$1,$A$1:$AN$1,0),0)</f>
        <v>South America</v>
      </c>
      <c r="T186">
        <f>VLOOKUP($A186,regions_full!$A$2:$AI$267,MATCH(polities_cats!T$1,$A$1:$AN$1,0),0)</f>
        <v>1</v>
      </c>
      <c r="U186" t="str">
        <f>VLOOKUP($A186,regions_full!$A$2:$AI$267,MATCH(polities_cats!U$1,$A$1:$AN$1,0),0)</f>
        <v>Venezuela (Bolivarian Republic of)</v>
      </c>
      <c r="V186" t="str">
        <f>VLOOKUP($A186,regions_full!$A$2:$AI$267,MATCH(polities_cats!V$1,$A$1:$AN$1,0),0)</f>
        <v>Latin America and the Caribbean</v>
      </c>
      <c r="W186" t="str">
        <f>VLOOKUP($A186,regions_full!$A$2:$AI$267,MATCH(polities_cats!W$1,$A$1:$AN$1,0),0)</f>
        <v>Latin America and Caribbean</v>
      </c>
      <c r="X186" t="str">
        <f>VLOOKUP($A186,regions_full!$A$2:$AI$267,MATCH(polities_cats!X$1,$A$1:$AN$1,0),0)</f>
        <v>LACA</v>
      </c>
      <c r="Y186" t="str">
        <f>VLOOKUP($A186,regions_full!$A$2:$AI$267,MATCH(polities_cats!Y$1,$A$1:$AN$1,0),0)</f>
        <v>Latin America and the Caribbean</v>
      </c>
      <c r="Z186" t="str">
        <f>VLOOKUP($A186,regions_full!$A$2:$AI$267,MATCH(polities_cats!Z$1,$A$1:$AN$1,0),0)</f>
        <v>Americas</v>
      </c>
      <c r="AA186" t="str">
        <f>VLOOKUP($A186,regions_full!$A$2:$AI$267,MATCH(polities_cats!AA$1,$A$1:$AN$1,0),0)</f>
        <v>Americas</v>
      </c>
      <c r="AB186" t="str">
        <f>VLOOKUP($A186,regions_full!$A$2:$AI$267,MATCH(polities_cats!AB$1,$A$1:$AN$1,0),0)</f>
        <v>Latin America and the Caribbean</v>
      </c>
      <c r="AC186" t="str">
        <f>VLOOKUP($A186,regions_full!$A$2:$AI$267,MATCH(polities_cats!AC$1,$A$1:$AN$1,0),0)</f>
        <v>South America</v>
      </c>
      <c r="AD186" t="str">
        <f>VLOOKUP($A186,regions_full!$A$2:$AI$267,MATCH(polities_cats!AD$1,$A$1:$AN$1,0),0)</f>
        <v>Emerging</v>
      </c>
      <c r="AE186" t="str">
        <f>VLOOKUP($A186,regions_full!$A$2:$AI$267,MATCH(polities_cats!AE$1,$A$1:$AN$1,0),0)</f>
        <v>Annex_II</v>
      </c>
      <c r="AF186" t="str">
        <f>VLOOKUP($A186,regions_full!$A$2:$AI$267,MATCH(polities_cats!AF$1,$A$1:$AN$1,0),0)</f>
        <v>Andean &amp; Mexico</v>
      </c>
      <c r="AG186" t="str">
        <f>VLOOKUP($A186,regions_full!$A$2:$AI$267,MATCH(polities_cats!AG$1,$A$1:$AN$1,0),0)</f>
        <v>LACA</v>
      </c>
      <c r="AH186" t="str">
        <f>VLOOKUP($A186,regions_full!$A$2:$AI$267,MATCH(polities_cats!AH$1,$A$1:$AN$1,0),0)</f>
        <v>no_mech</v>
      </c>
      <c r="AI186" t="str">
        <f>VLOOKUP($A186,regions_full!$A$2:$AI$267,MATCH(polities_cats!AI$1,$A$1:$AN$1,0),0)</f>
        <v>Other</v>
      </c>
      <c r="AJ186" t="e">
        <f>VLOOKUP($A186,regions_full!$A$2:$AI$267,MATCH(polities_cats!AJ$1,$A$1:$AN$1,0),0)</f>
        <v>#REF!</v>
      </c>
      <c r="AK186" t="e">
        <f>VLOOKUP($A186,regions_full!$A$2:$AI$267,MATCH(polities_cats!AK$1,$A$1:$AN$1,0),0)</f>
        <v>#REF!</v>
      </c>
      <c r="AL186" t="e">
        <f>VLOOKUP($A186,regions_full!$A$2:$AI$267,MATCH(polities_cats!AL$1,$A$1:$AN$1,0),0)</f>
        <v>#REF!</v>
      </c>
      <c r="AM186" t="e">
        <f>VLOOKUP($A186,regions_full!$A$2:$AI$267,MATCH(polities_cats!AM$1,$A$1:$AN$1,0),0)</f>
        <v>#REF!</v>
      </c>
      <c r="AN186" t="e">
        <f>VLOOKUP($A186,regions_full!$A$2:$AI$267,MATCH(polities_cats!AN$1,$A$1:$AN$1,0),0)</f>
        <v>#REF!</v>
      </c>
    </row>
    <row r="187" spans="1:40" x14ac:dyDescent="0.3">
      <c r="A187" t="str">
        <f>polities_whep!A187</f>
        <v>VNM</v>
      </c>
      <c r="B187" t="str">
        <f>polities_whep!B187</f>
        <v>Viet Nam</v>
      </c>
      <c r="C187">
        <f>VLOOKUP($A187,regions_full!$A$2:$AI$267,MATCH(polities_cats!C$1,$A$1:$AN$1,0),0)</f>
        <v>233</v>
      </c>
      <c r="D187">
        <f>VLOOKUP($A187,regions_full!$A$2:$AI$267,MATCH(polities_cats!D$1,$A$1:$AN$1,0),0)</f>
        <v>237</v>
      </c>
      <c r="E187" t="str">
        <f>VLOOKUP($A187,regions_full!$A$2:$AI$267,MATCH(polities_cats!E$1,$A$1:$AN$1,0),0)</f>
        <v>VNM</v>
      </c>
      <c r="F187" t="str">
        <f>VLOOKUP($A187,regions_full!$A$2:$AI$267,MATCH(polities_cats!F$1,$A$1:$AN$1,0),0)</f>
        <v>Viet Nam</v>
      </c>
      <c r="G187" t="str">
        <f>VLOOKUP($A187,regions_full!$A$2:$AI$267,MATCH(polities_cats!G$1,$A$1:$AN$1,0),0)</f>
        <v>FALSE</v>
      </c>
      <c r="H187" t="str">
        <f>VLOOKUP($A187,regions_full!$A$2:$AI$267,MATCH(polities_cats!H$1,$A$1:$AN$1,0),0)</f>
        <v>Viet Nam</v>
      </c>
      <c r="I187" t="str">
        <f>VLOOKUP($A187,regions_full!$A$2:$AI$267,MATCH(polities_cats!I$1,$A$1:$AN$1,0),0)</f>
        <v>Vietnam</v>
      </c>
      <c r="J187" t="str">
        <f>VLOOKUP($A187,regions_full!$A$2:$AI$267,MATCH(polities_cats!J$1,$A$1:$AN$1,0),0)</f>
        <v>Viet Nam</v>
      </c>
      <c r="K187">
        <f>VLOOKUP($A187,regions_full!$A$2:$AI$267,MATCH(polities_cats!K$1,$A$1:$AN$1,0),0)</f>
        <v>237</v>
      </c>
      <c r="L187" t="str">
        <f>VLOOKUP($A187,regions_full!$A$2:$AI$267,MATCH(polities_cats!L$1,$A$1:$AN$1,0),0)</f>
        <v>Viet Nam</v>
      </c>
      <c r="M187">
        <f>VLOOKUP($A187,regions_full!$A$2:$AI$267,MATCH(polities_cats!M$1,$A$1:$AN$1,0),0)</f>
        <v>704</v>
      </c>
      <c r="N187">
        <f>VLOOKUP($A187,regions_full!$A$2:$AI$267,MATCH(polities_cats!N$1,$A$1:$AN$1,0),0)</f>
        <v>704</v>
      </c>
      <c r="O187">
        <f>VLOOKUP($A187,regions_full!$A$2:$AI$267,MATCH(polities_cats!O$1,$A$1:$AN$1,0),0)</f>
        <v>15</v>
      </c>
      <c r="P187" t="str">
        <f>VLOOKUP($A187,regions_full!$A$2:$AI$267,MATCH(polities_cats!P$1,$A$1:$AN$1,0),0)</f>
        <v>TRUE</v>
      </c>
      <c r="Q187">
        <f>VLOOKUP($A187,regions_full!$A$2:$AI$267,MATCH(polities_cats!Q$1,$A$1:$AN$1,0),0)</f>
        <v>237</v>
      </c>
      <c r="R187" t="str">
        <f>VLOOKUP($A187,regions_full!$A$2:$AI$267,MATCH(polities_cats!R$1,$A$1:$AN$1,0),0)</f>
        <v/>
      </c>
      <c r="S187" t="str">
        <f>VLOOKUP($A187,regions_full!$A$2:$AI$267,MATCH(polities_cats!S$1,$A$1:$AN$1,0),0)</f>
        <v>South East Asia</v>
      </c>
      <c r="T187">
        <f>VLOOKUP($A187,regions_full!$A$2:$AI$267,MATCH(polities_cats!T$1,$A$1:$AN$1,0),0)</f>
        <v>1</v>
      </c>
      <c r="U187" t="str">
        <f>VLOOKUP($A187,regions_full!$A$2:$AI$267,MATCH(polities_cats!U$1,$A$1:$AN$1,0),0)</f>
        <v>Viet Nam</v>
      </c>
      <c r="V187" t="str">
        <f>VLOOKUP($A187,regions_full!$A$2:$AI$267,MATCH(polities_cats!V$1,$A$1:$AN$1,0),0)</f>
        <v>Southeastern Asia</v>
      </c>
      <c r="W187" t="str">
        <f>VLOOKUP($A187,regions_full!$A$2:$AI$267,MATCH(polities_cats!W$1,$A$1:$AN$1,0),0)</f>
        <v>South and Central Asia</v>
      </c>
      <c r="X187" t="str">
        <f>VLOOKUP($A187,regions_full!$A$2:$AI$267,MATCH(polities_cats!X$1,$A$1:$AN$1,0),0)</f>
        <v>S&amp;E Asia</v>
      </c>
      <c r="Y187" t="str">
        <f>VLOOKUP($A187,regions_full!$A$2:$AI$267,MATCH(polities_cats!Y$1,$A$1:$AN$1,0),0)</f>
        <v>South-eastern Asia</v>
      </c>
      <c r="Z187" t="str">
        <f>VLOOKUP($A187,regions_full!$A$2:$AI$267,MATCH(polities_cats!Z$1,$A$1:$AN$1,0),0)</f>
        <v>Asia</v>
      </c>
      <c r="AA187" t="str">
        <f>VLOOKUP($A187,regions_full!$A$2:$AI$267,MATCH(polities_cats!AA$1,$A$1:$AN$1,0),0)</f>
        <v>Asia and the Pacific</v>
      </c>
      <c r="AB187" t="str">
        <f>VLOOKUP($A187,regions_full!$A$2:$AI$267,MATCH(polities_cats!AB$1,$A$1:$AN$1,0),0)</f>
        <v>South-Eastern Asia and the Pacific</v>
      </c>
      <c r="AC187" t="str">
        <f>VLOOKUP($A187,regions_full!$A$2:$AI$267,MATCH(polities_cats!AC$1,$A$1:$AN$1,0),0)</f>
        <v>South-Eastern Asia</v>
      </c>
      <c r="AD187" t="str">
        <f>VLOOKUP($A187,regions_full!$A$2:$AI$267,MATCH(polities_cats!AD$1,$A$1:$AN$1,0),0)</f>
        <v>Emerging</v>
      </c>
      <c r="AE187" t="str">
        <f>VLOOKUP($A187,regions_full!$A$2:$AI$267,MATCH(polities_cats!AE$1,$A$1:$AN$1,0),0)</f>
        <v>Annex_II</v>
      </c>
      <c r="AF187" t="str">
        <f>VLOOKUP($A187,regions_full!$A$2:$AI$267,MATCH(polities_cats!AF$1,$A$1:$AN$1,0),0)</f>
        <v>South-eastern Asia</v>
      </c>
      <c r="AG187" t="str">
        <f>VLOOKUP($A187,regions_full!$A$2:$AI$267,MATCH(polities_cats!AG$1,$A$1:$AN$1,0),0)</f>
        <v>SE-Asia</v>
      </c>
      <c r="AH187" t="str">
        <f>VLOOKUP($A187,regions_full!$A$2:$AI$267,MATCH(polities_cats!AH$1,$A$1:$AN$1,0),0)</f>
        <v>no_mech</v>
      </c>
      <c r="AI187" t="str">
        <f>VLOOKUP($A187,regions_full!$A$2:$AI$267,MATCH(polities_cats!AI$1,$A$1:$AN$1,0),0)</f>
        <v>Other</v>
      </c>
      <c r="AJ187" t="e">
        <f>VLOOKUP($A187,regions_full!$A$2:$AI$267,MATCH(polities_cats!AJ$1,$A$1:$AN$1,0),0)</f>
        <v>#REF!</v>
      </c>
      <c r="AK187" t="e">
        <f>VLOOKUP($A187,regions_full!$A$2:$AI$267,MATCH(polities_cats!AK$1,$A$1:$AN$1,0),0)</f>
        <v>#REF!</v>
      </c>
      <c r="AL187" t="e">
        <f>VLOOKUP($A187,regions_full!$A$2:$AI$267,MATCH(polities_cats!AL$1,$A$1:$AN$1,0),0)</f>
        <v>#REF!</v>
      </c>
      <c r="AM187" t="e">
        <f>VLOOKUP($A187,regions_full!$A$2:$AI$267,MATCH(polities_cats!AM$1,$A$1:$AN$1,0),0)</f>
        <v>#REF!</v>
      </c>
      <c r="AN187" t="e">
        <f>VLOOKUP($A187,regions_full!$A$2:$AI$267,MATCH(polities_cats!AN$1,$A$1:$AN$1,0),0)</f>
        <v>#REF!</v>
      </c>
    </row>
    <row r="188" spans="1:40" x14ac:dyDescent="0.3">
      <c r="A188" t="str">
        <f>polities_whep!A188</f>
        <v>YEM</v>
      </c>
      <c r="B188" t="str">
        <f>polities_whep!B188</f>
        <v>Yemen</v>
      </c>
      <c r="C188">
        <f>VLOOKUP($A188,regions_full!$A$2:$AI$267,MATCH(polities_cats!C$1,$A$1:$AN$1,0),0)</f>
        <v>241</v>
      </c>
      <c r="D188">
        <f>VLOOKUP($A188,regions_full!$A$2:$AI$267,MATCH(polities_cats!D$1,$A$1:$AN$1,0),0)</f>
        <v>249</v>
      </c>
      <c r="E188" t="str">
        <f>VLOOKUP($A188,regions_full!$A$2:$AI$267,MATCH(polities_cats!E$1,$A$1:$AN$1,0),0)</f>
        <v>YEM</v>
      </c>
      <c r="F188" t="str">
        <f>VLOOKUP($A188,regions_full!$A$2:$AI$267,MATCH(polities_cats!F$1,$A$1:$AN$1,0),0)</f>
        <v>Yemen</v>
      </c>
      <c r="G188" t="str">
        <f>VLOOKUP($A188,regions_full!$A$2:$AI$267,MATCH(polities_cats!G$1,$A$1:$AN$1,0),0)</f>
        <v>FALSE</v>
      </c>
      <c r="H188" t="str">
        <f>VLOOKUP($A188,regions_full!$A$2:$AI$267,MATCH(polities_cats!H$1,$A$1:$AN$1,0),0)</f>
        <v>Yemen</v>
      </c>
      <c r="I188" t="str">
        <f>VLOOKUP($A188,regions_full!$A$2:$AI$267,MATCH(polities_cats!I$1,$A$1:$AN$1,0),0)</f>
        <v>Yemen</v>
      </c>
      <c r="J188" t="str">
        <f>VLOOKUP($A188,regions_full!$A$2:$AI$267,MATCH(polities_cats!J$1,$A$1:$AN$1,0),0)</f>
        <v>Yemen</v>
      </c>
      <c r="K188">
        <f>VLOOKUP($A188,regions_full!$A$2:$AI$267,MATCH(polities_cats!K$1,$A$1:$AN$1,0),0)</f>
        <v>249</v>
      </c>
      <c r="L188" t="str">
        <f>VLOOKUP($A188,regions_full!$A$2:$AI$267,MATCH(polities_cats!L$1,$A$1:$AN$1,0),0)</f>
        <v>Yemen</v>
      </c>
      <c r="M188">
        <f>VLOOKUP($A188,regions_full!$A$2:$AI$267,MATCH(polities_cats!M$1,$A$1:$AN$1,0),0)</f>
        <v>887</v>
      </c>
      <c r="N188">
        <f>VLOOKUP($A188,regions_full!$A$2:$AI$267,MATCH(polities_cats!N$1,$A$1:$AN$1,0),0)</f>
        <v>887</v>
      </c>
      <c r="O188">
        <f>VLOOKUP($A188,regions_full!$A$2:$AI$267,MATCH(polities_cats!O$1,$A$1:$AN$1,0),0)</f>
        <v>12</v>
      </c>
      <c r="P188" t="str">
        <f>VLOOKUP($A188,regions_full!$A$2:$AI$267,MATCH(polities_cats!P$1,$A$1:$AN$1,0),0)</f>
        <v>TRUE</v>
      </c>
      <c r="Q188">
        <f>VLOOKUP($A188,regions_full!$A$2:$AI$267,MATCH(polities_cats!Q$1,$A$1:$AN$1,0),0)</f>
        <v>249</v>
      </c>
      <c r="R188" t="str">
        <f>VLOOKUP($A188,regions_full!$A$2:$AI$267,MATCH(polities_cats!R$1,$A$1:$AN$1,0),0)</f>
        <v/>
      </c>
      <c r="S188" t="str">
        <f>VLOOKUP($A188,regions_full!$A$2:$AI$267,MATCH(polities_cats!S$1,$A$1:$AN$1,0),0)</f>
        <v>Middle East</v>
      </c>
      <c r="T188">
        <f>VLOOKUP($A188,regions_full!$A$2:$AI$267,MATCH(polities_cats!T$1,$A$1:$AN$1,0),0)</f>
        <v>1</v>
      </c>
      <c r="U188" t="str">
        <f>VLOOKUP($A188,regions_full!$A$2:$AI$267,MATCH(polities_cats!U$1,$A$1:$AN$1,0),0)</f>
        <v>Yemen</v>
      </c>
      <c r="V188" t="str">
        <f>VLOOKUP($A188,regions_full!$A$2:$AI$267,MATCH(polities_cats!V$1,$A$1:$AN$1,0),0)</f>
        <v>Northern Africa and Western Asia</v>
      </c>
      <c r="W188" t="str">
        <f>VLOOKUP($A188,regions_full!$A$2:$AI$267,MATCH(polities_cats!W$1,$A$1:$AN$1,0),0)</f>
        <v>North Africa and West Asia</v>
      </c>
      <c r="X188" t="str">
        <f>VLOOKUP($A188,regions_full!$A$2:$AI$267,MATCH(polities_cats!X$1,$A$1:$AN$1,0),0)</f>
        <v>MENA</v>
      </c>
      <c r="Y188" t="str">
        <f>VLOOKUP($A188,regions_full!$A$2:$AI$267,MATCH(polities_cats!Y$1,$A$1:$AN$1,0),0)</f>
        <v>Western Asia</v>
      </c>
      <c r="Z188" t="str">
        <f>VLOOKUP($A188,regions_full!$A$2:$AI$267,MATCH(polities_cats!Z$1,$A$1:$AN$1,0),0)</f>
        <v>Asia</v>
      </c>
      <c r="AA188" t="str">
        <f>VLOOKUP($A188,regions_full!$A$2:$AI$267,MATCH(polities_cats!AA$1,$A$1:$AN$1,0),0)</f>
        <v>Arab States</v>
      </c>
      <c r="AB188" t="str">
        <f>VLOOKUP($A188,regions_full!$A$2:$AI$267,MATCH(polities_cats!AB$1,$A$1:$AN$1,0),0)</f>
        <v>Arab States</v>
      </c>
      <c r="AC188" t="str">
        <f>VLOOKUP($A188,regions_full!$A$2:$AI$267,MATCH(polities_cats!AC$1,$A$1:$AN$1,0),0)</f>
        <v>Arab States</v>
      </c>
      <c r="AD188" t="str">
        <f>VLOOKUP($A188,regions_full!$A$2:$AI$267,MATCH(polities_cats!AD$1,$A$1:$AN$1,0),0)</f>
        <v>Emerging</v>
      </c>
      <c r="AE188" t="str">
        <f>VLOOKUP($A188,regions_full!$A$2:$AI$267,MATCH(polities_cats!AE$1,$A$1:$AN$1,0),0)</f>
        <v>Annex_II</v>
      </c>
      <c r="AF188" t="str">
        <f>VLOOKUP($A188,regions_full!$A$2:$AI$267,MATCH(polities_cats!AF$1,$A$1:$AN$1,0),0)</f>
        <v>Western Asia</v>
      </c>
      <c r="AG188" t="str">
        <f>VLOOKUP($A188,regions_full!$A$2:$AI$267,MATCH(polities_cats!AG$1,$A$1:$AN$1,0),0)</f>
        <v>MENA</v>
      </c>
      <c r="AH188" t="str">
        <f>VLOOKUP($A188,regions_full!$A$2:$AI$267,MATCH(polities_cats!AH$1,$A$1:$AN$1,0),0)</f>
        <v>no_mech</v>
      </c>
      <c r="AI188" t="str">
        <f>VLOOKUP($A188,regions_full!$A$2:$AI$267,MATCH(polities_cats!AI$1,$A$1:$AN$1,0),0)</f>
        <v>Other</v>
      </c>
      <c r="AJ188" t="e">
        <f>VLOOKUP($A188,regions_full!$A$2:$AI$267,MATCH(polities_cats!AJ$1,$A$1:$AN$1,0),0)</f>
        <v>#REF!</v>
      </c>
      <c r="AK188" t="e">
        <f>VLOOKUP($A188,regions_full!$A$2:$AI$267,MATCH(polities_cats!AK$1,$A$1:$AN$1,0),0)</f>
        <v>#REF!</v>
      </c>
      <c r="AL188" t="e">
        <f>VLOOKUP($A188,regions_full!$A$2:$AI$267,MATCH(polities_cats!AL$1,$A$1:$AN$1,0),0)</f>
        <v>#REF!</v>
      </c>
      <c r="AM188" t="e">
        <f>VLOOKUP($A188,regions_full!$A$2:$AI$267,MATCH(polities_cats!AM$1,$A$1:$AN$1,0),0)</f>
        <v>#REF!</v>
      </c>
      <c r="AN188" t="e">
        <f>VLOOKUP($A188,regions_full!$A$2:$AI$267,MATCH(polities_cats!AN$1,$A$1:$AN$1,0),0)</f>
        <v>#REF!</v>
      </c>
    </row>
    <row r="189" spans="1:40" x14ac:dyDescent="0.3">
      <c r="A189" t="str">
        <f>polities_whep!A189</f>
        <v>YUG</v>
      </c>
      <c r="B189" t="str">
        <f>polities_whep!B189</f>
        <v>Yugoslav SFR</v>
      </c>
      <c r="C189">
        <f>VLOOKUP($A189,regions_full!$A$2:$AI$267,MATCH(polities_cats!C$1,$A$1:$AN$1,0),0)</f>
        <v>240</v>
      </c>
      <c r="D189">
        <f>VLOOKUP($A189,regions_full!$A$2:$AI$267,MATCH(polities_cats!D$1,$A$1:$AN$1,0),0)</f>
        <v>248</v>
      </c>
      <c r="E189" t="str">
        <f>VLOOKUP($A189,regions_full!$A$2:$AI$267,MATCH(polities_cats!E$1,$A$1:$AN$1,0),0)</f>
        <v>YUG</v>
      </c>
      <c r="F189" t="str">
        <f>VLOOKUP($A189,regions_full!$A$2:$AI$267,MATCH(polities_cats!F$1,$A$1:$AN$1,0),0)</f>
        <v>Yugoslav SFR</v>
      </c>
      <c r="G189" t="str">
        <f>VLOOKUP($A189,regions_full!$A$2:$AI$267,MATCH(polities_cats!G$1,$A$1:$AN$1,0),0)</f>
        <v>FALSE</v>
      </c>
      <c r="H189" t="str">
        <f>VLOOKUP($A189,regions_full!$A$2:$AI$267,MATCH(polities_cats!H$1,$A$1:$AN$1,0),0)</f>
        <v>Yugoslav SFR</v>
      </c>
      <c r="I189" t="str">
        <f>VLOOKUP($A189,regions_full!$A$2:$AI$267,MATCH(polities_cats!I$1,$A$1:$AN$1,0),0)</f>
        <v>Former Yugoslavia</v>
      </c>
      <c r="J189">
        <f>VLOOKUP($A189,regions_full!$A$2:$AI$267,MATCH(polities_cats!J$1,$A$1:$AN$1,0),0)</f>
        <v>0</v>
      </c>
      <c r="K189">
        <f>VLOOKUP($A189,regions_full!$A$2:$AI$267,MATCH(polities_cats!K$1,$A$1:$AN$1,0),0)</f>
        <v>186</v>
      </c>
      <c r="L189" t="str">
        <f>VLOOKUP($A189,regions_full!$A$2:$AI$267,MATCH(polities_cats!L$1,$A$1:$AN$1,0),0)</f>
        <v>Serbia and Montenegro</v>
      </c>
      <c r="M189">
        <f>VLOOKUP($A189,regions_full!$A$2:$AI$267,MATCH(polities_cats!M$1,$A$1:$AN$1,0),0)</f>
        <v>891</v>
      </c>
      <c r="N189">
        <f>VLOOKUP($A189,regions_full!$A$2:$AI$267,MATCH(polities_cats!N$1,$A$1:$AN$1,0),0)</f>
        <v>890</v>
      </c>
      <c r="O189">
        <f>VLOOKUP($A189,regions_full!$A$2:$AI$267,MATCH(polities_cats!O$1,$A$1:$AN$1,0),0)</f>
        <v>10</v>
      </c>
      <c r="P189" t="str">
        <f>VLOOKUP($A189,regions_full!$A$2:$AI$267,MATCH(polities_cats!P$1,$A$1:$AN$1,0),0)</f>
        <v>TRUE</v>
      </c>
      <c r="Q189">
        <f>VLOOKUP($A189,regions_full!$A$2:$AI$267,MATCH(polities_cats!Q$1,$A$1:$AN$1,0),0)</f>
        <v>248</v>
      </c>
      <c r="R189" t="str">
        <f>VLOOKUP($A189,regions_full!$A$2:$AI$267,MATCH(polities_cats!R$1,$A$1:$AN$1,0),0)</f>
        <v/>
      </c>
      <c r="S189" t="str">
        <f>VLOOKUP($A189,regions_full!$A$2:$AI$267,MATCH(polities_cats!S$1,$A$1:$AN$1,0),0)</f>
        <v>Eastern Europe</v>
      </c>
      <c r="T189">
        <f>VLOOKUP($A189,regions_full!$A$2:$AI$267,MATCH(polities_cats!T$1,$A$1:$AN$1,0),0)</f>
        <v>1</v>
      </c>
      <c r="U189" t="str">
        <f>VLOOKUP($A189,regions_full!$A$2:$AI$267,MATCH(polities_cats!U$1,$A$1:$AN$1,0),0)</f>
        <v>Yugoslav SFR</v>
      </c>
      <c r="V189" t="str">
        <f>VLOOKUP($A189,regions_full!$A$2:$AI$267,MATCH(polities_cats!V$1,$A$1:$AN$1,0),0)</f>
        <v>Eastern and South Eastern Europe</v>
      </c>
      <c r="W189" t="str">
        <f>VLOOKUP($A189,regions_full!$A$2:$AI$267,MATCH(polities_cats!W$1,$A$1:$AN$1,0),0)</f>
        <v>East Europe</v>
      </c>
      <c r="X189" t="str">
        <f>VLOOKUP($A189,regions_full!$A$2:$AI$267,MATCH(polities_cats!X$1,$A$1:$AN$1,0),0)</f>
        <v>Europe</v>
      </c>
      <c r="Y189">
        <f>VLOOKUP($A189,regions_full!$A$2:$AI$267,MATCH(polities_cats!Y$1,$A$1:$AN$1,0),0)</f>
        <v>0</v>
      </c>
      <c r="Z189" t="str">
        <f>VLOOKUP($A189,regions_full!$A$2:$AI$267,MATCH(polities_cats!Z$1,$A$1:$AN$1,0),0)</f>
        <v>Europe</v>
      </c>
      <c r="AA189">
        <f>VLOOKUP($A189,regions_full!$A$2:$AI$267,MATCH(polities_cats!AA$1,$A$1:$AN$1,0),0)</f>
        <v>0</v>
      </c>
      <c r="AB189">
        <f>VLOOKUP($A189,regions_full!$A$2:$AI$267,MATCH(polities_cats!AB$1,$A$1:$AN$1,0),0)</f>
        <v>0</v>
      </c>
      <c r="AC189">
        <f>VLOOKUP($A189,regions_full!$A$2:$AI$267,MATCH(polities_cats!AC$1,$A$1:$AN$1,0),0)</f>
        <v>0</v>
      </c>
      <c r="AD189">
        <f>VLOOKUP($A189,regions_full!$A$2:$AI$267,MATCH(polities_cats!AD$1,$A$1:$AN$1,0),0)</f>
        <v>0</v>
      </c>
      <c r="AE189">
        <f>VLOOKUP($A189,regions_full!$A$2:$AI$267,MATCH(polities_cats!AE$1,$A$1:$AN$1,0),0)</f>
        <v>0</v>
      </c>
      <c r="AF189" t="str">
        <f>VLOOKUP($A189,regions_full!$A$2:$AI$267,MATCH(polities_cats!AF$1,$A$1:$AN$1,0),0)</f>
        <v>Southern Europe</v>
      </c>
      <c r="AG189" t="str">
        <f>VLOOKUP($A189,regions_full!$A$2:$AI$267,MATCH(polities_cats!AG$1,$A$1:$AN$1,0),0)</f>
        <v>Europe</v>
      </c>
      <c r="AH189">
        <f>VLOOKUP($A189,regions_full!$A$2:$AI$267,MATCH(polities_cats!AH$1,$A$1:$AN$1,0),0)</f>
        <v>0</v>
      </c>
      <c r="AI189" t="str">
        <f>VLOOKUP($A189,regions_full!$A$2:$AI$267,MATCH(polities_cats!AI$1,$A$1:$AN$1,0),0)</f>
        <v>Europe</v>
      </c>
      <c r="AJ189" t="e">
        <f>VLOOKUP($A189,regions_full!$A$2:$AI$267,MATCH(polities_cats!AJ$1,$A$1:$AN$1,0),0)</f>
        <v>#REF!</v>
      </c>
      <c r="AK189" t="e">
        <f>VLOOKUP($A189,regions_full!$A$2:$AI$267,MATCH(polities_cats!AK$1,$A$1:$AN$1,0),0)</f>
        <v>#REF!</v>
      </c>
      <c r="AL189" t="e">
        <f>VLOOKUP($A189,regions_full!$A$2:$AI$267,MATCH(polities_cats!AL$1,$A$1:$AN$1,0),0)</f>
        <v>#REF!</v>
      </c>
      <c r="AM189" t="e">
        <f>VLOOKUP($A189,regions_full!$A$2:$AI$267,MATCH(polities_cats!AM$1,$A$1:$AN$1,0),0)</f>
        <v>#REF!</v>
      </c>
      <c r="AN189" t="e">
        <f>VLOOKUP($A189,regions_full!$A$2:$AI$267,MATCH(polities_cats!AN$1,$A$1:$AN$1,0),0)</f>
        <v>#REF!</v>
      </c>
    </row>
    <row r="190" spans="1:40" x14ac:dyDescent="0.3">
      <c r="A190" t="str">
        <f>polities_whep!A190</f>
        <v>ZMB</v>
      </c>
      <c r="B190" t="str">
        <f>polities_whep!B190</f>
        <v>Zambia</v>
      </c>
      <c r="C190">
        <f>VLOOKUP($A190,regions_full!$A$2:$AI$267,MATCH(polities_cats!C$1,$A$1:$AN$1,0),0)</f>
        <v>243</v>
      </c>
      <c r="D190">
        <f>VLOOKUP($A190,regions_full!$A$2:$AI$267,MATCH(polities_cats!D$1,$A$1:$AN$1,0),0)</f>
        <v>251</v>
      </c>
      <c r="E190" t="str">
        <f>VLOOKUP($A190,regions_full!$A$2:$AI$267,MATCH(polities_cats!E$1,$A$1:$AN$1,0),0)</f>
        <v>ZMB</v>
      </c>
      <c r="F190" t="str">
        <f>VLOOKUP($A190,regions_full!$A$2:$AI$267,MATCH(polities_cats!F$1,$A$1:$AN$1,0),0)</f>
        <v>Zambia</v>
      </c>
      <c r="G190" t="str">
        <f>VLOOKUP($A190,regions_full!$A$2:$AI$267,MATCH(polities_cats!G$1,$A$1:$AN$1,0),0)</f>
        <v>FALSE</v>
      </c>
      <c r="H190" t="str">
        <f>VLOOKUP($A190,regions_full!$A$2:$AI$267,MATCH(polities_cats!H$1,$A$1:$AN$1,0),0)</f>
        <v>Zambia</v>
      </c>
      <c r="I190" t="str">
        <f>VLOOKUP($A190,regions_full!$A$2:$AI$267,MATCH(polities_cats!I$1,$A$1:$AN$1,0),0)</f>
        <v>Zambia</v>
      </c>
      <c r="J190" t="str">
        <f>VLOOKUP($A190,regions_full!$A$2:$AI$267,MATCH(polities_cats!J$1,$A$1:$AN$1,0),0)</f>
        <v>Zambia</v>
      </c>
      <c r="K190">
        <f>VLOOKUP($A190,regions_full!$A$2:$AI$267,MATCH(polities_cats!K$1,$A$1:$AN$1,0),0)</f>
        <v>251</v>
      </c>
      <c r="L190" t="str">
        <f>VLOOKUP($A190,regions_full!$A$2:$AI$267,MATCH(polities_cats!L$1,$A$1:$AN$1,0),0)</f>
        <v>Zambia</v>
      </c>
      <c r="M190">
        <f>VLOOKUP($A190,regions_full!$A$2:$AI$267,MATCH(polities_cats!M$1,$A$1:$AN$1,0),0)</f>
        <v>894</v>
      </c>
      <c r="N190">
        <f>VLOOKUP($A190,regions_full!$A$2:$AI$267,MATCH(polities_cats!N$1,$A$1:$AN$1,0),0)</f>
        <v>894</v>
      </c>
      <c r="O190">
        <f>VLOOKUP($A190,regions_full!$A$2:$AI$267,MATCH(polities_cats!O$1,$A$1:$AN$1,0),0)</f>
        <v>8</v>
      </c>
      <c r="P190" t="str">
        <f>VLOOKUP($A190,regions_full!$A$2:$AI$267,MATCH(polities_cats!P$1,$A$1:$AN$1,0),0)</f>
        <v>TRUE</v>
      </c>
      <c r="Q190">
        <f>VLOOKUP($A190,regions_full!$A$2:$AI$267,MATCH(polities_cats!Q$1,$A$1:$AN$1,0),0)</f>
        <v>251</v>
      </c>
      <c r="R190" t="str">
        <f>VLOOKUP($A190,regions_full!$A$2:$AI$267,MATCH(polities_cats!R$1,$A$1:$AN$1,0),0)</f>
        <v/>
      </c>
      <c r="S190" t="str">
        <f>VLOOKUP($A190,regions_full!$A$2:$AI$267,MATCH(polities_cats!S$1,$A$1:$AN$1,0),0)</f>
        <v>Southern Africa</v>
      </c>
      <c r="T190">
        <f>VLOOKUP($A190,regions_full!$A$2:$AI$267,MATCH(polities_cats!T$1,$A$1:$AN$1,0),0)</f>
        <v>1</v>
      </c>
      <c r="U190" t="str">
        <f>VLOOKUP($A190,regions_full!$A$2:$AI$267,MATCH(polities_cats!U$1,$A$1:$AN$1,0),0)</f>
        <v>Zambia</v>
      </c>
      <c r="V190" t="str">
        <f>VLOOKUP($A190,regions_full!$A$2:$AI$267,MATCH(polities_cats!V$1,$A$1:$AN$1,0),0)</f>
        <v>Subsaharan Africa</v>
      </c>
      <c r="W190" t="str">
        <f>VLOOKUP($A190,regions_full!$A$2:$AI$267,MATCH(polities_cats!W$1,$A$1:$AN$1,0),0)</f>
        <v>Sub-saharan Africa</v>
      </c>
      <c r="X190" t="str">
        <f>VLOOKUP($A190,regions_full!$A$2:$AI$267,MATCH(polities_cats!X$1,$A$1:$AN$1,0),0)</f>
        <v>SSA</v>
      </c>
      <c r="Y190" t="str">
        <f>VLOOKUP($A190,regions_full!$A$2:$AI$267,MATCH(polities_cats!Y$1,$A$1:$AN$1,0),0)</f>
        <v>Sub-Saharan Africa</v>
      </c>
      <c r="Z190" t="str">
        <f>VLOOKUP($A190,regions_full!$A$2:$AI$267,MATCH(polities_cats!Z$1,$A$1:$AN$1,0),0)</f>
        <v>Africa</v>
      </c>
      <c r="AA190" t="str">
        <f>VLOOKUP($A190,regions_full!$A$2:$AI$267,MATCH(polities_cats!AA$1,$A$1:$AN$1,0),0)</f>
        <v>Africa</v>
      </c>
      <c r="AB190" t="str">
        <f>VLOOKUP($A190,regions_full!$A$2:$AI$267,MATCH(polities_cats!AB$1,$A$1:$AN$1,0),0)</f>
        <v>Sub-Saharan Africa</v>
      </c>
      <c r="AC190" t="str">
        <f>VLOOKUP($A190,regions_full!$A$2:$AI$267,MATCH(polities_cats!AC$1,$A$1:$AN$1,0),0)</f>
        <v>Eastern Africa</v>
      </c>
      <c r="AD190" t="str">
        <f>VLOOKUP($A190,regions_full!$A$2:$AI$267,MATCH(polities_cats!AD$1,$A$1:$AN$1,0),0)</f>
        <v>Emerging</v>
      </c>
      <c r="AE190" t="str">
        <f>VLOOKUP($A190,regions_full!$A$2:$AI$267,MATCH(polities_cats!AE$1,$A$1:$AN$1,0),0)</f>
        <v>Annex_II</v>
      </c>
      <c r="AF190" t="str">
        <f>VLOOKUP($A190,regions_full!$A$2:$AI$267,MATCH(polities_cats!AF$1,$A$1:$AN$1,0),0)</f>
        <v>Eastern Africa</v>
      </c>
      <c r="AG190" t="str">
        <f>VLOOKUP($A190,regions_full!$A$2:$AI$267,MATCH(polities_cats!AG$1,$A$1:$AN$1,0),0)</f>
        <v>SAA</v>
      </c>
      <c r="AH190" t="str">
        <f>VLOOKUP($A190,regions_full!$A$2:$AI$267,MATCH(polities_cats!AH$1,$A$1:$AN$1,0),0)</f>
        <v>no_mech</v>
      </c>
      <c r="AI190" t="str">
        <f>VLOOKUP($A190,regions_full!$A$2:$AI$267,MATCH(polities_cats!AI$1,$A$1:$AN$1,0),0)</f>
        <v>Other</v>
      </c>
      <c r="AJ190" t="e">
        <f>VLOOKUP($A190,regions_full!$A$2:$AI$267,MATCH(polities_cats!AJ$1,$A$1:$AN$1,0),0)</f>
        <v>#REF!</v>
      </c>
      <c r="AK190" t="e">
        <f>VLOOKUP($A190,regions_full!$A$2:$AI$267,MATCH(polities_cats!AK$1,$A$1:$AN$1,0),0)</f>
        <v>#REF!</v>
      </c>
      <c r="AL190" t="e">
        <f>VLOOKUP($A190,regions_full!$A$2:$AI$267,MATCH(polities_cats!AL$1,$A$1:$AN$1,0),0)</f>
        <v>#REF!</v>
      </c>
      <c r="AM190" t="e">
        <f>VLOOKUP($A190,regions_full!$A$2:$AI$267,MATCH(polities_cats!AM$1,$A$1:$AN$1,0),0)</f>
        <v>#REF!</v>
      </c>
      <c r="AN190" t="e">
        <f>VLOOKUP($A190,regions_full!$A$2:$AI$267,MATCH(polities_cats!AN$1,$A$1:$AN$1,0),0)</f>
        <v>#REF!</v>
      </c>
    </row>
    <row r="191" spans="1:40" x14ac:dyDescent="0.3">
      <c r="A191" t="str">
        <f>polities_whep!A191</f>
        <v>ZWE</v>
      </c>
      <c r="B191" t="str">
        <f>polities_whep!B191</f>
        <v>Zimbabwe</v>
      </c>
      <c r="C191">
        <f>VLOOKUP($A191,regions_full!$A$2:$AI$267,MATCH(polities_cats!C$1,$A$1:$AN$1,0),0)</f>
        <v>178</v>
      </c>
      <c r="D191">
        <f>VLOOKUP($A191,regions_full!$A$2:$AI$267,MATCH(polities_cats!D$1,$A$1:$AN$1,0),0)</f>
        <v>181</v>
      </c>
      <c r="E191" t="str">
        <f>VLOOKUP($A191,regions_full!$A$2:$AI$267,MATCH(polities_cats!E$1,$A$1:$AN$1,0),0)</f>
        <v>ZWE</v>
      </c>
      <c r="F191" t="str">
        <f>VLOOKUP($A191,regions_full!$A$2:$AI$267,MATCH(polities_cats!F$1,$A$1:$AN$1,0),0)</f>
        <v>Zimbabwe</v>
      </c>
      <c r="G191" t="str">
        <f>VLOOKUP($A191,regions_full!$A$2:$AI$267,MATCH(polities_cats!G$1,$A$1:$AN$1,0),0)</f>
        <v>FALSE</v>
      </c>
      <c r="H191" t="str">
        <f>VLOOKUP($A191,regions_full!$A$2:$AI$267,MATCH(polities_cats!H$1,$A$1:$AN$1,0),0)</f>
        <v>Zimbabwe</v>
      </c>
      <c r="I191" t="str">
        <f>VLOOKUP($A191,regions_full!$A$2:$AI$267,MATCH(polities_cats!I$1,$A$1:$AN$1,0),0)</f>
        <v>Zimbabwe</v>
      </c>
      <c r="J191" t="str">
        <f>VLOOKUP($A191,regions_full!$A$2:$AI$267,MATCH(polities_cats!J$1,$A$1:$AN$1,0),0)</f>
        <v>Zimbabwe</v>
      </c>
      <c r="K191">
        <f>VLOOKUP($A191,regions_full!$A$2:$AI$267,MATCH(polities_cats!K$1,$A$1:$AN$1,0),0)</f>
        <v>181</v>
      </c>
      <c r="L191" t="str">
        <f>VLOOKUP($A191,regions_full!$A$2:$AI$267,MATCH(polities_cats!L$1,$A$1:$AN$1,0),0)</f>
        <v>Zimbabwe</v>
      </c>
      <c r="M191">
        <f>VLOOKUP($A191,regions_full!$A$2:$AI$267,MATCH(polities_cats!M$1,$A$1:$AN$1,0),0)</f>
        <v>716</v>
      </c>
      <c r="N191">
        <f>VLOOKUP($A191,regions_full!$A$2:$AI$267,MATCH(polities_cats!N$1,$A$1:$AN$1,0),0)</f>
        <v>716</v>
      </c>
      <c r="O191">
        <f>VLOOKUP($A191,regions_full!$A$2:$AI$267,MATCH(polities_cats!O$1,$A$1:$AN$1,0),0)</f>
        <v>8</v>
      </c>
      <c r="P191" t="str">
        <f>VLOOKUP($A191,regions_full!$A$2:$AI$267,MATCH(polities_cats!P$1,$A$1:$AN$1,0),0)</f>
        <v>TRUE</v>
      </c>
      <c r="Q191">
        <f>VLOOKUP($A191,regions_full!$A$2:$AI$267,MATCH(polities_cats!Q$1,$A$1:$AN$1,0),0)</f>
        <v>181</v>
      </c>
      <c r="R191" t="str">
        <f>VLOOKUP($A191,regions_full!$A$2:$AI$267,MATCH(polities_cats!R$1,$A$1:$AN$1,0),0)</f>
        <v/>
      </c>
      <c r="S191" t="str">
        <f>VLOOKUP($A191,regions_full!$A$2:$AI$267,MATCH(polities_cats!S$1,$A$1:$AN$1,0),0)</f>
        <v>Southern Africa</v>
      </c>
      <c r="T191">
        <f>VLOOKUP($A191,regions_full!$A$2:$AI$267,MATCH(polities_cats!T$1,$A$1:$AN$1,0),0)</f>
        <v>1</v>
      </c>
      <c r="U191" t="str">
        <f>VLOOKUP($A191,regions_full!$A$2:$AI$267,MATCH(polities_cats!U$1,$A$1:$AN$1,0),0)</f>
        <v>Zimbabwe</v>
      </c>
      <c r="V191" t="str">
        <f>VLOOKUP($A191,regions_full!$A$2:$AI$267,MATCH(polities_cats!V$1,$A$1:$AN$1,0),0)</f>
        <v>Subsaharan Africa</v>
      </c>
      <c r="W191" t="str">
        <f>VLOOKUP($A191,regions_full!$A$2:$AI$267,MATCH(polities_cats!W$1,$A$1:$AN$1,0),0)</f>
        <v>Sub-saharan Africa</v>
      </c>
      <c r="X191" t="str">
        <f>VLOOKUP($A191,regions_full!$A$2:$AI$267,MATCH(polities_cats!X$1,$A$1:$AN$1,0),0)</f>
        <v>SSA</v>
      </c>
      <c r="Y191" t="str">
        <f>VLOOKUP($A191,regions_full!$A$2:$AI$267,MATCH(polities_cats!Y$1,$A$1:$AN$1,0),0)</f>
        <v>Sub-Saharan Africa</v>
      </c>
      <c r="Z191" t="str">
        <f>VLOOKUP($A191,regions_full!$A$2:$AI$267,MATCH(polities_cats!Z$1,$A$1:$AN$1,0),0)</f>
        <v>Africa</v>
      </c>
      <c r="AA191" t="str">
        <f>VLOOKUP($A191,regions_full!$A$2:$AI$267,MATCH(polities_cats!AA$1,$A$1:$AN$1,0),0)</f>
        <v>Africa</v>
      </c>
      <c r="AB191" t="str">
        <f>VLOOKUP($A191,regions_full!$A$2:$AI$267,MATCH(polities_cats!AB$1,$A$1:$AN$1,0),0)</f>
        <v>Sub-Saharan Africa</v>
      </c>
      <c r="AC191" t="str">
        <f>VLOOKUP($A191,regions_full!$A$2:$AI$267,MATCH(polities_cats!AC$1,$A$1:$AN$1,0),0)</f>
        <v>Eastern Africa</v>
      </c>
      <c r="AD191" t="str">
        <f>VLOOKUP($A191,regions_full!$A$2:$AI$267,MATCH(polities_cats!AD$1,$A$1:$AN$1,0),0)</f>
        <v>Emerging</v>
      </c>
      <c r="AE191" t="str">
        <f>VLOOKUP($A191,regions_full!$A$2:$AI$267,MATCH(polities_cats!AE$1,$A$1:$AN$1,0),0)</f>
        <v>Annex_II</v>
      </c>
      <c r="AF191" t="str">
        <f>VLOOKUP($A191,regions_full!$A$2:$AI$267,MATCH(polities_cats!AF$1,$A$1:$AN$1,0),0)</f>
        <v>Eastern Africa</v>
      </c>
      <c r="AG191" t="str">
        <f>VLOOKUP($A191,regions_full!$A$2:$AI$267,MATCH(polities_cats!AG$1,$A$1:$AN$1,0),0)</f>
        <v>SAA</v>
      </c>
      <c r="AH191" t="str">
        <f>VLOOKUP($A191,regions_full!$A$2:$AI$267,MATCH(polities_cats!AH$1,$A$1:$AN$1,0),0)</f>
        <v>no_mech</v>
      </c>
      <c r="AI191" t="str">
        <f>VLOOKUP($A191,regions_full!$A$2:$AI$267,MATCH(polities_cats!AI$1,$A$1:$AN$1,0),0)</f>
        <v>Other</v>
      </c>
      <c r="AJ191" t="e">
        <f>VLOOKUP($A191,regions_full!$A$2:$AI$267,MATCH(polities_cats!AJ$1,$A$1:$AN$1,0),0)</f>
        <v>#REF!</v>
      </c>
      <c r="AK191" t="e">
        <f>VLOOKUP($A191,regions_full!$A$2:$AI$267,MATCH(polities_cats!AK$1,$A$1:$AN$1,0),0)</f>
        <v>#REF!</v>
      </c>
      <c r="AL191" t="e">
        <f>VLOOKUP($A191,regions_full!$A$2:$AI$267,MATCH(polities_cats!AL$1,$A$1:$AN$1,0),0)</f>
        <v>#REF!</v>
      </c>
      <c r="AM191" t="e">
        <f>VLOOKUP($A191,regions_full!$A$2:$AI$267,MATCH(polities_cats!AM$1,$A$1:$AN$1,0),0)</f>
        <v>#REF!</v>
      </c>
      <c r="AN191" t="e">
        <f>VLOOKUP($A191,regions_full!$A$2:$AI$267,MATCH(polities_cats!AN$1,$A$1:$AN$1,0),0)</f>
        <v>#REF!</v>
      </c>
    </row>
    <row r="192" spans="1:40" x14ac:dyDescent="0.3">
      <c r="A192" t="str">
        <f>polities_whep!A192</f>
        <v>GUF</v>
      </c>
      <c r="B192" t="str">
        <f>polities_whep!B192</f>
        <v>French Guiana</v>
      </c>
      <c r="C192">
        <f>VLOOKUP($A192,regions_full!$A$2:$AI$267,MATCH(polities_cats!C$1,$A$1:$AN$1,0),0)</f>
        <v>69</v>
      </c>
      <c r="D192">
        <f>VLOOKUP($A192,regions_full!$A$2:$AI$267,MATCH(polities_cats!D$1,$A$1:$AN$1,0),0)</f>
        <v>69</v>
      </c>
      <c r="E192" t="str">
        <f>VLOOKUP($A192,regions_full!$A$2:$AI$267,MATCH(polities_cats!E$1,$A$1:$AN$1,0),0)</f>
        <v>GUF</v>
      </c>
      <c r="F192" t="str">
        <f>VLOOKUP($A192,regions_full!$A$2:$AI$267,MATCH(polities_cats!F$1,$A$1:$AN$1,0),0)</f>
        <v>French Guiana</v>
      </c>
      <c r="G192" t="str">
        <f>VLOOKUP($A192,regions_full!$A$2:$AI$267,MATCH(polities_cats!G$1,$A$1:$AN$1,0),0)</f>
        <v>FALSE</v>
      </c>
      <c r="H192" t="str">
        <f>VLOOKUP($A192,regions_full!$A$2:$AI$267,MATCH(polities_cats!H$1,$A$1:$AN$1,0),0)</f>
        <v>French Guiana</v>
      </c>
      <c r="I192" t="str">
        <f>VLOOKUP($A192,regions_full!$A$2:$AI$267,MATCH(polities_cats!I$1,$A$1:$AN$1,0),0)</f>
        <v>French Guiana</v>
      </c>
      <c r="J192">
        <f>VLOOKUP($A192,regions_full!$A$2:$AI$267,MATCH(polities_cats!J$1,$A$1:$AN$1,0),0)</f>
        <v>0</v>
      </c>
      <c r="K192">
        <f>VLOOKUP($A192,regions_full!$A$2:$AI$267,MATCH(polities_cats!K$1,$A$1:$AN$1,0),0)</f>
        <v>69</v>
      </c>
      <c r="L192" t="str">
        <f>VLOOKUP($A192,regions_full!$A$2:$AI$267,MATCH(polities_cats!L$1,$A$1:$AN$1,0),0)</f>
        <v>French Guiana</v>
      </c>
      <c r="M192" t="str">
        <f>VLOOKUP($A192,regions_full!$A$2:$AI$267,MATCH(polities_cats!M$1,$A$1:$AN$1,0),0)</f>
        <v>NA</v>
      </c>
      <c r="N192">
        <f>VLOOKUP($A192,regions_full!$A$2:$AI$267,MATCH(polities_cats!N$1,$A$1:$AN$1,0),0)</f>
        <v>254</v>
      </c>
      <c r="O192">
        <f>VLOOKUP($A192,regions_full!$A$2:$AI$267,MATCH(polities_cats!O$1,$A$1:$AN$1,0),0)</f>
        <v>4</v>
      </c>
      <c r="P192" t="str">
        <f>VLOOKUP($A192,regions_full!$A$2:$AI$267,MATCH(polities_cats!P$1,$A$1:$AN$1,0),0)</f>
        <v>FALSE</v>
      </c>
      <c r="Q192">
        <f>VLOOKUP($A192,regions_full!$A$2:$AI$267,MATCH(polities_cats!Q$1,$A$1:$AN$1,0),0)</f>
        <v>999</v>
      </c>
      <c r="R192" t="str">
        <f>VLOOKUP($A192,regions_full!$A$2:$AI$267,MATCH(polities_cats!R$1,$A$1:$AN$1,0),0)</f>
        <v/>
      </c>
      <c r="S192" t="str">
        <f>VLOOKUP($A192,regions_full!$A$2:$AI$267,MATCH(polities_cats!S$1,$A$1:$AN$1,0),0)</f>
        <v>South America</v>
      </c>
      <c r="T192">
        <f>VLOOKUP($A192,regions_full!$A$2:$AI$267,MATCH(polities_cats!T$1,$A$1:$AN$1,0),0)</f>
        <v>1</v>
      </c>
      <c r="U192" t="str">
        <f>VLOOKUP($A192,regions_full!$A$2:$AI$267,MATCH(polities_cats!U$1,$A$1:$AN$1,0),0)</f>
        <v>French Guiana</v>
      </c>
      <c r="V192" t="str">
        <f>VLOOKUP($A192,regions_full!$A$2:$AI$267,MATCH(polities_cats!V$1,$A$1:$AN$1,0),0)</f>
        <v>Latin America and the Caribbean</v>
      </c>
      <c r="W192" t="str">
        <f>VLOOKUP($A192,regions_full!$A$2:$AI$267,MATCH(polities_cats!W$1,$A$1:$AN$1,0),0)</f>
        <v>Latin America and Caribbean</v>
      </c>
      <c r="X192" t="str">
        <f>VLOOKUP($A192,regions_full!$A$2:$AI$267,MATCH(polities_cats!X$1,$A$1:$AN$1,0),0)</f>
        <v>LACA</v>
      </c>
      <c r="Y192" t="str">
        <f>VLOOKUP($A192,regions_full!$A$2:$AI$267,MATCH(polities_cats!Y$1,$A$1:$AN$1,0),0)</f>
        <v>Latin America and the Caribbean</v>
      </c>
      <c r="Z192" t="str">
        <f>VLOOKUP($A192,regions_full!$A$2:$AI$267,MATCH(polities_cats!Z$1,$A$1:$AN$1,0),0)</f>
        <v>Americas</v>
      </c>
      <c r="AA192" t="str">
        <f>VLOOKUP($A192,regions_full!$A$2:$AI$267,MATCH(polities_cats!AA$1,$A$1:$AN$1,0),0)</f>
        <v>Americas</v>
      </c>
      <c r="AB192" t="str">
        <f>VLOOKUP($A192,regions_full!$A$2:$AI$267,MATCH(polities_cats!AB$1,$A$1:$AN$1,0),0)</f>
        <v>Latin America and the Caribbean</v>
      </c>
      <c r="AC192" t="str">
        <f>VLOOKUP($A192,regions_full!$A$2:$AI$267,MATCH(polities_cats!AC$1,$A$1:$AN$1,0),0)</f>
        <v>South America</v>
      </c>
      <c r="AD192" t="str">
        <f>VLOOKUP($A192,regions_full!$A$2:$AI$267,MATCH(polities_cats!AD$1,$A$1:$AN$1,0),0)</f>
        <v>Emerging</v>
      </c>
      <c r="AE192" t="str">
        <f>VLOOKUP($A192,regions_full!$A$2:$AI$267,MATCH(polities_cats!AE$1,$A$1:$AN$1,0),0)</f>
        <v>Annex_II</v>
      </c>
      <c r="AF192" t="str">
        <f>VLOOKUP($A192,regions_full!$A$2:$AI$267,MATCH(polities_cats!AF$1,$A$1:$AN$1,0),0)</f>
        <v>Andean &amp; Mexico</v>
      </c>
      <c r="AG192" t="str">
        <f>VLOOKUP($A192,regions_full!$A$2:$AI$267,MATCH(polities_cats!AG$1,$A$1:$AN$1,0),0)</f>
        <v>LACA</v>
      </c>
      <c r="AH192" t="str">
        <f>VLOOKUP($A192,regions_full!$A$2:$AI$267,MATCH(polities_cats!AH$1,$A$1:$AN$1,0),0)</f>
        <v>no_mech</v>
      </c>
      <c r="AI192" t="str">
        <f>VLOOKUP($A192,regions_full!$A$2:$AI$267,MATCH(polities_cats!AI$1,$A$1:$AN$1,0),0)</f>
        <v>Other</v>
      </c>
      <c r="AJ192" t="e">
        <f>VLOOKUP($A192,regions_full!$A$2:$AI$267,MATCH(polities_cats!AJ$1,$A$1:$AN$1,0),0)</f>
        <v>#REF!</v>
      </c>
      <c r="AK192" t="e">
        <f>VLOOKUP($A192,regions_full!$A$2:$AI$267,MATCH(polities_cats!AK$1,$A$1:$AN$1,0),0)</f>
        <v>#REF!</v>
      </c>
      <c r="AL192" t="e">
        <f>VLOOKUP($A192,regions_full!$A$2:$AI$267,MATCH(polities_cats!AL$1,$A$1:$AN$1,0),0)</f>
        <v>#REF!</v>
      </c>
      <c r="AM192" t="e">
        <f>VLOOKUP($A192,regions_full!$A$2:$AI$267,MATCH(polities_cats!AM$1,$A$1:$AN$1,0),0)</f>
        <v>#REF!</v>
      </c>
      <c r="AN192" t="e">
        <f>VLOOKUP($A192,regions_full!$A$2:$AI$267,MATCH(polities_cats!AN$1,$A$1:$AN$1,0),0)</f>
        <v>#REF!</v>
      </c>
    </row>
    <row r="193" spans="1:40" x14ac:dyDescent="0.3">
      <c r="A193" t="str">
        <f>polities_whep!A193</f>
        <v>GNQ</v>
      </c>
      <c r="B193" t="str">
        <f>polities_whep!B193</f>
        <v>Equatorial Guinea</v>
      </c>
      <c r="C193">
        <f>VLOOKUP($A193,regions_full!$A$2:$AI$267,MATCH(polities_cats!C$1,$A$1:$AN$1,0),0)</f>
        <v>61</v>
      </c>
      <c r="D193">
        <f>VLOOKUP($A193,regions_full!$A$2:$AI$267,MATCH(polities_cats!D$1,$A$1:$AN$1,0),0)</f>
        <v>61</v>
      </c>
      <c r="E193" t="str">
        <f>VLOOKUP($A193,regions_full!$A$2:$AI$267,MATCH(polities_cats!E$1,$A$1:$AN$1,0),0)</f>
        <v>GNQ</v>
      </c>
      <c r="F193" t="str">
        <f>VLOOKUP($A193,regions_full!$A$2:$AI$267,MATCH(polities_cats!F$1,$A$1:$AN$1,0),0)</f>
        <v>Equatorial Guinea</v>
      </c>
      <c r="G193" t="str">
        <f>VLOOKUP($A193,regions_full!$A$2:$AI$267,MATCH(polities_cats!G$1,$A$1:$AN$1,0),0)</f>
        <v>FALSE</v>
      </c>
      <c r="H193" t="str">
        <f>VLOOKUP($A193,regions_full!$A$2:$AI$267,MATCH(polities_cats!H$1,$A$1:$AN$1,0),0)</f>
        <v>Equatorial Guinea</v>
      </c>
      <c r="I193" t="str">
        <f>VLOOKUP($A193,regions_full!$A$2:$AI$267,MATCH(polities_cats!I$1,$A$1:$AN$1,0),0)</f>
        <v>Equatorial Guinea</v>
      </c>
      <c r="J193">
        <f>VLOOKUP($A193,regions_full!$A$2:$AI$267,MATCH(polities_cats!J$1,$A$1:$AN$1,0),0)</f>
        <v>0</v>
      </c>
      <c r="K193">
        <f>VLOOKUP($A193,regions_full!$A$2:$AI$267,MATCH(polities_cats!K$1,$A$1:$AN$1,0),0)</f>
        <v>61</v>
      </c>
      <c r="L193" t="str">
        <f>VLOOKUP($A193,regions_full!$A$2:$AI$267,MATCH(polities_cats!L$1,$A$1:$AN$1,0),0)</f>
        <v>Equatorial Guinea</v>
      </c>
      <c r="M193">
        <f>VLOOKUP($A193,regions_full!$A$2:$AI$267,MATCH(polities_cats!M$1,$A$1:$AN$1,0),0)</f>
        <v>226</v>
      </c>
      <c r="N193">
        <f>VLOOKUP($A193,regions_full!$A$2:$AI$267,MATCH(polities_cats!N$1,$A$1:$AN$1,0),0)</f>
        <v>226</v>
      </c>
      <c r="O193">
        <f>VLOOKUP($A193,regions_full!$A$2:$AI$267,MATCH(polities_cats!O$1,$A$1:$AN$1,0),0)</f>
        <v>6</v>
      </c>
      <c r="P193" t="str">
        <f>VLOOKUP($A193,regions_full!$A$2:$AI$267,MATCH(polities_cats!P$1,$A$1:$AN$1,0),0)</f>
        <v>FALSE</v>
      </c>
      <c r="Q193">
        <f>VLOOKUP($A193,regions_full!$A$2:$AI$267,MATCH(polities_cats!Q$1,$A$1:$AN$1,0),0)</f>
        <v>999</v>
      </c>
      <c r="R193" t="str">
        <f>VLOOKUP($A193,regions_full!$A$2:$AI$267,MATCH(polities_cats!R$1,$A$1:$AN$1,0),0)</f>
        <v/>
      </c>
      <c r="S193" t="str">
        <f>VLOOKUP($A193,regions_full!$A$2:$AI$267,MATCH(polities_cats!S$1,$A$1:$AN$1,0),0)</f>
        <v>Western Africa</v>
      </c>
      <c r="T193">
        <f>VLOOKUP($A193,regions_full!$A$2:$AI$267,MATCH(polities_cats!T$1,$A$1:$AN$1,0),0)</f>
        <v>1</v>
      </c>
      <c r="U193" t="str">
        <f>VLOOKUP($A193,regions_full!$A$2:$AI$267,MATCH(polities_cats!U$1,$A$1:$AN$1,0),0)</f>
        <v>Equatorial Guinea</v>
      </c>
      <c r="V193" t="str">
        <f>VLOOKUP($A193,regions_full!$A$2:$AI$267,MATCH(polities_cats!V$1,$A$1:$AN$1,0),0)</f>
        <v>Subsaharan Africa</v>
      </c>
      <c r="W193" t="str">
        <f>VLOOKUP($A193,regions_full!$A$2:$AI$267,MATCH(polities_cats!W$1,$A$1:$AN$1,0),0)</f>
        <v>Sub-saharan Africa</v>
      </c>
      <c r="X193" t="str">
        <f>VLOOKUP($A193,regions_full!$A$2:$AI$267,MATCH(polities_cats!X$1,$A$1:$AN$1,0),0)</f>
        <v>SSA</v>
      </c>
      <c r="Y193" t="str">
        <f>VLOOKUP($A193,regions_full!$A$2:$AI$267,MATCH(polities_cats!Y$1,$A$1:$AN$1,0),0)</f>
        <v>Sub-Saharan Africa</v>
      </c>
      <c r="Z193" t="str">
        <f>VLOOKUP($A193,regions_full!$A$2:$AI$267,MATCH(polities_cats!Z$1,$A$1:$AN$1,0),0)</f>
        <v>Africa</v>
      </c>
      <c r="AA193" t="str">
        <f>VLOOKUP($A193,regions_full!$A$2:$AI$267,MATCH(polities_cats!AA$1,$A$1:$AN$1,0),0)</f>
        <v>Africa</v>
      </c>
      <c r="AB193" t="str">
        <f>VLOOKUP($A193,regions_full!$A$2:$AI$267,MATCH(polities_cats!AB$1,$A$1:$AN$1,0),0)</f>
        <v>Sub-Saharan Africa</v>
      </c>
      <c r="AC193" t="str">
        <f>VLOOKUP($A193,regions_full!$A$2:$AI$267,MATCH(polities_cats!AC$1,$A$1:$AN$1,0),0)</f>
        <v>Central Africa</v>
      </c>
      <c r="AD193" t="str">
        <f>VLOOKUP($A193,regions_full!$A$2:$AI$267,MATCH(polities_cats!AD$1,$A$1:$AN$1,0),0)</f>
        <v>Emerging</v>
      </c>
      <c r="AE193" t="str">
        <f>VLOOKUP($A193,regions_full!$A$2:$AI$267,MATCH(polities_cats!AE$1,$A$1:$AN$1,0),0)</f>
        <v>Annex_II</v>
      </c>
      <c r="AF193" t="str">
        <f>VLOOKUP($A193,regions_full!$A$2:$AI$267,MATCH(polities_cats!AF$1,$A$1:$AN$1,0),0)</f>
        <v>Middle Africa</v>
      </c>
      <c r="AG193" t="str">
        <f>VLOOKUP($A193,regions_full!$A$2:$AI$267,MATCH(polities_cats!AG$1,$A$1:$AN$1,0),0)</f>
        <v>SAA</v>
      </c>
      <c r="AH193" t="str">
        <f>VLOOKUP($A193,regions_full!$A$2:$AI$267,MATCH(polities_cats!AH$1,$A$1:$AN$1,0),0)</f>
        <v>no_mech</v>
      </c>
      <c r="AI193" t="str">
        <f>VLOOKUP($A193,regions_full!$A$2:$AI$267,MATCH(polities_cats!AI$1,$A$1:$AN$1,0),0)</f>
        <v>Other</v>
      </c>
      <c r="AJ193" t="e">
        <f>VLOOKUP($A193,regions_full!$A$2:$AI$267,MATCH(polities_cats!AJ$1,$A$1:$AN$1,0),0)</f>
        <v>#REF!</v>
      </c>
      <c r="AK193" t="e">
        <f>VLOOKUP($A193,regions_full!$A$2:$AI$267,MATCH(polities_cats!AK$1,$A$1:$AN$1,0),0)</f>
        <v>#REF!</v>
      </c>
      <c r="AL193" t="e">
        <f>VLOOKUP($A193,regions_full!$A$2:$AI$267,MATCH(polities_cats!AL$1,$A$1:$AN$1,0),0)</f>
        <v>#REF!</v>
      </c>
      <c r="AM193" t="e">
        <f>VLOOKUP($A193,regions_full!$A$2:$AI$267,MATCH(polities_cats!AM$1,$A$1:$AN$1,0),0)</f>
        <v>#REF!</v>
      </c>
      <c r="AN193" t="e">
        <f>VLOOKUP($A193,regions_full!$A$2:$AI$267,MATCH(polities_cats!AN$1,$A$1:$AN$1,0),0)</f>
        <v>#REF!</v>
      </c>
    </row>
    <row r="194" spans="1:40" x14ac:dyDescent="0.3">
      <c r="A194" t="str">
        <f>polities_whep!A194</f>
        <v>RAFR</v>
      </c>
      <c r="B194" t="str">
        <f>polities_whep!B194</f>
        <v>Africa Other</v>
      </c>
      <c r="C194">
        <f>VLOOKUP($A194,regions_full!$A$2:$AI$267,MATCH(polities_cats!C$1,$A$1:$AN$1,0),0)</f>
        <v>45</v>
      </c>
      <c r="D194">
        <f>VLOOKUP($A194,regions_full!$A$2:$AI$267,MATCH(polities_cats!D$1,$A$1:$AN$1,0),0)</f>
        <v>45</v>
      </c>
      <c r="E194" t="str">
        <f>VLOOKUP($A194,regions_full!$A$2:$AI$267,MATCH(polities_cats!E$1,$A$1:$AN$1,0),0)</f>
        <v>COM</v>
      </c>
      <c r="F194" t="str">
        <f>VLOOKUP($A194,regions_full!$A$2:$AI$267,MATCH(polities_cats!F$1,$A$1:$AN$1,0),0)</f>
        <v>Comoros</v>
      </c>
      <c r="G194" t="str">
        <f>VLOOKUP($A194,regions_full!$A$2:$AI$267,MATCH(polities_cats!G$1,$A$1:$AN$1,0),0)</f>
        <v>FALSE</v>
      </c>
      <c r="H194" t="str">
        <f>VLOOKUP($A194,regions_full!$A$2:$AI$267,MATCH(polities_cats!H$1,$A$1:$AN$1,0),0)</f>
        <v>Comoros</v>
      </c>
      <c r="I194" t="str">
        <f>VLOOKUP($A194,regions_full!$A$2:$AI$267,MATCH(polities_cats!I$1,$A$1:$AN$1,0),0)</f>
        <v>Comoros</v>
      </c>
      <c r="J194">
        <f>VLOOKUP($A194,regions_full!$A$2:$AI$267,MATCH(polities_cats!J$1,$A$1:$AN$1,0),0)</f>
        <v>0</v>
      </c>
      <c r="K194">
        <f>VLOOKUP($A194,regions_full!$A$2:$AI$267,MATCH(polities_cats!K$1,$A$1:$AN$1,0),0)</f>
        <v>45</v>
      </c>
      <c r="L194" t="str">
        <f>VLOOKUP($A194,regions_full!$A$2:$AI$267,MATCH(polities_cats!L$1,$A$1:$AN$1,0),0)</f>
        <v>Comoros</v>
      </c>
      <c r="M194">
        <f>VLOOKUP($A194,regions_full!$A$2:$AI$267,MATCH(polities_cats!M$1,$A$1:$AN$1,0),0)</f>
        <v>174</v>
      </c>
      <c r="N194">
        <f>VLOOKUP($A194,regions_full!$A$2:$AI$267,MATCH(polities_cats!N$1,$A$1:$AN$1,0),0)</f>
        <v>174</v>
      </c>
      <c r="O194">
        <f>VLOOKUP($A194,regions_full!$A$2:$AI$267,MATCH(polities_cats!O$1,$A$1:$AN$1,0),0)</f>
        <v>7</v>
      </c>
      <c r="P194" t="str">
        <f>VLOOKUP($A194,regions_full!$A$2:$AI$267,MATCH(polities_cats!P$1,$A$1:$AN$1,0),0)</f>
        <v>FALSE</v>
      </c>
      <c r="Q194">
        <f>VLOOKUP($A194,regions_full!$A$2:$AI$267,MATCH(polities_cats!Q$1,$A$1:$AN$1,0),0)</f>
        <v>999</v>
      </c>
      <c r="R194" t="str">
        <f>VLOOKUP($A194,regions_full!$A$2:$AI$267,MATCH(polities_cats!R$1,$A$1:$AN$1,0),0)</f>
        <v/>
      </c>
      <c r="S194" t="str">
        <f>VLOOKUP($A194,regions_full!$A$2:$AI$267,MATCH(polities_cats!S$1,$A$1:$AN$1,0),0)</f>
        <v>Eastern Africa</v>
      </c>
      <c r="T194">
        <f>VLOOKUP($A194,regions_full!$A$2:$AI$267,MATCH(polities_cats!T$1,$A$1:$AN$1,0),0)</f>
        <v>1</v>
      </c>
      <c r="U194" t="str">
        <f>VLOOKUP($A194,regions_full!$A$2:$AI$267,MATCH(polities_cats!U$1,$A$1:$AN$1,0),0)</f>
        <v>Comoros</v>
      </c>
      <c r="V194" t="str">
        <f>VLOOKUP($A194,regions_full!$A$2:$AI$267,MATCH(polities_cats!V$1,$A$1:$AN$1,0),0)</f>
        <v>Subsaharan Africa</v>
      </c>
      <c r="W194" t="str">
        <f>VLOOKUP($A194,regions_full!$A$2:$AI$267,MATCH(polities_cats!W$1,$A$1:$AN$1,0),0)</f>
        <v>Sub-saharan Africa</v>
      </c>
      <c r="X194" t="str">
        <f>VLOOKUP($A194,regions_full!$A$2:$AI$267,MATCH(polities_cats!X$1,$A$1:$AN$1,0),0)</f>
        <v>SSA</v>
      </c>
      <c r="Y194" t="str">
        <f>VLOOKUP($A194,regions_full!$A$2:$AI$267,MATCH(polities_cats!Y$1,$A$1:$AN$1,0),0)</f>
        <v>Sub-Saharan Africa</v>
      </c>
      <c r="Z194" t="str">
        <f>VLOOKUP($A194,regions_full!$A$2:$AI$267,MATCH(polities_cats!Z$1,$A$1:$AN$1,0),0)</f>
        <v>Africa</v>
      </c>
      <c r="AA194" t="str">
        <f>VLOOKUP($A194,regions_full!$A$2:$AI$267,MATCH(polities_cats!AA$1,$A$1:$AN$1,0),0)</f>
        <v>Africa</v>
      </c>
      <c r="AB194" t="str">
        <f>VLOOKUP($A194,regions_full!$A$2:$AI$267,MATCH(polities_cats!AB$1,$A$1:$AN$1,0),0)</f>
        <v>Sub-Saharan Africa</v>
      </c>
      <c r="AC194" t="str">
        <f>VLOOKUP($A194,regions_full!$A$2:$AI$267,MATCH(polities_cats!AC$1,$A$1:$AN$1,0),0)</f>
        <v>Eastern Africa</v>
      </c>
      <c r="AD194" t="str">
        <f>VLOOKUP($A194,regions_full!$A$2:$AI$267,MATCH(polities_cats!AD$1,$A$1:$AN$1,0),0)</f>
        <v>Emerging</v>
      </c>
      <c r="AE194" t="str">
        <f>VLOOKUP($A194,regions_full!$A$2:$AI$267,MATCH(polities_cats!AE$1,$A$1:$AN$1,0),0)</f>
        <v>Annex_II</v>
      </c>
      <c r="AF194" t="str">
        <f>VLOOKUP($A194,regions_full!$A$2:$AI$267,MATCH(polities_cats!AF$1,$A$1:$AN$1,0),0)</f>
        <v>Eastern Africa</v>
      </c>
      <c r="AG194" t="str">
        <f>VLOOKUP($A194,regions_full!$A$2:$AI$267,MATCH(polities_cats!AG$1,$A$1:$AN$1,0),0)</f>
        <v>SAA</v>
      </c>
      <c r="AH194" t="str">
        <f>VLOOKUP($A194,regions_full!$A$2:$AI$267,MATCH(polities_cats!AH$1,$A$1:$AN$1,0),0)</f>
        <v>no_mech</v>
      </c>
      <c r="AI194" t="str">
        <f>VLOOKUP($A194,regions_full!$A$2:$AI$267,MATCH(polities_cats!AI$1,$A$1:$AN$1,0),0)</f>
        <v>Other</v>
      </c>
      <c r="AJ194" t="e">
        <f>VLOOKUP($A194,regions_full!$A$2:$AI$267,MATCH(polities_cats!AJ$1,$A$1:$AN$1,0),0)</f>
        <v>#REF!</v>
      </c>
      <c r="AK194" t="e">
        <f>VLOOKUP($A194,regions_full!$A$2:$AI$267,MATCH(polities_cats!AK$1,$A$1:$AN$1,0),0)</f>
        <v>#REF!</v>
      </c>
      <c r="AL194" t="e">
        <f>VLOOKUP($A194,regions_full!$A$2:$AI$267,MATCH(polities_cats!AL$1,$A$1:$AN$1,0),0)</f>
        <v>#REF!</v>
      </c>
      <c r="AM194" t="e">
        <f>VLOOKUP($A194,regions_full!$A$2:$AI$267,MATCH(polities_cats!AM$1,$A$1:$AN$1,0),0)</f>
        <v>#REF!</v>
      </c>
      <c r="AN194" t="e">
        <f>VLOOKUP($A194,regions_full!$A$2:$AI$267,MATCH(polities_cats!AN$1,$A$1:$AN$1,0),0)</f>
        <v>#REF!</v>
      </c>
    </row>
    <row r="195" spans="1:40" x14ac:dyDescent="0.3">
      <c r="A195" t="str">
        <f>polities_whep!A195</f>
        <v>RASI</v>
      </c>
      <c r="B195" t="str">
        <f>polities_whep!B195</f>
        <v>Asia Other</v>
      </c>
      <c r="C195">
        <f>VLOOKUP($A195,regions_full!$A$2:$AI$267,MATCH(polities_cats!C$1,$A$1:$AN$1,0),0)</f>
        <v>18</v>
      </c>
      <c r="D195">
        <f>VLOOKUP($A195,regions_full!$A$2:$AI$267,MATCH(polities_cats!D$1,$A$1:$AN$1,0),0)</f>
        <v>18</v>
      </c>
      <c r="E195" t="str">
        <f>VLOOKUP($A195,regions_full!$A$2:$AI$267,MATCH(polities_cats!E$1,$A$1:$AN$1,0),0)</f>
        <v>BTN</v>
      </c>
      <c r="F195" t="str">
        <f>VLOOKUP($A195,regions_full!$A$2:$AI$267,MATCH(polities_cats!F$1,$A$1:$AN$1,0),0)</f>
        <v>Bhutan</v>
      </c>
      <c r="G195" t="str">
        <f>VLOOKUP($A195,regions_full!$A$2:$AI$267,MATCH(polities_cats!G$1,$A$1:$AN$1,0),0)</f>
        <v>FALSE</v>
      </c>
      <c r="H195" t="str">
        <f>VLOOKUP($A195,regions_full!$A$2:$AI$267,MATCH(polities_cats!H$1,$A$1:$AN$1,0),0)</f>
        <v>Bhutan</v>
      </c>
      <c r="I195" t="str">
        <f>VLOOKUP($A195,regions_full!$A$2:$AI$267,MATCH(polities_cats!I$1,$A$1:$AN$1,0),0)</f>
        <v>Bhutan</v>
      </c>
      <c r="J195">
        <f>VLOOKUP($A195,regions_full!$A$2:$AI$267,MATCH(polities_cats!J$1,$A$1:$AN$1,0),0)</f>
        <v>0</v>
      </c>
      <c r="K195">
        <f>VLOOKUP($A195,regions_full!$A$2:$AI$267,MATCH(polities_cats!K$1,$A$1:$AN$1,0),0)</f>
        <v>18</v>
      </c>
      <c r="L195" t="str">
        <f>VLOOKUP($A195,regions_full!$A$2:$AI$267,MATCH(polities_cats!L$1,$A$1:$AN$1,0),0)</f>
        <v>Bhutan</v>
      </c>
      <c r="M195">
        <f>VLOOKUP($A195,regions_full!$A$2:$AI$267,MATCH(polities_cats!M$1,$A$1:$AN$1,0),0)</f>
        <v>64</v>
      </c>
      <c r="N195">
        <f>VLOOKUP($A195,regions_full!$A$2:$AI$267,MATCH(polities_cats!N$1,$A$1:$AN$1,0),0)</f>
        <v>64</v>
      </c>
      <c r="O195">
        <f>VLOOKUP($A195,regions_full!$A$2:$AI$267,MATCH(polities_cats!O$1,$A$1:$AN$1,0),0)</f>
        <v>13</v>
      </c>
      <c r="P195" t="str">
        <f>VLOOKUP($A195,regions_full!$A$2:$AI$267,MATCH(polities_cats!P$1,$A$1:$AN$1,0),0)</f>
        <v>FALSE</v>
      </c>
      <c r="Q195">
        <f>VLOOKUP($A195,regions_full!$A$2:$AI$267,MATCH(polities_cats!Q$1,$A$1:$AN$1,0),0)</f>
        <v>999</v>
      </c>
      <c r="R195" t="str">
        <f>VLOOKUP($A195,regions_full!$A$2:$AI$267,MATCH(polities_cats!R$1,$A$1:$AN$1,0),0)</f>
        <v/>
      </c>
      <c r="S195" t="str">
        <f>VLOOKUP($A195,regions_full!$A$2:$AI$267,MATCH(polities_cats!S$1,$A$1:$AN$1,0),0)</f>
        <v>South Asia</v>
      </c>
      <c r="T195">
        <f>VLOOKUP($A195,regions_full!$A$2:$AI$267,MATCH(polities_cats!T$1,$A$1:$AN$1,0),0)</f>
        <v>1</v>
      </c>
      <c r="U195" t="str">
        <f>VLOOKUP($A195,regions_full!$A$2:$AI$267,MATCH(polities_cats!U$1,$A$1:$AN$1,0),0)</f>
        <v>Bhutan</v>
      </c>
      <c r="V195" t="str">
        <f>VLOOKUP($A195,regions_full!$A$2:$AI$267,MATCH(polities_cats!V$1,$A$1:$AN$1,0),0)</f>
        <v>Southern Asia</v>
      </c>
      <c r="W195" t="str">
        <f>VLOOKUP($A195,regions_full!$A$2:$AI$267,MATCH(polities_cats!W$1,$A$1:$AN$1,0),0)</f>
        <v>South and Central Asia</v>
      </c>
      <c r="X195" t="str">
        <f>VLOOKUP($A195,regions_full!$A$2:$AI$267,MATCH(polities_cats!X$1,$A$1:$AN$1,0),0)</f>
        <v>Southern Asia</v>
      </c>
      <c r="Y195" t="str">
        <f>VLOOKUP($A195,regions_full!$A$2:$AI$267,MATCH(polities_cats!Y$1,$A$1:$AN$1,0),0)</f>
        <v>Southern Asia</v>
      </c>
      <c r="Z195" t="str">
        <f>VLOOKUP($A195,regions_full!$A$2:$AI$267,MATCH(polities_cats!Z$1,$A$1:$AN$1,0),0)</f>
        <v>Asia</v>
      </c>
      <c r="AA195" t="str">
        <f>VLOOKUP($A195,regions_full!$A$2:$AI$267,MATCH(polities_cats!AA$1,$A$1:$AN$1,0),0)</f>
        <v>Asia and the Pacific</v>
      </c>
      <c r="AB195" t="str">
        <f>VLOOKUP($A195,regions_full!$A$2:$AI$267,MATCH(polities_cats!AB$1,$A$1:$AN$1,0),0)</f>
        <v>Southern Asia</v>
      </c>
      <c r="AC195" t="str">
        <f>VLOOKUP($A195,regions_full!$A$2:$AI$267,MATCH(polities_cats!AC$1,$A$1:$AN$1,0),0)</f>
        <v>Southern Asia</v>
      </c>
      <c r="AD195" t="str">
        <f>VLOOKUP($A195,regions_full!$A$2:$AI$267,MATCH(polities_cats!AD$1,$A$1:$AN$1,0),0)</f>
        <v>Emerging</v>
      </c>
      <c r="AE195" t="str">
        <f>VLOOKUP($A195,regions_full!$A$2:$AI$267,MATCH(polities_cats!AE$1,$A$1:$AN$1,0),0)</f>
        <v>Annex_II</v>
      </c>
      <c r="AF195" t="str">
        <f>VLOOKUP($A195,regions_full!$A$2:$AI$267,MATCH(polities_cats!AF$1,$A$1:$AN$1,0),0)</f>
        <v>Southern Asia</v>
      </c>
      <c r="AG195" t="str">
        <f>VLOOKUP($A195,regions_full!$A$2:$AI$267,MATCH(polities_cats!AG$1,$A$1:$AN$1,0),0)</f>
        <v>SE-Asia</v>
      </c>
      <c r="AH195" t="str">
        <f>VLOOKUP($A195,regions_full!$A$2:$AI$267,MATCH(polities_cats!AH$1,$A$1:$AN$1,0),0)</f>
        <v>no_mech</v>
      </c>
      <c r="AI195" t="str">
        <f>VLOOKUP($A195,regions_full!$A$2:$AI$267,MATCH(polities_cats!AI$1,$A$1:$AN$1,0),0)</f>
        <v>Other</v>
      </c>
      <c r="AJ195" t="e">
        <f>VLOOKUP($A195,regions_full!$A$2:$AI$267,MATCH(polities_cats!AJ$1,$A$1:$AN$1,0),0)</f>
        <v>#REF!</v>
      </c>
      <c r="AK195" t="e">
        <f>VLOOKUP($A195,regions_full!$A$2:$AI$267,MATCH(polities_cats!AK$1,$A$1:$AN$1,0),0)</f>
        <v>#REF!</v>
      </c>
      <c r="AL195" t="e">
        <f>VLOOKUP($A195,regions_full!$A$2:$AI$267,MATCH(polities_cats!AL$1,$A$1:$AN$1,0),0)</f>
        <v>#REF!</v>
      </c>
      <c r="AM195" t="e">
        <f>VLOOKUP($A195,regions_full!$A$2:$AI$267,MATCH(polities_cats!AM$1,$A$1:$AN$1,0),0)</f>
        <v>#REF!</v>
      </c>
      <c r="AN195" t="e">
        <f>VLOOKUP($A195,regions_full!$A$2:$AI$267,MATCH(polities_cats!AN$1,$A$1:$AN$1,0),0)</f>
        <v>#REF!</v>
      </c>
    </row>
    <row r="196" spans="1:40" x14ac:dyDescent="0.3">
      <c r="A196" t="str">
        <f>polities_whep!A196</f>
        <v>REUR</v>
      </c>
      <c r="B196" t="str">
        <f>polities_whep!B196</f>
        <v>Europe Other</v>
      </c>
      <c r="C196">
        <f>VLOOKUP($A196,regions_full!$A$2:$AI$267,MATCH(polities_cats!C$1,$A$1:$AN$1,0),0)</f>
        <v>6</v>
      </c>
      <c r="D196">
        <f>VLOOKUP($A196,regions_full!$A$2:$AI$267,MATCH(polities_cats!D$1,$A$1:$AN$1,0),0)</f>
        <v>6</v>
      </c>
      <c r="E196" t="str">
        <f>VLOOKUP($A196,regions_full!$A$2:$AI$267,MATCH(polities_cats!E$1,$A$1:$AN$1,0),0)</f>
        <v>AND</v>
      </c>
      <c r="F196" t="e">
        <f>VLOOKUP($A196,regions_full!$A$2:$AI$267,MATCH(polities_cats!F$1,$A$1:$AN$1,0),0)</f>
        <v>#N/A</v>
      </c>
      <c r="G196" t="str">
        <f>VLOOKUP($A196,regions_full!$A$2:$AI$267,MATCH(polities_cats!G$1,$A$1:$AN$1,0),0)</f>
        <v>FALSE</v>
      </c>
      <c r="H196" t="str">
        <f>VLOOKUP($A196,regions_full!$A$2:$AI$267,MATCH(polities_cats!H$1,$A$1:$AN$1,0),0)</f>
        <v>Andorra</v>
      </c>
      <c r="I196">
        <f>VLOOKUP($A196,regions_full!$A$2:$AI$267,MATCH(polities_cats!I$1,$A$1:$AN$1,0),0)</f>
        <v>0</v>
      </c>
      <c r="J196">
        <f>VLOOKUP($A196,regions_full!$A$2:$AI$267,MATCH(polities_cats!J$1,$A$1:$AN$1,0),0)</f>
        <v>0</v>
      </c>
      <c r="K196">
        <f>VLOOKUP($A196,regions_full!$A$2:$AI$267,MATCH(polities_cats!K$1,$A$1:$AN$1,0),0)</f>
        <v>999</v>
      </c>
      <c r="L196" t="str">
        <f>VLOOKUP($A196,regions_full!$A$2:$AI$267,MATCH(polities_cats!L$1,$A$1:$AN$1,0),0)</f>
        <v>Global average</v>
      </c>
      <c r="M196">
        <f>VLOOKUP($A196,regions_full!$A$2:$AI$267,MATCH(polities_cats!M$1,$A$1:$AN$1,0),0)</f>
        <v>20</v>
      </c>
      <c r="N196">
        <f>VLOOKUP($A196,regions_full!$A$2:$AI$267,MATCH(polities_cats!N$1,$A$1:$AN$1,0),0)</f>
        <v>20</v>
      </c>
      <c r="O196">
        <f>VLOOKUP($A196,regions_full!$A$2:$AI$267,MATCH(polities_cats!O$1,$A$1:$AN$1,0),0)</f>
        <v>9</v>
      </c>
      <c r="P196" t="str">
        <f>VLOOKUP($A196,regions_full!$A$2:$AI$267,MATCH(polities_cats!P$1,$A$1:$AN$1,0),0)</f>
        <v>FALSE</v>
      </c>
      <c r="Q196">
        <f>VLOOKUP($A196,regions_full!$A$2:$AI$267,MATCH(polities_cats!Q$1,$A$1:$AN$1,0),0)</f>
        <v>999</v>
      </c>
      <c r="R196" t="str">
        <f>VLOOKUP($A196,regions_full!$A$2:$AI$267,MATCH(polities_cats!R$1,$A$1:$AN$1,0),0)</f>
        <v/>
      </c>
      <c r="S196" t="str">
        <f>VLOOKUP($A196,regions_full!$A$2:$AI$267,MATCH(polities_cats!S$1,$A$1:$AN$1,0),0)</f>
        <v>OECD Europe</v>
      </c>
      <c r="T196">
        <f>VLOOKUP($A196,regions_full!$A$2:$AI$267,MATCH(polities_cats!T$1,$A$1:$AN$1,0),0)</f>
        <v>1</v>
      </c>
      <c r="U196" t="str">
        <f>VLOOKUP($A196,regions_full!$A$2:$AI$267,MATCH(polities_cats!U$1,$A$1:$AN$1,0),0)</f>
        <v>Andorra</v>
      </c>
      <c r="V196" t="str">
        <f>VLOOKUP($A196,regions_full!$A$2:$AI$267,MATCH(polities_cats!V$1,$A$1:$AN$1,0),0)</f>
        <v>Western Europe</v>
      </c>
      <c r="W196" t="str">
        <f>VLOOKUP($A196,regions_full!$A$2:$AI$267,MATCH(polities_cats!W$1,$A$1:$AN$1,0),0)</f>
        <v>West Europe</v>
      </c>
      <c r="X196" t="str">
        <f>VLOOKUP($A196,regions_full!$A$2:$AI$267,MATCH(polities_cats!X$1,$A$1:$AN$1,0),0)</f>
        <v>Europe</v>
      </c>
      <c r="Y196" t="str">
        <f>VLOOKUP($A196,regions_full!$A$2:$AI$267,MATCH(polities_cats!Y$1,$A$1:$AN$1,0),0)</f>
        <v>Southern Europe</v>
      </c>
      <c r="Z196" t="str">
        <f>VLOOKUP($A196,regions_full!$A$2:$AI$267,MATCH(polities_cats!Z$1,$A$1:$AN$1,0),0)</f>
        <v>Europe</v>
      </c>
      <c r="AA196" t="str">
        <f>VLOOKUP($A196,regions_full!$A$2:$AI$267,MATCH(polities_cats!AA$1,$A$1:$AN$1,0),0)</f>
        <v>Europe and Central Asia</v>
      </c>
      <c r="AB196" t="str">
        <f>VLOOKUP($A196,regions_full!$A$2:$AI$267,MATCH(polities_cats!AB$1,$A$1:$AN$1,0),0)</f>
        <v>Northern, Southern and Western Europe</v>
      </c>
      <c r="AC196" t="str">
        <f>VLOOKUP($A196,regions_full!$A$2:$AI$267,MATCH(polities_cats!AC$1,$A$1:$AN$1,0),0)</f>
        <v>Southern Europe</v>
      </c>
      <c r="AD196" t="str">
        <f>VLOOKUP($A196,regions_full!$A$2:$AI$267,MATCH(polities_cats!AD$1,$A$1:$AN$1,0),0)</f>
        <v>Emerging</v>
      </c>
      <c r="AE196" t="str">
        <f>VLOOKUP($A196,regions_full!$A$2:$AI$267,MATCH(polities_cats!AE$1,$A$1:$AN$1,0),0)</f>
        <v>Annex_II</v>
      </c>
      <c r="AF196" t="str">
        <f>VLOOKUP($A196,regions_full!$A$2:$AI$267,MATCH(polities_cats!AF$1,$A$1:$AN$1,0),0)</f>
        <v>Southern Europe</v>
      </c>
      <c r="AG196" t="str">
        <f>VLOOKUP($A196,regions_full!$A$2:$AI$267,MATCH(polities_cats!AG$1,$A$1:$AN$1,0),0)</f>
        <v>Europe</v>
      </c>
      <c r="AH196" t="str">
        <f>VLOOKUP($A196,regions_full!$A$2:$AI$267,MATCH(polities_cats!AH$1,$A$1:$AN$1,0),0)</f>
        <v>mech</v>
      </c>
      <c r="AI196" t="str">
        <f>VLOOKUP($A196,regions_full!$A$2:$AI$267,MATCH(polities_cats!AI$1,$A$1:$AN$1,0),0)</f>
        <v>Europe</v>
      </c>
      <c r="AJ196" t="e">
        <f>VLOOKUP($A196,regions_full!$A$2:$AI$267,MATCH(polities_cats!AJ$1,$A$1:$AN$1,0),0)</f>
        <v>#REF!</v>
      </c>
      <c r="AK196" t="e">
        <f>VLOOKUP($A196,regions_full!$A$2:$AI$267,MATCH(polities_cats!AK$1,$A$1:$AN$1,0),0)</f>
        <v>#REF!</v>
      </c>
      <c r="AL196" t="e">
        <f>VLOOKUP($A196,regions_full!$A$2:$AI$267,MATCH(polities_cats!AL$1,$A$1:$AN$1,0),0)</f>
        <v>#REF!</v>
      </c>
      <c r="AM196" t="e">
        <f>VLOOKUP($A196,regions_full!$A$2:$AI$267,MATCH(polities_cats!AM$1,$A$1:$AN$1,0),0)</f>
        <v>#REF!</v>
      </c>
      <c r="AN196" t="e">
        <f>VLOOKUP($A196,regions_full!$A$2:$AI$267,MATCH(polities_cats!AN$1,$A$1:$AN$1,0),0)</f>
        <v>#REF!</v>
      </c>
    </row>
    <row r="197" spans="1:40" x14ac:dyDescent="0.3">
      <c r="A197" t="str">
        <f>polities_whep!A197</f>
        <v>RLAM</v>
      </c>
      <c r="B197" t="str">
        <f>polities_whep!B197</f>
        <v>Latin America Other</v>
      </c>
      <c r="C197">
        <f>VLOOKUP($A197,regions_full!$A$2:$AI$267,MATCH(polities_cats!C$1,$A$1:$AN$1,0),0)</f>
        <v>248</v>
      </c>
      <c r="D197">
        <f>VLOOKUP($A197,regions_full!$A$2:$AI$267,MATCH(polities_cats!D$1,$A$1:$AN$1,0),0)</f>
        <v>258</v>
      </c>
      <c r="E197" t="str">
        <f>VLOOKUP($A197,regions_full!$A$2:$AI$267,MATCH(polities_cats!E$1,$A$1:$AN$1,0),0)</f>
        <v>AIA</v>
      </c>
      <c r="F197" t="e">
        <f>VLOOKUP($A197,regions_full!$A$2:$AI$267,MATCH(polities_cats!F$1,$A$1:$AN$1,0),0)</f>
        <v>#N/A</v>
      </c>
      <c r="G197" t="str">
        <f>VLOOKUP($A197,regions_full!$A$2:$AI$267,MATCH(polities_cats!G$1,$A$1:$AN$1,0),0)</f>
        <v>FALSE</v>
      </c>
      <c r="H197" t="str">
        <f>VLOOKUP($A197,regions_full!$A$2:$AI$267,MATCH(polities_cats!H$1,$A$1:$AN$1,0),0)</f>
        <v>Anguilla</v>
      </c>
      <c r="I197">
        <f>VLOOKUP($A197,regions_full!$A$2:$AI$267,MATCH(polities_cats!I$1,$A$1:$AN$1,0),0)</f>
        <v>0</v>
      </c>
      <c r="J197">
        <f>VLOOKUP($A197,regions_full!$A$2:$AI$267,MATCH(polities_cats!J$1,$A$1:$AN$1,0),0)</f>
        <v>0</v>
      </c>
      <c r="K197">
        <f>VLOOKUP($A197,regions_full!$A$2:$AI$267,MATCH(polities_cats!K$1,$A$1:$AN$1,0),0)</f>
        <v>999</v>
      </c>
      <c r="L197" t="str">
        <f>VLOOKUP($A197,regions_full!$A$2:$AI$267,MATCH(polities_cats!L$1,$A$1:$AN$1,0),0)</f>
        <v>Global average</v>
      </c>
      <c r="M197">
        <f>VLOOKUP($A197,regions_full!$A$2:$AI$267,MATCH(polities_cats!M$1,$A$1:$AN$1,0),0)</f>
        <v>660</v>
      </c>
      <c r="N197">
        <f>VLOOKUP($A197,regions_full!$A$2:$AI$267,MATCH(polities_cats!N$1,$A$1:$AN$1,0),0)</f>
        <v>660</v>
      </c>
      <c r="O197">
        <f>VLOOKUP($A197,regions_full!$A$2:$AI$267,MATCH(polities_cats!O$1,$A$1:$AN$1,0),0)</f>
        <v>3</v>
      </c>
      <c r="P197" t="str">
        <f>VLOOKUP($A197,regions_full!$A$2:$AI$267,MATCH(polities_cats!P$1,$A$1:$AN$1,0),0)</f>
        <v>FALSE</v>
      </c>
      <c r="Q197">
        <f>VLOOKUP($A197,regions_full!$A$2:$AI$267,MATCH(polities_cats!Q$1,$A$1:$AN$1,0),0)</f>
        <v>999</v>
      </c>
      <c r="R197" t="str">
        <f>VLOOKUP($A197,regions_full!$A$2:$AI$267,MATCH(polities_cats!R$1,$A$1:$AN$1,0),0)</f>
        <v/>
      </c>
      <c r="S197" t="str">
        <f>VLOOKUP($A197,regions_full!$A$2:$AI$267,MATCH(polities_cats!S$1,$A$1:$AN$1,0),0)</f>
        <v>Central America</v>
      </c>
      <c r="T197">
        <f>VLOOKUP($A197,regions_full!$A$2:$AI$267,MATCH(polities_cats!T$1,$A$1:$AN$1,0),0)</f>
        <v>1</v>
      </c>
      <c r="U197" t="str">
        <f>VLOOKUP($A197,regions_full!$A$2:$AI$267,MATCH(polities_cats!U$1,$A$1:$AN$1,0),0)</f>
        <v>Anguilla</v>
      </c>
      <c r="V197" t="str">
        <f>VLOOKUP($A197,regions_full!$A$2:$AI$267,MATCH(polities_cats!V$1,$A$1:$AN$1,0),0)</f>
        <v>Latin America and the Caribbean</v>
      </c>
      <c r="W197" t="str">
        <f>VLOOKUP($A197,regions_full!$A$2:$AI$267,MATCH(polities_cats!W$1,$A$1:$AN$1,0),0)</f>
        <v>Latin America and Caribbean</v>
      </c>
      <c r="X197" t="str">
        <f>VLOOKUP($A197,regions_full!$A$2:$AI$267,MATCH(polities_cats!X$1,$A$1:$AN$1,0),0)</f>
        <v>LACA</v>
      </c>
      <c r="Y197" t="str">
        <f>VLOOKUP($A197,regions_full!$A$2:$AI$267,MATCH(polities_cats!Y$1,$A$1:$AN$1,0),0)</f>
        <v>Latin America and the Caribbean</v>
      </c>
      <c r="Z197" t="str">
        <f>VLOOKUP($A197,regions_full!$A$2:$AI$267,MATCH(polities_cats!Z$1,$A$1:$AN$1,0),0)</f>
        <v>Americas</v>
      </c>
      <c r="AA197" t="str">
        <f>VLOOKUP($A197,regions_full!$A$2:$AI$267,MATCH(polities_cats!AA$1,$A$1:$AN$1,0),0)</f>
        <v>Americas</v>
      </c>
      <c r="AB197" t="str">
        <f>VLOOKUP($A197,regions_full!$A$2:$AI$267,MATCH(polities_cats!AB$1,$A$1:$AN$1,0),0)</f>
        <v>Latin America and the Caribbean</v>
      </c>
      <c r="AC197" t="str">
        <f>VLOOKUP($A197,regions_full!$A$2:$AI$267,MATCH(polities_cats!AC$1,$A$1:$AN$1,0),0)</f>
        <v>Caribbean</v>
      </c>
      <c r="AD197" t="str">
        <f>VLOOKUP($A197,regions_full!$A$2:$AI$267,MATCH(polities_cats!AD$1,$A$1:$AN$1,0),0)</f>
        <v>Emerging</v>
      </c>
      <c r="AE197" t="str">
        <f>VLOOKUP($A197,regions_full!$A$2:$AI$267,MATCH(polities_cats!AE$1,$A$1:$AN$1,0),0)</f>
        <v>Annex_II</v>
      </c>
      <c r="AF197" t="str">
        <f>VLOOKUP($A197,regions_full!$A$2:$AI$267,MATCH(polities_cats!AF$1,$A$1:$AN$1,0),0)</f>
        <v>Caribbean &amp; Centra Am.</v>
      </c>
      <c r="AG197" t="str">
        <f>VLOOKUP($A197,regions_full!$A$2:$AI$267,MATCH(polities_cats!AG$1,$A$1:$AN$1,0),0)</f>
        <v>LACA</v>
      </c>
      <c r="AH197" t="str">
        <f>VLOOKUP($A197,regions_full!$A$2:$AI$267,MATCH(polities_cats!AH$1,$A$1:$AN$1,0),0)</f>
        <v>no_mech</v>
      </c>
      <c r="AI197" t="str">
        <f>VLOOKUP($A197,regions_full!$A$2:$AI$267,MATCH(polities_cats!AI$1,$A$1:$AN$1,0),0)</f>
        <v>Other</v>
      </c>
      <c r="AJ197" t="e">
        <f>VLOOKUP($A197,regions_full!$A$2:$AI$267,MATCH(polities_cats!AJ$1,$A$1:$AN$1,0),0)</f>
        <v>#REF!</v>
      </c>
      <c r="AK197" t="e">
        <f>VLOOKUP($A197,regions_full!$A$2:$AI$267,MATCH(polities_cats!AK$1,$A$1:$AN$1,0),0)</f>
        <v>#REF!</v>
      </c>
      <c r="AL197" t="e">
        <f>VLOOKUP($A197,regions_full!$A$2:$AI$267,MATCH(polities_cats!AL$1,$A$1:$AN$1,0),0)</f>
        <v>#REF!</v>
      </c>
      <c r="AM197" t="e">
        <f>VLOOKUP($A197,regions_full!$A$2:$AI$267,MATCH(polities_cats!AM$1,$A$1:$AN$1,0),0)</f>
        <v>#REF!</v>
      </c>
      <c r="AN197" t="e">
        <f>VLOOKUP($A197,regions_full!$A$2:$AI$267,MATCH(polities_cats!AN$1,$A$1:$AN$1,0),0)</f>
        <v>#REF!</v>
      </c>
    </row>
    <row r="198" spans="1:40" x14ac:dyDescent="0.3">
      <c r="A198" t="str">
        <f>polities_whep!A198</f>
        <v>RNAM</v>
      </c>
      <c r="B198" t="str">
        <f>polities_whep!B198</f>
        <v>North America Other</v>
      </c>
      <c r="C198">
        <f>VLOOKUP($A198,regions_full!$A$2:$AI$267,MATCH(polities_cats!C$1,$A$1:$AN$1,0),0)</f>
        <v>187</v>
      </c>
      <c r="D198">
        <f>VLOOKUP($A198,regions_full!$A$2:$AI$267,MATCH(polities_cats!D$1,$A$1:$AN$1,0),0)</f>
        <v>190</v>
      </c>
      <c r="E198" t="str">
        <f>VLOOKUP($A198,regions_full!$A$2:$AI$267,MATCH(polities_cats!E$1,$A$1:$AN$1,0),0)</f>
        <v>SPM</v>
      </c>
      <c r="F198" t="e">
        <f>VLOOKUP($A198,regions_full!$A$2:$AI$267,MATCH(polities_cats!F$1,$A$1:$AN$1,0),0)</f>
        <v>#N/A</v>
      </c>
      <c r="G198" t="str">
        <f>VLOOKUP($A198,regions_full!$A$2:$AI$267,MATCH(polities_cats!G$1,$A$1:$AN$1,0),0)</f>
        <v>FALSE</v>
      </c>
      <c r="H198" t="str">
        <f>VLOOKUP($A198,regions_full!$A$2:$AI$267,MATCH(polities_cats!H$1,$A$1:$AN$1,0),0)</f>
        <v>Saint Pierre and Miquelon</v>
      </c>
      <c r="I198" t="str">
        <f>VLOOKUP($A198,regions_full!$A$2:$AI$267,MATCH(polities_cats!I$1,$A$1:$AN$1,0),0)</f>
        <v>Saint Pierre and Miquelon</v>
      </c>
      <c r="J198">
        <f>VLOOKUP($A198,regions_full!$A$2:$AI$267,MATCH(polities_cats!J$1,$A$1:$AN$1,0),0)</f>
        <v>0</v>
      </c>
      <c r="K198">
        <f>VLOOKUP($A198,regions_full!$A$2:$AI$267,MATCH(polities_cats!K$1,$A$1:$AN$1,0),0)</f>
        <v>190</v>
      </c>
      <c r="L198" t="str">
        <f>VLOOKUP($A198,regions_full!$A$2:$AI$267,MATCH(polities_cats!L$1,$A$1:$AN$1,0),0)</f>
        <v>Saint Pierre and Miquelon</v>
      </c>
      <c r="M198">
        <f>VLOOKUP($A198,regions_full!$A$2:$AI$267,MATCH(polities_cats!M$1,$A$1:$AN$1,0),0)</f>
        <v>666</v>
      </c>
      <c r="N198">
        <f>VLOOKUP($A198,regions_full!$A$2:$AI$267,MATCH(polities_cats!N$1,$A$1:$AN$1,0),0)</f>
        <v>666</v>
      </c>
      <c r="O198">
        <f>VLOOKUP($A198,regions_full!$A$2:$AI$267,MATCH(polities_cats!O$1,$A$1:$AN$1,0),0)</f>
        <v>2</v>
      </c>
      <c r="P198" t="str">
        <f>VLOOKUP($A198,regions_full!$A$2:$AI$267,MATCH(polities_cats!P$1,$A$1:$AN$1,0),0)</f>
        <v>FALSE</v>
      </c>
      <c r="Q198">
        <f>VLOOKUP($A198,regions_full!$A$2:$AI$267,MATCH(polities_cats!Q$1,$A$1:$AN$1,0),0)</f>
        <v>999</v>
      </c>
      <c r="R198" t="str">
        <f>VLOOKUP($A198,regions_full!$A$2:$AI$267,MATCH(polities_cats!R$1,$A$1:$AN$1,0),0)</f>
        <v/>
      </c>
      <c r="S198" t="str">
        <f>VLOOKUP($A198,regions_full!$A$2:$AI$267,MATCH(polities_cats!S$1,$A$1:$AN$1,0),0)</f>
        <v>USA</v>
      </c>
      <c r="T198">
        <f>VLOOKUP($A198,regions_full!$A$2:$AI$267,MATCH(polities_cats!T$1,$A$1:$AN$1,0),0)</f>
        <v>1</v>
      </c>
      <c r="U198" t="str">
        <f>VLOOKUP($A198,regions_full!$A$2:$AI$267,MATCH(polities_cats!U$1,$A$1:$AN$1,0),0)</f>
        <v>Saint Pierre and Miquelon</v>
      </c>
      <c r="V198" t="str">
        <f>VLOOKUP($A198,regions_full!$A$2:$AI$267,MATCH(polities_cats!V$1,$A$1:$AN$1,0),0)</f>
        <v>Northern America</v>
      </c>
      <c r="W198" t="str">
        <f>VLOOKUP($A198,regions_full!$A$2:$AI$267,MATCH(polities_cats!W$1,$A$1:$AN$1,0),0)</f>
        <v>North America and Oceania</v>
      </c>
      <c r="X198" t="str">
        <f>VLOOKUP($A198,regions_full!$A$2:$AI$267,MATCH(polities_cats!X$1,$A$1:$AN$1,0),0)</f>
        <v>Northern America</v>
      </c>
      <c r="Y198" t="str">
        <f>VLOOKUP($A198,regions_full!$A$2:$AI$267,MATCH(polities_cats!Y$1,$A$1:$AN$1,0),0)</f>
        <v>Northern America</v>
      </c>
      <c r="Z198" t="str">
        <f>VLOOKUP($A198,regions_full!$A$2:$AI$267,MATCH(polities_cats!Z$1,$A$1:$AN$1,0),0)</f>
        <v>Americas</v>
      </c>
      <c r="AA198" t="str">
        <f>VLOOKUP($A198,regions_full!$A$2:$AI$267,MATCH(polities_cats!AA$1,$A$1:$AN$1,0),0)</f>
        <v>Americas</v>
      </c>
      <c r="AB198" t="str">
        <f>VLOOKUP($A198,regions_full!$A$2:$AI$267,MATCH(polities_cats!AB$1,$A$1:$AN$1,0),0)</f>
        <v>Northern America</v>
      </c>
      <c r="AC198" t="str">
        <f>VLOOKUP($A198,regions_full!$A$2:$AI$267,MATCH(polities_cats!AC$1,$A$1:$AN$1,0),0)</f>
        <v>Northern America</v>
      </c>
      <c r="AD198" t="str">
        <f>VLOOKUP($A198,regions_full!$A$2:$AI$267,MATCH(polities_cats!AD$1,$A$1:$AN$1,0),0)</f>
        <v>Emerging</v>
      </c>
      <c r="AE198" t="str">
        <f>VLOOKUP($A198,regions_full!$A$2:$AI$267,MATCH(polities_cats!AE$1,$A$1:$AN$1,0),0)</f>
        <v>Annex_II</v>
      </c>
      <c r="AF198" t="str">
        <f>VLOOKUP($A198,regions_full!$A$2:$AI$267,MATCH(polities_cats!AF$1,$A$1:$AN$1,0),0)</f>
        <v>Northern America</v>
      </c>
      <c r="AG198" t="str">
        <f>VLOOKUP($A198,regions_full!$A$2:$AI$267,MATCH(polities_cats!AG$1,$A$1:$AN$1,0),0)</f>
        <v>NAME</v>
      </c>
      <c r="AH198" t="str">
        <f>VLOOKUP($A198,regions_full!$A$2:$AI$267,MATCH(polities_cats!AH$1,$A$1:$AN$1,0),0)</f>
        <v>mech</v>
      </c>
      <c r="AI198" t="str">
        <f>VLOOKUP($A198,regions_full!$A$2:$AI$267,MATCH(polities_cats!AI$1,$A$1:$AN$1,0),0)</f>
        <v>Other</v>
      </c>
      <c r="AJ198" t="e">
        <f>VLOOKUP($A198,regions_full!$A$2:$AI$267,MATCH(polities_cats!AJ$1,$A$1:$AN$1,0),0)</f>
        <v>#REF!</v>
      </c>
      <c r="AK198" t="e">
        <f>VLOOKUP($A198,regions_full!$A$2:$AI$267,MATCH(polities_cats!AK$1,$A$1:$AN$1,0),0)</f>
        <v>#REF!</v>
      </c>
      <c r="AL198" t="e">
        <f>VLOOKUP($A198,regions_full!$A$2:$AI$267,MATCH(polities_cats!AL$1,$A$1:$AN$1,0),0)</f>
        <v>#REF!</v>
      </c>
      <c r="AM198" t="e">
        <f>VLOOKUP($A198,regions_full!$A$2:$AI$267,MATCH(polities_cats!AM$1,$A$1:$AN$1,0),0)</f>
        <v>#REF!</v>
      </c>
      <c r="AN198" t="e">
        <f>VLOOKUP($A198,regions_full!$A$2:$AI$267,MATCH(polities_cats!AN$1,$A$1:$AN$1,0),0)</f>
        <v>#REF!</v>
      </c>
    </row>
    <row r="199" spans="1:40" x14ac:dyDescent="0.3">
      <c r="A199" t="str">
        <f>polities_whep!A199</f>
        <v>ROCE</v>
      </c>
      <c r="B199" t="str">
        <f>polities_whep!B199</f>
        <v>Oceania Other</v>
      </c>
      <c r="C199">
        <f>VLOOKUP($A199,regions_full!$A$2:$AI$267,MATCH(polities_cats!C$1,$A$1:$AN$1,0),0)</f>
        <v>5</v>
      </c>
      <c r="D199">
        <f>VLOOKUP($A199,regions_full!$A$2:$AI$267,MATCH(polities_cats!D$1,$A$1:$AN$1,0),0)</f>
        <v>5</v>
      </c>
      <c r="E199" t="str">
        <f>VLOOKUP($A199,regions_full!$A$2:$AI$267,MATCH(polities_cats!E$1,$A$1:$AN$1,0),0)</f>
        <v>ASM</v>
      </c>
      <c r="F199" t="e">
        <f>VLOOKUP($A199,regions_full!$A$2:$AI$267,MATCH(polities_cats!F$1,$A$1:$AN$1,0),0)</f>
        <v>#N/A</v>
      </c>
      <c r="G199" t="str">
        <f>VLOOKUP($A199,regions_full!$A$2:$AI$267,MATCH(polities_cats!G$1,$A$1:$AN$1,0),0)</f>
        <v>FALSE</v>
      </c>
      <c r="H199" t="str">
        <f>VLOOKUP($A199,regions_full!$A$2:$AI$267,MATCH(polities_cats!H$1,$A$1:$AN$1,0),0)</f>
        <v>American Samoa</v>
      </c>
      <c r="I199" t="str">
        <f>VLOOKUP($A199,regions_full!$A$2:$AI$267,MATCH(polities_cats!I$1,$A$1:$AN$1,0),0)</f>
        <v>American Samoa</v>
      </c>
      <c r="J199">
        <f>VLOOKUP($A199,regions_full!$A$2:$AI$267,MATCH(polities_cats!J$1,$A$1:$AN$1,0),0)</f>
        <v>0</v>
      </c>
      <c r="K199">
        <f>VLOOKUP($A199,regions_full!$A$2:$AI$267,MATCH(polities_cats!K$1,$A$1:$AN$1,0),0)</f>
        <v>5</v>
      </c>
      <c r="L199" t="str">
        <f>VLOOKUP($A199,regions_full!$A$2:$AI$267,MATCH(polities_cats!L$1,$A$1:$AN$1,0),0)</f>
        <v>American Samoa</v>
      </c>
      <c r="M199">
        <f>VLOOKUP($A199,regions_full!$A$2:$AI$267,MATCH(polities_cats!M$1,$A$1:$AN$1,0),0)</f>
        <v>16</v>
      </c>
      <c r="N199">
        <f>VLOOKUP($A199,regions_full!$A$2:$AI$267,MATCH(polities_cats!N$1,$A$1:$AN$1,0),0)</f>
        <v>16</v>
      </c>
      <c r="O199">
        <f>VLOOKUP($A199,regions_full!$A$2:$AI$267,MATCH(polities_cats!O$1,$A$1:$AN$1,0),0)</f>
        <v>16</v>
      </c>
      <c r="P199" t="str">
        <f>VLOOKUP($A199,regions_full!$A$2:$AI$267,MATCH(polities_cats!P$1,$A$1:$AN$1,0),0)</f>
        <v>FALSE</v>
      </c>
      <c r="Q199">
        <f>VLOOKUP($A199,regions_full!$A$2:$AI$267,MATCH(polities_cats!Q$1,$A$1:$AN$1,0),0)</f>
        <v>999</v>
      </c>
      <c r="R199" t="str">
        <f>VLOOKUP($A199,regions_full!$A$2:$AI$267,MATCH(polities_cats!R$1,$A$1:$AN$1,0),0)</f>
        <v/>
      </c>
      <c r="S199" t="str">
        <f>VLOOKUP($A199,regions_full!$A$2:$AI$267,MATCH(polities_cats!S$1,$A$1:$AN$1,0),0)</f>
        <v>Oceania</v>
      </c>
      <c r="T199">
        <f>VLOOKUP($A199,regions_full!$A$2:$AI$267,MATCH(polities_cats!T$1,$A$1:$AN$1,0),0)</f>
        <v>1</v>
      </c>
      <c r="U199" t="str">
        <f>VLOOKUP($A199,regions_full!$A$2:$AI$267,MATCH(polities_cats!U$1,$A$1:$AN$1,0),0)</f>
        <v>American Samoa</v>
      </c>
      <c r="V199" t="str">
        <f>VLOOKUP($A199,regions_full!$A$2:$AI$267,MATCH(polities_cats!V$1,$A$1:$AN$1,0),0)</f>
        <v>Australia and Oceania</v>
      </c>
      <c r="W199" t="str">
        <f>VLOOKUP($A199,regions_full!$A$2:$AI$267,MATCH(polities_cats!W$1,$A$1:$AN$1,0),0)</f>
        <v>North America and Oceania</v>
      </c>
      <c r="X199" t="str">
        <f>VLOOKUP($A199,regions_full!$A$2:$AI$267,MATCH(polities_cats!X$1,$A$1:$AN$1,0),0)</f>
        <v>Oceania</v>
      </c>
      <c r="Y199" t="str">
        <f>VLOOKUP($A199,regions_full!$A$2:$AI$267,MATCH(polities_cats!Y$1,$A$1:$AN$1,0),0)</f>
        <v>Polynesia</v>
      </c>
      <c r="Z199" t="str">
        <f>VLOOKUP($A199,regions_full!$A$2:$AI$267,MATCH(polities_cats!Z$1,$A$1:$AN$1,0),0)</f>
        <v>Oceania</v>
      </c>
      <c r="AA199" t="str">
        <f>VLOOKUP($A199,regions_full!$A$2:$AI$267,MATCH(polities_cats!AA$1,$A$1:$AN$1,0),0)</f>
        <v>Asia and the Pacific</v>
      </c>
      <c r="AB199" t="str">
        <f>VLOOKUP($A199,regions_full!$A$2:$AI$267,MATCH(polities_cats!AB$1,$A$1:$AN$1,0),0)</f>
        <v>South-Eastern Asia and the Pacific</v>
      </c>
      <c r="AC199" t="str">
        <f>VLOOKUP($A199,regions_full!$A$2:$AI$267,MATCH(polities_cats!AC$1,$A$1:$AN$1,0),0)</f>
        <v>Pacific Islands</v>
      </c>
      <c r="AD199" t="str">
        <f>VLOOKUP($A199,regions_full!$A$2:$AI$267,MATCH(polities_cats!AD$1,$A$1:$AN$1,0),0)</f>
        <v>Emerging</v>
      </c>
      <c r="AE199" t="str">
        <f>VLOOKUP($A199,regions_full!$A$2:$AI$267,MATCH(polities_cats!AE$1,$A$1:$AN$1,0),0)</f>
        <v>Annex_II</v>
      </c>
      <c r="AF199" t="str">
        <f>VLOOKUP($A199,regions_full!$A$2:$AI$267,MATCH(polities_cats!AF$1,$A$1:$AN$1,0),0)</f>
        <v>Pacific</v>
      </c>
      <c r="AG199" t="str">
        <f>VLOOKUP($A199,regions_full!$A$2:$AI$267,MATCH(polities_cats!AG$1,$A$1:$AN$1,0),0)</f>
        <v>AUS</v>
      </c>
      <c r="AH199" t="str">
        <f>VLOOKUP($A199,regions_full!$A$2:$AI$267,MATCH(polities_cats!AH$1,$A$1:$AN$1,0),0)</f>
        <v>no_mech</v>
      </c>
      <c r="AI199" t="str">
        <f>VLOOKUP($A199,regions_full!$A$2:$AI$267,MATCH(polities_cats!AI$1,$A$1:$AN$1,0),0)</f>
        <v>Other</v>
      </c>
      <c r="AJ199" t="e">
        <f>VLOOKUP($A199,regions_full!$A$2:$AI$267,MATCH(polities_cats!AJ$1,$A$1:$AN$1,0),0)</f>
        <v>#REF!</v>
      </c>
      <c r="AK199" t="e">
        <f>VLOOKUP($A199,regions_full!$A$2:$AI$267,MATCH(polities_cats!AK$1,$A$1:$AN$1,0),0)</f>
        <v>#REF!</v>
      </c>
      <c r="AL199" t="e">
        <f>VLOOKUP($A199,regions_full!$A$2:$AI$267,MATCH(polities_cats!AL$1,$A$1:$AN$1,0),0)</f>
        <v>#REF!</v>
      </c>
      <c r="AM199" t="e">
        <f>VLOOKUP($A199,regions_full!$A$2:$AI$267,MATCH(polities_cats!AM$1,$A$1:$AN$1,0),0)</f>
        <v>#REF!</v>
      </c>
      <c r="AN199" t="e">
        <f>VLOOKUP($A199,regions_full!$A$2:$AI$267,MATCH(polities_cats!AN$1,$A$1:$AN$1,0),0)</f>
        <v>#REF!</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0231D0-030A-4DAD-A270-DEFFE471966B}">
  <dimension ref="A1:R23"/>
  <sheetViews>
    <sheetView zoomScale="70" zoomScaleNormal="70" workbookViewId="0">
      <selection activeCell="E2" sqref="E2"/>
    </sheetView>
  </sheetViews>
  <sheetFormatPr defaultColWidth="10.77734375" defaultRowHeight="14.4" x14ac:dyDescent="0.3"/>
  <cols>
    <col min="2" max="4" width="13.5546875" customWidth="1"/>
    <col min="7" max="7" width="35.21875" customWidth="1"/>
    <col min="8" max="8" width="22" customWidth="1"/>
    <col min="9" max="9" width="20.44140625" customWidth="1"/>
    <col min="14" max="14" width="17.109375" customWidth="1"/>
  </cols>
  <sheetData>
    <row r="1" spans="1:18" x14ac:dyDescent="0.3">
      <c r="A1" t="s">
        <v>711</v>
      </c>
      <c r="B1" t="s">
        <v>1531</v>
      </c>
      <c r="C1" t="s">
        <v>2269</v>
      </c>
      <c r="D1" t="s">
        <v>2270</v>
      </c>
      <c r="E1" t="s">
        <v>1532</v>
      </c>
      <c r="F1" t="s">
        <v>714</v>
      </c>
      <c r="G1" t="s">
        <v>715</v>
      </c>
      <c r="H1" t="s">
        <v>716</v>
      </c>
      <c r="I1" t="s">
        <v>717</v>
      </c>
      <c r="K1" t="s">
        <v>718</v>
      </c>
      <c r="L1" t="s">
        <v>719</v>
      </c>
      <c r="M1" t="s">
        <v>720</v>
      </c>
      <c r="N1" t="s">
        <v>721</v>
      </c>
      <c r="O1" t="s">
        <v>722</v>
      </c>
      <c r="P1" t="s">
        <v>723</v>
      </c>
      <c r="Q1" t="s">
        <v>724</v>
      </c>
      <c r="R1" t="s">
        <v>2803</v>
      </c>
    </row>
    <row r="2" spans="1:18" x14ac:dyDescent="0.3">
      <c r="A2">
        <v>1171</v>
      </c>
      <c r="B2" t="s">
        <v>725</v>
      </c>
      <c r="C2" t="s">
        <v>2491</v>
      </c>
      <c r="D2" t="s">
        <v>4705</v>
      </c>
      <c r="E2">
        <f>A2</f>
        <v>1171</v>
      </c>
      <c r="F2" t="s">
        <v>726</v>
      </c>
      <c r="I2" t="s">
        <v>727</v>
      </c>
      <c r="J2" t="s">
        <v>727</v>
      </c>
      <c r="K2" t="s">
        <v>728</v>
      </c>
      <c r="L2" t="s">
        <v>729</v>
      </c>
      <c r="M2" t="s">
        <v>726</v>
      </c>
      <c r="P2" t="s">
        <v>726</v>
      </c>
      <c r="Q2" t="s">
        <v>730</v>
      </c>
    </row>
    <row r="3" spans="1:18" x14ac:dyDescent="0.3">
      <c r="A3">
        <v>1107</v>
      </c>
      <c r="B3" t="s">
        <v>731</v>
      </c>
      <c r="C3" t="s">
        <v>2455</v>
      </c>
      <c r="D3" t="s">
        <v>2456</v>
      </c>
      <c r="E3">
        <f t="shared" ref="E3:E23" si="0">A3</f>
        <v>1107</v>
      </c>
      <c r="F3" t="s">
        <v>726</v>
      </c>
      <c r="I3" t="s">
        <v>727</v>
      </c>
      <c r="J3" t="s">
        <v>727</v>
      </c>
      <c r="K3" t="s">
        <v>728</v>
      </c>
      <c r="L3" t="s">
        <v>731</v>
      </c>
      <c r="M3" t="s">
        <v>732</v>
      </c>
      <c r="P3" t="s">
        <v>732</v>
      </c>
      <c r="Q3" t="s">
        <v>730</v>
      </c>
    </row>
    <row r="4" spans="1:18" x14ac:dyDescent="0.3">
      <c r="A4">
        <v>946</v>
      </c>
      <c r="B4" t="s">
        <v>733</v>
      </c>
      <c r="C4" t="s">
        <v>2441</v>
      </c>
      <c r="D4" t="s">
        <v>2442</v>
      </c>
      <c r="E4">
        <f t="shared" si="0"/>
        <v>946</v>
      </c>
      <c r="F4" t="s">
        <v>726</v>
      </c>
      <c r="I4" t="s">
        <v>727</v>
      </c>
      <c r="J4" t="s">
        <v>734</v>
      </c>
      <c r="K4" t="s">
        <v>728</v>
      </c>
      <c r="L4" t="s">
        <v>735</v>
      </c>
      <c r="M4" t="s">
        <v>726</v>
      </c>
      <c r="P4" t="s">
        <v>726</v>
      </c>
      <c r="Q4" t="s">
        <v>730</v>
      </c>
      <c r="R4" t="s">
        <v>2805</v>
      </c>
    </row>
    <row r="5" spans="1:18" x14ac:dyDescent="0.3">
      <c r="A5">
        <v>1157</v>
      </c>
      <c r="B5" t="s">
        <v>736</v>
      </c>
      <c r="C5" t="s">
        <v>2461</v>
      </c>
      <c r="D5" t="s">
        <v>2462</v>
      </c>
      <c r="E5">
        <f t="shared" si="0"/>
        <v>1157</v>
      </c>
      <c r="F5" t="s">
        <v>726</v>
      </c>
      <c r="I5" t="s">
        <v>727</v>
      </c>
      <c r="J5" t="s">
        <v>727</v>
      </c>
      <c r="K5" t="s">
        <v>728</v>
      </c>
      <c r="L5" t="s">
        <v>737</v>
      </c>
      <c r="M5" t="s">
        <v>732</v>
      </c>
      <c r="P5" t="s">
        <v>732</v>
      </c>
      <c r="Q5" t="s">
        <v>730</v>
      </c>
    </row>
    <row r="6" spans="1:18" x14ac:dyDescent="0.3">
      <c r="A6">
        <v>1126</v>
      </c>
      <c r="B6" t="s">
        <v>738</v>
      </c>
      <c r="C6" t="s">
        <v>2459</v>
      </c>
      <c r="D6" t="s">
        <v>2460</v>
      </c>
      <c r="E6">
        <f t="shared" si="0"/>
        <v>1126</v>
      </c>
      <c r="F6" t="s">
        <v>726</v>
      </c>
      <c r="I6" t="s">
        <v>727</v>
      </c>
      <c r="J6" t="s">
        <v>727</v>
      </c>
      <c r="K6" t="s">
        <v>728</v>
      </c>
      <c r="L6" t="s">
        <v>738</v>
      </c>
      <c r="M6" t="s">
        <v>732</v>
      </c>
      <c r="P6" t="s">
        <v>732</v>
      </c>
      <c r="Q6" t="s">
        <v>730</v>
      </c>
    </row>
    <row r="7" spans="1:18" x14ac:dyDescent="0.3">
      <c r="A7">
        <v>866</v>
      </c>
      <c r="B7" t="s">
        <v>739</v>
      </c>
      <c r="C7" t="s">
        <v>2439</v>
      </c>
      <c r="D7" t="s">
        <v>4701</v>
      </c>
      <c r="E7" s="1">
        <f>O7</f>
        <v>961</v>
      </c>
      <c r="F7" t="s">
        <v>726</v>
      </c>
      <c r="G7" t="s">
        <v>740</v>
      </c>
      <c r="H7">
        <v>867</v>
      </c>
      <c r="I7" t="s">
        <v>741</v>
      </c>
      <c r="J7" t="s">
        <v>734</v>
      </c>
      <c r="K7" t="s">
        <v>728</v>
      </c>
      <c r="L7" t="s">
        <v>726</v>
      </c>
      <c r="M7" t="s">
        <v>726</v>
      </c>
      <c r="N7" t="s">
        <v>739</v>
      </c>
      <c r="O7">
        <v>961</v>
      </c>
      <c r="P7" t="s">
        <v>726</v>
      </c>
      <c r="Q7" t="s">
        <v>730</v>
      </c>
      <c r="R7" t="s">
        <v>2805</v>
      </c>
    </row>
    <row r="8" spans="1:18" x14ac:dyDescent="0.3">
      <c r="A8">
        <v>866</v>
      </c>
      <c r="B8" t="s">
        <v>742</v>
      </c>
      <c r="C8" t="s">
        <v>2467</v>
      </c>
      <c r="D8" t="s">
        <v>2468</v>
      </c>
      <c r="E8" s="1">
        <f t="shared" ref="E8:E10" si="1">O8</f>
        <v>960</v>
      </c>
      <c r="F8" t="s">
        <v>743</v>
      </c>
      <c r="G8" t="s">
        <v>744</v>
      </c>
      <c r="H8">
        <v>882</v>
      </c>
      <c r="I8" t="s">
        <v>745</v>
      </c>
      <c r="J8" t="s">
        <v>745</v>
      </c>
      <c r="K8" t="s">
        <v>728</v>
      </c>
      <c r="L8" t="s">
        <v>743</v>
      </c>
      <c r="M8" t="s">
        <v>743</v>
      </c>
      <c r="N8" t="s">
        <v>742</v>
      </c>
      <c r="O8">
        <v>960</v>
      </c>
      <c r="P8" t="s">
        <v>743</v>
      </c>
      <c r="Q8" t="s">
        <v>730</v>
      </c>
      <c r="R8" t="s">
        <v>2804</v>
      </c>
    </row>
    <row r="9" spans="1:18" x14ac:dyDescent="0.3">
      <c r="A9">
        <v>1057</v>
      </c>
      <c r="B9" t="s">
        <v>746</v>
      </c>
      <c r="C9" t="s">
        <v>2487</v>
      </c>
      <c r="D9" t="s">
        <v>4702</v>
      </c>
      <c r="E9" s="1">
        <f t="shared" si="1"/>
        <v>1053</v>
      </c>
      <c r="F9" t="s">
        <v>747</v>
      </c>
      <c r="G9" t="s">
        <v>748</v>
      </c>
      <c r="H9">
        <v>1058</v>
      </c>
      <c r="I9" t="s">
        <v>749</v>
      </c>
      <c r="J9" t="s">
        <v>750</v>
      </c>
      <c r="K9" t="s">
        <v>751</v>
      </c>
      <c r="L9" t="s">
        <v>752</v>
      </c>
      <c r="M9" t="s">
        <v>752</v>
      </c>
      <c r="N9" t="s">
        <v>753</v>
      </c>
      <c r="O9">
        <v>1053</v>
      </c>
      <c r="P9" t="s">
        <v>754</v>
      </c>
      <c r="Q9" t="s">
        <v>730</v>
      </c>
      <c r="R9" t="s">
        <v>863</v>
      </c>
    </row>
    <row r="10" spans="1:18" x14ac:dyDescent="0.3">
      <c r="A10">
        <v>1057</v>
      </c>
      <c r="B10" t="s">
        <v>755</v>
      </c>
      <c r="C10" t="s">
        <v>2487</v>
      </c>
      <c r="D10" t="s">
        <v>4702</v>
      </c>
      <c r="E10" s="1">
        <f t="shared" si="1"/>
        <v>1052</v>
      </c>
      <c r="F10" t="s">
        <v>747</v>
      </c>
      <c r="G10" t="s">
        <v>756</v>
      </c>
      <c r="H10">
        <v>1062</v>
      </c>
      <c r="I10" t="s">
        <v>757</v>
      </c>
      <c r="J10" t="s">
        <v>750</v>
      </c>
      <c r="K10" t="s">
        <v>751</v>
      </c>
      <c r="L10" t="s">
        <v>758</v>
      </c>
      <c r="M10" t="s">
        <v>758</v>
      </c>
      <c r="N10" t="s">
        <v>759</v>
      </c>
      <c r="O10">
        <v>1052</v>
      </c>
      <c r="P10" t="s">
        <v>754</v>
      </c>
      <c r="Q10" t="s">
        <v>730</v>
      </c>
      <c r="R10" t="s">
        <v>863</v>
      </c>
    </row>
    <row r="11" spans="1:18" x14ac:dyDescent="0.3">
      <c r="A11">
        <v>1068</v>
      </c>
      <c r="B11" t="s">
        <v>760</v>
      </c>
      <c r="C11" t="s">
        <v>2489</v>
      </c>
      <c r="D11" t="s">
        <v>4703</v>
      </c>
      <c r="E11">
        <f t="shared" si="0"/>
        <v>1068</v>
      </c>
      <c r="F11" t="s">
        <v>747</v>
      </c>
      <c r="G11" t="s">
        <v>761</v>
      </c>
      <c r="H11">
        <v>1069</v>
      </c>
      <c r="I11" t="s">
        <v>727</v>
      </c>
      <c r="J11" t="s">
        <v>750</v>
      </c>
      <c r="K11" t="s">
        <v>751</v>
      </c>
      <c r="L11" t="s">
        <v>760</v>
      </c>
      <c r="M11" t="s">
        <v>760</v>
      </c>
      <c r="P11" t="s">
        <v>754</v>
      </c>
      <c r="Q11" t="s">
        <v>730</v>
      </c>
      <c r="R11" t="s">
        <v>863</v>
      </c>
    </row>
    <row r="12" spans="1:18" x14ac:dyDescent="0.3">
      <c r="A12">
        <v>1016</v>
      </c>
      <c r="B12" t="s">
        <v>762</v>
      </c>
      <c r="C12" t="s">
        <v>2445</v>
      </c>
      <c r="D12" t="s">
        <v>2446</v>
      </c>
      <c r="E12">
        <f t="shared" si="0"/>
        <v>1016</v>
      </c>
      <c r="F12" t="s">
        <v>763</v>
      </c>
      <c r="G12" t="s">
        <v>764</v>
      </c>
      <c r="H12">
        <v>1017</v>
      </c>
      <c r="I12" t="s">
        <v>765</v>
      </c>
      <c r="J12" t="s">
        <v>734</v>
      </c>
      <c r="K12" t="s">
        <v>728</v>
      </c>
      <c r="L12" t="s">
        <v>762</v>
      </c>
      <c r="M12" t="s">
        <v>763</v>
      </c>
      <c r="P12" t="s">
        <v>766</v>
      </c>
      <c r="Q12" t="s">
        <v>730</v>
      </c>
      <c r="R12" t="s">
        <v>2806</v>
      </c>
    </row>
    <row r="13" spans="1:18" x14ac:dyDescent="0.3">
      <c r="A13">
        <v>1096</v>
      </c>
      <c r="B13" t="s">
        <v>767</v>
      </c>
      <c r="C13" t="s">
        <v>2453</v>
      </c>
      <c r="D13" t="s">
        <v>2454</v>
      </c>
      <c r="E13">
        <f t="shared" si="0"/>
        <v>1096</v>
      </c>
      <c r="F13" t="s">
        <v>726</v>
      </c>
      <c r="I13" t="s">
        <v>727</v>
      </c>
      <c r="J13" t="s">
        <v>727</v>
      </c>
      <c r="K13" t="s">
        <v>728</v>
      </c>
      <c r="L13" t="s">
        <v>767</v>
      </c>
      <c r="M13" t="s">
        <v>732</v>
      </c>
      <c r="P13" t="s">
        <v>732</v>
      </c>
      <c r="Q13" t="s">
        <v>730</v>
      </c>
    </row>
    <row r="14" spans="1:18" x14ac:dyDescent="0.3">
      <c r="A14">
        <v>1110</v>
      </c>
      <c r="B14" t="s">
        <v>768</v>
      </c>
      <c r="C14" t="s">
        <v>2457</v>
      </c>
      <c r="D14" t="s">
        <v>2458</v>
      </c>
      <c r="E14">
        <f t="shared" si="0"/>
        <v>1110</v>
      </c>
      <c r="F14" t="s">
        <v>726</v>
      </c>
      <c r="I14" t="s">
        <v>727</v>
      </c>
      <c r="J14" t="s">
        <v>727</v>
      </c>
      <c r="K14" t="s">
        <v>728</v>
      </c>
      <c r="L14" t="s">
        <v>768</v>
      </c>
      <c r="M14" t="s">
        <v>732</v>
      </c>
      <c r="P14" t="s">
        <v>732</v>
      </c>
      <c r="Q14" t="s">
        <v>730</v>
      </c>
    </row>
    <row r="15" spans="1:18" x14ac:dyDescent="0.3">
      <c r="A15">
        <v>1034</v>
      </c>
      <c r="B15" t="s">
        <v>769</v>
      </c>
      <c r="C15" t="s">
        <v>2447</v>
      </c>
      <c r="D15" t="s">
        <v>2448</v>
      </c>
      <c r="E15" s="1">
        <f t="shared" ref="E15:E16" si="2">O15</f>
        <v>1049</v>
      </c>
      <c r="F15" t="s">
        <v>747</v>
      </c>
      <c r="G15" t="s">
        <v>770</v>
      </c>
      <c r="H15">
        <v>1035</v>
      </c>
      <c r="I15" t="s">
        <v>771</v>
      </c>
      <c r="J15" t="s">
        <v>750</v>
      </c>
      <c r="K15" t="s">
        <v>751</v>
      </c>
      <c r="L15" t="s">
        <v>769</v>
      </c>
      <c r="M15" t="s">
        <v>769</v>
      </c>
      <c r="N15" t="s">
        <v>772</v>
      </c>
      <c r="O15">
        <v>1049</v>
      </c>
      <c r="P15" t="s">
        <v>769</v>
      </c>
      <c r="Q15" t="s">
        <v>730</v>
      </c>
      <c r="R15" t="s">
        <v>769</v>
      </c>
    </row>
    <row r="16" spans="1:18" x14ac:dyDescent="0.3">
      <c r="A16">
        <v>1034</v>
      </c>
      <c r="B16" t="s">
        <v>773</v>
      </c>
      <c r="C16" t="s">
        <v>2447</v>
      </c>
      <c r="D16" t="s">
        <v>2448</v>
      </c>
      <c r="E16" s="1">
        <f t="shared" si="2"/>
        <v>1051</v>
      </c>
      <c r="F16" t="s">
        <v>747</v>
      </c>
      <c r="G16" t="s">
        <v>770</v>
      </c>
      <c r="H16">
        <v>1035</v>
      </c>
      <c r="I16" t="s">
        <v>771</v>
      </c>
      <c r="J16" t="s">
        <v>750</v>
      </c>
      <c r="K16" t="s">
        <v>751</v>
      </c>
      <c r="L16" t="s">
        <v>773</v>
      </c>
      <c r="M16" t="s">
        <v>773</v>
      </c>
      <c r="N16" t="s">
        <v>774</v>
      </c>
      <c r="O16">
        <v>1051</v>
      </c>
      <c r="P16" t="s">
        <v>769</v>
      </c>
      <c r="Q16" t="s">
        <v>730</v>
      </c>
    </row>
    <row r="17" spans="1:18" x14ac:dyDescent="0.3">
      <c r="A17">
        <v>1140</v>
      </c>
      <c r="B17" t="s">
        <v>775</v>
      </c>
      <c r="C17" t="s">
        <v>2463</v>
      </c>
      <c r="D17" t="s">
        <v>2464</v>
      </c>
      <c r="E17">
        <f t="shared" si="0"/>
        <v>1140</v>
      </c>
      <c r="F17" t="s">
        <v>747</v>
      </c>
      <c r="I17" t="s">
        <v>727</v>
      </c>
      <c r="J17" t="s">
        <v>750</v>
      </c>
      <c r="K17" t="s">
        <v>728</v>
      </c>
      <c r="L17" t="s">
        <v>776</v>
      </c>
      <c r="M17" t="s">
        <v>776</v>
      </c>
      <c r="P17" t="s">
        <v>766</v>
      </c>
      <c r="Q17" t="s">
        <v>730</v>
      </c>
    </row>
    <row r="18" spans="1:18" x14ac:dyDescent="0.3">
      <c r="A18">
        <v>1150</v>
      </c>
      <c r="B18" t="s">
        <v>777</v>
      </c>
      <c r="C18" t="s">
        <v>2465</v>
      </c>
      <c r="D18" t="s">
        <v>2466</v>
      </c>
      <c r="E18">
        <f t="shared" si="0"/>
        <v>1150</v>
      </c>
      <c r="F18" t="s">
        <v>747</v>
      </c>
      <c r="I18" t="s">
        <v>727</v>
      </c>
      <c r="J18" t="s">
        <v>750</v>
      </c>
      <c r="K18" t="s">
        <v>728</v>
      </c>
      <c r="L18" t="s">
        <v>778</v>
      </c>
      <c r="M18" t="s">
        <v>776</v>
      </c>
      <c r="P18" t="s">
        <v>766</v>
      </c>
      <c r="Q18" t="s">
        <v>730</v>
      </c>
    </row>
    <row r="19" spans="1:18" x14ac:dyDescent="0.3">
      <c r="A19">
        <v>976</v>
      </c>
      <c r="B19" t="s">
        <v>779</v>
      </c>
      <c r="C19" t="s">
        <v>2443</v>
      </c>
      <c r="D19" t="s">
        <v>2444</v>
      </c>
      <c r="E19">
        <f t="shared" si="0"/>
        <v>976</v>
      </c>
      <c r="F19" t="s">
        <v>763</v>
      </c>
      <c r="G19" t="s">
        <v>780</v>
      </c>
      <c r="H19">
        <v>977</v>
      </c>
      <c r="I19" t="s">
        <v>765</v>
      </c>
      <c r="J19" t="s">
        <v>734</v>
      </c>
      <c r="K19" t="s">
        <v>728</v>
      </c>
      <c r="L19" t="s">
        <v>779</v>
      </c>
      <c r="M19" t="s">
        <v>763</v>
      </c>
      <c r="P19" t="s">
        <v>766</v>
      </c>
      <c r="Q19" t="s">
        <v>730</v>
      </c>
      <c r="R19" t="s">
        <v>2806</v>
      </c>
    </row>
    <row r="20" spans="1:18" x14ac:dyDescent="0.3">
      <c r="A20">
        <v>1079</v>
      </c>
      <c r="B20" t="s">
        <v>781</v>
      </c>
      <c r="C20" t="s">
        <v>2489</v>
      </c>
      <c r="D20" t="s">
        <v>4703</v>
      </c>
      <c r="E20">
        <f t="shared" si="0"/>
        <v>1079</v>
      </c>
      <c r="F20" t="s">
        <v>747</v>
      </c>
      <c r="I20" t="s">
        <v>727</v>
      </c>
      <c r="J20" t="s">
        <v>750</v>
      </c>
      <c r="K20" t="s">
        <v>751</v>
      </c>
      <c r="L20" t="s">
        <v>781</v>
      </c>
      <c r="M20" t="s">
        <v>781</v>
      </c>
      <c r="P20" t="s">
        <v>754</v>
      </c>
      <c r="Q20" t="s">
        <v>730</v>
      </c>
      <c r="R20" t="s">
        <v>863</v>
      </c>
    </row>
    <row r="21" spans="1:18" x14ac:dyDescent="0.3">
      <c r="A21">
        <v>1072</v>
      </c>
      <c r="B21" t="s">
        <v>782</v>
      </c>
      <c r="C21" t="s">
        <v>2489</v>
      </c>
      <c r="D21" t="s">
        <v>4703</v>
      </c>
      <c r="E21">
        <f t="shared" si="0"/>
        <v>1072</v>
      </c>
      <c r="F21" t="s">
        <v>747</v>
      </c>
      <c r="I21" t="s">
        <v>727</v>
      </c>
      <c r="J21" t="s">
        <v>750</v>
      </c>
      <c r="K21" t="s">
        <v>751</v>
      </c>
      <c r="L21" t="s">
        <v>782</v>
      </c>
      <c r="M21" t="s">
        <v>782</v>
      </c>
      <c r="P21" t="s">
        <v>754</v>
      </c>
      <c r="Q21" t="s">
        <v>730</v>
      </c>
      <c r="R21" t="s">
        <v>863</v>
      </c>
    </row>
    <row r="22" spans="1:18" x14ac:dyDescent="0.3">
      <c r="A22">
        <v>1181</v>
      </c>
      <c r="B22" t="s">
        <v>783</v>
      </c>
      <c r="C22" t="s">
        <v>2503</v>
      </c>
      <c r="D22" t="s">
        <v>2504</v>
      </c>
      <c r="E22">
        <f t="shared" si="0"/>
        <v>1181</v>
      </c>
      <c r="F22" t="s">
        <v>783</v>
      </c>
      <c r="I22" t="s">
        <v>727</v>
      </c>
      <c r="J22" t="s">
        <v>727</v>
      </c>
      <c r="K22" t="s">
        <v>783</v>
      </c>
      <c r="L22" t="s">
        <v>783</v>
      </c>
      <c r="M22" t="s">
        <v>783</v>
      </c>
      <c r="P22" t="s">
        <v>783</v>
      </c>
      <c r="Q22" t="s">
        <v>730</v>
      </c>
    </row>
    <row r="23" spans="1:18" x14ac:dyDescent="0.3">
      <c r="A23">
        <v>1190</v>
      </c>
      <c r="B23" t="s">
        <v>784</v>
      </c>
      <c r="C23" t="s">
        <v>2493</v>
      </c>
      <c r="D23" t="s">
        <v>4704</v>
      </c>
      <c r="E23">
        <f t="shared" si="0"/>
        <v>1190</v>
      </c>
      <c r="F23" t="s">
        <v>784</v>
      </c>
      <c r="I23" t="s">
        <v>727</v>
      </c>
      <c r="J23" t="s">
        <v>727</v>
      </c>
      <c r="K23" t="s">
        <v>784</v>
      </c>
      <c r="L23" t="s">
        <v>784</v>
      </c>
      <c r="M23" t="s">
        <v>784</v>
      </c>
      <c r="P23" t="s">
        <v>726</v>
      </c>
      <c r="Q23" t="s">
        <v>730</v>
      </c>
    </row>
  </sheetData>
  <pageMargins left="0.7" right="0.7" top="0.75" bottom="0.75" header="0.3" footer="0.3"/>
  <pageSetup orientation="portrait" horizontalDpi="1200" verticalDpi="1200"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C645F-9FE4-4E43-8D0B-C9FB074D4163}">
  <dimension ref="A1:H39"/>
  <sheetViews>
    <sheetView zoomScale="80" zoomScaleNormal="80" workbookViewId="0">
      <pane ySplit="1" topLeftCell="A2" activePane="bottomLeft" state="frozen"/>
      <selection activeCell="C198" sqref="C198"/>
      <selection pane="bottomLeft" activeCell="C6" sqref="C6"/>
    </sheetView>
  </sheetViews>
  <sheetFormatPr defaultColWidth="10.77734375" defaultRowHeight="14.4" x14ac:dyDescent="0.3"/>
  <cols>
    <col min="1" max="1" width="44" customWidth="1"/>
    <col min="2" max="2" width="17" customWidth="1"/>
    <col min="3" max="3" width="21.77734375" customWidth="1"/>
    <col min="4" max="4" width="23" customWidth="1"/>
    <col min="5" max="5" width="19.6640625" customWidth="1"/>
    <col min="7" max="7" width="22.44140625" customWidth="1"/>
  </cols>
  <sheetData>
    <row r="1" spans="1:8" x14ac:dyDescent="0.3">
      <c r="A1" t="s">
        <v>1529</v>
      </c>
      <c r="B1" t="s">
        <v>1530</v>
      </c>
      <c r="C1" t="s">
        <v>785</v>
      </c>
      <c r="D1" t="s">
        <v>786</v>
      </c>
      <c r="E1" t="s">
        <v>787</v>
      </c>
      <c r="F1" t="s">
        <v>788</v>
      </c>
      <c r="G1" t="s">
        <v>1531</v>
      </c>
      <c r="H1" t="s">
        <v>791</v>
      </c>
    </row>
    <row r="2" spans="1:8" x14ac:dyDescent="0.3">
      <c r="A2" t="s">
        <v>792</v>
      </c>
      <c r="B2">
        <v>1183</v>
      </c>
      <c r="C2" t="s">
        <v>792</v>
      </c>
      <c r="D2" t="s">
        <v>792</v>
      </c>
      <c r="E2" t="s">
        <v>783</v>
      </c>
      <c r="G2" t="s">
        <v>792</v>
      </c>
      <c r="H2" t="s">
        <v>792</v>
      </c>
    </row>
    <row r="3" spans="1:8" x14ac:dyDescent="0.3">
      <c r="A3" t="s">
        <v>793</v>
      </c>
      <c r="B3">
        <v>1182</v>
      </c>
      <c r="C3" t="s">
        <v>794</v>
      </c>
      <c r="D3" t="s">
        <v>794</v>
      </c>
      <c r="E3" t="s">
        <v>783</v>
      </c>
      <c r="F3" t="s">
        <v>795</v>
      </c>
      <c r="G3" t="s">
        <v>796</v>
      </c>
      <c r="H3" t="s">
        <v>796</v>
      </c>
    </row>
    <row r="4" spans="1:8" x14ac:dyDescent="0.3">
      <c r="A4" t="s">
        <v>797</v>
      </c>
      <c r="B4">
        <v>869</v>
      </c>
      <c r="C4" t="s">
        <v>798</v>
      </c>
      <c r="D4" t="s">
        <v>98</v>
      </c>
      <c r="E4" t="s">
        <v>799</v>
      </c>
      <c r="G4" t="s">
        <v>800</v>
      </c>
      <c r="H4" t="s">
        <v>801</v>
      </c>
    </row>
    <row r="5" spans="1:8" x14ac:dyDescent="0.3">
      <c r="A5" s="8" t="s">
        <v>802</v>
      </c>
      <c r="B5">
        <v>919</v>
      </c>
      <c r="C5" s="1" t="s">
        <v>803</v>
      </c>
      <c r="D5" t="s">
        <v>98</v>
      </c>
      <c r="E5" t="s">
        <v>799</v>
      </c>
      <c r="G5" t="s">
        <v>804</v>
      </c>
      <c r="H5" t="s">
        <v>804</v>
      </c>
    </row>
    <row r="6" spans="1:8" x14ac:dyDescent="0.3">
      <c r="A6" t="s">
        <v>805</v>
      </c>
      <c r="B6">
        <v>867</v>
      </c>
      <c r="C6" t="s">
        <v>806</v>
      </c>
      <c r="D6" t="s">
        <v>806</v>
      </c>
      <c r="E6" t="s">
        <v>799</v>
      </c>
      <c r="F6" t="s">
        <v>795</v>
      </c>
      <c r="G6" t="s">
        <v>807</v>
      </c>
      <c r="H6" t="s">
        <v>808</v>
      </c>
    </row>
    <row r="7" spans="1:8" x14ac:dyDescent="0.3">
      <c r="A7" t="s">
        <v>809</v>
      </c>
      <c r="B7">
        <v>868</v>
      </c>
      <c r="C7" t="s">
        <v>810</v>
      </c>
      <c r="D7" t="s">
        <v>98</v>
      </c>
      <c r="E7" t="s">
        <v>799</v>
      </c>
      <c r="G7" t="s">
        <v>811</v>
      </c>
      <c r="H7" t="s">
        <v>812</v>
      </c>
    </row>
    <row r="8" spans="1:8" x14ac:dyDescent="0.3">
      <c r="A8" s="8" t="s">
        <v>744</v>
      </c>
      <c r="B8">
        <v>882</v>
      </c>
      <c r="C8" t="s">
        <v>813</v>
      </c>
      <c r="D8" t="s">
        <v>813</v>
      </c>
      <c r="E8" t="s">
        <v>814</v>
      </c>
      <c r="G8" t="s">
        <v>815</v>
      </c>
      <c r="H8" t="s">
        <v>816</v>
      </c>
    </row>
    <row r="9" spans="1:8" x14ac:dyDescent="0.3">
      <c r="A9" t="s">
        <v>817</v>
      </c>
      <c r="B9">
        <v>1108</v>
      </c>
      <c r="C9" t="s">
        <v>98</v>
      </c>
      <c r="D9" t="s">
        <v>818</v>
      </c>
      <c r="E9" t="s">
        <v>819</v>
      </c>
      <c r="F9" t="s">
        <v>795</v>
      </c>
      <c r="G9" t="s">
        <v>820</v>
      </c>
      <c r="H9" t="s">
        <v>821</v>
      </c>
    </row>
    <row r="10" spans="1:8" x14ac:dyDescent="0.3">
      <c r="A10" t="s">
        <v>822</v>
      </c>
      <c r="B10">
        <v>1111</v>
      </c>
      <c r="C10" t="s">
        <v>98</v>
      </c>
      <c r="D10" t="s">
        <v>823</v>
      </c>
      <c r="E10" t="s">
        <v>819</v>
      </c>
      <c r="G10" t="s">
        <v>820</v>
      </c>
      <c r="H10" t="s">
        <v>821</v>
      </c>
    </row>
    <row r="11" spans="1:8" x14ac:dyDescent="0.3">
      <c r="A11" t="s">
        <v>824</v>
      </c>
      <c r="B11">
        <v>1163</v>
      </c>
      <c r="C11" t="s">
        <v>825</v>
      </c>
      <c r="D11" t="s">
        <v>825</v>
      </c>
      <c r="E11" t="s">
        <v>784</v>
      </c>
      <c r="F11" t="s">
        <v>795</v>
      </c>
      <c r="G11" t="s">
        <v>820</v>
      </c>
      <c r="H11" t="s">
        <v>821</v>
      </c>
    </row>
    <row r="12" spans="1:8" x14ac:dyDescent="0.3">
      <c r="A12" t="s">
        <v>826</v>
      </c>
      <c r="B12">
        <v>1019</v>
      </c>
      <c r="C12" s="3" t="s">
        <v>798</v>
      </c>
      <c r="D12" s="2" t="s">
        <v>98</v>
      </c>
      <c r="E12" t="s">
        <v>762</v>
      </c>
      <c r="G12" t="s">
        <v>800</v>
      </c>
      <c r="H12" t="s">
        <v>801</v>
      </c>
    </row>
    <row r="13" spans="1:8" x14ac:dyDescent="0.3">
      <c r="A13" t="s">
        <v>827</v>
      </c>
      <c r="B13">
        <v>1017</v>
      </c>
      <c r="C13" t="s">
        <v>828</v>
      </c>
      <c r="D13" t="s">
        <v>828</v>
      </c>
      <c r="E13" t="s">
        <v>762</v>
      </c>
      <c r="F13" t="s">
        <v>795</v>
      </c>
      <c r="G13" t="s">
        <v>829</v>
      </c>
      <c r="H13" t="s">
        <v>830</v>
      </c>
    </row>
    <row r="14" spans="1:8" x14ac:dyDescent="0.3">
      <c r="A14" t="s">
        <v>831</v>
      </c>
      <c r="B14">
        <v>1020</v>
      </c>
      <c r="C14" t="s">
        <v>98</v>
      </c>
      <c r="D14" t="s">
        <v>832</v>
      </c>
      <c r="E14" t="s">
        <v>762</v>
      </c>
      <c r="G14" t="s">
        <v>815</v>
      </c>
      <c r="H14" t="s">
        <v>833</v>
      </c>
    </row>
    <row r="15" spans="1:8" x14ac:dyDescent="0.3">
      <c r="A15" t="s">
        <v>834</v>
      </c>
      <c r="B15">
        <v>1018</v>
      </c>
      <c r="C15" s="3" t="str">
        <f>C32</f>
        <v>Offals, sheep,edible</v>
      </c>
      <c r="D15" s="2" t="s">
        <v>98</v>
      </c>
      <c r="E15" t="s">
        <v>762</v>
      </c>
      <c r="G15" t="s">
        <v>811</v>
      </c>
      <c r="H15" t="s">
        <v>812</v>
      </c>
    </row>
    <row r="16" spans="1:8" x14ac:dyDescent="0.3">
      <c r="A16" t="s">
        <v>835</v>
      </c>
      <c r="B16">
        <v>1025</v>
      </c>
      <c r="C16" s="1" t="s">
        <v>836</v>
      </c>
      <c r="D16" t="s">
        <v>98</v>
      </c>
      <c r="E16" t="s">
        <v>762</v>
      </c>
      <c r="G16" t="s">
        <v>804</v>
      </c>
      <c r="H16" t="s">
        <v>804</v>
      </c>
    </row>
    <row r="17" spans="1:8" x14ac:dyDescent="0.3">
      <c r="A17" t="s">
        <v>837</v>
      </c>
      <c r="B17">
        <v>1097</v>
      </c>
      <c r="C17" t="s">
        <v>838</v>
      </c>
      <c r="D17" t="s">
        <v>838</v>
      </c>
      <c r="E17" t="s">
        <v>767</v>
      </c>
      <c r="F17" t="s">
        <v>795</v>
      </c>
      <c r="G17" t="s">
        <v>820</v>
      </c>
      <c r="H17" t="s">
        <v>821</v>
      </c>
    </row>
    <row r="18" spans="1:8" x14ac:dyDescent="0.3">
      <c r="A18" t="s">
        <v>839</v>
      </c>
      <c r="B18">
        <v>1098</v>
      </c>
      <c r="C18" s="3" t="str">
        <f>C7</f>
        <v>Offals, edible, cattle</v>
      </c>
      <c r="D18" s="2" t="s">
        <v>98</v>
      </c>
      <c r="E18" t="s">
        <v>767</v>
      </c>
      <c r="G18" t="s">
        <v>811</v>
      </c>
      <c r="H18" t="s">
        <v>812</v>
      </c>
    </row>
    <row r="19" spans="1:8" x14ac:dyDescent="0.3">
      <c r="A19" t="s">
        <v>840</v>
      </c>
      <c r="B19">
        <v>1091</v>
      </c>
      <c r="C19" t="s">
        <v>841</v>
      </c>
      <c r="D19" t="s">
        <v>841</v>
      </c>
      <c r="E19" t="s">
        <v>842</v>
      </c>
      <c r="G19" t="s">
        <v>757</v>
      </c>
      <c r="H19" t="s">
        <v>843</v>
      </c>
    </row>
    <row r="20" spans="1:8" x14ac:dyDescent="0.3">
      <c r="A20" t="s">
        <v>761</v>
      </c>
      <c r="B20">
        <v>1069</v>
      </c>
      <c r="C20" t="s">
        <v>844</v>
      </c>
      <c r="D20" t="s">
        <v>844</v>
      </c>
      <c r="E20" t="s">
        <v>842</v>
      </c>
      <c r="G20" t="s">
        <v>845</v>
      </c>
      <c r="H20" s="4" t="s">
        <v>846</v>
      </c>
    </row>
    <row r="21" spans="1:8" x14ac:dyDescent="0.3">
      <c r="A21" t="s">
        <v>847</v>
      </c>
      <c r="B21">
        <v>1080</v>
      </c>
      <c r="C21" t="s">
        <v>848</v>
      </c>
      <c r="D21" t="s">
        <v>848</v>
      </c>
      <c r="E21" t="s">
        <v>842</v>
      </c>
      <c r="F21" t="s">
        <v>795</v>
      </c>
      <c r="G21" t="s">
        <v>845</v>
      </c>
      <c r="H21" s="4" t="s">
        <v>849</v>
      </c>
    </row>
    <row r="22" spans="1:8" x14ac:dyDescent="0.3">
      <c r="A22" t="s">
        <v>850</v>
      </c>
      <c r="B22">
        <v>1166</v>
      </c>
      <c r="C22" t="s">
        <v>851</v>
      </c>
      <c r="D22" t="s">
        <v>851</v>
      </c>
      <c r="E22" t="s">
        <v>852</v>
      </c>
      <c r="G22" t="s">
        <v>820</v>
      </c>
      <c r="H22" t="s">
        <v>821</v>
      </c>
    </row>
    <row r="23" spans="1:8" x14ac:dyDescent="0.3">
      <c r="A23" t="s">
        <v>853</v>
      </c>
      <c r="B23">
        <v>1037</v>
      </c>
      <c r="C23" t="s">
        <v>854</v>
      </c>
      <c r="D23" t="s">
        <v>98</v>
      </c>
      <c r="E23" t="s">
        <v>769</v>
      </c>
      <c r="G23" t="s">
        <v>800</v>
      </c>
      <c r="H23" t="s">
        <v>801</v>
      </c>
    </row>
    <row r="24" spans="1:8" x14ac:dyDescent="0.3">
      <c r="A24" t="s">
        <v>855</v>
      </c>
      <c r="B24">
        <v>1035</v>
      </c>
      <c r="C24" t="s">
        <v>856</v>
      </c>
      <c r="D24" t="s">
        <v>856</v>
      </c>
      <c r="E24" t="s">
        <v>769</v>
      </c>
      <c r="F24" t="s">
        <v>795</v>
      </c>
      <c r="G24" t="s">
        <v>857</v>
      </c>
      <c r="H24" t="s">
        <v>858</v>
      </c>
    </row>
    <row r="25" spans="1:8" x14ac:dyDescent="0.3">
      <c r="A25" t="s">
        <v>859</v>
      </c>
      <c r="B25">
        <v>1036</v>
      </c>
      <c r="C25" t="s">
        <v>860</v>
      </c>
      <c r="D25" t="s">
        <v>98</v>
      </c>
      <c r="E25" t="s">
        <v>769</v>
      </c>
      <c r="G25" t="s">
        <v>811</v>
      </c>
      <c r="H25" t="s">
        <v>812</v>
      </c>
    </row>
    <row r="26" spans="1:8" x14ac:dyDescent="0.3">
      <c r="A26" t="s">
        <v>861</v>
      </c>
      <c r="B26">
        <v>1062</v>
      </c>
      <c r="C26" t="s">
        <v>862</v>
      </c>
      <c r="D26" t="s">
        <v>862</v>
      </c>
      <c r="E26" t="s">
        <v>863</v>
      </c>
      <c r="F26" t="s">
        <v>795</v>
      </c>
      <c r="G26" t="s">
        <v>757</v>
      </c>
      <c r="H26" t="s">
        <v>757</v>
      </c>
    </row>
    <row r="27" spans="1:8" x14ac:dyDescent="0.3">
      <c r="A27" t="s">
        <v>864</v>
      </c>
      <c r="B27">
        <v>1058</v>
      </c>
      <c r="C27" t="s">
        <v>865</v>
      </c>
      <c r="D27" t="s">
        <v>865</v>
      </c>
      <c r="E27" t="s">
        <v>863</v>
      </c>
      <c r="F27" t="s">
        <v>795</v>
      </c>
      <c r="G27" t="s">
        <v>845</v>
      </c>
      <c r="H27" t="s">
        <v>866</v>
      </c>
    </row>
    <row r="28" spans="1:8" x14ac:dyDescent="0.3">
      <c r="A28" t="s">
        <v>867</v>
      </c>
      <c r="B28">
        <v>1141</v>
      </c>
      <c r="C28" t="s">
        <v>868</v>
      </c>
      <c r="D28" t="s">
        <v>868</v>
      </c>
      <c r="E28" t="s">
        <v>776</v>
      </c>
      <c r="G28" t="s">
        <v>820</v>
      </c>
      <c r="H28" t="s">
        <v>821</v>
      </c>
    </row>
    <row r="29" spans="1:8" x14ac:dyDescent="0.3">
      <c r="A29" t="s">
        <v>869</v>
      </c>
      <c r="B29">
        <v>979</v>
      </c>
      <c r="C29" s="3" t="str">
        <f>C4</f>
        <v>Fat, cattle</v>
      </c>
      <c r="D29" s="2" t="s">
        <v>98</v>
      </c>
      <c r="E29" t="s">
        <v>779</v>
      </c>
      <c r="G29" t="s">
        <v>800</v>
      </c>
      <c r="H29" t="s">
        <v>801</v>
      </c>
    </row>
    <row r="30" spans="1:8" x14ac:dyDescent="0.3">
      <c r="A30" s="8" t="s">
        <v>870</v>
      </c>
      <c r="B30">
        <v>977</v>
      </c>
      <c r="C30" t="s">
        <v>871</v>
      </c>
      <c r="D30" t="s">
        <v>871</v>
      </c>
      <c r="E30" t="s">
        <v>779</v>
      </c>
      <c r="F30" t="s">
        <v>795</v>
      </c>
      <c r="G30" t="s">
        <v>829</v>
      </c>
      <c r="H30" t="s">
        <v>830</v>
      </c>
    </row>
    <row r="31" spans="1:8" x14ac:dyDescent="0.3">
      <c r="A31" t="s">
        <v>872</v>
      </c>
      <c r="B31">
        <v>982</v>
      </c>
      <c r="C31" t="s">
        <v>98</v>
      </c>
      <c r="D31" t="s">
        <v>873</v>
      </c>
      <c r="E31" t="s">
        <v>779</v>
      </c>
      <c r="G31" t="s">
        <v>815</v>
      </c>
      <c r="H31" t="s">
        <v>874</v>
      </c>
    </row>
    <row r="32" spans="1:8" x14ac:dyDescent="0.3">
      <c r="A32" t="s">
        <v>875</v>
      </c>
      <c r="B32">
        <v>978</v>
      </c>
      <c r="C32" t="s">
        <v>876</v>
      </c>
      <c r="D32" t="s">
        <v>98</v>
      </c>
      <c r="E32" t="s">
        <v>779</v>
      </c>
      <c r="G32" t="s">
        <v>811</v>
      </c>
      <c r="H32" t="s">
        <v>812</v>
      </c>
    </row>
    <row r="33" spans="1:8" x14ac:dyDescent="0.3">
      <c r="A33" t="s">
        <v>877</v>
      </c>
      <c r="B33">
        <v>995</v>
      </c>
      <c r="C33" s="1" t="s">
        <v>878</v>
      </c>
      <c r="D33" t="s">
        <v>98</v>
      </c>
      <c r="E33" t="s">
        <v>779</v>
      </c>
      <c r="G33" t="s">
        <v>804</v>
      </c>
      <c r="H33" t="s">
        <v>804</v>
      </c>
    </row>
    <row r="34" spans="1:8" x14ac:dyDescent="0.3">
      <c r="A34" t="s">
        <v>879</v>
      </c>
      <c r="B34">
        <v>987</v>
      </c>
      <c r="C34" t="s">
        <v>880</v>
      </c>
      <c r="D34" t="s">
        <v>880</v>
      </c>
      <c r="E34" t="s">
        <v>779</v>
      </c>
      <c r="G34" t="s">
        <v>881</v>
      </c>
      <c r="H34" t="s">
        <v>882</v>
      </c>
    </row>
    <row r="35" spans="1:8" ht="14.1" customHeight="1" x14ac:dyDescent="0.3">
      <c r="A35" s="8" t="s">
        <v>883</v>
      </c>
      <c r="B35">
        <v>1186</v>
      </c>
      <c r="C35" t="s">
        <v>884</v>
      </c>
      <c r="D35" t="s">
        <v>884</v>
      </c>
      <c r="E35" t="s">
        <v>885</v>
      </c>
      <c r="G35" t="s">
        <v>885</v>
      </c>
      <c r="H35" t="s">
        <v>885</v>
      </c>
    </row>
    <row r="36" spans="1:8" x14ac:dyDescent="0.3">
      <c r="A36" t="s">
        <v>886</v>
      </c>
      <c r="B36">
        <v>1225</v>
      </c>
      <c r="C36" s="3" t="s">
        <v>886</v>
      </c>
      <c r="D36" s="3" t="s">
        <v>98</v>
      </c>
      <c r="E36" t="s">
        <v>799</v>
      </c>
      <c r="G36" t="s">
        <v>800</v>
      </c>
      <c r="H36" t="s">
        <v>801</v>
      </c>
    </row>
    <row r="37" spans="1:8" x14ac:dyDescent="0.3">
      <c r="A37" t="s">
        <v>1845</v>
      </c>
      <c r="B37">
        <v>886</v>
      </c>
      <c r="C37" t="s">
        <v>98</v>
      </c>
      <c r="D37" t="s">
        <v>98</v>
      </c>
      <c r="E37" t="s">
        <v>814</v>
      </c>
      <c r="G37" t="s">
        <v>1384</v>
      </c>
      <c r="H37" t="s">
        <v>1384</v>
      </c>
    </row>
    <row r="38" spans="1:8" x14ac:dyDescent="0.3">
      <c r="A38" t="s">
        <v>1861</v>
      </c>
      <c r="B38">
        <v>951</v>
      </c>
      <c r="C38" t="s">
        <v>98</v>
      </c>
      <c r="D38" t="s">
        <v>98</v>
      </c>
      <c r="E38" t="s">
        <v>814</v>
      </c>
      <c r="G38" t="s">
        <v>815</v>
      </c>
      <c r="H38" t="s">
        <v>816</v>
      </c>
    </row>
    <row r="39" spans="1:8" x14ac:dyDescent="0.3">
      <c r="A39" t="s">
        <v>1879</v>
      </c>
      <c r="B39">
        <v>1043</v>
      </c>
      <c r="C39" t="s">
        <v>98</v>
      </c>
      <c r="D39" t="s">
        <v>98</v>
      </c>
      <c r="E39" t="s">
        <v>769</v>
      </c>
      <c r="G39" t="s">
        <v>800</v>
      </c>
      <c r="H39" t="s">
        <v>801</v>
      </c>
    </row>
  </sheetData>
  <pageMargins left="0.7" right="0.7" top="0.75" bottom="0.75" header="0.3" footer="0.3"/>
  <pageSetup orientation="portrait" horizontalDpi="1200" verticalDpi="1200"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983A9-1F3D-48EF-8690-049C86B73F96}">
  <dimension ref="A1:I712"/>
  <sheetViews>
    <sheetView zoomScale="60" zoomScaleNormal="60" workbookViewId="0">
      <pane xSplit="1" ySplit="1" topLeftCell="B81" activePane="bottomRight" state="frozen"/>
      <selection pane="topRight" activeCell="B1" sqref="B1"/>
      <selection pane="bottomLeft" activeCell="A2" sqref="A2"/>
      <selection pane="bottomRight" activeCell="I95" sqref="I95"/>
    </sheetView>
  </sheetViews>
  <sheetFormatPr defaultColWidth="10.77734375" defaultRowHeight="14.4" x14ac:dyDescent="0.3"/>
  <cols>
    <col min="1" max="1" width="26.33203125" customWidth="1"/>
    <col min="2" max="2" width="37.44140625" customWidth="1"/>
    <col min="3" max="4" width="29" customWidth="1"/>
    <col min="5" max="8" width="11.44140625" customWidth="1"/>
    <col min="9" max="9" width="137.21875" style="8" customWidth="1"/>
  </cols>
  <sheetData>
    <row r="1" spans="1:4" x14ac:dyDescent="0.3">
      <c r="A1" t="s">
        <v>887</v>
      </c>
      <c r="B1" t="s">
        <v>888</v>
      </c>
      <c r="C1" t="s">
        <v>1531</v>
      </c>
      <c r="D1" t="s">
        <v>889</v>
      </c>
    </row>
    <row r="2" spans="1:4" x14ac:dyDescent="0.3">
      <c r="A2">
        <v>15</v>
      </c>
      <c r="B2" t="s">
        <v>890</v>
      </c>
      <c r="C2" t="s">
        <v>891</v>
      </c>
      <c r="D2" t="str">
        <f>VLOOKUP(C2,items_full!$A$2:$A$194,1,0)</f>
        <v>Wheat and products</v>
      </c>
    </row>
    <row r="3" spans="1:4" x14ac:dyDescent="0.3">
      <c r="A3">
        <v>16</v>
      </c>
      <c r="B3" t="s">
        <v>892</v>
      </c>
      <c r="C3" t="s">
        <v>891</v>
      </c>
      <c r="D3" t="str">
        <f>VLOOKUP(C3,items_full!$A$2:$A$194,1,0)</f>
        <v>Wheat and products</v>
      </c>
    </row>
    <row r="4" spans="1:4" x14ac:dyDescent="0.3">
      <c r="A4">
        <v>17</v>
      </c>
      <c r="B4" t="s">
        <v>893</v>
      </c>
      <c r="C4" t="s">
        <v>891</v>
      </c>
      <c r="D4" t="str">
        <f>VLOOKUP(C4,items_full!$A$2:$A$194,1,0)</f>
        <v>Wheat and products</v>
      </c>
    </row>
    <row r="5" spans="1:4" x14ac:dyDescent="0.3">
      <c r="A5">
        <v>18</v>
      </c>
      <c r="B5" t="s">
        <v>894</v>
      </c>
      <c r="C5" t="s">
        <v>891</v>
      </c>
      <c r="D5" t="str">
        <f>VLOOKUP(C5,items_full!$A$2:$A$194,1,0)</f>
        <v>Wheat and products</v>
      </c>
    </row>
    <row r="6" spans="1:4" x14ac:dyDescent="0.3">
      <c r="A6">
        <v>19</v>
      </c>
      <c r="B6" t="s">
        <v>895</v>
      </c>
      <c r="C6" t="s">
        <v>891</v>
      </c>
      <c r="D6" t="str">
        <f>VLOOKUP(C6,items_full!$A$2:$A$194,1,0)</f>
        <v>Wheat and products</v>
      </c>
    </row>
    <row r="7" spans="1:4" x14ac:dyDescent="0.3">
      <c r="A7">
        <v>20</v>
      </c>
      <c r="B7" t="s">
        <v>896</v>
      </c>
      <c r="C7" t="s">
        <v>891</v>
      </c>
      <c r="D7" t="str">
        <f>VLOOKUP(C7,items_full!$A$2:$A$194,1,0)</f>
        <v>Wheat and products</v>
      </c>
    </row>
    <row r="8" spans="1:4" x14ac:dyDescent="0.3">
      <c r="A8">
        <v>21</v>
      </c>
      <c r="B8" t="s">
        <v>897</v>
      </c>
      <c r="C8" t="s">
        <v>891</v>
      </c>
      <c r="D8" t="str">
        <f>VLOOKUP(C8,items_full!$A$2:$A$194,1,0)</f>
        <v>Wheat and products</v>
      </c>
    </row>
    <row r="9" spans="1:4" x14ac:dyDescent="0.3">
      <c r="A9">
        <v>22</v>
      </c>
      <c r="B9" t="s">
        <v>898</v>
      </c>
      <c r="C9" t="s">
        <v>891</v>
      </c>
      <c r="D9" t="str">
        <f>VLOOKUP(C9,items_full!$A$2:$A$194,1,0)</f>
        <v>Wheat and products</v>
      </c>
    </row>
    <row r="10" spans="1:4" x14ac:dyDescent="0.3">
      <c r="A10">
        <v>23</v>
      </c>
      <c r="B10" t="s">
        <v>899</v>
      </c>
      <c r="C10" t="s">
        <v>891</v>
      </c>
      <c r="D10" t="str">
        <f>VLOOKUP(C10,items_full!$A$2:$A$194,1,0)</f>
        <v>Wheat and products</v>
      </c>
    </row>
    <row r="11" spans="1:4" x14ac:dyDescent="0.3">
      <c r="A11">
        <v>24</v>
      </c>
      <c r="B11" t="s">
        <v>900</v>
      </c>
      <c r="C11" t="s">
        <v>891</v>
      </c>
      <c r="D11" t="str">
        <f>VLOOKUP(C11,items_full!$A$2:$A$194,1,0)</f>
        <v>Wheat and products</v>
      </c>
    </row>
    <row r="12" spans="1:4" x14ac:dyDescent="0.3">
      <c r="A12">
        <v>26</v>
      </c>
      <c r="B12" t="s">
        <v>901</v>
      </c>
      <c r="C12" t="s">
        <v>902</v>
      </c>
      <c r="D12" t="str">
        <f>VLOOKUP(C12,items_full!$A$2:$A$194,1,0)</f>
        <v>Beverages, Fermented</v>
      </c>
    </row>
    <row r="13" spans="1:4" x14ac:dyDescent="0.3">
      <c r="A13">
        <v>27</v>
      </c>
      <c r="B13" t="s">
        <v>903</v>
      </c>
      <c r="C13" t="s">
        <v>904</v>
      </c>
      <c r="D13" t="str">
        <f>VLOOKUP(C13,items_full!$A$2:$A$194,1,0)</f>
        <v>Rice and products</v>
      </c>
    </row>
    <row r="14" spans="1:4" x14ac:dyDescent="0.3">
      <c r="A14">
        <v>28</v>
      </c>
      <c r="B14" t="s">
        <v>905</v>
      </c>
      <c r="C14" t="s">
        <v>904</v>
      </c>
      <c r="D14" t="str">
        <f>VLOOKUP(C14,items_full!$A$2:$A$194,1,0)</f>
        <v>Rice and products</v>
      </c>
    </row>
    <row r="15" spans="1:4" x14ac:dyDescent="0.3">
      <c r="A15">
        <v>29</v>
      </c>
      <c r="B15" t="s">
        <v>906</v>
      </c>
      <c r="C15" t="s">
        <v>904</v>
      </c>
      <c r="D15" t="str">
        <f>VLOOKUP(C15,items_full!$A$2:$A$194,1,0)</f>
        <v>Rice and products</v>
      </c>
    </row>
    <row r="16" spans="1:4" x14ac:dyDescent="0.3">
      <c r="A16">
        <v>30</v>
      </c>
      <c r="B16" t="s">
        <v>907</v>
      </c>
      <c r="C16" t="s">
        <v>904</v>
      </c>
      <c r="D16" t="str">
        <f>VLOOKUP(C16,items_full!$A$2:$A$194,1,0)</f>
        <v>Rice and products</v>
      </c>
    </row>
    <row r="17" spans="1:4" x14ac:dyDescent="0.3">
      <c r="A17">
        <v>31</v>
      </c>
      <c r="B17" t="s">
        <v>908</v>
      </c>
      <c r="C17" t="s">
        <v>904</v>
      </c>
      <c r="D17" t="str">
        <f>VLOOKUP(C17,items_full!$A$2:$A$194,1,0)</f>
        <v>Rice and products</v>
      </c>
    </row>
    <row r="18" spans="1:4" x14ac:dyDescent="0.3">
      <c r="A18">
        <v>32</v>
      </c>
      <c r="B18" t="s">
        <v>909</v>
      </c>
      <c r="C18" t="s">
        <v>904</v>
      </c>
      <c r="D18" t="str">
        <f>VLOOKUP(C18,items_full!$A$2:$A$194,1,0)</f>
        <v>Rice and products</v>
      </c>
    </row>
    <row r="19" spans="1:4" x14ac:dyDescent="0.3">
      <c r="A19">
        <v>33</v>
      </c>
      <c r="B19" t="s">
        <v>910</v>
      </c>
      <c r="C19" t="s">
        <v>904</v>
      </c>
      <c r="D19" t="str">
        <f>VLOOKUP(C19,items_full!$A$2:$A$194,1,0)</f>
        <v>Rice and products</v>
      </c>
    </row>
    <row r="20" spans="1:4" x14ac:dyDescent="0.3">
      <c r="A20">
        <v>33</v>
      </c>
      <c r="B20" t="s">
        <v>910</v>
      </c>
      <c r="C20" t="s">
        <v>904</v>
      </c>
      <c r="D20" t="str">
        <f>VLOOKUP(C20,items_full!$A$2:$A$194,1,0)</f>
        <v>Rice and products</v>
      </c>
    </row>
    <row r="21" spans="1:4" x14ac:dyDescent="0.3">
      <c r="A21">
        <v>34</v>
      </c>
      <c r="B21" t="s">
        <v>911</v>
      </c>
      <c r="C21" t="s">
        <v>904</v>
      </c>
      <c r="D21" t="str">
        <f>VLOOKUP(C21,items_full!$A$2:$A$194,1,0)</f>
        <v>Rice and products</v>
      </c>
    </row>
    <row r="22" spans="1:4" x14ac:dyDescent="0.3">
      <c r="A22">
        <v>35</v>
      </c>
      <c r="B22" t="s">
        <v>912</v>
      </c>
      <c r="C22" t="s">
        <v>904</v>
      </c>
      <c r="D22" t="str">
        <f>VLOOKUP(C22,items_full!$A$2:$A$194,1,0)</f>
        <v>Rice and products</v>
      </c>
    </row>
    <row r="23" spans="1:4" x14ac:dyDescent="0.3">
      <c r="A23">
        <v>36</v>
      </c>
      <c r="B23" t="s">
        <v>913</v>
      </c>
      <c r="C23" t="s">
        <v>914</v>
      </c>
      <c r="D23" t="str">
        <f>VLOOKUP(C23,items_full!$A$2:$A$194,1,0)</f>
        <v>Ricebran Oil</v>
      </c>
    </row>
    <row r="24" spans="1:4" x14ac:dyDescent="0.3">
      <c r="A24">
        <v>37</v>
      </c>
      <c r="B24" t="s">
        <v>915</v>
      </c>
      <c r="C24" t="s">
        <v>904</v>
      </c>
      <c r="D24" t="str">
        <f>VLOOKUP(C24,items_full!$A$2:$A$194,1,0)</f>
        <v>Rice and products</v>
      </c>
    </row>
    <row r="25" spans="1:4" x14ac:dyDescent="0.3">
      <c r="A25">
        <v>38</v>
      </c>
      <c r="B25" t="s">
        <v>916</v>
      </c>
      <c r="C25" t="s">
        <v>904</v>
      </c>
      <c r="D25" t="str">
        <f>VLOOKUP(C25,items_full!$A$2:$A$194,1,0)</f>
        <v>Rice and products</v>
      </c>
    </row>
    <row r="26" spans="1:4" x14ac:dyDescent="0.3">
      <c r="A26">
        <v>39</v>
      </c>
      <c r="B26" t="s">
        <v>917</v>
      </c>
      <c r="C26" t="s">
        <v>902</v>
      </c>
      <c r="D26" t="str">
        <f>VLOOKUP(C26,items_full!$A$2:$A$194,1,0)</f>
        <v>Beverages, Fermented</v>
      </c>
    </row>
    <row r="27" spans="1:4" x14ac:dyDescent="0.3">
      <c r="A27">
        <v>41</v>
      </c>
      <c r="B27" t="s">
        <v>918</v>
      </c>
      <c r="C27" t="s">
        <v>891</v>
      </c>
      <c r="D27" t="str">
        <f>VLOOKUP(C27,items_full!$A$2:$A$194,1,0)</f>
        <v>Wheat and products</v>
      </c>
    </row>
    <row r="28" spans="1:4" x14ac:dyDescent="0.3">
      <c r="A28">
        <v>44</v>
      </c>
      <c r="B28" t="s">
        <v>919</v>
      </c>
      <c r="C28" t="s">
        <v>920</v>
      </c>
      <c r="D28" t="str">
        <f>VLOOKUP(C28,items_full!$A$2:$A$194,1,0)</f>
        <v>Barley and products</v>
      </c>
    </row>
    <row r="29" spans="1:4" x14ac:dyDescent="0.3">
      <c r="A29">
        <v>45</v>
      </c>
      <c r="B29" t="s">
        <v>921</v>
      </c>
      <c r="C29" t="s">
        <v>920</v>
      </c>
      <c r="D29" t="str">
        <f>VLOOKUP(C29,items_full!$A$2:$A$194,1,0)</f>
        <v>Barley and products</v>
      </c>
    </row>
    <row r="30" spans="1:4" x14ac:dyDescent="0.3">
      <c r="A30">
        <v>46</v>
      </c>
      <c r="B30" t="s">
        <v>922</v>
      </c>
      <c r="C30" t="s">
        <v>920</v>
      </c>
      <c r="D30" t="str">
        <f>VLOOKUP(C30,items_full!$A$2:$A$194,1,0)</f>
        <v>Barley and products</v>
      </c>
    </row>
    <row r="31" spans="1:4" x14ac:dyDescent="0.3">
      <c r="A31">
        <v>47</v>
      </c>
      <c r="B31" t="s">
        <v>923</v>
      </c>
      <c r="C31" t="s">
        <v>920</v>
      </c>
      <c r="D31" t="str">
        <f>VLOOKUP(C31,items_full!$A$2:$A$194,1,0)</f>
        <v>Barley and products</v>
      </c>
    </row>
    <row r="32" spans="1:4" x14ac:dyDescent="0.3">
      <c r="A32">
        <v>48</v>
      </c>
      <c r="B32" t="s">
        <v>924</v>
      </c>
      <c r="C32" t="s">
        <v>920</v>
      </c>
      <c r="D32" t="str">
        <f>VLOOKUP(C32,items_full!$A$2:$A$194,1,0)</f>
        <v>Barley and products</v>
      </c>
    </row>
    <row r="33" spans="1:4" x14ac:dyDescent="0.3">
      <c r="A33">
        <v>49</v>
      </c>
      <c r="B33" t="s">
        <v>925</v>
      </c>
      <c r="C33" t="s">
        <v>920</v>
      </c>
      <c r="D33" t="str">
        <f>VLOOKUP(C33,items_full!$A$2:$A$194,1,0)</f>
        <v>Barley and products</v>
      </c>
    </row>
    <row r="34" spans="1:4" x14ac:dyDescent="0.3">
      <c r="A34">
        <v>50</v>
      </c>
      <c r="B34" t="s">
        <v>926</v>
      </c>
      <c r="C34" t="s">
        <v>920</v>
      </c>
      <c r="D34" t="str">
        <f>VLOOKUP(C34,items_full!$A$2:$A$194,1,0)</f>
        <v>Barley and products</v>
      </c>
    </row>
    <row r="35" spans="1:4" x14ac:dyDescent="0.3">
      <c r="A35">
        <v>51</v>
      </c>
      <c r="B35" t="s">
        <v>927</v>
      </c>
      <c r="C35" t="s">
        <v>928</v>
      </c>
      <c r="D35" t="str">
        <f>VLOOKUP(C35,items_full!$A$2:$A$194,1,0)</f>
        <v>Beer</v>
      </c>
    </row>
    <row r="36" spans="1:4" x14ac:dyDescent="0.3">
      <c r="A36">
        <v>56</v>
      </c>
      <c r="B36" t="s">
        <v>929</v>
      </c>
      <c r="C36" t="s">
        <v>930</v>
      </c>
      <c r="D36" t="str">
        <f>VLOOKUP(C36,items_full!$A$2:$A$194,1,0)</f>
        <v>Maize and products</v>
      </c>
    </row>
    <row r="37" spans="1:4" x14ac:dyDescent="0.3">
      <c r="A37">
        <v>57</v>
      </c>
      <c r="B37" t="s">
        <v>931</v>
      </c>
      <c r="C37" t="s">
        <v>930</v>
      </c>
      <c r="D37" t="str">
        <f>VLOOKUP(C37,items_full!$A$2:$A$194,1,0)</f>
        <v>Maize and products</v>
      </c>
    </row>
    <row r="38" spans="1:4" x14ac:dyDescent="0.3">
      <c r="A38">
        <v>58</v>
      </c>
      <c r="B38" t="s">
        <v>932</v>
      </c>
      <c r="C38" t="s">
        <v>930</v>
      </c>
      <c r="D38" t="str">
        <f>VLOOKUP(C38,items_full!$A$2:$A$194,1,0)</f>
        <v>Maize and products</v>
      </c>
    </row>
    <row r="39" spans="1:4" x14ac:dyDescent="0.3">
      <c r="A39">
        <v>59</v>
      </c>
      <c r="B39" t="s">
        <v>933</v>
      </c>
      <c r="C39" t="s">
        <v>930</v>
      </c>
      <c r="D39" t="str">
        <f>VLOOKUP(C39,items_full!$A$2:$A$194,1,0)</f>
        <v>Maize and products</v>
      </c>
    </row>
    <row r="40" spans="1:4" x14ac:dyDescent="0.3">
      <c r="A40">
        <v>60</v>
      </c>
      <c r="B40" t="s">
        <v>934</v>
      </c>
      <c r="C40" t="s">
        <v>935</v>
      </c>
      <c r="D40" t="str">
        <f>VLOOKUP(C40,items_full!$A$2:$A$194,1,0)</f>
        <v>Maize Germ Oil</v>
      </c>
    </row>
    <row r="41" spans="1:4" x14ac:dyDescent="0.3">
      <c r="A41">
        <v>61</v>
      </c>
      <c r="B41" t="s">
        <v>936</v>
      </c>
      <c r="C41" t="s">
        <v>937</v>
      </c>
      <c r="D41" t="str">
        <f>VLOOKUP(C41,items_full!$A$2:$A$194,1,0)</f>
        <v>Oilseed Cakes, Other</v>
      </c>
    </row>
    <row r="42" spans="1:4" x14ac:dyDescent="0.3">
      <c r="A42">
        <v>63</v>
      </c>
      <c r="B42" t="s">
        <v>938</v>
      </c>
      <c r="C42" t="s">
        <v>930</v>
      </c>
      <c r="D42" t="str">
        <f>VLOOKUP(C42,items_full!$A$2:$A$194,1,0)</f>
        <v>Maize and products</v>
      </c>
    </row>
    <row r="43" spans="1:4" x14ac:dyDescent="0.3">
      <c r="A43">
        <v>64</v>
      </c>
      <c r="B43" t="s">
        <v>939</v>
      </c>
      <c r="C43" t="s">
        <v>930</v>
      </c>
      <c r="D43" t="str">
        <f>VLOOKUP(C43,items_full!$A$2:$A$194,1,0)</f>
        <v>Maize and products</v>
      </c>
    </row>
    <row r="44" spans="1:4" x14ac:dyDescent="0.3">
      <c r="A44">
        <v>66</v>
      </c>
      <c r="B44" t="s">
        <v>940</v>
      </c>
      <c r="C44" t="s">
        <v>902</v>
      </c>
      <c r="D44" t="str">
        <f>VLOOKUP(C44,items_full!$A$2:$A$194,1,0)</f>
        <v>Beverages, Fermented</v>
      </c>
    </row>
    <row r="45" spans="1:4" x14ac:dyDescent="0.3">
      <c r="A45">
        <v>68</v>
      </c>
      <c r="B45" t="s">
        <v>941</v>
      </c>
      <c r="C45" t="s">
        <v>942</v>
      </c>
      <c r="D45" t="str">
        <f>VLOOKUP(C45,items_full!$A$2:$A$194,1,0)</f>
        <v>Cereals, Other</v>
      </c>
    </row>
    <row r="46" spans="1:4" x14ac:dyDescent="0.3">
      <c r="A46">
        <v>71</v>
      </c>
      <c r="B46" t="s">
        <v>943</v>
      </c>
      <c r="C46" t="s">
        <v>944</v>
      </c>
      <c r="D46" t="str">
        <f>VLOOKUP(C46,items_full!$A$2:$A$194,1,0)</f>
        <v>Rye and products</v>
      </c>
    </row>
    <row r="47" spans="1:4" x14ac:dyDescent="0.3">
      <c r="A47">
        <v>72</v>
      </c>
      <c r="B47" t="s">
        <v>945</v>
      </c>
      <c r="C47" t="s">
        <v>944</v>
      </c>
      <c r="D47" t="str">
        <f>VLOOKUP(C47,items_full!$A$2:$A$194,1,0)</f>
        <v>Rye and products</v>
      </c>
    </row>
    <row r="48" spans="1:4" x14ac:dyDescent="0.3">
      <c r="A48">
        <v>73</v>
      </c>
      <c r="B48" t="s">
        <v>946</v>
      </c>
      <c r="C48" t="s">
        <v>944</v>
      </c>
      <c r="D48" t="str">
        <f>VLOOKUP(C48,items_full!$A$2:$A$194,1,0)</f>
        <v>Rye and products</v>
      </c>
    </row>
    <row r="49" spans="1:4" x14ac:dyDescent="0.3">
      <c r="A49">
        <v>75</v>
      </c>
      <c r="B49" t="s">
        <v>947</v>
      </c>
      <c r="C49" t="s">
        <v>947</v>
      </c>
      <c r="D49" t="str">
        <f>VLOOKUP(C49,items_full!$A$2:$A$194,1,0)</f>
        <v>Oats</v>
      </c>
    </row>
    <row r="50" spans="1:4" x14ac:dyDescent="0.3">
      <c r="A50">
        <v>76</v>
      </c>
      <c r="B50" t="s">
        <v>948</v>
      </c>
      <c r="C50" t="s">
        <v>947</v>
      </c>
      <c r="D50" t="str">
        <f>VLOOKUP(C50,items_full!$A$2:$A$194,1,0)</f>
        <v>Oats</v>
      </c>
    </row>
    <row r="51" spans="1:4" x14ac:dyDescent="0.3">
      <c r="A51">
        <v>77</v>
      </c>
      <c r="B51" t="s">
        <v>949</v>
      </c>
      <c r="C51" t="s">
        <v>947</v>
      </c>
      <c r="D51" t="str">
        <f>VLOOKUP(C51,items_full!$A$2:$A$194,1,0)</f>
        <v>Oats</v>
      </c>
    </row>
    <row r="52" spans="1:4" x14ac:dyDescent="0.3">
      <c r="A52">
        <v>79</v>
      </c>
      <c r="B52" t="s">
        <v>950</v>
      </c>
      <c r="C52" t="s">
        <v>951</v>
      </c>
      <c r="D52" t="str">
        <f>VLOOKUP(C52,items_full!$A$2:$A$194,1,0)</f>
        <v>Millet and products</v>
      </c>
    </row>
    <row r="53" spans="1:4" x14ac:dyDescent="0.3">
      <c r="A53">
        <v>80</v>
      </c>
      <c r="B53" t="s">
        <v>952</v>
      </c>
      <c r="C53" t="s">
        <v>951</v>
      </c>
      <c r="D53" t="str">
        <f>VLOOKUP(C53,items_full!$A$2:$A$194,1,0)</f>
        <v>Millet and products</v>
      </c>
    </row>
    <row r="54" spans="1:4" x14ac:dyDescent="0.3">
      <c r="A54">
        <v>81</v>
      </c>
      <c r="B54" t="s">
        <v>953</v>
      </c>
      <c r="C54" t="s">
        <v>951</v>
      </c>
      <c r="D54" t="str">
        <f>VLOOKUP(C54,items_full!$A$2:$A$194,1,0)</f>
        <v>Millet and products</v>
      </c>
    </row>
    <row r="55" spans="1:4" x14ac:dyDescent="0.3">
      <c r="A55">
        <v>82</v>
      </c>
      <c r="B55" t="s">
        <v>954</v>
      </c>
      <c r="C55" t="s">
        <v>902</v>
      </c>
      <c r="D55" t="str">
        <f>VLOOKUP(C55,items_full!$A$2:$A$194,1,0)</f>
        <v>Beverages, Fermented</v>
      </c>
    </row>
    <row r="56" spans="1:4" x14ac:dyDescent="0.3">
      <c r="A56">
        <v>83</v>
      </c>
      <c r="B56" t="s">
        <v>955</v>
      </c>
      <c r="C56" t="s">
        <v>956</v>
      </c>
      <c r="D56" t="str">
        <f>VLOOKUP(C56,items_full!$A$2:$A$194,1,0)</f>
        <v>Sorghum and products</v>
      </c>
    </row>
    <row r="57" spans="1:4" x14ac:dyDescent="0.3">
      <c r="A57">
        <v>84</v>
      </c>
      <c r="B57" t="s">
        <v>957</v>
      </c>
      <c r="C57" t="s">
        <v>956</v>
      </c>
      <c r="D57" t="str">
        <f>VLOOKUP(C57,items_full!$A$2:$A$194,1,0)</f>
        <v>Sorghum and products</v>
      </c>
    </row>
    <row r="58" spans="1:4" x14ac:dyDescent="0.3">
      <c r="A58">
        <v>85</v>
      </c>
      <c r="B58" t="s">
        <v>958</v>
      </c>
      <c r="C58" t="s">
        <v>956</v>
      </c>
      <c r="D58" t="str">
        <f>VLOOKUP(C58,items_full!$A$2:$A$194,1,0)</f>
        <v>Sorghum and products</v>
      </c>
    </row>
    <row r="59" spans="1:4" x14ac:dyDescent="0.3">
      <c r="A59">
        <v>86</v>
      </c>
      <c r="B59" t="s">
        <v>959</v>
      </c>
      <c r="C59" t="s">
        <v>902</v>
      </c>
      <c r="D59" t="str">
        <f>VLOOKUP(C59,items_full!$A$2:$A$194,1,0)</f>
        <v>Beverages, Fermented</v>
      </c>
    </row>
    <row r="60" spans="1:4" x14ac:dyDescent="0.3">
      <c r="A60">
        <v>89</v>
      </c>
      <c r="B60" t="s">
        <v>960</v>
      </c>
      <c r="C60" t="s">
        <v>942</v>
      </c>
      <c r="D60" t="str">
        <f>VLOOKUP(C60,items_full!$A$2:$A$194,1,0)</f>
        <v>Cereals, Other</v>
      </c>
    </row>
    <row r="61" spans="1:4" x14ac:dyDescent="0.3">
      <c r="A61">
        <v>90</v>
      </c>
      <c r="B61" t="s">
        <v>961</v>
      </c>
      <c r="C61" t="s">
        <v>942</v>
      </c>
      <c r="D61" t="str">
        <f>VLOOKUP(C61,items_full!$A$2:$A$194,1,0)</f>
        <v>Cereals, Other</v>
      </c>
    </row>
    <row r="62" spans="1:4" x14ac:dyDescent="0.3">
      <c r="A62">
        <v>91</v>
      </c>
      <c r="B62" t="s">
        <v>962</v>
      </c>
      <c r="C62" t="s">
        <v>942</v>
      </c>
      <c r="D62" t="str">
        <f>VLOOKUP(C62,items_full!$A$2:$A$194,1,0)</f>
        <v>Cereals, Other</v>
      </c>
    </row>
    <row r="63" spans="1:4" x14ac:dyDescent="0.3">
      <c r="A63">
        <v>92</v>
      </c>
      <c r="B63" t="s">
        <v>963</v>
      </c>
      <c r="C63" t="s">
        <v>942</v>
      </c>
      <c r="D63" t="str">
        <f>VLOOKUP(C63,items_full!$A$2:$A$194,1,0)</f>
        <v>Cereals, Other</v>
      </c>
    </row>
    <row r="64" spans="1:4" x14ac:dyDescent="0.3">
      <c r="A64">
        <v>94</v>
      </c>
      <c r="B64" t="s">
        <v>964</v>
      </c>
      <c r="C64" t="s">
        <v>942</v>
      </c>
      <c r="D64" t="str">
        <f>VLOOKUP(C64,items_full!$A$2:$A$194,1,0)</f>
        <v>Cereals, Other</v>
      </c>
    </row>
    <row r="65" spans="1:4" x14ac:dyDescent="0.3">
      <c r="A65">
        <v>95</v>
      </c>
      <c r="B65" t="s">
        <v>965</v>
      </c>
      <c r="C65" t="s">
        <v>942</v>
      </c>
      <c r="D65" t="str">
        <f>VLOOKUP(C65,items_full!$A$2:$A$194,1,0)</f>
        <v>Cereals, Other</v>
      </c>
    </row>
    <row r="66" spans="1:4" x14ac:dyDescent="0.3">
      <c r="A66">
        <v>96</v>
      </c>
      <c r="B66" t="s">
        <v>966</v>
      </c>
      <c r="C66" s="11" t="s">
        <v>942</v>
      </c>
      <c r="D66" t="str">
        <f>VLOOKUP(C66,items_full!$A$2:$A$194,1,0)</f>
        <v>Cereals, Other</v>
      </c>
    </row>
    <row r="67" spans="1:4" x14ac:dyDescent="0.3">
      <c r="A67">
        <v>97</v>
      </c>
      <c r="B67" t="s">
        <v>967</v>
      </c>
      <c r="C67" t="s">
        <v>942</v>
      </c>
      <c r="D67" t="str">
        <f>VLOOKUP(C67,items_full!$A$2:$A$194,1,0)</f>
        <v>Cereals, Other</v>
      </c>
    </row>
    <row r="68" spans="1:4" x14ac:dyDescent="0.3">
      <c r="A68">
        <v>98</v>
      </c>
      <c r="B68" t="s">
        <v>968</v>
      </c>
      <c r="C68" t="s">
        <v>942</v>
      </c>
      <c r="D68" t="str">
        <f>VLOOKUP(C68,items_full!$A$2:$A$194,1,0)</f>
        <v>Cereals, Other</v>
      </c>
    </row>
    <row r="69" spans="1:4" x14ac:dyDescent="0.3">
      <c r="A69">
        <v>99</v>
      </c>
      <c r="B69" t="s">
        <v>969</v>
      </c>
      <c r="C69" t="s">
        <v>942</v>
      </c>
      <c r="D69" t="str">
        <f>VLOOKUP(C69,items_full!$A$2:$A$194,1,0)</f>
        <v>Cereals, Other</v>
      </c>
    </row>
    <row r="70" spans="1:4" x14ac:dyDescent="0.3">
      <c r="A70">
        <v>101</v>
      </c>
      <c r="B70" t="s">
        <v>970</v>
      </c>
      <c r="C70" t="s">
        <v>942</v>
      </c>
      <c r="D70" t="str">
        <f>VLOOKUP(C70,items_full!$A$2:$A$194,1,0)</f>
        <v>Cereals, Other</v>
      </c>
    </row>
    <row r="71" spans="1:4" x14ac:dyDescent="0.3">
      <c r="A71">
        <v>103</v>
      </c>
      <c r="B71" t="s">
        <v>971</v>
      </c>
      <c r="C71" t="s">
        <v>942</v>
      </c>
      <c r="D71" t="str">
        <f>VLOOKUP(C71,items_full!$A$2:$A$194,1,0)</f>
        <v>Cereals, Other</v>
      </c>
    </row>
    <row r="72" spans="1:4" x14ac:dyDescent="0.3">
      <c r="A72">
        <v>104</v>
      </c>
      <c r="B72" t="s">
        <v>972</v>
      </c>
      <c r="C72" t="s">
        <v>942</v>
      </c>
      <c r="D72" t="str">
        <f>VLOOKUP(C72,items_full!$A$2:$A$194,1,0)</f>
        <v>Cereals, Other</v>
      </c>
    </row>
    <row r="73" spans="1:4" x14ac:dyDescent="0.3">
      <c r="A73">
        <v>105</v>
      </c>
      <c r="B73" t="s">
        <v>973</v>
      </c>
      <c r="C73" t="s">
        <v>942</v>
      </c>
      <c r="D73" t="str">
        <f>VLOOKUP(C73,items_full!$A$2:$A$194,1,0)</f>
        <v>Cereals, Other</v>
      </c>
    </row>
    <row r="74" spans="1:4" x14ac:dyDescent="0.3">
      <c r="A74">
        <v>108</v>
      </c>
      <c r="B74" t="s">
        <v>974</v>
      </c>
      <c r="C74" t="s">
        <v>942</v>
      </c>
      <c r="D74" t="str">
        <f>VLOOKUP(C74,items_full!$A$2:$A$194,1,0)</f>
        <v>Cereals, Other</v>
      </c>
    </row>
    <row r="75" spans="1:4" x14ac:dyDescent="0.3">
      <c r="A75">
        <v>109</v>
      </c>
      <c r="B75" t="s">
        <v>975</v>
      </c>
      <c r="C75" t="s">
        <v>975</v>
      </c>
      <c r="D75" t="e">
        <f>VLOOKUP(C75,items_full!$A$2:$A$194,1,0)</f>
        <v>#N/A</v>
      </c>
    </row>
    <row r="76" spans="1:4" x14ac:dyDescent="0.3">
      <c r="A76">
        <v>110</v>
      </c>
      <c r="B76" t="s">
        <v>976</v>
      </c>
      <c r="C76" t="s">
        <v>891</v>
      </c>
      <c r="D76" t="str">
        <f>VLOOKUP(C76,items_full!$A$2:$A$194,1,0)</f>
        <v>Wheat and products</v>
      </c>
    </row>
    <row r="77" spans="1:4" x14ac:dyDescent="0.3">
      <c r="A77">
        <v>111</v>
      </c>
      <c r="B77" t="s">
        <v>977</v>
      </c>
      <c r="C77" t="s">
        <v>942</v>
      </c>
      <c r="D77" t="str">
        <f>VLOOKUP(C77,items_full!$A$2:$A$194,1,0)</f>
        <v>Cereals, Other</v>
      </c>
    </row>
    <row r="78" spans="1:4" x14ac:dyDescent="0.3">
      <c r="A78">
        <v>112</v>
      </c>
      <c r="B78" t="s">
        <v>978</v>
      </c>
      <c r="C78" t="s">
        <v>942</v>
      </c>
      <c r="D78" t="str">
        <f>VLOOKUP(C78,items_full!$A$2:$A$194,1,0)</f>
        <v>Cereals, Other</v>
      </c>
    </row>
    <row r="79" spans="1:4" x14ac:dyDescent="0.3">
      <c r="A79">
        <v>113</v>
      </c>
      <c r="B79" t="s">
        <v>979</v>
      </c>
      <c r="C79" t="s">
        <v>942</v>
      </c>
      <c r="D79" t="str">
        <f>VLOOKUP(C79,items_full!$A$2:$A$194,1,0)</f>
        <v>Cereals, Other</v>
      </c>
    </row>
    <row r="80" spans="1:4" x14ac:dyDescent="0.3">
      <c r="A80">
        <v>114</v>
      </c>
      <c r="B80" t="s">
        <v>980</v>
      </c>
      <c r="C80" t="s">
        <v>891</v>
      </c>
      <c r="D80" t="str">
        <f>VLOOKUP(C80,items_full!$A$2:$A$194,1,0)</f>
        <v>Wheat and products</v>
      </c>
    </row>
    <row r="81" spans="1:4" x14ac:dyDescent="0.3">
      <c r="A81">
        <v>115</v>
      </c>
      <c r="B81" t="s">
        <v>981</v>
      </c>
      <c r="C81" t="s">
        <v>891</v>
      </c>
      <c r="D81" t="str">
        <f>VLOOKUP(C81,items_full!$A$2:$A$194,1,0)</f>
        <v>Wheat and products</v>
      </c>
    </row>
    <row r="82" spans="1:4" x14ac:dyDescent="0.3">
      <c r="A82">
        <v>116</v>
      </c>
      <c r="B82" t="s">
        <v>982</v>
      </c>
      <c r="C82" t="s">
        <v>983</v>
      </c>
      <c r="D82" t="str">
        <f>VLOOKUP(C82,items_full!$A$2:$A$194,1,0)</f>
        <v>Potatoes and products</v>
      </c>
    </row>
    <row r="83" spans="1:4" x14ac:dyDescent="0.3">
      <c r="A83">
        <v>117</v>
      </c>
      <c r="B83" t="s">
        <v>984</v>
      </c>
      <c r="C83" t="s">
        <v>983</v>
      </c>
      <c r="D83" t="str">
        <f>VLOOKUP(C83,items_full!$A$2:$A$194,1,0)</f>
        <v>Potatoes and products</v>
      </c>
    </row>
    <row r="84" spans="1:4" x14ac:dyDescent="0.3">
      <c r="A84">
        <v>118</v>
      </c>
      <c r="B84" t="s">
        <v>985</v>
      </c>
      <c r="C84" t="s">
        <v>983</v>
      </c>
      <c r="D84" t="str">
        <f>VLOOKUP(C84,items_full!$A$2:$A$194,1,0)</f>
        <v>Potatoes and products</v>
      </c>
    </row>
    <row r="85" spans="1:4" x14ac:dyDescent="0.3">
      <c r="A85">
        <v>119</v>
      </c>
      <c r="B85" t="s">
        <v>986</v>
      </c>
      <c r="C85" t="s">
        <v>983</v>
      </c>
      <c r="D85" t="str">
        <f>VLOOKUP(C85,items_full!$A$2:$A$194,1,0)</f>
        <v>Potatoes and products</v>
      </c>
    </row>
    <row r="86" spans="1:4" x14ac:dyDescent="0.3">
      <c r="A86">
        <v>121</v>
      </c>
      <c r="B86" t="s">
        <v>987</v>
      </c>
      <c r="C86" t="s">
        <v>983</v>
      </c>
      <c r="D86" t="str">
        <f>VLOOKUP(C86,items_full!$A$2:$A$194,1,0)</f>
        <v>Potatoes and products</v>
      </c>
    </row>
    <row r="87" spans="1:4" x14ac:dyDescent="0.3">
      <c r="A87">
        <v>122</v>
      </c>
      <c r="B87" t="s">
        <v>988</v>
      </c>
      <c r="C87" t="s">
        <v>988</v>
      </c>
      <c r="D87" t="str">
        <f>VLOOKUP(C87,items_full!$A$2:$A$194,1,0)</f>
        <v>Sweet potatoes</v>
      </c>
    </row>
    <row r="88" spans="1:4" x14ac:dyDescent="0.3">
      <c r="A88">
        <v>125</v>
      </c>
      <c r="B88" t="s">
        <v>989</v>
      </c>
      <c r="C88" t="s">
        <v>990</v>
      </c>
      <c r="D88" t="str">
        <f>VLOOKUP(C88,items_full!$A$2:$A$194,1,0)</f>
        <v>Cassava and products</v>
      </c>
    </row>
    <row r="89" spans="1:4" x14ac:dyDescent="0.3">
      <c r="A89">
        <v>126</v>
      </c>
      <c r="B89" t="s">
        <v>991</v>
      </c>
      <c r="C89" t="s">
        <v>990</v>
      </c>
      <c r="D89" t="str">
        <f>VLOOKUP(C89,items_full!$A$2:$A$194,1,0)</f>
        <v>Cassava and products</v>
      </c>
    </row>
    <row r="90" spans="1:4" x14ac:dyDescent="0.3">
      <c r="A90">
        <v>127</v>
      </c>
      <c r="B90" t="s">
        <v>992</v>
      </c>
      <c r="C90" t="s">
        <v>990</v>
      </c>
      <c r="D90" t="str">
        <f>VLOOKUP(C90,items_full!$A$2:$A$194,1,0)</f>
        <v>Cassava and products</v>
      </c>
    </row>
    <row r="91" spans="1:4" x14ac:dyDescent="0.3">
      <c r="A91">
        <v>128</v>
      </c>
      <c r="B91" t="s">
        <v>993</v>
      </c>
      <c r="C91" t="s">
        <v>990</v>
      </c>
      <c r="D91" t="str">
        <f>VLOOKUP(C91,items_full!$A$2:$A$194,1,0)</f>
        <v>Cassava and products</v>
      </c>
    </row>
    <row r="92" spans="1:4" x14ac:dyDescent="0.3">
      <c r="A92">
        <v>129</v>
      </c>
      <c r="B92" t="s">
        <v>994</v>
      </c>
      <c r="C92" t="s">
        <v>990</v>
      </c>
      <c r="D92" t="str">
        <f>VLOOKUP(C92,items_full!$A$2:$A$194,1,0)</f>
        <v>Cassava and products</v>
      </c>
    </row>
    <row r="93" spans="1:4" x14ac:dyDescent="0.3">
      <c r="A93">
        <v>135</v>
      </c>
      <c r="B93" t="s">
        <v>995</v>
      </c>
      <c r="C93" t="s">
        <v>996</v>
      </c>
      <c r="D93" t="str">
        <f>VLOOKUP(C93,items_full!$A$2:$A$194,1,0)</f>
        <v>Roots, Other</v>
      </c>
    </row>
    <row r="94" spans="1:4" x14ac:dyDescent="0.3">
      <c r="A94">
        <v>136</v>
      </c>
      <c r="B94" t="s">
        <v>997</v>
      </c>
      <c r="C94" t="s">
        <v>996</v>
      </c>
      <c r="D94" t="str">
        <f>VLOOKUP(C94,items_full!$A$2:$A$194,1,0)</f>
        <v>Roots, Other</v>
      </c>
    </row>
    <row r="95" spans="1:4" x14ac:dyDescent="0.3">
      <c r="A95">
        <v>137</v>
      </c>
      <c r="B95" t="s">
        <v>998</v>
      </c>
      <c r="C95" t="s">
        <v>998</v>
      </c>
      <c r="D95" t="str">
        <f>VLOOKUP(C95,items_full!$A$2:$A$194,1,0)</f>
        <v>Yams</v>
      </c>
    </row>
    <row r="96" spans="1:4" x14ac:dyDescent="0.3">
      <c r="A96">
        <v>149</v>
      </c>
      <c r="B96" t="s">
        <v>999</v>
      </c>
      <c r="C96" t="s">
        <v>996</v>
      </c>
      <c r="D96" t="str">
        <f>VLOOKUP(C96,items_full!$A$2:$A$194,1,0)</f>
        <v>Roots, Other</v>
      </c>
    </row>
    <row r="97" spans="1:4" x14ac:dyDescent="0.3">
      <c r="A97">
        <v>150</v>
      </c>
      <c r="B97" t="s">
        <v>1000</v>
      </c>
      <c r="C97" t="s">
        <v>996</v>
      </c>
      <c r="D97" t="str">
        <f>VLOOKUP(C97,items_full!$A$2:$A$194,1,0)</f>
        <v>Roots, Other</v>
      </c>
    </row>
    <row r="98" spans="1:4" x14ac:dyDescent="0.3">
      <c r="A98">
        <v>151</v>
      </c>
      <c r="B98" t="s">
        <v>1001</v>
      </c>
      <c r="C98" t="s">
        <v>996</v>
      </c>
      <c r="D98" t="str">
        <f>VLOOKUP(C98,items_full!$A$2:$A$194,1,0)</f>
        <v>Roots, Other</v>
      </c>
    </row>
    <row r="99" spans="1:4" x14ac:dyDescent="0.3">
      <c r="A99">
        <v>154</v>
      </c>
      <c r="B99" t="s">
        <v>1002</v>
      </c>
      <c r="C99" t="s">
        <v>1003</v>
      </c>
      <c r="D99" t="str">
        <f>VLOOKUP(C99,items_full!$A$2:$A$194,1,0)</f>
        <v>Sweeteners, Other</v>
      </c>
    </row>
    <row r="100" spans="1:4" x14ac:dyDescent="0.3">
      <c r="A100">
        <v>155</v>
      </c>
      <c r="B100" t="s">
        <v>1004</v>
      </c>
      <c r="C100" t="s">
        <v>1003</v>
      </c>
      <c r="D100" t="str">
        <f>VLOOKUP(C100,items_full!$A$2:$A$194,1,0)</f>
        <v>Sweeteners, Other</v>
      </c>
    </row>
    <row r="101" spans="1:4" x14ac:dyDescent="0.3">
      <c r="A101">
        <v>156</v>
      </c>
      <c r="B101" t="s">
        <v>1005</v>
      </c>
      <c r="C101" t="s">
        <v>1005</v>
      </c>
      <c r="D101" t="str">
        <f>VLOOKUP(C101,items_full!$A$2:$A$194,1,0)</f>
        <v>Sugar cane</v>
      </c>
    </row>
    <row r="102" spans="1:4" x14ac:dyDescent="0.3">
      <c r="A102">
        <v>157</v>
      </c>
      <c r="B102" t="s">
        <v>1006</v>
      </c>
      <c r="C102" t="s">
        <v>1006</v>
      </c>
      <c r="D102" t="str">
        <f>VLOOKUP(C102,items_full!$A$2:$A$194,1,0)</f>
        <v>Sugar beet</v>
      </c>
    </row>
    <row r="103" spans="1:4" x14ac:dyDescent="0.3">
      <c r="A103">
        <v>158</v>
      </c>
      <c r="B103" t="s">
        <v>1007</v>
      </c>
      <c r="C103" t="s">
        <v>1008</v>
      </c>
      <c r="D103" t="str">
        <f>VLOOKUP(C103,items_full!$A$2:$A$194,1,0)</f>
        <v>Sugar (Raw Equivalent)</v>
      </c>
    </row>
    <row r="104" spans="1:4" x14ac:dyDescent="0.3">
      <c r="A104">
        <v>159</v>
      </c>
      <c r="B104" t="s">
        <v>1009</v>
      </c>
      <c r="C104" t="s">
        <v>1008</v>
      </c>
      <c r="D104" t="str">
        <f>VLOOKUP(C104,items_full!$A$2:$A$194,1,0)</f>
        <v>Sugar (Raw Equivalent)</v>
      </c>
    </row>
    <row r="105" spans="1:4" x14ac:dyDescent="0.3">
      <c r="A105">
        <v>160</v>
      </c>
      <c r="B105" t="s">
        <v>1010</v>
      </c>
      <c r="C105" t="s">
        <v>1003</v>
      </c>
      <c r="D105" t="str">
        <f>VLOOKUP(C105,items_full!$A$2:$A$194,1,0)</f>
        <v>Sweeteners, Other</v>
      </c>
    </row>
    <row r="106" spans="1:4" x14ac:dyDescent="0.3">
      <c r="A106">
        <v>161</v>
      </c>
      <c r="B106" t="s">
        <v>1011</v>
      </c>
      <c r="C106" t="s">
        <v>1003</v>
      </c>
      <c r="D106" t="str">
        <f>VLOOKUP(C106,items_full!$A$2:$A$194,1,0)</f>
        <v>Sweeteners, Other</v>
      </c>
    </row>
    <row r="107" spans="1:4" x14ac:dyDescent="0.3">
      <c r="A107">
        <v>162</v>
      </c>
      <c r="B107" t="s">
        <v>1012</v>
      </c>
      <c r="C107" t="s">
        <v>1008</v>
      </c>
      <c r="D107" t="str">
        <f>VLOOKUP(C107,items_full!$A$2:$A$194,1,0)</f>
        <v>Sugar (Raw Equivalent)</v>
      </c>
    </row>
    <row r="108" spans="1:4" x14ac:dyDescent="0.3">
      <c r="A108">
        <v>163</v>
      </c>
      <c r="B108" t="s">
        <v>1013</v>
      </c>
      <c r="C108" t="s">
        <v>1008</v>
      </c>
      <c r="D108" t="str">
        <f>VLOOKUP(C108,items_full!$A$2:$A$194,1,0)</f>
        <v>Sugar (Raw Equivalent)</v>
      </c>
    </row>
    <row r="109" spans="1:4" x14ac:dyDescent="0.3">
      <c r="A109">
        <v>164</v>
      </c>
      <c r="B109" t="s">
        <v>1014</v>
      </c>
      <c r="C109" t="s">
        <v>1008</v>
      </c>
      <c r="D109" t="str">
        <f>VLOOKUP(C109,items_full!$A$2:$A$194,1,0)</f>
        <v>Sugar (Raw Equivalent)</v>
      </c>
    </row>
    <row r="110" spans="1:4" x14ac:dyDescent="0.3">
      <c r="A110">
        <v>165</v>
      </c>
      <c r="B110" t="s">
        <v>1015</v>
      </c>
      <c r="C110" t="s">
        <v>1015</v>
      </c>
      <c r="D110" t="str">
        <f>VLOOKUP(C110,items_full!$A$2:$A$194,1,0)</f>
        <v>Molasses</v>
      </c>
    </row>
    <row r="111" spans="1:4" x14ac:dyDescent="0.3">
      <c r="A111">
        <v>166</v>
      </c>
      <c r="B111" t="s">
        <v>1016</v>
      </c>
      <c r="C111" t="s">
        <v>1003</v>
      </c>
      <c r="D111" t="str">
        <f>VLOOKUP(C111,items_full!$A$2:$A$194,1,0)</f>
        <v>Sweeteners, Other</v>
      </c>
    </row>
    <row r="112" spans="1:4" x14ac:dyDescent="0.3">
      <c r="A112">
        <v>167</v>
      </c>
      <c r="B112" t="s">
        <v>1017</v>
      </c>
      <c r="C112" t="s">
        <v>1003</v>
      </c>
      <c r="D112" t="str">
        <f>VLOOKUP(C112,items_full!$A$2:$A$194,1,0)</f>
        <v>Sweeteners, Other</v>
      </c>
    </row>
    <row r="113" spans="1:4" x14ac:dyDescent="0.3">
      <c r="A113">
        <v>168</v>
      </c>
      <c r="B113" t="s">
        <v>1018</v>
      </c>
      <c r="C113" t="s">
        <v>1008</v>
      </c>
      <c r="D113" t="str">
        <f>VLOOKUP(C113,items_full!$A$2:$A$194,1,0)</f>
        <v>Sugar (Raw Equivalent)</v>
      </c>
    </row>
    <row r="114" spans="1:4" x14ac:dyDescent="0.3">
      <c r="A114">
        <v>169</v>
      </c>
      <c r="B114" t="s">
        <v>1019</v>
      </c>
      <c r="C114" t="s">
        <v>1020</v>
      </c>
      <c r="D114" t="str">
        <f>VLOOKUP(C114,items_full!$A$2:$A$194,1,0)</f>
        <v>Sugarbeet pulp</v>
      </c>
    </row>
    <row r="115" spans="1:4" x14ac:dyDescent="0.3">
      <c r="A115">
        <v>170</v>
      </c>
      <c r="B115" t="s">
        <v>1021</v>
      </c>
      <c r="C115" t="s">
        <v>1022</v>
      </c>
      <c r="D115" t="e">
        <f>VLOOKUP(C115,items_full!$A$2:$A$194,1,0)</f>
        <v>#N/A</v>
      </c>
    </row>
    <row r="116" spans="1:4" x14ac:dyDescent="0.3">
      <c r="A116">
        <v>171</v>
      </c>
      <c r="B116" t="s">
        <v>1023</v>
      </c>
      <c r="C116" t="s">
        <v>1008</v>
      </c>
      <c r="D116" t="str">
        <f>VLOOKUP(C116,items_full!$A$2:$A$194,1,0)</f>
        <v>Sugar (Raw Equivalent)</v>
      </c>
    </row>
    <row r="117" spans="1:4" x14ac:dyDescent="0.3">
      <c r="A117">
        <v>172</v>
      </c>
      <c r="B117" t="s">
        <v>1024</v>
      </c>
      <c r="C117" t="s">
        <v>1003</v>
      </c>
      <c r="D117" t="str">
        <f>VLOOKUP(C117,items_full!$A$2:$A$194,1,0)</f>
        <v>Sweeteners, Other</v>
      </c>
    </row>
    <row r="118" spans="1:4" x14ac:dyDescent="0.3">
      <c r="A118">
        <v>173</v>
      </c>
      <c r="B118" t="s">
        <v>1025</v>
      </c>
      <c r="C118" t="s">
        <v>1003</v>
      </c>
      <c r="D118" t="str">
        <f>VLOOKUP(C118,items_full!$A$2:$A$194,1,0)</f>
        <v>Sweeteners, Other</v>
      </c>
    </row>
    <row r="119" spans="1:4" x14ac:dyDescent="0.3">
      <c r="A119">
        <v>175</v>
      </c>
      <c r="B119" t="s">
        <v>1026</v>
      </c>
      <c r="C119" t="s">
        <v>1003</v>
      </c>
      <c r="D119" t="str">
        <f>VLOOKUP(C119,items_full!$A$2:$A$194,1,0)</f>
        <v>Sweeteners, Other</v>
      </c>
    </row>
    <row r="120" spans="1:4" x14ac:dyDescent="0.3">
      <c r="A120">
        <v>176</v>
      </c>
      <c r="B120" t="s">
        <v>1027</v>
      </c>
      <c r="C120" t="s">
        <v>1028</v>
      </c>
      <c r="D120" t="str">
        <f>VLOOKUP(C120,items_full!$A$2:$A$194,1,0)</f>
        <v>Beans</v>
      </c>
    </row>
    <row r="121" spans="1:4" x14ac:dyDescent="0.3">
      <c r="A121">
        <v>181</v>
      </c>
      <c r="B121" t="s">
        <v>1029</v>
      </c>
      <c r="C121" t="s">
        <v>1030</v>
      </c>
      <c r="D121" t="str">
        <f>VLOOKUP(C121,items_full!$A$2:$A$194,1,0)</f>
        <v>Pulses, Other and products</v>
      </c>
    </row>
    <row r="122" spans="1:4" x14ac:dyDescent="0.3">
      <c r="A122">
        <v>187</v>
      </c>
      <c r="B122" t="s">
        <v>1031</v>
      </c>
      <c r="C122" t="s">
        <v>1032</v>
      </c>
      <c r="D122" t="str">
        <f>VLOOKUP(C122,items_full!$A$2:$A$194,1,0)</f>
        <v>Peas</v>
      </c>
    </row>
    <row r="123" spans="1:4" x14ac:dyDescent="0.3">
      <c r="A123">
        <v>191</v>
      </c>
      <c r="B123" t="s">
        <v>1033</v>
      </c>
      <c r="C123" t="s">
        <v>1030</v>
      </c>
      <c r="D123" t="str">
        <f>VLOOKUP(C123,items_full!$A$2:$A$194,1,0)</f>
        <v>Pulses, Other and products</v>
      </c>
    </row>
    <row r="124" spans="1:4" x14ac:dyDescent="0.3">
      <c r="A124">
        <v>195</v>
      </c>
      <c r="B124" t="s">
        <v>1034</v>
      </c>
      <c r="C124" t="s">
        <v>1030</v>
      </c>
      <c r="D124" t="str">
        <f>VLOOKUP(C124,items_full!$A$2:$A$194,1,0)</f>
        <v>Pulses, Other and products</v>
      </c>
    </row>
    <row r="125" spans="1:4" x14ac:dyDescent="0.3">
      <c r="A125">
        <v>197</v>
      </c>
      <c r="B125" t="s">
        <v>1035</v>
      </c>
      <c r="C125" t="s">
        <v>1030</v>
      </c>
      <c r="D125" t="str">
        <f>VLOOKUP(C125,items_full!$A$2:$A$194,1,0)</f>
        <v>Pulses, Other and products</v>
      </c>
    </row>
    <row r="126" spans="1:4" x14ac:dyDescent="0.3">
      <c r="A126">
        <v>201</v>
      </c>
      <c r="B126" t="s">
        <v>1036</v>
      </c>
      <c r="C126" t="s">
        <v>1030</v>
      </c>
      <c r="D126" t="str">
        <f>VLOOKUP(C126,items_full!$A$2:$A$194,1,0)</f>
        <v>Pulses, Other and products</v>
      </c>
    </row>
    <row r="127" spans="1:4" x14ac:dyDescent="0.3">
      <c r="A127">
        <v>203</v>
      </c>
      <c r="B127" t="s">
        <v>1037</v>
      </c>
      <c r="C127" t="s">
        <v>1030</v>
      </c>
      <c r="D127" t="str">
        <f>VLOOKUP(C127,items_full!$A$2:$A$194,1,0)</f>
        <v>Pulses, Other and products</v>
      </c>
    </row>
    <row r="128" spans="1:4" x14ac:dyDescent="0.3">
      <c r="A128">
        <v>205</v>
      </c>
      <c r="B128" t="s">
        <v>1038</v>
      </c>
      <c r="C128" t="s">
        <v>1030</v>
      </c>
      <c r="D128" t="str">
        <f>VLOOKUP(C128,items_full!$A$2:$A$194,1,0)</f>
        <v>Pulses, Other and products</v>
      </c>
    </row>
    <row r="129" spans="1:4" x14ac:dyDescent="0.3">
      <c r="A129">
        <v>210</v>
      </c>
      <c r="B129" t="s">
        <v>1039</v>
      </c>
      <c r="C129" t="s">
        <v>1030</v>
      </c>
      <c r="D129" t="str">
        <f>VLOOKUP(C129,items_full!$A$2:$A$194,1,0)</f>
        <v>Pulses, Other and products</v>
      </c>
    </row>
    <row r="130" spans="1:4" x14ac:dyDescent="0.3">
      <c r="A130">
        <v>211</v>
      </c>
      <c r="B130" t="s">
        <v>1040</v>
      </c>
      <c r="C130" t="s">
        <v>1030</v>
      </c>
      <c r="D130" t="str">
        <f>VLOOKUP(C130,items_full!$A$2:$A$194,1,0)</f>
        <v>Pulses, Other and products</v>
      </c>
    </row>
    <row r="131" spans="1:4" x14ac:dyDescent="0.3">
      <c r="A131">
        <v>212</v>
      </c>
      <c r="B131" t="s">
        <v>1041</v>
      </c>
      <c r="C131" t="s">
        <v>1030</v>
      </c>
      <c r="D131" t="str">
        <f>VLOOKUP(C131,items_full!$A$2:$A$194,1,0)</f>
        <v>Pulses, Other and products</v>
      </c>
    </row>
    <row r="132" spans="1:4" x14ac:dyDescent="0.3">
      <c r="A132">
        <v>213</v>
      </c>
      <c r="B132" t="s">
        <v>1042</v>
      </c>
      <c r="C132" t="s">
        <v>1030</v>
      </c>
      <c r="D132" t="str">
        <f>VLOOKUP(C132,items_full!$A$2:$A$194,1,0)</f>
        <v>Pulses, Other and products</v>
      </c>
    </row>
    <row r="133" spans="1:4" x14ac:dyDescent="0.3">
      <c r="A133">
        <v>216</v>
      </c>
      <c r="B133" t="s">
        <v>1043</v>
      </c>
      <c r="C133" t="s">
        <v>1044</v>
      </c>
      <c r="D133" t="str">
        <f>VLOOKUP(C133,items_full!$A$2:$A$194,1,0)</f>
        <v>Nuts and products</v>
      </c>
    </row>
    <row r="134" spans="1:4" x14ac:dyDescent="0.3">
      <c r="A134">
        <v>217</v>
      </c>
      <c r="B134" t="s">
        <v>1045</v>
      </c>
      <c r="C134" t="s">
        <v>1044</v>
      </c>
      <c r="D134" t="str">
        <f>VLOOKUP(C134,items_full!$A$2:$A$194,1,0)</f>
        <v>Nuts and products</v>
      </c>
    </row>
    <row r="135" spans="1:4" x14ac:dyDescent="0.3">
      <c r="A135">
        <v>220</v>
      </c>
      <c r="B135" t="s">
        <v>1046</v>
      </c>
      <c r="C135" t="s">
        <v>1044</v>
      </c>
      <c r="D135" t="str">
        <f>VLOOKUP(C135,items_full!$A$2:$A$194,1,0)</f>
        <v>Nuts and products</v>
      </c>
    </row>
    <row r="136" spans="1:4" x14ac:dyDescent="0.3">
      <c r="A136">
        <v>221</v>
      </c>
      <c r="B136" t="s">
        <v>1047</v>
      </c>
      <c r="C136" t="s">
        <v>1044</v>
      </c>
      <c r="D136" t="str">
        <f>VLOOKUP(C136,items_full!$A$2:$A$194,1,0)</f>
        <v>Nuts and products</v>
      </c>
    </row>
    <row r="137" spans="1:4" x14ac:dyDescent="0.3">
      <c r="A137">
        <v>222</v>
      </c>
      <c r="B137" t="s">
        <v>1048</v>
      </c>
      <c r="C137" t="s">
        <v>1044</v>
      </c>
      <c r="D137" t="str">
        <f>VLOOKUP(C137,items_full!$A$2:$A$194,1,0)</f>
        <v>Nuts and products</v>
      </c>
    </row>
    <row r="138" spans="1:4" x14ac:dyDescent="0.3">
      <c r="A138">
        <v>223</v>
      </c>
      <c r="B138" t="s">
        <v>1049</v>
      </c>
      <c r="C138" t="s">
        <v>1044</v>
      </c>
      <c r="D138" t="str">
        <f>VLOOKUP(C138,items_full!$A$2:$A$194,1,0)</f>
        <v>Nuts and products</v>
      </c>
    </row>
    <row r="139" spans="1:4" x14ac:dyDescent="0.3">
      <c r="A139">
        <v>224</v>
      </c>
      <c r="B139" t="s">
        <v>1050</v>
      </c>
      <c r="C139" t="s">
        <v>1044</v>
      </c>
      <c r="D139" t="str">
        <f>VLOOKUP(C139,items_full!$A$2:$A$194,1,0)</f>
        <v>Nuts and products</v>
      </c>
    </row>
    <row r="140" spans="1:4" x14ac:dyDescent="0.3">
      <c r="A140">
        <v>225</v>
      </c>
      <c r="B140" t="s">
        <v>1051</v>
      </c>
      <c r="C140" t="s">
        <v>1044</v>
      </c>
      <c r="D140" t="str">
        <f>VLOOKUP(C140,items_full!$A$2:$A$194,1,0)</f>
        <v>Nuts and products</v>
      </c>
    </row>
    <row r="141" spans="1:4" x14ac:dyDescent="0.3">
      <c r="A141">
        <v>226</v>
      </c>
      <c r="B141" t="s">
        <v>1052</v>
      </c>
      <c r="C141" t="s">
        <v>1044</v>
      </c>
      <c r="D141" t="str">
        <f>VLOOKUP(C141,items_full!$A$2:$A$194,1,0)</f>
        <v>Nuts and products</v>
      </c>
    </row>
    <row r="142" spans="1:4" x14ac:dyDescent="0.3">
      <c r="A142">
        <v>229</v>
      </c>
      <c r="B142" t="s">
        <v>1053</v>
      </c>
      <c r="C142" t="s">
        <v>1044</v>
      </c>
      <c r="D142" t="str">
        <f>VLOOKUP(C142,items_full!$A$2:$A$194,1,0)</f>
        <v>Nuts and products</v>
      </c>
    </row>
    <row r="143" spans="1:4" x14ac:dyDescent="0.3">
      <c r="A143">
        <v>230</v>
      </c>
      <c r="B143" t="s">
        <v>1054</v>
      </c>
      <c r="C143" t="s">
        <v>1044</v>
      </c>
      <c r="D143" t="str">
        <f>VLOOKUP(C143,items_full!$A$2:$A$194,1,0)</f>
        <v>Nuts and products</v>
      </c>
    </row>
    <row r="144" spans="1:4" x14ac:dyDescent="0.3">
      <c r="A144">
        <v>231</v>
      </c>
      <c r="B144" t="s">
        <v>1055</v>
      </c>
      <c r="C144" t="s">
        <v>1044</v>
      </c>
      <c r="D144" t="str">
        <f>VLOOKUP(C144,items_full!$A$2:$A$194,1,0)</f>
        <v>Nuts and products</v>
      </c>
    </row>
    <row r="145" spans="1:4" x14ac:dyDescent="0.3">
      <c r="A145">
        <v>232</v>
      </c>
      <c r="B145" t="s">
        <v>1056</v>
      </c>
      <c r="C145" t="s">
        <v>1044</v>
      </c>
      <c r="D145" t="str">
        <f>VLOOKUP(C145,items_full!$A$2:$A$194,1,0)</f>
        <v>Nuts and products</v>
      </c>
    </row>
    <row r="146" spans="1:4" x14ac:dyDescent="0.3">
      <c r="A146">
        <v>233</v>
      </c>
      <c r="B146" t="s">
        <v>1057</v>
      </c>
      <c r="C146" t="s">
        <v>1044</v>
      </c>
      <c r="D146" t="str">
        <f>VLOOKUP(C146,items_full!$A$2:$A$194,1,0)</f>
        <v>Nuts and products</v>
      </c>
    </row>
    <row r="147" spans="1:4" x14ac:dyDescent="0.3">
      <c r="A147">
        <v>234</v>
      </c>
      <c r="B147" t="s">
        <v>1058</v>
      </c>
      <c r="C147" t="s">
        <v>1044</v>
      </c>
      <c r="D147" t="str">
        <f>VLOOKUP(C147,items_full!$A$2:$A$194,1,0)</f>
        <v>Nuts and products</v>
      </c>
    </row>
    <row r="148" spans="1:4" x14ac:dyDescent="0.3">
      <c r="A148">
        <v>235</v>
      </c>
      <c r="B148" t="s">
        <v>1059</v>
      </c>
      <c r="C148" t="s">
        <v>1044</v>
      </c>
      <c r="D148" t="str">
        <f>VLOOKUP(C148,items_full!$A$2:$A$194,1,0)</f>
        <v>Nuts and products</v>
      </c>
    </row>
    <row r="149" spans="1:4" x14ac:dyDescent="0.3">
      <c r="A149">
        <v>236</v>
      </c>
      <c r="B149" t="s">
        <v>1060</v>
      </c>
      <c r="C149" t="s">
        <v>1061</v>
      </c>
      <c r="D149" t="str">
        <f>VLOOKUP(C149,items_full!$A$2:$A$194,1,0)</f>
        <v>Soyabeans</v>
      </c>
    </row>
    <row r="150" spans="1:4" x14ac:dyDescent="0.3">
      <c r="A150">
        <v>237</v>
      </c>
      <c r="B150" t="s">
        <v>1062</v>
      </c>
      <c r="C150" t="s">
        <v>1063</v>
      </c>
      <c r="D150" t="str">
        <f>VLOOKUP(C150,items_full!$A$2:$A$194,1,0)</f>
        <v>Soyabean Oil</v>
      </c>
    </row>
    <row r="151" spans="1:4" x14ac:dyDescent="0.3">
      <c r="A151">
        <v>238</v>
      </c>
      <c r="B151" t="s">
        <v>1064</v>
      </c>
      <c r="C151" t="s">
        <v>1065</v>
      </c>
      <c r="D151" t="str">
        <f>VLOOKUP(C151,items_full!$A$2:$A$194,1,0)</f>
        <v>Soyabean Cake</v>
      </c>
    </row>
    <row r="152" spans="1:4" x14ac:dyDescent="0.3">
      <c r="A152">
        <v>239</v>
      </c>
      <c r="B152" t="s">
        <v>1066</v>
      </c>
      <c r="C152" t="s">
        <v>1061</v>
      </c>
      <c r="D152" t="str">
        <f>VLOOKUP(C152,items_full!$A$2:$A$194,1,0)</f>
        <v>Soyabeans</v>
      </c>
    </row>
    <row r="153" spans="1:4" x14ac:dyDescent="0.3">
      <c r="A153">
        <v>240</v>
      </c>
      <c r="B153" t="s">
        <v>1067</v>
      </c>
      <c r="C153" t="s">
        <v>1061</v>
      </c>
      <c r="D153" t="str">
        <f>VLOOKUP(C153,items_full!$A$2:$A$194,1,0)</f>
        <v>Soyabeans</v>
      </c>
    </row>
    <row r="154" spans="1:4" x14ac:dyDescent="0.3">
      <c r="A154">
        <v>241</v>
      </c>
      <c r="B154" t="s">
        <v>1068</v>
      </c>
      <c r="C154" t="s">
        <v>1061</v>
      </c>
      <c r="D154" t="str">
        <f>VLOOKUP(C154,items_full!$A$2:$A$194,1,0)</f>
        <v>Soyabeans</v>
      </c>
    </row>
    <row r="155" spans="1:4" x14ac:dyDescent="0.3">
      <c r="A155">
        <v>242</v>
      </c>
      <c r="B155" t="s">
        <v>1069</v>
      </c>
      <c r="C155" t="s">
        <v>1070</v>
      </c>
      <c r="D155" t="str">
        <f>VLOOKUP(C155,items_full!$A$2:$A$194,1,0)</f>
        <v>Groundnuts</v>
      </c>
    </row>
    <row r="156" spans="1:4" x14ac:dyDescent="0.3">
      <c r="A156">
        <v>243</v>
      </c>
      <c r="B156" t="s">
        <v>1071</v>
      </c>
      <c r="C156" t="s">
        <v>1070</v>
      </c>
      <c r="D156" t="str">
        <f>VLOOKUP(C156,items_full!$A$2:$A$194,1,0)</f>
        <v>Groundnuts</v>
      </c>
    </row>
    <row r="157" spans="1:4" x14ac:dyDescent="0.3">
      <c r="A157">
        <v>244</v>
      </c>
      <c r="B157" t="s">
        <v>1072</v>
      </c>
      <c r="C157" t="s">
        <v>1073</v>
      </c>
      <c r="D157" t="str">
        <f>VLOOKUP(C157,items_full!$A$2:$A$194,1,0)</f>
        <v>Groundnut Oil</v>
      </c>
    </row>
    <row r="158" spans="1:4" x14ac:dyDescent="0.3">
      <c r="A158">
        <v>245</v>
      </c>
      <c r="B158" t="s">
        <v>1074</v>
      </c>
      <c r="C158" t="s">
        <v>1075</v>
      </c>
      <c r="D158" t="str">
        <f>VLOOKUP(C158,items_full!$A$2:$A$194,1,0)</f>
        <v>Groundnut Cake</v>
      </c>
    </row>
    <row r="159" spans="1:4" x14ac:dyDescent="0.3">
      <c r="A159">
        <v>246</v>
      </c>
      <c r="B159" t="s">
        <v>1076</v>
      </c>
      <c r="C159" t="s">
        <v>1070</v>
      </c>
      <c r="D159" t="str">
        <f>VLOOKUP(C159,items_full!$A$2:$A$194,1,0)</f>
        <v>Groundnuts</v>
      </c>
    </row>
    <row r="160" spans="1:4" x14ac:dyDescent="0.3">
      <c r="A160">
        <v>247</v>
      </c>
      <c r="B160" t="s">
        <v>1077</v>
      </c>
      <c r="C160" t="s">
        <v>1073</v>
      </c>
      <c r="D160" t="str">
        <f>VLOOKUP(C160,items_full!$A$2:$A$194,1,0)</f>
        <v>Groundnut Oil</v>
      </c>
    </row>
    <row r="161" spans="1:4" x14ac:dyDescent="0.3">
      <c r="A161">
        <v>249</v>
      </c>
      <c r="B161" t="s">
        <v>1078</v>
      </c>
      <c r="C161" t="s">
        <v>1079</v>
      </c>
      <c r="D161" t="str">
        <f>VLOOKUP(C161,items_full!$A$2:$A$194,1,0)</f>
        <v>Coconuts - Incl Copra</v>
      </c>
    </row>
    <row r="162" spans="1:4" x14ac:dyDescent="0.3">
      <c r="A162">
        <v>250</v>
      </c>
      <c r="B162" t="s">
        <v>1080</v>
      </c>
      <c r="C162" t="s">
        <v>1079</v>
      </c>
      <c r="D162" t="str">
        <f>VLOOKUP(C162,items_full!$A$2:$A$194,1,0)</f>
        <v>Coconuts - Incl Copra</v>
      </c>
    </row>
    <row r="163" spans="1:4" x14ac:dyDescent="0.3">
      <c r="A163">
        <v>251</v>
      </c>
      <c r="B163" t="s">
        <v>1081</v>
      </c>
      <c r="C163" t="s">
        <v>1079</v>
      </c>
      <c r="D163" t="str">
        <f>VLOOKUP(C163,items_full!$A$2:$A$194,1,0)</f>
        <v>Coconuts - Incl Copra</v>
      </c>
    </row>
    <row r="164" spans="1:4" x14ac:dyDescent="0.3">
      <c r="A164">
        <v>252</v>
      </c>
      <c r="B164" t="s">
        <v>1082</v>
      </c>
      <c r="C164" t="s">
        <v>1083</v>
      </c>
      <c r="D164" t="str">
        <f>VLOOKUP(C164,items_full!$A$2:$A$194,1,0)</f>
        <v>Coconut Oil</v>
      </c>
    </row>
    <row r="165" spans="1:4" x14ac:dyDescent="0.3">
      <c r="A165">
        <v>253</v>
      </c>
      <c r="B165" t="s">
        <v>1084</v>
      </c>
      <c r="C165" t="s">
        <v>1085</v>
      </c>
      <c r="D165" t="str">
        <f>VLOOKUP(C165,items_full!$A$2:$A$194,1,0)</f>
        <v>Copra Cake</v>
      </c>
    </row>
    <row r="166" spans="1:4" x14ac:dyDescent="0.3">
      <c r="A166">
        <v>254</v>
      </c>
      <c r="B166" t="s">
        <v>1086</v>
      </c>
      <c r="C166" t="s">
        <v>1086</v>
      </c>
      <c r="D166" t="e">
        <f>VLOOKUP(C166,items_full!$A$2:$A$194,1,0)</f>
        <v>#N/A</v>
      </c>
    </row>
    <row r="167" spans="1:4" x14ac:dyDescent="0.3">
      <c r="A167">
        <v>256</v>
      </c>
      <c r="B167" t="s">
        <v>1087</v>
      </c>
      <c r="C167" t="s">
        <v>1087</v>
      </c>
      <c r="D167" t="str">
        <f>VLOOKUP(C167,items_full!$A$2:$A$194,1,0)</f>
        <v>Palm kernels</v>
      </c>
    </row>
    <row r="168" spans="1:4" x14ac:dyDescent="0.3">
      <c r="A168">
        <v>257</v>
      </c>
      <c r="B168" t="s">
        <v>1088</v>
      </c>
      <c r="C168" t="s">
        <v>1089</v>
      </c>
      <c r="D168" t="str">
        <f>VLOOKUP(C168,items_full!$A$2:$A$194,1,0)</f>
        <v>Palm Oil</v>
      </c>
    </row>
    <row r="169" spans="1:4" x14ac:dyDescent="0.3">
      <c r="A169">
        <v>258</v>
      </c>
      <c r="B169" t="s">
        <v>1090</v>
      </c>
      <c r="C169" t="s">
        <v>1091</v>
      </c>
      <c r="D169" t="str">
        <f>VLOOKUP(C169,items_full!$A$2:$A$194,1,0)</f>
        <v>Palmkernel Oil</v>
      </c>
    </row>
    <row r="170" spans="1:4" x14ac:dyDescent="0.3">
      <c r="A170">
        <v>259</v>
      </c>
      <c r="B170" t="s">
        <v>1092</v>
      </c>
      <c r="C170" t="s">
        <v>1093</v>
      </c>
      <c r="D170" t="str">
        <f>VLOOKUP(C170,items_full!$A$2:$A$194,1,0)</f>
        <v>Palmkernel Cake</v>
      </c>
    </row>
    <row r="171" spans="1:4" x14ac:dyDescent="0.3">
      <c r="A171">
        <v>260</v>
      </c>
      <c r="B171" t="s">
        <v>1094</v>
      </c>
      <c r="C171" t="s">
        <v>1095</v>
      </c>
      <c r="D171" t="str">
        <f>VLOOKUP(C171,items_full!$A$2:$A$194,1,0)</f>
        <v>Olives (including preserved)</v>
      </c>
    </row>
    <row r="172" spans="1:4" x14ac:dyDescent="0.3">
      <c r="A172">
        <v>261</v>
      </c>
      <c r="B172" t="s">
        <v>1096</v>
      </c>
      <c r="C172" t="s">
        <v>1097</v>
      </c>
      <c r="D172" t="str">
        <f>VLOOKUP(C172,items_full!$A$2:$A$194,1,0)</f>
        <v>Olive Oil</v>
      </c>
    </row>
    <row r="173" spans="1:4" x14ac:dyDescent="0.3">
      <c r="A173">
        <v>262</v>
      </c>
      <c r="B173" t="s">
        <v>1098</v>
      </c>
      <c r="C173" t="s">
        <v>1095</v>
      </c>
      <c r="D173" t="str">
        <f>VLOOKUP(C173,items_full!$A$2:$A$194,1,0)</f>
        <v>Olives (including preserved)</v>
      </c>
    </row>
    <row r="174" spans="1:4" x14ac:dyDescent="0.3">
      <c r="A174">
        <v>263</v>
      </c>
      <c r="B174" t="s">
        <v>1099</v>
      </c>
      <c r="C174" t="s">
        <v>1100</v>
      </c>
      <c r="D174" t="str">
        <f>VLOOKUP(C174,items_full!$A$2:$A$194,1,0)</f>
        <v>Oilcrops, Other</v>
      </c>
    </row>
    <row r="175" spans="1:4" x14ac:dyDescent="0.3">
      <c r="A175">
        <v>264</v>
      </c>
      <c r="B175" t="s">
        <v>1101</v>
      </c>
      <c r="C175" t="s">
        <v>1102</v>
      </c>
      <c r="D175" t="str">
        <f>VLOOKUP(C175,items_full!$A$2:$A$194,1,0)</f>
        <v>Oilcrops Oil, Other</v>
      </c>
    </row>
    <row r="176" spans="1:4" x14ac:dyDescent="0.3">
      <c r="A176">
        <v>265</v>
      </c>
      <c r="B176" t="s">
        <v>1103</v>
      </c>
      <c r="C176" t="s">
        <v>1100</v>
      </c>
      <c r="D176" t="str">
        <f>VLOOKUP(C176,items_full!$A$2:$A$194,1,0)</f>
        <v>Oilcrops, Other</v>
      </c>
    </row>
    <row r="177" spans="1:4" x14ac:dyDescent="0.3">
      <c r="A177">
        <v>266</v>
      </c>
      <c r="B177" t="s">
        <v>1104</v>
      </c>
      <c r="C177" t="s">
        <v>1102</v>
      </c>
      <c r="D177" t="str">
        <f>VLOOKUP(C177,items_full!$A$2:$A$194,1,0)</f>
        <v>Oilcrops Oil, Other</v>
      </c>
    </row>
    <row r="178" spans="1:4" x14ac:dyDescent="0.3">
      <c r="A178">
        <v>267</v>
      </c>
      <c r="B178" t="s">
        <v>1105</v>
      </c>
      <c r="C178" t="s">
        <v>1105</v>
      </c>
      <c r="D178" t="str">
        <f>VLOOKUP(C178,items_full!$A$2:$A$194,1,0)</f>
        <v>Sunflower seed</v>
      </c>
    </row>
    <row r="179" spans="1:4" x14ac:dyDescent="0.3">
      <c r="A179">
        <v>268</v>
      </c>
      <c r="B179" t="s">
        <v>1106</v>
      </c>
      <c r="C179" t="s">
        <v>1107</v>
      </c>
      <c r="D179" t="str">
        <f>VLOOKUP(C179,items_full!$A$2:$A$194,1,0)</f>
        <v>Sunflowerseed Oil</v>
      </c>
    </row>
    <row r="180" spans="1:4" x14ac:dyDescent="0.3">
      <c r="A180">
        <v>269</v>
      </c>
      <c r="B180" t="s">
        <v>1108</v>
      </c>
      <c r="C180" t="s">
        <v>1109</v>
      </c>
      <c r="D180" t="str">
        <f>VLOOKUP(C180,items_full!$A$2:$A$194,1,0)</f>
        <v>Sunflowerseed Cake</v>
      </c>
    </row>
    <row r="181" spans="1:4" x14ac:dyDescent="0.3">
      <c r="A181">
        <v>270</v>
      </c>
      <c r="B181" t="s">
        <v>1110</v>
      </c>
      <c r="C181" t="s">
        <v>1111</v>
      </c>
      <c r="D181" t="str">
        <f>VLOOKUP(C181,items_full!$A$2:$A$194,1,0)</f>
        <v>Rape and Mustardseed</v>
      </c>
    </row>
    <row r="182" spans="1:4" x14ac:dyDescent="0.3">
      <c r="A182">
        <v>271</v>
      </c>
      <c r="B182" t="s">
        <v>1112</v>
      </c>
      <c r="C182" t="s">
        <v>1113</v>
      </c>
      <c r="D182" t="str">
        <f>VLOOKUP(C182,items_full!$A$2:$A$194,1,0)</f>
        <v>Rape and Mustard Oil</v>
      </c>
    </row>
    <row r="183" spans="1:4" x14ac:dyDescent="0.3">
      <c r="A183">
        <v>272</v>
      </c>
      <c r="B183" t="s">
        <v>1114</v>
      </c>
      <c r="C183" t="s">
        <v>1115</v>
      </c>
      <c r="D183" t="str">
        <f>VLOOKUP(C183,items_full!$A$2:$A$194,1,0)</f>
        <v>Rape and Mustard Cake</v>
      </c>
    </row>
    <row r="184" spans="1:4" x14ac:dyDescent="0.3">
      <c r="A184">
        <v>274</v>
      </c>
      <c r="B184" t="s">
        <v>1116</v>
      </c>
      <c r="C184" t="s">
        <v>1097</v>
      </c>
      <c r="D184" t="str">
        <f>VLOOKUP(C184,items_full!$A$2:$A$194,1,0)</f>
        <v>Olive Oil</v>
      </c>
    </row>
    <row r="185" spans="1:4" x14ac:dyDescent="0.3">
      <c r="A185">
        <v>275</v>
      </c>
      <c r="B185" t="s">
        <v>1117</v>
      </c>
      <c r="C185" t="s">
        <v>1100</v>
      </c>
      <c r="D185" t="str">
        <f>VLOOKUP(C185,items_full!$A$2:$A$194,1,0)</f>
        <v>Oilcrops, Other</v>
      </c>
    </row>
    <row r="186" spans="1:4" x14ac:dyDescent="0.3">
      <c r="A186">
        <v>276</v>
      </c>
      <c r="B186" t="s">
        <v>1118</v>
      </c>
      <c r="C186" t="s">
        <v>1102</v>
      </c>
      <c r="D186" t="str">
        <f>VLOOKUP(C186,items_full!$A$2:$A$194,1,0)</f>
        <v>Oilcrops Oil, Other</v>
      </c>
    </row>
    <row r="187" spans="1:4" x14ac:dyDescent="0.3">
      <c r="A187">
        <v>277</v>
      </c>
      <c r="B187" t="s">
        <v>1119</v>
      </c>
      <c r="C187" t="s">
        <v>1100</v>
      </c>
      <c r="D187" t="str">
        <f>VLOOKUP(C187,items_full!$A$2:$A$194,1,0)</f>
        <v>Oilcrops, Other</v>
      </c>
    </row>
    <row r="188" spans="1:4" x14ac:dyDescent="0.3">
      <c r="A188">
        <v>278</v>
      </c>
      <c r="B188" t="s">
        <v>1120</v>
      </c>
      <c r="C188" t="s">
        <v>1102</v>
      </c>
      <c r="D188" t="str">
        <f>VLOOKUP(C188,items_full!$A$2:$A$194,1,0)</f>
        <v>Oilcrops Oil, Other</v>
      </c>
    </row>
    <row r="189" spans="1:4" x14ac:dyDescent="0.3">
      <c r="A189">
        <v>280</v>
      </c>
      <c r="B189" t="s">
        <v>1121</v>
      </c>
      <c r="C189" t="s">
        <v>1100</v>
      </c>
      <c r="D189" t="str">
        <f>VLOOKUP(C189,items_full!$A$2:$A$194,1,0)</f>
        <v>Oilcrops, Other</v>
      </c>
    </row>
    <row r="190" spans="1:4" x14ac:dyDescent="0.3">
      <c r="A190">
        <v>281</v>
      </c>
      <c r="B190" t="s">
        <v>1122</v>
      </c>
      <c r="C190" t="s">
        <v>1102</v>
      </c>
      <c r="D190" t="str">
        <f>VLOOKUP(C190,items_full!$A$2:$A$194,1,0)</f>
        <v>Oilcrops Oil, Other</v>
      </c>
    </row>
    <row r="191" spans="1:4" x14ac:dyDescent="0.3">
      <c r="A191">
        <v>282</v>
      </c>
      <c r="B191" t="s">
        <v>1123</v>
      </c>
      <c r="C191" t="s">
        <v>937</v>
      </c>
      <c r="D191" t="str">
        <f>VLOOKUP(C191,items_full!$A$2:$A$194,1,0)</f>
        <v>Oilseed Cakes, Other</v>
      </c>
    </row>
    <row r="192" spans="1:4" x14ac:dyDescent="0.3">
      <c r="A192">
        <v>289</v>
      </c>
      <c r="B192" t="s">
        <v>1124</v>
      </c>
      <c r="C192" t="s">
        <v>1124</v>
      </c>
      <c r="D192" t="str">
        <f>VLOOKUP(C192,items_full!$A$2:$A$194,1,0)</f>
        <v>Sesame seed</v>
      </c>
    </row>
    <row r="193" spans="1:4" x14ac:dyDescent="0.3">
      <c r="A193">
        <v>290</v>
      </c>
      <c r="B193" t="s">
        <v>1125</v>
      </c>
      <c r="C193" t="s">
        <v>1126</v>
      </c>
      <c r="D193" t="str">
        <f>VLOOKUP(C193,items_full!$A$2:$A$194,1,0)</f>
        <v>Sesameseed Oil</v>
      </c>
    </row>
    <row r="194" spans="1:4" x14ac:dyDescent="0.3">
      <c r="A194">
        <v>291</v>
      </c>
      <c r="B194" t="s">
        <v>1127</v>
      </c>
      <c r="C194" t="s">
        <v>1128</v>
      </c>
      <c r="D194" t="str">
        <f>VLOOKUP(C194,items_full!$A$2:$A$194,1,0)</f>
        <v>Sesameseed Cake</v>
      </c>
    </row>
    <row r="195" spans="1:4" x14ac:dyDescent="0.3">
      <c r="A195">
        <v>292</v>
      </c>
      <c r="B195" t="s">
        <v>1129</v>
      </c>
      <c r="C195" t="s">
        <v>1111</v>
      </c>
      <c r="D195" t="str">
        <f>VLOOKUP(C195,items_full!$A$2:$A$194,1,0)</f>
        <v>Rape and Mustardseed</v>
      </c>
    </row>
    <row r="196" spans="1:4" x14ac:dyDescent="0.3">
      <c r="A196">
        <v>293</v>
      </c>
      <c r="B196" t="s">
        <v>1130</v>
      </c>
      <c r="C196" t="s">
        <v>1113</v>
      </c>
      <c r="D196" t="str">
        <f>VLOOKUP(C196,items_full!$A$2:$A$194,1,0)</f>
        <v>Rape and Mustard Oil</v>
      </c>
    </row>
    <row r="197" spans="1:4" x14ac:dyDescent="0.3">
      <c r="A197">
        <v>294</v>
      </c>
      <c r="B197" t="s">
        <v>1131</v>
      </c>
      <c r="C197" t="s">
        <v>1115</v>
      </c>
      <c r="D197" t="str">
        <f>VLOOKUP(C197,items_full!$A$2:$A$194,1,0)</f>
        <v>Rape and Mustard Cake</v>
      </c>
    </row>
    <row r="198" spans="1:4" x14ac:dyDescent="0.3">
      <c r="A198">
        <v>295</v>
      </c>
      <c r="B198" t="s">
        <v>1132</v>
      </c>
      <c r="C198" t="s">
        <v>1111</v>
      </c>
      <c r="D198" t="str">
        <f>VLOOKUP(C198,items_full!$A$2:$A$194,1,0)</f>
        <v>Rape and Mustardseed</v>
      </c>
    </row>
    <row r="199" spans="1:4" x14ac:dyDescent="0.3">
      <c r="A199">
        <v>296</v>
      </c>
      <c r="B199" t="s">
        <v>1133</v>
      </c>
      <c r="C199" t="s">
        <v>1100</v>
      </c>
      <c r="D199" t="str">
        <f>VLOOKUP(C199,items_full!$A$2:$A$194,1,0)</f>
        <v>Oilcrops, Other</v>
      </c>
    </row>
    <row r="200" spans="1:4" x14ac:dyDescent="0.3">
      <c r="A200">
        <v>297</v>
      </c>
      <c r="B200" t="s">
        <v>1134</v>
      </c>
      <c r="C200" t="s">
        <v>1102</v>
      </c>
      <c r="D200" t="str">
        <f>VLOOKUP(C200,items_full!$A$2:$A$194,1,0)</f>
        <v>Oilcrops Oil, Other</v>
      </c>
    </row>
    <row r="201" spans="1:4" x14ac:dyDescent="0.3">
      <c r="A201">
        <v>298</v>
      </c>
      <c r="B201" t="s">
        <v>1135</v>
      </c>
      <c r="C201" t="s">
        <v>937</v>
      </c>
      <c r="D201" t="str">
        <f>VLOOKUP(C201,items_full!$A$2:$A$194,1,0)</f>
        <v>Oilseed Cakes, Other</v>
      </c>
    </row>
    <row r="202" spans="1:4" x14ac:dyDescent="0.3">
      <c r="A202">
        <v>299</v>
      </c>
      <c r="B202" t="s">
        <v>1136</v>
      </c>
      <c r="C202" t="s">
        <v>1100</v>
      </c>
      <c r="D202" t="str">
        <f>VLOOKUP(C202,items_full!$A$2:$A$194,1,0)</f>
        <v>Oilcrops, Other</v>
      </c>
    </row>
    <row r="203" spans="1:4" x14ac:dyDescent="0.3">
      <c r="A203">
        <v>305</v>
      </c>
      <c r="B203" t="s">
        <v>1137</v>
      </c>
      <c r="C203" t="s">
        <v>1100</v>
      </c>
      <c r="D203" t="str">
        <f>VLOOKUP(C203,items_full!$A$2:$A$194,1,0)</f>
        <v>Oilcrops, Other</v>
      </c>
    </row>
    <row r="204" spans="1:4" x14ac:dyDescent="0.3">
      <c r="A204">
        <v>306</v>
      </c>
      <c r="B204" t="s">
        <v>1138</v>
      </c>
      <c r="C204" t="s">
        <v>1102</v>
      </c>
      <c r="D204" t="str">
        <f>VLOOKUP(C204,items_full!$A$2:$A$194,1,0)</f>
        <v>Oilcrops Oil, Other</v>
      </c>
    </row>
    <row r="205" spans="1:4" x14ac:dyDescent="0.3">
      <c r="A205">
        <v>307</v>
      </c>
      <c r="B205" t="s">
        <v>1139</v>
      </c>
      <c r="C205" t="s">
        <v>1102</v>
      </c>
      <c r="D205" t="str">
        <f>VLOOKUP(C205,items_full!$A$2:$A$194,1,0)</f>
        <v>Oilcrops Oil, Other</v>
      </c>
    </row>
    <row r="206" spans="1:4" x14ac:dyDescent="0.3">
      <c r="A206">
        <v>310</v>
      </c>
      <c r="B206" t="s">
        <v>1140</v>
      </c>
      <c r="C206" t="s">
        <v>1100</v>
      </c>
      <c r="D206" t="str">
        <f>VLOOKUP(C206,items_full!$A$2:$A$194,1,0)</f>
        <v>Oilcrops, Other</v>
      </c>
    </row>
    <row r="207" spans="1:4" x14ac:dyDescent="0.3">
      <c r="A207">
        <v>311</v>
      </c>
      <c r="B207" t="s">
        <v>1141</v>
      </c>
      <c r="C207" t="s">
        <v>1100</v>
      </c>
      <c r="D207" t="str">
        <f>VLOOKUP(C207,items_full!$A$2:$A$194,1,0)</f>
        <v>Oilcrops, Other</v>
      </c>
    </row>
    <row r="208" spans="1:4" x14ac:dyDescent="0.3">
      <c r="A208">
        <v>312</v>
      </c>
      <c r="B208" t="s">
        <v>1142</v>
      </c>
      <c r="C208" t="s">
        <v>1100</v>
      </c>
      <c r="D208" t="str">
        <f>VLOOKUP(C208,items_full!$A$2:$A$194,1,0)</f>
        <v>Oilcrops, Other</v>
      </c>
    </row>
    <row r="209" spans="1:4" x14ac:dyDescent="0.3">
      <c r="A209">
        <v>313</v>
      </c>
      <c r="B209" t="s">
        <v>1143</v>
      </c>
      <c r="C209" t="s">
        <v>1102</v>
      </c>
      <c r="D209" t="str">
        <f>VLOOKUP(C209,items_full!$A$2:$A$194,1,0)</f>
        <v>Oilcrops Oil, Other</v>
      </c>
    </row>
    <row r="210" spans="1:4" x14ac:dyDescent="0.3">
      <c r="A210">
        <v>314</v>
      </c>
      <c r="B210" t="s">
        <v>1144</v>
      </c>
      <c r="C210" t="s">
        <v>937</v>
      </c>
      <c r="D210" t="str">
        <f>VLOOKUP(C210,items_full!$A$2:$A$194,1,0)</f>
        <v>Oilseed Cakes, Other</v>
      </c>
    </row>
    <row r="211" spans="1:4" x14ac:dyDescent="0.3">
      <c r="A211">
        <v>329</v>
      </c>
      <c r="B211" t="s">
        <v>1145</v>
      </c>
      <c r="C211" t="s">
        <v>1145</v>
      </c>
      <c r="D211" t="str">
        <f>VLOOKUP(C211,items_full!$A$2:$A$194,1,0)</f>
        <v>Cottonseed</v>
      </c>
    </row>
    <row r="212" spans="1:4" x14ac:dyDescent="0.3">
      <c r="A212">
        <v>331</v>
      </c>
      <c r="B212" t="s">
        <v>1146</v>
      </c>
      <c r="C212" t="s">
        <v>1147</v>
      </c>
      <c r="D212" t="str">
        <f>VLOOKUP(C212,items_full!$A$2:$A$194,1,0)</f>
        <v>Cottonseed Oil</v>
      </c>
    </row>
    <row r="213" spans="1:4" x14ac:dyDescent="0.3">
      <c r="A213">
        <v>332</v>
      </c>
      <c r="B213" t="s">
        <v>1148</v>
      </c>
      <c r="C213" t="s">
        <v>1149</v>
      </c>
      <c r="D213" t="str">
        <f>VLOOKUP(C213,items_full!$A$2:$A$194,1,0)</f>
        <v>Cottonseed Cake</v>
      </c>
    </row>
    <row r="214" spans="1:4" x14ac:dyDescent="0.3">
      <c r="A214">
        <v>333</v>
      </c>
      <c r="B214" t="s">
        <v>1150</v>
      </c>
      <c r="C214" t="s">
        <v>1100</v>
      </c>
      <c r="D214" t="str">
        <f>VLOOKUP(C214,items_full!$A$2:$A$194,1,0)</f>
        <v>Oilcrops, Other</v>
      </c>
    </row>
    <row r="215" spans="1:4" x14ac:dyDescent="0.3">
      <c r="A215">
        <v>334</v>
      </c>
      <c r="B215" t="s">
        <v>1151</v>
      </c>
      <c r="C215" t="s">
        <v>1102</v>
      </c>
      <c r="D215" t="str">
        <f>VLOOKUP(C215,items_full!$A$2:$A$194,1,0)</f>
        <v>Oilcrops Oil, Other</v>
      </c>
    </row>
    <row r="216" spans="1:4" x14ac:dyDescent="0.3">
      <c r="A216">
        <v>335</v>
      </c>
      <c r="B216" t="s">
        <v>1152</v>
      </c>
      <c r="C216" t="s">
        <v>937</v>
      </c>
      <c r="D216" t="str">
        <f>VLOOKUP(C216,items_full!$A$2:$A$194,1,0)</f>
        <v>Oilseed Cakes, Other</v>
      </c>
    </row>
    <row r="217" spans="1:4" x14ac:dyDescent="0.3">
      <c r="A217">
        <v>336</v>
      </c>
      <c r="B217" t="s">
        <v>1153</v>
      </c>
      <c r="C217" t="s">
        <v>1100</v>
      </c>
      <c r="D217" t="str">
        <f>VLOOKUP(C217,items_full!$A$2:$A$194,1,0)</f>
        <v>Oilcrops, Other</v>
      </c>
    </row>
    <row r="218" spans="1:4" x14ac:dyDescent="0.3">
      <c r="A218">
        <v>337</v>
      </c>
      <c r="B218" t="s">
        <v>1154</v>
      </c>
      <c r="C218" t="s">
        <v>1102</v>
      </c>
      <c r="D218" t="str">
        <f>VLOOKUP(C218,items_full!$A$2:$A$194,1,0)</f>
        <v>Oilcrops Oil, Other</v>
      </c>
    </row>
    <row r="219" spans="1:4" x14ac:dyDescent="0.3">
      <c r="A219">
        <v>338</v>
      </c>
      <c r="B219" t="s">
        <v>1155</v>
      </c>
      <c r="C219" t="s">
        <v>937</v>
      </c>
      <c r="D219" t="str">
        <f>VLOOKUP(C219,items_full!$A$2:$A$194,1,0)</f>
        <v>Oilseed Cakes, Other</v>
      </c>
    </row>
    <row r="220" spans="1:4" x14ac:dyDescent="0.3">
      <c r="A220">
        <v>339</v>
      </c>
      <c r="B220" t="s">
        <v>1156</v>
      </c>
      <c r="C220" t="s">
        <v>1100</v>
      </c>
      <c r="D220" t="str">
        <f>VLOOKUP(C220,items_full!$A$2:$A$194,1,0)</f>
        <v>Oilcrops, Other</v>
      </c>
    </row>
    <row r="221" spans="1:4" x14ac:dyDescent="0.3">
      <c r="A221">
        <v>340</v>
      </c>
      <c r="B221" t="s">
        <v>1157</v>
      </c>
      <c r="C221" t="s">
        <v>1102</v>
      </c>
      <c r="D221" t="str">
        <f>VLOOKUP(C221,items_full!$A$2:$A$194,1,0)</f>
        <v>Oilcrops Oil, Other</v>
      </c>
    </row>
    <row r="222" spans="1:4" x14ac:dyDescent="0.3">
      <c r="A222">
        <v>341</v>
      </c>
      <c r="B222" t="s">
        <v>1158</v>
      </c>
      <c r="C222" t="s">
        <v>937</v>
      </c>
      <c r="D222" t="str">
        <f>VLOOKUP(C222,items_full!$A$2:$A$194,1,0)</f>
        <v>Oilseed Cakes, Other</v>
      </c>
    </row>
    <row r="223" spans="1:4" x14ac:dyDescent="0.3">
      <c r="A223">
        <v>343</v>
      </c>
      <c r="B223" t="s">
        <v>1159</v>
      </c>
      <c r="C223" t="s">
        <v>1100</v>
      </c>
      <c r="D223" t="str">
        <f>VLOOKUP(C223,items_full!$A$2:$A$194,1,0)</f>
        <v>Oilcrops, Other</v>
      </c>
    </row>
    <row r="224" spans="1:4" x14ac:dyDescent="0.3">
      <c r="A224">
        <v>358</v>
      </c>
      <c r="B224" t="s">
        <v>1160</v>
      </c>
      <c r="C224" t="s">
        <v>1161</v>
      </c>
      <c r="D224" t="str">
        <f>VLOOKUP(C224,items_full!$A$2:$A$194,1,0)</f>
        <v>Vegetables, Other</v>
      </c>
    </row>
    <row r="225" spans="1:4" x14ac:dyDescent="0.3">
      <c r="A225">
        <v>366</v>
      </c>
      <c r="B225" t="s">
        <v>1162</v>
      </c>
      <c r="C225" t="s">
        <v>1161</v>
      </c>
      <c r="D225" t="str">
        <f>VLOOKUP(C225,items_full!$A$2:$A$194,1,0)</f>
        <v>Vegetables, Other</v>
      </c>
    </row>
    <row r="226" spans="1:4" x14ac:dyDescent="0.3">
      <c r="A226">
        <v>367</v>
      </c>
      <c r="B226" t="s">
        <v>1163</v>
      </c>
      <c r="C226" t="s">
        <v>1161</v>
      </c>
      <c r="D226" t="str">
        <f>VLOOKUP(C226,items_full!$A$2:$A$194,1,0)</f>
        <v>Vegetables, Other</v>
      </c>
    </row>
    <row r="227" spans="1:4" x14ac:dyDescent="0.3">
      <c r="A227">
        <v>372</v>
      </c>
      <c r="B227" t="s">
        <v>1164</v>
      </c>
      <c r="C227" t="s">
        <v>1161</v>
      </c>
      <c r="D227" t="str">
        <f>VLOOKUP(C227,items_full!$A$2:$A$194,1,0)</f>
        <v>Vegetables, Other</v>
      </c>
    </row>
    <row r="228" spans="1:4" x14ac:dyDescent="0.3">
      <c r="A228">
        <v>373</v>
      </c>
      <c r="B228" t="s">
        <v>1165</v>
      </c>
      <c r="C228" t="s">
        <v>1161</v>
      </c>
      <c r="D228" t="str">
        <f>VLOOKUP(C228,items_full!$A$2:$A$194,1,0)</f>
        <v>Vegetables, Other</v>
      </c>
    </row>
    <row r="229" spans="1:4" x14ac:dyDescent="0.3">
      <c r="A229">
        <v>378</v>
      </c>
      <c r="B229" t="s">
        <v>1166</v>
      </c>
      <c r="C229" t="s">
        <v>1161</v>
      </c>
      <c r="D229" t="str">
        <f>VLOOKUP(C229,items_full!$A$2:$A$194,1,0)</f>
        <v>Vegetables, Other</v>
      </c>
    </row>
    <row r="230" spans="1:4" x14ac:dyDescent="0.3">
      <c r="A230">
        <v>388</v>
      </c>
      <c r="B230" t="s">
        <v>1167</v>
      </c>
      <c r="C230" t="s">
        <v>1168</v>
      </c>
      <c r="D230" t="str">
        <f>VLOOKUP(C230,items_full!$A$2:$A$194,1,0)</f>
        <v>Tomatoes and products</v>
      </c>
    </row>
    <row r="231" spans="1:4" x14ac:dyDescent="0.3">
      <c r="A231">
        <v>389</v>
      </c>
      <c r="B231" t="s">
        <v>1169</v>
      </c>
      <c r="C231" t="s">
        <v>1168</v>
      </c>
      <c r="D231" t="str">
        <f>VLOOKUP(C231,items_full!$A$2:$A$194,1,0)</f>
        <v>Tomatoes and products</v>
      </c>
    </row>
    <row r="232" spans="1:4" x14ac:dyDescent="0.3">
      <c r="A232">
        <v>390</v>
      </c>
      <c r="B232" t="s">
        <v>1170</v>
      </c>
      <c r="C232" t="s">
        <v>1168</v>
      </c>
      <c r="D232" t="str">
        <f>VLOOKUP(C232,items_full!$A$2:$A$194,1,0)</f>
        <v>Tomatoes and products</v>
      </c>
    </row>
    <row r="233" spans="1:4" x14ac:dyDescent="0.3">
      <c r="A233">
        <v>391</v>
      </c>
      <c r="B233" t="s">
        <v>1171</v>
      </c>
      <c r="C233" t="s">
        <v>1168</v>
      </c>
      <c r="D233" t="str">
        <f>VLOOKUP(C233,items_full!$A$2:$A$194,1,0)</f>
        <v>Tomatoes and products</v>
      </c>
    </row>
    <row r="234" spans="1:4" x14ac:dyDescent="0.3">
      <c r="A234">
        <v>392</v>
      </c>
      <c r="B234" t="s">
        <v>1172</v>
      </c>
      <c r="C234" t="s">
        <v>1168</v>
      </c>
      <c r="D234" t="str">
        <f>VLOOKUP(C234,items_full!$A$2:$A$194,1,0)</f>
        <v>Tomatoes and products</v>
      </c>
    </row>
    <row r="235" spans="1:4" x14ac:dyDescent="0.3">
      <c r="A235">
        <v>393</v>
      </c>
      <c r="B235" t="s">
        <v>1173</v>
      </c>
      <c r="C235" t="s">
        <v>1161</v>
      </c>
      <c r="D235" t="str">
        <f>VLOOKUP(C235,items_full!$A$2:$A$194,1,0)</f>
        <v>Vegetables, Other</v>
      </c>
    </row>
    <row r="236" spans="1:4" x14ac:dyDescent="0.3">
      <c r="A236">
        <v>394</v>
      </c>
      <c r="B236" t="s">
        <v>1174</v>
      </c>
      <c r="C236" t="s">
        <v>1161</v>
      </c>
      <c r="D236" t="str">
        <f>VLOOKUP(C236,items_full!$A$2:$A$194,1,0)</f>
        <v>Vegetables, Other</v>
      </c>
    </row>
    <row r="237" spans="1:4" x14ac:dyDescent="0.3">
      <c r="A237">
        <v>397</v>
      </c>
      <c r="B237" t="s">
        <v>1175</v>
      </c>
      <c r="C237" t="s">
        <v>1161</v>
      </c>
      <c r="D237" t="str">
        <f>VLOOKUP(C237,items_full!$A$2:$A$194,1,0)</f>
        <v>Vegetables, Other</v>
      </c>
    </row>
    <row r="238" spans="1:4" x14ac:dyDescent="0.3">
      <c r="A238">
        <v>399</v>
      </c>
      <c r="B238" t="s">
        <v>1176</v>
      </c>
      <c r="C238" t="s">
        <v>1161</v>
      </c>
      <c r="D238" t="str">
        <f>VLOOKUP(C238,items_full!$A$2:$A$194,1,0)</f>
        <v>Vegetables, Other</v>
      </c>
    </row>
    <row r="239" spans="1:4" x14ac:dyDescent="0.3">
      <c r="A239">
        <v>401</v>
      </c>
      <c r="B239" t="s">
        <v>1177</v>
      </c>
      <c r="C239" t="s">
        <v>1161</v>
      </c>
      <c r="D239" t="str">
        <f>VLOOKUP(C239,items_full!$A$2:$A$194,1,0)</f>
        <v>Vegetables, Other</v>
      </c>
    </row>
    <row r="240" spans="1:4" x14ac:dyDescent="0.3">
      <c r="A240">
        <v>402</v>
      </c>
      <c r="B240" t="s">
        <v>1178</v>
      </c>
      <c r="C240" t="s">
        <v>1161</v>
      </c>
      <c r="D240" t="str">
        <f>VLOOKUP(C240,items_full!$A$2:$A$194,1,0)</f>
        <v>Vegetables, Other</v>
      </c>
    </row>
    <row r="241" spans="1:4" x14ac:dyDescent="0.3">
      <c r="A241">
        <v>403</v>
      </c>
      <c r="B241" t="s">
        <v>1179</v>
      </c>
      <c r="C241" t="s">
        <v>1180</v>
      </c>
      <c r="D241" t="e">
        <f>VLOOKUP(C241,items_full!$A$2:$A$194,1,0)</f>
        <v>#N/A</v>
      </c>
    </row>
    <row r="242" spans="1:4" x14ac:dyDescent="0.3">
      <c r="A242">
        <v>406</v>
      </c>
      <c r="B242" t="s">
        <v>1181</v>
      </c>
      <c r="C242" t="s">
        <v>1161</v>
      </c>
      <c r="D242" t="str">
        <f>VLOOKUP(C242,items_full!$A$2:$A$194,1,0)</f>
        <v>Vegetables, Other</v>
      </c>
    </row>
    <row r="243" spans="1:4" x14ac:dyDescent="0.3">
      <c r="A243">
        <v>407</v>
      </c>
      <c r="B243" t="s">
        <v>1182</v>
      </c>
      <c r="C243" t="s">
        <v>1161</v>
      </c>
      <c r="D243" t="str">
        <f>VLOOKUP(C243,items_full!$A$2:$A$194,1,0)</f>
        <v>Vegetables, Other</v>
      </c>
    </row>
    <row r="244" spans="1:4" x14ac:dyDescent="0.3">
      <c r="A244">
        <v>414</v>
      </c>
      <c r="B244" t="s">
        <v>1183</v>
      </c>
      <c r="C244" t="s">
        <v>1161</v>
      </c>
      <c r="D244" t="str">
        <f>VLOOKUP(C244,items_full!$A$2:$A$194,1,0)</f>
        <v>Vegetables, Other</v>
      </c>
    </row>
    <row r="245" spans="1:4" x14ac:dyDescent="0.3">
      <c r="A245">
        <v>417</v>
      </c>
      <c r="B245" t="s">
        <v>1184</v>
      </c>
      <c r="C245" t="s">
        <v>1161</v>
      </c>
      <c r="D245" t="str">
        <f>VLOOKUP(C245,items_full!$A$2:$A$194,1,0)</f>
        <v>Vegetables, Other</v>
      </c>
    </row>
    <row r="246" spans="1:4" x14ac:dyDescent="0.3">
      <c r="A246">
        <v>420</v>
      </c>
      <c r="B246" t="s">
        <v>1185</v>
      </c>
      <c r="C246" t="s">
        <v>1161</v>
      </c>
      <c r="D246" t="str">
        <f>VLOOKUP(C246,items_full!$A$2:$A$194,1,0)</f>
        <v>Vegetables, Other</v>
      </c>
    </row>
    <row r="247" spans="1:4" x14ac:dyDescent="0.3">
      <c r="A247">
        <v>423</v>
      </c>
      <c r="B247" t="s">
        <v>1186</v>
      </c>
      <c r="C247" t="s">
        <v>1161</v>
      </c>
      <c r="D247" t="str">
        <f>VLOOKUP(C247,items_full!$A$2:$A$194,1,0)</f>
        <v>Vegetables, Other</v>
      </c>
    </row>
    <row r="248" spans="1:4" x14ac:dyDescent="0.3">
      <c r="A248">
        <v>426</v>
      </c>
      <c r="B248" t="s">
        <v>1187</v>
      </c>
      <c r="C248" t="s">
        <v>1161</v>
      </c>
      <c r="D248" t="str">
        <f>VLOOKUP(C248,items_full!$A$2:$A$194,1,0)</f>
        <v>Vegetables, Other</v>
      </c>
    </row>
    <row r="249" spans="1:4" x14ac:dyDescent="0.3">
      <c r="A249">
        <v>430</v>
      </c>
      <c r="B249" t="s">
        <v>1188</v>
      </c>
      <c r="C249" t="s">
        <v>1161</v>
      </c>
      <c r="D249" t="str">
        <f>VLOOKUP(C249,items_full!$A$2:$A$194,1,0)</f>
        <v>Vegetables, Other</v>
      </c>
    </row>
    <row r="250" spans="1:4" x14ac:dyDescent="0.3">
      <c r="A250">
        <v>446</v>
      </c>
      <c r="B250" t="s">
        <v>1189</v>
      </c>
      <c r="C250" t="s">
        <v>1190</v>
      </c>
      <c r="D250" t="str">
        <f>VLOOKUP(C250,items_full!$A$2:$A$194,1,0)</f>
        <v>Fodder cereal and grasses</v>
      </c>
    </row>
    <row r="251" spans="1:4" x14ac:dyDescent="0.3">
      <c r="A251">
        <v>447</v>
      </c>
      <c r="B251" t="s">
        <v>1191</v>
      </c>
      <c r="C251" t="s">
        <v>1161</v>
      </c>
      <c r="D251" t="str">
        <f>VLOOKUP(C251,items_full!$A$2:$A$194,1,0)</f>
        <v>Vegetables, Other</v>
      </c>
    </row>
    <row r="252" spans="1:4" x14ac:dyDescent="0.3">
      <c r="A252">
        <v>448</v>
      </c>
      <c r="B252" t="s">
        <v>1192</v>
      </c>
      <c r="C252" t="s">
        <v>1161</v>
      </c>
      <c r="D252" t="str">
        <f>VLOOKUP(C252,items_full!$A$2:$A$194,1,0)</f>
        <v>Vegetables, Other</v>
      </c>
    </row>
    <row r="253" spans="1:4" x14ac:dyDescent="0.3">
      <c r="A253">
        <v>449</v>
      </c>
      <c r="B253" t="s">
        <v>1193</v>
      </c>
      <c r="C253" t="s">
        <v>1161</v>
      </c>
      <c r="D253" t="str">
        <f>VLOOKUP(C253,items_full!$A$2:$A$194,1,0)</f>
        <v>Vegetables, Other</v>
      </c>
    </row>
    <row r="254" spans="1:4" x14ac:dyDescent="0.3">
      <c r="A254">
        <v>450</v>
      </c>
      <c r="B254" t="s">
        <v>1194</v>
      </c>
      <c r="C254" t="s">
        <v>1161</v>
      </c>
      <c r="D254" t="str">
        <f>VLOOKUP(C254,items_full!$A$2:$A$194,1,0)</f>
        <v>Vegetables, Other</v>
      </c>
    </row>
    <row r="255" spans="1:4" x14ac:dyDescent="0.3">
      <c r="A255">
        <v>451</v>
      </c>
      <c r="B255" t="s">
        <v>1195</v>
      </c>
      <c r="C255" t="s">
        <v>1161</v>
      </c>
      <c r="D255" t="str">
        <f>VLOOKUP(C255,items_full!$A$2:$A$194,1,0)</f>
        <v>Vegetables, Other</v>
      </c>
    </row>
    <row r="256" spans="1:4" x14ac:dyDescent="0.3">
      <c r="A256">
        <v>459</v>
      </c>
      <c r="B256" t="s">
        <v>1196</v>
      </c>
      <c r="C256" t="s">
        <v>1161</v>
      </c>
      <c r="D256" t="str">
        <f>VLOOKUP(C256,items_full!$A$2:$A$194,1,0)</f>
        <v>Vegetables, Other</v>
      </c>
    </row>
    <row r="257" spans="1:4" x14ac:dyDescent="0.3">
      <c r="A257">
        <v>460</v>
      </c>
      <c r="B257" t="s">
        <v>1197</v>
      </c>
      <c r="C257" t="s">
        <v>1161</v>
      </c>
      <c r="D257" t="str">
        <f>VLOOKUP(C257,items_full!$A$2:$A$194,1,0)</f>
        <v>Vegetables, Other</v>
      </c>
    </row>
    <row r="258" spans="1:4" x14ac:dyDescent="0.3">
      <c r="A258">
        <v>461</v>
      </c>
      <c r="B258" t="s">
        <v>1198</v>
      </c>
      <c r="C258" t="s">
        <v>1161</v>
      </c>
      <c r="D258" t="str">
        <f>VLOOKUP(C258,items_full!$A$2:$A$194,1,0)</f>
        <v>Vegetables, Other</v>
      </c>
    </row>
    <row r="259" spans="1:4" x14ac:dyDescent="0.3">
      <c r="A259">
        <v>463</v>
      </c>
      <c r="B259" t="s">
        <v>1199</v>
      </c>
      <c r="C259" t="s">
        <v>1161</v>
      </c>
      <c r="D259" t="str">
        <f>VLOOKUP(C259,items_full!$A$2:$A$194,1,0)</f>
        <v>Vegetables, Other</v>
      </c>
    </row>
    <row r="260" spans="1:4" x14ac:dyDescent="0.3">
      <c r="A260">
        <v>464</v>
      </c>
      <c r="B260" t="s">
        <v>1200</v>
      </c>
      <c r="C260" t="s">
        <v>1161</v>
      </c>
      <c r="D260" t="str">
        <f>VLOOKUP(C260,items_full!$A$2:$A$194,1,0)</f>
        <v>Vegetables, Other</v>
      </c>
    </row>
    <row r="261" spans="1:4" x14ac:dyDescent="0.3">
      <c r="A261">
        <v>465</v>
      </c>
      <c r="B261" t="s">
        <v>1201</v>
      </c>
      <c r="C261" t="s">
        <v>1161</v>
      </c>
      <c r="D261" t="str">
        <f>VLOOKUP(C261,items_full!$A$2:$A$194,1,0)</f>
        <v>Vegetables, Other</v>
      </c>
    </row>
    <row r="262" spans="1:4" x14ac:dyDescent="0.3">
      <c r="A262">
        <v>466</v>
      </c>
      <c r="B262" t="s">
        <v>1202</v>
      </c>
      <c r="C262" t="s">
        <v>1161</v>
      </c>
      <c r="D262" t="str">
        <f>VLOOKUP(C262,items_full!$A$2:$A$194,1,0)</f>
        <v>Vegetables, Other</v>
      </c>
    </row>
    <row r="263" spans="1:4" x14ac:dyDescent="0.3">
      <c r="A263">
        <v>469</v>
      </c>
      <c r="B263" t="s">
        <v>1203</v>
      </c>
      <c r="C263" t="s">
        <v>1161</v>
      </c>
      <c r="D263" t="str">
        <f>VLOOKUP(C263,items_full!$A$2:$A$194,1,0)</f>
        <v>Vegetables, Other</v>
      </c>
    </row>
    <row r="264" spans="1:4" x14ac:dyDescent="0.3">
      <c r="A264">
        <v>471</v>
      </c>
      <c r="B264" t="s">
        <v>1204</v>
      </c>
      <c r="C264" t="s">
        <v>1161</v>
      </c>
      <c r="D264" t="str">
        <f>VLOOKUP(C264,items_full!$A$2:$A$194,1,0)</f>
        <v>Vegetables, Other</v>
      </c>
    </row>
    <row r="265" spans="1:4" x14ac:dyDescent="0.3">
      <c r="A265">
        <v>472</v>
      </c>
      <c r="B265" t="s">
        <v>1205</v>
      </c>
      <c r="C265" t="s">
        <v>1161</v>
      </c>
      <c r="D265" t="str">
        <f>VLOOKUP(C265,items_full!$A$2:$A$194,1,0)</f>
        <v>Vegetables, Other</v>
      </c>
    </row>
    <row r="266" spans="1:4" x14ac:dyDescent="0.3">
      <c r="A266">
        <v>473</v>
      </c>
      <c r="B266" t="s">
        <v>1206</v>
      </c>
      <c r="C266" t="s">
        <v>1161</v>
      </c>
      <c r="D266" t="str">
        <f>VLOOKUP(C266,items_full!$A$2:$A$194,1,0)</f>
        <v>Vegetables, Other</v>
      </c>
    </row>
    <row r="267" spans="1:4" x14ac:dyDescent="0.3">
      <c r="A267">
        <v>474</v>
      </c>
      <c r="B267" t="s">
        <v>1207</v>
      </c>
      <c r="C267" t="s">
        <v>1161</v>
      </c>
      <c r="D267" t="str">
        <f>VLOOKUP(C267,items_full!$A$2:$A$194,1,0)</f>
        <v>Vegetables, Other</v>
      </c>
    </row>
    <row r="268" spans="1:4" x14ac:dyDescent="0.3">
      <c r="A268">
        <v>475</v>
      </c>
      <c r="B268" t="s">
        <v>1208</v>
      </c>
      <c r="C268" t="s">
        <v>1161</v>
      </c>
      <c r="D268" t="str">
        <f>VLOOKUP(C268,items_full!$A$2:$A$194,1,0)</f>
        <v>Vegetables, Other</v>
      </c>
    </row>
    <row r="269" spans="1:4" x14ac:dyDescent="0.3">
      <c r="A269">
        <v>476</v>
      </c>
      <c r="B269" t="s">
        <v>1209</v>
      </c>
      <c r="C269" t="s">
        <v>1161</v>
      </c>
      <c r="D269" t="str">
        <f>VLOOKUP(C269,items_full!$A$2:$A$194,1,0)</f>
        <v>Vegetables, Other</v>
      </c>
    </row>
    <row r="270" spans="1:4" x14ac:dyDescent="0.3">
      <c r="A270">
        <v>486</v>
      </c>
      <c r="B270" t="s">
        <v>1210</v>
      </c>
      <c r="C270" t="s">
        <v>1210</v>
      </c>
      <c r="D270" t="str">
        <f>VLOOKUP(C270,items_full!$A$2:$A$194,1,0)</f>
        <v>Bananas</v>
      </c>
    </row>
    <row r="271" spans="1:4" x14ac:dyDescent="0.3">
      <c r="A271">
        <v>489</v>
      </c>
      <c r="B271" t="s">
        <v>1211</v>
      </c>
      <c r="C271" t="s">
        <v>1212</v>
      </c>
      <c r="D271" t="str">
        <f>VLOOKUP(C271,items_full!$A$2:$A$194,1,0)</f>
        <v>Plantains</v>
      </c>
    </row>
    <row r="272" spans="1:4" x14ac:dyDescent="0.3">
      <c r="A272">
        <v>490</v>
      </c>
      <c r="B272" t="s">
        <v>1213</v>
      </c>
      <c r="C272" t="s">
        <v>1214</v>
      </c>
      <c r="D272" t="str">
        <f>VLOOKUP(C272,items_full!$A$2:$A$194,1,0)</f>
        <v>Oranges, Mandarines</v>
      </c>
    </row>
    <row r="273" spans="1:4" x14ac:dyDescent="0.3">
      <c r="A273">
        <v>491</v>
      </c>
      <c r="B273" t="s">
        <v>1215</v>
      </c>
      <c r="C273" t="s">
        <v>1214</v>
      </c>
      <c r="D273" t="str">
        <f>VLOOKUP(C273,items_full!$A$2:$A$194,1,0)</f>
        <v>Oranges, Mandarines</v>
      </c>
    </row>
    <row r="274" spans="1:4" x14ac:dyDescent="0.3">
      <c r="A274">
        <v>492</v>
      </c>
      <c r="B274" t="s">
        <v>1216</v>
      </c>
      <c r="C274" t="s">
        <v>1214</v>
      </c>
      <c r="D274" t="str">
        <f>VLOOKUP(C274,items_full!$A$2:$A$194,1,0)</f>
        <v>Oranges, Mandarines</v>
      </c>
    </row>
    <row r="275" spans="1:4" x14ac:dyDescent="0.3">
      <c r="A275">
        <v>495</v>
      </c>
      <c r="B275" t="s">
        <v>1217</v>
      </c>
      <c r="C275" t="s">
        <v>1214</v>
      </c>
      <c r="D275" t="str">
        <f>VLOOKUP(C275,items_full!$A$2:$A$194,1,0)</f>
        <v>Oranges, Mandarines</v>
      </c>
    </row>
    <row r="276" spans="1:4" x14ac:dyDescent="0.3">
      <c r="A276">
        <v>496</v>
      </c>
      <c r="B276" t="s">
        <v>1218</v>
      </c>
      <c r="C276" t="s">
        <v>1214</v>
      </c>
      <c r="D276" t="str">
        <f>VLOOKUP(C276,items_full!$A$2:$A$194,1,0)</f>
        <v>Oranges, Mandarines</v>
      </c>
    </row>
    <row r="277" spans="1:4" x14ac:dyDescent="0.3">
      <c r="A277">
        <v>497</v>
      </c>
      <c r="B277" t="s">
        <v>1219</v>
      </c>
      <c r="C277" t="s">
        <v>1220</v>
      </c>
      <c r="D277" t="str">
        <f>VLOOKUP(C277,items_full!$A$2:$A$194,1,0)</f>
        <v>Lemons, Limes and products</v>
      </c>
    </row>
    <row r="278" spans="1:4" x14ac:dyDescent="0.3">
      <c r="A278">
        <v>498</v>
      </c>
      <c r="B278" t="s">
        <v>1221</v>
      </c>
      <c r="C278" t="s">
        <v>1220</v>
      </c>
      <c r="D278" t="str">
        <f>VLOOKUP(C278,items_full!$A$2:$A$194,1,0)</f>
        <v>Lemons, Limes and products</v>
      </c>
    </row>
    <row r="279" spans="1:4" x14ac:dyDescent="0.3">
      <c r="A279">
        <v>499</v>
      </c>
      <c r="B279" t="s">
        <v>1222</v>
      </c>
      <c r="C279" t="s">
        <v>1220</v>
      </c>
      <c r="D279" t="str">
        <f>VLOOKUP(C279,items_full!$A$2:$A$194,1,0)</f>
        <v>Lemons, Limes and products</v>
      </c>
    </row>
    <row r="280" spans="1:4" x14ac:dyDescent="0.3">
      <c r="A280">
        <v>507</v>
      </c>
      <c r="B280" t="s">
        <v>1223</v>
      </c>
      <c r="C280" t="s">
        <v>1224</v>
      </c>
      <c r="D280" t="str">
        <f>VLOOKUP(C280,items_full!$A$2:$A$194,1,0)</f>
        <v>Grapefruit and products</v>
      </c>
    </row>
    <row r="281" spans="1:4" x14ac:dyDescent="0.3">
      <c r="A281">
        <v>509</v>
      </c>
      <c r="B281" t="s">
        <v>1225</v>
      </c>
      <c r="C281" t="s">
        <v>1224</v>
      </c>
      <c r="D281" t="str">
        <f>VLOOKUP(C281,items_full!$A$2:$A$194,1,0)</f>
        <v>Grapefruit and products</v>
      </c>
    </row>
    <row r="282" spans="1:4" x14ac:dyDescent="0.3">
      <c r="A282">
        <v>510</v>
      </c>
      <c r="B282" t="s">
        <v>1226</v>
      </c>
      <c r="C282" t="s">
        <v>1224</v>
      </c>
      <c r="D282" t="str">
        <f>VLOOKUP(C282,items_full!$A$2:$A$194,1,0)</f>
        <v>Grapefruit and products</v>
      </c>
    </row>
    <row r="283" spans="1:4" x14ac:dyDescent="0.3">
      <c r="A283">
        <v>512</v>
      </c>
      <c r="B283" t="s">
        <v>1227</v>
      </c>
      <c r="C283" t="s">
        <v>1228</v>
      </c>
      <c r="D283" t="str">
        <f>VLOOKUP(C283,items_full!$A$2:$A$194,1,0)</f>
        <v>Citrus, Other</v>
      </c>
    </row>
    <row r="284" spans="1:4" x14ac:dyDescent="0.3">
      <c r="A284">
        <v>513</v>
      </c>
      <c r="B284" t="s">
        <v>1229</v>
      </c>
      <c r="C284" t="s">
        <v>1228</v>
      </c>
      <c r="D284" t="str">
        <f>VLOOKUP(C284,items_full!$A$2:$A$194,1,0)</f>
        <v>Citrus, Other</v>
      </c>
    </row>
    <row r="285" spans="1:4" x14ac:dyDescent="0.3">
      <c r="A285">
        <v>514</v>
      </c>
      <c r="B285" t="s">
        <v>1230</v>
      </c>
      <c r="C285" t="s">
        <v>1228</v>
      </c>
      <c r="D285" t="str">
        <f>VLOOKUP(C285,items_full!$A$2:$A$194,1,0)</f>
        <v>Citrus, Other</v>
      </c>
    </row>
    <row r="286" spans="1:4" x14ac:dyDescent="0.3">
      <c r="A286">
        <v>515</v>
      </c>
      <c r="B286" t="s">
        <v>1231</v>
      </c>
      <c r="C286" t="s">
        <v>1232</v>
      </c>
      <c r="D286" t="str">
        <f>VLOOKUP(C286,items_full!$A$2:$A$194,1,0)</f>
        <v>Apples and products</v>
      </c>
    </row>
    <row r="287" spans="1:4" x14ac:dyDescent="0.3">
      <c r="A287">
        <v>517</v>
      </c>
      <c r="B287" t="s">
        <v>1233</v>
      </c>
      <c r="C287" t="s">
        <v>902</v>
      </c>
      <c r="D287" t="str">
        <f>VLOOKUP(C287,items_full!$A$2:$A$194,1,0)</f>
        <v>Beverages, Fermented</v>
      </c>
    </row>
    <row r="288" spans="1:4" x14ac:dyDescent="0.3">
      <c r="A288">
        <v>518</v>
      </c>
      <c r="B288" t="s">
        <v>1234</v>
      </c>
      <c r="C288" t="s">
        <v>1232</v>
      </c>
      <c r="D288" t="str">
        <f>VLOOKUP(C288,items_full!$A$2:$A$194,1,0)</f>
        <v>Apples and products</v>
      </c>
    </row>
    <row r="289" spans="1:4" x14ac:dyDescent="0.3">
      <c r="A289">
        <v>519</v>
      </c>
      <c r="B289" t="s">
        <v>1235</v>
      </c>
      <c r="C289" t="s">
        <v>1232</v>
      </c>
      <c r="D289" t="str">
        <f>VLOOKUP(C289,items_full!$A$2:$A$194,1,0)</f>
        <v>Apples and products</v>
      </c>
    </row>
    <row r="290" spans="1:4" x14ac:dyDescent="0.3">
      <c r="A290">
        <v>521</v>
      </c>
      <c r="B290" t="s">
        <v>1236</v>
      </c>
      <c r="C290" t="s">
        <v>1237</v>
      </c>
      <c r="D290" t="str">
        <f>VLOOKUP(C290,items_full!$A$2:$A$194,1,0)</f>
        <v>Fruits, Other</v>
      </c>
    </row>
    <row r="291" spans="1:4" x14ac:dyDescent="0.3">
      <c r="A291">
        <v>523</v>
      </c>
      <c r="B291" t="s">
        <v>1238</v>
      </c>
      <c r="C291" t="s">
        <v>1237</v>
      </c>
      <c r="D291" t="str">
        <f>VLOOKUP(C291,items_full!$A$2:$A$194,1,0)</f>
        <v>Fruits, Other</v>
      </c>
    </row>
    <row r="292" spans="1:4" x14ac:dyDescent="0.3">
      <c r="A292">
        <v>526</v>
      </c>
      <c r="B292" t="s">
        <v>1239</v>
      </c>
      <c r="C292" t="s">
        <v>1237</v>
      </c>
      <c r="D292" t="str">
        <f>VLOOKUP(C292,items_full!$A$2:$A$194,1,0)</f>
        <v>Fruits, Other</v>
      </c>
    </row>
    <row r="293" spans="1:4" x14ac:dyDescent="0.3">
      <c r="A293">
        <v>527</v>
      </c>
      <c r="B293" t="s">
        <v>1240</v>
      </c>
      <c r="C293" t="s">
        <v>1237</v>
      </c>
      <c r="D293" t="str">
        <f>VLOOKUP(C293,items_full!$A$2:$A$194,1,0)</f>
        <v>Fruits, Other</v>
      </c>
    </row>
    <row r="294" spans="1:4" x14ac:dyDescent="0.3">
      <c r="A294">
        <v>530</v>
      </c>
      <c r="B294" t="s">
        <v>1241</v>
      </c>
      <c r="C294" t="s">
        <v>1237</v>
      </c>
      <c r="D294" t="str">
        <f>VLOOKUP(C294,items_full!$A$2:$A$194,1,0)</f>
        <v>Fruits, Other</v>
      </c>
    </row>
    <row r="295" spans="1:4" x14ac:dyDescent="0.3">
      <c r="A295">
        <v>531</v>
      </c>
      <c r="B295" t="s">
        <v>1242</v>
      </c>
      <c r="C295" t="s">
        <v>1237</v>
      </c>
      <c r="D295" t="str">
        <f>VLOOKUP(C295,items_full!$A$2:$A$194,1,0)</f>
        <v>Fruits, Other</v>
      </c>
    </row>
    <row r="296" spans="1:4" x14ac:dyDescent="0.3">
      <c r="A296">
        <v>534</v>
      </c>
      <c r="B296" t="s">
        <v>1243</v>
      </c>
      <c r="C296" t="s">
        <v>1237</v>
      </c>
      <c r="D296" t="str">
        <f>VLOOKUP(C296,items_full!$A$2:$A$194,1,0)</f>
        <v>Fruits, Other</v>
      </c>
    </row>
    <row r="297" spans="1:4" x14ac:dyDescent="0.3">
      <c r="A297">
        <v>536</v>
      </c>
      <c r="B297" t="s">
        <v>1244</v>
      </c>
      <c r="C297" t="s">
        <v>1237</v>
      </c>
      <c r="D297" t="str">
        <f>VLOOKUP(C297,items_full!$A$2:$A$194,1,0)</f>
        <v>Fruits, Other</v>
      </c>
    </row>
    <row r="298" spans="1:4" x14ac:dyDescent="0.3">
      <c r="A298">
        <v>537</v>
      </c>
      <c r="B298" t="s">
        <v>1245</v>
      </c>
      <c r="C298" t="s">
        <v>1237</v>
      </c>
      <c r="D298" t="str">
        <f>VLOOKUP(C298,items_full!$A$2:$A$194,1,0)</f>
        <v>Fruits, Other</v>
      </c>
    </row>
    <row r="299" spans="1:4" x14ac:dyDescent="0.3">
      <c r="A299">
        <v>538</v>
      </c>
      <c r="B299" t="s">
        <v>1246</v>
      </c>
      <c r="C299" t="s">
        <v>1237</v>
      </c>
      <c r="D299" t="str">
        <f>VLOOKUP(C299,items_full!$A$2:$A$194,1,0)</f>
        <v>Fruits, Other</v>
      </c>
    </row>
    <row r="300" spans="1:4" x14ac:dyDescent="0.3">
      <c r="A300">
        <v>539</v>
      </c>
      <c r="B300" t="s">
        <v>1247</v>
      </c>
      <c r="C300" t="s">
        <v>1237</v>
      </c>
      <c r="D300" t="str">
        <f>VLOOKUP(C300,items_full!$A$2:$A$194,1,0)</f>
        <v>Fruits, Other</v>
      </c>
    </row>
    <row r="301" spans="1:4" x14ac:dyDescent="0.3">
      <c r="A301">
        <v>541</v>
      </c>
      <c r="B301" t="s">
        <v>1248</v>
      </c>
      <c r="C301" t="s">
        <v>1237</v>
      </c>
      <c r="D301" t="str">
        <f>VLOOKUP(C301,items_full!$A$2:$A$194,1,0)</f>
        <v>Fruits, Other</v>
      </c>
    </row>
    <row r="302" spans="1:4" x14ac:dyDescent="0.3">
      <c r="A302">
        <v>542</v>
      </c>
      <c r="B302" t="s">
        <v>1249</v>
      </c>
      <c r="C302" t="s">
        <v>1237</v>
      </c>
      <c r="D302" t="str">
        <f>VLOOKUP(C302,items_full!$A$2:$A$194,1,0)</f>
        <v>Fruits, Other</v>
      </c>
    </row>
    <row r="303" spans="1:4" x14ac:dyDescent="0.3">
      <c r="A303">
        <v>544</v>
      </c>
      <c r="B303" t="s">
        <v>1250</v>
      </c>
      <c r="C303" t="s">
        <v>1237</v>
      </c>
      <c r="D303" t="str">
        <f>VLOOKUP(C303,items_full!$A$2:$A$194,1,0)</f>
        <v>Fruits, Other</v>
      </c>
    </row>
    <row r="304" spans="1:4" x14ac:dyDescent="0.3">
      <c r="A304">
        <v>547</v>
      </c>
      <c r="B304" t="s">
        <v>1251</v>
      </c>
      <c r="C304" t="s">
        <v>1237</v>
      </c>
      <c r="D304" t="str">
        <f>VLOOKUP(C304,items_full!$A$2:$A$194,1,0)</f>
        <v>Fruits, Other</v>
      </c>
    </row>
    <row r="305" spans="1:4" x14ac:dyDescent="0.3">
      <c r="A305">
        <v>549</v>
      </c>
      <c r="B305" t="s">
        <v>1252</v>
      </c>
      <c r="C305" t="s">
        <v>1237</v>
      </c>
      <c r="D305" t="str">
        <f>VLOOKUP(C305,items_full!$A$2:$A$194,1,0)</f>
        <v>Fruits, Other</v>
      </c>
    </row>
    <row r="306" spans="1:4" x14ac:dyDescent="0.3">
      <c r="A306">
        <v>550</v>
      </c>
      <c r="B306" t="s">
        <v>1253</v>
      </c>
      <c r="C306" t="s">
        <v>1237</v>
      </c>
      <c r="D306" t="str">
        <f>VLOOKUP(C306,items_full!$A$2:$A$194,1,0)</f>
        <v>Fruits, Other</v>
      </c>
    </row>
    <row r="307" spans="1:4" x14ac:dyDescent="0.3">
      <c r="A307">
        <v>552</v>
      </c>
      <c r="B307" t="s">
        <v>1254</v>
      </c>
      <c r="C307" t="s">
        <v>1237</v>
      </c>
      <c r="D307" t="str">
        <f>VLOOKUP(C307,items_full!$A$2:$A$194,1,0)</f>
        <v>Fruits, Other</v>
      </c>
    </row>
    <row r="308" spans="1:4" x14ac:dyDescent="0.3">
      <c r="A308">
        <v>554</v>
      </c>
      <c r="B308" t="s">
        <v>1255</v>
      </c>
      <c r="C308" t="s">
        <v>1237</v>
      </c>
      <c r="D308" t="str">
        <f>VLOOKUP(C308,items_full!$A$2:$A$194,1,0)</f>
        <v>Fruits, Other</v>
      </c>
    </row>
    <row r="309" spans="1:4" x14ac:dyDescent="0.3">
      <c r="A309">
        <v>558</v>
      </c>
      <c r="B309" t="s">
        <v>1256</v>
      </c>
      <c r="C309" t="s">
        <v>1237</v>
      </c>
      <c r="D309" t="str">
        <f>VLOOKUP(C309,items_full!$A$2:$A$194,1,0)</f>
        <v>Fruits, Other</v>
      </c>
    </row>
    <row r="310" spans="1:4" x14ac:dyDescent="0.3">
      <c r="A310">
        <v>560</v>
      </c>
      <c r="B310" t="s">
        <v>1257</v>
      </c>
      <c r="C310" t="s">
        <v>1258</v>
      </c>
      <c r="D310" t="str">
        <f>VLOOKUP(C310,items_full!$A$2:$A$194,1,0)</f>
        <v>Grapes and products (excl wine)</v>
      </c>
    </row>
    <row r="311" spans="1:4" x14ac:dyDescent="0.3">
      <c r="A311">
        <v>561</v>
      </c>
      <c r="B311" t="s">
        <v>1259</v>
      </c>
      <c r="C311" t="s">
        <v>1258</v>
      </c>
      <c r="D311" t="str">
        <f>VLOOKUP(C311,items_full!$A$2:$A$194,1,0)</f>
        <v>Grapes and products (excl wine)</v>
      </c>
    </row>
    <row r="312" spans="1:4" x14ac:dyDescent="0.3">
      <c r="A312">
        <v>562</v>
      </c>
      <c r="B312" t="s">
        <v>1260</v>
      </c>
      <c r="C312" t="s">
        <v>1258</v>
      </c>
      <c r="D312" t="str">
        <f>VLOOKUP(C312,items_full!$A$2:$A$194,1,0)</f>
        <v>Grapes and products (excl wine)</v>
      </c>
    </row>
    <row r="313" spans="1:4" x14ac:dyDescent="0.3">
      <c r="A313">
        <v>563</v>
      </c>
      <c r="B313" t="s">
        <v>1261</v>
      </c>
      <c r="C313" t="s">
        <v>1258</v>
      </c>
      <c r="D313" t="str">
        <f>VLOOKUP(C313,items_full!$A$2:$A$194,1,0)</f>
        <v>Grapes and products (excl wine)</v>
      </c>
    </row>
    <row r="314" spans="1:4" x14ac:dyDescent="0.3">
      <c r="A314">
        <v>564</v>
      </c>
      <c r="B314" t="s">
        <v>1262</v>
      </c>
      <c r="C314" t="s">
        <v>1262</v>
      </c>
      <c r="D314" t="str">
        <f>VLOOKUP(C314,items_full!$A$2:$A$194,1,0)</f>
        <v>Wine</v>
      </c>
    </row>
    <row r="315" spans="1:4" x14ac:dyDescent="0.3">
      <c r="A315">
        <v>565</v>
      </c>
      <c r="B315" t="s">
        <v>1263</v>
      </c>
      <c r="C315" t="s">
        <v>1262</v>
      </c>
      <c r="D315" t="str">
        <f>VLOOKUP(C315,items_full!$A$2:$A$194,1,0)</f>
        <v>Wine</v>
      </c>
    </row>
    <row r="316" spans="1:4" x14ac:dyDescent="0.3">
      <c r="A316">
        <v>567</v>
      </c>
      <c r="B316" t="s">
        <v>1264</v>
      </c>
      <c r="C316" t="s">
        <v>1237</v>
      </c>
      <c r="D316" t="str">
        <f>VLOOKUP(C316,items_full!$A$2:$A$194,1,0)</f>
        <v>Fruits, Other</v>
      </c>
    </row>
    <row r="317" spans="1:4" x14ac:dyDescent="0.3">
      <c r="A317">
        <v>568</v>
      </c>
      <c r="B317" t="s">
        <v>1265</v>
      </c>
      <c r="C317" t="s">
        <v>1237</v>
      </c>
      <c r="D317" t="str">
        <f>VLOOKUP(C317,items_full!$A$2:$A$194,1,0)</f>
        <v>Fruits, Other</v>
      </c>
    </row>
    <row r="318" spans="1:4" x14ac:dyDescent="0.3">
      <c r="A318">
        <v>569</v>
      </c>
      <c r="B318" t="s">
        <v>1266</v>
      </c>
      <c r="C318" t="s">
        <v>1237</v>
      </c>
      <c r="D318" t="str">
        <f>VLOOKUP(C318,items_full!$A$2:$A$194,1,0)</f>
        <v>Fruits, Other</v>
      </c>
    </row>
    <row r="319" spans="1:4" x14ac:dyDescent="0.3">
      <c r="A319">
        <v>570</v>
      </c>
      <c r="B319" t="s">
        <v>1267</v>
      </c>
      <c r="C319" t="s">
        <v>1237</v>
      </c>
      <c r="D319" t="str">
        <f>VLOOKUP(C319,items_full!$A$2:$A$194,1,0)</f>
        <v>Fruits, Other</v>
      </c>
    </row>
    <row r="320" spans="1:4" x14ac:dyDescent="0.3">
      <c r="A320">
        <v>571</v>
      </c>
      <c r="B320" t="s">
        <v>1268</v>
      </c>
      <c r="C320" t="s">
        <v>1237</v>
      </c>
      <c r="D320" t="str">
        <f>VLOOKUP(C320,items_full!$A$2:$A$194,1,0)</f>
        <v>Fruits, Other</v>
      </c>
    </row>
    <row r="321" spans="1:9" x14ac:dyDescent="0.3">
      <c r="A321">
        <v>572</v>
      </c>
      <c r="B321" t="s">
        <v>1269</v>
      </c>
      <c r="C321" t="s">
        <v>1237</v>
      </c>
      <c r="D321" t="str">
        <f>VLOOKUP(C321,items_full!$A$2:$A$194,1,0)</f>
        <v>Fruits, Other</v>
      </c>
    </row>
    <row r="322" spans="1:9" x14ac:dyDescent="0.3">
      <c r="A322">
        <v>574</v>
      </c>
      <c r="B322" t="s">
        <v>1270</v>
      </c>
      <c r="C322" t="s">
        <v>1271</v>
      </c>
      <c r="D322" t="str">
        <f>VLOOKUP(C322,items_full!$A$2:$A$194,1,0)</f>
        <v>Pineapples and products</v>
      </c>
    </row>
    <row r="323" spans="1:9" x14ac:dyDescent="0.3">
      <c r="A323">
        <v>575</v>
      </c>
      <c r="B323" t="s">
        <v>1272</v>
      </c>
      <c r="C323" t="s">
        <v>1271</v>
      </c>
      <c r="D323" t="str">
        <f>VLOOKUP(C323,items_full!$A$2:$A$194,1,0)</f>
        <v>Pineapples and products</v>
      </c>
    </row>
    <row r="324" spans="1:9" x14ac:dyDescent="0.3">
      <c r="A324">
        <v>576</v>
      </c>
      <c r="B324" t="s">
        <v>1273</v>
      </c>
      <c r="C324" t="s">
        <v>1271</v>
      </c>
      <c r="D324" t="str">
        <f>VLOOKUP(C324,items_full!$A$2:$A$194,1,0)</f>
        <v>Pineapples and products</v>
      </c>
    </row>
    <row r="325" spans="1:9" x14ac:dyDescent="0.3">
      <c r="A325">
        <v>577</v>
      </c>
      <c r="B325" t="s">
        <v>1274</v>
      </c>
      <c r="C325" t="s">
        <v>1274</v>
      </c>
      <c r="D325" t="e">
        <f>VLOOKUP(C325,items_full!$A$2:$A$194,1,0)</f>
        <v>#N/A</v>
      </c>
    </row>
    <row r="326" spans="1:9" x14ac:dyDescent="0.3">
      <c r="A326">
        <v>580</v>
      </c>
      <c r="B326" t="s">
        <v>1275</v>
      </c>
      <c r="C326" t="s">
        <v>1271</v>
      </c>
      <c r="D326" t="str">
        <f>VLOOKUP(C326,items_full!$A$2:$A$194,1,0)</f>
        <v>Pineapples and products</v>
      </c>
    </row>
    <row r="327" spans="1:9" x14ac:dyDescent="0.3">
      <c r="A327">
        <v>583</v>
      </c>
      <c r="B327" t="s">
        <v>1276</v>
      </c>
      <c r="C327" t="s">
        <v>1237</v>
      </c>
      <c r="D327" t="str">
        <f>VLOOKUP(C327,items_full!$A$2:$A$194,1,0)</f>
        <v>Fruits, Other</v>
      </c>
    </row>
    <row r="328" spans="1:9" x14ac:dyDescent="0.3">
      <c r="A328">
        <v>587</v>
      </c>
      <c r="B328" t="s">
        <v>1277</v>
      </c>
      <c r="C328" t="s">
        <v>1237</v>
      </c>
      <c r="D328" t="str">
        <f>VLOOKUP(C328,items_full!$A$2:$A$194,1,0)</f>
        <v>Fruits, Other</v>
      </c>
    </row>
    <row r="329" spans="1:9" x14ac:dyDescent="0.3">
      <c r="A329">
        <v>591</v>
      </c>
      <c r="B329" t="s">
        <v>1278</v>
      </c>
      <c r="C329" t="s">
        <v>1237</v>
      </c>
      <c r="D329" t="str">
        <f>VLOOKUP(C329,items_full!$A$2:$A$194,1,0)</f>
        <v>Fruits, Other</v>
      </c>
    </row>
    <row r="330" spans="1:9" x14ac:dyDescent="0.3">
      <c r="A330">
        <v>592</v>
      </c>
      <c r="B330" t="s">
        <v>1279</v>
      </c>
      <c r="C330" t="s">
        <v>1237</v>
      </c>
      <c r="D330" t="str">
        <f>VLOOKUP(C330,items_full!$A$2:$A$194,1,0)</f>
        <v>Fruits, Other</v>
      </c>
    </row>
    <row r="331" spans="1:9" s="1" customFormat="1" x14ac:dyDescent="0.3">
      <c r="A331">
        <v>600</v>
      </c>
      <c r="B331" t="s">
        <v>1280</v>
      </c>
      <c r="C331" t="s">
        <v>1237</v>
      </c>
      <c r="D331" t="str">
        <f>VLOOKUP(C331,items_full!$A$2:$A$194,1,0)</f>
        <v>Fruits, Other</v>
      </c>
      <c r="I331" s="9"/>
    </row>
    <row r="332" spans="1:9" x14ac:dyDescent="0.3">
      <c r="A332">
        <v>603</v>
      </c>
      <c r="B332" t="s">
        <v>1281</v>
      </c>
      <c r="C332" t="s">
        <v>1237</v>
      </c>
      <c r="D332" t="str">
        <f>VLOOKUP(C332,items_full!$A$2:$A$194,1,0)</f>
        <v>Fruits, Other</v>
      </c>
    </row>
    <row r="333" spans="1:9" x14ac:dyDescent="0.3">
      <c r="A333">
        <v>604</v>
      </c>
      <c r="B333" t="s">
        <v>1282</v>
      </c>
      <c r="C333" t="s">
        <v>1237</v>
      </c>
      <c r="D333" t="str">
        <f>VLOOKUP(C333,items_full!$A$2:$A$194,1,0)</f>
        <v>Fruits, Other</v>
      </c>
    </row>
    <row r="334" spans="1:9" x14ac:dyDescent="0.3">
      <c r="A334">
        <v>619</v>
      </c>
      <c r="B334" t="s">
        <v>1283</v>
      </c>
      <c r="C334" t="s">
        <v>1237</v>
      </c>
      <c r="D334" t="str">
        <f>VLOOKUP(C334,items_full!$A$2:$A$194,1,0)</f>
        <v>Fruits, Other</v>
      </c>
    </row>
    <row r="335" spans="1:9" x14ac:dyDescent="0.3">
      <c r="A335">
        <v>620</v>
      </c>
      <c r="B335" t="s">
        <v>1284</v>
      </c>
      <c r="C335" t="s">
        <v>1237</v>
      </c>
      <c r="D335" t="str">
        <f>VLOOKUP(C335,items_full!$A$2:$A$194,1,0)</f>
        <v>Fruits, Other</v>
      </c>
    </row>
    <row r="336" spans="1:9" x14ac:dyDescent="0.3">
      <c r="A336">
        <v>622</v>
      </c>
      <c r="B336" t="s">
        <v>1285</v>
      </c>
      <c r="C336" t="s">
        <v>1237</v>
      </c>
      <c r="D336" t="str">
        <f>VLOOKUP(C336,items_full!$A$2:$A$194,1,0)</f>
        <v>Fruits, Other</v>
      </c>
    </row>
    <row r="337" spans="1:4" ht="15" customHeight="1" x14ac:dyDescent="0.3">
      <c r="A337">
        <v>623</v>
      </c>
      <c r="B337" t="s">
        <v>1286</v>
      </c>
      <c r="C337" t="s">
        <v>1237</v>
      </c>
      <c r="D337" t="str">
        <f>VLOOKUP(C337,items_full!$A$2:$A$194,1,0)</f>
        <v>Fruits, Other</v>
      </c>
    </row>
    <row r="338" spans="1:4" x14ac:dyDescent="0.3">
      <c r="A338">
        <v>624</v>
      </c>
      <c r="B338" t="s">
        <v>1287</v>
      </c>
      <c r="C338" t="s">
        <v>1237</v>
      </c>
      <c r="D338" t="str">
        <f>VLOOKUP(C338,items_full!$A$2:$A$194,1,0)</f>
        <v>Fruits, Other</v>
      </c>
    </row>
    <row r="339" spans="1:4" x14ac:dyDescent="0.3">
      <c r="A339">
        <v>625</v>
      </c>
      <c r="B339" t="s">
        <v>1288</v>
      </c>
      <c r="C339" t="s">
        <v>1237</v>
      </c>
      <c r="D339" t="str">
        <f>VLOOKUP(C339,items_full!$A$2:$A$194,1,0)</f>
        <v>Fruits, Other</v>
      </c>
    </row>
    <row r="340" spans="1:4" x14ac:dyDescent="0.3">
      <c r="A340">
        <v>626</v>
      </c>
      <c r="B340" t="s">
        <v>1289</v>
      </c>
      <c r="C340" t="s">
        <v>1237</v>
      </c>
      <c r="D340" t="str">
        <f>VLOOKUP(C340,items_full!$A$2:$A$194,1,0)</f>
        <v>Fruits, Other</v>
      </c>
    </row>
    <row r="341" spans="1:4" x14ac:dyDescent="0.3">
      <c r="A341">
        <v>628</v>
      </c>
      <c r="B341" t="s">
        <v>1290</v>
      </c>
      <c r="C341" t="s">
        <v>1237</v>
      </c>
      <c r="D341" t="str">
        <f>VLOOKUP(C341,items_full!$A$2:$A$194,1,0)</f>
        <v>Fruits, Other</v>
      </c>
    </row>
    <row r="342" spans="1:4" x14ac:dyDescent="0.3">
      <c r="A342">
        <v>631</v>
      </c>
      <c r="B342" t="s">
        <v>1291</v>
      </c>
      <c r="C342" t="s">
        <v>1022</v>
      </c>
      <c r="D342" t="e">
        <f>VLOOKUP(C342,items_full!$A$2:$A$194,1,0)</f>
        <v>#N/A</v>
      </c>
    </row>
    <row r="343" spans="1:4" x14ac:dyDescent="0.3">
      <c r="A343">
        <v>632</v>
      </c>
      <c r="B343" t="s">
        <v>1292</v>
      </c>
      <c r="C343" t="s">
        <v>1293</v>
      </c>
      <c r="D343" t="str">
        <f>VLOOKUP(C343,items_full!$A$2:$A$194,1,0)</f>
        <v>Alcohol, Non-Food</v>
      </c>
    </row>
    <row r="344" spans="1:4" x14ac:dyDescent="0.3">
      <c r="A344">
        <v>633</v>
      </c>
      <c r="B344" t="s">
        <v>1294</v>
      </c>
      <c r="C344" t="s">
        <v>1003</v>
      </c>
      <c r="D344" t="str">
        <f>VLOOKUP(C344,items_full!$A$2:$A$194,1,0)</f>
        <v>Sweeteners, Other</v>
      </c>
    </row>
    <row r="345" spans="1:4" x14ac:dyDescent="0.3">
      <c r="A345">
        <v>634</v>
      </c>
      <c r="B345" t="s">
        <v>1295</v>
      </c>
      <c r="C345" t="s">
        <v>1296</v>
      </c>
      <c r="D345" t="str">
        <f>VLOOKUP(C345,items_full!$A$2:$A$194,1,0)</f>
        <v>Beverages, Alcoholic</v>
      </c>
    </row>
    <row r="346" spans="1:4" x14ac:dyDescent="0.3">
      <c r="A346">
        <v>635</v>
      </c>
      <c r="B346" t="s">
        <v>1297</v>
      </c>
      <c r="C346" t="s">
        <v>1298</v>
      </c>
      <c r="D346" t="str">
        <f>VLOOKUP(C346,items_full!$A$2:$A$194,1,0)</f>
        <v>Straw</v>
      </c>
    </row>
    <row r="347" spans="1:4" x14ac:dyDescent="0.3">
      <c r="A347">
        <v>651</v>
      </c>
      <c r="B347" t="s">
        <v>1299</v>
      </c>
      <c r="C347" t="s">
        <v>1300</v>
      </c>
      <c r="D347" t="str">
        <f>VLOOKUP(C347,items_full!$A$2:$A$194,1,0)</f>
        <v>Fodder vegetables and roots</v>
      </c>
    </row>
    <row r="348" spans="1:4" x14ac:dyDescent="0.3">
      <c r="A348">
        <v>652</v>
      </c>
      <c r="B348" t="s">
        <v>1301</v>
      </c>
      <c r="C348" t="s">
        <v>1302</v>
      </c>
      <c r="D348" t="e">
        <f>VLOOKUP(C348,items_full!$A$2:$A$194,1,0)</f>
        <v>#N/A</v>
      </c>
    </row>
    <row r="349" spans="1:4" x14ac:dyDescent="0.3">
      <c r="A349">
        <v>653</v>
      </c>
      <c r="B349" t="s">
        <v>1303</v>
      </c>
      <c r="C349" t="s">
        <v>1022</v>
      </c>
      <c r="D349" t="e">
        <f>VLOOKUP(C349,items_full!$A$2:$A$194,1,0)</f>
        <v>#N/A</v>
      </c>
    </row>
    <row r="350" spans="1:4" x14ac:dyDescent="0.3">
      <c r="A350">
        <v>654</v>
      </c>
      <c r="B350" t="s">
        <v>1304</v>
      </c>
      <c r="C350" t="s">
        <v>1305</v>
      </c>
      <c r="D350" t="str">
        <f>VLOOKUP(C350,items_full!$A$2:$A$194,1,0)</f>
        <v>DDGS</v>
      </c>
    </row>
    <row r="351" spans="1:4" x14ac:dyDescent="0.3">
      <c r="A351">
        <v>656</v>
      </c>
      <c r="B351" t="s">
        <v>1306</v>
      </c>
      <c r="C351" t="s">
        <v>1307</v>
      </c>
      <c r="D351" t="str">
        <f>VLOOKUP(C351,items_full!$A$2:$A$194,1,0)</f>
        <v>Coffee and products</v>
      </c>
    </row>
    <row r="352" spans="1:4" x14ac:dyDescent="0.3">
      <c r="A352">
        <v>657</v>
      </c>
      <c r="B352" t="s">
        <v>1308</v>
      </c>
      <c r="C352" t="s">
        <v>1307</v>
      </c>
      <c r="D352" t="str">
        <f>VLOOKUP(C352,items_full!$A$2:$A$194,1,0)</f>
        <v>Coffee and products</v>
      </c>
    </row>
    <row r="353" spans="1:4" x14ac:dyDescent="0.3">
      <c r="A353">
        <v>658</v>
      </c>
      <c r="B353" t="s">
        <v>1309</v>
      </c>
      <c r="C353" t="s">
        <v>1161</v>
      </c>
      <c r="D353" t="str">
        <f>VLOOKUP(C353,items_full!$A$2:$A$194,1,0)</f>
        <v>Vegetables, Other</v>
      </c>
    </row>
    <row r="354" spans="1:4" x14ac:dyDescent="0.3">
      <c r="A354">
        <v>659</v>
      </c>
      <c r="B354" t="s">
        <v>1310</v>
      </c>
      <c r="C354" t="s">
        <v>1307</v>
      </c>
      <c r="D354" t="str">
        <f>VLOOKUP(C354,items_full!$A$2:$A$194,1,0)</f>
        <v>Coffee and products</v>
      </c>
    </row>
    <row r="355" spans="1:4" x14ac:dyDescent="0.3">
      <c r="A355">
        <v>660</v>
      </c>
      <c r="B355" t="s">
        <v>1311</v>
      </c>
      <c r="C355" t="s">
        <v>1307</v>
      </c>
      <c r="D355" t="str">
        <f>VLOOKUP(C355,items_full!$A$2:$A$194,1,0)</f>
        <v>Coffee and products</v>
      </c>
    </row>
    <row r="356" spans="1:4" x14ac:dyDescent="0.3">
      <c r="A356">
        <v>661</v>
      </c>
      <c r="B356" t="s">
        <v>1312</v>
      </c>
      <c r="C356" t="s">
        <v>1313</v>
      </c>
      <c r="D356" t="str">
        <f>VLOOKUP(C356,items_full!$A$2:$A$194,1,0)</f>
        <v>Cocoa Beans and products</v>
      </c>
    </row>
    <row r="357" spans="1:4" x14ac:dyDescent="0.3">
      <c r="A357">
        <v>662</v>
      </c>
      <c r="B357" t="s">
        <v>1314</v>
      </c>
      <c r="C357" t="s">
        <v>1313</v>
      </c>
      <c r="D357" t="str">
        <f>VLOOKUP(C357,items_full!$A$2:$A$194,1,0)</f>
        <v>Cocoa Beans and products</v>
      </c>
    </row>
    <row r="358" spans="1:4" x14ac:dyDescent="0.3">
      <c r="A358">
        <v>664</v>
      </c>
      <c r="B358" t="s">
        <v>1315</v>
      </c>
      <c r="C358" t="s">
        <v>1102</v>
      </c>
      <c r="D358" t="str">
        <f>VLOOKUP(C358,items_full!$A$2:$A$194,1,0)</f>
        <v>Oilcrops Oil, Other</v>
      </c>
    </row>
    <row r="359" spans="1:4" x14ac:dyDescent="0.3">
      <c r="A359">
        <v>665</v>
      </c>
      <c r="B359" t="s">
        <v>1316</v>
      </c>
      <c r="C359" t="s">
        <v>1313</v>
      </c>
      <c r="D359" t="str">
        <f>VLOOKUP(C359,items_full!$A$2:$A$194,1,0)</f>
        <v>Cocoa Beans and products</v>
      </c>
    </row>
    <row r="360" spans="1:4" x14ac:dyDescent="0.3">
      <c r="A360">
        <v>666</v>
      </c>
      <c r="B360" t="s">
        <v>1317</v>
      </c>
      <c r="C360" t="s">
        <v>1313</v>
      </c>
      <c r="D360" t="str">
        <f>VLOOKUP(C360,items_full!$A$2:$A$194,1,0)</f>
        <v>Cocoa Beans and products</v>
      </c>
    </row>
    <row r="361" spans="1:4" x14ac:dyDescent="0.3">
      <c r="A361">
        <v>667</v>
      </c>
      <c r="B361" t="s">
        <v>1318</v>
      </c>
      <c r="C361" t="s">
        <v>1319</v>
      </c>
      <c r="D361" t="str">
        <f>VLOOKUP(C361,items_full!$A$2:$A$194,1,0)</f>
        <v>Tea (including mate)</v>
      </c>
    </row>
    <row r="362" spans="1:4" x14ac:dyDescent="0.3">
      <c r="A362">
        <v>671</v>
      </c>
      <c r="B362" t="s">
        <v>1320</v>
      </c>
      <c r="C362" t="s">
        <v>1319</v>
      </c>
      <c r="D362" t="str">
        <f>VLOOKUP(C362,items_full!$A$2:$A$194,1,0)</f>
        <v>Tea (including mate)</v>
      </c>
    </row>
    <row r="363" spans="1:4" x14ac:dyDescent="0.3">
      <c r="A363">
        <v>672</v>
      </c>
      <c r="B363" t="s">
        <v>1321</v>
      </c>
      <c r="C363" t="s">
        <v>1319</v>
      </c>
      <c r="D363" t="str">
        <f>VLOOKUP(C363,items_full!$A$2:$A$194,1,0)</f>
        <v>Tea (including mate)</v>
      </c>
    </row>
    <row r="364" spans="1:4" x14ac:dyDescent="0.3">
      <c r="A364">
        <v>677</v>
      </c>
      <c r="B364" t="s">
        <v>1322</v>
      </c>
      <c r="C364" t="s">
        <v>1322</v>
      </c>
      <c r="D364" t="e">
        <f>VLOOKUP(C364,items_full!$A$2:$A$194,1,0)</f>
        <v>#N/A</v>
      </c>
    </row>
    <row r="365" spans="1:4" x14ac:dyDescent="0.3">
      <c r="A365">
        <v>687</v>
      </c>
      <c r="B365" t="s">
        <v>1323</v>
      </c>
      <c r="C365" t="s">
        <v>1324</v>
      </c>
      <c r="D365" t="str">
        <f>VLOOKUP(C365,items_full!$A$2:$A$194,1,0)</f>
        <v>Pepper</v>
      </c>
    </row>
    <row r="366" spans="1:4" x14ac:dyDescent="0.3">
      <c r="A366">
        <v>689</v>
      </c>
      <c r="B366" t="s">
        <v>1325</v>
      </c>
      <c r="C366" t="s">
        <v>1326</v>
      </c>
      <c r="D366" t="str">
        <f>VLOOKUP(C366,items_full!$A$2:$A$194,1,0)</f>
        <v>Pimento</v>
      </c>
    </row>
    <row r="367" spans="1:4" x14ac:dyDescent="0.3">
      <c r="A367">
        <v>692</v>
      </c>
      <c r="B367" t="s">
        <v>1327</v>
      </c>
      <c r="C367" t="s">
        <v>1328</v>
      </c>
      <c r="D367" t="e">
        <f>VLOOKUP(C367,items_full!$A$2:$A$194,1,0)</f>
        <v>#N/A</v>
      </c>
    </row>
    <row r="368" spans="1:4" x14ac:dyDescent="0.3">
      <c r="A368">
        <v>693</v>
      </c>
      <c r="B368" t="s">
        <v>1329</v>
      </c>
      <c r="C368" t="s">
        <v>1328</v>
      </c>
      <c r="D368" t="e">
        <f>VLOOKUP(C368,items_full!$A$2:$A$194,1,0)</f>
        <v>#N/A</v>
      </c>
    </row>
    <row r="369" spans="1:4" x14ac:dyDescent="0.3">
      <c r="A369">
        <v>698</v>
      </c>
      <c r="B369" t="s">
        <v>1330</v>
      </c>
      <c r="C369" t="s">
        <v>1330</v>
      </c>
      <c r="D369" t="str">
        <f>VLOOKUP(C369,items_full!$A$2:$A$194,1,0)</f>
        <v>Cloves</v>
      </c>
    </row>
    <row r="370" spans="1:4" x14ac:dyDescent="0.3">
      <c r="A370">
        <v>702</v>
      </c>
      <c r="B370" t="s">
        <v>1331</v>
      </c>
      <c r="C370" t="s">
        <v>1328</v>
      </c>
      <c r="D370" t="e">
        <f>VLOOKUP(C370,items_full!$A$2:$A$194,1,0)</f>
        <v>#N/A</v>
      </c>
    </row>
    <row r="371" spans="1:4" x14ac:dyDescent="0.3">
      <c r="A371">
        <v>711</v>
      </c>
      <c r="B371" t="s">
        <v>1332</v>
      </c>
      <c r="C371" t="s">
        <v>1328</v>
      </c>
      <c r="D371" t="e">
        <f>VLOOKUP(C371,items_full!$A$2:$A$194,1,0)</f>
        <v>#N/A</v>
      </c>
    </row>
    <row r="372" spans="1:4" x14ac:dyDescent="0.3">
      <c r="A372">
        <v>720</v>
      </c>
      <c r="B372" t="s">
        <v>1333</v>
      </c>
      <c r="C372" t="s">
        <v>1328</v>
      </c>
      <c r="D372" t="e">
        <f>VLOOKUP(C372,items_full!$A$2:$A$194,1,0)</f>
        <v>#N/A</v>
      </c>
    </row>
    <row r="373" spans="1:4" x14ac:dyDescent="0.3">
      <c r="A373">
        <v>723</v>
      </c>
      <c r="B373" t="s">
        <v>1334</v>
      </c>
      <c r="C373" t="s">
        <v>1328</v>
      </c>
      <c r="D373" t="e">
        <f>VLOOKUP(C373,items_full!$A$2:$A$194,1,0)</f>
        <v>#N/A</v>
      </c>
    </row>
    <row r="374" spans="1:4" x14ac:dyDescent="0.3">
      <c r="A374">
        <v>737</v>
      </c>
      <c r="B374" t="s">
        <v>1335</v>
      </c>
      <c r="C374" t="s">
        <v>1022</v>
      </c>
      <c r="D374" t="e">
        <f>VLOOKUP(C374,items_full!$A$2:$A$194,1,0)</f>
        <v>#N/A</v>
      </c>
    </row>
    <row r="375" spans="1:4" x14ac:dyDescent="0.3">
      <c r="A375">
        <v>748</v>
      </c>
      <c r="B375" t="s">
        <v>1336</v>
      </c>
      <c r="C375" t="s">
        <v>1328</v>
      </c>
      <c r="D375" t="e">
        <f>VLOOKUP(C375,items_full!$A$2:$A$194,1,0)</f>
        <v>#N/A</v>
      </c>
    </row>
    <row r="376" spans="1:4" x14ac:dyDescent="0.3">
      <c r="A376">
        <v>753</v>
      </c>
      <c r="B376" t="s">
        <v>1337</v>
      </c>
      <c r="C376" t="s">
        <v>1022</v>
      </c>
      <c r="D376" t="e">
        <f>VLOOKUP(C376,items_full!$A$2:$A$194,1,0)</f>
        <v>#N/A</v>
      </c>
    </row>
    <row r="377" spans="1:4" x14ac:dyDescent="0.3">
      <c r="A377">
        <v>754</v>
      </c>
      <c r="B377" t="s">
        <v>1338</v>
      </c>
      <c r="C377" t="s">
        <v>1022</v>
      </c>
      <c r="D377" t="e">
        <f>VLOOKUP(C377,items_full!$A$2:$A$194,1,0)</f>
        <v>#N/A</v>
      </c>
    </row>
    <row r="378" spans="1:4" x14ac:dyDescent="0.3">
      <c r="A378">
        <v>755</v>
      </c>
      <c r="B378" t="s">
        <v>1339</v>
      </c>
      <c r="C378" t="s">
        <v>1022</v>
      </c>
      <c r="D378" t="e">
        <f>VLOOKUP(C378,items_full!$A$2:$A$194,1,0)</f>
        <v>#N/A</v>
      </c>
    </row>
    <row r="379" spans="1:4" x14ac:dyDescent="0.3">
      <c r="A379">
        <v>767</v>
      </c>
      <c r="B379" t="s">
        <v>1340</v>
      </c>
      <c r="C379" t="s">
        <v>1340</v>
      </c>
      <c r="D379" t="str">
        <f>VLOOKUP(C379,items_full!$A$2:$A$194,1,0)</f>
        <v>Cotton lint</v>
      </c>
    </row>
    <row r="380" spans="1:4" x14ac:dyDescent="0.3">
      <c r="A380">
        <v>768</v>
      </c>
      <c r="B380" t="s">
        <v>1341</v>
      </c>
      <c r="C380" t="s">
        <v>1340</v>
      </c>
      <c r="D380" t="str">
        <f>VLOOKUP(C380,items_full!$A$2:$A$194,1,0)</f>
        <v>Cotton lint</v>
      </c>
    </row>
    <row r="381" spans="1:4" x14ac:dyDescent="0.3">
      <c r="A381">
        <v>769</v>
      </c>
      <c r="B381" t="s">
        <v>1342</v>
      </c>
      <c r="C381" t="s">
        <v>1340</v>
      </c>
      <c r="D381" t="str">
        <f>VLOOKUP(C381,items_full!$A$2:$A$194,1,0)</f>
        <v>Cotton lint</v>
      </c>
    </row>
    <row r="382" spans="1:4" x14ac:dyDescent="0.3">
      <c r="A382">
        <v>770</v>
      </c>
      <c r="B382" t="s">
        <v>1343</v>
      </c>
      <c r="C382" t="s">
        <v>1340</v>
      </c>
      <c r="D382" t="str">
        <f>VLOOKUP(C382,items_full!$A$2:$A$194,1,0)</f>
        <v>Cotton lint</v>
      </c>
    </row>
    <row r="383" spans="1:4" x14ac:dyDescent="0.3">
      <c r="A383">
        <v>771</v>
      </c>
      <c r="B383" t="s">
        <v>1344</v>
      </c>
      <c r="C383" t="s">
        <v>1345</v>
      </c>
      <c r="D383" t="str">
        <f>VLOOKUP(C383,items_full!$A$2:$A$194,1,0)</f>
        <v>Soft-Fibres, Other</v>
      </c>
    </row>
    <row r="384" spans="1:4" x14ac:dyDescent="0.3">
      <c r="A384">
        <v>773</v>
      </c>
      <c r="B384" t="s">
        <v>1346</v>
      </c>
      <c r="C384" t="s">
        <v>1345</v>
      </c>
      <c r="D384" t="str">
        <f>VLOOKUP(C384,items_full!$A$2:$A$194,1,0)</f>
        <v>Soft-Fibres, Other</v>
      </c>
    </row>
    <row r="385" spans="1:4" x14ac:dyDescent="0.3">
      <c r="A385">
        <v>774</v>
      </c>
      <c r="B385" t="s">
        <v>1347</v>
      </c>
      <c r="C385" t="s">
        <v>1345</v>
      </c>
      <c r="D385" t="str">
        <f>VLOOKUP(C385,items_full!$A$2:$A$194,1,0)</f>
        <v>Soft-Fibres, Other</v>
      </c>
    </row>
    <row r="386" spans="1:4" x14ac:dyDescent="0.3">
      <c r="A386">
        <v>777</v>
      </c>
      <c r="B386" t="s">
        <v>1348</v>
      </c>
      <c r="C386" t="s">
        <v>1345</v>
      </c>
      <c r="D386" t="str">
        <f>VLOOKUP(C386,items_full!$A$2:$A$194,1,0)</f>
        <v>Soft-Fibres, Other</v>
      </c>
    </row>
    <row r="387" spans="1:4" x14ac:dyDescent="0.3">
      <c r="A387">
        <v>778</v>
      </c>
      <c r="B387" t="s">
        <v>1349</v>
      </c>
      <c r="C387" t="s">
        <v>1345</v>
      </c>
      <c r="D387" t="str">
        <f>VLOOKUP(C387,items_full!$A$2:$A$194,1,0)</f>
        <v>Soft-Fibres, Other</v>
      </c>
    </row>
    <row r="388" spans="1:4" x14ac:dyDescent="0.3">
      <c r="A388">
        <v>780</v>
      </c>
      <c r="B388" t="s">
        <v>1350</v>
      </c>
      <c r="C388" t="s">
        <v>1350</v>
      </c>
      <c r="D388" t="str">
        <f>VLOOKUP(C388,items_full!$A$2:$A$194,1,0)</f>
        <v>Jute</v>
      </c>
    </row>
    <row r="389" spans="1:4" x14ac:dyDescent="0.3">
      <c r="A389">
        <v>782</v>
      </c>
      <c r="B389" t="s">
        <v>1351</v>
      </c>
      <c r="C389" t="s">
        <v>1352</v>
      </c>
      <c r="D389" t="str">
        <f>VLOOKUP(C389,items_full!$A$2:$A$194,1,0)</f>
        <v>Jute-Like Fibres</v>
      </c>
    </row>
    <row r="390" spans="1:4" x14ac:dyDescent="0.3">
      <c r="A390">
        <v>788</v>
      </c>
      <c r="B390" t="s">
        <v>1353</v>
      </c>
      <c r="C390" t="s">
        <v>1345</v>
      </c>
      <c r="D390" t="str">
        <f>VLOOKUP(C390,items_full!$A$2:$A$194,1,0)</f>
        <v>Soft-Fibres, Other</v>
      </c>
    </row>
    <row r="391" spans="1:4" x14ac:dyDescent="0.3">
      <c r="A391">
        <v>789</v>
      </c>
      <c r="B391" t="s">
        <v>1354</v>
      </c>
      <c r="C391" t="s">
        <v>1354</v>
      </c>
      <c r="D391" t="str">
        <f>VLOOKUP(C391,items_full!$A$2:$A$194,1,0)</f>
        <v>Sisal</v>
      </c>
    </row>
    <row r="392" spans="1:4" x14ac:dyDescent="0.3">
      <c r="A392">
        <v>800</v>
      </c>
      <c r="B392" t="s">
        <v>1355</v>
      </c>
      <c r="C392" t="s">
        <v>1356</v>
      </c>
      <c r="D392" t="str">
        <f>VLOOKUP(C392,items_full!$A$2:$A$194,1,0)</f>
        <v>Hard Fibres, Other</v>
      </c>
    </row>
    <row r="393" spans="1:4" x14ac:dyDescent="0.3">
      <c r="A393">
        <v>809</v>
      </c>
      <c r="B393" t="s">
        <v>1357</v>
      </c>
      <c r="C393" t="s">
        <v>1358</v>
      </c>
      <c r="D393" t="str">
        <f>VLOOKUP(C393,items_full!$A$2:$A$194,1,0)</f>
        <v>Abaca</v>
      </c>
    </row>
    <row r="394" spans="1:4" x14ac:dyDescent="0.3">
      <c r="A394">
        <v>813</v>
      </c>
      <c r="B394" t="s">
        <v>1359</v>
      </c>
      <c r="C394" t="s">
        <v>1356</v>
      </c>
      <c r="D394" t="str">
        <f>VLOOKUP(C394,items_full!$A$2:$A$194,1,0)</f>
        <v>Hard Fibres, Other</v>
      </c>
    </row>
    <row r="395" spans="1:4" x14ac:dyDescent="0.3">
      <c r="A395">
        <v>821</v>
      </c>
      <c r="B395" t="s">
        <v>1360</v>
      </c>
      <c r="C395" t="s">
        <v>1356</v>
      </c>
      <c r="D395" t="str">
        <f>VLOOKUP(C395,items_full!$A$2:$A$194,1,0)</f>
        <v>Hard Fibres, Other</v>
      </c>
    </row>
    <row r="396" spans="1:4" x14ac:dyDescent="0.3">
      <c r="A396">
        <v>826</v>
      </c>
      <c r="B396" t="s">
        <v>1361</v>
      </c>
      <c r="C396" t="s">
        <v>1362</v>
      </c>
      <c r="D396" t="str">
        <f>VLOOKUP(C396,items_full!$A$2:$A$194,1,0)</f>
        <v>Tobacco</v>
      </c>
    </row>
    <row r="397" spans="1:4" x14ac:dyDescent="0.3">
      <c r="A397">
        <v>828</v>
      </c>
      <c r="B397" t="s">
        <v>1363</v>
      </c>
      <c r="C397" t="s">
        <v>1362</v>
      </c>
      <c r="D397" t="str">
        <f>VLOOKUP(C397,items_full!$A$2:$A$194,1,0)</f>
        <v>Tobacco</v>
      </c>
    </row>
    <row r="398" spans="1:4" x14ac:dyDescent="0.3">
      <c r="A398">
        <v>829</v>
      </c>
      <c r="B398" t="s">
        <v>1364</v>
      </c>
      <c r="C398" t="s">
        <v>1362</v>
      </c>
      <c r="D398" t="str">
        <f>VLOOKUP(C398,items_full!$A$2:$A$194,1,0)</f>
        <v>Tobacco</v>
      </c>
    </row>
    <row r="399" spans="1:4" x14ac:dyDescent="0.3">
      <c r="A399">
        <v>831</v>
      </c>
      <c r="B399" t="s">
        <v>1365</v>
      </c>
      <c r="C399" t="s">
        <v>1362</v>
      </c>
      <c r="D399" t="str">
        <f>VLOOKUP(C399,items_full!$A$2:$A$194,1,0)</f>
        <v>Tobacco</v>
      </c>
    </row>
    <row r="400" spans="1:4" x14ac:dyDescent="0.3">
      <c r="A400">
        <v>836</v>
      </c>
      <c r="B400" t="s">
        <v>1366</v>
      </c>
      <c r="C400" t="s">
        <v>1367</v>
      </c>
      <c r="D400" t="str">
        <f>VLOOKUP(C400,items_full!$A$2:$A$194,1,0)</f>
        <v>Rubber</v>
      </c>
    </row>
    <row r="401" spans="1:4" x14ac:dyDescent="0.3">
      <c r="A401">
        <v>837</v>
      </c>
      <c r="B401" t="s">
        <v>1368</v>
      </c>
      <c r="C401" t="s">
        <v>1367</v>
      </c>
      <c r="D401" t="str">
        <f>VLOOKUP(C401,items_full!$A$2:$A$194,1,0)</f>
        <v>Rubber</v>
      </c>
    </row>
    <row r="402" spans="1:4" x14ac:dyDescent="0.3">
      <c r="A402">
        <v>843</v>
      </c>
      <c r="B402" t="s">
        <v>1369</v>
      </c>
      <c r="C402" t="s">
        <v>1022</v>
      </c>
      <c r="D402" t="e">
        <f>VLOOKUP(C402,items_full!$A$2:$A$194,1,0)</f>
        <v>#N/A</v>
      </c>
    </row>
    <row r="403" spans="1:4" x14ac:dyDescent="0.3">
      <c r="A403">
        <v>846</v>
      </c>
      <c r="B403" t="s">
        <v>1370</v>
      </c>
      <c r="C403" t="s">
        <v>930</v>
      </c>
      <c r="D403" t="str">
        <f>VLOOKUP(C403,items_full!$A$2:$A$194,1,0)</f>
        <v>Maize and products</v>
      </c>
    </row>
    <row r="404" spans="1:4" x14ac:dyDescent="0.3">
      <c r="A404">
        <v>862</v>
      </c>
      <c r="B404" t="s">
        <v>1371</v>
      </c>
      <c r="C404" t="s">
        <v>1372</v>
      </c>
      <c r="D404" t="str">
        <f>VLOOKUP(C404,items_full!$A$2:$A$194,1,0)</f>
        <v>Fodder legumes</v>
      </c>
    </row>
    <row r="405" spans="1:4" x14ac:dyDescent="0.3">
      <c r="A405">
        <v>866</v>
      </c>
      <c r="B405" t="s">
        <v>726</v>
      </c>
      <c r="C405" t="s">
        <v>739</v>
      </c>
      <c r="D405" t="str">
        <f>VLOOKUP(C405,items_full!$A$2:$A$194,1,0)</f>
        <v>Cattle, non-dairy</v>
      </c>
    </row>
    <row r="406" spans="1:4" x14ac:dyDescent="0.3">
      <c r="A406">
        <v>867</v>
      </c>
      <c r="B406" t="s">
        <v>806</v>
      </c>
      <c r="C406" t="s">
        <v>807</v>
      </c>
      <c r="D406" t="str">
        <f>VLOOKUP(C406,items_full!$A$2:$A$194,1,0)</f>
        <v>Bovine Meat</v>
      </c>
    </row>
    <row r="407" spans="1:4" x14ac:dyDescent="0.3">
      <c r="A407">
        <v>868</v>
      </c>
      <c r="B407" t="s">
        <v>810</v>
      </c>
      <c r="C407" t="s">
        <v>811</v>
      </c>
      <c r="D407" t="str">
        <f>VLOOKUP(C407,items_full!$A$2:$A$194,1,0)</f>
        <v>Offals, Edible</v>
      </c>
    </row>
    <row r="408" spans="1:4" x14ac:dyDescent="0.3">
      <c r="A408">
        <v>869</v>
      </c>
      <c r="B408" t="s">
        <v>798</v>
      </c>
      <c r="C408" t="s">
        <v>800</v>
      </c>
      <c r="D408" t="str">
        <f>VLOOKUP(C408,items_full!$A$2:$A$194,1,0)</f>
        <v>Fats, Animals, Raw</v>
      </c>
    </row>
    <row r="409" spans="1:4" x14ac:dyDescent="0.3">
      <c r="A409">
        <v>870</v>
      </c>
      <c r="B409" t="s">
        <v>1373</v>
      </c>
      <c r="C409" t="s">
        <v>807</v>
      </c>
      <c r="D409" t="str">
        <f>VLOOKUP(C409,items_full!$A$2:$A$194,1,0)</f>
        <v>Bovine Meat</v>
      </c>
    </row>
    <row r="410" spans="1:4" x14ac:dyDescent="0.3">
      <c r="A410">
        <v>871</v>
      </c>
      <c r="B410" t="s">
        <v>1374</v>
      </c>
      <c r="C410" t="s">
        <v>800</v>
      </c>
      <c r="D410" t="str">
        <f>VLOOKUP(C410,items_full!$A$2:$A$194,1,0)</f>
        <v>Fats, Animals, Raw</v>
      </c>
    </row>
    <row r="411" spans="1:4" x14ac:dyDescent="0.3">
      <c r="A411">
        <v>872</v>
      </c>
      <c r="B411" t="s">
        <v>1375</v>
      </c>
      <c r="C411" t="s">
        <v>807</v>
      </c>
      <c r="D411" t="str">
        <f>VLOOKUP(C411,items_full!$A$2:$A$194,1,0)</f>
        <v>Bovine Meat</v>
      </c>
    </row>
    <row r="412" spans="1:4" x14ac:dyDescent="0.3">
      <c r="A412">
        <v>873</v>
      </c>
      <c r="B412" t="s">
        <v>1376</v>
      </c>
      <c r="C412" t="s">
        <v>807</v>
      </c>
      <c r="D412" t="str">
        <f>VLOOKUP(C412,items_full!$A$2:$A$194,1,0)</f>
        <v>Bovine Meat</v>
      </c>
    </row>
    <row r="413" spans="1:4" x14ac:dyDescent="0.3">
      <c r="A413">
        <v>874</v>
      </c>
      <c r="B413" t="s">
        <v>1377</v>
      </c>
      <c r="C413" t="s">
        <v>807</v>
      </c>
      <c r="D413" t="str">
        <f>VLOOKUP(C413,items_full!$A$2:$A$194,1,0)</f>
        <v>Bovine Meat</v>
      </c>
    </row>
    <row r="414" spans="1:4" x14ac:dyDescent="0.3">
      <c r="A414">
        <v>875</v>
      </c>
      <c r="B414" t="s">
        <v>1378</v>
      </c>
      <c r="C414" t="s">
        <v>807</v>
      </c>
      <c r="D414" t="str">
        <f>VLOOKUP(C414,items_full!$A$2:$A$194,1,0)</f>
        <v>Bovine Meat</v>
      </c>
    </row>
    <row r="415" spans="1:4" x14ac:dyDescent="0.3">
      <c r="A415">
        <v>876</v>
      </c>
      <c r="B415" t="s">
        <v>1379</v>
      </c>
      <c r="C415" t="s">
        <v>807</v>
      </c>
      <c r="D415" t="str">
        <f>VLOOKUP(C415,items_full!$A$2:$A$194,1,0)</f>
        <v>Bovine Meat</v>
      </c>
    </row>
    <row r="416" spans="1:4" x14ac:dyDescent="0.3">
      <c r="A416">
        <v>877</v>
      </c>
      <c r="B416" t="s">
        <v>1380</v>
      </c>
      <c r="C416" t="s">
        <v>807</v>
      </c>
      <c r="D416" t="str">
        <f>VLOOKUP(C416,items_full!$A$2:$A$194,1,0)</f>
        <v>Bovine Meat</v>
      </c>
    </row>
    <row r="417" spans="1:4" x14ac:dyDescent="0.3">
      <c r="A417">
        <v>878</v>
      </c>
      <c r="B417" t="s">
        <v>1381</v>
      </c>
      <c r="C417" t="s">
        <v>811</v>
      </c>
      <c r="D417" t="str">
        <f>VLOOKUP(C417,items_full!$A$2:$A$194,1,0)</f>
        <v>Offals, Edible</v>
      </c>
    </row>
    <row r="418" spans="1:4" x14ac:dyDescent="0.3">
      <c r="A418">
        <v>882</v>
      </c>
      <c r="B418" t="s">
        <v>813</v>
      </c>
      <c r="C418" t="s">
        <v>815</v>
      </c>
      <c r="D418" t="str">
        <f>VLOOKUP(C418,items_full!$A$2:$A$194,1,0)</f>
        <v>Milk - Excluding Butter</v>
      </c>
    </row>
    <row r="419" spans="1:4" x14ac:dyDescent="0.3">
      <c r="A419">
        <v>885</v>
      </c>
      <c r="B419" t="s">
        <v>1382</v>
      </c>
      <c r="C419" t="s">
        <v>815</v>
      </c>
      <c r="D419" t="str">
        <f>VLOOKUP(C419,items_full!$A$2:$A$194,1,0)</f>
        <v>Milk - Excluding Butter</v>
      </c>
    </row>
    <row r="420" spans="1:4" x14ac:dyDescent="0.3">
      <c r="A420">
        <v>886</v>
      </c>
      <c r="B420" t="s">
        <v>1383</v>
      </c>
      <c r="C420" t="s">
        <v>1384</v>
      </c>
      <c r="D420" t="str">
        <f>VLOOKUP(C420,items_full!$A$2:$A$194,1,0)</f>
        <v>Butter, Ghee</v>
      </c>
    </row>
    <row r="421" spans="1:4" x14ac:dyDescent="0.3">
      <c r="A421">
        <v>887</v>
      </c>
      <c r="B421" t="s">
        <v>1385</v>
      </c>
      <c r="C421" t="s">
        <v>1384</v>
      </c>
      <c r="D421" t="str">
        <f>VLOOKUP(C421,items_full!$A$2:$A$194,1,0)</f>
        <v>Butter, Ghee</v>
      </c>
    </row>
    <row r="422" spans="1:4" x14ac:dyDescent="0.3">
      <c r="A422">
        <v>888</v>
      </c>
      <c r="B422" t="s">
        <v>1386</v>
      </c>
      <c r="C422" t="s">
        <v>815</v>
      </c>
      <c r="D422" t="str">
        <f>VLOOKUP(C422,items_full!$A$2:$A$194,1,0)</f>
        <v>Milk - Excluding Butter</v>
      </c>
    </row>
    <row r="423" spans="1:4" x14ac:dyDescent="0.3">
      <c r="A423">
        <v>889</v>
      </c>
      <c r="B423" t="s">
        <v>1387</v>
      </c>
      <c r="C423" t="s">
        <v>815</v>
      </c>
      <c r="D423" t="str">
        <f>VLOOKUP(C423,items_full!$A$2:$A$194,1,0)</f>
        <v>Milk - Excluding Butter</v>
      </c>
    </row>
    <row r="424" spans="1:4" x14ac:dyDescent="0.3">
      <c r="A424">
        <v>890</v>
      </c>
      <c r="B424" t="s">
        <v>1388</v>
      </c>
      <c r="C424" t="s">
        <v>815</v>
      </c>
      <c r="D424" t="str">
        <f>VLOOKUP(C424,items_full!$A$2:$A$194,1,0)</f>
        <v>Milk - Excluding Butter</v>
      </c>
    </row>
    <row r="425" spans="1:4" x14ac:dyDescent="0.3">
      <c r="A425">
        <v>891</v>
      </c>
      <c r="B425" t="s">
        <v>1389</v>
      </c>
      <c r="C425" t="s">
        <v>815</v>
      </c>
      <c r="D425" t="str">
        <f>VLOOKUP(C425,items_full!$A$2:$A$194,1,0)</f>
        <v>Milk - Excluding Butter</v>
      </c>
    </row>
    <row r="426" spans="1:4" x14ac:dyDescent="0.3">
      <c r="A426">
        <v>892</v>
      </c>
      <c r="B426" t="s">
        <v>1390</v>
      </c>
      <c r="C426" t="s">
        <v>815</v>
      </c>
      <c r="D426" t="str">
        <f>VLOOKUP(C426,items_full!$A$2:$A$194,1,0)</f>
        <v>Milk - Excluding Butter</v>
      </c>
    </row>
    <row r="427" spans="1:4" x14ac:dyDescent="0.3">
      <c r="A427">
        <v>893</v>
      </c>
      <c r="B427" t="s">
        <v>1391</v>
      </c>
      <c r="C427" t="s">
        <v>815</v>
      </c>
      <c r="D427" t="str">
        <f>VLOOKUP(C427,items_full!$A$2:$A$194,1,0)</f>
        <v>Milk - Excluding Butter</v>
      </c>
    </row>
    <row r="428" spans="1:4" x14ac:dyDescent="0.3">
      <c r="A428">
        <v>894</v>
      </c>
      <c r="B428" t="s">
        <v>1392</v>
      </c>
      <c r="C428" t="s">
        <v>815</v>
      </c>
      <c r="D428" t="str">
        <f>VLOOKUP(C428,items_full!$A$2:$A$194,1,0)</f>
        <v>Milk - Excluding Butter</v>
      </c>
    </row>
    <row r="429" spans="1:4" x14ac:dyDescent="0.3">
      <c r="A429">
        <v>895</v>
      </c>
      <c r="B429" t="s">
        <v>1393</v>
      </c>
      <c r="C429" t="s">
        <v>815</v>
      </c>
      <c r="D429" t="str">
        <f>VLOOKUP(C429,items_full!$A$2:$A$194,1,0)</f>
        <v>Milk - Excluding Butter</v>
      </c>
    </row>
    <row r="430" spans="1:4" x14ac:dyDescent="0.3">
      <c r="A430">
        <v>896</v>
      </c>
      <c r="B430" t="s">
        <v>1394</v>
      </c>
      <c r="C430" t="s">
        <v>815</v>
      </c>
      <c r="D430" t="str">
        <f>VLOOKUP(C430,items_full!$A$2:$A$194,1,0)</f>
        <v>Milk - Excluding Butter</v>
      </c>
    </row>
    <row r="431" spans="1:4" x14ac:dyDescent="0.3">
      <c r="A431">
        <v>897</v>
      </c>
      <c r="B431" t="s">
        <v>1395</v>
      </c>
      <c r="C431" t="s">
        <v>815</v>
      </c>
      <c r="D431" t="str">
        <f>VLOOKUP(C431,items_full!$A$2:$A$194,1,0)</f>
        <v>Milk - Excluding Butter</v>
      </c>
    </row>
    <row r="432" spans="1:4" x14ac:dyDescent="0.3">
      <c r="A432">
        <v>898</v>
      </c>
      <c r="B432" t="s">
        <v>1396</v>
      </c>
      <c r="C432" t="s">
        <v>815</v>
      </c>
      <c r="D432" t="str">
        <f>VLOOKUP(C432,items_full!$A$2:$A$194,1,0)</f>
        <v>Milk - Excluding Butter</v>
      </c>
    </row>
    <row r="433" spans="1:4" x14ac:dyDescent="0.3">
      <c r="A433">
        <v>899</v>
      </c>
      <c r="B433" t="s">
        <v>1397</v>
      </c>
      <c r="C433" t="s">
        <v>815</v>
      </c>
      <c r="D433" t="str">
        <f>VLOOKUP(C433,items_full!$A$2:$A$194,1,0)</f>
        <v>Milk - Excluding Butter</v>
      </c>
    </row>
    <row r="434" spans="1:4" x14ac:dyDescent="0.3">
      <c r="A434">
        <v>900</v>
      </c>
      <c r="B434" t="s">
        <v>1398</v>
      </c>
      <c r="C434" t="s">
        <v>815</v>
      </c>
      <c r="D434" t="str">
        <f>VLOOKUP(C434,items_full!$A$2:$A$194,1,0)</f>
        <v>Milk - Excluding Butter</v>
      </c>
    </row>
    <row r="435" spans="1:4" x14ac:dyDescent="0.3">
      <c r="A435">
        <v>901</v>
      </c>
      <c r="B435" t="s">
        <v>1399</v>
      </c>
      <c r="C435" t="s">
        <v>815</v>
      </c>
      <c r="D435" t="str">
        <f>VLOOKUP(C435,items_full!$A$2:$A$194,1,0)</f>
        <v>Milk - Excluding Butter</v>
      </c>
    </row>
    <row r="436" spans="1:4" x14ac:dyDescent="0.3">
      <c r="A436">
        <v>903</v>
      </c>
      <c r="B436" t="s">
        <v>1400</v>
      </c>
      <c r="C436" t="s">
        <v>815</v>
      </c>
      <c r="D436" t="str">
        <f>VLOOKUP(C436,items_full!$A$2:$A$194,1,0)</f>
        <v>Milk - Excluding Butter</v>
      </c>
    </row>
    <row r="437" spans="1:4" x14ac:dyDescent="0.3">
      <c r="A437">
        <v>904</v>
      </c>
      <c r="B437" t="s">
        <v>1401</v>
      </c>
      <c r="C437" t="s">
        <v>815</v>
      </c>
      <c r="D437" t="str">
        <f>VLOOKUP(C437,items_full!$A$2:$A$194,1,0)</f>
        <v>Milk - Excluding Butter</v>
      </c>
    </row>
    <row r="438" spans="1:4" x14ac:dyDescent="0.3">
      <c r="A438">
        <v>905</v>
      </c>
      <c r="B438" t="s">
        <v>1402</v>
      </c>
      <c r="C438" t="s">
        <v>815</v>
      </c>
      <c r="D438" t="str">
        <f>VLOOKUP(C438,items_full!$A$2:$A$194,1,0)</f>
        <v>Milk - Excluding Butter</v>
      </c>
    </row>
    <row r="439" spans="1:4" x14ac:dyDescent="0.3">
      <c r="A439">
        <v>907</v>
      </c>
      <c r="B439" t="s">
        <v>1403</v>
      </c>
      <c r="C439" t="s">
        <v>815</v>
      </c>
      <c r="D439" t="str">
        <f>VLOOKUP(C439,items_full!$A$2:$A$194,1,0)</f>
        <v>Milk - Excluding Butter</v>
      </c>
    </row>
    <row r="440" spans="1:4" x14ac:dyDescent="0.3">
      <c r="A440">
        <v>908</v>
      </c>
      <c r="B440" t="s">
        <v>1404</v>
      </c>
      <c r="C440" t="s">
        <v>815</v>
      </c>
      <c r="D440" t="str">
        <f>VLOOKUP(C440,items_full!$A$2:$A$194,1,0)</f>
        <v>Milk - Excluding Butter</v>
      </c>
    </row>
    <row r="441" spans="1:4" x14ac:dyDescent="0.3">
      <c r="A441">
        <v>909</v>
      </c>
      <c r="B441" t="s">
        <v>1405</v>
      </c>
      <c r="C441" t="s">
        <v>815</v>
      </c>
      <c r="D441" t="str">
        <f>VLOOKUP(C441,items_full!$A$2:$A$194,1,0)</f>
        <v>Milk - Excluding Butter</v>
      </c>
    </row>
    <row r="442" spans="1:4" x14ac:dyDescent="0.3">
      <c r="A442">
        <v>910</v>
      </c>
      <c r="B442" t="s">
        <v>1406</v>
      </c>
      <c r="C442" t="s">
        <v>815</v>
      </c>
      <c r="D442" t="str">
        <f>VLOOKUP(C442,items_full!$A$2:$A$194,1,0)</f>
        <v>Milk - Excluding Butter</v>
      </c>
    </row>
    <row r="443" spans="1:4" x14ac:dyDescent="0.3">
      <c r="A443">
        <v>916</v>
      </c>
      <c r="B443" t="s">
        <v>1407</v>
      </c>
      <c r="C443" t="s">
        <v>757</v>
      </c>
      <c r="D443" t="str">
        <f>VLOOKUP(C443,items_full!$A$2:$A$194,1,0)</f>
        <v>Eggs</v>
      </c>
    </row>
    <row r="444" spans="1:4" x14ac:dyDescent="0.3">
      <c r="A444">
        <v>917</v>
      </c>
      <c r="B444" t="s">
        <v>1408</v>
      </c>
      <c r="C444" t="s">
        <v>815</v>
      </c>
      <c r="D444" t="str">
        <f>VLOOKUP(C444,items_full!$A$2:$A$194,1,0)</f>
        <v>Milk - Excluding Butter</v>
      </c>
    </row>
    <row r="445" spans="1:4" x14ac:dyDescent="0.3">
      <c r="A445">
        <v>919</v>
      </c>
      <c r="B445" t="s">
        <v>1409</v>
      </c>
      <c r="C445" t="s">
        <v>804</v>
      </c>
      <c r="D445" t="str">
        <f>VLOOKUP(C445,items_full!$A$2:$A$194,1,0)</f>
        <v>Hides and skins</v>
      </c>
    </row>
    <row r="446" spans="1:4" x14ac:dyDescent="0.3">
      <c r="A446">
        <v>920</v>
      </c>
      <c r="B446" t="s">
        <v>803</v>
      </c>
      <c r="C446" t="s">
        <v>804</v>
      </c>
      <c r="D446" t="str">
        <f>VLOOKUP(C446,items_full!$A$2:$A$194,1,0)</f>
        <v>Hides and skins</v>
      </c>
    </row>
    <row r="447" spans="1:4" x14ac:dyDescent="0.3">
      <c r="A447">
        <v>921</v>
      </c>
      <c r="B447" t="e">
        <v>#N/A</v>
      </c>
      <c r="C447" t="s">
        <v>804</v>
      </c>
      <c r="D447" t="str">
        <f>VLOOKUP(C447,items_full!$A$2:$A$194,1,0)</f>
        <v>Hides and skins</v>
      </c>
    </row>
    <row r="448" spans="1:4" x14ac:dyDescent="0.3">
      <c r="A448">
        <v>922</v>
      </c>
      <c r="B448" t="e">
        <v>#N/A</v>
      </c>
      <c r="C448" t="s">
        <v>804</v>
      </c>
      <c r="D448" t="str">
        <f>VLOOKUP(C448,items_full!$A$2:$A$194,1,0)</f>
        <v>Hides and skins</v>
      </c>
    </row>
    <row r="449" spans="1:4" x14ac:dyDescent="0.3">
      <c r="A449">
        <v>928</v>
      </c>
      <c r="B449" t="s">
        <v>1410</v>
      </c>
      <c r="C449" t="s">
        <v>804</v>
      </c>
      <c r="D449" t="str">
        <f>VLOOKUP(C449,items_full!$A$2:$A$194,1,0)</f>
        <v>Hides and skins</v>
      </c>
    </row>
    <row r="450" spans="1:4" x14ac:dyDescent="0.3">
      <c r="A450">
        <v>929</v>
      </c>
      <c r="B450" t="e">
        <v>#N/A</v>
      </c>
      <c r="C450" t="s">
        <v>804</v>
      </c>
      <c r="D450" t="str">
        <f>VLOOKUP(C450,items_full!$A$2:$A$194,1,0)</f>
        <v>Hides and skins</v>
      </c>
    </row>
    <row r="451" spans="1:4" x14ac:dyDescent="0.3">
      <c r="A451">
        <v>930</v>
      </c>
      <c r="B451" t="e">
        <v>#N/A</v>
      </c>
      <c r="C451" t="s">
        <v>804</v>
      </c>
      <c r="D451" t="str">
        <f>VLOOKUP(C451,items_full!$A$2:$A$194,1,0)</f>
        <v>Hides and skins</v>
      </c>
    </row>
    <row r="452" spans="1:4" x14ac:dyDescent="0.3">
      <c r="A452">
        <v>946</v>
      </c>
      <c r="B452" t="s">
        <v>735</v>
      </c>
      <c r="C452" t="s">
        <v>735</v>
      </c>
      <c r="D452" t="str">
        <f>VLOOKUP(C452,items_full!$A$2:$A$194,1,0)</f>
        <v>Buffaloes</v>
      </c>
    </row>
    <row r="453" spans="1:4" x14ac:dyDescent="0.3">
      <c r="A453">
        <v>947</v>
      </c>
      <c r="B453" t="s">
        <v>1411</v>
      </c>
      <c r="C453" t="s">
        <v>807</v>
      </c>
      <c r="D453" t="str">
        <f>VLOOKUP(C453,items_full!$A$2:$A$194,1,0)</f>
        <v>Bovine Meat</v>
      </c>
    </row>
    <row r="454" spans="1:4" x14ac:dyDescent="0.3">
      <c r="A454">
        <v>948</v>
      </c>
      <c r="B454" t="s">
        <v>1412</v>
      </c>
      <c r="C454" t="s">
        <v>811</v>
      </c>
      <c r="D454" t="str">
        <f>VLOOKUP(C454,items_full!$A$2:$A$194,1,0)</f>
        <v>Offals, Edible</v>
      </c>
    </row>
    <row r="455" spans="1:4" x14ac:dyDescent="0.3">
      <c r="A455">
        <v>949</v>
      </c>
      <c r="B455" t="s">
        <v>1413</v>
      </c>
      <c r="C455" t="s">
        <v>800</v>
      </c>
      <c r="D455" t="str">
        <f>VLOOKUP(C455,items_full!$A$2:$A$194,1,0)</f>
        <v>Fats, Animals, Raw</v>
      </c>
    </row>
    <row r="456" spans="1:4" x14ac:dyDescent="0.3">
      <c r="A456">
        <v>951</v>
      </c>
      <c r="B456" t="s">
        <v>1414</v>
      </c>
      <c r="C456" t="s">
        <v>815</v>
      </c>
      <c r="D456" t="str">
        <f>VLOOKUP(C456,items_full!$A$2:$A$194,1,0)</f>
        <v>Milk - Excluding Butter</v>
      </c>
    </row>
    <row r="457" spans="1:4" x14ac:dyDescent="0.3">
      <c r="A457">
        <v>952</v>
      </c>
      <c r="B457" t="s">
        <v>1415</v>
      </c>
      <c r="C457" t="s">
        <v>1384</v>
      </c>
      <c r="D457" t="str">
        <f>VLOOKUP(C457,items_full!$A$2:$A$194,1,0)</f>
        <v>Butter, Ghee</v>
      </c>
    </row>
    <row r="458" spans="1:4" x14ac:dyDescent="0.3">
      <c r="A458">
        <v>953</v>
      </c>
      <c r="B458" t="s">
        <v>1416</v>
      </c>
      <c r="C458" t="s">
        <v>1384</v>
      </c>
      <c r="D458" t="str">
        <f>VLOOKUP(C458,items_full!$A$2:$A$194,1,0)</f>
        <v>Butter, Ghee</v>
      </c>
    </row>
    <row r="459" spans="1:4" x14ac:dyDescent="0.3">
      <c r="A459">
        <v>954</v>
      </c>
      <c r="B459" t="s">
        <v>1417</v>
      </c>
      <c r="C459" t="s">
        <v>815</v>
      </c>
      <c r="D459" t="str">
        <f>VLOOKUP(C459,items_full!$A$2:$A$194,1,0)</f>
        <v>Milk - Excluding Butter</v>
      </c>
    </row>
    <row r="460" spans="1:4" x14ac:dyDescent="0.3">
      <c r="A460">
        <v>955</v>
      </c>
      <c r="B460" t="s">
        <v>1418</v>
      </c>
      <c r="C460" t="s">
        <v>815</v>
      </c>
      <c r="D460" t="str">
        <f>VLOOKUP(C460,items_full!$A$2:$A$194,1,0)</f>
        <v>Milk - Excluding Butter</v>
      </c>
    </row>
    <row r="461" spans="1:4" x14ac:dyDescent="0.3">
      <c r="A461">
        <v>957</v>
      </c>
      <c r="B461" t="s">
        <v>1419</v>
      </c>
      <c r="C461" t="s">
        <v>804</v>
      </c>
      <c r="D461" t="str">
        <f>VLOOKUP(C461,items_full!$A$2:$A$194,1,0)</f>
        <v>Hides and skins</v>
      </c>
    </row>
    <row r="462" spans="1:4" x14ac:dyDescent="0.3">
      <c r="A462">
        <v>958</v>
      </c>
      <c r="B462" t="s">
        <v>1420</v>
      </c>
      <c r="C462" t="s">
        <v>804</v>
      </c>
      <c r="D462" t="str">
        <f>VLOOKUP(C462,items_full!$A$2:$A$194,1,0)</f>
        <v>Hides and skins</v>
      </c>
    </row>
    <row r="463" spans="1:4" x14ac:dyDescent="0.3">
      <c r="A463">
        <v>959</v>
      </c>
      <c r="B463" t="s">
        <v>1421</v>
      </c>
      <c r="C463" t="s">
        <v>804</v>
      </c>
      <c r="D463" t="str">
        <f>VLOOKUP(C463,items_full!$A$2:$A$194,1,0)</f>
        <v>Hides and skins</v>
      </c>
    </row>
    <row r="464" spans="1:4" x14ac:dyDescent="0.3">
      <c r="A464">
        <v>976</v>
      </c>
      <c r="B464" t="s">
        <v>779</v>
      </c>
      <c r="C464" t="s">
        <v>779</v>
      </c>
      <c r="D464" t="str">
        <f>VLOOKUP(C464,items_full!$A$2:$A$194,1,0)</f>
        <v>Sheep</v>
      </c>
    </row>
    <row r="465" spans="1:4" x14ac:dyDescent="0.3">
      <c r="A465">
        <v>977</v>
      </c>
      <c r="B465" t="s">
        <v>871</v>
      </c>
      <c r="C465" t="s">
        <v>829</v>
      </c>
      <c r="D465" t="str">
        <f>VLOOKUP(C465,items_full!$A$2:$A$194,1,0)</f>
        <v>Mutton &amp; Goat Meat</v>
      </c>
    </row>
    <row r="466" spans="1:4" x14ac:dyDescent="0.3">
      <c r="A466">
        <v>978</v>
      </c>
      <c r="B466" t="s">
        <v>876</v>
      </c>
      <c r="C466" t="s">
        <v>811</v>
      </c>
      <c r="D466" t="str">
        <f>VLOOKUP(C466,items_full!$A$2:$A$194,1,0)</f>
        <v>Offals, Edible</v>
      </c>
    </row>
    <row r="467" spans="1:4" x14ac:dyDescent="0.3">
      <c r="A467">
        <v>979</v>
      </c>
      <c r="B467" t="s">
        <v>1422</v>
      </c>
      <c r="C467" t="s">
        <v>800</v>
      </c>
      <c r="D467" t="str">
        <f>VLOOKUP(C467,items_full!$A$2:$A$194,1,0)</f>
        <v>Fats, Animals, Raw</v>
      </c>
    </row>
    <row r="468" spans="1:4" x14ac:dyDescent="0.3">
      <c r="A468">
        <v>982</v>
      </c>
      <c r="B468" t="s">
        <v>873</v>
      </c>
      <c r="C468" t="s">
        <v>815</v>
      </c>
      <c r="D468" t="str">
        <f>VLOOKUP(C468,items_full!$A$2:$A$194,1,0)</f>
        <v>Milk - Excluding Butter</v>
      </c>
    </row>
    <row r="469" spans="1:4" x14ac:dyDescent="0.3">
      <c r="A469">
        <v>983</v>
      </c>
      <c r="B469" t="s">
        <v>1423</v>
      </c>
      <c r="C469" t="s">
        <v>1384</v>
      </c>
      <c r="D469" t="str">
        <f>VLOOKUP(C469,items_full!$A$2:$A$194,1,0)</f>
        <v>Butter, Ghee</v>
      </c>
    </row>
    <row r="470" spans="1:4" x14ac:dyDescent="0.3">
      <c r="A470">
        <v>984</v>
      </c>
      <c r="B470" t="s">
        <v>1424</v>
      </c>
      <c r="C470" t="s">
        <v>815</v>
      </c>
      <c r="D470" t="str">
        <f>VLOOKUP(C470,items_full!$A$2:$A$194,1,0)</f>
        <v>Milk - Excluding Butter</v>
      </c>
    </row>
    <row r="471" spans="1:4" x14ac:dyDescent="0.3">
      <c r="A471">
        <v>985</v>
      </c>
      <c r="B471" t="s">
        <v>1425</v>
      </c>
      <c r="C471" t="s">
        <v>815</v>
      </c>
      <c r="D471" t="str">
        <f>VLOOKUP(C471,items_full!$A$2:$A$194,1,0)</f>
        <v>Milk - Excluding Butter</v>
      </c>
    </row>
    <row r="472" spans="1:4" x14ac:dyDescent="0.3">
      <c r="A472">
        <v>987</v>
      </c>
      <c r="B472" t="s">
        <v>880</v>
      </c>
      <c r="C472" t="s">
        <v>881</v>
      </c>
      <c r="D472" t="str">
        <f>VLOOKUP(C472,items_full!$A$2:$A$194,1,0)</f>
        <v>Wool (Clean Eq.)</v>
      </c>
    </row>
    <row r="473" spans="1:4" x14ac:dyDescent="0.3">
      <c r="A473">
        <v>988</v>
      </c>
      <c r="B473" t="s">
        <v>1426</v>
      </c>
      <c r="C473" t="s">
        <v>881</v>
      </c>
      <c r="D473" t="str">
        <f>VLOOKUP(C473,items_full!$A$2:$A$194,1,0)</f>
        <v>Wool (Clean Eq.)</v>
      </c>
    </row>
    <row r="474" spans="1:4" x14ac:dyDescent="0.3">
      <c r="A474">
        <v>994</v>
      </c>
      <c r="B474" t="s">
        <v>1427</v>
      </c>
      <c r="C474" t="s">
        <v>800</v>
      </c>
      <c r="D474" t="str">
        <f>VLOOKUP(C474,items_full!$A$2:$A$194,1,0)</f>
        <v>Fats, Animals, Raw</v>
      </c>
    </row>
    <row r="475" spans="1:4" x14ac:dyDescent="0.3">
      <c r="A475">
        <v>995</v>
      </c>
      <c r="B475" t="s">
        <v>1428</v>
      </c>
      <c r="C475" t="s">
        <v>804</v>
      </c>
      <c r="D475" t="str">
        <f>VLOOKUP(C475,items_full!$A$2:$A$194,1,0)</f>
        <v>Hides and skins</v>
      </c>
    </row>
    <row r="476" spans="1:4" x14ac:dyDescent="0.3">
      <c r="A476">
        <v>996</v>
      </c>
      <c r="B476" t="s">
        <v>1429</v>
      </c>
      <c r="C476" t="s">
        <v>804</v>
      </c>
      <c r="D476" t="str">
        <f>VLOOKUP(C476,items_full!$A$2:$A$194,1,0)</f>
        <v>Hides and skins</v>
      </c>
    </row>
    <row r="477" spans="1:4" x14ac:dyDescent="0.3">
      <c r="A477">
        <v>997</v>
      </c>
      <c r="B477" t="s">
        <v>878</v>
      </c>
      <c r="C477" t="s">
        <v>804</v>
      </c>
      <c r="D477" t="str">
        <f>VLOOKUP(C477,items_full!$A$2:$A$194,1,0)</f>
        <v>Hides and skins</v>
      </c>
    </row>
    <row r="478" spans="1:4" x14ac:dyDescent="0.3">
      <c r="A478">
        <v>998</v>
      </c>
      <c r="B478" t="e">
        <v>#N/A</v>
      </c>
      <c r="C478" t="s">
        <v>804</v>
      </c>
      <c r="D478" t="str">
        <f>VLOOKUP(C478,items_full!$A$2:$A$194,1,0)</f>
        <v>Hides and skins</v>
      </c>
    </row>
    <row r="479" spans="1:4" x14ac:dyDescent="0.3">
      <c r="A479">
        <v>999</v>
      </c>
      <c r="B479" t="s">
        <v>1430</v>
      </c>
      <c r="C479" t="s">
        <v>804</v>
      </c>
      <c r="D479" t="str">
        <f>VLOOKUP(C479,items_full!$A$2:$A$194,1,0)</f>
        <v>Hides and skins</v>
      </c>
    </row>
    <row r="480" spans="1:4" x14ac:dyDescent="0.3">
      <c r="A480">
        <v>1002</v>
      </c>
      <c r="B480" t="e">
        <v>#N/A</v>
      </c>
      <c r="C480" t="s">
        <v>804</v>
      </c>
      <c r="D480" t="str">
        <f>VLOOKUP(C480,items_full!$A$2:$A$194,1,0)</f>
        <v>Hides and skins</v>
      </c>
    </row>
    <row r="481" spans="1:9" x14ac:dyDescent="0.3">
      <c r="A481">
        <v>1009</v>
      </c>
      <c r="B481" t="s">
        <v>1431</v>
      </c>
      <c r="C481" t="s">
        <v>881</v>
      </c>
      <c r="D481" t="str">
        <f>VLOOKUP(C481,items_full!$A$2:$A$194,1,0)</f>
        <v>Wool (Clean Eq.)</v>
      </c>
    </row>
    <row r="482" spans="1:9" x14ac:dyDescent="0.3">
      <c r="A482">
        <v>1016</v>
      </c>
      <c r="B482" t="s">
        <v>762</v>
      </c>
      <c r="C482" t="s">
        <v>762</v>
      </c>
      <c r="D482" t="str">
        <f>VLOOKUP(C482,items_full!$A$2:$A$194,1,0)</f>
        <v>Goats</v>
      </c>
    </row>
    <row r="483" spans="1:9" x14ac:dyDescent="0.3">
      <c r="A483">
        <v>1017</v>
      </c>
      <c r="B483" t="s">
        <v>828</v>
      </c>
      <c r="C483" t="s">
        <v>829</v>
      </c>
      <c r="D483" t="str">
        <f>VLOOKUP(C483,items_full!$A$2:$A$194,1,0)</f>
        <v>Mutton &amp; Goat Meat</v>
      </c>
    </row>
    <row r="484" spans="1:9" x14ac:dyDescent="0.3">
      <c r="A484">
        <v>1018</v>
      </c>
      <c r="B484" t="s">
        <v>1432</v>
      </c>
      <c r="C484" t="s">
        <v>811</v>
      </c>
      <c r="D484" t="str">
        <f>VLOOKUP(C484,items_full!$A$2:$A$194,1,0)</f>
        <v>Offals, Edible</v>
      </c>
    </row>
    <row r="485" spans="1:9" x14ac:dyDescent="0.3">
      <c r="A485">
        <v>1019</v>
      </c>
      <c r="B485" t="s">
        <v>826</v>
      </c>
      <c r="C485" t="s">
        <v>800</v>
      </c>
      <c r="D485" t="str">
        <f>VLOOKUP(C485,items_full!$A$2:$A$194,1,0)</f>
        <v>Fats, Animals, Raw</v>
      </c>
    </row>
    <row r="486" spans="1:9" s="1" customFormat="1" x14ac:dyDescent="0.3">
      <c r="A486">
        <v>1020</v>
      </c>
      <c r="B486" t="s">
        <v>832</v>
      </c>
      <c r="C486" t="s">
        <v>815</v>
      </c>
      <c r="D486" t="str">
        <f>VLOOKUP(C486,items_full!$A$2:$A$194,1,0)</f>
        <v>Milk - Excluding Butter</v>
      </c>
      <c r="I486" s="9"/>
    </row>
    <row r="487" spans="1:9" x14ac:dyDescent="0.3">
      <c r="A487">
        <v>1021</v>
      </c>
      <c r="B487" t="s">
        <v>1433</v>
      </c>
      <c r="C487" t="s">
        <v>815</v>
      </c>
      <c r="D487" t="str">
        <f>VLOOKUP(C487,items_full!$A$2:$A$194,1,0)</f>
        <v>Milk - Excluding Butter</v>
      </c>
    </row>
    <row r="488" spans="1:9" x14ac:dyDescent="0.3">
      <c r="A488">
        <v>1022</v>
      </c>
      <c r="B488" t="s">
        <v>1434</v>
      </c>
      <c r="C488" t="s">
        <v>1384</v>
      </c>
      <c r="D488" t="str">
        <f>VLOOKUP(C488,items_full!$A$2:$A$194,1,0)</f>
        <v>Butter, Ghee</v>
      </c>
    </row>
    <row r="489" spans="1:9" x14ac:dyDescent="0.3">
      <c r="A489">
        <v>1023</v>
      </c>
      <c r="B489" t="s">
        <v>1435</v>
      </c>
      <c r="C489" t="s">
        <v>815</v>
      </c>
      <c r="D489" t="str">
        <f>VLOOKUP(C489,items_full!$A$2:$A$194,1,0)</f>
        <v>Milk - Excluding Butter</v>
      </c>
    </row>
    <row r="490" spans="1:9" x14ac:dyDescent="0.3">
      <c r="A490">
        <v>1025</v>
      </c>
      <c r="B490" t="s">
        <v>1436</v>
      </c>
      <c r="C490" t="s">
        <v>804</v>
      </c>
      <c r="D490" t="str">
        <f>VLOOKUP(C490,items_full!$A$2:$A$194,1,0)</f>
        <v>Hides and skins</v>
      </c>
    </row>
    <row r="491" spans="1:9" x14ac:dyDescent="0.3">
      <c r="A491">
        <v>1026</v>
      </c>
      <c r="B491" t="s">
        <v>836</v>
      </c>
      <c r="C491" t="s">
        <v>804</v>
      </c>
      <c r="D491" t="str">
        <f>VLOOKUP(C491,items_full!$A$2:$A$194,1,0)</f>
        <v>Hides and skins</v>
      </c>
    </row>
    <row r="492" spans="1:9" x14ac:dyDescent="0.3">
      <c r="A492">
        <v>1027</v>
      </c>
      <c r="B492" t="e">
        <v>#N/A</v>
      </c>
      <c r="C492" t="s">
        <v>804</v>
      </c>
      <c r="D492" t="str">
        <f>VLOOKUP(C492,items_full!$A$2:$A$194,1,0)</f>
        <v>Hides and skins</v>
      </c>
    </row>
    <row r="493" spans="1:9" x14ac:dyDescent="0.3">
      <c r="A493">
        <v>1028</v>
      </c>
      <c r="B493" t="e">
        <v>#N/A</v>
      </c>
      <c r="C493" t="s">
        <v>804</v>
      </c>
      <c r="D493" t="str">
        <f>VLOOKUP(C493,items_full!$A$2:$A$194,1,0)</f>
        <v>Hides and skins</v>
      </c>
    </row>
    <row r="494" spans="1:9" x14ac:dyDescent="0.3">
      <c r="A494">
        <v>1034</v>
      </c>
      <c r="B494" t="s">
        <v>769</v>
      </c>
      <c r="C494" t="s">
        <v>769</v>
      </c>
      <c r="D494" t="str">
        <f>VLOOKUP(C494,items_full!$A$2:$A$194,1,0)</f>
        <v>Pigs</v>
      </c>
    </row>
    <row r="495" spans="1:9" x14ac:dyDescent="0.3">
      <c r="A495">
        <v>1035</v>
      </c>
      <c r="B495" t="s">
        <v>856</v>
      </c>
      <c r="C495" t="s">
        <v>857</v>
      </c>
      <c r="D495" t="str">
        <f>VLOOKUP(C495,items_full!$A$2:$A$194,1,0)</f>
        <v>Pigmeat</v>
      </c>
    </row>
    <row r="496" spans="1:9" x14ac:dyDescent="0.3">
      <c r="A496">
        <v>1036</v>
      </c>
      <c r="B496" t="s">
        <v>860</v>
      </c>
      <c r="C496" t="s">
        <v>811</v>
      </c>
      <c r="D496" t="str">
        <f>VLOOKUP(C496,items_full!$A$2:$A$194,1,0)</f>
        <v>Offals, Edible</v>
      </c>
    </row>
    <row r="497" spans="1:4" x14ac:dyDescent="0.3">
      <c r="A497">
        <v>1037</v>
      </c>
      <c r="B497" t="s">
        <v>854</v>
      </c>
      <c r="C497" t="s">
        <v>800</v>
      </c>
      <c r="D497" t="str">
        <f>VLOOKUP(C497,items_full!$A$2:$A$194,1,0)</f>
        <v>Fats, Animals, Raw</v>
      </c>
    </row>
    <row r="498" spans="1:4" x14ac:dyDescent="0.3">
      <c r="A498">
        <v>1038</v>
      </c>
      <c r="B498" t="s">
        <v>1437</v>
      </c>
      <c r="C498" t="s">
        <v>857</v>
      </c>
      <c r="D498" t="str">
        <f>VLOOKUP(C498,items_full!$A$2:$A$194,1,0)</f>
        <v>Pigmeat</v>
      </c>
    </row>
    <row r="499" spans="1:4" x14ac:dyDescent="0.3">
      <c r="A499">
        <v>1039</v>
      </c>
      <c r="B499" t="s">
        <v>1438</v>
      </c>
      <c r="C499" t="s">
        <v>857</v>
      </c>
      <c r="D499" t="str">
        <f>VLOOKUP(C499,items_full!$A$2:$A$194,1,0)</f>
        <v>Pigmeat</v>
      </c>
    </row>
    <row r="500" spans="1:4" x14ac:dyDescent="0.3">
      <c r="A500">
        <v>1041</v>
      </c>
      <c r="B500" t="s">
        <v>1439</v>
      </c>
      <c r="C500" t="s">
        <v>857</v>
      </c>
      <c r="D500" t="str">
        <f>VLOOKUP(C500,items_full!$A$2:$A$194,1,0)</f>
        <v>Pigmeat</v>
      </c>
    </row>
    <row r="501" spans="1:4" x14ac:dyDescent="0.3">
      <c r="A501">
        <v>1042</v>
      </c>
      <c r="B501" t="s">
        <v>1440</v>
      </c>
      <c r="C501" t="s">
        <v>857</v>
      </c>
      <c r="D501" t="str">
        <f>VLOOKUP(C501,items_full!$A$2:$A$194,1,0)</f>
        <v>Pigmeat</v>
      </c>
    </row>
    <row r="502" spans="1:4" x14ac:dyDescent="0.3">
      <c r="A502">
        <v>1043</v>
      </c>
      <c r="B502" t="s">
        <v>1441</v>
      </c>
      <c r="C502" t="s">
        <v>800</v>
      </c>
      <c r="D502" t="str">
        <f>VLOOKUP(C502,items_full!$A$2:$A$194,1,0)</f>
        <v>Fats, Animals, Raw</v>
      </c>
    </row>
    <row r="503" spans="1:4" x14ac:dyDescent="0.3">
      <c r="A503">
        <v>1044</v>
      </c>
      <c r="B503" t="e">
        <v>#N/A</v>
      </c>
      <c r="C503" t="s">
        <v>804</v>
      </c>
      <c r="D503" t="str">
        <f>VLOOKUP(C503,items_full!$A$2:$A$194,1,0)</f>
        <v>Hides and skins</v>
      </c>
    </row>
    <row r="504" spans="1:4" x14ac:dyDescent="0.3">
      <c r="A504">
        <v>1045</v>
      </c>
      <c r="B504" t="e">
        <v>#N/A</v>
      </c>
      <c r="C504" t="s">
        <v>804</v>
      </c>
      <c r="D504" t="str">
        <f>VLOOKUP(C504,items_full!$A$2:$A$194,1,0)</f>
        <v>Hides and skins</v>
      </c>
    </row>
    <row r="505" spans="1:4" x14ac:dyDescent="0.3">
      <c r="A505">
        <v>1046</v>
      </c>
      <c r="B505" t="e">
        <v>#N/A</v>
      </c>
      <c r="C505" t="s">
        <v>804</v>
      </c>
      <c r="D505" t="str">
        <f>VLOOKUP(C505,items_full!$A$2:$A$194,1,0)</f>
        <v>Hides and skins</v>
      </c>
    </row>
    <row r="506" spans="1:4" x14ac:dyDescent="0.3">
      <c r="A506">
        <v>1047</v>
      </c>
      <c r="B506" t="e">
        <v>#N/A</v>
      </c>
      <c r="C506" t="s">
        <v>804</v>
      </c>
      <c r="D506" t="str">
        <f>VLOOKUP(C506,items_full!$A$2:$A$194,1,0)</f>
        <v>Hides and skins</v>
      </c>
    </row>
    <row r="507" spans="1:4" x14ac:dyDescent="0.3">
      <c r="A507">
        <v>1057</v>
      </c>
      <c r="B507" t="s">
        <v>1442</v>
      </c>
      <c r="C507" t="s">
        <v>746</v>
      </c>
      <c r="D507" t="str">
        <f>VLOOKUP(C507,items_full!$A$2:$A$194,1,0)</f>
        <v>Chickens, broilers</v>
      </c>
    </row>
    <row r="508" spans="1:4" x14ac:dyDescent="0.3">
      <c r="A508">
        <v>1058</v>
      </c>
      <c r="B508" t="s">
        <v>865</v>
      </c>
      <c r="C508" t="s">
        <v>845</v>
      </c>
      <c r="D508" t="str">
        <f>VLOOKUP(C508,items_full!$A$2:$A$194,1,0)</f>
        <v>Poultry Meat</v>
      </c>
    </row>
    <row r="509" spans="1:4" x14ac:dyDescent="0.3">
      <c r="A509">
        <v>1059</v>
      </c>
      <c r="B509" t="s">
        <v>1443</v>
      </c>
      <c r="C509" t="s">
        <v>811</v>
      </c>
      <c r="D509" t="str">
        <f>VLOOKUP(C509,items_full!$A$2:$A$194,1,0)</f>
        <v>Offals, Edible</v>
      </c>
    </row>
    <row r="510" spans="1:4" x14ac:dyDescent="0.3">
      <c r="A510">
        <v>1060</v>
      </c>
      <c r="B510" t="s">
        <v>1444</v>
      </c>
      <c r="C510" t="s">
        <v>845</v>
      </c>
      <c r="D510" t="str">
        <f>VLOOKUP(C510,items_full!$A$2:$A$194,1,0)</f>
        <v>Poultry Meat</v>
      </c>
    </row>
    <row r="511" spans="1:4" x14ac:dyDescent="0.3">
      <c r="A511">
        <v>1061</v>
      </c>
      <c r="B511" t="s">
        <v>1445</v>
      </c>
      <c r="C511" t="s">
        <v>845</v>
      </c>
      <c r="D511" t="str">
        <f>VLOOKUP(C511,items_full!$A$2:$A$194,1,0)</f>
        <v>Poultry Meat</v>
      </c>
    </row>
    <row r="512" spans="1:4" x14ac:dyDescent="0.3">
      <c r="A512">
        <v>1062</v>
      </c>
      <c r="B512" t="s">
        <v>862</v>
      </c>
      <c r="C512" t="s">
        <v>757</v>
      </c>
      <c r="D512" t="str">
        <f>VLOOKUP(C512,items_full!$A$2:$A$194,1,0)</f>
        <v>Eggs</v>
      </c>
    </row>
    <row r="513" spans="1:4" x14ac:dyDescent="0.3">
      <c r="A513">
        <v>1063</v>
      </c>
      <c r="B513" t="s">
        <v>1446</v>
      </c>
      <c r="C513" t="s">
        <v>757</v>
      </c>
      <c r="D513" t="str">
        <f>VLOOKUP(C513,items_full!$A$2:$A$194,1,0)</f>
        <v>Eggs</v>
      </c>
    </row>
    <row r="514" spans="1:4" x14ac:dyDescent="0.3">
      <c r="A514">
        <v>1064</v>
      </c>
      <c r="B514" t="s">
        <v>1447</v>
      </c>
      <c r="C514" t="s">
        <v>757</v>
      </c>
      <c r="D514" t="str">
        <f>VLOOKUP(C514,items_full!$A$2:$A$194,1,0)</f>
        <v>Eggs</v>
      </c>
    </row>
    <row r="515" spans="1:4" x14ac:dyDescent="0.3">
      <c r="A515">
        <v>1065</v>
      </c>
      <c r="B515" t="s">
        <v>1448</v>
      </c>
      <c r="C515" t="s">
        <v>800</v>
      </c>
      <c r="D515" t="str">
        <f>VLOOKUP(C515,items_full!$A$2:$A$194,1,0)</f>
        <v>Fats, Animals, Raw</v>
      </c>
    </row>
    <row r="516" spans="1:4" x14ac:dyDescent="0.3">
      <c r="A516">
        <v>1066</v>
      </c>
      <c r="B516" t="s">
        <v>1449</v>
      </c>
      <c r="C516" t="s">
        <v>800</v>
      </c>
      <c r="D516" t="str">
        <f>VLOOKUP(C516,items_full!$A$2:$A$194,1,0)</f>
        <v>Fats, Animals, Raw</v>
      </c>
    </row>
    <row r="517" spans="1:4" x14ac:dyDescent="0.3">
      <c r="A517">
        <v>1068</v>
      </c>
      <c r="B517" t="s">
        <v>760</v>
      </c>
      <c r="C517" t="s">
        <v>760</v>
      </c>
      <c r="D517" t="str">
        <f>VLOOKUP(C517,items_full!$A$2:$A$194,1,0)</f>
        <v>Ducks</v>
      </c>
    </row>
    <row r="518" spans="1:4" x14ac:dyDescent="0.3">
      <c r="A518">
        <v>1069</v>
      </c>
      <c r="B518" t="s">
        <v>844</v>
      </c>
      <c r="C518" t="s">
        <v>845</v>
      </c>
      <c r="D518" t="str">
        <f>VLOOKUP(C518,items_full!$A$2:$A$194,1,0)</f>
        <v>Poultry Meat</v>
      </c>
    </row>
    <row r="519" spans="1:4" x14ac:dyDescent="0.3">
      <c r="A519">
        <v>1073</v>
      </c>
      <c r="B519" t="s">
        <v>1450</v>
      </c>
      <c r="C519" t="s">
        <v>845</v>
      </c>
      <c r="D519" t="str">
        <f>VLOOKUP(C519,items_full!$A$2:$A$194,1,0)</f>
        <v>Poultry Meat</v>
      </c>
    </row>
    <row r="520" spans="1:4" x14ac:dyDescent="0.3">
      <c r="A520">
        <v>1074</v>
      </c>
      <c r="B520" t="s">
        <v>1451</v>
      </c>
      <c r="C520" t="s">
        <v>811</v>
      </c>
      <c r="D520" t="str">
        <f>VLOOKUP(C520,items_full!$A$2:$A$194,1,0)</f>
        <v>Offals, Edible</v>
      </c>
    </row>
    <row r="521" spans="1:4" x14ac:dyDescent="0.3">
      <c r="A521">
        <v>1075</v>
      </c>
      <c r="B521" t="s">
        <v>1452</v>
      </c>
      <c r="C521" t="s">
        <v>811</v>
      </c>
      <c r="D521" t="str">
        <f>VLOOKUP(C521,items_full!$A$2:$A$194,1,0)</f>
        <v>Offals, Edible</v>
      </c>
    </row>
    <row r="522" spans="1:4" x14ac:dyDescent="0.3">
      <c r="A522">
        <v>1079</v>
      </c>
      <c r="B522" t="s">
        <v>781</v>
      </c>
      <c r="C522" t="s">
        <v>781</v>
      </c>
      <c r="D522" t="str">
        <f>VLOOKUP(C522,items_full!$A$2:$A$194,1,0)</f>
        <v>Turkeys</v>
      </c>
    </row>
    <row r="523" spans="1:4" x14ac:dyDescent="0.3">
      <c r="A523">
        <v>1080</v>
      </c>
      <c r="B523" t="s">
        <v>848</v>
      </c>
      <c r="C523" t="s">
        <v>845</v>
      </c>
      <c r="D523" t="str">
        <f>VLOOKUP(C523,items_full!$A$2:$A$194,1,0)</f>
        <v>Poultry Meat</v>
      </c>
    </row>
    <row r="524" spans="1:4" x14ac:dyDescent="0.3">
      <c r="A524">
        <v>1081</v>
      </c>
      <c r="B524" t="s">
        <v>1453</v>
      </c>
      <c r="C524" t="s">
        <v>811</v>
      </c>
      <c r="D524" t="str">
        <f>VLOOKUP(C524,items_full!$A$2:$A$194,1,0)</f>
        <v>Offals, Edible</v>
      </c>
    </row>
    <row r="525" spans="1:4" x14ac:dyDescent="0.3">
      <c r="A525">
        <v>1083</v>
      </c>
      <c r="B525" t="s">
        <v>1454</v>
      </c>
      <c r="C525" t="s">
        <v>746</v>
      </c>
      <c r="D525" t="str">
        <f>VLOOKUP(C525,items_full!$A$2:$A$194,1,0)</f>
        <v>Chickens, broilers</v>
      </c>
    </row>
    <row r="526" spans="1:4" x14ac:dyDescent="0.3">
      <c r="A526">
        <v>1089</v>
      </c>
      <c r="B526" t="s">
        <v>1455</v>
      </c>
      <c r="C526" t="s">
        <v>820</v>
      </c>
      <c r="D526" t="str">
        <f>VLOOKUP(C526,items_full!$A$2:$A$194,1,0)</f>
        <v>Meat, Other</v>
      </c>
    </row>
    <row r="527" spans="1:4" x14ac:dyDescent="0.3">
      <c r="A527">
        <v>1091</v>
      </c>
      <c r="B527" t="s">
        <v>841</v>
      </c>
      <c r="C527" t="s">
        <v>757</v>
      </c>
      <c r="D527" t="str">
        <f>VLOOKUP(C527,items_full!$A$2:$A$194,1,0)</f>
        <v>Eggs</v>
      </c>
    </row>
    <row r="528" spans="1:4" x14ac:dyDescent="0.3">
      <c r="A528">
        <v>1096</v>
      </c>
      <c r="B528" t="s">
        <v>767</v>
      </c>
      <c r="C528" t="s">
        <v>767</v>
      </c>
      <c r="D528" t="str">
        <f>VLOOKUP(C528,items_full!$A$2:$A$194,1,0)</f>
        <v>Horses</v>
      </c>
    </row>
    <row r="529" spans="1:4" x14ac:dyDescent="0.3">
      <c r="A529">
        <v>1097</v>
      </c>
      <c r="B529" t="s">
        <v>838</v>
      </c>
      <c r="C529" t="s">
        <v>820</v>
      </c>
      <c r="D529" t="str">
        <f>VLOOKUP(C529,items_full!$A$2:$A$194,1,0)</f>
        <v>Meat, Other</v>
      </c>
    </row>
    <row r="530" spans="1:4" x14ac:dyDescent="0.3">
      <c r="A530">
        <v>1098</v>
      </c>
      <c r="B530" t="s">
        <v>1456</v>
      </c>
      <c r="C530" t="s">
        <v>811</v>
      </c>
      <c r="D530" t="str">
        <f>VLOOKUP(C530,items_full!$A$2:$A$194,1,0)</f>
        <v>Offals, Edible</v>
      </c>
    </row>
    <row r="531" spans="1:4" x14ac:dyDescent="0.3">
      <c r="A531">
        <v>1103</v>
      </c>
      <c r="B531" t="s">
        <v>1457</v>
      </c>
      <c r="C531" t="s">
        <v>804</v>
      </c>
      <c r="D531" t="str">
        <f>VLOOKUP(C531,items_full!$A$2:$A$194,1,0)</f>
        <v>Hides and skins</v>
      </c>
    </row>
    <row r="532" spans="1:4" x14ac:dyDescent="0.3">
      <c r="A532">
        <v>1107</v>
      </c>
      <c r="B532" t="s">
        <v>731</v>
      </c>
      <c r="C532" t="s">
        <v>731</v>
      </c>
      <c r="D532" t="str">
        <f>VLOOKUP(C532,items_full!$A$2:$A$194,1,0)</f>
        <v>Asses</v>
      </c>
    </row>
    <row r="533" spans="1:4" x14ac:dyDescent="0.3">
      <c r="A533">
        <v>1108</v>
      </c>
      <c r="B533" t="s">
        <v>818</v>
      </c>
      <c r="C533" t="s">
        <v>820</v>
      </c>
      <c r="D533" t="str">
        <f>VLOOKUP(C533,items_full!$A$2:$A$194,1,0)</f>
        <v>Meat, Other</v>
      </c>
    </row>
    <row r="534" spans="1:4" x14ac:dyDescent="0.3">
      <c r="A534">
        <v>1110</v>
      </c>
      <c r="B534" t="s">
        <v>768</v>
      </c>
      <c r="C534" t="s">
        <v>768</v>
      </c>
      <c r="D534" t="str">
        <f>VLOOKUP(C534,items_full!$A$2:$A$194,1,0)</f>
        <v>Mules</v>
      </c>
    </row>
    <row r="535" spans="1:4" x14ac:dyDescent="0.3">
      <c r="A535">
        <v>1111</v>
      </c>
      <c r="B535" t="s">
        <v>823</v>
      </c>
      <c r="C535" t="s">
        <v>820</v>
      </c>
      <c r="D535" t="str">
        <f>VLOOKUP(C535,items_full!$A$2:$A$194,1,0)</f>
        <v>Meat, Other</v>
      </c>
    </row>
    <row r="536" spans="1:4" x14ac:dyDescent="0.3">
      <c r="A536">
        <v>1126</v>
      </c>
      <c r="B536" t="s">
        <v>738</v>
      </c>
      <c r="C536" t="s">
        <v>738</v>
      </c>
      <c r="D536" t="str">
        <f>VLOOKUP(C536,items_full!$A$2:$A$194,1,0)</f>
        <v>Camels</v>
      </c>
    </row>
    <row r="537" spans="1:4" x14ac:dyDescent="0.3">
      <c r="A537">
        <v>1127</v>
      </c>
      <c r="B537" t="s">
        <v>1458</v>
      </c>
      <c r="C537" t="s">
        <v>820</v>
      </c>
      <c r="D537" t="str">
        <f>VLOOKUP(C537,items_full!$A$2:$A$194,1,0)</f>
        <v>Meat, Other</v>
      </c>
    </row>
    <row r="538" spans="1:4" x14ac:dyDescent="0.3">
      <c r="A538">
        <v>1128</v>
      </c>
      <c r="B538" t="s">
        <v>1459</v>
      </c>
      <c r="C538" t="s">
        <v>811</v>
      </c>
      <c r="D538" t="str">
        <f>VLOOKUP(C538,items_full!$A$2:$A$194,1,0)</f>
        <v>Offals, Edible</v>
      </c>
    </row>
    <row r="539" spans="1:4" x14ac:dyDescent="0.3">
      <c r="A539">
        <v>1129</v>
      </c>
      <c r="B539" t="s">
        <v>1460</v>
      </c>
      <c r="C539" t="s">
        <v>800</v>
      </c>
      <c r="D539" t="str">
        <f>VLOOKUP(C539,items_full!$A$2:$A$194,1,0)</f>
        <v>Fats, Animals, Raw</v>
      </c>
    </row>
    <row r="540" spans="1:4" x14ac:dyDescent="0.3">
      <c r="A540">
        <v>1130</v>
      </c>
      <c r="B540" t="s">
        <v>1461</v>
      </c>
      <c r="C540" t="s">
        <v>815</v>
      </c>
      <c r="D540" t="str">
        <f>VLOOKUP(C540,items_full!$A$2:$A$194,1,0)</f>
        <v>Milk - Excluding Butter</v>
      </c>
    </row>
    <row r="541" spans="1:4" x14ac:dyDescent="0.3">
      <c r="A541">
        <v>1133</v>
      </c>
      <c r="B541" t="e">
        <v>#N/A</v>
      </c>
      <c r="C541" t="s">
        <v>804</v>
      </c>
      <c r="D541" t="str">
        <f>VLOOKUP(C541,items_full!$A$2:$A$194,1,0)</f>
        <v>Hides and skins</v>
      </c>
    </row>
    <row r="542" spans="1:4" x14ac:dyDescent="0.3">
      <c r="A542">
        <v>1134</v>
      </c>
      <c r="B542" t="s">
        <v>1462</v>
      </c>
      <c r="C542" t="s">
        <v>804</v>
      </c>
      <c r="D542" t="str">
        <f>VLOOKUP(C542,items_full!$A$2:$A$194,1,0)</f>
        <v>Hides and skins</v>
      </c>
    </row>
    <row r="543" spans="1:4" x14ac:dyDescent="0.3">
      <c r="A543">
        <v>1135</v>
      </c>
      <c r="B543" t="e">
        <v>#N/A</v>
      </c>
      <c r="C543" t="s">
        <v>804</v>
      </c>
      <c r="D543" t="str">
        <f>VLOOKUP(C543,items_full!$A$2:$A$194,1,0)</f>
        <v>Hides and skins</v>
      </c>
    </row>
    <row r="544" spans="1:4" x14ac:dyDescent="0.3">
      <c r="A544">
        <v>1136</v>
      </c>
      <c r="B544" t="s">
        <v>1463</v>
      </c>
      <c r="C544" t="s">
        <v>804</v>
      </c>
      <c r="D544" t="str">
        <f>VLOOKUP(C544,items_full!$A$2:$A$194,1,0)</f>
        <v>Hides and skins</v>
      </c>
    </row>
    <row r="545" spans="1:4" x14ac:dyDescent="0.3">
      <c r="A545">
        <v>1140</v>
      </c>
      <c r="B545" t="s">
        <v>775</v>
      </c>
      <c r="C545" t="s">
        <v>775</v>
      </c>
      <c r="D545" t="str">
        <f>VLOOKUP(C545,items_full!$A$2:$A$194,1,0)</f>
        <v>Rabbits and hares</v>
      </c>
    </row>
    <row r="546" spans="1:4" x14ac:dyDescent="0.3">
      <c r="A546">
        <v>1141</v>
      </c>
      <c r="B546" t="s">
        <v>868</v>
      </c>
      <c r="C546" t="s">
        <v>820</v>
      </c>
      <c r="D546" t="str">
        <f>VLOOKUP(C546,items_full!$A$2:$A$194,1,0)</f>
        <v>Meat, Other</v>
      </c>
    </row>
    <row r="547" spans="1:4" x14ac:dyDescent="0.3">
      <c r="A547">
        <v>1146</v>
      </c>
      <c r="B547" t="e">
        <v>#N/A</v>
      </c>
      <c r="C547" t="s">
        <v>804</v>
      </c>
      <c r="D547" t="str">
        <f>VLOOKUP(C547,items_full!$A$2:$A$194,1,0)</f>
        <v>Hides and skins</v>
      </c>
    </row>
    <row r="548" spans="1:4" x14ac:dyDescent="0.3">
      <c r="A548">
        <v>1151</v>
      </c>
      <c r="B548" t="s">
        <v>1464</v>
      </c>
      <c r="C548" t="s">
        <v>820</v>
      </c>
      <c r="D548" t="str">
        <f>VLOOKUP(C548,items_full!$A$2:$A$194,1,0)</f>
        <v>Meat, Other</v>
      </c>
    </row>
    <row r="549" spans="1:4" x14ac:dyDescent="0.3">
      <c r="A549">
        <v>1158</v>
      </c>
      <c r="B549" t="s">
        <v>1465</v>
      </c>
      <c r="C549" t="s">
        <v>820</v>
      </c>
      <c r="D549" t="str">
        <f>VLOOKUP(C549,items_full!$A$2:$A$194,1,0)</f>
        <v>Meat, Other</v>
      </c>
    </row>
    <row r="550" spans="1:4" x14ac:dyDescent="0.3">
      <c r="A550">
        <v>1159</v>
      </c>
      <c r="B550" t="s">
        <v>1466</v>
      </c>
      <c r="C550" t="s">
        <v>811</v>
      </c>
      <c r="D550" t="str">
        <f>VLOOKUP(C550,items_full!$A$2:$A$194,1,0)</f>
        <v>Offals, Edible</v>
      </c>
    </row>
    <row r="551" spans="1:4" x14ac:dyDescent="0.3">
      <c r="A551">
        <v>1160</v>
      </c>
      <c r="B551" t="s">
        <v>1467</v>
      </c>
      <c r="C551" t="s">
        <v>800</v>
      </c>
      <c r="D551" t="str">
        <f>VLOOKUP(C551,items_full!$A$2:$A$194,1,0)</f>
        <v>Fats, Animals, Raw</v>
      </c>
    </row>
    <row r="552" spans="1:4" x14ac:dyDescent="0.3">
      <c r="A552">
        <v>1163</v>
      </c>
      <c r="B552" t="s">
        <v>825</v>
      </c>
      <c r="C552" t="s">
        <v>820</v>
      </c>
      <c r="D552" t="str">
        <f>VLOOKUP(C552,items_full!$A$2:$A$194,1,0)</f>
        <v>Meat, Other</v>
      </c>
    </row>
    <row r="553" spans="1:4" x14ac:dyDescent="0.3">
      <c r="A553">
        <v>1164</v>
      </c>
      <c r="B553" t="s">
        <v>1468</v>
      </c>
      <c r="C553" t="s">
        <v>820</v>
      </c>
      <c r="D553" t="str">
        <f>VLOOKUP(C553,items_full!$A$2:$A$194,1,0)</f>
        <v>Meat, Other</v>
      </c>
    </row>
    <row r="554" spans="1:4" x14ac:dyDescent="0.3">
      <c r="A554">
        <v>1166</v>
      </c>
      <c r="B554" t="s">
        <v>851</v>
      </c>
      <c r="C554" t="s">
        <v>820</v>
      </c>
      <c r="D554" t="str">
        <f>VLOOKUP(C554,items_full!$A$2:$A$194,1,0)</f>
        <v>Meat, Other</v>
      </c>
    </row>
    <row r="555" spans="1:4" x14ac:dyDescent="0.3">
      <c r="A555">
        <v>1167</v>
      </c>
      <c r="B555" t="s">
        <v>1469</v>
      </c>
      <c r="C555" t="s">
        <v>811</v>
      </c>
      <c r="D555" t="str">
        <f>VLOOKUP(C555,items_full!$A$2:$A$194,1,0)</f>
        <v>Offals, Edible</v>
      </c>
    </row>
    <row r="556" spans="1:4" x14ac:dyDescent="0.3">
      <c r="A556">
        <v>1168</v>
      </c>
      <c r="B556" t="s">
        <v>1470</v>
      </c>
      <c r="C556" t="s">
        <v>800</v>
      </c>
      <c r="D556" t="str">
        <f>VLOOKUP(C556,items_full!$A$2:$A$194,1,0)</f>
        <v>Fats, Animals, Raw</v>
      </c>
    </row>
    <row r="557" spans="1:4" x14ac:dyDescent="0.3">
      <c r="A557">
        <v>1171</v>
      </c>
      <c r="B557" t="s">
        <v>725</v>
      </c>
      <c r="C557" t="s">
        <v>725</v>
      </c>
      <c r="D557" t="str">
        <f>VLOOKUP(C557,items_full!$A$2:$A$194,1,0)</f>
        <v>Animals live nes</v>
      </c>
    </row>
    <row r="558" spans="1:4" x14ac:dyDescent="0.3">
      <c r="A558">
        <v>1172</v>
      </c>
      <c r="B558" t="s">
        <v>1471</v>
      </c>
      <c r="C558" t="s">
        <v>820</v>
      </c>
      <c r="D558" t="str">
        <f>VLOOKUP(C558,items_full!$A$2:$A$194,1,0)</f>
        <v>Meat, Other</v>
      </c>
    </row>
    <row r="559" spans="1:4" x14ac:dyDescent="0.3">
      <c r="A559">
        <v>1173</v>
      </c>
      <c r="B559" t="s">
        <v>1472</v>
      </c>
      <c r="C559" s="1" t="s">
        <v>1473</v>
      </c>
      <c r="D559" t="str">
        <f>VLOOKUP(C559,items_full!$A$2:$A$194,1,0)</f>
        <v>Meat Meal</v>
      </c>
    </row>
    <row r="560" spans="1:4" x14ac:dyDescent="0.3">
      <c r="A560">
        <v>1175</v>
      </c>
      <c r="B560" t="s">
        <v>1474</v>
      </c>
      <c r="C560" s="1" t="s">
        <v>1473</v>
      </c>
      <c r="D560" t="str">
        <f>VLOOKUP(C560,items_full!$A$2:$A$194,1,0)</f>
        <v>Meat Meal</v>
      </c>
    </row>
    <row r="561" spans="1:4" x14ac:dyDescent="0.3">
      <c r="A561">
        <v>1176</v>
      </c>
      <c r="B561" t="s">
        <v>1475</v>
      </c>
      <c r="C561" t="s">
        <v>820</v>
      </c>
      <c r="D561" t="str">
        <f>VLOOKUP(C561,items_full!$A$2:$A$194,1,0)</f>
        <v>Meat, Other</v>
      </c>
    </row>
    <row r="562" spans="1:4" x14ac:dyDescent="0.3">
      <c r="A562">
        <v>1181</v>
      </c>
      <c r="B562" t="s">
        <v>1476</v>
      </c>
      <c r="C562" t="s">
        <v>783</v>
      </c>
      <c r="D562" t="str">
        <f>VLOOKUP(C562,items_full!$A$2:$A$194,1,0)</f>
        <v>Bees</v>
      </c>
    </row>
    <row r="563" spans="1:4" x14ac:dyDescent="0.3">
      <c r="A563">
        <v>1182</v>
      </c>
      <c r="B563" t="s">
        <v>794</v>
      </c>
      <c r="C563" t="s">
        <v>796</v>
      </c>
      <c r="D563" t="str">
        <f>VLOOKUP(C563,items_full!$A$2:$A$194,1,0)</f>
        <v>Honey</v>
      </c>
    </row>
    <row r="564" spans="1:4" x14ac:dyDescent="0.3">
      <c r="A564">
        <v>1183</v>
      </c>
      <c r="B564" t="s">
        <v>792</v>
      </c>
      <c r="C564" t="s">
        <v>1022</v>
      </c>
      <c r="D564" t="e">
        <f>VLOOKUP(C564,items_full!$A$2:$A$194,1,0)</f>
        <v>#N/A</v>
      </c>
    </row>
    <row r="565" spans="1:4" x14ac:dyDescent="0.3">
      <c r="A565">
        <v>1185</v>
      </c>
      <c r="B565" t="s">
        <v>884</v>
      </c>
      <c r="C565" t="s">
        <v>885</v>
      </c>
      <c r="D565" t="str">
        <f>VLOOKUP(C565,items_full!$A$2:$A$194,1,0)</f>
        <v>Silk</v>
      </c>
    </row>
    <row r="566" spans="1:4" x14ac:dyDescent="0.3">
      <c r="A566">
        <v>1186</v>
      </c>
      <c r="B566" t="s">
        <v>1477</v>
      </c>
      <c r="C566" t="s">
        <v>885</v>
      </c>
      <c r="D566" t="str">
        <f>VLOOKUP(C566,items_full!$A$2:$A$194,1,0)</f>
        <v>Silk</v>
      </c>
    </row>
    <row r="567" spans="1:4" x14ac:dyDescent="0.3">
      <c r="A567">
        <v>1187</v>
      </c>
      <c r="B567" t="s">
        <v>1478</v>
      </c>
      <c r="C567" t="s">
        <v>885</v>
      </c>
      <c r="D567" t="str">
        <f>VLOOKUP(C567,items_full!$A$2:$A$194,1,0)</f>
        <v>Silk</v>
      </c>
    </row>
    <row r="568" spans="1:4" x14ac:dyDescent="0.3">
      <c r="A568">
        <v>1195</v>
      </c>
      <c r="B568" t="e">
        <v>#N/A</v>
      </c>
      <c r="C568" t="s">
        <v>804</v>
      </c>
      <c r="D568" t="str">
        <f>VLOOKUP(C568,items_full!$A$2:$A$194,1,0)</f>
        <v>Hides and skins</v>
      </c>
    </row>
    <row r="569" spans="1:4" x14ac:dyDescent="0.3">
      <c r="A569">
        <v>1213</v>
      </c>
      <c r="B569" t="s">
        <v>1479</v>
      </c>
      <c r="C569" t="s">
        <v>804</v>
      </c>
      <c r="D569" t="str">
        <f>VLOOKUP(C569,items_full!$A$2:$A$194,1,0)</f>
        <v>Hides and skins</v>
      </c>
    </row>
    <row r="570" spans="1:4" x14ac:dyDescent="0.3">
      <c r="A570">
        <v>1214</v>
      </c>
      <c r="B570" t="e">
        <v>#N/A</v>
      </c>
      <c r="C570" t="s">
        <v>804</v>
      </c>
      <c r="D570" t="str">
        <f>VLOOKUP(C570,items_full!$A$2:$A$194,1,0)</f>
        <v>Hides and skins</v>
      </c>
    </row>
    <row r="571" spans="1:4" x14ac:dyDescent="0.3">
      <c r="A571">
        <v>1215</v>
      </c>
      <c r="B571" t="e">
        <v>#N/A</v>
      </c>
      <c r="C571" t="s">
        <v>804</v>
      </c>
      <c r="D571" t="str">
        <f>VLOOKUP(C571,items_full!$A$2:$A$194,1,0)</f>
        <v>Hides and skins</v>
      </c>
    </row>
    <row r="572" spans="1:4" x14ac:dyDescent="0.3">
      <c r="A572">
        <v>1218</v>
      </c>
      <c r="B572" t="s">
        <v>1480</v>
      </c>
      <c r="C572" t="s">
        <v>881</v>
      </c>
      <c r="D572" t="str">
        <f>VLOOKUP(C572,items_full!$A$2:$A$194,1,0)</f>
        <v>Wool (Clean Eq.)</v>
      </c>
    </row>
    <row r="573" spans="1:4" x14ac:dyDescent="0.3">
      <c r="A573">
        <v>1221</v>
      </c>
      <c r="B573" t="s">
        <v>1481</v>
      </c>
      <c r="C573" t="s">
        <v>800</v>
      </c>
      <c r="D573" t="str">
        <f>VLOOKUP(C573,items_full!$A$2:$A$194,1,0)</f>
        <v>Fats, Animals, Raw</v>
      </c>
    </row>
    <row r="574" spans="1:4" x14ac:dyDescent="0.3">
      <c r="A574">
        <v>1222</v>
      </c>
      <c r="B574" t="s">
        <v>1482</v>
      </c>
      <c r="C574" t="s">
        <v>800</v>
      </c>
      <c r="D574" t="str">
        <f>VLOOKUP(C574,items_full!$A$2:$A$194,1,0)</f>
        <v>Fats, Animals, Raw</v>
      </c>
    </row>
    <row r="575" spans="1:4" x14ac:dyDescent="0.3">
      <c r="A575">
        <v>1225</v>
      </c>
      <c r="B575" t="s">
        <v>886</v>
      </c>
      <c r="C575" t="s">
        <v>800</v>
      </c>
      <c r="D575" t="str">
        <f>VLOOKUP(C575,items_full!$A$2:$A$194,1,0)</f>
        <v>Fats, Animals, Raw</v>
      </c>
    </row>
    <row r="576" spans="1:4" x14ac:dyDescent="0.3">
      <c r="A576">
        <v>1232</v>
      </c>
      <c r="B576" t="s">
        <v>1483</v>
      </c>
      <c r="C576" t="s">
        <v>1022</v>
      </c>
      <c r="D576" t="e">
        <f>VLOOKUP(C576,items_full!$A$2:$A$194,1,0)</f>
        <v>#N/A</v>
      </c>
    </row>
    <row r="577" spans="1:4" x14ac:dyDescent="0.3">
      <c r="A577">
        <v>1241</v>
      </c>
      <c r="B577" t="s">
        <v>1484</v>
      </c>
      <c r="C577" t="s">
        <v>1102</v>
      </c>
      <c r="D577" t="str">
        <f>VLOOKUP(C577,items_full!$A$2:$A$194,1,0)</f>
        <v>Oilcrops Oil, Other</v>
      </c>
    </row>
    <row r="578" spans="1:4" x14ac:dyDescent="0.3">
      <c r="A578">
        <v>1242</v>
      </c>
      <c r="B578" t="s">
        <v>1485</v>
      </c>
      <c r="C578" t="s">
        <v>1102</v>
      </c>
      <c r="D578" t="str">
        <f>VLOOKUP(C578,items_full!$A$2:$A$194,1,0)</f>
        <v>Oilcrops Oil, Other</v>
      </c>
    </row>
    <row r="579" spans="1:4" x14ac:dyDescent="0.3">
      <c r="A579">
        <v>1243</v>
      </c>
      <c r="B579" t="s">
        <v>1486</v>
      </c>
      <c r="C579" t="s">
        <v>800</v>
      </c>
      <c r="D579" t="str">
        <f>VLOOKUP(C579,items_full!$A$2:$A$194,1,0)</f>
        <v>Fats, Animals, Raw</v>
      </c>
    </row>
    <row r="580" spans="1:4" x14ac:dyDescent="0.3">
      <c r="A580">
        <v>1273</v>
      </c>
      <c r="B580" t="s">
        <v>1487</v>
      </c>
      <c r="C580" t="s">
        <v>1102</v>
      </c>
      <c r="D580" t="str">
        <f>VLOOKUP(C580,items_full!$A$2:$A$194,1,0)</f>
        <v>Oilcrops Oil, Other</v>
      </c>
    </row>
    <row r="581" spans="1:4" x14ac:dyDescent="0.3">
      <c r="A581">
        <v>1274</v>
      </c>
      <c r="B581" t="s">
        <v>1488</v>
      </c>
      <c r="C581" t="s">
        <v>1102</v>
      </c>
      <c r="D581" t="str">
        <f>VLOOKUP(C581,items_full!$A$2:$A$194,1,0)</f>
        <v>Oilcrops Oil, Other</v>
      </c>
    </row>
    <row r="582" spans="1:4" x14ac:dyDescent="0.3">
      <c r="A582">
        <v>1275</v>
      </c>
      <c r="B582" t="s">
        <v>1489</v>
      </c>
      <c r="C582" t="s">
        <v>1102</v>
      </c>
      <c r="D582" t="str">
        <f>VLOOKUP(C582,items_full!$A$2:$A$194,1,0)</f>
        <v>Oilcrops Oil, Other</v>
      </c>
    </row>
    <row r="583" spans="1:4" x14ac:dyDescent="0.3">
      <c r="A583">
        <v>1276</v>
      </c>
      <c r="B583" t="s">
        <v>1490</v>
      </c>
      <c r="C583" t="s">
        <v>1089</v>
      </c>
      <c r="D583" t="str">
        <f>VLOOKUP(C583,items_full!$A$2:$A$194,1,0)</f>
        <v>Palm Oil</v>
      </c>
    </row>
    <row r="584" spans="1:4" x14ac:dyDescent="0.3">
      <c r="A584">
        <v>1277</v>
      </c>
      <c r="B584" t="s">
        <v>1491</v>
      </c>
      <c r="C584" t="s">
        <v>1089</v>
      </c>
      <c r="D584" t="str">
        <f>VLOOKUP(C584,items_full!$A$2:$A$194,1,0)</f>
        <v>Palm Oil</v>
      </c>
    </row>
    <row r="585" spans="1:4" x14ac:dyDescent="0.3">
      <c r="A585">
        <v>1293</v>
      </c>
      <c r="B585" t="s">
        <v>1492</v>
      </c>
      <c r="C585" t="s">
        <v>1022</v>
      </c>
      <c r="D585" t="e">
        <f>VLOOKUP(C585,items_full!$A$2:$A$194,1,0)</f>
        <v>#N/A</v>
      </c>
    </row>
    <row r="586" spans="1:4" x14ac:dyDescent="0.3">
      <c r="A586">
        <v>1295</v>
      </c>
      <c r="B586" t="s">
        <v>4697</v>
      </c>
      <c r="C586" t="s">
        <v>2015</v>
      </c>
      <c r="D586" t="str">
        <f>VLOOKUP(C586,items_full!$A$2:$A$194,1,0)</f>
        <v>Fish, Body Oil</v>
      </c>
    </row>
    <row r="587" spans="1:4" x14ac:dyDescent="0.3">
      <c r="A587">
        <v>1296</v>
      </c>
      <c r="B587" t="s">
        <v>1493</v>
      </c>
      <c r="C587" t="s">
        <v>1102</v>
      </c>
      <c r="D587" t="str">
        <f>VLOOKUP(C587,items_full!$A$2:$A$194,1,0)</f>
        <v>Oilcrops Oil, Other</v>
      </c>
    </row>
    <row r="588" spans="1:4" x14ac:dyDescent="0.3">
      <c r="A588">
        <v>1501</v>
      </c>
      <c r="B588" t="e">
        <v>#N/A</v>
      </c>
      <c r="C588" s="1" t="s">
        <v>1494</v>
      </c>
      <c r="D588" t="str">
        <f>VLOOKUP(C588,items_full!$A$2:$A$194,1,0)</f>
        <v>Marine Fish, Other</v>
      </c>
    </row>
    <row r="589" spans="1:4" x14ac:dyDescent="0.3">
      <c r="A589">
        <v>1503</v>
      </c>
      <c r="B589" t="e">
        <v>#N/A</v>
      </c>
      <c r="C589" s="1" t="s">
        <v>1494</v>
      </c>
      <c r="D589" t="str">
        <f>VLOOKUP(C589,items_full!$A$2:$A$194,1,0)</f>
        <v>Marine Fish, Other</v>
      </c>
    </row>
    <row r="590" spans="1:4" x14ac:dyDescent="0.3">
      <c r="A590">
        <v>1504</v>
      </c>
      <c r="B590" t="e">
        <v>#N/A</v>
      </c>
      <c r="C590" s="1" t="s">
        <v>1494</v>
      </c>
      <c r="D590" t="str">
        <f>VLOOKUP(C590,items_full!$A$2:$A$194,1,0)</f>
        <v>Marine Fish, Other</v>
      </c>
    </row>
    <row r="591" spans="1:4" x14ac:dyDescent="0.3">
      <c r="A591">
        <v>1505</v>
      </c>
      <c r="B591" t="e">
        <v>#N/A</v>
      </c>
      <c r="C591" s="1" t="s">
        <v>1494</v>
      </c>
      <c r="D591" t="str">
        <f>VLOOKUP(C591,items_full!$A$2:$A$194,1,0)</f>
        <v>Marine Fish, Other</v>
      </c>
    </row>
    <row r="592" spans="1:4" x14ac:dyDescent="0.3">
      <c r="A592">
        <v>1506</v>
      </c>
      <c r="B592" t="e">
        <v>#N/A</v>
      </c>
      <c r="C592" s="1" t="s">
        <v>1494</v>
      </c>
      <c r="D592" t="str">
        <f>VLOOKUP(C592,items_full!$A$2:$A$194,1,0)</f>
        <v>Marine Fish, Other</v>
      </c>
    </row>
    <row r="593" spans="1:4" x14ac:dyDescent="0.3">
      <c r="A593">
        <v>1507</v>
      </c>
      <c r="B593" t="e">
        <v>#N/A</v>
      </c>
      <c r="C593" s="1" t="s">
        <v>1494</v>
      </c>
      <c r="D593" t="str">
        <f>VLOOKUP(C593,items_full!$A$2:$A$194,1,0)</f>
        <v>Marine Fish, Other</v>
      </c>
    </row>
    <row r="594" spans="1:4" x14ac:dyDescent="0.3">
      <c r="A594">
        <v>1508</v>
      </c>
      <c r="B594" t="e">
        <v>#N/A</v>
      </c>
      <c r="C594" s="1" t="s">
        <v>1494</v>
      </c>
      <c r="D594" t="str">
        <f>VLOOKUP(C594,items_full!$A$2:$A$194,1,0)</f>
        <v>Marine Fish, Other</v>
      </c>
    </row>
    <row r="595" spans="1:4" x14ac:dyDescent="0.3">
      <c r="A595">
        <v>1509</v>
      </c>
      <c r="B595" t="e">
        <v>#N/A</v>
      </c>
      <c r="C595" s="1" t="s">
        <v>1494</v>
      </c>
      <c r="D595" t="str">
        <f>VLOOKUP(C595,items_full!$A$2:$A$194,1,0)</f>
        <v>Marine Fish, Other</v>
      </c>
    </row>
    <row r="596" spans="1:4" x14ac:dyDescent="0.3">
      <c r="A596">
        <v>1510</v>
      </c>
      <c r="B596" t="e">
        <v>#N/A</v>
      </c>
      <c r="C596" s="1" t="s">
        <v>1494</v>
      </c>
      <c r="D596" t="str">
        <f>VLOOKUP(C596,items_full!$A$2:$A$194,1,0)</f>
        <v>Marine Fish, Other</v>
      </c>
    </row>
    <row r="597" spans="1:4" x14ac:dyDescent="0.3">
      <c r="A597">
        <v>1511</v>
      </c>
      <c r="B597" t="e">
        <v>#N/A</v>
      </c>
      <c r="C597" s="1" t="s">
        <v>1494</v>
      </c>
      <c r="D597" t="str">
        <f>VLOOKUP(C597,items_full!$A$2:$A$194,1,0)</f>
        <v>Marine Fish, Other</v>
      </c>
    </row>
    <row r="598" spans="1:4" x14ac:dyDescent="0.3">
      <c r="A598">
        <v>1514</v>
      </c>
      <c r="B598" t="e">
        <v>#N/A</v>
      </c>
      <c r="C598" s="1" t="s">
        <v>1494</v>
      </c>
      <c r="D598" t="str">
        <f>VLOOKUP(C598,items_full!$A$2:$A$194,1,0)</f>
        <v>Marine Fish, Other</v>
      </c>
    </row>
    <row r="599" spans="1:4" x14ac:dyDescent="0.3">
      <c r="A599">
        <v>1515</v>
      </c>
      <c r="B599" t="e">
        <v>#N/A</v>
      </c>
      <c r="C599" s="1" t="s">
        <v>1494</v>
      </c>
      <c r="D599" t="str">
        <f>VLOOKUP(C599,items_full!$A$2:$A$194,1,0)</f>
        <v>Marine Fish, Other</v>
      </c>
    </row>
    <row r="600" spans="1:4" x14ac:dyDescent="0.3">
      <c r="A600">
        <v>1516</v>
      </c>
      <c r="B600" t="e">
        <v>#N/A</v>
      </c>
      <c r="C600" s="1" t="s">
        <v>1494</v>
      </c>
      <c r="D600" t="str">
        <f>VLOOKUP(C600,items_full!$A$2:$A$194,1,0)</f>
        <v>Marine Fish, Other</v>
      </c>
    </row>
    <row r="601" spans="1:4" x14ac:dyDescent="0.3">
      <c r="A601">
        <v>1517</v>
      </c>
      <c r="B601" t="e">
        <v>#N/A</v>
      </c>
      <c r="C601" s="1" t="s">
        <v>1494</v>
      </c>
      <c r="D601" t="str">
        <f>VLOOKUP(C601,items_full!$A$2:$A$194,1,0)</f>
        <v>Marine Fish, Other</v>
      </c>
    </row>
    <row r="602" spans="1:4" x14ac:dyDescent="0.3">
      <c r="A602">
        <v>1518</v>
      </c>
      <c r="B602" t="e">
        <v>#N/A</v>
      </c>
      <c r="C602" s="1" t="s">
        <v>1494</v>
      </c>
      <c r="D602" t="str">
        <f>VLOOKUP(C602,items_full!$A$2:$A$194,1,0)</f>
        <v>Marine Fish, Other</v>
      </c>
    </row>
    <row r="603" spans="1:4" x14ac:dyDescent="0.3">
      <c r="A603">
        <v>1519</v>
      </c>
      <c r="B603" t="e">
        <v>#N/A</v>
      </c>
      <c r="C603" s="1" t="s">
        <v>1494</v>
      </c>
      <c r="D603" t="str">
        <f>VLOOKUP(C603,items_full!$A$2:$A$194,1,0)</f>
        <v>Marine Fish, Other</v>
      </c>
    </row>
    <row r="604" spans="1:4" x14ac:dyDescent="0.3">
      <c r="A604">
        <v>1520</v>
      </c>
      <c r="B604" t="e">
        <v>#N/A</v>
      </c>
      <c r="C604" s="1" t="s">
        <v>1494</v>
      </c>
      <c r="D604" t="str">
        <f>VLOOKUP(C604,items_full!$A$2:$A$194,1,0)</f>
        <v>Marine Fish, Other</v>
      </c>
    </row>
    <row r="605" spans="1:4" x14ac:dyDescent="0.3">
      <c r="A605">
        <v>1521</v>
      </c>
      <c r="B605" t="e">
        <v>#N/A</v>
      </c>
      <c r="C605" s="1" t="s">
        <v>1494</v>
      </c>
      <c r="D605" t="str">
        <f>VLOOKUP(C605,items_full!$A$2:$A$194,1,0)</f>
        <v>Marine Fish, Other</v>
      </c>
    </row>
    <row r="606" spans="1:4" x14ac:dyDescent="0.3">
      <c r="A606">
        <v>1522</v>
      </c>
      <c r="B606" t="e">
        <v>#N/A</v>
      </c>
      <c r="C606" s="1" t="s">
        <v>1494</v>
      </c>
      <c r="D606" t="str">
        <f>VLOOKUP(C606,items_full!$A$2:$A$194,1,0)</f>
        <v>Marine Fish, Other</v>
      </c>
    </row>
    <row r="607" spans="1:4" x14ac:dyDescent="0.3">
      <c r="A607">
        <v>1523</v>
      </c>
      <c r="B607" t="e">
        <v>#N/A</v>
      </c>
      <c r="C607" s="1" t="s">
        <v>1494</v>
      </c>
      <c r="D607" t="str">
        <f>VLOOKUP(C607,items_full!$A$2:$A$194,1,0)</f>
        <v>Marine Fish, Other</v>
      </c>
    </row>
    <row r="608" spans="1:4" x14ac:dyDescent="0.3">
      <c r="A608">
        <v>1524</v>
      </c>
      <c r="B608" t="e">
        <v>#N/A</v>
      </c>
      <c r="C608" s="1" t="s">
        <v>1494</v>
      </c>
      <c r="D608" t="str">
        <f>VLOOKUP(C608,items_full!$A$2:$A$194,1,0)</f>
        <v>Marine Fish, Other</v>
      </c>
    </row>
    <row r="609" spans="1:4" x14ac:dyDescent="0.3">
      <c r="A609">
        <v>1527</v>
      </c>
      <c r="B609" t="e">
        <v>#N/A</v>
      </c>
      <c r="C609" s="1" t="s">
        <v>1494</v>
      </c>
      <c r="D609" t="str">
        <f>VLOOKUP(C609,items_full!$A$2:$A$194,1,0)</f>
        <v>Marine Fish, Other</v>
      </c>
    </row>
    <row r="610" spans="1:4" x14ac:dyDescent="0.3">
      <c r="A610">
        <v>1528</v>
      </c>
      <c r="B610" t="e">
        <v>#N/A</v>
      </c>
      <c r="C610" s="1" t="s">
        <v>1494</v>
      </c>
      <c r="D610" t="str">
        <f>VLOOKUP(C610,items_full!$A$2:$A$194,1,0)</f>
        <v>Marine Fish, Other</v>
      </c>
    </row>
    <row r="611" spans="1:4" x14ac:dyDescent="0.3">
      <c r="A611">
        <v>1529</v>
      </c>
      <c r="B611" t="e">
        <v>#N/A</v>
      </c>
      <c r="C611" s="1" t="s">
        <v>1494</v>
      </c>
      <c r="D611" t="str">
        <f>VLOOKUP(C611,items_full!$A$2:$A$194,1,0)</f>
        <v>Marine Fish, Other</v>
      </c>
    </row>
    <row r="612" spans="1:4" x14ac:dyDescent="0.3">
      <c r="A612">
        <v>1530</v>
      </c>
      <c r="B612" t="e">
        <v>#N/A</v>
      </c>
      <c r="C612" s="1" t="s">
        <v>1494</v>
      </c>
      <c r="D612" t="str">
        <f>VLOOKUP(C612,items_full!$A$2:$A$194,1,0)</f>
        <v>Marine Fish, Other</v>
      </c>
    </row>
    <row r="613" spans="1:4" x14ac:dyDescent="0.3">
      <c r="A613">
        <v>1531</v>
      </c>
      <c r="B613" t="e">
        <v>#N/A</v>
      </c>
      <c r="C613" s="1" t="s">
        <v>1494</v>
      </c>
      <c r="D613" t="str">
        <f>VLOOKUP(C613,items_full!$A$2:$A$194,1,0)</f>
        <v>Marine Fish, Other</v>
      </c>
    </row>
    <row r="614" spans="1:4" x14ac:dyDescent="0.3">
      <c r="A614">
        <v>1532</v>
      </c>
      <c r="B614" t="e">
        <v>#N/A</v>
      </c>
      <c r="C614" s="1" t="s">
        <v>1494</v>
      </c>
      <c r="D614" t="str">
        <f>VLOOKUP(C614,items_full!$A$2:$A$194,1,0)</f>
        <v>Marine Fish, Other</v>
      </c>
    </row>
    <row r="615" spans="1:4" x14ac:dyDescent="0.3">
      <c r="A615">
        <v>1533</v>
      </c>
      <c r="B615" t="e">
        <v>#N/A</v>
      </c>
      <c r="C615" s="1" t="s">
        <v>1494</v>
      </c>
      <c r="D615" t="str">
        <f>VLOOKUP(C615,items_full!$A$2:$A$194,1,0)</f>
        <v>Marine Fish, Other</v>
      </c>
    </row>
    <row r="616" spans="1:4" x14ac:dyDescent="0.3">
      <c r="A616">
        <v>1534</v>
      </c>
      <c r="B616" t="e">
        <v>#N/A</v>
      </c>
      <c r="C616" s="1" t="s">
        <v>1494</v>
      </c>
      <c r="D616" t="str">
        <f>VLOOKUP(C616,items_full!$A$2:$A$194,1,0)</f>
        <v>Marine Fish, Other</v>
      </c>
    </row>
    <row r="617" spans="1:4" x14ac:dyDescent="0.3">
      <c r="A617">
        <v>1535</v>
      </c>
      <c r="B617" t="e">
        <v>#N/A</v>
      </c>
      <c r="C617" s="1" t="s">
        <v>1494</v>
      </c>
      <c r="D617" t="str">
        <f>VLOOKUP(C617,items_full!$A$2:$A$194,1,0)</f>
        <v>Marine Fish, Other</v>
      </c>
    </row>
    <row r="618" spans="1:4" x14ac:dyDescent="0.3">
      <c r="A618">
        <v>1536</v>
      </c>
      <c r="B618" t="e">
        <v>#N/A</v>
      </c>
      <c r="C618" s="1" t="s">
        <v>1494</v>
      </c>
      <c r="D618" t="str">
        <f>VLOOKUP(C618,items_full!$A$2:$A$194,1,0)</f>
        <v>Marine Fish, Other</v>
      </c>
    </row>
    <row r="619" spans="1:4" x14ac:dyDescent="0.3">
      <c r="A619">
        <v>1537</v>
      </c>
      <c r="B619" t="e">
        <v>#N/A</v>
      </c>
      <c r="C619" s="1" t="s">
        <v>1494</v>
      </c>
      <c r="D619" t="str">
        <f>VLOOKUP(C619,items_full!$A$2:$A$194,1,0)</f>
        <v>Marine Fish, Other</v>
      </c>
    </row>
    <row r="620" spans="1:4" x14ac:dyDescent="0.3">
      <c r="A620">
        <v>1540</v>
      </c>
      <c r="B620" t="e">
        <v>#N/A</v>
      </c>
      <c r="C620" s="1" t="s">
        <v>1494</v>
      </c>
      <c r="D620" t="str">
        <f>VLOOKUP(C620,items_full!$A$2:$A$194,1,0)</f>
        <v>Marine Fish, Other</v>
      </c>
    </row>
    <row r="621" spans="1:4" x14ac:dyDescent="0.3">
      <c r="A621">
        <v>1541</v>
      </c>
      <c r="B621" t="e">
        <v>#N/A</v>
      </c>
      <c r="C621" s="1" t="s">
        <v>1494</v>
      </c>
      <c r="D621" t="str">
        <f>VLOOKUP(C621,items_full!$A$2:$A$194,1,0)</f>
        <v>Marine Fish, Other</v>
      </c>
    </row>
    <row r="622" spans="1:4" x14ac:dyDescent="0.3">
      <c r="A622">
        <v>1542</v>
      </c>
      <c r="B622" t="e">
        <v>#N/A</v>
      </c>
      <c r="C622" s="1" t="s">
        <v>1494</v>
      </c>
      <c r="D622" t="str">
        <f>VLOOKUP(C622,items_full!$A$2:$A$194,1,0)</f>
        <v>Marine Fish, Other</v>
      </c>
    </row>
    <row r="623" spans="1:4" x14ac:dyDescent="0.3">
      <c r="A623">
        <v>1543</v>
      </c>
      <c r="B623" t="e">
        <v>#N/A</v>
      </c>
      <c r="C623" s="1" t="s">
        <v>1494</v>
      </c>
      <c r="D623" t="str">
        <f>VLOOKUP(C623,items_full!$A$2:$A$194,1,0)</f>
        <v>Marine Fish, Other</v>
      </c>
    </row>
    <row r="624" spans="1:4" x14ac:dyDescent="0.3">
      <c r="A624">
        <v>1544</v>
      </c>
      <c r="B624" t="e">
        <v>#N/A</v>
      </c>
      <c r="C624" s="1" t="s">
        <v>1494</v>
      </c>
      <c r="D624" t="str">
        <f>VLOOKUP(C624,items_full!$A$2:$A$194,1,0)</f>
        <v>Marine Fish, Other</v>
      </c>
    </row>
    <row r="625" spans="1:4" x14ac:dyDescent="0.3">
      <c r="A625">
        <v>1545</v>
      </c>
      <c r="B625" t="e">
        <v>#N/A</v>
      </c>
      <c r="C625" s="1" t="s">
        <v>1494</v>
      </c>
      <c r="D625" t="str">
        <f>VLOOKUP(C625,items_full!$A$2:$A$194,1,0)</f>
        <v>Marine Fish, Other</v>
      </c>
    </row>
    <row r="626" spans="1:4" x14ac:dyDescent="0.3">
      <c r="A626">
        <v>1546</v>
      </c>
      <c r="B626" t="e">
        <v>#N/A</v>
      </c>
      <c r="C626" s="1" t="s">
        <v>1494</v>
      </c>
      <c r="D626" t="str">
        <f>VLOOKUP(C626,items_full!$A$2:$A$194,1,0)</f>
        <v>Marine Fish, Other</v>
      </c>
    </row>
    <row r="627" spans="1:4" x14ac:dyDescent="0.3">
      <c r="A627">
        <v>1547</v>
      </c>
      <c r="B627" t="e">
        <v>#N/A</v>
      </c>
      <c r="C627" s="1" t="s">
        <v>1494</v>
      </c>
      <c r="D627" t="str">
        <f>VLOOKUP(C627,items_full!$A$2:$A$194,1,0)</f>
        <v>Marine Fish, Other</v>
      </c>
    </row>
    <row r="628" spans="1:4" x14ac:dyDescent="0.3">
      <c r="A628">
        <v>1549</v>
      </c>
      <c r="B628" t="e">
        <v>#N/A</v>
      </c>
      <c r="C628" s="1" t="s">
        <v>1494</v>
      </c>
      <c r="D628" t="str">
        <f>VLOOKUP(C628,items_full!$A$2:$A$194,1,0)</f>
        <v>Marine Fish, Other</v>
      </c>
    </row>
    <row r="629" spans="1:4" x14ac:dyDescent="0.3">
      <c r="A629">
        <v>1550</v>
      </c>
      <c r="B629" t="e">
        <v>#N/A</v>
      </c>
      <c r="C629" s="1" t="s">
        <v>1494</v>
      </c>
      <c r="D629" t="str">
        <f>VLOOKUP(C629,items_full!$A$2:$A$194,1,0)</f>
        <v>Marine Fish, Other</v>
      </c>
    </row>
    <row r="630" spans="1:4" x14ac:dyDescent="0.3">
      <c r="A630">
        <v>1553</v>
      </c>
      <c r="B630" t="e">
        <v>#N/A</v>
      </c>
      <c r="C630" s="1" t="s">
        <v>1494</v>
      </c>
      <c r="D630" t="str">
        <f>VLOOKUP(C630,items_full!$A$2:$A$194,1,0)</f>
        <v>Marine Fish, Other</v>
      </c>
    </row>
    <row r="631" spans="1:4" x14ac:dyDescent="0.3">
      <c r="A631">
        <v>1554</v>
      </c>
      <c r="B631" t="e">
        <v>#N/A</v>
      </c>
      <c r="C631" s="1" t="s">
        <v>1494</v>
      </c>
      <c r="D631" t="str">
        <f>VLOOKUP(C631,items_full!$A$2:$A$194,1,0)</f>
        <v>Marine Fish, Other</v>
      </c>
    </row>
    <row r="632" spans="1:4" x14ac:dyDescent="0.3">
      <c r="A632">
        <v>1555</v>
      </c>
      <c r="B632" t="e">
        <v>#N/A</v>
      </c>
      <c r="C632" s="1" t="s">
        <v>1494</v>
      </c>
      <c r="D632" t="str">
        <f>VLOOKUP(C632,items_full!$A$2:$A$194,1,0)</f>
        <v>Marine Fish, Other</v>
      </c>
    </row>
    <row r="633" spans="1:4" x14ac:dyDescent="0.3">
      <c r="A633">
        <v>1556</v>
      </c>
      <c r="B633" t="e">
        <v>#N/A</v>
      </c>
      <c r="C633" s="1" t="s">
        <v>1494</v>
      </c>
      <c r="D633" t="str">
        <f>VLOOKUP(C633,items_full!$A$2:$A$194,1,0)</f>
        <v>Marine Fish, Other</v>
      </c>
    </row>
    <row r="634" spans="1:4" x14ac:dyDescent="0.3">
      <c r="A634">
        <v>1557</v>
      </c>
      <c r="B634" t="e">
        <v>#N/A</v>
      </c>
      <c r="C634" s="1" t="s">
        <v>1494</v>
      </c>
      <c r="D634" t="str">
        <f>VLOOKUP(C634,items_full!$A$2:$A$194,1,0)</f>
        <v>Marine Fish, Other</v>
      </c>
    </row>
    <row r="635" spans="1:4" x14ac:dyDescent="0.3">
      <c r="A635">
        <v>1558</v>
      </c>
      <c r="B635" t="e">
        <v>#N/A</v>
      </c>
      <c r="C635" s="1" t="s">
        <v>1494</v>
      </c>
      <c r="D635" t="str">
        <f>VLOOKUP(C635,items_full!$A$2:$A$194,1,0)</f>
        <v>Marine Fish, Other</v>
      </c>
    </row>
    <row r="636" spans="1:4" x14ac:dyDescent="0.3">
      <c r="A636">
        <v>1559</v>
      </c>
      <c r="B636" t="e">
        <v>#N/A</v>
      </c>
      <c r="C636" s="1" t="s">
        <v>1494</v>
      </c>
      <c r="D636" t="str">
        <f>VLOOKUP(C636,items_full!$A$2:$A$194,1,0)</f>
        <v>Marine Fish, Other</v>
      </c>
    </row>
    <row r="637" spans="1:4" x14ac:dyDescent="0.3">
      <c r="A637">
        <v>1562</v>
      </c>
      <c r="B637" t="e">
        <v>#N/A</v>
      </c>
      <c r="C637" s="1" t="s">
        <v>1494</v>
      </c>
      <c r="D637" t="str">
        <f>VLOOKUP(C637,items_full!$A$2:$A$194,1,0)</f>
        <v>Marine Fish, Other</v>
      </c>
    </row>
    <row r="638" spans="1:4" x14ac:dyDescent="0.3">
      <c r="A638">
        <v>1563</v>
      </c>
      <c r="B638" t="e">
        <v>#N/A</v>
      </c>
      <c r="C638" s="1" t="s">
        <v>1494</v>
      </c>
      <c r="D638" t="str">
        <f>VLOOKUP(C638,items_full!$A$2:$A$194,1,0)</f>
        <v>Marine Fish, Other</v>
      </c>
    </row>
    <row r="639" spans="1:4" x14ac:dyDescent="0.3">
      <c r="A639">
        <v>1564</v>
      </c>
      <c r="B639" t="e">
        <v>#N/A</v>
      </c>
      <c r="C639" s="1" t="s">
        <v>1494</v>
      </c>
      <c r="D639" t="str">
        <f>VLOOKUP(C639,items_full!$A$2:$A$194,1,0)</f>
        <v>Marine Fish, Other</v>
      </c>
    </row>
    <row r="640" spans="1:4" x14ac:dyDescent="0.3">
      <c r="A640">
        <v>1565</v>
      </c>
      <c r="B640" t="e">
        <v>#N/A</v>
      </c>
      <c r="C640" s="1" t="s">
        <v>1494</v>
      </c>
      <c r="D640" t="str">
        <f>VLOOKUP(C640,items_full!$A$2:$A$194,1,0)</f>
        <v>Marine Fish, Other</v>
      </c>
    </row>
    <row r="641" spans="1:4" x14ac:dyDescent="0.3">
      <c r="A641">
        <v>1566</v>
      </c>
      <c r="B641" t="e">
        <v>#N/A</v>
      </c>
      <c r="C641" s="1" t="s">
        <v>1494</v>
      </c>
      <c r="D641" t="str">
        <f>VLOOKUP(C641,items_full!$A$2:$A$194,1,0)</f>
        <v>Marine Fish, Other</v>
      </c>
    </row>
    <row r="642" spans="1:4" x14ac:dyDescent="0.3">
      <c r="A642">
        <v>1567</v>
      </c>
      <c r="B642" t="e">
        <v>#N/A</v>
      </c>
      <c r="C642" s="1" t="s">
        <v>1494</v>
      </c>
      <c r="D642" t="str">
        <f>VLOOKUP(C642,items_full!$A$2:$A$194,1,0)</f>
        <v>Marine Fish, Other</v>
      </c>
    </row>
    <row r="643" spans="1:4" x14ac:dyDescent="0.3">
      <c r="A643">
        <v>1570</v>
      </c>
      <c r="B643" t="s">
        <v>1495</v>
      </c>
      <c r="C643" t="s">
        <v>1496</v>
      </c>
      <c r="D643" t="str">
        <f>VLOOKUP(C643,items_full!$A$2:$A$194,1,0)</f>
        <v>Cephalopods</v>
      </c>
    </row>
    <row r="644" spans="1:4" x14ac:dyDescent="0.3">
      <c r="A644">
        <v>1571</v>
      </c>
      <c r="B644" t="s">
        <v>1497</v>
      </c>
      <c r="C644" t="s">
        <v>1496</v>
      </c>
      <c r="D644" t="str">
        <f>VLOOKUP(C644,items_full!$A$2:$A$194,1,0)</f>
        <v>Cephalopods</v>
      </c>
    </row>
    <row r="645" spans="1:4" x14ac:dyDescent="0.3">
      <c r="A645">
        <v>1572</v>
      </c>
      <c r="B645" t="e">
        <v>#N/A</v>
      </c>
      <c r="C645" s="1" t="s">
        <v>1494</v>
      </c>
      <c r="D645" t="str">
        <f>VLOOKUP(C645,items_full!$A$2:$A$194,1,0)</f>
        <v>Marine Fish, Other</v>
      </c>
    </row>
    <row r="646" spans="1:4" x14ac:dyDescent="0.3">
      <c r="A646">
        <v>1573</v>
      </c>
      <c r="B646" t="e">
        <v>#N/A</v>
      </c>
      <c r="C646" s="1" t="s">
        <v>1494</v>
      </c>
      <c r="D646" t="str">
        <f>VLOOKUP(C646,items_full!$A$2:$A$194,1,0)</f>
        <v>Marine Fish, Other</v>
      </c>
    </row>
    <row r="647" spans="1:4" x14ac:dyDescent="0.3">
      <c r="A647">
        <v>1574</v>
      </c>
      <c r="B647" t="e">
        <v>#N/A</v>
      </c>
      <c r="C647" s="1" t="s">
        <v>1494</v>
      </c>
      <c r="D647" t="str">
        <f>VLOOKUP(C647,items_full!$A$2:$A$194,1,0)</f>
        <v>Marine Fish, Other</v>
      </c>
    </row>
    <row r="648" spans="1:4" x14ac:dyDescent="0.3">
      <c r="A648">
        <v>1575</v>
      </c>
      <c r="B648" t="e">
        <v>#N/A</v>
      </c>
      <c r="C648" s="1" t="s">
        <v>1494</v>
      </c>
      <c r="D648" t="str">
        <f>VLOOKUP(C648,items_full!$A$2:$A$194,1,0)</f>
        <v>Marine Fish, Other</v>
      </c>
    </row>
    <row r="649" spans="1:4" x14ac:dyDescent="0.3">
      <c r="A649">
        <v>1576</v>
      </c>
      <c r="B649" t="e">
        <v>#N/A</v>
      </c>
      <c r="C649" s="1" t="s">
        <v>1494</v>
      </c>
      <c r="D649" t="str">
        <f>VLOOKUP(C649,items_full!$A$2:$A$194,1,0)</f>
        <v>Marine Fish, Other</v>
      </c>
    </row>
    <row r="650" spans="1:4" x14ac:dyDescent="0.3">
      <c r="A650">
        <v>1580</v>
      </c>
      <c r="B650" t="e">
        <v>#N/A</v>
      </c>
      <c r="C650" s="1" t="s">
        <v>1494</v>
      </c>
      <c r="D650" t="str">
        <f>VLOOKUP(C650,items_full!$A$2:$A$194,1,0)</f>
        <v>Marine Fish, Other</v>
      </c>
    </row>
    <row r="651" spans="1:4" x14ac:dyDescent="0.3">
      <c r="A651">
        <v>1581</v>
      </c>
      <c r="B651" t="e">
        <v>#N/A</v>
      </c>
      <c r="C651" s="1" t="s">
        <v>1494</v>
      </c>
      <c r="D651" t="str">
        <f>VLOOKUP(C651,items_full!$A$2:$A$194,1,0)</f>
        <v>Marine Fish, Other</v>
      </c>
    </row>
    <row r="652" spans="1:4" x14ac:dyDescent="0.3">
      <c r="A652">
        <v>1583</v>
      </c>
      <c r="B652" t="e">
        <v>#N/A</v>
      </c>
      <c r="C652" s="1" t="s">
        <v>1494</v>
      </c>
      <c r="D652" t="str">
        <f>VLOOKUP(C652,items_full!$A$2:$A$194,1,0)</f>
        <v>Marine Fish, Other</v>
      </c>
    </row>
    <row r="653" spans="1:4" x14ac:dyDescent="0.3">
      <c r="A653">
        <v>1587</v>
      </c>
      <c r="B653" t="s">
        <v>1498</v>
      </c>
      <c r="C653" s="1" t="s">
        <v>1494</v>
      </c>
      <c r="D653" t="str">
        <f>VLOOKUP(C653,items_full!$A$2:$A$194,1,0)</f>
        <v>Marine Fish, Other</v>
      </c>
    </row>
    <row r="654" spans="1:4" x14ac:dyDescent="0.3">
      <c r="A654">
        <v>1588</v>
      </c>
      <c r="B654" t="s">
        <v>1499</v>
      </c>
      <c r="C654" s="1" t="s">
        <v>1494</v>
      </c>
      <c r="D654" t="str">
        <f>VLOOKUP(C654,items_full!$A$2:$A$194,1,0)</f>
        <v>Marine Fish, Other</v>
      </c>
    </row>
    <row r="655" spans="1:4" x14ac:dyDescent="0.3">
      <c r="A655">
        <v>1589</v>
      </c>
      <c r="B655" t="s">
        <v>1500</v>
      </c>
      <c r="C655" s="1" t="s">
        <v>1494</v>
      </c>
      <c r="D655" t="str">
        <f>VLOOKUP(C655,items_full!$A$2:$A$194,1,0)</f>
        <v>Marine Fish, Other</v>
      </c>
    </row>
    <row r="656" spans="1:4" x14ac:dyDescent="0.3">
      <c r="A656">
        <v>1590</v>
      </c>
      <c r="B656" t="s">
        <v>1501</v>
      </c>
      <c r="C656" s="1" t="s">
        <v>1494</v>
      </c>
      <c r="D656" t="str">
        <f>VLOOKUP(C656,items_full!$A$2:$A$194,1,0)</f>
        <v>Marine Fish, Other</v>
      </c>
    </row>
    <row r="657" spans="1:4" x14ac:dyDescent="0.3">
      <c r="A657">
        <v>1591</v>
      </c>
      <c r="B657" t="e">
        <v>#N/A</v>
      </c>
      <c r="C657" s="1" t="s">
        <v>1494</v>
      </c>
      <c r="D657" t="str">
        <f>VLOOKUP(C657,items_full!$A$2:$A$194,1,0)</f>
        <v>Marine Fish, Other</v>
      </c>
    </row>
    <row r="658" spans="1:4" x14ac:dyDescent="0.3">
      <c r="A658">
        <v>1594</v>
      </c>
      <c r="B658" t="s">
        <v>1502</v>
      </c>
      <c r="C658" t="s">
        <v>1503</v>
      </c>
      <c r="D658" t="str">
        <f>VLOOKUP(C658,items_full!$A$2:$A$194,1,0)</f>
        <v>Aquatic Plants</v>
      </c>
    </row>
    <row r="659" spans="1:4" x14ac:dyDescent="0.3">
      <c r="A659">
        <v>1595</v>
      </c>
      <c r="B659" t="s">
        <v>1504</v>
      </c>
      <c r="C659" t="s">
        <v>1503</v>
      </c>
      <c r="D659" t="str">
        <f>VLOOKUP(C659,items_full!$A$2:$A$194,1,0)</f>
        <v>Aquatic Plants</v>
      </c>
    </row>
    <row r="660" spans="1:4" x14ac:dyDescent="0.3">
      <c r="A660">
        <v>1596</v>
      </c>
      <c r="B660" t="s">
        <v>1505</v>
      </c>
      <c r="C660" t="s">
        <v>1503</v>
      </c>
      <c r="D660" t="str">
        <f>VLOOKUP(C660,items_full!$A$2:$A$194,1,0)</f>
        <v>Aquatic Plants</v>
      </c>
    </row>
    <row r="661" spans="1:4" x14ac:dyDescent="0.3">
      <c r="A661">
        <v>1745</v>
      </c>
      <c r="B661" t="s">
        <v>1506</v>
      </c>
      <c r="C661" t="s">
        <v>815</v>
      </c>
      <c r="D661" t="str">
        <f>VLOOKUP(C661,items_full!$A$2:$A$194,1,0)</f>
        <v>Milk - Excluding Butter</v>
      </c>
    </row>
    <row r="662" spans="1:4" x14ac:dyDescent="0.3">
      <c r="A662">
        <v>1811</v>
      </c>
      <c r="B662" t="s">
        <v>1507</v>
      </c>
      <c r="C662" t="s">
        <v>1384</v>
      </c>
      <c r="D662" t="str">
        <f>VLOOKUP(C662,items_full!$A$2:$A$194,1,0)</f>
        <v>Butter, Ghee</v>
      </c>
    </row>
    <row r="663" spans="1:4" x14ac:dyDescent="0.3">
      <c r="A663">
        <v>1892</v>
      </c>
      <c r="B663" t="s">
        <v>1508</v>
      </c>
      <c r="C663" t="s">
        <v>1190</v>
      </c>
      <c r="D663" t="str">
        <f>VLOOKUP(C663,items_full!$A$2:$A$194,1,0)</f>
        <v>Fodder cereal and grasses</v>
      </c>
    </row>
    <row r="664" spans="1:4" x14ac:dyDescent="0.3">
      <c r="A664">
        <v>1895</v>
      </c>
      <c r="B664" t="s">
        <v>1509</v>
      </c>
      <c r="C664" t="s">
        <v>902</v>
      </c>
      <c r="D664" t="str">
        <f>VLOOKUP(C664,items_full!$A$2:$A$194,1,0)</f>
        <v>Beverages, Fermented</v>
      </c>
    </row>
    <row r="665" spans="1:4" x14ac:dyDescent="0.3">
      <c r="A665" s="1">
        <v>1896</v>
      </c>
      <c r="B665" s="1" t="s">
        <v>1362</v>
      </c>
      <c r="C665" s="1" t="s">
        <v>1362</v>
      </c>
      <c r="D665" t="str">
        <f>VLOOKUP(C665,items_full!$A$2:$A$194,1,0)</f>
        <v>Tobacco</v>
      </c>
    </row>
    <row r="666" spans="1:4" x14ac:dyDescent="0.3">
      <c r="A666" s="1">
        <v>1898</v>
      </c>
      <c r="B666" s="1" t="s">
        <v>804</v>
      </c>
      <c r="C666" s="1" t="s">
        <v>804</v>
      </c>
      <c r="D666" t="str">
        <f>VLOOKUP(C666,items_full!$A$2:$A$194,1,0)</f>
        <v>Hides and skins</v>
      </c>
    </row>
    <row r="667" spans="1:4" x14ac:dyDescent="0.3">
      <c r="A667">
        <v>1900</v>
      </c>
      <c r="B667" t="s">
        <v>1510</v>
      </c>
      <c r="C667" t="s">
        <v>1367</v>
      </c>
      <c r="D667" t="str">
        <f>VLOOKUP(C667,items_full!$A$2:$A$194,1,0)</f>
        <v>Rubber</v>
      </c>
    </row>
    <row r="668" spans="1:4" x14ac:dyDescent="0.3">
      <c r="A668">
        <v>1907</v>
      </c>
      <c r="B668" t="s">
        <v>1511</v>
      </c>
      <c r="C668" t="s">
        <v>1296</v>
      </c>
      <c r="D668" t="str">
        <f>VLOOKUP(C668,items_full!$A$2:$A$194,1,0)</f>
        <v>Beverages, Alcoholic</v>
      </c>
    </row>
    <row r="669" spans="1:4" x14ac:dyDescent="0.3">
      <c r="A669">
        <v>1975</v>
      </c>
      <c r="B669" t="s">
        <v>1512</v>
      </c>
      <c r="C669" t="s">
        <v>800</v>
      </c>
      <c r="D669" t="str">
        <f>VLOOKUP(C669,items_full!$A$2:$A$194,1,0)</f>
        <v>Fats, Animals, Raw</v>
      </c>
    </row>
    <row r="670" spans="1:4" x14ac:dyDescent="0.3">
      <c r="A670">
        <v>2071</v>
      </c>
      <c r="B670" t="s">
        <v>807</v>
      </c>
      <c r="C670" t="s">
        <v>807</v>
      </c>
      <c r="D670" t="str">
        <f>VLOOKUP(C670,items_full!$A$2:$A$194,1,0)</f>
        <v>Bovine Meat</v>
      </c>
    </row>
    <row r="671" spans="1:4" x14ac:dyDescent="0.3">
      <c r="B671" t="s">
        <v>1513</v>
      </c>
      <c r="C671" s="1" t="s">
        <v>1494</v>
      </c>
      <c r="D671" t="str">
        <f>VLOOKUP(C671,items_full!$A$2:$A$194,1,0)</f>
        <v>Marine Fish, Other</v>
      </c>
    </row>
    <row r="672" spans="1:4" x14ac:dyDescent="0.3">
      <c r="A672">
        <v>120</v>
      </c>
      <c r="B672" t="s">
        <v>4658</v>
      </c>
      <c r="C672" s="1" t="s">
        <v>983</v>
      </c>
      <c r="D672" t="str">
        <f>VLOOKUP(C672,items_full!$A$2:$A$194,1,0)</f>
        <v>Potatoes and products</v>
      </c>
    </row>
    <row r="673" spans="1:4" x14ac:dyDescent="0.3">
      <c r="A673">
        <v>273</v>
      </c>
      <c r="B673" t="s">
        <v>4659</v>
      </c>
      <c r="C673" s="1" t="s">
        <v>1095</v>
      </c>
      <c r="D673" t="str">
        <f>VLOOKUP(C673,items_full!$A$2:$A$194,1,0)</f>
        <v>Olives (including preserved)</v>
      </c>
    </row>
    <row r="674" spans="1:4" x14ac:dyDescent="0.3">
      <c r="A674">
        <v>566</v>
      </c>
      <c r="B674" t="s">
        <v>4660</v>
      </c>
      <c r="C674" s="1" t="s">
        <v>1258</v>
      </c>
      <c r="D674" t="str">
        <f>VLOOKUP(C674,items_full!$A$2:$A$194,1,0)</f>
        <v>Grapes and products (excl wine)</v>
      </c>
    </row>
    <row r="675" spans="1:4" x14ac:dyDescent="0.3">
      <c r="A675">
        <v>584</v>
      </c>
      <c r="B675" t="s">
        <v>4661</v>
      </c>
      <c r="C675" s="1" t="s">
        <v>1237</v>
      </c>
      <c r="D675" t="str">
        <f>VLOOKUP(C675,items_full!$A$2:$A$194,1,0)</f>
        <v>Fruits, Other</v>
      </c>
    </row>
    <row r="676" spans="1:4" x14ac:dyDescent="0.3">
      <c r="A676">
        <v>630</v>
      </c>
      <c r="B676" t="s">
        <v>4662</v>
      </c>
      <c r="C676" s="1" t="s">
        <v>1005</v>
      </c>
      <c r="D676" t="str">
        <f>VLOOKUP(C676,items_full!$A$2:$A$194,1,0)</f>
        <v>Sugar cane</v>
      </c>
    </row>
    <row r="677" spans="1:4" x14ac:dyDescent="0.3">
      <c r="A677">
        <v>636</v>
      </c>
      <c r="B677" t="s">
        <v>4663</v>
      </c>
      <c r="C677" s="14" t="s">
        <v>1190</v>
      </c>
      <c r="D677" t="str">
        <f>VLOOKUP(C677,items_full!$A$2:$A$194,1,0)</f>
        <v>Fodder cereal and grasses</v>
      </c>
    </row>
    <row r="678" spans="1:4" x14ac:dyDescent="0.3">
      <c r="A678">
        <v>641</v>
      </c>
      <c r="B678" t="s">
        <v>4664</v>
      </c>
      <c r="C678" s="14" t="s">
        <v>1372</v>
      </c>
      <c r="D678" t="str">
        <f>VLOOKUP(C678,items_full!$A$2:$A$194,1,0)</f>
        <v>Fodder legumes</v>
      </c>
    </row>
    <row r="679" spans="1:4" x14ac:dyDescent="0.3">
      <c r="A679">
        <v>646</v>
      </c>
      <c r="B679" t="s">
        <v>4665</v>
      </c>
      <c r="C679" s="14" t="s">
        <v>1300</v>
      </c>
      <c r="D679" t="str">
        <f>VLOOKUP(C679,items_full!$A$2:$A$194,1,0)</f>
        <v>Fodder vegetables and roots</v>
      </c>
    </row>
    <row r="680" spans="1:4" x14ac:dyDescent="0.3">
      <c r="A680">
        <v>647</v>
      </c>
      <c r="B680" t="s">
        <v>4666</v>
      </c>
      <c r="C680" s="14" t="s">
        <v>1300</v>
      </c>
      <c r="D680" t="str">
        <f>VLOOKUP(C680,items_full!$A$2:$A$194,1,0)</f>
        <v>Fodder vegetables and roots</v>
      </c>
    </row>
    <row r="681" spans="1:4" x14ac:dyDescent="0.3">
      <c r="A681">
        <v>649</v>
      </c>
      <c r="B681" t="s">
        <v>4667</v>
      </c>
      <c r="C681" s="14" t="s">
        <v>1300</v>
      </c>
      <c r="D681" t="str">
        <f>VLOOKUP(C681,items_full!$A$2:$A$194,1,0)</f>
        <v>Fodder vegetables and roots</v>
      </c>
    </row>
    <row r="682" spans="1:4" x14ac:dyDescent="0.3">
      <c r="A682">
        <v>655</v>
      </c>
      <c r="B682" t="s">
        <v>4668</v>
      </c>
      <c r="C682" s="14" t="s">
        <v>1300</v>
      </c>
      <c r="D682" t="str">
        <f>VLOOKUP(C682,items_full!$A$2:$A$194,1,0)</f>
        <v>Fodder vegetables and roots</v>
      </c>
    </row>
    <row r="683" spans="1:4" x14ac:dyDescent="0.3">
      <c r="A683">
        <v>663</v>
      </c>
      <c r="B683" t="s">
        <v>4669</v>
      </c>
      <c r="C683" s="14" t="s">
        <v>1313</v>
      </c>
      <c r="D683" t="str">
        <f>VLOOKUP(C683,items_full!$A$2:$A$194,1,0)</f>
        <v>Cocoa Beans and products</v>
      </c>
    </row>
    <row r="684" spans="1:4" x14ac:dyDescent="0.3">
      <c r="A684">
        <v>839</v>
      </c>
      <c r="B684" t="s">
        <v>4670</v>
      </c>
      <c r="C684" s="14" t="s">
        <v>1367</v>
      </c>
      <c r="D684" t="str">
        <f>VLOOKUP(C684,items_full!$A$2:$A$194,1,0)</f>
        <v>Rubber</v>
      </c>
    </row>
    <row r="685" spans="1:4" x14ac:dyDescent="0.3">
      <c r="A685">
        <v>840</v>
      </c>
      <c r="B685" t="s">
        <v>4671</v>
      </c>
      <c r="C685" s="1" t="s">
        <v>891</v>
      </c>
      <c r="D685" t="str">
        <f>VLOOKUP(C685,items_full!$A$2:$A$194,1,0)</f>
        <v>Wheat and products</v>
      </c>
    </row>
    <row r="686" spans="1:4" x14ac:dyDescent="0.3">
      <c r="A686">
        <v>841</v>
      </c>
      <c r="B686" t="s">
        <v>4672</v>
      </c>
      <c r="C686" s="1" t="s">
        <v>930</v>
      </c>
      <c r="D686" t="str">
        <f>VLOOKUP(C686,items_full!$A$2:$A$194,1,0)</f>
        <v>Maize and products</v>
      </c>
    </row>
    <row r="687" spans="1:4" x14ac:dyDescent="0.3">
      <c r="A687">
        <v>842</v>
      </c>
      <c r="B687" t="s">
        <v>4673</v>
      </c>
      <c r="C687" s="1" t="s">
        <v>1061</v>
      </c>
      <c r="D687" t="str">
        <f>VLOOKUP(C687,items_full!$A$2:$A$194,1,0)</f>
        <v>Soyabeans</v>
      </c>
    </row>
    <row r="688" spans="1:4" x14ac:dyDescent="0.3">
      <c r="A688">
        <v>845</v>
      </c>
      <c r="B688" t="s">
        <v>4674</v>
      </c>
      <c r="C688" s="1" t="s">
        <v>930</v>
      </c>
      <c r="D688" t="str">
        <f>VLOOKUP(C688,items_full!$A$2:$A$194,1,0)</f>
        <v>Maize and products</v>
      </c>
    </row>
    <row r="689" spans="1:4" x14ac:dyDescent="0.3">
      <c r="A689">
        <v>850</v>
      </c>
      <c r="B689" t="s">
        <v>4675</v>
      </c>
      <c r="C689" s="1" t="s">
        <v>930</v>
      </c>
      <c r="D689" t="str">
        <f>VLOOKUP(C689,items_full!$A$2:$A$194,1,0)</f>
        <v>Maize and products</v>
      </c>
    </row>
    <row r="690" spans="1:4" x14ac:dyDescent="0.3">
      <c r="A690">
        <v>852</v>
      </c>
      <c r="B690" t="s">
        <v>4676</v>
      </c>
      <c r="C690" s="1" t="s">
        <v>930</v>
      </c>
      <c r="D690" t="str">
        <f>VLOOKUP(C690,items_full!$A$2:$A$194,1,0)</f>
        <v>Maize and products</v>
      </c>
    </row>
    <row r="691" spans="1:4" x14ac:dyDescent="0.3">
      <c r="A691">
        <v>853</v>
      </c>
      <c r="B691" t="s">
        <v>1945</v>
      </c>
      <c r="C691" s="14" t="s">
        <v>1945</v>
      </c>
      <c r="D691" t="str">
        <f>VLOOKUP(C691,items_full!$A$2:$A$194,1,0)</f>
        <v>Vitamins</v>
      </c>
    </row>
    <row r="692" spans="1:4" x14ac:dyDescent="0.3">
      <c r="A692">
        <v>854</v>
      </c>
      <c r="B692" t="s">
        <v>4677</v>
      </c>
      <c r="C692" s="1" t="s">
        <v>1950</v>
      </c>
      <c r="D692" t="str">
        <f>VLOOKUP(C692,items_full!$A$2:$A$194,1,0)</f>
        <v>Methionine</v>
      </c>
    </row>
    <row r="693" spans="1:4" x14ac:dyDescent="0.3">
      <c r="A693">
        <v>855</v>
      </c>
      <c r="B693" t="s">
        <v>4678</v>
      </c>
      <c r="C693" s="14" t="s">
        <v>1939</v>
      </c>
      <c r="D693" t="str">
        <f>VLOOKUP(C693,items_full!$A$2:$A$194,1,0)</f>
        <v>Minerals</v>
      </c>
    </row>
    <row r="694" spans="1:4" x14ac:dyDescent="0.3">
      <c r="A694">
        <v>857</v>
      </c>
      <c r="B694" t="s">
        <v>4679</v>
      </c>
      <c r="C694" s="14" t="s">
        <v>1190</v>
      </c>
      <c r="D694" t="str">
        <f>VLOOKUP(C694,items_full!$A$2:$A$194,1,0)</f>
        <v>Fodder cereal and grasses</v>
      </c>
    </row>
    <row r="695" spans="1:4" x14ac:dyDescent="0.3">
      <c r="A695">
        <v>858</v>
      </c>
      <c r="B695" t="s">
        <v>4680</v>
      </c>
      <c r="C695" s="14" t="s">
        <v>1372</v>
      </c>
      <c r="D695" t="str">
        <f>VLOOKUP(C695,items_full!$A$2:$A$194,1,0)</f>
        <v>Fodder legumes</v>
      </c>
    </row>
    <row r="696" spans="1:4" x14ac:dyDescent="0.3">
      <c r="A696">
        <v>859</v>
      </c>
      <c r="B696" t="s">
        <v>4681</v>
      </c>
      <c r="C696" s="14" t="s">
        <v>1300</v>
      </c>
      <c r="D696" t="str">
        <f>VLOOKUP(C696,items_full!$A$2:$A$194,1,0)</f>
        <v>Fodder vegetables and roots</v>
      </c>
    </row>
    <row r="697" spans="1:4" x14ac:dyDescent="0.3">
      <c r="A697">
        <v>1007</v>
      </c>
      <c r="B697" t="s">
        <v>4682</v>
      </c>
      <c r="C697" s="14" t="s">
        <v>881</v>
      </c>
      <c r="D697" t="str">
        <f>VLOOKUP(C697,items_full!$A$2:$A$194,1,0)</f>
        <v>Wool (Clean Eq.)</v>
      </c>
    </row>
    <row r="698" spans="1:4" x14ac:dyDescent="0.3">
      <c r="A698">
        <v>1008</v>
      </c>
      <c r="B698" t="s">
        <v>4683</v>
      </c>
      <c r="C698" s="14" t="s">
        <v>881</v>
      </c>
      <c r="D698" t="str">
        <f>VLOOKUP(C698,items_full!$A$2:$A$194,1,0)</f>
        <v>Wool (Clean Eq.)</v>
      </c>
    </row>
    <row r="699" spans="1:4" x14ac:dyDescent="0.3">
      <c r="A699">
        <v>1030</v>
      </c>
      <c r="B699" t="s">
        <v>4684</v>
      </c>
      <c r="C699" s="14" t="s">
        <v>881</v>
      </c>
      <c r="D699" t="str">
        <f>VLOOKUP(C699,items_full!$A$2:$A$194,1,0)</f>
        <v>Wool (Clean Eq.)</v>
      </c>
    </row>
    <row r="700" spans="1:4" x14ac:dyDescent="0.3">
      <c r="A700">
        <v>1031</v>
      </c>
      <c r="B700" t="s">
        <v>4685</v>
      </c>
      <c r="C700" s="14" t="s">
        <v>881</v>
      </c>
      <c r="D700" t="str">
        <f>VLOOKUP(C700,items_full!$A$2:$A$194,1,0)</f>
        <v>Wool (Clean Eq.)</v>
      </c>
    </row>
    <row r="701" spans="1:4" x14ac:dyDescent="0.3">
      <c r="A701">
        <v>1040</v>
      </c>
      <c r="B701" t="s">
        <v>4686</v>
      </c>
      <c r="C701" s="14" t="s">
        <v>800</v>
      </c>
      <c r="D701" t="str">
        <f>VLOOKUP(C701,items_full!$A$2:$A$194,1,0)</f>
        <v>Fats, Animals, Raw</v>
      </c>
    </row>
    <row r="702" spans="1:4" x14ac:dyDescent="0.3">
      <c r="A702">
        <v>1072</v>
      </c>
      <c r="B702" t="s">
        <v>782</v>
      </c>
      <c r="C702" s="14" t="s">
        <v>782</v>
      </c>
      <c r="D702" t="str">
        <f>VLOOKUP(C702,items_full!$A$2:$A$194,1,0)</f>
        <v>Geese</v>
      </c>
    </row>
    <row r="703" spans="1:4" x14ac:dyDescent="0.3">
      <c r="A703">
        <v>1100</v>
      </c>
      <c r="B703" t="s">
        <v>4687</v>
      </c>
      <c r="C703" s="14" t="s">
        <v>881</v>
      </c>
      <c r="D703" t="str">
        <f>VLOOKUP(C703,items_full!$A$2:$A$194,1,0)</f>
        <v>Wool (Clean Eq.)</v>
      </c>
    </row>
    <row r="704" spans="1:4" x14ac:dyDescent="0.3">
      <c r="A704">
        <v>1104</v>
      </c>
      <c r="B704" t="s">
        <v>4688</v>
      </c>
      <c r="C704" s="14" t="s">
        <v>804</v>
      </c>
      <c r="D704" t="str">
        <f>VLOOKUP(C704,items_full!$A$2:$A$194,1,0)</f>
        <v>Hides and skins</v>
      </c>
    </row>
    <row r="705" spans="1:4" x14ac:dyDescent="0.3">
      <c r="A705">
        <v>1105</v>
      </c>
      <c r="B705" t="s">
        <v>4689</v>
      </c>
      <c r="C705" s="14" t="s">
        <v>804</v>
      </c>
      <c r="D705" t="str">
        <f>VLOOKUP(C705,items_full!$A$2:$A$194,1,0)</f>
        <v>Hides and skins</v>
      </c>
    </row>
    <row r="706" spans="1:4" x14ac:dyDescent="0.3">
      <c r="A706">
        <v>1150</v>
      </c>
      <c r="B706" t="s">
        <v>4690</v>
      </c>
      <c r="C706" s="14" t="s">
        <v>777</v>
      </c>
      <c r="D706" t="str">
        <f>VLOOKUP(C706,items_full!$A$2:$A$194,1,0)</f>
        <v>Rodents, other</v>
      </c>
    </row>
    <row r="707" spans="1:4" x14ac:dyDescent="0.3">
      <c r="A707">
        <v>1157</v>
      </c>
      <c r="B707" t="s">
        <v>4691</v>
      </c>
      <c r="C707" s="14" t="s">
        <v>736</v>
      </c>
      <c r="D707" t="str">
        <f>VLOOKUP(C707,items_full!$A$2:$A$194,1,0)</f>
        <v>Camelids, other</v>
      </c>
    </row>
    <row r="708" spans="1:4" x14ac:dyDescent="0.3">
      <c r="A708">
        <v>1216</v>
      </c>
      <c r="B708" t="s">
        <v>4692</v>
      </c>
      <c r="C708" s="14" t="s">
        <v>804</v>
      </c>
      <c r="D708" t="str">
        <f>VLOOKUP(C708,items_full!$A$2:$A$194,1,0)</f>
        <v>Hides and skins</v>
      </c>
    </row>
    <row r="709" spans="1:4" x14ac:dyDescent="0.3">
      <c r="A709">
        <v>1217</v>
      </c>
      <c r="B709" t="s">
        <v>4693</v>
      </c>
      <c r="C709" s="14" t="s">
        <v>804</v>
      </c>
      <c r="D709" t="str">
        <f>VLOOKUP(C709,items_full!$A$2:$A$194,1,0)</f>
        <v>Hides and skins</v>
      </c>
    </row>
    <row r="710" spans="1:4" x14ac:dyDescent="0.3">
      <c r="A710">
        <v>1219</v>
      </c>
      <c r="B710" t="s">
        <v>4694</v>
      </c>
      <c r="C710" s="14" t="s">
        <v>881</v>
      </c>
      <c r="D710" t="str">
        <f>VLOOKUP(C710,items_full!$A$2:$A$194,1,0)</f>
        <v>Wool (Clean Eq.)</v>
      </c>
    </row>
    <row r="711" spans="1:4" x14ac:dyDescent="0.3">
      <c r="A711">
        <v>1259</v>
      </c>
      <c r="B711" t="s">
        <v>4695</v>
      </c>
      <c r="C711" s="1" t="s">
        <v>930</v>
      </c>
      <c r="D711" t="str">
        <f>VLOOKUP(C711,items_full!$A$2:$A$194,1,0)</f>
        <v>Maize and products</v>
      </c>
    </row>
    <row r="712" spans="1:4" x14ac:dyDescent="0.3">
      <c r="A712">
        <v>1169</v>
      </c>
      <c r="B712" t="s">
        <v>4698</v>
      </c>
      <c r="C712" t="s">
        <v>725</v>
      </c>
      <c r="D712" t="str">
        <f>VLOOKUP(C712,items_full!$A$2:$A$194,1,0)</f>
        <v>Animals live nes</v>
      </c>
    </row>
  </sheetData>
  <sortState xmlns:xlrd2="http://schemas.microsoft.com/office/spreadsheetml/2017/richdata2" ref="A2:D671">
    <sortCondition ref="A2:A671"/>
  </sortState>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D50FE5-5B25-4E5B-AC96-3B25078491C8}">
  <dimension ref="A1:E134"/>
  <sheetViews>
    <sheetView zoomScale="80" zoomScaleNormal="80" workbookViewId="0">
      <pane ySplit="1" topLeftCell="A8" activePane="bottomLeft" state="frozen"/>
      <selection pane="bottomLeft" activeCell="F22" sqref="F22"/>
    </sheetView>
  </sheetViews>
  <sheetFormatPr defaultColWidth="10.77734375" defaultRowHeight="14.4" x14ac:dyDescent="0.3"/>
  <cols>
    <col min="1" max="1" width="27.77734375" customWidth="1"/>
    <col min="2" max="2" width="24.21875" customWidth="1"/>
    <col min="3" max="3" width="14.5546875" style="5" customWidth="1"/>
    <col min="4" max="4" width="13.77734375" style="5" customWidth="1"/>
  </cols>
  <sheetData>
    <row r="1" spans="1:5" x14ac:dyDescent="0.3">
      <c r="A1" t="s">
        <v>1514</v>
      </c>
      <c r="B1" t="s">
        <v>1531</v>
      </c>
      <c r="C1" s="5" t="s">
        <v>1516</v>
      </c>
      <c r="D1" s="5" t="s">
        <v>1517</v>
      </c>
      <c r="E1" t="s">
        <v>1518</v>
      </c>
    </row>
    <row r="2" spans="1:5" x14ac:dyDescent="0.3">
      <c r="A2" t="s">
        <v>1232</v>
      </c>
      <c r="B2" t="s">
        <v>1293</v>
      </c>
      <c r="C2" s="5">
        <v>0.19933999999999999</v>
      </c>
      <c r="D2" s="6">
        <v>0.05</v>
      </c>
    </row>
    <row r="3" spans="1:5" x14ac:dyDescent="0.3">
      <c r="A3" t="s">
        <v>920</v>
      </c>
      <c r="B3" t="s">
        <v>1293</v>
      </c>
      <c r="C3" s="5">
        <v>0.2044</v>
      </c>
      <c r="D3" s="6">
        <v>0.05</v>
      </c>
    </row>
    <row r="4" spans="1:5" x14ac:dyDescent="0.3">
      <c r="A4" t="s">
        <v>990</v>
      </c>
      <c r="B4" t="s">
        <v>1293</v>
      </c>
      <c r="C4" s="5">
        <v>0.09</v>
      </c>
    </row>
    <row r="5" spans="1:5" x14ac:dyDescent="0.3">
      <c r="A5" t="s">
        <v>942</v>
      </c>
      <c r="B5" t="s">
        <v>1293</v>
      </c>
      <c r="C5" s="5">
        <v>0.27500000000000002</v>
      </c>
      <c r="D5" s="6">
        <v>0.9</v>
      </c>
    </row>
    <row r="6" spans="1:5" x14ac:dyDescent="0.3">
      <c r="A6" t="s">
        <v>1237</v>
      </c>
      <c r="B6" t="s">
        <v>1293</v>
      </c>
      <c r="C6" s="5">
        <v>0.19933999999999999</v>
      </c>
    </row>
    <row r="7" spans="1:5" x14ac:dyDescent="0.3">
      <c r="A7" t="s">
        <v>1258</v>
      </c>
      <c r="B7" t="s">
        <v>1293</v>
      </c>
      <c r="C7" s="5">
        <v>0.19933999999999999</v>
      </c>
    </row>
    <row r="8" spans="1:5" x14ac:dyDescent="0.3">
      <c r="A8" t="s">
        <v>930</v>
      </c>
      <c r="B8" t="s">
        <v>1293</v>
      </c>
      <c r="C8" s="5">
        <v>0.35</v>
      </c>
    </row>
    <row r="9" spans="1:5" x14ac:dyDescent="0.3">
      <c r="A9" t="s">
        <v>951</v>
      </c>
      <c r="B9" t="s">
        <v>1293</v>
      </c>
      <c r="C9" s="6">
        <v>0.2044</v>
      </c>
    </row>
    <row r="10" spans="1:5" x14ac:dyDescent="0.3">
      <c r="A10" t="s">
        <v>1015</v>
      </c>
      <c r="B10" t="s">
        <v>1293</v>
      </c>
      <c r="C10" s="6">
        <v>0.2</v>
      </c>
      <c r="D10" s="6">
        <v>1</v>
      </c>
    </row>
    <row r="11" spans="1:5" x14ac:dyDescent="0.3">
      <c r="A11" t="s">
        <v>947</v>
      </c>
      <c r="B11" t="s">
        <v>1293</v>
      </c>
      <c r="C11" s="6">
        <v>0.2044</v>
      </c>
    </row>
    <row r="12" spans="1:5" x14ac:dyDescent="0.3">
      <c r="A12" t="s">
        <v>983</v>
      </c>
      <c r="B12" t="s">
        <v>1293</v>
      </c>
      <c r="C12" s="5">
        <v>0.09</v>
      </c>
    </row>
    <row r="13" spans="1:5" x14ac:dyDescent="0.3">
      <c r="A13" t="s">
        <v>904</v>
      </c>
      <c r="B13" t="s">
        <v>1293</v>
      </c>
      <c r="C13" s="5">
        <v>0.19899</v>
      </c>
    </row>
    <row r="14" spans="1:5" x14ac:dyDescent="0.3">
      <c r="A14" t="s">
        <v>944</v>
      </c>
      <c r="B14" t="s">
        <v>1293</v>
      </c>
      <c r="C14" s="5">
        <v>0.27</v>
      </c>
    </row>
    <row r="15" spans="1:5" x14ac:dyDescent="0.3">
      <c r="A15" t="s">
        <v>956</v>
      </c>
      <c r="B15" t="s">
        <v>1293</v>
      </c>
      <c r="C15" s="5">
        <v>0.29399999999999998</v>
      </c>
    </row>
    <row r="16" spans="1:5" x14ac:dyDescent="0.3">
      <c r="A16" t="s">
        <v>1006</v>
      </c>
      <c r="B16" t="s">
        <v>1293</v>
      </c>
      <c r="C16" s="5">
        <v>6.5000000000000002E-2</v>
      </c>
    </row>
    <row r="17" spans="1:4" x14ac:dyDescent="0.3">
      <c r="A17" t="s">
        <v>1005</v>
      </c>
      <c r="B17" t="s">
        <v>1293</v>
      </c>
      <c r="C17" s="5">
        <v>7.4999999999999997E-2</v>
      </c>
    </row>
    <row r="18" spans="1:4" x14ac:dyDescent="0.3">
      <c r="A18" t="s">
        <v>891</v>
      </c>
      <c r="B18" t="s">
        <v>1293</v>
      </c>
      <c r="C18" s="5">
        <v>0.28000000000000003</v>
      </c>
    </row>
    <row r="19" spans="1:4" x14ac:dyDescent="0.3">
      <c r="A19" t="s">
        <v>1262</v>
      </c>
      <c r="B19" t="s">
        <v>1293</v>
      </c>
      <c r="C19" s="6">
        <v>0.2</v>
      </c>
    </row>
    <row r="20" spans="1:4" x14ac:dyDescent="0.3">
      <c r="A20" t="s">
        <v>920</v>
      </c>
      <c r="B20" t="s">
        <v>928</v>
      </c>
      <c r="C20" s="5">
        <v>6.55</v>
      </c>
      <c r="D20" s="6">
        <v>0.9</v>
      </c>
    </row>
    <row r="21" spans="1:4" x14ac:dyDescent="0.3">
      <c r="A21" t="s">
        <v>1322</v>
      </c>
      <c r="B21" t="s">
        <v>928</v>
      </c>
      <c r="C21" s="6">
        <f>C18</f>
        <v>0.28000000000000003</v>
      </c>
      <c r="D21" s="6"/>
    </row>
    <row r="22" spans="1:4" x14ac:dyDescent="0.3">
      <c r="A22" t="s">
        <v>891</v>
      </c>
      <c r="B22" t="s">
        <v>928</v>
      </c>
      <c r="C22" s="5">
        <v>6.55</v>
      </c>
      <c r="D22" s="6">
        <v>0.9</v>
      </c>
    </row>
    <row r="23" spans="1:4" x14ac:dyDescent="0.3">
      <c r="A23" t="s">
        <v>930</v>
      </c>
      <c r="B23" t="s">
        <v>928</v>
      </c>
      <c r="C23" s="6">
        <v>6.55</v>
      </c>
      <c r="D23" s="6"/>
    </row>
    <row r="24" spans="1:4" x14ac:dyDescent="0.3">
      <c r="A24" t="s">
        <v>944</v>
      </c>
      <c r="B24" t="s">
        <v>928</v>
      </c>
      <c r="C24" s="6">
        <v>6.55</v>
      </c>
      <c r="D24" s="6"/>
    </row>
    <row r="25" spans="1:4" x14ac:dyDescent="0.3">
      <c r="A25" t="s">
        <v>951</v>
      </c>
      <c r="B25" t="s">
        <v>928</v>
      </c>
      <c r="C25" s="6">
        <v>6.55</v>
      </c>
      <c r="D25" s="6"/>
    </row>
    <row r="26" spans="1:4" x14ac:dyDescent="0.3">
      <c r="A26" t="s">
        <v>956</v>
      </c>
      <c r="B26" t="s">
        <v>928</v>
      </c>
      <c r="C26" s="6">
        <v>6.55</v>
      </c>
      <c r="D26" s="6"/>
    </row>
    <row r="27" spans="1:4" x14ac:dyDescent="0.3">
      <c r="A27" t="s">
        <v>942</v>
      </c>
      <c r="B27" t="s">
        <v>928</v>
      </c>
      <c r="C27" s="6">
        <v>6.55</v>
      </c>
      <c r="D27" s="6"/>
    </row>
    <row r="28" spans="1:4" x14ac:dyDescent="0.3">
      <c r="A28" t="s">
        <v>904</v>
      </c>
      <c r="B28" t="s">
        <v>928</v>
      </c>
      <c r="C28" s="6">
        <v>6.55</v>
      </c>
      <c r="D28" s="6"/>
    </row>
    <row r="29" spans="1:4" x14ac:dyDescent="0.3">
      <c r="A29" t="s">
        <v>891</v>
      </c>
      <c r="B29" t="s">
        <v>1296</v>
      </c>
      <c r="C29" s="6">
        <v>0.2</v>
      </c>
      <c r="D29" s="6"/>
    </row>
    <row r="30" spans="1:4" x14ac:dyDescent="0.3">
      <c r="A30" t="s">
        <v>920</v>
      </c>
      <c r="B30" t="s">
        <v>1296</v>
      </c>
      <c r="C30" s="6">
        <v>0.2</v>
      </c>
      <c r="D30" s="6"/>
    </row>
    <row r="31" spans="1:4" x14ac:dyDescent="0.3">
      <c r="A31" t="s">
        <v>930</v>
      </c>
      <c r="B31" t="s">
        <v>1296</v>
      </c>
      <c r="C31" s="6">
        <v>0.2</v>
      </c>
      <c r="D31" s="6"/>
    </row>
    <row r="32" spans="1:4" x14ac:dyDescent="0.3">
      <c r="A32" t="s">
        <v>944</v>
      </c>
      <c r="B32" t="s">
        <v>1296</v>
      </c>
      <c r="C32" s="6">
        <v>0.2</v>
      </c>
      <c r="D32" s="6"/>
    </row>
    <row r="33" spans="1:4" x14ac:dyDescent="0.3">
      <c r="A33" t="s">
        <v>947</v>
      </c>
      <c r="B33" t="s">
        <v>1296</v>
      </c>
      <c r="C33" s="6">
        <v>0.2</v>
      </c>
      <c r="D33" s="6"/>
    </row>
    <row r="34" spans="1:4" x14ac:dyDescent="0.3">
      <c r="A34" t="s">
        <v>956</v>
      </c>
      <c r="B34" t="s">
        <v>1296</v>
      </c>
      <c r="C34" s="6">
        <v>0.2</v>
      </c>
      <c r="D34" s="6"/>
    </row>
    <row r="35" spans="1:4" x14ac:dyDescent="0.3">
      <c r="A35" t="s">
        <v>942</v>
      </c>
      <c r="B35" t="s">
        <v>1296</v>
      </c>
      <c r="C35" s="6">
        <v>0.2</v>
      </c>
      <c r="D35" s="6"/>
    </row>
    <row r="36" spans="1:4" x14ac:dyDescent="0.3">
      <c r="A36" t="s">
        <v>983</v>
      </c>
      <c r="B36" t="s">
        <v>1296</v>
      </c>
      <c r="C36" s="6">
        <v>0.2</v>
      </c>
      <c r="D36" s="6"/>
    </row>
    <row r="37" spans="1:4" x14ac:dyDescent="0.3">
      <c r="A37" t="s">
        <v>988</v>
      </c>
      <c r="B37" t="s">
        <v>1296</v>
      </c>
      <c r="C37" s="6">
        <v>0.2</v>
      </c>
      <c r="D37" s="6"/>
    </row>
    <row r="38" spans="1:4" x14ac:dyDescent="0.3">
      <c r="A38" t="s">
        <v>1013</v>
      </c>
      <c r="B38" t="s">
        <v>1296</v>
      </c>
      <c r="C38" s="6">
        <v>0.2</v>
      </c>
      <c r="D38" s="6"/>
    </row>
    <row r="39" spans="1:4" x14ac:dyDescent="0.3">
      <c r="A39" t="s">
        <v>1003</v>
      </c>
      <c r="B39" t="s">
        <v>1296</v>
      </c>
      <c r="C39" s="6">
        <v>0.2</v>
      </c>
      <c r="D39" s="6"/>
    </row>
    <row r="40" spans="1:4" x14ac:dyDescent="0.3">
      <c r="A40" t="s">
        <v>1274</v>
      </c>
      <c r="B40" t="s">
        <v>1296</v>
      </c>
      <c r="C40" s="6">
        <v>0.2</v>
      </c>
      <c r="D40" s="6"/>
    </row>
    <row r="41" spans="1:4" x14ac:dyDescent="0.3">
      <c r="A41" t="s">
        <v>1258</v>
      </c>
      <c r="B41" t="s">
        <v>1296</v>
      </c>
      <c r="C41" s="6">
        <v>0.2</v>
      </c>
      <c r="D41" s="6"/>
    </row>
    <row r="42" spans="1:4" x14ac:dyDescent="0.3">
      <c r="A42" t="s">
        <v>904</v>
      </c>
      <c r="B42" t="s">
        <v>1296</v>
      </c>
      <c r="C42" s="6">
        <v>0.2</v>
      </c>
      <c r="D42" s="6"/>
    </row>
    <row r="43" spans="1:4" x14ac:dyDescent="0.3">
      <c r="A43" t="s">
        <v>1232</v>
      </c>
      <c r="B43" t="s">
        <v>1296</v>
      </c>
      <c r="C43" s="5">
        <v>0.19933999999999999</v>
      </c>
      <c r="D43" s="6"/>
    </row>
    <row r="44" spans="1:4" x14ac:dyDescent="0.3">
      <c r="A44" t="s">
        <v>1210</v>
      </c>
      <c r="B44" t="s">
        <v>1296</v>
      </c>
      <c r="C44" s="5">
        <v>0.19933999999999999</v>
      </c>
    </row>
    <row r="45" spans="1:4" x14ac:dyDescent="0.3">
      <c r="A45" t="s">
        <v>1237</v>
      </c>
      <c r="B45" t="s">
        <v>1296</v>
      </c>
      <c r="C45" s="5">
        <v>0.19933999999999999</v>
      </c>
    </row>
    <row r="46" spans="1:4" x14ac:dyDescent="0.3">
      <c r="A46" t="s">
        <v>1220</v>
      </c>
      <c r="B46" t="s">
        <v>1296</v>
      </c>
      <c r="C46" s="5">
        <v>0.19933999999999999</v>
      </c>
    </row>
    <row r="47" spans="1:4" x14ac:dyDescent="0.3">
      <c r="A47" t="s">
        <v>1214</v>
      </c>
      <c r="B47" t="s">
        <v>1296</v>
      </c>
      <c r="C47" s="5">
        <v>0.19933999999999999</v>
      </c>
      <c r="D47" s="6"/>
    </row>
    <row r="48" spans="1:4" x14ac:dyDescent="0.3">
      <c r="A48" t="s">
        <v>1212</v>
      </c>
      <c r="B48" t="s">
        <v>1296</v>
      </c>
      <c r="C48" s="5">
        <v>0.19933999999999999</v>
      </c>
    </row>
    <row r="49" spans="1:4" x14ac:dyDescent="0.3">
      <c r="A49" t="s">
        <v>1006</v>
      </c>
      <c r="B49" t="s">
        <v>1296</v>
      </c>
      <c r="C49" s="5">
        <v>0.19933999999999999</v>
      </c>
    </row>
    <row r="50" spans="1:4" x14ac:dyDescent="0.3">
      <c r="A50" t="s">
        <v>1005</v>
      </c>
      <c r="B50" t="s">
        <v>1296</v>
      </c>
      <c r="C50" s="5">
        <v>0.19933999999999999</v>
      </c>
    </row>
    <row r="51" spans="1:4" x14ac:dyDescent="0.3">
      <c r="A51" t="s">
        <v>1262</v>
      </c>
      <c r="B51" t="s">
        <v>1296</v>
      </c>
      <c r="C51" s="5">
        <v>0.19933999999999999</v>
      </c>
      <c r="D51" s="6">
        <v>1</v>
      </c>
    </row>
    <row r="52" spans="1:4" x14ac:dyDescent="0.3">
      <c r="A52" t="s">
        <v>891</v>
      </c>
      <c r="B52" t="s">
        <v>902</v>
      </c>
      <c r="C52" s="6">
        <v>6.55</v>
      </c>
      <c r="D52" s="6"/>
    </row>
    <row r="53" spans="1:4" x14ac:dyDescent="0.3">
      <c r="A53" t="s">
        <v>930</v>
      </c>
      <c r="B53" t="s">
        <v>902</v>
      </c>
      <c r="C53" s="6">
        <v>6.55</v>
      </c>
      <c r="D53" s="6"/>
    </row>
    <row r="54" spans="1:4" x14ac:dyDescent="0.3">
      <c r="A54" t="s">
        <v>944</v>
      </c>
      <c r="B54" t="s">
        <v>902</v>
      </c>
      <c r="C54" s="6">
        <v>6.55</v>
      </c>
      <c r="D54" s="6"/>
    </row>
    <row r="55" spans="1:4" x14ac:dyDescent="0.3">
      <c r="A55" t="s">
        <v>951</v>
      </c>
      <c r="B55" t="s">
        <v>902</v>
      </c>
      <c r="C55" s="6">
        <v>6.55</v>
      </c>
      <c r="D55" s="6"/>
    </row>
    <row r="56" spans="1:4" x14ac:dyDescent="0.3">
      <c r="A56" t="s">
        <v>956</v>
      </c>
      <c r="B56" t="s">
        <v>902</v>
      </c>
      <c r="C56" s="6">
        <v>6.55</v>
      </c>
      <c r="D56" s="6"/>
    </row>
    <row r="57" spans="1:4" x14ac:dyDescent="0.3">
      <c r="A57" t="s">
        <v>942</v>
      </c>
      <c r="B57" t="s">
        <v>902</v>
      </c>
      <c r="C57" s="6">
        <v>6.55</v>
      </c>
      <c r="D57" s="6"/>
    </row>
    <row r="58" spans="1:4" x14ac:dyDescent="0.3">
      <c r="A58" t="s">
        <v>1258</v>
      </c>
      <c r="B58" t="s">
        <v>902</v>
      </c>
      <c r="C58" s="6">
        <v>6.55</v>
      </c>
      <c r="D58" s="6"/>
    </row>
    <row r="59" spans="1:4" x14ac:dyDescent="0.3">
      <c r="A59" t="s">
        <v>904</v>
      </c>
      <c r="B59" t="s">
        <v>902</v>
      </c>
      <c r="C59" s="6">
        <v>6.55</v>
      </c>
      <c r="D59" s="6"/>
    </row>
    <row r="60" spans="1:4" x14ac:dyDescent="0.3">
      <c r="A60" t="s">
        <v>1232</v>
      </c>
      <c r="B60" t="s">
        <v>902</v>
      </c>
      <c r="C60" s="5">
        <v>0.7</v>
      </c>
      <c r="D60" s="6">
        <v>0.95</v>
      </c>
    </row>
    <row r="61" spans="1:4" x14ac:dyDescent="0.3">
      <c r="A61" t="s">
        <v>1210</v>
      </c>
      <c r="B61" t="s">
        <v>902</v>
      </c>
      <c r="C61" s="5">
        <v>0.7</v>
      </c>
    </row>
    <row r="62" spans="1:4" x14ac:dyDescent="0.3">
      <c r="A62" t="s">
        <v>1237</v>
      </c>
      <c r="B62" t="s">
        <v>902</v>
      </c>
      <c r="C62" s="5">
        <v>0.7</v>
      </c>
    </row>
    <row r="63" spans="1:4" x14ac:dyDescent="0.3">
      <c r="A63" t="s">
        <v>1220</v>
      </c>
      <c r="B63" t="s">
        <v>902</v>
      </c>
      <c r="C63" s="5">
        <v>0.7</v>
      </c>
    </row>
    <row r="64" spans="1:4" x14ac:dyDescent="0.3">
      <c r="A64" t="s">
        <v>1214</v>
      </c>
      <c r="B64" t="s">
        <v>902</v>
      </c>
      <c r="C64" s="5">
        <v>0.7</v>
      </c>
      <c r="D64" s="6">
        <v>0.5</v>
      </c>
    </row>
    <row r="65" spans="1:5" x14ac:dyDescent="0.3">
      <c r="A65" t="s">
        <v>1212</v>
      </c>
      <c r="B65" t="s">
        <v>902</v>
      </c>
      <c r="C65" s="5">
        <v>0.7</v>
      </c>
    </row>
    <row r="66" spans="1:5" x14ac:dyDescent="0.3">
      <c r="A66" t="s">
        <v>1006</v>
      </c>
      <c r="B66" t="s">
        <v>902</v>
      </c>
      <c r="C66" s="5">
        <v>0.7</v>
      </c>
    </row>
    <row r="67" spans="1:5" x14ac:dyDescent="0.3">
      <c r="A67" t="s">
        <v>1005</v>
      </c>
      <c r="B67" t="s">
        <v>902</v>
      </c>
      <c r="C67" s="5">
        <v>0.7</v>
      </c>
    </row>
    <row r="68" spans="1:5" x14ac:dyDescent="0.3">
      <c r="A68" t="s">
        <v>891</v>
      </c>
      <c r="B68" t="s">
        <v>1521</v>
      </c>
      <c r="C68" s="7">
        <v>0.21</v>
      </c>
      <c r="D68" s="5">
        <v>0.2006079441812475</v>
      </c>
      <c r="E68">
        <v>1</v>
      </c>
    </row>
    <row r="69" spans="1:5" x14ac:dyDescent="0.3">
      <c r="A69" t="s">
        <v>1079</v>
      </c>
      <c r="B69" t="s">
        <v>1083</v>
      </c>
      <c r="C69" s="5">
        <v>0.36</v>
      </c>
      <c r="D69" s="5">
        <v>0.76</v>
      </c>
      <c r="E69">
        <v>1</v>
      </c>
    </row>
    <row r="70" spans="1:5" x14ac:dyDescent="0.3">
      <c r="A70" t="s">
        <v>1079</v>
      </c>
      <c r="B70" t="s">
        <v>1085</v>
      </c>
      <c r="C70" s="5">
        <v>0.61</v>
      </c>
      <c r="D70" s="5">
        <v>0.24</v>
      </c>
      <c r="E70">
        <v>1</v>
      </c>
    </row>
    <row r="71" spans="1:5" x14ac:dyDescent="0.3">
      <c r="A71" t="s">
        <v>1145</v>
      </c>
      <c r="B71" t="s">
        <v>1149</v>
      </c>
      <c r="C71" s="5">
        <v>0.51</v>
      </c>
      <c r="D71" s="5">
        <v>0.32937551139078125</v>
      </c>
      <c r="E71">
        <v>1</v>
      </c>
    </row>
    <row r="72" spans="1:5" x14ac:dyDescent="0.3">
      <c r="A72" t="s">
        <v>1145</v>
      </c>
      <c r="B72" t="s">
        <v>1147</v>
      </c>
      <c r="C72" s="6">
        <v>0.18</v>
      </c>
      <c r="D72" s="6">
        <v>0.76</v>
      </c>
      <c r="E72">
        <v>1</v>
      </c>
    </row>
    <row r="73" spans="1:5" x14ac:dyDescent="0.3">
      <c r="A73" t="s">
        <v>942</v>
      </c>
      <c r="B73" t="s">
        <v>1305</v>
      </c>
      <c r="C73" s="6">
        <v>0.28000000000000003</v>
      </c>
      <c r="D73" s="6">
        <v>0.05</v>
      </c>
      <c r="E73">
        <v>1</v>
      </c>
    </row>
    <row r="74" spans="1:5" x14ac:dyDescent="0.3">
      <c r="A74" t="s">
        <v>930</v>
      </c>
      <c r="B74" t="s">
        <v>1305</v>
      </c>
      <c r="C74" s="5">
        <v>0.11</v>
      </c>
      <c r="D74" s="5">
        <v>9.7234849621385649E-2</v>
      </c>
      <c r="E74">
        <v>1</v>
      </c>
    </row>
    <row r="75" spans="1:5" x14ac:dyDescent="0.3">
      <c r="A75" t="s">
        <v>951</v>
      </c>
      <c r="B75" t="s">
        <v>1305</v>
      </c>
      <c r="C75" s="6">
        <v>0.28000000000000003</v>
      </c>
      <c r="D75" s="6">
        <v>0.05</v>
      </c>
      <c r="E75">
        <v>1</v>
      </c>
    </row>
    <row r="76" spans="1:5" x14ac:dyDescent="0.3">
      <c r="A76" t="s">
        <v>947</v>
      </c>
      <c r="B76" t="s">
        <v>1305</v>
      </c>
      <c r="C76" s="6">
        <v>0.28000000000000003</v>
      </c>
      <c r="D76" s="6">
        <v>0.05</v>
      </c>
      <c r="E76">
        <v>1</v>
      </c>
    </row>
    <row r="77" spans="1:5" x14ac:dyDescent="0.3">
      <c r="A77" t="s">
        <v>904</v>
      </c>
      <c r="B77" t="s">
        <v>1305</v>
      </c>
      <c r="C77" s="6">
        <v>0.28000000000000003</v>
      </c>
      <c r="D77" s="6">
        <v>0.05</v>
      </c>
      <c r="E77">
        <v>1</v>
      </c>
    </row>
    <row r="78" spans="1:5" x14ac:dyDescent="0.3">
      <c r="A78" t="s">
        <v>944</v>
      </c>
      <c r="B78" t="s">
        <v>1305</v>
      </c>
      <c r="C78" s="6">
        <v>0.28000000000000003</v>
      </c>
      <c r="D78" s="6">
        <v>0.05</v>
      </c>
      <c r="E78">
        <v>1</v>
      </c>
    </row>
    <row r="79" spans="1:5" x14ac:dyDescent="0.3">
      <c r="A79" t="s">
        <v>956</v>
      </c>
      <c r="B79" t="s">
        <v>1305</v>
      </c>
      <c r="C79" s="6">
        <v>0.28000000000000003</v>
      </c>
      <c r="D79" s="6">
        <v>0.05</v>
      </c>
      <c r="E79">
        <v>1</v>
      </c>
    </row>
    <row r="80" spans="1:5" x14ac:dyDescent="0.3">
      <c r="A80" t="s">
        <v>891</v>
      </c>
      <c r="B80" t="s">
        <v>1305</v>
      </c>
      <c r="C80" s="6">
        <v>0.28000000000000003</v>
      </c>
      <c r="D80" s="6">
        <v>0.05</v>
      </c>
      <c r="E80">
        <v>1</v>
      </c>
    </row>
    <row r="81" spans="1:5" x14ac:dyDescent="0.3">
      <c r="A81" t="s">
        <v>920</v>
      </c>
      <c r="B81" t="s">
        <v>1519</v>
      </c>
      <c r="C81" s="6">
        <v>0.28000000000000003</v>
      </c>
      <c r="D81" s="6">
        <v>0.05</v>
      </c>
      <c r="E81">
        <v>1</v>
      </c>
    </row>
    <row r="82" spans="1:5" x14ac:dyDescent="0.3">
      <c r="A82" t="s">
        <v>891</v>
      </c>
      <c r="B82" t="s">
        <v>1522</v>
      </c>
      <c r="C82" s="7"/>
      <c r="D82" s="5">
        <v>0.7993920558187525</v>
      </c>
    </row>
    <row r="83" spans="1:5" x14ac:dyDescent="0.3">
      <c r="A83" t="s">
        <v>1070</v>
      </c>
      <c r="B83" t="s">
        <v>1075</v>
      </c>
      <c r="C83" s="5">
        <v>0.54</v>
      </c>
      <c r="D83" s="5">
        <v>0.20163923648510021</v>
      </c>
      <c r="E83">
        <v>1</v>
      </c>
    </row>
    <row r="84" spans="1:5" x14ac:dyDescent="0.3">
      <c r="A84" t="s">
        <v>1070</v>
      </c>
      <c r="B84" t="s">
        <v>1073</v>
      </c>
      <c r="C84" s="5">
        <v>0.43</v>
      </c>
      <c r="D84" s="5">
        <v>0.79836076351489982</v>
      </c>
      <c r="E84">
        <v>1</v>
      </c>
    </row>
    <row r="85" spans="1:5" x14ac:dyDescent="0.3">
      <c r="A85" t="s">
        <v>930</v>
      </c>
      <c r="B85" t="s">
        <v>935</v>
      </c>
      <c r="C85" s="6">
        <v>0.05</v>
      </c>
      <c r="D85" s="6">
        <v>0.05</v>
      </c>
    </row>
    <row r="86" spans="1:5" x14ac:dyDescent="0.3">
      <c r="A86" t="s">
        <v>1006</v>
      </c>
      <c r="B86" t="s">
        <v>1015</v>
      </c>
      <c r="C86" s="5">
        <v>0.05</v>
      </c>
      <c r="D86" s="5">
        <v>0.08</v>
      </c>
      <c r="E86">
        <v>1</v>
      </c>
    </row>
    <row r="87" spans="1:5" x14ac:dyDescent="0.3">
      <c r="A87" t="s">
        <v>1005</v>
      </c>
      <c r="B87" t="s">
        <v>1015</v>
      </c>
      <c r="C87" s="5">
        <v>0.05</v>
      </c>
      <c r="D87" s="5">
        <v>0.08</v>
      </c>
      <c r="E87">
        <v>1</v>
      </c>
    </row>
    <row r="88" spans="1:5" x14ac:dyDescent="0.3">
      <c r="A88" t="s">
        <v>1073</v>
      </c>
      <c r="B88" t="s">
        <v>1102</v>
      </c>
      <c r="C88" s="5">
        <f>1/0.8</f>
        <v>1.25</v>
      </c>
    </row>
    <row r="89" spans="1:5" x14ac:dyDescent="0.3">
      <c r="A89" t="s">
        <v>935</v>
      </c>
      <c r="B89" t="s">
        <v>1102</v>
      </c>
      <c r="C89" s="5">
        <f>1/0.8</f>
        <v>1.25</v>
      </c>
    </row>
    <row r="90" spans="1:5" x14ac:dyDescent="0.3">
      <c r="A90" t="s">
        <v>1100</v>
      </c>
      <c r="B90" t="s">
        <v>1102</v>
      </c>
      <c r="C90" s="6">
        <v>0.36</v>
      </c>
      <c r="D90" s="6">
        <v>0.76</v>
      </c>
    </row>
    <row r="91" spans="1:5" x14ac:dyDescent="0.3">
      <c r="A91" t="s">
        <v>1089</v>
      </c>
      <c r="B91" t="s">
        <v>1102</v>
      </c>
      <c r="C91" s="5">
        <f t="shared" ref="C91:C96" si="0">1/0.8</f>
        <v>1.25</v>
      </c>
    </row>
    <row r="92" spans="1:5" x14ac:dyDescent="0.3">
      <c r="A92" t="s">
        <v>1091</v>
      </c>
      <c r="B92" t="s">
        <v>1102</v>
      </c>
      <c r="C92" s="5">
        <f t="shared" si="0"/>
        <v>1.25</v>
      </c>
    </row>
    <row r="93" spans="1:5" x14ac:dyDescent="0.3">
      <c r="A93" t="s">
        <v>1113</v>
      </c>
      <c r="B93" t="s">
        <v>1102</v>
      </c>
      <c r="C93" s="5">
        <f t="shared" si="0"/>
        <v>1.25</v>
      </c>
    </row>
    <row r="94" spans="1:5" x14ac:dyDescent="0.3">
      <c r="A94" t="s">
        <v>1126</v>
      </c>
      <c r="B94" t="s">
        <v>1102</v>
      </c>
      <c r="C94" s="5">
        <f t="shared" si="0"/>
        <v>1.25</v>
      </c>
    </row>
    <row r="95" spans="1:5" x14ac:dyDescent="0.3">
      <c r="A95" t="s">
        <v>1063</v>
      </c>
      <c r="B95" t="s">
        <v>1102</v>
      </c>
      <c r="C95" s="5">
        <f t="shared" si="0"/>
        <v>1.25</v>
      </c>
    </row>
    <row r="96" spans="1:5" x14ac:dyDescent="0.3">
      <c r="A96" t="s">
        <v>1107</v>
      </c>
      <c r="B96" t="s">
        <v>1102</v>
      </c>
      <c r="C96" s="5">
        <f t="shared" si="0"/>
        <v>1.25</v>
      </c>
    </row>
    <row r="97" spans="1:5" x14ac:dyDescent="0.3">
      <c r="A97" t="s">
        <v>1100</v>
      </c>
      <c r="B97" t="s">
        <v>937</v>
      </c>
      <c r="C97" s="5">
        <v>0.63</v>
      </c>
      <c r="D97" s="5">
        <v>0.3750720990127574</v>
      </c>
      <c r="E97">
        <v>1</v>
      </c>
    </row>
    <row r="98" spans="1:5" x14ac:dyDescent="0.3">
      <c r="A98" t="s">
        <v>904</v>
      </c>
      <c r="B98" t="s">
        <v>937</v>
      </c>
      <c r="C98" s="6">
        <v>0.63</v>
      </c>
    </row>
    <row r="99" spans="1:5" x14ac:dyDescent="0.3">
      <c r="A99" t="s">
        <v>930</v>
      </c>
      <c r="B99" t="s">
        <v>937</v>
      </c>
      <c r="C99" s="6">
        <v>0.63</v>
      </c>
    </row>
    <row r="100" spans="1:5" x14ac:dyDescent="0.3">
      <c r="A100" t="s">
        <v>1095</v>
      </c>
      <c r="B100" t="s">
        <v>1097</v>
      </c>
      <c r="C100" s="5">
        <v>0.2</v>
      </c>
      <c r="D100" s="5">
        <v>0.95741496292538231</v>
      </c>
      <c r="E100">
        <v>1</v>
      </c>
    </row>
    <row r="101" spans="1:5" x14ac:dyDescent="0.3">
      <c r="A101" t="s">
        <v>1087</v>
      </c>
      <c r="B101" t="s">
        <v>1093</v>
      </c>
      <c r="C101" s="5">
        <v>0.52</v>
      </c>
      <c r="D101" s="5">
        <v>0.15097806180408466</v>
      </c>
      <c r="E101">
        <v>1</v>
      </c>
    </row>
    <row r="102" spans="1:5" x14ac:dyDescent="0.3">
      <c r="A102" t="s">
        <v>1087</v>
      </c>
      <c r="B102" t="s">
        <v>1091</v>
      </c>
      <c r="C102" s="5">
        <v>0.46</v>
      </c>
      <c r="D102" s="5">
        <v>0.85</v>
      </c>
      <c r="E102">
        <v>1</v>
      </c>
    </row>
    <row r="103" spans="1:5" x14ac:dyDescent="0.3">
      <c r="A103" t="s">
        <v>1111</v>
      </c>
      <c r="B103" t="s">
        <v>1115</v>
      </c>
      <c r="C103" s="5">
        <v>0.6</v>
      </c>
      <c r="D103" s="5">
        <v>0.29469947565818211</v>
      </c>
      <c r="E103">
        <v>1</v>
      </c>
    </row>
    <row r="104" spans="1:5" x14ac:dyDescent="0.3">
      <c r="A104" t="s">
        <v>1111</v>
      </c>
      <c r="B104" t="s">
        <v>1113</v>
      </c>
      <c r="C104" s="5">
        <v>0.38</v>
      </c>
      <c r="D104" s="5">
        <v>0.705300524341818</v>
      </c>
      <c r="E104">
        <v>1</v>
      </c>
    </row>
    <row r="105" spans="1:5" x14ac:dyDescent="0.3">
      <c r="A105" t="s">
        <v>904</v>
      </c>
      <c r="B105" t="s">
        <v>914</v>
      </c>
      <c r="C105" s="6">
        <v>0.01</v>
      </c>
    </row>
    <row r="106" spans="1:5" x14ac:dyDescent="0.3">
      <c r="A106" t="s">
        <v>1124</v>
      </c>
      <c r="B106" t="s">
        <v>1128</v>
      </c>
      <c r="C106" s="6">
        <v>0.63</v>
      </c>
      <c r="D106" s="6">
        <v>0.3750720990127574</v>
      </c>
      <c r="E106">
        <v>1</v>
      </c>
    </row>
    <row r="107" spans="1:5" x14ac:dyDescent="0.3">
      <c r="A107" t="s">
        <v>1124</v>
      </c>
      <c r="B107" t="s">
        <v>1126</v>
      </c>
      <c r="C107" s="6">
        <v>0.36</v>
      </c>
      <c r="D107" s="6">
        <v>0.76</v>
      </c>
      <c r="E107">
        <v>1</v>
      </c>
    </row>
    <row r="108" spans="1:5" x14ac:dyDescent="0.3">
      <c r="A108" t="s">
        <v>1061</v>
      </c>
      <c r="B108" t="s">
        <v>1520</v>
      </c>
      <c r="C108" s="6">
        <v>0.05</v>
      </c>
      <c r="D108" s="6">
        <v>0.03</v>
      </c>
      <c r="E108">
        <v>1</v>
      </c>
    </row>
    <row r="109" spans="1:5" x14ac:dyDescent="0.3">
      <c r="A109" t="s">
        <v>1061</v>
      </c>
      <c r="B109" t="s">
        <v>1065</v>
      </c>
      <c r="C109" s="5">
        <v>0.79</v>
      </c>
      <c r="D109" s="5">
        <v>0.65535526726145477</v>
      </c>
      <c r="E109">
        <v>1</v>
      </c>
    </row>
    <row r="110" spans="1:5" x14ac:dyDescent="0.3">
      <c r="A110" t="s">
        <v>1061</v>
      </c>
      <c r="B110" t="s">
        <v>1063</v>
      </c>
      <c r="C110" s="5">
        <v>0.18</v>
      </c>
      <c r="D110" s="5">
        <v>0.34464473273854535</v>
      </c>
      <c r="E110">
        <v>1</v>
      </c>
    </row>
    <row r="111" spans="1:5" x14ac:dyDescent="0.3">
      <c r="A111" t="s">
        <v>1006</v>
      </c>
      <c r="B111" t="s">
        <v>1008</v>
      </c>
      <c r="C111" s="5">
        <v>0.11</v>
      </c>
      <c r="D111" s="5">
        <v>0.87436129775170701</v>
      </c>
      <c r="E111">
        <v>1</v>
      </c>
    </row>
    <row r="112" spans="1:5" x14ac:dyDescent="0.3">
      <c r="A112" t="s">
        <v>1005</v>
      </c>
      <c r="B112" t="s">
        <v>1008</v>
      </c>
      <c r="C112" s="5">
        <v>0.11</v>
      </c>
      <c r="D112" s="5">
        <v>0.87436129775170701</v>
      </c>
      <c r="E112">
        <v>1</v>
      </c>
    </row>
    <row r="113" spans="1:5" x14ac:dyDescent="0.3">
      <c r="A113" t="s">
        <v>1006</v>
      </c>
      <c r="B113" t="s">
        <v>1013</v>
      </c>
      <c r="C113" s="6">
        <v>0.05</v>
      </c>
    </row>
    <row r="114" spans="1:5" x14ac:dyDescent="0.3">
      <c r="A114" t="s">
        <v>1005</v>
      </c>
      <c r="B114" t="s">
        <v>1013</v>
      </c>
      <c r="C114" s="6">
        <v>0.05</v>
      </c>
    </row>
    <row r="115" spans="1:5" x14ac:dyDescent="0.3">
      <c r="A115" t="s">
        <v>1006</v>
      </c>
      <c r="B115" t="s">
        <v>1020</v>
      </c>
      <c r="C115" s="6">
        <v>0.84</v>
      </c>
      <c r="D115" s="6">
        <v>4.5638702248292987E-2</v>
      </c>
      <c r="E115">
        <v>1</v>
      </c>
    </row>
    <row r="116" spans="1:5" x14ac:dyDescent="0.3">
      <c r="A116" t="s">
        <v>1105</v>
      </c>
      <c r="B116" t="s">
        <v>1109</v>
      </c>
      <c r="C116" s="5">
        <v>0.47</v>
      </c>
      <c r="D116" s="5">
        <v>0.18927461746994348</v>
      </c>
      <c r="E116">
        <v>1</v>
      </c>
    </row>
    <row r="117" spans="1:5" x14ac:dyDescent="0.3">
      <c r="A117" t="s">
        <v>1105</v>
      </c>
      <c r="B117" t="s">
        <v>1107</v>
      </c>
      <c r="C117" s="5">
        <v>0.41</v>
      </c>
      <c r="D117" s="5">
        <v>0.81072538253005644</v>
      </c>
      <c r="E117">
        <v>1</v>
      </c>
    </row>
    <row r="118" spans="1:5" x14ac:dyDescent="0.3">
      <c r="A118" t="s">
        <v>891</v>
      </c>
      <c r="B118" t="s">
        <v>1003</v>
      </c>
      <c r="C118" s="6">
        <v>0.3</v>
      </c>
    </row>
    <row r="119" spans="1:5" x14ac:dyDescent="0.3">
      <c r="A119" t="s">
        <v>920</v>
      </c>
      <c r="B119" t="s">
        <v>1003</v>
      </c>
      <c r="C119" s="6">
        <v>0.3</v>
      </c>
    </row>
    <row r="120" spans="1:5" x14ac:dyDescent="0.3">
      <c r="A120" t="s">
        <v>930</v>
      </c>
      <c r="B120" t="s">
        <v>1003</v>
      </c>
      <c r="C120" s="6">
        <v>0.3</v>
      </c>
    </row>
    <row r="121" spans="1:5" x14ac:dyDescent="0.3">
      <c r="A121" t="s">
        <v>983</v>
      </c>
      <c r="B121" t="s">
        <v>1003</v>
      </c>
      <c r="C121" s="6">
        <v>0.3</v>
      </c>
    </row>
    <row r="122" spans="1:5" x14ac:dyDescent="0.3">
      <c r="A122" t="s">
        <v>990</v>
      </c>
      <c r="B122" t="s">
        <v>1003</v>
      </c>
      <c r="C122" s="6">
        <v>0.3</v>
      </c>
    </row>
    <row r="123" spans="1:5" x14ac:dyDescent="0.3">
      <c r="A123" t="s">
        <v>988</v>
      </c>
      <c r="B123" t="s">
        <v>1003</v>
      </c>
      <c r="C123" s="6">
        <v>0.3</v>
      </c>
    </row>
    <row r="124" spans="1:5" x14ac:dyDescent="0.3">
      <c r="A124" t="s">
        <v>904</v>
      </c>
      <c r="B124" t="s">
        <v>1003</v>
      </c>
      <c r="C124" s="6">
        <v>0.3</v>
      </c>
    </row>
    <row r="125" spans="1:5" x14ac:dyDescent="0.3">
      <c r="A125" t="s">
        <v>1232</v>
      </c>
      <c r="B125" t="s">
        <v>1003</v>
      </c>
      <c r="C125" s="6">
        <v>0.3</v>
      </c>
    </row>
    <row r="126" spans="1:5" x14ac:dyDescent="0.3">
      <c r="A126" t="s">
        <v>1210</v>
      </c>
      <c r="B126" t="s">
        <v>1003</v>
      </c>
      <c r="C126" s="6">
        <v>0.3</v>
      </c>
    </row>
    <row r="127" spans="1:5" x14ac:dyDescent="0.3">
      <c r="A127" t="s">
        <v>1237</v>
      </c>
      <c r="B127" t="s">
        <v>1003</v>
      </c>
      <c r="C127" s="6">
        <v>0.3</v>
      </c>
    </row>
    <row r="128" spans="1:5" x14ac:dyDescent="0.3">
      <c r="A128" t="s">
        <v>1220</v>
      </c>
      <c r="B128" t="s">
        <v>1003</v>
      </c>
      <c r="C128" s="6">
        <v>0.3</v>
      </c>
    </row>
    <row r="129" spans="1:4" x14ac:dyDescent="0.3">
      <c r="A129" t="s">
        <v>1015</v>
      </c>
      <c r="B129" t="s">
        <v>1003</v>
      </c>
      <c r="C129" s="6">
        <v>1</v>
      </c>
    </row>
    <row r="130" spans="1:4" x14ac:dyDescent="0.3">
      <c r="A130" t="s">
        <v>1214</v>
      </c>
      <c r="B130" t="s">
        <v>1003</v>
      </c>
      <c r="C130" s="6">
        <v>0.3</v>
      </c>
      <c r="D130" s="6">
        <v>0.5</v>
      </c>
    </row>
    <row r="131" spans="1:4" x14ac:dyDescent="0.3">
      <c r="A131" t="s">
        <v>1212</v>
      </c>
      <c r="B131" t="s">
        <v>1003</v>
      </c>
      <c r="C131" s="6">
        <v>0.3</v>
      </c>
    </row>
    <row r="132" spans="1:4" x14ac:dyDescent="0.3">
      <c r="A132" t="s">
        <v>1006</v>
      </c>
      <c r="B132" t="s">
        <v>1003</v>
      </c>
      <c r="C132" s="6">
        <v>0.3</v>
      </c>
    </row>
    <row r="133" spans="1:4" x14ac:dyDescent="0.3">
      <c r="A133" t="s">
        <v>1005</v>
      </c>
      <c r="B133" t="s">
        <v>1003</v>
      </c>
      <c r="C133" s="6">
        <v>0.3</v>
      </c>
    </row>
    <row r="134" spans="1:4" x14ac:dyDescent="0.3">
      <c r="A134" t="s">
        <v>1258</v>
      </c>
      <c r="B134" t="s">
        <v>1262</v>
      </c>
      <c r="C134" s="5">
        <v>0.86</v>
      </c>
      <c r="D134" s="5">
        <v>1</v>
      </c>
    </row>
  </sheetData>
  <autoFilter ref="A1:E134" xr:uid="{01D50FE5-5B25-4E5B-AC96-3B25078491C8}">
    <sortState xmlns:xlrd2="http://schemas.microsoft.com/office/spreadsheetml/2017/richdata2" ref="A2:E135">
      <sortCondition ref="B1:B134"/>
    </sortState>
  </autoFilter>
  <pageMargins left="0.7" right="0.7" top="0.75" bottom="0.75" header="0.3" footer="0.3"/>
  <pageSetup orientation="portrait" horizontalDpi="1200" verticalDpi="1200"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7EEBD-D02C-481C-9474-D412A60DD712}">
  <dimension ref="A1:T329"/>
  <sheetViews>
    <sheetView zoomScale="80" zoomScaleNormal="80" workbookViewId="0">
      <pane xSplit="1" ySplit="1" topLeftCell="B188" activePane="bottomRight" state="frozen"/>
      <selection pane="topRight" activeCell="B1" sqref="B1"/>
      <selection pane="bottomLeft" activeCell="A2" sqref="A2"/>
      <selection pane="bottomRight" activeCell="I207" sqref="I207"/>
    </sheetView>
  </sheetViews>
  <sheetFormatPr defaultColWidth="10.77734375" defaultRowHeight="14.4" x14ac:dyDescent="0.3"/>
  <cols>
    <col min="1" max="1" width="47.77734375" customWidth="1"/>
    <col min="2" max="2" width="19.21875" customWidth="1"/>
    <col min="3" max="3" width="29.6640625" customWidth="1"/>
    <col min="4" max="4" width="18" customWidth="1"/>
    <col min="5" max="5" width="17.21875" customWidth="1"/>
    <col min="6" max="6" width="14" customWidth="1"/>
    <col min="7" max="7" width="5.77734375" customWidth="1"/>
    <col min="8" max="8" width="15.77734375" customWidth="1"/>
    <col min="9" max="9" width="16.77734375" customWidth="1"/>
  </cols>
  <sheetData>
    <row r="1" spans="1:20" x14ac:dyDescent="0.3">
      <c r="A1" t="s">
        <v>1529</v>
      </c>
      <c r="B1" t="s">
        <v>1530</v>
      </c>
      <c r="C1" t="s">
        <v>1531</v>
      </c>
      <c r="D1" t="s">
        <v>1532</v>
      </c>
      <c r="E1" t="s">
        <v>1533</v>
      </c>
      <c r="F1" t="s">
        <v>1534</v>
      </c>
      <c r="G1" t="s">
        <v>1535</v>
      </c>
      <c r="H1" t="s">
        <v>1536</v>
      </c>
      <c r="I1" t="s">
        <v>791</v>
      </c>
      <c r="J1" t="s">
        <v>1537</v>
      </c>
      <c r="K1" t="s">
        <v>1538</v>
      </c>
      <c r="L1" t="s">
        <v>723</v>
      </c>
      <c r="M1" t="s">
        <v>724</v>
      </c>
      <c r="N1" t="s">
        <v>1539</v>
      </c>
      <c r="O1" t="s">
        <v>1540</v>
      </c>
      <c r="P1" t="s">
        <v>1541</v>
      </c>
      <c r="Q1" t="s">
        <v>1542</v>
      </c>
      <c r="R1" t="s">
        <v>714</v>
      </c>
      <c r="S1" t="s">
        <v>4652</v>
      </c>
      <c r="T1" t="s">
        <v>4653</v>
      </c>
    </row>
    <row r="2" spans="1:20" x14ac:dyDescent="0.3">
      <c r="A2" t="s">
        <v>890</v>
      </c>
      <c r="B2">
        <v>15</v>
      </c>
      <c r="C2" t="s">
        <v>891</v>
      </c>
      <c r="D2">
        <f>VLOOKUP(C2,items_full!$A$2:$B$254,2,0)</f>
        <v>2511</v>
      </c>
      <c r="E2" t="s">
        <v>1543</v>
      </c>
      <c r="H2" t="s">
        <v>1544</v>
      </c>
      <c r="I2" t="s">
        <v>890</v>
      </c>
      <c r="K2" t="s">
        <v>890</v>
      </c>
      <c r="L2" t="s">
        <v>1545</v>
      </c>
      <c r="M2" t="s">
        <v>1545</v>
      </c>
      <c r="N2" t="s">
        <v>1545</v>
      </c>
      <c r="O2" t="s">
        <v>1546</v>
      </c>
      <c r="P2">
        <v>1</v>
      </c>
      <c r="Q2" t="s">
        <v>1545</v>
      </c>
      <c r="R2" t="s">
        <v>1547</v>
      </c>
      <c r="S2" t="s">
        <v>4648</v>
      </c>
      <c r="T2" t="s">
        <v>4650</v>
      </c>
    </row>
    <row r="3" spans="1:20" x14ac:dyDescent="0.3">
      <c r="A3" t="s">
        <v>1548</v>
      </c>
      <c r="B3">
        <v>27</v>
      </c>
      <c r="C3" t="s">
        <v>904</v>
      </c>
      <c r="D3">
        <f>VLOOKUP(C3,items_full!$A$2:$B$254,2,0)</f>
        <v>2807</v>
      </c>
      <c r="E3" t="s">
        <v>1543</v>
      </c>
      <c r="H3" t="s">
        <v>1549</v>
      </c>
      <c r="I3" t="s">
        <v>1548</v>
      </c>
      <c r="K3" t="s">
        <v>1548</v>
      </c>
      <c r="L3" t="s">
        <v>1548</v>
      </c>
      <c r="M3" t="s">
        <v>1545</v>
      </c>
      <c r="N3" t="s">
        <v>1545</v>
      </c>
      <c r="O3" t="s">
        <v>1546</v>
      </c>
      <c r="P3">
        <v>1</v>
      </c>
      <c r="Q3" t="s">
        <v>1545</v>
      </c>
      <c r="R3" t="s">
        <v>1547</v>
      </c>
      <c r="S3" t="s">
        <v>4648</v>
      </c>
      <c r="T3" t="s">
        <v>4650</v>
      </c>
    </row>
    <row r="4" spans="1:20" x14ac:dyDescent="0.3">
      <c r="A4" t="s">
        <v>919</v>
      </c>
      <c r="B4">
        <v>44</v>
      </c>
      <c r="C4" t="s">
        <v>920</v>
      </c>
      <c r="D4">
        <f>VLOOKUP(C4,items_full!$A$2:$B$254,2,0)</f>
        <v>2513</v>
      </c>
      <c r="E4" t="s">
        <v>1543</v>
      </c>
      <c r="H4" t="s">
        <v>1544</v>
      </c>
      <c r="I4" t="s">
        <v>919</v>
      </c>
      <c r="K4" t="s">
        <v>919</v>
      </c>
      <c r="L4" t="s">
        <v>1545</v>
      </c>
      <c r="M4" t="s">
        <v>1545</v>
      </c>
      <c r="N4" t="s">
        <v>1545</v>
      </c>
      <c r="O4" t="s">
        <v>1546</v>
      </c>
      <c r="P4">
        <v>1</v>
      </c>
      <c r="Q4" t="s">
        <v>1545</v>
      </c>
      <c r="R4" t="s">
        <v>1547</v>
      </c>
      <c r="S4" t="s">
        <v>4648</v>
      </c>
      <c r="T4" t="s">
        <v>4650</v>
      </c>
    </row>
    <row r="5" spans="1:20" x14ac:dyDescent="0.3">
      <c r="A5" t="s">
        <v>1550</v>
      </c>
      <c r="B5">
        <v>51</v>
      </c>
      <c r="C5" t="s">
        <v>928</v>
      </c>
      <c r="D5">
        <f>VLOOKUP(C5,items_full!$A$2:$B$254,2,0)</f>
        <v>2656</v>
      </c>
      <c r="E5" t="s">
        <v>1551</v>
      </c>
      <c r="I5" t="s">
        <v>928</v>
      </c>
      <c r="L5" t="s">
        <v>1552</v>
      </c>
      <c r="M5" t="s">
        <v>1552</v>
      </c>
      <c r="N5" t="s">
        <v>1552</v>
      </c>
      <c r="O5" t="s">
        <v>1552</v>
      </c>
      <c r="P5" t="s">
        <v>1552</v>
      </c>
      <c r="Q5" t="s">
        <v>1552</v>
      </c>
      <c r="R5" t="s">
        <v>1552</v>
      </c>
    </row>
    <row r="6" spans="1:20" x14ac:dyDescent="0.3">
      <c r="A6" t="s">
        <v>1553</v>
      </c>
      <c r="B6">
        <v>56</v>
      </c>
      <c r="C6" t="s">
        <v>930</v>
      </c>
      <c r="D6">
        <f>VLOOKUP(C6,items_full!$A$2:$B$254,2,0)</f>
        <v>2514</v>
      </c>
      <c r="E6" t="s">
        <v>1543</v>
      </c>
      <c r="H6" t="s">
        <v>929</v>
      </c>
      <c r="I6" t="s">
        <v>929</v>
      </c>
      <c r="K6" t="s">
        <v>929</v>
      </c>
      <c r="L6" t="s">
        <v>1545</v>
      </c>
      <c r="M6" t="s">
        <v>1545</v>
      </c>
      <c r="N6" t="s">
        <v>1545</v>
      </c>
      <c r="O6" t="s">
        <v>1546</v>
      </c>
      <c r="P6">
        <v>1</v>
      </c>
      <c r="Q6" t="s">
        <v>1545</v>
      </c>
      <c r="R6" t="s">
        <v>1547</v>
      </c>
      <c r="S6" t="s">
        <v>4649</v>
      </c>
      <c r="T6" t="s">
        <v>4650</v>
      </c>
    </row>
    <row r="7" spans="1:20" x14ac:dyDescent="0.3">
      <c r="A7" t="s">
        <v>1554</v>
      </c>
      <c r="B7">
        <v>60</v>
      </c>
      <c r="C7" t="s">
        <v>935</v>
      </c>
      <c r="D7">
        <f>VLOOKUP(C7,items_full!$A$2:$B$254,2,0)</f>
        <v>2582</v>
      </c>
      <c r="E7" t="s">
        <v>1551</v>
      </c>
      <c r="I7" t="s">
        <v>1555</v>
      </c>
      <c r="L7" t="s">
        <v>1552</v>
      </c>
      <c r="M7" t="s">
        <v>1552</v>
      </c>
      <c r="N7" t="s">
        <v>1552</v>
      </c>
      <c r="O7" t="s">
        <v>1552</v>
      </c>
      <c r="P7" t="s">
        <v>1552</v>
      </c>
      <c r="Q7" t="s">
        <v>1552</v>
      </c>
      <c r="R7" t="s">
        <v>1552</v>
      </c>
    </row>
    <row r="8" spans="1:20" x14ac:dyDescent="0.3">
      <c r="A8" t="s">
        <v>943</v>
      </c>
      <c r="B8">
        <v>71</v>
      </c>
      <c r="C8" t="s">
        <v>944</v>
      </c>
      <c r="D8">
        <f>VLOOKUP(C8,items_full!$A$2:$B$254,2,0)</f>
        <v>2515</v>
      </c>
      <c r="E8" t="s">
        <v>1543</v>
      </c>
      <c r="H8" t="s">
        <v>1544</v>
      </c>
      <c r="I8" t="s">
        <v>943</v>
      </c>
      <c r="K8" t="s">
        <v>943</v>
      </c>
      <c r="L8" t="s">
        <v>1545</v>
      </c>
      <c r="M8" t="s">
        <v>1545</v>
      </c>
      <c r="N8" t="s">
        <v>1545</v>
      </c>
      <c r="O8" t="s">
        <v>1546</v>
      </c>
      <c r="P8">
        <v>1</v>
      </c>
      <c r="Q8" t="s">
        <v>1545</v>
      </c>
      <c r="R8" t="s">
        <v>1547</v>
      </c>
      <c r="S8" t="s">
        <v>4648</v>
      </c>
      <c r="T8" t="s">
        <v>4650</v>
      </c>
    </row>
    <row r="9" spans="1:20" x14ac:dyDescent="0.3">
      <c r="A9" t="s">
        <v>947</v>
      </c>
      <c r="B9">
        <v>75</v>
      </c>
      <c r="C9" t="s">
        <v>947</v>
      </c>
      <c r="D9">
        <f>VLOOKUP(C9,items_full!$A$2:$B$254,2,0)</f>
        <v>2516</v>
      </c>
      <c r="E9" t="s">
        <v>1543</v>
      </c>
      <c r="H9" t="s">
        <v>1544</v>
      </c>
      <c r="I9" t="s">
        <v>947</v>
      </c>
      <c r="K9" t="s">
        <v>947</v>
      </c>
      <c r="L9" t="s">
        <v>1545</v>
      </c>
      <c r="M9" t="s">
        <v>1545</v>
      </c>
      <c r="N9" t="s">
        <v>1545</v>
      </c>
      <c r="O9" t="s">
        <v>1546</v>
      </c>
      <c r="P9">
        <v>1</v>
      </c>
      <c r="Q9" t="s">
        <v>1545</v>
      </c>
      <c r="R9" t="s">
        <v>1547</v>
      </c>
      <c r="S9" t="s">
        <v>4648</v>
      </c>
      <c r="T9" t="s">
        <v>4650</v>
      </c>
    </row>
    <row r="10" spans="1:20" x14ac:dyDescent="0.3">
      <c r="A10" t="s">
        <v>950</v>
      </c>
      <c r="B10">
        <v>79</v>
      </c>
      <c r="C10" t="s">
        <v>951</v>
      </c>
      <c r="D10">
        <f>VLOOKUP(C10,items_full!$A$2:$B$254,2,0)</f>
        <v>2517</v>
      </c>
      <c r="E10" t="s">
        <v>1543</v>
      </c>
      <c r="H10" t="s">
        <v>950</v>
      </c>
      <c r="I10" t="s">
        <v>950</v>
      </c>
      <c r="K10" t="s">
        <v>950</v>
      </c>
      <c r="L10" t="s">
        <v>1545</v>
      </c>
      <c r="M10" t="s">
        <v>1545</v>
      </c>
      <c r="N10" t="s">
        <v>1545</v>
      </c>
      <c r="O10" t="s">
        <v>1546</v>
      </c>
      <c r="P10">
        <v>1</v>
      </c>
      <c r="Q10" t="s">
        <v>1545</v>
      </c>
      <c r="R10" t="s">
        <v>1547</v>
      </c>
      <c r="S10" t="s">
        <v>4648</v>
      </c>
      <c r="T10" t="s">
        <v>4650</v>
      </c>
    </row>
    <row r="11" spans="1:20" x14ac:dyDescent="0.3">
      <c r="A11" t="s">
        <v>955</v>
      </c>
      <c r="B11">
        <v>83</v>
      </c>
      <c r="C11" t="s">
        <v>956</v>
      </c>
      <c r="D11">
        <f>VLOOKUP(C11,items_full!$A$2:$B$254,2,0)</f>
        <v>2518</v>
      </c>
      <c r="E11" t="s">
        <v>1543</v>
      </c>
      <c r="H11" t="s">
        <v>955</v>
      </c>
      <c r="I11" t="s">
        <v>955</v>
      </c>
      <c r="K11" t="s">
        <v>955</v>
      </c>
      <c r="L11" t="s">
        <v>1545</v>
      </c>
      <c r="M11" t="s">
        <v>1545</v>
      </c>
      <c r="N11" t="s">
        <v>1545</v>
      </c>
      <c r="O11" t="s">
        <v>1546</v>
      </c>
      <c r="P11">
        <v>1</v>
      </c>
      <c r="Q11" t="s">
        <v>1545</v>
      </c>
      <c r="R11" t="s">
        <v>1547</v>
      </c>
      <c r="S11" t="s">
        <v>4648</v>
      </c>
      <c r="T11" t="s">
        <v>4650</v>
      </c>
    </row>
    <row r="12" spans="1:20" x14ac:dyDescent="0.3">
      <c r="A12" t="s">
        <v>960</v>
      </c>
      <c r="B12">
        <v>89</v>
      </c>
      <c r="C12" t="s">
        <v>942</v>
      </c>
      <c r="D12">
        <f>VLOOKUP(C12,items_full!$A$2:$B$254,2,0)</f>
        <v>2520</v>
      </c>
      <c r="E12" t="s">
        <v>1543</v>
      </c>
      <c r="H12" t="s">
        <v>1544</v>
      </c>
      <c r="I12" t="s">
        <v>974</v>
      </c>
      <c r="K12" t="s">
        <v>1556</v>
      </c>
      <c r="L12" t="s">
        <v>1545</v>
      </c>
      <c r="M12" t="s">
        <v>1545</v>
      </c>
      <c r="N12" t="s">
        <v>1545</v>
      </c>
      <c r="O12" t="s">
        <v>1546</v>
      </c>
      <c r="P12">
        <v>1</v>
      </c>
      <c r="Q12" t="s">
        <v>1545</v>
      </c>
      <c r="R12" t="s">
        <v>1547</v>
      </c>
      <c r="S12" t="s">
        <v>4648</v>
      </c>
      <c r="T12" t="s">
        <v>4650</v>
      </c>
    </row>
    <row r="13" spans="1:20" x14ac:dyDescent="0.3">
      <c r="A13" t="s">
        <v>963</v>
      </c>
      <c r="B13">
        <v>92</v>
      </c>
      <c r="C13" t="s">
        <v>942</v>
      </c>
      <c r="D13">
        <f>VLOOKUP(C13,items_full!$A$2:$B$254,2,0)</f>
        <v>2520</v>
      </c>
      <c r="E13" t="s">
        <v>1543</v>
      </c>
      <c r="H13" t="s">
        <v>1544</v>
      </c>
      <c r="I13" t="s">
        <v>974</v>
      </c>
      <c r="K13" t="s">
        <v>1556</v>
      </c>
      <c r="L13" t="s">
        <v>1545</v>
      </c>
      <c r="M13" t="s">
        <v>1545</v>
      </c>
      <c r="N13" t="s">
        <v>1545</v>
      </c>
      <c r="O13" t="s">
        <v>1546</v>
      </c>
      <c r="P13">
        <v>1</v>
      </c>
      <c r="Q13" t="s">
        <v>1545</v>
      </c>
      <c r="R13" t="s">
        <v>1547</v>
      </c>
      <c r="S13" t="s">
        <v>4648</v>
      </c>
      <c r="T13" t="s">
        <v>4650</v>
      </c>
    </row>
    <row r="14" spans="1:20" x14ac:dyDescent="0.3">
      <c r="A14" t="s">
        <v>964</v>
      </c>
      <c r="B14">
        <v>94</v>
      </c>
      <c r="C14" t="s">
        <v>942</v>
      </c>
      <c r="D14">
        <f>VLOOKUP(C14,items_full!$A$2:$B$254,2,0)</f>
        <v>2520</v>
      </c>
      <c r="E14" t="s">
        <v>1543</v>
      </c>
      <c r="H14" t="s">
        <v>1544</v>
      </c>
      <c r="I14" t="s">
        <v>1557</v>
      </c>
      <c r="K14" t="s">
        <v>1558</v>
      </c>
      <c r="L14" t="s">
        <v>1545</v>
      </c>
      <c r="M14" t="s">
        <v>1545</v>
      </c>
      <c r="N14" t="s">
        <v>1545</v>
      </c>
      <c r="O14" t="s">
        <v>1546</v>
      </c>
      <c r="P14">
        <v>1</v>
      </c>
      <c r="Q14" t="s">
        <v>1545</v>
      </c>
      <c r="R14" t="s">
        <v>1559</v>
      </c>
      <c r="S14" t="s">
        <v>4648</v>
      </c>
      <c r="T14" t="s">
        <v>4650</v>
      </c>
    </row>
    <row r="15" spans="1:20" x14ac:dyDescent="0.3">
      <c r="A15" t="s">
        <v>967</v>
      </c>
      <c r="B15">
        <v>97</v>
      </c>
      <c r="C15" t="s">
        <v>942</v>
      </c>
      <c r="D15">
        <f>VLOOKUP(C15,items_full!$A$2:$B$254,2,0)</f>
        <v>2520</v>
      </c>
      <c r="E15" t="s">
        <v>1543</v>
      </c>
      <c r="H15" t="s">
        <v>1544</v>
      </c>
      <c r="I15" t="s">
        <v>967</v>
      </c>
      <c r="K15" t="s">
        <v>1556</v>
      </c>
      <c r="L15" t="s">
        <v>1545</v>
      </c>
      <c r="M15" t="s">
        <v>1545</v>
      </c>
      <c r="N15" t="s">
        <v>1545</v>
      </c>
      <c r="O15" t="s">
        <v>1546</v>
      </c>
      <c r="P15">
        <v>1</v>
      </c>
      <c r="Q15" t="s">
        <v>1545</v>
      </c>
      <c r="R15" t="s">
        <v>1547</v>
      </c>
      <c r="S15" t="s">
        <v>4648</v>
      </c>
      <c r="T15" t="s">
        <v>4650</v>
      </c>
    </row>
    <row r="16" spans="1:20" x14ac:dyDescent="0.3">
      <c r="A16" t="s">
        <v>970</v>
      </c>
      <c r="B16">
        <v>101</v>
      </c>
      <c r="C16" t="s">
        <v>942</v>
      </c>
      <c r="D16">
        <f>VLOOKUP(C16,items_full!$A$2:$B$254,2,0)</f>
        <v>2520</v>
      </c>
      <c r="E16" t="s">
        <v>1543</v>
      </c>
      <c r="H16" t="s">
        <v>1544</v>
      </c>
      <c r="I16" t="s">
        <v>1560</v>
      </c>
      <c r="K16" t="s">
        <v>1556</v>
      </c>
      <c r="L16" t="s">
        <v>1545</v>
      </c>
      <c r="M16" t="s">
        <v>1545</v>
      </c>
      <c r="N16" t="s">
        <v>1545</v>
      </c>
      <c r="O16" t="s">
        <v>1546</v>
      </c>
      <c r="P16">
        <v>1</v>
      </c>
      <c r="Q16" t="s">
        <v>1545</v>
      </c>
      <c r="R16" t="s">
        <v>1547</v>
      </c>
      <c r="S16" t="s">
        <v>4648</v>
      </c>
      <c r="T16" t="s">
        <v>4650</v>
      </c>
    </row>
    <row r="17" spans="1:20" x14ac:dyDescent="0.3">
      <c r="A17" t="s">
        <v>1561</v>
      </c>
      <c r="B17">
        <v>103</v>
      </c>
      <c r="C17" t="s">
        <v>942</v>
      </c>
      <c r="D17">
        <f>VLOOKUP(C17,items_full!$A$2:$B$254,2,0)</f>
        <v>2520</v>
      </c>
      <c r="E17" t="s">
        <v>1543</v>
      </c>
      <c r="H17" t="s">
        <v>1544</v>
      </c>
      <c r="I17" t="s">
        <v>974</v>
      </c>
      <c r="K17" t="s">
        <v>1556</v>
      </c>
      <c r="L17" t="s">
        <v>1545</v>
      </c>
      <c r="M17" t="s">
        <v>1545</v>
      </c>
      <c r="N17" t="s">
        <v>1545</v>
      </c>
      <c r="O17" t="s">
        <v>1546</v>
      </c>
      <c r="P17">
        <v>1</v>
      </c>
      <c r="Q17" t="s">
        <v>1545</v>
      </c>
      <c r="R17" t="s">
        <v>1547</v>
      </c>
      <c r="S17" t="s">
        <v>4648</v>
      </c>
      <c r="T17" t="s">
        <v>4650</v>
      </c>
    </row>
    <row r="18" spans="1:20" x14ac:dyDescent="0.3">
      <c r="A18" t="s">
        <v>1562</v>
      </c>
      <c r="B18">
        <v>108</v>
      </c>
      <c r="C18" t="s">
        <v>942</v>
      </c>
      <c r="D18">
        <f>VLOOKUP(C18,items_full!$A$2:$B$254,2,0)</f>
        <v>2520</v>
      </c>
      <c r="E18" t="s">
        <v>1543</v>
      </c>
      <c r="H18" t="s">
        <v>1544</v>
      </c>
      <c r="I18" t="s">
        <v>974</v>
      </c>
      <c r="K18" t="s">
        <v>1556</v>
      </c>
      <c r="L18" t="s">
        <v>1545</v>
      </c>
      <c r="M18" t="s">
        <v>1545</v>
      </c>
      <c r="N18" t="s">
        <v>1545</v>
      </c>
      <c r="O18" t="s">
        <v>1546</v>
      </c>
      <c r="P18">
        <v>1</v>
      </c>
      <c r="Q18" t="s">
        <v>1545</v>
      </c>
      <c r="R18" t="s">
        <v>1547</v>
      </c>
      <c r="S18" t="s">
        <v>4648</v>
      </c>
      <c r="T18" t="s">
        <v>4650</v>
      </c>
    </row>
    <row r="19" spans="1:20" x14ac:dyDescent="0.3">
      <c r="A19" t="s">
        <v>982</v>
      </c>
      <c r="B19">
        <v>116</v>
      </c>
      <c r="C19" t="s">
        <v>983</v>
      </c>
      <c r="D19">
        <f>VLOOKUP(C19,items_full!$A$2:$B$254,2,0)</f>
        <v>2531</v>
      </c>
      <c r="E19" t="s">
        <v>1543</v>
      </c>
      <c r="H19" t="s">
        <v>1563</v>
      </c>
      <c r="I19" t="s">
        <v>1564</v>
      </c>
      <c r="K19" t="s">
        <v>982</v>
      </c>
      <c r="L19" t="s">
        <v>1563</v>
      </c>
      <c r="M19" t="s">
        <v>1563</v>
      </c>
      <c r="N19" t="s">
        <v>1565</v>
      </c>
      <c r="O19" t="s">
        <v>1565</v>
      </c>
      <c r="P19">
        <v>1</v>
      </c>
      <c r="Q19" t="s">
        <v>1566</v>
      </c>
      <c r="R19" t="s">
        <v>1567</v>
      </c>
      <c r="S19" t="s">
        <v>4648</v>
      </c>
      <c r="T19" t="s">
        <v>4650</v>
      </c>
    </row>
    <row r="20" spans="1:20" x14ac:dyDescent="0.3">
      <c r="A20" t="s">
        <v>988</v>
      </c>
      <c r="B20">
        <v>122</v>
      </c>
      <c r="C20" t="s">
        <v>988</v>
      </c>
      <c r="D20">
        <f>VLOOKUP(C20,items_full!$A$2:$B$254,2,0)</f>
        <v>2533</v>
      </c>
      <c r="E20" t="s">
        <v>1543</v>
      </c>
      <c r="H20" t="s">
        <v>1563</v>
      </c>
      <c r="I20" t="s">
        <v>1568</v>
      </c>
      <c r="K20" t="s">
        <v>1558</v>
      </c>
      <c r="L20" t="s">
        <v>1563</v>
      </c>
      <c r="M20" t="s">
        <v>1563</v>
      </c>
      <c r="N20" t="s">
        <v>1565</v>
      </c>
      <c r="O20" t="s">
        <v>1565</v>
      </c>
      <c r="P20">
        <v>1</v>
      </c>
      <c r="Q20" t="s">
        <v>1566</v>
      </c>
      <c r="R20" t="s">
        <v>1567</v>
      </c>
      <c r="S20" t="s">
        <v>4648</v>
      </c>
      <c r="T20" t="s">
        <v>4650</v>
      </c>
    </row>
    <row r="21" spans="1:20" x14ac:dyDescent="0.3">
      <c r="A21" t="s">
        <v>1569</v>
      </c>
      <c r="B21">
        <v>125</v>
      </c>
      <c r="C21" t="s">
        <v>990</v>
      </c>
      <c r="D21">
        <f>VLOOKUP(C21,items_full!$A$2:$B$254,2,0)</f>
        <v>2532</v>
      </c>
      <c r="E21" t="s">
        <v>1543</v>
      </c>
      <c r="H21" t="s">
        <v>989</v>
      </c>
      <c r="I21" t="s">
        <v>989</v>
      </c>
      <c r="K21" t="s">
        <v>1558</v>
      </c>
      <c r="L21" t="s">
        <v>1563</v>
      </c>
      <c r="M21" t="s">
        <v>1563</v>
      </c>
      <c r="N21" t="s">
        <v>1565</v>
      </c>
      <c r="O21" t="s">
        <v>1565</v>
      </c>
      <c r="P21">
        <v>1</v>
      </c>
      <c r="Q21" t="s">
        <v>1566</v>
      </c>
      <c r="R21" t="s">
        <v>1567</v>
      </c>
      <c r="S21" t="s">
        <v>4648</v>
      </c>
      <c r="T21" t="s">
        <v>4650</v>
      </c>
    </row>
    <row r="22" spans="1:20" x14ac:dyDescent="0.3">
      <c r="A22" t="s">
        <v>1570</v>
      </c>
      <c r="B22">
        <v>135</v>
      </c>
      <c r="C22" t="s">
        <v>996</v>
      </c>
      <c r="D22">
        <f>VLOOKUP(C22,items_full!$A$2:$B$254,2,0)</f>
        <v>2534</v>
      </c>
      <c r="E22" t="s">
        <v>1543</v>
      </c>
      <c r="H22" t="s">
        <v>1563</v>
      </c>
      <c r="I22" t="s">
        <v>1557</v>
      </c>
      <c r="K22" t="s">
        <v>1558</v>
      </c>
      <c r="L22" t="s">
        <v>1563</v>
      </c>
      <c r="M22" t="s">
        <v>1563</v>
      </c>
      <c r="N22" t="s">
        <v>1565</v>
      </c>
      <c r="O22" t="s">
        <v>1565</v>
      </c>
      <c r="P22">
        <v>1</v>
      </c>
      <c r="Q22" t="s">
        <v>1566</v>
      </c>
      <c r="R22" t="s">
        <v>1567</v>
      </c>
      <c r="S22" t="s">
        <v>4648</v>
      </c>
      <c r="T22" t="s">
        <v>4650</v>
      </c>
    </row>
    <row r="23" spans="1:20" x14ac:dyDescent="0.3">
      <c r="A23" t="s">
        <v>1571</v>
      </c>
      <c r="B23">
        <v>136</v>
      </c>
      <c r="C23" t="s">
        <v>996</v>
      </c>
      <c r="D23">
        <f>VLOOKUP(C23,items_full!$A$2:$B$254,2,0)</f>
        <v>2534</v>
      </c>
      <c r="E23" t="s">
        <v>1543</v>
      </c>
      <c r="H23" t="s">
        <v>1563</v>
      </c>
      <c r="I23" t="s">
        <v>1557</v>
      </c>
      <c r="K23" t="s">
        <v>1558</v>
      </c>
      <c r="L23" t="s">
        <v>1563</v>
      </c>
      <c r="M23" t="s">
        <v>1563</v>
      </c>
      <c r="N23" t="s">
        <v>1565</v>
      </c>
      <c r="O23" t="s">
        <v>1565</v>
      </c>
      <c r="P23">
        <v>1</v>
      </c>
      <c r="Q23" t="s">
        <v>1566</v>
      </c>
      <c r="R23" t="s">
        <v>1567</v>
      </c>
      <c r="S23" t="s">
        <v>4648</v>
      </c>
      <c r="T23" t="s">
        <v>4650</v>
      </c>
    </row>
    <row r="24" spans="1:20" x14ac:dyDescent="0.3">
      <c r="A24" t="s">
        <v>998</v>
      </c>
      <c r="B24">
        <v>137</v>
      </c>
      <c r="C24" t="s">
        <v>998</v>
      </c>
      <c r="D24">
        <f>VLOOKUP(C24,items_full!$A$2:$B$254,2,0)</f>
        <v>2535</v>
      </c>
      <c r="E24" t="s">
        <v>1543</v>
      </c>
      <c r="H24" t="s">
        <v>1563</v>
      </c>
      <c r="I24" t="s">
        <v>1557</v>
      </c>
      <c r="K24" t="s">
        <v>1558</v>
      </c>
      <c r="L24" t="s">
        <v>1563</v>
      </c>
      <c r="M24" t="s">
        <v>1563</v>
      </c>
      <c r="N24" t="s">
        <v>1565</v>
      </c>
      <c r="O24" t="s">
        <v>1565</v>
      </c>
      <c r="P24">
        <v>1</v>
      </c>
      <c r="Q24" t="s">
        <v>1566</v>
      </c>
      <c r="R24" t="s">
        <v>1567</v>
      </c>
      <c r="S24" t="s">
        <v>4648</v>
      </c>
      <c r="T24" t="s">
        <v>4650</v>
      </c>
    </row>
    <row r="25" spans="1:20" x14ac:dyDescent="0.3">
      <c r="A25" t="s">
        <v>1572</v>
      </c>
      <c r="B25">
        <v>149</v>
      </c>
      <c r="C25" t="s">
        <v>996</v>
      </c>
      <c r="D25">
        <f>VLOOKUP(C25,items_full!$A$2:$B$254,2,0)</f>
        <v>2534</v>
      </c>
      <c r="E25" t="s">
        <v>1543</v>
      </c>
      <c r="H25" t="s">
        <v>1563</v>
      </c>
      <c r="I25" t="s">
        <v>1557</v>
      </c>
      <c r="K25" t="s">
        <v>1558</v>
      </c>
      <c r="L25" t="s">
        <v>1563</v>
      </c>
      <c r="M25" t="s">
        <v>1563</v>
      </c>
      <c r="N25" t="s">
        <v>1565</v>
      </c>
      <c r="O25" t="s">
        <v>1565</v>
      </c>
      <c r="P25">
        <v>1</v>
      </c>
      <c r="Q25" t="s">
        <v>1566</v>
      </c>
      <c r="R25" t="s">
        <v>1567</v>
      </c>
      <c r="S25" t="s">
        <v>4648</v>
      </c>
      <c r="T25" t="s">
        <v>4650</v>
      </c>
    </row>
    <row r="26" spans="1:20" x14ac:dyDescent="0.3">
      <c r="A26" t="s">
        <v>1005</v>
      </c>
      <c r="B26">
        <v>156</v>
      </c>
      <c r="C26" t="s">
        <v>1005</v>
      </c>
      <c r="D26">
        <f>VLOOKUP(C26,items_full!$A$2:$B$254,2,0)</f>
        <v>2536</v>
      </c>
      <c r="E26" t="s">
        <v>1543</v>
      </c>
      <c r="H26" t="s">
        <v>1573</v>
      </c>
      <c r="I26" t="s">
        <v>1574</v>
      </c>
      <c r="K26" t="s">
        <v>1575</v>
      </c>
      <c r="L26" t="s">
        <v>1576</v>
      </c>
      <c r="M26" t="s">
        <v>1576</v>
      </c>
      <c r="N26" t="s">
        <v>1577</v>
      </c>
      <c r="O26" t="s">
        <v>1578</v>
      </c>
      <c r="P26">
        <v>1</v>
      </c>
      <c r="Q26" t="s">
        <v>1579</v>
      </c>
      <c r="R26" t="s">
        <v>1567</v>
      </c>
      <c r="S26" t="s">
        <v>4649</v>
      </c>
      <c r="T26" t="s">
        <v>4654</v>
      </c>
    </row>
    <row r="27" spans="1:20" x14ac:dyDescent="0.3">
      <c r="A27" t="s">
        <v>1006</v>
      </c>
      <c r="B27">
        <v>157</v>
      </c>
      <c r="C27" t="s">
        <v>1006</v>
      </c>
      <c r="D27">
        <f>VLOOKUP(C27,items_full!$A$2:$B$254,2,0)</f>
        <v>2537</v>
      </c>
      <c r="E27" t="s">
        <v>1543</v>
      </c>
      <c r="H27" t="s">
        <v>1580</v>
      </c>
      <c r="I27" t="s">
        <v>1006</v>
      </c>
      <c r="K27" t="s">
        <v>1581</v>
      </c>
      <c r="L27" t="s">
        <v>1576</v>
      </c>
      <c r="M27" t="s">
        <v>1576</v>
      </c>
      <c r="N27" t="s">
        <v>1577</v>
      </c>
      <c r="O27" t="s">
        <v>1578</v>
      </c>
      <c r="P27">
        <v>1</v>
      </c>
      <c r="Q27" t="s">
        <v>1579</v>
      </c>
      <c r="R27" t="s">
        <v>1567</v>
      </c>
      <c r="S27" t="s">
        <v>4648</v>
      </c>
      <c r="T27" t="s">
        <v>4650</v>
      </c>
    </row>
    <row r="28" spans="1:20" x14ac:dyDescent="0.3">
      <c r="A28" t="s">
        <v>1582</v>
      </c>
      <c r="B28">
        <v>161</v>
      </c>
      <c r="C28" t="s">
        <v>1006</v>
      </c>
      <c r="D28">
        <f>VLOOKUP(C28,items_full!$A$2:$B$254,2,0)</f>
        <v>2537</v>
      </c>
      <c r="E28" t="s">
        <v>1543</v>
      </c>
      <c r="H28" t="s">
        <v>1580</v>
      </c>
      <c r="I28" t="s">
        <v>1006</v>
      </c>
      <c r="K28" t="s">
        <v>1581</v>
      </c>
      <c r="L28" t="s">
        <v>1576</v>
      </c>
      <c r="M28" t="s">
        <v>1576</v>
      </c>
      <c r="N28" t="s">
        <v>1577</v>
      </c>
      <c r="O28" t="s">
        <v>1578</v>
      </c>
      <c r="P28">
        <v>1</v>
      </c>
      <c r="Q28" t="s">
        <v>1579</v>
      </c>
      <c r="R28" t="s">
        <v>1567</v>
      </c>
      <c r="S28" t="s">
        <v>4648</v>
      </c>
      <c r="T28" t="s">
        <v>4650</v>
      </c>
    </row>
    <row r="29" spans="1:20" x14ac:dyDescent="0.3">
      <c r="A29" t="s">
        <v>1583</v>
      </c>
      <c r="B29">
        <v>162</v>
      </c>
      <c r="C29" t="s">
        <v>1008</v>
      </c>
      <c r="D29">
        <f>VLOOKUP(C29,items_full!$A$2:$B$254,2,0)</f>
        <v>2542</v>
      </c>
      <c r="E29" t="s">
        <v>1551</v>
      </c>
      <c r="I29" t="s">
        <v>1584</v>
      </c>
      <c r="L29" t="s">
        <v>1552</v>
      </c>
      <c r="M29" t="s">
        <v>1552</v>
      </c>
      <c r="N29" t="s">
        <v>1552</v>
      </c>
      <c r="O29" t="s">
        <v>1552</v>
      </c>
      <c r="P29" t="s">
        <v>1552</v>
      </c>
      <c r="Q29" t="s">
        <v>1552</v>
      </c>
      <c r="R29" t="s">
        <v>1552</v>
      </c>
    </row>
    <row r="30" spans="1:20" x14ac:dyDescent="0.3">
      <c r="A30" t="s">
        <v>1015</v>
      </c>
      <c r="B30">
        <v>165</v>
      </c>
      <c r="C30" t="s">
        <v>1015</v>
      </c>
      <c r="D30">
        <f>VLOOKUP(C30,items_full!$A$2:$B$254,2,0)</f>
        <v>2544</v>
      </c>
      <c r="E30" t="s">
        <v>1551</v>
      </c>
      <c r="I30" s="4" t="s">
        <v>1585</v>
      </c>
      <c r="L30" t="s">
        <v>1552</v>
      </c>
      <c r="M30" t="s">
        <v>1552</v>
      </c>
      <c r="N30" t="s">
        <v>1552</v>
      </c>
      <c r="O30" t="s">
        <v>1552</v>
      </c>
      <c r="P30" t="s">
        <v>1552</v>
      </c>
      <c r="Q30" t="s">
        <v>1552</v>
      </c>
      <c r="R30" t="s">
        <v>1552</v>
      </c>
    </row>
    <row r="31" spans="1:20" x14ac:dyDescent="0.3">
      <c r="A31" t="s">
        <v>1027</v>
      </c>
      <c r="B31">
        <v>176</v>
      </c>
      <c r="C31" t="s">
        <v>1028</v>
      </c>
      <c r="D31">
        <f>VLOOKUP(C31,items_full!$A$2:$B$254,2,0)</f>
        <v>2546</v>
      </c>
      <c r="E31" t="s">
        <v>1543</v>
      </c>
      <c r="H31" t="s">
        <v>1586</v>
      </c>
      <c r="I31" t="s">
        <v>1028</v>
      </c>
      <c r="K31" t="s">
        <v>1587</v>
      </c>
      <c r="L31" t="s">
        <v>1588</v>
      </c>
      <c r="M31" t="s">
        <v>1588</v>
      </c>
      <c r="N31" t="s">
        <v>1545</v>
      </c>
      <c r="O31" t="s">
        <v>1546</v>
      </c>
      <c r="P31">
        <v>1</v>
      </c>
      <c r="Q31" t="s">
        <v>1588</v>
      </c>
      <c r="R31" t="s">
        <v>1547</v>
      </c>
      <c r="S31" t="s">
        <v>4648</v>
      </c>
      <c r="T31" t="s">
        <v>4651</v>
      </c>
    </row>
    <row r="32" spans="1:20" x14ac:dyDescent="0.3">
      <c r="A32" t="s">
        <v>1589</v>
      </c>
      <c r="B32">
        <v>181</v>
      </c>
      <c r="C32" t="s">
        <v>1030</v>
      </c>
      <c r="D32">
        <f>VLOOKUP(C32,items_full!$A$2:$B$254,2,0)</f>
        <v>2549</v>
      </c>
      <c r="E32" t="s">
        <v>1543</v>
      </c>
      <c r="H32" t="s">
        <v>1588</v>
      </c>
      <c r="I32" t="s">
        <v>1590</v>
      </c>
      <c r="K32" t="s">
        <v>1591</v>
      </c>
      <c r="L32" t="s">
        <v>1588</v>
      </c>
      <c r="M32" t="s">
        <v>1588</v>
      </c>
      <c r="N32" t="s">
        <v>1545</v>
      </c>
      <c r="O32" t="s">
        <v>1546</v>
      </c>
      <c r="P32">
        <v>1</v>
      </c>
      <c r="Q32" t="s">
        <v>1588</v>
      </c>
      <c r="R32" t="s">
        <v>1547</v>
      </c>
      <c r="S32" t="s">
        <v>4648</v>
      </c>
      <c r="T32" t="s">
        <v>4651</v>
      </c>
    </row>
    <row r="33" spans="1:20" x14ac:dyDescent="0.3">
      <c r="A33" t="s">
        <v>1031</v>
      </c>
      <c r="B33">
        <v>187</v>
      </c>
      <c r="C33" t="s">
        <v>1032</v>
      </c>
      <c r="D33">
        <f>VLOOKUP(C33,items_full!$A$2:$B$254,2,0)</f>
        <v>2547</v>
      </c>
      <c r="E33" t="s">
        <v>1543</v>
      </c>
      <c r="H33" t="s">
        <v>1588</v>
      </c>
      <c r="I33" t="s">
        <v>1592</v>
      </c>
      <c r="K33" t="s">
        <v>1032</v>
      </c>
      <c r="L33" t="s">
        <v>1588</v>
      </c>
      <c r="M33" t="s">
        <v>1588</v>
      </c>
      <c r="N33" t="s">
        <v>1545</v>
      </c>
      <c r="O33" t="s">
        <v>1546</v>
      </c>
      <c r="P33">
        <v>1</v>
      </c>
      <c r="Q33" t="s">
        <v>1588</v>
      </c>
      <c r="R33" t="s">
        <v>1547</v>
      </c>
      <c r="S33" t="s">
        <v>4648</v>
      </c>
      <c r="T33" t="s">
        <v>4651</v>
      </c>
    </row>
    <row r="34" spans="1:20" x14ac:dyDescent="0.3">
      <c r="A34" t="s">
        <v>1593</v>
      </c>
      <c r="B34">
        <v>191</v>
      </c>
      <c r="C34" t="s">
        <v>1030</v>
      </c>
      <c r="D34">
        <f>VLOOKUP(C34,items_full!$A$2:$B$254,2,0)</f>
        <v>2549</v>
      </c>
      <c r="E34" t="s">
        <v>1543</v>
      </c>
      <c r="H34" t="s">
        <v>1588</v>
      </c>
      <c r="I34" t="s">
        <v>1594</v>
      </c>
      <c r="K34" t="s">
        <v>1595</v>
      </c>
      <c r="L34" t="s">
        <v>1588</v>
      </c>
      <c r="M34" t="s">
        <v>1588</v>
      </c>
      <c r="N34" t="s">
        <v>1545</v>
      </c>
      <c r="O34" t="s">
        <v>1546</v>
      </c>
      <c r="P34">
        <v>1</v>
      </c>
      <c r="Q34" t="s">
        <v>1588</v>
      </c>
      <c r="R34" t="s">
        <v>1547</v>
      </c>
      <c r="S34" t="s">
        <v>4648</v>
      </c>
      <c r="T34" t="s">
        <v>4651</v>
      </c>
    </row>
    <row r="35" spans="1:20" x14ac:dyDescent="0.3">
      <c r="A35" t="s">
        <v>1034</v>
      </c>
      <c r="B35">
        <v>195</v>
      </c>
      <c r="C35" t="s">
        <v>1030</v>
      </c>
      <c r="D35">
        <f>VLOOKUP(C35,items_full!$A$2:$B$254,2,0)</f>
        <v>2549</v>
      </c>
      <c r="E35" t="s">
        <v>1543</v>
      </c>
      <c r="H35" t="s">
        <v>1588</v>
      </c>
      <c r="I35" t="s">
        <v>1040</v>
      </c>
      <c r="K35" t="s">
        <v>1596</v>
      </c>
      <c r="L35" t="s">
        <v>1588</v>
      </c>
      <c r="M35" t="s">
        <v>1588</v>
      </c>
      <c r="N35" t="s">
        <v>1545</v>
      </c>
      <c r="O35" t="s">
        <v>1546</v>
      </c>
      <c r="P35">
        <v>1</v>
      </c>
      <c r="Q35" t="s">
        <v>1588</v>
      </c>
      <c r="R35" t="s">
        <v>1547</v>
      </c>
      <c r="S35" t="s">
        <v>4648</v>
      </c>
      <c r="T35" t="s">
        <v>4651</v>
      </c>
    </row>
    <row r="36" spans="1:20" x14ac:dyDescent="0.3">
      <c r="A36" t="s">
        <v>1597</v>
      </c>
      <c r="B36">
        <v>197</v>
      </c>
      <c r="C36" t="s">
        <v>1030</v>
      </c>
      <c r="D36">
        <f>VLOOKUP(C36,items_full!$A$2:$B$254,2,0)</f>
        <v>2549</v>
      </c>
      <c r="E36" t="s">
        <v>1543</v>
      </c>
      <c r="H36" t="s">
        <v>1588</v>
      </c>
      <c r="I36" t="s">
        <v>1040</v>
      </c>
      <c r="K36" t="s">
        <v>1596</v>
      </c>
      <c r="L36" t="s">
        <v>1588</v>
      </c>
      <c r="M36" t="s">
        <v>1588</v>
      </c>
      <c r="N36" t="s">
        <v>1545</v>
      </c>
      <c r="O36" t="s">
        <v>1546</v>
      </c>
      <c r="P36">
        <v>1</v>
      </c>
      <c r="Q36" t="s">
        <v>1588</v>
      </c>
      <c r="R36" t="s">
        <v>1547</v>
      </c>
      <c r="S36" t="s">
        <v>4648</v>
      </c>
      <c r="T36" t="s">
        <v>4651</v>
      </c>
    </row>
    <row r="37" spans="1:20" x14ac:dyDescent="0.3">
      <c r="A37" t="s">
        <v>1598</v>
      </c>
      <c r="B37">
        <v>201</v>
      </c>
      <c r="C37" t="s">
        <v>1030</v>
      </c>
      <c r="D37">
        <f>VLOOKUP(C37,items_full!$A$2:$B$254,2,0)</f>
        <v>2549</v>
      </c>
      <c r="E37" t="s">
        <v>1543</v>
      </c>
      <c r="H37" t="s">
        <v>1588</v>
      </c>
      <c r="I37" t="s">
        <v>1036</v>
      </c>
      <c r="K37" t="s">
        <v>1036</v>
      </c>
      <c r="L37" t="s">
        <v>1588</v>
      </c>
      <c r="M37" t="s">
        <v>1588</v>
      </c>
      <c r="N37" t="s">
        <v>1545</v>
      </c>
      <c r="O37" t="s">
        <v>1546</v>
      </c>
      <c r="P37">
        <v>1</v>
      </c>
      <c r="Q37" t="s">
        <v>1588</v>
      </c>
      <c r="R37" t="s">
        <v>1547</v>
      </c>
      <c r="S37" t="s">
        <v>4648</v>
      </c>
      <c r="T37" t="s">
        <v>4651</v>
      </c>
    </row>
    <row r="38" spans="1:20" x14ac:dyDescent="0.3">
      <c r="A38" t="s">
        <v>1599</v>
      </c>
      <c r="B38">
        <v>203</v>
      </c>
      <c r="C38" t="s">
        <v>1030</v>
      </c>
      <c r="D38">
        <f>VLOOKUP(C38,items_full!$A$2:$B$254,2,0)</f>
        <v>2549</v>
      </c>
      <c r="E38" t="s">
        <v>1543</v>
      </c>
      <c r="H38" t="s">
        <v>1588</v>
      </c>
      <c r="I38" t="s">
        <v>1040</v>
      </c>
      <c r="K38" t="s">
        <v>1596</v>
      </c>
      <c r="L38" t="s">
        <v>1588</v>
      </c>
      <c r="M38" t="s">
        <v>1588</v>
      </c>
      <c r="N38" t="s">
        <v>1545</v>
      </c>
      <c r="O38" t="s">
        <v>1546</v>
      </c>
      <c r="P38">
        <v>1</v>
      </c>
      <c r="Q38" t="s">
        <v>1588</v>
      </c>
      <c r="R38" t="s">
        <v>1547</v>
      </c>
      <c r="S38" t="s">
        <v>4648</v>
      </c>
      <c r="T38" t="s">
        <v>4651</v>
      </c>
    </row>
    <row r="39" spans="1:20" x14ac:dyDescent="0.3">
      <c r="A39" t="s">
        <v>1038</v>
      </c>
      <c r="B39">
        <v>205</v>
      </c>
      <c r="C39" t="s">
        <v>1030</v>
      </c>
      <c r="D39">
        <f>VLOOKUP(C39,items_full!$A$2:$B$254,2,0)</f>
        <v>2549</v>
      </c>
      <c r="E39" t="s">
        <v>1543</v>
      </c>
      <c r="H39" t="s">
        <v>1588</v>
      </c>
      <c r="I39" t="s">
        <v>1600</v>
      </c>
      <c r="K39" t="s">
        <v>1038</v>
      </c>
      <c r="L39" t="s">
        <v>1588</v>
      </c>
      <c r="M39" t="s">
        <v>1588</v>
      </c>
      <c r="N39" t="s">
        <v>1545</v>
      </c>
      <c r="O39" t="s">
        <v>1546</v>
      </c>
      <c r="P39">
        <v>1</v>
      </c>
      <c r="Q39" t="s">
        <v>1588</v>
      </c>
      <c r="R39" t="s">
        <v>1547</v>
      </c>
      <c r="S39" t="s">
        <v>4648</v>
      </c>
      <c r="T39" t="s">
        <v>4651</v>
      </c>
    </row>
    <row r="40" spans="1:20" x14ac:dyDescent="0.3">
      <c r="A40" t="s">
        <v>1039</v>
      </c>
      <c r="B40">
        <v>210</v>
      </c>
      <c r="C40" t="s">
        <v>1030</v>
      </c>
      <c r="D40">
        <f>VLOOKUP(C40,items_full!$A$2:$B$254,2,0)</f>
        <v>2549</v>
      </c>
      <c r="E40" t="s">
        <v>1543</v>
      </c>
      <c r="H40" t="s">
        <v>1588</v>
      </c>
      <c r="I40" t="s">
        <v>1601</v>
      </c>
      <c r="K40" t="s">
        <v>1039</v>
      </c>
      <c r="L40" t="s">
        <v>1588</v>
      </c>
      <c r="M40" t="s">
        <v>1588</v>
      </c>
      <c r="N40" t="s">
        <v>1545</v>
      </c>
      <c r="O40" t="s">
        <v>1546</v>
      </c>
      <c r="P40">
        <v>1</v>
      </c>
      <c r="Q40" t="s">
        <v>1588</v>
      </c>
      <c r="R40" t="s">
        <v>1547</v>
      </c>
      <c r="S40" t="s">
        <v>4648</v>
      </c>
      <c r="T40" t="s">
        <v>4651</v>
      </c>
    </row>
    <row r="41" spans="1:20" x14ac:dyDescent="0.3">
      <c r="A41" t="s">
        <v>1602</v>
      </c>
      <c r="B41">
        <v>211</v>
      </c>
      <c r="C41" t="s">
        <v>1030</v>
      </c>
      <c r="D41">
        <f>VLOOKUP(C41,items_full!$A$2:$B$254,2,0)</f>
        <v>2549</v>
      </c>
      <c r="E41" t="s">
        <v>1543</v>
      </c>
      <c r="H41" t="s">
        <v>1588</v>
      </c>
      <c r="I41" t="s">
        <v>1040</v>
      </c>
      <c r="K41" t="s">
        <v>1596</v>
      </c>
      <c r="L41" t="s">
        <v>1588</v>
      </c>
      <c r="M41" t="s">
        <v>1588</v>
      </c>
      <c r="N41" t="s">
        <v>1545</v>
      </c>
      <c r="O41" t="s">
        <v>1546</v>
      </c>
      <c r="P41">
        <v>1</v>
      </c>
      <c r="Q41" t="s">
        <v>1588</v>
      </c>
      <c r="R41" t="s">
        <v>1547</v>
      </c>
      <c r="S41" t="s">
        <v>4648</v>
      </c>
      <c r="T41" t="s">
        <v>4651</v>
      </c>
    </row>
    <row r="42" spans="1:20" x14ac:dyDescent="0.3">
      <c r="A42" t="s">
        <v>1603</v>
      </c>
      <c r="B42">
        <v>216</v>
      </c>
      <c r="C42" t="s">
        <v>1044</v>
      </c>
      <c r="D42">
        <f>VLOOKUP(C42,items_full!$A$2:$B$254,2,0)</f>
        <v>2551</v>
      </c>
      <c r="E42" t="s">
        <v>1543</v>
      </c>
      <c r="H42" t="s">
        <v>1604</v>
      </c>
      <c r="I42" t="s">
        <v>1058</v>
      </c>
      <c r="K42" t="s">
        <v>1605</v>
      </c>
      <c r="L42" t="s">
        <v>1606</v>
      </c>
      <c r="M42" t="s">
        <v>1606</v>
      </c>
      <c r="N42" t="s">
        <v>1565</v>
      </c>
      <c r="O42" t="s">
        <v>1565</v>
      </c>
      <c r="P42">
        <v>1</v>
      </c>
      <c r="Q42" t="s">
        <v>1606</v>
      </c>
      <c r="R42" t="s">
        <v>1607</v>
      </c>
      <c r="S42" t="s">
        <v>4648</v>
      </c>
      <c r="T42" t="s">
        <v>4654</v>
      </c>
    </row>
    <row r="43" spans="1:20" x14ac:dyDescent="0.3">
      <c r="A43" t="s">
        <v>1608</v>
      </c>
      <c r="B43">
        <v>217</v>
      </c>
      <c r="C43" t="s">
        <v>1044</v>
      </c>
      <c r="D43">
        <f>VLOOKUP(C43,items_full!$A$2:$B$254,2,0)</f>
        <v>2551</v>
      </c>
      <c r="E43" t="s">
        <v>1543</v>
      </c>
      <c r="H43" t="s">
        <v>1604</v>
      </c>
      <c r="I43" t="s">
        <v>1058</v>
      </c>
      <c r="K43" t="s">
        <v>1605</v>
      </c>
      <c r="L43" t="s">
        <v>1606</v>
      </c>
      <c r="M43" t="s">
        <v>1606</v>
      </c>
      <c r="N43" t="s">
        <v>1565</v>
      </c>
      <c r="O43" t="s">
        <v>1565</v>
      </c>
      <c r="P43">
        <v>1</v>
      </c>
      <c r="Q43" t="s">
        <v>1606</v>
      </c>
      <c r="R43" t="s">
        <v>1607</v>
      </c>
      <c r="S43" t="s">
        <v>4648</v>
      </c>
      <c r="T43" t="s">
        <v>4654</v>
      </c>
    </row>
    <row r="44" spans="1:20" x14ac:dyDescent="0.3">
      <c r="A44" t="s">
        <v>1609</v>
      </c>
      <c r="B44">
        <v>220</v>
      </c>
      <c r="C44" t="s">
        <v>1044</v>
      </c>
      <c r="D44">
        <f>VLOOKUP(C44,items_full!$A$2:$B$254,2,0)</f>
        <v>2551</v>
      </c>
      <c r="E44" t="s">
        <v>1543</v>
      </c>
      <c r="H44" t="s">
        <v>1604</v>
      </c>
      <c r="I44" t="s">
        <v>1046</v>
      </c>
      <c r="K44" t="s">
        <v>1046</v>
      </c>
      <c r="L44" t="s">
        <v>1606</v>
      </c>
      <c r="M44" t="s">
        <v>1606</v>
      </c>
      <c r="N44" t="s">
        <v>1565</v>
      </c>
      <c r="O44" t="s">
        <v>1565</v>
      </c>
      <c r="P44">
        <v>1</v>
      </c>
      <c r="Q44" t="s">
        <v>1606</v>
      </c>
      <c r="R44" t="s">
        <v>1607</v>
      </c>
      <c r="S44" t="s">
        <v>4648</v>
      </c>
      <c r="T44" t="s">
        <v>4654</v>
      </c>
    </row>
    <row r="45" spans="1:20" x14ac:dyDescent="0.3">
      <c r="A45" t="s">
        <v>1610</v>
      </c>
      <c r="B45">
        <v>221</v>
      </c>
      <c r="C45" t="s">
        <v>1044</v>
      </c>
      <c r="D45">
        <f>VLOOKUP(C45,items_full!$A$2:$B$254,2,0)</f>
        <v>2551</v>
      </c>
      <c r="E45" t="s">
        <v>1543</v>
      </c>
      <c r="H45" t="s">
        <v>1604</v>
      </c>
      <c r="I45" t="s">
        <v>1611</v>
      </c>
      <c r="K45" t="s">
        <v>1611</v>
      </c>
      <c r="L45" t="s">
        <v>1606</v>
      </c>
      <c r="M45" t="s">
        <v>1606</v>
      </c>
      <c r="N45" t="s">
        <v>1565</v>
      </c>
      <c r="O45" t="s">
        <v>1565</v>
      </c>
      <c r="P45">
        <v>1</v>
      </c>
      <c r="Q45" t="s">
        <v>1606</v>
      </c>
      <c r="R45" t="s">
        <v>1612</v>
      </c>
      <c r="S45" t="s">
        <v>4648</v>
      </c>
      <c r="T45" t="s">
        <v>4654</v>
      </c>
    </row>
    <row r="46" spans="1:20" x14ac:dyDescent="0.3">
      <c r="A46" t="s">
        <v>1613</v>
      </c>
      <c r="B46">
        <v>222</v>
      </c>
      <c r="C46" t="s">
        <v>1044</v>
      </c>
      <c r="D46">
        <f>VLOOKUP(C46,items_full!$A$2:$B$254,2,0)</f>
        <v>2551</v>
      </c>
      <c r="E46" t="s">
        <v>1543</v>
      </c>
      <c r="H46" t="s">
        <v>1604</v>
      </c>
      <c r="I46" t="s">
        <v>1614</v>
      </c>
      <c r="K46" t="s">
        <v>1615</v>
      </c>
      <c r="L46" t="s">
        <v>1606</v>
      </c>
      <c r="M46" t="s">
        <v>1606</v>
      </c>
      <c r="N46" t="s">
        <v>1565</v>
      </c>
      <c r="O46" t="s">
        <v>1565</v>
      </c>
      <c r="P46">
        <v>1</v>
      </c>
      <c r="Q46" t="s">
        <v>1606</v>
      </c>
      <c r="R46" t="s">
        <v>1607</v>
      </c>
      <c r="S46" t="s">
        <v>4648</v>
      </c>
      <c r="T46" t="s">
        <v>4654</v>
      </c>
    </row>
    <row r="47" spans="1:20" x14ac:dyDescent="0.3">
      <c r="A47" t="s">
        <v>1616</v>
      </c>
      <c r="B47">
        <v>223</v>
      </c>
      <c r="C47" t="s">
        <v>1044</v>
      </c>
      <c r="D47">
        <f>VLOOKUP(C47,items_full!$A$2:$B$254,2,0)</f>
        <v>2551</v>
      </c>
      <c r="E47" t="s">
        <v>1543</v>
      </c>
      <c r="H47" t="s">
        <v>1604</v>
      </c>
      <c r="I47" t="s">
        <v>1049</v>
      </c>
      <c r="K47" t="s">
        <v>1049</v>
      </c>
      <c r="L47" t="s">
        <v>1606</v>
      </c>
      <c r="M47" t="s">
        <v>1606</v>
      </c>
      <c r="N47" t="s">
        <v>1565</v>
      </c>
      <c r="O47" t="s">
        <v>1565</v>
      </c>
      <c r="P47">
        <v>1</v>
      </c>
      <c r="Q47" t="s">
        <v>1606</v>
      </c>
      <c r="R47" t="s">
        <v>1607</v>
      </c>
      <c r="S47" t="s">
        <v>4648</v>
      </c>
      <c r="T47" t="s">
        <v>4654</v>
      </c>
    </row>
    <row r="48" spans="1:20" x14ac:dyDescent="0.3">
      <c r="A48" t="s">
        <v>1050</v>
      </c>
      <c r="B48">
        <v>224</v>
      </c>
      <c r="C48" t="s">
        <v>1044</v>
      </c>
      <c r="D48">
        <f>VLOOKUP(C48,items_full!$A$2:$B$254,2,0)</f>
        <v>2551</v>
      </c>
      <c r="E48" t="s">
        <v>1543</v>
      </c>
      <c r="H48" t="s">
        <v>1604</v>
      </c>
      <c r="I48" t="s">
        <v>1058</v>
      </c>
      <c r="K48" t="s">
        <v>1605</v>
      </c>
      <c r="L48" t="s">
        <v>1606</v>
      </c>
      <c r="M48" t="s">
        <v>1606</v>
      </c>
      <c r="N48" t="s">
        <v>1565</v>
      </c>
      <c r="O48" t="s">
        <v>1565</v>
      </c>
      <c r="P48">
        <v>1</v>
      </c>
      <c r="Q48" t="s">
        <v>1606</v>
      </c>
      <c r="R48" t="s">
        <v>1607</v>
      </c>
      <c r="S48" t="s">
        <v>4648</v>
      </c>
      <c r="T48" t="s">
        <v>4654</v>
      </c>
    </row>
    <row r="49" spans="1:20" x14ac:dyDescent="0.3">
      <c r="A49" t="s">
        <v>1617</v>
      </c>
      <c r="B49">
        <v>225</v>
      </c>
      <c r="C49" t="s">
        <v>1044</v>
      </c>
      <c r="D49">
        <f>VLOOKUP(C49,items_full!$A$2:$B$254,2,0)</f>
        <v>2551</v>
      </c>
      <c r="E49" t="s">
        <v>1543</v>
      </c>
      <c r="H49" t="s">
        <v>1604</v>
      </c>
      <c r="I49" t="s">
        <v>2186</v>
      </c>
      <c r="K49" t="s">
        <v>1618</v>
      </c>
      <c r="L49" t="s">
        <v>1606</v>
      </c>
      <c r="M49" t="s">
        <v>1606</v>
      </c>
      <c r="N49" t="s">
        <v>1565</v>
      </c>
      <c r="O49" t="s">
        <v>1565</v>
      </c>
      <c r="P49">
        <v>1</v>
      </c>
      <c r="Q49" t="s">
        <v>1606</v>
      </c>
      <c r="R49" t="s">
        <v>1607</v>
      </c>
      <c r="S49" t="s">
        <v>4648</v>
      </c>
      <c r="T49" t="s">
        <v>4654</v>
      </c>
    </row>
    <row r="50" spans="1:20" x14ac:dyDescent="0.3">
      <c r="A50" t="s">
        <v>1052</v>
      </c>
      <c r="B50">
        <v>226</v>
      </c>
      <c r="C50" t="s">
        <v>1044</v>
      </c>
      <c r="D50">
        <f>VLOOKUP(C50,items_full!$A$2:$B$254,2,0)</f>
        <v>2551</v>
      </c>
      <c r="E50" t="s">
        <v>1543</v>
      </c>
      <c r="H50" t="s">
        <v>1604</v>
      </c>
      <c r="I50" t="s">
        <v>1058</v>
      </c>
      <c r="K50" t="s">
        <v>1605</v>
      </c>
      <c r="L50" t="s">
        <v>1606</v>
      </c>
      <c r="M50" t="s">
        <v>1606</v>
      </c>
      <c r="N50" t="s">
        <v>1565</v>
      </c>
      <c r="O50" t="s">
        <v>1565</v>
      </c>
      <c r="P50">
        <v>1</v>
      </c>
      <c r="Q50" t="s">
        <v>1606</v>
      </c>
      <c r="R50" t="s">
        <v>1607</v>
      </c>
      <c r="S50" t="s">
        <v>4648</v>
      </c>
      <c r="T50" t="s">
        <v>4654</v>
      </c>
    </row>
    <row r="51" spans="1:20" x14ac:dyDescent="0.3">
      <c r="A51" t="s">
        <v>1619</v>
      </c>
      <c r="B51">
        <v>234</v>
      </c>
      <c r="C51" t="s">
        <v>1044</v>
      </c>
      <c r="D51">
        <f>VLOOKUP(C51,items_full!$A$2:$B$254,2,0)</f>
        <v>2551</v>
      </c>
      <c r="E51" t="s">
        <v>1543</v>
      </c>
      <c r="H51" t="s">
        <v>1604</v>
      </c>
      <c r="I51" t="s">
        <v>1058</v>
      </c>
      <c r="K51" t="s">
        <v>1605</v>
      </c>
      <c r="L51" t="s">
        <v>1606</v>
      </c>
      <c r="M51" t="s">
        <v>1606</v>
      </c>
      <c r="N51" t="s">
        <v>1565</v>
      </c>
      <c r="O51" t="s">
        <v>1565</v>
      </c>
      <c r="P51">
        <v>1</v>
      </c>
      <c r="Q51" t="s">
        <v>1606</v>
      </c>
      <c r="R51" t="s">
        <v>1607</v>
      </c>
      <c r="S51" t="s">
        <v>4648</v>
      </c>
      <c r="T51" t="s">
        <v>4654</v>
      </c>
    </row>
    <row r="52" spans="1:20" x14ac:dyDescent="0.3">
      <c r="A52" t="s">
        <v>1620</v>
      </c>
      <c r="B52">
        <v>236</v>
      </c>
      <c r="C52" t="s">
        <v>1061</v>
      </c>
      <c r="D52">
        <f>VLOOKUP(C52,items_full!$A$2:$B$254,2,0)</f>
        <v>2555</v>
      </c>
      <c r="E52" t="s">
        <v>1543</v>
      </c>
      <c r="H52" t="s">
        <v>1060</v>
      </c>
      <c r="I52" t="s">
        <v>1061</v>
      </c>
      <c r="K52" t="s">
        <v>1060</v>
      </c>
      <c r="L52" t="s">
        <v>1621</v>
      </c>
      <c r="M52" t="s">
        <v>1622</v>
      </c>
      <c r="N52" t="s">
        <v>1622</v>
      </c>
      <c r="O52" t="s">
        <v>1623</v>
      </c>
      <c r="P52">
        <v>1</v>
      </c>
      <c r="Q52" t="s">
        <v>1624</v>
      </c>
      <c r="R52" t="s">
        <v>1547</v>
      </c>
      <c r="S52" t="s">
        <v>4648</v>
      </c>
      <c r="T52" t="s">
        <v>4654</v>
      </c>
    </row>
    <row r="53" spans="1:20" x14ac:dyDescent="0.3">
      <c r="A53" t="s">
        <v>1625</v>
      </c>
      <c r="B53">
        <v>237</v>
      </c>
      <c r="C53" t="s">
        <v>1063</v>
      </c>
      <c r="D53">
        <f>VLOOKUP(C53,items_full!$A$2:$B$254,2,0)</f>
        <v>2571</v>
      </c>
      <c r="E53" t="s">
        <v>1551</v>
      </c>
      <c r="I53" t="s">
        <v>1626</v>
      </c>
      <c r="L53" t="s">
        <v>1552</v>
      </c>
      <c r="M53" t="s">
        <v>1552</v>
      </c>
      <c r="N53" t="s">
        <v>1552</v>
      </c>
      <c r="O53" t="s">
        <v>1552</v>
      </c>
      <c r="P53" t="s">
        <v>1552</v>
      </c>
      <c r="Q53" t="s">
        <v>1552</v>
      </c>
      <c r="R53" t="s">
        <v>1552</v>
      </c>
      <c r="S53" t="s">
        <v>4648</v>
      </c>
      <c r="T53" t="s">
        <v>4654</v>
      </c>
    </row>
    <row r="54" spans="1:20" x14ac:dyDescent="0.3">
      <c r="A54" t="s">
        <v>1627</v>
      </c>
      <c r="B54">
        <v>242</v>
      </c>
      <c r="C54" t="s">
        <v>1070</v>
      </c>
      <c r="D54">
        <f>VLOOKUP(C54,items_full!$A$2:$B$254,2,0)</f>
        <v>2552</v>
      </c>
      <c r="E54" t="s">
        <v>1543</v>
      </c>
      <c r="H54" t="s">
        <v>1628</v>
      </c>
      <c r="I54" t="s">
        <v>1069</v>
      </c>
      <c r="K54" t="s">
        <v>1070</v>
      </c>
      <c r="L54" t="s">
        <v>1621</v>
      </c>
      <c r="M54" t="s">
        <v>1622</v>
      </c>
      <c r="N54" t="s">
        <v>1622</v>
      </c>
      <c r="O54" t="s">
        <v>1623</v>
      </c>
      <c r="P54">
        <v>1</v>
      </c>
      <c r="Q54" t="s">
        <v>1624</v>
      </c>
      <c r="R54" t="s">
        <v>1547</v>
      </c>
      <c r="S54" t="s">
        <v>4648</v>
      </c>
      <c r="T54" t="s">
        <v>4654</v>
      </c>
    </row>
    <row r="55" spans="1:20" x14ac:dyDescent="0.3">
      <c r="A55" t="s">
        <v>1629</v>
      </c>
      <c r="B55">
        <v>244</v>
      </c>
      <c r="C55" t="s">
        <v>1073</v>
      </c>
      <c r="D55">
        <f>VLOOKUP(C55,items_full!$A$2:$B$254,2,0)</f>
        <v>2572</v>
      </c>
      <c r="E55" t="s">
        <v>1551</v>
      </c>
      <c r="I55" t="s">
        <v>1630</v>
      </c>
      <c r="L55" t="s">
        <v>1552</v>
      </c>
      <c r="M55" t="s">
        <v>1552</v>
      </c>
      <c r="N55" t="s">
        <v>1552</v>
      </c>
      <c r="O55" t="s">
        <v>1552</v>
      </c>
      <c r="P55" t="s">
        <v>1552</v>
      </c>
      <c r="Q55" t="s">
        <v>1552</v>
      </c>
      <c r="R55" t="s">
        <v>1552</v>
      </c>
      <c r="S55" t="s">
        <v>4648</v>
      </c>
      <c r="T55" t="s">
        <v>4654</v>
      </c>
    </row>
    <row r="56" spans="1:20" x14ac:dyDescent="0.3">
      <c r="A56" t="s">
        <v>1078</v>
      </c>
      <c r="B56" s="1">
        <v>248</v>
      </c>
      <c r="C56" t="s">
        <v>1078</v>
      </c>
      <c r="D56" s="1">
        <v>248</v>
      </c>
      <c r="E56" t="s">
        <v>1543</v>
      </c>
      <c r="H56" t="s">
        <v>1604</v>
      </c>
      <c r="I56" t="s">
        <v>1631</v>
      </c>
      <c r="K56" t="s">
        <v>1632</v>
      </c>
      <c r="L56" t="s">
        <v>1633</v>
      </c>
      <c r="M56" t="s">
        <v>1622</v>
      </c>
      <c r="N56" t="s">
        <v>1622</v>
      </c>
      <c r="O56" t="s">
        <v>1623</v>
      </c>
      <c r="P56">
        <v>1</v>
      </c>
      <c r="Q56" t="s">
        <v>1624</v>
      </c>
      <c r="R56" t="s">
        <v>1607</v>
      </c>
      <c r="S56" t="s">
        <v>4648</v>
      </c>
      <c r="T56" t="s">
        <v>4654</v>
      </c>
    </row>
    <row r="57" spans="1:20" x14ac:dyDescent="0.3">
      <c r="A57" t="s">
        <v>1634</v>
      </c>
      <c r="B57">
        <v>249</v>
      </c>
      <c r="C57" t="s">
        <v>1079</v>
      </c>
      <c r="D57">
        <f>VLOOKUP(C57,items_full!$A$2:$B$254,2,0)</f>
        <v>2560</v>
      </c>
      <c r="E57" t="s">
        <v>1543</v>
      </c>
      <c r="H57" t="s">
        <v>1604</v>
      </c>
      <c r="I57" t="s">
        <v>1631</v>
      </c>
      <c r="K57" t="s">
        <v>1632</v>
      </c>
      <c r="L57" t="s">
        <v>1633</v>
      </c>
      <c r="M57" t="s">
        <v>1622</v>
      </c>
      <c r="N57" t="s">
        <v>1622</v>
      </c>
      <c r="O57" t="s">
        <v>1623</v>
      </c>
      <c r="P57">
        <v>1</v>
      </c>
      <c r="Q57" t="s">
        <v>1624</v>
      </c>
      <c r="R57" t="s">
        <v>1607</v>
      </c>
      <c r="S57" t="s">
        <v>4648</v>
      </c>
      <c r="T57" t="s">
        <v>4654</v>
      </c>
    </row>
    <row r="58" spans="1:20" x14ac:dyDescent="0.3">
      <c r="A58" t="s">
        <v>1635</v>
      </c>
      <c r="B58">
        <v>252</v>
      </c>
      <c r="C58" t="s">
        <v>1083</v>
      </c>
      <c r="D58">
        <f>VLOOKUP(C58,items_full!$A$2:$B$254,2,0)</f>
        <v>2578</v>
      </c>
      <c r="E58" t="s">
        <v>1551</v>
      </c>
      <c r="I58" t="s">
        <v>1635</v>
      </c>
      <c r="L58" t="s">
        <v>1552</v>
      </c>
      <c r="M58" t="s">
        <v>1552</v>
      </c>
      <c r="N58" t="s">
        <v>1552</v>
      </c>
      <c r="O58" t="s">
        <v>1552</v>
      </c>
      <c r="P58" t="s">
        <v>1552</v>
      </c>
      <c r="Q58" t="s">
        <v>1552</v>
      </c>
      <c r="R58" t="s">
        <v>1552</v>
      </c>
      <c r="S58" t="s">
        <v>4648</v>
      </c>
      <c r="T58" t="s">
        <v>4654</v>
      </c>
    </row>
    <row r="59" spans="1:20" x14ac:dyDescent="0.3">
      <c r="A59" t="s">
        <v>1086</v>
      </c>
      <c r="B59">
        <v>254</v>
      </c>
      <c r="C59" t="s">
        <v>1526</v>
      </c>
      <c r="D59">
        <v>254</v>
      </c>
      <c r="E59" t="s">
        <v>1543</v>
      </c>
      <c r="H59" t="s">
        <v>1604</v>
      </c>
      <c r="I59" t="s">
        <v>1636</v>
      </c>
      <c r="K59" t="s">
        <v>1632</v>
      </c>
      <c r="L59" t="s">
        <v>1637</v>
      </c>
      <c r="M59" t="s">
        <v>1622</v>
      </c>
      <c r="N59" t="s">
        <v>1622</v>
      </c>
      <c r="O59" t="s">
        <v>1623</v>
      </c>
      <c r="P59">
        <v>1</v>
      </c>
      <c r="Q59" t="s">
        <v>1624</v>
      </c>
      <c r="R59" t="s">
        <v>1607</v>
      </c>
      <c r="S59" t="s">
        <v>4648</v>
      </c>
      <c r="T59" t="s">
        <v>4654</v>
      </c>
    </row>
    <row r="60" spans="1:20" x14ac:dyDescent="0.3">
      <c r="A60" t="s">
        <v>1087</v>
      </c>
      <c r="B60">
        <v>256</v>
      </c>
      <c r="C60" t="s">
        <v>1087</v>
      </c>
      <c r="D60">
        <f>VLOOKUP(C60,items_full!$A$2:$B$254,2,0)</f>
        <v>2562</v>
      </c>
      <c r="E60" t="s">
        <v>1543</v>
      </c>
      <c r="H60" t="s">
        <v>1604</v>
      </c>
      <c r="I60" t="s">
        <v>1636</v>
      </c>
      <c r="L60" t="s">
        <v>1637</v>
      </c>
      <c r="M60" t="s">
        <v>1622</v>
      </c>
      <c r="N60" t="s">
        <v>1622</v>
      </c>
      <c r="O60" t="s">
        <v>1623</v>
      </c>
      <c r="P60">
        <v>1</v>
      </c>
      <c r="Q60" t="s">
        <v>1624</v>
      </c>
      <c r="S60" t="s">
        <v>4648</v>
      </c>
      <c r="T60" t="s">
        <v>4654</v>
      </c>
    </row>
    <row r="61" spans="1:20" x14ac:dyDescent="0.3">
      <c r="A61" t="s">
        <v>1638</v>
      </c>
      <c r="B61">
        <v>257</v>
      </c>
      <c r="C61" t="s">
        <v>1089</v>
      </c>
      <c r="D61">
        <f>VLOOKUP(C61,items_full!$A$2:$B$254,2,0)</f>
        <v>2577</v>
      </c>
      <c r="E61" t="s">
        <v>1543</v>
      </c>
      <c r="H61" t="s">
        <v>1604</v>
      </c>
      <c r="I61" t="s">
        <v>1638</v>
      </c>
      <c r="L61" t="s">
        <v>1552</v>
      </c>
      <c r="M61" t="s">
        <v>1552</v>
      </c>
      <c r="N61" t="s">
        <v>1552</v>
      </c>
      <c r="O61" t="s">
        <v>1552</v>
      </c>
      <c r="P61" t="s">
        <v>1552</v>
      </c>
      <c r="Q61" t="s">
        <v>1552</v>
      </c>
    </row>
    <row r="62" spans="1:20" x14ac:dyDescent="0.3">
      <c r="A62" t="s">
        <v>1639</v>
      </c>
      <c r="B62">
        <v>258</v>
      </c>
      <c r="C62" t="s">
        <v>1091</v>
      </c>
      <c r="D62">
        <f>VLOOKUP(C62,items_full!$A$2:$B$254,2,0)</f>
        <v>2576</v>
      </c>
      <c r="E62" t="s">
        <v>1551</v>
      </c>
      <c r="I62" t="s">
        <v>1638</v>
      </c>
      <c r="L62" t="s">
        <v>1552</v>
      </c>
      <c r="M62" t="s">
        <v>1552</v>
      </c>
      <c r="N62" t="s">
        <v>1552</v>
      </c>
      <c r="O62" t="s">
        <v>1552</v>
      </c>
      <c r="P62" t="s">
        <v>1552</v>
      </c>
      <c r="Q62" t="s">
        <v>1552</v>
      </c>
    </row>
    <row r="63" spans="1:20" x14ac:dyDescent="0.3">
      <c r="A63" t="s">
        <v>1094</v>
      </c>
      <c r="B63">
        <v>260</v>
      </c>
      <c r="C63" t="s">
        <v>1095</v>
      </c>
      <c r="D63">
        <f>VLOOKUP(C63,items_full!$A$2:$B$254,2,0)</f>
        <v>2563</v>
      </c>
      <c r="E63" t="s">
        <v>1543</v>
      </c>
      <c r="H63" t="s">
        <v>1604</v>
      </c>
      <c r="I63" t="s">
        <v>1612</v>
      </c>
      <c r="K63" t="s">
        <v>1094</v>
      </c>
      <c r="L63" t="s">
        <v>1640</v>
      </c>
      <c r="M63" t="s">
        <v>1622</v>
      </c>
      <c r="N63" t="s">
        <v>1622</v>
      </c>
      <c r="O63" t="s">
        <v>1623</v>
      </c>
      <c r="P63">
        <v>1</v>
      </c>
      <c r="Q63" t="s">
        <v>1624</v>
      </c>
      <c r="R63" t="s">
        <v>1612</v>
      </c>
      <c r="S63" t="s">
        <v>4648</v>
      </c>
      <c r="T63" t="s">
        <v>4654</v>
      </c>
    </row>
    <row r="64" spans="1:20" x14ac:dyDescent="0.3">
      <c r="A64" t="s">
        <v>1641</v>
      </c>
      <c r="B64">
        <v>261</v>
      </c>
      <c r="C64" t="s">
        <v>1097</v>
      </c>
      <c r="D64">
        <f>VLOOKUP(C64,items_full!$A$2:$B$254,2,0)</f>
        <v>2580</v>
      </c>
      <c r="E64" t="s">
        <v>1551</v>
      </c>
      <c r="I64" t="s">
        <v>1641</v>
      </c>
      <c r="L64" t="s">
        <v>1552</v>
      </c>
      <c r="M64" t="s">
        <v>1552</v>
      </c>
      <c r="N64" t="s">
        <v>1552</v>
      </c>
      <c r="O64" t="s">
        <v>1552</v>
      </c>
      <c r="P64" t="s">
        <v>1552</v>
      </c>
      <c r="Q64" t="s">
        <v>1552</v>
      </c>
      <c r="R64" t="s">
        <v>1552</v>
      </c>
      <c r="S64" t="s">
        <v>4648</v>
      </c>
      <c r="T64" t="s">
        <v>4654</v>
      </c>
    </row>
    <row r="65" spans="1:20" x14ac:dyDescent="0.3">
      <c r="A65" t="s">
        <v>1099</v>
      </c>
      <c r="B65">
        <v>263</v>
      </c>
      <c r="C65" t="s">
        <v>1100</v>
      </c>
      <c r="D65">
        <f>VLOOKUP(C65,items_full!$A$2:$B$254,2,0)</f>
        <v>2570</v>
      </c>
      <c r="E65" t="s">
        <v>1543</v>
      </c>
      <c r="H65" t="s">
        <v>1642</v>
      </c>
      <c r="I65" t="s">
        <v>1058</v>
      </c>
      <c r="K65" t="s">
        <v>1605</v>
      </c>
      <c r="L65" t="s">
        <v>1633</v>
      </c>
      <c r="M65" t="s">
        <v>1622</v>
      </c>
      <c r="N65" t="s">
        <v>1622</v>
      </c>
      <c r="O65" t="s">
        <v>1623</v>
      </c>
      <c r="P65">
        <v>1</v>
      </c>
      <c r="Q65" t="s">
        <v>1624</v>
      </c>
      <c r="R65" t="s">
        <v>1607</v>
      </c>
      <c r="S65" t="s">
        <v>4648</v>
      </c>
      <c r="T65" t="s">
        <v>4654</v>
      </c>
    </row>
    <row r="66" spans="1:20" x14ac:dyDescent="0.3">
      <c r="A66" t="s">
        <v>1643</v>
      </c>
      <c r="B66">
        <v>265</v>
      </c>
      <c r="C66" t="s">
        <v>1100</v>
      </c>
      <c r="D66">
        <f>VLOOKUP(C66,items_full!$A$2:$B$254,2,0)</f>
        <v>2570</v>
      </c>
      <c r="E66" t="s">
        <v>1543</v>
      </c>
      <c r="H66" t="s">
        <v>1644</v>
      </c>
      <c r="I66" t="s">
        <v>1645</v>
      </c>
      <c r="K66" t="s">
        <v>1646</v>
      </c>
      <c r="L66" t="s">
        <v>1621</v>
      </c>
      <c r="M66" t="s">
        <v>1622</v>
      </c>
      <c r="N66" t="s">
        <v>1622</v>
      </c>
      <c r="O66" t="s">
        <v>1623</v>
      </c>
      <c r="P66">
        <v>1</v>
      </c>
      <c r="Q66" t="s">
        <v>1624</v>
      </c>
      <c r="R66" t="s">
        <v>1547</v>
      </c>
      <c r="S66" t="s">
        <v>4648</v>
      </c>
      <c r="T66" t="s">
        <v>4654</v>
      </c>
    </row>
    <row r="67" spans="1:20" x14ac:dyDescent="0.3">
      <c r="A67" t="s">
        <v>1105</v>
      </c>
      <c r="B67">
        <v>267</v>
      </c>
      <c r="C67" t="s">
        <v>1105</v>
      </c>
      <c r="D67">
        <f>VLOOKUP(C67,items_full!$A$2:$B$254,2,0)</f>
        <v>2557</v>
      </c>
      <c r="E67" t="s">
        <v>1543</v>
      </c>
      <c r="H67" t="s">
        <v>1647</v>
      </c>
      <c r="I67" t="s">
        <v>1105</v>
      </c>
      <c r="K67" t="s">
        <v>1646</v>
      </c>
      <c r="L67" t="s">
        <v>1621</v>
      </c>
      <c r="M67" t="s">
        <v>1622</v>
      </c>
      <c r="N67" t="s">
        <v>1622</v>
      </c>
      <c r="O67" t="s">
        <v>1623</v>
      </c>
      <c r="P67">
        <v>1</v>
      </c>
      <c r="Q67" t="s">
        <v>1624</v>
      </c>
      <c r="R67" t="s">
        <v>1547</v>
      </c>
      <c r="S67" t="s">
        <v>4648</v>
      </c>
      <c r="T67" t="s">
        <v>4654</v>
      </c>
    </row>
    <row r="68" spans="1:20" x14ac:dyDescent="0.3">
      <c r="A68" t="s">
        <v>1648</v>
      </c>
      <c r="B68">
        <v>268</v>
      </c>
      <c r="C68" t="s">
        <v>1107</v>
      </c>
      <c r="D68">
        <f>VLOOKUP(C68,items_full!$A$2:$B$254,2,0)</f>
        <v>2573</v>
      </c>
      <c r="E68" t="s">
        <v>1551</v>
      </c>
      <c r="I68" s="4" t="s">
        <v>1649</v>
      </c>
      <c r="L68" t="s">
        <v>1552</v>
      </c>
      <c r="M68" t="s">
        <v>1552</v>
      </c>
      <c r="N68" t="s">
        <v>1552</v>
      </c>
      <c r="O68" t="s">
        <v>1552</v>
      </c>
      <c r="P68" t="s">
        <v>1552</v>
      </c>
      <c r="Q68" t="s">
        <v>1552</v>
      </c>
      <c r="R68" t="s">
        <v>1552</v>
      </c>
      <c r="S68" t="s">
        <v>4648</v>
      </c>
      <c r="T68" t="s">
        <v>4654</v>
      </c>
    </row>
    <row r="69" spans="1:20" x14ac:dyDescent="0.3">
      <c r="A69" t="s">
        <v>1650</v>
      </c>
      <c r="B69">
        <v>270</v>
      </c>
      <c r="C69" t="s">
        <v>1111</v>
      </c>
      <c r="D69">
        <f>VLOOKUP(C69,items_full!$A$2:$B$254,2,0)</f>
        <v>2558</v>
      </c>
      <c r="E69" t="s">
        <v>1543</v>
      </c>
      <c r="H69" t="s">
        <v>1642</v>
      </c>
      <c r="I69" t="s">
        <v>1651</v>
      </c>
      <c r="K69" t="s">
        <v>1110</v>
      </c>
      <c r="L69" t="s">
        <v>1621</v>
      </c>
      <c r="M69" t="s">
        <v>1622</v>
      </c>
      <c r="N69" t="s">
        <v>1622</v>
      </c>
      <c r="O69" t="s">
        <v>1623</v>
      </c>
      <c r="P69">
        <v>1</v>
      </c>
      <c r="Q69" t="s">
        <v>1624</v>
      </c>
      <c r="R69" t="s">
        <v>1547</v>
      </c>
      <c r="S69" t="s">
        <v>4648</v>
      </c>
      <c r="T69" t="s">
        <v>4654</v>
      </c>
    </row>
    <row r="70" spans="1:20" x14ac:dyDescent="0.3">
      <c r="A70" t="s">
        <v>1652</v>
      </c>
      <c r="B70">
        <v>271</v>
      </c>
      <c r="C70" t="s">
        <v>1113</v>
      </c>
      <c r="D70">
        <f>VLOOKUP(C70,items_full!$A$2:$B$254,2,0)</f>
        <v>2574</v>
      </c>
      <c r="E70" t="s">
        <v>1551</v>
      </c>
      <c r="I70" t="s">
        <v>1653</v>
      </c>
      <c r="L70" t="s">
        <v>1552</v>
      </c>
      <c r="M70" t="s">
        <v>1552</v>
      </c>
      <c r="N70" t="s">
        <v>1552</v>
      </c>
      <c r="O70" t="s">
        <v>1552</v>
      </c>
      <c r="P70" t="s">
        <v>1552</v>
      </c>
      <c r="Q70" t="s">
        <v>1552</v>
      </c>
      <c r="R70" t="s">
        <v>1552</v>
      </c>
      <c r="S70" t="s">
        <v>4648</v>
      </c>
      <c r="T70" t="s">
        <v>4654</v>
      </c>
    </row>
    <row r="71" spans="1:20" x14ac:dyDescent="0.3">
      <c r="A71" t="s">
        <v>1117</v>
      </c>
      <c r="B71">
        <v>275</v>
      </c>
      <c r="C71" t="s">
        <v>1100</v>
      </c>
      <c r="D71">
        <f>VLOOKUP(C71,items_full!$A$2:$B$254,2,0)</f>
        <v>2570</v>
      </c>
      <c r="E71" t="s">
        <v>1543</v>
      </c>
      <c r="H71" t="s">
        <v>1642</v>
      </c>
      <c r="I71" t="s">
        <v>1058</v>
      </c>
      <c r="K71" t="s">
        <v>1605</v>
      </c>
      <c r="L71" t="s">
        <v>1633</v>
      </c>
      <c r="M71" t="s">
        <v>1622</v>
      </c>
      <c r="N71" t="s">
        <v>1622</v>
      </c>
      <c r="O71" t="s">
        <v>1623</v>
      </c>
      <c r="P71">
        <v>1</v>
      </c>
      <c r="Q71" t="s">
        <v>1624</v>
      </c>
      <c r="R71" t="s">
        <v>1607</v>
      </c>
      <c r="S71" t="s">
        <v>4648</v>
      </c>
      <c r="T71" t="s">
        <v>4654</v>
      </c>
    </row>
    <row r="72" spans="1:20" x14ac:dyDescent="0.3">
      <c r="A72" t="s">
        <v>1654</v>
      </c>
      <c r="B72">
        <v>277</v>
      </c>
      <c r="C72" t="s">
        <v>1100</v>
      </c>
      <c r="D72">
        <f>VLOOKUP(C72,items_full!$A$2:$B$254,2,0)</f>
        <v>2570</v>
      </c>
      <c r="E72" t="s">
        <v>1543</v>
      </c>
      <c r="H72" t="s">
        <v>1642</v>
      </c>
      <c r="I72" t="s">
        <v>1645</v>
      </c>
      <c r="K72" t="s">
        <v>1646</v>
      </c>
      <c r="L72" t="s">
        <v>1621</v>
      </c>
      <c r="M72" t="s">
        <v>1622</v>
      </c>
      <c r="N72" t="s">
        <v>1622</v>
      </c>
      <c r="O72" t="s">
        <v>1623</v>
      </c>
      <c r="P72">
        <v>1</v>
      </c>
      <c r="Q72" t="s">
        <v>1624</v>
      </c>
      <c r="R72" t="s">
        <v>1567</v>
      </c>
      <c r="S72" t="s">
        <v>4648</v>
      </c>
      <c r="T72" t="s">
        <v>4654</v>
      </c>
    </row>
    <row r="73" spans="1:20" x14ac:dyDescent="0.3">
      <c r="A73" t="s">
        <v>1121</v>
      </c>
      <c r="B73">
        <v>280</v>
      </c>
      <c r="C73" t="s">
        <v>1100</v>
      </c>
      <c r="D73">
        <f>VLOOKUP(C73,items_full!$A$2:$B$254,2,0)</f>
        <v>2570</v>
      </c>
      <c r="E73" t="s">
        <v>1543</v>
      </c>
      <c r="H73" t="s">
        <v>1642</v>
      </c>
      <c r="I73" t="s">
        <v>1655</v>
      </c>
      <c r="K73" t="s">
        <v>1656</v>
      </c>
      <c r="L73" t="s">
        <v>1621</v>
      </c>
      <c r="M73" t="s">
        <v>1622</v>
      </c>
      <c r="N73" t="s">
        <v>1622</v>
      </c>
      <c r="O73" t="s">
        <v>1623</v>
      </c>
      <c r="P73">
        <v>1</v>
      </c>
      <c r="Q73" t="s">
        <v>1624</v>
      </c>
      <c r="R73" t="s">
        <v>1547</v>
      </c>
      <c r="S73" t="s">
        <v>4648</v>
      </c>
      <c r="T73" t="s">
        <v>4654</v>
      </c>
    </row>
    <row r="74" spans="1:20" x14ac:dyDescent="0.3">
      <c r="A74" t="s">
        <v>1657</v>
      </c>
      <c r="B74">
        <v>281</v>
      </c>
      <c r="C74" t="s">
        <v>1102</v>
      </c>
      <c r="D74">
        <f>VLOOKUP(C74,items_full!$A$2:$B$254,2,0)</f>
        <v>2586</v>
      </c>
      <c r="E74" t="s">
        <v>1551</v>
      </c>
      <c r="I74" t="s">
        <v>1653</v>
      </c>
      <c r="L74" t="s">
        <v>1552</v>
      </c>
      <c r="M74" t="s">
        <v>1552</v>
      </c>
      <c r="N74" t="s">
        <v>1552</v>
      </c>
      <c r="O74" t="s">
        <v>1552</v>
      </c>
      <c r="P74" t="s">
        <v>1552</v>
      </c>
      <c r="Q74" t="s">
        <v>1552</v>
      </c>
      <c r="R74" t="s">
        <v>1552</v>
      </c>
      <c r="S74" t="s">
        <v>4648</v>
      </c>
      <c r="T74" t="s">
        <v>4654</v>
      </c>
    </row>
    <row r="75" spans="1:20" x14ac:dyDescent="0.3">
      <c r="A75" t="s">
        <v>1124</v>
      </c>
      <c r="B75">
        <v>289</v>
      </c>
      <c r="C75" t="s">
        <v>1124</v>
      </c>
      <c r="D75">
        <f>VLOOKUP(C75,items_full!$A$2:$B$254,2,0)</f>
        <v>2561</v>
      </c>
      <c r="E75" t="s">
        <v>1543</v>
      </c>
      <c r="H75" t="s">
        <v>1642</v>
      </c>
      <c r="I75" t="s">
        <v>1645</v>
      </c>
      <c r="K75" t="s">
        <v>1646</v>
      </c>
      <c r="L75" t="s">
        <v>1621</v>
      </c>
      <c r="M75" t="s">
        <v>1622</v>
      </c>
      <c r="N75" t="s">
        <v>1622</v>
      </c>
      <c r="O75" t="s">
        <v>1623</v>
      </c>
      <c r="P75">
        <v>1</v>
      </c>
      <c r="Q75" t="s">
        <v>1624</v>
      </c>
      <c r="R75" t="s">
        <v>1547</v>
      </c>
      <c r="S75" t="s">
        <v>4648</v>
      </c>
      <c r="T75" t="s">
        <v>4654</v>
      </c>
    </row>
    <row r="76" spans="1:20" x14ac:dyDescent="0.3">
      <c r="A76" t="s">
        <v>1658</v>
      </c>
      <c r="B76">
        <v>290</v>
      </c>
      <c r="C76" t="s">
        <v>1126</v>
      </c>
      <c r="D76">
        <f>VLOOKUP(C76,items_full!$A$2:$B$254,2,0)</f>
        <v>2579</v>
      </c>
      <c r="E76" t="s">
        <v>1551</v>
      </c>
      <c r="I76" t="s">
        <v>1653</v>
      </c>
      <c r="L76" t="s">
        <v>1552</v>
      </c>
      <c r="M76" t="s">
        <v>1552</v>
      </c>
      <c r="N76" t="s">
        <v>1552</v>
      </c>
      <c r="O76" t="s">
        <v>1552</v>
      </c>
      <c r="P76" t="s">
        <v>1552</v>
      </c>
      <c r="Q76" t="s">
        <v>1552</v>
      </c>
      <c r="R76" t="s">
        <v>1552</v>
      </c>
      <c r="S76" t="s">
        <v>4648</v>
      </c>
      <c r="T76" t="s">
        <v>4654</v>
      </c>
    </row>
    <row r="77" spans="1:20" x14ac:dyDescent="0.3">
      <c r="A77" t="s">
        <v>1129</v>
      </c>
      <c r="B77">
        <v>292</v>
      </c>
      <c r="C77" t="s">
        <v>1111</v>
      </c>
      <c r="D77">
        <f>VLOOKUP(C77,items_full!$A$2:$B$254,2,0)</f>
        <v>2558</v>
      </c>
      <c r="E77" t="s">
        <v>1543</v>
      </c>
      <c r="H77" t="s">
        <v>1642</v>
      </c>
      <c r="I77" t="s">
        <v>1659</v>
      </c>
      <c r="K77" t="s">
        <v>1646</v>
      </c>
      <c r="L77" t="s">
        <v>1621</v>
      </c>
      <c r="M77" t="s">
        <v>1622</v>
      </c>
      <c r="N77" t="s">
        <v>1622</v>
      </c>
      <c r="O77" t="s">
        <v>1623</v>
      </c>
      <c r="P77">
        <v>1</v>
      </c>
      <c r="Q77" t="s">
        <v>1624</v>
      </c>
      <c r="R77" t="s">
        <v>1547</v>
      </c>
      <c r="S77" t="s">
        <v>4648</v>
      </c>
      <c r="T77" t="s">
        <v>4654</v>
      </c>
    </row>
    <row r="78" spans="1:20" x14ac:dyDescent="0.3">
      <c r="A78" t="s">
        <v>1133</v>
      </c>
      <c r="B78">
        <v>296</v>
      </c>
      <c r="C78" t="s">
        <v>1100</v>
      </c>
      <c r="D78">
        <f>VLOOKUP(C78,items_full!$A$2:$B$254,2,0)</f>
        <v>2570</v>
      </c>
      <c r="E78" t="s">
        <v>1543</v>
      </c>
      <c r="H78" t="s">
        <v>1642</v>
      </c>
      <c r="I78" t="s">
        <v>1660</v>
      </c>
      <c r="K78" t="s">
        <v>1022</v>
      </c>
      <c r="L78" t="s">
        <v>1621</v>
      </c>
      <c r="M78" t="s">
        <v>1622</v>
      </c>
      <c r="N78" t="s">
        <v>1622</v>
      </c>
      <c r="O78" t="s">
        <v>1623</v>
      </c>
      <c r="P78">
        <v>1</v>
      </c>
      <c r="Q78" t="s">
        <v>1624</v>
      </c>
      <c r="R78" t="s">
        <v>1547</v>
      </c>
      <c r="S78" t="s">
        <v>4648</v>
      </c>
      <c r="T78" t="s">
        <v>4654</v>
      </c>
    </row>
    <row r="79" spans="1:20" x14ac:dyDescent="0.3">
      <c r="A79" t="s">
        <v>1136</v>
      </c>
      <c r="B79">
        <v>299</v>
      </c>
      <c r="C79" t="s">
        <v>1100</v>
      </c>
      <c r="D79">
        <f>VLOOKUP(C79,items_full!$A$2:$B$254,2,0)</f>
        <v>2570</v>
      </c>
      <c r="E79" t="s">
        <v>1543</v>
      </c>
      <c r="H79" t="s">
        <v>1642</v>
      </c>
      <c r="I79" t="s">
        <v>1645</v>
      </c>
      <c r="K79" t="s">
        <v>1646</v>
      </c>
      <c r="L79" t="s">
        <v>1621</v>
      </c>
      <c r="M79" t="s">
        <v>1622</v>
      </c>
      <c r="N79" t="s">
        <v>1622</v>
      </c>
      <c r="O79" t="s">
        <v>1623</v>
      </c>
      <c r="P79">
        <v>1</v>
      </c>
      <c r="Q79" t="s">
        <v>1624</v>
      </c>
      <c r="R79" t="s">
        <v>1559</v>
      </c>
      <c r="S79" t="s">
        <v>4648</v>
      </c>
      <c r="T79" t="s">
        <v>4654</v>
      </c>
    </row>
    <row r="80" spans="1:20" x14ac:dyDescent="0.3">
      <c r="A80" t="s">
        <v>1137</v>
      </c>
      <c r="B80">
        <v>305</v>
      </c>
      <c r="C80" t="s">
        <v>1100</v>
      </c>
      <c r="D80">
        <f>VLOOKUP(C80,items_full!$A$2:$B$254,2,0)</f>
        <v>2570</v>
      </c>
      <c r="E80" t="s">
        <v>1543</v>
      </c>
      <c r="H80" t="s">
        <v>1642</v>
      </c>
      <c r="I80" t="s">
        <v>1645</v>
      </c>
      <c r="K80" t="s">
        <v>1632</v>
      </c>
      <c r="L80" t="s">
        <v>1022</v>
      </c>
      <c r="M80" t="s">
        <v>1661</v>
      </c>
      <c r="N80" t="s">
        <v>1577</v>
      </c>
      <c r="O80" t="s">
        <v>1578</v>
      </c>
      <c r="P80">
        <v>1</v>
      </c>
      <c r="Q80" t="s">
        <v>1662</v>
      </c>
      <c r="R80" t="s">
        <v>1607</v>
      </c>
      <c r="S80" t="s">
        <v>4648</v>
      </c>
      <c r="T80" t="s">
        <v>4654</v>
      </c>
    </row>
    <row r="81" spans="1:20" x14ac:dyDescent="0.3">
      <c r="A81" t="s">
        <v>1140</v>
      </c>
      <c r="B81">
        <v>310</v>
      </c>
      <c r="C81" t="s">
        <v>1140</v>
      </c>
      <c r="D81" s="1">
        <v>310</v>
      </c>
      <c r="E81" t="s">
        <v>1543</v>
      </c>
      <c r="H81" t="s">
        <v>1604</v>
      </c>
      <c r="I81" t="s">
        <v>1607</v>
      </c>
      <c r="K81" t="s">
        <v>1663</v>
      </c>
      <c r="L81" t="s">
        <v>1633</v>
      </c>
      <c r="M81" t="s">
        <v>1622</v>
      </c>
      <c r="N81" t="s">
        <v>1622</v>
      </c>
      <c r="O81" t="s">
        <v>1623</v>
      </c>
      <c r="P81">
        <v>1</v>
      </c>
      <c r="Q81" t="s">
        <v>1624</v>
      </c>
      <c r="R81" t="s">
        <v>1607</v>
      </c>
      <c r="S81" t="s">
        <v>4648</v>
      </c>
      <c r="T81" t="s">
        <v>4654</v>
      </c>
    </row>
    <row r="82" spans="1:20" x14ac:dyDescent="0.3">
      <c r="A82" t="s">
        <v>1141</v>
      </c>
      <c r="B82">
        <v>311</v>
      </c>
      <c r="C82" t="s">
        <v>1100</v>
      </c>
      <c r="D82">
        <f>VLOOKUP(C82,items_full!$A$2:$B$254,2,0)</f>
        <v>2570</v>
      </c>
      <c r="E82" t="s">
        <v>1543</v>
      </c>
      <c r="H82" t="s">
        <v>1642</v>
      </c>
      <c r="I82" t="s">
        <v>1645</v>
      </c>
      <c r="K82" t="s">
        <v>1646</v>
      </c>
      <c r="L82" t="s">
        <v>1552</v>
      </c>
      <c r="M82" t="s">
        <v>1552</v>
      </c>
      <c r="N82" t="s">
        <v>1552</v>
      </c>
      <c r="O82" t="s">
        <v>1552</v>
      </c>
      <c r="P82" t="s">
        <v>1552</v>
      </c>
      <c r="Q82" t="s">
        <v>1552</v>
      </c>
    </row>
    <row r="83" spans="1:20" x14ac:dyDescent="0.3">
      <c r="A83" t="s">
        <v>1664</v>
      </c>
      <c r="B83">
        <v>328</v>
      </c>
      <c r="C83" t="s">
        <v>1525</v>
      </c>
      <c r="D83" s="1">
        <v>328</v>
      </c>
      <c r="E83" t="s">
        <v>1543</v>
      </c>
      <c r="H83" t="s">
        <v>1604</v>
      </c>
      <c r="I83" t="s">
        <v>1525</v>
      </c>
      <c r="K83" t="s">
        <v>1665</v>
      </c>
      <c r="L83" t="s">
        <v>1621</v>
      </c>
      <c r="M83" t="s">
        <v>1622</v>
      </c>
      <c r="N83" t="s">
        <v>1622</v>
      </c>
      <c r="O83" t="s">
        <v>1623</v>
      </c>
      <c r="P83">
        <v>1</v>
      </c>
      <c r="Q83" t="s">
        <v>1624</v>
      </c>
      <c r="R83" t="s">
        <v>1547</v>
      </c>
      <c r="S83" t="s">
        <v>4648</v>
      </c>
      <c r="T83" t="s">
        <v>4654</v>
      </c>
    </row>
    <row r="84" spans="1:20" x14ac:dyDescent="0.3">
      <c r="A84" t="s">
        <v>1666</v>
      </c>
      <c r="B84">
        <v>329</v>
      </c>
      <c r="C84" t="s">
        <v>1145</v>
      </c>
      <c r="D84">
        <f>VLOOKUP(C84,items_full!$A$2:$B$254,2,0)</f>
        <v>2559</v>
      </c>
      <c r="E84" t="s">
        <v>1543</v>
      </c>
      <c r="H84" t="s">
        <v>1604</v>
      </c>
      <c r="I84" t="s">
        <v>1145</v>
      </c>
      <c r="L84" t="s">
        <v>1552</v>
      </c>
      <c r="M84" t="s">
        <v>1552</v>
      </c>
      <c r="N84" t="s">
        <v>1552</v>
      </c>
      <c r="O84" t="s">
        <v>1552</v>
      </c>
      <c r="P84" t="s">
        <v>1552</v>
      </c>
      <c r="Q84" t="s">
        <v>1552</v>
      </c>
    </row>
    <row r="85" spans="1:20" x14ac:dyDescent="0.3">
      <c r="A85" t="s">
        <v>1667</v>
      </c>
      <c r="B85">
        <v>331</v>
      </c>
      <c r="C85" t="s">
        <v>1147</v>
      </c>
      <c r="D85">
        <f>VLOOKUP(C85,items_full!$A$2:$B$254,2,0)</f>
        <v>2575</v>
      </c>
      <c r="E85" t="s">
        <v>1551</v>
      </c>
      <c r="I85" t="s">
        <v>1653</v>
      </c>
      <c r="L85" t="s">
        <v>1552</v>
      </c>
      <c r="M85" t="s">
        <v>1552</v>
      </c>
      <c r="N85" t="s">
        <v>1552</v>
      </c>
      <c r="O85" t="s">
        <v>1552</v>
      </c>
      <c r="P85" t="s">
        <v>1552</v>
      </c>
      <c r="Q85" t="s">
        <v>1552</v>
      </c>
    </row>
    <row r="86" spans="1:20" x14ac:dyDescent="0.3">
      <c r="A86" t="s">
        <v>1150</v>
      </c>
      <c r="B86">
        <v>333</v>
      </c>
      <c r="C86" t="s">
        <v>1100</v>
      </c>
      <c r="D86">
        <f>VLOOKUP(C86,items_full!$A$2:$B$254,2,0)</f>
        <v>2570</v>
      </c>
      <c r="E86" t="s">
        <v>1543</v>
      </c>
      <c r="H86" t="s">
        <v>1642</v>
      </c>
      <c r="I86" t="s">
        <v>1150</v>
      </c>
      <c r="K86" t="s">
        <v>1150</v>
      </c>
      <c r="L86" t="s">
        <v>1621</v>
      </c>
      <c r="M86" t="s">
        <v>1622</v>
      </c>
      <c r="N86" t="s">
        <v>1622</v>
      </c>
      <c r="O86" t="s">
        <v>1623</v>
      </c>
      <c r="P86">
        <v>1</v>
      </c>
      <c r="Q86" t="s">
        <v>1624</v>
      </c>
      <c r="R86" t="s">
        <v>1567</v>
      </c>
      <c r="S86" t="s">
        <v>4648</v>
      </c>
      <c r="T86" t="s">
        <v>4654</v>
      </c>
    </row>
    <row r="87" spans="1:20" x14ac:dyDescent="0.3">
      <c r="A87" t="s">
        <v>1668</v>
      </c>
      <c r="B87">
        <v>334</v>
      </c>
      <c r="C87" t="s">
        <v>1102</v>
      </c>
      <c r="D87">
        <f>VLOOKUP(C87,items_full!$A$2:$B$254,2,0)</f>
        <v>2586</v>
      </c>
      <c r="E87" t="s">
        <v>1551</v>
      </c>
      <c r="I87" t="s">
        <v>1653</v>
      </c>
      <c r="L87" t="s">
        <v>1552</v>
      </c>
      <c r="M87" t="s">
        <v>1552</v>
      </c>
      <c r="N87" t="s">
        <v>1552</v>
      </c>
      <c r="O87" t="s">
        <v>1552</v>
      </c>
      <c r="P87" t="s">
        <v>1552</v>
      </c>
      <c r="Q87" t="s">
        <v>1552</v>
      </c>
      <c r="R87" t="s">
        <v>1552</v>
      </c>
      <c r="S87" t="s">
        <v>4648</v>
      </c>
      <c r="T87" t="s">
        <v>4654</v>
      </c>
    </row>
    <row r="88" spans="1:20" x14ac:dyDescent="0.3">
      <c r="A88" t="s">
        <v>1153</v>
      </c>
      <c r="B88">
        <v>336</v>
      </c>
      <c r="C88" t="s">
        <v>1100</v>
      </c>
      <c r="D88">
        <f>VLOOKUP(C88,items_full!$A$2:$B$254,2,0)</f>
        <v>2570</v>
      </c>
      <c r="E88" t="s">
        <v>1543</v>
      </c>
      <c r="H88" t="s">
        <v>1642</v>
      </c>
      <c r="I88" t="s">
        <v>1669</v>
      </c>
      <c r="K88" t="s">
        <v>1153</v>
      </c>
      <c r="L88" t="s">
        <v>1621</v>
      </c>
      <c r="M88" t="s">
        <v>1622</v>
      </c>
      <c r="N88" t="s">
        <v>1622</v>
      </c>
      <c r="O88" t="s">
        <v>1623</v>
      </c>
      <c r="P88">
        <v>1</v>
      </c>
      <c r="Q88" t="s">
        <v>1624</v>
      </c>
      <c r="R88" t="s">
        <v>1567</v>
      </c>
      <c r="S88" t="s">
        <v>4648</v>
      </c>
      <c r="T88" t="s">
        <v>4654</v>
      </c>
    </row>
    <row r="89" spans="1:20" x14ac:dyDescent="0.3">
      <c r="A89" t="s">
        <v>1670</v>
      </c>
      <c r="B89">
        <v>339</v>
      </c>
      <c r="C89" t="s">
        <v>1100</v>
      </c>
      <c r="D89">
        <f>VLOOKUP(C89,items_full!$A$2:$B$254,2,0)</f>
        <v>2570</v>
      </c>
      <c r="E89" t="s">
        <v>1543</v>
      </c>
      <c r="H89" t="s">
        <v>1642</v>
      </c>
      <c r="I89" t="s">
        <v>1645</v>
      </c>
      <c r="K89" t="s">
        <v>1646</v>
      </c>
      <c r="L89" t="s">
        <v>1621</v>
      </c>
      <c r="M89" t="s">
        <v>1622</v>
      </c>
      <c r="N89" t="s">
        <v>1622</v>
      </c>
      <c r="O89" t="s">
        <v>1623</v>
      </c>
      <c r="P89">
        <v>1</v>
      </c>
      <c r="Q89" t="s">
        <v>1624</v>
      </c>
      <c r="R89" t="s">
        <v>1547</v>
      </c>
      <c r="S89" t="s">
        <v>4648</v>
      </c>
      <c r="T89" t="s">
        <v>4654</v>
      </c>
    </row>
    <row r="90" spans="1:20" x14ac:dyDescent="0.3">
      <c r="A90" t="s">
        <v>1671</v>
      </c>
      <c r="B90">
        <v>358</v>
      </c>
      <c r="C90" t="s">
        <v>1161</v>
      </c>
      <c r="D90">
        <f>VLOOKUP(C90,items_full!$A$2:$B$254,2,0)</f>
        <v>2605</v>
      </c>
      <c r="E90" t="s">
        <v>1543</v>
      </c>
      <c r="H90" t="s">
        <v>1604</v>
      </c>
      <c r="I90" t="s">
        <v>1672</v>
      </c>
      <c r="K90" t="s">
        <v>1671</v>
      </c>
      <c r="L90" t="s">
        <v>1559</v>
      </c>
      <c r="M90" t="s">
        <v>1673</v>
      </c>
      <c r="N90" t="s">
        <v>1565</v>
      </c>
      <c r="O90" t="s">
        <v>1565</v>
      </c>
      <c r="P90">
        <v>1</v>
      </c>
      <c r="Q90" t="s">
        <v>1559</v>
      </c>
      <c r="R90" t="s">
        <v>1559</v>
      </c>
      <c r="S90" t="s">
        <v>4648</v>
      </c>
      <c r="T90" t="s">
        <v>4650</v>
      </c>
    </row>
    <row r="91" spans="1:20" x14ac:dyDescent="0.3">
      <c r="A91" t="s">
        <v>1162</v>
      </c>
      <c r="B91">
        <v>366</v>
      </c>
      <c r="C91" t="s">
        <v>1161</v>
      </c>
      <c r="D91">
        <f>VLOOKUP(C91,items_full!$A$2:$B$254,2,0)</f>
        <v>2605</v>
      </c>
      <c r="E91" t="s">
        <v>1543</v>
      </c>
      <c r="H91" t="s">
        <v>1604</v>
      </c>
      <c r="I91" t="s">
        <v>1674</v>
      </c>
      <c r="K91" t="s">
        <v>1162</v>
      </c>
      <c r="L91" t="s">
        <v>1559</v>
      </c>
      <c r="M91" t="s">
        <v>1673</v>
      </c>
      <c r="N91" t="s">
        <v>1565</v>
      </c>
      <c r="O91" t="s">
        <v>1565</v>
      </c>
      <c r="P91">
        <v>1</v>
      </c>
      <c r="Q91" t="s">
        <v>1559</v>
      </c>
      <c r="R91" t="s">
        <v>1559</v>
      </c>
      <c r="S91" t="s">
        <v>4648</v>
      </c>
      <c r="T91" t="s">
        <v>4650</v>
      </c>
    </row>
    <row r="92" spans="1:20" x14ac:dyDescent="0.3">
      <c r="A92" t="s">
        <v>1163</v>
      </c>
      <c r="B92">
        <v>367</v>
      </c>
      <c r="C92" t="s">
        <v>1161</v>
      </c>
      <c r="D92">
        <f>VLOOKUP(C92,items_full!$A$2:$B$254,2,0)</f>
        <v>2605</v>
      </c>
      <c r="E92" t="s">
        <v>1543</v>
      </c>
      <c r="H92" t="s">
        <v>1604</v>
      </c>
      <c r="I92" t="s">
        <v>1163</v>
      </c>
      <c r="K92" t="s">
        <v>1163</v>
      </c>
      <c r="L92" t="s">
        <v>1559</v>
      </c>
      <c r="M92" t="s">
        <v>1673</v>
      </c>
      <c r="N92" t="s">
        <v>1565</v>
      </c>
      <c r="O92" t="s">
        <v>1565</v>
      </c>
      <c r="P92">
        <v>1</v>
      </c>
      <c r="Q92" t="s">
        <v>1559</v>
      </c>
      <c r="R92" t="s">
        <v>1559</v>
      </c>
      <c r="S92" t="s">
        <v>4648</v>
      </c>
      <c r="T92" t="s">
        <v>4650</v>
      </c>
    </row>
    <row r="93" spans="1:20" x14ac:dyDescent="0.3">
      <c r="A93" t="s">
        <v>1164</v>
      </c>
      <c r="B93">
        <v>372</v>
      </c>
      <c r="C93" t="s">
        <v>1161</v>
      </c>
      <c r="D93">
        <f>VLOOKUP(C93,items_full!$A$2:$B$254,2,0)</f>
        <v>2605</v>
      </c>
      <c r="E93" t="s">
        <v>1543</v>
      </c>
      <c r="H93" t="s">
        <v>1604</v>
      </c>
      <c r="I93" t="s">
        <v>1675</v>
      </c>
      <c r="K93" t="s">
        <v>1676</v>
      </c>
      <c r="L93" t="s">
        <v>1559</v>
      </c>
      <c r="M93" t="s">
        <v>1673</v>
      </c>
      <c r="N93" t="s">
        <v>1565</v>
      </c>
      <c r="O93" t="s">
        <v>1565</v>
      </c>
      <c r="P93">
        <v>1</v>
      </c>
      <c r="Q93" t="s">
        <v>1559</v>
      </c>
      <c r="R93" t="s">
        <v>1559</v>
      </c>
      <c r="S93" t="s">
        <v>4648</v>
      </c>
      <c r="T93" t="s">
        <v>4650</v>
      </c>
    </row>
    <row r="94" spans="1:20" x14ac:dyDescent="0.3">
      <c r="A94" t="s">
        <v>1165</v>
      </c>
      <c r="B94">
        <v>373</v>
      </c>
      <c r="C94" t="s">
        <v>1161</v>
      </c>
      <c r="D94">
        <f>VLOOKUP(C94,items_full!$A$2:$B$254,2,0)</f>
        <v>2605</v>
      </c>
      <c r="E94" t="s">
        <v>1543</v>
      </c>
      <c r="H94" t="s">
        <v>1604</v>
      </c>
      <c r="I94" t="s">
        <v>1165</v>
      </c>
      <c r="K94" t="s">
        <v>1165</v>
      </c>
      <c r="L94" t="s">
        <v>1559</v>
      </c>
      <c r="M94" t="s">
        <v>1673</v>
      </c>
      <c r="N94" t="s">
        <v>1565</v>
      </c>
      <c r="O94" t="s">
        <v>1565</v>
      </c>
      <c r="P94">
        <v>1</v>
      </c>
      <c r="Q94" t="s">
        <v>1559</v>
      </c>
      <c r="R94" t="s">
        <v>1559</v>
      </c>
      <c r="S94" t="s">
        <v>4648</v>
      </c>
      <c r="T94" t="s">
        <v>4650</v>
      </c>
    </row>
    <row r="95" spans="1:20" x14ac:dyDescent="0.3">
      <c r="A95" t="s">
        <v>1166</v>
      </c>
      <c r="B95">
        <v>378</v>
      </c>
      <c r="C95" t="s">
        <v>1161</v>
      </c>
      <c r="D95">
        <f>VLOOKUP(C95,items_full!$A$2:$B$254,2,0)</f>
        <v>2605</v>
      </c>
      <c r="E95" t="s">
        <v>1543</v>
      </c>
      <c r="H95" t="s">
        <v>1604</v>
      </c>
      <c r="I95" t="s">
        <v>1677</v>
      </c>
      <c r="K95" t="s">
        <v>1678</v>
      </c>
      <c r="L95" t="s">
        <v>1559</v>
      </c>
      <c r="M95" t="s">
        <v>1679</v>
      </c>
      <c r="N95" t="s">
        <v>1679</v>
      </c>
      <c r="O95" t="s">
        <v>1679</v>
      </c>
      <c r="P95">
        <v>1</v>
      </c>
      <c r="Q95" t="s">
        <v>1679</v>
      </c>
      <c r="R95" t="s">
        <v>1547</v>
      </c>
      <c r="S95" t="s">
        <v>4648</v>
      </c>
      <c r="T95" t="s">
        <v>4650</v>
      </c>
    </row>
    <row r="96" spans="1:20" x14ac:dyDescent="0.3">
      <c r="A96" t="s">
        <v>1167</v>
      </c>
      <c r="B96">
        <v>388</v>
      </c>
      <c r="C96" t="s">
        <v>1168</v>
      </c>
      <c r="D96">
        <f>VLOOKUP(C96,items_full!$A$2:$B$254,2,0)</f>
        <v>2601</v>
      </c>
      <c r="E96" t="s">
        <v>1543</v>
      </c>
      <c r="H96" t="s">
        <v>1604</v>
      </c>
      <c r="I96" t="s">
        <v>1680</v>
      </c>
      <c r="K96" t="s">
        <v>1167</v>
      </c>
      <c r="L96" t="s">
        <v>1559</v>
      </c>
      <c r="M96" t="s">
        <v>1673</v>
      </c>
      <c r="N96" t="s">
        <v>1565</v>
      </c>
      <c r="O96" t="s">
        <v>1565</v>
      </c>
      <c r="P96">
        <v>1</v>
      </c>
      <c r="Q96" t="s">
        <v>1559</v>
      </c>
      <c r="R96" t="s">
        <v>1559</v>
      </c>
      <c r="S96" t="s">
        <v>4648</v>
      </c>
      <c r="T96" t="s">
        <v>4650</v>
      </c>
    </row>
    <row r="97" spans="1:20" x14ac:dyDescent="0.3">
      <c r="A97" t="s">
        <v>1173</v>
      </c>
      <c r="B97">
        <v>393</v>
      </c>
      <c r="C97" t="s">
        <v>1161</v>
      </c>
      <c r="D97">
        <f>VLOOKUP(C97,items_full!$A$2:$B$254,2,0)</f>
        <v>2605</v>
      </c>
      <c r="E97" t="s">
        <v>1543</v>
      </c>
      <c r="H97" t="s">
        <v>1604</v>
      </c>
      <c r="I97" t="s">
        <v>1681</v>
      </c>
      <c r="K97" t="s">
        <v>1682</v>
      </c>
      <c r="L97" t="s">
        <v>1559</v>
      </c>
      <c r="M97" t="s">
        <v>1673</v>
      </c>
      <c r="N97" t="s">
        <v>1565</v>
      </c>
      <c r="O97" t="s">
        <v>1565</v>
      </c>
      <c r="P97">
        <v>1</v>
      </c>
      <c r="Q97" t="s">
        <v>1559</v>
      </c>
      <c r="R97" t="s">
        <v>1559</v>
      </c>
      <c r="S97" t="s">
        <v>4648</v>
      </c>
      <c r="T97" t="s">
        <v>4650</v>
      </c>
    </row>
    <row r="98" spans="1:20" x14ac:dyDescent="0.3">
      <c r="A98" t="s">
        <v>1174</v>
      </c>
      <c r="B98">
        <v>394</v>
      </c>
      <c r="C98" t="s">
        <v>1161</v>
      </c>
      <c r="D98">
        <f>VLOOKUP(C98,items_full!$A$2:$B$254,2,0)</f>
        <v>2605</v>
      </c>
      <c r="E98" t="s">
        <v>1543</v>
      </c>
      <c r="H98" t="s">
        <v>1604</v>
      </c>
      <c r="I98" t="s">
        <v>1683</v>
      </c>
      <c r="K98" t="s">
        <v>1684</v>
      </c>
      <c r="L98" t="s">
        <v>1559</v>
      </c>
      <c r="M98" t="s">
        <v>1673</v>
      </c>
      <c r="N98" t="s">
        <v>1565</v>
      </c>
      <c r="O98" t="s">
        <v>1565</v>
      </c>
      <c r="P98">
        <v>1</v>
      </c>
      <c r="Q98" t="s">
        <v>1559</v>
      </c>
      <c r="R98" t="s">
        <v>1559</v>
      </c>
      <c r="S98" t="s">
        <v>4648</v>
      </c>
      <c r="T98" t="s">
        <v>4650</v>
      </c>
    </row>
    <row r="99" spans="1:20" x14ac:dyDescent="0.3">
      <c r="A99" t="s">
        <v>1175</v>
      </c>
      <c r="B99">
        <v>397</v>
      </c>
      <c r="C99" t="s">
        <v>1161</v>
      </c>
      <c r="D99">
        <f>VLOOKUP(C99,items_full!$A$2:$B$254,2,0)</f>
        <v>2605</v>
      </c>
      <c r="E99" t="s">
        <v>1543</v>
      </c>
      <c r="H99" t="s">
        <v>1604</v>
      </c>
      <c r="I99" t="s">
        <v>1685</v>
      </c>
      <c r="K99" t="s">
        <v>1686</v>
      </c>
      <c r="L99" t="s">
        <v>1559</v>
      </c>
      <c r="M99" t="s">
        <v>1673</v>
      </c>
      <c r="N99" t="s">
        <v>1565</v>
      </c>
      <c r="O99" t="s">
        <v>1565</v>
      </c>
      <c r="P99">
        <v>1</v>
      </c>
      <c r="Q99" t="s">
        <v>1559</v>
      </c>
      <c r="R99" t="s">
        <v>1559</v>
      </c>
      <c r="S99" t="s">
        <v>4648</v>
      </c>
      <c r="T99" t="s">
        <v>4650</v>
      </c>
    </row>
    <row r="100" spans="1:20" x14ac:dyDescent="0.3">
      <c r="A100" t="s">
        <v>1176</v>
      </c>
      <c r="B100">
        <v>399</v>
      </c>
      <c r="C100" t="s">
        <v>1161</v>
      </c>
      <c r="D100">
        <f>VLOOKUP(C100,items_full!$A$2:$B$254,2,0)</f>
        <v>2605</v>
      </c>
      <c r="E100" t="s">
        <v>1543</v>
      </c>
      <c r="H100" t="s">
        <v>1604</v>
      </c>
      <c r="I100" t="s">
        <v>1687</v>
      </c>
      <c r="K100" t="s">
        <v>1688</v>
      </c>
      <c r="L100" t="s">
        <v>1559</v>
      </c>
      <c r="M100" t="s">
        <v>1673</v>
      </c>
      <c r="N100" t="s">
        <v>1565</v>
      </c>
      <c r="O100" t="s">
        <v>1565</v>
      </c>
      <c r="P100">
        <v>1</v>
      </c>
      <c r="Q100" t="s">
        <v>1559</v>
      </c>
      <c r="R100" t="s">
        <v>1559</v>
      </c>
      <c r="S100" t="s">
        <v>4648</v>
      </c>
      <c r="T100" t="s">
        <v>4650</v>
      </c>
    </row>
    <row r="101" spans="1:20" x14ac:dyDescent="0.3">
      <c r="A101" t="s">
        <v>1689</v>
      </c>
      <c r="B101">
        <v>401</v>
      </c>
      <c r="C101" t="s">
        <v>1161</v>
      </c>
      <c r="D101">
        <f>VLOOKUP(C101,items_full!$A$2:$B$254,2,0)</f>
        <v>2605</v>
      </c>
      <c r="E101" t="s">
        <v>1543</v>
      </c>
      <c r="H101" t="s">
        <v>1604</v>
      </c>
      <c r="I101" t="s">
        <v>1324</v>
      </c>
      <c r="K101" t="s">
        <v>1690</v>
      </c>
      <c r="L101" t="s">
        <v>1559</v>
      </c>
      <c r="M101" t="s">
        <v>1673</v>
      </c>
      <c r="N101" t="s">
        <v>1565</v>
      </c>
      <c r="O101" t="s">
        <v>1565</v>
      </c>
      <c r="P101">
        <v>1</v>
      </c>
      <c r="Q101" t="s">
        <v>1559</v>
      </c>
      <c r="R101" t="s">
        <v>1559</v>
      </c>
      <c r="S101" t="s">
        <v>4648</v>
      </c>
      <c r="T101" t="s">
        <v>4650</v>
      </c>
    </row>
    <row r="102" spans="1:20" x14ac:dyDescent="0.3">
      <c r="A102" t="s">
        <v>1691</v>
      </c>
      <c r="B102">
        <v>402</v>
      </c>
      <c r="C102" t="s">
        <v>1161</v>
      </c>
      <c r="D102">
        <f>VLOOKUP(C102,items_full!$A$2:$B$254,2,0)</f>
        <v>2605</v>
      </c>
      <c r="E102" t="s">
        <v>1543</v>
      </c>
      <c r="H102" t="s">
        <v>1604</v>
      </c>
      <c r="I102" t="s">
        <v>1692</v>
      </c>
      <c r="K102" t="s">
        <v>1180</v>
      </c>
      <c r="L102" t="s">
        <v>1559</v>
      </c>
      <c r="M102" t="s">
        <v>1673</v>
      </c>
      <c r="N102" t="s">
        <v>1565</v>
      </c>
      <c r="O102" t="s">
        <v>1565</v>
      </c>
      <c r="P102">
        <v>1</v>
      </c>
      <c r="Q102" t="s">
        <v>1559</v>
      </c>
      <c r="R102" t="s">
        <v>1559</v>
      </c>
      <c r="S102" t="s">
        <v>4648</v>
      </c>
      <c r="T102" t="s">
        <v>4650</v>
      </c>
    </row>
    <row r="103" spans="1:20" x14ac:dyDescent="0.3">
      <c r="A103" t="s">
        <v>1693</v>
      </c>
      <c r="B103">
        <v>403</v>
      </c>
      <c r="C103" t="s">
        <v>1180</v>
      </c>
      <c r="D103">
        <f>VLOOKUP(C103,items_full!$A$2:$B$254,2,0)</f>
        <v>2602</v>
      </c>
      <c r="E103" t="s">
        <v>1543</v>
      </c>
      <c r="H103" t="s">
        <v>1604</v>
      </c>
      <c r="I103" t="s">
        <v>1692</v>
      </c>
      <c r="K103" t="s">
        <v>1180</v>
      </c>
      <c r="L103" t="s">
        <v>1559</v>
      </c>
      <c r="M103" t="s">
        <v>1673</v>
      </c>
      <c r="N103" t="s">
        <v>1565</v>
      </c>
      <c r="O103" t="s">
        <v>1565</v>
      </c>
      <c r="P103">
        <v>1</v>
      </c>
      <c r="Q103" t="s">
        <v>1559</v>
      </c>
      <c r="R103" t="s">
        <v>1559</v>
      </c>
      <c r="S103" t="s">
        <v>4648</v>
      </c>
      <c r="T103" t="s">
        <v>4650</v>
      </c>
    </row>
    <row r="104" spans="1:20" x14ac:dyDescent="0.3">
      <c r="A104" t="s">
        <v>1694</v>
      </c>
      <c r="B104">
        <v>406</v>
      </c>
      <c r="C104" t="s">
        <v>1161</v>
      </c>
      <c r="D104">
        <f>VLOOKUP(C104,items_full!$A$2:$B$254,2,0)</f>
        <v>2605</v>
      </c>
      <c r="E104" t="s">
        <v>1543</v>
      </c>
      <c r="H104" t="s">
        <v>1604</v>
      </c>
      <c r="I104" t="s">
        <v>1181</v>
      </c>
      <c r="K104" t="s">
        <v>1181</v>
      </c>
      <c r="L104" t="s">
        <v>1559</v>
      </c>
      <c r="M104" t="s">
        <v>1673</v>
      </c>
      <c r="N104" t="s">
        <v>1565</v>
      </c>
      <c r="O104" t="s">
        <v>1565</v>
      </c>
      <c r="P104">
        <v>1</v>
      </c>
      <c r="Q104" t="s">
        <v>1559</v>
      </c>
      <c r="R104" t="s">
        <v>1559</v>
      </c>
      <c r="S104" t="s">
        <v>4648</v>
      </c>
      <c r="T104" t="s">
        <v>4650</v>
      </c>
    </row>
    <row r="105" spans="1:20" x14ac:dyDescent="0.3">
      <c r="A105" t="s">
        <v>1695</v>
      </c>
      <c r="B105">
        <v>407</v>
      </c>
      <c r="C105" t="s">
        <v>1161</v>
      </c>
      <c r="D105">
        <f>VLOOKUP(C105,items_full!$A$2:$B$254,2,0)</f>
        <v>2605</v>
      </c>
      <c r="E105" t="s">
        <v>1543</v>
      </c>
      <c r="H105" t="s">
        <v>1604</v>
      </c>
      <c r="I105" t="s">
        <v>1696</v>
      </c>
      <c r="K105" t="s">
        <v>1697</v>
      </c>
      <c r="L105" t="s">
        <v>1559</v>
      </c>
      <c r="M105" t="s">
        <v>1673</v>
      </c>
      <c r="N105" t="s">
        <v>1565</v>
      </c>
      <c r="O105" t="s">
        <v>1565</v>
      </c>
      <c r="P105">
        <v>1</v>
      </c>
      <c r="Q105" t="s">
        <v>1559</v>
      </c>
      <c r="R105" t="s">
        <v>1559</v>
      </c>
      <c r="S105" t="s">
        <v>4648</v>
      </c>
      <c r="T105" t="s">
        <v>4650</v>
      </c>
    </row>
    <row r="106" spans="1:20" x14ac:dyDescent="0.3">
      <c r="A106" t="s">
        <v>1698</v>
      </c>
      <c r="B106">
        <v>414</v>
      </c>
      <c r="C106" t="s">
        <v>1161</v>
      </c>
      <c r="D106">
        <f>VLOOKUP(C106,items_full!$A$2:$B$254,2,0)</f>
        <v>2605</v>
      </c>
      <c r="E106" t="s">
        <v>1543</v>
      </c>
      <c r="H106" t="s">
        <v>1604</v>
      </c>
      <c r="I106" t="s">
        <v>1183</v>
      </c>
      <c r="K106" t="s">
        <v>1699</v>
      </c>
      <c r="L106" t="s">
        <v>1559</v>
      </c>
      <c r="M106" t="s">
        <v>1673</v>
      </c>
      <c r="N106" t="s">
        <v>1565</v>
      </c>
      <c r="O106" t="s">
        <v>1565</v>
      </c>
      <c r="P106">
        <v>1</v>
      </c>
      <c r="Q106" t="s">
        <v>1673</v>
      </c>
      <c r="R106" t="s">
        <v>1559</v>
      </c>
      <c r="S106" t="s">
        <v>4648</v>
      </c>
      <c r="T106" t="s">
        <v>4650</v>
      </c>
    </row>
    <row r="107" spans="1:20" x14ac:dyDescent="0.3">
      <c r="A107" t="s">
        <v>1184</v>
      </c>
      <c r="B107">
        <v>417</v>
      </c>
      <c r="C107" t="s">
        <v>1161</v>
      </c>
      <c r="D107">
        <f>VLOOKUP(C107,items_full!$A$2:$B$254,2,0)</f>
        <v>2605</v>
      </c>
      <c r="E107" t="s">
        <v>1543</v>
      </c>
      <c r="H107" t="s">
        <v>1604</v>
      </c>
      <c r="I107" t="s">
        <v>1700</v>
      </c>
      <c r="K107" t="s">
        <v>1701</v>
      </c>
      <c r="L107" t="s">
        <v>1559</v>
      </c>
      <c r="M107" t="s">
        <v>1673</v>
      </c>
      <c r="N107" t="s">
        <v>1565</v>
      </c>
      <c r="O107" t="s">
        <v>1565</v>
      </c>
      <c r="P107">
        <v>1</v>
      </c>
      <c r="Q107" t="s">
        <v>1673</v>
      </c>
      <c r="R107" t="s">
        <v>1559</v>
      </c>
      <c r="S107" t="s">
        <v>4648</v>
      </c>
      <c r="T107" t="s">
        <v>4650</v>
      </c>
    </row>
    <row r="108" spans="1:20" x14ac:dyDescent="0.3">
      <c r="A108" t="s">
        <v>1702</v>
      </c>
      <c r="B108">
        <v>420</v>
      </c>
      <c r="C108" t="s">
        <v>1161</v>
      </c>
      <c r="D108">
        <f>VLOOKUP(C108,items_full!$A$2:$B$254,2,0)</f>
        <v>2605</v>
      </c>
      <c r="E108" t="s">
        <v>1543</v>
      </c>
      <c r="H108" t="s">
        <v>1604</v>
      </c>
      <c r="I108" t="s">
        <v>1700</v>
      </c>
      <c r="K108" t="s">
        <v>1701</v>
      </c>
      <c r="L108" t="s">
        <v>1559</v>
      </c>
      <c r="M108" t="s">
        <v>1673</v>
      </c>
      <c r="N108" t="s">
        <v>1565</v>
      </c>
      <c r="O108" t="s">
        <v>1565</v>
      </c>
      <c r="P108">
        <v>1</v>
      </c>
      <c r="Q108" t="s">
        <v>1559</v>
      </c>
      <c r="R108" t="s">
        <v>1559</v>
      </c>
      <c r="S108" t="s">
        <v>4648</v>
      </c>
      <c r="T108" t="s">
        <v>4650</v>
      </c>
    </row>
    <row r="109" spans="1:20" x14ac:dyDescent="0.3">
      <c r="A109" t="s">
        <v>1186</v>
      </c>
      <c r="B109">
        <v>423</v>
      </c>
      <c r="C109" t="s">
        <v>1161</v>
      </c>
      <c r="D109">
        <f>VLOOKUP(C109,items_full!$A$2:$B$254,2,0)</f>
        <v>2605</v>
      </c>
      <c r="E109" t="s">
        <v>1543</v>
      </c>
      <c r="H109" t="s">
        <v>1604</v>
      </c>
      <c r="I109" t="s">
        <v>1040</v>
      </c>
      <c r="K109" t="s">
        <v>1596</v>
      </c>
      <c r="L109" t="s">
        <v>1588</v>
      </c>
      <c r="M109" t="s">
        <v>1588</v>
      </c>
      <c r="N109" t="s">
        <v>1565</v>
      </c>
      <c r="O109" t="s">
        <v>1565</v>
      </c>
      <c r="P109">
        <v>1</v>
      </c>
      <c r="Q109" t="s">
        <v>1588</v>
      </c>
      <c r="R109" t="s">
        <v>1547</v>
      </c>
      <c r="S109" t="s">
        <v>4648</v>
      </c>
      <c r="T109" t="s">
        <v>4650</v>
      </c>
    </row>
    <row r="110" spans="1:20" x14ac:dyDescent="0.3">
      <c r="A110" t="s">
        <v>1187</v>
      </c>
      <c r="B110">
        <v>426</v>
      </c>
      <c r="C110" t="s">
        <v>1161</v>
      </c>
      <c r="D110">
        <f>VLOOKUP(C110,items_full!$A$2:$B$254,2,0)</f>
        <v>2605</v>
      </c>
      <c r="E110" t="s">
        <v>1543</v>
      </c>
      <c r="H110" t="s">
        <v>1604</v>
      </c>
      <c r="I110" t="s">
        <v>1703</v>
      </c>
      <c r="K110" t="s">
        <v>1704</v>
      </c>
      <c r="L110" t="s">
        <v>1559</v>
      </c>
      <c r="M110" t="s">
        <v>1673</v>
      </c>
      <c r="N110" t="s">
        <v>1565</v>
      </c>
      <c r="O110" t="s">
        <v>1565</v>
      </c>
      <c r="P110">
        <v>1</v>
      </c>
      <c r="Q110" t="s">
        <v>1559</v>
      </c>
      <c r="R110" t="s">
        <v>1559</v>
      </c>
      <c r="S110" t="s">
        <v>4648</v>
      </c>
      <c r="T110" t="s">
        <v>4650</v>
      </c>
    </row>
    <row r="111" spans="1:20" x14ac:dyDescent="0.3">
      <c r="A111" t="s">
        <v>1188</v>
      </c>
      <c r="B111">
        <v>430</v>
      </c>
      <c r="C111" t="s">
        <v>1161</v>
      </c>
      <c r="D111">
        <f>VLOOKUP(C111,items_full!$A$2:$B$254,2,0)</f>
        <v>2605</v>
      </c>
      <c r="E111" t="s">
        <v>1543</v>
      </c>
      <c r="H111" t="s">
        <v>1604</v>
      </c>
      <c r="I111" t="s">
        <v>1677</v>
      </c>
      <c r="K111" t="s">
        <v>1678</v>
      </c>
      <c r="L111" t="s">
        <v>1559</v>
      </c>
      <c r="M111" t="s">
        <v>1673</v>
      </c>
      <c r="N111" t="s">
        <v>1565</v>
      </c>
      <c r="O111" t="s">
        <v>1565</v>
      </c>
      <c r="P111">
        <v>1</v>
      </c>
      <c r="Q111" t="s">
        <v>1559</v>
      </c>
      <c r="R111" t="s">
        <v>1559</v>
      </c>
      <c r="S111" t="s">
        <v>4648</v>
      </c>
      <c r="T111" t="s">
        <v>4650</v>
      </c>
    </row>
    <row r="112" spans="1:20" x14ac:dyDescent="0.3">
      <c r="A112" t="s">
        <v>1705</v>
      </c>
      <c r="B112">
        <v>446</v>
      </c>
      <c r="C112" t="s">
        <v>1161</v>
      </c>
      <c r="D112">
        <f>VLOOKUP(C112,items_full!$A$2:$B$254,2,0)</f>
        <v>2605</v>
      </c>
      <c r="E112" t="s">
        <v>1543</v>
      </c>
      <c r="H112" t="s">
        <v>1604</v>
      </c>
      <c r="I112" t="s">
        <v>1677</v>
      </c>
      <c r="K112" t="s">
        <v>1678</v>
      </c>
      <c r="L112" t="s">
        <v>1559</v>
      </c>
      <c r="M112" t="s">
        <v>1673</v>
      </c>
      <c r="N112" t="s">
        <v>1565</v>
      </c>
      <c r="O112" t="s">
        <v>1565</v>
      </c>
      <c r="P112">
        <v>1</v>
      </c>
      <c r="Q112" t="s">
        <v>1559</v>
      </c>
      <c r="R112" t="s">
        <v>1567</v>
      </c>
      <c r="S112" t="s">
        <v>4648</v>
      </c>
      <c r="T112" t="s">
        <v>4650</v>
      </c>
    </row>
    <row r="113" spans="1:20" x14ac:dyDescent="0.3">
      <c r="A113" t="s">
        <v>1193</v>
      </c>
      <c r="B113">
        <v>449</v>
      </c>
      <c r="C113" t="s">
        <v>1161</v>
      </c>
      <c r="D113">
        <f>VLOOKUP(C113,items_full!$A$2:$B$254,2,0)</f>
        <v>2605</v>
      </c>
      <c r="E113" t="s">
        <v>1543</v>
      </c>
      <c r="H113" t="s">
        <v>1604</v>
      </c>
      <c r="I113" t="s">
        <v>1706</v>
      </c>
      <c r="K113" t="s">
        <v>1706</v>
      </c>
      <c r="L113" t="s">
        <v>1559</v>
      </c>
      <c r="M113" t="s">
        <v>1673</v>
      </c>
      <c r="N113" t="s">
        <v>1565</v>
      </c>
      <c r="O113" t="s">
        <v>1565</v>
      </c>
      <c r="P113">
        <v>1</v>
      </c>
      <c r="Q113" t="s">
        <v>1559</v>
      </c>
      <c r="R113" t="s">
        <v>1559</v>
      </c>
      <c r="S113" t="s">
        <v>4648</v>
      </c>
      <c r="T113" t="s">
        <v>4650</v>
      </c>
    </row>
    <row r="114" spans="1:20" x14ac:dyDescent="0.3">
      <c r="A114" t="s">
        <v>1196</v>
      </c>
      <c r="B114">
        <v>459</v>
      </c>
      <c r="C114" t="s">
        <v>1161</v>
      </c>
      <c r="D114">
        <f>VLOOKUP(C114,items_full!$A$2:$B$254,2,0)</f>
        <v>2605</v>
      </c>
      <c r="E114" t="s">
        <v>1543</v>
      </c>
      <c r="H114" t="s">
        <v>1604</v>
      </c>
      <c r="I114" t="s">
        <v>1196</v>
      </c>
      <c r="K114" t="s">
        <v>1678</v>
      </c>
      <c r="L114" t="s">
        <v>1563</v>
      </c>
      <c r="M114" t="s">
        <v>1563</v>
      </c>
      <c r="N114" t="s">
        <v>1565</v>
      </c>
      <c r="O114" t="s">
        <v>1565</v>
      </c>
      <c r="P114">
        <v>1</v>
      </c>
      <c r="Q114" t="s">
        <v>1566</v>
      </c>
      <c r="R114" t="s">
        <v>1567</v>
      </c>
      <c r="S114" t="s">
        <v>4648</v>
      </c>
      <c r="T114" t="s">
        <v>4650</v>
      </c>
    </row>
    <row r="115" spans="1:20" x14ac:dyDescent="0.3">
      <c r="A115" t="s">
        <v>1707</v>
      </c>
      <c r="B115">
        <v>461</v>
      </c>
      <c r="C115" t="s">
        <v>1161</v>
      </c>
      <c r="D115">
        <f>VLOOKUP(C115,items_full!$A$2:$B$254,2,0)</f>
        <v>2605</v>
      </c>
      <c r="E115" t="s">
        <v>1543</v>
      </c>
      <c r="H115" t="s">
        <v>1604</v>
      </c>
      <c r="I115" t="s">
        <v>1708</v>
      </c>
      <c r="K115" t="s">
        <v>1198</v>
      </c>
      <c r="L115" t="s">
        <v>1709</v>
      </c>
      <c r="M115" t="s">
        <v>1710</v>
      </c>
      <c r="N115" t="s">
        <v>1565</v>
      </c>
      <c r="O115" t="s">
        <v>1565</v>
      </c>
      <c r="P115">
        <v>1</v>
      </c>
      <c r="Q115" t="s">
        <v>1607</v>
      </c>
      <c r="R115" t="s">
        <v>1607</v>
      </c>
      <c r="S115" t="s">
        <v>4648</v>
      </c>
      <c r="T115" t="s">
        <v>4651</v>
      </c>
    </row>
    <row r="116" spans="1:20" x14ac:dyDescent="0.3">
      <c r="A116" t="s">
        <v>1711</v>
      </c>
      <c r="B116">
        <v>463</v>
      </c>
      <c r="C116" t="s">
        <v>1161</v>
      </c>
      <c r="D116">
        <f>VLOOKUP(C116,items_full!$A$2:$B$254,2,0)</f>
        <v>2605</v>
      </c>
      <c r="E116" t="s">
        <v>1543</v>
      </c>
      <c r="H116" t="s">
        <v>1604</v>
      </c>
      <c r="I116" t="s">
        <v>1677</v>
      </c>
      <c r="K116" t="s">
        <v>1678</v>
      </c>
      <c r="L116" t="s">
        <v>1559</v>
      </c>
      <c r="M116" t="s">
        <v>1673</v>
      </c>
      <c r="N116" t="s">
        <v>1565</v>
      </c>
      <c r="O116" t="s">
        <v>1565</v>
      </c>
      <c r="P116">
        <v>1</v>
      </c>
      <c r="Q116" t="s">
        <v>1559</v>
      </c>
      <c r="R116" t="s">
        <v>1559</v>
      </c>
      <c r="S116" t="s">
        <v>4648</v>
      </c>
      <c r="T116" t="s">
        <v>4650</v>
      </c>
    </row>
    <row r="117" spans="1:20" x14ac:dyDescent="0.3">
      <c r="A117" t="s">
        <v>1210</v>
      </c>
      <c r="B117">
        <v>486</v>
      </c>
      <c r="C117" t="s">
        <v>1210</v>
      </c>
      <c r="D117">
        <f>VLOOKUP(C117,items_full!$A$2:$B$254,2,0)</f>
        <v>2615</v>
      </c>
      <c r="E117" t="s">
        <v>1543</v>
      </c>
      <c r="H117" t="s">
        <v>1604</v>
      </c>
      <c r="I117" t="s">
        <v>1712</v>
      </c>
      <c r="K117" t="s">
        <v>1210</v>
      </c>
      <c r="L117" t="s">
        <v>1713</v>
      </c>
      <c r="M117" t="s">
        <v>1710</v>
      </c>
      <c r="N117" t="s">
        <v>1565</v>
      </c>
      <c r="O117" t="s">
        <v>1565</v>
      </c>
      <c r="P117">
        <v>1</v>
      </c>
      <c r="Q117" t="s">
        <v>1607</v>
      </c>
      <c r="R117" t="s">
        <v>1607</v>
      </c>
      <c r="S117" t="s">
        <v>4648</v>
      </c>
      <c r="T117" t="s">
        <v>4654</v>
      </c>
    </row>
    <row r="118" spans="1:20" x14ac:dyDescent="0.3">
      <c r="A118" t="s">
        <v>1714</v>
      </c>
      <c r="B118">
        <v>489</v>
      </c>
      <c r="C118" t="s">
        <v>1212</v>
      </c>
      <c r="D118">
        <f>VLOOKUP(C118,items_full!$A$2:$B$254,2,0)</f>
        <v>2616</v>
      </c>
      <c r="E118" t="s">
        <v>1543</v>
      </c>
      <c r="H118" t="s">
        <v>1604</v>
      </c>
      <c r="I118" t="s">
        <v>1712</v>
      </c>
      <c r="K118" t="s">
        <v>1210</v>
      </c>
      <c r="L118" t="s">
        <v>1709</v>
      </c>
      <c r="M118" t="s">
        <v>1710</v>
      </c>
      <c r="N118" t="s">
        <v>1565</v>
      </c>
      <c r="O118" t="s">
        <v>1565</v>
      </c>
      <c r="P118">
        <v>1</v>
      </c>
      <c r="Q118" t="s">
        <v>1607</v>
      </c>
      <c r="R118" t="s">
        <v>1607</v>
      </c>
      <c r="S118" t="s">
        <v>4648</v>
      </c>
      <c r="T118" t="s">
        <v>4654</v>
      </c>
    </row>
    <row r="119" spans="1:20" x14ac:dyDescent="0.3">
      <c r="A119" t="s">
        <v>1213</v>
      </c>
      <c r="B119">
        <v>490</v>
      </c>
      <c r="C119" t="s">
        <v>1214</v>
      </c>
      <c r="D119">
        <f>VLOOKUP(C119,items_full!$A$2:$B$254,2,0)</f>
        <v>2611</v>
      </c>
      <c r="E119" t="s">
        <v>1543</v>
      </c>
      <c r="H119" t="s">
        <v>1604</v>
      </c>
      <c r="I119" t="s">
        <v>1715</v>
      </c>
      <c r="K119" t="s">
        <v>1213</v>
      </c>
      <c r="L119" t="s">
        <v>1713</v>
      </c>
      <c r="M119" t="s">
        <v>1710</v>
      </c>
      <c r="N119" t="s">
        <v>1565</v>
      </c>
      <c r="O119" t="s">
        <v>1565</v>
      </c>
      <c r="P119">
        <v>1</v>
      </c>
      <c r="Q119" t="s">
        <v>1607</v>
      </c>
      <c r="R119" t="s">
        <v>1607</v>
      </c>
      <c r="S119" t="s">
        <v>4648</v>
      </c>
      <c r="T119" t="s">
        <v>4654</v>
      </c>
    </row>
    <row r="120" spans="1:20" x14ac:dyDescent="0.3">
      <c r="A120" t="s">
        <v>1716</v>
      </c>
      <c r="B120">
        <v>495</v>
      </c>
      <c r="C120" t="s">
        <v>1214</v>
      </c>
      <c r="D120">
        <f>VLOOKUP(C120,items_full!$A$2:$B$254,2,0)</f>
        <v>2611</v>
      </c>
      <c r="E120" t="s">
        <v>1543</v>
      </c>
      <c r="H120" t="s">
        <v>1604</v>
      </c>
      <c r="I120" t="s">
        <v>1717</v>
      </c>
      <c r="K120" t="s">
        <v>1718</v>
      </c>
      <c r="L120" t="s">
        <v>1713</v>
      </c>
      <c r="M120" t="s">
        <v>1710</v>
      </c>
      <c r="N120" t="s">
        <v>1565</v>
      </c>
      <c r="O120" t="s">
        <v>1565</v>
      </c>
      <c r="P120">
        <v>1</v>
      </c>
      <c r="Q120" t="s">
        <v>1607</v>
      </c>
      <c r="R120" t="s">
        <v>1607</v>
      </c>
      <c r="S120" t="s">
        <v>4648</v>
      </c>
      <c r="T120" t="s">
        <v>4654</v>
      </c>
    </row>
    <row r="121" spans="1:20" x14ac:dyDescent="0.3">
      <c r="A121" t="s">
        <v>1219</v>
      </c>
      <c r="B121">
        <v>497</v>
      </c>
      <c r="C121" t="s">
        <v>1220</v>
      </c>
      <c r="D121">
        <f>VLOOKUP(C121,items_full!$A$2:$B$254,2,0)</f>
        <v>2612</v>
      </c>
      <c r="E121" t="s">
        <v>1543</v>
      </c>
      <c r="H121" t="s">
        <v>1604</v>
      </c>
      <c r="I121" t="s">
        <v>1719</v>
      </c>
      <c r="K121" t="s">
        <v>1720</v>
      </c>
      <c r="L121" t="s">
        <v>1713</v>
      </c>
      <c r="M121" t="s">
        <v>1710</v>
      </c>
      <c r="N121" t="s">
        <v>1565</v>
      </c>
      <c r="O121" t="s">
        <v>1565</v>
      </c>
      <c r="P121">
        <v>1</v>
      </c>
      <c r="Q121" t="s">
        <v>1607</v>
      </c>
      <c r="R121" t="s">
        <v>1607</v>
      </c>
      <c r="S121" t="s">
        <v>4648</v>
      </c>
      <c r="T121" t="s">
        <v>4654</v>
      </c>
    </row>
    <row r="122" spans="1:20" x14ac:dyDescent="0.3">
      <c r="A122" t="s">
        <v>1721</v>
      </c>
      <c r="B122">
        <v>507</v>
      </c>
      <c r="C122" t="s">
        <v>1224</v>
      </c>
      <c r="D122">
        <f>VLOOKUP(C122,items_full!$A$2:$B$254,2,0)</f>
        <v>2613</v>
      </c>
      <c r="E122" t="s">
        <v>1543</v>
      </c>
      <c r="H122" t="s">
        <v>1604</v>
      </c>
      <c r="I122" s="12" t="s">
        <v>1722</v>
      </c>
      <c r="K122" t="s">
        <v>1723</v>
      </c>
      <c r="L122" t="s">
        <v>1713</v>
      </c>
      <c r="M122" t="s">
        <v>1710</v>
      </c>
      <c r="N122" t="s">
        <v>1565</v>
      </c>
      <c r="O122" t="s">
        <v>1565</v>
      </c>
      <c r="P122">
        <v>1</v>
      </c>
      <c r="Q122" t="s">
        <v>1607</v>
      </c>
      <c r="R122" t="s">
        <v>1607</v>
      </c>
      <c r="S122" t="s">
        <v>4648</v>
      </c>
      <c r="T122" t="s">
        <v>4654</v>
      </c>
    </row>
    <row r="123" spans="1:20" x14ac:dyDescent="0.3">
      <c r="A123" t="s">
        <v>1724</v>
      </c>
      <c r="B123">
        <v>512</v>
      </c>
      <c r="C123" t="s">
        <v>1228</v>
      </c>
      <c r="D123">
        <f>VLOOKUP(C123,items_full!$A$2:$B$254,2,0)</f>
        <v>2614</v>
      </c>
      <c r="E123" t="s">
        <v>1543</v>
      </c>
      <c r="H123" t="s">
        <v>1604</v>
      </c>
      <c r="I123" t="s">
        <v>1725</v>
      </c>
      <c r="K123" t="s">
        <v>1723</v>
      </c>
      <c r="L123" t="s">
        <v>1713</v>
      </c>
      <c r="M123" t="s">
        <v>1710</v>
      </c>
      <c r="N123" t="s">
        <v>1565</v>
      </c>
      <c r="O123" t="s">
        <v>1565</v>
      </c>
      <c r="P123">
        <v>1</v>
      </c>
      <c r="Q123" t="s">
        <v>1607</v>
      </c>
      <c r="R123" t="s">
        <v>1607</v>
      </c>
      <c r="S123" t="s">
        <v>4648</v>
      </c>
      <c r="T123" t="s">
        <v>4654</v>
      </c>
    </row>
    <row r="124" spans="1:20" x14ac:dyDescent="0.3">
      <c r="A124" t="s">
        <v>1231</v>
      </c>
      <c r="B124">
        <v>515</v>
      </c>
      <c r="C124" t="s">
        <v>1232</v>
      </c>
      <c r="D124">
        <f>VLOOKUP(C124,items_full!$A$2:$B$254,2,0)</f>
        <v>2617</v>
      </c>
      <c r="E124" t="s">
        <v>1543</v>
      </c>
      <c r="H124" t="s">
        <v>1604</v>
      </c>
      <c r="I124" t="s">
        <v>1726</v>
      </c>
      <c r="K124" t="s">
        <v>1231</v>
      </c>
      <c r="L124" t="s">
        <v>1713</v>
      </c>
      <c r="M124" t="s">
        <v>1710</v>
      </c>
      <c r="N124" t="s">
        <v>1565</v>
      </c>
      <c r="O124" t="s">
        <v>1565</v>
      </c>
      <c r="P124">
        <v>1</v>
      </c>
      <c r="Q124" t="s">
        <v>1607</v>
      </c>
      <c r="R124" t="s">
        <v>1607</v>
      </c>
      <c r="S124" t="s">
        <v>4648</v>
      </c>
      <c r="T124" t="s">
        <v>4654</v>
      </c>
    </row>
    <row r="125" spans="1:20" x14ac:dyDescent="0.3">
      <c r="A125" t="s">
        <v>1236</v>
      </c>
      <c r="B125">
        <v>521</v>
      </c>
      <c r="C125" t="s">
        <v>1237</v>
      </c>
      <c r="D125">
        <f>VLOOKUP(C125,items_full!$A$2:$B$254,2,0)</f>
        <v>2625</v>
      </c>
      <c r="E125" t="s">
        <v>1543</v>
      </c>
      <c r="H125" t="s">
        <v>1604</v>
      </c>
      <c r="I125" t="s">
        <v>1727</v>
      </c>
      <c r="K125" t="s">
        <v>1236</v>
      </c>
      <c r="L125" t="s">
        <v>1713</v>
      </c>
      <c r="M125" t="s">
        <v>1710</v>
      </c>
      <c r="N125" t="s">
        <v>1565</v>
      </c>
      <c r="O125" t="s">
        <v>1565</v>
      </c>
      <c r="P125">
        <v>1</v>
      </c>
      <c r="Q125" t="s">
        <v>1607</v>
      </c>
      <c r="R125" t="s">
        <v>1607</v>
      </c>
      <c r="S125" t="s">
        <v>4648</v>
      </c>
      <c r="T125" t="s">
        <v>4654</v>
      </c>
    </row>
    <row r="126" spans="1:20" x14ac:dyDescent="0.3">
      <c r="A126" t="s">
        <v>1238</v>
      </c>
      <c r="B126">
        <v>523</v>
      </c>
      <c r="C126" t="s">
        <v>1237</v>
      </c>
      <c r="D126">
        <f>VLOOKUP(C126,items_full!$A$2:$B$254,2,0)</f>
        <v>2625</v>
      </c>
      <c r="E126" t="s">
        <v>1543</v>
      </c>
      <c r="H126" t="s">
        <v>1604</v>
      </c>
      <c r="I126" t="s">
        <v>1728</v>
      </c>
      <c r="K126" t="s">
        <v>1238</v>
      </c>
      <c r="L126" t="s">
        <v>1713</v>
      </c>
      <c r="M126" t="s">
        <v>1710</v>
      </c>
      <c r="N126" t="s">
        <v>1565</v>
      </c>
      <c r="O126" t="s">
        <v>1565</v>
      </c>
      <c r="P126">
        <v>1</v>
      </c>
      <c r="Q126" t="s">
        <v>1607</v>
      </c>
      <c r="R126" t="s">
        <v>1607</v>
      </c>
      <c r="S126" t="s">
        <v>4648</v>
      </c>
      <c r="T126" t="s">
        <v>4654</v>
      </c>
    </row>
    <row r="127" spans="1:20" x14ac:dyDescent="0.3">
      <c r="A127" t="s">
        <v>1239</v>
      </c>
      <c r="B127">
        <v>526</v>
      </c>
      <c r="C127" t="s">
        <v>1237</v>
      </c>
      <c r="D127">
        <f>VLOOKUP(C127,items_full!$A$2:$B$254,2,0)</f>
        <v>2625</v>
      </c>
      <c r="E127" t="s">
        <v>1543</v>
      </c>
      <c r="H127" t="s">
        <v>1604</v>
      </c>
      <c r="I127" t="s">
        <v>1729</v>
      </c>
      <c r="K127" t="s">
        <v>1239</v>
      </c>
      <c r="L127" t="s">
        <v>1713</v>
      </c>
      <c r="M127" t="s">
        <v>1710</v>
      </c>
      <c r="N127" t="s">
        <v>1565</v>
      </c>
      <c r="O127" t="s">
        <v>1565</v>
      </c>
      <c r="P127">
        <v>1</v>
      </c>
      <c r="Q127" t="s">
        <v>1607</v>
      </c>
      <c r="R127" t="s">
        <v>1607</v>
      </c>
      <c r="S127" t="s">
        <v>4648</v>
      </c>
      <c r="T127" t="s">
        <v>4654</v>
      </c>
    </row>
    <row r="128" spans="1:20" x14ac:dyDescent="0.3">
      <c r="A128" t="s">
        <v>1730</v>
      </c>
      <c r="B128">
        <v>530</v>
      </c>
      <c r="C128" t="s">
        <v>1237</v>
      </c>
      <c r="D128">
        <f>VLOOKUP(C128,items_full!$A$2:$B$254,2,0)</f>
        <v>2625</v>
      </c>
      <c r="E128" t="s">
        <v>1543</v>
      </c>
      <c r="H128" t="s">
        <v>1604</v>
      </c>
      <c r="I128" t="s">
        <v>1256</v>
      </c>
      <c r="K128" t="s">
        <v>1709</v>
      </c>
      <c r="L128" t="s">
        <v>1709</v>
      </c>
      <c r="M128" t="s">
        <v>1710</v>
      </c>
      <c r="N128" t="s">
        <v>1565</v>
      </c>
      <c r="O128" t="s">
        <v>1565</v>
      </c>
      <c r="P128">
        <v>1</v>
      </c>
      <c r="Q128" t="s">
        <v>1607</v>
      </c>
      <c r="R128" t="s">
        <v>1607</v>
      </c>
      <c r="S128" t="s">
        <v>4648</v>
      </c>
      <c r="T128" t="s">
        <v>4654</v>
      </c>
    </row>
    <row r="129" spans="1:20" x14ac:dyDescent="0.3">
      <c r="A129" t="s">
        <v>1242</v>
      </c>
      <c r="B129">
        <v>531</v>
      </c>
      <c r="C129" t="s">
        <v>1237</v>
      </c>
      <c r="D129">
        <f>VLOOKUP(C129,items_full!$A$2:$B$254,2,0)</f>
        <v>2625</v>
      </c>
      <c r="E129" t="s">
        <v>1543</v>
      </c>
      <c r="H129" t="s">
        <v>1604</v>
      </c>
      <c r="I129" t="s">
        <v>1242</v>
      </c>
      <c r="K129" t="s">
        <v>1731</v>
      </c>
      <c r="L129" t="s">
        <v>1709</v>
      </c>
      <c r="M129" t="s">
        <v>1710</v>
      </c>
      <c r="N129" t="s">
        <v>1565</v>
      </c>
      <c r="O129" t="s">
        <v>1565</v>
      </c>
      <c r="P129">
        <v>1</v>
      </c>
      <c r="Q129" t="s">
        <v>1607</v>
      </c>
      <c r="R129" t="s">
        <v>1607</v>
      </c>
      <c r="S129" t="s">
        <v>4648</v>
      </c>
      <c r="T129" t="s">
        <v>4654</v>
      </c>
    </row>
    <row r="130" spans="1:20" x14ac:dyDescent="0.3">
      <c r="A130" t="s">
        <v>1243</v>
      </c>
      <c r="B130">
        <v>534</v>
      </c>
      <c r="C130" t="s">
        <v>1237</v>
      </c>
      <c r="D130">
        <f>VLOOKUP(C130,items_full!$A$2:$B$254,2,0)</f>
        <v>2625</v>
      </c>
      <c r="E130" t="s">
        <v>1543</v>
      </c>
      <c r="H130" t="s">
        <v>1604</v>
      </c>
      <c r="I130" t="s">
        <v>1732</v>
      </c>
      <c r="K130" t="s">
        <v>1733</v>
      </c>
      <c r="L130" t="s">
        <v>1713</v>
      </c>
      <c r="M130" t="s">
        <v>1710</v>
      </c>
      <c r="N130" t="s">
        <v>1565</v>
      </c>
      <c r="O130" t="s">
        <v>1565</v>
      </c>
      <c r="P130">
        <v>1</v>
      </c>
      <c r="Q130" t="s">
        <v>1607</v>
      </c>
      <c r="R130" t="s">
        <v>1607</v>
      </c>
      <c r="S130" t="s">
        <v>4648</v>
      </c>
      <c r="T130" t="s">
        <v>4654</v>
      </c>
    </row>
    <row r="131" spans="1:20" x14ac:dyDescent="0.3">
      <c r="A131" t="s">
        <v>1244</v>
      </c>
      <c r="B131">
        <v>536</v>
      </c>
      <c r="C131" t="s">
        <v>1237</v>
      </c>
      <c r="D131">
        <f>VLOOKUP(C131,items_full!$A$2:$B$254,2,0)</f>
        <v>2625</v>
      </c>
      <c r="E131" t="s">
        <v>1543</v>
      </c>
      <c r="H131" t="s">
        <v>1604</v>
      </c>
      <c r="I131" t="s">
        <v>1734</v>
      </c>
      <c r="K131" t="s">
        <v>1735</v>
      </c>
      <c r="L131" t="s">
        <v>1713</v>
      </c>
      <c r="M131" t="s">
        <v>1710</v>
      </c>
      <c r="N131" t="s">
        <v>1565</v>
      </c>
      <c r="O131" t="s">
        <v>1565</v>
      </c>
      <c r="P131">
        <v>1</v>
      </c>
      <c r="Q131" t="s">
        <v>1607</v>
      </c>
      <c r="R131" t="s">
        <v>1607</v>
      </c>
      <c r="S131" t="s">
        <v>4648</v>
      </c>
      <c r="T131" t="s">
        <v>4654</v>
      </c>
    </row>
    <row r="132" spans="1:20" x14ac:dyDescent="0.3">
      <c r="A132" t="s">
        <v>1736</v>
      </c>
      <c r="B132">
        <v>541</v>
      </c>
      <c r="C132" t="s">
        <v>1237</v>
      </c>
      <c r="D132">
        <f>VLOOKUP(C132,items_full!$A$2:$B$254,2,0)</f>
        <v>2625</v>
      </c>
      <c r="E132" t="s">
        <v>1543</v>
      </c>
      <c r="H132" t="s">
        <v>1604</v>
      </c>
      <c r="I132" t="s">
        <v>1607</v>
      </c>
      <c r="K132" t="s">
        <v>1663</v>
      </c>
      <c r="L132" t="s">
        <v>1713</v>
      </c>
      <c r="M132" t="s">
        <v>1710</v>
      </c>
      <c r="N132" t="s">
        <v>1565</v>
      </c>
      <c r="O132" t="s">
        <v>1565</v>
      </c>
      <c r="P132">
        <v>1</v>
      </c>
      <c r="Q132" t="s">
        <v>1607</v>
      </c>
      <c r="R132" t="s">
        <v>1607</v>
      </c>
      <c r="S132" t="s">
        <v>4648</v>
      </c>
      <c r="T132" t="s">
        <v>4654</v>
      </c>
    </row>
    <row r="133" spans="1:20" x14ac:dyDescent="0.3">
      <c r="A133" t="s">
        <v>1737</v>
      </c>
      <c r="B133">
        <v>542</v>
      </c>
      <c r="C133" t="s">
        <v>1237</v>
      </c>
      <c r="D133">
        <f>VLOOKUP(C133,items_full!$A$2:$B$254,2,0)</f>
        <v>2625</v>
      </c>
      <c r="E133" t="s">
        <v>1543</v>
      </c>
      <c r="H133" t="s">
        <v>1604</v>
      </c>
      <c r="I133" t="s">
        <v>1607</v>
      </c>
      <c r="K133" t="s">
        <v>1663</v>
      </c>
      <c r="L133" t="s">
        <v>1713</v>
      </c>
      <c r="M133" t="s">
        <v>1710</v>
      </c>
      <c r="N133" t="s">
        <v>1565</v>
      </c>
      <c r="O133" t="s">
        <v>1565</v>
      </c>
      <c r="P133">
        <v>1</v>
      </c>
      <c r="Q133" t="s">
        <v>1607</v>
      </c>
      <c r="R133" t="s">
        <v>1607</v>
      </c>
      <c r="S133" t="s">
        <v>4648</v>
      </c>
      <c r="T133" t="s">
        <v>4654</v>
      </c>
    </row>
    <row r="134" spans="1:20" x14ac:dyDescent="0.3">
      <c r="A134" t="s">
        <v>1250</v>
      </c>
      <c r="B134">
        <v>544</v>
      </c>
      <c r="C134" t="s">
        <v>1237</v>
      </c>
      <c r="D134">
        <f>VLOOKUP(C134,items_full!$A$2:$B$254,2,0)</f>
        <v>2625</v>
      </c>
      <c r="E134" t="s">
        <v>1543</v>
      </c>
      <c r="H134" t="s">
        <v>1604</v>
      </c>
      <c r="I134" t="s">
        <v>1738</v>
      </c>
      <c r="K134" t="s">
        <v>1738</v>
      </c>
      <c r="L134" t="s">
        <v>1709</v>
      </c>
      <c r="M134" t="s">
        <v>1710</v>
      </c>
      <c r="N134" t="s">
        <v>1565</v>
      </c>
      <c r="O134" t="s">
        <v>1565</v>
      </c>
      <c r="P134">
        <v>1</v>
      </c>
      <c r="Q134" t="s">
        <v>1607</v>
      </c>
      <c r="R134" t="s">
        <v>1607</v>
      </c>
      <c r="S134" t="s">
        <v>4648</v>
      </c>
      <c r="T134" t="s">
        <v>4654</v>
      </c>
    </row>
    <row r="135" spans="1:20" x14ac:dyDescent="0.3">
      <c r="A135" t="s">
        <v>1251</v>
      </c>
      <c r="B135">
        <v>547</v>
      </c>
      <c r="C135" t="s">
        <v>1237</v>
      </c>
      <c r="D135">
        <f>VLOOKUP(C135,items_full!$A$2:$B$254,2,0)</f>
        <v>2625</v>
      </c>
      <c r="E135" t="s">
        <v>1543</v>
      </c>
      <c r="H135" t="s">
        <v>1604</v>
      </c>
      <c r="I135" t="s">
        <v>1251</v>
      </c>
      <c r="K135" t="s">
        <v>1709</v>
      </c>
      <c r="L135" t="s">
        <v>1709</v>
      </c>
      <c r="M135" t="s">
        <v>1710</v>
      </c>
      <c r="N135" t="s">
        <v>1565</v>
      </c>
      <c r="O135" t="s">
        <v>1565</v>
      </c>
      <c r="P135">
        <v>1</v>
      </c>
      <c r="Q135" t="s">
        <v>1607</v>
      </c>
      <c r="R135" t="s">
        <v>1607</v>
      </c>
      <c r="S135" t="s">
        <v>4648</v>
      </c>
      <c r="T135" t="s">
        <v>4654</v>
      </c>
    </row>
    <row r="136" spans="1:20" x14ac:dyDescent="0.3">
      <c r="A136" t="s">
        <v>1252</v>
      </c>
      <c r="B136">
        <v>549</v>
      </c>
      <c r="C136" t="s">
        <v>1237</v>
      </c>
      <c r="D136">
        <f>VLOOKUP(C136,items_full!$A$2:$B$254,2,0)</f>
        <v>2625</v>
      </c>
      <c r="E136" t="s">
        <v>1543</v>
      </c>
      <c r="H136" t="s">
        <v>1604</v>
      </c>
      <c r="I136" t="s">
        <v>1256</v>
      </c>
      <c r="K136" t="s">
        <v>1709</v>
      </c>
      <c r="L136" t="s">
        <v>1709</v>
      </c>
      <c r="M136" t="s">
        <v>1710</v>
      </c>
      <c r="N136" t="s">
        <v>1565</v>
      </c>
      <c r="O136" t="s">
        <v>1565</v>
      </c>
      <c r="P136">
        <v>1</v>
      </c>
      <c r="Q136" t="s">
        <v>1607</v>
      </c>
      <c r="R136" t="s">
        <v>1607</v>
      </c>
      <c r="S136" t="s">
        <v>4648</v>
      </c>
      <c r="T136" t="s">
        <v>4654</v>
      </c>
    </row>
    <row r="137" spans="1:20" x14ac:dyDescent="0.3">
      <c r="A137" t="s">
        <v>1253</v>
      </c>
      <c r="B137">
        <v>550</v>
      </c>
      <c r="C137" t="s">
        <v>1237</v>
      </c>
      <c r="D137">
        <f>VLOOKUP(C137,items_full!$A$2:$B$254,2,0)</f>
        <v>2625</v>
      </c>
      <c r="E137" t="s">
        <v>1543</v>
      </c>
      <c r="H137" t="s">
        <v>1604</v>
      </c>
      <c r="I137" t="s">
        <v>1256</v>
      </c>
      <c r="K137" t="s">
        <v>1709</v>
      </c>
      <c r="L137" t="s">
        <v>1709</v>
      </c>
      <c r="M137" t="s">
        <v>1710</v>
      </c>
      <c r="N137" t="s">
        <v>1565</v>
      </c>
      <c r="O137" t="s">
        <v>1565</v>
      </c>
      <c r="P137">
        <v>1</v>
      </c>
      <c r="Q137" t="s">
        <v>1607</v>
      </c>
      <c r="R137" t="s">
        <v>1607</v>
      </c>
      <c r="S137" t="s">
        <v>4648</v>
      </c>
      <c r="T137" t="s">
        <v>4654</v>
      </c>
    </row>
    <row r="138" spans="1:20" x14ac:dyDescent="0.3">
      <c r="A138" t="s">
        <v>1254</v>
      </c>
      <c r="B138">
        <v>552</v>
      </c>
      <c r="C138" t="s">
        <v>1237</v>
      </c>
      <c r="D138">
        <f>VLOOKUP(C138,items_full!$A$2:$B$254,2,0)</f>
        <v>2625</v>
      </c>
      <c r="E138" t="s">
        <v>1543</v>
      </c>
      <c r="H138" t="s">
        <v>1604</v>
      </c>
      <c r="I138" t="s">
        <v>1254</v>
      </c>
      <c r="K138" t="s">
        <v>1709</v>
      </c>
      <c r="L138" t="s">
        <v>1709</v>
      </c>
      <c r="M138" t="s">
        <v>1710</v>
      </c>
      <c r="N138" t="s">
        <v>1565</v>
      </c>
      <c r="O138" t="s">
        <v>1565</v>
      </c>
      <c r="P138">
        <v>1</v>
      </c>
      <c r="Q138" t="s">
        <v>1607</v>
      </c>
      <c r="R138" t="s">
        <v>1607</v>
      </c>
      <c r="S138" t="s">
        <v>4648</v>
      </c>
      <c r="T138" t="s">
        <v>4654</v>
      </c>
    </row>
    <row r="139" spans="1:20" x14ac:dyDescent="0.3">
      <c r="A139" t="s">
        <v>1255</v>
      </c>
      <c r="B139">
        <v>554</v>
      </c>
      <c r="C139" t="s">
        <v>1237</v>
      </c>
      <c r="D139">
        <f>VLOOKUP(C139,items_full!$A$2:$B$254,2,0)</f>
        <v>2625</v>
      </c>
      <c r="E139" t="s">
        <v>1543</v>
      </c>
      <c r="H139" t="s">
        <v>1604</v>
      </c>
      <c r="I139" t="s">
        <v>1256</v>
      </c>
      <c r="K139" t="s">
        <v>1709</v>
      </c>
      <c r="L139" t="s">
        <v>1709</v>
      </c>
      <c r="M139" t="s">
        <v>1710</v>
      </c>
      <c r="N139" t="s">
        <v>1565</v>
      </c>
      <c r="O139" t="s">
        <v>1565</v>
      </c>
      <c r="P139">
        <v>1</v>
      </c>
      <c r="Q139" t="s">
        <v>1607</v>
      </c>
      <c r="R139" t="s">
        <v>1607</v>
      </c>
      <c r="S139" t="s">
        <v>4648</v>
      </c>
      <c r="T139" t="s">
        <v>4654</v>
      </c>
    </row>
    <row r="140" spans="1:20" x14ac:dyDescent="0.3">
      <c r="A140" t="s">
        <v>1739</v>
      </c>
      <c r="B140">
        <v>558</v>
      </c>
      <c r="C140" t="s">
        <v>1237</v>
      </c>
      <c r="D140">
        <f>VLOOKUP(C140,items_full!$A$2:$B$254,2,0)</f>
        <v>2625</v>
      </c>
      <c r="E140" t="s">
        <v>1543</v>
      </c>
      <c r="H140" t="s">
        <v>1604</v>
      </c>
      <c r="I140" t="s">
        <v>1256</v>
      </c>
      <c r="K140" t="s">
        <v>1709</v>
      </c>
      <c r="L140" t="s">
        <v>1709</v>
      </c>
      <c r="M140" t="s">
        <v>1710</v>
      </c>
      <c r="N140" t="s">
        <v>1565</v>
      </c>
      <c r="O140" t="s">
        <v>1565</v>
      </c>
      <c r="P140">
        <v>1</v>
      </c>
      <c r="Q140" t="s">
        <v>1607</v>
      </c>
      <c r="R140" t="s">
        <v>1607</v>
      </c>
      <c r="S140" t="s">
        <v>4648</v>
      </c>
      <c r="T140" t="s">
        <v>4654</v>
      </c>
    </row>
    <row r="141" spans="1:20" x14ac:dyDescent="0.3">
      <c r="A141" t="s">
        <v>1257</v>
      </c>
      <c r="B141">
        <v>560</v>
      </c>
      <c r="C141" t="s">
        <v>1258</v>
      </c>
      <c r="D141">
        <f>VLOOKUP(C141,items_full!$A$2:$B$254,2,0)</f>
        <v>2620</v>
      </c>
      <c r="E141" t="s">
        <v>1543</v>
      </c>
      <c r="H141" t="s">
        <v>1604</v>
      </c>
      <c r="I141" t="s">
        <v>1740</v>
      </c>
      <c r="K141" t="s">
        <v>1257</v>
      </c>
      <c r="L141" t="s">
        <v>1257</v>
      </c>
      <c r="M141" t="s">
        <v>1710</v>
      </c>
      <c r="N141" t="s">
        <v>1565</v>
      </c>
      <c r="O141" t="s">
        <v>1565</v>
      </c>
      <c r="P141">
        <v>1</v>
      </c>
      <c r="Q141" t="s">
        <v>1607</v>
      </c>
      <c r="R141" t="s">
        <v>1740</v>
      </c>
      <c r="S141" t="s">
        <v>4648</v>
      </c>
      <c r="T141" t="s">
        <v>4654</v>
      </c>
    </row>
    <row r="142" spans="1:20" x14ac:dyDescent="0.3">
      <c r="A142" t="s">
        <v>1262</v>
      </c>
      <c r="B142">
        <v>564</v>
      </c>
      <c r="C142" t="s">
        <v>1262</v>
      </c>
      <c r="D142">
        <f>VLOOKUP(C142,items_full!$A$2:$B$254,2,0)</f>
        <v>2655</v>
      </c>
      <c r="E142" t="s">
        <v>1551</v>
      </c>
      <c r="I142" t="s">
        <v>1262</v>
      </c>
      <c r="L142" t="s">
        <v>1552</v>
      </c>
      <c r="M142" t="s">
        <v>1552</v>
      </c>
      <c r="N142" t="s">
        <v>1552</v>
      </c>
      <c r="O142" t="s">
        <v>1552</v>
      </c>
      <c r="P142" t="s">
        <v>1552</v>
      </c>
      <c r="Q142" t="s">
        <v>1552</v>
      </c>
      <c r="R142" t="s">
        <v>1552</v>
      </c>
    </row>
    <row r="143" spans="1:20" x14ac:dyDescent="0.3">
      <c r="A143" t="s">
        <v>1264</v>
      </c>
      <c r="B143">
        <v>567</v>
      </c>
      <c r="C143" t="s">
        <v>1161</v>
      </c>
      <c r="D143">
        <f>VLOOKUP(C143,items_full!$A$2:$B$254,2,0)</f>
        <v>2605</v>
      </c>
      <c r="E143" t="s">
        <v>1543</v>
      </c>
      <c r="H143" t="s">
        <v>1604</v>
      </c>
      <c r="I143" t="s">
        <v>1741</v>
      </c>
      <c r="K143" t="s">
        <v>1264</v>
      </c>
      <c r="L143" t="s">
        <v>1559</v>
      </c>
      <c r="M143" t="s">
        <v>1710</v>
      </c>
      <c r="N143" t="s">
        <v>1565</v>
      </c>
      <c r="O143" t="s">
        <v>1565</v>
      </c>
      <c r="P143">
        <v>1</v>
      </c>
      <c r="Q143" t="s">
        <v>1607</v>
      </c>
      <c r="R143" t="s">
        <v>1559</v>
      </c>
      <c r="S143" t="s">
        <v>4648</v>
      </c>
      <c r="T143" t="s">
        <v>4650</v>
      </c>
    </row>
    <row r="144" spans="1:20" x14ac:dyDescent="0.3">
      <c r="A144" t="s">
        <v>1742</v>
      </c>
      <c r="B144">
        <v>568</v>
      </c>
      <c r="C144" t="s">
        <v>1161</v>
      </c>
      <c r="D144">
        <f>VLOOKUP(C144,items_full!$A$2:$B$254,2,0)</f>
        <v>2605</v>
      </c>
      <c r="E144" t="s">
        <v>1543</v>
      </c>
      <c r="H144" t="s">
        <v>1604</v>
      </c>
      <c r="I144" t="s">
        <v>1743</v>
      </c>
      <c r="K144" t="s">
        <v>1744</v>
      </c>
      <c r="L144" t="s">
        <v>1709</v>
      </c>
      <c r="M144" t="s">
        <v>1710</v>
      </c>
      <c r="N144" t="s">
        <v>1565</v>
      </c>
      <c r="O144" t="s">
        <v>1565</v>
      </c>
      <c r="P144">
        <v>1</v>
      </c>
      <c r="Q144" t="s">
        <v>1607</v>
      </c>
      <c r="R144" t="s">
        <v>1559</v>
      </c>
      <c r="S144" t="s">
        <v>4648</v>
      </c>
      <c r="T144" t="s">
        <v>4650</v>
      </c>
    </row>
    <row r="145" spans="1:20" x14ac:dyDescent="0.3">
      <c r="A145" t="s">
        <v>1266</v>
      </c>
      <c r="B145">
        <v>569</v>
      </c>
      <c r="C145" t="s">
        <v>1237</v>
      </c>
      <c r="D145">
        <f>VLOOKUP(C145,items_full!$A$2:$B$254,2,0)</f>
        <v>2625</v>
      </c>
      <c r="E145" t="s">
        <v>1543</v>
      </c>
      <c r="H145" t="s">
        <v>1604</v>
      </c>
      <c r="I145" t="s">
        <v>1266</v>
      </c>
      <c r="K145" t="s">
        <v>1266</v>
      </c>
      <c r="L145" t="s">
        <v>1713</v>
      </c>
      <c r="M145" t="s">
        <v>1710</v>
      </c>
      <c r="N145" t="s">
        <v>1565</v>
      </c>
      <c r="O145" t="s">
        <v>1565</v>
      </c>
      <c r="P145">
        <v>1</v>
      </c>
      <c r="Q145" t="s">
        <v>1607</v>
      </c>
      <c r="R145" t="s">
        <v>1607</v>
      </c>
      <c r="S145" t="s">
        <v>4648</v>
      </c>
      <c r="T145" t="s">
        <v>4654</v>
      </c>
    </row>
    <row r="146" spans="1:20" x14ac:dyDescent="0.3">
      <c r="A146" t="s">
        <v>1745</v>
      </c>
      <c r="B146">
        <v>571</v>
      </c>
      <c r="C146" t="s">
        <v>1237</v>
      </c>
      <c r="D146">
        <f>VLOOKUP(C146,items_full!$A$2:$B$254,2,0)</f>
        <v>2625</v>
      </c>
      <c r="E146" t="s">
        <v>1543</v>
      </c>
      <c r="H146" t="s">
        <v>1604</v>
      </c>
      <c r="I146" t="s">
        <v>1607</v>
      </c>
      <c r="K146" t="s">
        <v>1663</v>
      </c>
      <c r="L146" t="s">
        <v>1713</v>
      </c>
      <c r="M146" t="s">
        <v>1710</v>
      </c>
      <c r="N146" t="s">
        <v>1565</v>
      </c>
      <c r="O146" t="s">
        <v>1565</v>
      </c>
      <c r="P146">
        <v>1</v>
      </c>
      <c r="Q146" t="s">
        <v>1607</v>
      </c>
      <c r="R146" t="s">
        <v>1607</v>
      </c>
      <c r="S146" t="s">
        <v>4648</v>
      </c>
      <c r="T146" t="s">
        <v>4654</v>
      </c>
    </row>
    <row r="147" spans="1:20" x14ac:dyDescent="0.3">
      <c r="A147" t="s">
        <v>1269</v>
      </c>
      <c r="B147">
        <v>572</v>
      </c>
      <c r="C147" t="s">
        <v>1237</v>
      </c>
      <c r="D147">
        <f>VLOOKUP(C147,items_full!$A$2:$B$254,2,0)</f>
        <v>2625</v>
      </c>
      <c r="E147" t="s">
        <v>1543</v>
      </c>
      <c r="H147" t="s">
        <v>1604</v>
      </c>
      <c r="I147" t="s">
        <v>1746</v>
      </c>
      <c r="K147" t="s">
        <v>1269</v>
      </c>
      <c r="L147" t="s">
        <v>1713</v>
      </c>
      <c r="M147" t="s">
        <v>1710</v>
      </c>
      <c r="N147" t="s">
        <v>1565</v>
      </c>
      <c r="O147" t="s">
        <v>1565</v>
      </c>
      <c r="P147">
        <v>1</v>
      </c>
      <c r="Q147" t="s">
        <v>1607</v>
      </c>
      <c r="R147" t="s">
        <v>1607</v>
      </c>
      <c r="S147" t="s">
        <v>4648</v>
      </c>
      <c r="T147" t="s">
        <v>4654</v>
      </c>
    </row>
    <row r="148" spans="1:20" x14ac:dyDescent="0.3">
      <c r="A148" t="s">
        <v>1270</v>
      </c>
      <c r="B148">
        <v>574</v>
      </c>
      <c r="C148" t="s">
        <v>1271</v>
      </c>
      <c r="D148">
        <f>VLOOKUP(C148,items_full!$A$2:$B$254,2,0)</f>
        <v>2618</v>
      </c>
      <c r="E148" t="s">
        <v>1543</v>
      </c>
      <c r="H148" t="s">
        <v>1604</v>
      </c>
      <c r="I148" t="s">
        <v>1747</v>
      </c>
      <c r="K148" t="s">
        <v>1663</v>
      </c>
      <c r="L148" t="s">
        <v>1709</v>
      </c>
      <c r="M148" t="s">
        <v>1710</v>
      </c>
      <c r="N148" t="s">
        <v>1565</v>
      </c>
      <c r="O148" t="s">
        <v>1565</v>
      </c>
      <c r="P148">
        <v>1</v>
      </c>
      <c r="Q148" t="s">
        <v>1607</v>
      </c>
      <c r="R148" t="s">
        <v>1607</v>
      </c>
      <c r="S148" t="s">
        <v>4648</v>
      </c>
      <c r="T148" t="s">
        <v>4654</v>
      </c>
    </row>
    <row r="149" spans="1:20" x14ac:dyDescent="0.3">
      <c r="A149" t="s">
        <v>1274</v>
      </c>
      <c r="B149">
        <v>577</v>
      </c>
      <c r="C149" t="s">
        <v>1274</v>
      </c>
      <c r="D149">
        <f>VLOOKUP(C149,items_full!$A$2:$B$254,2,0)</f>
        <v>2619</v>
      </c>
      <c r="E149" t="s">
        <v>1543</v>
      </c>
      <c r="H149" t="s">
        <v>1604</v>
      </c>
      <c r="I149" t="s">
        <v>1274</v>
      </c>
      <c r="K149" t="s">
        <v>1663</v>
      </c>
      <c r="L149" t="s">
        <v>1713</v>
      </c>
      <c r="M149" t="s">
        <v>1710</v>
      </c>
      <c r="N149" t="s">
        <v>1565</v>
      </c>
      <c r="O149" t="s">
        <v>1565</v>
      </c>
      <c r="P149">
        <v>1</v>
      </c>
      <c r="Q149" t="s">
        <v>1607</v>
      </c>
      <c r="R149" t="s">
        <v>1607</v>
      </c>
      <c r="S149" t="s">
        <v>4648</v>
      </c>
      <c r="T149" t="s">
        <v>4654</v>
      </c>
    </row>
    <row r="150" spans="1:20" x14ac:dyDescent="0.3">
      <c r="A150" t="s">
        <v>1277</v>
      </c>
      <c r="B150">
        <v>587</v>
      </c>
      <c r="C150" t="s">
        <v>1237</v>
      </c>
      <c r="D150">
        <f>VLOOKUP(C150,items_full!$A$2:$B$254,2,0)</f>
        <v>2625</v>
      </c>
      <c r="E150" t="s">
        <v>1543</v>
      </c>
      <c r="H150" t="s">
        <v>1604</v>
      </c>
      <c r="I150" t="s">
        <v>1748</v>
      </c>
      <c r="K150" t="s">
        <v>1277</v>
      </c>
      <c r="L150" t="s">
        <v>1709</v>
      </c>
      <c r="M150" t="s">
        <v>1710</v>
      </c>
      <c r="N150" t="s">
        <v>1565</v>
      </c>
      <c r="O150" t="s">
        <v>1565</v>
      </c>
      <c r="P150">
        <v>1</v>
      </c>
      <c r="Q150" t="s">
        <v>1607</v>
      </c>
      <c r="R150" t="s">
        <v>1607</v>
      </c>
      <c r="S150" t="s">
        <v>4648</v>
      </c>
      <c r="T150" t="s">
        <v>4654</v>
      </c>
    </row>
    <row r="151" spans="1:20" x14ac:dyDescent="0.3">
      <c r="A151" t="s">
        <v>1278</v>
      </c>
      <c r="B151">
        <v>591</v>
      </c>
      <c r="C151" t="s">
        <v>1237</v>
      </c>
      <c r="D151">
        <f>VLOOKUP(C151,items_full!$A$2:$B$254,2,0)</f>
        <v>2625</v>
      </c>
      <c r="E151" t="s">
        <v>1543</v>
      </c>
      <c r="H151" t="s">
        <v>1604</v>
      </c>
      <c r="I151" t="s">
        <v>1607</v>
      </c>
      <c r="K151" t="s">
        <v>1663</v>
      </c>
      <c r="L151" t="s">
        <v>1709</v>
      </c>
      <c r="M151" t="s">
        <v>1710</v>
      </c>
      <c r="N151" t="s">
        <v>1565</v>
      </c>
      <c r="O151" t="s">
        <v>1565</v>
      </c>
      <c r="P151">
        <v>1</v>
      </c>
      <c r="Q151" t="s">
        <v>1607</v>
      </c>
      <c r="R151" t="s">
        <v>1607</v>
      </c>
      <c r="S151" t="s">
        <v>4648</v>
      </c>
      <c r="T151" t="s">
        <v>4654</v>
      </c>
    </row>
    <row r="152" spans="1:20" x14ac:dyDescent="0.3">
      <c r="A152" t="s">
        <v>1279</v>
      </c>
      <c r="B152">
        <v>592</v>
      </c>
      <c r="C152" t="s">
        <v>1237</v>
      </c>
      <c r="D152">
        <f>VLOOKUP(C152,items_full!$A$2:$B$254,2,0)</f>
        <v>2625</v>
      </c>
      <c r="E152" t="s">
        <v>1543</v>
      </c>
      <c r="H152" t="s">
        <v>1604</v>
      </c>
      <c r="I152" t="s">
        <v>1749</v>
      </c>
      <c r="K152" t="s">
        <v>1749</v>
      </c>
      <c r="L152" t="s">
        <v>1713</v>
      </c>
      <c r="M152" t="s">
        <v>1710</v>
      </c>
      <c r="N152" t="s">
        <v>1565</v>
      </c>
      <c r="O152" t="s">
        <v>1565</v>
      </c>
      <c r="P152">
        <v>1</v>
      </c>
      <c r="Q152" t="s">
        <v>1607</v>
      </c>
      <c r="R152" t="s">
        <v>1607</v>
      </c>
      <c r="S152" t="s">
        <v>4648</v>
      </c>
      <c r="T152" t="s">
        <v>4654</v>
      </c>
    </row>
    <row r="153" spans="1:20" x14ac:dyDescent="0.3">
      <c r="A153" t="s">
        <v>1280</v>
      </c>
      <c r="B153">
        <v>600</v>
      </c>
      <c r="C153" t="s">
        <v>1237</v>
      </c>
      <c r="D153">
        <f>VLOOKUP(C153,items_full!$A$2:$B$254,2,0)</f>
        <v>2625</v>
      </c>
      <c r="E153" t="s">
        <v>1543</v>
      </c>
      <c r="H153" t="s">
        <v>1604</v>
      </c>
      <c r="I153" t="s">
        <v>1750</v>
      </c>
      <c r="K153" t="s">
        <v>1663</v>
      </c>
      <c r="L153" t="s">
        <v>1713</v>
      </c>
      <c r="M153" t="s">
        <v>1710</v>
      </c>
      <c r="N153" t="s">
        <v>1565</v>
      </c>
      <c r="O153" t="s">
        <v>1565</v>
      </c>
      <c r="P153">
        <v>1</v>
      </c>
      <c r="Q153" t="s">
        <v>1607</v>
      </c>
      <c r="R153" t="s">
        <v>1607</v>
      </c>
      <c r="S153" t="s">
        <v>4648</v>
      </c>
      <c r="T153" t="s">
        <v>4654</v>
      </c>
    </row>
    <row r="154" spans="1:20" x14ac:dyDescent="0.3">
      <c r="A154" t="s">
        <v>1751</v>
      </c>
      <c r="B154">
        <v>603</v>
      </c>
      <c r="C154" t="s">
        <v>1237</v>
      </c>
      <c r="D154">
        <f>VLOOKUP(C154,items_full!$A$2:$B$254,2,0)</f>
        <v>2625</v>
      </c>
      <c r="E154" t="s">
        <v>1543</v>
      </c>
      <c r="H154" t="s">
        <v>1604</v>
      </c>
      <c r="I154" t="s">
        <v>1607</v>
      </c>
      <c r="K154" t="s">
        <v>1663</v>
      </c>
      <c r="L154" t="s">
        <v>1713</v>
      </c>
      <c r="M154" t="s">
        <v>1710</v>
      </c>
      <c r="N154" t="s">
        <v>1565</v>
      </c>
      <c r="O154" t="s">
        <v>1565</v>
      </c>
      <c r="P154">
        <v>1</v>
      </c>
      <c r="Q154" t="s">
        <v>1607</v>
      </c>
      <c r="R154" t="s">
        <v>1607</v>
      </c>
      <c r="S154" t="s">
        <v>4648</v>
      </c>
      <c r="T154" t="s">
        <v>4654</v>
      </c>
    </row>
    <row r="155" spans="1:20" x14ac:dyDescent="0.3">
      <c r="A155" t="s">
        <v>1752</v>
      </c>
      <c r="B155">
        <v>619</v>
      </c>
      <c r="C155" t="s">
        <v>1237</v>
      </c>
      <c r="D155">
        <f>VLOOKUP(C155,items_full!$A$2:$B$254,2,0)</f>
        <v>2625</v>
      </c>
      <c r="E155" t="s">
        <v>1543</v>
      </c>
      <c r="H155" t="s">
        <v>1604</v>
      </c>
      <c r="I155" t="s">
        <v>1607</v>
      </c>
      <c r="K155" t="s">
        <v>1663</v>
      </c>
      <c r="L155" t="s">
        <v>1713</v>
      </c>
      <c r="M155" t="s">
        <v>1710</v>
      </c>
      <c r="N155" t="s">
        <v>1565</v>
      </c>
      <c r="O155" t="s">
        <v>1565</v>
      </c>
      <c r="P155">
        <v>1</v>
      </c>
      <c r="Q155" t="s">
        <v>1607</v>
      </c>
      <c r="R155" t="s">
        <v>1607</v>
      </c>
      <c r="S155" t="s">
        <v>4648</v>
      </c>
      <c r="T155" t="s">
        <v>4654</v>
      </c>
    </row>
    <row r="156" spans="1:20" x14ac:dyDescent="0.3">
      <c r="A156" t="s">
        <v>1753</v>
      </c>
      <c r="B156">
        <v>636</v>
      </c>
      <c r="C156" t="s">
        <v>1190</v>
      </c>
      <c r="D156">
        <f>VLOOKUP(C156,items_full!$A$2:$B$254,2,0)</f>
        <v>2000</v>
      </c>
      <c r="E156" t="s">
        <v>1543</v>
      </c>
      <c r="H156" t="s">
        <v>1679</v>
      </c>
      <c r="I156" t="s">
        <v>1189</v>
      </c>
      <c r="J156" t="s">
        <v>1754</v>
      </c>
      <c r="K156" t="s">
        <v>1755</v>
      </c>
      <c r="L156" t="s">
        <v>1545</v>
      </c>
      <c r="M156" t="s">
        <v>1679</v>
      </c>
      <c r="N156" t="s">
        <v>1679</v>
      </c>
      <c r="O156" t="s">
        <v>1679</v>
      </c>
      <c r="P156">
        <v>1</v>
      </c>
      <c r="Q156" t="s">
        <v>1679</v>
      </c>
      <c r="R156" t="s">
        <v>1547</v>
      </c>
      <c r="S156" t="s">
        <v>4649</v>
      </c>
      <c r="T156" t="s">
        <v>4650</v>
      </c>
    </row>
    <row r="157" spans="1:20" x14ac:dyDescent="0.3">
      <c r="A157" t="s">
        <v>1756</v>
      </c>
      <c r="B157">
        <v>637</v>
      </c>
      <c r="C157" t="s">
        <v>1190</v>
      </c>
      <c r="D157">
        <f>VLOOKUP(C157,items_full!$A$2:$B$254,2,0)</f>
        <v>2000</v>
      </c>
      <c r="E157" t="s">
        <v>1543</v>
      </c>
      <c r="H157" t="s">
        <v>1679</v>
      </c>
      <c r="I157" t="s">
        <v>1757</v>
      </c>
      <c r="J157" t="s">
        <v>1758</v>
      </c>
      <c r="K157" t="s">
        <v>1759</v>
      </c>
      <c r="L157" t="s">
        <v>1545</v>
      </c>
      <c r="M157" t="s">
        <v>1679</v>
      </c>
      <c r="N157" t="s">
        <v>1679</v>
      </c>
      <c r="O157" t="s">
        <v>1679</v>
      </c>
      <c r="P157">
        <v>1</v>
      </c>
      <c r="Q157" t="s">
        <v>1679</v>
      </c>
      <c r="R157" t="s">
        <v>1547</v>
      </c>
      <c r="S157" t="s">
        <v>4648</v>
      </c>
      <c r="T157" t="s">
        <v>4654</v>
      </c>
    </row>
    <row r="158" spans="1:20" x14ac:dyDescent="0.3">
      <c r="A158" t="s">
        <v>1760</v>
      </c>
      <c r="B158">
        <v>638</v>
      </c>
      <c r="C158" t="s">
        <v>1190</v>
      </c>
      <c r="D158">
        <f>VLOOKUP(C158,items_full!$A$2:$B$254,2,0)</f>
        <v>2000</v>
      </c>
      <c r="E158" t="s">
        <v>1543</v>
      </c>
      <c r="H158" t="s">
        <v>1679</v>
      </c>
      <c r="I158" t="s">
        <v>1761</v>
      </c>
      <c r="J158" t="s">
        <v>1758</v>
      </c>
      <c r="K158" t="s">
        <v>1762</v>
      </c>
      <c r="L158" t="s">
        <v>1545</v>
      </c>
      <c r="M158" t="s">
        <v>1679</v>
      </c>
      <c r="N158" t="s">
        <v>1679</v>
      </c>
      <c r="O158" t="s">
        <v>1679</v>
      </c>
      <c r="P158">
        <v>1</v>
      </c>
      <c r="Q158" t="s">
        <v>1679</v>
      </c>
      <c r="R158" t="s">
        <v>1547</v>
      </c>
      <c r="S158" t="s">
        <v>4648</v>
      </c>
      <c r="T158" t="s">
        <v>4654</v>
      </c>
    </row>
    <row r="159" spans="1:20" x14ac:dyDescent="0.3">
      <c r="A159" t="s">
        <v>1763</v>
      </c>
      <c r="B159">
        <v>639</v>
      </c>
      <c r="C159" t="s">
        <v>1190</v>
      </c>
      <c r="D159">
        <f>VLOOKUP(C159,items_full!$A$2:$B$254,2,0)</f>
        <v>2000</v>
      </c>
      <c r="E159" t="s">
        <v>1543</v>
      </c>
      <c r="H159" t="s">
        <v>1679</v>
      </c>
      <c r="I159" t="s">
        <v>1764</v>
      </c>
      <c r="J159" t="s">
        <v>1758</v>
      </c>
      <c r="K159" t="s">
        <v>1762</v>
      </c>
      <c r="L159" t="s">
        <v>1545</v>
      </c>
      <c r="M159" t="s">
        <v>1679</v>
      </c>
      <c r="N159" t="s">
        <v>1679</v>
      </c>
      <c r="O159" t="s">
        <v>1679</v>
      </c>
      <c r="P159">
        <v>1</v>
      </c>
      <c r="Q159" t="s">
        <v>1679</v>
      </c>
      <c r="R159" t="s">
        <v>1547</v>
      </c>
      <c r="S159" t="s">
        <v>4648</v>
      </c>
      <c r="T159" t="s">
        <v>4654</v>
      </c>
    </row>
    <row r="160" spans="1:20" x14ac:dyDescent="0.3">
      <c r="A160" t="s">
        <v>1765</v>
      </c>
      <c r="B160">
        <v>640</v>
      </c>
      <c r="C160" t="s">
        <v>1372</v>
      </c>
      <c r="D160">
        <f>VLOOKUP(C160,items_full!$A$2:$B$254,2,0)</f>
        <v>2001</v>
      </c>
      <c r="E160" t="s">
        <v>1543</v>
      </c>
      <c r="H160" t="s">
        <v>1679</v>
      </c>
      <c r="I160" t="s">
        <v>1766</v>
      </c>
      <c r="J160" t="s">
        <v>1767</v>
      </c>
      <c r="K160" t="s">
        <v>1766</v>
      </c>
      <c r="L160" t="s">
        <v>1545</v>
      </c>
      <c r="M160" t="s">
        <v>1679</v>
      </c>
      <c r="N160" t="s">
        <v>1679</v>
      </c>
      <c r="O160" t="s">
        <v>1679</v>
      </c>
      <c r="P160">
        <v>1</v>
      </c>
      <c r="Q160" t="s">
        <v>1679</v>
      </c>
      <c r="R160" t="s">
        <v>1547</v>
      </c>
      <c r="S160" t="s">
        <v>4648</v>
      </c>
      <c r="T160" t="s">
        <v>4654</v>
      </c>
    </row>
    <row r="161" spans="1:20" x14ac:dyDescent="0.3">
      <c r="A161" t="s">
        <v>1768</v>
      </c>
      <c r="B161">
        <v>641</v>
      </c>
      <c r="C161" t="s">
        <v>1372</v>
      </c>
      <c r="D161">
        <v>2001</v>
      </c>
      <c r="E161" t="s">
        <v>1543</v>
      </c>
      <c r="H161" t="s">
        <v>1679</v>
      </c>
      <c r="I161" t="s">
        <v>1769</v>
      </c>
      <c r="J161" t="s">
        <v>1769</v>
      </c>
      <c r="K161" t="s">
        <v>1769</v>
      </c>
      <c r="L161" t="s">
        <v>1545</v>
      </c>
      <c r="M161" t="s">
        <v>1679</v>
      </c>
      <c r="N161" t="s">
        <v>1679</v>
      </c>
      <c r="O161" t="s">
        <v>1679</v>
      </c>
      <c r="P161">
        <v>1</v>
      </c>
      <c r="Q161" t="s">
        <v>1679</v>
      </c>
      <c r="R161" t="s">
        <v>1547</v>
      </c>
      <c r="S161" t="s">
        <v>4648</v>
      </c>
      <c r="T161" t="s">
        <v>4654</v>
      </c>
    </row>
    <row r="162" spans="1:20" x14ac:dyDescent="0.3">
      <c r="A162" t="s">
        <v>1770</v>
      </c>
      <c r="B162">
        <v>642</v>
      </c>
      <c r="C162" t="s">
        <v>1300</v>
      </c>
      <c r="D162">
        <f>VLOOKUP(C162,items_full!$A$2:$B$254,2,0)</f>
        <v>2002</v>
      </c>
      <c r="E162" t="s">
        <v>1543</v>
      </c>
      <c r="H162" t="s">
        <v>1679</v>
      </c>
      <c r="I162" t="s">
        <v>1771</v>
      </c>
      <c r="J162" t="s">
        <v>1758</v>
      </c>
      <c r="K162" t="s">
        <v>1772</v>
      </c>
      <c r="L162" t="s">
        <v>1545</v>
      </c>
      <c r="M162" t="s">
        <v>1679</v>
      </c>
      <c r="N162" t="s">
        <v>1679</v>
      </c>
      <c r="O162" t="s">
        <v>1679</v>
      </c>
      <c r="P162">
        <v>1</v>
      </c>
      <c r="Q162" t="s">
        <v>1679</v>
      </c>
      <c r="R162" t="s">
        <v>1547</v>
      </c>
      <c r="S162" t="s">
        <v>4648</v>
      </c>
      <c r="T162" t="s">
        <v>4654</v>
      </c>
    </row>
    <row r="163" spans="1:20" x14ac:dyDescent="0.3">
      <c r="A163" t="s">
        <v>1773</v>
      </c>
      <c r="B163">
        <v>643</v>
      </c>
      <c r="C163" t="s">
        <v>1372</v>
      </c>
      <c r="D163">
        <f>VLOOKUP(C163,items_full!$A$2:$B$254,2,0)</f>
        <v>2001</v>
      </c>
      <c r="E163" t="s">
        <v>1543</v>
      </c>
      <c r="H163" t="s">
        <v>1679</v>
      </c>
      <c r="I163" t="s">
        <v>1774</v>
      </c>
      <c r="J163" t="s">
        <v>1767</v>
      </c>
      <c r="K163" t="s">
        <v>1775</v>
      </c>
      <c r="L163" t="s">
        <v>1545</v>
      </c>
      <c r="M163" t="s">
        <v>1679</v>
      </c>
      <c r="N163" t="s">
        <v>1679</v>
      </c>
      <c r="O163" t="s">
        <v>1679</v>
      </c>
      <c r="P163">
        <v>1</v>
      </c>
      <c r="Q163" t="s">
        <v>1679</v>
      </c>
      <c r="R163" t="s">
        <v>1547</v>
      </c>
      <c r="S163" t="s">
        <v>4648</v>
      </c>
      <c r="T163" t="s">
        <v>4654</v>
      </c>
    </row>
    <row r="164" spans="1:20" x14ac:dyDescent="0.3">
      <c r="A164" t="s">
        <v>1776</v>
      </c>
      <c r="B164">
        <v>644</v>
      </c>
      <c r="C164" t="s">
        <v>1300</v>
      </c>
      <c r="D164">
        <f>VLOOKUP(C164,items_full!$A$2:$B$254,2,0)</f>
        <v>2002</v>
      </c>
      <c r="E164" t="s">
        <v>1543</v>
      </c>
      <c r="H164" t="s">
        <v>1679</v>
      </c>
      <c r="I164" t="s">
        <v>1777</v>
      </c>
      <c r="J164" t="s">
        <v>1758</v>
      </c>
      <c r="K164" t="s">
        <v>1778</v>
      </c>
      <c r="L164" t="s">
        <v>1545</v>
      </c>
      <c r="M164" t="s">
        <v>1679</v>
      </c>
      <c r="N164" t="s">
        <v>1679</v>
      </c>
      <c r="O164" t="s">
        <v>1679</v>
      </c>
      <c r="P164">
        <v>1</v>
      </c>
      <c r="Q164" t="s">
        <v>1679</v>
      </c>
      <c r="R164" t="s">
        <v>1547</v>
      </c>
      <c r="S164" t="s">
        <v>4648</v>
      </c>
      <c r="T164" t="s">
        <v>4654</v>
      </c>
    </row>
    <row r="165" spans="1:20" x14ac:dyDescent="0.3">
      <c r="A165" t="s">
        <v>1779</v>
      </c>
      <c r="B165">
        <v>645</v>
      </c>
      <c r="C165" t="s">
        <v>1780</v>
      </c>
      <c r="D165">
        <f>VLOOKUP(C165,items_full!$A$2:$B$254,2,0)</f>
        <v>2003</v>
      </c>
      <c r="E165" t="s">
        <v>1543</v>
      </c>
      <c r="H165" t="s">
        <v>1679</v>
      </c>
      <c r="I165" t="s">
        <v>1781</v>
      </c>
      <c r="J165" t="s">
        <v>1758</v>
      </c>
      <c r="K165" t="s">
        <v>1782</v>
      </c>
      <c r="L165" t="s">
        <v>1545</v>
      </c>
      <c r="M165" t="s">
        <v>1679</v>
      </c>
      <c r="N165" t="s">
        <v>1679</v>
      </c>
      <c r="O165" t="s">
        <v>1679</v>
      </c>
      <c r="P165">
        <v>1</v>
      </c>
      <c r="Q165" t="s">
        <v>1679</v>
      </c>
      <c r="R165" t="s">
        <v>1547</v>
      </c>
      <c r="S165" t="s">
        <v>4648</v>
      </c>
      <c r="T165" t="s">
        <v>4654</v>
      </c>
    </row>
    <row r="166" spans="1:20" x14ac:dyDescent="0.3">
      <c r="A166" t="s">
        <v>1783</v>
      </c>
      <c r="B166">
        <v>646</v>
      </c>
      <c r="C166" t="s">
        <v>1300</v>
      </c>
      <c r="D166">
        <f>VLOOKUP(C166,items_full!$A$2:$B$254,2,0)</f>
        <v>2002</v>
      </c>
      <c r="E166" t="s">
        <v>1543</v>
      </c>
      <c r="H166" t="s">
        <v>1679</v>
      </c>
      <c r="I166" t="s">
        <v>1784</v>
      </c>
      <c r="J166" t="s">
        <v>1785</v>
      </c>
      <c r="K166" t="s">
        <v>1786</v>
      </c>
      <c r="L166" t="s">
        <v>1545</v>
      </c>
      <c r="M166" t="s">
        <v>1679</v>
      </c>
      <c r="N166" t="s">
        <v>1679</v>
      </c>
      <c r="O166" t="s">
        <v>1679</v>
      </c>
      <c r="P166">
        <v>1</v>
      </c>
      <c r="Q166" t="s">
        <v>1679</v>
      </c>
      <c r="R166" t="s">
        <v>1547</v>
      </c>
      <c r="S166" t="s">
        <v>4648</v>
      </c>
      <c r="T166" t="s">
        <v>4654</v>
      </c>
    </row>
    <row r="167" spans="1:20" x14ac:dyDescent="0.3">
      <c r="A167" t="s">
        <v>1787</v>
      </c>
      <c r="B167">
        <v>647</v>
      </c>
      <c r="C167" t="s">
        <v>1300</v>
      </c>
      <c r="D167">
        <f>VLOOKUP(C167,items_full!$A$2:$B$254,2,0)</f>
        <v>2002</v>
      </c>
      <c r="E167" t="s">
        <v>1543</v>
      </c>
      <c r="H167" t="s">
        <v>1679</v>
      </c>
      <c r="I167" t="s">
        <v>1788</v>
      </c>
      <c r="J167" t="s">
        <v>1785</v>
      </c>
      <c r="K167" t="s">
        <v>1789</v>
      </c>
      <c r="L167" t="s">
        <v>1545</v>
      </c>
      <c r="M167" t="s">
        <v>1679</v>
      </c>
      <c r="N167" t="s">
        <v>1679</v>
      </c>
      <c r="O167" t="s">
        <v>1679</v>
      </c>
      <c r="P167">
        <v>1</v>
      </c>
      <c r="Q167" t="s">
        <v>1679</v>
      </c>
      <c r="R167" t="s">
        <v>1547</v>
      </c>
      <c r="S167" t="s">
        <v>4648</v>
      </c>
      <c r="T167" t="s">
        <v>4654</v>
      </c>
    </row>
    <row r="168" spans="1:20" x14ac:dyDescent="0.3">
      <c r="A168" t="s">
        <v>1790</v>
      </c>
      <c r="B168">
        <v>648</v>
      </c>
      <c r="C168" t="s">
        <v>1300</v>
      </c>
      <c r="D168">
        <f>VLOOKUP(C168,items_full!$A$2:$B$254,2,0)</f>
        <v>2002</v>
      </c>
      <c r="E168" t="s">
        <v>1543</v>
      </c>
      <c r="H168" t="s">
        <v>1679</v>
      </c>
      <c r="I168" t="s">
        <v>1791</v>
      </c>
      <c r="J168" t="s">
        <v>1785</v>
      </c>
      <c r="K168" t="s">
        <v>1792</v>
      </c>
      <c r="L168" t="s">
        <v>1545</v>
      </c>
      <c r="M168" t="s">
        <v>1679</v>
      </c>
      <c r="N168" t="s">
        <v>1679</v>
      </c>
      <c r="O168" t="s">
        <v>1679</v>
      </c>
      <c r="P168">
        <v>1</v>
      </c>
      <c r="Q168" t="s">
        <v>1679</v>
      </c>
      <c r="R168" t="s">
        <v>1547</v>
      </c>
      <c r="S168" t="s">
        <v>4648</v>
      </c>
      <c r="T168" t="s">
        <v>4654</v>
      </c>
    </row>
    <row r="169" spans="1:20" x14ac:dyDescent="0.3">
      <c r="A169" t="s">
        <v>1793</v>
      </c>
      <c r="B169">
        <v>649</v>
      </c>
      <c r="C169" t="s">
        <v>1300</v>
      </c>
      <c r="D169">
        <f>VLOOKUP(C169,items_full!$A$2:$B$254,2,0)</f>
        <v>2002</v>
      </c>
      <c r="E169" t="s">
        <v>1543</v>
      </c>
      <c r="H169" t="s">
        <v>1679</v>
      </c>
      <c r="I169" t="s">
        <v>1794</v>
      </c>
      <c r="J169" t="s">
        <v>1785</v>
      </c>
      <c r="K169" t="s">
        <v>1786</v>
      </c>
      <c r="L169" t="s">
        <v>1545</v>
      </c>
      <c r="M169" t="s">
        <v>1679</v>
      </c>
      <c r="N169" t="s">
        <v>1679</v>
      </c>
      <c r="O169" t="s">
        <v>1679</v>
      </c>
      <c r="P169">
        <v>1</v>
      </c>
      <c r="Q169" t="s">
        <v>1679</v>
      </c>
      <c r="R169" t="s">
        <v>1547</v>
      </c>
      <c r="S169" t="s">
        <v>4648</v>
      </c>
      <c r="T169" t="s">
        <v>4654</v>
      </c>
    </row>
    <row r="170" spans="1:20" x14ac:dyDescent="0.3">
      <c r="A170" t="s">
        <v>1299</v>
      </c>
      <c r="B170">
        <v>651</v>
      </c>
      <c r="C170" t="s">
        <v>1300</v>
      </c>
      <c r="D170">
        <f>VLOOKUP(C170,items_full!$A$2:$B$254,2,0)</f>
        <v>2002</v>
      </c>
      <c r="E170" t="s">
        <v>1543</v>
      </c>
      <c r="H170" t="s">
        <v>1679</v>
      </c>
      <c r="I170" t="s">
        <v>1771</v>
      </c>
      <c r="J170" t="s">
        <v>1758</v>
      </c>
      <c r="K170" t="s">
        <v>1772</v>
      </c>
      <c r="L170" t="s">
        <v>1545</v>
      </c>
      <c r="M170" t="s">
        <v>1679</v>
      </c>
      <c r="N170" t="s">
        <v>1679</v>
      </c>
      <c r="O170" t="s">
        <v>1679</v>
      </c>
      <c r="P170">
        <v>1</v>
      </c>
      <c r="Q170" t="s">
        <v>1679</v>
      </c>
      <c r="R170" t="s">
        <v>1547</v>
      </c>
      <c r="S170" t="s">
        <v>4648</v>
      </c>
      <c r="T170" t="s">
        <v>4654</v>
      </c>
    </row>
    <row r="171" spans="1:20" x14ac:dyDescent="0.3">
      <c r="A171" t="s">
        <v>1795</v>
      </c>
      <c r="B171">
        <v>655</v>
      </c>
      <c r="C171" t="s">
        <v>1300</v>
      </c>
      <c r="D171">
        <f>VLOOKUP(C171,items_full!$A$2:$B$254,2,0)</f>
        <v>2002</v>
      </c>
      <c r="E171" t="s">
        <v>1543</v>
      </c>
      <c r="H171" t="s">
        <v>1679</v>
      </c>
      <c r="I171" t="s">
        <v>1771</v>
      </c>
      <c r="J171" t="s">
        <v>1758</v>
      </c>
      <c r="K171" t="s">
        <v>1772</v>
      </c>
      <c r="L171" t="s">
        <v>1545</v>
      </c>
      <c r="M171" t="s">
        <v>1679</v>
      </c>
      <c r="N171" t="s">
        <v>1679</v>
      </c>
      <c r="O171" t="s">
        <v>1679</v>
      </c>
      <c r="P171">
        <v>1</v>
      </c>
      <c r="Q171" t="s">
        <v>1679</v>
      </c>
      <c r="R171" t="s">
        <v>1547</v>
      </c>
      <c r="S171" t="s">
        <v>4648</v>
      </c>
      <c r="T171" t="s">
        <v>4654</v>
      </c>
    </row>
    <row r="172" spans="1:20" x14ac:dyDescent="0.3">
      <c r="A172" t="s">
        <v>1306</v>
      </c>
      <c r="B172">
        <v>656</v>
      </c>
      <c r="C172" t="s">
        <v>1307</v>
      </c>
      <c r="D172">
        <f>VLOOKUP(C172,items_full!$A$2:$B$254,2,0)</f>
        <v>2630</v>
      </c>
      <c r="E172" t="s">
        <v>1543</v>
      </c>
      <c r="H172" t="s">
        <v>1604</v>
      </c>
      <c r="I172" t="s">
        <v>1796</v>
      </c>
      <c r="K172" t="s">
        <v>1632</v>
      </c>
      <c r="L172" t="s">
        <v>1797</v>
      </c>
      <c r="M172" t="s">
        <v>1798</v>
      </c>
      <c r="N172" t="s">
        <v>1577</v>
      </c>
      <c r="O172" t="s">
        <v>1578</v>
      </c>
      <c r="P172">
        <v>1</v>
      </c>
      <c r="Q172" t="s">
        <v>1662</v>
      </c>
      <c r="R172" t="s">
        <v>1607</v>
      </c>
      <c r="S172" t="s">
        <v>4648</v>
      </c>
      <c r="T172" t="s">
        <v>4654</v>
      </c>
    </row>
    <row r="173" spans="1:20" x14ac:dyDescent="0.3">
      <c r="A173" t="s">
        <v>1799</v>
      </c>
      <c r="B173">
        <v>661</v>
      </c>
      <c r="C173" t="s">
        <v>1313</v>
      </c>
      <c r="D173">
        <f>VLOOKUP(C173,items_full!$A$2:$B$254,2,0)</f>
        <v>2633</v>
      </c>
      <c r="E173" t="s">
        <v>1543</v>
      </c>
      <c r="H173" t="s">
        <v>1604</v>
      </c>
      <c r="I173" t="s">
        <v>1799</v>
      </c>
      <c r="K173" t="s">
        <v>1632</v>
      </c>
      <c r="L173" t="s">
        <v>1797</v>
      </c>
      <c r="M173" t="s">
        <v>1798</v>
      </c>
      <c r="N173" t="s">
        <v>1577</v>
      </c>
      <c r="O173" t="s">
        <v>1578</v>
      </c>
      <c r="P173">
        <v>1</v>
      </c>
      <c r="Q173" t="s">
        <v>1662</v>
      </c>
      <c r="R173" t="s">
        <v>1607</v>
      </c>
      <c r="S173" t="s">
        <v>4648</v>
      </c>
      <c r="T173" t="s">
        <v>4654</v>
      </c>
    </row>
    <row r="174" spans="1:20" x14ac:dyDescent="0.3">
      <c r="A174" t="s">
        <v>1800</v>
      </c>
      <c r="B174">
        <v>667</v>
      </c>
      <c r="C174" t="s">
        <v>1319</v>
      </c>
      <c r="D174">
        <f>VLOOKUP(C174,items_full!$A$2:$B$254,2,0)</f>
        <v>2635</v>
      </c>
      <c r="E174" t="s">
        <v>1543</v>
      </c>
      <c r="H174" t="s">
        <v>1604</v>
      </c>
      <c r="I174" t="s">
        <v>1318</v>
      </c>
      <c r="K174" t="s">
        <v>1632</v>
      </c>
      <c r="L174" t="s">
        <v>1797</v>
      </c>
      <c r="M174" t="s">
        <v>1661</v>
      </c>
      <c r="N174" t="s">
        <v>1577</v>
      </c>
      <c r="O174" t="s">
        <v>1578</v>
      </c>
      <c r="P174">
        <v>1</v>
      </c>
      <c r="Q174" t="s">
        <v>1662</v>
      </c>
      <c r="R174" t="s">
        <v>1607</v>
      </c>
      <c r="S174" t="s">
        <v>4648</v>
      </c>
      <c r="T174" t="s">
        <v>4654</v>
      </c>
    </row>
    <row r="175" spans="1:20" x14ac:dyDescent="0.3">
      <c r="A175" t="s">
        <v>1801</v>
      </c>
      <c r="B175">
        <v>671</v>
      </c>
      <c r="C175" t="s">
        <v>1319</v>
      </c>
      <c r="D175">
        <f>VLOOKUP(C175,items_full!$A$2:$B$254,2,0)</f>
        <v>2635</v>
      </c>
      <c r="E175" t="s">
        <v>1543</v>
      </c>
      <c r="H175" t="s">
        <v>1604</v>
      </c>
      <c r="I175" t="s">
        <v>1318</v>
      </c>
      <c r="K175" t="s">
        <v>1632</v>
      </c>
      <c r="L175" t="s">
        <v>1022</v>
      </c>
      <c r="M175" t="s">
        <v>1661</v>
      </c>
      <c r="N175" t="s">
        <v>1577</v>
      </c>
      <c r="O175" t="s">
        <v>1578</v>
      </c>
      <c r="P175">
        <v>1</v>
      </c>
      <c r="Q175" t="s">
        <v>1662</v>
      </c>
      <c r="R175" t="s">
        <v>1567</v>
      </c>
      <c r="S175" t="s">
        <v>4648</v>
      </c>
      <c r="T175" t="s">
        <v>4654</v>
      </c>
    </row>
    <row r="176" spans="1:20" x14ac:dyDescent="0.3">
      <c r="A176" t="s">
        <v>1802</v>
      </c>
      <c r="B176">
        <v>674</v>
      </c>
      <c r="C176" t="s">
        <v>1319</v>
      </c>
      <c r="D176">
        <f>VLOOKUP(C176,items_full!$A$2:$B$254,2,0)</f>
        <v>2635</v>
      </c>
      <c r="E176" t="s">
        <v>1543</v>
      </c>
      <c r="H176" t="s">
        <v>1604</v>
      </c>
      <c r="I176" t="s">
        <v>1318</v>
      </c>
      <c r="K176" t="s">
        <v>1632</v>
      </c>
      <c r="L176" t="s">
        <v>1552</v>
      </c>
      <c r="M176" t="s">
        <v>1552</v>
      </c>
      <c r="N176" t="s">
        <v>1552</v>
      </c>
      <c r="O176" t="s">
        <v>1552</v>
      </c>
      <c r="P176" t="s">
        <v>1552</v>
      </c>
      <c r="Q176" t="s">
        <v>1552</v>
      </c>
      <c r="R176" t="s">
        <v>1552</v>
      </c>
      <c r="S176" t="s">
        <v>4648</v>
      </c>
      <c r="T176" t="s">
        <v>4654</v>
      </c>
    </row>
    <row r="177" spans="1:20" x14ac:dyDescent="0.3">
      <c r="A177" t="s">
        <v>1803</v>
      </c>
      <c r="B177">
        <v>677</v>
      </c>
      <c r="C177" t="s">
        <v>1322</v>
      </c>
      <c r="D177">
        <f>VLOOKUP(C177,items_full!$A$2:$B$254,2,0)</f>
        <v>677</v>
      </c>
      <c r="E177" t="s">
        <v>1543</v>
      </c>
      <c r="H177" t="s">
        <v>1604</v>
      </c>
      <c r="I177" t="s">
        <v>1804</v>
      </c>
      <c r="K177" t="s">
        <v>1322</v>
      </c>
      <c r="L177" t="s">
        <v>1022</v>
      </c>
      <c r="M177" t="s">
        <v>1661</v>
      </c>
      <c r="N177" t="s">
        <v>1577</v>
      </c>
      <c r="O177" t="s">
        <v>1578</v>
      </c>
      <c r="P177">
        <v>1</v>
      </c>
      <c r="Q177" t="s">
        <v>1662</v>
      </c>
      <c r="R177" t="s">
        <v>1567</v>
      </c>
      <c r="S177" t="s">
        <v>4648</v>
      </c>
      <c r="T177" t="s">
        <v>4654</v>
      </c>
    </row>
    <row r="178" spans="1:20" x14ac:dyDescent="0.3">
      <c r="A178" t="s">
        <v>1805</v>
      </c>
      <c r="B178">
        <v>687</v>
      </c>
      <c r="C178" t="s">
        <v>1324</v>
      </c>
      <c r="D178">
        <f>VLOOKUP(C178,items_full!$A$2:$B$254,2,0)</f>
        <v>2640</v>
      </c>
      <c r="E178" t="s">
        <v>1543</v>
      </c>
      <c r="H178" t="s">
        <v>1604</v>
      </c>
      <c r="I178" t="s">
        <v>1328</v>
      </c>
      <c r="K178" t="s">
        <v>1806</v>
      </c>
      <c r="L178" t="s">
        <v>1022</v>
      </c>
      <c r="M178" t="s">
        <v>1661</v>
      </c>
      <c r="N178" t="s">
        <v>1577</v>
      </c>
      <c r="O178" t="s">
        <v>1578</v>
      </c>
      <c r="P178">
        <v>1</v>
      </c>
      <c r="Q178" t="s">
        <v>1662</v>
      </c>
      <c r="R178" t="s">
        <v>1559</v>
      </c>
      <c r="S178" t="s">
        <v>4648</v>
      </c>
      <c r="T178" t="s">
        <v>4654</v>
      </c>
    </row>
    <row r="179" spans="1:20" x14ac:dyDescent="0.3">
      <c r="A179" t="s">
        <v>1807</v>
      </c>
      <c r="B179">
        <v>689</v>
      </c>
      <c r="C179" t="s">
        <v>1326</v>
      </c>
      <c r="D179">
        <f>VLOOKUP(C179,items_full!$A$2:$B$254,2,0)</f>
        <v>2641</v>
      </c>
      <c r="E179" t="s">
        <v>1543</v>
      </c>
      <c r="H179" t="s">
        <v>1604</v>
      </c>
      <c r="I179" t="s">
        <v>1808</v>
      </c>
      <c r="K179" t="s">
        <v>1809</v>
      </c>
      <c r="L179" t="s">
        <v>1022</v>
      </c>
      <c r="M179" t="s">
        <v>1661</v>
      </c>
      <c r="N179" t="s">
        <v>1577</v>
      </c>
      <c r="O179" t="s">
        <v>1578</v>
      </c>
      <c r="P179">
        <v>1</v>
      </c>
      <c r="Q179" t="s">
        <v>1662</v>
      </c>
      <c r="R179" t="s">
        <v>1559</v>
      </c>
      <c r="S179" t="s">
        <v>4648</v>
      </c>
      <c r="T179" t="s">
        <v>4654</v>
      </c>
    </row>
    <row r="180" spans="1:20" x14ac:dyDescent="0.3">
      <c r="A180" t="s">
        <v>1810</v>
      </c>
      <c r="B180">
        <v>692</v>
      </c>
      <c r="C180" t="s">
        <v>1328</v>
      </c>
      <c r="D180">
        <f>VLOOKUP(C180,items_full!$A$2:$B$254,2,0)</f>
        <v>2645</v>
      </c>
      <c r="E180" t="s">
        <v>1543</v>
      </c>
      <c r="H180" t="s">
        <v>1604</v>
      </c>
      <c r="I180" t="s">
        <v>1328</v>
      </c>
      <c r="K180" t="s">
        <v>1806</v>
      </c>
      <c r="L180" t="s">
        <v>1022</v>
      </c>
      <c r="M180" t="s">
        <v>1661</v>
      </c>
      <c r="N180" t="s">
        <v>1577</v>
      </c>
      <c r="O180" t="s">
        <v>1578</v>
      </c>
      <c r="P180">
        <v>1</v>
      </c>
      <c r="Q180" t="s">
        <v>1662</v>
      </c>
      <c r="R180" t="s">
        <v>1559</v>
      </c>
      <c r="S180" t="s">
        <v>4648</v>
      </c>
      <c r="T180" t="s">
        <v>4654</v>
      </c>
    </row>
    <row r="181" spans="1:20" x14ac:dyDescent="0.3">
      <c r="A181" t="s">
        <v>1811</v>
      </c>
      <c r="B181">
        <v>693</v>
      </c>
      <c r="C181" t="s">
        <v>1328</v>
      </c>
      <c r="D181">
        <f>VLOOKUP(C181,items_full!$A$2:$B$254,2,0)</f>
        <v>2645</v>
      </c>
      <c r="E181" t="s">
        <v>1543</v>
      </c>
      <c r="H181" t="s">
        <v>1604</v>
      </c>
      <c r="I181" t="s">
        <v>1328</v>
      </c>
      <c r="K181" t="s">
        <v>1806</v>
      </c>
      <c r="L181" t="s">
        <v>1022</v>
      </c>
      <c r="M181" t="s">
        <v>1661</v>
      </c>
      <c r="N181" t="s">
        <v>1577</v>
      </c>
      <c r="O181" t="s">
        <v>1578</v>
      </c>
      <c r="P181">
        <v>1</v>
      </c>
      <c r="Q181" t="s">
        <v>1662</v>
      </c>
      <c r="R181" t="s">
        <v>1567</v>
      </c>
      <c r="S181" t="s">
        <v>4648</v>
      </c>
      <c r="T181" t="s">
        <v>4654</v>
      </c>
    </row>
    <row r="182" spans="1:20" x14ac:dyDescent="0.3">
      <c r="A182" t="s">
        <v>1812</v>
      </c>
      <c r="B182">
        <v>698</v>
      </c>
      <c r="C182" t="s">
        <v>1330</v>
      </c>
      <c r="D182">
        <f>VLOOKUP(C182,items_full!$A$2:$B$254,2,0)</f>
        <v>2642</v>
      </c>
      <c r="E182" t="s">
        <v>1543</v>
      </c>
      <c r="H182" t="s">
        <v>1604</v>
      </c>
      <c r="I182" t="s">
        <v>1328</v>
      </c>
      <c r="K182" t="s">
        <v>1806</v>
      </c>
      <c r="L182" t="s">
        <v>1022</v>
      </c>
      <c r="M182" t="s">
        <v>1661</v>
      </c>
      <c r="N182" t="s">
        <v>1577</v>
      </c>
      <c r="O182" t="s">
        <v>1578</v>
      </c>
      <c r="P182">
        <v>1</v>
      </c>
      <c r="Q182" t="s">
        <v>1662</v>
      </c>
      <c r="R182" t="s">
        <v>1567</v>
      </c>
      <c r="S182" t="s">
        <v>4648</v>
      </c>
      <c r="T182" t="s">
        <v>4654</v>
      </c>
    </row>
    <row r="183" spans="1:20" x14ac:dyDescent="0.3">
      <c r="A183" t="s">
        <v>1813</v>
      </c>
      <c r="B183">
        <v>702</v>
      </c>
      <c r="C183" t="s">
        <v>1328</v>
      </c>
      <c r="D183">
        <f>VLOOKUP(C183,items_full!$A$2:$B$254,2,0)</f>
        <v>2645</v>
      </c>
      <c r="E183" t="s">
        <v>1543</v>
      </c>
      <c r="H183" t="s">
        <v>1604</v>
      </c>
      <c r="I183" t="s">
        <v>1328</v>
      </c>
      <c r="K183" t="s">
        <v>1806</v>
      </c>
      <c r="L183" t="s">
        <v>1022</v>
      </c>
      <c r="M183" t="s">
        <v>1661</v>
      </c>
      <c r="N183" t="s">
        <v>1577</v>
      </c>
      <c r="O183" t="s">
        <v>1578</v>
      </c>
      <c r="P183">
        <v>1</v>
      </c>
      <c r="Q183" t="s">
        <v>1662</v>
      </c>
      <c r="R183" t="s">
        <v>1567</v>
      </c>
      <c r="S183" t="s">
        <v>4648</v>
      </c>
      <c r="T183" t="s">
        <v>4654</v>
      </c>
    </row>
    <row r="184" spans="1:20" x14ac:dyDescent="0.3">
      <c r="A184" t="s">
        <v>1814</v>
      </c>
      <c r="B184">
        <v>711</v>
      </c>
      <c r="C184" t="s">
        <v>1328</v>
      </c>
      <c r="D184">
        <f>VLOOKUP(C184,items_full!$A$2:$B$254,2,0)</f>
        <v>2645</v>
      </c>
      <c r="E184" t="s">
        <v>1543</v>
      </c>
      <c r="H184" t="s">
        <v>1604</v>
      </c>
      <c r="I184" t="s">
        <v>1328</v>
      </c>
      <c r="K184" t="s">
        <v>1806</v>
      </c>
      <c r="L184" t="s">
        <v>1022</v>
      </c>
      <c r="M184" t="s">
        <v>1661</v>
      </c>
      <c r="N184" t="s">
        <v>1577</v>
      </c>
      <c r="O184" t="s">
        <v>1578</v>
      </c>
      <c r="P184">
        <v>1</v>
      </c>
      <c r="Q184" t="s">
        <v>1662</v>
      </c>
      <c r="R184" t="s">
        <v>1559</v>
      </c>
      <c r="S184" t="s">
        <v>4648</v>
      </c>
      <c r="T184" t="s">
        <v>4654</v>
      </c>
    </row>
    <row r="185" spans="1:20" x14ac:dyDescent="0.3">
      <c r="A185" t="s">
        <v>1815</v>
      </c>
      <c r="B185">
        <v>720</v>
      </c>
      <c r="C185" t="s">
        <v>1328</v>
      </c>
      <c r="D185">
        <f>VLOOKUP(C185,items_full!$A$2:$B$254,2,0)</f>
        <v>2645</v>
      </c>
      <c r="E185" t="s">
        <v>1543</v>
      </c>
      <c r="H185" t="s">
        <v>1604</v>
      </c>
      <c r="I185" t="s">
        <v>1328</v>
      </c>
      <c r="K185" t="s">
        <v>1806</v>
      </c>
      <c r="L185" t="s">
        <v>1022</v>
      </c>
      <c r="M185" t="s">
        <v>1661</v>
      </c>
      <c r="N185" t="s">
        <v>1577</v>
      </c>
      <c r="O185" t="s">
        <v>1578</v>
      </c>
      <c r="P185">
        <v>1</v>
      </c>
      <c r="Q185" t="s">
        <v>1662</v>
      </c>
      <c r="R185" t="s">
        <v>1559</v>
      </c>
      <c r="S185" t="s">
        <v>4648</v>
      </c>
      <c r="T185" t="s">
        <v>4654</v>
      </c>
    </row>
    <row r="186" spans="1:20" x14ac:dyDescent="0.3">
      <c r="A186" t="s">
        <v>1816</v>
      </c>
      <c r="B186">
        <v>723</v>
      </c>
      <c r="C186" t="s">
        <v>1328</v>
      </c>
      <c r="D186">
        <f>VLOOKUP(C186,items_full!$A$2:$B$254,2,0)</f>
        <v>2645</v>
      </c>
      <c r="E186" t="s">
        <v>1543</v>
      </c>
      <c r="H186" t="s">
        <v>1604</v>
      </c>
      <c r="I186" t="s">
        <v>1328</v>
      </c>
      <c r="K186" t="s">
        <v>1806</v>
      </c>
      <c r="L186" t="s">
        <v>1022</v>
      </c>
      <c r="M186" t="s">
        <v>1661</v>
      </c>
      <c r="N186" t="s">
        <v>1577</v>
      </c>
      <c r="O186" t="s">
        <v>1578</v>
      </c>
      <c r="P186">
        <v>1</v>
      </c>
      <c r="Q186" t="s">
        <v>1662</v>
      </c>
      <c r="R186" t="s">
        <v>1559</v>
      </c>
      <c r="S186" t="s">
        <v>4648</v>
      </c>
      <c r="T186" t="s">
        <v>4654</v>
      </c>
    </row>
    <row r="187" spans="1:20" x14ac:dyDescent="0.3">
      <c r="A187" t="s">
        <v>1817</v>
      </c>
      <c r="B187">
        <v>748</v>
      </c>
      <c r="C187" t="s">
        <v>1328</v>
      </c>
      <c r="D187">
        <f>VLOOKUP(C187,items_full!$A$2:$B$254,2,0)</f>
        <v>2645</v>
      </c>
      <c r="E187" t="s">
        <v>1543</v>
      </c>
      <c r="H187" t="s">
        <v>1604</v>
      </c>
      <c r="I187" t="s">
        <v>1336</v>
      </c>
      <c r="K187" t="s">
        <v>1336</v>
      </c>
      <c r="L187" t="s">
        <v>1022</v>
      </c>
      <c r="M187" t="s">
        <v>1661</v>
      </c>
      <c r="N187" t="s">
        <v>1577</v>
      </c>
      <c r="O187" t="s">
        <v>1578</v>
      </c>
      <c r="P187">
        <v>1</v>
      </c>
      <c r="Q187" t="s">
        <v>1662</v>
      </c>
      <c r="R187" t="s">
        <v>1559</v>
      </c>
      <c r="S187" t="s">
        <v>4648</v>
      </c>
      <c r="T187" t="s">
        <v>4654</v>
      </c>
    </row>
    <row r="188" spans="1:20" x14ac:dyDescent="0.3">
      <c r="A188" t="s">
        <v>1818</v>
      </c>
      <c r="B188">
        <v>754</v>
      </c>
      <c r="C188" t="s">
        <v>1328</v>
      </c>
      <c r="D188">
        <f>VLOOKUP(C188,items_full!$A$2:$B$254,2,0)</f>
        <v>2645</v>
      </c>
      <c r="E188" t="s">
        <v>1543</v>
      </c>
      <c r="H188" t="s">
        <v>1604</v>
      </c>
      <c r="I188" t="s">
        <v>1328</v>
      </c>
      <c r="K188" t="s">
        <v>1806</v>
      </c>
      <c r="L188" t="s">
        <v>1022</v>
      </c>
      <c r="M188" t="s">
        <v>1661</v>
      </c>
      <c r="N188" t="s">
        <v>1577</v>
      </c>
      <c r="O188" t="s">
        <v>1578</v>
      </c>
      <c r="P188">
        <v>1</v>
      </c>
      <c r="Q188" t="s">
        <v>1662</v>
      </c>
      <c r="R188" t="s">
        <v>1559</v>
      </c>
      <c r="S188" t="s">
        <v>4648</v>
      </c>
      <c r="T188" t="s">
        <v>4654</v>
      </c>
    </row>
    <row r="189" spans="1:20" x14ac:dyDescent="0.3">
      <c r="A189" t="s">
        <v>1819</v>
      </c>
      <c r="B189">
        <v>767</v>
      </c>
      <c r="C189" t="s">
        <v>1340</v>
      </c>
      <c r="D189">
        <f>VLOOKUP(C189,items_full!$A$2:$B$254,2,0)</f>
        <v>2661</v>
      </c>
      <c r="E189" t="s">
        <v>1543</v>
      </c>
      <c r="I189" t="s">
        <v>1820</v>
      </c>
      <c r="K189" t="s">
        <v>1821</v>
      </c>
      <c r="L189" t="s">
        <v>1822</v>
      </c>
      <c r="M189" t="s">
        <v>1823</v>
      </c>
      <c r="N189" t="s">
        <v>1824</v>
      </c>
      <c r="O189" t="s">
        <v>1825</v>
      </c>
      <c r="P189">
        <v>1</v>
      </c>
      <c r="Q189" t="s">
        <v>1826</v>
      </c>
      <c r="R189">
        <v>0</v>
      </c>
      <c r="S189" t="s">
        <v>4648</v>
      </c>
      <c r="T189" t="s">
        <v>4654</v>
      </c>
    </row>
    <row r="190" spans="1:20" x14ac:dyDescent="0.3">
      <c r="A190" t="s">
        <v>1524</v>
      </c>
      <c r="B190" s="1">
        <v>772</v>
      </c>
      <c r="C190" t="s">
        <v>1524</v>
      </c>
      <c r="D190" s="1">
        <v>772</v>
      </c>
      <c r="E190" t="s">
        <v>1543</v>
      </c>
      <c r="H190" t="s">
        <v>1604</v>
      </c>
      <c r="I190" t="s">
        <v>1827</v>
      </c>
      <c r="K190" t="s">
        <v>1828</v>
      </c>
      <c r="L190" t="s">
        <v>1822</v>
      </c>
      <c r="M190" t="s">
        <v>1823</v>
      </c>
      <c r="N190" t="s">
        <v>1824</v>
      </c>
      <c r="O190" t="s">
        <v>1825</v>
      </c>
      <c r="P190">
        <v>1</v>
      </c>
      <c r="Q190" t="s">
        <v>1826</v>
      </c>
      <c r="R190" t="s">
        <v>1547</v>
      </c>
      <c r="S190" t="s">
        <v>4648</v>
      </c>
      <c r="T190" t="s">
        <v>4654</v>
      </c>
    </row>
    <row r="191" spans="1:20" x14ac:dyDescent="0.3">
      <c r="A191" t="s">
        <v>1829</v>
      </c>
      <c r="B191">
        <v>773</v>
      </c>
      <c r="C191" t="s">
        <v>1345</v>
      </c>
      <c r="D191">
        <f>VLOOKUP(C191,items_full!$A$2:$B$254,2,0)</f>
        <v>2664</v>
      </c>
      <c r="E191" t="s">
        <v>1543</v>
      </c>
      <c r="H191" t="s">
        <v>1604</v>
      </c>
      <c r="I191" t="s">
        <v>1346</v>
      </c>
      <c r="K191" t="s">
        <v>1828</v>
      </c>
      <c r="L191" t="s">
        <v>1822</v>
      </c>
      <c r="M191" t="s">
        <v>1822</v>
      </c>
      <c r="N191" t="s">
        <v>1824</v>
      </c>
      <c r="O191" t="s">
        <v>1825</v>
      </c>
      <c r="P191">
        <v>1</v>
      </c>
      <c r="Q191" t="s">
        <v>1826</v>
      </c>
      <c r="R191" t="s">
        <v>1567</v>
      </c>
      <c r="S191" t="s">
        <v>4648</v>
      </c>
      <c r="T191" t="s">
        <v>4654</v>
      </c>
    </row>
    <row r="192" spans="1:20" x14ac:dyDescent="0.3">
      <c r="A192" t="s">
        <v>1523</v>
      </c>
      <c r="B192" s="1">
        <v>776</v>
      </c>
      <c r="C192" t="s">
        <v>1523</v>
      </c>
      <c r="D192" s="1">
        <v>776</v>
      </c>
      <c r="E192" t="s">
        <v>1543</v>
      </c>
      <c r="H192" t="s">
        <v>1604</v>
      </c>
      <c r="I192" t="s">
        <v>1827</v>
      </c>
      <c r="K192" t="s">
        <v>1828</v>
      </c>
      <c r="L192" t="s">
        <v>1822</v>
      </c>
      <c r="M192" t="s">
        <v>1823</v>
      </c>
      <c r="N192" t="s">
        <v>1824</v>
      </c>
      <c r="O192" t="s">
        <v>1825</v>
      </c>
      <c r="P192">
        <v>1</v>
      </c>
      <c r="Q192" t="s">
        <v>1826</v>
      </c>
      <c r="R192" t="s">
        <v>1547</v>
      </c>
      <c r="S192" t="s">
        <v>4648</v>
      </c>
      <c r="T192" t="s">
        <v>4654</v>
      </c>
    </row>
    <row r="193" spans="1:20" x14ac:dyDescent="0.3">
      <c r="A193" t="s">
        <v>1830</v>
      </c>
      <c r="B193">
        <v>777</v>
      </c>
      <c r="C193" t="s">
        <v>1345</v>
      </c>
      <c r="D193">
        <f>VLOOKUP(C193,items_full!$A$2:$B$254,2,0)</f>
        <v>2664</v>
      </c>
      <c r="E193" t="s">
        <v>1543</v>
      </c>
      <c r="H193" t="s">
        <v>1604</v>
      </c>
      <c r="I193" t="s">
        <v>1827</v>
      </c>
      <c r="K193" t="s">
        <v>1828</v>
      </c>
      <c r="L193" t="s">
        <v>1822</v>
      </c>
      <c r="M193" t="s">
        <v>1822</v>
      </c>
      <c r="N193" t="s">
        <v>1824</v>
      </c>
      <c r="O193" t="s">
        <v>1825</v>
      </c>
      <c r="P193">
        <v>2</v>
      </c>
      <c r="Q193" t="s">
        <v>1826</v>
      </c>
      <c r="R193" t="s">
        <v>1567</v>
      </c>
      <c r="S193" t="s">
        <v>4648</v>
      </c>
      <c r="T193" t="s">
        <v>4654</v>
      </c>
    </row>
    <row r="194" spans="1:20" x14ac:dyDescent="0.3">
      <c r="A194" t="s">
        <v>1831</v>
      </c>
      <c r="B194">
        <v>778</v>
      </c>
      <c r="C194" t="s">
        <v>1345</v>
      </c>
      <c r="D194">
        <f>VLOOKUP(C194,items_full!$A$2:$B$254,2,0)</f>
        <v>2664</v>
      </c>
      <c r="E194" t="s">
        <v>1543</v>
      </c>
      <c r="H194" t="s">
        <v>1604</v>
      </c>
      <c r="I194" t="s">
        <v>1827</v>
      </c>
      <c r="K194" t="s">
        <v>1828</v>
      </c>
      <c r="L194" t="s">
        <v>1552</v>
      </c>
      <c r="M194" t="s">
        <v>1552</v>
      </c>
      <c r="N194" t="s">
        <v>1552</v>
      </c>
      <c r="O194" t="s">
        <v>1552</v>
      </c>
      <c r="P194" t="s">
        <v>1552</v>
      </c>
      <c r="Q194" t="s">
        <v>1552</v>
      </c>
      <c r="R194" t="s">
        <v>1552</v>
      </c>
      <c r="S194" t="s">
        <v>4648</v>
      </c>
      <c r="T194" t="s">
        <v>4654</v>
      </c>
    </row>
    <row r="195" spans="1:20" x14ac:dyDescent="0.3">
      <c r="A195" t="s">
        <v>1832</v>
      </c>
      <c r="B195">
        <v>780</v>
      </c>
      <c r="C195" t="s">
        <v>1350</v>
      </c>
      <c r="D195">
        <f>VLOOKUP(C195,items_full!$A$2:$B$254,2,0)</f>
        <v>2662</v>
      </c>
      <c r="E195" t="s">
        <v>1543</v>
      </c>
      <c r="H195" t="s">
        <v>1604</v>
      </c>
      <c r="I195" t="s">
        <v>1827</v>
      </c>
      <c r="K195" t="s">
        <v>1828</v>
      </c>
      <c r="L195" t="s">
        <v>1822</v>
      </c>
      <c r="M195" t="s">
        <v>1822</v>
      </c>
      <c r="N195" t="s">
        <v>1824</v>
      </c>
      <c r="O195" t="s">
        <v>1825</v>
      </c>
      <c r="P195">
        <v>2</v>
      </c>
      <c r="Q195" t="s">
        <v>1826</v>
      </c>
      <c r="R195" t="s">
        <v>1567</v>
      </c>
      <c r="S195" t="s">
        <v>4648</v>
      </c>
      <c r="T195" t="s">
        <v>4654</v>
      </c>
    </row>
    <row r="196" spans="1:20" x14ac:dyDescent="0.3">
      <c r="A196" t="s">
        <v>1833</v>
      </c>
      <c r="B196">
        <v>782</v>
      </c>
      <c r="C196" t="s">
        <v>1352</v>
      </c>
      <c r="D196">
        <f>VLOOKUP(C196,items_full!$A$2:$B$254,2,0)</f>
        <v>2663</v>
      </c>
      <c r="E196" t="s">
        <v>1543</v>
      </c>
      <c r="H196" t="s">
        <v>1604</v>
      </c>
      <c r="I196" t="s">
        <v>1827</v>
      </c>
      <c r="K196" t="s">
        <v>1828</v>
      </c>
      <c r="L196" t="s">
        <v>1822</v>
      </c>
      <c r="M196" t="s">
        <v>1822</v>
      </c>
      <c r="N196" t="s">
        <v>1824</v>
      </c>
      <c r="O196" t="s">
        <v>1825</v>
      </c>
      <c r="P196">
        <v>2</v>
      </c>
      <c r="Q196" t="s">
        <v>1826</v>
      </c>
      <c r="R196" t="s">
        <v>1567</v>
      </c>
      <c r="S196" t="s">
        <v>4648</v>
      </c>
      <c r="T196" t="s">
        <v>4654</v>
      </c>
    </row>
    <row r="197" spans="1:20" x14ac:dyDescent="0.3">
      <c r="A197" t="s">
        <v>1834</v>
      </c>
      <c r="B197">
        <v>788</v>
      </c>
      <c r="C197" t="s">
        <v>1345</v>
      </c>
      <c r="D197">
        <f>VLOOKUP(C197,items_full!$A$2:$B$254,2,0)</f>
        <v>2664</v>
      </c>
      <c r="E197" t="s">
        <v>1543</v>
      </c>
      <c r="H197" t="s">
        <v>1604</v>
      </c>
      <c r="I197" t="s">
        <v>1827</v>
      </c>
      <c r="K197" t="s">
        <v>1828</v>
      </c>
      <c r="L197" t="s">
        <v>1822</v>
      </c>
      <c r="M197" t="s">
        <v>1822</v>
      </c>
      <c r="N197" t="s">
        <v>1824</v>
      </c>
      <c r="O197" t="s">
        <v>1825</v>
      </c>
      <c r="P197">
        <v>2</v>
      </c>
      <c r="Q197" t="s">
        <v>1826</v>
      </c>
      <c r="R197" t="s">
        <v>1559</v>
      </c>
      <c r="S197" t="s">
        <v>4648</v>
      </c>
      <c r="T197" t="s">
        <v>4654</v>
      </c>
    </row>
    <row r="198" spans="1:20" x14ac:dyDescent="0.3">
      <c r="A198" t="s">
        <v>1835</v>
      </c>
      <c r="B198">
        <v>789</v>
      </c>
      <c r="C198" t="s">
        <v>1354</v>
      </c>
      <c r="D198">
        <f>VLOOKUP(C198,items_full!$A$2:$B$254,2,0)</f>
        <v>2665</v>
      </c>
      <c r="E198" t="s">
        <v>1543</v>
      </c>
      <c r="H198" t="s">
        <v>1604</v>
      </c>
      <c r="I198" t="s">
        <v>1827</v>
      </c>
      <c r="K198" t="s">
        <v>1828</v>
      </c>
      <c r="L198" t="s">
        <v>1822</v>
      </c>
      <c r="M198" t="s">
        <v>1822</v>
      </c>
      <c r="N198" t="s">
        <v>1824</v>
      </c>
      <c r="O198" t="s">
        <v>1825</v>
      </c>
      <c r="P198">
        <v>2</v>
      </c>
      <c r="Q198" t="s">
        <v>1826</v>
      </c>
      <c r="R198" t="s">
        <v>1567</v>
      </c>
      <c r="S198" t="s">
        <v>4648</v>
      </c>
      <c r="T198" t="s">
        <v>4654</v>
      </c>
    </row>
    <row r="199" spans="1:20" x14ac:dyDescent="0.3">
      <c r="A199" t="s">
        <v>1836</v>
      </c>
      <c r="B199">
        <v>800</v>
      </c>
      <c r="C199" t="s">
        <v>1356</v>
      </c>
      <c r="D199">
        <f>VLOOKUP(C199,items_full!$A$2:$B$254,2,0)</f>
        <v>2667</v>
      </c>
      <c r="E199" t="s">
        <v>1543</v>
      </c>
      <c r="H199" t="s">
        <v>1604</v>
      </c>
      <c r="I199" t="s">
        <v>1827</v>
      </c>
      <c r="K199" t="s">
        <v>1828</v>
      </c>
      <c r="L199" t="s">
        <v>1822</v>
      </c>
      <c r="M199" t="s">
        <v>1822</v>
      </c>
      <c r="N199" t="s">
        <v>1824</v>
      </c>
      <c r="O199" t="s">
        <v>1825</v>
      </c>
      <c r="P199">
        <v>2</v>
      </c>
      <c r="Q199" t="s">
        <v>1826</v>
      </c>
      <c r="R199" t="s">
        <v>1567</v>
      </c>
      <c r="S199" t="s">
        <v>4648</v>
      </c>
      <c r="T199" t="s">
        <v>4654</v>
      </c>
    </row>
    <row r="200" spans="1:20" x14ac:dyDescent="0.3">
      <c r="A200" t="s">
        <v>1837</v>
      </c>
      <c r="B200">
        <v>809</v>
      </c>
      <c r="C200" t="s">
        <v>1358</v>
      </c>
      <c r="D200">
        <f>VLOOKUP(C200,items_full!$A$2:$B$254,2,0)</f>
        <v>2666</v>
      </c>
      <c r="E200" t="s">
        <v>1543</v>
      </c>
      <c r="H200" t="s">
        <v>1604</v>
      </c>
      <c r="I200" t="s">
        <v>1827</v>
      </c>
      <c r="K200" t="s">
        <v>1828</v>
      </c>
      <c r="L200" t="s">
        <v>1822</v>
      </c>
      <c r="M200" t="s">
        <v>1822</v>
      </c>
      <c r="N200" t="s">
        <v>1824</v>
      </c>
      <c r="O200" t="s">
        <v>1825</v>
      </c>
      <c r="P200">
        <v>2</v>
      </c>
      <c r="Q200" t="s">
        <v>1826</v>
      </c>
      <c r="R200" t="s">
        <v>1567</v>
      </c>
      <c r="S200" t="s">
        <v>4648</v>
      </c>
      <c r="T200" t="s">
        <v>4654</v>
      </c>
    </row>
    <row r="201" spans="1:20" x14ac:dyDescent="0.3">
      <c r="A201" t="s">
        <v>1838</v>
      </c>
      <c r="B201">
        <v>813</v>
      </c>
      <c r="C201" t="s">
        <v>1356</v>
      </c>
      <c r="D201">
        <f>VLOOKUP(C201,items_full!$A$2:$B$254,2,0)</f>
        <v>2667</v>
      </c>
      <c r="E201" t="s">
        <v>1543</v>
      </c>
      <c r="H201" t="s">
        <v>1604</v>
      </c>
      <c r="I201" t="s">
        <v>1827</v>
      </c>
      <c r="K201" t="s">
        <v>1828</v>
      </c>
      <c r="L201" t="s">
        <v>1822</v>
      </c>
      <c r="M201" t="s">
        <v>1822</v>
      </c>
      <c r="N201" t="s">
        <v>1825</v>
      </c>
      <c r="O201" t="s">
        <v>1825</v>
      </c>
      <c r="P201">
        <v>2</v>
      </c>
      <c r="Q201" t="s">
        <v>1826</v>
      </c>
      <c r="R201" t="s">
        <v>1607</v>
      </c>
      <c r="S201" t="s">
        <v>4648</v>
      </c>
      <c r="T201" t="s">
        <v>4654</v>
      </c>
    </row>
    <row r="202" spans="1:20" x14ac:dyDescent="0.3">
      <c r="A202" t="s">
        <v>1839</v>
      </c>
      <c r="B202">
        <v>821</v>
      </c>
      <c r="C202" t="s">
        <v>1356</v>
      </c>
      <c r="D202">
        <f>VLOOKUP(C202,items_full!$A$2:$B$254,2,0)</f>
        <v>2667</v>
      </c>
      <c r="E202" t="s">
        <v>1543</v>
      </c>
      <c r="H202" t="s">
        <v>1604</v>
      </c>
      <c r="I202" t="s">
        <v>1827</v>
      </c>
      <c r="K202" t="s">
        <v>1828</v>
      </c>
      <c r="L202" t="s">
        <v>1822</v>
      </c>
      <c r="M202" t="s">
        <v>1822</v>
      </c>
      <c r="N202" t="s">
        <v>1824</v>
      </c>
      <c r="O202" t="s">
        <v>1825</v>
      </c>
      <c r="P202">
        <v>2</v>
      </c>
      <c r="Q202" t="s">
        <v>1826</v>
      </c>
      <c r="R202" t="s">
        <v>1567</v>
      </c>
      <c r="S202" t="s">
        <v>4648</v>
      </c>
      <c r="T202" t="s">
        <v>4654</v>
      </c>
    </row>
    <row r="203" spans="1:20" ht="13.95" customHeight="1" x14ac:dyDescent="0.3">
      <c r="A203" t="s">
        <v>1840</v>
      </c>
      <c r="B203">
        <v>826</v>
      </c>
      <c r="C203" t="s">
        <v>1362</v>
      </c>
      <c r="D203">
        <f>VLOOKUP(C203,items_full!$A$2:$B$254,2,0)</f>
        <v>2671</v>
      </c>
      <c r="E203" t="s">
        <v>1543</v>
      </c>
      <c r="H203" t="s">
        <v>1604</v>
      </c>
      <c r="I203" t="s">
        <v>1362</v>
      </c>
      <c r="K203" t="s">
        <v>1362</v>
      </c>
      <c r="L203" t="s">
        <v>1362</v>
      </c>
      <c r="M203" t="s">
        <v>1576</v>
      </c>
      <c r="N203" t="s">
        <v>1577</v>
      </c>
      <c r="O203" t="s">
        <v>1578</v>
      </c>
      <c r="P203">
        <v>2</v>
      </c>
      <c r="Q203" t="s">
        <v>1579</v>
      </c>
      <c r="R203" t="s">
        <v>1559</v>
      </c>
      <c r="S203" t="s">
        <v>4648</v>
      </c>
      <c r="T203" t="s">
        <v>4654</v>
      </c>
    </row>
    <row r="204" spans="1:20" x14ac:dyDescent="0.3">
      <c r="A204" t="s">
        <v>1841</v>
      </c>
      <c r="B204">
        <v>836</v>
      </c>
      <c r="C204" t="s">
        <v>1367</v>
      </c>
      <c r="D204">
        <f>VLOOKUP(C204,items_full!$A$2:$B$254,2,0)</f>
        <v>2672</v>
      </c>
      <c r="E204" t="s">
        <v>1543</v>
      </c>
      <c r="H204" t="s">
        <v>1604</v>
      </c>
      <c r="I204" t="s">
        <v>1367</v>
      </c>
      <c r="K204" t="s">
        <v>1632</v>
      </c>
      <c r="L204" t="s">
        <v>1367</v>
      </c>
      <c r="M204" t="s">
        <v>1823</v>
      </c>
      <c r="N204" t="s">
        <v>1824</v>
      </c>
      <c r="O204" t="s">
        <v>1825</v>
      </c>
      <c r="P204">
        <v>2</v>
      </c>
      <c r="Q204" t="s">
        <v>1826</v>
      </c>
      <c r="R204" t="s">
        <v>1567</v>
      </c>
      <c r="S204" t="s">
        <v>4648</v>
      </c>
      <c r="T204" t="s">
        <v>4654</v>
      </c>
    </row>
    <row r="205" spans="1:20" x14ac:dyDescent="0.3">
      <c r="A205" t="s">
        <v>4696</v>
      </c>
      <c r="B205">
        <v>839</v>
      </c>
      <c r="C205" t="s">
        <v>1367</v>
      </c>
      <c r="D205">
        <f>VLOOKUP(C205,items_full!$A$2:$B$254,2,0)</f>
        <v>2672</v>
      </c>
      <c r="E205" t="s">
        <v>1543</v>
      </c>
      <c r="H205" t="s">
        <v>1604</v>
      </c>
      <c r="I205" t="s">
        <v>1367</v>
      </c>
      <c r="K205" t="s">
        <v>1632</v>
      </c>
      <c r="L205" t="s">
        <v>1367</v>
      </c>
      <c r="M205" t="s">
        <v>1823</v>
      </c>
      <c r="N205" t="s">
        <v>1824</v>
      </c>
      <c r="O205" t="s">
        <v>1825</v>
      </c>
      <c r="P205">
        <v>2</v>
      </c>
      <c r="Q205" t="s">
        <v>1826</v>
      </c>
      <c r="R205" t="s">
        <v>1567</v>
      </c>
      <c r="S205" t="s">
        <v>4648</v>
      </c>
      <c r="T205" t="s">
        <v>4654</v>
      </c>
    </row>
    <row r="206" spans="1:20" x14ac:dyDescent="0.3">
      <c r="A206" t="s">
        <v>740</v>
      </c>
      <c r="B206">
        <v>867</v>
      </c>
      <c r="C206" t="s">
        <v>807</v>
      </c>
      <c r="D206">
        <f>VLOOKUP(C206,items_full!$A$2:$B$254,2,0)</f>
        <v>2731</v>
      </c>
      <c r="E206" t="s">
        <v>1842</v>
      </c>
      <c r="F206" t="s">
        <v>739</v>
      </c>
      <c r="G206">
        <v>961</v>
      </c>
      <c r="I206" s="4" t="s">
        <v>808</v>
      </c>
      <c r="L206" t="s">
        <v>1552</v>
      </c>
      <c r="M206" t="s">
        <v>1552</v>
      </c>
      <c r="N206" t="s">
        <v>1552</v>
      </c>
      <c r="O206" t="s">
        <v>1552</v>
      </c>
      <c r="P206" t="s">
        <v>1552</v>
      </c>
      <c r="Q206" t="s">
        <v>1552</v>
      </c>
      <c r="R206" t="s">
        <v>1552</v>
      </c>
    </row>
    <row r="207" spans="1:20" x14ac:dyDescent="0.3">
      <c r="A207" t="s">
        <v>1843</v>
      </c>
      <c r="B207">
        <v>868</v>
      </c>
      <c r="C207" t="s">
        <v>811</v>
      </c>
      <c r="D207">
        <f>VLOOKUP(C207,items_full!$A$2:$B$254,2,0)</f>
        <v>2736</v>
      </c>
      <c r="E207" t="s">
        <v>1842</v>
      </c>
      <c r="F207" t="s">
        <v>739</v>
      </c>
      <c r="G207">
        <v>961</v>
      </c>
      <c r="I207" s="4" t="s">
        <v>812</v>
      </c>
      <c r="L207" t="s">
        <v>1552</v>
      </c>
      <c r="M207" t="s">
        <v>1552</v>
      </c>
      <c r="N207" t="s">
        <v>1552</v>
      </c>
      <c r="O207" t="s">
        <v>1552</v>
      </c>
      <c r="P207" t="s">
        <v>1552</v>
      </c>
      <c r="Q207" t="s">
        <v>1552</v>
      </c>
      <c r="R207" t="s">
        <v>1552</v>
      </c>
    </row>
    <row r="208" spans="1:20" x14ac:dyDescent="0.3">
      <c r="A208" t="s">
        <v>797</v>
      </c>
      <c r="B208">
        <v>869</v>
      </c>
      <c r="C208" t="s">
        <v>800</v>
      </c>
      <c r="D208">
        <f>VLOOKUP(C208,items_full!$A$2:$B$254,2,0)</f>
        <v>2737</v>
      </c>
      <c r="E208" t="s">
        <v>1842</v>
      </c>
      <c r="F208" t="s">
        <v>739</v>
      </c>
      <c r="G208">
        <v>961</v>
      </c>
      <c r="I208" t="s">
        <v>801</v>
      </c>
      <c r="L208" t="s">
        <v>1552</v>
      </c>
      <c r="M208" t="s">
        <v>1552</v>
      </c>
      <c r="N208" t="s">
        <v>1552</v>
      </c>
      <c r="O208" t="s">
        <v>1552</v>
      </c>
      <c r="P208" t="s">
        <v>1552</v>
      </c>
      <c r="Q208" t="s">
        <v>1552</v>
      </c>
      <c r="R208" t="s">
        <v>1552</v>
      </c>
    </row>
    <row r="209" spans="1:18" x14ac:dyDescent="0.3">
      <c r="A209" t="s">
        <v>744</v>
      </c>
      <c r="B209">
        <v>882</v>
      </c>
      <c r="C209" t="s">
        <v>815</v>
      </c>
      <c r="D209">
        <f>VLOOKUP(C209,items_full!$A$2:$B$254,2,0)</f>
        <v>2848</v>
      </c>
      <c r="E209" t="s">
        <v>1842</v>
      </c>
      <c r="F209" t="s">
        <v>742</v>
      </c>
      <c r="G209">
        <v>960</v>
      </c>
      <c r="I209" t="s">
        <v>816</v>
      </c>
      <c r="L209" t="s">
        <v>1552</v>
      </c>
      <c r="M209" t="s">
        <v>1552</v>
      </c>
      <c r="N209" t="s">
        <v>1552</v>
      </c>
      <c r="O209" t="s">
        <v>1552</v>
      </c>
      <c r="P209" t="s">
        <v>1552</v>
      </c>
      <c r="Q209" t="s">
        <v>1552</v>
      </c>
      <c r="R209" t="s">
        <v>1552</v>
      </c>
    </row>
    <row r="210" spans="1:18" x14ac:dyDescent="0.3">
      <c r="A210" t="s">
        <v>1844</v>
      </c>
      <c r="B210">
        <v>885</v>
      </c>
      <c r="I210" s="26"/>
      <c r="L210" t="s">
        <v>1552</v>
      </c>
      <c r="M210" t="s">
        <v>1552</v>
      </c>
      <c r="N210" t="s">
        <v>1552</v>
      </c>
      <c r="O210" t="s">
        <v>1552</v>
      </c>
      <c r="P210" t="s">
        <v>1552</v>
      </c>
      <c r="Q210" t="s">
        <v>1552</v>
      </c>
      <c r="R210" t="s">
        <v>1552</v>
      </c>
    </row>
    <row r="211" spans="1:18" x14ac:dyDescent="0.3">
      <c r="A211" t="s">
        <v>1845</v>
      </c>
      <c r="B211">
        <v>886</v>
      </c>
      <c r="C211" t="s">
        <v>1384</v>
      </c>
      <c r="D211">
        <f>VLOOKUP(C211,items_full!$A$2:$B$254,2,0)</f>
        <v>2740</v>
      </c>
      <c r="E211" t="s">
        <v>1842</v>
      </c>
      <c r="F211" t="s">
        <v>742</v>
      </c>
      <c r="G211">
        <v>960</v>
      </c>
      <c r="I211" t="s">
        <v>1384</v>
      </c>
      <c r="L211" t="s">
        <v>1552</v>
      </c>
      <c r="M211" t="s">
        <v>1552</v>
      </c>
      <c r="N211" t="s">
        <v>1552</v>
      </c>
      <c r="O211" t="s">
        <v>1552</v>
      </c>
      <c r="P211" t="s">
        <v>1552</v>
      </c>
      <c r="Q211" t="s">
        <v>1552</v>
      </c>
      <c r="R211" t="s">
        <v>1552</v>
      </c>
    </row>
    <row r="212" spans="1:18" x14ac:dyDescent="0.3">
      <c r="A212" t="s">
        <v>1846</v>
      </c>
      <c r="B212">
        <v>887</v>
      </c>
      <c r="C212" t="s">
        <v>1384</v>
      </c>
      <c r="D212">
        <f>VLOOKUP(C212,items_full!$A$2:$B$254,2,0)</f>
        <v>2740</v>
      </c>
      <c r="E212" t="s">
        <v>1842</v>
      </c>
      <c r="F212" t="s">
        <v>742</v>
      </c>
      <c r="G212">
        <v>960</v>
      </c>
      <c r="I212" t="s">
        <v>1384</v>
      </c>
      <c r="L212" t="s">
        <v>1552</v>
      </c>
      <c r="M212" t="s">
        <v>1552</v>
      </c>
      <c r="N212" t="s">
        <v>1552</v>
      </c>
      <c r="O212" t="s">
        <v>1552</v>
      </c>
      <c r="P212" t="s">
        <v>1552</v>
      </c>
      <c r="Q212" t="s">
        <v>1552</v>
      </c>
      <c r="R212" t="s">
        <v>1552</v>
      </c>
    </row>
    <row r="213" spans="1:18" x14ac:dyDescent="0.3">
      <c r="A213" t="s">
        <v>1847</v>
      </c>
      <c r="B213">
        <v>888</v>
      </c>
      <c r="E213" t="s">
        <v>1842</v>
      </c>
      <c r="I213" s="26"/>
      <c r="L213" t="s">
        <v>1552</v>
      </c>
      <c r="M213" t="s">
        <v>1552</v>
      </c>
      <c r="N213" t="s">
        <v>1552</v>
      </c>
      <c r="O213" t="s">
        <v>1552</v>
      </c>
      <c r="P213" t="s">
        <v>1552</v>
      </c>
      <c r="Q213" t="s">
        <v>1552</v>
      </c>
      <c r="R213" t="s">
        <v>1552</v>
      </c>
    </row>
    <row r="214" spans="1:18" x14ac:dyDescent="0.3">
      <c r="A214" t="s">
        <v>1848</v>
      </c>
      <c r="B214">
        <v>889</v>
      </c>
      <c r="E214" t="s">
        <v>1842</v>
      </c>
      <c r="I214" s="26"/>
      <c r="L214" t="s">
        <v>1552</v>
      </c>
      <c r="M214" t="s">
        <v>1552</v>
      </c>
      <c r="N214" t="s">
        <v>1552</v>
      </c>
      <c r="O214" t="s">
        <v>1552</v>
      </c>
      <c r="P214" t="s">
        <v>1552</v>
      </c>
      <c r="Q214" t="s">
        <v>1552</v>
      </c>
      <c r="R214" t="s">
        <v>1552</v>
      </c>
    </row>
    <row r="215" spans="1:18" x14ac:dyDescent="0.3">
      <c r="A215" t="s">
        <v>1388</v>
      </c>
      <c r="B215">
        <v>890</v>
      </c>
      <c r="E215" t="s">
        <v>1842</v>
      </c>
      <c r="I215" t="s">
        <v>1849</v>
      </c>
      <c r="L215" t="s">
        <v>1552</v>
      </c>
      <c r="M215" t="s">
        <v>1552</v>
      </c>
      <c r="N215" t="s">
        <v>1552</v>
      </c>
      <c r="O215" t="s">
        <v>1552</v>
      </c>
      <c r="P215" t="s">
        <v>1552</v>
      </c>
      <c r="Q215" t="s">
        <v>1552</v>
      </c>
      <c r="R215" t="s">
        <v>1552</v>
      </c>
    </row>
    <row r="216" spans="1:18" x14ac:dyDescent="0.3">
      <c r="A216" t="s">
        <v>1389</v>
      </c>
      <c r="B216">
        <v>891</v>
      </c>
      <c r="E216" t="s">
        <v>1842</v>
      </c>
      <c r="I216" s="26"/>
      <c r="L216" t="s">
        <v>1552</v>
      </c>
      <c r="M216" t="s">
        <v>1552</v>
      </c>
      <c r="N216" t="s">
        <v>1552</v>
      </c>
      <c r="O216" t="s">
        <v>1552</v>
      </c>
      <c r="P216" t="s">
        <v>1552</v>
      </c>
      <c r="Q216" t="s">
        <v>1552</v>
      </c>
      <c r="R216" t="s">
        <v>1552</v>
      </c>
    </row>
    <row r="217" spans="1:18" x14ac:dyDescent="0.3">
      <c r="A217" t="s">
        <v>1850</v>
      </c>
      <c r="B217">
        <v>894</v>
      </c>
      <c r="E217" t="s">
        <v>1842</v>
      </c>
      <c r="I217" s="26"/>
      <c r="L217" t="s">
        <v>1552</v>
      </c>
      <c r="M217" t="s">
        <v>1552</v>
      </c>
      <c r="N217" t="s">
        <v>1552</v>
      </c>
      <c r="O217" t="s">
        <v>1552</v>
      </c>
      <c r="P217" t="s">
        <v>1552</v>
      </c>
      <c r="Q217" t="s">
        <v>1552</v>
      </c>
      <c r="R217" t="s">
        <v>1552</v>
      </c>
    </row>
    <row r="218" spans="1:18" x14ac:dyDescent="0.3">
      <c r="A218" t="s">
        <v>1851</v>
      </c>
      <c r="B218">
        <v>895</v>
      </c>
      <c r="E218" t="s">
        <v>1842</v>
      </c>
      <c r="I218" s="26"/>
      <c r="L218" t="s">
        <v>1552</v>
      </c>
      <c r="M218" t="s">
        <v>1552</v>
      </c>
      <c r="N218" t="s">
        <v>1552</v>
      </c>
      <c r="O218" t="s">
        <v>1552</v>
      </c>
      <c r="P218" t="s">
        <v>1552</v>
      </c>
      <c r="Q218" t="s">
        <v>1552</v>
      </c>
      <c r="R218" t="s">
        <v>1552</v>
      </c>
    </row>
    <row r="219" spans="1:18" x14ac:dyDescent="0.3">
      <c r="A219" t="s">
        <v>1852</v>
      </c>
      <c r="B219">
        <v>896</v>
      </c>
      <c r="E219" t="s">
        <v>1842</v>
      </c>
      <c r="I219" s="26"/>
      <c r="L219" t="s">
        <v>1552</v>
      </c>
      <c r="M219" t="s">
        <v>1552</v>
      </c>
      <c r="N219" t="s">
        <v>1552</v>
      </c>
      <c r="O219" t="s">
        <v>1552</v>
      </c>
      <c r="P219" t="s">
        <v>1552</v>
      </c>
      <c r="Q219" t="s">
        <v>1552</v>
      </c>
      <c r="R219" t="s">
        <v>1552</v>
      </c>
    </row>
    <row r="220" spans="1:18" x14ac:dyDescent="0.3">
      <c r="A220" t="s">
        <v>1853</v>
      </c>
      <c r="B220">
        <v>897</v>
      </c>
      <c r="E220" t="s">
        <v>1842</v>
      </c>
      <c r="I220" s="26"/>
      <c r="L220" t="s">
        <v>1552</v>
      </c>
      <c r="M220" t="s">
        <v>1552</v>
      </c>
      <c r="N220" t="s">
        <v>1552</v>
      </c>
      <c r="O220" t="s">
        <v>1552</v>
      </c>
      <c r="P220" t="s">
        <v>1552</v>
      </c>
      <c r="Q220" t="s">
        <v>1552</v>
      </c>
      <c r="R220" t="s">
        <v>1552</v>
      </c>
    </row>
    <row r="221" spans="1:18" x14ac:dyDescent="0.3">
      <c r="A221" t="s">
        <v>1854</v>
      </c>
      <c r="B221">
        <v>898</v>
      </c>
      <c r="E221" t="s">
        <v>1842</v>
      </c>
      <c r="I221" s="26"/>
      <c r="L221" t="s">
        <v>1552</v>
      </c>
      <c r="M221" t="s">
        <v>1552</v>
      </c>
      <c r="N221" t="s">
        <v>1552</v>
      </c>
      <c r="O221" t="s">
        <v>1552</v>
      </c>
      <c r="P221" t="s">
        <v>1552</v>
      </c>
      <c r="Q221" t="s">
        <v>1552</v>
      </c>
      <c r="R221" t="s">
        <v>1552</v>
      </c>
    </row>
    <row r="222" spans="1:18" x14ac:dyDescent="0.3">
      <c r="A222" t="s">
        <v>1855</v>
      </c>
      <c r="B222">
        <v>899</v>
      </c>
      <c r="E222" t="s">
        <v>1842</v>
      </c>
      <c r="I222" s="26"/>
      <c r="L222" t="s">
        <v>1552</v>
      </c>
      <c r="M222" t="s">
        <v>1552</v>
      </c>
      <c r="N222" t="s">
        <v>1552</v>
      </c>
      <c r="O222" t="s">
        <v>1552</v>
      </c>
      <c r="P222" t="s">
        <v>1552</v>
      </c>
      <c r="Q222" t="s">
        <v>1552</v>
      </c>
      <c r="R222" t="s">
        <v>1552</v>
      </c>
    </row>
    <row r="223" spans="1:18" x14ac:dyDescent="0.3">
      <c r="A223" t="s">
        <v>1398</v>
      </c>
      <c r="B223">
        <v>900</v>
      </c>
      <c r="E223" t="s">
        <v>1842</v>
      </c>
      <c r="I223" s="26"/>
      <c r="L223" t="s">
        <v>1552</v>
      </c>
      <c r="M223" t="s">
        <v>1552</v>
      </c>
      <c r="N223" t="s">
        <v>1552</v>
      </c>
      <c r="O223" t="s">
        <v>1552</v>
      </c>
      <c r="P223" t="s">
        <v>1552</v>
      </c>
      <c r="Q223" t="s">
        <v>1552</v>
      </c>
      <c r="R223" t="s">
        <v>1552</v>
      </c>
    </row>
    <row r="224" spans="1:18" x14ac:dyDescent="0.3">
      <c r="A224" t="s">
        <v>1856</v>
      </c>
      <c r="B224">
        <v>901</v>
      </c>
      <c r="E224" t="s">
        <v>1842</v>
      </c>
      <c r="I224" s="26"/>
      <c r="L224" t="s">
        <v>1552</v>
      </c>
      <c r="M224" t="s">
        <v>1552</v>
      </c>
      <c r="N224" t="s">
        <v>1552</v>
      </c>
      <c r="O224" t="s">
        <v>1552</v>
      </c>
      <c r="P224" t="s">
        <v>1552</v>
      </c>
      <c r="Q224" t="s">
        <v>1552</v>
      </c>
      <c r="R224" t="s">
        <v>1552</v>
      </c>
    </row>
    <row r="225" spans="1:18" x14ac:dyDescent="0.3">
      <c r="A225" t="s">
        <v>1857</v>
      </c>
      <c r="B225">
        <v>904</v>
      </c>
      <c r="E225" t="s">
        <v>1842</v>
      </c>
      <c r="I225" s="26"/>
      <c r="L225" t="s">
        <v>1552</v>
      </c>
      <c r="M225" t="s">
        <v>1552</v>
      </c>
      <c r="N225" t="s">
        <v>1552</v>
      </c>
      <c r="O225" t="s">
        <v>1552</v>
      </c>
      <c r="P225" t="s">
        <v>1552</v>
      </c>
      <c r="Q225" t="s">
        <v>1552</v>
      </c>
      <c r="R225" t="s">
        <v>1552</v>
      </c>
    </row>
    <row r="226" spans="1:18" x14ac:dyDescent="0.3">
      <c r="A226" t="s">
        <v>802</v>
      </c>
      <c r="B226">
        <v>919</v>
      </c>
      <c r="C226" t="s">
        <v>804</v>
      </c>
      <c r="D226">
        <f>VLOOKUP(C226,items_full!$A$2:$B$254,2,0)</f>
        <v>2748</v>
      </c>
      <c r="E226" t="s">
        <v>1842</v>
      </c>
      <c r="F226" t="s">
        <v>739</v>
      </c>
      <c r="G226">
        <v>961</v>
      </c>
      <c r="I226" t="s">
        <v>804</v>
      </c>
      <c r="L226" t="s">
        <v>1552</v>
      </c>
      <c r="M226" t="s">
        <v>1552</v>
      </c>
      <c r="N226" t="s">
        <v>1552</v>
      </c>
      <c r="O226" t="s">
        <v>1552</v>
      </c>
      <c r="P226" t="s">
        <v>1552</v>
      </c>
      <c r="Q226" t="s">
        <v>1552</v>
      </c>
      <c r="R226" t="s">
        <v>1552</v>
      </c>
    </row>
    <row r="227" spans="1:18" x14ac:dyDescent="0.3">
      <c r="A227" t="s">
        <v>1858</v>
      </c>
      <c r="B227">
        <v>947</v>
      </c>
      <c r="C227" t="s">
        <v>807</v>
      </c>
      <c r="D227">
        <f>VLOOKUP(C227,items_full!$A$2:$B$254,2,0)</f>
        <v>2731</v>
      </c>
      <c r="E227" t="s">
        <v>1842</v>
      </c>
      <c r="F227" t="s">
        <v>733</v>
      </c>
      <c r="G227">
        <v>946</v>
      </c>
      <c r="I227" s="4" t="s">
        <v>808</v>
      </c>
      <c r="L227" t="s">
        <v>1552</v>
      </c>
      <c r="M227" t="s">
        <v>1552</v>
      </c>
      <c r="N227" t="s">
        <v>1552</v>
      </c>
      <c r="O227" t="s">
        <v>1552</v>
      </c>
      <c r="P227" t="s">
        <v>1552</v>
      </c>
      <c r="Q227" t="s">
        <v>1552</v>
      </c>
      <c r="R227" t="s">
        <v>1552</v>
      </c>
    </row>
    <row r="228" spans="1:18" x14ac:dyDescent="0.3">
      <c r="A228" t="s">
        <v>1859</v>
      </c>
      <c r="B228">
        <v>948</v>
      </c>
      <c r="C228" t="s">
        <v>811</v>
      </c>
      <c r="D228">
        <f>VLOOKUP(C228,items_full!$A$2:$B$254,2,0)</f>
        <v>2736</v>
      </c>
      <c r="E228" t="s">
        <v>1842</v>
      </c>
      <c r="F228" t="s">
        <v>733</v>
      </c>
      <c r="G228">
        <v>946</v>
      </c>
      <c r="I228" s="4" t="s">
        <v>812</v>
      </c>
      <c r="L228" t="s">
        <v>1552</v>
      </c>
      <c r="M228" t="s">
        <v>1552</v>
      </c>
      <c r="N228" t="s">
        <v>1552</v>
      </c>
      <c r="O228" t="s">
        <v>1552</v>
      </c>
      <c r="P228" t="s">
        <v>1552</v>
      </c>
      <c r="Q228" t="s">
        <v>1552</v>
      </c>
      <c r="R228" t="s">
        <v>1552</v>
      </c>
    </row>
    <row r="229" spans="1:18" x14ac:dyDescent="0.3">
      <c r="A229" t="s">
        <v>1860</v>
      </c>
      <c r="B229">
        <v>949</v>
      </c>
      <c r="C229" t="s">
        <v>800</v>
      </c>
      <c r="D229">
        <f>VLOOKUP(C229,items_full!$A$2:$B$254,2,0)</f>
        <v>2737</v>
      </c>
      <c r="E229" t="s">
        <v>1842</v>
      </c>
      <c r="F229" t="s">
        <v>733</v>
      </c>
      <c r="G229">
        <v>946</v>
      </c>
      <c r="I229" t="s">
        <v>801</v>
      </c>
      <c r="L229" t="s">
        <v>1552</v>
      </c>
      <c r="M229" t="s">
        <v>1552</v>
      </c>
      <c r="N229" t="s">
        <v>1552</v>
      </c>
      <c r="O229" t="s">
        <v>1552</v>
      </c>
      <c r="P229" t="s">
        <v>1552</v>
      </c>
      <c r="Q229" t="s">
        <v>1552</v>
      </c>
      <c r="R229" t="s">
        <v>1552</v>
      </c>
    </row>
    <row r="230" spans="1:18" x14ac:dyDescent="0.3">
      <c r="A230" t="s">
        <v>1861</v>
      </c>
      <c r="B230">
        <v>951</v>
      </c>
      <c r="C230" t="s">
        <v>815</v>
      </c>
      <c r="D230">
        <f>VLOOKUP(C230,items_full!$A$2:$B$254,2,0)</f>
        <v>2848</v>
      </c>
      <c r="E230" t="s">
        <v>1842</v>
      </c>
      <c r="F230" t="s">
        <v>733</v>
      </c>
      <c r="G230">
        <v>946</v>
      </c>
      <c r="I230" t="s">
        <v>816</v>
      </c>
      <c r="L230" t="s">
        <v>1552</v>
      </c>
      <c r="M230" t="s">
        <v>1552</v>
      </c>
      <c r="N230" t="s">
        <v>1552</v>
      </c>
      <c r="O230" t="s">
        <v>1552</v>
      </c>
      <c r="P230" t="s">
        <v>1552</v>
      </c>
      <c r="Q230" t="s">
        <v>1552</v>
      </c>
      <c r="R230" t="s">
        <v>1552</v>
      </c>
    </row>
    <row r="231" spans="1:18" x14ac:dyDescent="0.3">
      <c r="A231" t="s">
        <v>1862</v>
      </c>
      <c r="B231">
        <v>952</v>
      </c>
      <c r="C231" t="s">
        <v>1384</v>
      </c>
      <c r="D231">
        <f>VLOOKUP(C231,items_full!$A$2:$B$254,2,0)</f>
        <v>2740</v>
      </c>
      <c r="E231" t="s">
        <v>1842</v>
      </c>
      <c r="F231" t="s">
        <v>733</v>
      </c>
      <c r="G231">
        <v>946</v>
      </c>
      <c r="I231" t="s">
        <v>1384</v>
      </c>
      <c r="L231" t="s">
        <v>1552</v>
      </c>
      <c r="M231" t="s">
        <v>1552</v>
      </c>
      <c r="N231" t="s">
        <v>1552</v>
      </c>
      <c r="O231" t="s">
        <v>1552</v>
      </c>
      <c r="P231" t="s">
        <v>1552</v>
      </c>
      <c r="Q231" t="s">
        <v>1552</v>
      </c>
      <c r="R231" t="s">
        <v>1552</v>
      </c>
    </row>
    <row r="232" spans="1:18" x14ac:dyDescent="0.3">
      <c r="A232" t="s">
        <v>1863</v>
      </c>
      <c r="B232">
        <v>953</v>
      </c>
      <c r="C232" t="s">
        <v>1384</v>
      </c>
      <c r="D232">
        <f>VLOOKUP(C232,items_full!$A$2:$B$254,2,0)</f>
        <v>2740</v>
      </c>
      <c r="E232" t="s">
        <v>1842</v>
      </c>
      <c r="F232" t="s">
        <v>733</v>
      </c>
      <c r="G232">
        <v>946</v>
      </c>
      <c r="I232" t="s">
        <v>1384</v>
      </c>
      <c r="L232" t="s">
        <v>1552</v>
      </c>
      <c r="M232" t="s">
        <v>1552</v>
      </c>
      <c r="N232" t="s">
        <v>1552</v>
      </c>
      <c r="O232" t="s">
        <v>1552</v>
      </c>
      <c r="P232" t="s">
        <v>1552</v>
      </c>
      <c r="Q232" t="s">
        <v>1552</v>
      </c>
      <c r="R232" t="s">
        <v>1552</v>
      </c>
    </row>
    <row r="233" spans="1:18" x14ac:dyDescent="0.3">
      <c r="A233" t="s">
        <v>1864</v>
      </c>
      <c r="B233">
        <v>955</v>
      </c>
      <c r="E233" t="s">
        <v>1842</v>
      </c>
      <c r="I233" s="26"/>
      <c r="L233" t="s">
        <v>1552</v>
      </c>
      <c r="M233" t="s">
        <v>1552</v>
      </c>
      <c r="N233" t="s">
        <v>1552</v>
      </c>
      <c r="O233" t="s">
        <v>1552</v>
      </c>
      <c r="P233" t="s">
        <v>1552</v>
      </c>
      <c r="Q233" t="s">
        <v>1552</v>
      </c>
      <c r="R233" t="s">
        <v>1552</v>
      </c>
    </row>
    <row r="234" spans="1:18" x14ac:dyDescent="0.3">
      <c r="A234" t="s">
        <v>1865</v>
      </c>
      <c r="B234">
        <v>957</v>
      </c>
      <c r="C234" t="s">
        <v>804</v>
      </c>
      <c r="D234">
        <f>VLOOKUP(C234,items_full!$A$2:$B$254,2,0)</f>
        <v>2748</v>
      </c>
      <c r="E234" t="s">
        <v>1842</v>
      </c>
      <c r="F234" t="s">
        <v>733</v>
      </c>
      <c r="G234">
        <v>946</v>
      </c>
      <c r="I234" t="s">
        <v>804</v>
      </c>
      <c r="L234" t="s">
        <v>1552</v>
      </c>
      <c r="M234" t="s">
        <v>1552</v>
      </c>
      <c r="N234" t="s">
        <v>1552</v>
      </c>
      <c r="O234" t="s">
        <v>1552</v>
      </c>
      <c r="P234" t="s">
        <v>1552</v>
      </c>
      <c r="Q234" t="s">
        <v>1552</v>
      </c>
      <c r="R234" t="s">
        <v>1552</v>
      </c>
    </row>
    <row r="235" spans="1:18" x14ac:dyDescent="0.3">
      <c r="A235" t="s">
        <v>870</v>
      </c>
      <c r="B235">
        <v>977</v>
      </c>
      <c r="C235" t="s">
        <v>829</v>
      </c>
      <c r="D235">
        <f>VLOOKUP(C235,items_full!$A$2:$B$254,2,0)</f>
        <v>2732</v>
      </c>
      <c r="E235" t="s">
        <v>1842</v>
      </c>
      <c r="F235" t="s">
        <v>779</v>
      </c>
      <c r="G235">
        <v>976</v>
      </c>
      <c r="I235" t="s">
        <v>830</v>
      </c>
      <c r="L235" t="s">
        <v>1552</v>
      </c>
      <c r="M235" t="s">
        <v>1552</v>
      </c>
      <c r="N235" t="s">
        <v>1552</v>
      </c>
      <c r="O235" t="s">
        <v>1552</v>
      </c>
      <c r="P235" t="s">
        <v>1552</v>
      </c>
      <c r="Q235" t="s">
        <v>1552</v>
      </c>
      <c r="R235" t="s">
        <v>1552</v>
      </c>
    </row>
    <row r="236" spans="1:18" x14ac:dyDescent="0.3">
      <c r="A236" t="s">
        <v>1866</v>
      </c>
      <c r="B236">
        <v>978</v>
      </c>
      <c r="C236" t="s">
        <v>811</v>
      </c>
      <c r="D236">
        <f>VLOOKUP(C236,items_full!$A$2:$B$254,2,0)</f>
        <v>2736</v>
      </c>
      <c r="E236" t="s">
        <v>1842</v>
      </c>
      <c r="F236" t="s">
        <v>779</v>
      </c>
      <c r="G236">
        <v>976</v>
      </c>
      <c r="I236" s="4" t="s">
        <v>812</v>
      </c>
      <c r="L236" t="s">
        <v>1552</v>
      </c>
      <c r="M236" t="s">
        <v>1552</v>
      </c>
      <c r="N236" t="s">
        <v>1552</v>
      </c>
      <c r="O236" t="s">
        <v>1552</v>
      </c>
      <c r="P236" t="s">
        <v>1552</v>
      </c>
      <c r="Q236" t="s">
        <v>1552</v>
      </c>
      <c r="R236" t="s">
        <v>1552</v>
      </c>
    </row>
    <row r="237" spans="1:18" x14ac:dyDescent="0.3">
      <c r="A237" t="s">
        <v>869</v>
      </c>
      <c r="B237">
        <v>979</v>
      </c>
      <c r="C237" t="s">
        <v>800</v>
      </c>
      <c r="D237">
        <f>VLOOKUP(C237,items_full!$A$2:$B$254,2,0)</f>
        <v>2737</v>
      </c>
      <c r="E237" t="s">
        <v>1842</v>
      </c>
      <c r="F237" t="s">
        <v>779</v>
      </c>
      <c r="G237">
        <v>976</v>
      </c>
      <c r="I237" t="s">
        <v>801</v>
      </c>
      <c r="L237" t="s">
        <v>1552</v>
      </c>
      <c r="M237" t="s">
        <v>1552</v>
      </c>
      <c r="N237" t="s">
        <v>1552</v>
      </c>
      <c r="O237" t="s">
        <v>1552</v>
      </c>
      <c r="P237" t="s">
        <v>1552</v>
      </c>
      <c r="Q237" t="s">
        <v>1552</v>
      </c>
      <c r="R237" t="s">
        <v>1552</v>
      </c>
    </row>
    <row r="238" spans="1:18" x14ac:dyDescent="0.3">
      <c r="A238" t="s">
        <v>872</v>
      </c>
      <c r="B238">
        <v>982</v>
      </c>
      <c r="C238" t="s">
        <v>815</v>
      </c>
      <c r="D238">
        <f>VLOOKUP(C238,items_full!$A$2:$B$254,2,0)</f>
        <v>2848</v>
      </c>
      <c r="E238" t="s">
        <v>1842</v>
      </c>
      <c r="F238" t="s">
        <v>779</v>
      </c>
      <c r="G238">
        <v>976</v>
      </c>
      <c r="I238" t="s">
        <v>874</v>
      </c>
      <c r="L238" t="s">
        <v>1552</v>
      </c>
      <c r="M238" t="s">
        <v>1552</v>
      </c>
      <c r="N238" t="s">
        <v>1552</v>
      </c>
      <c r="O238" t="s">
        <v>1552</v>
      </c>
      <c r="P238" t="s">
        <v>1552</v>
      </c>
      <c r="Q238" t="s">
        <v>1552</v>
      </c>
      <c r="R238" t="s">
        <v>1552</v>
      </c>
    </row>
    <row r="239" spans="1:18" x14ac:dyDescent="0.3">
      <c r="A239" t="s">
        <v>1867</v>
      </c>
      <c r="B239">
        <v>983</v>
      </c>
      <c r="C239" t="s">
        <v>1384</v>
      </c>
      <c r="D239">
        <f>VLOOKUP(C239,items_full!$A$2:$B$254,2,0)</f>
        <v>2740</v>
      </c>
      <c r="E239" t="s">
        <v>1842</v>
      </c>
      <c r="F239" t="s">
        <v>779</v>
      </c>
      <c r="G239">
        <v>976</v>
      </c>
      <c r="I239" t="s">
        <v>1384</v>
      </c>
      <c r="L239" t="s">
        <v>1552</v>
      </c>
      <c r="M239" t="s">
        <v>1552</v>
      </c>
      <c r="N239" t="s">
        <v>1552</v>
      </c>
      <c r="O239" t="s">
        <v>1552</v>
      </c>
      <c r="P239" t="s">
        <v>1552</v>
      </c>
      <c r="Q239" t="s">
        <v>1552</v>
      </c>
      <c r="R239" t="s">
        <v>1552</v>
      </c>
    </row>
    <row r="240" spans="1:18" x14ac:dyDescent="0.3">
      <c r="A240" t="s">
        <v>1868</v>
      </c>
      <c r="B240">
        <v>984</v>
      </c>
      <c r="E240" t="s">
        <v>1842</v>
      </c>
      <c r="I240" s="26"/>
      <c r="L240" t="s">
        <v>1552</v>
      </c>
      <c r="M240" t="s">
        <v>1552</v>
      </c>
      <c r="N240" t="s">
        <v>1552</v>
      </c>
      <c r="O240" t="s">
        <v>1552</v>
      </c>
      <c r="P240" t="s">
        <v>1552</v>
      </c>
      <c r="Q240" t="s">
        <v>1552</v>
      </c>
      <c r="R240" t="s">
        <v>1552</v>
      </c>
    </row>
    <row r="241" spans="1:18" x14ac:dyDescent="0.3">
      <c r="A241" t="s">
        <v>879</v>
      </c>
      <c r="B241">
        <v>987</v>
      </c>
      <c r="C241" t="s">
        <v>881</v>
      </c>
      <c r="D241">
        <f>VLOOKUP(C241,items_full!$A$2:$B$254,2,0)</f>
        <v>2746</v>
      </c>
      <c r="E241" t="s">
        <v>1842</v>
      </c>
      <c r="F241" t="s">
        <v>779</v>
      </c>
      <c r="G241">
        <v>976</v>
      </c>
      <c r="I241" t="s">
        <v>882</v>
      </c>
      <c r="L241" t="s">
        <v>1552</v>
      </c>
      <c r="M241" t="s">
        <v>1552</v>
      </c>
      <c r="N241" t="s">
        <v>1552</v>
      </c>
      <c r="O241" t="s">
        <v>1552</v>
      </c>
      <c r="P241" t="s">
        <v>1552</v>
      </c>
      <c r="Q241" t="s">
        <v>1552</v>
      </c>
      <c r="R241" t="s">
        <v>1552</v>
      </c>
    </row>
    <row r="242" spans="1:18" x14ac:dyDescent="0.3">
      <c r="A242" t="s">
        <v>1869</v>
      </c>
      <c r="B242">
        <v>995</v>
      </c>
      <c r="C242" t="s">
        <v>804</v>
      </c>
      <c r="D242">
        <f>VLOOKUP(C242,items_full!$A$2:$B$254,2,0)</f>
        <v>2748</v>
      </c>
      <c r="E242" t="s">
        <v>1842</v>
      </c>
      <c r="F242" t="s">
        <v>779</v>
      </c>
      <c r="G242">
        <v>976</v>
      </c>
      <c r="I242" t="s">
        <v>804</v>
      </c>
      <c r="L242" t="s">
        <v>1552</v>
      </c>
      <c r="M242" t="s">
        <v>1552</v>
      </c>
      <c r="N242" t="s">
        <v>1552</v>
      </c>
      <c r="O242" t="s">
        <v>1552</v>
      </c>
      <c r="P242" t="s">
        <v>1552</v>
      </c>
      <c r="Q242" t="s">
        <v>1552</v>
      </c>
      <c r="R242" t="s">
        <v>1552</v>
      </c>
    </row>
    <row r="243" spans="1:18" x14ac:dyDescent="0.3">
      <c r="A243" t="s">
        <v>1870</v>
      </c>
      <c r="B243" s="14">
        <v>996</v>
      </c>
      <c r="C243" t="s">
        <v>1870</v>
      </c>
      <c r="D243">
        <f>VLOOKUP(C243,items_full!$A$2:$B$254,2,0)</f>
        <v>3002</v>
      </c>
      <c r="E243" t="s">
        <v>1543</v>
      </c>
      <c r="H243" t="s">
        <v>1679</v>
      </c>
      <c r="I243" t="s">
        <v>1871</v>
      </c>
      <c r="J243" t="s">
        <v>1872</v>
      </c>
      <c r="K243" t="s">
        <v>1873</v>
      </c>
      <c r="L243" t="s">
        <v>1545</v>
      </c>
      <c r="M243" t="s">
        <v>1679</v>
      </c>
      <c r="N243" t="s">
        <v>1679</v>
      </c>
      <c r="O243" t="s">
        <v>1679</v>
      </c>
      <c r="P243">
        <v>1</v>
      </c>
      <c r="Q243" t="s">
        <v>1679</v>
      </c>
      <c r="R243" t="s">
        <v>1547</v>
      </c>
    </row>
    <row r="244" spans="1:18" x14ac:dyDescent="0.3">
      <c r="A244" t="s">
        <v>764</v>
      </c>
      <c r="B244">
        <v>1017</v>
      </c>
      <c r="C244" t="s">
        <v>829</v>
      </c>
      <c r="D244">
        <f>VLOOKUP(C244,items_full!$A$2:$B$254,2,0)</f>
        <v>2732</v>
      </c>
      <c r="E244" t="s">
        <v>1842</v>
      </c>
      <c r="F244" t="s">
        <v>762</v>
      </c>
      <c r="G244">
        <v>1016</v>
      </c>
      <c r="I244" t="s">
        <v>830</v>
      </c>
      <c r="L244" t="s">
        <v>1552</v>
      </c>
      <c r="M244" t="s">
        <v>1552</v>
      </c>
      <c r="N244" t="s">
        <v>1552</v>
      </c>
      <c r="O244" t="s">
        <v>1552</v>
      </c>
      <c r="P244" t="s">
        <v>1552</v>
      </c>
      <c r="Q244" t="s">
        <v>1552</v>
      </c>
      <c r="R244" t="s">
        <v>1552</v>
      </c>
    </row>
    <row r="245" spans="1:18" x14ac:dyDescent="0.3">
      <c r="A245" t="s">
        <v>1874</v>
      </c>
      <c r="B245">
        <v>1018</v>
      </c>
      <c r="C245" t="s">
        <v>811</v>
      </c>
      <c r="D245">
        <f>VLOOKUP(C245,items_full!$A$2:$B$254,2,0)</f>
        <v>2736</v>
      </c>
      <c r="E245" t="s">
        <v>1842</v>
      </c>
      <c r="F245" t="s">
        <v>762</v>
      </c>
      <c r="G245">
        <v>1016</v>
      </c>
      <c r="I245" s="4" t="s">
        <v>812</v>
      </c>
      <c r="L245" t="s">
        <v>1552</v>
      </c>
      <c r="M245" t="s">
        <v>1552</v>
      </c>
      <c r="N245" t="s">
        <v>1552</v>
      </c>
      <c r="O245" t="s">
        <v>1552</v>
      </c>
      <c r="P245" t="s">
        <v>1552</v>
      </c>
      <c r="Q245" t="s">
        <v>1552</v>
      </c>
      <c r="R245" t="s">
        <v>1552</v>
      </c>
    </row>
    <row r="246" spans="1:18" x14ac:dyDescent="0.3">
      <c r="A246" t="s">
        <v>1875</v>
      </c>
      <c r="B246">
        <v>1019</v>
      </c>
      <c r="C246" t="s">
        <v>800</v>
      </c>
      <c r="D246">
        <f>VLOOKUP(C246,items_full!$A$2:$B$254,2,0)</f>
        <v>2737</v>
      </c>
      <c r="E246" t="s">
        <v>1842</v>
      </c>
      <c r="F246" t="s">
        <v>762</v>
      </c>
      <c r="G246">
        <v>1016</v>
      </c>
      <c r="I246" t="s">
        <v>801</v>
      </c>
      <c r="L246" t="s">
        <v>1552</v>
      </c>
      <c r="M246" t="s">
        <v>1552</v>
      </c>
      <c r="N246" t="s">
        <v>1552</v>
      </c>
      <c r="O246" t="s">
        <v>1552</v>
      </c>
      <c r="P246" t="s">
        <v>1552</v>
      </c>
      <c r="Q246" t="s">
        <v>1552</v>
      </c>
      <c r="R246" t="s">
        <v>1552</v>
      </c>
    </row>
    <row r="247" spans="1:18" x14ac:dyDescent="0.3">
      <c r="A247" t="s">
        <v>831</v>
      </c>
      <c r="B247">
        <v>1020</v>
      </c>
      <c r="C247" t="s">
        <v>815</v>
      </c>
      <c r="D247">
        <f>VLOOKUP(C247,items_full!$A$2:$B$254,2,0)</f>
        <v>2848</v>
      </c>
      <c r="E247" t="s">
        <v>1842</v>
      </c>
      <c r="F247" t="s">
        <v>762</v>
      </c>
      <c r="G247">
        <v>1016</v>
      </c>
      <c r="I247" t="s">
        <v>833</v>
      </c>
      <c r="L247" t="s">
        <v>1552</v>
      </c>
      <c r="M247" t="s">
        <v>1552</v>
      </c>
      <c r="N247" t="s">
        <v>1552</v>
      </c>
      <c r="O247" t="s">
        <v>1552</v>
      </c>
      <c r="P247" t="s">
        <v>1552</v>
      </c>
      <c r="Q247" t="s">
        <v>1552</v>
      </c>
      <c r="R247" t="s">
        <v>1552</v>
      </c>
    </row>
    <row r="248" spans="1:18" x14ac:dyDescent="0.3">
      <c r="A248" t="s">
        <v>1876</v>
      </c>
      <c r="B248">
        <v>1021</v>
      </c>
      <c r="E248" t="s">
        <v>1842</v>
      </c>
      <c r="I248" s="26"/>
      <c r="L248" t="s">
        <v>1552</v>
      </c>
      <c r="M248" t="s">
        <v>1552</v>
      </c>
      <c r="N248" t="s">
        <v>1552</v>
      </c>
      <c r="O248" t="s">
        <v>1552</v>
      </c>
      <c r="P248" t="s">
        <v>1552</v>
      </c>
      <c r="Q248" t="s">
        <v>1552</v>
      </c>
      <c r="R248" t="s">
        <v>1552</v>
      </c>
    </row>
    <row r="249" spans="1:18" x14ac:dyDescent="0.3">
      <c r="A249" t="s">
        <v>1877</v>
      </c>
      <c r="B249">
        <v>1022</v>
      </c>
      <c r="C249" t="s">
        <v>1384</v>
      </c>
      <c r="D249">
        <f>VLOOKUP(C249,items_full!$A$2:$B$254,2,0)</f>
        <v>2740</v>
      </c>
      <c r="E249" t="s">
        <v>1842</v>
      </c>
      <c r="F249" t="s">
        <v>762</v>
      </c>
      <c r="G249">
        <v>1016</v>
      </c>
      <c r="I249" t="s">
        <v>1384</v>
      </c>
      <c r="L249" t="s">
        <v>1552</v>
      </c>
      <c r="M249" t="s">
        <v>1552</v>
      </c>
      <c r="N249" t="s">
        <v>1552</v>
      </c>
      <c r="O249" t="s">
        <v>1552</v>
      </c>
      <c r="P249" t="s">
        <v>1552</v>
      </c>
      <c r="Q249" t="s">
        <v>1552</v>
      </c>
      <c r="R249" t="s">
        <v>1552</v>
      </c>
    </row>
    <row r="250" spans="1:18" x14ac:dyDescent="0.3">
      <c r="A250" t="s">
        <v>835</v>
      </c>
      <c r="B250">
        <v>1025</v>
      </c>
      <c r="C250" t="s">
        <v>804</v>
      </c>
      <c r="D250">
        <f>VLOOKUP(C250,items_full!$A$2:$B$254,2,0)</f>
        <v>2748</v>
      </c>
      <c r="E250" t="s">
        <v>1842</v>
      </c>
      <c r="F250" t="s">
        <v>762</v>
      </c>
      <c r="G250">
        <v>1016</v>
      </c>
      <c r="I250" t="s">
        <v>804</v>
      </c>
      <c r="L250" t="s">
        <v>1552</v>
      </c>
      <c r="M250" t="s">
        <v>1552</v>
      </c>
      <c r="N250" t="s">
        <v>1552</v>
      </c>
      <c r="O250" t="s">
        <v>1552</v>
      </c>
      <c r="P250" t="s">
        <v>1552</v>
      </c>
      <c r="Q250" t="s">
        <v>1552</v>
      </c>
      <c r="R250" t="s">
        <v>1552</v>
      </c>
    </row>
    <row r="251" spans="1:18" x14ac:dyDescent="0.3">
      <c r="A251" t="s">
        <v>770</v>
      </c>
      <c r="B251">
        <v>1035</v>
      </c>
      <c r="C251" t="s">
        <v>857</v>
      </c>
      <c r="D251">
        <f>VLOOKUP(C251,items_full!$A$2:$B$254,2,0)</f>
        <v>2733</v>
      </c>
      <c r="E251" t="s">
        <v>1842</v>
      </c>
      <c r="F251" t="s">
        <v>769</v>
      </c>
      <c r="G251">
        <v>1049</v>
      </c>
      <c r="I251" t="s">
        <v>858</v>
      </c>
      <c r="L251" t="s">
        <v>1552</v>
      </c>
      <c r="M251" t="s">
        <v>1552</v>
      </c>
      <c r="N251" t="s">
        <v>1552</v>
      </c>
      <c r="O251" t="s">
        <v>1552</v>
      </c>
      <c r="P251" t="s">
        <v>1552</v>
      </c>
      <c r="Q251" t="s">
        <v>1552</v>
      </c>
      <c r="R251" t="s">
        <v>1552</v>
      </c>
    </row>
    <row r="252" spans="1:18" x14ac:dyDescent="0.3">
      <c r="A252" t="s">
        <v>1878</v>
      </c>
      <c r="B252">
        <v>1036</v>
      </c>
      <c r="C252" t="s">
        <v>811</v>
      </c>
      <c r="D252">
        <f>VLOOKUP(C252,items_full!$A$2:$B$254,2,0)</f>
        <v>2736</v>
      </c>
      <c r="E252" t="s">
        <v>1842</v>
      </c>
      <c r="F252" t="s">
        <v>769</v>
      </c>
      <c r="G252">
        <v>1049</v>
      </c>
      <c r="I252" s="4" t="s">
        <v>812</v>
      </c>
      <c r="L252" t="s">
        <v>1552</v>
      </c>
      <c r="M252" t="s">
        <v>1552</v>
      </c>
      <c r="N252" t="s">
        <v>1552</v>
      </c>
      <c r="O252" t="s">
        <v>1552</v>
      </c>
      <c r="P252" t="s">
        <v>1552</v>
      </c>
      <c r="Q252" t="s">
        <v>1552</v>
      </c>
      <c r="R252" t="s">
        <v>1552</v>
      </c>
    </row>
    <row r="253" spans="1:18" x14ac:dyDescent="0.3">
      <c r="A253" t="s">
        <v>853</v>
      </c>
      <c r="B253">
        <v>1037</v>
      </c>
      <c r="C253" t="s">
        <v>800</v>
      </c>
      <c r="D253">
        <f>VLOOKUP(C253,items_full!$A$2:$B$254,2,0)</f>
        <v>2737</v>
      </c>
      <c r="E253" t="s">
        <v>1842</v>
      </c>
      <c r="F253" t="s">
        <v>769</v>
      </c>
      <c r="G253">
        <v>1049</v>
      </c>
      <c r="I253" t="s">
        <v>801</v>
      </c>
      <c r="L253" t="s">
        <v>1552</v>
      </c>
      <c r="M253" t="s">
        <v>1552</v>
      </c>
      <c r="N253" t="s">
        <v>1552</v>
      </c>
      <c r="O253" t="s">
        <v>1552</v>
      </c>
      <c r="P253" t="s">
        <v>1552</v>
      </c>
      <c r="Q253" t="s">
        <v>1552</v>
      </c>
      <c r="R253" t="s">
        <v>1552</v>
      </c>
    </row>
    <row r="254" spans="1:18" x14ac:dyDescent="0.3">
      <c r="A254" t="s">
        <v>1879</v>
      </c>
      <c r="B254">
        <v>1043</v>
      </c>
      <c r="C254" t="s">
        <v>800</v>
      </c>
      <c r="D254">
        <f>VLOOKUP(C254,items_full!$A$2:$B$254,2,0)</f>
        <v>2737</v>
      </c>
      <c r="E254" t="s">
        <v>1842</v>
      </c>
      <c r="F254" t="s">
        <v>769</v>
      </c>
      <c r="G254">
        <v>1049</v>
      </c>
      <c r="I254" t="s">
        <v>1880</v>
      </c>
      <c r="L254" t="s">
        <v>1552</v>
      </c>
      <c r="M254" t="s">
        <v>1552</v>
      </c>
      <c r="N254" t="s">
        <v>1552</v>
      </c>
      <c r="O254" t="s">
        <v>1552</v>
      </c>
      <c r="P254" t="s">
        <v>1552</v>
      </c>
      <c r="Q254" t="s">
        <v>1552</v>
      </c>
      <c r="R254" t="s">
        <v>1552</v>
      </c>
    </row>
    <row r="255" spans="1:18" x14ac:dyDescent="0.3">
      <c r="A255" t="s">
        <v>748</v>
      </c>
      <c r="B255">
        <v>1058</v>
      </c>
      <c r="C255" t="s">
        <v>845</v>
      </c>
      <c r="D255">
        <f>VLOOKUP(C255,items_full!$A$2:$B$254,2,0)</f>
        <v>2734</v>
      </c>
      <c r="E255" t="s">
        <v>1842</v>
      </c>
      <c r="F255" t="s">
        <v>746</v>
      </c>
      <c r="G255">
        <v>1053</v>
      </c>
      <c r="I255" s="4" t="s">
        <v>866</v>
      </c>
      <c r="L255" t="s">
        <v>1552</v>
      </c>
      <c r="M255" t="s">
        <v>1552</v>
      </c>
      <c r="N255" t="s">
        <v>1552</v>
      </c>
      <c r="O255" t="s">
        <v>1552</v>
      </c>
      <c r="P255" t="s">
        <v>1552</v>
      </c>
      <c r="Q255" t="s">
        <v>1552</v>
      </c>
      <c r="R255" t="s">
        <v>1552</v>
      </c>
    </row>
    <row r="256" spans="1:18" x14ac:dyDescent="0.3">
      <c r="A256" t="s">
        <v>861</v>
      </c>
      <c r="B256">
        <v>1062</v>
      </c>
      <c r="C256" t="s">
        <v>757</v>
      </c>
      <c r="D256">
        <f>VLOOKUP(C256,items_full!$A$2:$B$254,2,0)</f>
        <v>2744</v>
      </c>
      <c r="E256" t="s">
        <v>1842</v>
      </c>
      <c r="F256" t="s">
        <v>755</v>
      </c>
      <c r="G256">
        <v>1052</v>
      </c>
      <c r="I256" t="s">
        <v>757</v>
      </c>
      <c r="L256" t="s">
        <v>1552</v>
      </c>
      <c r="M256" t="s">
        <v>1552</v>
      </c>
      <c r="N256" t="s">
        <v>1552</v>
      </c>
      <c r="O256" t="s">
        <v>1552</v>
      </c>
      <c r="P256" t="s">
        <v>1552</v>
      </c>
      <c r="Q256" t="s">
        <v>1552</v>
      </c>
      <c r="R256" t="s">
        <v>1552</v>
      </c>
    </row>
    <row r="257" spans="1:18" x14ac:dyDescent="0.3">
      <c r="A257" t="s">
        <v>761</v>
      </c>
      <c r="B257">
        <v>1069</v>
      </c>
      <c r="C257" t="s">
        <v>845</v>
      </c>
      <c r="D257">
        <f>VLOOKUP(C257,items_full!$A$2:$B$254,2,0)</f>
        <v>2734</v>
      </c>
      <c r="E257" t="s">
        <v>1842</v>
      </c>
      <c r="F257" t="s">
        <v>760</v>
      </c>
      <c r="G257">
        <v>1068</v>
      </c>
      <c r="I257" s="4" t="s">
        <v>866</v>
      </c>
      <c r="L257" t="s">
        <v>1552</v>
      </c>
      <c r="M257" t="s">
        <v>1552</v>
      </c>
      <c r="N257" t="s">
        <v>1552</v>
      </c>
      <c r="O257" t="s">
        <v>1552</v>
      </c>
      <c r="P257" t="s">
        <v>1552</v>
      </c>
      <c r="Q257" t="s">
        <v>1552</v>
      </c>
      <c r="R257" t="s">
        <v>1552</v>
      </c>
    </row>
    <row r="258" spans="1:18" x14ac:dyDescent="0.3">
      <c r="A258" t="s">
        <v>1881</v>
      </c>
      <c r="B258">
        <v>1073</v>
      </c>
      <c r="C258" t="s">
        <v>845</v>
      </c>
      <c r="D258">
        <f>VLOOKUP(C258,items_full!$A$2:$B$254,2,0)</f>
        <v>2734</v>
      </c>
      <c r="E258" t="s">
        <v>1842</v>
      </c>
      <c r="F258" t="s">
        <v>782</v>
      </c>
      <c r="G258">
        <v>1072</v>
      </c>
      <c r="I258" s="4" t="s">
        <v>866</v>
      </c>
      <c r="L258" t="s">
        <v>1552</v>
      </c>
      <c r="M258" t="s">
        <v>1552</v>
      </c>
      <c r="N258" t="s">
        <v>1552</v>
      </c>
      <c r="O258" t="s">
        <v>1552</v>
      </c>
      <c r="P258" t="s">
        <v>1552</v>
      </c>
      <c r="Q258" t="s">
        <v>1552</v>
      </c>
      <c r="R258" t="s">
        <v>1552</v>
      </c>
    </row>
    <row r="259" spans="1:18" x14ac:dyDescent="0.3">
      <c r="A259" t="s">
        <v>1882</v>
      </c>
      <c r="B259">
        <v>1080</v>
      </c>
      <c r="C259" t="s">
        <v>845</v>
      </c>
      <c r="D259">
        <f>VLOOKUP(C259,items_full!$A$2:$B$254,2,0)</f>
        <v>2734</v>
      </c>
      <c r="E259" t="s">
        <v>1842</v>
      </c>
      <c r="F259" t="s">
        <v>781</v>
      </c>
      <c r="G259">
        <v>1079</v>
      </c>
      <c r="I259" s="4" t="s">
        <v>1883</v>
      </c>
      <c r="L259" t="s">
        <v>1552</v>
      </c>
      <c r="M259" t="s">
        <v>1552</v>
      </c>
      <c r="N259" t="s">
        <v>1552</v>
      </c>
      <c r="O259" t="s">
        <v>1552</v>
      </c>
      <c r="P259" t="s">
        <v>1552</v>
      </c>
      <c r="Q259" t="s">
        <v>1552</v>
      </c>
      <c r="R259" t="s">
        <v>1552</v>
      </c>
    </row>
    <row r="260" spans="1:18" x14ac:dyDescent="0.3">
      <c r="A260" t="s">
        <v>1884</v>
      </c>
      <c r="B260">
        <v>1089</v>
      </c>
      <c r="C260" t="s">
        <v>820</v>
      </c>
      <c r="D260">
        <f>VLOOKUP(C260,items_full!$A$2:$B$254,2,0)</f>
        <v>2735</v>
      </c>
      <c r="E260" t="s">
        <v>1842</v>
      </c>
      <c r="F260" s="1" t="s">
        <v>760</v>
      </c>
      <c r="G260">
        <v>1068</v>
      </c>
      <c r="I260" t="s">
        <v>846</v>
      </c>
      <c r="L260" t="s">
        <v>1552</v>
      </c>
      <c r="M260" t="s">
        <v>1552</v>
      </c>
      <c r="N260" t="s">
        <v>1552</v>
      </c>
      <c r="O260" t="s">
        <v>1552</v>
      </c>
      <c r="P260" t="s">
        <v>1552</v>
      </c>
      <c r="Q260" t="s">
        <v>1552</v>
      </c>
      <c r="R260" t="s">
        <v>1552</v>
      </c>
    </row>
    <row r="261" spans="1:18" x14ac:dyDescent="0.3">
      <c r="A261" t="s">
        <v>840</v>
      </c>
      <c r="B261">
        <v>1091</v>
      </c>
      <c r="C261" t="s">
        <v>757</v>
      </c>
      <c r="D261">
        <f>VLOOKUP(C261,items_full!$A$2:$B$254,2,0)</f>
        <v>2744</v>
      </c>
      <c r="E261" t="s">
        <v>1842</v>
      </c>
      <c r="F261" s="1" t="s">
        <v>760</v>
      </c>
      <c r="G261">
        <v>1068</v>
      </c>
      <c r="I261" t="s">
        <v>757</v>
      </c>
      <c r="L261" t="s">
        <v>1552</v>
      </c>
      <c r="M261" t="s">
        <v>1552</v>
      </c>
      <c r="N261" t="s">
        <v>1552</v>
      </c>
      <c r="O261" t="s">
        <v>1552</v>
      </c>
      <c r="P261" t="s">
        <v>1552</v>
      </c>
      <c r="Q261" t="s">
        <v>1552</v>
      </c>
      <c r="R261" t="s">
        <v>1552</v>
      </c>
    </row>
    <row r="262" spans="1:18" x14ac:dyDescent="0.3">
      <c r="A262" t="s">
        <v>1885</v>
      </c>
      <c r="B262">
        <v>1097</v>
      </c>
      <c r="C262" t="s">
        <v>820</v>
      </c>
      <c r="D262">
        <f>VLOOKUP(C262,items_full!$A$2:$B$254,2,0)</f>
        <v>2735</v>
      </c>
      <c r="E262" t="s">
        <v>1842</v>
      </c>
      <c r="F262" t="s">
        <v>767</v>
      </c>
      <c r="G262">
        <v>1096</v>
      </c>
      <c r="I262" t="s">
        <v>1886</v>
      </c>
      <c r="L262" t="s">
        <v>1552</v>
      </c>
      <c r="M262" t="s">
        <v>1552</v>
      </c>
      <c r="N262" t="s">
        <v>1552</v>
      </c>
      <c r="O262" t="s">
        <v>1552</v>
      </c>
      <c r="P262" t="s">
        <v>1552</v>
      </c>
      <c r="Q262" t="s">
        <v>1552</v>
      </c>
      <c r="R262" t="s">
        <v>1552</v>
      </c>
    </row>
    <row r="263" spans="1:18" x14ac:dyDescent="0.3">
      <c r="A263" t="s">
        <v>1887</v>
      </c>
      <c r="B263">
        <v>1098</v>
      </c>
      <c r="C263" t="s">
        <v>811</v>
      </c>
      <c r="D263">
        <f>VLOOKUP(C263,items_full!$A$2:$B$254,2,0)</f>
        <v>2736</v>
      </c>
      <c r="E263" t="s">
        <v>1842</v>
      </c>
      <c r="F263" t="s">
        <v>767</v>
      </c>
      <c r="G263">
        <v>1096</v>
      </c>
      <c r="I263" s="4" t="s">
        <v>812</v>
      </c>
      <c r="L263" t="s">
        <v>1552</v>
      </c>
      <c r="M263" t="s">
        <v>1552</v>
      </c>
      <c r="N263" t="s">
        <v>1552</v>
      </c>
      <c r="O263" t="s">
        <v>1552</v>
      </c>
      <c r="P263" t="s">
        <v>1552</v>
      </c>
      <c r="Q263" t="s">
        <v>1552</v>
      </c>
      <c r="R263" t="s">
        <v>1552</v>
      </c>
    </row>
    <row r="264" spans="1:18" x14ac:dyDescent="0.3">
      <c r="A264" t="s">
        <v>1888</v>
      </c>
      <c r="B264">
        <v>1108</v>
      </c>
      <c r="C264" t="s">
        <v>820</v>
      </c>
      <c r="D264">
        <f>VLOOKUP(C264,items_full!$A$2:$B$254,2,0)</f>
        <v>2735</v>
      </c>
      <c r="E264" t="s">
        <v>1842</v>
      </c>
      <c r="F264" t="s">
        <v>731</v>
      </c>
      <c r="G264">
        <v>1107</v>
      </c>
      <c r="I264" t="s">
        <v>1886</v>
      </c>
      <c r="L264" t="s">
        <v>1552</v>
      </c>
      <c r="M264" t="s">
        <v>1552</v>
      </c>
      <c r="N264" t="s">
        <v>1552</v>
      </c>
      <c r="O264" t="s">
        <v>1552</v>
      </c>
      <c r="P264" t="s">
        <v>1552</v>
      </c>
      <c r="Q264" t="s">
        <v>1552</v>
      </c>
      <c r="R264" t="s">
        <v>1552</v>
      </c>
    </row>
    <row r="265" spans="1:18" x14ac:dyDescent="0.3">
      <c r="A265" t="s">
        <v>1889</v>
      </c>
      <c r="B265">
        <v>1111</v>
      </c>
      <c r="C265" t="s">
        <v>820</v>
      </c>
      <c r="D265">
        <f>VLOOKUP(C265,items_full!$A$2:$B$254,2,0)</f>
        <v>2735</v>
      </c>
      <c r="E265" t="s">
        <v>1842</v>
      </c>
      <c r="F265" t="s">
        <v>768</v>
      </c>
      <c r="G265">
        <v>1110</v>
      </c>
      <c r="I265" t="s">
        <v>1886</v>
      </c>
      <c r="L265" t="s">
        <v>1552</v>
      </c>
      <c r="M265" t="s">
        <v>1552</v>
      </c>
      <c r="N265" t="s">
        <v>1552</v>
      </c>
      <c r="O265" t="s">
        <v>1552</v>
      </c>
      <c r="P265" t="s">
        <v>1552</v>
      </c>
      <c r="Q265" t="s">
        <v>1552</v>
      </c>
      <c r="R265" t="s">
        <v>1552</v>
      </c>
    </row>
    <row r="266" spans="1:18" x14ac:dyDescent="0.3">
      <c r="A266" t="s">
        <v>1890</v>
      </c>
      <c r="B266">
        <v>1127</v>
      </c>
      <c r="C266" t="s">
        <v>820</v>
      </c>
      <c r="D266">
        <f>VLOOKUP(C266,items_full!$A$2:$B$254,2,0)</f>
        <v>2735</v>
      </c>
      <c r="E266" t="s">
        <v>1842</v>
      </c>
      <c r="F266" t="s">
        <v>738</v>
      </c>
      <c r="G266">
        <v>1126</v>
      </c>
      <c r="I266" t="s">
        <v>821</v>
      </c>
      <c r="L266" t="s">
        <v>1552</v>
      </c>
      <c r="M266" t="s">
        <v>1552</v>
      </c>
      <c r="N266" t="s">
        <v>1552</v>
      </c>
      <c r="O266" t="s">
        <v>1552</v>
      </c>
      <c r="P266" t="s">
        <v>1552</v>
      </c>
      <c r="Q266" t="s">
        <v>1552</v>
      </c>
      <c r="R266" t="s">
        <v>1552</v>
      </c>
    </row>
    <row r="267" spans="1:18" x14ac:dyDescent="0.3">
      <c r="A267" t="s">
        <v>1891</v>
      </c>
      <c r="B267">
        <v>1128</v>
      </c>
      <c r="C267" t="s">
        <v>811</v>
      </c>
      <c r="D267">
        <f>VLOOKUP(C267,items_full!$A$2:$B$254,2,0)</f>
        <v>2736</v>
      </c>
      <c r="E267" t="s">
        <v>1842</v>
      </c>
      <c r="F267" t="s">
        <v>738</v>
      </c>
      <c r="G267">
        <v>1126</v>
      </c>
      <c r="I267" s="4" t="s">
        <v>812</v>
      </c>
      <c r="L267" t="s">
        <v>1552</v>
      </c>
      <c r="M267" t="s">
        <v>1552</v>
      </c>
      <c r="N267" t="s">
        <v>1552</v>
      </c>
      <c r="O267" t="s">
        <v>1552</v>
      </c>
      <c r="P267" t="s">
        <v>1552</v>
      </c>
      <c r="Q267" t="s">
        <v>1552</v>
      </c>
      <c r="R267" t="s">
        <v>1552</v>
      </c>
    </row>
    <row r="268" spans="1:18" x14ac:dyDescent="0.3">
      <c r="A268" t="s">
        <v>1892</v>
      </c>
      <c r="B268">
        <v>1129</v>
      </c>
      <c r="C268" t="s">
        <v>800</v>
      </c>
      <c r="D268">
        <f>VLOOKUP(C268,items_full!$A$2:$B$254,2,0)</f>
        <v>2737</v>
      </c>
      <c r="E268" t="s">
        <v>1842</v>
      </c>
      <c r="F268" t="s">
        <v>738</v>
      </c>
      <c r="G268">
        <v>1126</v>
      </c>
      <c r="I268" t="s">
        <v>801</v>
      </c>
      <c r="L268" t="s">
        <v>1552</v>
      </c>
      <c r="M268" t="s">
        <v>1552</v>
      </c>
      <c r="N268" t="s">
        <v>1552</v>
      </c>
      <c r="O268" t="s">
        <v>1552</v>
      </c>
      <c r="P268" t="s">
        <v>1552</v>
      </c>
      <c r="Q268" t="s">
        <v>1552</v>
      </c>
      <c r="R268" t="s">
        <v>1552</v>
      </c>
    </row>
    <row r="269" spans="1:18" x14ac:dyDescent="0.3">
      <c r="A269" t="s">
        <v>1893</v>
      </c>
      <c r="B269">
        <v>1130</v>
      </c>
      <c r="C269" t="s">
        <v>815</v>
      </c>
      <c r="D269">
        <f>VLOOKUP(C269,items_full!$A$2:$B$254,2,0)</f>
        <v>2848</v>
      </c>
      <c r="E269" t="s">
        <v>1842</v>
      </c>
      <c r="F269" t="s">
        <v>738</v>
      </c>
      <c r="G269">
        <v>1126</v>
      </c>
      <c r="I269" t="s">
        <v>874</v>
      </c>
      <c r="L269" t="s">
        <v>1552</v>
      </c>
      <c r="M269" t="s">
        <v>1552</v>
      </c>
      <c r="N269" t="s">
        <v>1552</v>
      </c>
      <c r="O269" t="s">
        <v>1552</v>
      </c>
      <c r="P269" t="s">
        <v>1552</v>
      </c>
      <c r="Q269" t="s">
        <v>1552</v>
      </c>
      <c r="R269" t="s">
        <v>1552</v>
      </c>
    </row>
    <row r="270" spans="1:18" x14ac:dyDescent="0.3">
      <c r="A270" t="s">
        <v>867</v>
      </c>
      <c r="B270">
        <v>1141</v>
      </c>
      <c r="C270" t="s">
        <v>820</v>
      </c>
      <c r="D270">
        <f>VLOOKUP(C270,items_full!$A$2:$B$254,2,0)</f>
        <v>2735</v>
      </c>
      <c r="E270" t="s">
        <v>1842</v>
      </c>
      <c r="F270" t="s">
        <v>775</v>
      </c>
      <c r="G270">
        <v>1140</v>
      </c>
      <c r="I270" t="s">
        <v>1894</v>
      </c>
      <c r="L270" t="s">
        <v>1552</v>
      </c>
      <c r="M270" t="s">
        <v>1552</v>
      </c>
      <c r="N270" t="s">
        <v>1552</v>
      </c>
      <c r="O270" t="s">
        <v>1552</v>
      </c>
      <c r="P270" t="s">
        <v>1552</v>
      </c>
      <c r="Q270" t="s">
        <v>1552</v>
      </c>
      <c r="R270" t="s">
        <v>1552</v>
      </c>
    </row>
    <row r="271" spans="1:18" x14ac:dyDescent="0.3">
      <c r="A271" t="s">
        <v>1895</v>
      </c>
      <c r="B271">
        <v>1151</v>
      </c>
      <c r="C271" t="s">
        <v>820</v>
      </c>
      <c r="D271">
        <f>VLOOKUP(C271,items_full!$A$2:$B$254,2,0)</f>
        <v>2735</v>
      </c>
      <c r="E271" t="s">
        <v>1842</v>
      </c>
      <c r="F271" t="s">
        <v>777</v>
      </c>
      <c r="G271">
        <v>1150</v>
      </c>
      <c r="I271" t="s">
        <v>1894</v>
      </c>
      <c r="L271" t="s">
        <v>1552</v>
      </c>
      <c r="M271" t="s">
        <v>1552</v>
      </c>
      <c r="N271" t="s">
        <v>1552</v>
      </c>
      <c r="O271" t="s">
        <v>1552</v>
      </c>
      <c r="P271" t="s">
        <v>1552</v>
      </c>
      <c r="Q271" t="s">
        <v>1552</v>
      </c>
      <c r="R271" t="s">
        <v>1552</v>
      </c>
    </row>
    <row r="272" spans="1:18" x14ac:dyDescent="0.3">
      <c r="A272" t="s">
        <v>1896</v>
      </c>
      <c r="B272">
        <v>1158</v>
      </c>
      <c r="C272" t="s">
        <v>820</v>
      </c>
      <c r="D272">
        <f>VLOOKUP(C272,items_full!$A$2:$B$254,2,0)</f>
        <v>2735</v>
      </c>
      <c r="E272" t="s">
        <v>1842</v>
      </c>
      <c r="F272" t="s">
        <v>736</v>
      </c>
      <c r="G272">
        <v>1157</v>
      </c>
      <c r="I272" t="s">
        <v>821</v>
      </c>
      <c r="L272" t="s">
        <v>1552</v>
      </c>
      <c r="M272" t="s">
        <v>1552</v>
      </c>
      <c r="N272" t="s">
        <v>1552</v>
      </c>
      <c r="O272" t="s">
        <v>1552</v>
      </c>
      <c r="P272" t="s">
        <v>1552</v>
      </c>
      <c r="Q272" t="s">
        <v>1552</v>
      </c>
      <c r="R272" t="s">
        <v>1552</v>
      </c>
    </row>
    <row r="273" spans="1:18" x14ac:dyDescent="0.3">
      <c r="A273" t="s">
        <v>1897</v>
      </c>
      <c r="B273">
        <v>1163</v>
      </c>
      <c r="C273" t="s">
        <v>820</v>
      </c>
      <c r="D273">
        <f>VLOOKUP(C273,items_full!$A$2:$B$254,2,0)</f>
        <v>2735</v>
      </c>
      <c r="E273" t="s">
        <v>1842</v>
      </c>
      <c r="F273" t="s">
        <v>784</v>
      </c>
      <c r="G273">
        <v>1190</v>
      </c>
      <c r="I273" t="s">
        <v>821</v>
      </c>
      <c r="L273" t="s">
        <v>1552</v>
      </c>
      <c r="M273" t="s">
        <v>1552</v>
      </c>
      <c r="N273" t="s">
        <v>1552</v>
      </c>
      <c r="O273" t="s">
        <v>1552</v>
      </c>
      <c r="P273" t="s">
        <v>1552</v>
      </c>
      <c r="Q273" t="s">
        <v>1552</v>
      </c>
      <c r="R273" t="s">
        <v>1552</v>
      </c>
    </row>
    <row r="274" spans="1:18" x14ac:dyDescent="0.3">
      <c r="A274" t="s">
        <v>850</v>
      </c>
      <c r="B274">
        <v>1166</v>
      </c>
      <c r="C274" t="s">
        <v>820</v>
      </c>
      <c r="D274">
        <f>VLOOKUP(C274,items_full!$A$2:$B$254,2,0)</f>
        <v>2735</v>
      </c>
      <c r="E274" t="s">
        <v>1842</v>
      </c>
      <c r="F274" t="s">
        <v>725</v>
      </c>
      <c r="G274">
        <v>1171</v>
      </c>
      <c r="I274" t="s">
        <v>821</v>
      </c>
      <c r="L274" t="s">
        <v>1552</v>
      </c>
      <c r="M274" t="s">
        <v>1552</v>
      </c>
      <c r="N274" t="s">
        <v>1552</v>
      </c>
      <c r="O274" t="s">
        <v>1552</v>
      </c>
      <c r="P274" t="s">
        <v>1552</v>
      </c>
      <c r="Q274" t="s">
        <v>1552</v>
      </c>
      <c r="R274" t="s">
        <v>1552</v>
      </c>
    </row>
    <row r="275" spans="1:18" x14ac:dyDescent="0.3">
      <c r="A275" t="s">
        <v>1898</v>
      </c>
      <c r="B275">
        <v>1176</v>
      </c>
      <c r="C275" t="s">
        <v>820</v>
      </c>
      <c r="D275">
        <f>VLOOKUP(C275,items_full!$A$2:$B$254,2,0)</f>
        <v>2735</v>
      </c>
      <c r="E275" t="s">
        <v>1842</v>
      </c>
      <c r="F275" t="s">
        <v>725</v>
      </c>
      <c r="G275">
        <v>1171</v>
      </c>
      <c r="I275" t="s">
        <v>821</v>
      </c>
      <c r="L275" t="s">
        <v>1552</v>
      </c>
      <c r="M275" t="s">
        <v>1552</v>
      </c>
      <c r="N275" t="s">
        <v>1552</v>
      </c>
      <c r="O275" t="s">
        <v>1552</v>
      </c>
      <c r="P275" t="s">
        <v>1552</v>
      </c>
      <c r="Q275" t="s">
        <v>1552</v>
      </c>
      <c r="R275" t="s">
        <v>1552</v>
      </c>
    </row>
    <row r="276" spans="1:18" x14ac:dyDescent="0.3">
      <c r="A276" t="s">
        <v>793</v>
      </c>
      <c r="B276">
        <v>1182</v>
      </c>
      <c r="C276" t="s">
        <v>796</v>
      </c>
      <c r="D276">
        <f>VLOOKUP(C276,items_full!$A$2:$B$254,2,0)</f>
        <v>2745</v>
      </c>
      <c r="E276" t="s">
        <v>1842</v>
      </c>
      <c r="F276" t="s">
        <v>783</v>
      </c>
      <c r="G276">
        <v>1181</v>
      </c>
      <c r="I276" t="s">
        <v>796</v>
      </c>
      <c r="L276" t="s">
        <v>1552</v>
      </c>
      <c r="M276" t="s">
        <v>1552</v>
      </c>
      <c r="N276" t="s">
        <v>1552</v>
      </c>
      <c r="O276" t="s">
        <v>1552</v>
      </c>
      <c r="P276" t="s">
        <v>1552</v>
      </c>
      <c r="Q276" t="s">
        <v>1552</v>
      </c>
      <c r="R276" t="s">
        <v>1552</v>
      </c>
    </row>
    <row r="277" spans="1:18" x14ac:dyDescent="0.3">
      <c r="A277" t="s">
        <v>792</v>
      </c>
      <c r="B277">
        <v>1183</v>
      </c>
      <c r="F277" t="s">
        <v>783</v>
      </c>
      <c r="G277">
        <v>1181</v>
      </c>
      <c r="I277" t="s">
        <v>792</v>
      </c>
      <c r="L277" t="s">
        <v>1552</v>
      </c>
      <c r="M277" t="s">
        <v>1552</v>
      </c>
      <c r="N277" t="s">
        <v>1552</v>
      </c>
      <c r="O277" t="s">
        <v>1552</v>
      </c>
      <c r="P277" t="s">
        <v>1552</v>
      </c>
      <c r="Q277" t="s">
        <v>1552</v>
      </c>
      <c r="R277" t="s">
        <v>1552</v>
      </c>
    </row>
    <row r="278" spans="1:18" x14ac:dyDescent="0.3">
      <c r="A278" t="s">
        <v>883</v>
      </c>
      <c r="B278">
        <v>1185</v>
      </c>
      <c r="C278" t="s">
        <v>885</v>
      </c>
      <c r="D278">
        <f>VLOOKUP(C278,items_full!$A$2:$B$254,2,0)</f>
        <v>2747</v>
      </c>
      <c r="E278" t="s">
        <v>1842</v>
      </c>
      <c r="I278" t="s">
        <v>885</v>
      </c>
      <c r="L278" t="s">
        <v>1552</v>
      </c>
      <c r="M278" t="s">
        <v>1552</v>
      </c>
      <c r="N278" t="s">
        <v>1552</v>
      </c>
      <c r="O278" t="s">
        <v>1552</v>
      </c>
      <c r="P278" t="s">
        <v>1552</v>
      </c>
      <c r="Q278" t="s">
        <v>1552</v>
      </c>
      <c r="R278" t="s">
        <v>1552</v>
      </c>
    </row>
    <row r="279" spans="1:18" x14ac:dyDescent="0.3">
      <c r="A279" t="s">
        <v>1899</v>
      </c>
      <c r="B279">
        <v>1186</v>
      </c>
      <c r="C279" t="s">
        <v>885</v>
      </c>
      <c r="D279">
        <f>VLOOKUP(C279,items_full!$A$2:$B$254,2,0)</f>
        <v>2747</v>
      </c>
      <c r="E279" t="s">
        <v>1842</v>
      </c>
      <c r="I279" t="s">
        <v>885</v>
      </c>
      <c r="L279" t="s">
        <v>1552</v>
      </c>
      <c r="M279" t="s">
        <v>1552</v>
      </c>
      <c r="N279" t="s">
        <v>1552</v>
      </c>
      <c r="O279" t="s">
        <v>1552</v>
      </c>
      <c r="P279" t="s">
        <v>1552</v>
      </c>
      <c r="Q279" t="s">
        <v>1552</v>
      </c>
      <c r="R279" t="s">
        <v>1552</v>
      </c>
    </row>
    <row r="280" spans="1:18" x14ac:dyDescent="0.3">
      <c r="A280" t="s">
        <v>886</v>
      </c>
      <c r="B280">
        <v>1225</v>
      </c>
      <c r="C280" t="s">
        <v>800</v>
      </c>
      <c r="D280">
        <f>VLOOKUP(C280,items_full!$A$2:$B$254,2,0)</f>
        <v>2737</v>
      </c>
      <c r="E280" t="s">
        <v>1842</v>
      </c>
      <c r="F280" s="1" t="s">
        <v>739</v>
      </c>
      <c r="G280">
        <v>961</v>
      </c>
      <c r="I280" t="s">
        <v>801</v>
      </c>
      <c r="L280" t="s">
        <v>1552</v>
      </c>
      <c r="M280" t="s">
        <v>1552</v>
      </c>
      <c r="N280" t="s">
        <v>1552</v>
      </c>
      <c r="O280" t="s">
        <v>1552</v>
      </c>
      <c r="P280" t="s">
        <v>1552</v>
      </c>
      <c r="Q280" t="s">
        <v>1552</v>
      </c>
      <c r="R280" t="s">
        <v>1552</v>
      </c>
    </row>
    <row r="281" spans="1:18" x14ac:dyDescent="0.3">
      <c r="A281" t="s">
        <v>1900</v>
      </c>
      <c r="B281">
        <v>1242</v>
      </c>
      <c r="C281" t="s">
        <v>1102</v>
      </c>
      <c r="D281">
        <f>VLOOKUP(C281,items_full!$A$2:$B$254,2,0)</f>
        <v>2586</v>
      </c>
      <c r="E281" t="s">
        <v>1551</v>
      </c>
      <c r="I281" t="s">
        <v>1653</v>
      </c>
      <c r="L281" t="s">
        <v>1552</v>
      </c>
      <c r="M281" t="s">
        <v>1552</v>
      </c>
      <c r="N281" t="s">
        <v>1552</v>
      </c>
      <c r="O281" t="s">
        <v>1552</v>
      </c>
      <c r="P281" t="s">
        <v>1552</v>
      </c>
      <c r="Q281" t="s">
        <v>1552</v>
      </c>
      <c r="R281" t="s">
        <v>1552</v>
      </c>
    </row>
    <row r="282" spans="1:18" x14ac:dyDescent="0.3">
      <c r="A282" t="s">
        <v>1901</v>
      </c>
      <c r="B282">
        <v>1717</v>
      </c>
      <c r="I282" s="4"/>
      <c r="L282" t="s">
        <v>1552</v>
      </c>
      <c r="M282" t="s">
        <v>1552</v>
      </c>
      <c r="N282" t="s">
        <v>1552</v>
      </c>
      <c r="O282" t="s">
        <v>1552</v>
      </c>
      <c r="P282" t="s">
        <v>1552</v>
      </c>
      <c r="Q282" t="s">
        <v>1552</v>
      </c>
      <c r="R282" t="s">
        <v>1552</v>
      </c>
    </row>
    <row r="283" spans="1:18" x14ac:dyDescent="0.3">
      <c r="A283" t="s">
        <v>1902</v>
      </c>
      <c r="B283">
        <v>1720</v>
      </c>
      <c r="I283" s="4"/>
      <c r="L283" t="s">
        <v>1552</v>
      </c>
      <c r="M283" t="s">
        <v>1552</v>
      </c>
      <c r="N283" t="s">
        <v>1552</v>
      </c>
      <c r="O283" t="s">
        <v>1552</v>
      </c>
      <c r="P283" t="s">
        <v>1552</v>
      </c>
      <c r="Q283" t="s">
        <v>1552</v>
      </c>
      <c r="R283" t="s">
        <v>1552</v>
      </c>
    </row>
    <row r="284" spans="1:18" x14ac:dyDescent="0.3">
      <c r="A284" t="s">
        <v>1576</v>
      </c>
      <c r="B284">
        <v>1723</v>
      </c>
      <c r="I284" s="4"/>
      <c r="L284" t="s">
        <v>1552</v>
      </c>
      <c r="M284" t="s">
        <v>1552</v>
      </c>
      <c r="N284" t="s">
        <v>1552</v>
      </c>
      <c r="O284" t="s">
        <v>1552</v>
      </c>
      <c r="P284" t="s">
        <v>1552</v>
      </c>
      <c r="Q284" t="s">
        <v>1552</v>
      </c>
      <c r="R284" t="s">
        <v>1552</v>
      </c>
    </row>
    <row r="285" spans="1:18" x14ac:dyDescent="0.3">
      <c r="A285" t="s">
        <v>1903</v>
      </c>
      <c r="B285">
        <v>1726</v>
      </c>
      <c r="I285" s="4"/>
      <c r="L285" t="s">
        <v>1552</v>
      </c>
      <c r="M285" t="s">
        <v>1552</v>
      </c>
      <c r="N285" t="s">
        <v>1552</v>
      </c>
      <c r="O285" t="s">
        <v>1552</v>
      </c>
      <c r="P285" t="s">
        <v>1552</v>
      </c>
      <c r="Q285" t="s">
        <v>1552</v>
      </c>
      <c r="R285" t="s">
        <v>1552</v>
      </c>
    </row>
    <row r="286" spans="1:18" x14ac:dyDescent="0.3">
      <c r="A286" t="s">
        <v>1904</v>
      </c>
      <c r="B286">
        <v>1729</v>
      </c>
      <c r="I286" s="4"/>
      <c r="L286" t="s">
        <v>1552</v>
      </c>
      <c r="M286" t="s">
        <v>1552</v>
      </c>
      <c r="N286" t="s">
        <v>1552</v>
      </c>
      <c r="O286" t="s">
        <v>1552</v>
      </c>
      <c r="P286" t="s">
        <v>1552</v>
      </c>
      <c r="Q286" t="s">
        <v>1552</v>
      </c>
      <c r="R286" t="s">
        <v>1552</v>
      </c>
    </row>
    <row r="287" spans="1:18" x14ac:dyDescent="0.3">
      <c r="A287" t="s">
        <v>1905</v>
      </c>
      <c r="B287">
        <v>1732</v>
      </c>
      <c r="I287" s="4"/>
      <c r="L287" t="s">
        <v>1552</v>
      </c>
      <c r="M287" t="s">
        <v>1552</v>
      </c>
      <c r="N287" t="s">
        <v>1552</v>
      </c>
      <c r="O287" t="s">
        <v>1552</v>
      </c>
      <c r="P287" t="s">
        <v>1552</v>
      </c>
      <c r="Q287" t="s">
        <v>1552</v>
      </c>
      <c r="R287" t="s">
        <v>1552</v>
      </c>
    </row>
    <row r="288" spans="1:18" x14ac:dyDescent="0.3">
      <c r="A288" t="s">
        <v>1673</v>
      </c>
      <c r="B288">
        <v>1735</v>
      </c>
      <c r="I288" s="4"/>
      <c r="L288" t="s">
        <v>1552</v>
      </c>
      <c r="M288" t="s">
        <v>1552</v>
      </c>
      <c r="N288" t="s">
        <v>1552</v>
      </c>
      <c r="O288" t="s">
        <v>1552</v>
      </c>
      <c r="P288" t="s">
        <v>1552</v>
      </c>
      <c r="Q288" t="s">
        <v>1552</v>
      </c>
      <c r="R288" t="s">
        <v>1552</v>
      </c>
    </row>
    <row r="289" spans="1:18" x14ac:dyDescent="0.3">
      <c r="A289" t="s">
        <v>1710</v>
      </c>
      <c r="B289">
        <v>1738</v>
      </c>
      <c r="I289" s="4"/>
      <c r="L289" t="s">
        <v>1552</v>
      </c>
      <c r="M289" t="s">
        <v>1552</v>
      </c>
      <c r="N289" t="s">
        <v>1552</v>
      </c>
      <c r="O289" t="s">
        <v>1552</v>
      </c>
      <c r="P289" t="s">
        <v>1552</v>
      </c>
      <c r="Q289" t="s">
        <v>1552</v>
      </c>
      <c r="R289" t="s">
        <v>1552</v>
      </c>
    </row>
    <row r="290" spans="1:18" x14ac:dyDescent="0.3">
      <c r="A290" t="s">
        <v>1506</v>
      </c>
      <c r="B290">
        <v>1745</v>
      </c>
      <c r="I290" s="4"/>
      <c r="L290" t="s">
        <v>1552</v>
      </c>
      <c r="M290" t="s">
        <v>1552</v>
      </c>
      <c r="N290" t="s">
        <v>1552</v>
      </c>
      <c r="O290" t="s">
        <v>1552</v>
      </c>
      <c r="P290" t="s">
        <v>1552</v>
      </c>
      <c r="Q290" t="s">
        <v>1552</v>
      </c>
      <c r="R290" t="s">
        <v>1552</v>
      </c>
    </row>
    <row r="291" spans="1:18" x14ac:dyDescent="0.3">
      <c r="A291" t="s">
        <v>1906</v>
      </c>
      <c r="B291">
        <v>1765</v>
      </c>
      <c r="I291" s="4"/>
      <c r="L291" t="s">
        <v>1552</v>
      </c>
      <c r="M291" t="s">
        <v>1552</v>
      </c>
      <c r="N291" t="s">
        <v>1552</v>
      </c>
      <c r="O291" t="s">
        <v>1552</v>
      </c>
      <c r="P291" t="s">
        <v>1552</v>
      </c>
      <c r="Q291" t="s">
        <v>1552</v>
      </c>
      <c r="R291" t="s">
        <v>1552</v>
      </c>
    </row>
    <row r="292" spans="1:18" x14ac:dyDescent="0.3">
      <c r="A292" t="s">
        <v>1907</v>
      </c>
      <c r="B292">
        <v>1780</v>
      </c>
      <c r="I292" s="4"/>
      <c r="L292" t="s">
        <v>1552</v>
      </c>
      <c r="M292" t="s">
        <v>1552</v>
      </c>
      <c r="N292" t="s">
        <v>1552</v>
      </c>
      <c r="O292" t="s">
        <v>1552</v>
      </c>
      <c r="P292" t="s">
        <v>1552</v>
      </c>
      <c r="Q292" t="s">
        <v>1552</v>
      </c>
      <c r="R292" t="s">
        <v>1552</v>
      </c>
    </row>
    <row r="293" spans="1:18" x14ac:dyDescent="0.3">
      <c r="A293" t="s">
        <v>1908</v>
      </c>
      <c r="B293">
        <v>1783</v>
      </c>
      <c r="I293" s="4"/>
      <c r="L293" t="s">
        <v>1552</v>
      </c>
      <c r="M293" t="s">
        <v>1552</v>
      </c>
      <c r="N293" t="s">
        <v>1552</v>
      </c>
      <c r="O293" t="s">
        <v>1552</v>
      </c>
      <c r="P293" t="s">
        <v>1552</v>
      </c>
      <c r="Q293" t="s">
        <v>1552</v>
      </c>
      <c r="R293" t="s">
        <v>1552</v>
      </c>
    </row>
    <row r="294" spans="1:18" x14ac:dyDescent="0.3">
      <c r="A294" t="s">
        <v>1909</v>
      </c>
      <c r="B294">
        <v>1806</v>
      </c>
      <c r="I294" s="4"/>
      <c r="L294" t="s">
        <v>1552</v>
      </c>
      <c r="M294" t="s">
        <v>1552</v>
      </c>
      <c r="N294" t="s">
        <v>1552</v>
      </c>
      <c r="O294" t="s">
        <v>1552</v>
      </c>
      <c r="P294" t="s">
        <v>1552</v>
      </c>
      <c r="Q294" t="s">
        <v>1552</v>
      </c>
      <c r="R294" t="s">
        <v>1552</v>
      </c>
    </row>
    <row r="295" spans="1:18" x14ac:dyDescent="0.3">
      <c r="A295" t="s">
        <v>1910</v>
      </c>
      <c r="B295">
        <v>1807</v>
      </c>
      <c r="I295" s="4"/>
      <c r="L295" t="s">
        <v>1552</v>
      </c>
      <c r="M295" t="s">
        <v>1552</v>
      </c>
      <c r="N295" t="s">
        <v>1552</v>
      </c>
      <c r="O295" t="s">
        <v>1552</v>
      </c>
      <c r="P295" t="s">
        <v>1552</v>
      </c>
      <c r="Q295" t="s">
        <v>1552</v>
      </c>
      <c r="R295" t="s">
        <v>1552</v>
      </c>
    </row>
    <row r="296" spans="1:18" x14ac:dyDescent="0.3">
      <c r="A296" t="s">
        <v>1911</v>
      </c>
      <c r="B296">
        <v>1807</v>
      </c>
      <c r="I296" s="4"/>
      <c r="L296" t="s">
        <v>1552</v>
      </c>
      <c r="M296" t="s">
        <v>1552</v>
      </c>
      <c r="N296" t="s">
        <v>1552</v>
      </c>
      <c r="O296" t="s">
        <v>1552</v>
      </c>
      <c r="P296" t="s">
        <v>1552</v>
      </c>
      <c r="Q296" t="s">
        <v>1552</v>
      </c>
      <c r="R296" t="s">
        <v>1552</v>
      </c>
    </row>
    <row r="297" spans="1:18" x14ac:dyDescent="0.3">
      <c r="A297" t="s">
        <v>1912</v>
      </c>
      <c r="B297">
        <v>1808</v>
      </c>
      <c r="I297" s="4"/>
      <c r="L297" t="s">
        <v>1552</v>
      </c>
      <c r="M297" t="s">
        <v>1552</v>
      </c>
      <c r="N297" t="s">
        <v>1552</v>
      </c>
      <c r="O297" t="s">
        <v>1552</v>
      </c>
      <c r="P297" t="s">
        <v>1552</v>
      </c>
      <c r="Q297" t="s">
        <v>1552</v>
      </c>
      <c r="R297" t="s">
        <v>1552</v>
      </c>
    </row>
    <row r="298" spans="1:18" x14ac:dyDescent="0.3">
      <c r="A298" t="s">
        <v>1913</v>
      </c>
      <c r="B298">
        <v>1809</v>
      </c>
      <c r="I298" s="4"/>
      <c r="L298" t="s">
        <v>1552</v>
      </c>
      <c r="M298" t="s">
        <v>1552</v>
      </c>
      <c r="N298" t="s">
        <v>1552</v>
      </c>
      <c r="O298" t="s">
        <v>1552</v>
      </c>
      <c r="P298" t="s">
        <v>1552</v>
      </c>
      <c r="Q298" t="s">
        <v>1552</v>
      </c>
      <c r="R298" t="s">
        <v>1552</v>
      </c>
    </row>
    <row r="299" spans="1:18" x14ac:dyDescent="0.3">
      <c r="A299" t="s">
        <v>1914</v>
      </c>
      <c r="B299">
        <v>1811</v>
      </c>
      <c r="I299" s="4"/>
      <c r="L299" t="s">
        <v>1552</v>
      </c>
      <c r="M299" t="s">
        <v>1552</v>
      </c>
      <c r="N299" t="s">
        <v>1552</v>
      </c>
      <c r="O299" t="s">
        <v>1552</v>
      </c>
      <c r="P299" t="s">
        <v>1552</v>
      </c>
      <c r="Q299" t="s">
        <v>1552</v>
      </c>
      <c r="R299" t="s">
        <v>1552</v>
      </c>
    </row>
    <row r="300" spans="1:18" x14ac:dyDescent="0.3">
      <c r="A300" t="s">
        <v>1915</v>
      </c>
      <c r="B300">
        <v>1816</v>
      </c>
      <c r="I300" s="4"/>
      <c r="L300" t="s">
        <v>1552</v>
      </c>
      <c r="M300" t="s">
        <v>1552</v>
      </c>
      <c r="N300" t="s">
        <v>1552</v>
      </c>
      <c r="O300" t="s">
        <v>1552</v>
      </c>
      <c r="P300" t="s">
        <v>1552</v>
      </c>
      <c r="Q300" t="s">
        <v>1552</v>
      </c>
      <c r="R300" t="s">
        <v>1552</v>
      </c>
    </row>
    <row r="301" spans="1:18" x14ac:dyDescent="0.3">
      <c r="A301" t="s">
        <v>1916</v>
      </c>
      <c r="B301">
        <v>1841</v>
      </c>
      <c r="I301" s="4"/>
      <c r="L301" t="s">
        <v>1552</v>
      </c>
      <c r="M301" t="s">
        <v>1552</v>
      </c>
      <c r="N301" t="s">
        <v>1552</v>
      </c>
      <c r="O301" t="s">
        <v>1552</v>
      </c>
      <c r="P301" t="s">
        <v>1552</v>
      </c>
      <c r="Q301" t="s">
        <v>1552</v>
      </c>
      <c r="R301" t="s">
        <v>1552</v>
      </c>
    </row>
    <row r="302" spans="1:18" x14ac:dyDescent="0.3">
      <c r="B302" s="3">
        <f>D302</f>
        <v>2105</v>
      </c>
      <c r="C302" t="s">
        <v>1298</v>
      </c>
      <c r="D302">
        <f>VLOOKUP(C302,items_full!$A$2:$B$254,2,0)</f>
        <v>2105</v>
      </c>
      <c r="E302" t="s">
        <v>1917</v>
      </c>
      <c r="L302" t="s">
        <v>1552</v>
      </c>
      <c r="M302" t="s">
        <v>1552</v>
      </c>
      <c r="N302" t="s">
        <v>1552</v>
      </c>
      <c r="O302" t="s">
        <v>1552</v>
      </c>
      <c r="P302" t="s">
        <v>1552</v>
      </c>
      <c r="Q302" t="s">
        <v>1552</v>
      </c>
      <c r="R302" t="s">
        <v>1552</v>
      </c>
    </row>
    <row r="303" spans="1:18" x14ac:dyDescent="0.3">
      <c r="B303" s="3">
        <f>D303</f>
        <v>2106</v>
      </c>
      <c r="C303" t="s">
        <v>1918</v>
      </c>
      <c r="D303">
        <f>VLOOKUP(C303,items_full!$A$2:$B$254,2,0)</f>
        <v>2106</v>
      </c>
      <c r="E303" t="s">
        <v>1917</v>
      </c>
      <c r="L303" t="s">
        <v>1552</v>
      </c>
      <c r="M303" t="s">
        <v>1552</v>
      </c>
      <c r="N303" t="s">
        <v>1552</v>
      </c>
      <c r="O303" t="s">
        <v>1552</v>
      </c>
      <c r="P303" t="s">
        <v>1552</v>
      </c>
      <c r="Q303" t="s">
        <v>1552</v>
      </c>
      <c r="R303" t="s">
        <v>1552</v>
      </c>
    </row>
    <row r="304" spans="1:18" x14ac:dyDescent="0.3">
      <c r="B304" s="3">
        <f>D304</f>
        <v>2107</v>
      </c>
      <c r="C304" t="s">
        <v>1919</v>
      </c>
      <c r="D304">
        <f>VLOOKUP(C304,items_full!$A$2:$B$254,2,0)</f>
        <v>2107</v>
      </c>
      <c r="E304" t="s">
        <v>1917</v>
      </c>
      <c r="L304" t="s">
        <v>1552</v>
      </c>
      <c r="M304" t="s">
        <v>1552</v>
      </c>
      <c r="N304" t="s">
        <v>1552</v>
      </c>
      <c r="O304" t="s">
        <v>1552</v>
      </c>
      <c r="P304" t="s">
        <v>1552</v>
      </c>
      <c r="Q304" t="s">
        <v>1552</v>
      </c>
      <c r="R304" t="s">
        <v>1552</v>
      </c>
    </row>
    <row r="305" spans="1:18" x14ac:dyDescent="0.3">
      <c r="A305" t="s">
        <v>1920</v>
      </c>
      <c r="B305" s="1">
        <v>2108</v>
      </c>
      <c r="C305" t="s">
        <v>1920</v>
      </c>
      <c r="E305" t="s">
        <v>1543</v>
      </c>
      <c r="I305" t="s">
        <v>1920</v>
      </c>
      <c r="K305" t="s">
        <v>1920</v>
      </c>
      <c r="L305" t="s">
        <v>1552</v>
      </c>
      <c r="M305" t="s">
        <v>1552</v>
      </c>
      <c r="N305" t="s">
        <v>1552</v>
      </c>
      <c r="O305" t="s">
        <v>1552</v>
      </c>
      <c r="P305" t="s">
        <v>1552</v>
      </c>
      <c r="Q305" t="s">
        <v>1552</v>
      </c>
      <c r="R305" t="s">
        <v>1552</v>
      </c>
    </row>
    <row r="306" spans="1:18" x14ac:dyDescent="0.3">
      <c r="A306" t="s">
        <v>1921</v>
      </c>
      <c r="B306" s="3">
        <v>3001</v>
      </c>
      <c r="C306" t="s">
        <v>1922</v>
      </c>
      <c r="D306">
        <f>VLOOKUP(C306,items_full!$A$2:$B$254,2,0)</f>
        <v>3000</v>
      </c>
      <c r="E306" t="s">
        <v>1922</v>
      </c>
      <c r="H306" t="s">
        <v>1679</v>
      </c>
      <c r="I306" t="s">
        <v>1871</v>
      </c>
      <c r="K306" t="s">
        <v>1871</v>
      </c>
      <c r="L306" t="s">
        <v>1552</v>
      </c>
      <c r="M306" t="s">
        <v>1552</v>
      </c>
      <c r="N306" t="s">
        <v>1552</v>
      </c>
      <c r="O306" t="s">
        <v>1552</v>
      </c>
      <c r="P306" t="s">
        <v>1552</v>
      </c>
      <c r="Q306" t="s">
        <v>1552</v>
      </c>
      <c r="R306" t="s">
        <v>1552</v>
      </c>
    </row>
    <row r="307" spans="1:18" x14ac:dyDescent="0.3">
      <c r="A307" t="s">
        <v>1923</v>
      </c>
      <c r="B307" s="3">
        <v>3002</v>
      </c>
      <c r="C307" t="s">
        <v>1922</v>
      </c>
      <c r="D307">
        <f>VLOOKUP(C307,items_full!$A$2:$B$254,2,0)</f>
        <v>3000</v>
      </c>
      <c r="E307" t="s">
        <v>1922</v>
      </c>
      <c r="H307" t="s">
        <v>1679</v>
      </c>
      <c r="I307" t="s">
        <v>1871</v>
      </c>
      <c r="K307" t="s">
        <v>1871</v>
      </c>
      <c r="L307" t="s">
        <v>1545</v>
      </c>
      <c r="M307" t="s">
        <v>1679</v>
      </c>
      <c r="N307" t="s">
        <v>1679</v>
      </c>
      <c r="O307" t="s">
        <v>1679</v>
      </c>
      <c r="P307">
        <v>1</v>
      </c>
      <c r="Q307" t="s">
        <v>1679</v>
      </c>
      <c r="R307" t="s">
        <v>1547</v>
      </c>
    </row>
    <row r="308" spans="1:18" x14ac:dyDescent="0.3">
      <c r="A308" t="s">
        <v>1924</v>
      </c>
      <c r="B308" s="3">
        <v>17530</v>
      </c>
      <c r="L308" t="s">
        <v>1552</v>
      </c>
      <c r="M308" t="s">
        <v>1552</v>
      </c>
      <c r="N308" t="s">
        <v>1552</v>
      </c>
      <c r="O308" t="s">
        <v>1552</v>
      </c>
      <c r="P308" t="s">
        <v>1552</v>
      </c>
      <c r="Q308" t="s">
        <v>1552</v>
      </c>
      <c r="R308" t="s">
        <v>1552</v>
      </c>
    </row>
    <row r="309" spans="1:18" x14ac:dyDescent="0.3">
      <c r="C309" t="s">
        <v>1925</v>
      </c>
      <c r="D309">
        <f>VLOOKUP(C309,items_full!$A$2:$B$254,2,0)</f>
        <v>3500</v>
      </c>
      <c r="E309" t="s">
        <v>1925</v>
      </c>
      <c r="L309" t="s">
        <v>1552</v>
      </c>
      <c r="M309" t="s">
        <v>1552</v>
      </c>
      <c r="N309" t="s">
        <v>1552</v>
      </c>
      <c r="O309" t="s">
        <v>1552</v>
      </c>
      <c r="P309" t="s">
        <v>1552</v>
      </c>
      <c r="Q309" t="s">
        <v>1552</v>
      </c>
      <c r="R309" t="s">
        <v>1552</v>
      </c>
    </row>
    <row r="313" spans="1:18" x14ac:dyDescent="0.3">
      <c r="B313" s="1"/>
    </row>
    <row r="329" spans="2:2" x14ac:dyDescent="0.3">
      <c r="B329" s="1"/>
    </row>
  </sheetData>
  <sortState xmlns:xlrd2="http://schemas.microsoft.com/office/spreadsheetml/2017/richdata2" ref="A2:K309">
    <sortCondition ref="B2:B309"/>
  </sortState>
  <phoneticPr fontId="3" type="noConversion"/>
  <pageMargins left="0.7" right="0.7" top="0.75" bottom="0.75" header="0.3" footer="0.3"/>
  <pageSetup orientation="portrait" horizontalDpi="1200" verticalDpi="1200"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BFCC73-C2AE-4EAA-87FD-10870A893927}">
  <dimension ref="A1:O200"/>
  <sheetViews>
    <sheetView zoomScale="70" zoomScaleNormal="70" workbookViewId="0">
      <pane xSplit="1" ySplit="1" topLeftCell="B145" activePane="bottomRight" state="frozen"/>
      <selection pane="topRight" activeCell="C3" sqref="C3"/>
      <selection pane="bottomLeft" activeCell="C3" sqref="C3"/>
      <selection pane="bottomRight" activeCell="U197" sqref="U197"/>
    </sheetView>
  </sheetViews>
  <sheetFormatPr defaultColWidth="10.77734375" defaultRowHeight="14.4" x14ac:dyDescent="0.3"/>
  <cols>
    <col min="1" max="1" width="36.5546875" customWidth="1"/>
    <col min="5" max="5" width="35.21875" customWidth="1"/>
    <col min="7" max="7" width="17.77734375" customWidth="1"/>
    <col min="10" max="10" width="13.77734375" customWidth="1"/>
    <col min="15" max="15" width="20.109375" bestFit="1" customWidth="1"/>
  </cols>
  <sheetData>
    <row r="1" spans="1:15" s="15" customFormat="1" x14ac:dyDescent="0.3">
      <c r="A1" s="15" t="s">
        <v>1531</v>
      </c>
      <c r="B1" s="15" t="s">
        <v>1532</v>
      </c>
      <c r="C1" s="15" t="s">
        <v>1926</v>
      </c>
      <c r="D1" t="s">
        <v>2269</v>
      </c>
      <c r="E1" t="s">
        <v>2270</v>
      </c>
      <c r="F1" s="15" t="s">
        <v>1927</v>
      </c>
      <c r="G1" s="15" t="s">
        <v>1533</v>
      </c>
      <c r="H1" s="15" t="s">
        <v>1928</v>
      </c>
      <c r="I1" s="15" t="s">
        <v>1929</v>
      </c>
      <c r="J1" s="15" t="s">
        <v>1930</v>
      </c>
      <c r="K1" s="15" t="s">
        <v>1931</v>
      </c>
      <c r="L1" s="15" t="s">
        <v>791</v>
      </c>
      <c r="M1" s="15" t="s">
        <v>1932</v>
      </c>
      <c r="N1" s="15" t="s">
        <v>2511</v>
      </c>
      <c r="O1" s="15" t="s">
        <v>4655</v>
      </c>
    </row>
    <row r="2" spans="1:15" x14ac:dyDescent="0.3">
      <c r="A2" t="s">
        <v>1933</v>
      </c>
      <c r="B2" s="1">
        <v>4007</v>
      </c>
      <c r="C2" s="1" t="e">
        <f>VLOOKUP($B2,[3]items_supply!$A$2:$E$230,3,0)</f>
        <v>#N/A</v>
      </c>
      <c r="D2" s="1" t="e">
        <f>VLOOKUP($B2,[3]items_supply!$A$2:$E$230,4,0)</f>
        <v>#N/A</v>
      </c>
      <c r="E2" s="1" t="e">
        <f>VLOOKUP($B2,[3]items_supply!$A$2:$E$230,5,0)</f>
        <v>#N/A</v>
      </c>
      <c r="F2" t="s">
        <v>1934</v>
      </c>
      <c r="G2" t="s">
        <v>1935</v>
      </c>
      <c r="H2" t="s">
        <v>1936</v>
      </c>
      <c r="I2" t="s">
        <v>1936</v>
      </c>
      <c r="J2" t="s">
        <v>1935</v>
      </c>
      <c r="K2" t="s">
        <v>1935</v>
      </c>
      <c r="L2" t="s">
        <v>1933</v>
      </c>
      <c r="N2" t="s">
        <v>4634</v>
      </c>
      <c r="O2" t="s">
        <v>2267</v>
      </c>
    </row>
    <row r="3" spans="1:15" x14ac:dyDescent="0.3">
      <c r="A3" t="s">
        <v>1937</v>
      </c>
      <c r="B3" s="1">
        <v>4010</v>
      </c>
      <c r="C3" s="1" t="e">
        <f>VLOOKUP($B3,[3]items_supply!$A$2:$E$230,3,0)</f>
        <v>#N/A</v>
      </c>
      <c r="D3" s="1" t="e">
        <f>VLOOKUP($B3,[3]items_supply!$A$2:$E$230,4,0)</f>
        <v>#N/A</v>
      </c>
      <c r="E3" s="1" t="e">
        <f>VLOOKUP($B3,[3]items_supply!$A$2:$E$230,5,0)</f>
        <v>#N/A</v>
      </c>
      <c r="F3" t="s">
        <v>1934</v>
      </c>
      <c r="G3" t="s">
        <v>1935</v>
      </c>
      <c r="H3" t="s">
        <v>1936</v>
      </c>
      <c r="I3" t="s">
        <v>1936</v>
      </c>
      <c r="J3" t="s">
        <v>1935</v>
      </c>
      <c r="K3" t="s">
        <v>1935</v>
      </c>
      <c r="L3" t="s">
        <v>1937</v>
      </c>
      <c r="N3" t="s">
        <v>2535</v>
      </c>
      <c r="O3" t="s">
        <v>2267</v>
      </c>
    </row>
    <row r="4" spans="1:15" x14ac:dyDescent="0.3">
      <c r="A4" t="s">
        <v>1938</v>
      </c>
      <c r="B4" s="1">
        <v>4012</v>
      </c>
      <c r="C4" s="1" t="e">
        <f>VLOOKUP($B4,[3]items_supply!$A$2:$E$230,3,0)</f>
        <v>#N/A</v>
      </c>
      <c r="D4" s="1" t="e">
        <f>VLOOKUP($B4,[3]items_supply!$A$2:$E$230,4,0)</f>
        <v>#N/A</v>
      </c>
      <c r="E4" s="1" t="e">
        <f>VLOOKUP($B4,[3]items_supply!$A$2:$E$230,5,0)</f>
        <v>#N/A</v>
      </c>
      <c r="F4" t="s">
        <v>1934</v>
      </c>
      <c r="G4" t="s">
        <v>1935</v>
      </c>
      <c r="H4" t="s">
        <v>1936</v>
      </c>
      <c r="I4" t="s">
        <v>1936</v>
      </c>
      <c r="J4" t="s">
        <v>1935</v>
      </c>
      <c r="K4" t="s">
        <v>1935</v>
      </c>
      <c r="L4" t="s">
        <v>1938</v>
      </c>
      <c r="N4" t="s">
        <v>4635</v>
      </c>
      <c r="O4" t="s">
        <v>2267</v>
      </c>
    </row>
    <row r="5" spans="1:15" x14ac:dyDescent="0.3">
      <c r="A5" t="s">
        <v>1939</v>
      </c>
      <c r="B5" s="1">
        <v>4013</v>
      </c>
      <c r="C5" s="1" t="e">
        <f>VLOOKUP($B5,[3]items_supply!$A$2:$E$230,3,0)</f>
        <v>#N/A</v>
      </c>
      <c r="D5" s="1" t="e">
        <f>VLOOKUP($B5,[3]items_supply!$A$2:$E$230,4,0)</f>
        <v>#N/A</v>
      </c>
      <c r="E5" s="1" t="e">
        <f>VLOOKUP($B5,[3]items_supply!$A$2:$E$230,5,0)</f>
        <v>#N/A</v>
      </c>
      <c r="F5" t="s">
        <v>1934</v>
      </c>
      <c r="G5" t="s">
        <v>1935</v>
      </c>
      <c r="H5" t="s">
        <v>1936</v>
      </c>
      <c r="I5" t="s">
        <v>1936</v>
      </c>
      <c r="J5" t="s">
        <v>1935</v>
      </c>
      <c r="K5" t="s">
        <v>1935</v>
      </c>
      <c r="L5" t="s">
        <v>1939</v>
      </c>
      <c r="N5" t="s">
        <v>2524</v>
      </c>
      <c r="O5" t="s">
        <v>2267</v>
      </c>
    </row>
    <row r="6" spans="1:15" x14ac:dyDescent="0.3">
      <c r="A6" t="s">
        <v>1940</v>
      </c>
      <c r="B6" s="1">
        <v>4015</v>
      </c>
      <c r="C6" s="1" t="e">
        <f>VLOOKUP($B6,[3]items_supply!$A$2:$E$230,3,0)</f>
        <v>#N/A</v>
      </c>
      <c r="D6" s="1" t="e">
        <f>VLOOKUP($B6,[3]items_supply!$A$2:$E$230,4,0)</f>
        <v>#N/A</v>
      </c>
      <c r="E6" s="1" t="e">
        <f>VLOOKUP($B6,[3]items_supply!$A$2:$E$230,5,0)</f>
        <v>#N/A</v>
      </c>
      <c r="F6" t="s">
        <v>1934</v>
      </c>
      <c r="G6" t="s">
        <v>1935</v>
      </c>
      <c r="H6" t="s">
        <v>1936</v>
      </c>
      <c r="I6" t="s">
        <v>1936</v>
      </c>
      <c r="J6" t="s">
        <v>1935</v>
      </c>
      <c r="K6" t="s">
        <v>1935</v>
      </c>
      <c r="L6" t="s">
        <v>1940</v>
      </c>
      <c r="N6" t="s">
        <v>4636</v>
      </c>
      <c r="O6" t="s">
        <v>2267</v>
      </c>
    </row>
    <row r="7" spans="1:15" x14ac:dyDescent="0.3">
      <c r="A7" t="s">
        <v>1941</v>
      </c>
      <c r="B7" s="1">
        <v>4021</v>
      </c>
      <c r="C7" s="1" t="e">
        <f>VLOOKUP($B7,[3]items_supply!$A$2:$E$230,3,0)</f>
        <v>#N/A</v>
      </c>
      <c r="D7" s="1" t="e">
        <f>VLOOKUP($B7,[3]items_supply!$A$2:$E$230,4,0)</f>
        <v>#N/A</v>
      </c>
      <c r="E7" s="1" t="e">
        <f>VLOOKUP($B7,[3]items_supply!$A$2:$E$230,5,0)</f>
        <v>#N/A</v>
      </c>
      <c r="F7" t="s">
        <v>1934</v>
      </c>
      <c r="G7" t="s">
        <v>1935</v>
      </c>
      <c r="H7" t="s">
        <v>1936</v>
      </c>
      <c r="I7" t="s">
        <v>1936</v>
      </c>
      <c r="J7" t="s">
        <v>1935</v>
      </c>
      <c r="K7" t="s">
        <v>1935</v>
      </c>
      <c r="L7" t="s">
        <v>1941</v>
      </c>
      <c r="N7" t="s">
        <v>4637</v>
      </c>
      <c r="O7" t="s">
        <v>2267</v>
      </c>
    </row>
    <row r="8" spans="1:15" x14ac:dyDescent="0.3">
      <c r="A8" t="s">
        <v>1942</v>
      </c>
      <c r="B8" s="1">
        <v>4018</v>
      </c>
      <c r="C8" s="1" t="e">
        <f>VLOOKUP($B8,[3]items_supply!$A$2:$E$230,3,0)</f>
        <v>#N/A</v>
      </c>
      <c r="D8" s="1" t="e">
        <f>VLOOKUP($B8,[3]items_supply!$A$2:$E$230,4,0)</f>
        <v>#N/A</v>
      </c>
      <c r="E8" s="1" t="e">
        <f>VLOOKUP($B8,[3]items_supply!$A$2:$E$230,5,0)</f>
        <v>#N/A</v>
      </c>
      <c r="F8" t="s">
        <v>1934</v>
      </c>
      <c r="G8" t="s">
        <v>1935</v>
      </c>
      <c r="H8" t="s">
        <v>1936</v>
      </c>
      <c r="I8" t="s">
        <v>1936</v>
      </c>
      <c r="J8" t="s">
        <v>1935</v>
      </c>
      <c r="K8" t="s">
        <v>1935</v>
      </c>
      <c r="L8" t="s">
        <v>1942</v>
      </c>
      <c r="N8" t="s">
        <v>4638</v>
      </c>
      <c r="O8" t="s">
        <v>2267</v>
      </c>
    </row>
    <row r="9" spans="1:15" x14ac:dyDescent="0.3">
      <c r="A9" t="s">
        <v>1943</v>
      </c>
      <c r="B9" s="1">
        <v>4024</v>
      </c>
      <c r="C9" s="1" t="e">
        <f>VLOOKUP($B9,[3]items_supply!$A$2:$E$230,3,0)</f>
        <v>#N/A</v>
      </c>
      <c r="D9" s="1" t="e">
        <f>VLOOKUP($B9,[3]items_supply!$A$2:$E$230,4,0)</f>
        <v>#N/A</v>
      </c>
      <c r="E9" s="1" t="e">
        <f>VLOOKUP($B9,[3]items_supply!$A$2:$E$230,5,0)</f>
        <v>#N/A</v>
      </c>
      <c r="F9" t="s">
        <v>1934</v>
      </c>
      <c r="G9" t="s">
        <v>1935</v>
      </c>
      <c r="H9" t="s">
        <v>1936</v>
      </c>
      <c r="I9" t="s">
        <v>1936</v>
      </c>
      <c r="J9" t="s">
        <v>1935</v>
      </c>
      <c r="K9" t="s">
        <v>1935</v>
      </c>
      <c r="L9" t="s">
        <v>1943</v>
      </c>
      <c r="N9" t="s">
        <v>2576</v>
      </c>
      <c r="O9" t="s">
        <v>2267</v>
      </c>
    </row>
    <row r="10" spans="1:15" x14ac:dyDescent="0.3">
      <c r="A10" t="s">
        <v>1944</v>
      </c>
      <c r="B10" s="1">
        <v>4025</v>
      </c>
      <c r="C10" s="1" t="e">
        <f>VLOOKUP($B10,[3]items_supply!$A$2:$E$230,3,0)</f>
        <v>#N/A</v>
      </c>
      <c r="D10" s="1" t="e">
        <f>VLOOKUP($B10,[3]items_supply!$A$2:$E$230,4,0)</f>
        <v>#N/A</v>
      </c>
      <c r="E10" s="1" t="e">
        <f>VLOOKUP($B10,[3]items_supply!$A$2:$E$230,5,0)</f>
        <v>#N/A</v>
      </c>
      <c r="F10" t="s">
        <v>1934</v>
      </c>
      <c r="G10" t="s">
        <v>1935</v>
      </c>
      <c r="H10" t="s">
        <v>1936</v>
      </c>
      <c r="I10" t="s">
        <v>1936</v>
      </c>
      <c r="J10" t="s">
        <v>1935</v>
      </c>
      <c r="K10" t="s">
        <v>1935</v>
      </c>
      <c r="L10" t="s">
        <v>1944</v>
      </c>
      <c r="N10" t="s">
        <v>2578</v>
      </c>
      <c r="O10" t="s">
        <v>2267</v>
      </c>
    </row>
    <row r="11" spans="1:15" x14ac:dyDescent="0.3">
      <c r="A11" t="s">
        <v>1945</v>
      </c>
      <c r="B11" s="1">
        <v>4027</v>
      </c>
      <c r="C11" s="1" t="e">
        <f>VLOOKUP($B11,[3]items_supply!$A$2:$E$230,3,0)</f>
        <v>#N/A</v>
      </c>
      <c r="D11" s="1" t="e">
        <f>VLOOKUP($B11,[3]items_supply!$A$2:$E$230,4,0)</f>
        <v>#N/A</v>
      </c>
      <c r="E11" s="1" t="e">
        <f>VLOOKUP($B11,[3]items_supply!$A$2:$E$230,5,0)</f>
        <v>#N/A</v>
      </c>
      <c r="F11" t="s">
        <v>1934</v>
      </c>
      <c r="G11" t="s">
        <v>1935</v>
      </c>
      <c r="H11" t="s">
        <v>1936</v>
      </c>
      <c r="I11" t="s">
        <v>1936</v>
      </c>
      <c r="J11" t="s">
        <v>1935</v>
      </c>
      <c r="K11" t="s">
        <v>1935</v>
      </c>
      <c r="L11" t="s">
        <v>1945</v>
      </c>
      <c r="N11" t="s">
        <v>4639</v>
      </c>
      <c r="O11" t="s">
        <v>2267</v>
      </c>
    </row>
    <row r="12" spans="1:15" x14ac:dyDescent="0.3">
      <c r="A12" t="s">
        <v>1946</v>
      </c>
      <c r="B12" s="1">
        <v>4001</v>
      </c>
      <c r="C12" s="1" t="e">
        <f>VLOOKUP($B12,[3]items_supply!$A$2:$E$230,3,0)</f>
        <v>#N/A</v>
      </c>
      <c r="D12" s="1" t="e">
        <f>VLOOKUP($B12,[3]items_supply!$A$2:$E$230,4,0)</f>
        <v>#N/A</v>
      </c>
      <c r="E12" s="1" t="e">
        <f>VLOOKUP($B12,[3]items_supply!$A$2:$E$230,5,0)</f>
        <v>#N/A</v>
      </c>
      <c r="F12" t="s">
        <v>1934</v>
      </c>
      <c r="G12" t="s">
        <v>1935</v>
      </c>
      <c r="H12" t="s">
        <v>1936</v>
      </c>
      <c r="I12" t="s">
        <v>1936</v>
      </c>
      <c r="J12" t="s">
        <v>1935</v>
      </c>
      <c r="K12" t="s">
        <v>1935</v>
      </c>
      <c r="L12" t="s">
        <v>1946</v>
      </c>
      <c r="N12" t="s">
        <v>2514</v>
      </c>
      <c r="O12" t="s">
        <v>2267</v>
      </c>
    </row>
    <row r="13" spans="1:15" x14ac:dyDescent="0.3">
      <c r="A13" t="s">
        <v>1947</v>
      </c>
      <c r="B13" s="1">
        <v>4016</v>
      </c>
      <c r="C13" s="1" t="e">
        <f>VLOOKUP($B13,[3]items_supply!$A$2:$E$230,3,0)</f>
        <v>#N/A</v>
      </c>
      <c r="D13" s="1" t="e">
        <f>VLOOKUP($B13,[3]items_supply!$A$2:$E$230,4,0)</f>
        <v>#N/A</v>
      </c>
      <c r="E13" s="1" t="e">
        <f>VLOOKUP($B13,[3]items_supply!$A$2:$E$230,5,0)</f>
        <v>#N/A</v>
      </c>
      <c r="F13" t="s">
        <v>1934</v>
      </c>
      <c r="G13" t="s">
        <v>1935</v>
      </c>
      <c r="H13" t="s">
        <v>1936</v>
      </c>
      <c r="I13" t="s">
        <v>1936</v>
      </c>
      <c r="J13" t="s">
        <v>1935</v>
      </c>
      <c r="K13" t="s">
        <v>1935</v>
      </c>
      <c r="L13" t="s">
        <v>1947</v>
      </c>
      <c r="N13" t="s">
        <v>4640</v>
      </c>
      <c r="O13" t="s">
        <v>2267</v>
      </c>
    </row>
    <row r="14" spans="1:15" x14ac:dyDescent="0.3">
      <c r="A14" t="s">
        <v>1948</v>
      </c>
      <c r="B14" s="1">
        <v>4022</v>
      </c>
      <c r="C14" s="1" t="e">
        <f>VLOOKUP($B14,[3]items_supply!$A$2:$E$230,3,0)</f>
        <v>#N/A</v>
      </c>
      <c r="D14" s="1" t="e">
        <f>VLOOKUP($B14,[3]items_supply!$A$2:$E$230,4,0)</f>
        <v>#N/A</v>
      </c>
      <c r="E14" s="1" t="e">
        <f>VLOOKUP($B14,[3]items_supply!$A$2:$E$230,5,0)</f>
        <v>#N/A</v>
      </c>
      <c r="F14" t="s">
        <v>1934</v>
      </c>
      <c r="G14" t="s">
        <v>1935</v>
      </c>
      <c r="H14" t="s">
        <v>1936</v>
      </c>
      <c r="I14" t="s">
        <v>1936</v>
      </c>
      <c r="J14" t="s">
        <v>1935</v>
      </c>
      <c r="K14" t="s">
        <v>1935</v>
      </c>
      <c r="L14" t="s">
        <v>1948</v>
      </c>
      <c r="N14" t="s">
        <v>4641</v>
      </c>
      <c r="O14" t="s">
        <v>2267</v>
      </c>
    </row>
    <row r="15" spans="1:15" x14ac:dyDescent="0.3">
      <c r="A15" t="s">
        <v>1949</v>
      </c>
      <c r="B15" s="1">
        <v>4006</v>
      </c>
      <c r="C15" s="1" t="e">
        <f>VLOOKUP($B15,[3]items_supply!$A$2:$E$230,3,0)</f>
        <v>#N/A</v>
      </c>
      <c r="D15" s="1" t="e">
        <f>VLOOKUP($B15,[3]items_supply!$A$2:$E$230,4,0)</f>
        <v>#N/A</v>
      </c>
      <c r="E15" s="1" t="e">
        <f>VLOOKUP($B15,[3]items_supply!$A$2:$E$230,5,0)</f>
        <v>#N/A</v>
      </c>
      <c r="F15" t="s">
        <v>1934</v>
      </c>
      <c r="G15" t="s">
        <v>1935</v>
      </c>
      <c r="H15" t="s">
        <v>1936</v>
      </c>
      <c r="I15" t="s">
        <v>1936</v>
      </c>
      <c r="J15" t="s">
        <v>1935</v>
      </c>
      <c r="K15" t="s">
        <v>1935</v>
      </c>
      <c r="L15" t="s">
        <v>1949</v>
      </c>
      <c r="N15" t="s">
        <v>4642</v>
      </c>
      <c r="O15" t="s">
        <v>2267</v>
      </c>
    </row>
    <row r="16" spans="1:15" x14ac:dyDescent="0.3">
      <c r="A16" t="s">
        <v>1950</v>
      </c>
      <c r="B16" s="1">
        <v>4011</v>
      </c>
      <c r="C16" s="1" t="e">
        <f>VLOOKUP($B16,[3]items_supply!$A$2:$E$230,3,0)</f>
        <v>#N/A</v>
      </c>
      <c r="D16" s="1" t="e">
        <f>VLOOKUP($B16,[3]items_supply!$A$2:$E$230,4,0)</f>
        <v>#N/A</v>
      </c>
      <c r="E16" s="1" t="e">
        <f>VLOOKUP($B16,[3]items_supply!$A$2:$E$230,5,0)</f>
        <v>#N/A</v>
      </c>
      <c r="F16" t="s">
        <v>1934</v>
      </c>
      <c r="G16" t="s">
        <v>1935</v>
      </c>
      <c r="H16" t="s">
        <v>1936</v>
      </c>
      <c r="I16" t="s">
        <v>1936</v>
      </c>
      <c r="J16" t="s">
        <v>1935</v>
      </c>
      <c r="K16" t="s">
        <v>1935</v>
      </c>
      <c r="L16" t="s">
        <v>1950</v>
      </c>
      <c r="N16" t="s">
        <v>2539</v>
      </c>
      <c r="O16" t="s">
        <v>2267</v>
      </c>
    </row>
    <row r="17" spans="1:15" x14ac:dyDescent="0.3">
      <c r="A17" t="s">
        <v>1951</v>
      </c>
      <c r="B17" s="1">
        <v>4023</v>
      </c>
      <c r="C17" s="1" t="e">
        <f>VLOOKUP($B17,[3]items_supply!$A$2:$E$230,3,0)</f>
        <v>#N/A</v>
      </c>
      <c r="D17" s="1" t="e">
        <f>VLOOKUP($B17,[3]items_supply!$A$2:$E$230,4,0)</f>
        <v>#N/A</v>
      </c>
      <c r="E17" s="1" t="e">
        <f>VLOOKUP($B17,[3]items_supply!$A$2:$E$230,5,0)</f>
        <v>#N/A</v>
      </c>
      <c r="F17" t="s">
        <v>1934</v>
      </c>
      <c r="G17" t="s">
        <v>1935</v>
      </c>
      <c r="H17" t="s">
        <v>1936</v>
      </c>
      <c r="I17" t="s">
        <v>1936</v>
      </c>
      <c r="J17" t="s">
        <v>1935</v>
      </c>
      <c r="K17" t="s">
        <v>1935</v>
      </c>
      <c r="L17" t="s">
        <v>1951</v>
      </c>
      <c r="N17" t="s">
        <v>2573</v>
      </c>
      <c r="O17" t="s">
        <v>2267</v>
      </c>
    </row>
    <row r="18" spans="1:15" x14ac:dyDescent="0.3">
      <c r="A18" t="s">
        <v>1952</v>
      </c>
      <c r="B18" s="1">
        <v>4017</v>
      </c>
      <c r="C18" s="1" t="e">
        <f>VLOOKUP($B18,[3]items_supply!$A$2:$E$230,3,0)</f>
        <v>#N/A</v>
      </c>
      <c r="D18" s="1" t="e">
        <f>VLOOKUP($B18,[3]items_supply!$A$2:$E$230,4,0)</f>
        <v>#N/A</v>
      </c>
      <c r="E18" s="1" t="e">
        <f>VLOOKUP($B18,[3]items_supply!$A$2:$E$230,5,0)</f>
        <v>#N/A</v>
      </c>
      <c r="F18" t="s">
        <v>1934</v>
      </c>
      <c r="G18" t="s">
        <v>1935</v>
      </c>
      <c r="H18" t="s">
        <v>1936</v>
      </c>
      <c r="I18" t="s">
        <v>1936</v>
      </c>
      <c r="J18" t="s">
        <v>1935</v>
      </c>
      <c r="K18" t="s">
        <v>1935</v>
      </c>
      <c r="L18" t="s">
        <v>1952</v>
      </c>
      <c r="N18" t="s">
        <v>4643</v>
      </c>
      <c r="O18" t="s">
        <v>2267</v>
      </c>
    </row>
    <row r="19" spans="1:15" x14ac:dyDescent="0.3">
      <c r="A19" t="s">
        <v>1953</v>
      </c>
      <c r="B19" s="1">
        <v>4002</v>
      </c>
      <c r="C19" s="1" t="e">
        <f>VLOOKUP($B19,[3]items_supply!$A$2:$E$230,3,0)</f>
        <v>#N/A</v>
      </c>
      <c r="D19" s="1" t="e">
        <f>VLOOKUP($B19,[3]items_supply!$A$2:$E$230,4,0)</f>
        <v>#N/A</v>
      </c>
      <c r="E19" s="1" t="e">
        <f>VLOOKUP($B19,[3]items_supply!$A$2:$E$230,5,0)</f>
        <v>#N/A</v>
      </c>
      <c r="F19" t="s">
        <v>1934</v>
      </c>
      <c r="G19" t="s">
        <v>1935</v>
      </c>
      <c r="H19" t="s">
        <v>1936</v>
      </c>
      <c r="I19" t="s">
        <v>1936</v>
      </c>
      <c r="J19" t="s">
        <v>1935</v>
      </c>
      <c r="K19" t="s">
        <v>1935</v>
      </c>
      <c r="L19" t="s">
        <v>1953</v>
      </c>
      <c r="N19" t="s">
        <v>2518</v>
      </c>
      <c r="O19" t="s">
        <v>2267</v>
      </c>
    </row>
    <row r="20" spans="1:15" x14ac:dyDescent="0.3">
      <c r="A20" t="s">
        <v>1954</v>
      </c>
      <c r="B20" s="1">
        <v>4026</v>
      </c>
      <c r="C20" s="1" t="e">
        <f>VLOOKUP($B20,[3]items_supply!$A$2:$E$230,3,0)</f>
        <v>#N/A</v>
      </c>
      <c r="D20" s="1" t="e">
        <f>VLOOKUP($B20,[3]items_supply!$A$2:$E$230,4,0)</f>
        <v>#N/A</v>
      </c>
      <c r="E20" s="1" t="e">
        <f>VLOOKUP($B20,[3]items_supply!$A$2:$E$230,5,0)</f>
        <v>#N/A</v>
      </c>
      <c r="F20" t="s">
        <v>1934</v>
      </c>
      <c r="G20" t="s">
        <v>1935</v>
      </c>
      <c r="H20" t="s">
        <v>1936</v>
      </c>
      <c r="I20" t="s">
        <v>1936</v>
      </c>
      <c r="J20" t="s">
        <v>1935</v>
      </c>
      <c r="K20" t="s">
        <v>1935</v>
      </c>
      <c r="L20" t="s">
        <v>1954</v>
      </c>
      <c r="N20" t="s">
        <v>2580</v>
      </c>
      <c r="O20" t="s">
        <v>2267</v>
      </c>
    </row>
    <row r="21" spans="1:15" x14ac:dyDescent="0.3">
      <c r="A21" t="s">
        <v>1955</v>
      </c>
      <c r="B21" s="1">
        <v>4028</v>
      </c>
      <c r="C21" s="1" t="e">
        <f>VLOOKUP($B21,[3]items_supply!$A$2:$E$230,3,0)</f>
        <v>#N/A</v>
      </c>
      <c r="D21" s="1" t="e">
        <f>VLOOKUP($B21,[3]items_supply!$A$2:$E$230,4,0)</f>
        <v>#N/A</v>
      </c>
      <c r="E21" s="1" t="e">
        <f>VLOOKUP($B21,[3]items_supply!$A$2:$E$230,5,0)</f>
        <v>#N/A</v>
      </c>
      <c r="F21" t="s">
        <v>1934</v>
      </c>
      <c r="G21" t="s">
        <v>1935</v>
      </c>
      <c r="H21" t="s">
        <v>1936</v>
      </c>
      <c r="I21" t="s">
        <v>1936</v>
      </c>
      <c r="J21" t="s">
        <v>1935</v>
      </c>
      <c r="K21" t="s">
        <v>1935</v>
      </c>
      <c r="L21" t="s">
        <v>1955</v>
      </c>
      <c r="N21" t="s">
        <v>2595</v>
      </c>
      <c r="O21" t="s">
        <v>2267</v>
      </c>
    </row>
    <row r="22" spans="1:15" x14ac:dyDescent="0.3">
      <c r="A22" t="s">
        <v>1956</v>
      </c>
      <c r="B22" s="1">
        <v>4019</v>
      </c>
      <c r="C22" s="1" t="e">
        <f>VLOOKUP($B22,[3]items_supply!$A$2:$E$230,3,0)</f>
        <v>#N/A</v>
      </c>
      <c r="D22" s="1" t="e">
        <f>VLOOKUP($B22,[3]items_supply!$A$2:$E$230,4,0)</f>
        <v>#N/A</v>
      </c>
      <c r="E22" s="1" t="e">
        <f>VLOOKUP($B22,[3]items_supply!$A$2:$E$230,5,0)</f>
        <v>#N/A</v>
      </c>
      <c r="F22" t="s">
        <v>1934</v>
      </c>
      <c r="G22" t="s">
        <v>1935</v>
      </c>
      <c r="H22" t="s">
        <v>1936</v>
      </c>
      <c r="I22" t="s">
        <v>1936</v>
      </c>
      <c r="J22" t="s">
        <v>1935</v>
      </c>
      <c r="K22" t="s">
        <v>1935</v>
      </c>
      <c r="L22" t="s">
        <v>1956</v>
      </c>
      <c r="N22" t="s">
        <v>4644</v>
      </c>
      <c r="O22" t="s">
        <v>2267</v>
      </c>
    </row>
    <row r="23" spans="1:15" x14ac:dyDescent="0.3">
      <c r="A23" t="s">
        <v>1957</v>
      </c>
      <c r="B23" s="1">
        <v>4003</v>
      </c>
      <c r="C23" s="1" t="e">
        <f>VLOOKUP($B23,[3]items_supply!$A$2:$E$230,3,0)</f>
        <v>#N/A</v>
      </c>
      <c r="D23" s="1" t="e">
        <f>VLOOKUP($B23,[3]items_supply!$A$2:$E$230,4,0)</f>
        <v>#N/A</v>
      </c>
      <c r="E23" s="1" t="e">
        <f>VLOOKUP($B23,[3]items_supply!$A$2:$E$230,5,0)</f>
        <v>#N/A</v>
      </c>
      <c r="F23" t="s">
        <v>1934</v>
      </c>
      <c r="G23" t="s">
        <v>1935</v>
      </c>
      <c r="H23" t="s">
        <v>1936</v>
      </c>
      <c r="I23" t="s">
        <v>1936</v>
      </c>
      <c r="J23" t="s">
        <v>1935</v>
      </c>
      <c r="K23" t="s">
        <v>1935</v>
      </c>
      <c r="L23" t="s">
        <v>1957</v>
      </c>
      <c r="N23" t="s">
        <v>4645</v>
      </c>
      <c r="O23" t="s">
        <v>2267</v>
      </c>
    </row>
    <row r="24" spans="1:15" x14ac:dyDescent="0.3">
      <c r="A24" t="s">
        <v>1958</v>
      </c>
      <c r="B24" s="1">
        <v>4020</v>
      </c>
      <c r="C24" s="1" t="e">
        <f>VLOOKUP($B24,[3]items_supply!$A$2:$E$230,3,0)</f>
        <v>#N/A</v>
      </c>
      <c r="D24" s="1" t="e">
        <f>VLOOKUP($B24,[3]items_supply!$A$2:$E$230,4,0)</f>
        <v>#N/A</v>
      </c>
      <c r="E24" s="1" t="e">
        <f>VLOOKUP($B24,[3]items_supply!$A$2:$E$230,5,0)</f>
        <v>#N/A</v>
      </c>
      <c r="F24" t="s">
        <v>1934</v>
      </c>
      <c r="G24" t="s">
        <v>1935</v>
      </c>
      <c r="H24" t="s">
        <v>1936</v>
      </c>
      <c r="I24" t="s">
        <v>1936</v>
      </c>
      <c r="J24" t="s">
        <v>1935</v>
      </c>
      <c r="K24" t="s">
        <v>1935</v>
      </c>
      <c r="L24" t="s">
        <v>1958</v>
      </c>
      <c r="N24" t="s">
        <v>2564</v>
      </c>
      <c r="O24" t="s">
        <v>2267</v>
      </c>
    </row>
    <row r="25" spans="1:15" x14ac:dyDescent="0.3">
      <c r="A25" t="s">
        <v>1959</v>
      </c>
      <c r="B25" s="1">
        <v>4005</v>
      </c>
      <c r="C25" s="1" t="e">
        <f>VLOOKUP($B25,[3]items_supply!$A$2:$E$230,3,0)</f>
        <v>#N/A</v>
      </c>
      <c r="D25" s="1" t="e">
        <f>VLOOKUP($B25,[3]items_supply!$A$2:$E$230,4,0)</f>
        <v>#N/A</v>
      </c>
      <c r="E25" s="1" t="e">
        <f>VLOOKUP($B25,[3]items_supply!$A$2:$E$230,5,0)</f>
        <v>#N/A</v>
      </c>
      <c r="F25" t="s">
        <v>1934</v>
      </c>
      <c r="G25" t="s">
        <v>1935</v>
      </c>
      <c r="H25" t="s">
        <v>1936</v>
      </c>
      <c r="I25" t="s">
        <v>1936</v>
      </c>
      <c r="J25" t="s">
        <v>1935</v>
      </c>
      <c r="K25" t="s">
        <v>1935</v>
      </c>
      <c r="L25" t="s">
        <v>1959</v>
      </c>
      <c r="N25" t="s">
        <v>2524</v>
      </c>
      <c r="O25" t="s">
        <v>2267</v>
      </c>
    </row>
    <row r="26" spans="1:15" x14ac:dyDescent="0.3">
      <c r="A26" t="s">
        <v>1960</v>
      </c>
      <c r="B26" s="1">
        <v>4008</v>
      </c>
      <c r="C26" s="1" t="e">
        <f>VLOOKUP($B26,[3]items_supply!$A$2:$E$230,3,0)</f>
        <v>#N/A</v>
      </c>
      <c r="D26" s="1" t="e">
        <f>VLOOKUP($B26,[3]items_supply!$A$2:$E$230,4,0)</f>
        <v>#N/A</v>
      </c>
      <c r="E26" s="1" t="e">
        <f>VLOOKUP($B26,[3]items_supply!$A$2:$E$230,5,0)</f>
        <v>#N/A</v>
      </c>
      <c r="F26" t="s">
        <v>1934</v>
      </c>
      <c r="G26" t="s">
        <v>1935</v>
      </c>
      <c r="H26" t="s">
        <v>1936</v>
      </c>
      <c r="I26" t="s">
        <v>1936</v>
      </c>
      <c r="J26" t="s">
        <v>1935</v>
      </c>
      <c r="K26" t="s">
        <v>1935</v>
      </c>
      <c r="L26" t="s">
        <v>1960</v>
      </c>
      <c r="N26" t="s">
        <v>4640</v>
      </c>
      <c r="O26" t="s">
        <v>2267</v>
      </c>
    </row>
    <row r="27" spans="1:15" x14ac:dyDescent="0.3">
      <c r="A27" t="s">
        <v>1961</v>
      </c>
      <c r="B27" s="1">
        <v>4004</v>
      </c>
      <c r="C27" s="1" t="e">
        <f>VLOOKUP($B27,[3]items_supply!$A$2:$E$230,3,0)</f>
        <v>#N/A</v>
      </c>
      <c r="D27" s="1" t="e">
        <f>VLOOKUP($B27,[3]items_supply!$A$2:$E$230,4,0)</f>
        <v>#N/A</v>
      </c>
      <c r="E27" s="1" t="e">
        <f>VLOOKUP($B27,[3]items_supply!$A$2:$E$230,5,0)</f>
        <v>#N/A</v>
      </c>
      <c r="F27" t="s">
        <v>1934</v>
      </c>
      <c r="G27" t="s">
        <v>1935</v>
      </c>
      <c r="H27" t="s">
        <v>1936</v>
      </c>
      <c r="I27" t="s">
        <v>1936</v>
      </c>
      <c r="J27" t="s">
        <v>1935</v>
      </c>
      <c r="K27" t="s">
        <v>1935</v>
      </c>
      <c r="L27" t="s">
        <v>1961</v>
      </c>
      <c r="N27" t="s">
        <v>2522</v>
      </c>
      <c r="O27" t="s">
        <v>2267</v>
      </c>
    </row>
    <row r="28" spans="1:15" x14ac:dyDescent="0.3">
      <c r="A28" t="s">
        <v>1962</v>
      </c>
      <c r="B28" s="1">
        <v>4009</v>
      </c>
      <c r="C28" s="1" t="e">
        <f>VLOOKUP($B28,[3]items_supply!$A$2:$E$230,3,0)</f>
        <v>#N/A</v>
      </c>
      <c r="D28" s="1" t="e">
        <f>VLOOKUP($B28,[3]items_supply!$A$2:$E$230,4,0)</f>
        <v>#N/A</v>
      </c>
      <c r="E28" s="1" t="e">
        <f>VLOOKUP($B28,[3]items_supply!$A$2:$E$230,5,0)</f>
        <v>#N/A</v>
      </c>
      <c r="F28" t="s">
        <v>1934</v>
      </c>
      <c r="G28" t="s">
        <v>1935</v>
      </c>
      <c r="H28" t="s">
        <v>1936</v>
      </c>
      <c r="I28" t="s">
        <v>1936</v>
      </c>
      <c r="J28" t="s">
        <v>1935</v>
      </c>
      <c r="K28" t="s">
        <v>1935</v>
      </c>
      <c r="L28" t="s">
        <v>1962</v>
      </c>
      <c r="N28" t="s">
        <v>4646</v>
      </c>
      <c r="O28" t="s">
        <v>2267</v>
      </c>
    </row>
    <row r="29" spans="1:15" x14ac:dyDescent="0.3">
      <c r="A29" t="s">
        <v>1963</v>
      </c>
      <c r="B29" s="1">
        <v>4014</v>
      </c>
      <c r="C29" s="1" t="e">
        <f>VLOOKUP($B29,[3]items_supply!$A$2:$E$230,3,0)</f>
        <v>#N/A</v>
      </c>
      <c r="D29" s="1" t="e">
        <f>VLOOKUP($B29,[3]items_supply!$A$2:$E$230,4,0)</f>
        <v>#N/A</v>
      </c>
      <c r="E29" s="1" t="e">
        <f>VLOOKUP($B29,[3]items_supply!$A$2:$E$230,5,0)</f>
        <v>#N/A</v>
      </c>
      <c r="F29" t="s">
        <v>1934</v>
      </c>
      <c r="G29" t="s">
        <v>1935</v>
      </c>
      <c r="H29" t="s">
        <v>1936</v>
      </c>
      <c r="I29" t="s">
        <v>1936</v>
      </c>
      <c r="J29" t="s">
        <v>1935</v>
      </c>
      <c r="K29" t="s">
        <v>1935</v>
      </c>
      <c r="L29" t="s">
        <v>1963</v>
      </c>
      <c r="N29" t="s">
        <v>4647</v>
      </c>
      <c r="O29" t="s">
        <v>2267</v>
      </c>
    </row>
    <row r="30" spans="1:15" x14ac:dyDescent="0.3">
      <c r="A30" t="s">
        <v>1262</v>
      </c>
      <c r="B30">
        <v>2655</v>
      </c>
      <c r="C30" s="1" t="str">
        <f>VLOOKUP($B30,[3]items_supply!$A$2:$E$230,3,0)</f>
        <v>p2655</v>
      </c>
      <c r="D30" s="1" t="str">
        <f>VLOOKUP($B30,[3]items_supply!$A$2:$E$230,4,0)</f>
        <v>p080</v>
      </c>
      <c r="E30" s="1" t="str">
        <f>VLOOKUP($B30,[3]items_supply!$A$2:$E$230,5,0)</f>
        <v>Wine production</v>
      </c>
      <c r="F30" t="s">
        <v>1934</v>
      </c>
      <c r="G30" t="s">
        <v>1551</v>
      </c>
      <c r="H30" t="s">
        <v>1965</v>
      </c>
      <c r="I30" t="s">
        <v>1965</v>
      </c>
      <c r="J30" t="s">
        <v>1966</v>
      </c>
      <c r="K30" t="s">
        <v>1966</v>
      </c>
      <c r="L30" t="s">
        <v>1262</v>
      </c>
      <c r="M30" t="s">
        <v>1262</v>
      </c>
      <c r="O30" t="s">
        <v>2268</v>
      </c>
    </row>
    <row r="31" spans="1:15" x14ac:dyDescent="0.3">
      <c r="A31" t="s">
        <v>928</v>
      </c>
      <c r="B31">
        <v>2656</v>
      </c>
      <c r="C31" s="1" t="str">
        <f>VLOOKUP($B31,[3]items_supply!$A$2:$E$230,3,0)</f>
        <v>p2656</v>
      </c>
      <c r="D31" s="1" t="str">
        <f>VLOOKUP($B31,[3]items_supply!$A$2:$E$230,4,0)</f>
        <v>p081</v>
      </c>
      <c r="E31" s="1" t="str">
        <f>VLOOKUP($B31,[3]items_supply!$A$2:$E$230,5,0)</f>
        <v>Beer production</v>
      </c>
      <c r="F31" t="s">
        <v>1934</v>
      </c>
      <c r="G31" t="s">
        <v>1551</v>
      </c>
      <c r="H31" t="s">
        <v>1965</v>
      </c>
      <c r="I31" t="s">
        <v>1965</v>
      </c>
      <c r="J31" t="s">
        <v>1966</v>
      </c>
      <c r="K31" t="s">
        <v>1966</v>
      </c>
      <c r="L31" t="s">
        <v>928</v>
      </c>
      <c r="M31" t="s">
        <v>928</v>
      </c>
      <c r="O31" t="s">
        <v>2268</v>
      </c>
    </row>
    <row r="32" spans="1:15" x14ac:dyDescent="0.3">
      <c r="A32" t="s">
        <v>1296</v>
      </c>
      <c r="B32">
        <v>2658</v>
      </c>
      <c r="C32" s="1" t="str">
        <f>VLOOKUP($B32,[3]items_supply!$A$2:$E$230,3,0)</f>
        <v>p2658</v>
      </c>
      <c r="D32" s="1" t="str">
        <f>VLOOKUP($B32,[3]items_supply!$A$2:$E$230,4,0)</f>
        <v>p083</v>
      </c>
      <c r="E32" s="1" t="str">
        <f>VLOOKUP($B32,[3]items_supply!$A$2:$E$230,5,0)</f>
        <v>Beverages production, Alcoholic</v>
      </c>
      <c r="F32" t="s">
        <v>1934</v>
      </c>
      <c r="G32" t="s">
        <v>1551</v>
      </c>
      <c r="H32" t="s">
        <v>1965</v>
      </c>
      <c r="I32" t="s">
        <v>1965</v>
      </c>
      <c r="J32" t="s">
        <v>1966</v>
      </c>
      <c r="K32" t="s">
        <v>1966</v>
      </c>
      <c r="L32" t="s">
        <v>1969</v>
      </c>
      <c r="M32" t="s">
        <v>4706</v>
      </c>
      <c r="O32" t="s">
        <v>2268</v>
      </c>
    </row>
    <row r="33" spans="1:15" x14ac:dyDescent="0.3">
      <c r="A33" t="s">
        <v>902</v>
      </c>
      <c r="B33">
        <v>2657</v>
      </c>
      <c r="C33" s="1" t="str">
        <f>VLOOKUP($B33,[3]items_supply!$A$2:$E$230,3,0)</f>
        <v>p2657</v>
      </c>
      <c r="D33" s="1" t="str">
        <f>VLOOKUP($B33,[3]items_supply!$A$2:$E$230,4,0)</f>
        <v>p082</v>
      </c>
      <c r="E33" s="1" t="str">
        <f>VLOOKUP($B33,[3]items_supply!$A$2:$E$230,5,0)</f>
        <v>Beverages production, Fermented</v>
      </c>
      <c r="F33" t="s">
        <v>1934</v>
      </c>
      <c r="G33" t="s">
        <v>1551</v>
      </c>
      <c r="H33" t="s">
        <v>1965</v>
      </c>
      <c r="I33" t="s">
        <v>1965</v>
      </c>
      <c r="J33" t="s">
        <v>1966</v>
      </c>
      <c r="K33" t="s">
        <v>1966</v>
      </c>
      <c r="L33" t="s">
        <v>1971</v>
      </c>
      <c r="M33" t="s">
        <v>4706</v>
      </c>
      <c r="O33" t="s">
        <v>2268</v>
      </c>
    </row>
    <row r="34" spans="1:15" x14ac:dyDescent="0.3">
      <c r="A34" t="s">
        <v>1293</v>
      </c>
      <c r="B34">
        <v>2659</v>
      </c>
      <c r="C34" s="1" t="str">
        <f>VLOOKUP($B34,[3]items_supply!$A$2:$E$230,3,0)</f>
        <v>p2659</v>
      </c>
      <c r="D34" s="1" t="str">
        <f>VLOOKUP($B34,[3]items_supply!$A$2:$E$230,4,0)</f>
        <v>p084</v>
      </c>
      <c r="E34" s="1" t="str">
        <f>VLOOKUP($B34,[3]items_supply!$A$2:$E$230,5,0)</f>
        <v>Alcohol production, Non-Food</v>
      </c>
      <c r="F34" t="s">
        <v>1934</v>
      </c>
      <c r="G34" t="s">
        <v>1551</v>
      </c>
      <c r="H34" t="s">
        <v>1965</v>
      </c>
      <c r="I34" t="s">
        <v>1965</v>
      </c>
      <c r="J34" t="s">
        <v>1528</v>
      </c>
      <c r="K34" t="s">
        <v>1966</v>
      </c>
      <c r="L34" t="s">
        <v>1994</v>
      </c>
      <c r="M34" t="s">
        <v>4706</v>
      </c>
      <c r="O34" t="s">
        <v>2268</v>
      </c>
    </row>
    <row r="35" spans="1:15" s="2" customFormat="1" x14ac:dyDescent="0.3">
      <c r="A35" s="2" t="s">
        <v>1528</v>
      </c>
      <c r="B35" s="3"/>
      <c r="C35" s="1" t="e">
        <f>VLOOKUP($B35,[3]items_supply!$A$2:$E$230,3,0)</f>
        <v>#N/A</v>
      </c>
      <c r="D35" s="1" t="e">
        <f>VLOOKUP($B35,[3]items_supply!$A$2:$E$230,4,0)</f>
        <v>#N/A</v>
      </c>
      <c r="E35" s="1" t="e">
        <f>VLOOKUP($B35,[3]items_supply!$A$2:$E$230,5,0)</f>
        <v>#N/A</v>
      </c>
      <c r="F35" s="2" t="s">
        <v>1934</v>
      </c>
      <c r="G35" s="2" t="s">
        <v>1551</v>
      </c>
      <c r="H35" s="2" t="s">
        <v>1965</v>
      </c>
      <c r="I35" s="2" t="s">
        <v>1965</v>
      </c>
      <c r="J35" s="2" t="s">
        <v>1528</v>
      </c>
      <c r="K35" t="s">
        <v>1966</v>
      </c>
      <c r="L35" t="s">
        <v>1528</v>
      </c>
      <c r="M35" t="s">
        <v>4706</v>
      </c>
      <c r="N35"/>
      <c r="O35" s="2" t="s">
        <v>2267</v>
      </c>
    </row>
    <row r="36" spans="1:15" x14ac:dyDescent="0.3">
      <c r="A36" t="s">
        <v>1075</v>
      </c>
      <c r="B36">
        <v>2591</v>
      </c>
      <c r="C36" s="1" t="str">
        <f>VLOOKUP($B36,[3]items_supply!$A$2:$E$230,3,0)</f>
        <v>p2591</v>
      </c>
      <c r="D36" s="1" t="str">
        <f>VLOOKUP($B36,[3]items_supply!$A$2:$E$230,4,0)</f>
        <v>p068</v>
      </c>
      <c r="E36" s="1" t="str">
        <f>VLOOKUP($B36,[3]items_supply!$A$2:$E$230,5,0)</f>
        <v>Groundnut Oil extraction</v>
      </c>
      <c r="F36" t="s">
        <v>1934</v>
      </c>
      <c r="G36" t="s">
        <v>1551</v>
      </c>
      <c r="H36" t="s">
        <v>1965</v>
      </c>
      <c r="I36" t="s">
        <v>1965</v>
      </c>
      <c r="J36" t="s">
        <v>2060</v>
      </c>
      <c r="K36" t="s">
        <v>2061</v>
      </c>
      <c r="L36" t="s">
        <v>2062</v>
      </c>
      <c r="M36" t="s">
        <v>2061</v>
      </c>
      <c r="N36" t="s">
        <v>4707</v>
      </c>
      <c r="O36" t="s">
        <v>2268</v>
      </c>
    </row>
    <row r="37" spans="1:15" x14ac:dyDescent="0.3">
      <c r="A37" t="s">
        <v>1109</v>
      </c>
      <c r="B37">
        <v>2592</v>
      </c>
      <c r="C37" s="1" t="str">
        <f>VLOOKUP($B37,[3]items_supply!$A$2:$E$230,3,0)</f>
        <v>p2592</v>
      </c>
      <c r="D37" s="1" t="str">
        <f>VLOOKUP($B37,[3]items_supply!$A$2:$E$230,4,0)</f>
        <v>p069</v>
      </c>
      <c r="E37" s="1" t="str">
        <f>VLOOKUP($B37,[3]items_supply!$A$2:$E$230,5,0)</f>
        <v>Sunflowerseed Oil extraction</v>
      </c>
      <c r="F37" t="s">
        <v>1934</v>
      </c>
      <c r="G37" t="s">
        <v>1551</v>
      </c>
      <c r="H37" t="s">
        <v>1965</v>
      </c>
      <c r="I37" t="s">
        <v>1965</v>
      </c>
      <c r="J37" t="s">
        <v>2060</v>
      </c>
      <c r="K37" t="s">
        <v>2061</v>
      </c>
      <c r="L37" t="s">
        <v>2064</v>
      </c>
      <c r="M37" t="s">
        <v>2061</v>
      </c>
      <c r="N37" t="s">
        <v>2640</v>
      </c>
      <c r="O37" t="s">
        <v>2268</v>
      </c>
    </row>
    <row r="38" spans="1:15" x14ac:dyDescent="0.3">
      <c r="A38" t="s">
        <v>1085</v>
      </c>
      <c r="B38">
        <v>2596</v>
      </c>
      <c r="C38" s="1" t="str">
        <f>VLOOKUP($B38,[3]items_supply!$A$2:$E$230,3,0)</f>
        <v>p2596</v>
      </c>
      <c r="D38" s="1" t="str">
        <f>VLOOKUP($B38,[3]items_supply!$A$2:$E$230,4,0)</f>
        <v>p074</v>
      </c>
      <c r="E38" s="1" t="str">
        <f>VLOOKUP($B38,[3]items_supply!$A$2:$E$230,5,0)</f>
        <v>Coconut Oil extraction</v>
      </c>
      <c r="F38" t="s">
        <v>1934</v>
      </c>
      <c r="G38" t="s">
        <v>1551</v>
      </c>
      <c r="H38" t="s">
        <v>1965</v>
      </c>
      <c r="I38" t="s">
        <v>1965</v>
      </c>
      <c r="J38" t="s">
        <v>2060</v>
      </c>
      <c r="K38" t="s">
        <v>2061</v>
      </c>
      <c r="L38" t="s">
        <v>2066</v>
      </c>
      <c r="M38" t="s">
        <v>2061</v>
      </c>
      <c r="N38" t="s">
        <v>4708</v>
      </c>
      <c r="O38" t="s">
        <v>2268</v>
      </c>
    </row>
    <row r="39" spans="1:15" x14ac:dyDescent="0.3">
      <c r="A39" t="s">
        <v>1093</v>
      </c>
      <c r="B39">
        <v>2595</v>
      </c>
      <c r="C39" s="1" t="str">
        <f>VLOOKUP($B39,[3]items_supply!$A$2:$E$230,3,0)</f>
        <v>p2595</v>
      </c>
      <c r="D39" s="1" t="str">
        <f>VLOOKUP($B39,[3]items_supply!$A$2:$E$230,4,0)</f>
        <v>p072</v>
      </c>
      <c r="E39" s="1" t="str">
        <f>VLOOKUP($B39,[3]items_supply!$A$2:$E$230,5,0)</f>
        <v>Palmkernel Oil extraction</v>
      </c>
      <c r="F39" t="s">
        <v>1934</v>
      </c>
      <c r="G39" t="s">
        <v>1551</v>
      </c>
      <c r="H39" t="s">
        <v>1965</v>
      </c>
      <c r="I39" t="s">
        <v>1965</v>
      </c>
      <c r="J39" t="s">
        <v>2060</v>
      </c>
      <c r="K39" t="s">
        <v>2061</v>
      </c>
      <c r="L39" t="s">
        <v>2068</v>
      </c>
      <c r="M39" t="s">
        <v>2061</v>
      </c>
      <c r="N39" t="s">
        <v>2617</v>
      </c>
      <c r="O39" t="s">
        <v>2268</v>
      </c>
    </row>
    <row r="40" spans="1:15" x14ac:dyDescent="0.3">
      <c r="A40" t="s">
        <v>1149</v>
      </c>
      <c r="B40">
        <v>2594</v>
      </c>
      <c r="C40" s="1" t="str">
        <f>VLOOKUP($B40,[3]items_supply!$A$2:$E$230,3,0)</f>
        <v>p2594</v>
      </c>
      <c r="D40" s="1" t="str">
        <f>VLOOKUP($B40,[3]items_supply!$A$2:$E$230,4,0)</f>
        <v>p071</v>
      </c>
      <c r="E40" s="1" t="str">
        <f>VLOOKUP($B40,[3]items_supply!$A$2:$E$230,5,0)</f>
        <v>Cottonseed Oil extraction</v>
      </c>
      <c r="F40" t="s">
        <v>1934</v>
      </c>
      <c r="G40" t="s">
        <v>1551</v>
      </c>
      <c r="H40" t="s">
        <v>1965</v>
      </c>
      <c r="I40" t="s">
        <v>1965</v>
      </c>
      <c r="J40" t="s">
        <v>2060</v>
      </c>
      <c r="K40" t="s">
        <v>2061</v>
      </c>
      <c r="L40" t="s">
        <v>2070</v>
      </c>
      <c r="M40" t="s">
        <v>2061</v>
      </c>
      <c r="N40" t="s">
        <v>4709</v>
      </c>
      <c r="O40" t="s">
        <v>2268</v>
      </c>
    </row>
    <row r="41" spans="1:15" x14ac:dyDescent="0.3">
      <c r="A41" t="s">
        <v>937</v>
      </c>
      <c r="B41">
        <v>2598</v>
      </c>
      <c r="C41" s="1" t="str">
        <f>VLOOKUP($B41,[3]items_supply!$A$2:$E$230,3,0)</f>
        <v>p2598</v>
      </c>
      <c r="D41" s="1" t="str">
        <f>VLOOKUP($B41,[3]items_supply!$A$2:$E$230,4,0)</f>
        <v>p078</v>
      </c>
      <c r="E41" s="1" t="str">
        <f>VLOOKUP($B41,[3]items_supply!$A$2:$E$230,5,0)</f>
        <v>Maize Germ Oil extraction</v>
      </c>
      <c r="F41" t="s">
        <v>1934</v>
      </c>
      <c r="G41" t="s">
        <v>1551</v>
      </c>
      <c r="H41" t="s">
        <v>1965</v>
      </c>
      <c r="I41" t="s">
        <v>1965</v>
      </c>
      <c r="J41" t="s">
        <v>2060</v>
      </c>
      <c r="K41" t="s">
        <v>2061</v>
      </c>
      <c r="L41" t="s">
        <v>2061</v>
      </c>
      <c r="M41" t="s">
        <v>2061</v>
      </c>
      <c r="N41" t="s">
        <v>4710</v>
      </c>
      <c r="O41" t="s">
        <v>2267</v>
      </c>
    </row>
    <row r="42" spans="1:15" x14ac:dyDescent="0.3">
      <c r="A42" t="s">
        <v>1065</v>
      </c>
      <c r="B42">
        <v>2590</v>
      </c>
      <c r="C42" s="1" t="str">
        <f>VLOOKUP($B42,[3]items_supply!$A$2:$E$230,3,0)</f>
        <v>p2590</v>
      </c>
      <c r="D42" s="1" t="str">
        <f>VLOOKUP($B42,[3]items_supply!$A$2:$E$230,4,0)</f>
        <v>p067</v>
      </c>
      <c r="E42" s="1" t="str">
        <f>VLOOKUP($B42,[3]items_supply!$A$2:$E$230,5,0)</f>
        <v>Soyabean Oil extraction</v>
      </c>
      <c r="F42" t="s">
        <v>1934</v>
      </c>
      <c r="G42" t="s">
        <v>1551</v>
      </c>
      <c r="H42" t="s">
        <v>1965</v>
      </c>
      <c r="I42" t="s">
        <v>1965</v>
      </c>
      <c r="J42" t="s">
        <v>2060</v>
      </c>
      <c r="K42" t="s">
        <v>2061</v>
      </c>
      <c r="L42" t="s">
        <v>1065</v>
      </c>
      <c r="M42" t="s">
        <v>2061</v>
      </c>
      <c r="N42" t="s">
        <v>2626</v>
      </c>
      <c r="O42" t="s">
        <v>2267</v>
      </c>
    </row>
    <row r="43" spans="1:15" x14ac:dyDescent="0.3">
      <c r="A43" t="s">
        <v>1115</v>
      </c>
      <c r="B43">
        <v>2593</v>
      </c>
      <c r="C43" s="1" t="str">
        <f>VLOOKUP($B43,[3]items_supply!$A$2:$E$230,3,0)</f>
        <v>p2593</v>
      </c>
      <c r="D43" s="1" t="str">
        <f>VLOOKUP($B43,[3]items_supply!$A$2:$E$230,4,0)</f>
        <v>p070</v>
      </c>
      <c r="E43" s="1" t="str">
        <f>VLOOKUP($B43,[3]items_supply!$A$2:$E$230,5,0)</f>
        <v>Rape and Mustard Oil extraction</v>
      </c>
      <c r="F43" t="s">
        <v>1934</v>
      </c>
      <c r="G43" t="s">
        <v>1551</v>
      </c>
      <c r="H43" t="s">
        <v>1965</v>
      </c>
      <c r="I43" t="s">
        <v>1965</v>
      </c>
      <c r="J43" t="s">
        <v>2060</v>
      </c>
      <c r="K43" t="s">
        <v>2061</v>
      </c>
      <c r="L43" t="s">
        <v>2074</v>
      </c>
      <c r="M43" t="s">
        <v>2061</v>
      </c>
      <c r="N43" t="s">
        <v>4711</v>
      </c>
      <c r="O43" t="s">
        <v>2267</v>
      </c>
    </row>
    <row r="44" spans="1:15" x14ac:dyDescent="0.3">
      <c r="A44" t="s">
        <v>1128</v>
      </c>
      <c r="B44">
        <v>2597</v>
      </c>
      <c r="C44" s="1" t="str">
        <f>VLOOKUP($B44,[3]items_supply!$A$2:$E$230,3,0)</f>
        <v>p2597</v>
      </c>
      <c r="D44" s="1" t="str">
        <f>VLOOKUP($B44,[3]items_supply!$A$2:$E$230,4,0)</f>
        <v>p075</v>
      </c>
      <c r="E44" s="1" t="str">
        <f>VLOOKUP($B44,[3]items_supply!$A$2:$E$230,5,0)</f>
        <v>Sesameseed Oil extraction</v>
      </c>
      <c r="F44" t="s">
        <v>1934</v>
      </c>
      <c r="G44" t="s">
        <v>1551</v>
      </c>
      <c r="H44" t="s">
        <v>1965</v>
      </c>
      <c r="I44" t="s">
        <v>1965</v>
      </c>
      <c r="J44" t="s">
        <v>2060</v>
      </c>
      <c r="K44" t="s">
        <v>2061</v>
      </c>
      <c r="L44" t="s">
        <v>2061</v>
      </c>
      <c r="M44" t="s">
        <v>2061</v>
      </c>
      <c r="N44" t="s">
        <v>4710</v>
      </c>
      <c r="O44" t="s">
        <v>2267</v>
      </c>
    </row>
    <row r="45" spans="1:15" x14ac:dyDescent="0.3">
      <c r="A45" t="s">
        <v>1520</v>
      </c>
      <c r="B45" s="1">
        <v>2103</v>
      </c>
      <c r="C45" s="1" t="str">
        <f>VLOOKUP($B45,[3]items_supply!$A$2:$E$230,3,0)</f>
        <v>p2103</v>
      </c>
      <c r="D45" s="1" t="str">
        <f>VLOOKUP($B45,[3]items_supply!$A$2:$E$230,4,0)</f>
        <v>p067</v>
      </c>
      <c r="E45" s="1" t="str">
        <f>VLOOKUP($B45,[3]items_supply!$A$2:$E$230,5,0)</f>
        <v>Soyabean Oil extraction</v>
      </c>
      <c r="F45" t="s">
        <v>1934</v>
      </c>
      <c r="G45" t="s">
        <v>1551</v>
      </c>
      <c r="H45" t="s">
        <v>2017</v>
      </c>
      <c r="I45" t="s">
        <v>2017</v>
      </c>
      <c r="J45" t="s">
        <v>2087</v>
      </c>
      <c r="K45" t="s">
        <v>1521</v>
      </c>
      <c r="L45" t="s">
        <v>1520</v>
      </c>
      <c r="M45" t="s">
        <v>4712</v>
      </c>
      <c r="N45" t="s">
        <v>2612</v>
      </c>
      <c r="O45" t="s">
        <v>2267</v>
      </c>
    </row>
    <row r="46" spans="1:15" x14ac:dyDescent="0.3">
      <c r="A46" t="s">
        <v>1020</v>
      </c>
      <c r="B46" s="1">
        <v>2104</v>
      </c>
      <c r="C46" s="1" t="str">
        <f>VLOOKUP($B46,[3]items_supply!$A$2:$E$230,3,0)</f>
        <v>p2104</v>
      </c>
      <c r="D46" s="1" t="str">
        <f>VLOOKUP($B46,[3]items_supply!$A$2:$E$230,4,0)</f>
        <v>p065</v>
      </c>
      <c r="E46" s="1" t="str">
        <f>VLOOKUP($B46,[3]items_supply!$A$2:$E$230,5,0)</f>
        <v>Sugar production</v>
      </c>
      <c r="F46" t="s">
        <v>1934</v>
      </c>
      <c r="G46" t="s">
        <v>1551</v>
      </c>
      <c r="H46" t="s">
        <v>2017</v>
      </c>
      <c r="I46" t="s">
        <v>2017</v>
      </c>
      <c r="J46" t="s">
        <v>2087</v>
      </c>
      <c r="K46" t="s">
        <v>2061</v>
      </c>
      <c r="L46" t="s">
        <v>2088</v>
      </c>
      <c r="M46" t="s">
        <v>4712</v>
      </c>
      <c r="N46" t="s">
        <v>2700</v>
      </c>
      <c r="O46" t="s">
        <v>2267</v>
      </c>
    </row>
    <row r="47" spans="1:15" x14ac:dyDescent="0.3">
      <c r="A47" t="s">
        <v>1305</v>
      </c>
      <c r="B47" s="1">
        <v>2101</v>
      </c>
      <c r="C47" s="1" t="str">
        <f>VLOOKUP($B47,[3]items_supply!$A$2:$E$230,3,0)</f>
        <v>p2101</v>
      </c>
      <c r="D47" s="1" t="str">
        <f>VLOOKUP($B47,[3]items_supply!$A$2:$E$230,4,0)</f>
        <v>p084</v>
      </c>
      <c r="E47" s="1" t="str">
        <f>VLOOKUP($B47,[3]items_supply!$A$2:$E$230,5,0)</f>
        <v>Alcohol production, Non-Food</v>
      </c>
      <c r="F47" t="s">
        <v>1934</v>
      </c>
      <c r="G47" t="s">
        <v>1551</v>
      </c>
      <c r="H47" t="s">
        <v>1965</v>
      </c>
      <c r="I47" t="s">
        <v>1965</v>
      </c>
      <c r="J47" t="s">
        <v>2087</v>
      </c>
      <c r="K47" t="s">
        <v>2061</v>
      </c>
      <c r="L47" t="s">
        <v>4713</v>
      </c>
      <c r="M47" t="s">
        <v>4712</v>
      </c>
      <c r="N47" t="e">
        <v>#N/A</v>
      </c>
      <c r="O47" t="s">
        <v>2267</v>
      </c>
    </row>
    <row r="48" spans="1:15" x14ac:dyDescent="0.3">
      <c r="A48" t="s">
        <v>1519</v>
      </c>
      <c r="B48" s="1">
        <v>2102</v>
      </c>
      <c r="C48" s="1" t="str">
        <f>VLOOKUP($B48,[3]items_supply!$A$2:$E$230,3,0)</f>
        <v>p2102</v>
      </c>
      <c r="D48" s="1" t="str">
        <f>VLOOKUP($B48,[3]items_supply!$A$2:$E$230,4,0)</f>
        <v>p084</v>
      </c>
      <c r="E48" s="1" t="str">
        <f>VLOOKUP($B48,[3]items_supply!$A$2:$E$230,5,0)</f>
        <v>Alcohol production, Non-Food</v>
      </c>
      <c r="F48" t="s">
        <v>1934</v>
      </c>
      <c r="G48" t="s">
        <v>1551</v>
      </c>
      <c r="H48" t="s">
        <v>1965</v>
      </c>
      <c r="I48" t="s">
        <v>1965</v>
      </c>
      <c r="J48" t="s">
        <v>2087</v>
      </c>
      <c r="K48" t="s">
        <v>2061</v>
      </c>
      <c r="L48" t="s">
        <v>1519</v>
      </c>
      <c r="M48" t="s">
        <v>4712</v>
      </c>
      <c r="N48" t="s">
        <v>2696</v>
      </c>
      <c r="O48" t="s">
        <v>2267</v>
      </c>
    </row>
    <row r="49" spans="1:15" s="2" customFormat="1" x14ac:dyDescent="0.3">
      <c r="A49" s="2" t="s">
        <v>1521</v>
      </c>
      <c r="B49" s="3">
        <v>2111</v>
      </c>
      <c r="C49" s="1" t="e">
        <f>VLOOKUP($B49,[3]items_supply!$A$2:$E$230,3,0)</f>
        <v>#N/A</v>
      </c>
      <c r="D49" s="1" t="e">
        <f>VLOOKUP($B49,[3]items_supply!$A$2:$E$230,4,0)</f>
        <v>#N/A</v>
      </c>
      <c r="E49" s="1" t="e">
        <f>VLOOKUP($B49,[3]items_supply!$A$2:$E$230,5,0)</f>
        <v>#N/A</v>
      </c>
      <c r="F49" s="2" t="s">
        <v>1934</v>
      </c>
      <c r="G49" s="2" t="s">
        <v>1551</v>
      </c>
      <c r="H49" s="2" t="s">
        <v>2017</v>
      </c>
      <c r="I49" s="2" t="s">
        <v>2017</v>
      </c>
      <c r="J49" s="2" t="s">
        <v>2087</v>
      </c>
      <c r="K49" t="s">
        <v>1521</v>
      </c>
      <c r="L49" t="s">
        <v>2089</v>
      </c>
      <c r="M49" t="s">
        <v>4712</v>
      </c>
      <c r="N49" t="s">
        <v>2602</v>
      </c>
      <c r="O49" s="2" t="s">
        <v>2267</v>
      </c>
    </row>
    <row r="50" spans="1:15" s="2" customFormat="1" x14ac:dyDescent="0.3">
      <c r="A50" s="2" t="s">
        <v>936</v>
      </c>
      <c r="B50" s="3">
        <v>2109</v>
      </c>
      <c r="C50" s="1" t="e">
        <f>VLOOKUP($B50,[3]items_supply!$A$2:$E$230,3,0)</f>
        <v>#N/A</v>
      </c>
      <c r="D50" s="1" t="e">
        <f>VLOOKUP($B50,[3]items_supply!$A$2:$E$230,4,0)</f>
        <v>#N/A</v>
      </c>
      <c r="E50" s="1" t="e">
        <f>VLOOKUP($B50,[3]items_supply!$A$2:$E$230,5,0)</f>
        <v>#N/A</v>
      </c>
      <c r="F50" s="2" t="s">
        <v>1934</v>
      </c>
      <c r="G50" s="2" t="s">
        <v>1551</v>
      </c>
      <c r="H50" s="2" t="s">
        <v>1965</v>
      </c>
      <c r="I50" s="2" t="s">
        <v>1965</v>
      </c>
      <c r="J50" s="2" t="s">
        <v>2087</v>
      </c>
      <c r="K50" t="s">
        <v>2061</v>
      </c>
      <c r="L50" t="s">
        <v>2090</v>
      </c>
      <c r="M50" t="s">
        <v>4712</v>
      </c>
      <c r="N50" t="s">
        <v>2693</v>
      </c>
      <c r="O50" s="2" t="s">
        <v>4656</v>
      </c>
    </row>
    <row r="51" spans="1:15" x14ac:dyDescent="0.3">
      <c r="A51" t="s">
        <v>1015</v>
      </c>
      <c r="B51">
        <v>2544</v>
      </c>
      <c r="C51" s="1" t="str">
        <f>VLOOKUP($B51,[3]items_supply!$A$2:$E$230,3,0)</f>
        <v>p2544</v>
      </c>
      <c r="D51" s="1" t="str">
        <f>VLOOKUP($B51,[3]items_supply!$A$2:$E$230,4,0)</f>
        <v>p065</v>
      </c>
      <c r="E51" s="1" t="str">
        <f>VLOOKUP($B51,[3]items_supply!$A$2:$E$230,5,0)</f>
        <v>Sugar production</v>
      </c>
      <c r="F51" t="s">
        <v>1934</v>
      </c>
      <c r="G51" t="s">
        <v>1551</v>
      </c>
      <c r="H51" t="s">
        <v>1965</v>
      </c>
      <c r="I51" t="s">
        <v>1965</v>
      </c>
      <c r="J51" t="s">
        <v>2101</v>
      </c>
      <c r="K51" t="s">
        <v>1015</v>
      </c>
      <c r="L51" t="s">
        <v>2102</v>
      </c>
      <c r="M51" t="s">
        <v>4712</v>
      </c>
      <c r="N51" t="s">
        <v>2762</v>
      </c>
      <c r="O51" t="s">
        <v>4656</v>
      </c>
    </row>
    <row r="52" spans="1:15" x14ac:dyDescent="0.3">
      <c r="A52" t="s">
        <v>1008</v>
      </c>
      <c r="B52">
        <v>2542</v>
      </c>
      <c r="C52" s="1" t="str">
        <f>VLOOKUP($B52,[3]items_supply!$A$2:$E$230,3,0)</f>
        <v>p2542</v>
      </c>
      <c r="D52" s="1" t="str">
        <f>VLOOKUP($B52,[3]items_supply!$A$2:$E$230,4,0)</f>
        <v>p065</v>
      </c>
      <c r="E52" s="1" t="str">
        <f>VLOOKUP($B52,[3]items_supply!$A$2:$E$230,5,0)</f>
        <v>Sugar production</v>
      </c>
      <c r="F52" t="s">
        <v>1934</v>
      </c>
      <c r="G52" t="s">
        <v>1551</v>
      </c>
      <c r="H52" t="s">
        <v>1965</v>
      </c>
      <c r="I52" t="s">
        <v>1965</v>
      </c>
      <c r="J52" t="s">
        <v>2101</v>
      </c>
      <c r="K52" t="s">
        <v>2099</v>
      </c>
      <c r="L52" t="s">
        <v>1584</v>
      </c>
      <c r="M52" t="s">
        <v>2099</v>
      </c>
      <c r="N52" t="s">
        <v>2762</v>
      </c>
      <c r="O52" t="s">
        <v>4656</v>
      </c>
    </row>
    <row r="53" spans="1:15" x14ac:dyDescent="0.3">
      <c r="A53" t="s">
        <v>1003</v>
      </c>
      <c r="B53">
        <v>2543</v>
      </c>
      <c r="C53" s="1" t="str">
        <f>VLOOKUP($B53,[3]items_supply!$A$2:$E$230,3,0)</f>
        <v>p2543</v>
      </c>
      <c r="D53" s="1" t="str">
        <f>VLOOKUP($B53,[3]items_supply!$A$2:$E$230,4,0)</f>
        <v>p066</v>
      </c>
      <c r="E53" s="1" t="str">
        <f>VLOOKUP($B53,[3]items_supply!$A$2:$E$230,5,0)</f>
        <v>Sweeteners production, Other</v>
      </c>
      <c r="F53" t="s">
        <v>1934</v>
      </c>
      <c r="G53" t="s">
        <v>1551</v>
      </c>
      <c r="H53" t="s">
        <v>1965</v>
      </c>
      <c r="I53" t="s">
        <v>1965</v>
      </c>
      <c r="J53" t="s">
        <v>2101</v>
      </c>
      <c r="K53" t="s">
        <v>2099</v>
      </c>
      <c r="L53" t="s">
        <v>1584</v>
      </c>
      <c r="M53" t="s">
        <v>2099</v>
      </c>
      <c r="N53">
        <v>0</v>
      </c>
      <c r="O53" t="s">
        <v>4656</v>
      </c>
    </row>
    <row r="54" spans="1:15" x14ac:dyDescent="0.3">
      <c r="A54" t="s">
        <v>1013</v>
      </c>
      <c r="B54">
        <v>2541</v>
      </c>
      <c r="C54" s="1" t="str">
        <f>VLOOKUP($B54,[3]items_supply!$A$2:$E$230,3,0)</f>
        <v>p2541</v>
      </c>
      <c r="D54" s="1" t="str">
        <f>VLOOKUP($B54,[3]items_supply!$A$2:$E$230,4,0)</f>
        <v>p064</v>
      </c>
      <c r="E54" s="1" t="str">
        <f>VLOOKUP($B54,[3]items_supply!$A$2:$E$230,5,0)</f>
        <v>Sugar production, non-centrifugal</v>
      </c>
      <c r="F54" t="s">
        <v>1934</v>
      </c>
      <c r="G54" t="s">
        <v>1551</v>
      </c>
      <c r="H54" t="s">
        <v>1965</v>
      </c>
      <c r="I54" t="s">
        <v>1965</v>
      </c>
      <c r="J54" t="s">
        <v>2101</v>
      </c>
      <c r="K54" t="s">
        <v>2099</v>
      </c>
      <c r="L54" t="s">
        <v>2106</v>
      </c>
      <c r="M54" t="s">
        <v>2099</v>
      </c>
      <c r="N54" t="s">
        <v>2762</v>
      </c>
      <c r="O54" t="s">
        <v>4656</v>
      </c>
    </row>
    <row r="55" spans="1:15" x14ac:dyDescent="0.3">
      <c r="A55" t="s">
        <v>1126</v>
      </c>
      <c r="B55">
        <v>2579</v>
      </c>
      <c r="C55" s="1" t="str">
        <f>VLOOKUP($B55,[3]items_supply!$A$2:$E$230,3,0)</f>
        <v>p2579</v>
      </c>
      <c r="D55" s="1" t="str">
        <f>VLOOKUP($B55,[3]items_supply!$A$2:$E$230,4,0)</f>
        <v>p075</v>
      </c>
      <c r="E55" s="1" t="str">
        <f>VLOOKUP($B55,[3]items_supply!$A$2:$E$230,5,0)</f>
        <v>Sesameseed Oil extraction</v>
      </c>
      <c r="F55" t="s">
        <v>1934</v>
      </c>
      <c r="G55" t="s">
        <v>1551</v>
      </c>
      <c r="H55" t="s">
        <v>1965</v>
      </c>
      <c r="I55" t="s">
        <v>1965</v>
      </c>
      <c r="J55" t="s">
        <v>2112</v>
      </c>
      <c r="K55" t="s">
        <v>2113</v>
      </c>
      <c r="L55" t="s">
        <v>1653</v>
      </c>
      <c r="M55" t="s">
        <v>2253</v>
      </c>
      <c r="N55" t="s">
        <v>2773</v>
      </c>
      <c r="O55" t="s">
        <v>4656</v>
      </c>
    </row>
    <row r="56" spans="1:15" x14ac:dyDescent="0.3">
      <c r="A56" t="s">
        <v>935</v>
      </c>
      <c r="B56">
        <v>2582</v>
      </c>
      <c r="C56" s="1" t="str">
        <f>VLOOKUP($B56,[3]items_supply!$A$2:$E$230,3,0)</f>
        <v>p2582</v>
      </c>
      <c r="D56" s="1" t="str">
        <f>VLOOKUP($B56,[3]items_supply!$A$2:$E$230,4,0)</f>
        <v>p078</v>
      </c>
      <c r="E56" s="1" t="str">
        <f>VLOOKUP($B56,[3]items_supply!$A$2:$E$230,5,0)</f>
        <v>Maize Germ Oil extraction</v>
      </c>
      <c r="F56" t="s">
        <v>1934</v>
      </c>
      <c r="G56" t="s">
        <v>1551</v>
      </c>
      <c r="H56" t="s">
        <v>1965</v>
      </c>
      <c r="I56" t="s">
        <v>1965</v>
      </c>
      <c r="J56" t="s">
        <v>2112</v>
      </c>
      <c r="K56" t="s">
        <v>2113</v>
      </c>
      <c r="L56" t="s">
        <v>1555</v>
      </c>
      <c r="M56" t="s">
        <v>2253</v>
      </c>
      <c r="N56" t="s">
        <v>2773</v>
      </c>
      <c r="O56" t="s">
        <v>4656</v>
      </c>
    </row>
    <row r="57" spans="1:15" x14ac:dyDescent="0.3">
      <c r="A57" t="s">
        <v>1097</v>
      </c>
      <c r="B57">
        <v>2580</v>
      </c>
      <c r="C57" s="1" t="str">
        <f>VLOOKUP($B57,[3]items_supply!$A$2:$E$230,3,0)</f>
        <v>p2580</v>
      </c>
      <c r="D57" s="1" t="str">
        <f>VLOOKUP($B57,[3]items_supply!$A$2:$E$230,4,0)</f>
        <v>p076</v>
      </c>
      <c r="E57" s="1" t="str">
        <f>VLOOKUP($B57,[3]items_supply!$A$2:$E$230,5,0)</f>
        <v>Olive Oil extraction</v>
      </c>
      <c r="F57" t="s">
        <v>1934</v>
      </c>
      <c r="G57" t="s">
        <v>1551</v>
      </c>
      <c r="H57" t="s">
        <v>1965</v>
      </c>
      <c r="I57" t="s">
        <v>1965</v>
      </c>
      <c r="J57" t="s">
        <v>2112</v>
      </c>
      <c r="K57" t="s">
        <v>2113</v>
      </c>
      <c r="L57" t="s">
        <v>1641</v>
      </c>
      <c r="M57" t="s">
        <v>1097</v>
      </c>
      <c r="N57" t="s">
        <v>2773</v>
      </c>
      <c r="O57" t="s">
        <v>4656</v>
      </c>
    </row>
    <row r="58" spans="1:15" x14ac:dyDescent="0.3">
      <c r="A58" t="s">
        <v>1083</v>
      </c>
      <c r="B58">
        <v>2578</v>
      </c>
      <c r="C58" s="1" t="str">
        <f>VLOOKUP($B58,[3]items_supply!$A$2:$E$230,3,0)</f>
        <v>p2578</v>
      </c>
      <c r="D58" s="1" t="str">
        <f>VLOOKUP($B58,[3]items_supply!$A$2:$E$230,4,0)</f>
        <v>p074</v>
      </c>
      <c r="E58" s="1" t="str">
        <f>VLOOKUP($B58,[3]items_supply!$A$2:$E$230,5,0)</f>
        <v>Coconut Oil extraction</v>
      </c>
      <c r="F58" t="s">
        <v>1934</v>
      </c>
      <c r="G58" t="s">
        <v>1551</v>
      </c>
      <c r="H58" t="s">
        <v>1965</v>
      </c>
      <c r="I58" t="s">
        <v>1965</v>
      </c>
      <c r="J58" t="s">
        <v>2112</v>
      </c>
      <c r="K58" t="s">
        <v>2113</v>
      </c>
      <c r="L58" t="s">
        <v>1635</v>
      </c>
      <c r="M58" t="s">
        <v>2253</v>
      </c>
      <c r="N58" t="s">
        <v>2773</v>
      </c>
      <c r="O58" t="s">
        <v>4656</v>
      </c>
    </row>
    <row r="59" spans="1:15" x14ac:dyDescent="0.3">
      <c r="A59" t="s">
        <v>1063</v>
      </c>
      <c r="B59">
        <v>2571</v>
      </c>
      <c r="C59" s="1" t="str">
        <f>VLOOKUP($B59,[3]items_supply!$A$2:$E$230,3,0)</f>
        <v>p2571</v>
      </c>
      <c r="D59" s="1" t="str">
        <f>VLOOKUP($B59,[3]items_supply!$A$2:$E$230,4,0)</f>
        <v>p067</v>
      </c>
      <c r="E59" s="1" t="str">
        <f>VLOOKUP($B59,[3]items_supply!$A$2:$E$230,5,0)</f>
        <v>Soyabean Oil extraction</v>
      </c>
      <c r="F59" t="s">
        <v>1934</v>
      </c>
      <c r="G59" t="s">
        <v>1551</v>
      </c>
      <c r="H59" t="s">
        <v>1965</v>
      </c>
      <c r="I59" t="s">
        <v>1965</v>
      </c>
      <c r="J59" t="s">
        <v>2112</v>
      </c>
      <c r="K59" t="s">
        <v>2113</v>
      </c>
      <c r="L59" t="s">
        <v>1626</v>
      </c>
      <c r="M59" t="s">
        <v>2253</v>
      </c>
      <c r="N59" t="s">
        <v>2773</v>
      </c>
      <c r="O59" t="s">
        <v>4656</v>
      </c>
    </row>
    <row r="60" spans="1:15" x14ac:dyDescent="0.3">
      <c r="A60" t="s">
        <v>1091</v>
      </c>
      <c r="B60">
        <v>2576</v>
      </c>
      <c r="C60" s="1" t="str">
        <f>VLOOKUP($B60,[3]items_supply!$A$2:$E$230,3,0)</f>
        <v>p2576</v>
      </c>
      <c r="D60" s="1" t="str">
        <f>VLOOKUP($B60,[3]items_supply!$A$2:$E$230,4,0)</f>
        <v>p072</v>
      </c>
      <c r="E60" s="1" t="str">
        <f>VLOOKUP($B60,[3]items_supply!$A$2:$E$230,5,0)</f>
        <v>Palmkernel Oil extraction</v>
      </c>
      <c r="F60" t="s">
        <v>1934</v>
      </c>
      <c r="G60" t="s">
        <v>1551</v>
      </c>
      <c r="H60" t="s">
        <v>1965</v>
      </c>
      <c r="I60" t="s">
        <v>1965</v>
      </c>
      <c r="J60" t="s">
        <v>2112</v>
      </c>
      <c r="K60" t="s">
        <v>2113</v>
      </c>
      <c r="L60" t="s">
        <v>1638</v>
      </c>
      <c r="M60" t="s">
        <v>4714</v>
      </c>
      <c r="N60" t="s">
        <v>2768</v>
      </c>
      <c r="O60" t="s">
        <v>2268</v>
      </c>
    </row>
    <row r="61" spans="1:15" x14ac:dyDescent="0.3">
      <c r="A61" t="s">
        <v>1147</v>
      </c>
      <c r="B61">
        <v>2575</v>
      </c>
      <c r="C61" s="1" t="str">
        <f>VLOOKUP($B61,[3]items_supply!$A$2:$E$230,3,0)</f>
        <v>p2575</v>
      </c>
      <c r="D61" s="1" t="str">
        <f>VLOOKUP($B61,[3]items_supply!$A$2:$E$230,4,0)</f>
        <v>p071</v>
      </c>
      <c r="E61" s="1" t="str">
        <f>VLOOKUP($B61,[3]items_supply!$A$2:$E$230,5,0)</f>
        <v>Cottonseed Oil extraction</v>
      </c>
      <c r="F61" t="s">
        <v>1934</v>
      </c>
      <c r="G61" t="s">
        <v>1551</v>
      </c>
      <c r="H61" t="s">
        <v>1965</v>
      </c>
      <c r="I61" t="s">
        <v>1965</v>
      </c>
      <c r="J61" t="s">
        <v>2112</v>
      </c>
      <c r="K61" t="s">
        <v>2113</v>
      </c>
      <c r="L61" t="s">
        <v>1653</v>
      </c>
      <c r="M61" t="s">
        <v>2253</v>
      </c>
      <c r="N61" t="s">
        <v>2773</v>
      </c>
      <c r="O61" t="s">
        <v>2268</v>
      </c>
    </row>
    <row r="62" spans="1:15" x14ac:dyDescent="0.3">
      <c r="A62" t="s">
        <v>1102</v>
      </c>
      <c r="B62">
        <v>2586</v>
      </c>
      <c r="C62" s="1" t="str">
        <f>VLOOKUP($B62,[3]items_supply!$A$2:$E$230,3,0)</f>
        <v>p2586</v>
      </c>
      <c r="D62" s="1" t="str">
        <f>VLOOKUP($B62,[3]items_supply!$A$2:$E$230,4,0)</f>
        <v>p079</v>
      </c>
      <c r="E62" s="1" t="str">
        <f>VLOOKUP($B62,[3]items_supply!$A$2:$E$230,5,0)</f>
        <v>Oilcrops Oil extraction, Other</v>
      </c>
      <c r="F62" t="s">
        <v>1934</v>
      </c>
      <c r="G62" t="s">
        <v>1551</v>
      </c>
      <c r="H62" t="s">
        <v>1965</v>
      </c>
      <c r="I62" t="s">
        <v>1965</v>
      </c>
      <c r="J62" t="s">
        <v>2112</v>
      </c>
      <c r="K62" t="s">
        <v>2113</v>
      </c>
      <c r="L62" t="s">
        <v>1653</v>
      </c>
      <c r="M62" t="s">
        <v>2253</v>
      </c>
      <c r="N62" t="s">
        <v>2773</v>
      </c>
      <c r="O62" t="s">
        <v>2268</v>
      </c>
    </row>
    <row r="63" spans="1:15" x14ac:dyDescent="0.3">
      <c r="A63" t="s">
        <v>914</v>
      </c>
      <c r="B63">
        <v>2581</v>
      </c>
      <c r="C63" s="1" t="str">
        <f>VLOOKUP($B63,[3]items_supply!$A$2:$E$230,3,0)</f>
        <v>p2581</v>
      </c>
      <c r="D63" s="1" t="str">
        <f>VLOOKUP($B63,[3]items_supply!$A$2:$E$230,4,0)</f>
        <v>p077</v>
      </c>
      <c r="E63" s="1" t="str">
        <f>VLOOKUP($B63,[3]items_supply!$A$2:$E$230,5,0)</f>
        <v>Ricebran Oil extraction</v>
      </c>
      <c r="F63" t="s">
        <v>1934</v>
      </c>
      <c r="G63" t="s">
        <v>1551</v>
      </c>
      <c r="H63" t="s">
        <v>1965</v>
      </c>
      <c r="I63" t="s">
        <v>1965</v>
      </c>
      <c r="J63" t="s">
        <v>2112</v>
      </c>
      <c r="K63" t="s">
        <v>2113</v>
      </c>
      <c r="L63" t="s">
        <v>1653</v>
      </c>
      <c r="M63" t="s">
        <v>2253</v>
      </c>
      <c r="N63" t="s">
        <v>2773</v>
      </c>
      <c r="O63" t="s">
        <v>2268</v>
      </c>
    </row>
    <row r="64" spans="1:15" x14ac:dyDescent="0.3">
      <c r="A64" t="s">
        <v>1073</v>
      </c>
      <c r="B64">
        <v>2572</v>
      </c>
      <c r="C64" s="1" t="str">
        <f>VLOOKUP($B64,[3]items_supply!$A$2:$E$230,3,0)</f>
        <v>p2572</v>
      </c>
      <c r="D64" s="1" t="str">
        <f>VLOOKUP($B64,[3]items_supply!$A$2:$E$230,4,0)</f>
        <v>p068</v>
      </c>
      <c r="E64" s="1" t="str">
        <f>VLOOKUP($B64,[3]items_supply!$A$2:$E$230,5,0)</f>
        <v>Groundnut Oil extraction</v>
      </c>
      <c r="F64" t="s">
        <v>1934</v>
      </c>
      <c r="G64" t="s">
        <v>1551</v>
      </c>
      <c r="H64" t="s">
        <v>1965</v>
      </c>
      <c r="I64" t="s">
        <v>1965</v>
      </c>
      <c r="J64" t="s">
        <v>2112</v>
      </c>
      <c r="K64" t="s">
        <v>2113</v>
      </c>
      <c r="L64" t="s">
        <v>1630</v>
      </c>
      <c r="M64" t="s">
        <v>2253</v>
      </c>
      <c r="N64" t="s">
        <v>2773</v>
      </c>
      <c r="O64" t="s">
        <v>2268</v>
      </c>
    </row>
    <row r="65" spans="1:15" x14ac:dyDescent="0.3">
      <c r="A65" t="s">
        <v>1107</v>
      </c>
      <c r="B65">
        <v>2573</v>
      </c>
      <c r="C65" s="1" t="str">
        <f>VLOOKUP($B65,[3]items_supply!$A$2:$E$230,3,0)</f>
        <v>p2573</v>
      </c>
      <c r="D65" s="1" t="str">
        <f>VLOOKUP($B65,[3]items_supply!$A$2:$E$230,4,0)</f>
        <v>p069</v>
      </c>
      <c r="E65" s="1" t="str">
        <f>VLOOKUP($B65,[3]items_supply!$A$2:$E$230,5,0)</f>
        <v>Sunflowerseed Oil extraction</v>
      </c>
      <c r="F65" t="s">
        <v>1934</v>
      </c>
      <c r="G65" t="s">
        <v>1551</v>
      </c>
      <c r="H65" t="s">
        <v>1965</v>
      </c>
      <c r="I65" t="s">
        <v>1965</v>
      </c>
      <c r="J65" t="s">
        <v>2112</v>
      </c>
      <c r="K65" t="s">
        <v>2113</v>
      </c>
      <c r="L65" t="s">
        <v>1649</v>
      </c>
      <c r="M65" t="s">
        <v>2253</v>
      </c>
      <c r="N65" t="s">
        <v>4647</v>
      </c>
      <c r="O65" t="s">
        <v>2268</v>
      </c>
    </row>
    <row r="66" spans="1:15" x14ac:dyDescent="0.3">
      <c r="A66" t="s">
        <v>1113</v>
      </c>
      <c r="B66">
        <v>2574</v>
      </c>
      <c r="C66" s="1" t="str">
        <f>VLOOKUP($B66,[3]items_supply!$A$2:$E$230,3,0)</f>
        <v>p2574</v>
      </c>
      <c r="D66" s="1" t="str">
        <f>VLOOKUP($B66,[3]items_supply!$A$2:$E$230,4,0)</f>
        <v>p070</v>
      </c>
      <c r="E66" s="1" t="str">
        <f>VLOOKUP($B66,[3]items_supply!$A$2:$E$230,5,0)</f>
        <v>Rape and Mustard Oil extraction</v>
      </c>
      <c r="F66" t="s">
        <v>1934</v>
      </c>
      <c r="G66" t="s">
        <v>1551</v>
      </c>
      <c r="H66" t="s">
        <v>1965</v>
      </c>
      <c r="I66" t="s">
        <v>1965</v>
      </c>
      <c r="J66" t="s">
        <v>2112</v>
      </c>
      <c r="K66" t="s">
        <v>1607</v>
      </c>
      <c r="L66" t="s">
        <v>1653</v>
      </c>
      <c r="M66" t="s">
        <v>2253</v>
      </c>
      <c r="N66" t="s">
        <v>2773</v>
      </c>
      <c r="O66" t="s">
        <v>2268</v>
      </c>
    </row>
    <row r="67" spans="1:15" x14ac:dyDescent="0.3">
      <c r="A67" t="s">
        <v>1298</v>
      </c>
      <c r="B67" s="1">
        <v>2105</v>
      </c>
      <c r="C67" s="1" t="e">
        <f>VLOOKUP($B67,[3]items_supply!$A$2:$E$230,3,0)</f>
        <v>#N/A</v>
      </c>
      <c r="D67" s="1" t="e">
        <f>VLOOKUP($B67,[3]items_supply!$A$2:$E$230,4,0)</f>
        <v>#N/A</v>
      </c>
      <c r="E67" s="1" t="e">
        <f>VLOOKUP($B67,[3]items_supply!$A$2:$E$230,5,0)</f>
        <v>#N/A</v>
      </c>
      <c r="F67" t="s">
        <v>1934</v>
      </c>
      <c r="G67" t="s">
        <v>1917</v>
      </c>
      <c r="I67" t="s">
        <v>2017</v>
      </c>
      <c r="J67" t="s">
        <v>2024</v>
      </c>
      <c r="K67" t="s">
        <v>1298</v>
      </c>
      <c r="L67" t="s">
        <v>1298</v>
      </c>
      <c r="M67" t="s">
        <v>4715</v>
      </c>
      <c r="N67" t="s">
        <v>2787</v>
      </c>
      <c r="O67" t="s">
        <v>2268</v>
      </c>
    </row>
    <row r="68" spans="1:15" x14ac:dyDescent="0.3">
      <c r="A68" t="s">
        <v>1918</v>
      </c>
      <c r="B68" s="1">
        <v>2106</v>
      </c>
      <c r="C68" s="1" t="e">
        <f>VLOOKUP($B68,[3]items_supply!$A$2:$E$230,3,0)</f>
        <v>#N/A</v>
      </c>
      <c r="D68" s="1" t="e">
        <f>VLOOKUP($B68,[3]items_supply!$A$2:$E$230,4,0)</f>
        <v>#N/A</v>
      </c>
      <c r="E68" s="1" t="e">
        <f>VLOOKUP($B68,[3]items_supply!$A$2:$E$230,5,0)</f>
        <v>#N/A</v>
      </c>
      <c r="F68" t="s">
        <v>1934</v>
      </c>
      <c r="G68" t="s">
        <v>1917</v>
      </c>
      <c r="H68" t="s">
        <v>2017</v>
      </c>
      <c r="I68" t="s">
        <v>2017</v>
      </c>
      <c r="J68" t="s">
        <v>2024</v>
      </c>
      <c r="K68" t="s">
        <v>1918</v>
      </c>
      <c r="L68" t="s">
        <v>1918</v>
      </c>
      <c r="M68" t="s">
        <v>4715</v>
      </c>
      <c r="N68" t="s">
        <v>2787</v>
      </c>
      <c r="O68" t="s">
        <v>2268</v>
      </c>
    </row>
    <row r="69" spans="1:15" x14ac:dyDescent="0.3">
      <c r="A69" t="s">
        <v>1919</v>
      </c>
      <c r="B69" s="1">
        <v>2107</v>
      </c>
      <c r="C69" s="1" t="str">
        <f>VLOOKUP($B69,[3]items_supply!$A$2:$E$230,3,0)</f>
        <v>p2107</v>
      </c>
      <c r="D69" s="1" t="str">
        <f>VLOOKUP($B69,[3]items_supply!$A$2:$E$230,4,0)</f>
        <v>p131</v>
      </c>
      <c r="E69" s="1" t="str">
        <f>VLOOKUP($B69,[3]items_supply!$A$2:$E$230,5,0)</f>
        <v>Forestry</v>
      </c>
      <c r="F69" t="s">
        <v>1934</v>
      </c>
      <c r="G69" t="s">
        <v>1917</v>
      </c>
      <c r="J69" t="s">
        <v>2157</v>
      </c>
      <c r="K69" t="s">
        <v>1919</v>
      </c>
      <c r="L69" t="s">
        <v>2156</v>
      </c>
      <c r="M69" t="s">
        <v>4716</v>
      </c>
      <c r="N69">
        <v>0</v>
      </c>
      <c r="O69" t="s">
        <v>2268</v>
      </c>
    </row>
    <row r="70" spans="1:15" x14ac:dyDescent="0.3">
      <c r="A70" t="s">
        <v>4700</v>
      </c>
      <c r="B70" s="1">
        <v>4000</v>
      </c>
      <c r="C70" s="1" t="str">
        <f>VLOOKUP($B70,[3]items_supply!$A$2:$E$230,3,0)</f>
        <v>p4000</v>
      </c>
      <c r="D70" s="1" t="str">
        <f>VLOOKUP($B70,[3]items_supply!$A$2:$E$230,4,0)</f>
        <v>p092</v>
      </c>
      <c r="E70" s="1" t="str">
        <f>VLOOKUP($B70,[3]items_supply!$A$2:$E$230,5,0)</f>
        <v>Asses husbandry</v>
      </c>
      <c r="G70" t="s">
        <v>4699</v>
      </c>
      <c r="K70" t="s">
        <v>4699</v>
      </c>
      <c r="L70">
        <v>0</v>
      </c>
      <c r="M70">
        <v>0</v>
      </c>
      <c r="N70">
        <v>0</v>
      </c>
      <c r="O70" t="s">
        <v>2267</v>
      </c>
    </row>
    <row r="71" spans="1:15" x14ac:dyDescent="0.3">
      <c r="A71" t="s">
        <v>1513</v>
      </c>
      <c r="B71" s="1">
        <v>2790</v>
      </c>
      <c r="C71" s="1" t="str">
        <f>VLOOKUP($B71,[3]items_supply!$A$2:$E$230,3,0)</f>
        <v>p2790</v>
      </c>
      <c r="D71" s="1" t="str">
        <f>VLOOKUP($B71,[3]items_supply!$A$2:$E$230,4,0)</f>
        <v>p132</v>
      </c>
      <c r="E71" s="1" t="str">
        <f>VLOOKUP($B71,[3]items_supply!$A$2:$E$230,5,0)</f>
        <v>Aquaculture</v>
      </c>
      <c r="F71" t="s">
        <v>1934</v>
      </c>
      <c r="G71" t="s">
        <v>1975</v>
      </c>
      <c r="H71" t="s">
        <v>1973</v>
      </c>
      <c r="I71" t="s">
        <v>1973</v>
      </c>
      <c r="J71" t="s">
        <v>1975</v>
      </c>
      <c r="K71" t="s">
        <v>1976</v>
      </c>
      <c r="L71" t="s">
        <v>1977</v>
      </c>
      <c r="M71" t="s">
        <v>1975</v>
      </c>
      <c r="N71" t="s">
        <v>4717</v>
      </c>
      <c r="O71" t="s">
        <v>2267</v>
      </c>
    </row>
    <row r="72" spans="1:15" x14ac:dyDescent="0.3">
      <c r="A72" t="s">
        <v>1978</v>
      </c>
      <c r="B72">
        <v>2767</v>
      </c>
      <c r="C72" s="1" t="str">
        <f>VLOOKUP($B72,[3]items_supply!$A$2:$E$230,3,0)</f>
        <v>p2767</v>
      </c>
      <c r="D72" s="1" t="str">
        <f>VLOOKUP($B72,[3]items_supply!$A$2:$E$230,4,0)</f>
        <v>p132</v>
      </c>
      <c r="E72" s="1" t="str">
        <f>VLOOKUP($B72,[3]items_supply!$A$2:$E$230,5,0)</f>
        <v>Aquaculture</v>
      </c>
      <c r="F72" t="s">
        <v>1934</v>
      </c>
      <c r="G72" t="s">
        <v>1975</v>
      </c>
      <c r="H72" t="s">
        <v>1973</v>
      </c>
      <c r="I72" t="s">
        <v>1973</v>
      </c>
      <c r="J72" t="s">
        <v>1975</v>
      </c>
      <c r="K72" t="s">
        <v>1976</v>
      </c>
      <c r="L72" t="s">
        <v>1978</v>
      </c>
      <c r="M72" t="s">
        <v>1975</v>
      </c>
      <c r="N72" t="s">
        <v>4717</v>
      </c>
      <c r="O72" t="s">
        <v>2267</v>
      </c>
    </row>
    <row r="73" spans="1:15" x14ac:dyDescent="0.3">
      <c r="A73" t="s">
        <v>2005</v>
      </c>
      <c r="B73">
        <v>2763</v>
      </c>
      <c r="C73" s="1" t="str">
        <f>VLOOKUP($B73,[3]items_supply!$A$2:$E$230,3,0)</f>
        <v>p2763</v>
      </c>
      <c r="D73" s="1" t="str">
        <f>VLOOKUP($B73,[3]items_supply!$A$2:$E$230,4,0)</f>
        <v>p132</v>
      </c>
      <c r="E73" s="1" t="str">
        <f>VLOOKUP($B73,[3]items_supply!$A$2:$E$230,5,0)</f>
        <v>Aquaculture</v>
      </c>
      <c r="F73" t="s">
        <v>1934</v>
      </c>
      <c r="G73" t="s">
        <v>1975</v>
      </c>
      <c r="H73" t="s">
        <v>1973</v>
      </c>
      <c r="I73" t="s">
        <v>1973</v>
      </c>
      <c r="J73" t="s">
        <v>1975</v>
      </c>
      <c r="K73" t="s">
        <v>1976</v>
      </c>
      <c r="L73" t="s">
        <v>2005</v>
      </c>
      <c r="M73" t="s">
        <v>1975</v>
      </c>
      <c r="N73" t="s">
        <v>4717</v>
      </c>
      <c r="O73" t="s">
        <v>2267</v>
      </c>
    </row>
    <row r="74" spans="1:15" x14ac:dyDescent="0.3">
      <c r="A74" t="s">
        <v>2007</v>
      </c>
      <c r="B74">
        <v>2782</v>
      </c>
      <c r="C74" s="1" t="str">
        <f>VLOOKUP($B74,[3]items_supply!$A$2:$E$230,3,0)</f>
        <v>p2782</v>
      </c>
      <c r="D74" s="1" t="str">
        <f>VLOOKUP($B74,[3]items_supply!$A$2:$E$230,4,0)</f>
        <v>p132</v>
      </c>
      <c r="E74" s="1" t="str">
        <f>VLOOKUP($B74,[3]items_supply!$A$2:$E$230,5,0)</f>
        <v>Aquaculture</v>
      </c>
      <c r="F74" t="s">
        <v>1934</v>
      </c>
      <c r="G74" t="s">
        <v>1975</v>
      </c>
      <c r="H74" t="s">
        <v>1973</v>
      </c>
      <c r="I74" t="s">
        <v>1973</v>
      </c>
      <c r="J74" t="s">
        <v>1975</v>
      </c>
      <c r="K74" t="s">
        <v>1976</v>
      </c>
      <c r="L74" t="s">
        <v>2008</v>
      </c>
      <c r="M74" t="s">
        <v>1975</v>
      </c>
      <c r="N74" t="s">
        <v>4718</v>
      </c>
      <c r="O74" t="s">
        <v>2267</v>
      </c>
    </row>
    <row r="75" spans="1:15" x14ac:dyDescent="0.3">
      <c r="A75" t="s">
        <v>1496</v>
      </c>
      <c r="B75">
        <v>2766</v>
      </c>
      <c r="C75" s="1" t="str">
        <f>VLOOKUP($B75,[3]items_supply!$A$2:$E$230,3,0)</f>
        <v>p2766</v>
      </c>
      <c r="D75" s="1" t="str">
        <f>VLOOKUP($B75,[3]items_supply!$A$2:$E$230,4,0)</f>
        <v>p132</v>
      </c>
      <c r="E75" s="1" t="str">
        <f>VLOOKUP($B75,[3]items_supply!$A$2:$E$230,5,0)</f>
        <v>Aquaculture</v>
      </c>
      <c r="F75" t="s">
        <v>1934</v>
      </c>
      <c r="G75" t="s">
        <v>1975</v>
      </c>
      <c r="H75" t="s">
        <v>1973</v>
      </c>
      <c r="I75" t="s">
        <v>1973</v>
      </c>
      <c r="J75" t="s">
        <v>1975</v>
      </c>
      <c r="K75" t="s">
        <v>1976</v>
      </c>
      <c r="L75" t="s">
        <v>1496</v>
      </c>
      <c r="M75" t="s">
        <v>1975</v>
      </c>
      <c r="N75" t="s">
        <v>4717</v>
      </c>
      <c r="O75" t="s">
        <v>2267</v>
      </c>
    </row>
    <row r="76" spans="1:15" x14ac:dyDescent="0.3">
      <c r="A76" t="s">
        <v>2009</v>
      </c>
      <c r="B76">
        <v>2765</v>
      </c>
      <c r="C76" s="1" t="str">
        <f>VLOOKUP($B76,[3]items_supply!$A$2:$E$230,3,0)</f>
        <v>p2765</v>
      </c>
      <c r="D76" s="1" t="str">
        <f>VLOOKUP($B76,[3]items_supply!$A$2:$E$230,4,0)</f>
        <v>p132</v>
      </c>
      <c r="E76" s="1" t="str">
        <f>VLOOKUP($B76,[3]items_supply!$A$2:$E$230,5,0)</f>
        <v>Aquaculture</v>
      </c>
      <c r="F76" t="s">
        <v>1934</v>
      </c>
      <c r="G76" t="s">
        <v>1975</v>
      </c>
      <c r="H76" t="s">
        <v>1973</v>
      </c>
      <c r="I76" t="s">
        <v>1973</v>
      </c>
      <c r="J76" t="s">
        <v>1975</v>
      </c>
      <c r="K76" t="s">
        <v>1976</v>
      </c>
      <c r="L76" t="s">
        <v>2009</v>
      </c>
      <c r="M76" t="s">
        <v>1975</v>
      </c>
      <c r="N76" t="s">
        <v>4717</v>
      </c>
      <c r="O76" t="s">
        <v>2267</v>
      </c>
    </row>
    <row r="77" spans="1:15" x14ac:dyDescent="0.3">
      <c r="A77" t="s">
        <v>2010</v>
      </c>
      <c r="B77">
        <v>2761</v>
      </c>
      <c r="C77" s="1" t="str">
        <f>VLOOKUP($B77,[3]items_supply!$A$2:$E$230,3,0)</f>
        <v>p2761</v>
      </c>
      <c r="D77" s="1" t="str">
        <f>VLOOKUP($B77,[3]items_supply!$A$2:$E$230,4,0)</f>
        <v>p132</v>
      </c>
      <c r="E77" s="1" t="str">
        <f>VLOOKUP($B77,[3]items_supply!$A$2:$E$230,5,0)</f>
        <v>Aquaculture</v>
      </c>
      <c r="F77" t="s">
        <v>1934</v>
      </c>
      <c r="G77" t="s">
        <v>1975</v>
      </c>
      <c r="H77" t="s">
        <v>1973</v>
      </c>
      <c r="I77" t="s">
        <v>1973</v>
      </c>
      <c r="J77" t="s">
        <v>1975</v>
      </c>
      <c r="K77" t="s">
        <v>1976</v>
      </c>
      <c r="L77" t="s">
        <v>2010</v>
      </c>
      <c r="M77" t="s">
        <v>1975</v>
      </c>
      <c r="N77" t="s">
        <v>4717</v>
      </c>
      <c r="O77" t="s">
        <v>2267</v>
      </c>
    </row>
    <row r="78" spans="1:15" x14ac:dyDescent="0.3">
      <c r="A78" t="s">
        <v>2012</v>
      </c>
      <c r="B78">
        <v>2762</v>
      </c>
      <c r="C78" s="1" t="str">
        <f>VLOOKUP($B78,[3]items_supply!$A$2:$E$230,3,0)</f>
        <v>p2762</v>
      </c>
      <c r="D78" s="1" t="str">
        <f>VLOOKUP($B78,[3]items_supply!$A$2:$E$230,4,0)</f>
        <v>p132</v>
      </c>
      <c r="E78" s="1" t="str">
        <f>VLOOKUP($B78,[3]items_supply!$A$2:$E$230,5,0)</f>
        <v>Aquaculture</v>
      </c>
      <c r="F78" t="s">
        <v>1934</v>
      </c>
      <c r="G78" t="s">
        <v>1975</v>
      </c>
      <c r="H78" t="s">
        <v>1973</v>
      </c>
      <c r="I78" t="s">
        <v>1973</v>
      </c>
      <c r="J78" t="s">
        <v>1975</v>
      </c>
      <c r="K78" t="s">
        <v>1976</v>
      </c>
      <c r="L78" t="s">
        <v>2012</v>
      </c>
      <c r="M78" t="s">
        <v>1975</v>
      </c>
      <c r="N78" t="s">
        <v>4717</v>
      </c>
      <c r="O78" t="s">
        <v>4656</v>
      </c>
    </row>
    <row r="79" spans="1:15" x14ac:dyDescent="0.3">
      <c r="A79" t="s">
        <v>1494</v>
      </c>
      <c r="B79">
        <v>2764</v>
      </c>
      <c r="C79" s="1" t="str">
        <f>VLOOKUP($B79,[3]items_supply!$A$2:$E$230,3,0)</f>
        <v>p2764</v>
      </c>
      <c r="D79" s="1" t="str">
        <f>VLOOKUP($B79,[3]items_supply!$A$2:$E$230,4,0)</f>
        <v>p132</v>
      </c>
      <c r="E79" s="1" t="str">
        <f>VLOOKUP($B79,[3]items_supply!$A$2:$E$230,5,0)</f>
        <v>Aquaculture</v>
      </c>
      <c r="F79" t="s">
        <v>1934</v>
      </c>
      <c r="G79" t="s">
        <v>1975</v>
      </c>
      <c r="H79" t="s">
        <v>1973</v>
      </c>
      <c r="I79" t="s">
        <v>1973</v>
      </c>
      <c r="J79" t="s">
        <v>1975</v>
      </c>
      <c r="K79" t="s">
        <v>1976</v>
      </c>
      <c r="L79" t="s">
        <v>1494</v>
      </c>
      <c r="M79" t="s">
        <v>1975</v>
      </c>
      <c r="N79" t="s">
        <v>4717</v>
      </c>
      <c r="O79" t="s">
        <v>4656</v>
      </c>
    </row>
    <row r="80" spans="1:15" x14ac:dyDescent="0.3">
      <c r="A80" t="s">
        <v>2013</v>
      </c>
      <c r="B80">
        <v>2769</v>
      </c>
      <c r="C80" s="1" t="str">
        <f>VLOOKUP($B80,[3]items_supply!$A$2:$E$230,3,0)</f>
        <v>p2769</v>
      </c>
      <c r="D80" s="1" t="str">
        <f>VLOOKUP($B80,[3]items_supply!$A$2:$E$230,4,0)</f>
        <v>p132</v>
      </c>
      <c r="E80" s="1" t="str">
        <f>VLOOKUP($B80,[3]items_supply!$A$2:$E$230,5,0)</f>
        <v>Aquaculture</v>
      </c>
      <c r="F80" t="s">
        <v>1934</v>
      </c>
      <c r="G80" t="s">
        <v>1975</v>
      </c>
      <c r="H80" t="s">
        <v>1973</v>
      </c>
      <c r="I80" t="s">
        <v>1973</v>
      </c>
      <c r="J80" t="s">
        <v>1975</v>
      </c>
      <c r="K80" t="s">
        <v>1976</v>
      </c>
      <c r="L80" t="s">
        <v>2013</v>
      </c>
      <c r="M80" t="s">
        <v>1975</v>
      </c>
      <c r="N80" t="s">
        <v>4717</v>
      </c>
      <c r="O80" t="s">
        <v>4656</v>
      </c>
    </row>
    <row r="81" spans="1:15" x14ac:dyDescent="0.3">
      <c r="A81" t="s">
        <v>1503</v>
      </c>
      <c r="B81">
        <v>2775</v>
      </c>
      <c r="C81" s="1" t="str">
        <f>VLOOKUP($B81,[3]items_supply!$A$2:$E$230,3,0)</f>
        <v>p2775</v>
      </c>
      <c r="D81" s="1" t="str">
        <f>VLOOKUP($B81,[3]items_supply!$A$2:$E$230,4,0)</f>
        <v>p132</v>
      </c>
      <c r="E81" s="1" t="str">
        <f>VLOOKUP($B81,[3]items_supply!$A$2:$E$230,5,0)</f>
        <v>Aquaculture</v>
      </c>
      <c r="F81" t="s">
        <v>1934</v>
      </c>
      <c r="G81" t="s">
        <v>1975</v>
      </c>
      <c r="H81" t="s">
        <v>1973</v>
      </c>
      <c r="I81" t="s">
        <v>1973</v>
      </c>
      <c r="J81" t="s">
        <v>1975</v>
      </c>
      <c r="K81" t="s">
        <v>1976</v>
      </c>
      <c r="L81">
        <v>0</v>
      </c>
      <c r="M81" t="s">
        <v>1975</v>
      </c>
      <c r="N81" t="s">
        <v>4717</v>
      </c>
      <c r="O81" t="s">
        <v>2268</v>
      </c>
    </row>
    <row r="82" spans="1:15" x14ac:dyDescent="0.3">
      <c r="A82" t="s">
        <v>2015</v>
      </c>
      <c r="B82">
        <v>2781</v>
      </c>
      <c r="C82" s="1" t="str">
        <f>VLOOKUP($B82,[3]items_supply!$A$2:$E$230,3,0)</f>
        <v>p2781</v>
      </c>
      <c r="D82" s="1" t="str">
        <f>VLOOKUP($B82,[3]items_supply!$A$2:$E$230,4,0)</f>
        <v>p132</v>
      </c>
      <c r="E82" s="1" t="str">
        <f>VLOOKUP($B82,[3]items_supply!$A$2:$E$230,5,0)</f>
        <v>Aquaculture</v>
      </c>
      <c r="F82" t="s">
        <v>1934</v>
      </c>
      <c r="G82" t="s">
        <v>1975</v>
      </c>
      <c r="H82" t="s">
        <v>1973</v>
      </c>
      <c r="I82" t="s">
        <v>1973</v>
      </c>
      <c r="J82" t="s">
        <v>1975</v>
      </c>
      <c r="K82" t="s">
        <v>1976</v>
      </c>
      <c r="L82" t="s">
        <v>2008</v>
      </c>
      <c r="M82" t="s">
        <v>1975</v>
      </c>
      <c r="N82" t="s">
        <v>4718</v>
      </c>
    </row>
    <row r="83" spans="1:15" x14ac:dyDescent="0.3">
      <c r="A83" t="s">
        <v>2154</v>
      </c>
      <c r="B83" s="1">
        <v>3004</v>
      </c>
      <c r="C83" s="1" t="str">
        <f>VLOOKUP($B83,[3]items_supply!$A$2:$E$230,3,0)</f>
        <v>p3004</v>
      </c>
      <c r="D83" s="1" t="str">
        <f>VLOOKUP($B83,[3]items_supply!$A$2:$E$230,4,0)</f>
        <v>p131</v>
      </c>
      <c r="E83" s="1" t="str">
        <f>VLOOKUP($B83,[3]items_supply!$A$2:$E$230,5,0)</f>
        <v>Forestry</v>
      </c>
      <c r="F83" t="s">
        <v>1934</v>
      </c>
      <c r="G83" t="s">
        <v>2155</v>
      </c>
      <c r="J83" t="s">
        <v>2154</v>
      </c>
      <c r="K83" t="s">
        <v>1919</v>
      </c>
      <c r="L83" t="s">
        <v>2156</v>
      </c>
      <c r="M83" t="s">
        <v>2154</v>
      </c>
      <c r="N83">
        <v>0</v>
      </c>
    </row>
    <row r="84" spans="1:15" x14ac:dyDescent="0.3">
      <c r="A84" t="s">
        <v>2021</v>
      </c>
      <c r="B84" s="1">
        <v>3003</v>
      </c>
      <c r="C84" s="1" t="str">
        <f>VLOOKUP($B84,[3]items_supply!$A$2:$E$230,3,0)</f>
        <v>p3003</v>
      </c>
      <c r="D84" s="1" t="str">
        <f>VLOOKUP($B84,[3]items_supply!$A$2:$E$230,4,0)</f>
        <v>p129</v>
      </c>
      <c r="E84" s="1" t="str">
        <f>VLOOKUP($B84,[3]items_supply!$A$2:$E$230,5,0)</f>
        <v>Fallowing</v>
      </c>
      <c r="F84" t="s">
        <v>1934</v>
      </c>
      <c r="G84" t="s">
        <v>1871</v>
      </c>
      <c r="H84" t="s">
        <v>2022</v>
      </c>
      <c r="I84" t="s">
        <v>2022</v>
      </c>
      <c r="J84" t="s">
        <v>1922</v>
      </c>
      <c r="K84" t="s">
        <v>2021</v>
      </c>
      <c r="L84" t="s">
        <v>2021</v>
      </c>
      <c r="M84" t="s">
        <v>4715</v>
      </c>
      <c r="N84" t="s">
        <v>2728</v>
      </c>
    </row>
    <row r="85" spans="1:15" x14ac:dyDescent="0.3">
      <c r="A85" t="s">
        <v>1922</v>
      </c>
      <c r="B85" s="1">
        <v>3000</v>
      </c>
      <c r="C85" s="1" t="str">
        <f>VLOOKUP($B85,[3]items_supply!$A$2:$E$230,3,0)</f>
        <v>p3000</v>
      </c>
      <c r="D85" s="1" t="str">
        <f>VLOOKUP($B85,[3]items_supply!$A$2:$E$230,4,0)</f>
        <v>p130</v>
      </c>
      <c r="E85" s="1" t="str">
        <f>VLOOKUP($B85,[3]items_supply!$A$2:$E$230,5,0)</f>
        <v>Grassland production</v>
      </c>
      <c r="F85" t="s">
        <v>1934</v>
      </c>
      <c r="G85" t="s">
        <v>1871</v>
      </c>
      <c r="H85" t="s">
        <v>2022</v>
      </c>
      <c r="I85" t="s">
        <v>2022</v>
      </c>
      <c r="J85" t="s">
        <v>1922</v>
      </c>
      <c r="K85" t="s">
        <v>1871</v>
      </c>
      <c r="L85" t="s">
        <v>1871</v>
      </c>
      <c r="M85" t="s">
        <v>4715</v>
      </c>
      <c r="N85" t="s">
        <v>2728</v>
      </c>
    </row>
    <row r="86" spans="1:15" x14ac:dyDescent="0.3">
      <c r="A86" t="s">
        <v>1870</v>
      </c>
      <c r="B86" s="1">
        <v>3002</v>
      </c>
      <c r="C86" s="1" t="str">
        <f>VLOOKUP($B86,[3]items_supply!$A$2:$E$230,3,0)</f>
        <v>p3002</v>
      </c>
      <c r="D86" s="1" t="str">
        <f>VLOOKUP($B86,[3]items_supply!$A$2:$E$230,4,0)</f>
        <v>p121</v>
      </c>
      <c r="E86" s="1" t="str">
        <f>VLOOKUP($B86,[3]items_supply!$A$2:$E$230,5,0)</f>
        <v>Temporary grassland production</v>
      </c>
      <c r="F86" t="s">
        <v>1934</v>
      </c>
      <c r="G86" t="s">
        <v>1871</v>
      </c>
      <c r="H86" t="s">
        <v>2022</v>
      </c>
      <c r="I86" t="s">
        <v>2022</v>
      </c>
      <c r="J86" t="s">
        <v>1870</v>
      </c>
      <c r="K86" t="s">
        <v>2018</v>
      </c>
      <c r="L86" t="s">
        <v>2107</v>
      </c>
      <c r="M86" t="s">
        <v>4715</v>
      </c>
      <c r="N86" t="s">
        <v>2728</v>
      </c>
    </row>
    <row r="87" spans="1:15" x14ac:dyDescent="0.3">
      <c r="A87" t="s">
        <v>742</v>
      </c>
      <c r="B87">
        <v>960</v>
      </c>
      <c r="C87" s="1" t="str">
        <f>VLOOKUP($B87,[3]items_supply!$A$2:$E$230,3,0)</f>
        <v>p960</v>
      </c>
      <c r="D87" s="1" t="str">
        <f>VLOOKUP($B87,[3]items_supply!$A$2:$E$230,4,0)</f>
        <v>p099</v>
      </c>
      <c r="E87" s="1" t="str">
        <f>VLOOKUP($B87,[3]items_supply!$A$2:$E$230,5,0)</f>
        <v>Dairy cattle husbandry</v>
      </c>
      <c r="F87" t="s">
        <v>2031</v>
      </c>
      <c r="G87" t="s">
        <v>2032</v>
      </c>
      <c r="J87" t="s">
        <v>2033</v>
      </c>
      <c r="K87" t="s">
        <v>2033</v>
      </c>
      <c r="M87" t="s">
        <v>2033</v>
      </c>
    </row>
    <row r="88" spans="1:15" x14ac:dyDescent="0.3">
      <c r="A88" t="s">
        <v>739</v>
      </c>
      <c r="B88">
        <v>961</v>
      </c>
      <c r="C88" s="1" t="str">
        <f>VLOOKUP($B88,[3]items_supply!$A$2:$E$230,3,0)</f>
        <v>p961</v>
      </c>
      <c r="D88" s="1" t="str">
        <f>VLOOKUP($B88,[3]items_supply!$A$2:$E$230,4,0)</f>
        <v>p085</v>
      </c>
      <c r="E88" s="1" t="str">
        <f>VLOOKUP($B88,[3]items_supply!$A$2:$E$230,5,0)</f>
        <v>Non-dairy Cattle husbandry</v>
      </c>
      <c r="F88" t="s">
        <v>2031</v>
      </c>
      <c r="G88" t="s">
        <v>2032</v>
      </c>
      <c r="J88" t="s">
        <v>2033</v>
      </c>
      <c r="K88" t="s">
        <v>2033</v>
      </c>
      <c r="M88" t="s">
        <v>2033</v>
      </c>
    </row>
    <row r="89" spans="1:15" x14ac:dyDescent="0.3">
      <c r="A89" t="s">
        <v>738</v>
      </c>
      <c r="B89">
        <v>1126</v>
      </c>
      <c r="C89" s="1" t="str">
        <f>VLOOKUP($B89,[3]items_supply!$A$2:$E$230,3,0)</f>
        <v>p1126</v>
      </c>
      <c r="D89" s="1" t="str">
        <f>VLOOKUP($B89,[3]items_supply!$A$2:$E$230,4,0)</f>
        <v>p094</v>
      </c>
      <c r="E89" s="1" t="str">
        <f>VLOOKUP($B89,[3]items_supply!$A$2:$E$230,5,0)</f>
        <v>Camels husbandry</v>
      </c>
      <c r="F89" t="s">
        <v>2031</v>
      </c>
      <c r="G89" t="s">
        <v>2032</v>
      </c>
      <c r="J89" t="s">
        <v>2033</v>
      </c>
      <c r="K89" t="s">
        <v>2033</v>
      </c>
      <c r="M89" t="s">
        <v>2033</v>
      </c>
    </row>
    <row r="90" spans="1:15" x14ac:dyDescent="0.3">
      <c r="A90" t="s">
        <v>784</v>
      </c>
      <c r="B90" s="1">
        <v>1190</v>
      </c>
      <c r="C90" s="1" t="str">
        <f>VLOOKUP($B90,[3]items_supply!$A$2:$E$230,3,0)</f>
        <v>p1190</v>
      </c>
      <c r="D90" s="1" t="str">
        <f>VLOOKUP($B90,[3]items_supply!$A$2:$E$230,4,0)</f>
        <v>p113</v>
      </c>
      <c r="E90" s="1" t="str">
        <f>VLOOKUP($B90,[3]items_supply!$A$2:$E$230,5,0)</f>
        <v>Hunting</v>
      </c>
      <c r="F90" t="s">
        <v>2031</v>
      </c>
      <c r="G90" t="s">
        <v>2032</v>
      </c>
      <c r="J90" t="s">
        <v>2033</v>
      </c>
      <c r="K90" t="s">
        <v>2033</v>
      </c>
      <c r="M90" t="s">
        <v>2033</v>
      </c>
    </row>
    <row r="91" spans="1:15" x14ac:dyDescent="0.3">
      <c r="A91" t="s">
        <v>735</v>
      </c>
      <c r="B91">
        <v>946</v>
      </c>
      <c r="C91" s="1" t="str">
        <f>VLOOKUP($B91,[3]items_supply!$A$2:$E$230,3,0)</f>
        <v>p946</v>
      </c>
      <c r="D91" s="1" t="str">
        <f>VLOOKUP($B91,[3]items_supply!$A$2:$E$230,4,0)</f>
        <v>p086</v>
      </c>
      <c r="E91" s="1" t="str">
        <f>VLOOKUP($B91,[3]items_supply!$A$2:$E$230,5,0)</f>
        <v>Buffaloes husbandry</v>
      </c>
      <c r="F91" t="s">
        <v>2031</v>
      </c>
      <c r="G91" t="s">
        <v>2032</v>
      </c>
      <c r="J91" t="s">
        <v>2033</v>
      </c>
      <c r="K91" t="s">
        <v>2033</v>
      </c>
      <c r="M91" t="s">
        <v>2033</v>
      </c>
    </row>
    <row r="92" spans="1:15" x14ac:dyDescent="0.3">
      <c r="A92" t="s">
        <v>781</v>
      </c>
      <c r="B92">
        <v>1079</v>
      </c>
      <c r="C92" s="1" t="str">
        <f>VLOOKUP($B92,[3]items_supply!$A$2:$E$230,3,0)</f>
        <v>p1079</v>
      </c>
      <c r="D92" s="1" t="str">
        <f>VLOOKUP($B92,[3]items_supply!$A$2:$E$230,4,0)</f>
        <v>p111</v>
      </c>
      <c r="E92" s="1" t="str">
        <f>VLOOKUP($B92,[3]items_supply!$A$2:$E$230,5,0)</f>
        <v>Other birds farming</v>
      </c>
      <c r="F92" t="s">
        <v>2031</v>
      </c>
      <c r="G92" t="s">
        <v>2032</v>
      </c>
      <c r="J92" t="s">
        <v>2033</v>
      </c>
      <c r="K92" t="s">
        <v>2033</v>
      </c>
      <c r="M92" t="s">
        <v>2033</v>
      </c>
    </row>
    <row r="93" spans="1:15" x14ac:dyDescent="0.3">
      <c r="A93" t="s">
        <v>731</v>
      </c>
      <c r="B93">
        <v>1107</v>
      </c>
      <c r="C93" s="1" t="str">
        <f>VLOOKUP($B93,[3]items_supply!$A$2:$E$230,3,0)</f>
        <v>p1107</v>
      </c>
      <c r="D93" s="1" t="str">
        <f>VLOOKUP($B93,[3]items_supply!$A$2:$E$230,4,0)</f>
        <v>p092</v>
      </c>
      <c r="E93" s="1" t="str">
        <f>VLOOKUP($B93,[3]items_supply!$A$2:$E$230,5,0)</f>
        <v>Asses husbandry</v>
      </c>
      <c r="F93" t="s">
        <v>2031</v>
      </c>
      <c r="G93" t="s">
        <v>2032</v>
      </c>
      <c r="J93" t="s">
        <v>2033</v>
      </c>
      <c r="K93" t="s">
        <v>2033</v>
      </c>
      <c r="M93" t="s">
        <v>2033</v>
      </c>
    </row>
    <row r="94" spans="1:15" x14ac:dyDescent="0.3">
      <c r="A94" t="s">
        <v>768</v>
      </c>
      <c r="B94">
        <v>1110</v>
      </c>
      <c r="C94" s="1" t="str">
        <f>VLOOKUP($B94,[3]items_supply!$A$2:$E$230,3,0)</f>
        <v>p1110</v>
      </c>
      <c r="D94" s="1" t="str">
        <f>VLOOKUP($B94,[3]items_supply!$A$2:$E$230,4,0)</f>
        <v>p093</v>
      </c>
      <c r="E94" s="1" t="str">
        <f>VLOOKUP($B94,[3]items_supply!$A$2:$E$230,5,0)</f>
        <v>Mules husbandry</v>
      </c>
      <c r="F94" t="s">
        <v>2031</v>
      </c>
      <c r="G94" t="s">
        <v>2032</v>
      </c>
      <c r="J94" t="s">
        <v>2033</v>
      </c>
      <c r="K94" t="s">
        <v>2033</v>
      </c>
      <c r="M94" t="s">
        <v>2033</v>
      </c>
    </row>
    <row r="95" spans="1:15" x14ac:dyDescent="0.3">
      <c r="A95" t="s">
        <v>762</v>
      </c>
      <c r="B95">
        <v>1016</v>
      </c>
      <c r="C95" s="1" t="str">
        <f>VLOOKUP($B95,[3]items_supply!$A$2:$E$230,3,0)</f>
        <v>p1016</v>
      </c>
      <c r="D95" s="1" t="str">
        <f>VLOOKUP($B95,[3]items_supply!$A$2:$E$230,4,0)</f>
        <v>p088</v>
      </c>
      <c r="E95" s="1" t="str">
        <f>VLOOKUP($B95,[3]items_supply!$A$2:$E$230,5,0)</f>
        <v>Goats husbandry</v>
      </c>
      <c r="F95" t="s">
        <v>2031</v>
      </c>
      <c r="G95" t="s">
        <v>2032</v>
      </c>
      <c r="J95" t="s">
        <v>2033</v>
      </c>
      <c r="K95" t="s">
        <v>2033</v>
      </c>
      <c r="M95" t="s">
        <v>2033</v>
      </c>
    </row>
    <row r="96" spans="1:15" x14ac:dyDescent="0.3">
      <c r="A96" t="s">
        <v>769</v>
      </c>
      <c r="B96">
        <v>1049</v>
      </c>
      <c r="C96" s="1" t="str">
        <f>VLOOKUP($B96,[3]items_supply!$A$2:$E$230,3,0)</f>
        <v>p1049</v>
      </c>
      <c r="D96" s="1" t="str">
        <f>VLOOKUP($B96,[3]items_supply!$A$2:$E$230,4,0)</f>
        <v>p089</v>
      </c>
      <c r="E96" s="1" t="str">
        <f>VLOOKUP($B96,[3]items_supply!$A$2:$E$230,5,0)</f>
        <v>Pigs farming</v>
      </c>
      <c r="F96" t="s">
        <v>2031</v>
      </c>
      <c r="G96" t="s">
        <v>2032</v>
      </c>
      <c r="J96" t="s">
        <v>2033</v>
      </c>
      <c r="K96" t="s">
        <v>2033</v>
      </c>
      <c r="M96" t="s">
        <v>2033</v>
      </c>
    </row>
    <row r="97" spans="1:15" x14ac:dyDescent="0.3">
      <c r="A97" t="s">
        <v>777</v>
      </c>
      <c r="B97">
        <v>1150</v>
      </c>
      <c r="C97" s="1" t="str">
        <f>VLOOKUP($B97,[3]items_supply!$A$2:$E$230,3,0)</f>
        <v>p1150</v>
      </c>
      <c r="D97" s="1" t="str">
        <f>VLOOKUP($B97,[3]items_supply!$A$2:$E$230,4,0)</f>
        <v>p097</v>
      </c>
      <c r="E97" s="1" t="str">
        <f>VLOOKUP($B97,[3]items_supply!$A$2:$E$230,5,0)</f>
        <v>Rodents farming, other</v>
      </c>
      <c r="F97" t="s">
        <v>2031</v>
      </c>
      <c r="G97" t="s">
        <v>2032</v>
      </c>
      <c r="J97" t="s">
        <v>2033</v>
      </c>
      <c r="K97" t="s">
        <v>2033</v>
      </c>
      <c r="M97" t="s">
        <v>2033</v>
      </c>
    </row>
    <row r="98" spans="1:15" x14ac:dyDescent="0.3">
      <c r="A98" t="s">
        <v>783</v>
      </c>
      <c r="B98">
        <v>1181</v>
      </c>
      <c r="C98" s="1" t="str">
        <f>VLOOKUP($B98,[3]items_supply!$A$2:$E$230,3,0)</f>
        <v>p1181</v>
      </c>
      <c r="D98" s="1" t="str">
        <f>VLOOKUP($B98,[3]items_supply!$A$2:$E$230,4,0)</f>
        <v>p114</v>
      </c>
      <c r="E98" s="1" t="str">
        <f>VLOOKUP($B98,[3]items_supply!$A$2:$E$230,5,0)</f>
        <v>Beekeeping</v>
      </c>
      <c r="F98" t="s">
        <v>2041</v>
      </c>
      <c r="G98" t="s">
        <v>2032</v>
      </c>
      <c r="J98" t="s">
        <v>2033</v>
      </c>
      <c r="K98" t="s">
        <v>2033</v>
      </c>
      <c r="M98" t="s">
        <v>2033</v>
      </c>
    </row>
    <row r="99" spans="1:15" x14ac:dyDescent="0.3">
      <c r="A99" t="s">
        <v>760</v>
      </c>
      <c r="B99">
        <v>1068</v>
      </c>
      <c r="C99" s="1" t="str">
        <f>VLOOKUP($B99,[3]items_supply!$A$2:$E$230,3,0)</f>
        <v>p1068</v>
      </c>
      <c r="D99" s="1" t="str">
        <f>VLOOKUP($B99,[3]items_supply!$A$2:$E$230,4,0)</f>
        <v>p111</v>
      </c>
      <c r="E99" s="1" t="str">
        <f>VLOOKUP($B99,[3]items_supply!$A$2:$E$230,5,0)</f>
        <v>Other birds farming</v>
      </c>
      <c r="F99" t="s">
        <v>2031</v>
      </c>
      <c r="G99" t="s">
        <v>2032</v>
      </c>
      <c r="J99" t="s">
        <v>2033</v>
      </c>
      <c r="K99" t="s">
        <v>2033</v>
      </c>
      <c r="M99" t="s">
        <v>2033</v>
      </c>
    </row>
    <row r="100" spans="1:15" x14ac:dyDescent="0.3">
      <c r="A100" t="s">
        <v>779</v>
      </c>
      <c r="B100">
        <v>976</v>
      </c>
      <c r="C100" s="1" t="str">
        <f>VLOOKUP($B100,[3]items_supply!$A$2:$E$230,3,0)</f>
        <v>p976</v>
      </c>
      <c r="D100" s="1" t="str">
        <f>VLOOKUP($B100,[3]items_supply!$A$2:$E$230,4,0)</f>
        <v>p087</v>
      </c>
      <c r="E100" s="1" t="str">
        <f>VLOOKUP($B100,[3]items_supply!$A$2:$E$230,5,0)</f>
        <v>Sheep husbandry</v>
      </c>
      <c r="F100" t="s">
        <v>2031</v>
      </c>
      <c r="G100" t="s">
        <v>2032</v>
      </c>
      <c r="J100" t="s">
        <v>2033</v>
      </c>
      <c r="K100" t="s">
        <v>2033</v>
      </c>
      <c r="M100" t="s">
        <v>2033</v>
      </c>
    </row>
    <row r="101" spans="1:15" x14ac:dyDescent="0.3">
      <c r="A101" t="s">
        <v>746</v>
      </c>
      <c r="B101">
        <v>1053</v>
      </c>
      <c r="C101" s="1" t="str">
        <f>VLOOKUP($B101,[3]items_supply!$A$2:$E$230,3,0)</f>
        <v>p1053</v>
      </c>
      <c r="D101" s="1" t="str">
        <f>VLOOKUP($B101,[3]items_supply!$A$2:$E$230,4,0)</f>
        <v>p109</v>
      </c>
      <c r="E101" s="1" t="str">
        <f>VLOOKUP($B101,[3]items_supply!$A$2:$E$230,5,0)</f>
        <v>Broilers chickens farming</v>
      </c>
      <c r="F101" t="s">
        <v>2031</v>
      </c>
      <c r="G101" t="s">
        <v>2032</v>
      </c>
      <c r="J101" t="s">
        <v>2033</v>
      </c>
      <c r="K101" t="s">
        <v>2033</v>
      </c>
      <c r="M101" t="s">
        <v>2033</v>
      </c>
    </row>
    <row r="102" spans="1:15" x14ac:dyDescent="0.3">
      <c r="A102" t="s">
        <v>755</v>
      </c>
      <c r="B102">
        <v>1052</v>
      </c>
      <c r="C102" s="1" t="str">
        <f>VLOOKUP($B102,[3]items_supply!$A$2:$E$230,3,0)</f>
        <v>p1052</v>
      </c>
      <c r="D102" s="1" t="str">
        <f>VLOOKUP($B102,[3]items_supply!$A$2:$E$230,4,0)</f>
        <v>p110</v>
      </c>
      <c r="E102" s="1" t="str">
        <f>VLOOKUP($B102,[3]items_supply!$A$2:$E$230,5,0)</f>
        <v>Layers chickens farming</v>
      </c>
      <c r="F102" t="s">
        <v>2031</v>
      </c>
      <c r="G102" t="s">
        <v>2032</v>
      </c>
      <c r="J102" t="s">
        <v>2033</v>
      </c>
      <c r="K102" t="s">
        <v>2033</v>
      </c>
      <c r="M102" t="s">
        <v>2033</v>
      </c>
    </row>
    <row r="103" spans="1:15" x14ac:dyDescent="0.3">
      <c r="A103" t="s">
        <v>767</v>
      </c>
      <c r="B103">
        <v>1096</v>
      </c>
      <c r="C103" s="1" t="str">
        <f>VLOOKUP($B103,[3]items_supply!$A$2:$E$230,3,0)</f>
        <v>p1096</v>
      </c>
      <c r="D103" s="1" t="str">
        <f>VLOOKUP($B103,[3]items_supply!$A$2:$E$230,4,0)</f>
        <v>p091</v>
      </c>
      <c r="E103" s="1" t="str">
        <f>VLOOKUP($B103,[3]items_supply!$A$2:$E$230,5,0)</f>
        <v>Horses husbandry</v>
      </c>
      <c r="F103" t="s">
        <v>2031</v>
      </c>
      <c r="G103" t="s">
        <v>2032</v>
      </c>
      <c r="J103" t="s">
        <v>2033</v>
      </c>
      <c r="K103" t="s">
        <v>2033</v>
      </c>
      <c r="M103" t="s">
        <v>2033</v>
      </c>
      <c r="O103" t="s">
        <v>2268</v>
      </c>
    </row>
    <row r="104" spans="1:15" x14ac:dyDescent="0.3">
      <c r="A104" t="s">
        <v>736</v>
      </c>
      <c r="B104">
        <v>1157</v>
      </c>
      <c r="C104" s="1" t="str">
        <f>VLOOKUP($B104,[3]items_supply!$A$2:$E$230,3,0)</f>
        <v>p1157</v>
      </c>
      <c r="D104" s="1" t="str">
        <f>VLOOKUP($B104,[3]items_supply!$A$2:$E$230,4,0)</f>
        <v>p095</v>
      </c>
      <c r="E104" s="1" t="str">
        <f>VLOOKUP($B104,[3]items_supply!$A$2:$E$230,5,0)</f>
        <v>Camelids husbandry, other</v>
      </c>
      <c r="F104" t="s">
        <v>2031</v>
      </c>
      <c r="G104" t="s">
        <v>2032</v>
      </c>
      <c r="J104" t="s">
        <v>2033</v>
      </c>
      <c r="K104" t="s">
        <v>2033</v>
      </c>
      <c r="M104" t="s">
        <v>2033</v>
      </c>
      <c r="O104" t="s">
        <v>2268</v>
      </c>
    </row>
    <row r="105" spans="1:15" x14ac:dyDescent="0.3">
      <c r="A105" t="s">
        <v>775</v>
      </c>
      <c r="B105">
        <v>1140</v>
      </c>
      <c r="C105" s="1" t="str">
        <f>VLOOKUP($B105,[3]items_supply!$A$2:$E$230,3,0)</f>
        <v>p1140</v>
      </c>
      <c r="D105" s="1" t="str">
        <f>VLOOKUP($B105,[3]items_supply!$A$2:$E$230,4,0)</f>
        <v>p096</v>
      </c>
      <c r="E105" s="1" t="str">
        <f>VLOOKUP($B105,[3]items_supply!$A$2:$E$230,5,0)</f>
        <v>Rabbits farming</v>
      </c>
      <c r="F105" t="s">
        <v>2031</v>
      </c>
      <c r="G105" t="s">
        <v>2032</v>
      </c>
      <c r="J105" t="s">
        <v>2033</v>
      </c>
      <c r="K105" t="s">
        <v>2033</v>
      </c>
      <c r="M105" t="s">
        <v>2033</v>
      </c>
      <c r="O105" t="s">
        <v>2268</v>
      </c>
    </row>
    <row r="106" spans="1:15" x14ac:dyDescent="0.3">
      <c r="A106" t="s">
        <v>725</v>
      </c>
      <c r="B106" s="14">
        <v>1171</v>
      </c>
      <c r="C106" s="1" t="str">
        <f>VLOOKUP($B106,[3]items_supply!$A$2:$E$230,3,0)</f>
        <v>p1171</v>
      </c>
      <c r="D106" s="1" t="str">
        <f>VLOOKUP($B106,[3]items_supply!$A$2:$E$230,4,0)</f>
        <v>p112</v>
      </c>
      <c r="E106" s="1" t="str">
        <f>VLOOKUP($B106,[3]items_supply!$A$2:$E$230,5,0)</f>
        <v>Other animals husbandry</v>
      </c>
      <c r="F106" t="s">
        <v>2031</v>
      </c>
      <c r="G106" t="s">
        <v>2032</v>
      </c>
      <c r="J106" t="s">
        <v>2033</v>
      </c>
      <c r="K106" t="s">
        <v>2033</v>
      </c>
      <c r="M106" t="s">
        <v>2033</v>
      </c>
      <c r="O106" t="s">
        <v>2268</v>
      </c>
    </row>
    <row r="107" spans="1:15" x14ac:dyDescent="0.3">
      <c r="A107" t="s">
        <v>782</v>
      </c>
      <c r="B107">
        <v>1072</v>
      </c>
      <c r="C107" s="1" t="str">
        <f>VLOOKUP($B107,[3]items_supply!$A$2:$E$230,3,0)</f>
        <v>p1072</v>
      </c>
      <c r="D107" s="1" t="str">
        <f>VLOOKUP($B107,[3]items_supply!$A$2:$E$230,4,0)</f>
        <v>p111</v>
      </c>
      <c r="E107" s="1" t="str">
        <f>VLOOKUP($B107,[3]items_supply!$A$2:$E$230,5,0)</f>
        <v>Other birds farming</v>
      </c>
      <c r="F107" t="s">
        <v>2031</v>
      </c>
      <c r="G107" t="s">
        <v>2032</v>
      </c>
      <c r="J107" t="s">
        <v>2033</v>
      </c>
      <c r="K107" t="s">
        <v>2033</v>
      </c>
      <c r="M107" t="s">
        <v>2033</v>
      </c>
      <c r="O107" t="s">
        <v>2268</v>
      </c>
    </row>
    <row r="108" spans="1:15" x14ac:dyDescent="0.3">
      <c r="A108" t="s">
        <v>800</v>
      </c>
      <c r="B108">
        <v>2737</v>
      </c>
      <c r="C108" s="1" t="str">
        <f>VLOOKUP($B108,[3]items_supply!$A$2:$E$230,3,0)</f>
        <v>p2737</v>
      </c>
      <c r="D108" s="1" t="str">
        <f>VLOOKUP($B108,[3]items_supply!$A$2:$E$230,4,0)</f>
        <v>p086</v>
      </c>
      <c r="E108" s="1" t="str">
        <f>VLOOKUP($B108,[3]items_supply!$A$2:$E$230,5,0)</f>
        <v>Buffaloes husbandry</v>
      </c>
      <c r="F108" t="s">
        <v>1934</v>
      </c>
      <c r="G108" t="s">
        <v>1842</v>
      </c>
      <c r="H108" t="s">
        <v>1973</v>
      </c>
      <c r="I108" t="s">
        <v>1973</v>
      </c>
      <c r="J108" t="s">
        <v>1974</v>
      </c>
      <c r="K108" t="s">
        <v>1974</v>
      </c>
      <c r="L108" t="s">
        <v>801</v>
      </c>
      <c r="M108" t="s">
        <v>4719</v>
      </c>
      <c r="N108" t="s">
        <v>4642</v>
      </c>
      <c r="O108" t="s">
        <v>2268</v>
      </c>
    </row>
    <row r="109" spans="1:15" x14ac:dyDescent="0.3">
      <c r="A109" t="s">
        <v>757</v>
      </c>
      <c r="B109">
        <v>2744</v>
      </c>
      <c r="C109" s="1" t="str">
        <f>VLOOKUP($B109,[3]items_supply!$A$2:$E$230,3,0)</f>
        <v>p2744</v>
      </c>
      <c r="D109" s="1" t="str">
        <f>VLOOKUP($B109,[3]items_supply!$A$2:$E$230,4,0)</f>
        <v>p110</v>
      </c>
      <c r="E109" s="1" t="str">
        <f>VLOOKUP($B109,[3]items_supply!$A$2:$E$230,5,0)</f>
        <v>Layers chickens farming</v>
      </c>
      <c r="F109" t="s">
        <v>1934</v>
      </c>
      <c r="G109" t="s">
        <v>1842</v>
      </c>
      <c r="H109" t="s">
        <v>1973</v>
      </c>
      <c r="I109" t="s">
        <v>1973</v>
      </c>
      <c r="J109" t="s">
        <v>757</v>
      </c>
      <c r="K109" t="s">
        <v>757</v>
      </c>
      <c r="L109" t="s">
        <v>757</v>
      </c>
      <c r="M109" t="s">
        <v>757</v>
      </c>
      <c r="N109" t="s">
        <v>4720</v>
      </c>
      <c r="O109" t="s">
        <v>2268</v>
      </c>
    </row>
    <row r="110" spans="1:15" x14ac:dyDescent="0.3">
      <c r="A110" t="s">
        <v>881</v>
      </c>
      <c r="B110">
        <v>2746</v>
      </c>
      <c r="C110" s="1" t="str">
        <f>VLOOKUP($B110,[3]items_supply!$A$2:$E$230,3,0)</f>
        <v>p2746</v>
      </c>
      <c r="D110" s="1" t="str">
        <f>VLOOKUP($B110,[3]items_supply!$A$2:$E$230,4,0)</f>
        <v>p087</v>
      </c>
      <c r="E110" s="1" t="str">
        <f>VLOOKUP($B110,[3]items_supply!$A$2:$E$230,5,0)</f>
        <v>Sheep husbandry</v>
      </c>
      <c r="F110" t="s">
        <v>1934</v>
      </c>
      <c r="G110" t="s">
        <v>1842</v>
      </c>
      <c r="H110" t="s">
        <v>1973</v>
      </c>
      <c r="I110" t="s">
        <v>1973</v>
      </c>
      <c r="J110" t="s">
        <v>2026</v>
      </c>
      <c r="K110" t="s">
        <v>727</v>
      </c>
      <c r="L110" t="s">
        <v>882</v>
      </c>
      <c r="M110" t="s">
        <v>882</v>
      </c>
      <c r="N110">
        <v>0</v>
      </c>
      <c r="O110" t="s">
        <v>2268</v>
      </c>
    </row>
    <row r="111" spans="1:15" x14ac:dyDescent="0.3">
      <c r="A111" t="s">
        <v>804</v>
      </c>
      <c r="B111">
        <v>2748</v>
      </c>
      <c r="C111" s="1" t="str">
        <f>VLOOKUP($B111,[3]items_supply!$A$2:$E$230,3,0)</f>
        <v>p2748</v>
      </c>
      <c r="D111" s="1" t="str">
        <f>VLOOKUP($B111,[3]items_supply!$A$2:$E$230,4,0)</f>
        <v>p086</v>
      </c>
      <c r="E111" s="1" t="str">
        <f>VLOOKUP($B111,[3]items_supply!$A$2:$E$230,5,0)</f>
        <v>Buffaloes husbandry</v>
      </c>
      <c r="F111" t="s">
        <v>1934</v>
      </c>
      <c r="G111" t="s">
        <v>1842</v>
      </c>
      <c r="H111" t="s">
        <v>1973</v>
      </c>
      <c r="I111" t="s">
        <v>1973</v>
      </c>
      <c r="J111" t="s">
        <v>2026</v>
      </c>
      <c r="K111" t="s">
        <v>727</v>
      </c>
      <c r="L111" t="s">
        <v>804</v>
      </c>
      <c r="M111" t="s">
        <v>4721</v>
      </c>
      <c r="N111">
        <v>0</v>
      </c>
      <c r="O111" t="s">
        <v>2268</v>
      </c>
    </row>
    <row r="112" spans="1:15" x14ac:dyDescent="0.3">
      <c r="A112" t="s">
        <v>885</v>
      </c>
      <c r="B112">
        <v>2747</v>
      </c>
      <c r="C112" s="1" t="str">
        <f>VLOOKUP($B112,[3]items_supply!$A$2:$E$230,3,0)</f>
        <v>p2747</v>
      </c>
      <c r="D112" s="1" t="str">
        <f>VLOOKUP($B112,[3]items_supply!$A$2:$E$230,4,0)</f>
        <v>p115</v>
      </c>
      <c r="E112" s="1" t="str">
        <f>VLOOKUP($B112,[3]items_supply!$A$2:$E$230,5,0)</f>
        <v>Silkworm breeding</v>
      </c>
      <c r="F112" t="s">
        <v>1934</v>
      </c>
      <c r="G112" t="s">
        <v>1842</v>
      </c>
      <c r="H112" t="s">
        <v>1973</v>
      </c>
      <c r="I112" t="s">
        <v>1973</v>
      </c>
      <c r="J112" t="s">
        <v>2026</v>
      </c>
      <c r="K112" t="s">
        <v>727</v>
      </c>
      <c r="L112" t="s">
        <v>885</v>
      </c>
      <c r="M112" t="s">
        <v>882</v>
      </c>
      <c r="N112">
        <v>0</v>
      </c>
      <c r="O112" t="s">
        <v>2267</v>
      </c>
    </row>
    <row r="113" spans="1:15" x14ac:dyDescent="0.3">
      <c r="A113" t="s">
        <v>796</v>
      </c>
      <c r="B113">
        <v>2745</v>
      </c>
      <c r="C113" s="1" t="str">
        <f>VLOOKUP($B113,[3]items_supply!$A$2:$E$230,3,0)</f>
        <v>p2745</v>
      </c>
      <c r="D113" s="1" t="str">
        <f>VLOOKUP($B113,[3]items_supply!$A$2:$E$230,4,0)</f>
        <v>p114</v>
      </c>
      <c r="E113" s="1" t="str">
        <f>VLOOKUP($B113,[3]items_supply!$A$2:$E$230,5,0)</f>
        <v>Beekeeping</v>
      </c>
      <c r="F113" t="s">
        <v>1934</v>
      </c>
      <c r="G113" t="s">
        <v>1842</v>
      </c>
      <c r="H113" t="s">
        <v>1973</v>
      </c>
      <c r="I113" t="s">
        <v>1973</v>
      </c>
      <c r="J113" t="s">
        <v>796</v>
      </c>
      <c r="K113" t="s">
        <v>727</v>
      </c>
      <c r="L113" t="s">
        <v>796</v>
      </c>
      <c r="M113" t="s">
        <v>4722</v>
      </c>
      <c r="N113">
        <v>0</v>
      </c>
      <c r="O113" t="s">
        <v>2268</v>
      </c>
    </row>
    <row r="114" spans="1:15" x14ac:dyDescent="0.3">
      <c r="A114" t="s">
        <v>829</v>
      </c>
      <c r="B114">
        <v>2732</v>
      </c>
      <c r="C114" s="1" t="str">
        <f>VLOOKUP($B114,[3]items_supply!$A$2:$E$230,3,0)</f>
        <v>p2732</v>
      </c>
      <c r="D114" s="1" t="str">
        <f>VLOOKUP($B114,[3]items_supply!$A$2:$E$230,4,0)</f>
        <v>p088</v>
      </c>
      <c r="E114" s="1" t="str">
        <f>VLOOKUP($B114,[3]items_supply!$A$2:$E$230,5,0)</f>
        <v>Goats husbandry</v>
      </c>
      <c r="F114" t="s">
        <v>1934</v>
      </c>
      <c r="G114" t="s">
        <v>1842</v>
      </c>
      <c r="H114" t="s">
        <v>1973</v>
      </c>
      <c r="I114" t="s">
        <v>1973</v>
      </c>
      <c r="J114" t="s">
        <v>2047</v>
      </c>
      <c r="K114" t="s">
        <v>2047</v>
      </c>
      <c r="L114" t="s">
        <v>830</v>
      </c>
      <c r="M114" t="s">
        <v>2047</v>
      </c>
      <c r="N114" t="s">
        <v>4723</v>
      </c>
      <c r="O114" t="s">
        <v>2267</v>
      </c>
    </row>
    <row r="115" spans="1:15" x14ac:dyDescent="0.3">
      <c r="A115" t="s">
        <v>811</v>
      </c>
      <c r="B115">
        <v>2736</v>
      </c>
      <c r="C115" s="1" t="str">
        <f>VLOOKUP($B115,[3]items_supply!$A$2:$E$230,3,0)</f>
        <v>p2736</v>
      </c>
      <c r="D115" s="1" t="str">
        <f>VLOOKUP($B115,[3]items_supply!$A$2:$E$230,4,0)</f>
        <v>p092</v>
      </c>
      <c r="E115" s="1" t="str">
        <f>VLOOKUP($B115,[3]items_supply!$A$2:$E$230,5,0)</f>
        <v>Asses husbandry</v>
      </c>
      <c r="F115" t="s">
        <v>1934</v>
      </c>
      <c r="G115" t="s">
        <v>1842</v>
      </c>
      <c r="H115" t="s">
        <v>1973</v>
      </c>
      <c r="I115" t="s">
        <v>1973</v>
      </c>
      <c r="J115" t="s">
        <v>2047</v>
      </c>
      <c r="K115" t="s">
        <v>727</v>
      </c>
      <c r="L115" t="s">
        <v>812</v>
      </c>
      <c r="M115" t="s">
        <v>2047</v>
      </c>
      <c r="N115" t="s">
        <v>4723</v>
      </c>
      <c r="O115" t="s">
        <v>2267</v>
      </c>
    </row>
    <row r="116" spans="1:15" x14ac:dyDescent="0.3">
      <c r="A116" t="s">
        <v>845</v>
      </c>
      <c r="B116">
        <v>2734</v>
      </c>
      <c r="C116" s="1" t="str">
        <f>VLOOKUP($B116,[3]items_supply!$A$2:$E$230,3,0)</f>
        <v>p2734</v>
      </c>
      <c r="D116" s="1" t="str">
        <f>VLOOKUP($B116,[3]items_supply!$A$2:$E$230,4,0)</f>
        <v>p109</v>
      </c>
      <c r="E116" s="1" t="str">
        <f>VLOOKUP($B116,[3]items_supply!$A$2:$E$230,5,0)</f>
        <v>Broilers chickens farming</v>
      </c>
      <c r="F116" t="s">
        <v>1934</v>
      </c>
      <c r="G116" t="s">
        <v>1842</v>
      </c>
      <c r="H116" t="s">
        <v>1973</v>
      </c>
      <c r="I116" t="s">
        <v>1973</v>
      </c>
      <c r="J116" t="s">
        <v>2047</v>
      </c>
      <c r="K116" t="s">
        <v>2047</v>
      </c>
      <c r="L116" t="s">
        <v>866</v>
      </c>
      <c r="M116" t="s">
        <v>2047</v>
      </c>
      <c r="N116" t="s">
        <v>4723</v>
      </c>
      <c r="O116" t="s">
        <v>2267</v>
      </c>
    </row>
    <row r="117" spans="1:15" x14ac:dyDescent="0.3">
      <c r="A117" t="s">
        <v>857</v>
      </c>
      <c r="B117">
        <v>2733</v>
      </c>
      <c r="C117" s="1" t="str">
        <f>VLOOKUP($B117,[3]items_supply!$A$2:$E$230,3,0)</f>
        <v>p2733</v>
      </c>
      <c r="D117" s="1" t="str">
        <f>VLOOKUP($B117,[3]items_supply!$A$2:$E$230,4,0)</f>
        <v>p089</v>
      </c>
      <c r="E117" s="1" t="str">
        <f>VLOOKUP($B117,[3]items_supply!$A$2:$E$230,5,0)</f>
        <v>Pigs farming</v>
      </c>
      <c r="F117" t="s">
        <v>1934</v>
      </c>
      <c r="G117" t="s">
        <v>1842</v>
      </c>
      <c r="H117" t="s">
        <v>1973</v>
      </c>
      <c r="I117" t="s">
        <v>1973</v>
      </c>
      <c r="J117" t="s">
        <v>2047</v>
      </c>
      <c r="K117" t="s">
        <v>2047</v>
      </c>
      <c r="L117" t="s">
        <v>858</v>
      </c>
      <c r="M117" t="s">
        <v>2047</v>
      </c>
      <c r="N117" t="s">
        <v>4723</v>
      </c>
      <c r="O117" t="s">
        <v>2267</v>
      </c>
    </row>
    <row r="118" spans="1:15" x14ac:dyDescent="0.3">
      <c r="A118" t="s">
        <v>1473</v>
      </c>
      <c r="B118" s="1">
        <v>2112</v>
      </c>
      <c r="C118" s="1" t="str">
        <f>VLOOKUP($B118,[3]items_supply!$A$2:$E$230,3,0)</f>
        <v>p2112</v>
      </c>
      <c r="D118" s="1" t="str">
        <f>VLOOKUP($B118,[3]items_supply!$A$2:$E$230,4,0)</f>
        <v>p125</v>
      </c>
      <c r="E118" s="1" t="str">
        <f>VLOOKUP($B118,[3]items_supply!$A$2:$E$230,5,0)</f>
        <v>Meat meal production</v>
      </c>
      <c r="F118" t="s">
        <v>1934</v>
      </c>
      <c r="G118" t="s">
        <v>1842</v>
      </c>
      <c r="H118" t="s">
        <v>1973</v>
      </c>
      <c r="I118" t="s">
        <v>1973</v>
      </c>
      <c r="J118" t="s">
        <v>2047</v>
      </c>
      <c r="K118" t="s">
        <v>2047</v>
      </c>
      <c r="L118" t="s">
        <v>2051</v>
      </c>
      <c r="M118" t="s">
        <v>2047</v>
      </c>
      <c r="N118" t="s">
        <v>4723</v>
      </c>
      <c r="O118" t="s">
        <v>2267</v>
      </c>
    </row>
    <row r="119" spans="1:15" x14ac:dyDescent="0.3">
      <c r="A119" t="s">
        <v>807</v>
      </c>
      <c r="B119">
        <v>2731</v>
      </c>
      <c r="C119" s="1" t="str">
        <f>VLOOKUP($B119,[3]items_supply!$A$2:$E$230,3,0)</f>
        <v>p2731</v>
      </c>
      <c r="D119" s="1" t="str">
        <f>VLOOKUP($B119,[3]items_supply!$A$2:$E$230,4,0)</f>
        <v>p086</v>
      </c>
      <c r="E119" s="1" t="str">
        <f>VLOOKUP($B119,[3]items_supply!$A$2:$E$230,5,0)</f>
        <v>Buffaloes husbandry</v>
      </c>
      <c r="F119" t="s">
        <v>1934</v>
      </c>
      <c r="G119" t="s">
        <v>1842</v>
      </c>
      <c r="H119" t="s">
        <v>1973</v>
      </c>
      <c r="I119" t="s">
        <v>1973</v>
      </c>
      <c r="J119" t="s">
        <v>2047</v>
      </c>
      <c r="K119" t="s">
        <v>2047</v>
      </c>
      <c r="L119" t="s">
        <v>808</v>
      </c>
      <c r="M119" t="s">
        <v>2047</v>
      </c>
      <c r="N119" t="s">
        <v>4723</v>
      </c>
      <c r="O119" t="s">
        <v>2267</v>
      </c>
    </row>
    <row r="120" spans="1:15" x14ac:dyDescent="0.3">
      <c r="A120" t="s">
        <v>820</v>
      </c>
      <c r="B120">
        <v>2735</v>
      </c>
      <c r="C120" s="1" t="str">
        <f>VLOOKUP($B120,[3]items_supply!$A$2:$E$230,3,0)</f>
        <v>p2735</v>
      </c>
      <c r="D120" s="1" t="str">
        <f>VLOOKUP($B120,[3]items_supply!$A$2:$E$230,4,0)</f>
        <v>p092</v>
      </c>
      <c r="E120" s="1" t="str">
        <f>VLOOKUP($B120,[3]items_supply!$A$2:$E$230,5,0)</f>
        <v>Asses husbandry</v>
      </c>
      <c r="F120" t="s">
        <v>1934</v>
      </c>
      <c r="G120" t="s">
        <v>1842</v>
      </c>
      <c r="H120" t="s">
        <v>1973</v>
      </c>
      <c r="I120" t="s">
        <v>1973</v>
      </c>
      <c r="J120" t="s">
        <v>2047</v>
      </c>
      <c r="K120" t="s">
        <v>2047</v>
      </c>
      <c r="L120" t="s">
        <v>821</v>
      </c>
      <c r="M120" t="s">
        <v>2047</v>
      </c>
      <c r="N120" t="s">
        <v>4723</v>
      </c>
      <c r="O120" t="s">
        <v>2267</v>
      </c>
    </row>
    <row r="121" spans="1:15" x14ac:dyDescent="0.3">
      <c r="A121" t="s">
        <v>1384</v>
      </c>
      <c r="B121">
        <v>2740</v>
      </c>
      <c r="C121" s="1" t="str">
        <f>VLOOKUP($B121,[3]items_supply!$A$2:$E$230,3,0)</f>
        <v>p2740</v>
      </c>
      <c r="D121" s="1" t="str">
        <f>VLOOKUP($B121,[3]items_supply!$A$2:$E$230,4,0)</f>
        <v>p116</v>
      </c>
      <c r="E121" s="1" t="str">
        <f>VLOOKUP($B121,[3]items_supply!$A$2:$E$230,5,0)</f>
        <v>Butter production</v>
      </c>
      <c r="F121" t="s">
        <v>1934</v>
      </c>
      <c r="G121" t="s">
        <v>1842</v>
      </c>
      <c r="H121" t="s">
        <v>1973</v>
      </c>
      <c r="I121" t="s">
        <v>1973</v>
      </c>
      <c r="J121" t="s">
        <v>745</v>
      </c>
      <c r="K121" t="s">
        <v>2055</v>
      </c>
      <c r="L121" t="s">
        <v>1384</v>
      </c>
      <c r="M121" t="s">
        <v>4724</v>
      </c>
      <c r="N121" t="s">
        <v>4723</v>
      </c>
      <c r="O121" t="s">
        <v>2267</v>
      </c>
    </row>
    <row r="122" spans="1:15" s="2" customFormat="1" x14ac:dyDescent="0.3">
      <c r="A122" s="2" t="s">
        <v>1849</v>
      </c>
      <c r="B122" s="3">
        <v>2110</v>
      </c>
      <c r="C122" s="3" t="e">
        <f>VLOOKUP($B122,[3]items_supply!$A$2:$E$230,3,0)</f>
        <v>#N/A</v>
      </c>
      <c r="D122" s="3" t="e">
        <f>VLOOKUP($B122,[3]items_supply!$A$2:$E$230,4,0)</f>
        <v>#N/A</v>
      </c>
      <c r="E122" s="3" t="e">
        <f>VLOOKUP($B122,[3]items_supply!$A$2:$E$230,5,0)</f>
        <v>#N/A</v>
      </c>
      <c r="F122" s="2" t="s">
        <v>1934</v>
      </c>
      <c r="G122" s="2" t="s">
        <v>1842</v>
      </c>
      <c r="H122" s="2" t="s">
        <v>1973</v>
      </c>
      <c r="I122" s="2" t="s">
        <v>1973</v>
      </c>
      <c r="J122" s="2" t="s">
        <v>745</v>
      </c>
      <c r="K122" t="s">
        <v>2055</v>
      </c>
      <c r="L122" t="s">
        <v>1849</v>
      </c>
      <c r="M122" t="s">
        <v>745</v>
      </c>
      <c r="N122" t="s">
        <v>2757</v>
      </c>
      <c r="O122" s="2" t="s">
        <v>2267</v>
      </c>
    </row>
    <row r="123" spans="1:15" s="2" customFormat="1" x14ac:dyDescent="0.3">
      <c r="A123" s="2" t="s">
        <v>2056</v>
      </c>
      <c r="B123" s="2">
        <v>2113</v>
      </c>
      <c r="C123" s="3" t="e">
        <f>VLOOKUP($B123,[3]items_supply!$A$2:$E$230,3,0)</f>
        <v>#N/A</v>
      </c>
      <c r="D123" s="3" t="e">
        <f>VLOOKUP($B123,[3]items_supply!$A$2:$E$230,4,0)</f>
        <v>#N/A</v>
      </c>
      <c r="E123" s="3" t="e">
        <f>VLOOKUP($B123,[3]items_supply!$A$2:$E$230,5,0)</f>
        <v>#N/A</v>
      </c>
      <c r="F123" s="2" t="s">
        <v>1934</v>
      </c>
      <c r="G123" s="2" t="s">
        <v>1842</v>
      </c>
      <c r="H123" s="2" t="s">
        <v>1973</v>
      </c>
      <c r="I123" s="2" t="s">
        <v>1973</v>
      </c>
      <c r="J123" s="2" t="s">
        <v>745</v>
      </c>
      <c r="K123" t="s">
        <v>2057</v>
      </c>
      <c r="L123" t="s">
        <v>2056</v>
      </c>
      <c r="M123" t="s">
        <v>745</v>
      </c>
      <c r="N123" t="s">
        <v>2754</v>
      </c>
      <c r="O123" s="2" t="s">
        <v>2268</v>
      </c>
    </row>
    <row r="124" spans="1:15" x14ac:dyDescent="0.3">
      <c r="A124" t="s">
        <v>815</v>
      </c>
      <c r="B124">
        <v>2848</v>
      </c>
      <c r="C124" s="1" t="str">
        <f>VLOOKUP($B124,[3]items_supply!$A$2:$E$230,3,0)</f>
        <v>p2848</v>
      </c>
      <c r="D124" s="1" t="str">
        <f>VLOOKUP($B124,[3]items_supply!$A$2:$E$230,4,0)</f>
        <v>p086</v>
      </c>
      <c r="E124" s="1" t="str">
        <f>VLOOKUP($B124,[3]items_supply!$A$2:$E$230,5,0)</f>
        <v>Buffaloes husbandry</v>
      </c>
      <c r="F124" t="s">
        <v>1934</v>
      </c>
      <c r="G124" t="s">
        <v>1842</v>
      </c>
      <c r="H124" t="s">
        <v>1973</v>
      </c>
      <c r="I124" t="s">
        <v>1973</v>
      </c>
      <c r="J124" t="s">
        <v>745</v>
      </c>
      <c r="K124" t="s">
        <v>2055</v>
      </c>
      <c r="L124" t="s">
        <v>816</v>
      </c>
      <c r="M124" t="s">
        <v>745</v>
      </c>
      <c r="N124" t="s">
        <v>2754</v>
      </c>
      <c r="O124" t="s">
        <v>2267</v>
      </c>
    </row>
    <row r="125" spans="1:15" x14ac:dyDescent="0.3">
      <c r="A125" t="s">
        <v>951</v>
      </c>
      <c r="B125">
        <v>2517</v>
      </c>
      <c r="C125" s="1" t="str">
        <f>VLOOKUP($B125,[3]items_supply!$A$2:$E$230,3,0)</f>
        <v>p2517</v>
      </c>
      <c r="D125" s="1" t="str">
        <f>VLOOKUP($B125,[3]items_supply!$A$2:$E$230,4,0)</f>
        <v>p007</v>
      </c>
      <c r="E125" s="1" t="str">
        <f>VLOOKUP($B125,[3]items_supply!$A$2:$E$230,5,0)</f>
        <v>Millet production</v>
      </c>
      <c r="F125" t="s">
        <v>1934</v>
      </c>
      <c r="G125" t="s">
        <v>1543</v>
      </c>
      <c r="H125" t="s">
        <v>1965</v>
      </c>
      <c r="I125" t="s">
        <v>1965</v>
      </c>
      <c r="J125" t="s">
        <v>1545</v>
      </c>
      <c r="K125" t="s">
        <v>1545</v>
      </c>
      <c r="L125" t="s">
        <v>950</v>
      </c>
      <c r="M125" t="s">
        <v>4725</v>
      </c>
      <c r="N125" t="s">
        <v>4726</v>
      </c>
    </row>
    <row r="126" spans="1:15" x14ac:dyDescent="0.3">
      <c r="A126" t="s">
        <v>891</v>
      </c>
      <c r="B126">
        <v>2511</v>
      </c>
      <c r="C126" s="1" t="str">
        <f>VLOOKUP($B126,[3]items_supply!$A$2:$E$230,3,0)</f>
        <v>p2511</v>
      </c>
      <c r="D126" s="1" t="str">
        <f>VLOOKUP($B126,[3]items_supply!$A$2:$E$230,4,0)</f>
        <v>p002</v>
      </c>
      <c r="E126" s="1" t="str">
        <f>VLOOKUP($B126,[3]items_supply!$A$2:$E$230,5,0)</f>
        <v>Wheat production</v>
      </c>
      <c r="F126" t="s">
        <v>1934</v>
      </c>
      <c r="G126" t="s">
        <v>1543</v>
      </c>
      <c r="H126" t="s">
        <v>1965</v>
      </c>
      <c r="I126" t="s">
        <v>1965</v>
      </c>
      <c r="J126" t="s">
        <v>1545</v>
      </c>
      <c r="K126" t="s">
        <v>1545</v>
      </c>
      <c r="L126" t="s">
        <v>890</v>
      </c>
      <c r="M126" t="s">
        <v>890</v>
      </c>
      <c r="N126" t="s">
        <v>2678</v>
      </c>
    </row>
    <row r="127" spans="1:15" x14ac:dyDescent="0.3">
      <c r="A127" t="s">
        <v>944</v>
      </c>
      <c r="B127">
        <v>2515</v>
      </c>
      <c r="C127" s="1" t="str">
        <f>VLOOKUP($B127,[3]items_supply!$A$2:$E$230,3,0)</f>
        <v>p2515</v>
      </c>
      <c r="D127" s="1" t="str">
        <f>VLOOKUP($B127,[3]items_supply!$A$2:$E$230,4,0)</f>
        <v>p005</v>
      </c>
      <c r="E127" s="1" t="str">
        <f>VLOOKUP($B127,[3]items_supply!$A$2:$E$230,5,0)</f>
        <v>Rye production</v>
      </c>
      <c r="F127" t="s">
        <v>1934</v>
      </c>
      <c r="G127" t="s">
        <v>1543</v>
      </c>
      <c r="H127" t="s">
        <v>1965</v>
      </c>
      <c r="I127" t="s">
        <v>1965</v>
      </c>
      <c r="J127" t="s">
        <v>1545</v>
      </c>
      <c r="K127" t="s">
        <v>1545</v>
      </c>
      <c r="L127" t="s">
        <v>943</v>
      </c>
      <c r="M127" t="s">
        <v>4725</v>
      </c>
      <c r="N127" t="s">
        <v>4727</v>
      </c>
    </row>
    <row r="128" spans="1:15" x14ac:dyDescent="0.3">
      <c r="A128" t="s">
        <v>942</v>
      </c>
      <c r="B128">
        <v>2520</v>
      </c>
      <c r="C128" s="1" t="str">
        <f>VLOOKUP($B128,[3]items_supply!$A$2:$E$230,3,0)</f>
        <v>p2520</v>
      </c>
      <c r="D128" s="1" t="str">
        <f>VLOOKUP($B128,[3]items_supply!$A$2:$E$230,4,0)</f>
        <v>p009</v>
      </c>
      <c r="E128" s="1" t="str">
        <f>VLOOKUP($B128,[3]items_supply!$A$2:$E$230,5,0)</f>
        <v>Cereals production, Other</v>
      </c>
      <c r="F128" t="s">
        <v>1934</v>
      </c>
      <c r="G128" t="s">
        <v>1543</v>
      </c>
      <c r="H128" t="s">
        <v>1965</v>
      </c>
      <c r="I128" t="s">
        <v>1965</v>
      </c>
      <c r="J128" t="s">
        <v>1545</v>
      </c>
      <c r="K128" t="s">
        <v>1545</v>
      </c>
      <c r="L128" t="s">
        <v>1560</v>
      </c>
      <c r="M128" t="s">
        <v>4725</v>
      </c>
      <c r="N128" t="s">
        <v>4728</v>
      </c>
    </row>
    <row r="129" spans="1:15" x14ac:dyDescent="0.3">
      <c r="A129" t="s">
        <v>920</v>
      </c>
      <c r="B129">
        <v>2513</v>
      </c>
      <c r="C129" s="1" t="str">
        <f>VLOOKUP($B129,[3]items_supply!$A$2:$E$230,3,0)</f>
        <v>p2513</v>
      </c>
      <c r="D129" s="1" t="str">
        <f>VLOOKUP($B129,[3]items_supply!$A$2:$E$230,4,0)</f>
        <v>p003</v>
      </c>
      <c r="E129" s="1" t="str">
        <f>VLOOKUP($B129,[3]items_supply!$A$2:$E$230,5,0)</f>
        <v>Barley production</v>
      </c>
      <c r="F129" t="s">
        <v>1934</v>
      </c>
      <c r="G129" t="s">
        <v>1543</v>
      </c>
      <c r="H129" t="s">
        <v>1965</v>
      </c>
      <c r="I129" t="s">
        <v>1965</v>
      </c>
      <c r="J129" t="s">
        <v>1545</v>
      </c>
      <c r="K129" t="s">
        <v>1545</v>
      </c>
      <c r="L129" t="s">
        <v>919</v>
      </c>
      <c r="M129" t="s">
        <v>919</v>
      </c>
      <c r="N129" t="s">
        <v>2651</v>
      </c>
      <c r="O129" t="s">
        <v>4657</v>
      </c>
    </row>
    <row r="130" spans="1:15" x14ac:dyDescent="0.3">
      <c r="A130" t="s">
        <v>956</v>
      </c>
      <c r="B130">
        <v>2518</v>
      </c>
      <c r="C130" s="1" t="str">
        <f>VLOOKUP($B130,[3]items_supply!$A$2:$E$230,3,0)</f>
        <v>p2518</v>
      </c>
      <c r="D130" s="1" t="str">
        <f>VLOOKUP($B130,[3]items_supply!$A$2:$E$230,4,0)</f>
        <v>p008</v>
      </c>
      <c r="E130" s="1" t="str">
        <f>VLOOKUP($B130,[3]items_supply!$A$2:$E$230,5,0)</f>
        <v>Sorghum production</v>
      </c>
      <c r="F130" t="s">
        <v>1934</v>
      </c>
      <c r="G130" t="s">
        <v>1543</v>
      </c>
      <c r="H130" t="s">
        <v>1965</v>
      </c>
      <c r="I130" t="s">
        <v>1965</v>
      </c>
      <c r="J130" t="s">
        <v>1545</v>
      </c>
      <c r="K130" t="s">
        <v>1545</v>
      </c>
      <c r="L130" t="s">
        <v>955</v>
      </c>
      <c r="M130" t="s">
        <v>955</v>
      </c>
      <c r="N130" t="s">
        <v>4726</v>
      </c>
      <c r="O130" t="s">
        <v>2268</v>
      </c>
    </row>
    <row r="131" spans="1:15" x14ac:dyDescent="0.3">
      <c r="A131" t="s">
        <v>947</v>
      </c>
      <c r="B131">
        <v>2516</v>
      </c>
      <c r="C131" s="1" t="str">
        <f>VLOOKUP($B131,[3]items_supply!$A$2:$E$230,3,0)</f>
        <v>p2516</v>
      </c>
      <c r="D131" s="1" t="str">
        <f>VLOOKUP($B131,[3]items_supply!$A$2:$E$230,4,0)</f>
        <v>p006</v>
      </c>
      <c r="E131" s="1" t="str">
        <f>VLOOKUP($B131,[3]items_supply!$A$2:$E$230,5,0)</f>
        <v>Oat production</v>
      </c>
      <c r="F131" t="s">
        <v>1934</v>
      </c>
      <c r="G131" t="s">
        <v>1543</v>
      </c>
      <c r="H131" t="s">
        <v>1965</v>
      </c>
      <c r="I131" t="s">
        <v>1965</v>
      </c>
      <c r="J131" t="s">
        <v>1545</v>
      </c>
      <c r="K131" t="s">
        <v>1545</v>
      </c>
      <c r="L131" t="s">
        <v>947</v>
      </c>
      <c r="M131" t="s">
        <v>4725</v>
      </c>
      <c r="N131" t="s">
        <v>2676</v>
      </c>
      <c r="O131" t="s">
        <v>2268</v>
      </c>
    </row>
    <row r="132" spans="1:15" x14ac:dyDescent="0.3">
      <c r="A132" t="s">
        <v>930</v>
      </c>
      <c r="B132">
        <v>2514</v>
      </c>
      <c r="C132" s="1" t="str">
        <f>VLOOKUP($B132,[3]items_supply!$A$2:$E$230,3,0)</f>
        <v>p2514</v>
      </c>
      <c r="D132" s="1" t="str">
        <f>VLOOKUP($B132,[3]items_supply!$A$2:$E$230,4,0)</f>
        <v>p004</v>
      </c>
      <c r="E132" s="1" t="str">
        <f>VLOOKUP($B132,[3]items_supply!$A$2:$E$230,5,0)</f>
        <v>Maize production</v>
      </c>
      <c r="F132" t="s">
        <v>1934</v>
      </c>
      <c r="G132" t="s">
        <v>1543</v>
      </c>
      <c r="H132" t="s">
        <v>1965</v>
      </c>
      <c r="I132" t="s">
        <v>1965</v>
      </c>
      <c r="J132" t="s">
        <v>1545</v>
      </c>
      <c r="K132" t="s">
        <v>1545</v>
      </c>
      <c r="L132" t="s">
        <v>929</v>
      </c>
      <c r="M132" t="s">
        <v>929</v>
      </c>
      <c r="N132" t="s">
        <v>2661</v>
      </c>
      <c r="O132" t="s">
        <v>4657</v>
      </c>
    </row>
    <row r="133" spans="1:15" x14ac:dyDescent="0.3">
      <c r="A133" t="s">
        <v>904</v>
      </c>
      <c r="B133">
        <v>2807</v>
      </c>
      <c r="C133" s="1" t="str">
        <f>VLOOKUP($B133,[3]items_supply!$A$2:$E$230,3,0)</f>
        <v>p2807</v>
      </c>
      <c r="D133" s="1" t="str">
        <f>VLOOKUP($B133,[3]items_supply!$A$2:$E$230,4,0)</f>
        <v>p001</v>
      </c>
      <c r="E133" s="1" t="str">
        <f>VLOOKUP($B133,[3]items_supply!$A$2:$E$230,5,0)</f>
        <v>Rice production</v>
      </c>
      <c r="F133" t="s">
        <v>1934</v>
      </c>
      <c r="G133" t="s">
        <v>1543</v>
      </c>
      <c r="H133" t="s">
        <v>1965</v>
      </c>
      <c r="I133" t="s">
        <v>1965</v>
      </c>
      <c r="J133" t="s">
        <v>1545</v>
      </c>
      <c r="K133" t="s">
        <v>1545</v>
      </c>
      <c r="L133" t="s">
        <v>1548</v>
      </c>
      <c r="M133" t="s">
        <v>1548</v>
      </c>
      <c r="N133" t="s">
        <v>4729</v>
      </c>
      <c r="O133" t="s">
        <v>4657</v>
      </c>
    </row>
    <row r="134" spans="1:15" x14ac:dyDescent="0.3">
      <c r="A134" t="s">
        <v>1319</v>
      </c>
      <c r="B134">
        <v>2635</v>
      </c>
      <c r="C134" s="1" t="str">
        <f>VLOOKUP($B134,[3]items_supply!$A$2:$E$230,3,0)</f>
        <v>p2635</v>
      </c>
      <c r="D134" s="1" t="str">
        <f>VLOOKUP($B134,[3]items_supply!$A$2:$E$230,4,0)</f>
        <v>p047</v>
      </c>
      <c r="E134" s="1" t="str">
        <f>VLOOKUP($B134,[3]items_supply!$A$2:$E$230,5,0)</f>
        <v>Tea production</v>
      </c>
      <c r="F134" t="s">
        <v>1934</v>
      </c>
      <c r="G134" t="s">
        <v>1543</v>
      </c>
      <c r="H134" t="s">
        <v>1965</v>
      </c>
      <c r="I134" t="s">
        <v>1965</v>
      </c>
      <c r="J134" t="s">
        <v>1989</v>
      </c>
      <c r="K134" t="s">
        <v>1806</v>
      </c>
      <c r="L134" t="s">
        <v>1318</v>
      </c>
      <c r="M134" t="s">
        <v>1318</v>
      </c>
      <c r="N134">
        <v>0</v>
      </c>
      <c r="O134" t="s">
        <v>4657</v>
      </c>
    </row>
    <row r="135" spans="1:15" x14ac:dyDescent="0.3">
      <c r="A135" t="s">
        <v>1313</v>
      </c>
      <c r="B135">
        <v>2633</v>
      </c>
      <c r="C135" s="1" t="str">
        <f>VLOOKUP($B135,[3]items_supply!$A$2:$E$230,3,0)</f>
        <v>p2633</v>
      </c>
      <c r="D135" s="1" t="str">
        <f>VLOOKUP($B135,[3]items_supply!$A$2:$E$230,4,0)</f>
        <v>p046</v>
      </c>
      <c r="E135" s="1" t="str">
        <f>VLOOKUP($B135,[3]items_supply!$A$2:$E$230,5,0)</f>
        <v>Cocoa Beans production</v>
      </c>
      <c r="F135" t="s">
        <v>1934</v>
      </c>
      <c r="G135" t="s">
        <v>1543</v>
      </c>
      <c r="H135" t="s">
        <v>1965</v>
      </c>
      <c r="I135" t="s">
        <v>1965</v>
      </c>
      <c r="J135" t="s">
        <v>1989</v>
      </c>
      <c r="K135" t="s">
        <v>1806</v>
      </c>
      <c r="L135" t="s">
        <v>1799</v>
      </c>
      <c r="M135" t="s">
        <v>4560</v>
      </c>
      <c r="N135">
        <v>0</v>
      </c>
    </row>
    <row r="136" spans="1:15" x14ac:dyDescent="0.3">
      <c r="A136" t="s">
        <v>1307</v>
      </c>
      <c r="B136">
        <v>2630</v>
      </c>
      <c r="C136" s="1" t="str">
        <f>VLOOKUP($B136,[3]items_supply!$A$2:$E$230,3,0)</f>
        <v>p2630</v>
      </c>
      <c r="D136" s="1" t="str">
        <f>VLOOKUP($B136,[3]items_supply!$A$2:$E$230,4,0)</f>
        <v>p045</v>
      </c>
      <c r="E136" s="1" t="str">
        <f>VLOOKUP($B136,[3]items_supply!$A$2:$E$230,5,0)</f>
        <v>Coffee production</v>
      </c>
      <c r="F136" t="s">
        <v>1934</v>
      </c>
      <c r="G136" t="s">
        <v>1543</v>
      </c>
      <c r="H136" t="s">
        <v>1965</v>
      </c>
      <c r="I136" t="s">
        <v>1965</v>
      </c>
      <c r="J136" t="s">
        <v>1989</v>
      </c>
      <c r="K136" t="s">
        <v>1806</v>
      </c>
      <c r="L136" t="s">
        <v>1796</v>
      </c>
      <c r="M136" t="s">
        <v>1796</v>
      </c>
      <c r="N136">
        <v>0</v>
      </c>
    </row>
    <row r="137" spans="1:15" x14ac:dyDescent="0.3">
      <c r="A137" t="s">
        <v>1345</v>
      </c>
      <c r="B137">
        <v>2664</v>
      </c>
      <c r="C137" s="1" t="str">
        <f>VLOOKUP($B137,[3]items_supply!$A$2:$E$230,3,0)</f>
        <v>p2664</v>
      </c>
      <c r="D137" s="1" t="s">
        <v>2379</v>
      </c>
      <c r="E137" s="1" t="s">
        <v>2380</v>
      </c>
      <c r="F137" t="s">
        <v>1934</v>
      </c>
      <c r="G137" t="s">
        <v>1543</v>
      </c>
      <c r="H137" t="s">
        <v>1965</v>
      </c>
      <c r="I137" t="s">
        <v>1965</v>
      </c>
      <c r="J137" t="s">
        <v>1996</v>
      </c>
      <c r="K137" t="s">
        <v>1826</v>
      </c>
      <c r="L137" t="s">
        <v>1346</v>
      </c>
      <c r="M137" t="s">
        <v>1827</v>
      </c>
      <c r="N137">
        <v>0</v>
      </c>
      <c r="O137" t="s">
        <v>4657</v>
      </c>
    </row>
    <row r="138" spans="1:15" x14ac:dyDescent="0.3">
      <c r="A138" t="s">
        <v>1145</v>
      </c>
      <c r="B138">
        <v>2559</v>
      </c>
      <c r="C138" s="1" t="str">
        <f>VLOOKUP($B138,[3]items_supply!$A$2:$E$230,3,0)</f>
        <v>p2559</v>
      </c>
      <c r="D138" s="1" t="str">
        <f>VLOOKUP($B138,[3]items_supply!$A$2:$E$230,4,0)</f>
        <v>p025</v>
      </c>
      <c r="E138" s="1" t="str">
        <f>VLOOKUP($B138,[3]items_supply!$A$2:$E$230,5,0)</f>
        <v>Cotton production</v>
      </c>
      <c r="F138" t="s">
        <v>1934</v>
      </c>
      <c r="G138" t="s">
        <v>1543</v>
      </c>
      <c r="H138" t="s">
        <v>1965</v>
      </c>
      <c r="I138" t="s">
        <v>1965</v>
      </c>
      <c r="J138" t="s">
        <v>1996</v>
      </c>
      <c r="K138" t="s">
        <v>1998</v>
      </c>
      <c r="L138" t="s">
        <v>1145</v>
      </c>
      <c r="M138" t="s">
        <v>4712</v>
      </c>
      <c r="N138" t="s">
        <v>2775</v>
      </c>
      <c r="O138" t="s">
        <v>2267</v>
      </c>
    </row>
    <row r="139" spans="1:15" x14ac:dyDescent="0.3">
      <c r="A139" t="s">
        <v>1350</v>
      </c>
      <c r="B139">
        <v>2662</v>
      </c>
      <c r="C139" s="1" t="str">
        <f>VLOOKUP($B139,[3]items_supply!$A$2:$E$230,3,0)</f>
        <v>p2662</v>
      </c>
      <c r="D139" s="1" t="str">
        <f>VLOOKUP($B139,[3]items_supply!$A$2:$E$230,4,0)</f>
        <v>p053</v>
      </c>
      <c r="E139" s="1" t="str">
        <f>VLOOKUP($B139,[3]items_supply!$A$2:$E$230,5,0)</f>
        <v>Jute production</v>
      </c>
      <c r="F139" t="s">
        <v>1934</v>
      </c>
      <c r="G139" t="s">
        <v>1543</v>
      </c>
      <c r="H139" t="s">
        <v>1965</v>
      </c>
      <c r="I139" t="s">
        <v>1965</v>
      </c>
      <c r="J139" t="s">
        <v>1996</v>
      </c>
      <c r="K139" t="s">
        <v>1826</v>
      </c>
      <c r="L139" t="s">
        <v>1827</v>
      </c>
      <c r="M139" t="s">
        <v>1827</v>
      </c>
      <c r="N139">
        <v>0</v>
      </c>
      <c r="O139" t="s">
        <v>2267</v>
      </c>
    </row>
    <row r="140" spans="1:15" x14ac:dyDescent="0.3">
      <c r="A140" t="s">
        <v>1352</v>
      </c>
      <c r="B140">
        <v>2663</v>
      </c>
      <c r="C140" s="1" t="str">
        <f>VLOOKUP($B140,[3]items_supply!$A$2:$E$230,3,0)</f>
        <v>p2663</v>
      </c>
      <c r="D140" s="1" t="str">
        <f>VLOOKUP($B140,[3]items_supply!$A$2:$E$230,4,0)</f>
        <v>p054</v>
      </c>
      <c r="E140" s="1" t="str">
        <f>VLOOKUP($B140,[3]items_supply!$A$2:$E$230,5,0)</f>
        <v>Jute-Like Fibres production</v>
      </c>
      <c r="F140" t="s">
        <v>1934</v>
      </c>
      <c r="G140" t="s">
        <v>1543</v>
      </c>
      <c r="H140" t="s">
        <v>1965</v>
      </c>
      <c r="I140" t="s">
        <v>1965</v>
      </c>
      <c r="J140" t="s">
        <v>1996</v>
      </c>
      <c r="K140" t="s">
        <v>1826</v>
      </c>
      <c r="L140" t="s">
        <v>1827</v>
      </c>
      <c r="M140" t="s">
        <v>1827</v>
      </c>
      <c r="N140">
        <v>0</v>
      </c>
      <c r="O140" t="s">
        <v>2267</v>
      </c>
    </row>
    <row r="141" spans="1:15" x14ac:dyDescent="0.3">
      <c r="A141" t="s">
        <v>1358</v>
      </c>
      <c r="B141">
        <v>2666</v>
      </c>
      <c r="C141" s="1" t="str">
        <f>VLOOKUP($B141,[3]items_supply!$A$2:$E$230,3,0)</f>
        <v>p2666</v>
      </c>
      <c r="D141" s="1" t="str">
        <f>VLOOKUP($B141,[3]items_supply!$A$2:$E$230,4,0)</f>
        <v>p057</v>
      </c>
      <c r="E141" s="1" t="str">
        <f>VLOOKUP($B141,[3]items_supply!$A$2:$E$230,5,0)</f>
        <v>Abaca production</v>
      </c>
      <c r="F141" t="s">
        <v>1934</v>
      </c>
      <c r="G141" t="s">
        <v>1543</v>
      </c>
      <c r="H141" t="s">
        <v>1965</v>
      </c>
      <c r="I141" t="s">
        <v>1965</v>
      </c>
      <c r="J141" t="s">
        <v>1996</v>
      </c>
      <c r="K141" t="s">
        <v>1826</v>
      </c>
      <c r="L141" t="s">
        <v>1827</v>
      </c>
      <c r="M141" t="s">
        <v>1827</v>
      </c>
      <c r="N141">
        <v>0</v>
      </c>
      <c r="O141" t="s">
        <v>2267</v>
      </c>
    </row>
    <row r="142" spans="1:15" x14ac:dyDescent="0.3">
      <c r="A142" t="s">
        <v>1356</v>
      </c>
      <c r="B142">
        <v>2667</v>
      </c>
      <c r="C142" s="1" t="str">
        <f>VLOOKUP($B142,[3]items_supply!$A$2:$E$230,3,0)</f>
        <v>p2667</v>
      </c>
      <c r="D142" s="1" t="s">
        <v>2385</v>
      </c>
      <c r="E142" s="1" t="s">
        <v>2386</v>
      </c>
      <c r="F142" t="s">
        <v>1934</v>
      </c>
      <c r="G142" t="s">
        <v>1543</v>
      </c>
      <c r="H142" t="s">
        <v>1965</v>
      </c>
      <c r="I142" t="s">
        <v>1965</v>
      </c>
      <c r="J142" t="s">
        <v>1996</v>
      </c>
      <c r="K142" t="s">
        <v>1826</v>
      </c>
      <c r="L142" t="s">
        <v>1351</v>
      </c>
      <c r="M142" t="s">
        <v>1827</v>
      </c>
      <c r="N142">
        <v>0</v>
      </c>
      <c r="O142" t="s">
        <v>2267</v>
      </c>
    </row>
    <row r="143" spans="1:15" x14ac:dyDescent="0.3">
      <c r="A143" t="s">
        <v>1354</v>
      </c>
      <c r="B143">
        <v>2665</v>
      </c>
      <c r="C143" s="1" t="str">
        <f>VLOOKUP($B143,[3]items_supply!$A$2:$E$230,3,0)</f>
        <v>p2665</v>
      </c>
      <c r="D143" s="1" t="str">
        <f>VLOOKUP($B143,[3]items_supply!$A$2:$E$230,4,0)</f>
        <v>p056</v>
      </c>
      <c r="E143" s="1" t="str">
        <f>VLOOKUP($B143,[3]items_supply!$A$2:$E$230,5,0)</f>
        <v>Sisal production</v>
      </c>
      <c r="F143" t="s">
        <v>1934</v>
      </c>
      <c r="G143" t="s">
        <v>1543</v>
      </c>
      <c r="H143" t="s">
        <v>1965</v>
      </c>
      <c r="I143" t="s">
        <v>1965</v>
      </c>
      <c r="J143" t="s">
        <v>1996</v>
      </c>
      <c r="K143" t="s">
        <v>1826</v>
      </c>
      <c r="L143" t="s">
        <v>1827</v>
      </c>
      <c r="M143" t="s">
        <v>1827</v>
      </c>
      <c r="N143">
        <v>0</v>
      </c>
      <c r="O143" t="s">
        <v>2267</v>
      </c>
    </row>
    <row r="144" spans="1:15" x14ac:dyDescent="0.3">
      <c r="A144" t="s">
        <v>1340</v>
      </c>
      <c r="B144">
        <v>2661</v>
      </c>
      <c r="C144" s="1" t="str">
        <f>VLOOKUP($B144,[3]items_supply!$A$2:$E$230,3,0)</f>
        <v>p2661</v>
      </c>
      <c r="D144" s="1" t="str">
        <f>VLOOKUP($B144,[3]items_supply!$A$2:$E$230,4,0)</f>
        <v>p025</v>
      </c>
      <c r="E144" s="1" t="str">
        <f>VLOOKUP($B144,[3]items_supply!$A$2:$E$230,5,0)</f>
        <v>Cotton production</v>
      </c>
      <c r="F144" t="s">
        <v>1934</v>
      </c>
      <c r="G144" t="s">
        <v>1543</v>
      </c>
      <c r="H144" t="s">
        <v>1965</v>
      </c>
      <c r="I144" t="s">
        <v>1965</v>
      </c>
      <c r="J144" t="s">
        <v>1996</v>
      </c>
      <c r="K144" t="s">
        <v>1826</v>
      </c>
      <c r="L144" t="s">
        <v>1820</v>
      </c>
      <c r="M144" t="s">
        <v>1340</v>
      </c>
      <c r="N144">
        <v>0</v>
      </c>
      <c r="O144" t="s">
        <v>2268</v>
      </c>
    </row>
    <row r="145" spans="1:15" x14ac:dyDescent="0.3">
      <c r="A145" t="s">
        <v>1190</v>
      </c>
      <c r="B145" s="1">
        <v>2000</v>
      </c>
      <c r="C145" s="1" t="str">
        <f>VLOOKUP($B145,[3]items_supply!$A$2:$E$230,3,0)</f>
        <v>p2000</v>
      </c>
      <c r="D145" s="1" t="str">
        <f>VLOOKUP($B145,[3]items_supply!$A$2:$E$230,4,0)</f>
        <v>p061</v>
      </c>
      <c r="E145" s="1" t="str">
        <f>VLOOKUP($B145,[3]items_supply!$A$2:$E$230,5,0)</f>
        <v>Fodder cereals and grasses production</v>
      </c>
      <c r="F145" t="s">
        <v>1934</v>
      </c>
      <c r="G145" t="s">
        <v>1543</v>
      </c>
      <c r="I145" t="s">
        <v>2017</v>
      </c>
      <c r="J145" t="s">
        <v>1679</v>
      </c>
      <c r="K145" t="s">
        <v>2018</v>
      </c>
      <c r="L145" t="s">
        <v>2019</v>
      </c>
      <c r="M145" t="s">
        <v>4715</v>
      </c>
      <c r="N145" t="s">
        <v>2708</v>
      </c>
      <c r="O145" t="s">
        <v>2268</v>
      </c>
    </row>
    <row r="146" spans="1:15" x14ac:dyDescent="0.3">
      <c r="A146" t="s">
        <v>1372</v>
      </c>
      <c r="B146" s="1">
        <v>2001</v>
      </c>
      <c r="C146" s="1" t="str">
        <f>VLOOKUP($B146,[3]items_supply!$A$2:$E$230,3,0)</f>
        <v>p2001</v>
      </c>
      <c r="D146" s="1" t="str">
        <f>VLOOKUP($B146,[3]items_supply!$A$2:$E$230,4,0)</f>
        <v>p118</v>
      </c>
      <c r="E146" s="1" t="str">
        <f>VLOOKUP($B146,[3]items_supply!$A$2:$E$230,5,0)</f>
        <v>Fodder legumes production</v>
      </c>
      <c r="F146" t="s">
        <v>1934</v>
      </c>
      <c r="G146" t="s">
        <v>1543</v>
      </c>
      <c r="I146" t="s">
        <v>2017</v>
      </c>
      <c r="J146" t="s">
        <v>1679</v>
      </c>
      <c r="K146" t="s">
        <v>2018</v>
      </c>
      <c r="L146" t="s">
        <v>1769</v>
      </c>
      <c r="M146" t="s">
        <v>4715</v>
      </c>
      <c r="N146" t="s">
        <v>4730</v>
      </c>
      <c r="O146" t="s">
        <v>2268</v>
      </c>
    </row>
    <row r="147" spans="1:15" x14ac:dyDescent="0.3">
      <c r="A147" t="s">
        <v>1300</v>
      </c>
      <c r="B147" s="1">
        <v>2002</v>
      </c>
      <c r="C147" s="1" t="str">
        <f>VLOOKUP($B147,[3]items_supply!$A$2:$E$230,3,0)</f>
        <v>p2002</v>
      </c>
      <c r="D147" s="1" t="str">
        <f>VLOOKUP($B147,[3]items_supply!$A$2:$E$230,4,0)</f>
        <v>p120</v>
      </c>
      <c r="E147" s="1" t="str">
        <f>VLOOKUP($B147,[3]items_supply!$A$2:$E$230,5,0)</f>
        <v>Fodder vegetables and roots production</v>
      </c>
      <c r="F147" t="s">
        <v>1934</v>
      </c>
      <c r="G147" t="s">
        <v>1543</v>
      </c>
      <c r="H147" t="s">
        <v>2017</v>
      </c>
      <c r="I147" t="s">
        <v>2017</v>
      </c>
      <c r="J147" t="s">
        <v>1679</v>
      </c>
      <c r="K147" t="s">
        <v>2018</v>
      </c>
      <c r="L147" t="s">
        <v>1791</v>
      </c>
      <c r="M147" t="s">
        <v>4715</v>
      </c>
      <c r="N147" t="s">
        <v>2728</v>
      </c>
      <c r="O147" t="s">
        <v>2268</v>
      </c>
    </row>
    <row r="148" spans="1:15" x14ac:dyDescent="0.3">
      <c r="A148" t="s">
        <v>1780</v>
      </c>
      <c r="B148" s="1">
        <v>2003</v>
      </c>
      <c r="C148" s="1" t="str">
        <f>VLOOKUP($B148,[3]items_supply!$A$2:$E$230,3,0)</f>
        <v>p2003</v>
      </c>
      <c r="D148" s="1" t="str">
        <f>VLOOKUP($B148,[3]items_supply!$A$2:$E$230,4,0)</f>
        <v>p119</v>
      </c>
      <c r="E148" s="1" t="str">
        <f>VLOOKUP($B148,[3]items_supply!$A$2:$E$230,5,0)</f>
        <v>Fodder mix production</v>
      </c>
      <c r="F148" t="s">
        <v>1934</v>
      </c>
      <c r="G148" t="s">
        <v>1543</v>
      </c>
      <c r="I148" t="s">
        <v>2017</v>
      </c>
      <c r="J148" t="s">
        <v>1679</v>
      </c>
      <c r="K148" t="s">
        <v>2018</v>
      </c>
      <c r="L148" t="s">
        <v>2020</v>
      </c>
      <c r="M148" t="s">
        <v>4715</v>
      </c>
      <c r="N148" t="s">
        <v>2728</v>
      </c>
      <c r="O148" t="s">
        <v>2268</v>
      </c>
    </row>
    <row r="149" spans="1:15" x14ac:dyDescent="0.3">
      <c r="A149" t="s">
        <v>1070</v>
      </c>
      <c r="B149">
        <v>2552</v>
      </c>
      <c r="C149" s="1" t="str">
        <f>VLOOKUP($B149,[3]items_supply!$A$2:$E$230,3,0)</f>
        <v>p2552</v>
      </c>
      <c r="D149" s="1" t="str">
        <f>VLOOKUP($B149,[3]items_supply!$A$2:$E$230,4,0)</f>
        <v>p022</v>
      </c>
      <c r="E149" s="1" t="str">
        <f>VLOOKUP($B149,[3]items_supply!$A$2:$E$230,5,0)</f>
        <v>Groundnuts production</v>
      </c>
      <c r="F149" t="s">
        <v>1934</v>
      </c>
      <c r="G149" t="s">
        <v>1543</v>
      </c>
      <c r="H149" t="s">
        <v>1965</v>
      </c>
      <c r="I149" t="s">
        <v>1965</v>
      </c>
      <c r="J149" t="s">
        <v>1624</v>
      </c>
      <c r="K149" t="s">
        <v>1998</v>
      </c>
      <c r="L149" t="s">
        <v>1069</v>
      </c>
      <c r="M149" t="s">
        <v>4731</v>
      </c>
      <c r="N149" t="s">
        <v>2640</v>
      </c>
      <c r="O149" t="s">
        <v>4657</v>
      </c>
    </row>
    <row r="150" spans="1:15" x14ac:dyDescent="0.3">
      <c r="A150" t="s">
        <v>1087</v>
      </c>
      <c r="B150">
        <v>2562</v>
      </c>
      <c r="C150" s="1" t="str">
        <f>VLOOKUP($B150,[3]items_supply!$A$2:$E$230,3,0)</f>
        <v>p2562</v>
      </c>
      <c r="D150" s="1" t="str">
        <f>VLOOKUP($B150,[3]items_supply!$A$2:$E$230,4,0)</f>
        <v>p028</v>
      </c>
      <c r="E150" s="1" t="str">
        <f>VLOOKUP($B150,[3]items_supply!$A$2:$E$230,5,0)</f>
        <v>Oil Palm production</v>
      </c>
      <c r="F150" t="s">
        <v>1934</v>
      </c>
      <c r="G150" t="s">
        <v>1543</v>
      </c>
      <c r="H150" t="s">
        <v>1965</v>
      </c>
      <c r="I150" t="s">
        <v>1965</v>
      </c>
      <c r="J150" t="s">
        <v>1624</v>
      </c>
      <c r="K150" t="s">
        <v>1998</v>
      </c>
      <c r="L150" t="s">
        <v>1636</v>
      </c>
      <c r="M150" t="s">
        <v>4712</v>
      </c>
      <c r="N150" t="s">
        <v>4732</v>
      </c>
      <c r="O150" t="s">
        <v>4657</v>
      </c>
    </row>
    <row r="151" spans="1:15" x14ac:dyDescent="0.3">
      <c r="A151" t="s">
        <v>1525</v>
      </c>
      <c r="B151">
        <v>328</v>
      </c>
      <c r="C151" s="1" t="str">
        <f>VLOOKUP($B151,[3]items_supply!$A$2:$E$230,3,0)</f>
        <v>p328</v>
      </c>
      <c r="D151" s="1" t="str">
        <f>VLOOKUP($B151,[3]items_supply!$A$2:$E$230,4,0)</f>
        <v>p025</v>
      </c>
      <c r="E151" s="1" t="str">
        <f>VLOOKUP($B151,[3]items_supply!$A$2:$E$230,5,0)</f>
        <v>Cotton production</v>
      </c>
      <c r="F151" t="s">
        <v>1934</v>
      </c>
      <c r="G151" t="s">
        <v>1543</v>
      </c>
      <c r="H151" t="s">
        <v>1965</v>
      </c>
      <c r="I151" t="s">
        <v>1965</v>
      </c>
      <c r="J151" t="s">
        <v>1624</v>
      </c>
      <c r="K151" t="s">
        <v>1826</v>
      </c>
      <c r="L151" t="s">
        <v>1525</v>
      </c>
      <c r="M151" t="s">
        <v>4712</v>
      </c>
      <c r="N151">
        <v>0</v>
      </c>
      <c r="O151" t="s">
        <v>2267</v>
      </c>
    </row>
    <row r="152" spans="1:15" x14ac:dyDescent="0.3">
      <c r="A152" t="s">
        <v>1523</v>
      </c>
      <c r="B152" s="1">
        <v>776</v>
      </c>
      <c r="C152" s="1" t="str">
        <f>VLOOKUP($B152,[3]items_supply!$A$2:$E$230,3,0)</f>
        <v>p776</v>
      </c>
      <c r="D152" s="1" t="str">
        <f>VLOOKUP($B152,[3]items_supply!$A$2:$E$230,4,0)</f>
        <v>p122</v>
      </c>
      <c r="E152" s="1" t="str">
        <f>VLOOKUP($B152,[3]items_supply!$A$2:$E$230,5,0)</f>
        <v>Hemp production</v>
      </c>
      <c r="F152" t="s">
        <v>1934</v>
      </c>
      <c r="G152" t="s">
        <v>1543</v>
      </c>
      <c r="H152" t="s">
        <v>1965</v>
      </c>
      <c r="I152" t="s">
        <v>1965</v>
      </c>
      <c r="J152" t="s">
        <v>1624</v>
      </c>
      <c r="K152" t="s">
        <v>1826</v>
      </c>
      <c r="L152" t="s">
        <v>1827</v>
      </c>
      <c r="M152" t="s">
        <v>1827</v>
      </c>
      <c r="N152">
        <v>0</v>
      </c>
      <c r="O152" t="s">
        <v>2268</v>
      </c>
    </row>
    <row r="153" spans="1:15" x14ac:dyDescent="0.3">
      <c r="A153" t="s">
        <v>1140</v>
      </c>
      <c r="B153">
        <v>310</v>
      </c>
      <c r="C153" s="1" t="str">
        <f>VLOOKUP($B153,[3]items_supply!$A$2:$E$230,3,0)</f>
        <v>p310</v>
      </c>
      <c r="D153" s="1" t="str">
        <f>VLOOKUP($B153,[3]items_supply!$A$2:$E$230,4,0)</f>
        <v>p123</v>
      </c>
      <c r="E153" s="1" t="str">
        <f>VLOOKUP($B153,[3]items_supply!$A$2:$E$230,5,0)</f>
        <v>Kapok production</v>
      </c>
      <c r="F153" t="s">
        <v>1934</v>
      </c>
      <c r="G153" t="s">
        <v>1543</v>
      </c>
      <c r="H153" t="s">
        <v>1965</v>
      </c>
      <c r="I153" t="s">
        <v>1965</v>
      </c>
      <c r="J153" t="s">
        <v>1624</v>
      </c>
      <c r="K153" t="s">
        <v>1826</v>
      </c>
      <c r="L153" t="s">
        <v>1827</v>
      </c>
      <c r="M153" t="s">
        <v>1827</v>
      </c>
      <c r="N153">
        <v>0</v>
      </c>
      <c r="O153" t="s">
        <v>2268</v>
      </c>
    </row>
    <row r="154" spans="1:15" x14ac:dyDescent="0.3">
      <c r="A154" t="s">
        <v>1524</v>
      </c>
      <c r="B154" s="1">
        <v>772</v>
      </c>
      <c r="C154" s="1" t="str">
        <f>VLOOKUP($B154,[3]items_supply!$A$2:$E$230,3,0)</f>
        <v>p772</v>
      </c>
      <c r="D154" s="1" t="str">
        <f>VLOOKUP($B154,[3]items_supply!$A$2:$E$230,4,0)</f>
        <v>p124</v>
      </c>
      <c r="E154" s="1" t="str">
        <f>VLOOKUP($B154,[3]items_supply!$A$2:$E$230,5,0)</f>
        <v>Linum production</v>
      </c>
      <c r="F154" t="s">
        <v>1934</v>
      </c>
      <c r="G154" t="s">
        <v>1543</v>
      </c>
      <c r="H154" t="s">
        <v>1965</v>
      </c>
      <c r="I154" t="s">
        <v>1965</v>
      </c>
      <c r="J154" t="s">
        <v>1624</v>
      </c>
      <c r="K154" t="s">
        <v>1826</v>
      </c>
      <c r="L154" t="s">
        <v>1827</v>
      </c>
      <c r="M154" t="s">
        <v>1827</v>
      </c>
      <c r="N154">
        <v>0</v>
      </c>
      <c r="O154" t="s">
        <v>2268</v>
      </c>
    </row>
    <row r="155" spans="1:15" x14ac:dyDescent="0.3">
      <c r="A155" t="s">
        <v>1061</v>
      </c>
      <c r="B155">
        <v>2555</v>
      </c>
      <c r="C155" s="1" t="str">
        <f>VLOOKUP($B155,[3]items_supply!$A$2:$E$230,3,0)</f>
        <v>p2555</v>
      </c>
      <c r="D155" s="1" t="str">
        <f>VLOOKUP($B155,[3]items_supply!$A$2:$E$230,4,0)</f>
        <v>p021</v>
      </c>
      <c r="E155" s="1" t="str">
        <f>VLOOKUP($B155,[3]items_supply!$A$2:$E$230,5,0)</f>
        <v>Soyabeans production</v>
      </c>
      <c r="F155" t="s">
        <v>1934</v>
      </c>
      <c r="G155" t="s">
        <v>1543</v>
      </c>
      <c r="H155" t="s">
        <v>1965</v>
      </c>
      <c r="I155" t="s">
        <v>1965</v>
      </c>
      <c r="J155" t="s">
        <v>1624</v>
      </c>
      <c r="K155" t="s">
        <v>1998</v>
      </c>
      <c r="L155" t="s">
        <v>1061</v>
      </c>
      <c r="M155" t="s">
        <v>4722</v>
      </c>
      <c r="N155" t="s">
        <v>2779</v>
      </c>
      <c r="O155" t="s">
        <v>2267</v>
      </c>
    </row>
    <row r="156" spans="1:15" x14ac:dyDescent="0.3">
      <c r="A156" t="s">
        <v>1079</v>
      </c>
      <c r="B156">
        <v>2560</v>
      </c>
      <c r="C156" s="1" t="str">
        <f>VLOOKUP($B156,[3]items_supply!$A$2:$E$230,3,0)</f>
        <v>p2560</v>
      </c>
      <c r="D156" s="1" t="str">
        <f>VLOOKUP($B156,[3]items_supply!$A$2:$E$230,4,0)</f>
        <v>p026</v>
      </c>
      <c r="E156" s="1" t="str">
        <f>VLOOKUP($B156,[3]items_supply!$A$2:$E$230,5,0)</f>
        <v>Coconuts production</v>
      </c>
      <c r="F156" t="s">
        <v>1934</v>
      </c>
      <c r="G156" t="s">
        <v>1543</v>
      </c>
      <c r="H156" t="s">
        <v>1965</v>
      </c>
      <c r="I156" t="s">
        <v>1965</v>
      </c>
      <c r="J156" t="s">
        <v>1624</v>
      </c>
      <c r="K156" t="s">
        <v>1998</v>
      </c>
      <c r="L156" t="s">
        <v>1631</v>
      </c>
      <c r="M156" t="s">
        <v>4722</v>
      </c>
      <c r="N156">
        <v>0</v>
      </c>
      <c r="O156" t="s">
        <v>4656</v>
      </c>
    </row>
    <row r="157" spans="1:15" x14ac:dyDescent="0.3">
      <c r="A157" t="s">
        <v>1124</v>
      </c>
      <c r="B157">
        <v>2561</v>
      </c>
      <c r="C157" s="1" t="str">
        <f>VLOOKUP($B157,[3]items_supply!$A$2:$E$230,3,0)</f>
        <v>p2561</v>
      </c>
      <c r="D157" s="1" t="str">
        <f>VLOOKUP($B157,[3]items_supply!$A$2:$E$230,4,0)</f>
        <v>p027</v>
      </c>
      <c r="E157" s="1" t="str">
        <f>VLOOKUP($B157,[3]items_supply!$A$2:$E$230,5,0)</f>
        <v>Sesame seed production</v>
      </c>
      <c r="F157" t="s">
        <v>1934</v>
      </c>
      <c r="G157" t="s">
        <v>1543</v>
      </c>
      <c r="H157" t="s">
        <v>1965</v>
      </c>
      <c r="I157" t="s">
        <v>1965</v>
      </c>
      <c r="J157" t="s">
        <v>1624</v>
      </c>
      <c r="K157" t="s">
        <v>1998</v>
      </c>
      <c r="L157" t="s">
        <v>1645</v>
      </c>
      <c r="M157" t="s">
        <v>4722</v>
      </c>
      <c r="N157" t="s">
        <v>4733</v>
      </c>
      <c r="O157" t="s">
        <v>4656</v>
      </c>
    </row>
    <row r="158" spans="1:15" x14ac:dyDescent="0.3">
      <c r="A158" t="s">
        <v>1105</v>
      </c>
      <c r="B158">
        <v>2557</v>
      </c>
      <c r="C158" s="1" t="str">
        <f>VLOOKUP($B158,[3]items_supply!$A$2:$E$230,3,0)</f>
        <v>p2557</v>
      </c>
      <c r="D158" s="1" t="str">
        <f>VLOOKUP($B158,[3]items_supply!$A$2:$E$230,4,0)</f>
        <v>p023</v>
      </c>
      <c r="E158" s="1" t="str">
        <f>VLOOKUP($B158,[3]items_supply!$A$2:$E$230,5,0)</f>
        <v>Sunflower seed production</v>
      </c>
      <c r="F158" t="s">
        <v>1934</v>
      </c>
      <c r="G158" t="s">
        <v>1543</v>
      </c>
      <c r="H158" t="s">
        <v>1965</v>
      </c>
      <c r="I158" t="s">
        <v>1965</v>
      </c>
      <c r="J158" t="s">
        <v>1624</v>
      </c>
      <c r="K158" t="s">
        <v>1998</v>
      </c>
      <c r="L158" t="s">
        <v>1105</v>
      </c>
      <c r="M158" t="s">
        <v>4722</v>
      </c>
      <c r="N158" t="s">
        <v>2781</v>
      </c>
      <c r="O158" t="s">
        <v>2268</v>
      </c>
    </row>
    <row r="159" spans="1:15" x14ac:dyDescent="0.3">
      <c r="A159" t="s">
        <v>1111</v>
      </c>
      <c r="B159">
        <v>2558</v>
      </c>
      <c r="C159" s="1" t="str">
        <f>VLOOKUP($B159,[3]items_supply!$A$2:$E$230,3,0)</f>
        <v>p2558</v>
      </c>
      <c r="D159" s="1" t="str">
        <f>VLOOKUP($B159,[3]items_supply!$A$2:$E$230,4,0)</f>
        <v>p024</v>
      </c>
      <c r="E159" s="1" t="str">
        <f>VLOOKUP($B159,[3]items_supply!$A$2:$E$230,5,0)</f>
        <v>Rape and Mustardseed production</v>
      </c>
      <c r="F159" t="s">
        <v>1934</v>
      </c>
      <c r="G159" t="s">
        <v>1543</v>
      </c>
      <c r="H159" t="s">
        <v>1965</v>
      </c>
      <c r="I159" t="s">
        <v>1965</v>
      </c>
      <c r="J159" t="s">
        <v>1624</v>
      </c>
      <c r="K159" t="s">
        <v>1998</v>
      </c>
      <c r="L159" t="s">
        <v>1651</v>
      </c>
      <c r="M159" t="s">
        <v>4722</v>
      </c>
      <c r="N159" t="s">
        <v>4734</v>
      </c>
      <c r="O159" t="s">
        <v>2268</v>
      </c>
    </row>
    <row r="160" spans="1:15" x14ac:dyDescent="0.3">
      <c r="A160" t="s">
        <v>1095</v>
      </c>
      <c r="B160">
        <v>2563</v>
      </c>
      <c r="C160" s="1" t="str">
        <f>VLOOKUP($B160,[3]items_supply!$A$2:$E$230,3,0)</f>
        <v>p2563</v>
      </c>
      <c r="D160" s="1" t="str">
        <f>VLOOKUP($B160,[3]items_supply!$A$2:$E$230,4,0)</f>
        <v>p029</v>
      </c>
      <c r="E160" s="1" t="str">
        <f>VLOOKUP($B160,[3]items_supply!$A$2:$E$230,5,0)</f>
        <v>Olives production</v>
      </c>
      <c r="F160" t="s">
        <v>1934</v>
      </c>
      <c r="G160" t="s">
        <v>1543</v>
      </c>
      <c r="H160" t="s">
        <v>1965</v>
      </c>
      <c r="I160" t="s">
        <v>1965</v>
      </c>
      <c r="J160" t="s">
        <v>1624</v>
      </c>
      <c r="K160" t="s">
        <v>1094</v>
      </c>
      <c r="L160" t="s">
        <v>1612</v>
      </c>
      <c r="M160" t="s">
        <v>4722</v>
      </c>
      <c r="N160">
        <v>0</v>
      </c>
      <c r="O160" t="s">
        <v>2268</v>
      </c>
    </row>
    <row r="161" spans="1:15" x14ac:dyDescent="0.3">
      <c r="A161" t="s">
        <v>1526</v>
      </c>
      <c r="B161">
        <v>254</v>
      </c>
      <c r="C161" s="1" t="str">
        <f>VLOOKUP($B161,[3]items_supply!$A$2:$E$230,3,0)</f>
        <v>p254</v>
      </c>
      <c r="D161" s="1" t="str">
        <f>VLOOKUP($B161,[3]items_supply!$A$2:$E$230,4,0)</f>
        <v>p028</v>
      </c>
      <c r="E161" s="1" t="str">
        <f>VLOOKUP($B161,[3]items_supply!$A$2:$E$230,5,0)</f>
        <v>Oil Palm production</v>
      </c>
      <c r="F161" t="s">
        <v>1934</v>
      </c>
      <c r="G161" t="s">
        <v>1543</v>
      </c>
      <c r="H161" t="s">
        <v>1965</v>
      </c>
      <c r="I161" t="s">
        <v>1965</v>
      </c>
      <c r="J161" t="s">
        <v>1624</v>
      </c>
      <c r="K161" t="s">
        <v>1998</v>
      </c>
      <c r="L161" t="s">
        <v>1636</v>
      </c>
      <c r="M161" t="s">
        <v>4722</v>
      </c>
      <c r="N161" t="e">
        <v>#N/A</v>
      </c>
      <c r="O161" t="s">
        <v>2268</v>
      </c>
    </row>
    <row r="162" spans="1:15" x14ac:dyDescent="0.3">
      <c r="A162" t="s">
        <v>1078</v>
      </c>
      <c r="B162" s="1">
        <v>248</v>
      </c>
      <c r="C162" s="1" t="str">
        <f>VLOOKUP($B162,[3]items_supply!$A$2:$E$230,3,0)</f>
        <v>p248</v>
      </c>
      <c r="D162" s="1" t="str">
        <f>VLOOKUP($B162,[3]items_supply!$A$2:$E$230,4,0)</f>
        <v>p026</v>
      </c>
      <c r="E162" s="1" t="str">
        <f>VLOOKUP($B162,[3]items_supply!$A$2:$E$230,5,0)</f>
        <v>Coconuts production</v>
      </c>
      <c r="F162" t="s">
        <v>1934</v>
      </c>
      <c r="G162" t="s">
        <v>1543</v>
      </c>
      <c r="H162" t="s">
        <v>1965</v>
      </c>
      <c r="I162" t="s">
        <v>1965</v>
      </c>
      <c r="J162" t="s">
        <v>1624</v>
      </c>
      <c r="K162" t="s">
        <v>1998</v>
      </c>
      <c r="L162" t="s">
        <v>1631</v>
      </c>
      <c r="M162" t="s">
        <v>4722</v>
      </c>
      <c r="N162" t="e">
        <v>#N/A</v>
      </c>
      <c r="O162" t="s">
        <v>2268</v>
      </c>
    </row>
    <row r="163" spans="1:15" x14ac:dyDescent="0.3">
      <c r="A163" t="s">
        <v>1100</v>
      </c>
      <c r="B163">
        <v>2570</v>
      </c>
      <c r="C163" s="1" t="str">
        <f>VLOOKUP($B163,[3]items_supply!$A$2:$E$230,3,0)</f>
        <v>p2570</v>
      </c>
      <c r="D163" s="1" t="s">
        <v>2329</v>
      </c>
      <c r="E163" s="1" t="s">
        <v>2330</v>
      </c>
      <c r="F163" t="s">
        <v>1934</v>
      </c>
      <c r="G163" t="s">
        <v>1543</v>
      </c>
      <c r="H163" t="s">
        <v>1965</v>
      </c>
      <c r="I163" t="s">
        <v>1965</v>
      </c>
      <c r="J163" t="s">
        <v>1624</v>
      </c>
      <c r="K163" t="s">
        <v>1998</v>
      </c>
      <c r="L163" t="s">
        <v>1645</v>
      </c>
      <c r="M163" t="s">
        <v>4722</v>
      </c>
      <c r="N163" t="s">
        <v>4733</v>
      </c>
      <c r="O163" t="s">
        <v>2268</v>
      </c>
    </row>
    <row r="164" spans="1:15" x14ac:dyDescent="0.3">
      <c r="A164" t="s">
        <v>998</v>
      </c>
      <c r="B164">
        <v>2535</v>
      </c>
      <c r="C164" s="1" t="str">
        <f>VLOOKUP($B164,[3]items_supply!$A$2:$E$230,3,0)</f>
        <v>p2535</v>
      </c>
      <c r="D164" s="1" t="str">
        <f>VLOOKUP($B164,[3]items_supply!$A$2:$E$230,4,0)</f>
        <v>p014</v>
      </c>
      <c r="E164" s="1" t="str">
        <f>VLOOKUP($B164,[3]items_supply!$A$2:$E$230,5,0)</f>
        <v>Yams production</v>
      </c>
      <c r="F164" t="s">
        <v>1934</v>
      </c>
      <c r="G164" t="s">
        <v>1543</v>
      </c>
      <c r="H164" t="s">
        <v>1965</v>
      </c>
      <c r="I164" t="s">
        <v>1965</v>
      </c>
      <c r="J164" t="s">
        <v>1566</v>
      </c>
      <c r="K164" t="s">
        <v>2092</v>
      </c>
      <c r="L164" t="s">
        <v>1557</v>
      </c>
      <c r="M164" t="s">
        <v>4735</v>
      </c>
      <c r="N164">
        <v>0</v>
      </c>
      <c r="O164" t="s">
        <v>2268</v>
      </c>
    </row>
    <row r="165" spans="1:15" x14ac:dyDescent="0.3">
      <c r="A165" t="s">
        <v>990</v>
      </c>
      <c r="B165">
        <v>2532</v>
      </c>
      <c r="C165" s="1" t="str">
        <f>VLOOKUP($B165,[3]items_supply!$A$2:$E$230,3,0)</f>
        <v>p2532</v>
      </c>
      <c r="D165" s="1" t="str">
        <f>VLOOKUP($B165,[3]items_supply!$A$2:$E$230,4,0)</f>
        <v>p011</v>
      </c>
      <c r="E165" s="1" t="str">
        <f>VLOOKUP($B165,[3]items_supply!$A$2:$E$230,5,0)</f>
        <v>Cassava production</v>
      </c>
      <c r="F165" t="s">
        <v>1934</v>
      </c>
      <c r="G165" t="s">
        <v>1543</v>
      </c>
      <c r="H165" t="s">
        <v>1965</v>
      </c>
      <c r="I165" t="s">
        <v>1965</v>
      </c>
      <c r="J165" t="s">
        <v>1566</v>
      </c>
      <c r="K165" t="s">
        <v>2092</v>
      </c>
      <c r="L165" t="s">
        <v>989</v>
      </c>
      <c r="M165" t="s">
        <v>4735</v>
      </c>
      <c r="N165" t="s">
        <v>4736</v>
      </c>
      <c r="O165" t="s">
        <v>2268</v>
      </c>
    </row>
    <row r="166" spans="1:15" x14ac:dyDescent="0.3">
      <c r="A166" t="s">
        <v>983</v>
      </c>
      <c r="B166">
        <v>2531</v>
      </c>
      <c r="C166" s="1" t="str">
        <f>VLOOKUP($B166,[3]items_supply!$A$2:$E$230,3,0)</f>
        <v>p2531</v>
      </c>
      <c r="D166" s="1" t="str">
        <f>VLOOKUP($B166,[3]items_supply!$A$2:$E$230,4,0)</f>
        <v>p010</v>
      </c>
      <c r="E166" s="1" t="str">
        <f>VLOOKUP($B166,[3]items_supply!$A$2:$E$230,5,0)</f>
        <v>Potatoes  production</v>
      </c>
      <c r="F166" t="s">
        <v>1934</v>
      </c>
      <c r="G166" t="s">
        <v>1543</v>
      </c>
      <c r="H166" t="s">
        <v>1965</v>
      </c>
      <c r="I166" t="s">
        <v>1965</v>
      </c>
      <c r="J166" t="s">
        <v>1566</v>
      </c>
      <c r="K166" t="s">
        <v>2092</v>
      </c>
      <c r="L166" t="s">
        <v>1564</v>
      </c>
      <c r="M166" t="s">
        <v>4735</v>
      </c>
      <c r="N166" t="s">
        <v>4737</v>
      </c>
      <c r="O166" t="s">
        <v>2268</v>
      </c>
    </row>
    <row r="167" spans="1:15" x14ac:dyDescent="0.3">
      <c r="A167" t="s">
        <v>996</v>
      </c>
      <c r="B167">
        <v>2534</v>
      </c>
      <c r="C167" s="1" t="str">
        <f>VLOOKUP($B167,[3]items_supply!$A$2:$E$230,3,0)</f>
        <v>p2534</v>
      </c>
      <c r="D167" s="1" t="str">
        <f>VLOOKUP($B167,[3]items_supply!$A$2:$E$230,4,0)</f>
        <v>p013</v>
      </c>
      <c r="E167" s="1" t="str">
        <f>VLOOKUP($B167,[3]items_supply!$A$2:$E$230,5,0)</f>
        <v>Roots production, Other</v>
      </c>
      <c r="F167" t="s">
        <v>1934</v>
      </c>
      <c r="G167" t="s">
        <v>1543</v>
      </c>
      <c r="H167" t="s">
        <v>1965</v>
      </c>
      <c r="I167" t="s">
        <v>1965</v>
      </c>
      <c r="J167" t="s">
        <v>1566</v>
      </c>
      <c r="K167" t="s">
        <v>2092</v>
      </c>
      <c r="L167" t="s">
        <v>1557</v>
      </c>
      <c r="M167" t="s">
        <v>4735</v>
      </c>
      <c r="N167" t="s">
        <v>4738</v>
      </c>
      <c r="O167" t="s">
        <v>2268</v>
      </c>
    </row>
    <row r="168" spans="1:15" x14ac:dyDescent="0.3">
      <c r="A168" t="s">
        <v>988</v>
      </c>
      <c r="B168">
        <v>2533</v>
      </c>
      <c r="C168" s="1" t="str">
        <f>VLOOKUP($B168,[3]items_supply!$A$2:$E$230,3,0)</f>
        <v>p2533</v>
      </c>
      <c r="D168" s="1" t="str">
        <f>VLOOKUP($B168,[3]items_supply!$A$2:$E$230,4,0)</f>
        <v>p012</v>
      </c>
      <c r="E168" s="1" t="str">
        <f>VLOOKUP($B168,[3]items_supply!$A$2:$E$230,5,0)</f>
        <v>Sweet potatoes production</v>
      </c>
      <c r="F168" t="s">
        <v>1934</v>
      </c>
      <c r="G168" t="s">
        <v>1543</v>
      </c>
      <c r="H168" t="s">
        <v>1965</v>
      </c>
      <c r="I168" t="s">
        <v>1965</v>
      </c>
      <c r="J168" t="s">
        <v>1566</v>
      </c>
      <c r="K168" t="s">
        <v>2092</v>
      </c>
      <c r="L168" t="s">
        <v>1568</v>
      </c>
      <c r="M168" t="s">
        <v>4735</v>
      </c>
      <c r="N168" t="s">
        <v>4738</v>
      </c>
      <c r="O168" t="s">
        <v>2268</v>
      </c>
    </row>
    <row r="169" spans="1:15" x14ac:dyDescent="0.3">
      <c r="A169" t="s">
        <v>1006</v>
      </c>
      <c r="B169">
        <v>2537</v>
      </c>
      <c r="C169" s="1" t="str">
        <f>VLOOKUP($B169,[3]items_supply!$A$2:$E$230,3,0)</f>
        <v>p2537</v>
      </c>
      <c r="D169" s="1" t="str">
        <f>VLOOKUP($B169,[3]items_supply!$A$2:$E$230,4,0)</f>
        <v>p016</v>
      </c>
      <c r="E169" s="1" t="str">
        <f>VLOOKUP($B169,[3]items_supply!$A$2:$E$230,5,0)</f>
        <v>Sugar beet production</v>
      </c>
      <c r="F169" t="s">
        <v>1934</v>
      </c>
      <c r="G169" t="s">
        <v>1543</v>
      </c>
      <c r="H169" t="s">
        <v>1965</v>
      </c>
      <c r="I169" t="s">
        <v>1965</v>
      </c>
      <c r="J169" t="s">
        <v>1579</v>
      </c>
      <c r="K169" t="s">
        <v>2098</v>
      </c>
      <c r="L169" t="s">
        <v>1006</v>
      </c>
      <c r="M169" t="s">
        <v>2099</v>
      </c>
      <c r="N169" t="s">
        <v>4739</v>
      </c>
      <c r="O169" t="s">
        <v>2268</v>
      </c>
    </row>
    <row r="170" spans="1:15" x14ac:dyDescent="0.3">
      <c r="A170" t="s">
        <v>1005</v>
      </c>
      <c r="B170">
        <v>2536</v>
      </c>
      <c r="C170" s="1" t="str">
        <f>VLOOKUP($B170,[3]items_supply!$A$2:$E$230,3,0)</f>
        <v>p2536</v>
      </c>
      <c r="D170" s="1" t="str">
        <f>VLOOKUP($B170,[3]items_supply!$A$2:$E$230,4,0)</f>
        <v>p015</v>
      </c>
      <c r="E170" s="1" t="str">
        <f>VLOOKUP($B170,[3]items_supply!$A$2:$E$230,5,0)</f>
        <v>Sugar cane production</v>
      </c>
      <c r="F170" t="s">
        <v>1934</v>
      </c>
      <c r="G170" t="s">
        <v>1543</v>
      </c>
      <c r="H170" t="s">
        <v>1965</v>
      </c>
      <c r="I170" t="s">
        <v>1965</v>
      </c>
      <c r="J170" t="s">
        <v>1579</v>
      </c>
      <c r="K170" t="s">
        <v>2098</v>
      </c>
      <c r="L170" t="s">
        <v>1574</v>
      </c>
      <c r="M170" t="s">
        <v>2099</v>
      </c>
      <c r="N170">
        <v>0</v>
      </c>
      <c r="O170" t="s">
        <v>2268</v>
      </c>
    </row>
    <row r="171" spans="1:15" x14ac:dyDescent="0.3">
      <c r="A171" t="s">
        <v>1367</v>
      </c>
      <c r="B171">
        <v>2672</v>
      </c>
      <c r="C171" s="1" t="str">
        <f>VLOOKUP($B171,[3]items_supply!$A$2:$E$230,3,0)</f>
        <v>p2672</v>
      </c>
      <c r="D171" s="1" t="str">
        <f>VLOOKUP($B171,[3]items_supply!$A$2:$E$230,4,0)</f>
        <v>p060</v>
      </c>
      <c r="E171" s="1" t="str">
        <f>VLOOKUP($B171,[3]items_supply!$A$2:$E$230,5,0)</f>
        <v>Rubber production</v>
      </c>
      <c r="F171" t="s">
        <v>1934</v>
      </c>
      <c r="G171" t="s">
        <v>1543</v>
      </c>
      <c r="H171" t="s">
        <v>1965</v>
      </c>
      <c r="I171" t="s">
        <v>1965</v>
      </c>
      <c r="J171" t="s">
        <v>2109</v>
      </c>
      <c r="K171" t="s">
        <v>1826</v>
      </c>
      <c r="L171" t="s">
        <v>1367</v>
      </c>
      <c r="M171" t="s">
        <v>1367</v>
      </c>
      <c r="N171">
        <v>0</v>
      </c>
      <c r="O171" t="s">
        <v>2268</v>
      </c>
    </row>
    <row r="172" spans="1:15" x14ac:dyDescent="0.3">
      <c r="A172" t="s">
        <v>1362</v>
      </c>
      <c r="B172">
        <v>2671</v>
      </c>
      <c r="C172" s="1" t="str">
        <f>VLOOKUP($B172,[3]items_supply!$A$2:$E$230,3,0)</f>
        <v>p2671</v>
      </c>
      <c r="D172" s="1" t="str">
        <f>VLOOKUP($B172,[3]items_supply!$A$2:$E$230,4,0)</f>
        <v>p059</v>
      </c>
      <c r="E172" s="1" t="str">
        <f>VLOOKUP($B172,[3]items_supply!$A$2:$E$230,5,0)</f>
        <v>Tobacco production</v>
      </c>
      <c r="F172" t="s">
        <v>1934</v>
      </c>
      <c r="G172" t="s">
        <v>1543</v>
      </c>
      <c r="H172" t="s">
        <v>1965</v>
      </c>
      <c r="I172" t="s">
        <v>1965</v>
      </c>
      <c r="J172" t="s">
        <v>2109</v>
      </c>
      <c r="K172" t="s">
        <v>1806</v>
      </c>
      <c r="L172" t="s">
        <v>1362</v>
      </c>
      <c r="M172" t="s">
        <v>1362</v>
      </c>
      <c r="N172">
        <v>0</v>
      </c>
      <c r="O172" t="s">
        <v>2268</v>
      </c>
    </row>
    <row r="173" spans="1:15" x14ac:dyDescent="0.3">
      <c r="A173" t="s">
        <v>1089</v>
      </c>
      <c r="B173">
        <v>2577</v>
      </c>
      <c r="C173" s="1" t="str">
        <f>VLOOKUP($B173,[3]items_supply!$A$2:$E$230,3,0)</f>
        <v>p2577</v>
      </c>
      <c r="D173" s="1" t="str">
        <f>VLOOKUP($B173,[3]items_supply!$A$2:$E$230,4,0)</f>
        <v>p028</v>
      </c>
      <c r="E173" s="1" t="str">
        <f>VLOOKUP($B173,[3]items_supply!$A$2:$E$230,5,0)</f>
        <v>Oil Palm production</v>
      </c>
      <c r="F173" t="s">
        <v>1934</v>
      </c>
      <c r="G173" t="s">
        <v>1543</v>
      </c>
      <c r="H173" t="s">
        <v>1965</v>
      </c>
      <c r="I173" t="s">
        <v>1965</v>
      </c>
      <c r="J173" t="s">
        <v>2112</v>
      </c>
      <c r="K173" t="s">
        <v>2113</v>
      </c>
      <c r="L173" t="s">
        <v>1638</v>
      </c>
      <c r="M173" t="s">
        <v>2253</v>
      </c>
      <c r="N173" t="s">
        <v>4740</v>
      </c>
      <c r="O173" t="s">
        <v>2268</v>
      </c>
    </row>
    <row r="174" spans="1:15" x14ac:dyDescent="0.3">
      <c r="A174" t="s">
        <v>1212</v>
      </c>
      <c r="B174">
        <v>2616</v>
      </c>
      <c r="C174" s="1" t="str">
        <f>VLOOKUP($B174,[3]items_supply!$A$2:$E$230,3,0)</f>
        <v>p2616</v>
      </c>
      <c r="D174" s="1" t="str">
        <f>VLOOKUP($B174,[3]items_supply!$A$2:$E$230,4,0)</f>
        <v>p039</v>
      </c>
      <c r="E174" s="1" t="str">
        <f>VLOOKUP($B174,[3]items_supply!$A$2:$E$230,5,0)</f>
        <v>Plantains production</v>
      </c>
      <c r="F174" t="s">
        <v>1934</v>
      </c>
      <c r="G174" t="s">
        <v>1543</v>
      </c>
      <c r="H174" t="s">
        <v>1965</v>
      </c>
      <c r="I174" t="s">
        <v>1965</v>
      </c>
      <c r="J174" t="s">
        <v>2127</v>
      </c>
      <c r="K174" t="s">
        <v>1607</v>
      </c>
      <c r="L174" t="s">
        <v>1712</v>
      </c>
      <c r="M174" t="s">
        <v>4741</v>
      </c>
      <c r="N174" t="s">
        <v>4742</v>
      </c>
      <c r="O174" t="s">
        <v>2268</v>
      </c>
    </row>
    <row r="175" spans="1:15" x14ac:dyDescent="0.3">
      <c r="A175" t="s">
        <v>1330</v>
      </c>
      <c r="B175">
        <v>2642</v>
      </c>
      <c r="C175" s="1" t="str">
        <f>VLOOKUP($B175,[3]items_supply!$A$2:$E$230,3,0)</f>
        <v>p2642</v>
      </c>
      <c r="D175" s="1" t="str">
        <f>VLOOKUP($B175,[3]items_supply!$A$2:$E$230,4,0)</f>
        <v>p051</v>
      </c>
      <c r="E175" s="1" t="str">
        <f>VLOOKUP($B175,[3]items_supply!$A$2:$E$230,5,0)</f>
        <v>Cloves production</v>
      </c>
      <c r="F175" t="s">
        <v>1934</v>
      </c>
      <c r="G175" t="s">
        <v>1543</v>
      </c>
      <c r="H175" t="s">
        <v>1965</v>
      </c>
      <c r="I175" t="s">
        <v>1965</v>
      </c>
      <c r="J175" t="s">
        <v>2127</v>
      </c>
      <c r="K175" t="s">
        <v>1806</v>
      </c>
      <c r="L175" t="s">
        <v>1328</v>
      </c>
      <c r="M175" t="s">
        <v>4743</v>
      </c>
      <c r="N175" t="s">
        <v>4742</v>
      </c>
      <c r="O175" t="s">
        <v>2268</v>
      </c>
    </row>
    <row r="176" spans="1:15" x14ac:dyDescent="0.3">
      <c r="A176" t="s">
        <v>1210</v>
      </c>
      <c r="B176">
        <v>2615</v>
      </c>
      <c r="C176" s="1" t="str">
        <f>VLOOKUP($B176,[3]items_supply!$A$2:$E$230,3,0)</f>
        <v>p2615</v>
      </c>
      <c r="D176" s="1" t="str">
        <f>VLOOKUP($B176,[3]items_supply!$A$2:$E$230,4,0)</f>
        <v>p038</v>
      </c>
      <c r="E176" s="1" t="str">
        <f>VLOOKUP($B176,[3]items_supply!$A$2:$E$230,5,0)</f>
        <v>Bananas production</v>
      </c>
      <c r="F176" t="s">
        <v>1934</v>
      </c>
      <c r="G176" t="s">
        <v>1543</v>
      </c>
      <c r="H176" t="s">
        <v>1965</v>
      </c>
      <c r="I176" t="s">
        <v>1965</v>
      </c>
      <c r="J176" t="s">
        <v>2127</v>
      </c>
      <c r="K176" t="s">
        <v>1607</v>
      </c>
      <c r="L176" t="s">
        <v>1712</v>
      </c>
      <c r="M176" t="s">
        <v>4741</v>
      </c>
      <c r="N176" t="s">
        <v>4742</v>
      </c>
      <c r="O176" t="s">
        <v>2268</v>
      </c>
    </row>
    <row r="177" spans="1:15" x14ac:dyDescent="0.3">
      <c r="A177" t="s">
        <v>1161</v>
      </c>
      <c r="B177">
        <v>2605</v>
      </c>
      <c r="C177" s="1" t="str">
        <f>VLOOKUP($B177,[3]items_supply!$A$2:$E$230,3,0)</f>
        <v>p2605</v>
      </c>
      <c r="D177" s="1" t="str">
        <f>VLOOKUP($B177,[3]items_supply!$A$2:$E$230,4,0)</f>
        <v>p033</v>
      </c>
      <c r="E177" s="1" t="str">
        <f>VLOOKUP($B177,[3]items_supply!$A$2:$E$230,5,0)</f>
        <v>Vegetables production, Other</v>
      </c>
      <c r="F177" t="s">
        <v>1934</v>
      </c>
      <c r="G177" t="s">
        <v>1543</v>
      </c>
      <c r="H177" t="s">
        <v>1965</v>
      </c>
      <c r="I177" t="s">
        <v>1965</v>
      </c>
      <c r="J177" t="s">
        <v>2127</v>
      </c>
      <c r="K177" t="s">
        <v>1559</v>
      </c>
      <c r="L177" t="s">
        <v>1674</v>
      </c>
      <c r="M177" t="s">
        <v>1167</v>
      </c>
      <c r="N177" t="s">
        <v>4742</v>
      </c>
      <c r="O177" t="s">
        <v>2268</v>
      </c>
    </row>
    <row r="178" spans="1:15" x14ac:dyDescent="0.3">
      <c r="A178" t="s">
        <v>2131</v>
      </c>
      <c r="B178" s="1">
        <v>2108</v>
      </c>
      <c r="C178" s="1" t="str">
        <f>VLOOKUP($B178,[3]items_supply!$A$2:$E$230,3,0)</f>
        <v>p2108</v>
      </c>
      <c r="D178" s="1" t="str">
        <f>VLOOKUP($B178,[3]items_supply!$A$2:$E$230,4,0)</f>
        <v>p128</v>
      </c>
      <c r="E178" s="1" t="str">
        <f>VLOOKUP($B178,[3]items_supply!$A$2:$E$230,5,0)</f>
        <v>Acorns production</v>
      </c>
      <c r="F178" t="s">
        <v>1934</v>
      </c>
      <c r="G178" t="s">
        <v>1543</v>
      </c>
      <c r="H178" t="s">
        <v>2022</v>
      </c>
      <c r="I178" t="s">
        <v>2022</v>
      </c>
      <c r="J178" t="s">
        <v>2127</v>
      </c>
      <c r="K178" t="s">
        <v>2131</v>
      </c>
      <c r="L178" t="s">
        <v>2132</v>
      </c>
      <c r="M178" t="s">
        <v>4715</v>
      </c>
      <c r="N178" t="s">
        <v>2797</v>
      </c>
      <c r="O178" t="s">
        <v>2268</v>
      </c>
    </row>
    <row r="179" spans="1:15" x14ac:dyDescent="0.3">
      <c r="A179" t="s">
        <v>1258</v>
      </c>
      <c r="B179">
        <v>2620</v>
      </c>
      <c r="C179" s="1" t="str">
        <f>VLOOKUP($B179,[3]items_supply!$A$2:$E$230,3,0)</f>
        <v>p2620</v>
      </c>
      <c r="D179" s="1" t="str">
        <f>VLOOKUP($B179,[3]items_supply!$A$2:$E$230,4,0)</f>
        <v>p043</v>
      </c>
      <c r="E179" s="1" t="str">
        <f>VLOOKUP($B179,[3]items_supply!$A$2:$E$230,5,0)</f>
        <v>Grapes production</v>
      </c>
      <c r="F179" t="s">
        <v>1934</v>
      </c>
      <c r="G179" t="s">
        <v>1543</v>
      </c>
      <c r="H179" t="s">
        <v>1965</v>
      </c>
      <c r="I179" t="s">
        <v>1965</v>
      </c>
      <c r="J179" t="s">
        <v>2127</v>
      </c>
      <c r="K179" t="s">
        <v>1257</v>
      </c>
      <c r="L179" t="s">
        <v>1740</v>
      </c>
      <c r="M179" t="s">
        <v>4744</v>
      </c>
      <c r="N179" t="s">
        <v>4745</v>
      </c>
      <c r="O179" t="s">
        <v>2268</v>
      </c>
    </row>
    <row r="180" spans="1:15" x14ac:dyDescent="0.3">
      <c r="A180" t="s">
        <v>1028</v>
      </c>
      <c r="B180">
        <v>2546</v>
      </c>
      <c r="C180" s="1" t="str">
        <f>VLOOKUP($B180,[3]items_supply!$A$2:$E$230,3,0)</f>
        <v>p2546</v>
      </c>
      <c r="D180" s="1" t="str">
        <f>VLOOKUP($B180,[3]items_supply!$A$2:$E$230,4,0)</f>
        <v>p017</v>
      </c>
      <c r="E180" s="1" t="str">
        <f>VLOOKUP($B180,[3]items_supply!$A$2:$E$230,5,0)</f>
        <v>Beans production</v>
      </c>
      <c r="F180" t="s">
        <v>1934</v>
      </c>
      <c r="G180" t="s">
        <v>1543</v>
      </c>
      <c r="H180" t="s">
        <v>1965</v>
      </c>
      <c r="I180" t="s">
        <v>1965</v>
      </c>
      <c r="J180" t="s">
        <v>2127</v>
      </c>
      <c r="K180" t="s">
        <v>1588</v>
      </c>
      <c r="L180" t="s">
        <v>1028</v>
      </c>
      <c r="M180" t="s">
        <v>1028</v>
      </c>
      <c r="N180" t="s">
        <v>4746</v>
      </c>
      <c r="O180" t="s">
        <v>2268</v>
      </c>
    </row>
    <row r="181" spans="1:15" x14ac:dyDescent="0.3">
      <c r="A181" t="s">
        <v>1032</v>
      </c>
      <c r="B181">
        <v>2547</v>
      </c>
      <c r="C181" s="1" t="str">
        <f>VLOOKUP($B181,[3]items_supply!$A$2:$E$230,3,0)</f>
        <v>p2547</v>
      </c>
      <c r="D181" s="1" t="str">
        <f>VLOOKUP($B181,[3]items_supply!$A$2:$E$230,4,0)</f>
        <v>p018</v>
      </c>
      <c r="E181" s="1" t="str">
        <f>VLOOKUP($B181,[3]items_supply!$A$2:$E$230,5,0)</f>
        <v>Peas production</v>
      </c>
      <c r="F181" t="s">
        <v>1934</v>
      </c>
      <c r="G181" t="s">
        <v>1543</v>
      </c>
      <c r="H181" t="s">
        <v>1965</v>
      </c>
      <c r="I181" t="s">
        <v>1965</v>
      </c>
      <c r="J181" t="s">
        <v>2127</v>
      </c>
      <c r="K181" t="s">
        <v>1588</v>
      </c>
      <c r="L181" t="s">
        <v>1592</v>
      </c>
      <c r="M181" t="s">
        <v>1588</v>
      </c>
      <c r="N181" t="s">
        <v>2783</v>
      </c>
      <c r="O181" t="s">
        <v>2268</v>
      </c>
    </row>
    <row r="182" spans="1:15" x14ac:dyDescent="0.3">
      <c r="A182" t="s">
        <v>1030</v>
      </c>
      <c r="B182">
        <v>2549</v>
      </c>
      <c r="C182" s="1" t="str">
        <f>VLOOKUP($B182,[3]items_supply!$A$2:$E$230,3,0)</f>
        <v>p2549</v>
      </c>
      <c r="D182" s="1" t="str">
        <f>VLOOKUP($B182,[3]items_supply!$A$2:$E$230,4,0)</f>
        <v>p019</v>
      </c>
      <c r="E182" s="1" t="str">
        <f>VLOOKUP($B182,[3]items_supply!$A$2:$E$230,5,0)</f>
        <v>Pulses  production, Other</v>
      </c>
      <c r="F182" t="s">
        <v>1934</v>
      </c>
      <c r="G182" t="s">
        <v>1543</v>
      </c>
      <c r="H182" t="s">
        <v>1965</v>
      </c>
      <c r="I182" t="s">
        <v>1965</v>
      </c>
      <c r="J182" t="s">
        <v>2127</v>
      </c>
      <c r="K182" t="s">
        <v>1588</v>
      </c>
      <c r="L182" t="s">
        <v>1594</v>
      </c>
      <c r="M182" t="s">
        <v>1588</v>
      </c>
      <c r="N182" t="s">
        <v>4747</v>
      </c>
      <c r="O182" t="s">
        <v>2268</v>
      </c>
    </row>
    <row r="183" spans="1:15" x14ac:dyDescent="0.3">
      <c r="A183" t="s">
        <v>1044</v>
      </c>
      <c r="B183">
        <v>2551</v>
      </c>
      <c r="C183" s="1" t="str">
        <f>VLOOKUP($B183,[3]items_supply!$A$2:$E$230,3,0)</f>
        <v>p2551</v>
      </c>
      <c r="D183" s="1" t="str">
        <f>VLOOKUP($B183,[3]items_supply!$A$2:$E$230,4,0)</f>
        <v>p020</v>
      </c>
      <c r="E183" s="1" t="str">
        <f>VLOOKUP($B183,[3]items_supply!$A$2:$E$230,5,0)</f>
        <v>Nuts production</v>
      </c>
      <c r="F183" t="s">
        <v>1934</v>
      </c>
      <c r="G183" t="s">
        <v>1543</v>
      </c>
      <c r="H183" t="s">
        <v>1965</v>
      </c>
      <c r="I183" t="s">
        <v>1965</v>
      </c>
      <c r="J183" t="s">
        <v>2127</v>
      </c>
      <c r="K183" t="s">
        <v>1606</v>
      </c>
      <c r="L183" t="s">
        <v>1611</v>
      </c>
      <c r="M183" t="s">
        <v>4748</v>
      </c>
      <c r="N183" t="s">
        <v>2791</v>
      </c>
      <c r="O183" t="s">
        <v>2268</v>
      </c>
    </row>
    <row r="184" spans="1:15" x14ac:dyDescent="0.3">
      <c r="A184" t="s">
        <v>1168</v>
      </c>
      <c r="B184">
        <v>2601</v>
      </c>
      <c r="C184" s="1" t="str">
        <f>VLOOKUP($B184,[3]items_supply!$A$2:$E$230,3,0)</f>
        <v>p2601</v>
      </c>
      <c r="D184" s="1" t="str">
        <f>VLOOKUP($B184,[3]items_supply!$A$2:$E$230,4,0)</f>
        <v>p031</v>
      </c>
      <c r="E184" s="1" t="str">
        <f>VLOOKUP($B184,[3]items_supply!$A$2:$E$230,5,0)</f>
        <v>Tomatoes production</v>
      </c>
      <c r="F184" t="s">
        <v>1934</v>
      </c>
      <c r="G184" t="s">
        <v>1543</v>
      </c>
      <c r="H184" t="s">
        <v>1965</v>
      </c>
      <c r="I184" t="s">
        <v>1965</v>
      </c>
      <c r="J184" t="s">
        <v>2127</v>
      </c>
      <c r="K184" t="s">
        <v>1559</v>
      </c>
      <c r="L184" t="s">
        <v>1680</v>
      </c>
      <c r="M184" t="s">
        <v>1167</v>
      </c>
      <c r="N184" t="s">
        <v>4742</v>
      </c>
      <c r="O184" t="s">
        <v>2268</v>
      </c>
    </row>
    <row r="185" spans="1:15" x14ac:dyDescent="0.3">
      <c r="A185" t="s">
        <v>1224</v>
      </c>
      <c r="B185">
        <v>2613</v>
      </c>
      <c r="C185" s="1" t="str">
        <f>VLOOKUP($B185,[3]items_supply!$A$2:$E$230,3,0)</f>
        <v>p2613</v>
      </c>
      <c r="D185" s="1" t="str">
        <f>VLOOKUP($B185,[3]items_supply!$A$2:$E$230,4,0)</f>
        <v>p036</v>
      </c>
      <c r="E185" s="1" t="str">
        <f>VLOOKUP($B185,[3]items_supply!$A$2:$E$230,5,0)</f>
        <v>Grapefruit production</v>
      </c>
      <c r="F185" t="s">
        <v>1934</v>
      </c>
      <c r="G185" t="s">
        <v>1543</v>
      </c>
      <c r="H185" t="s">
        <v>1965</v>
      </c>
      <c r="I185" t="s">
        <v>1965</v>
      </c>
      <c r="J185" t="s">
        <v>2127</v>
      </c>
      <c r="K185" t="s">
        <v>1725</v>
      </c>
      <c r="L185" t="s">
        <v>1722</v>
      </c>
      <c r="M185" t="s">
        <v>1213</v>
      </c>
      <c r="N185" t="s">
        <v>2691</v>
      </c>
      <c r="O185" t="s">
        <v>2268</v>
      </c>
    </row>
    <row r="186" spans="1:15" x14ac:dyDescent="0.3">
      <c r="A186" t="s">
        <v>1232</v>
      </c>
      <c r="B186">
        <v>2617</v>
      </c>
      <c r="C186" s="1" t="str">
        <f>VLOOKUP($B186,[3]items_supply!$A$2:$E$230,3,0)</f>
        <v>p2617</v>
      </c>
      <c r="D186" s="1" t="str">
        <f>VLOOKUP($B186,[3]items_supply!$A$2:$E$230,4,0)</f>
        <v>p040</v>
      </c>
      <c r="E186" s="1" t="str">
        <f>VLOOKUP($B186,[3]items_supply!$A$2:$E$230,5,0)</f>
        <v>Apples production</v>
      </c>
      <c r="F186" t="s">
        <v>1934</v>
      </c>
      <c r="G186" t="s">
        <v>1543</v>
      </c>
      <c r="H186" t="s">
        <v>1965</v>
      </c>
      <c r="I186" t="s">
        <v>1965</v>
      </c>
      <c r="J186" t="s">
        <v>2127</v>
      </c>
      <c r="K186" t="s">
        <v>1607</v>
      </c>
      <c r="L186" t="s">
        <v>1726</v>
      </c>
      <c r="M186" t="s">
        <v>4749</v>
      </c>
      <c r="N186" t="s">
        <v>4742</v>
      </c>
      <c r="O186" t="s">
        <v>2268</v>
      </c>
    </row>
    <row r="187" spans="1:15" x14ac:dyDescent="0.3">
      <c r="A187" t="s">
        <v>1324</v>
      </c>
      <c r="B187">
        <v>2640</v>
      </c>
      <c r="C187" s="1" t="str">
        <f>VLOOKUP($B187,[3]items_supply!$A$2:$E$230,3,0)</f>
        <v>p2640</v>
      </c>
      <c r="D187" s="1" t="str">
        <f>VLOOKUP($B187,[3]items_supply!$A$2:$E$230,4,0)</f>
        <v>p049</v>
      </c>
      <c r="E187" s="1" t="str">
        <f>VLOOKUP($B187,[3]items_supply!$A$2:$E$230,5,0)</f>
        <v>Pepper production</v>
      </c>
      <c r="F187" t="s">
        <v>1934</v>
      </c>
      <c r="G187" t="s">
        <v>1543</v>
      </c>
      <c r="H187" t="s">
        <v>1965</v>
      </c>
      <c r="I187" t="s">
        <v>1965</v>
      </c>
      <c r="J187" t="s">
        <v>2127</v>
      </c>
      <c r="K187" t="s">
        <v>1806</v>
      </c>
      <c r="L187" t="s">
        <v>1328</v>
      </c>
      <c r="M187" t="s">
        <v>4743</v>
      </c>
      <c r="N187" t="s">
        <v>2691</v>
      </c>
      <c r="O187" t="s">
        <v>2268</v>
      </c>
    </row>
    <row r="188" spans="1:15" x14ac:dyDescent="0.3">
      <c r="A188" t="s">
        <v>1920</v>
      </c>
      <c r="B188" s="1">
        <v>2690</v>
      </c>
      <c r="C188" s="1" t="str">
        <f>VLOOKUP($B188,[3]items_supply!$A$2:$E$230,3,0)</f>
        <v>p2690</v>
      </c>
      <c r="D188" s="1" t="str">
        <f>VLOOKUP($B188,[3]items_supply!$A$2:$E$230,4,0)</f>
        <v>p126</v>
      </c>
      <c r="E188" s="1" t="str">
        <f>VLOOKUP($B188,[3]items_supply!$A$2:$E$230,5,0)</f>
        <v>Flowers production</v>
      </c>
      <c r="F188" t="s">
        <v>1934</v>
      </c>
      <c r="G188" t="s">
        <v>1543</v>
      </c>
      <c r="J188" t="s">
        <v>2127</v>
      </c>
      <c r="K188" t="s">
        <v>1022</v>
      </c>
      <c r="L188" t="s">
        <v>1920</v>
      </c>
      <c r="M188" t="s">
        <v>4743</v>
      </c>
      <c r="N188" t="s">
        <v>2691</v>
      </c>
      <c r="O188" t="s">
        <v>2268</v>
      </c>
    </row>
    <row r="189" spans="1:15" x14ac:dyDescent="0.3">
      <c r="A189" t="s">
        <v>1220</v>
      </c>
      <c r="B189">
        <v>2612</v>
      </c>
      <c r="C189" s="1" t="str">
        <f>VLOOKUP($B189,[3]items_supply!$A$2:$E$230,3,0)</f>
        <v>p2612</v>
      </c>
      <c r="D189" s="1" t="str">
        <f>VLOOKUP($B189,[3]items_supply!$A$2:$E$230,4,0)</f>
        <v>p035</v>
      </c>
      <c r="E189" s="1" t="str">
        <f>VLOOKUP($B189,[3]items_supply!$A$2:$E$230,5,0)</f>
        <v>Lemons, Limes production</v>
      </c>
      <c r="F189" t="s">
        <v>1934</v>
      </c>
      <c r="G189" t="s">
        <v>1543</v>
      </c>
      <c r="H189" t="s">
        <v>1965</v>
      </c>
      <c r="I189" t="s">
        <v>1965</v>
      </c>
      <c r="J189" t="s">
        <v>2127</v>
      </c>
      <c r="K189" t="s">
        <v>1725</v>
      </c>
      <c r="L189" t="s">
        <v>1719</v>
      </c>
      <c r="M189" t="s">
        <v>4750</v>
      </c>
      <c r="N189" t="s">
        <v>2691</v>
      </c>
      <c r="O189" t="s">
        <v>2268</v>
      </c>
    </row>
    <row r="190" spans="1:15" x14ac:dyDescent="0.3">
      <c r="A190" t="s">
        <v>1228</v>
      </c>
      <c r="B190">
        <v>2614</v>
      </c>
      <c r="C190" s="1" t="str">
        <f>VLOOKUP($B190,[3]items_supply!$A$2:$E$230,3,0)</f>
        <v>p2614</v>
      </c>
      <c r="D190" s="1" t="str">
        <f>VLOOKUP($B190,[3]items_supply!$A$2:$E$230,4,0)</f>
        <v>p037</v>
      </c>
      <c r="E190" s="1" t="str">
        <f>VLOOKUP($B190,[3]items_supply!$A$2:$E$230,5,0)</f>
        <v>Citrus production, Other</v>
      </c>
      <c r="F190" t="s">
        <v>1934</v>
      </c>
      <c r="G190" t="s">
        <v>1543</v>
      </c>
      <c r="H190" t="s">
        <v>1965</v>
      </c>
      <c r="I190" t="s">
        <v>1965</v>
      </c>
      <c r="J190" t="s">
        <v>2127</v>
      </c>
      <c r="K190" t="s">
        <v>1725</v>
      </c>
      <c r="L190" t="s">
        <v>1725</v>
      </c>
      <c r="M190" t="s">
        <v>1213</v>
      </c>
      <c r="N190" t="s">
        <v>2691</v>
      </c>
      <c r="O190" t="s">
        <v>2268</v>
      </c>
    </row>
    <row r="191" spans="1:15" x14ac:dyDescent="0.3">
      <c r="A191" t="s">
        <v>1271</v>
      </c>
      <c r="B191">
        <v>2618</v>
      </c>
      <c r="C191" s="1" t="str">
        <f>VLOOKUP($B191,[3]items_supply!$A$2:$E$230,3,0)</f>
        <v>p2618</v>
      </c>
      <c r="D191" s="1" t="str">
        <f>VLOOKUP($B191,[3]items_supply!$A$2:$E$230,4,0)</f>
        <v>p041</v>
      </c>
      <c r="E191" s="1" t="str">
        <f>VLOOKUP($B191,[3]items_supply!$A$2:$E$230,5,0)</f>
        <v>Pineapples production</v>
      </c>
      <c r="F191" t="s">
        <v>1934</v>
      </c>
      <c r="G191" t="s">
        <v>1543</v>
      </c>
      <c r="H191" t="s">
        <v>1965</v>
      </c>
      <c r="I191" t="s">
        <v>1965</v>
      </c>
      <c r="J191" t="s">
        <v>2127</v>
      </c>
      <c r="K191" t="s">
        <v>1607</v>
      </c>
      <c r="L191" t="s">
        <v>1747</v>
      </c>
      <c r="M191" t="s">
        <v>4751</v>
      </c>
      <c r="N191" t="s">
        <v>2691</v>
      </c>
      <c r="O191" t="s">
        <v>2268</v>
      </c>
    </row>
    <row r="192" spans="1:15" x14ac:dyDescent="0.3">
      <c r="A192" t="s">
        <v>1214</v>
      </c>
      <c r="B192">
        <v>2611</v>
      </c>
      <c r="C192" s="1" t="str">
        <f>VLOOKUP($B192,[3]items_supply!$A$2:$E$230,3,0)</f>
        <v>p2611</v>
      </c>
      <c r="D192" s="1" t="str">
        <f>VLOOKUP($B192,[3]items_supply!$A$2:$E$230,4,0)</f>
        <v>p034</v>
      </c>
      <c r="E192" s="1" t="str">
        <f>VLOOKUP($B192,[3]items_supply!$A$2:$E$230,5,0)</f>
        <v>Oranges, Mandarines production</v>
      </c>
      <c r="F192" t="s">
        <v>1934</v>
      </c>
      <c r="G192" t="s">
        <v>1543</v>
      </c>
      <c r="H192" t="s">
        <v>1965</v>
      </c>
      <c r="I192" t="s">
        <v>1965</v>
      </c>
      <c r="J192" t="s">
        <v>2127</v>
      </c>
      <c r="K192" t="s">
        <v>1725</v>
      </c>
      <c r="L192" t="s">
        <v>1717</v>
      </c>
      <c r="M192" t="s">
        <v>1213</v>
      </c>
      <c r="N192" t="s">
        <v>2691</v>
      </c>
      <c r="O192" t="s">
        <v>2268</v>
      </c>
    </row>
    <row r="193" spans="1:15" x14ac:dyDescent="0.3">
      <c r="A193" t="s">
        <v>1237</v>
      </c>
      <c r="B193">
        <v>2625</v>
      </c>
      <c r="C193" s="1" t="str">
        <f>VLOOKUP($B193,[3]items_supply!$A$2:$E$230,3,0)</f>
        <v>p2625</v>
      </c>
      <c r="D193" s="1" t="str">
        <f>VLOOKUP($B193,[3]items_supply!$A$2:$E$230,4,0)</f>
        <v>p044</v>
      </c>
      <c r="E193" s="1" t="str">
        <f>VLOOKUP($B193,[3]items_supply!$A$2:$E$230,5,0)</f>
        <v>Fruits production, Other</v>
      </c>
      <c r="F193" t="s">
        <v>1934</v>
      </c>
      <c r="G193" t="s">
        <v>1543</v>
      </c>
      <c r="H193" t="s">
        <v>1965</v>
      </c>
      <c r="I193" t="s">
        <v>1965</v>
      </c>
      <c r="J193" t="s">
        <v>2127</v>
      </c>
      <c r="K193" t="s">
        <v>1607</v>
      </c>
      <c r="L193" t="s">
        <v>1729</v>
      </c>
      <c r="M193" t="s">
        <v>4751</v>
      </c>
      <c r="N193" t="s">
        <v>4742</v>
      </c>
      <c r="O193" t="s">
        <v>2268</v>
      </c>
    </row>
    <row r="194" spans="1:15" x14ac:dyDescent="0.3">
      <c r="A194" t="s">
        <v>1326</v>
      </c>
      <c r="B194">
        <v>2641</v>
      </c>
      <c r="C194" s="1" t="str">
        <f>VLOOKUP($B194,[3]items_supply!$A$2:$E$230,3,0)</f>
        <v>p2641</v>
      </c>
      <c r="D194" s="1" t="str">
        <f>VLOOKUP($B194,[3]items_supply!$A$2:$E$230,4,0)</f>
        <v>p050</v>
      </c>
      <c r="E194" s="1" t="str">
        <f>VLOOKUP($B194,[3]items_supply!$A$2:$E$230,5,0)</f>
        <v>Pimento production</v>
      </c>
      <c r="F194" t="s">
        <v>1934</v>
      </c>
      <c r="G194" t="s">
        <v>1543</v>
      </c>
      <c r="H194" t="s">
        <v>1965</v>
      </c>
      <c r="I194" t="s">
        <v>1965</v>
      </c>
      <c r="J194" t="s">
        <v>2127</v>
      </c>
      <c r="K194" t="s">
        <v>1806</v>
      </c>
      <c r="L194" t="s">
        <v>1808</v>
      </c>
      <c r="M194" t="s">
        <v>4743</v>
      </c>
      <c r="N194" t="s">
        <v>4742</v>
      </c>
      <c r="O194" t="s">
        <v>2268</v>
      </c>
    </row>
    <row r="195" spans="1:15" x14ac:dyDescent="0.3">
      <c r="A195" t="s">
        <v>1322</v>
      </c>
      <c r="B195">
        <v>677</v>
      </c>
      <c r="C195" s="1" t="str">
        <f>VLOOKUP($B195,[3]items_supply!$A$2:$E$230,3,0)</f>
        <v>p677</v>
      </c>
      <c r="D195" s="1" t="str">
        <f>VLOOKUP($B195,[3]items_supply!$A$2:$E$230,4,0)</f>
        <v>p048</v>
      </c>
      <c r="E195" s="1" t="str">
        <f>VLOOKUP($B195,[3]items_supply!$A$2:$E$230,5,0)</f>
        <v>Hops production</v>
      </c>
      <c r="F195" t="s">
        <v>1934</v>
      </c>
      <c r="G195" t="s">
        <v>1543</v>
      </c>
      <c r="H195" t="s">
        <v>1965</v>
      </c>
      <c r="I195" t="s">
        <v>1965</v>
      </c>
      <c r="J195" t="s">
        <v>2127</v>
      </c>
      <c r="K195" t="s">
        <v>1806</v>
      </c>
      <c r="L195" t="s">
        <v>1804</v>
      </c>
      <c r="M195" t="s">
        <v>4743</v>
      </c>
      <c r="N195" t="s">
        <v>4742</v>
      </c>
      <c r="O195" t="s">
        <v>2268</v>
      </c>
    </row>
    <row r="196" spans="1:15" x14ac:dyDescent="0.3">
      <c r="A196" t="s">
        <v>1328</v>
      </c>
      <c r="B196">
        <v>2645</v>
      </c>
      <c r="C196" s="1" t="str">
        <f>VLOOKUP($B196,[3]items_supply!$A$2:$E$230,3,0)</f>
        <v>p2645</v>
      </c>
      <c r="D196" s="1" t="str">
        <f>VLOOKUP($B196,[3]items_supply!$A$2:$E$230,4,0)</f>
        <v>p052</v>
      </c>
      <c r="E196" s="1" t="str">
        <f>VLOOKUP($B196,[3]items_supply!$A$2:$E$230,5,0)</f>
        <v>Spices production, Other</v>
      </c>
      <c r="F196" t="s">
        <v>1934</v>
      </c>
      <c r="G196" t="s">
        <v>1543</v>
      </c>
      <c r="H196" t="s">
        <v>1965</v>
      </c>
      <c r="I196" t="s">
        <v>1965</v>
      </c>
      <c r="J196" t="s">
        <v>2127</v>
      </c>
      <c r="K196" t="s">
        <v>1806</v>
      </c>
      <c r="L196" t="s">
        <v>2150</v>
      </c>
      <c r="M196" t="s">
        <v>4743</v>
      </c>
      <c r="N196" t="s">
        <v>4742</v>
      </c>
      <c r="O196" t="s">
        <v>2268</v>
      </c>
    </row>
    <row r="197" spans="1:15" s="2" customFormat="1" x14ac:dyDescent="0.3">
      <c r="A197" s="2" t="s">
        <v>2151</v>
      </c>
      <c r="B197" s="142">
        <v>2899</v>
      </c>
      <c r="C197" s="3" t="e">
        <f>VLOOKUP($B197,[3]items_supply!$A$2:$E$230,3,0)</f>
        <v>#N/A</v>
      </c>
      <c r="D197" s="3" t="e">
        <f>VLOOKUP($B197,[3]items_supply!$A$2:$E$230,4,0)</f>
        <v>#N/A</v>
      </c>
      <c r="E197" s="3" t="e">
        <f>VLOOKUP($B197,[3]items_supply!$A$2:$E$230,5,0)</f>
        <v>#N/A</v>
      </c>
      <c r="F197" s="2" t="s">
        <v>1934</v>
      </c>
      <c r="G197" s="2" t="s">
        <v>1543</v>
      </c>
      <c r="J197" s="2" t="s">
        <v>2127</v>
      </c>
      <c r="K197" t="s">
        <v>1022</v>
      </c>
      <c r="L197">
        <v>0</v>
      </c>
      <c r="M197" t="s">
        <v>4722</v>
      </c>
      <c r="N197" t="s">
        <v>4742</v>
      </c>
      <c r="O197" s="2" t="s">
        <v>2268</v>
      </c>
    </row>
    <row r="198" spans="1:15" x14ac:dyDescent="0.3">
      <c r="A198" t="s">
        <v>1180</v>
      </c>
      <c r="B198">
        <v>2602</v>
      </c>
      <c r="C198" s="1" t="str">
        <f>VLOOKUP($B198,[3]items_supply!$A$2:$E$230,3,0)</f>
        <v>p2602</v>
      </c>
      <c r="D198" s="1" t="str">
        <f>VLOOKUP($B198,[3]items_supply!$A$2:$E$230,4,0)</f>
        <v>p032</v>
      </c>
      <c r="E198" s="1" t="str">
        <f>VLOOKUP($B198,[3]items_supply!$A$2:$E$230,5,0)</f>
        <v>Onions production</v>
      </c>
      <c r="F198" t="s">
        <v>1934</v>
      </c>
      <c r="G198" t="s">
        <v>1543</v>
      </c>
      <c r="H198" t="s">
        <v>1965</v>
      </c>
      <c r="I198" t="s">
        <v>1965</v>
      </c>
      <c r="J198" t="s">
        <v>2127</v>
      </c>
      <c r="K198" t="s">
        <v>1559</v>
      </c>
      <c r="L198" t="s">
        <v>1692</v>
      </c>
      <c r="M198" t="s">
        <v>1180</v>
      </c>
      <c r="N198" t="s">
        <v>4742</v>
      </c>
      <c r="O198" t="s">
        <v>2268</v>
      </c>
    </row>
    <row r="199" spans="1:15" x14ac:dyDescent="0.3">
      <c r="A199" t="s">
        <v>1274</v>
      </c>
      <c r="B199">
        <v>2619</v>
      </c>
      <c r="C199" s="1" t="str">
        <f>VLOOKUP($B199,[3]items_supply!$A$2:$E$230,3,0)</f>
        <v>p2619</v>
      </c>
      <c r="D199" s="1" t="str">
        <f>VLOOKUP($B199,[3]items_supply!$A$2:$E$230,4,0)</f>
        <v>p042</v>
      </c>
      <c r="E199" s="1" t="str">
        <f>VLOOKUP($B199,[3]items_supply!$A$2:$E$230,5,0)</f>
        <v>Dates production</v>
      </c>
      <c r="F199" t="s">
        <v>1934</v>
      </c>
      <c r="G199" t="s">
        <v>1543</v>
      </c>
      <c r="H199" t="s">
        <v>1965</v>
      </c>
      <c r="I199" t="s">
        <v>1965</v>
      </c>
      <c r="J199" t="s">
        <v>2127</v>
      </c>
      <c r="K199" t="s">
        <v>1607</v>
      </c>
      <c r="L199" t="s">
        <v>1274</v>
      </c>
      <c r="M199" t="s">
        <v>4751</v>
      </c>
      <c r="N199" t="s">
        <v>4742</v>
      </c>
      <c r="O199" t="s">
        <v>2267</v>
      </c>
    </row>
    <row r="200" spans="1:15" x14ac:dyDescent="0.3">
      <c r="A200" t="s">
        <v>1925</v>
      </c>
      <c r="B200" s="1">
        <v>3500</v>
      </c>
      <c r="C200" s="1" t="str">
        <f>VLOOKUP($B200,[3]items_supply!$A$2:$E$230,3,0)</f>
        <v>p3500</v>
      </c>
      <c r="D200" s="1" t="str">
        <f>VLOOKUP($B200,[3]items_supply!$A$2:$E$230,4,0)</f>
        <v>p127</v>
      </c>
      <c r="E200" s="1" t="str">
        <f>VLOOKUP($B200,[3]items_supply!$A$2:$E$230,5,0)</f>
        <v>Scavenging production</v>
      </c>
      <c r="F200" t="s">
        <v>1934</v>
      </c>
      <c r="G200" t="s">
        <v>1925</v>
      </c>
      <c r="H200" t="s">
        <v>2158</v>
      </c>
      <c r="I200" t="s">
        <v>2158</v>
      </c>
      <c r="J200" t="s">
        <v>1922</v>
      </c>
      <c r="K200" t="s">
        <v>1925</v>
      </c>
      <c r="L200" t="s">
        <v>1871</v>
      </c>
      <c r="M200" t="s">
        <v>4715</v>
      </c>
      <c r="N200" t="s">
        <v>2728</v>
      </c>
      <c r="O200" t="s">
        <v>2267</v>
      </c>
    </row>
  </sheetData>
  <autoFilter ref="A1:J200" xr:uid="{2BBFCC73-C2AE-4EAA-87FD-10870A893927}">
    <sortState xmlns:xlrd2="http://schemas.microsoft.com/office/spreadsheetml/2017/richdata2" ref="A2:J200">
      <sortCondition ref="G1:G200"/>
    </sortState>
  </autoFilter>
  <sortState xmlns:xlrd2="http://schemas.microsoft.com/office/spreadsheetml/2017/richdata2" ref="A2:L199">
    <sortCondition ref="J2:J199"/>
  </sortState>
  <phoneticPr fontId="3" type="noConversion"/>
  <pageMargins left="0.7" right="0.7" top="0.75" bottom="0.75" header="0.3" footer="0.3"/>
  <pageSetup paperSize="9" orientation="portrait"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CE008-E9F8-431C-BF1F-98FF73CC389D}">
  <dimension ref="A1:F13"/>
  <sheetViews>
    <sheetView workbookViewId="0">
      <selection activeCell="F20" sqref="F20"/>
    </sheetView>
  </sheetViews>
  <sheetFormatPr defaultColWidth="10.77734375" defaultRowHeight="14.4" x14ac:dyDescent="0.3"/>
  <sheetData>
    <row r="1" spans="1:6" x14ac:dyDescent="0.3">
      <c r="A1" t="s">
        <v>1514</v>
      </c>
      <c r="B1" t="s">
        <v>1515</v>
      </c>
      <c r="C1" t="s">
        <v>1531</v>
      </c>
      <c r="D1" s="5" t="s">
        <v>1516</v>
      </c>
      <c r="E1" s="5" t="s">
        <v>1517</v>
      </c>
      <c r="F1" t="s">
        <v>1518</v>
      </c>
    </row>
    <row r="2" spans="1:6" x14ac:dyDescent="0.3">
      <c r="A2" t="s">
        <v>1078</v>
      </c>
      <c r="B2">
        <v>248</v>
      </c>
      <c r="C2" t="s">
        <v>1079</v>
      </c>
      <c r="D2" s="5">
        <v>0.98</v>
      </c>
    </row>
    <row r="3" spans="1:6" x14ac:dyDescent="0.3">
      <c r="A3" t="s">
        <v>1078</v>
      </c>
      <c r="B3">
        <v>248</v>
      </c>
      <c r="C3" t="s">
        <v>1356</v>
      </c>
      <c r="D3" s="5">
        <v>0.02</v>
      </c>
    </row>
    <row r="4" spans="1:6" x14ac:dyDescent="0.3">
      <c r="A4" t="s">
        <v>1523</v>
      </c>
      <c r="B4">
        <v>776</v>
      </c>
      <c r="C4" t="s">
        <v>1100</v>
      </c>
      <c r="D4" s="5">
        <v>0.23</v>
      </c>
    </row>
    <row r="5" spans="1:6" x14ac:dyDescent="0.3">
      <c r="A5" t="s">
        <v>1523</v>
      </c>
      <c r="B5">
        <v>776</v>
      </c>
      <c r="C5" t="s">
        <v>1345</v>
      </c>
      <c r="D5" s="5">
        <v>0.77</v>
      </c>
    </row>
    <row r="6" spans="1:6" x14ac:dyDescent="0.3">
      <c r="A6" t="s">
        <v>1524</v>
      </c>
      <c r="B6">
        <v>772</v>
      </c>
      <c r="C6" t="s">
        <v>1100</v>
      </c>
      <c r="D6" s="5">
        <v>0.24</v>
      </c>
    </row>
    <row r="7" spans="1:6" x14ac:dyDescent="0.3">
      <c r="A7" t="s">
        <v>1524</v>
      </c>
      <c r="B7">
        <v>772</v>
      </c>
      <c r="C7" t="s">
        <v>1345</v>
      </c>
      <c r="D7" s="5">
        <v>0.76</v>
      </c>
    </row>
    <row r="8" spans="1:6" x14ac:dyDescent="0.3">
      <c r="A8" t="s">
        <v>1140</v>
      </c>
      <c r="B8">
        <v>310</v>
      </c>
      <c r="C8" t="s">
        <v>1100</v>
      </c>
      <c r="D8" s="5">
        <v>0.28999999999999998</v>
      </c>
    </row>
    <row r="9" spans="1:6" x14ac:dyDescent="0.3">
      <c r="A9" t="s">
        <v>1140</v>
      </c>
      <c r="B9">
        <v>310</v>
      </c>
      <c r="C9" t="s">
        <v>1345</v>
      </c>
      <c r="D9" s="5">
        <v>0.71</v>
      </c>
    </row>
    <row r="10" spans="1:6" x14ac:dyDescent="0.3">
      <c r="A10" t="s">
        <v>1525</v>
      </c>
      <c r="B10">
        <v>328</v>
      </c>
      <c r="C10" t="s">
        <v>1340</v>
      </c>
      <c r="D10" s="5">
        <v>0.35</v>
      </c>
      <c r="E10" s="5"/>
      <c r="F10">
        <v>1</v>
      </c>
    </row>
    <row r="11" spans="1:6" x14ac:dyDescent="0.3">
      <c r="A11" t="s">
        <v>1525</v>
      </c>
      <c r="B11">
        <v>328</v>
      </c>
      <c r="C11" t="s">
        <v>1145</v>
      </c>
      <c r="D11" s="5">
        <v>0.65</v>
      </c>
      <c r="E11" s="5"/>
      <c r="F11">
        <v>1</v>
      </c>
    </row>
    <row r="12" spans="1:6" x14ac:dyDescent="0.3">
      <c r="A12" t="s">
        <v>1526</v>
      </c>
      <c r="B12">
        <v>254</v>
      </c>
      <c r="C12" t="s">
        <v>1087</v>
      </c>
      <c r="D12" s="5">
        <v>0.06</v>
      </c>
      <c r="E12" s="5">
        <v>0.16</v>
      </c>
      <c r="F12">
        <v>1</v>
      </c>
    </row>
    <row r="13" spans="1:6" x14ac:dyDescent="0.3">
      <c r="A13" t="s">
        <v>1526</v>
      </c>
      <c r="B13">
        <v>254</v>
      </c>
      <c r="C13" t="s">
        <v>1089</v>
      </c>
      <c r="D13" s="5">
        <v>0.19</v>
      </c>
      <c r="E13" s="5">
        <v>0.84323650658249738</v>
      </c>
      <c r="F13">
        <v>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F00BA-2615-473A-B682-034EFD5C7A60}">
  <dimension ref="A1:D73"/>
  <sheetViews>
    <sheetView workbookViewId="0">
      <selection activeCell="I10" sqref="I10"/>
    </sheetView>
  </sheetViews>
  <sheetFormatPr defaultColWidth="10.77734375" defaultRowHeight="14.4" x14ac:dyDescent="0.3"/>
  <cols>
    <col min="1" max="1" width="27.77734375" customWidth="1"/>
    <col min="2" max="2" width="24.21875" customWidth="1"/>
    <col min="3" max="3" width="14.5546875" style="5" customWidth="1"/>
    <col min="4" max="4" width="13.77734375" style="5" customWidth="1"/>
  </cols>
  <sheetData>
    <row r="1" spans="1:4" x14ac:dyDescent="0.3">
      <c r="A1" t="s">
        <v>1514</v>
      </c>
      <c r="B1" t="s">
        <v>1531</v>
      </c>
      <c r="C1" s="5" t="s">
        <v>1516</v>
      </c>
      <c r="D1" s="5" t="s">
        <v>1517</v>
      </c>
    </row>
    <row r="2" spans="1:4" x14ac:dyDescent="0.3">
      <c r="A2" t="s">
        <v>930</v>
      </c>
      <c r="B2" t="s">
        <v>1293</v>
      </c>
      <c r="C2" s="6">
        <v>0.2</v>
      </c>
      <c r="D2" s="6">
        <v>0.9</v>
      </c>
    </row>
    <row r="3" spans="1:4" x14ac:dyDescent="0.3">
      <c r="A3" t="s">
        <v>1015</v>
      </c>
      <c r="B3" t="s">
        <v>1293</v>
      </c>
      <c r="C3" s="6">
        <v>0.2</v>
      </c>
      <c r="D3" s="6">
        <v>1</v>
      </c>
    </row>
    <row r="4" spans="1:4" x14ac:dyDescent="0.3">
      <c r="A4" t="s">
        <v>1005</v>
      </c>
      <c r="B4" t="s">
        <v>1293</v>
      </c>
      <c r="C4" s="6">
        <v>0.06</v>
      </c>
      <c r="D4" s="6">
        <v>1</v>
      </c>
    </row>
    <row r="5" spans="1:4" x14ac:dyDescent="0.3">
      <c r="A5" t="s">
        <v>947</v>
      </c>
      <c r="B5" t="s">
        <v>1293</v>
      </c>
      <c r="C5" s="6">
        <v>0.2</v>
      </c>
      <c r="D5" s="6">
        <v>0.9</v>
      </c>
    </row>
    <row r="6" spans="1:4" x14ac:dyDescent="0.3">
      <c r="A6" t="s">
        <v>942</v>
      </c>
      <c r="B6" t="s">
        <v>1293</v>
      </c>
      <c r="C6" s="6">
        <v>0.2</v>
      </c>
      <c r="D6" s="6">
        <v>0.9</v>
      </c>
    </row>
    <row r="7" spans="1:4" x14ac:dyDescent="0.3">
      <c r="A7" t="s">
        <v>944</v>
      </c>
      <c r="B7" t="s">
        <v>1293</v>
      </c>
      <c r="C7" s="6">
        <v>0.2</v>
      </c>
      <c r="D7" s="6">
        <v>0.9</v>
      </c>
    </row>
    <row r="8" spans="1:4" x14ac:dyDescent="0.3">
      <c r="A8" t="s">
        <v>956</v>
      </c>
      <c r="B8" t="s">
        <v>1293</v>
      </c>
      <c r="C8" s="6">
        <v>0.2</v>
      </c>
      <c r="D8" s="6">
        <v>0.9</v>
      </c>
    </row>
    <row r="9" spans="1:4" x14ac:dyDescent="0.3">
      <c r="A9" t="s">
        <v>1527</v>
      </c>
      <c r="B9" t="s">
        <v>1293</v>
      </c>
      <c r="C9" s="6">
        <v>0.2</v>
      </c>
      <c r="D9" s="6">
        <v>0.9</v>
      </c>
    </row>
    <row r="10" spans="1:4" x14ac:dyDescent="0.3">
      <c r="A10" t="s">
        <v>951</v>
      </c>
      <c r="B10" t="s">
        <v>1293</v>
      </c>
      <c r="C10" s="6">
        <v>0.2</v>
      </c>
      <c r="D10" s="6">
        <v>0.9</v>
      </c>
    </row>
    <row r="11" spans="1:4" x14ac:dyDescent="0.3">
      <c r="A11" t="s">
        <v>920</v>
      </c>
      <c r="B11" t="s">
        <v>928</v>
      </c>
      <c r="C11" s="5">
        <f>VLOOKUP(B11,[4]TF_plant_JRC!$F$17:$H$93,2,0)</f>
        <v>6.55</v>
      </c>
      <c r="D11" s="5">
        <f>VLOOKUP(B11,[4]TF_plant_JRC!$F$17:$H$93,3,0)</f>
        <v>1</v>
      </c>
    </row>
    <row r="12" spans="1:4" x14ac:dyDescent="0.3">
      <c r="A12" t="s">
        <v>1262</v>
      </c>
      <c r="B12" t="s">
        <v>1296</v>
      </c>
      <c r="C12" s="6">
        <v>0.5</v>
      </c>
      <c r="D12" s="6">
        <v>1</v>
      </c>
    </row>
    <row r="13" spans="1:4" x14ac:dyDescent="0.3">
      <c r="A13" t="s">
        <v>1232</v>
      </c>
      <c r="B13" t="s">
        <v>902</v>
      </c>
      <c r="C13" s="5">
        <f>VLOOKUP(B13,[4]TF_plant_JRC!$F$17:$H$93,2,0)</f>
        <v>0.7</v>
      </c>
      <c r="D13" s="5">
        <f>VLOOKUP(B13,[4]TF_plant_JRC!$F$17:$H$93,3,0)</f>
        <v>1</v>
      </c>
    </row>
    <row r="14" spans="1:4" x14ac:dyDescent="0.3">
      <c r="A14" t="s">
        <v>891</v>
      </c>
      <c r="B14" t="s">
        <v>1521</v>
      </c>
      <c r="C14" s="5">
        <f>1-C21</f>
        <v>0.5</v>
      </c>
      <c r="D14" s="5">
        <f>1-D21</f>
        <v>0.99</v>
      </c>
    </row>
    <row r="15" spans="1:4" x14ac:dyDescent="0.3">
      <c r="A15" t="s">
        <v>930</v>
      </c>
      <c r="B15" t="s">
        <v>936</v>
      </c>
      <c r="C15" s="5">
        <f>VLOOKUP(B15,[4]TF_plant_JRC!$F$17:$H$93,2,0)</f>
        <v>0.11</v>
      </c>
      <c r="D15" s="5">
        <f>VLOOKUP(B15,[4]TF_plant_JRC!$F$17:$H$93,3,0)</f>
        <v>9.7234849621385649E-2</v>
      </c>
    </row>
    <row r="16" spans="1:4" x14ac:dyDescent="0.3">
      <c r="A16" t="s">
        <v>1079</v>
      </c>
      <c r="B16" t="s">
        <v>1083</v>
      </c>
      <c r="C16" s="5">
        <f>VLOOKUP(B16,[4]TF_plant_JRC!$F$17:$H$93,2,0)</f>
        <v>0.36</v>
      </c>
      <c r="D16" s="5">
        <f>VLOOKUP(B16,[4]TF_plant_JRC!$F$17:$H$93,3,0)</f>
        <v>0.76</v>
      </c>
    </row>
    <row r="17" spans="1:4" x14ac:dyDescent="0.3">
      <c r="A17" t="s">
        <v>1079</v>
      </c>
      <c r="B17" t="s">
        <v>1085</v>
      </c>
      <c r="C17" s="5">
        <f>VLOOKUP(B17,[4]TF_plant_JRC!$F$17:$H$93,2,0)</f>
        <v>0.61</v>
      </c>
      <c r="D17" s="5">
        <f>VLOOKUP(B17,[4]TF_plant_JRC!$F$17:$H$93,3,0)</f>
        <v>0.24</v>
      </c>
    </row>
    <row r="18" spans="1:4" x14ac:dyDescent="0.3">
      <c r="A18" t="s">
        <v>1145</v>
      </c>
      <c r="B18" t="s">
        <v>1149</v>
      </c>
      <c r="C18" s="5">
        <f>VLOOKUP(B18,[4]TF_plant_JRC!$F$17:$H$93,2,0)</f>
        <v>0.51</v>
      </c>
      <c r="D18" s="5">
        <f>VLOOKUP(B18,[4]TF_plant_JRC!$F$17:$H$93,3,0)</f>
        <v>0.32937551139078125</v>
      </c>
    </row>
    <row r="19" spans="1:4" x14ac:dyDescent="0.3">
      <c r="A19" t="s">
        <v>1145</v>
      </c>
      <c r="B19" t="s">
        <v>1147</v>
      </c>
      <c r="C19" s="6">
        <f>$C$9</f>
        <v>0.2</v>
      </c>
      <c r="D19" s="6">
        <f>$D$9</f>
        <v>0.9</v>
      </c>
    </row>
    <row r="20" spans="1:4" x14ac:dyDescent="0.3">
      <c r="A20" t="s">
        <v>947</v>
      </c>
      <c r="B20" t="s">
        <v>1305</v>
      </c>
      <c r="C20" s="6">
        <v>0.5</v>
      </c>
      <c r="D20" s="6">
        <v>0.01</v>
      </c>
    </row>
    <row r="21" spans="1:4" x14ac:dyDescent="0.3">
      <c r="A21" t="s">
        <v>942</v>
      </c>
      <c r="B21" t="s">
        <v>1305</v>
      </c>
      <c r="C21" s="6">
        <v>0.5</v>
      </c>
      <c r="D21" s="6">
        <v>0.01</v>
      </c>
    </row>
    <row r="22" spans="1:4" x14ac:dyDescent="0.3">
      <c r="A22" t="s">
        <v>944</v>
      </c>
      <c r="B22" t="s">
        <v>1305</v>
      </c>
      <c r="C22" s="6">
        <v>0.5</v>
      </c>
      <c r="D22" s="6">
        <v>0.01</v>
      </c>
    </row>
    <row r="23" spans="1:4" x14ac:dyDescent="0.3">
      <c r="A23" t="s">
        <v>956</v>
      </c>
      <c r="B23" t="s">
        <v>1305</v>
      </c>
      <c r="C23" s="6">
        <v>0.5</v>
      </c>
      <c r="D23" s="6">
        <v>0.01</v>
      </c>
    </row>
    <row r="24" spans="1:4" x14ac:dyDescent="0.3">
      <c r="A24" t="s">
        <v>1527</v>
      </c>
      <c r="B24" t="s">
        <v>1305</v>
      </c>
      <c r="C24" s="6">
        <v>0.5</v>
      </c>
      <c r="D24" s="6">
        <v>0.01</v>
      </c>
    </row>
    <row r="25" spans="1:4" x14ac:dyDescent="0.3">
      <c r="A25" t="s">
        <v>951</v>
      </c>
      <c r="B25" t="s">
        <v>1305</v>
      </c>
      <c r="C25" s="6">
        <v>0.5</v>
      </c>
      <c r="D25" s="6">
        <v>0.01</v>
      </c>
    </row>
    <row r="26" spans="1:4" x14ac:dyDescent="0.3">
      <c r="A26" t="s">
        <v>1032</v>
      </c>
      <c r="B26" t="s">
        <v>1305</v>
      </c>
      <c r="C26" s="6">
        <v>0.5</v>
      </c>
      <c r="D26" s="6">
        <v>0.01</v>
      </c>
    </row>
    <row r="27" spans="1:4" x14ac:dyDescent="0.3">
      <c r="A27" t="s">
        <v>920</v>
      </c>
      <c r="B27" t="s">
        <v>1519</v>
      </c>
      <c r="C27" s="6">
        <v>0.5</v>
      </c>
      <c r="D27" s="6">
        <v>0.01</v>
      </c>
    </row>
    <row r="28" spans="1:4" x14ac:dyDescent="0.3">
      <c r="A28" t="s">
        <v>920</v>
      </c>
      <c r="B28" t="s">
        <v>1528</v>
      </c>
    </row>
    <row r="29" spans="1:4" x14ac:dyDescent="0.3">
      <c r="A29" t="s">
        <v>930</v>
      </c>
      <c r="B29" t="s">
        <v>1528</v>
      </c>
    </row>
    <row r="30" spans="1:4" x14ac:dyDescent="0.3">
      <c r="A30" t="s">
        <v>1298</v>
      </c>
      <c r="B30" t="s">
        <v>1528</v>
      </c>
    </row>
    <row r="31" spans="1:4" x14ac:dyDescent="0.3">
      <c r="A31" t="s">
        <v>947</v>
      </c>
      <c r="B31" t="s">
        <v>1528</v>
      </c>
    </row>
    <row r="32" spans="1:4" x14ac:dyDescent="0.3">
      <c r="A32" t="s">
        <v>942</v>
      </c>
      <c r="B32" t="s">
        <v>1528</v>
      </c>
    </row>
    <row r="33" spans="1:4" x14ac:dyDescent="0.3">
      <c r="A33" t="s">
        <v>891</v>
      </c>
      <c r="B33" t="s">
        <v>1528</v>
      </c>
    </row>
    <row r="34" spans="1:4" x14ac:dyDescent="0.3">
      <c r="A34" t="s">
        <v>944</v>
      </c>
      <c r="B34" t="s">
        <v>1528</v>
      </c>
    </row>
    <row r="35" spans="1:4" x14ac:dyDescent="0.3">
      <c r="A35" t="s">
        <v>956</v>
      </c>
      <c r="B35" t="s">
        <v>1528</v>
      </c>
    </row>
    <row r="36" spans="1:4" x14ac:dyDescent="0.3">
      <c r="A36" t="s">
        <v>1527</v>
      </c>
      <c r="B36" t="s">
        <v>1528</v>
      </c>
    </row>
    <row r="37" spans="1:4" x14ac:dyDescent="0.3">
      <c r="A37" t="s">
        <v>951</v>
      </c>
      <c r="B37" t="s">
        <v>1528</v>
      </c>
    </row>
    <row r="38" spans="1:4" x14ac:dyDescent="0.3">
      <c r="A38" t="s">
        <v>891</v>
      </c>
      <c r="B38" t="s">
        <v>1522</v>
      </c>
      <c r="C38" s="5">
        <f>VLOOKUP(B38,[4]TF_plant_JRC!$F$3:$H$93,2,0)</f>
        <v>0.79</v>
      </c>
      <c r="D38" s="5">
        <f>VLOOKUP(B38,[4]TF_plant_JRC!$F$3:$H$93,3,0)</f>
        <v>0.7993920558187525</v>
      </c>
    </row>
    <row r="39" spans="1:4" x14ac:dyDescent="0.3">
      <c r="A39" t="s">
        <v>1070</v>
      </c>
      <c r="B39" t="s">
        <v>1075</v>
      </c>
      <c r="C39" s="5">
        <f>VLOOKUP(B39,[4]TF_plant_JRC!$F$17:$H$93,2,0)</f>
        <v>0.54</v>
      </c>
      <c r="D39" s="5">
        <f>VLOOKUP(B39,[4]TF_plant_JRC!$F$17:$H$93,3,0)</f>
        <v>0.20163923648510021</v>
      </c>
    </row>
    <row r="40" spans="1:4" x14ac:dyDescent="0.3">
      <c r="A40" t="s">
        <v>1070</v>
      </c>
      <c r="B40" t="s">
        <v>1073</v>
      </c>
      <c r="C40" s="5">
        <f>VLOOKUP(B40,[4]TF_plant_JRC!$F$17:$H$93,2,0)</f>
        <v>0.43</v>
      </c>
      <c r="D40" s="5">
        <f>VLOOKUP(B40,[4]TF_plant_JRC!$F$17:$H$93,3,0)</f>
        <v>0.79836076351489982</v>
      </c>
    </row>
    <row r="41" spans="1:4" x14ac:dyDescent="0.3">
      <c r="A41" t="s">
        <v>930</v>
      </c>
      <c r="B41" t="s">
        <v>935</v>
      </c>
      <c r="C41" s="6">
        <v>0.05</v>
      </c>
      <c r="D41" s="6">
        <v>0.05</v>
      </c>
    </row>
    <row r="42" spans="1:4" x14ac:dyDescent="0.3">
      <c r="A42" t="s">
        <v>1006</v>
      </c>
      <c r="B42" t="s">
        <v>1015</v>
      </c>
      <c r="C42" s="5">
        <f>VLOOKUP(B42,[4]TF_plant_JRC!$F$17:$H$93,2,0)</f>
        <v>0.05</v>
      </c>
      <c r="D42" s="5">
        <f>VLOOKUP(B42,[4]TF_plant_JRC!$F$17:$H$93,3,0)</f>
        <v>0.08</v>
      </c>
    </row>
    <row r="43" spans="1:4" x14ac:dyDescent="0.3">
      <c r="A43" t="s">
        <v>1005</v>
      </c>
      <c r="B43" t="s">
        <v>1015</v>
      </c>
      <c r="C43" s="5">
        <f>VLOOKUP(B43,[4]TF_plant_JRC!$F$17:$H$93,2,0)</f>
        <v>0.05</v>
      </c>
      <c r="D43" s="5">
        <f>VLOOKUP(B43,[4]TF_plant_JRC!$F$17:$H$93,3,0)</f>
        <v>0.08</v>
      </c>
    </row>
    <row r="44" spans="1:4" x14ac:dyDescent="0.3">
      <c r="A44" t="s">
        <v>1100</v>
      </c>
      <c r="B44" t="s">
        <v>1102</v>
      </c>
      <c r="C44" s="6">
        <f>$C$9</f>
        <v>0.2</v>
      </c>
      <c r="D44" s="6">
        <f>$D$9</f>
        <v>0.9</v>
      </c>
    </row>
    <row r="45" spans="1:4" x14ac:dyDescent="0.3">
      <c r="A45" t="s">
        <v>1100</v>
      </c>
      <c r="B45" t="s">
        <v>937</v>
      </c>
      <c r="C45" s="5">
        <f>VLOOKUP(B45,[4]TF_plant_JRC!$F$17:$H$93,2,0)</f>
        <v>0.63</v>
      </c>
      <c r="D45" s="5">
        <f>VLOOKUP(B45,[4]TF_plant_JRC!$F$17:$H$93,3,0)</f>
        <v>0.3750720990127574</v>
      </c>
    </row>
    <row r="46" spans="1:4" x14ac:dyDescent="0.3">
      <c r="A46" t="s">
        <v>1095</v>
      </c>
      <c r="B46" t="s">
        <v>1097</v>
      </c>
      <c r="C46" s="5">
        <f>VLOOKUP(B46,[4]TF_plant_JRC!$F$17:$H$93,2,0)</f>
        <v>0.2</v>
      </c>
      <c r="D46" s="5">
        <f>VLOOKUP(B46,[4]TF_plant_JRC!$F$17:$H$93,3,0)</f>
        <v>0.95741496292538231</v>
      </c>
    </row>
    <row r="47" spans="1:4" x14ac:dyDescent="0.3">
      <c r="A47" t="s">
        <v>1086</v>
      </c>
      <c r="B47" t="s">
        <v>1087</v>
      </c>
      <c r="C47" s="5">
        <f>VLOOKUP(B47,[4]TF_plant_JRC!$F$17:$H$93,2,0)</f>
        <v>0.06</v>
      </c>
      <c r="D47" s="5">
        <f>VLOOKUP(B47,[4]TF_plant_JRC!$F$17:$H$93,3,0)</f>
        <v>0.16</v>
      </c>
    </row>
    <row r="48" spans="1:4" x14ac:dyDescent="0.3">
      <c r="A48" t="s">
        <v>1086</v>
      </c>
      <c r="B48" t="s">
        <v>1089</v>
      </c>
      <c r="C48" s="5">
        <f>VLOOKUP(B48,[4]TF_plant_JRC!$F$17:$H$93,2,0)</f>
        <v>0.19</v>
      </c>
      <c r="D48" s="5">
        <f>VLOOKUP(B48,[4]TF_plant_JRC!$F$17:$H$93,3,0)</f>
        <v>0.84323650658249738</v>
      </c>
    </row>
    <row r="49" spans="1:4" x14ac:dyDescent="0.3">
      <c r="A49" t="s">
        <v>1087</v>
      </c>
      <c r="B49" t="s">
        <v>1093</v>
      </c>
      <c r="C49" s="5">
        <f>VLOOKUP(B49,[4]TF_plant_JRC!$F$17:$H$93,2,0)</f>
        <v>0.52</v>
      </c>
      <c r="D49" s="5">
        <f>VLOOKUP(B49,[4]TF_plant_JRC!$F$17:$H$93,3,0)</f>
        <v>0.15097806180408466</v>
      </c>
    </row>
    <row r="50" spans="1:4" x14ac:dyDescent="0.3">
      <c r="A50" t="s">
        <v>1087</v>
      </c>
      <c r="B50" t="s">
        <v>1091</v>
      </c>
      <c r="C50" s="5">
        <f>VLOOKUP(B50,[4]TF_plant_JRC!$F$17:$H$93,2,0)</f>
        <v>0.46</v>
      </c>
      <c r="D50" s="5">
        <f>VLOOKUP(B50,[4]TF_plant_JRC!$F$17:$H$93,3,0)</f>
        <v>0.85</v>
      </c>
    </row>
    <row r="51" spans="1:4" x14ac:dyDescent="0.3">
      <c r="A51" t="s">
        <v>1111</v>
      </c>
      <c r="B51" t="s">
        <v>1115</v>
      </c>
      <c r="C51" s="5">
        <f>VLOOKUP(B51,[4]TF_plant_JRC!$F$17:$H$93,2,0)</f>
        <v>0.6</v>
      </c>
      <c r="D51" s="5">
        <f>VLOOKUP(B51,[4]TF_plant_JRC!$F$17:$H$93,3,0)</f>
        <v>0.29469947565818211</v>
      </c>
    </row>
    <row r="52" spans="1:4" x14ac:dyDescent="0.3">
      <c r="A52" t="s">
        <v>1111</v>
      </c>
      <c r="B52" t="s">
        <v>1113</v>
      </c>
      <c r="C52" s="5">
        <f>VLOOKUP(B52,[4]TF_plant_JRC!$F$17:$H$93,2,0)</f>
        <v>0.38</v>
      </c>
      <c r="D52" s="5">
        <f>VLOOKUP(B52,[4]TF_plant_JRC!$F$17:$H$93,3,0)</f>
        <v>0.705300524341818</v>
      </c>
    </row>
    <row r="53" spans="1:4" x14ac:dyDescent="0.3">
      <c r="A53" t="s">
        <v>1124</v>
      </c>
      <c r="B53" t="s">
        <v>1128</v>
      </c>
      <c r="C53" s="6">
        <f>C44</f>
        <v>0.2</v>
      </c>
      <c r="D53" s="6">
        <f>D44</f>
        <v>0.9</v>
      </c>
    </row>
    <row r="54" spans="1:4" x14ac:dyDescent="0.3">
      <c r="A54" t="s">
        <v>1124</v>
      </c>
      <c r="B54" t="s">
        <v>1126</v>
      </c>
      <c r="C54" s="6">
        <f>$C$9</f>
        <v>0.2</v>
      </c>
      <c r="D54" s="6">
        <f>$D$9</f>
        <v>0.9</v>
      </c>
    </row>
    <row r="55" spans="1:4" x14ac:dyDescent="0.3">
      <c r="A55" t="s">
        <v>1061</v>
      </c>
      <c r="B55" t="s">
        <v>1520</v>
      </c>
      <c r="C55" s="6">
        <v>0.05</v>
      </c>
      <c r="D55" s="6">
        <v>0.03</v>
      </c>
    </row>
    <row r="56" spans="1:4" x14ac:dyDescent="0.3">
      <c r="A56" t="s">
        <v>1061</v>
      </c>
      <c r="B56" t="s">
        <v>1065</v>
      </c>
      <c r="C56" s="5">
        <f>VLOOKUP(B56,[4]TF_plant_JRC!$F$17:$H$93,2,0)</f>
        <v>0.79</v>
      </c>
      <c r="D56" s="5">
        <f>VLOOKUP(B56,[4]TF_plant_JRC!$F$17:$H$93,3,0)</f>
        <v>0.65535526726145477</v>
      </c>
    </row>
    <row r="57" spans="1:4" x14ac:dyDescent="0.3">
      <c r="A57" t="s">
        <v>1061</v>
      </c>
      <c r="B57" t="s">
        <v>1063</v>
      </c>
      <c r="C57" s="5">
        <f>VLOOKUP(B57,[4]TF_plant_JRC!$F$17:$H$93,2,0)</f>
        <v>0.18</v>
      </c>
      <c r="D57" s="5">
        <f>VLOOKUP(B57,[4]TF_plant_JRC!$F$17:$H$93,3,0)</f>
        <v>0.34464473273854535</v>
      </c>
    </row>
    <row r="58" spans="1:4" x14ac:dyDescent="0.3">
      <c r="A58" t="s">
        <v>1006</v>
      </c>
      <c r="B58" t="s">
        <v>1008</v>
      </c>
      <c r="C58" s="5">
        <f>VLOOKUP(B58,[4]TF_plant_JRC!$F$17:$H$93,2,0)</f>
        <v>0.11</v>
      </c>
      <c r="D58" s="5">
        <f>VLOOKUP(B58,[4]TF_plant_JRC!$F$17:$H$93,3,0)</f>
        <v>0.87436129775170701</v>
      </c>
    </row>
    <row r="59" spans="1:4" x14ac:dyDescent="0.3">
      <c r="A59" t="s">
        <v>1005</v>
      </c>
      <c r="B59" t="s">
        <v>1008</v>
      </c>
      <c r="C59" s="5">
        <f>VLOOKUP(B59,[4]TF_plant_JRC!$F$17:$H$93,2,0)</f>
        <v>0.11</v>
      </c>
      <c r="D59" s="5">
        <f>VLOOKUP(B59,[4]TF_plant_JRC!$F$17:$H$93,3,0)</f>
        <v>0.87436129775170701</v>
      </c>
    </row>
    <row r="60" spans="1:4" x14ac:dyDescent="0.3">
      <c r="A60" t="s">
        <v>1006</v>
      </c>
      <c r="B60" t="s">
        <v>1020</v>
      </c>
      <c r="C60" s="6">
        <f>1-C58-C42</f>
        <v>0.84</v>
      </c>
      <c r="D60" s="6">
        <f>1-D58-D42</f>
        <v>4.5638702248292987E-2</v>
      </c>
    </row>
    <row r="61" spans="1:4" x14ac:dyDescent="0.3">
      <c r="A61" t="s">
        <v>1105</v>
      </c>
      <c r="B61" t="s">
        <v>1109</v>
      </c>
      <c r="C61" s="5">
        <f>VLOOKUP(B61,[4]TF_plant_JRC!$F$17:$H$93,2,0)</f>
        <v>0.47</v>
      </c>
      <c r="D61" s="5">
        <f>VLOOKUP(B61,[4]TF_plant_JRC!$F$17:$H$93,3,0)</f>
        <v>0.18927461746994348</v>
      </c>
    </row>
    <row r="62" spans="1:4" x14ac:dyDescent="0.3">
      <c r="A62" t="s">
        <v>1105</v>
      </c>
      <c r="B62" t="s">
        <v>1107</v>
      </c>
      <c r="C62" s="5">
        <f>VLOOKUP(B62,[4]TF_plant_JRC!$F$17:$H$93,2,0)</f>
        <v>0.41</v>
      </c>
      <c r="D62" s="5">
        <f>VLOOKUP(B62,[4]TF_plant_JRC!$F$17:$H$93,3,0)</f>
        <v>0.81072538253005644</v>
      </c>
    </row>
    <row r="63" spans="1:4" x14ac:dyDescent="0.3">
      <c r="A63" t="s">
        <v>1214</v>
      </c>
      <c r="B63" t="s">
        <v>1003</v>
      </c>
      <c r="C63" s="6">
        <v>0.05</v>
      </c>
      <c r="D63" s="6">
        <v>0.5</v>
      </c>
    </row>
    <row r="64" spans="1:4" x14ac:dyDescent="0.3">
      <c r="A64" t="s">
        <v>1210</v>
      </c>
      <c r="B64" t="s">
        <v>1003</v>
      </c>
      <c r="C64" s="6">
        <v>0.05</v>
      </c>
      <c r="D64" s="6">
        <v>0.5</v>
      </c>
    </row>
    <row r="65" spans="1:4" x14ac:dyDescent="0.3">
      <c r="A65" t="s">
        <v>1220</v>
      </c>
      <c r="B65" t="s">
        <v>1003</v>
      </c>
      <c r="C65" s="6">
        <v>0.05</v>
      </c>
      <c r="D65" s="6">
        <v>0.5</v>
      </c>
    </row>
    <row r="66" spans="1:4" x14ac:dyDescent="0.3">
      <c r="A66" t="s">
        <v>1237</v>
      </c>
      <c r="B66" t="s">
        <v>1003</v>
      </c>
      <c r="C66" s="6">
        <v>0.05</v>
      </c>
      <c r="D66" s="6">
        <v>0.5</v>
      </c>
    </row>
    <row r="67" spans="1:4" x14ac:dyDescent="0.3">
      <c r="A67" t="s">
        <v>1212</v>
      </c>
      <c r="B67" t="s">
        <v>1003</v>
      </c>
      <c r="C67" s="6">
        <v>0.05</v>
      </c>
      <c r="D67" s="6">
        <v>0.5</v>
      </c>
    </row>
    <row r="68" spans="1:4" x14ac:dyDescent="0.3">
      <c r="A68" t="s">
        <v>988</v>
      </c>
      <c r="B68" t="s">
        <v>1003</v>
      </c>
      <c r="C68" s="6">
        <v>0.05</v>
      </c>
      <c r="D68" s="6">
        <v>0.5</v>
      </c>
    </row>
    <row r="69" spans="1:4" x14ac:dyDescent="0.3">
      <c r="A69" t="s">
        <v>1161</v>
      </c>
      <c r="B69" t="s">
        <v>1003</v>
      </c>
      <c r="C69" s="6">
        <v>0.05</v>
      </c>
      <c r="D69" s="6">
        <v>0.5</v>
      </c>
    </row>
    <row r="70" spans="1:4" x14ac:dyDescent="0.3">
      <c r="A70" t="s">
        <v>1180</v>
      </c>
      <c r="B70" t="s">
        <v>1003</v>
      </c>
      <c r="C70" s="6">
        <v>0.05</v>
      </c>
      <c r="D70" s="6">
        <v>0.5</v>
      </c>
    </row>
    <row r="71" spans="1:4" x14ac:dyDescent="0.3">
      <c r="A71" t="s">
        <v>1228</v>
      </c>
      <c r="B71" t="s">
        <v>1003</v>
      </c>
      <c r="C71" s="6">
        <v>0.05</v>
      </c>
      <c r="D71" s="6">
        <v>0.5</v>
      </c>
    </row>
    <row r="72" spans="1:4" x14ac:dyDescent="0.3">
      <c r="A72" t="s">
        <v>1015</v>
      </c>
      <c r="B72" t="s">
        <v>1003</v>
      </c>
      <c r="C72" s="6">
        <v>0.05</v>
      </c>
      <c r="D72" s="6">
        <v>0.5</v>
      </c>
    </row>
    <row r="73" spans="1:4" x14ac:dyDescent="0.3">
      <c r="A73" t="s">
        <v>1258</v>
      </c>
      <c r="B73" t="s">
        <v>1262</v>
      </c>
      <c r="C73" s="5">
        <f>VLOOKUP(B73,[4]TF_plant_JRC!$F$17:$H$93,2,0)</f>
        <v>0.86</v>
      </c>
      <c r="D73" s="5">
        <f>VLOOKUP(B73,[4]TF_plant_JRC!$F$17:$H$93,3,0)</f>
        <v>1</v>
      </c>
    </row>
  </sheetData>
  <sortState xmlns:xlrd2="http://schemas.microsoft.com/office/spreadsheetml/2017/richdata2" ref="A2:D73">
    <sortCondition ref="B2:B73"/>
  </sortState>
  <pageMargins left="0.7" right="0.7" top="0.75" bottom="0.75" header="0.3" footer="0.3"/>
  <pageSetup orientation="portrait" horizontalDpi="1200" verticalDpi="12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A1234-D3B2-4E4B-9243-DB6DB85EBB2A}">
  <dimension ref="A1:D234"/>
  <sheetViews>
    <sheetView zoomScale="70" zoomScaleNormal="70" workbookViewId="0">
      <pane xSplit="1" ySplit="1" topLeftCell="B207" activePane="bottomRight" state="frozen"/>
      <selection pane="topRight" activeCell="B1" sqref="B1"/>
      <selection pane="bottomLeft" activeCell="A2" sqref="A2"/>
      <selection pane="bottomRight" activeCell="G247" sqref="A243:G247"/>
    </sheetView>
  </sheetViews>
  <sheetFormatPr defaultColWidth="10.77734375" defaultRowHeight="14.4" x14ac:dyDescent="0.3"/>
  <cols>
    <col min="1" max="1" width="33.21875" customWidth="1"/>
    <col min="2" max="2" width="23.77734375" customWidth="1"/>
  </cols>
  <sheetData>
    <row r="1" spans="1:4" x14ac:dyDescent="0.3">
      <c r="A1" t="s">
        <v>791</v>
      </c>
      <c r="B1" t="s">
        <v>1531</v>
      </c>
      <c r="C1" t="s">
        <v>1538</v>
      </c>
      <c r="D1" t="s">
        <v>1931</v>
      </c>
    </row>
    <row r="2" spans="1:4" x14ac:dyDescent="0.3">
      <c r="A2" t="s">
        <v>2132</v>
      </c>
      <c r="B2" t="s">
        <v>2131</v>
      </c>
      <c r="C2" t="s">
        <v>2131</v>
      </c>
      <c r="D2" t="s">
        <v>2131</v>
      </c>
    </row>
    <row r="3" spans="1:4" x14ac:dyDescent="0.3">
      <c r="A3" t="s">
        <v>1994</v>
      </c>
      <c r="B3" t="s">
        <v>1293</v>
      </c>
      <c r="C3" t="s">
        <v>1994</v>
      </c>
      <c r="D3" t="s">
        <v>1966</v>
      </c>
    </row>
    <row r="4" spans="1:4" x14ac:dyDescent="0.3">
      <c r="A4" t="s">
        <v>1726</v>
      </c>
      <c r="B4" t="s">
        <v>1232</v>
      </c>
      <c r="C4" t="s">
        <v>1231</v>
      </c>
      <c r="D4" t="s">
        <v>1607</v>
      </c>
    </row>
    <row r="5" spans="1:4" x14ac:dyDescent="0.3">
      <c r="A5" s="12" t="s">
        <v>2013</v>
      </c>
      <c r="B5" t="s">
        <v>2013</v>
      </c>
      <c r="C5" s="12" t="s">
        <v>2013</v>
      </c>
      <c r="D5" t="s">
        <v>1976</v>
      </c>
    </row>
    <row r="6" spans="1:4" x14ac:dyDescent="0.3">
      <c r="A6" t="s">
        <v>1712</v>
      </c>
      <c r="B6" t="s">
        <v>1210</v>
      </c>
      <c r="C6" t="s">
        <v>1210</v>
      </c>
      <c r="D6" t="s">
        <v>1607</v>
      </c>
    </row>
    <row r="7" spans="1:4" x14ac:dyDescent="0.3">
      <c r="A7" t="s">
        <v>919</v>
      </c>
      <c r="B7" t="s">
        <v>920</v>
      </c>
      <c r="C7" t="s">
        <v>919</v>
      </c>
      <c r="D7" t="s">
        <v>1545</v>
      </c>
    </row>
    <row r="8" spans="1:4" x14ac:dyDescent="0.3">
      <c r="A8" t="s">
        <v>1028</v>
      </c>
      <c r="B8" t="s">
        <v>1028</v>
      </c>
      <c r="C8" t="s">
        <v>1587</v>
      </c>
      <c r="D8" t="s">
        <v>1588</v>
      </c>
    </row>
    <row r="9" spans="1:4" x14ac:dyDescent="0.3">
      <c r="A9" t="s">
        <v>928</v>
      </c>
      <c r="B9" t="s">
        <v>928</v>
      </c>
      <c r="C9" t="s">
        <v>928</v>
      </c>
      <c r="D9" t="s">
        <v>1966</v>
      </c>
    </row>
    <row r="10" spans="1:4" x14ac:dyDescent="0.3">
      <c r="A10" t="s">
        <v>1969</v>
      </c>
      <c r="B10" t="s">
        <v>1296</v>
      </c>
      <c r="C10" t="s">
        <v>1969</v>
      </c>
      <c r="D10" t="s">
        <v>1966</v>
      </c>
    </row>
    <row r="11" spans="1:4" x14ac:dyDescent="0.3">
      <c r="A11" t="s">
        <v>1971</v>
      </c>
      <c r="B11" t="s">
        <v>902</v>
      </c>
      <c r="C11" t="s">
        <v>1971</v>
      </c>
      <c r="D11" t="s">
        <v>1966</v>
      </c>
    </row>
    <row r="12" spans="1:4" x14ac:dyDescent="0.3">
      <c r="A12" t="s">
        <v>808</v>
      </c>
      <c r="B12" t="s">
        <v>807</v>
      </c>
      <c r="C12" t="s">
        <v>808</v>
      </c>
      <c r="D12" t="s">
        <v>2047</v>
      </c>
    </row>
    <row r="13" spans="1:4" x14ac:dyDescent="0.3">
      <c r="A13" t="s">
        <v>2089</v>
      </c>
      <c r="B13" t="s">
        <v>1521</v>
      </c>
      <c r="C13" t="s">
        <v>2089</v>
      </c>
      <c r="D13" t="s">
        <v>1521</v>
      </c>
    </row>
    <row r="14" spans="1:4" x14ac:dyDescent="0.3">
      <c r="A14" t="s">
        <v>1384</v>
      </c>
      <c r="B14" t="s">
        <v>1384</v>
      </c>
      <c r="C14" t="s">
        <v>1384</v>
      </c>
      <c r="D14" t="s">
        <v>2055</v>
      </c>
    </row>
    <row r="15" spans="1:4" x14ac:dyDescent="0.3">
      <c r="A15" t="s">
        <v>2090</v>
      </c>
      <c r="B15" t="s">
        <v>936</v>
      </c>
      <c r="C15" t="s">
        <v>2090</v>
      </c>
      <c r="D15" t="s">
        <v>2061</v>
      </c>
    </row>
    <row r="16" spans="1:4" x14ac:dyDescent="0.3">
      <c r="A16" t="s">
        <v>989</v>
      </c>
      <c r="B16" t="s">
        <v>990</v>
      </c>
      <c r="C16" t="s">
        <v>989</v>
      </c>
      <c r="D16" t="s">
        <v>2092</v>
      </c>
    </row>
    <row r="17" spans="1:4" x14ac:dyDescent="0.3">
      <c r="A17" t="s">
        <v>1496</v>
      </c>
      <c r="B17" t="s">
        <v>1496</v>
      </c>
      <c r="C17" t="s">
        <v>1496</v>
      </c>
      <c r="D17" t="s">
        <v>1976</v>
      </c>
    </row>
    <row r="18" spans="1:4" x14ac:dyDescent="0.3">
      <c r="A18" s="12" t="s">
        <v>1560</v>
      </c>
      <c r="B18" t="s">
        <v>942</v>
      </c>
      <c r="C18" t="s">
        <v>1556</v>
      </c>
      <c r="D18" t="s">
        <v>1545</v>
      </c>
    </row>
    <row r="19" spans="1:4" x14ac:dyDescent="0.3">
      <c r="A19" s="12" t="s">
        <v>974</v>
      </c>
      <c r="B19" t="s">
        <v>942</v>
      </c>
      <c r="C19" t="s">
        <v>1556</v>
      </c>
      <c r="D19" t="s">
        <v>1545</v>
      </c>
    </row>
    <row r="20" spans="1:4" x14ac:dyDescent="0.3">
      <c r="A20" s="12" t="s">
        <v>971</v>
      </c>
      <c r="B20" t="s">
        <v>942</v>
      </c>
      <c r="C20" t="s">
        <v>1556</v>
      </c>
      <c r="D20" t="s">
        <v>1545</v>
      </c>
    </row>
    <row r="21" spans="1:4" x14ac:dyDescent="0.3">
      <c r="A21" s="12" t="s">
        <v>2159</v>
      </c>
      <c r="B21" t="s">
        <v>942</v>
      </c>
      <c r="C21" t="s">
        <v>1556</v>
      </c>
      <c r="D21" t="s">
        <v>1545</v>
      </c>
    </row>
    <row r="22" spans="1:4" x14ac:dyDescent="0.3">
      <c r="A22" t="s">
        <v>967</v>
      </c>
      <c r="B22" t="s">
        <v>942</v>
      </c>
      <c r="C22" t="s">
        <v>1556</v>
      </c>
      <c r="D22" t="s">
        <v>1545</v>
      </c>
    </row>
    <row r="23" spans="1:4" x14ac:dyDescent="0.3">
      <c r="A23" s="12" t="s">
        <v>2160</v>
      </c>
      <c r="B23" t="s">
        <v>942</v>
      </c>
      <c r="C23" t="s">
        <v>1556</v>
      </c>
      <c r="D23" t="s">
        <v>1545</v>
      </c>
    </row>
    <row r="24" spans="1:4" x14ac:dyDescent="0.3">
      <c r="A24" t="s">
        <v>1725</v>
      </c>
      <c r="B24" t="s">
        <v>1228</v>
      </c>
      <c r="C24" t="s">
        <v>1723</v>
      </c>
      <c r="D24" t="s">
        <v>1725</v>
      </c>
    </row>
    <row r="25" spans="1:4" x14ac:dyDescent="0.3">
      <c r="A25" t="s">
        <v>1799</v>
      </c>
      <c r="B25" t="s">
        <v>1313</v>
      </c>
      <c r="C25" t="s">
        <v>1799</v>
      </c>
      <c r="D25" t="s">
        <v>1806</v>
      </c>
    </row>
    <row r="26" spans="1:4" x14ac:dyDescent="0.3">
      <c r="A26" t="s">
        <v>1635</v>
      </c>
      <c r="B26" t="s">
        <v>1083</v>
      </c>
      <c r="C26" t="s">
        <v>1635</v>
      </c>
      <c r="D26" t="s">
        <v>2113</v>
      </c>
    </row>
    <row r="27" spans="1:4" x14ac:dyDescent="0.3">
      <c r="A27" t="s">
        <v>1631</v>
      </c>
      <c r="B27" t="s">
        <v>1079</v>
      </c>
      <c r="C27" t="s">
        <v>1631</v>
      </c>
      <c r="D27" t="s">
        <v>1998</v>
      </c>
    </row>
    <row r="28" spans="1:4" x14ac:dyDescent="0.3">
      <c r="A28" t="s">
        <v>1796</v>
      </c>
      <c r="B28" t="s">
        <v>1307</v>
      </c>
      <c r="C28" t="s">
        <v>1632</v>
      </c>
      <c r="D28" t="s">
        <v>1806</v>
      </c>
    </row>
    <row r="29" spans="1:4" x14ac:dyDescent="0.3">
      <c r="A29" t="s">
        <v>2066</v>
      </c>
      <c r="B29" t="s">
        <v>1085</v>
      </c>
      <c r="C29" t="s">
        <v>2066</v>
      </c>
      <c r="D29" t="s">
        <v>2061</v>
      </c>
    </row>
    <row r="30" spans="1:4" x14ac:dyDescent="0.3">
      <c r="A30" t="s">
        <v>1820</v>
      </c>
      <c r="B30" t="s">
        <v>1340</v>
      </c>
      <c r="C30" t="s">
        <v>1821</v>
      </c>
      <c r="D30" t="s">
        <v>1826</v>
      </c>
    </row>
    <row r="31" spans="1:4" x14ac:dyDescent="0.3">
      <c r="A31" t="s">
        <v>1145</v>
      </c>
      <c r="B31" t="s">
        <v>1145</v>
      </c>
      <c r="C31" t="s">
        <v>1145</v>
      </c>
      <c r="D31" t="s">
        <v>1998</v>
      </c>
    </row>
    <row r="32" spans="1:4" x14ac:dyDescent="0.3">
      <c r="A32" t="s">
        <v>2070</v>
      </c>
      <c r="B32" t="s">
        <v>1149</v>
      </c>
      <c r="C32" t="s">
        <v>2070</v>
      </c>
      <c r="D32" t="s">
        <v>2061</v>
      </c>
    </row>
    <row r="33" spans="1:4" x14ac:dyDescent="0.3">
      <c r="A33" t="s">
        <v>2009</v>
      </c>
      <c r="B33" t="s">
        <v>2009</v>
      </c>
      <c r="C33" t="s">
        <v>2009</v>
      </c>
      <c r="D33" t="s">
        <v>1976</v>
      </c>
    </row>
    <row r="34" spans="1:4" x14ac:dyDescent="0.3">
      <c r="A34" t="s">
        <v>1274</v>
      </c>
      <c r="B34" t="s">
        <v>1274</v>
      </c>
      <c r="C34" t="s">
        <v>1663</v>
      </c>
      <c r="D34" t="s">
        <v>1607</v>
      </c>
    </row>
    <row r="35" spans="1:4" x14ac:dyDescent="0.3">
      <c r="A35" t="s">
        <v>1519</v>
      </c>
      <c r="B35" t="str">
        <f>A35</f>
        <v>DDGS Barley</v>
      </c>
      <c r="C35" t="s">
        <v>1519</v>
      </c>
      <c r="D35" t="s">
        <v>2061</v>
      </c>
    </row>
    <row r="36" spans="1:4" x14ac:dyDescent="0.3">
      <c r="A36" t="s">
        <v>2012</v>
      </c>
      <c r="B36" t="s">
        <v>2012</v>
      </c>
      <c r="C36" t="s">
        <v>2012</v>
      </c>
      <c r="D36" t="s">
        <v>1976</v>
      </c>
    </row>
    <row r="37" spans="1:4" x14ac:dyDescent="0.3">
      <c r="A37" t="s">
        <v>757</v>
      </c>
      <c r="B37" t="s">
        <v>757</v>
      </c>
      <c r="C37" t="s">
        <v>757</v>
      </c>
      <c r="D37" t="s">
        <v>757</v>
      </c>
    </row>
    <row r="38" spans="1:4" x14ac:dyDescent="0.3">
      <c r="A38" t="s">
        <v>1528</v>
      </c>
      <c r="B38" t="s">
        <v>1528</v>
      </c>
      <c r="C38" t="s">
        <v>1528</v>
      </c>
      <c r="D38" t="s">
        <v>1966</v>
      </c>
    </row>
    <row r="39" spans="1:4" x14ac:dyDescent="0.3">
      <c r="A39" s="12" t="s">
        <v>2021</v>
      </c>
      <c r="B39" t="s">
        <v>2021</v>
      </c>
      <c r="C39" t="s">
        <v>2021</v>
      </c>
      <c r="D39" t="s">
        <v>2021</v>
      </c>
    </row>
    <row r="40" spans="1:4" x14ac:dyDescent="0.3">
      <c r="A40" t="s">
        <v>801</v>
      </c>
      <c r="B40" t="s">
        <v>800</v>
      </c>
      <c r="C40" t="s">
        <v>801</v>
      </c>
      <c r="D40" t="s">
        <v>1974</v>
      </c>
    </row>
    <row r="41" spans="1:4" x14ac:dyDescent="0.3">
      <c r="A41" t="s">
        <v>1977</v>
      </c>
      <c r="B41" t="s">
        <v>1977</v>
      </c>
      <c r="C41" t="s">
        <v>1977</v>
      </c>
      <c r="D41" t="s">
        <v>1976</v>
      </c>
    </row>
    <row r="42" spans="1:4" x14ac:dyDescent="0.3">
      <c r="A42" t="s">
        <v>2008</v>
      </c>
      <c r="B42" t="s">
        <v>2015</v>
      </c>
      <c r="C42" t="s">
        <v>2008</v>
      </c>
      <c r="D42" t="s">
        <v>1976</v>
      </c>
    </row>
    <row r="43" spans="1:4" x14ac:dyDescent="0.3">
      <c r="A43" t="s">
        <v>1494</v>
      </c>
      <c r="B43" t="s">
        <v>1494</v>
      </c>
      <c r="C43" s="1" t="s">
        <v>2012</v>
      </c>
      <c r="D43" t="s">
        <v>1976</v>
      </c>
    </row>
    <row r="44" spans="1:4" x14ac:dyDescent="0.3">
      <c r="A44" s="12" t="s">
        <v>1920</v>
      </c>
      <c r="B44" t="s">
        <v>1920</v>
      </c>
      <c r="C44" t="s">
        <v>1920</v>
      </c>
      <c r="D44" t="s">
        <v>1022</v>
      </c>
    </row>
    <row r="45" spans="1:4" x14ac:dyDescent="0.3">
      <c r="A45" s="12" t="s">
        <v>1769</v>
      </c>
      <c r="B45" t="s">
        <v>1372</v>
      </c>
      <c r="C45" t="s">
        <v>1769</v>
      </c>
      <c r="D45" t="s">
        <v>2018</v>
      </c>
    </row>
    <row r="46" spans="1:4" x14ac:dyDescent="0.3">
      <c r="A46" s="12" t="s">
        <v>2019</v>
      </c>
      <c r="B46" t="s">
        <v>1190</v>
      </c>
      <c r="C46" t="s">
        <v>1762</v>
      </c>
      <c r="D46" t="s">
        <v>2018</v>
      </c>
    </row>
    <row r="47" spans="1:4" x14ac:dyDescent="0.3">
      <c r="A47" s="12" t="s">
        <v>1791</v>
      </c>
      <c r="B47" t="s">
        <v>1300</v>
      </c>
      <c r="C47" t="s">
        <v>1792</v>
      </c>
      <c r="D47" t="s">
        <v>2018</v>
      </c>
    </row>
    <row r="48" spans="1:4" x14ac:dyDescent="0.3">
      <c r="A48" s="12" t="s">
        <v>2161</v>
      </c>
      <c r="B48" t="s">
        <v>1190</v>
      </c>
      <c r="C48" t="s">
        <v>2162</v>
      </c>
      <c r="D48" t="s">
        <v>2018</v>
      </c>
    </row>
    <row r="49" spans="1:4" x14ac:dyDescent="0.3">
      <c r="A49" s="12" t="s">
        <v>1766</v>
      </c>
      <c r="B49" t="s">
        <v>1372</v>
      </c>
      <c r="C49" t="s">
        <v>1766</v>
      </c>
      <c r="D49" t="s">
        <v>2018</v>
      </c>
    </row>
    <row r="50" spans="1:4" x14ac:dyDescent="0.3">
      <c r="A50" s="12" t="s">
        <v>2163</v>
      </c>
      <c r="B50" t="s">
        <v>1372</v>
      </c>
      <c r="C50" t="s">
        <v>2164</v>
      </c>
      <c r="D50" t="s">
        <v>2018</v>
      </c>
    </row>
    <row r="51" spans="1:4" x14ac:dyDescent="0.3">
      <c r="A51" s="12" t="s">
        <v>2165</v>
      </c>
      <c r="B51" t="s">
        <v>1372</v>
      </c>
      <c r="C51" t="s">
        <v>1766</v>
      </c>
      <c r="D51" t="s">
        <v>2018</v>
      </c>
    </row>
    <row r="52" spans="1:4" x14ac:dyDescent="0.3">
      <c r="A52" s="12" t="s">
        <v>2166</v>
      </c>
      <c r="B52" t="s">
        <v>1372</v>
      </c>
      <c r="C52" t="s">
        <v>1775</v>
      </c>
      <c r="D52" t="s">
        <v>2018</v>
      </c>
    </row>
    <row r="53" spans="1:4" x14ac:dyDescent="0.3">
      <c r="A53" s="12" t="s">
        <v>1788</v>
      </c>
      <c r="B53" t="s">
        <v>1300</v>
      </c>
      <c r="C53" t="s">
        <v>1789</v>
      </c>
      <c r="D53" t="s">
        <v>2018</v>
      </c>
    </row>
    <row r="54" spans="1:4" x14ac:dyDescent="0.3">
      <c r="A54" s="12" t="s">
        <v>1777</v>
      </c>
      <c r="B54" t="s">
        <v>1300</v>
      </c>
      <c r="C54" t="s">
        <v>1778</v>
      </c>
      <c r="D54" t="s">
        <v>2018</v>
      </c>
    </row>
    <row r="55" spans="1:4" x14ac:dyDescent="0.3">
      <c r="A55" s="12" t="s">
        <v>1771</v>
      </c>
      <c r="B55" t="s">
        <v>1300</v>
      </c>
      <c r="C55" t="s">
        <v>1772</v>
      </c>
      <c r="D55" t="s">
        <v>2018</v>
      </c>
    </row>
    <row r="56" spans="1:4" x14ac:dyDescent="0.3">
      <c r="A56" s="12" t="s">
        <v>2167</v>
      </c>
      <c r="B56" t="s">
        <v>1372</v>
      </c>
      <c r="C56" t="s">
        <v>2168</v>
      </c>
      <c r="D56" t="s">
        <v>2018</v>
      </c>
    </row>
    <row r="57" spans="1:4" x14ac:dyDescent="0.3">
      <c r="A57" s="12" t="s">
        <v>2169</v>
      </c>
      <c r="B57" t="s">
        <v>1300</v>
      </c>
      <c r="C57" t="s">
        <v>1772</v>
      </c>
      <c r="D57" t="s">
        <v>2018</v>
      </c>
    </row>
    <row r="58" spans="1:4" x14ac:dyDescent="0.3">
      <c r="A58" s="12" t="s">
        <v>1189</v>
      </c>
      <c r="B58" t="s">
        <v>1190</v>
      </c>
      <c r="C58" t="s">
        <v>1755</v>
      </c>
      <c r="D58" t="s">
        <v>2018</v>
      </c>
    </row>
    <row r="59" spans="1:4" x14ac:dyDescent="0.3">
      <c r="A59" s="12" t="s">
        <v>2020</v>
      </c>
      <c r="B59" t="s">
        <v>1780</v>
      </c>
      <c r="C59" t="s">
        <v>1782</v>
      </c>
      <c r="D59" t="s">
        <v>2018</v>
      </c>
    </row>
    <row r="60" spans="1:4" x14ac:dyDescent="0.3">
      <c r="A60" s="12" t="s">
        <v>2170</v>
      </c>
      <c r="B60" t="s">
        <v>1190</v>
      </c>
      <c r="C60" t="s">
        <v>2162</v>
      </c>
      <c r="D60" t="s">
        <v>2018</v>
      </c>
    </row>
    <row r="61" spans="1:4" x14ac:dyDescent="0.3">
      <c r="A61" s="12" t="s">
        <v>1774</v>
      </c>
      <c r="B61" t="s">
        <v>1372</v>
      </c>
      <c r="C61" t="s">
        <v>1775</v>
      </c>
      <c r="D61" t="s">
        <v>2018</v>
      </c>
    </row>
    <row r="62" spans="1:4" x14ac:dyDescent="0.3">
      <c r="A62" s="12" t="s">
        <v>2171</v>
      </c>
      <c r="B62" t="s">
        <v>1190</v>
      </c>
      <c r="C62" t="s">
        <v>1772</v>
      </c>
      <c r="D62" t="s">
        <v>2018</v>
      </c>
    </row>
    <row r="63" spans="1:4" x14ac:dyDescent="0.3">
      <c r="A63" s="12" t="s">
        <v>1794</v>
      </c>
      <c r="B63" t="s">
        <v>1300</v>
      </c>
      <c r="C63" t="s">
        <v>1772</v>
      </c>
      <c r="D63" t="s">
        <v>2018</v>
      </c>
    </row>
    <row r="64" spans="1:4" x14ac:dyDescent="0.3">
      <c r="A64" s="12" t="s">
        <v>1764</v>
      </c>
      <c r="B64" t="s">
        <v>1190</v>
      </c>
      <c r="C64" t="s">
        <v>1762</v>
      </c>
      <c r="D64" t="s">
        <v>2018</v>
      </c>
    </row>
    <row r="65" spans="1:4" x14ac:dyDescent="0.3">
      <c r="A65" s="12" t="s">
        <v>2172</v>
      </c>
      <c r="B65" t="s">
        <v>1372</v>
      </c>
      <c r="C65" t="s">
        <v>1775</v>
      </c>
      <c r="D65" t="s">
        <v>2018</v>
      </c>
    </row>
    <row r="66" spans="1:4" x14ac:dyDescent="0.3">
      <c r="A66" t="s">
        <v>2173</v>
      </c>
      <c r="B66" t="s">
        <v>1190</v>
      </c>
      <c r="C66" t="s">
        <v>2173</v>
      </c>
      <c r="D66" t="s">
        <v>2018</v>
      </c>
    </row>
    <row r="67" spans="1:4" x14ac:dyDescent="0.3">
      <c r="A67" s="12" t="s">
        <v>1761</v>
      </c>
      <c r="B67" t="s">
        <v>1190</v>
      </c>
      <c r="C67" t="s">
        <v>1762</v>
      </c>
      <c r="D67" t="s">
        <v>2018</v>
      </c>
    </row>
    <row r="68" spans="1:4" x14ac:dyDescent="0.3">
      <c r="A68" s="12" t="s">
        <v>1757</v>
      </c>
      <c r="B68" t="s">
        <v>1190</v>
      </c>
      <c r="C68" t="s">
        <v>1759</v>
      </c>
      <c r="D68" t="s">
        <v>2018</v>
      </c>
    </row>
    <row r="69" spans="1:4" x14ac:dyDescent="0.3">
      <c r="A69" s="12" t="s">
        <v>2174</v>
      </c>
      <c r="B69" t="s">
        <v>1300</v>
      </c>
      <c r="C69" t="s">
        <v>2175</v>
      </c>
      <c r="D69" t="s">
        <v>2018</v>
      </c>
    </row>
    <row r="70" spans="1:4" x14ac:dyDescent="0.3">
      <c r="A70" s="12" t="s">
        <v>1784</v>
      </c>
      <c r="B70" t="s">
        <v>1300</v>
      </c>
      <c r="C70" t="s">
        <v>1786</v>
      </c>
      <c r="D70" t="s">
        <v>2018</v>
      </c>
    </row>
    <row r="71" spans="1:4" x14ac:dyDescent="0.3">
      <c r="A71" s="12" t="s">
        <v>2176</v>
      </c>
      <c r="B71" t="s">
        <v>1372</v>
      </c>
      <c r="C71" t="s">
        <v>2177</v>
      </c>
      <c r="D71" t="s">
        <v>2018</v>
      </c>
    </row>
    <row r="72" spans="1:4" x14ac:dyDescent="0.3">
      <c r="A72" t="s">
        <v>2010</v>
      </c>
      <c r="B72" t="s">
        <v>2010</v>
      </c>
      <c r="C72" t="s">
        <v>2010</v>
      </c>
      <c r="D72" t="s">
        <v>1976</v>
      </c>
    </row>
    <row r="73" spans="1:4" x14ac:dyDescent="0.3">
      <c r="A73" t="s">
        <v>1729</v>
      </c>
      <c r="B73" t="s">
        <v>1237</v>
      </c>
      <c r="C73" t="s">
        <v>1239</v>
      </c>
      <c r="D73" t="s">
        <v>1607</v>
      </c>
    </row>
    <row r="74" spans="1:4" x14ac:dyDescent="0.3">
      <c r="A74" s="12" t="s">
        <v>1746</v>
      </c>
      <c r="B74" t="s">
        <v>1237</v>
      </c>
      <c r="C74" t="s">
        <v>1269</v>
      </c>
      <c r="D74" t="s">
        <v>1607</v>
      </c>
    </row>
    <row r="75" spans="1:4" x14ac:dyDescent="0.3">
      <c r="A75" s="12" t="s">
        <v>1256</v>
      </c>
      <c r="B75" t="s">
        <v>1237</v>
      </c>
      <c r="C75" t="s">
        <v>1709</v>
      </c>
      <c r="D75" t="s">
        <v>1607</v>
      </c>
    </row>
    <row r="76" spans="1:4" x14ac:dyDescent="0.3">
      <c r="A76" s="12" t="s">
        <v>1254</v>
      </c>
      <c r="B76" t="s">
        <v>1237</v>
      </c>
      <c r="C76" t="s">
        <v>1709</v>
      </c>
      <c r="D76" t="s">
        <v>1607</v>
      </c>
    </row>
    <row r="77" spans="1:4" x14ac:dyDescent="0.3">
      <c r="A77" s="12" t="s">
        <v>1242</v>
      </c>
      <c r="B77" t="s">
        <v>1237</v>
      </c>
      <c r="C77" t="s">
        <v>1731</v>
      </c>
      <c r="D77" t="s">
        <v>1607</v>
      </c>
    </row>
    <row r="78" spans="1:4" x14ac:dyDescent="0.3">
      <c r="A78" s="12" t="s">
        <v>1241</v>
      </c>
      <c r="B78" t="s">
        <v>1237</v>
      </c>
      <c r="C78" t="s">
        <v>1731</v>
      </c>
      <c r="D78" t="s">
        <v>1607</v>
      </c>
    </row>
    <row r="79" spans="1:4" x14ac:dyDescent="0.3">
      <c r="A79" s="12" t="s">
        <v>1255</v>
      </c>
      <c r="B79" t="s">
        <v>1237</v>
      </c>
      <c r="C79" t="s">
        <v>1709</v>
      </c>
      <c r="D79" t="s">
        <v>1607</v>
      </c>
    </row>
    <row r="80" spans="1:4" x14ac:dyDescent="0.3">
      <c r="A80" s="12" t="s">
        <v>1253</v>
      </c>
      <c r="B80" t="s">
        <v>1237</v>
      </c>
      <c r="C80" t="s">
        <v>1709</v>
      </c>
      <c r="D80" t="s">
        <v>1607</v>
      </c>
    </row>
    <row r="81" spans="1:4" x14ac:dyDescent="0.3">
      <c r="A81" s="12" t="s">
        <v>1266</v>
      </c>
      <c r="B81" t="s">
        <v>1237</v>
      </c>
      <c r="C81" t="s">
        <v>1266</v>
      </c>
      <c r="D81" t="s">
        <v>1607</v>
      </c>
    </row>
    <row r="82" spans="1:4" x14ac:dyDescent="0.3">
      <c r="A82" s="12" t="s">
        <v>1281</v>
      </c>
      <c r="B82" t="s">
        <v>1237</v>
      </c>
      <c r="C82" t="s">
        <v>1663</v>
      </c>
      <c r="D82" t="s">
        <v>1607</v>
      </c>
    </row>
    <row r="83" spans="1:4" x14ac:dyDescent="0.3">
      <c r="A83" s="12" t="s">
        <v>1607</v>
      </c>
      <c r="B83" t="s">
        <v>1237</v>
      </c>
      <c r="C83" t="s">
        <v>1663</v>
      </c>
      <c r="D83" t="s">
        <v>1607</v>
      </c>
    </row>
    <row r="84" spans="1:4" x14ac:dyDescent="0.3">
      <c r="A84" s="12" t="s">
        <v>1252</v>
      </c>
      <c r="B84" t="s">
        <v>1237</v>
      </c>
      <c r="C84" t="s">
        <v>1709</v>
      </c>
      <c r="D84" t="s">
        <v>1607</v>
      </c>
    </row>
    <row r="85" spans="1:4" x14ac:dyDescent="0.3">
      <c r="A85" s="12" t="s">
        <v>1749</v>
      </c>
      <c r="B85" t="s">
        <v>1237</v>
      </c>
      <c r="C85" t="s">
        <v>1749</v>
      </c>
      <c r="D85" t="s">
        <v>1607</v>
      </c>
    </row>
    <row r="86" spans="1:4" x14ac:dyDescent="0.3">
      <c r="A86" s="12" t="s">
        <v>1732</v>
      </c>
      <c r="B86" t="s">
        <v>1237</v>
      </c>
      <c r="C86" t="s">
        <v>1733</v>
      </c>
      <c r="D86" t="s">
        <v>1607</v>
      </c>
    </row>
    <row r="87" spans="1:4" x14ac:dyDescent="0.3">
      <c r="A87" s="12" t="s">
        <v>1727</v>
      </c>
      <c r="B87" t="s">
        <v>1237</v>
      </c>
      <c r="C87" t="s">
        <v>1236</v>
      </c>
      <c r="D87" t="s">
        <v>1607</v>
      </c>
    </row>
    <row r="88" spans="1:4" x14ac:dyDescent="0.3">
      <c r="A88" s="12" t="s">
        <v>1748</v>
      </c>
      <c r="B88" t="s">
        <v>1237</v>
      </c>
      <c r="C88" t="s">
        <v>1277</v>
      </c>
      <c r="D88" t="s">
        <v>1607</v>
      </c>
    </row>
    <row r="89" spans="1:4" x14ac:dyDescent="0.3">
      <c r="A89" s="12" t="s">
        <v>1734</v>
      </c>
      <c r="B89" t="s">
        <v>1237</v>
      </c>
      <c r="C89" t="s">
        <v>1735</v>
      </c>
      <c r="D89" t="s">
        <v>1607</v>
      </c>
    </row>
    <row r="90" spans="1:4" x14ac:dyDescent="0.3">
      <c r="A90" s="12" t="s">
        <v>2178</v>
      </c>
      <c r="B90" t="s">
        <v>1237</v>
      </c>
      <c r="C90" t="s">
        <v>1663</v>
      </c>
      <c r="D90" t="s">
        <v>1607</v>
      </c>
    </row>
    <row r="91" spans="1:4" x14ac:dyDescent="0.3">
      <c r="A91" s="12" t="s">
        <v>1728</v>
      </c>
      <c r="B91" t="s">
        <v>1237</v>
      </c>
      <c r="C91" t="s">
        <v>1238</v>
      </c>
      <c r="D91" t="s">
        <v>1607</v>
      </c>
    </row>
    <row r="92" spans="1:4" x14ac:dyDescent="0.3">
      <c r="A92" s="12" t="s">
        <v>1251</v>
      </c>
      <c r="B92" t="s">
        <v>1237</v>
      </c>
      <c r="C92" t="s">
        <v>1709</v>
      </c>
      <c r="D92" t="s">
        <v>1607</v>
      </c>
    </row>
    <row r="93" spans="1:4" x14ac:dyDescent="0.3">
      <c r="A93" s="12" t="s">
        <v>1738</v>
      </c>
      <c r="B93" t="s">
        <v>1237</v>
      </c>
      <c r="C93" t="s">
        <v>1738</v>
      </c>
      <c r="D93" t="s">
        <v>1607</v>
      </c>
    </row>
    <row r="94" spans="1:4" x14ac:dyDescent="0.3">
      <c r="A94" t="s">
        <v>1722</v>
      </c>
      <c r="B94" t="s">
        <v>1224</v>
      </c>
      <c r="C94" t="s">
        <v>1723</v>
      </c>
      <c r="D94" t="s">
        <v>1725</v>
      </c>
    </row>
    <row r="95" spans="1:4" x14ac:dyDescent="0.3">
      <c r="A95" t="s">
        <v>1740</v>
      </c>
      <c r="B95" t="s">
        <v>1258</v>
      </c>
      <c r="C95" t="s">
        <v>1257</v>
      </c>
      <c r="D95" t="s">
        <v>1257</v>
      </c>
    </row>
    <row r="96" spans="1:4" x14ac:dyDescent="0.3">
      <c r="A96" s="12" t="s">
        <v>1871</v>
      </c>
      <c r="B96" t="s">
        <v>1922</v>
      </c>
      <c r="C96" t="s">
        <v>1871</v>
      </c>
      <c r="D96" t="s">
        <v>1871</v>
      </c>
    </row>
    <row r="97" spans="1:4" x14ac:dyDescent="0.3">
      <c r="A97" t="s">
        <v>2062</v>
      </c>
      <c r="B97" t="s">
        <v>1075</v>
      </c>
      <c r="C97" t="s">
        <v>2062</v>
      </c>
      <c r="D97" t="s">
        <v>2061</v>
      </c>
    </row>
    <row r="98" spans="1:4" x14ac:dyDescent="0.3">
      <c r="A98" t="s">
        <v>1630</v>
      </c>
      <c r="B98" t="s">
        <v>1073</v>
      </c>
      <c r="C98" t="s">
        <v>1630</v>
      </c>
      <c r="D98" t="s">
        <v>2113</v>
      </c>
    </row>
    <row r="99" spans="1:4" x14ac:dyDescent="0.3">
      <c r="A99" t="s">
        <v>1069</v>
      </c>
      <c r="B99" t="s">
        <v>1070</v>
      </c>
      <c r="C99" t="s">
        <v>1070</v>
      </c>
      <c r="D99" t="s">
        <v>1998</v>
      </c>
    </row>
    <row r="100" spans="1:4" x14ac:dyDescent="0.3">
      <c r="A100" s="12" t="s">
        <v>1351</v>
      </c>
      <c r="B100" t="s">
        <v>1356</v>
      </c>
      <c r="C100" t="s">
        <v>1828</v>
      </c>
      <c r="D100" t="s">
        <v>1826</v>
      </c>
    </row>
    <row r="101" spans="1:4" x14ac:dyDescent="0.3">
      <c r="A101" s="12" t="s">
        <v>2179</v>
      </c>
      <c r="B101" t="s">
        <v>1356</v>
      </c>
      <c r="C101" t="s">
        <v>2180</v>
      </c>
      <c r="D101" t="s">
        <v>1826</v>
      </c>
    </row>
    <row r="102" spans="1:4" x14ac:dyDescent="0.3">
      <c r="A102" s="12" t="s">
        <v>2181</v>
      </c>
      <c r="B102" t="s">
        <v>1356</v>
      </c>
      <c r="C102" t="s">
        <v>2182</v>
      </c>
      <c r="D102" t="s">
        <v>1826</v>
      </c>
    </row>
    <row r="103" spans="1:4" x14ac:dyDescent="0.3">
      <c r="A103" t="s">
        <v>1827</v>
      </c>
      <c r="B103" t="s">
        <v>1356</v>
      </c>
      <c r="C103" t="s">
        <v>1828</v>
      </c>
      <c r="D103" t="s">
        <v>1826</v>
      </c>
    </row>
    <row r="104" spans="1:4" x14ac:dyDescent="0.3">
      <c r="A104" s="12" t="s">
        <v>2183</v>
      </c>
      <c r="B104" t="s">
        <v>1356</v>
      </c>
      <c r="C104" t="s">
        <v>2184</v>
      </c>
      <c r="D104" t="s">
        <v>1826</v>
      </c>
    </row>
    <row r="105" spans="1:4" x14ac:dyDescent="0.3">
      <c r="A105" s="12" t="s">
        <v>1523</v>
      </c>
      <c r="B105" t="s">
        <v>1356</v>
      </c>
      <c r="C105" t="s">
        <v>1828</v>
      </c>
      <c r="D105" t="s">
        <v>1826</v>
      </c>
    </row>
    <row r="106" spans="1:4" x14ac:dyDescent="0.3">
      <c r="A106" t="s">
        <v>804</v>
      </c>
      <c r="B106" t="s">
        <v>804</v>
      </c>
      <c r="C106" t="s">
        <v>804</v>
      </c>
      <c r="D106" t="s">
        <v>727</v>
      </c>
    </row>
    <row r="107" spans="1:4" x14ac:dyDescent="0.3">
      <c r="A107" t="s">
        <v>796</v>
      </c>
      <c r="B107" t="s">
        <v>796</v>
      </c>
      <c r="C107" t="s">
        <v>796</v>
      </c>
      <c r="D107" t="s">
        <v>727</v>
      </c>
    </row>
    <row r="108" spans="1:4" x14ac:dyDescent="0.3">
      <c r="A108" t="s">
        <v>1719</v>
      </c>
      <c r="B108" t="s">
        <v>1220</v>
      </c>
      <c r="C108" t="s">
        <v>1720</v>
      </c>
      <c r="D108" t="s">
        <v>1725</v>
      </c>
    </row>
    <row r="109" spans="1:4" x14ac:dyDescent="0.3">
      <c r="A109" t="s">
        <v>929</v>
      </c>
      <c r="B109" t="s">
        <v>930</v>
      </c>
      <c r="C109" t="s">
        <v>929</v>
      </c>
      <c r="D109" t="s">
        <v>1545</v>
      </c>
    </row>
    <row r="110" spans="1:4" x14ac:dyDescent="0.3">
      <c r="A110" t="s">
        <v>2185</v>
      </c>
      <c r="B110" t="s">
        <v>930</v>
      </c>
      <c r="C110" t="s">
        <v>2185</v>
      </c>
      <c r="D110" t="s">
        <v>1545</v>
      </c>
    </row>
    <row r="111" spans="1:4" x14ac:dyDescent="0.3">
      <c r="A111" t="s">
        <v>1555</v>
      </c>
      <c r="B111" t="s">
        <v>935</v>
      </c>
      <c r="C111" t="s">
        <v>1555</v>
      </c>
      <c r="D111" t="s">
        <v>2113</v>
      </c>
    </row>
    <row r="112" spans="1:4" x14ac:dyDescent="0.3">
      <c r="A112" t="s">
        <v>1494</v>
      </c>
      <c r="B112" t="s">
        <v>1494</v>
      </c>
      <c r="C112" t="s">
        <v>1494</v>
      </c>
      <c r="D112" t="s">
        <v>1976</v>
      </c>
    </row>
    <row r="113" spans="1:4" x14ac:dyDescent="0.3">
      <c r="A113" t="s">
        <v>2051</v>
      </c>
      <c r="B113" t="s">
        <v>1473</v>
      </c>
      <c r="C113" t="s">
        <v>2051</v>
      </c>
      <c r="D113" t="s">
        <v>2047</v>
      </c>
    </row>
    <row r="114" spans="1:4" x14ac:dyDescent="0.3">
      <c r="A114" t="s">
        <v>821</v>
      </c>
      <c r="B114" t="s">
        <v>820</v>
      </c>
      <c r="C114" t="s">
        <v>821</v>
      </c>
      <c r="D114" t="s">
        <v>2047</v>
      </c>
    </row>
    <row r="115" spans="1:4" x14ac:dyDescent="0.3">
      <c r="A115" t="s">
        <v>816</v>
      </c>
      <c r="B115" t="s">
        <v>815</v>
      </c>
      <c r="C115" t="s">
        <v>816</v>
      </c>
      <c r="D115" t="s">
        <v>2055</v>
      </c>
    </row>
    <row r="116" spans="1:4" x14ac:dyDescent="0.3">
      <c r="A116" t="s">
        <v>833</v>
      </c>
      <c r="B116" t="s">
        <v>815</v>
      </c>
      <c r="C116" t="s">
        <v>833</v>
      </c>
      <c r="D116" t="s">
        <v>2055</v>
      </c>
    </row>
    <row r="117" spans="1:4" x14ac:dyDescent="0.3">
      <c r="A117" t="s">
        <v>2056</v>
      </c>
      <c r="B117" t="s">
        <v>2056</v>
      </c>
      <c r="C117" t="s">
        <v>2056</v>
      </c>
      <c r="D117" t="s">
        <v>2057</v>
      </c>
    </row>
    <row r="118" spans="1:4" x14ac:dyDescent="0.3">
      <c r="A118" t="s">
        <v>950</v>
      </c>
      <c r="B118" t="s">
        <v>951</v>
      </c>
      <c r="C118" t="s">
        <v>950</v>
      </c>
      <c r="D118" t="s">
        <v>1545</v>
      </c>
    </row>
    <row r="119" spans="1:4" x14ac:dyDescent="0.3">
      <c r="A119" t="s">
        <v>2102</v>
      </c>
      <c r="B119" t="s">
        <v>1015</v>
      </c>
      <c r="C119" t="s">
        <v>2102</v>
      </c>
      <c r="D119" t="s">
        <v>1015</v>
      </c>
    </row>
    <row r="120" spans="1:4" x14ac:dyDescent="0.3">
      <c r="A120" t="s">
        <v>1585</v>
      </c>
      <c r="B120" t="s">
        <v>1015</v>
      </c>
      <c r="C120" t="s">
        <v>1585</v>
      </c>
      <c r="D120" t="s">
        <v>1015</v>
      </c>
    </row>
    <row r="121" spans="1:4" x14ac:dyDescent="0.3">
      <c r="A121" t="s">
        <v>1978</v>
      </c>
      <c r="B121" t="s">
        <v>1978</v>
      </c>
      <c r="C121" t="s">
        <v>1978</v>
      </c>
      <c r="D121" t="s">
        <v>1976</v>
      </c>
    </row>
    <row r="122" spans="1:4" x14ac:dyDescent="0.3">
      <c r="A122" s="12" t="s">
        <v>1706</v>
      </c>
      <c r="B122" t="s">
        <v>1706</v>
      </c>
      <c r="C122" t="s">
        <v>1706</v>
      </c>
      <c r="D122" t="s">
        <v>1022</v>
      </c>
    </row>
    <row r="123" spans="1:4" x14ac:dyDescent="0.3">
      <c r="A123" t="s">
        <v>830</v>
      </c>
      <c r="B123" t="s">
        <v>829</v>
      </c>
      <c r="C123" t="s">
        <v>830</v>
      </c>
      <c r="D123" t="s">
        <v>2047</v>
      </c>
    </row>
    <row r="124" spans="1:4" x14ac:dyDescent="0.3">
      <c r="A124" t="s">
        <v>1611</v>
      </c>
      <c r="B124" t="s">
        <v>1044</v>
      </c>
      <c r="C124" t="s">
        <v>1611</v>
      </c>
      <c r="D124" t="s">
        <v>1606</v>
      </c>
    </row>
    <row r="125" spans="1:4" x14ac:dyDescent="0.3">
      <c r="A125" s="12" t="s">
        <v>1708</v>
      </c>
      <c r="B125" t="s">
        <v>1044</v>
      </c>
      <c r="C125" t="s">
        <v>1198</v>
      </c>
      <c r="D125" t="s">
        <v>1606</v>
      </c>
    </row>
    <row r="126" spans="1:4" x14ac:dyDescent="0.3">
      <c r="A126" s="12" t="s">
        <v>1046</v>
      </c>
      <c r="B126" t="s">
        <v>1044</v>
      </c>
      <c r="C126" t="s">
        <v>1046</v>
      </c>
      <c r="D126" t="s">
        <v>1606</v>
      </c>
    </row>
    <row r="127" spans="1:4" x14ac:dyDescent="0.3">
      <c r="A127" s="12" t="s">
        <v>2186</v>
      </c>
      <c r="B127" t="s">
        <v>1044</v>
      </c>
      <c r="C127" t="s">
        <v>1618</v>
      </c>
      <c r="D127" t="s">
        <v>1606</v>
      </c>
    </row>
    <row r="128" spans="1:4" x14ac:dyDescent="0.3">
      <c r="A128" s="12" t="s">
        <v>1058</v>
      </c>
      <c r="B128" t="s">
        <v>1044</v>
      </c>
      <c r="C128" t="s">
        <v>1605</v>
      </c>
      <c r="D128" t="s">
        <v>1606</v>
      </c>
    </row>
    <row r="129" spans="1:4" x14ac:dyDescent="0.3">
      <c r="A129" s="12" t="s">
        <v>1049</v>
      </c>
      <c r="B129" t="s">
        <v>1044</v>
      </c>
      <c r="C129" t="s">
        <v>1049</v>
      </c>
      <c r="D129" t="s">
        <v>1606</v>
      </c>
    </row>
    <row r="130" spans="1:4" x14ac:dyDescent="0.3">
      <c r="A130" s="12" t="s">
        <v>1614</v>
      </c>
      <c r="B130" t="s">
        <v>1044</v>
      </c>
      <c r="C130" t="s">
        <v>1615</v>
      </c>
      <c r="D130" t="s">
        <v>1606</v>
      </c>
    </row>
    <row r="131" spans="1:4" x14ac:dyDescent="0.3">
      <c r="A131" t="s">
        <v>947</v>
      </c>
      <c r="B131" t="s">
        <v>947</v>
      </c>
      <c r="C131" t="s">
        <v>947</v>
      </c>
      <c r="D131" t="s">
        <v>1545</v>
      </c>
    </row>
    <row r="132" spans="1:4" x14ac:dyDescent="0.3">
      <c r="A132" t="s">
        <v>812</v>
      </c>
      <c r="B132" t="s">
        <v>811</v>
      </c>
      <c r="C132" t="s">
        <v>812</v>
      </c>
      <c r="D132" t="s">
        <v>727</v>
      </c>
    </row>
    <row r="133" spans="1:4" x14ac:dyDescent="0.3">
      <c r="A133" t="s">
        <v>1653</v>
      </c>
      <c r="B133" t="s">
        <v>1102</v>
      </c>
      <c r="C133" t="s">
        <v>1653</v>
      </c>
      <c r="D133" t="s">
        <v>2113</v>
      </c>
    </row>
    <row r="134" spans="1:4" x14ac:dyDescent="0.3">
      <c r="A134" s="12" t="s">
        <v>1525</v>
      </c>
      <c r="B134" t="s">
        <v>1100</v>
      </c>
      <c r="C134" t="s">
        <v>1665</v>
      </c>
      <c r="D134" t="s">
        <v>1826</v>
      </c>
    </row>
    <row r="135" spans="1:4" x14ac:dyDescent="0.3">
      <c r="A135" s="12" t="s">
        <v>1669</v>
      </c>
      <c r="B135" t="s">
        <v>1100</v>
      </c>
      <c r="C135" t="s">
        <v>1153</v>
      </c>
      <c r="D135" t="s">
        <v>1998</v>
      </c>
    </row>
    <row r="136" spans="1:4" x14ac:dyDescent="0.3">
      <c r="A136" t="s">
        <v>1150</v>
      </c>
      <c r="B136" t="s">
        <v>1100</v>
      </c>
      <c r="C136" t="s">
        <v>1150</v>
      </c>
      <c r="D136" t="s">
        <v>1998</v>
      </c>
    </row>
    <row r="137" spans="1:4" x14ac:dyDescent="0.3">
      <c r="A137" s="12" t="s">
        <v>1655</v>
      </c>
      <c r="B137" t="s">
        <v>1100</v>
      </c>
      <c r="C137" t="s">
        <v>1656</v>
      </c>
      <c r="D137" t="s">
        <v>1998</v>
      </c>
    </row>
    <row r="138" spans="1:4" x14ac:dyDescent="0.3">
      <c r="A138" s="12" t="s">
        <v>1660</v>
      </c>
      <c r="B138" t="s">
        <v>1100</v>
      </c>
      <c r="C138" t="s">
        <v>1806</v>
      </c>
      <c r="D138" t="s">
        <v>1806</v>
      </c>
    </row>
    <row r="139" spans="1:4" x14ac:dyDescent="0.3">
      <c r="A139" t="s">
        <v>2061</v>
      </c>
      <c r="B139" t="s">
        <v>937</v>
      </c>
      <c r="C139" t="s">
        <v>2061</v>
      </c>
      <c r="D139" t="s">
        <v>2061</v>
      </c>
    </row>
    <row r="140" spans="1:4" x14ac:dyDescent="0.3">
      <c r="A140" t="s">
        <v>1641</v>
      </c>
      <c r="B140" t="s">
        <v>1097</v>
      </c>
      <c r="C140" t="s">
        <v>1641</v>
      </c>
      <c r="D140" t="s">
        <v>2113</v>
      </c>
    </row>
    <row r="141" spans="1:4" x14ac:dyDescent="0.3">
      <c r="A141" t="s">
        <v>1612</v>
      </c>
      <c r="B141" t="s">
        <v>1095</v>
      </c>
      <c r="C141" t="s">
        <v>1094</v>
      </c>
      <c r="D141" t="s">
        <v>1094</v>
      </c>
    </row>
    <row r="142" spans="1:4" x14ac:dyDescent="0.3">
      <c r="A142" t="s">
        <v>1692</v>
      </c>
      <c r="B142" t="s">
        <v>1180</v>
      </c>
      <c r="C142" t="s">
        <v>1180</v>
      </c>
      <c r="D142" t="s">
        <v>1559</v>
      </c>
    </row>
    <row r="143" spans="1:4" x14ac:dyDescent="0.3">
      <c r="A143" t="s">
        <v>1717</v>
      </c>
      <c r="B143" t="s">
        <v>1214</v>
      </c>
      <c r="C143" t="s">
        <v>1718</v>
      </c>
      <c r="D143" t="s">
        <v>1725</v>
      </c>
    </row>
    <row r="144" spans="1:4" x14ac:dyDescent="0.3">
      <c r="A144" t="s">
        <v>1715</v>
      </c>
      <c r="B144" t="s">
        <v>1214</v>
      </c>
      <c r="C144" t="s">
        <v>1213</v>
      </c>
      <c r="D144" t="s">
        <v>1725</v>
      </c>
    </row>
    <row r="145" spans="1:4" x14ac:dyDescent="0.3">
      <c r="A145" s="12" t="s">
        <v>2187</v>
      </c>
      <c r="B145" t="s">
        <v>1022</v>
      </c>
      <c r="C145" t="s">
        <v>1022</v>
      </c>
      <c r="D145" t="s">
        <v>1022</v>
      </c>
    </row>
    <row r="146" spans="1:4" x14ac:dyDescent="0.3">
      <c r="A146" t="s">
        <v>1918</v>
      </c>
      <c r="B146" t="s">
        <v>1918</v>
      </c>
      <c r="C146" t="s">
        <v>1918</v>
      </c>
      <c r="D146" t="s">
        <v>1918</v>
      </c>
    </row>
    <row r="147" spans="1:4" x14ac:dyDescent="0.3">
      <c r="A147" t="s">
        <v>1636</v>
      </c>
      <c r="B147" t="s">
        <v>1087</v>
      </c>
      <c r="C147" t="s">
        <v>1636</v>
      </c>
      <c r="D147" t="s">
        <v>1998</v>
      </c>
    </row>
    <row r="148" spans="1:4" x14ac:dyDescent="0.3">
      <c r="A148" t="s">
        <v>1638</v>
      </c>
      <c r="B148" t="s">
        <v>1089</v>
      </c>
      <c r="C148" t="s">
        <v>1638</v>
      </c>
      <c r="D148" t="s">
        <v>2113</v>
      </c>
    </row>
    <row r="149" spans="1:4" x14ac:dyDescent="0.3">
      <c r="A149" t="s">
        <v>2068</v>
      </c>
      <c r="B149" t="s">
        <v>1093</v>
      </c>
      <c r="C149" t="s">
        <v>2068</v>
      </c>
      <c r="D149" t="s">
        <v>2061</v>
      </c>
    </row>
    <row r="150" spans="1:4" x14ac:dyDescent="0.3">
      <c r="A150" t="s">
        <v>1592</v>
      </c>
      <c r="B150" t="s">
        <v>1032</v>
      </c>
      <c r="C150" t="s">
        <v>1032</v>
      </c>
      <c r="D150" t="s">
        <v>1588</v>
      </c>
    </row>
    <row r="151" spans="1:4" x14ac:dyDescent="0.3">
      <c r="A151" t="s">
        <v>2005</v>
      </c>
      <c r="B151" t="s">
        <v>2005</v>
      </c>
      <c r="C151" t="s">
        <v>2005</v>
      </c>
      <c r="D151" t="s">
        <v>1976</v>
      </c>
    </row>
    <row r="152" spans="1:4" x14ac:dyDescent="0.3">
      <c r="A152" t="s">
        <v>858</v>
      </c>
      <c r="B152" t="s">
        <v>857</v>
      </c>
      <c r="C152" t="s">
        <v>858</v>
      </c>
      <c r="D152" t="s">
        <v>2047</v>
      </c>
    </row>
    <row r="153" spans="1:4" x14ac:dyDescent="0.3">
      <c r="A153" t="s">
        <v>1808</v>
      </c>
      <c r="B153" t="s">
        <v>1326</v>
      </c>
      <c r="C153" t="s">
        <v>1809</v>
      </c>
      <c r="D153" t="s">
        <v>1806</v>
      </c>
    </row>
    <row r="154" spans="1:4" x14ac:dyDescent="0.3">
      <c r="A154" t="s">
        <v>1747</v>
      </c>
      <c r="B154" t="s">
        <v>1271</v>
      </c>
      <c r="C154" t="s">
        <v>1747</v>
      </c>
      <c r="D154" t="s">
        <v>1607</v>
      </c>
    </row>
    <row r="155" spans="1:4" x14ac:dyDescent="0.3">
      <c r="A155" t="s">
        <v>1564</v>
      </c>
      <c r="B155" t="s">
        <v>983</v>
      </c>
      <c r="C155" t="s">
        <v>982</v>
      </c>
      <c r="D155" t="s">
        <v>2092</v>
      </c>
    </row>
    <row r="156" spans="1:4" x14ac:dyDescent="0.3">
      <c r="A156" t="s">
        <v>866</v>
      </c>
      <c r="B156" t="s">
        <v>845</v>
      </c>
      <c r="C156" t="s">
        <v>866</v>
      </c>
      <c r="D156" t="s">
        <v>2047</v>
      </c>
    </row>
    <row r="157" spans="1:4" x14ac:dyDescent="0.3">
      <c r="A157" s="12" t="s">
        <v>1594</v>
      </c>
      <c r="B157" t="s">
        <v>1030</v>
      </c>
      <c r="C157" t="s">
        <v>1595</v>
      </c>
      <c r="D157" t="s">
        <v>1588</v>
      </c>
    </row>
    <row r="158" spans="1:4" x14ac:dyDescent="0.3">
      <c r="A158" s="12" t="s">
        <v>1590</v>
      </c>
      <c r="B158" t="s">
        <v>1030</v>
      </c>
      <c r="C158" t="s">
        <v>1591</v>
      </c>
      <c r="D158" t="s">
        <v>1588</v>
      </c>
    </row>
    <row r="159" spans="1:4" x14ac:dyDescent="0.3">
      <c r="A159" s="12" t="s">
        <v>1036</v>
      </c>
      <c r="B159" t="s">
        <v>1030</v>
      </c>
      <c r="C159" t="s">
        <v>1036</v>
      </c>
      <c r="D159" t="s">
        <v>1588</v>
      </c>
    </row>
    <row r="160" spans="1:4" x14ac:dyDescent="0.3">
      <c r="A160" s="12" t="s">
        <v>1601</v>
      </c>
      <c r="B160" t="s">
        <v>1030</v>
      </c>
      <c r="C160" t="s">
        <v>1039</v>
      </c>
      <c r="D160" t="s">
        <v>1588</v>
      </c>
    </row>
    <row r="161" spans="1:4" x14ac:dyDescent="0.3">
      <c r="A161" t="s">
        <v>1040</v>
      </c>
      <c r="B161" t="s">
        <v>1030</v>
      </c>
      <c r="C161" t="s">
        <v>1596</v>
      </c>
      <c r="D161" t="s">
        <v>1588</v>
      </c>
    </row>
    <row r="162" spans="1:4" x14ac:dyDescent="0.3">
      <c r="A162" s="12" t="s">
        <v>1600</v>
      </c>
      <c r="B162" t="s">
        <v>1030</v>
      </c>
      <c r="C162" t="s">
        <v>1038</v>
      </c>
      <c r="D162" t="s">
        <v>1588</v>
      </c>
    </row>
    <row r="163" spans="1:4" x14ac:dyDescent="0.3">
      <c r="A163" t="s">
        <v>2074</v>
      </c>
      <c r="B163" t="s">
        <v>1115</v>
      </c>
      <c r="C163" t="s">
        <v>2074</v>
      </c>
      <c r="D163" t="s">
        <v>2061</v>
      </c>
    </row>
    <row r="164" spans="1:4" x14ac:dyDescent="0.3">
      <c r="A164" t="s">
        <v>1651</v>
      </c>
      <c r="B164" t="s">
        <v>1111</v>
      </c>
      <c r="C164" t="s">
        <v>1110</v>
      </c>
      <c r="D164" t="s">
        <v>1998</v>
      </c>
    </row>
    <row r="165" spans="1:4" x14ac:dyDescent="0.3">
      <c r="A165" t="s">
        <v>1548</v>
      </c>
      <c r="B165" t="s">
        <v>904</v>
      </c>
      <c r="C165" t="s">
        <v>1548</v>
      </c>
      <c r="D165" t="s">
        <v>1545</v>
      </c>
    </row>
    <row r="166" spans="1:4" x14ac:dyDescent="0.3">
      <c r="A166" s="4" t="s">
        <v>1653</v>
      </c>
      <c r="B166" t="s">
        <v>914</v>
      </c>
      <c r="C166" t="s">
        <v>1653</v>
      </c>
      <c r="D166" t="s">
        <v>2113</v>
      </c>
    </row>
    <row r="167" spans="1:4" x14ac:dyDescent="0.3">
      <c r="A167" t="s">
        <v>1557</v>
      </c>
      <c r="B167" t="s">
        <v>996</v>
      </c>
      <c r="C167" t="s">
        <v>1558</v>
      </c>
      <c r="D167" t="s">
        <v>2092</v>
      </c>
    </row>
    <row r="168" spans="1:4" x14ac:dyDescent="0.3">
      <c r="A168" t="s">
        <v>1196</v>
      </c>
      <c r="B168" t="s">
        <v>996</v>
      </c>
      <c r="C168" t="s">
        <v>1678</v>
      </c>
      <c r="D168" t="s">
        <v>1559</v>
      </c>
    </row>
    <row r="169" spans="1:4" x14ac:dyDescent="0.3">
      <c r="A169" t="s">
        <v>1367</v>
      </c>
      <c r="B169" t="s">
        <v>1367</v>
      </c>
      <c r="C169" t="s">
        <v>1367</v>
      </c>
      <c r="D169" t="s">
        <v>1826</v>
      </c>
    </row>
    <row r="170" spans="1:4" x14ac:dyDescent="0.3">
      <c r="A170" t="s">
        <v>943</v>
      </c>
      <c r="B170" t="s">
        <v>944</v>
      </c>
      <c r="C170" t="s">
        <v>943</v>
      </c>
      <c r="D170" t="s">
        <v>1545</v>
      </c>
    </row>
    <row r="171" spans="1:4" x14ac:dyDescent="0.3">
      <c r="A171" t="s">
        <v>1346</v>
      </c>
      <c r="B171" t="s">
        <v>1345</v>
      </c>
      <c r="C171" t="s">
        <v>1828</v>
      </c>
      <c r="D171" t="s">
        <v>1826</v>
      </c>
    </row>
    <row r="172" spans="1:4" x14ac:dyDescent="0.3">
      <c r="A172" t="s">
        <v>955</v>
      </c>
      <c r="B172" t="s">
        <v>956</v>
      </c>
      <c r="C172" t="s">
        <v>955</v>
      </c>
      <c r="D172" t="s">
        <v>1545</v>
      </c>
    </row>
    <row r="173" spans="1:4" x14ac:dyDescent="0.3">
      <c r="A173" t="s">
        <v>1520</v>
      </c>
      <c r="B173" t="s">
        <v>1520</v>
      </c>
      <c r="C173" t="s">
        <v>1520</v>
      </c>
      <c r="D173" t="s">
        <v>1521</v>
      </c>
    </row>
    <row r="174" spans="1:4" x14ac:dyDescent="0.3">
      <c r="A174" t="s">
        <v>1065</v>
      </c>
      <c r="B174" t="s">
        <v>1065</v>
      </c>
      <c r="C174" t="s">
        <v>1065</v>
      </c>
      <c r="D174" t="s">
        <v>2061</v>
      </c>
    </row>
    <row r="175" spans="1:4" x14ac:dyDescent="0.3">
      <c r="A175" t="s">
        <v>1626</v>
      </c>
      <c r="B175" t="s">
        <v>1063</v>
      </c>
      <c r="C175" t="s">
        <v>1626</v>
      </c>
      <c r="D175" t="s">
        <v>2113</v>
      </c>
    </row>
    <row r="176" spans="1:4" x14ac:dyDescent="0.3">
      <c r="A176" t="s">
        <v>1061</v>
      </c>
      <c r="B176" t="s">
        <v>1061</v>
      </c>
      <c r="C176" t="s">
        <v>1060</v>
      </c>
      <c r="D176" t="s">
        <v>1998</v>
      </c>
    </row>
    <row r="177" spans="1:4" x14ac:dyDescent="0.3">
      <c r="A177" t="s">
        <v>2150</v>
      </c>
      <c r="B177" t="s">
        <v>1328</v>
      </c>
      <c r="C177" t="s">
        <v>1806</v>
      </c>
      <c r="D177" t="s">
        <v>1806</v>
      </c>
    </row>
    <row r="178" spans="1:4" x14ac:dyDescent="0.3">
      <c r="A178" s="12" t="s">
        <v>1804</v>
      </c>
      <c r="B178" t="s">
        <v>1322</v>
      </c>
      <c r="C178" t="s">
        <v>1322</v>
      </c>
      <c r="D178" t="s">
        <v>1806</v>
      </c>
    </row>
    <row r="179" spans="1:4" x14ac:dyDescent="0.3">
      <c r="A179" s="12" t="s">
        <v>1336</v>
      </c>
      <c r="B179" t="s">
        <v>1328</v>
      </c>
      <c r="C179" t="s">
        <v>1336</v>
      </c>
      <c r="D179" t="s">
        <v>1806</v>
      </c>
    </row>
    <row r="180" spans="1:4" x14ac:dyDescent="0.3">
      <c r="A180" s="12" t="s">
        <v>1338</v>
      </c>
      <c r="B180" t="s">
        <v>1328</v>
      </c>
      <c r="C180" t="s">
        <v>1806</v>
      </c>
      <c r="D180" t="s">
        <v>1806</v>
      </c>
    </row>
    <row r="181" spans="1:4" x14ac:dyDescent="0.3">
      <c r="A181" s="12" t="s">
        <v>2188</v>
      </c>
      <c r="B181" t="s">
        <v>1328</v>
      </c>
      <c r="C181" t="s">
        <v>2188</v>
      </c>
      <c r="D181" t="s">
        <v>1806</v>
      </c>
    </row>
    <row r="182" spans="1:4" x14ac:dyDescent="0.3">
      <c r="A182" t="s">
        <v>1328</v>
      </c>
      <c r="B182" t="s">
        <v>1328</v>
      </c>
      <c r="C182" t="s">
        <v>1806</v>
      </c>
      <c r="D182" t="s">
        <v>1806</v>
      </c>
    </row>
    <row r="183" spans="1:4" x14ac:dyDescent="0.3">
      <c r="A183" t="s">
        <v>1298</v>
      </c>
      <c r="B183" t="s">
        <v>1298</v>
      </c>
      <c r="C183" t="s">
        <v>1298</v>
      </c>
      <c r="D183" t="s">
        <v>1298</v>
      </c>
    </row>
    <row r="184" spans="1:4" x14ac:dyDescent="0.3">
      <c r="A184" t="s">
        <v>1584</v>
      </c>
      <c r="B184" t="s">
        <v>1008</v>
      </c>
      <c r="C184" t="s">
        <v>1584</v>
      </c>
      <c r="D184" t="s">
        <v>2099</v>
      </c>
    </row>
    <row r="185" spans="1:4" x14ac:dyDescent="0.3">
      <c r="A185" t="s">
        <v>1584</v>
      </c>
      <c r="B185" t="s">
        <v>2189</v>
      </c>
      <c r="C185" t="s">
        <v>1584</v>
      </c>
      <c r="D185" t="s">
        <v>2099</v>
      </c>
    </row>
    <row r="186" spans="1:4" x14ac:dyDescent="0.3">
      <c r="A186" t="s">
        <v>1006</v>
      </c>
      <c r="B186" t="s">
        <v>1006</v>
      </c>
      <c r="C186" t="s">
        <v>1581</v>
      </c>
      <c r="D186" t="s">
        <v>2098</v>
      </c>
    </row>
    <row r="187" spans="1:4" x14ac:dyDescent="0.3">
      <c r="A187" t="s">
        <v>1574</v>
      </c>
      <c r="B187" t="s">
        <v>1005</v>
      </c>
      <c r="C187" t="s">
        <v>1575</v>
      </c>
      <c r="D187" t="s">
        <v>2098</v>
      </c>
    </row>
    <row r="188" spans="1:4" x14ac:dyDescent="0.3">
      <c r="A188" t="s">
        <v>2106</v>
      </c>
      <c r="B188" t="s">
        <v>1013</v>
      </c>
      <c r="C188" t="s">
        <v>2106</v>
      </c>
      <c r="D188" t="s">
        <v>2099</v>
      </c>
    </row>
    <row r="189" spans="1:4" x14ac:dyDescent="0.3">
      <c r="A189" t="s">
        <v>2088</v>
      </c>
      <c r="B189" t="s">
        <v>1020</v>
      </c>
      <c r="C189" t="s">
        <v>2088</v>
      </c>
      <c r="D189" t="s">
        <v>2061</v>
      </c>
    </row>
    <row r="190" spans="1:4" x14ac:dyDescent="0.3">
      <c r="A190" t="s">
        <v>1105</v>
      </c>
      <c r="B190" t="s">
        <v>1105</v>
      </c>
      <c r="C190" t="s">
        <v>1646</v>
      </c>
      <c r="D190" t="s">
        <v>1998</v>
      </c>
    </row>
    <row r="191" spans="1:4" x14ac:dyDescent="0.3">
      <c r="A191" t="s">
        <v>2064</v>
      </c>
      <c r="B191" t="s">
        <v>1109</v>
      </c>
      <c r="C191" t="s">
        <v>2064</v>
      </c>
      <c r="D191" t="s">
        <v>2061</v>
      </c>
    </row>
    <row r="192" spans="1:4" x14ac:dyDescent="0.3">
      <c r="A192" t="s">
        <v>1649</v>
      </c>
      <c r="B192" t="s">
        <v>1107</v>
      </c>
      <c r="C192" t="s">
        <v>1649</v>
      </c>
      <c r="D192" t="s">
        <v>2113</v>
      </c>
    </row>
    <row r="193" spans="1:4" x14ac:dyDescent="0.3">
      <c r="A193" t="s">
        <v>1568</v>
      </c>
      <c r="B193" t="s">
        <v>988</v>
      </c>
      <c r="C193" t="s">
        <v>1558</v>
      </c>
      <c r="D193" t="s">
        <v>2092</v>
      </c>
    </row>
    <row r="194" spans="1:4" x14ac:dyDescent="0.3">
      <c r="A194" t="s">
        <v>1318</v>
      </c>
      <c r="B194" t="s">
        <v>1319</v>
      </c>
      <c r="C194" t="s">
        <v>1318</v>
      </c>
      <c r="D194" t="s">
        <v>1806</v>
      </c>
    </row>
    <row r="195" spans="1:4" x14ac:dyDescent="0.3">
      <c r="A195" s="12" t="s">
        <v>2107</v>
      </c>
      <c r="B195" t="s">
        <v>1870</v>
      </c>
      <c r="C195" t="s">
        <v>2107</v>
      </c>
      <c r="D195" t="s">
        <v>2018</v>
      </c>
    </row>
    <row r="196" spans="1:4" x14ac:dyDescent="0.3">
      <c r="A196" t="s">
        <v>1362</v>
      </c>
      <c r="B196" t="s">
        <v>1362</v>
      </c>
      <c r="C196" t="s">
        <v>1362</v>
      </c>
      <c r="D196" t="s">
        <v>1806</v>
      </c>
    </row>
    <row r="197" spans="1:4" x14ac:dyDescent="0.3">
      <c r="A197" t="s">
        <v>1680</v>
      </c>
      <c r="B197" t="s">
        <v>1168</v>
      </c>
      <c r="C197" t="s">
        <v>1167</v>
      </c>
      <c r="D197" t="s">
        <v>1559</v>
      </c>
    </row>
    <row r="198" spans="1:4" x14ac:dyDescent="0.3">
      <c r="A198" s="12" t="s">
        <v>1674</v>
      </c>
      <c r="B198" t="s">
        <v>1161</v>
      </c>
      <c r="C198" t="s">
        <v>1162</v>
      </c>
      <c r="D198" t="s">
        <v>1559</v>
      </c>
    </row>
    <row r="199" spans="1:4" x14ac:dyDescent="0.3">
      <c r="A199" s="12" t="s">
        <v>2190</v>
      </c>
      <c r="B199" t="s">
        <v>1161</v>
      </c>
      <c r="C199" t="s">
        <v>1678</v>
      </c>
      <c r="D199" t="s">
        <v>1559</v>
      </c>
    </row>
    <row r="200" spans="1:4" x14ac:dyDescent="0.3">
      <c r="A200" s="12" t="s">
        <v>1163</v>
      </c>
      <c r="B200" t="s">
        <v>1161</v>
      </c>
      <c r="C200" t="s">
        <v>1163</v>
      </c>
      <c r="D200" t="s">
        <v>1559</v>
      </c>
    </row>
    <row r="201" spans="1:4" x14ac:dyDescent="0.3">
      <c r="A201" s="12" t="s">
        <v>1687</v>
      </c>
      <c r="B201" t="s">
        <v>1161</v>
      </c>
      <c r="C201" t="s">
        <v>1688</v>
      </c>
      <c r="D201" t="s">
        <v>1559</v>
      </c>
    </row>
    <row r="202" spans="1:4" x14ac:dyDescent="0.3">
      <c r="A202" s="12" t="s">
        <v>1183</v>
      </c>
      <c r="B202" t="s">
        <v>1161</v>
      </c>
      <c r="C202" t="s">
        <v>1699</v>
      </c>
      <c r="D202" t="s">
        <v>1559</v>
      </c>
    </row>
    <row r="203" spans="1:4" x14ac:dyDescent="0.3">
      <c r="A203" s="12" t="s">
        <v>2191</v>
      </c>
      <c r="B203" t="s">
        <v>1161</v>
      </c>
      <c r="C203" t="s">
        <v>1678</v>
      </c>
      <c r="D203" t="s">
        <v>1559</v>
      </c>
    </row>
    <row r="204" spans="1:4" x14ac:dyDescent="0.3">
      <c r="A204" s="12" t="s">
        <v>2192</v>
      </c>
      <c r="B204" t="s">
        <v>1161</v>
      </c>
      <c r="C204" t="s">
        <v>1678</v>
      </c>
      <c r="D204" t="s">
        <v>1559</v>
      </c>
    </row>
    <row r="205" spans="1:4" x14ac:dyDescent="0.3">
      <c r="A205" s="12" t="s">
        <v>1672</v>
      </c>
      <c r="B205" t="s">
        <v>1161</v>
      </c>
      <c r="C205" t="s">
        <v>1671</v>
      </c>
      <c r="D205" t="s">
        <v>1559</v>
      </c>
    </row>
    <row r="206" spans="1:4" x14ac:dyDescent="0.3">
      <c r="A206" s="12" t="s">
        <v>2193</v>
      </c>
      <c r="B206" t="s">
        <v>1161</v>
      </c>
      <c r="C206" t="s">
        <v>1678</v>
      </c>
      <c r="D206" t="s">
        <v>1559</v>
      </c>
    </row>
    <row r="207" spans="1:4" x14ac:dyDescent="0.3">
      <c r="A207" s="12" t="s">
        <v>1703</v>
      </c>
      <c r="B207" t="s">
        <v>1161</v>
      </c>
      <c r="C207" t="s">
        <v>1704</v>
      </c>
      <c r="D207" t="s">
        <v>1559</v>
      </c>
    </row>
    <row r="208" spans="1:4" x14ac:dyDescent="0.3">
      <c r="A208" s="12" t="s">
        <v>1681</v>
      </c>
      <c r="B208" t="s">
        <v>1161</v>
      </c>
      <c r="C208" t="s">
        <v>1682</v>
      </c>
      <c r="D208" t="s">
        <v>1559</v>
      </c>
    </row>
    <row r="209" spans="1:4" x14ac:dyDescent="0.3">
      <c r="A209" s="12" t="s">
        <v>2194</v>
      </c>
      <c r="B209" t="s">
        <v>1161</v>
      </c>
      <c r="C209" t="s">
        <v>2194</v>
      </c>
      <c r="D209" t="s">
        <v>1559</v>
      </c>
    </row>
    <row r="210" spans="1:4" x14ac:dyDescent="0.3">
      <c r="A210" s="12" t="s">
        <v>2195</v>
      </c>
      <c r="B210" t="s">
        <v>1161</v>
      </c>
      <c r="C210" t="s">
        <v>1678</v>
      </c>
      <c r="D210" t="s">
        <v>1559</v>
      </c>
    </row>
    <row r="211" spans="1:4" x14ac:dyDescent="0.3">
      <c r="A211" t="s">
        <v>2196</v>
      </c>
      <c r="B211" t="s">
        <v>1161</v>
      </c>
      <c r="C211" t="s">
        <v>1690</v>
      </c>
      <c r="D211" t="s">
        <v>1559</v>
      </c>
    </row>
    <row r="212" spans="1:4" x14ac:dyDescent="0.3">
      <c r="A212" s="12" t="s">
        <v>1685</v>
      </c>
      <c r="B212" t="s">
        <v>1161</v>
      </c>
      <c r="C212" t="s">
        <v>1686</v>
      </c>
      <c r="D212" t="s">
        <v>1559</v>
      </c>
    </row>
    <row r="213" spans="1:4" x14ac:dyDescent="0.3">
      <c r="A213" s="12" t="s">
        <v>2197</v>
      </c>
      <c r="B213" t="s">
        <v>1161</v>
      </c>
      <c r="C213" t="s">
        <v>1676</v>
      </c>
      <c r="D213" t="s">
        <v>1559</v>
      </c>
    </row>
    <row r="214" spans="1:4" x14ac:dyDescent="0.3">
      <c r="A214" s="12" t="s">
        <v>2198</v>
      </c>
      <c r="B214" t="s">
        <v>1161</v>
      </c>
      <c r="C214" t="s">
        <v>2199</v>
      </c>
      <c r="D214" t="s">
        <v>1559</v>
      </c>
    </row>
    <row r="215" spans="1:4" x14ac:dyDescent="0.3">
      <c r="A215" s="12" t="s">
        <v>1181</v>
      </c>
      <c r="B215" t="s">
        <v>1161</v>
      </c>
      <c r="C215" t="s">
        <v>1181</v>
      </c>
      <c r="D215" t="s">
        <v>1559</v>
      </c>
    </row>
    <row r="216" spans="1:4" x14ac:dyDescent="0.3">
      <c r="A216" s="12" t="s">
        <v>1696</v>
      </c>
      <c r="B216" t="s">
        <v>1161</v>
      </c>
      <c r="C216" t="s">
        <v>1697</v>
      </c>
      <c r="D216" t="s">
        <v>1559</v>
      </c>
    </row>
    <row r="217" spans="1:4" x14ac:dyDescent="0.3">
      <c r="A217" s="12" t="s">
        <v>1675</v>
      </c>
      <c r="B217" t="s">
        <v>1161</v>
      </c>
      <c r="C217" t="s">
        <v>1676</v>
      </c>
      <c r="D217" t="s">
        <v>1559</v>
      </c>
    </row>
    <row r="218" spans="1:4" x14ac:dyDescent="0.3">
      <c r="A218" t="s">
        <v>1743</v>
      </c>
      <c r="B218" t="s">
        <v>1161</v>
      </c>
      <c r="C218" t="s">
        <v>1744</v>
      </c>
      <c r="D218" t="s">
        <v>1559</v>
      </c>
    </row>
    <row r="219" spans="1:4" x14ac:dyDescent="0.3">
      <c r="A219" s="12" t="s">
        <v>2200</v>
      </c>
      <c r="B219" t="s">
        <v>1161</v>
      </c>
      <c r="C219" t="s">
        <v>1678</v>
      </c>
      <c r="D219" t="s">
        <v>1559</v>
      </c>
    </row>
    <row r="220" spans="1:4" x14ac:dyDescent="0.3">
      <c r="A220" s="12" t="s">
        <v>1700</v>
      </c>
      <c r="B220" t="s">
        <v>1161</v>
      </c>
      <c r="C220" t="s">
        <v>1701</v>
      </c>
      <c r="D220" t="s">
        <v>1559</v>
      </c>
    </row>
    <row r="221" spans="1:4" x14ac:dyDescent="0.3">
      <c r="A221" s="12" t="s">
        <v>1324</v>
      </c>
      <c r="B221" t="s">
        <v>1161</v>
      </c>
      <c r="C221" t="s">
        <v>1690</v>
      </c>
      <c r="D221" t="s">
        <v>1559</v>
      </c>
    </row>
    <row r="222" spans="1:4" x14ac:dyDescent="0.3">
      <c r="A222" s="12" t="s">
        <v>1165</v>
      </c>
      <c r="B222" t="s">
        <v>1161</v>
      </c>
      <c r="C222" t="s">
        <v>1165</v>
      </c>
      <c r="D222" t="s">
        <v>1559</v>
      </c>
    </row>
    <row r="223" spans="1:4" x14ac:dyDescent="0.3">
      <c r="A223" s="12" t="s">
        <v>1683</v>
      </c>
      <c r="B223" t="s">
        <v>1161</v>
      </c>
      <c r="C223" t="s">
        <v>1684</v>
      </c>
      <c r="D223" t="s">
        <v>1559</v>
      </c>
    </row>
    <row r="224" spans="1:4" x14ac:dyDescent="0.3">
      <c r="A224" s="12" t="s">
        <v>2201</v>
      </c>
      <c r="B224" t="s">
        <v>1161</v>
      </c>
      <c r="C224" t="s">
        <v>1704</v>
      </c>
      <c r="D224" t="s">
        <v>1559</v>
      </c>
    </row>
    <row r="225" spans="1:4" x14ac:dyDescent="0.3">
      <c r="A225" s="12" t="s">
        <v>1185</v>
      </c>
      <c r="B225" t="s">
        <v>1161</v>
      </c>
      <c r="C225" t="s">
        <v>2199</v>
      </c>
      <c r="D225" t="s">
        <v>1559</v>
      </c>
    </row>
    <row r="226" spans="1:4" x14ac:dyDescent="0.3">
      <c r="A226" s="12" t="s">
        <v>1677</v>
      </c>
      <c r="B226" t="s">
        <v>1161</v>
      </c>
      <c r="C226" t="s">
        <v>1678</v>
      </c>
      <c r="D226" t="s">
        <v>1559</v>
      </c>
    </row>
    <row r="227" spans="1:4" x14ac:dyDescent="0.3">
      <c r="A227" s="12" t="s">
        <v>1741</v>
      </c>
      <c r="B227" t="s">
        <v>1161</v>
      </c>
      <c r="C227" t="s">
        <v>1264</v>
      </c>
      <c r="D227" t="s">
        <v>1559</v>
      </c>
    </row>
    <row r="228" spans="1:4" x14ac:dyDescent="0.3">
      <c r="A228" s="12" t="s">
        <v>2202</v>
      </c>
      <c r="B228" t="s">
        <v>1161</v>
      </c>
      <c r="C228" t="s">
        <v>2202</v>
      </c>
      <c r="D228" t="s">
        <v>1559</v>
      </c>
    </row>
    <row r="229" spans="1:4" x14ac:dyDescent="0.3">
      <c r="A229" t="s">
        <v>890</v>
      </c>
      <c r="B229" t="s">
        <v>891</v>
      </c>
      <c r="C229" t="s">
        <v>890</v>
      </c>
      <c r="D229" t="s">
        <v>1545</v>
      </c>
    </row>
    <row r="230" spans="1:4" x14ac:dyDescent="0.3">
      <c r="A230" t="s">
        <v>1849</v>
      </c>
      <c r="B230" t="s">
        <v>1849</v>
      </c>
      <c r="C230" t="s">
        <v>1849</v>
      </c>
      <c r="D230" t="s">
        <v>2055</v>
      </c>
    </row>
    <row r="231" spans="1:4" x14ac:dyDescent="0.3">
      <c r="A231" t="s">
        <v>1262</v>
      </c>
      <c r="B231" t="s">
        <v>1262</v>
      </c>
      <c r="C231" t="s">
        <v>1262</v>
      </c>
      <c r="D231" t="s">
        <v>1966</v>
      </c>
    </row>
    <row r="232" spans="1:4" x14ac:dyDescent="0.3">
      <c r="A232" t="s">
        <v>882</v>
      </c>
      <c r="B232" t="s">
        <v>881</v>
      </c>
      <c r="C232" t="s">
        <v>882</v>
      </c>
      <c r="D232" t="s">
        <v>727</v>
      </c>
    </row>
    <row r="233" spans="1:4" x14ac:dyDescent="0.3">
      <c r="A233" t="s">
        <v>885</v>
      </c>
      <c r="B233" t="s">
        <v>885</v>
      </c>
      <c r="C233" t="s">
        <v>885</v>
      </c>
      <c r="D233" t="s">
        <v>727</v>
      </c>
    </row>
    <row r="234" spans="1:4" x14ac:dyDescent="0.3">
      <c r="A234" t="s">
        <v>2156</v>
      </c>
      <c r="B234" t="s">
        <v>1919</v>
      </c>
      <c r="C234" t="s">
        <v>2154</v>
      </c>
      <c r="D234" t="s">
        <v>2154</v>
      </c>
    </row>
  </sheetData>
  <autoFilter ref="A1:D232" xr:uid="{DB96D93E-BC01-47AB-A4D6-0BF92853FBBD}">
    <sortState xmlns:xlrd2="http://schemas.microsoft.com/office/spreadsheetml/2017/richdata2" ref="A2:D232">
      <sortCondition ref="B1:B232"/>
    </sortState>
  </autoFilter>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7C4657-56F4-4CD4-99E9-7C97C3B8C16E}">
  <dimension ref="A1:L124"/>
  <sheetViews>
    <sheetView zoomScale="80" zoomScaleNormal="80" workbookViewId="0">
      <pane ySplit="1" topLeftCell="A26" activePane="bottomLeft" state="frozen"/>
      <selection activeCell="J41" sqref="J41"/>
      <selection pane="bottomLeft" activeCell="T75" sqref="T75"/>
    </sheetView>
  </sheetViews>
  <sheetFormatPr defaultColWidth="8.77734375" defaultRowHeight="14.4" x14ac:dyDescent="0.3"/>
  <cols>
    <col min="1" max="1" width="19.77734375" customWidth="1"/>
    <col min="2" max="2" width="20.77734375" customWidth="1"/>
    <col min="6" max="6" width="13.77734375" customWidth="1"/>
    <col min="9" max="9" width="20.77734375" customWidth="1"/>
  </cols>
  <sheetData>
    <row r="1" spans="1:12" x14ac:dyDescent="0.3">
      <c r="A1" t="s">
        <v>1538</v>
      </c>
      <c r="B1" t="s">
        <v>1931</v>
      </c>
      <c r="C1" t="s">
        <v>2203</v>
      </c>
      <c r="D1" t="s">
        <v>2204</v>
      </c>
      <c r="E1" t="s">
        <v>2205</v>
      </c>
      <c r="F1" t="s">
        <v>2206</v>
      </c>
      <c r="G1" t="s">
        <v>1541</v>
      </c>
      <c r="H1" t="s">
        <v>2207</v>
      </c>
      <c r="I1" t="s">
        <v>2208</v>
      </c>
      <c r="J1" t="s">
        <v>2209</v>
      </c>
      <c r="K1" t="s">
        <v>2210</v>
      </c>
      <c r="L1" t="s">
        <v>714</v>
      </c>
    </row>
    <row r="2" spans="1:12" x14ac:dyDescent="0.3">
      <c r="A2" s="10" t="s">
        <v>919</v>
      </c>
      <c r="B2" t="s">
        <v>1545</v>
      </c>
      <c r="C2" t="s">
        <v>1546</v>
      </c>
      <c r="D2" t="str">
        <f>B2</f>
        <v>Cereals</v>
      </c>
      <c r="E2" t="s">
        <v>919</v>
      </c>
      <c r="F2" t="s">
        <v>2211</v>
      </c>
      <c r="G2">
        <v>1</v>
      </c>
      <c r="H2" t="str">
        <f>VLOOKUP(B2,Cats_eq!$A$2:$B$17,2,0)</f>
        <v>Cereals</v>
      </c>
      <c r="I2" t="s">
        <v>1545</v>
      </c>
      <c r="J2" t="s">
        <v>2212</v>
      </c>
      <c r="K2" t="s">
        <v>2213</v>
      </c>
      <c r="L2" t="s">
        <v>1547</v>
      </c>
    </row>
    <row r="3" spans="1:12" x14ac:dyDescent="0.3">
      <c r="A3" s="10" t="s">
        <v>1556</v>
      </c>
      <c r="B3" t="s">
        <v>1545</v>
      </c>
      <c r="C3" t="s">
        <v>1546</v>
      </c>
      <c r="D3" t="str">
        <f>B3</f>
        <v>Cereals</v>
      </c>
      <c r="E3" t="str">
        <f>B3</f>
        <v>Cereals</v>
      </c>
      <c r="F3" t="s">
        <v>2211</v>
      </c>
      <c r="G3">
        <v>1</v>
      </c>
      <c r="H3" t="str">
        <f>VLOOKUP(B3,Cats_eq!$A$2:$B$17,2,0)</f>
        <v>Cereals</v>
      </c>
      <c r="I3" t="s">
        <v>1545</v>
      </c>
      <c r="J3" t="s">
        <v>2212</v>
      </c>
      <c r="K3" t="s">
        <v>2213</v>
      </c>
      <c r="L3" t="s">
        <v>1547</v>
      </c>
    </row>
    <row r="4" spans="1:12" x14ac:dyDescent="0.3">
      <c r="A4" s="10" t="s">
        <v>929</v>
      </c>
      <c r="B4" t="s">
        <v>1545</v>
      </c>
      <c r="C4" t="s">
        <v>1546</v>
      </c>
      <c r="D4" t="s">
        <v>929</v>
      </c>
      <c r="E4" t="s">
        <v>929</v>
      </c>
      <c r="F4" t="s">
        <v>2211</v>
      </c>
      <c r="G4">
        <v>1</v>
      </c>
      <c r="H4" t="str">
        <f>VLOOKUP(B4,Cats_eq!$A$2:$B$17,2,0)</f>
        <v>Cereals</v>
      </c>
      <c r="I4" t="s">
        <v>1545</v>
      </c>
      <c r="J4" t="s">
        <v>2212</v>
      </c>
      <c r="K4" t="s">
        <v>2213</v>
      </c>
      <c r="L4" t="s">
        <v>1547</v>
      </c>
    </row>
    <row r="5" spans="1:12" x14ac:dyDescent="0.3">
      <c r="A5" s="10" t="s">
        <v>950</v>
      </c>
      <c r="B5" t="s">
        <v>1545</v>
      </c>
      <c r="C5" t="s">
        <v>1546</v>
      </c>
      <c r="D5" t="str">
        <f>B5</f>
        <v>Cereals</v>
      </c>
      <c r="E5" t="str">
        <f>B5</f>
        <v>Cereals</v>
      </c>
      <c r="F5" t="s">
        <v>2211</v>
      </c>
      <c r="G5">
        <v>1</v>
      </c>
      <c r="H5" t="str">
        <f>VLOOKUP(B5,Cats_eq!$A$2:$B$17,2,0)</f>
        <v>Cereals</v>
      </c>
      <c r="I5" t="s">
        <v>1545</v>
      </c>
      <c r="J5" t="s">
        <v>2212</v>
      </c>
      <c r="K5" t="s">
        <v>2213</v>
      </c>
      <c r="L5" t="s">
        <v>1547</v>
      </c>
    </row>
    <row r="6" spans="1:12" x14ac:dyDescent="0.3">
      <c r="A6" s="10" t="s">
        <v>947</v>
      </c>
      <c r="B6" t="s">
        <v>1545</v>
      </c>
      <c r="C6" t="s">
        <v>1546</v>
      </c>
      <c r="D6" t="str">
        <f>B6</f>
        <v>Cereals</v>
      </c>
      <c r="E6" t="str">
        <f>B6</f>
        <v>Cereals</v>
      </c>
      <c r="F6" t="s">
        <v>2211</v>
      </c>
      <c r="G6">
        <v>1</v>
      </c>
      <c r="H6" t="str">
        <f>VLOOKUP(B6,Cats_eq!$A$2:$B$17,2,0)</f>
        <v>Cereals</v>
      </c>
      <c r="I6" t="s">
        <v>1545</v>
      </c>
      <c r="J6" t="s">
        <v>2212</v>
      </c>
      <c r="K6" t="s">
        <v>2213</v>
      </c>
      <c r="L6" t="s">
        <v>1547</v>
      </c>
    </row>
    <row r="7" spans="1:12" x14ac:dyDescent="0.3">
      <c r="A7" s="10" t="s">
        <v>1548</v>
      </c>
      <c r="B7" t="s">
        <v>1545</v>
      </c>
      <c r="C7" t="s">
        <v>1546</v>
      </c>
      <c r="D7" t="s">
        <v>1548</v>
      </c>
      <c r="E7" t="s">
        <v>1548</v>
      </c>
      <c r="F7" t="s">
        <v>2211</v>
      </c>
      <c r="G7">
        <v>1</v>
      </c>
      <c r="H7" t="s">
        <v>1548</v>
      </c>
      <c r="I7" t="s">
        <v>1545</v>
      </c>
      <c r="J7" t="s">
        <v>2212</v>
      </c>
      <c r="K7" t="s">
        <v>2213</v>
      </c>
      <c r="L7" t="s">
        <v>1547</v>
      </c>
    </row>
    <row r="8" spans="1:12" x14ac:dyDescent="0.3">
      <c r="A8" s="10" t="s">
        <v>943</v>
      </c>
      <c r="B8" t="s">
        <v>1545</v>
      </c>
      <c r="C8" t="s">
        <v>1546</v>
      </c>
      <c r="D8" t="str">
        <f>B8</f>
        <v>Cereals</v>
      </c>
      <c r="E8" t="str">
        <f>B8</f>
        <v>Cereals</v>
      </c>
      <c r="F8" t="s">
        <v>2211</v>
      </c>
      <c r="G8">
        <v>1</v>
      </c>
      <c r="H8" t="str">
        <f>VLOOKUP(B8,Cats_eq!$A$2:$B$17,2,0)</f>
        <v>Cereals</v>
      </c>
      <c r="I8" t="s">
        <v>1545</v>
      </c>
      <c r="J8" t="s">
        <v>2212</v>
      </c>
      <c r="K8" t="s">
        <v>2213</v>
      </c>
      <c r="L8" t="s">
        <v>1547</v>
      </c>
    </row>
    <row r="9" spans="1:12" x14ac:dyDescent="0.3">
      <c r="A9" s="10" t="s">
        <v>955</v>
      </c>
      <c r="B9" t="s">
        <v>1545</v>
      </c>
      <c r="C9" t="s">
        <v>1546</v>
      </c>
      <c r="D9" t="str">
        <f>B9</f>
        <v>Cereals</v>
      </c>
      <c r="E9" t="str">
        <f>B9</f>
        <v>Cereals</v>
      </c>
      <c r="F9" t="s">
        <v>2211</v>
      </c>
      <c r="G9">
        <v>1</v>
      </c>
      <c r="H9" t="str">
        <f>VLOOKUP(B9,Cats_eq!$A$2:$B$17,2,0)</f>
        <v>Cereals</v>
      </c>
      <c r="I9" t="s">
        <v>1545</v>
      </c>
      <c r="J9" t="s">
        <v>2212</v>
      </c>
      <c r="K9" t="s">
        <v>2213</v>
      </c>
      <c r="L9" t="s">
        <v>1547</v>
      </c>
    </row>
    <row r="10" spans="1:12" x14ac:dyDescent="0.3">
      <c r="A10" s="10" t="s">
        <v>890</v>
      </c>
      <c r="B10" t="s">
        <v>1545</v>
      </c>
      <c r="C10" t="s">
        <v>1546</v>
      </c>
      <c r="D10" t="s">
        <v>1545</v>
      </c>
      <c r="E10" t="s">
        <v>890</v>
      </c>
      <c r="F10" t="s">
        <v>2211</v>
      </c>
      <c r="G10">
        <v>1</v>
      </c>
      <c r="H10" t="str">
        <f>VLOOKUP(B10,Cats_eq!$A$2:$B$17,2,0)</f>
        <v>Cereals</v>
      </c>
      <c r="I10" t="s">
        <v>1545</v>
      </c>
      <c r="J10" t="s">
        <v>2212</v>
      </c>
      <c r="K10" t="s">
        <v>2213</v>
      </c>
      <c r="L10" t="s">
        <v>1547</v>
      </c>
    </row>
    <row r="11" spans="1:12" x14ac:dyDescent="0.3">
      <c r="A11" s="10" t="s">
        <v>1587</v>
      </c>
      <c r="B11" t="s">
        <v>1588</v>
      </c>
      <c r="C11" t="s">
        <v>1546</v>
      </c>
      <c r="D11" t="str">
        <f t="shared" ref="D11:D33" si="0">B11</f>
        <v>Pulses</v>
      </c>
      <c r="E11" t="str">
        <f t="shared" ref="E11:E18" si="1">B11</f>
        <v>Pulses</v>
      </c>
      <c r="F11" t="s">
        <v>2211</v>
      </c>
      <c r="G11">
        <v>2</v>
      </c>
      <c r="H11" t="str">
        <f>VLOOKUP(B11,Cats_eq!$A$2:$B$17,2,0)</f>
        <v>Pulses</v>
      </c>
      <c r="I11" t="s">
        <v>1588</v>
      </c>
      <c r="J11" t="s">
        <v>2212</v>
      </c>
      <c r="K11" t="s">
        <v>2214</v>
      </c>
      <c r="L11" t="s">
        <v>1547</v>
      </c>
    </row>
    <row r="12" spans="1:12" x14ac:dyDescent="0.3">
      <c r="A12" s="10" t="s">
        <v>1595</v>
      </c>
      <c r="B12" t="s">
        <v>1588</v>
      </c>
      <c r="C12" t="s">
        <v>1546</v>
      </c>
      <c r="D12" t="str">
        <f t="shared" si="0"/>
        <v>Pulses</v>
      </c>
      <c r="E12" t="str">
        <f t="shared" si="1"/>
        <v>Pulses</v>
      </c>
      <c r="F12" t="s">
        <v>2211</v>
      </c>
      <c r="G12">
        <v>2</v>
      </c>
      <c r="H12" t="str">
        <f>VLOOKUP(B12,Cats_eq!$A$2:$B$17,2,0)</f>
        <v>Pulses</v>
      </c>
      <c r="I12" t="s">
        <v>1588</v>
      </c>
      <c r="J12" t="s">
        <v>2212</v>
      </c>
      <c r="K12" t="s">
        <v>2214</v>
      </c>
      <c r="L12" t="s">
        <v>1547</v>
      </c>
    </row>
    <row r="13" spans="1:12" x14ac:dyDescent="0.3">
      <c r="A13" s="10" t="s">
        <v>1591</v>
      </c>
      <c r="B13" t="s">
        <v>1588</v>
      </c>
      <c r="C13" t="s">
        <v>1546</v>
      </c>
      <c r="D13" t="str">
        <f t="shared" si="0"/>
        <v>Pulses</v>
      </c>
      <c r="E13" t="str">
        <f t="shared" si="1"/>
        <v>Pulses</v>
      </c>
      <c r="F13" t="s">
        <v>2211</v>
      </c>
      <c r="G13">
        <v>2</v>
      </c>
      <c r="H13" t="str">
        <f>VLOOKUP(B13,Cats_eq!$A$2:$B$17,2,0)</f>
        <v>Pulses</v>
      </c>
      <c r="I13" t="s">
        <v>1588</v>
      </c>
      <c r="J13" t="s">
        <v>2212</v>
      </c>
      <c r="K13" t="s">
        <v>2214</v>
      </c>
      <c r="L13" t="s">
        <v>1547</v>
      </c>
    </row>
    <row r="14" spans="1:12" x14ac:dyDescent="0.3">
      <c r="A14" s="10" t="s">
        <v>1036</v>
      </c>
      <c r="B14" t="s">
        <v>1588</v>
      </c>
      <c r="C14" t="s">
        <v>1546</v>
      </c>
      <c r="D14" t="str">
        <f t="shared" si="0"/>
        <v>Pulses</v>
      </c>
      <c r="E14" t="str">
        <f t="shared" si="1"/>
        <v>Pulses</v>
      </c>
      <c r="F14" t="s">
        <v>2211</v>
      </c>
      <c r="G14">
        <v>2</v>
      </c>
      <c r="H14" t="str">
        <f>VLOOKUP(B14,Cats_eq!$A$2:$B$17,2,0)</f>
        <v>Pulses</v>
      </c>
      <c r="I14" t="s">
        <v>1588</v>
      </c>
      <c r="J14" t="s">
        <v>2212</v>
      </c>
      <c r="K14" t="s">
        <v>2214</v>
      </c>
      <c r="L14" t="s">
        <v>1547</v>
      </c>
    </row>
    <row r="15" spans="1:12" x14ac:dyDescent="0.3">
      <c r="A15" s="10" t="s">
        <v>1039</v>
      </c>
      <c r="B15" t="s">
        <v>1588</v>
      </c>
      <c r="C15" t="s">
        <v>1546</v>
      </c>
      <c r="D15" t="str">
        <f t="shared" si="0"/>
        <v>Pulses</v>
      </c>
      <c r="E15" t="str">
        <f t="shared" si="1"/>
        <v>Pulses</v>
      </c>
      <c r="F15" t="s">
        <v>2211</v>
      </c>
      <c r="G15">
        <v>2</v>
      </c>
      <c r="H15" t="str">
        <f>VLOOKUP(B15,Cats_eq!$A$2:$B$17,2,0)</f>
        <v>Pulses</v>
      </c>
      <c r="I15" t="s">
        <v>1588</v>
      </c>
      <c r="J15" t="s">
        <v>2212</v>
      </c>
      <c r="K15" t="s">
        <v>2214</v>
      </c>
      <c r="L15" t="s">
        <v>1547</v>
      </c>
    </row>
    <row r="16" spans="1:12" x14ac:dyDescent="0.3">
      <c r="A16" s="10" t="s">
        <v>1032</v>
      </c>
      <c r="B16" t="s">
        <v>1588</v>
      </c>
      <c r="C16" t="s">
        <v>1546</v>
      </c>
      <c r="D16" t="str">
        <f t="shared" si="0"/>
        <v>Pulses</v>
      </c>
      <c r="E16" t="str">
        <f t="shared" si="1"/>
        <v>Pulses</v>
      </c>
      <c r="F16" t="s">
        <v>2211</v>
      </c>
      <c r="G16">
        <v>2</v>
      </c>
      <c r="H16" t="str">
        <f>VLOOKUP(B16,Cats_eq!$A$2:$B$17,2,0)</f>
        <v>Pulses</v>
      </c>
      <c r="I16" t="s">
        <v>1588</v>
      </c>
      <c r="J16" t="s">
        <v>2212</v>
      </c>
      <c r="K16" t="s">
        <v>2214</v>
      </c>
      <c r="L16" t="s">
        <v>1547</v>
      </c>
    </row>
    <row r="17" spans="1:12" x14ac:dyDescent="0.3">
      <c r="A17" s="10" t="s">
        <v>1596</v>
      </c>
      <c r="B17" t="s">
        <v>1588</v>
      </c>
      <c r="C17" t="s">
        <v>1546</v>
      </c>
      <c r="D17" t="str">
        <f t="shared" si="0"/>
        <v>Pulses</v>
      </c>
      <c r="E17" t="str">
        <f t="shared" si="1"/>
        <v>Pulses</v>
      </c>
      <c r="F17" t="s">
        <v>2211</v>
      </c>
      <c r="G17">
        <v>2</v>
      </c>
      <c r="H17" t="str">
        <f>VLOOKUP(B17,Cats_eq!$A$2:$B$17,2,0)</f>
        <v>Pulses</v>
      </c>
      <c r="I17" t="s">
        <v>1588</v>
      </c>
      <c r="J17" t="s">
        <v>2212</v>
      </c>
      <c r="K17" t="s">
        <v>2214</v>
      </c>
      <c r="L17" t="s">
        <v>1547</v>
      </c>
    </row>
    <row r="18" spans="1:12" x14ac:dyDescent="0.3">
      <c r="A18" s="10" t="s">
        <v>1038</v>
      </c>
      <c r="B18" t="s">
        <v>1588</v>
      </c>
      <c r="C18" t="s">
        <v>1546</v>
      </c>
      <c r="D18" t="str">
        <f t="shared" si="0"/>
        <v>Pulses</v>
      </c>
      <c r="E18" t="str">
        <f t="shared" si="1"/>
        <v>Pulses</v>
      </c>
      <c r="F18" t="s">
        <v>2211</v>
      </c>
      <c r="G18">
        <v>2</v>
      </c>
      <c r="H18" t="str">
        <f>VLOOKUP(B18,Cats_eq!$A$2:$B$17,2,0)</f>
        <v>Pulses</v>
      </c>
      <c r="I18" t="s">
        <v>1588</v>
      </c>
      <c r="J18" t="s">
        <v>2212</v>
      </c>
      <c r="K18" t="s">
        <v>2214</v>
      </c>
      <c r="L18" t="s">
        <v>1547</v>
      </c>
    </row>
    <row r="19" spans="1:12" x14ac:dyDescent="0.3">
      <c r="A19" s="10" t="s">
        <v>982</v>
      </c>
      <c r="B19" t="s">
        <v>2092</v>
      </c>
      <c r="C19" t="s">
        <v>1022</v>
      </c>
      <c r="D19" t="str">
        <f t="shared" si="0"/>
        <v>Roots_tubers</v>
      </c>
      <c r="E19" t="s">
        <v>1022</v>
      </c>
      <c r="F19" t="s">
        <v>2211</v>
      </c>
      <c r="G19">
        <v>3</v>
      </c>
      <c r="H19" t="str">
        <f>VLOOKUP(B19,Cats_eq!$A$2:$B$17,2,0)</f>
        <v>Roots_tubers</v>
      </c>
      <c r="I19" t="s">
        <v>2092</v>
      </c>
      <c r="J19" t="s">
        <v>2212</v>
      </c>
      <c r="K19" t="s">
        <v>2213</v>
      </c>
      <c r="L19" t="s">
        <v>1567</v>
      </c>
    </row>
    <row r="20" spans="1:12" x14ac:dyDescent="0.3">
      <c r="A20" s="10" t="s">
        <v>1558</v>
      </c>
      <c r="B20" t="s">
        <v>2092</v>
      </c>
      <c r="C20" t="s">
        <v>1022</v>
      </c>
      <c r="D20" t="str">
        <f t="shared" si="0"/>
        <v>Roots_tubers</v>
      </c>
      <c r="E20" t="s">
        <v>1022</v>
      </c>
      <c r="F20" t="s">
        <v>2211</v>
      </c>
      <c r="G20">
        <v>3</v>
      </c>
      <c r="H20" t="str">
        <f>VLOOKUP(B20,Cats_eq!$A$2:$B$17,2,0)</f>
        <v>Roots_tubers</v>
      </c>
      <c r="I20" t="s">
        <v>2092</v>
      </c>
      <c r="J20" t="s">
        <v>2212</v>
      </c>
      <c r="K20" t="s">
        <v>2213</v>
      </c>
      <c r="L20" t="s">
        <v>1567</v>
      </c>
    </row>
    <row r="21" spans="1:12" x14ac:dyDescent="0.3">
      <c r="A21" s="10" t="s">
        <v>1162</v>
      </c>
      <c r="B21" t="s">
        <v>1559</v>
      </c>
      <c r="C21" t="s">
        <v>2215</v>
      </c>
      <c r="D21" t="str">
        <f t="shared" si="0"/>
        <v>Vegetables</v>
      </c>
      <c r="E21" t="str">
        <f t="shared" ref="E21:E61" si="2">B21</f>
        <v>Vegetables</v>
      </c>
      <c r="F21" t="s">
        <v>2211</v>
      </c>
      <c r="G21">
        <v>4</v>
      </c>
      <c r="H21" t="str">
        <f>VLOOKUP(B21,Cats_eq!$A$2:$B$17,2,0)</f>
        <v>Vegetables</v>
      </c>
      <c r="I21" t="s">
        <v>1559</v>
      </c>
      <c r="J21" t="s">
        <v>1559</v>
      </c>
      <c r="K21" t="s">
        <v>2213</v>
      </c>
      <c r="L21" t="s">
        <v>1559</v>
      </c>
    </row>
    <row r="22" spans="1:12" x14ac:dyDescent="0.3">
      <c r="A22" s="10" t="s">
        <v>1163</v>
      </c>
      <c r="B22" t="s">
        <v>1559</v>
      </c>
      <c r="C22" t="s">
        <v>2215</v>
      </c>
      <c r="D22" t="str">
        <f t="shared" si="0"/>
        <v>Vegetables</v>
      </c>
      <c r="E22" t="str">
        <f t="shared" si="2"/>
        <v>Vegetables</v>
      </c>
      <c r="F22" t="s">
        <v>2211</v>
      </c>
      <c r="G22">
        <v>4</v>
      </c>
      <c r="H22" t="str">
        <f>VLOOKUP(B22,Cats_eq!$A$2:$B$17,2,0)</f>
        <v>Vegetables</v>
      </c>
      <c r="I22" t="s">
        <v>1559</v>
      </c>
      <c r="J22" t="s">
        <v>1559</v>
      </c>
      <c r="K22" t="s">
        <v>2213</v>
      </c>
      <c r="L22" t="s">
        <v>1559</v>
      </c>
    </row>
    <row r="23" spans="1:12" x14ac:dyDescent="0.3">
      <c r="A23" s="10" t="s">
        <v>1688</v>
      </c>
      <c r="B23" t="s">
        <v>1559</v>
      </c>
      <c r="C23" t="s">
        <v>2215</v>
      </c>
      <c r="D23" t="str">
        <f t="shared" si="0"/>
        <v>Vegetables</v>
      </c>
      <c r="E23" t="str">
        <f t="shared" si="2"/>
        <v>Vegetables</v>
      </c>
      <c r="F23" t="s">
        <v>2211</v>
      </c>
      <c r="G23">
        <v>4</v>
      </c>
      <c r="H23" t="str">
        <f>VLOOKUP(B23,Cats_eq!$A$2:$B$17,2,0)</f>
        <v>Vegetables</v>
      </c>
      <c r="I23" t="s">
        <v>1559</v>
      </c>
      <c r="J23" t="s">
        <v>1559</v>
      </c>
      <c r="K23" t="s">
        <v>2213</v>
      </c>
      <c r="L23" t="s">
        <v>1559</v>
      </c>
    </row>
    <row r="24" spans="1:12" x14ac:dyDescent="0.3">
      <c r="A24" s="10" t="s">
        <v>1699</v>
      </c>
      <c r="B24" t="s">
        <v>1559</v>
      </c>
      <c r="C24" t="s">
        <v>2215</v>
      </c>
      <c r="D24" t="str">
        <f t="shared" si="0"/>
        <v>Vegetables</v>
      </c>
      <c r="E24" t="str">
        <f t="shared" si="2"/>
        <v>Vegetables</v>
      </c>
      <c r="F24" t="s">
        <v>2211</v>
      </c>
      <c r="G24">
        <v>4</v>
      </c>
      <c r="H24" t="str">
        <f>VLOOKUP(B24,Cats_eq!$A$2:$B$17,2,0)</f>
        <v>Vegetables</v>
      </c>
      <c r="I24" t="s">
        <v>1559</v>
      </c>
      <c r="J24" t="s">
        <v>1559</v>
      </c>
      <c r="K24" t="s">
        <v>2213</v>
      </c>
      <c r="L24" t="s">
        <v>1559</v>
      </c>
    </row>
    <row r="25" spans="1:12" x14ac:dyDescent="0.3">
      <c r="A25" s="10" t="s">
        <v>1671</v>
      </c>
      <c r="B25" t="s">
        <v>1559</v>
      </c>
      <c r="C25" t="s">
        <v>2215</v>
      </c>
      <c r="D25" t="str">
        <f t="shared" si="0"/>
        <v>Vegetables</v>
      </c>
      <c r="E25" t="str">
        <f t="shared" si="2"/>
        <v>Vegetables</v>
      </c>
      <c r="F25" t="s">
        <v>2211</v>
      </c>
      <c r="G25">
        <v>4</v>
      </c>
      <c r="H25" t="str">
        <f>VLOOKUP(B25,Cats_eq!$A$2:$B$17,2,0)</f>
        <v>Vegetables</v>
      </c>
      <c r="I25" t="s">
        <v>1559</v>
      </c>
      <c r="J25" t="s">
        <v>1559</v>
      </c>
      <c r="K25" t="s">
        <v>2213</v>
      </c>
      <c r="L25" t="s">
        <v>1559</v>
      </c>
    </row>
    <row r="26" spans="1:12" x14ac:dyDescent="0.3">
      <c r="A26" s="10" t="s">
        <v>1704</v>
      </c>
      <c r="B26" t="s">
        <v>1559</v>
      </c>
      <c r="C26" t="s">
        <v>2215</v>
      </c>
      <c r="D26" t="str">
        <f t="shared" si="0"/>
        <v>Vegetables</v>
      </c>
      <c r="E26" t="str">
        <f t="shared" si="2"/>
        <v>Vegetables</v>
      </c>
      <c r="F26" t="s">
        <v>2211</v>
      </c>
      <c r="G26">
        <v>4</v>
      </c>
      <c r="H26" t="str">
        <f>VLOOKUP(B26,Cats_eq!$A$2:$B$17,2,0)</f>
        <v>Vegetables</v>
      </c>
      <c r="I26" t="s">
        <v>1559</v>
      </c>
      <c r="J26" t="s">
        <v>1559</v>
      </c>
      <c r="K26" t="s">
        <v>2213</v>
      </c>
      <c r="L26" t="s">
        <v>1559</v>
      </c>
    </row>
    <row r="27" spans="1:12" x14ac:dyDescent="0.3">
      <c r="A27" s="10" t="s">
        <v>1682</v>
      </c>
      <c r="B27" t="s">
        <v>1559</v>
      </c>
      <c r="C27" t="s">
        <v>2215</v>
      </c>
      <c r="D27" t="str">
        <f t="shared" si="0"/>
        <v>Vegetables</v>
      </c>
      <c r="E27" t="str">
        <f t="shared" si="2"/>
        <v>Vegetables</v>
      </c>
      <c r="F27" t="s">
        <v>2211</v>
      </c>
      <c r="G27">
        <v>4</v>
      </c>
      <c r="H27" t="str">
        <f>VLOOKUP(B27,Cats_eq!$A$2:$B$17,2,0)</f>
        <v>Vegetables</v>
      </c>
      <c r="I27" t="s">
        <v>1559</v>
      </c>
      <c r="J27" t="s">
        <v>1559</v>
      </c>
      <c r="K27" t="s">
        <v>2213</v>
      </c>
      <c r="L27" t="s">
        <v>1559</v>
      </c>
    </row>
    <row r="28" spans="1:12" x14ac:dyDescent="0.3">
      <c r="A28" s="10" t="s">
        <v>1686</v>
      </c>
      <c r="B28" t="s">
        <v>1559</v>
      </c>
      <c r="C28" t="s">
        <v>2215</v>
      </c>
      <c r="D28" t="str">
        <f t="shared" si="0"/>
        <v>Vegetables</v>
      </c>
      <c r="E28" t="str">
        <f t="shared" si="2"/>
        <v>Vegetables</v>
      </c>
      <c r="F28" t="s">
        <v>2211</v>
      </c>
      <c r="G28">
        <v>4</v>
      </c>
      <c r="H28" t="str">
        <f>VLOOKUP(B28,Cats_eq!$A$2:$B$17,2,0)</f>
        <v>Vegetables</v>
      </c>
      <c r="I28" t="s">
        <v>1559</v>
      </c>
      <c r="J28" t="s">
        <v>1559</v>
      </c>
      <c r="K28" t="s">
        <v>2213</v>
      </c>
      <c r="L28" t="s">
        <v>1559</v>
      </c>
    </row>
    <row r="29" spans="1:12" x14ac:dyDescent="0.3">
      <c r="A29" s="10" t="s">
        <v>1181</v>
      </c>
      <c r="B29" t="s">
        <v>1559</v>
      </c>
      <c r="C29" t="s">
        <v>2215</v>
      </c>
      <c r="D29" t="str">
        <f t="shared" si="0"/>
        <v>Vegetables</v>
      </c>
      <c r="E29" t="str">
        <f t="shared" si="2"/>
        <v>Vegetables</v>
      </c>
      <c r="F29" t="s">
        <v>2211</v>
      </c>
      <c r="G29">
        <v>4</v>
      </c>
      <c r="H29" t="str">
        <f>VLOOKUP(B29,Cats_eq!$A$2:$B$17,2,0)</f>
        <v>Vegetables</v>
      </c>
      <c r="I29" t="s">
        <v>1559</v>
      </c>
      <c r="J29" t="s">
        <v>1559</v>
      </c>
      <c r="K29" t="s">
        <v>2213</v>
      </c>
      <c r="L29" t="s">
        <v>1559</v>
      </c>
    </row>
    <row r="30" spans="1:12" x14ac:dyDescent="0.3">
      <c r="A30" s="10" t="s">
        <v>1697</v>
      </c>
      <c r="B30" t="s">
        <v>1559</v>
      </c>
      <c r="C30" t="s">
        <v>2215</v>
      </c>
      <c r="D30" t="str">
        <f t="shared" si="0"/>
        <v>Vegetables</v>
      </c>
      <c r="E30" t="str">
        <f t="shared" si="2"/>
        <v>Vegetables</v>
      </c>
      <c r="F30" t="s">
        <v>2211</v>
      </c>
      <c r="G30">
        <v>4</v>
      </c>
      <c r="H30" t="str">
        <f>VLOOKUP(B30,Cats_eq!$A$2:$B$17,2,0)</f>
        <v>Vegetables</v>
      </c>
      <c r="I30" t="s">
        <v>1559</v>
      </c>
      <c r="J30" t="s">
        <v>1559</v>
      </c>
      <c r="K30" t="s">
        <v>2213</v>
      </c>
      <c r="L30" t="s">
        <v>1559</v>
      </c>
    </row>
    <row r="31" spans="1:12" x14ac:dyDescent="0.3">
      <c r="A31" s="10" t="s">
        <v>2199</v>
      </c>
      <c r="B31" t="s">
        <v>1559</v>
      </c>
      <c r="C31" t="s">
        <v>2215</v>
      </c>
      <c r="D31" t="str">
        <f t="shared" si="0"/>
        <v>Vegetables</v>
      </c>
      <c r="E31" t="str">
        <f t="shared" si="2"/>
        <v>Vegetables</v>
      </c>
      <c r="F31" t="s">
        <v>2211</v>
      </c>
      <c r="G31">
        <v>4</v>
      </c>
      <c r="H31" t="str">
        <f>VLOOKUP(B31,Cats_eq!$A$2:$B$17,2,0)</f>
        <v>Vegetables</v>
      </c>
      <c r="I31" t="s">
        <v>1559</v>
      </c>
      <c r="J31" t="s">
        <v>1559</v>
      </c>
      <c r="K31" t="s">
        <v>2213</v>
      </c>
      <c r="L31" t="s">
        <v>1559</v>
      </c>
    </row>
    <row r="32" spans="1:12" x14ac:dyDescent="0.3">
      <c r="A32" s="10" t="s">
        <v>2202</v>
      </c>
      <c r="B32" t="s">
        <v>1559</v>
      </c>
      <c r="C32" t="s">
        <v>2215</v>
      </c>
      <c r="D32" t="str">
        <f t="shared" si="0"/>
        <v>Vegetables</v>
      </c>
      <c r="E32" t="str">
        <f t="shared" si="2"/>
        <v>Vegetables</v>
      </c>
      <c r="F32" t="s">
        <v>2211</v>
      </c>
      <c r="G32">
        <v>4</v>
      </c>
      <c r="H32" t="str">
        <f>VLOOKUP(B32,Cats_eq!$A$2:$B$17,2,0)</f>
        <v>Vegetables</v>
      </c>
      <c r="I32" t="s">
        <v>1559</v>
      </c>
      <c r="J32" t="s">
        <v>1559</v>
      </c>
      <c r="K32" t="s">
        <v>2213</v>
      </c>
      <c r="L32" t="s">
        <v>1559</v>
      </c>
    </row>
    <row r="33" spans="1:12" x14ac:dyDescent="0.3">
      <c r="A33" s="10" t="s">
        <v>1676</v>
      </c>
      <c r="B33" t="s">
        <v>1559</v>
      </c>
      <c r="C33" t="s">
        <v>2215</v>
      </c>
      <c r="D33" t="str">
        <f t="shared" si="0"/>
        <v>Vegetables</v>
      </c>
      <c r="E33" t="str">
        <f t="shared" si="2"/>
        <v>Vegetables</v>
      </c>
      <c r="F33" t="s">
        <v>2211</v>
      </c>
      <c r="G33">
        <v>4</v>
      </c>
      <c r="H33" t="str">
        <f>VLOOKUP(B33,Cats_eq!$A$2:$B$17,2,0)</f>
        <v>Vegetables</v>
      </c>
      <c r="I33" t="s">
        <v>1559</v>
      </c>
      <c r="J33" t="s">
        <v>1559</v>
      </c>
      <c r="K33" t="s">
        <v>2213</v>
      </c>
      <c r="L33" t="s">
        <v>1559</v>
      </c>
    </row>
    <row r="34" spans="1:12" x14ac:dyDescent="0.3">
      <c r="A34" s="10" t="s">
        <v>1744</v>
      </c>
      <c r="B34" t="s">
        <v>1559</v>
      </c>
      <c r="C34" t="s">
        <v>2215</v>
      </c>
      <c r="D34" t="s">
        <v>1559</v>
      </c>
      <c r="E34" t="str">
        <f t="shared" si="2"/>
        <v>Vegetables</v>
      </c>
      <c r="F34" t="s">
        <v>2211</v>
      </c>
      <c r="G34">
        <v>4</v>
      </c>
      <c r="H34" t="str">
        <f>VLOOKUP(B34,Cats_eq!$A$2:$B$17,2,0)</f>
        <v>Vegetables</v>
      </c>
      <c r="I34" t="s">
        <v>1559</v>
      </c>
      <c r="J34" t="s">
        <v>1559</v>
      </c>
      <c r="K34" t="s">
        <v>2213</v>
      </c>
      <c r="L34" t="s">
        <v>1559</v>
      </c>
    </row>
    <row r="35" spans="1:12" x14ac:dyDescent="0.3">
      <c r="A35" s="10" t="s">
        <v>1180</v>
      </c>
      <c r="B35" t="s">
        <v>1559</v>
      </c>
      <c r="C35" t="s">
        <v>2215</v>
      </c>
      <c r="D35" t="str">
        <f t="shared" ref="D35:D41" si="3">B35</f>
        <v>Vegetables</v>
      </c>
      <c r="E35" t="str">
        <f t="shared" si="2"/>
        <v>Vegetables</v>
      </c>
      <c r="F35" t="s">
        <v>2211</v>
      </c>
      <c r="G35">
        <v>4</v>
      </c>
      <c r="H35" t="str">
        <f>VLOOKUP(B35,Cats_eq!$A$2:$B$17,2,0)</f>
        <v>Vegetables</v>
      </c>
      <c r="I35" t="s">
        <v>1559</v>
      </c>
      <c r="J35" t="s">
        <v>1559</v>
      </c>
      <c r="K35" t="s">
        <v>2213</v>
      </c>
      <c r="L35" t="s">
        <v>1559</v>
      </c>
    </row>
    <row r="36" spans="1:12" x14ac:dyDescent="0.3">
      <c r="A36" s="10" t="s">
        <v>1701</v>
      </c>
      <c r="B36" t="s">
        <v>1559</v>
      </c>
      <c r="C36" t="s">
        <v>2215</v>
      </c>
      <c r="D36" t="str">
        <f t="shared" si="3"/>
        <v>Vegetables</v>
      </c>
      <c r="E36" t="str">
        <f t="shared" si="2"/>
        <v>Vegetables</v>
      </c>
      <c r="F36" t="s">
        <v>2211</v>
      </c>
      <c r="G36">
        <v>4</v>
      </c>
      <c r="H36" t="str">
        <f>VLOOKUP(B36,Cats_eq!$A$2:$B$17,2,0)</f>
        <v>Vegetables</v>
      </c>
      <c r="I36" t="s">
        <v>1559</v>
      </c>
      <c r="J36" t="s">
        <v>1559</v>
      </c>
      <c r="K36" t="s">
        <v>2213</v>
      </c>
      <c r="L36" t="s">
        <v>1559</v>
      </c>
    </row>
    <row r="37" spans="1:12" x14ac:dyDescent="0.3">
      <c r="A37" s="10" t="s">
        <v>1690</v>
      </c>
      <c r="B37" t="s">
        <v>1559</v>
      </c>
      <c r="C37" t="s">
        <v>2215</v>
      </c>
      <c r="D37" t="str">
        <f t="shared" si="3"/>
        <v>Vegetables</v>
      </c>
      <c r="E37" t="str">
        <f t="shared" si="2"/>
        <v>Vegetables</v>
      </c>
      <c r="F37" t="s">
        <v>2211</v>
      </c>
      <c r="G37">
        <v>4</v>
      </c>
      <c r="H37" t="str">
        <f>VLOOKUP(B37,Cats_eq!$A$2:$B$17,2,0)</f>
        <v>Vegetables</v>
      </c>
      <c r="I37" t="s">
        <v>1559</v>
      </c>
      <c r="J37" t="s">
        <v>1559</v>
      </c>
      <c r="K37" t="s">
        <v>2213</v>
      </c>
      <c r="L37" t="s">
        <v>1559</v>
      </c>
    </row>
    <row r="38" spans="1:12" x14ac:dyDescent="0.3">
      <c r="A38" s="10" t="s">
        <v>1684</v>
      </c>
      <c r="B38" t="s">
        <v>1559</v>
      </c>
      <c r="C38" t="s">
        <v>2215</v>
      </c>
      <c r="D38" t="str">
        <f t="shared" si="3"/>
        <v>Vegetables</v>
      </c>
      <c r="E38" t="str">
        <f t="shared" si="2"/>
        <v>Vegetables</v>
      </c>
      <c r="F38" t="s">
        <v>2211</v>
      </c>
      <c r="G38">
        <v>4</v>
      </c>
      <c r="H38" t="str">
        <f>VLOOKUP(B38,Cats_eq!$A$2:$B$17,2,0)</f>
        <v>Vegetables</v>
      </c>
      <c r="I38" t="s">
        <v>1559</v>
      </c>
      <c r="J38" t="s">
        <v>1559</v>
      </c>
      <c r="K38" t="s">
        <v>2213</v>
      </c>
      <c r="L38" t="s">
        <v>1559</v>
      </c>
    </row>
    <row r="39" spans="1:12" x14ac:dyDescent="0.3">
      <c r="A39" s="10" t="s">
        <v>1165</v>
      </c>
      <c r="B39" t="s">
        <v>1559</v>
      </c>
      <c r="C39" t="s">
        <v>2215</v>
      </c>
      <c r="D39" t="str">
        <f t="shared" si="3"/>
        <v>Vegetables</v>
      </c>
      <c r="E39" t="str">
        <f t="shared" si="2"/>
        <v>Vegetables</v>
      </c>
      <c r="F39" t="s">
        <v>2211</v>
      </c>
      <c r="G39">
        <v>4</v>
      </c>
      <c r="H39" t="str">
        <f>VLOOKUP(B39,Cats_eq!$A$2:$B$17,2,0)</f>
        <v>Vegetables</v>
      </c>
      <c r="I39" t="s">
        <v>1559</v>
      </c>
      <c r="J39" t="s">
        <v>1559</v>
      </c>
      <c r="K39" t="s">
        <v>2213</v>
      </c>
      <c r="L39" t="s">
        <v>1559</v>
      </c>
    </row>
    <row r="40" spans="1:12" x14ac:dyDescent="0.3">
      <c r="A40" s="10" t="s">
        <v>1167</v>
      </c>
      <c r="B40" t="s">
        <v>1559</v>
      </c>
      <c r="C40" t="s">
        <v>2215</v>
      </c>
      <c r="D40" t="str">
        <f t="shared" si="3"/>
        <v>Vegetables</v>
      </c>
      <c r="E40" t="str">
        <f t="shared" si="2"/>
        <v>Vegetables</v>
      </c>
      <c r="F40" t="s">
        <v>2211</v>
      </c>
      <c r="G40">
        <v>4</v>
      </c>
      <c r="H40" t="str">
        <f>VLOOKUP(B40,Cats_eq!$A$2:$B$17,2,0)</f>
        <v>Vegetables</v>
      </c>
      <c r="I40" t="s">
        <v>1559</v>
      </c>
      <c r="J40" t="s">
        <v>1559</v>
      </c>
      <c r="K40" t="s">
        <v>2213</v>
      </c>
      <c r="L40" t="s">
        <v>1559</v>
      </c>
    </row>
    <row r="41" spans="1:12" x14ac:dyDescent="0.3">
      <c r="A41" s="10" t="s">
        <v>1678</v>
      </c>
      <c r="B41" t="s">
        <v>1559</v>
      </c>
      <c r="C41" t="s">
        <v>2215</v>
      </c>
      <c r="D41" t="str">
        <f t="shared" si="3"/>
        <v>Vegetables</v>
      </c>
      <c r="E41" t="str">
        <f t="shared" si="2"/>
        <v>Vegetables</v>
      </c>
      <c r="F41" t="s">
        <v>2211</v>
      </c>
      <c r="G41">
        <v>4</v>
      </c>
      <c r="H41" t="str">
        <f>VLOOKUP(B41,Cats_eq!$A$2:$B$17,2,0)</f>
        <v>Vegetables</v>
      </c>
      <c r="I41" t="s">
        <v>1559</v>
      </c>
      <c r="J41" t="s">
        <v>1559</v>
      </c>
      <c r="K41" t="s">
        <v>2213</v>
      </c>
      <c r="L41" t="s">
        <v>1559</v>
      </c>
    </row>
    <row r="42" spans="1:12" x14ac:dyDescent="0.3">
      <c r="A42" s="10" t="s">
        <v>1264</v>
      </c>
      <c r="B42" t="s">
        <v>1559</v>
      </c>
      <c r="C42" t="s">
        <v>2215</v>
      </c>
      <c r="D42" t="s">
        <v>1559</v>
      </c>
      <c r="E42" t="str">
        <f t="shared" si="2"/>
        <v>Vegetables</v>
      </c>
      <c r="F42" t="s">
        <v>2211</v>
      </c>
      <c r="G42">
        <v>4</v>
      </c>
      <c r="H42" t="str">
        <f>VLOOKUP(B42,Cats_eq!$A$2:$B$17,2,0)</f>
        <v>Vegetables</v>
      </c>
      <c r="I42" t="s">
        <v>1559</v>
      </c>
      <c r="J42" t="s">
        <v>1559</v>
      </c>
      <c r="K42" t="s">
        <v>2213</v>
      </c>
      <c r="L42" t="s">
        <v>1559</v>
      </c>
    </row>
    <row r="43" spans="1:12" x14ac:dyDescent="0.3">
      <c r="A43" s="10" t="s">
        <v>2194</v>
      </c>
      <c r="B43" t="s">
        <v>1559</v>
      </c>
      <c r="C43" t="s">
        <v>2215</v>
      </c>
      <c r="D43" t="s">
        <v>1559</v>
      </c>
      <c r="E43" t="str">
        <f t="shared" si="2"/>
        <v>Vegetables</v>
      </c>
      <c r="F43" t="s">
        <v>2211</v>
      </c>
      <c r="G43">
        <v>4</v>
      </c>
      <c r="H43" t="str">
        <f>VLOOKUP(B43,Cats_eq!$A$2:$B$17,2,0)</f>
        <v>Vegetables</v>
      </c>
      <c r="I43" t="s">
        <v>1559</v>
      </c>
      <c r="J43" t="s">
        <v>1559</v>
      </c>
      <c r="K43" t="s">
        <v>2213</v>
      </c>
      <c r="L43" t="s">
        <v>1559</v>
      </c>
    </row>
    <row r="44" spans="1:12" x14ac:dyDescent="0.3">
      <c r="A44" s="10" t="s">
        <v>1257</v>
      </c>
      <c r="B44" t="s">
        <v>1257</v>
      </c>
      <c r="C44" t="s">
        <v>1022</v>
      </c>
      <c r="D44" t="str">
        <f t="shared" ref="D44:D72" si="4">B44</f>
        <v>Grapes</v>
      </c>
      <c r="E44" t="str">
        <f t="shared" si="2"/>
        <v>Grapes</v>
      </c>
      <c r="F44" t="s">
        <v>2216</v>
      </c>
      <c r="G44">
        <v>5</v>
      </c>
      <c r="H44" t="str">
        <f>VLOOKUP(B44,Cats_eq!$A$2:$B$17,2,0)</f>
        <v>Grapes</v>
      </c>
      <c r="I44" t="s">
        <v>1257</v>
      </c>
      <c r="J44" t="s">
        <v>2217</v>
      </c>
      <c r="K44" t="s">
        <v>2213</v>
      </c>
      <c r="L44" t="s">
        <v>1740</v>
      </c>
    </row>
    <row r="45" spans="1:12" x14ac:dyDescent="0.3">
      <c r="A45" s="10" t="s">
        <v>1094</v>
      </c>
      <c r="B45" t="s">
        <v>1094</v>
      </c>
      <c r="C45" t="s">
        <v>1022</v>
      </c>
      <c r="D45" t="str">
        <f t="shared" si="4"/>
        <v>Olives</v>
      </c>
      <c r="E45" t="str">
        <f t="shared" si="2"/>
        <v>Olives</v>
      </c>
      <c r="F45" t="s">
        <v>2216</v>
      </c>
      <c r="G45">
        <v>6</v>
      </c>
      <c r="H45" t="str">
        <f>VLOOKUP(B45,Cats_eq!$A$2:$B$17,2,0)</f>
        <v>Olives</v>
      </c>
      <c r="I45" t="s">
        <v>1094</v>
      </c>
      <c r="J45" t="s">
        <v>1094</v>
      </c>
      <c r="K45" t="s">
        <v>2213</v>
      </c>
      <c r="L45" t="s">
        <v>1612</v>
      </c>
    </row>
    <row r="46" spans="1:12" x14ac:dyDescent="0.3">
      <c r="A46" s="10" t="s">
        <v>1231</v>
      </c>
      <c r="B46" t="s">
        <v>1607</v>
      </c>
      <c r="C46" t="s">
        <v>2215</v>
      </c>
      <c r="D46" t="str">
        <f t="shared" si="4"/>
        <v>Fruits</v>
      </c>
      <c r="E46" t="str">
        <f t="shared" si="2"/>
        <v>Fruits</v>
      </c>
      <c r="F46" t="s">
        <v>2216</v>
      </c>
      <c r="G46">
        <v>7</v>
      </c>
      <c r="H46" t="str">
        <f>VLOOKUP(B46,Cats_eq!$A$2:$B$17,2,0)</f>
        <v>Fruits</v>
      </c>
      <c r="I46" t="s">
        <v>1607</v>
      </c>
      <c r="J46" t="s">
        <v>1607</v>
      </c>
      <c r="K46" t="s">
        <v>2213</v>
      </c>
      <c r="L46" t="s">
        <v>1607</v>
      </c>
    </row>
    <row r="47" spans="1:12" x14ac:dyDescent="0.3">
      <c r="A47" s="10" t="s">
        <v>1239</v>
      </c>
      <c r="B47" t="s">
        <v>1607</v>
      </c>
      <c r="C47" t="s">
        <v>2215</v>
      </c>
      <c r="D47" t="str">
        <f t="shared" si="4"/>
        <v>Fruits</v>
      </c>
      <c r="E47" t="str">
        <f t="shared" si="2"/>
        <v>Fruits</v>
      </c>
      <c r="F47" t="s">
        <v>2216</v>
      </c>
      <c r="G47">
        <v>7</v>
      </c>
      <c r="H47" t="str">
        <f>VLOOKUP(B47,Cats_eq!$A$2:$B$17,2,0)</f>
        <v>Fruits</v>
      </c>
      <c r="I47" t="s">
        <v>1607</v>
      </c>
      <c r="J47" t="s">
        <v>1607</v>
      </c>
      <c r="K47" t="s">
        <v>2213</v>
      </c>
      <c r="L47" t="s">
        <v>1607</v>
      </c>
    </row>
    <row r="48" spans="1:12" x14ac:dyDescent="0.3">
      <c r="A48" s="10" t="s">
        <v>1269</v>
      </c>
      <c r="B48" t="s">
        <v>1607</v>
      </c>
      <c r="C48" t="s">
        <v>2215</v>
      </c>
      <c r="D48" t="str">
        <f t="shared" si="4"/>
        <v>Fruits</v>
      </c>
      <c r="E48" t="str">
        <f t="shared" si="2"/>
        <v>Fruits</v>
      </c>
      <c r="F48" t="s">
        <v>2216</v>
      </c>
      <c r="G48">
        <v>7</v>
      </c>
      <c r="H48" t="str">
        <f>VLOOKUP(B48,Cats_eq!$A$2:$B$17,2,0)</f>
        <v>Fruits</v>
      </c>
      <c r="I48" t="s">
        <v>2218</v>
      </c>
      <c r="J48" t="s">
        <v>1607</v>
      </c>
      <c r="K48" t="s">
        <v>2213</v>
      </c>
      <c r="L48" t="s">
        <v>1607</v>
      </c>
    </row>
    <row r="49" spans="1:12" x14ac:dyDescent="0.3">
      <c r="A49" s="10" t="s">
        <v>1210</v>
      </c>
      <c r="B49" t="s">
        <v>1607</v>
      </c>
      <c r="C49" t="s">
        <v>2215</v>
      </c>
      <c r="D49" t="str">
        <f t="shared" si="4"/>
        <v>Fruits</v>
      </c>
      <c r="E49" t="str">
        <f t="shared" si="2"/>
        <v>Fruits</v>
      </c>
      <c r="F49" t="s">
        <v>2216</v>
      </c>
      <c r="G49">
        <v>7</v>
      </c>
      <c r="H49" t="str">
        <f>VLOOKUP(B49,Cats_eq!$A$2:$B$17,2,0)</f>
        <v>Fruits</v>
      </c>
      <c r="I49" t="s">
        <v>2218</v>
      </c>
      <c r="J49" t="s">
        <v>1607</v>
      </c>
      <c r="K49" t="s">
        <v>2213</v>
      </c>
      <c r="L49" t="s">
        <v>1607</v>
      </c>
    </row>
    <row r="50" spans="1:12" x14ac:dyDescent="0.3">
      <c r="A50" s="10" t="s">
        <v>1709</v>
      </c>
      <c r="B50" t="s">
        <v>1607</v>
      </c>
      <c r="C50" t="s">
        <v>2215</v>
      </c>
      <c r="D50" t="str">
        <f t="shared" si="4"/>
        <v>Fruits</v>
      </c>
      <c r="E50" t="str">
        <f t="shared" si="2"/>
        <v>Fruits</v>
      </c>
      <c r="F50" t="s">
        <v>2216</v>
      </c>
      <c r="G50">
        <v>7</v>
      </c>
      <c r="H50" t="str">
        <f>VLOOKUP(B50,Cats_eq!$A$2:$B$17,2,0)</f>
        <v>Fruits</v>
      </c>
      <c r="I50" t="s">
        <v>1709</v>
      </c>
      <c r="J50" t="s">
        <v>1607</v>
      </c>
      <c r="K50" t="s">
        <v>2213</v>
      </c>
      <c r="L50" t="s">
        <v>1607</v>
      </c>
    </row>
    <row r="51" spans="1:12" x14ac:dyDescent="0.3">
      <c r="A51" s="10" t="s">
        <v>1731</v>
      </c>
      <c r="B51" t="s">
        <v>1607</v>
      </c>
      <c r="C51" t="s">
        <v>2215</v>
      </c>
      <c r="D51" t="str">
        <f t="shared" si="4"/>
        <v>Fruits</v>
      </c>
      <c r="E51" t="str">
        <f t="shared" si="2"/>
        <v>Fruits</v>
      </c>
      <c r="F51" t="s">
        <v>2216</v>
      </c>
      <c r="G51">
        <v>7</v>
      </c>
      <c r="H51" t="str">
        <f>VLOOKUP(B51,Cats_eq!$A$2:$B$17,2,0)</f>
        <v>Fruits</v>
      </c>
      <c r="I51" t="s">
        <v>1607</v>
      </c>
      <c r="J51" t="s">
        <v>1607</v>
      </c>
      <c r="K51" t="s">
        <v>2213</v>
      </c>
      <c r="L51" t="s">
        <v>1607</v>
      </c>
    </row>
    <row r="52" spans="1:12" x14ac:dyDescent="0.3">
      <c r="A52" s="10" t="s">
        <v>1266</v>
      </c>
      <c r="B52" t="s">
        <v>1607</v>
      </c>
      <c r="C52" t="s">
        <v>2215</v>
      </c>
      <c r="D52" t="str">
        <f t="shared" si="4"/>
        <v>Fruits</v>
      </c>
      <c r="E52" t="str">
        <f t="shared" si="2"/>
        <v>Fruits</v>
      </c>
      <c r="F52" t="s">
        <v>2216</v>
      </c>
      <c r="G52">
        <v>7</v>
      </c>
      <c r="H52" t="str">
        <f>VLOOKUP(B52,Cats_eq!$A$2:$B$17,2,0)</f>
        <v>Fruits</v>
      </c>
      <c r="I52" t="s">
        <v>1607</v>
      </c>
      <c r="J52" t="s">
        <v>1607</v>
      </c>
      <c r="K52" t="s">
        <v>2213</v>
      </c>
      <c r="L52" t="s">
        <v>1607</v>
      </c>
    </row>
    <row r="53" spans="1:12" x14ac:dyDescent="0.3">
      <c r="A53" s="10" t="s">
        <v>1663</v>
      </c>
      <c r="B53" t="s">
        <v>1607</v>
      </c>
      <c r="C53" t="s">
        <v>2215</v>
      </c>
      <c r="D53" t="str">
        <f t="shared" si="4"/>
        <v>Fruits</v>
      </c>
      <c r="E53" t="str">
        <f t="shared" si="2"/>
        <v>Fruits</v>
      </c>
      <c r="F53" t="s">
        <v>2216</v>
      </c>
      <c r="G53">
        <v>7</v>
      </c>
      <c r="H53" t="str">
        <f>VLOOKUP(B53,Cats_eq!$A$2:$B$17,2,0)</f>
        <v>Fruits</v>
      </c>
      <c r="I53" t="s">
        <v>2218</v>
      </c>
      <c r="J53" t="s">
        <v>1607</v>
      </c>
      <c r="K53" t="s">
        <v>2213</v>
      </c>
      <c r="L53" t="s">
        <v>1607</v>
      </c>
    </row>
    <row r="54" spans="1:12" x14ac:dyDescent="0.3">
      <c r="A54" s="10" t="s">
        <v>1749</v>
      </c>
      <c r="B54" t="s">
        <v>1607</v>
      </c>
      <c r="C54" t="s">
        <v>2215</v>
      </c>
      <c r="D54" t="str">
        <f t="shared" si="4"/>
        <v>Fruits</v>
      </c>
      <c r="E54" t="str">
        <f t="shared" si="2"/>
        <v>Fruits</v>
      </c>
      <c r="F54" t="s">
        <v>2216</v>
      </c>
      <c r="G54">
        <v>7</v>
      </c>
      <c r="H54" t="str">
        <f>VLOOKUP(B54,Cats_eq!$A$2:$B$17,2,0)</f>
        <v>Fruits</v>
      </c>
      <c r="I54" t="s">
        <v>1607</v>
      </c>
      <c r="J54" t="s">
        <v>1607</v>
      </c>
      <c r="K54" t="s">
        <v>2213</v>
      </c>
      <c r="L54" t="s">
        <v>1607</v>
      </c>
    </row>
    <row r="55" spans="1:12" x14ac:dyDescent="0.3">
      <c r="A55" s="10" t="s">
        <v>1733</v>
      </c>
      <c r="B55" t="s">
        <v>1607</v>
      </c>
      <c r="C55" t="s">
        <v>2215</v>
      </c>
      <c r="D55" t="str">
        <f t="shared" si="4"/>
        <v>Fruits</v>
      </c>
      <c r="E55" t="str">
        <f t="shared" si="2"/>
        <v>Fruits</v>
      </c>
      <c r="F55" t="s">
        <v>2216</v>
      </c>
      <c r="G55">
        <v>7</v>
      </c>
      <c r="H55" t="str">
        <f>VLOOKUP(B55,Cats_eq!$A$2:$B$17,2,0)</f>
        <v>Fruits</v>
      </c>
      <c r="I55" t="s">
        <v>1607</v>
      </c>
      <c r="J55" t="s">
        <v>1607</v>
      </c>
      <c r="K55" t="s">
        <v>2213</v>
      </c>
      <c r="L55" t="s">
        <v>1607</v>
      </c>
    </row>
    <row r="56" spans="1:12" x14ac:dyDescent="0.3">
      <c r="A56" s="10" t="s">
        <v>1236</v>
      </c>
      <c r="B56" t="s">
        <v>1607</v>
      </c>
      <c r="C56" t="s">
        <v>2215</v>
      </c>
      <c r="D56" t="str">
        <f t="shared" si="4"/>
        <v>Fruits</v>
      </c>
      <c r="E56" t="str">
        <f t="shared" si="2"/>
        <v>Fruits</v>
      </c>
      <c r="F56" t="s">
        <v>2216</v>
      </c>
      <c r="G56">
        <v>7</v>
      </c>
      <c r="H56" t="str">
        <f>VLOOKUP(B56,Cats_eq!$A$2:$B$17,2,0)</f>
        <v>Fruits</v>
      </c>
      <c r="I56" t="s">
        <v>1607</v>
      </c>
      <c r="J56" t="s">
        <v>1607</v>
      </c>
      <c r="K56" t="s">
        <v>2213</v>
      </c>
      <c r="L56" t="s">
        <v>1607</v>
      </c>
    </row>
    <row r="57" spans="1:12" x14ac:dyDescent="0.3">
      <c r="A57" s="10" t="s">
        <v>1277</v>
      </c>
      <c r="B57" t="s">
        <v>1607</v>
      </c>
      <c r="C57" t="s">
        <v>2215</v>
      </c>
      <c r="D57" t="str">
        <f t="shared" si="4"/>
        <v>Fruits</v>
      </c>
      <c r="E57" t="str">
        <f t="shared" si="2"/>
        <v>Fruits</v>
      </c>
      <c r="F57" t="s">
        <v>2216</v>
      </c>
      <c r="G57">
        <v>7</v>
      </c>
      <c r="H57" t="str">
        <f>VLOOKUP(B57,Cats_eq!$A$2:$B$17,2,0)</f>
        <v>Fruits</v>
      </c>
      <c r="I57" t="s">
        <v>1607</v>
      </c>
      <c r="J57" t="s">
        <v>1607</v>
      </c>
      <c r="K57" t="s">
        <v>2213</v>
      </c>
      <c r="L57" t="s">
        <v>1607</v>
      </c>
    </row>
    <row r="58" spans="1:12" x14ac:dyDescent="0.3">
      <c r="A58" s="10" t="s">
        <v>1735</v>
      </c>
      <c r="B58" t="s">
        <v>1607</v>
      </c>
      <c r="C58" t="s">
        <v>2215</v>
      </c>
      <c r="D58" t="str">
        <f t="shared" si="4"/>
        <v>Fruits</v>
      </c>
      <c r="E58" t="str">
        <f t="shared" si="2"/>
        <v>Fruits</v>
      </c>
      <c r="F58" t="s">
        <v>2216</v>
      </c>
      <c r="G58">
        <v>7</v>
      </c>
      <c r="H58" t="str">
        <f>VLOOKUP(B58,Cats_eq!$A$2:$B$17,2,0)</f>
        <v>Fruits</v>
      </c>
      <c r="I58" t="s">
        <v>1607</v>
      </c>
      <c r="J58" t="s">
        <v>1607</v>
      </c>
      <c r="K58" t="s">
        <v>2213</v>
      </c>
      <c r="L58" t="s">
        <v>1607</v>
      </c>
    </row>
    <row r="59" spans="1:12" x14ac:dyDescent="0.3">
      <c r="A59" s="10" t="s">
        <v>2219</v>
      </c>
      <c r="B59" t="s">
        <v>1607</v>
      </c>
      <c r="C59" t="s">
        <v>2215</v>
      </c>
      <c r="D59" t="str">
        <f t="shared" si="4"/>
        <v>Fruits</v>
      </c>
      <c r="E59" t="str">
        <f t="shared" si="2"/>
        <v>Fruits</v>
      </c>
      <c r="F59" t="s">
        <v>2216</v>
      </c>
      <c r="G59">
        <v>7</v>
      </c>
      <c r="H59" t="str">
        <f>VLOOKUP(B59,Cats_eq!$A$2:$B$17,2,0)</f>
        <v>Fruits</v>
      </c>
      <c r="I59" t="s">
        <v>2220</v>
      </c>
      <c r="J59" t="s">
        <v>1607</v>
      </c>
      <c r="K59" t="s">
        <v>2213</v>
      </c>
      <c r="L59" t="s">
        <v>1607</v>
      </c>
    </row>
    <row r="60" spans="1:12" x14ac:dyDescent="0.3">
      <c r="A60" s="10" t="s">
        <v>1238</v>
      </c>
      <c r="B60" t="s">
        <v>1607</v>
      </c>
      <c r="C60" t="s">
        <v>2215</v>
      </c>
      <c r="D60" t="str">
        <f t="shared" si="4"/>
        <v>Fruits</v>
      </c>
      <c r="E60" t="str">
        <f t="shared" si="2"/>
        <v>Fruits</v>
      </c>
      <c r="F60" t="s">
        <v>2216</v>
      </c>
      <c r="G60">
        <v>7</v>
      </c>
      <c r="H60" t="str">
        <f>VLOOKUP(B60,Cats_eq!$A$2:$B$17,2,0)</f>
        <v>Fruits</v>
      </c>
      <c r="I60" t="s">
        <v>1607</v>
      </c>
      <c r="J60" t="s">
        <v>1607</v>
      </c>
      <c r="K60" t="s">
        <v>2213</v>
      </c>
      <c r="L60" t="s">
        <v>1607</v>
      </c>
    </row>
    <row r="61" spans="1:12" x14ac:dyDescent="0.3">
      <c r="A61" s="10" t="s">
        <v>1738</v>
      </c>
      <c r="B61" t="s">
        <v>1607</v>
      </c>
      <c r="C61" t="s">
        <v>2215</v>
      </c>
      <c r="D61" t="str">
        <f t="shared" si="4"/>
        <v>Fruits</v>
      </c>
      <c r="E61" t="str">
        <f t="shared" si="2"/>
        <v>Fruits</v>
      </c>
      <c r="F61" t="s">
        <v>2211</v>
      </c>
      <c r="G61">
        <v>7</v>
      </c>
      <c r="H61" t="str">
        <f>VLOOKUP(B61,Cats_eq!$A$2:$B$17,2,0)</f>
        <v>Fruits</v>
      </c>
      <c r="I61" t="s">
        <v>1559</v>
      </c>
      <c r="J61" t="s">
        <v>1607</v>
      </c>
      <c r="K61" t="s">
        <v>2213</v>
      </c>
      <c r="L61" t="s">
        <v>1607</v>
      </c>
    </row>
    <row r="62" spans="1:12" x14ac:dyDescent="0.3">
      <c r="A62" s="10" t="s">
        <v>1723</v>
      </c>
      <c r="B62" t="s">
        <v>1725</v>
      </c>
      <c r="C62" t="s">
        <v>2215</v>
      </c>
      <c r="D62" t="str">
        <f t="shared" si="4"/>
        <v>Citrus</v>
      </c>
      <c r="E62" t="s">
        <v>1607</v>
      </c>
      <c r="F62" t="s">
        <v>2216</v>
      </c>
      <c r="G62">
        <v>8</v>
      </c>
      <c r="H62" t="str">
        <f>VLOOKUP(B62,Cats_eq!$A$2:$B$17,2,0)</f>
        <v>Citrus</v>
      </c>
      <c r="I62" t="s">
        <v>1725</v>
      </c>
      <c r="J62" t="s">
        <v>1725</v>
      </c>
      <c r="K62" t="s">
        <v>2213</v>
      </c>
      <c r="L62" t="s">
        <v>1607</v>
      </c>
    </row>
    <row r="63" spans="1:12" x14ac:dyDescent="0.3">
      <c r="A63" s="10" t="s">
        <v>1720</v>
      </c>
      <c r="B63" t="s">
        <v>1725</v>
      </c>
      <c r="C63" t="s">
        <v>2215</v>
      </c>
      <c r="D63" t="str">
        <f t="shared" si="4"/>
        <v>Citrus</v>
      </c>
      <c r="E63" t="s">
        <v>1607</v>
      </c>
      <c r="F63" t="s">
        <v>2216</v>
      </c>
      <c r="G63">
        <v>8</v>
      </c>
      <c r="H63" t="str">
        <f>VLOOKUP(B63,Cats_eq!$A$2:$B$17,2,0)</f>
        <v>Citrus</v>
      </c>
      <c r="I63" t="s">
        <v>1725</v>
      </c>
      <c r="J63" t="s">
        <v>1725</v>
      </c>
      <c r="K63" t="s">
        <v>2213</v>
      </c>
      <c r="L63" t="s">
        <v>1607</v>
      </c>
    </row>
    <row r="64" spans="1:12" x14ac:dyDescent="0.3">
      <c r="A64" s="10" t="s">
        <v>1213</v>
      </c>
      <c r="B64" t="s">
        <v>1725</v>
      </c>
      <c r="C64" t="s">
        <v>2215</v>
      </c>
      <c r="D64" t="str">
        <f t="shared" si="4"/>
        <v>Citrus</v>
      </c>
      <c r="E64" t="s">
        <v>1607</v>
      </c>
      <c r="F64" t="s">
        <v>2216</v>
      </c>
      <c r="G64">
        <v>8</v>
      </c>
      <c r="H64" t="str">
        <f>VLOOKUP(B64,Cats_eq!$A$2:$B$17,2,0)</f>
        <v>Citrus</v>
      </c>
      <c r="I64" t="s">
        <v>1725</v>
      </c>
      <c r="J64" t="s">
        <v>1725</v>
      </c>
      <c r="K64" t="s">
        <v>2213</v>
      </c>
      <c r="L64" t="s">
        <v>1607</v>
      </c>
    </row>
    <row r="65" spans="1:12" x14ac:dyDescent="0.3">
      <c r="A65" s="10" t="s">
        <v>1718</v>
      </c>
      <c r="B65" t="s">
        <v>1725</v>
      </c>
      <c r="C65" t="s">
        <v>2215</v>
      </c>
      <c r="D65" t="str">
        <f t="shared" si="4"/>
        <v>Citrus</v>
      </c>
      <c r="E65" t="s">
        <v>1607</v>
      </c>
      <c r="F65" t="s">
        <v>2216</v>
      </c>
      <c r="G65">
        <v>8</v>
      </c>
      <c r="H65" t="str">
        <f>VLOOKUP(B65,Cats_eq!$A$2:$B$17,2,0)</f>
        <v>Citrus</v>
      </c>
      <c r="I65" t="s">
        <v>1725</v>
      </c>
      <c r="J65" t="s">
        <v>1725</v>
      </c>
      <c r="K65" t="s">
        <v>2213</v>
      </c>
      <c r="L65" t="s">
        <v>1607</v>
      </c>
    </row>
    <row r="66" spans="1:12" x14ac:dyDescent="0.3">
      <c r="A66" s="10" t="s">
        <v>1611</v>
      </c>
      <c r="B66" t="s">
        <v>1606</v>
      </c>
      <c r="C66" t="s">
        <v>2215</v>
      </c>
      <c r="D66" t="str">
        <f t="shared" si="4"/>
        <v>Treenuts</v>
      </c>
      <c r="E66" t="s">
        <v>1607</v>
      </c>
      <c r="F66" t="s">
        <v>2216</v>
      </c>
      <c r="G66">
        <v>9</v>
      </c>
      <c r="H66" t="str">
        <f>VLOOKUP(B66,Cats_eq!$A$2:$B$17,2,0)</f>
        <v>Woody_other</v>
      </c>
      <c r="I66" t="s">
        <v>1606</v>
      </c>
      <c r="J66" t="s">
        <v>1606</v>
      </c>
      <c r="K66" t="s">
        <v>2213</v>
      </c>
      <c r="L66" t="s">
        <v>1612</v>
      </c>
    </row>
    <row r="67" spans="1:12" x14ac:dyDescent="0.3">
      <c r="A67" s="10" t="s">
        <v>1198</v>
      </c>
      <c r="B67" t="s">
        <v>1606</v>
      </c>
      <c r="C67" t="s">
        <v>2215</v>
      </c>
      <c r="D67" t="str">
        <f t="shared" si="4"/>
        <v>Treenuts</v>
      </c>
      <c r="E67" t="s">
        <v>1607</v>
      </c>
      <c r="F67" t="s">
        <v>2216</v>
      </c>
      <c r="G67">
        <v>9</v>
      </c>
      <c r="H67" t="str">
        <f>VLOOKUP(B67,Cats_eq!$A$2:$B$17,2,0)</f>
        <v>Woody_other</v>
      </c>
      <c r="I67" t="s">
        <v>2220</v>
      </c>
      <c r="J67" t="s">
        <v>1606</v>
      </c>
      <c r="K67" t="s">
        <v>2213</v>
      </c>
      <c r="L67" t="s">
        <v>1607</v>
      </c>
    </row>
    <row r="68" spans="1:12" x14ac:dyDescent="0.3">
      <c r="A68" s="10" t="s">
        <v>1046</v>
      </c>
      <c r="B68" t="s">
        <v>1606</v>
      </c>
      <c r="C68" t="s">
        <v>2215</v>
      </c>
      <c r="D68" t="str">
        <f t="shared" si="4"/>
        <v>Treenuts</v>
      </c>
      <c r="E68" t="s">
        <v>1607</v>
      </c>
      <c r="F68" t="s">
        <v>2216</v>
      </c>
      <c r="G68">
        <v>9</v>
      </c>
      <c r="H68" t="str">
        <f>VLOOKUP(B68,Cats_eq!$A$2:$B$17,2,0)</f>
        <v>Woody_other</v>
      </c>
      <c r="I68" t="s">
        <v>1606</v>
      </c>
      <c r="J68" t="s">
        <v>1606</v>
      </c>
      <c r="K68" t="s">
        <v>2213</v>
      </c>
      <c r="L68" t="s">
        <v>1607</v>
      </c>
    </row>
    <row r="69" spans="1:12" x14ac:dyDescent="0.3">
      <c r="A69" s="10" t="s">
        <v>1618</v>
      </c>
      <c r="B69" t="s">
        <v>1606</v>
      </c>
      <c r="C69" t="s">
        <v>2215</v>
      </c>
      <c r="D69" t="str">
        <f t="shared" si="4"/>
        <v>Treenuts</v>
      </c>
      <c r="E69" t="s">
        <v>1607</v>
      </c>
      <c r="F69" t="s">
        <v>2216</v>
      </c>
      <c r="G69">
        <v>9</v>
      </c>
      <c r="H69" t="str">
        <f>VLOOKUP(B69,Cats_eq!$A$2:$B$17,2,0)</f>
        <v>Woody_other</v>
      </c>
      <c r="I69" t="s">
        <v>1606</v>
      </c>
      <c r="J69" t="s">
        <v>1606</v>
      </c>
      <c r="K69" t="s">
        <v>2213</v>
      </c>
      <c r="L69" t="s">
        <v>1607</v>
      </c>
    </row>
    <row r="70" spans="1:12" x14ac:dyDescent="0.3">
      <c r="A70" s="10" t="s">
        <v>1605</v>
      </c>
      <c r="B70" t="s">
        <v>1606</v>
      </c>
      <c r="C70" t="s">
        <v>2215</v>
      </c>
      <c r="D70" t="str">
        <f t="shared" si="4"/>
        <v>Treenuts</v>
      </c>
      <c r="E70" t="s">
        <v>1607</v>
      </c>
      <c r="F70" t="s">
        <v>2216</v>
      </c>
      <c r="G70">
        <v>9</v>
      </c>
      <c r="H70" t="str">
        <f>VLOOKUP(B70,Cats_eq!$A$2:$B$17,2,0)</f>
        <v>Woody_other</v>
      </c>
      <c r="I70" t="s">
        <v>1606</v>
      </c>
      <c r="J70" t="s">
        <v>1606</v>
      </c>
      <c r="K70" t="s">
        <v>2213</v>
      </c>
      <c r="L70" t="s">
        <v>1607</v>
      </c>
    </row>
    <row r="71" spans="1:12" x14ac:dyDescent="0.3">
      <c r="A71" s="10" t="s">
        <v>1049</v>
      </c>
      <c r="B71" t="s">
        <v>1606</v>
      </c>
      <c r="C71" t="s">
        <v>2215</v>
      </c>
      <c r="D71" t="str">
        <f t="shared" si="4"/>
        <v>Treenuts</v>
      </c>
      <c r="E71" t="s">
        <v>1607</v>
      </c>
      <c r="F71" t="s">
        <v>2216</v>
      </c>
      <c r="G71">
        <v>9</v>
      </c>
      <c r="H71" t="str">
        <f>VLOOKUP(B71,Cats_eq!$A$2:$B$17,2,0)</f>
        <v>Woody_other</v>
      </c>
      <c r="I71" t="s">
        <v>1606</v>
      </c>
      <c r="J71" t="s">
        <v>1606</v>
      </c>
      <c r="K71" t="s">
        <v>2213</v>
      </c>
      <c r="L71" t="s">
        <v>1607</v>
      </c>
    </row>
    <row r="72" spans="1:12" x14ac:dyDescent="0.3">
      <c r="A72" s="10" t="s">
        <v>1615</v>
      </c>
      <c r="B72" t="s">
        <v>1606</v>
      </c>
      <c r="C72" t="s">
        <v>2215</v>
      </c>
      <c r="D72" t="str">
        <f t="shared" si="4"/>
        <v>Treenuts</v>
      </c>
      <c r="E72" t="s">
        <v>1607</v>
      </c>
      <c r="F72" t="s">
        <v>2216</v>
      </c>
      <c r="G72">
        <v>9</v>
      </c>
      <c r="H72" t="str">
        <f>VLOOKUP(B72,Cats_eq!$A$2:$B$17,2,0)</f>
        <v>Woody_other</v>
      </c>
      <c r="I72" t="s">
        <v>1606</v>
      </c>
      <c r="J72" t="s">
        <v>1606</v>
      </c>
      <c r="K72" t="s">
        <v>2213</v>
      </c>
      <c r="L72" t="s">
        <v>1607</v>
      </c>
    </row>
    <row r="73" spans="1:12" x14ac:dyDescent="0.3">
      <c r="A73" s="10" t="s">
        <v>1145</v>
      </c>
      <c r="B73" t="s">
        <v>1998</v>
      </c>
      <c r="C73" t="s">
        <v>1022</v>
      </c>
      <c r="D73" t="s">
        <v>1022</v>
      </c>
      <c r="E73" t="s">
        <v>1022</v>
      </c>
      <c r="F73" t="s">
        <v>2211</v>
      </c>
      <c r="G73">
        <v>10</v>
      </c>
      <c r="H73" t="str">
        <f>VLOOKUP(B73,Cats_eq!$A$2:$B$17,2,0)</f>
        <v>Industrial</v>
      </c>
      <c r="I73" t="s">
        <v>2221</v>
      </c>
      <c r="J73" t="s">
        <v>2212</v>
      </c>
      <c r="K73" t="s">
        <v>2213</v>
      </c>
      <c r="L73" t="s">
        <v>1547</v>
      </c>
    </row>
    <row r="74" spans="1:12" x14ac:dyDescent="0.3">
      <c r="A74" s="10" t="s">
        <v>1070</v>
      </c>
      <c r="B74" t="s">
        <v>1998</v>
      </c>
      <c r="C74" t="s">
        <v>1022</v>
      </c>
      <c r="D74" t="s">
        <v>1022</v>
      </c>
      <c r="E74" t="s">
        <v>1022</v>
      </c>
      <c r="F74" t="s">
        <v>2211</v>
      </c>
      <c r="G74">
        <v>10</v>
      </c>
      <c r="H74" t="str">
        <f>VLOOKUP(B74,Cats_eq!$A$2:$B$17,2,0)</f>
        <v>Industrial</v>
      </c>
      <c r="I74" t="s">
        <v>2221</v>
      </c>
      <c r="J74" t="s">
        <v>2212</v>
      </c>
      <c r="K74" t="s">
        <v>2213</v>
      </c>
      <c r="L74" t="s">
        <v>1547</v>
      </c>
    </row>
    <row r="75" spans="1:12" x14ac:dyDescent="0.3">
      <c r="A75" s="10" t="s">
        <v>1153</v>
      </c>
      <c r="B75" t="s">
        <v>1998</v>
      </c>
      <c r="C75" t="s">
        <v>1022</v>
      </c>
      <c r="D75" t="s">
        <v>1022</v>
      </c>
      <c r="E75" t="s">
        <v>1022</v>
      </c>
      <c r="F75" t="s">
        <v>2211</v>
      </c>
      <c r="G75">
        <v>10</v>
      </c>
      <c r="H75" t="str">
        <f>VLOOKUP(B75,Cats_eq!$A$2:$B$17,2,0)</f>
        <v>Industrial</v>
      </c>
      <c r="I75" t="s">
        <v>2221</v>
      </c>
      <c r="J75" t="s">
        <v>2212</v>
      </c>
      <c r="K75" t="s">
        <v>2213</v>
      </c>
      <c r="L75" t="s">
        <v>1547</v>
      </c>
    </row>
    <row r="76" spans="1:12" x14ac:dyDescent="0.3">
      <c r="A76" s="10" t="s">
        <v>1150</v>
      </c>
      <c r="B76" t="s">
        <v>1998</v>
      </c>
      <c r="C76" t="s">
        <v>1022</v>
      </c>
      <c r="D76" t="s">
        <v>1022</v>
      </c>
      <c r="E76" t="s">
        <v>1022</v>
      </c>
      <c r="F76" t="s">
        <v>2211</v>
      </c>
      <c r="G76">
        <v>10</v>
      </c>
      <c r="H76" t="str">
        <f>VLOOKUP(B76,Cats_eq!$A$2:$B$17,2,0)</f>
        <v>Industrial</v>
      </c>
      <c r="I76" t="s">
        <v>2221</v>
      </c>
      <c r="J76" t="s">
        <v>2212</v>
      </c>
      <c r="K76" t="s">
        <v>2213</v>
      </c>
      <c r="L76" t="s">
        <v>1547</v>
      </c>
    </row>
    <row r="77" spans="1:12" x14ac:dyDescent="0.3">
      <c r="A77" s="10" t="s">
        <v>1110</v>
      </c>
      <c r="B77" t="s">
        <v>1998</v>
      </c>
      <c r="C77" t="s">
        <v>1022</v>
      </c>
      <c r="D77" t="s">
        <v>1022</v>
      </c>
      <c r="E77" t="s">
        <v>1022</v>
      </c>
      <c r="F77" t="s">
        <v>2211</v>
      </c>
      <c r="G77">
        <v>10</v>
      </c>
      <c r="H77" t="str">
        <f>VLOOKUP(B77,Cats_eq!$A$2:$B$17,2,0)</f>
        <v>Industrial</v>
      </c>
      <c r="I77" t="s">
        <v>2221</v>
      </c>
      <c r="J77" t="s">
        <v>2212</v>
      </c>
      <c r="K77" t="s">
        <v>2213</v>
      </c>
      <c r="L77" t="s">
        <v>1547</v>
      </c>
    </row>
    <row r="78" spans="1:12" x14ac:dyDescent="0.3">
      <c r="A78" s="10" t="s">
        <v>1656</v>
      </c>
      <c r="B78" t="s">
        <v>1998</v>
      </c>
      <c r="C78" t="s">
        <v>1022</v>
      </c>
      <c r="D78" t="s">
        <v>1022</v>
      </c>
      <c r="E78" t="s">
        <v>1022</v>
      </c>
      <c r="F78" t="s">
        <v>2211</v>
      </c>
      <c r="G78">
        <v>10</v>
      </c>
      <c r="H78" t="str">
        <f>VLOOKUP(B78,Cats_eq!$A$2:$B$17,2,0)</f>
        <v>Industrial</v>
      </c>
      <c r="I78" t="s">
        <v>2221</v>
      </c>
      <c r="J78" t="s">
        <v>2212</v>
      </c>
      <c r="K78" t="s">
        <v>2213</v>
      </c>
      <c r="L78" t="s">
        <v>1547</v>
      </c>
    </row>
    <row r="79" spans="1:12" x14ac:dyDescent="0.3">
      <c r="A79" s="10" t="s">
        <v>1060</v>
      </c>
      <c r="B79" t="s">
        <v>1998</v>
      </c>
      <c r="C79" t="s">
        <v>1022</v>
      </c>
      <c r="D79" t="s">
        <v>1022</v>
      </c>
      <c r="E79" t="s">
        <v>1022</v>
      </c>
      <c r="F79" t="s">
        <v>2211</v>
      </c>
      <c r="G79">
        <v>10</v>
      </c>
      <c r="H79" t="str">
        <f>VLOOKUP(B79,Cats_eq!$A$2:$B$17,2,0)</f>
        <v>Industrial</v>
      </c>
      <c r="I79" t="s">
        <v>2221</v>
      </c>
      <c r="J79" t="s">
        <v>2212</v>
      </c>
      <c r="K79" t="s">
        <v>2214</v>
      </c>
      <c r="L79" t="s">
        <v>1547</v>
      </c>
    </row>
    <row r="80" spans="1:12" x14ac:dyDescent="0.3">
      <c r="A80" s="10" t="s">
        <v>1646</v>
      </c>
      <c r="B80" t="s">
        <v>1998</v>
      </c>
      <c r="C80" t="s">
        <v>1022</v>
      </c>
      <c r="D80" t="s">
        <v>1022</v>
      </c>
      <c r="E80" t="s">
        <v>1022</v>
      </c>
      <c r="F80" t="s">
        <v>2211</v>
      </c>
      <c r="G80">
        <v>10</v>
      </c>
      <c r="H80" t="str">
        <f>VLOOKUP(B80,Cats_eq!$A$2:$B$17,2,0)</f>
        <v>Industrial</v>
      </c>
      <c r="I80" t="s">
        <v>2221</v>
      </c>
      <c r="J80" t="s">
        <v>2212</v>
      </c>
      <c r="K80" t="s">
        <v>2213</v>
      </c>
      <c r="L80" t="s">
        <v>1547</v>
      </c>
    </row>
    <row r="81" spans="1:12" x14ac:dyDescent="0.3">
      <c r="A81" s="10" t="s">
        <v>1821</v>
      </c>
      <c r="B81" t="s">
        <v>1826</v>
      </c>
      <c r="C81" t="s">
        <v>1022</v>
      </c>
      <c r="D81" t="s">
        <v>1022</v>
      </c>
      <c r="E81" t="s">
        <v>1022</v>
      </c>
      <c r="F81" t="s">
        <v>2211</v>
      </c>
      <c r="G81">
        <v>11</v>
      </c>
      <c r="H81" t="str">
        <f>VLOOKUP(B81,Cats_eq!$A$2:$B$17,2,0)</f>
        <v>Industrial</v>
      </c>
      <c r="I81" t="s">
        <v>2221</v>
      </c>
      <c r="J81" t="s">
        <v>2212</v>
      </c>
      <c r="K81" t="s">
        <v>2213</v>
      </c>
      <c r="L81" t="s">
        <v>1567</v>
      </c>
    </row>
    <row r="82" spans="1:12" x14ac:dyDescent="0.3">
      <c r="A82" s="10" t="s">
        <v>1828</v>
      </c>
      <c r="B82" t="s">
        <v>1826</v>
      </c>
      <c r="C82" t="s">
        <v>1022</v>
      </c>
      <c r="D82" t="s">
        <v>1022</v>
      </c>
      <c r="E82" t="s">
        <v>1022</v>
      </c>
      <c r="F82" t="s">
        <v>2211</v>
      </c>
      <c r="G82">
        <v>11</v>
      </c>
      <c r="H82" t="str">
        <f>VLOOKUP(B82,Cats_eq!$A$2:$B$17,2,0)</f>
        <v>Industrial</v>
      </c>
      <c r="I82" t="s">
        <v>2221</v>
      </c>
      <c r="J82" t="s">
        <v>2212</v>
      </c>
      <c r="K82" t="s">
        <v>2213</v>
      </c>
      <c r="L82" t="s">
        <v>1567</v>
      </c>
    </row>
    <row r="83" spans="1:12" x14ac:dyDescent="0.3">
      <c r="A83" s="10" t="s">
        <v>1665</v>
      </c>
      <c r="B83" t="s">
        <v>1826</v>
      </c>
      <c r="C83" t="s">
        <v>1022</v>
      </c>
      <c r="D83" t="s">
        <v>1022</v>
      </c>
      <c r="E83" t="s">
        <v>1022</v>
      </c>
      <c r="F83" t="s">
        <v>2211</v>
      </c>
      <c r="G83">
        <v>11</v>
      </c>
      <c r="H83" t="str">
        <f>VLOOKUP(B83,Cats_eq!$A$2:$B$17,2,0)</f>
        <v>Industrial</v>
      </c>
      <c r="I83" t="s">
        <v>2221</v>
      </c>
      <c r="J83" t="s">
        <v>2212</v>
      </c>
      <c r="K83" t="s">
        <v>2213</v>
      </c>
      <c r="L83" t="s">
        <v>1567</v>
      </c>
    </row>
    <row r="84" spans="1:12" x14ac:dyDescent="0.3">
      <c r="A84" s="10" t="s">
        <v>2184</v>
      </c>
      <c r="B84" t="s">
        <v>1826</v>
      </c>
      <c r="C84" t="s">
        <v>1022</v>
      </c>
      <c r="D84" t="s">
        <v>1022</v>
      </c>
      <c r="E84" t="s">
        <v>1022</v>
      </c>
      <c r="F84" t="s">
        <v>2211</v>
      </c>
      <c r="G84">
        <v>11</v>
      </c>
      <c r="H84" t="str">
        <f>VLOOKUP(B84,Cats_eq!$A$2:$B$17,2,0)</f>
        <v>Industrial</v>
      </c>
      <c r="I84" t="s">
        <v>2220</v>
      </c>
      <c r="J84" t="s">
        <v>2212</v>
      </c>
      <c r="K84" t="s">
        <v>2213</v>
      </c>
      <c r="L84" t="s">
        <v>1567</v>
      </c>
    </row>
    <row r="85" spans="1:12" x14ac:dyDescent="0.3">
      <c r="A85" s="10" t="s">
        <v>2182</v>
      </c>
      <c r="B85" t="s">
        <v>1826</v>
      </c>
      <c r="C85" t="s">
        <v>1022</v>
      </c>
      <c r="D85" t="s">
        <v>1022</v>
      </c>
      <c r="E85" t="s">
        <v>1022</v>
      </c>
      <c r="F85" t="s">
        <v>2211</v>
      </c>
      <c r="G85">
        <v>11</v>
      </c>
      <c r="H85" t="str">
        <f>VLOOKUP(B85,Cats_eq!$A$2:$B$17,2,0)</f>
        <v>Industrial</v>
      </c>
      <c r="I85" t="s">
        <v>2221</v>
      </c>
      <c r="J85" t="s">
        <v>2212</v>
      </c>
      <c r="K85" t="s">
        <v>2213</v>
      </c>
      <c r="L85" t="s">
        <v>1567</v>
      </c>
    </row>
    <row r="86" spans="1:12" x14ac:dyDescent="0.3">
      <c r="A86" s="10" t="s">
        <v>2180</v>
      </c>
      <c r="B86" t="s">
        <v>1826</v>
      </c>
      <c r="C86" t="s">
        <v>1022</v>
      </c>
      <c r="D86" t="s">
        <v>1022</v>
      </c>
      <c r="E86" t="s">
        <v>1022</v>
      </c>
      <c r="F86" t="s">
        <v>2216</v>
      </c>
      <c r="G86">
        <v>11</v>
      </c>
      <c r="H86" t="str">
        <f>VLOOKUP(B86,Cats_eq!$A$2:$B$17,2,0)</f>
        <v>Industrial</v>
      </c>
      <c r="I86" t="s">
        <v>2220</v>
      </c>
      <c r="J86" t="s">
        <v>2212</v>
      </c>
      <c r="K86" t="s">
        <v>2213</v>
      </c>
      <c r="L86" t="s">
        <v>1567</v>
      </c>
    </row>
    <row r="87" spans="1:12" x14ac:dyDescent="0.3">
      <c r="A87" s="10" t="s">
        <v>1632</v>
      </c>
      <c r="B87" t="s">
        <v>1826</v>
      </c>
      <c r="C87" t="s">
        <v>1022</v>
      </c>
      <c r="D87" t="s">
        <v>1022</v>
      </c>
      <c r="E87" t="s">
        <v>1022</v>
      </c>
      <c r="F87" t="s">
        <v>2216</v>
      </c>
      <c r="G87">
        <v>11</v>
      </c>
      <c r="H87" t="str">
        <f>VLOOKUP(B87,Cats_eq!$A$2:$B$17,2,0)</f>
        <v>Industrial</v>
      </c>
      <c r="I87" t="s">
        <v>2220</v>
      </c>
      <c r="J87" t="s">
        <v>2212</v>
      </c>
      <c r="K87" t="s">
        <v>2213</v>
      </c>
      <c r="L87" t="s">
        <v>1567</v>
      </c>
    </row>
    <row r="88" spans="1:12" x14ac:dyDescent="0.3">
      <c r="A88" s="10" t="s">
        <v>1322</v>
      </c>
      <c r="B88" t="s">
        <v>1806</v>
      </c>
      <c r="C88" t="s">
        <v>1022</v>
      </c>
      <c r="D88" t="s">
        <v>1022</v>
      </c>
      <c r="E88" t="s">
        <v>1022</v>
      </c>
      <c r="F88" t="s">
        <v>2211</v>
      </c>
      <c r="G88">
        <v>12</v>
      </c>
      <c r="H88" t="str">
        <f>VLOOKUP(B88,Cats_eq!$A$2:$B$17,2,0)</f>
        <v>Other</v>
      </c>
      <c r="I88" t="s">
        <v>2221</v>
      </c>
      <c r="J88" t="s">
        <v>2212</v>
      </c>
      <c r="K88" t="s">
        <v>2213</v>
      </c>
      <c r="L88" t="s">
        <v>1559</v>
      </c>
    </row>
    <row r="89" spans="1:12" x14ac:dyDescent="0.3">
      <c r="A89" s="10" t="s">
        <v>1336</v>
      </c>
      <c r="B89" t="s">
        <v>1806</v>
      </c>
      <c r="C89" t="s">
        <v>1022</v>
      </c>
      <c r="D89" t="s">
        <v>1022</v>
      </c>
      <c r="E89" t="s">
        <v>1022</v>
      </c>
      <c r="F89" t="s">
        <v>2211</v>
      </c>
      <c r="G89">
        <v>12</v>
      </c>
      <c r="H89" t="str">
        <f>VLOOKUP(B89,Cats_eq!$A$2:$B$17,2,0)</f>
        <v>Other</v>
      </c>
      <c r="I89" t="s">
        <v>2221</v>
      </c>
      <c r="J89" t="s">
        <v>2212</v>
      </c>
      <c r="K89" t="s">
        <v>2213</v>
      </c>
      <c r="L89" t="s">
        <v>1559</v>
      </c>
    </row>
    <row r="90" spans="1:12" x14ac:dyDescent="0.3">
      <c r="A90" s="10" t="s">
        <v>1809</v>
      </c>
      <c r="B90" t="s">
        <v>1806</v>
      </c>
      <c r="C90" t="s">
        <v>1022</v>
      </c>
      <c r="D90" t="s">
        <v>1022</v>
      </c>
      <c r="E90" t="s">
        <v>1022</v>
      </c>
      <c r="F90" t="s">
        <v>2211</v>
      </c>
      <c r="G90">
        <v>12</v>
      </c>
      <c r="H90" t="str">
        <f>VLOOKUP(B90,Cats_eq!$A$2:$B$17,2,0)</f>
        <v>Other</v>
      </c>
      <c r="I90" t="s">
        <v>2221</v>
      </c>
      <c r="J90" t="s">
        <v>2212</v>
      </c>
      <c r="K90" t="s">
        <v>2213</v>
      </c>
      <c r="L90" t="s">
        <v>1559</v>
      </c>
    </row>
    <row r="91" spans="1:12" x14ac:dyDescent="0.3">
      <c r="A91" s="10" t="s">
        <v>1806</v>
      </c>
      <c r="B91" t="s">
        <v>1806</v>
      </c>
      <c r="C91" t="s">
        <v>1022</v>
      </c>
      <c r="D91" t="s">
        <v>1022</v>
      </c>
      <c r="E91" t="s">
        <v>1022</v>
      </c>
      <c r="F91" t="s">
        <v>2211</v>
      </c>
      <c r="G91">
        <v>12</v>
      </c>
      <c r="H91" t="str">
        <f>VLOOKUP(B91,Cats_eq!$A$2:$B$17,2,0)</f>
        <v>Other</v>
      </c>
      <c r="I91" t="s">
        <v>2220</v>
      </c>
      <c r="J91" t="s">
        <v>2212</v>
      </c>
      <c r="K91" t="s">
        <v>2213</v>
      </c>
      <c r="L91" t="s">
        <v>1559</v>
      </c>
    </row>
    <row r="92" spans="1:12" x14ac:dyDescent="0.3">
      <c r="A92" s="10" t="s">
        <v>1362</v>
      </c>
      <c r="B92" t="s">
        <v>1806</v>
      </c>
      <c r="C92" t="s">
        <v>1022</v>
      </c>
      <c r="D92" t="s">
        <v>1022</v>
      </c>
      <c r="E92" t="s">
        <v>1022</v>
      </c>
      <c r="F92" t="s">
        <v>2211</v>
      </c>
      <c r="G92">
        <v>12</v>
      </c>
      <c r="H92" t="str">
        <f>VLOOKUP(B92,Cats_eq!$A$2:$B$17,2,0)</f>
        <v>Other</v>
      </c>
      <c r="I92" t="s">
        <v>2221</v>
      </c>
      <c r="J92" t="s">
        <v>2212</v>
      </c>
      <c r="K92" t="s">
        <v>2213</v>
      </c>
      <c r="L92" t="s">
        <v>1559</v>
      </c>
    </row>
    <row r="93" spans="1:12" x14ac:dyDescent="0.3">
      <c r="A93" s="10" t="s">
        <v>2188</v>
      </c>
      <c r="B93" t="s">
        <v>1806</v>
      </c>
      <c r="C93" t="s">
        <v>1022</v>
      </c>
      <c r="D93" t="s">
        <v>1022</v>
      </c>
      <c r="E93" t="s">
        <v>1022</v>
      </c>
      <c r="F93" t="s">
        <v>2211</v>
      </c>
      <c r="G93">
        <v>12</v>
      </c>
      <c r="H93" t="str">
        <f>VLOOKUP(B93,Cats_eq!$A$2:$B$17,2,0)</f>
        <v>Other</v>
      </c>
      <c r="I93" t="s">
        <v>2221</v>
      </c>
      <c r="J93" t="s">
        <v>2212</v>
      </c>
      <c r="K93" t="s">
        <v>2213</v>
      </c>
      <c r="L93" t="s">
        <v>1559</v>
      </c>
    </row>
    <row r="94" spans="1:12" x14ac:dyDescent="0.3">
      <c r="A94" s="10" t="s">
        <v>1581</v>
      </c>
      <c r="B94" t="s">
        <v>2098</v>
      </c>
      <c r="C94" t="s">
        <v>1022</v>
      </c>
      <c r="D94" t="s">
        <v>1022</v>
      </c>
      <c r="E94" t="s">
        <v>1022</v>
      </c>
      <c r="F94" t="s">
        <v>2211</v>
      </c>
      <c r="G94">
        <v>13</v>
      </c>
      <c r="H94" t="str">
        <f>VLOOKUP(B94,Cats_eq!$A$2:$B$17,2,0)</f>
        <v>Industrial</v>
      </c>
      <c r="I94" t="s">
        <v>2221</v>
      </c>
      <c r="J94" t="s">
        <v>2212</v>
      </c>
      <c r="K94" t="s">
        <v>2213</v>
      </c>
      <c r="L94" t="s">
        <v>1567</v>
      </c>
    </row>
    <row r="95" spans="1:12" x14ac:dyDescent="0.3">
      <c r="A95" s="10" t="s">
        <v>1575</v>
      </c>
      <c r="B95" t="s">
        <v>2098</v>
      </c>
      <c r="C95" t="s">
        <v>1022</v>
      </c>
      <c r="D95" t="s">
        <v>1022</v>
      </c>
      <c r="E95" t="s">
        <v>1022</v>
      </c>
      <c r="F95" t="s">
        <v>2211</v>
      </c>
      <c r="G95">
        <v>13</v>
      </c>
      <c r="H95" t="str">
        <f>VLOOKUP(B95,Cats_eq!$A$2:$B$17,2,0)</f>
        <v>Industrial</v>
      </c>
      <c r="I95" t="s">
        <v>2221</v>
      </c>
      <c r="J95" t="s">
        <v>2212</v>
      </c>
      <c r="K95" t="s">
        <v>2213</v>
      </c>
      <c r="L95" t="s">
        <v>1567</v>
      </c>
    </row>
    <row r="96" spans="1:12" x14ac:dyDescent="0.3">
      <c r="A96" s="10" t="s">
        <v>1769</v>
      </c>
      <c r="B96" t="s">
        <v>2018</v>
      </c>
      <c r="C96" t="s">
        <v>2222</v>
      </c>
      <c r="D96" t="str">
        <f t="shared" ref="D96:D118" si="5">B96</f>
        <v>Fodder_green</v>
      </c>
      <c r="E96" t="str">
        <f t="shared" ref="E96:E123" si="6">B96</f>
        <v>Fodder_green</v>
      </c>
      <c r="F96" t="s">
        <v>2211</v>
      </c>
      <c r="G96">
        <v>14</v>
      </c>
      <c r="H96" t="str">
        <f>VLOOKUP(B96,Cats_eq!$A$2:$B$17,2,0)</f>
        <v>Fodder_green</v>
      </c>
      <c r="I96" t="s">
        <v>2018</v>
      </c>
      <c r="J96" t="s">
        <v>2212</v>
      </c>
      <c r="K96" t="s">
        <v>2214</v>
      </c>
      <c r="L96" t="s">
        <v>1567</v>
      </c>
    </row>
    <row r="97" spans="1:12" x14ac:dyDescent="0.3">
      <c r="A97" s="10" t="s">
        <v>1789</v>
      </c>
      <c r="B97" t="s">
        <v>2018</v>
      </c>
      <c r="C97" t="s">
        <v>2222</v>
      </c>
      <c r="D97" t="str">
        <f t="shared" si="5"/>
        <v>Fodder_green</v>
      </c>
      <c r="E97" t="str">
        <f t="shared" si="6"/>
        <v>Fodder_green</v>
      </c>
      <c r="F97" t="s">
        <v>2211</v>
      </c>
      <c r="G97">
        <v>14</v>
      </c>
      <c r="H97" t="str">
        <f>VLOOKUP(B97,Cats_eq!$A$2:$B$17,2,0)</f>
        <v>Fodder_green</v>
      </c>
      <c r="I97" t="s">
        <v>2018</v>
      </c>
      <c r="J97" t="s">
        <v>2212</v>
      </c>
      <c r="K97" t="s">
        <v>2213</v>
      </c>
      <c r="L97" t="s">
        <v>1567</v>
      </c>
    </row>
    <row r="98" spans="1:12" x14ac:dyDescent="0.3">
      <c r="A98" s="10" t="s">
        <v>1778</v>
      </c>
      <c r="B98" t="s">
        <v>2018</v>
      </c>
      <c r="C98" t="s">
        <v>2222</v>
      </c>
      <c r="D98" t="str">
        <f t="shared" si="5"/>
        <v>Fodder_green</v>
      </c>
      <c r="E98" t="str">
        <f t="shared" si="6"/>
        <v>Fodder_green</v>
      </c>
      <c r="F98" t="s">
        <v>2211</v>
      </c>
      <c r="G98">
        <v>14</v>
      </c>
      <c r="H98" t="str">
        <f>VLOOKUP(B98,Cats_eq!$A$2:$B$17,2,0)</f>
        <v>Fodder_green</v>
      </c>
      <c r="I98" t="s">
        <v>2018</v>
      </c>
      <c r="J98" t="s">
        <v>2212</v>
      </c>
      <c r="K98" t="s">
        <v>2213</v>
      </c>
      <c r="L98" t="s">
        <v>1567</v>
      </c>
    </row>
    <row r="99" spans="1:12" x14ac:dyDescent="0.3">
      <c r="A99" s="10" t="s">
        <v>1792</v>
      </c>
      <c r="B99" t="s">
        <v>2018</v>
      </c>
      <c r="C99" t="s">
        <v>2222</v>
      </c>
      <c r="D99" t="str">
        <f t="shared" si="5"/>
        <v>Fodder_green</v>
      </c>
      <c r="E99" t="str">
        <f t="shared" si="6"/>
        <v>Fodder_green</v>
      </c>
      <c r="F99" t="s">
        <v>2211</v>
      </c>
      <c r="G99">
        <v>14</v>
      </c>
      <c r="H99" t="str">
        <f>VLOOKUP(B99,Cats_eq!$A$2:$B$17,2,0)</f>
        <v>Fodder_green</v>
      </c>
      <c r="I99" t="s">
        <v>2018</v>
      </c>
      <c r="J99" t="s">
        <v>2212</v>
      </c>
      <c r="K99" t="s">
        <v>2213</v>
      </c>
      <c r="L99" t="s">
        <v>1567</v>
      </c>
    </row>
    <row r="100" spans="1:12" x14ac:dyDescent="0.3">
      <c r="A100" s="10" t="s">
        <v>2162</v>
      </c>
      <c r="B100" t="s">
        <v>2018</v>
      </c>
      <c r="C100" t="s">
        <v>2222</v>
      </c>
      <c r="D100" t="str">
        <f t="shared" si="5"/>
        <v>Fodder_green</v>
      </c>
      <c r="E100" t="str">
        <f t="shared" si="6"/>
        <v>Fodder_green</v>
      </c>
      <c r="F100" t="s">
        <v>2211</v>
      </c>
      <c r="G100">
        <v>14</v>
      </c>
      <c r="H100" t="str">
        <f>VLOOKUP(B100,Cats_eq!$A$2:$B$17,2,0)</f>
        <v>Fodder_green</v>
      </c>
      <c r="I100" t="s">
        <v>2018</v>
      </c>
      <c r="J100" t="s">
        <v>2212</v>
      </c>
      <c r="K100" t="s">
        <v>2213</v>
      </c>
      <c r="L100" t="s">
        <v>1567</v>
      </c>
    </row>
    <row r="101" spans="1:12" x14ac:dyDescent="0.3">
      <c r="A101" s="10" t="s">
        <v>1766</v>
      </c>
      <c r="B101" t="s">
        <v>2018</v>
      </c>
      <c r="C101" t="s">
        <v>2222</v>
      </c>
      <c r="D101" t="str">
        <f t="shared" si="5"/>
        <v>Fodder_green</v>
      </c>
      <c r="E101" t="str">
        <f t="shared" si="6"/>
        <v>Fodder_green</v>
      </c>
      <c r="F101" t="s">
        <v>2211</v>
      </c>
      <c r="G101">
        <v>14</v>
      </c>
      <c r="H101" t="str">
        <f>VLOOKUP(B101,Cats_eq!$A$2:$B$17,2,0)</f>
        <v>Fodder_green</v>
      </c>
      <c r="I101" t="s">
        <v>2018</v>
      </c>
      <c r="J101" t="s">
        <v>2212</v>
      </c>
      <c r="K101" t="s">
        <v>2214</v>
      </c>
      <c r="L101" t="s">
        <v>1567</v>
      </c>
    </row>
    <row r="102" spans="1:12" x14ac:dyDescent="0.3">
      <c r="A102" s="10" t="s">
        <v>2164</v>
      </c>
      <c r="B102" t="s">
        <v>2018</v>
      </c>
      <c r="C102" t="s">
        <v>2222</v>
      </c>
      <c r="D102" t="str">
        <f t="shared" si="5"/>
        <v>Fodder_green</v>
      </c>
      <c r="E102" t="str">
        <f t="shared" si="6"/>
        <v>Fodder_green</v>
      </c>
      <c r="F102" t="s">
        <v>2211</v>
      </c>
      <c r="G102">
        <v>14</v>
      </c>
      <c r="H102" t="str">
        <f>VLOOKUP(B102,Cats_eq!$A$2:$B$17,2,0)</f>
        <v>Fodder_green</v>
      </c>
      <c r="I102" t="s">
        <v>2018</v>
      </c>
      <c r="J102" t="s">
        <v>2212</v>
      </c>
      <c r="K102" t="s">
        <v>2214</v>
      </c>
      <c r="L102" t="s">
        <v>1567</v>
      </c>
    </row>
    <row r="103" spans="1:12" x14ac:dyDescent="0.3">
      <c r="A103" s="10" t="s">
        <v>1772</v>
      </c>
      <c r="B103" t="s">
        <v>2018</v>
      </c>
      <c r="C103" t="s">
        <v>2222</v>
      </c>
      <c r="D103" t="str">
        <f t="shared" si="5"/>
        <v>Fodder_green</v>
      </c>
      <c r="E103" t="str">
        <f t="shared" si="6"/>
        <v>Fodder_green</v>
      </c>
      <c r="F103" t="s">
        <v>2211</v>
      </c>
      <c r="G103">
        <v>14</v>
      </c>
      <c r="H103" t="str">
        <f>VLOOKUP(B103,Cats_eq!$A$2:$B$17,2,0)</f>
        <v>Fodder_green</v>
      </c>
      <c r="I103" t="s">
        <v>2018</v>
      </c>
      <c r="J103" t="s">
        <v>2212</v>
      </c>
      <c r="K103" t="s">
        <v>2214</v>
      </c>
      <c r="L103" t="s">
        <v>1567</v>
      </c>
    </row>
    <row r="104" spans="1:12" x14ac:dyDescent="0.3">
      <c r="A104" s="10" t="s">
        <v>2168</v>
      </c>
      <c r="B104" t="s">
        <v>2018</v>
      </c>
      <c r="C104" t="s">
        <v>2222</v>
      </c>
      <c r="D104" t="str">
        <f t="shared" si="5"/>
        <v>Fodder_green</v>
      </c>
      <c r="E104" t="str">
        <f t="shared" si="6"/>
        <v>Fodder_green</v>
      </c>
      <c r="F104" t="s">
        <v>2211</v>
      </c>
      <c r="G104">
        <v>14</v>
      </c>
      <c r="H104" t="str">
        <f>VLOOKUP(B104,Cats_eq!$A$2:$B$17,2,0)</f>
        <v>Fodder_green</v>
      </c>
      <c r="I104" t="s">
        <v>2018</v>
      </c>
      <c r="J104" t="s">
        <v>2212</v>
      </c>
      <c r="K104" t="s">
        <v>2214</v>
      </c>
      <c r="L104" t="s">
        <v>1567</v>
      </c>
    </row>
    <row r="105" spans="1:12" x14ac:dyDescent="0.3">
      <c r="A105" s="10" t="s">
        <v>1762</v>
      </c>
      <c r="B105" t="s">
        <v>2018</v>
      </c>
      <c r="C105" t="s">
        <v>2222</v>
      </c>
      <c r="D105" t="str">
        <f t="shared" si="5"/>
        <v>Fodder_green</v>
      </c>
      <c r="E105" t="str">
        <f t="shared" si="6"/>
        <v>Fodder_green</v>
      </c>
      <c r="F105" t="s">
        <v>2211</v>
      </c>
      <c r="G105">
        <v>14</v>
      </c>
      <c r="H105" t="str">
        <f>VLOOKUP(B105,Cats_eq!$A$2:$B$17,2,0)</f>
        <v>Fodder_green</v>
      </c>
      <c r="I105" t="s">
        <v>2018</v>
      </c>
      <c r="J105" t="s">
        <v>2212</v>
      </c>
      <c r="K105" t="s">
        <v>2213</v>
      </c>
      <c r="L105" t="s">
        <v>1567</v>
      </c>
    </row>
    <row r="106" spans="1:12" x14ac:dyDescent="0.3">
      <c r="A106" s="10" t="s">
        <v>1775</v>
      </c>
      <c r="B106" t="s">
        <v>2018</v>
      </c>
      <c r="C106" t="s">
        <v>2222</v>
      </c>
      <c r="D106" t="str">
        <f t="shared" si="5"/>
        <v>Fodder_green</v>
      </c>
      <c r="E106" t="str">
        <f t="shared" si="6"/>
        <v>Fodder_green</v>
      </c>
      <c r="F106" t="s">
        <v>2211</v>
      </c>
      <c r="G106">
        <v>14</v>
      </c>
      <c r="H106" t="str">
        <f>VLOOKUP(B106,Cats_eq!$A$2:$B$17,2,0)</f>
        <v>Fodder_green</v>
      </c>
      <c r="I106" t="s">
        <v>2018</v>
      </c>
      <c r="J106" t="s">
        <v>2212</v>
      </c>
      <c r="K106" t="s">
        <v>2214</v>
      </c>
      <c r="L106" t="s">
        <v>1567</v>
      </c>
    </row>
    <row r="107" spans="1:12" x14ac:dyDescent="0.3">
      <c r="A107" s="10" t="s">
        <v>1755</v>
      </c>
      <c r="B107" t="s">
        <v>2018</v>
      </c>
      <c r="C107" t="s">
        <v>2222</v>
      </c>
      <c r="D107" t="str">
        <f t="shared" si="5"/>
        <v>Fodder_green</v>
      </c>
      <c r="E107" t="str">
        <f t="shared" si="6"/>
        <v>Fodder_green</v>
      </c>
      <c r="F107" t="s">
        <v>2211</v>
      </c>
      <c r="G107">
        <v>14</v>
      </c>
      <c r="H107" t="str">
        <f>VLOOKUP(B107,Cats_eq!$A$2:$B$17,2,0)</f>
        <v>Fodder_green</v>
      </c>
      <c r="I107" t="s">
        <v>2018</v>
      </c>
      <c r="J107" t="s">
        <v>2212</v>
      </c>
      <c r="K107" t="s">
        <v>2213</v>
      </c>
      <c r="L107" t="s">
        <v>1567</v>
      </c>
    </row>
    <row r="108" spans="1:12" x14ac:dyDescent="0.3">
      <c r="A108" s="10" t="s">
        <v>1782</v>
      </c>
      <c r="B108" t="s">
        <v>2018</v>
      </c>
      <c r="C108" t="s">
        <v>2222</v>
      </c>
      <c r="D108" t="str">
        <f t="shared" si="5"/>
        <v>Fodder_green</v>
      </c>
      <c r="E108" t="str">
        <f t="shared" si="6"/>
        <v>Fodder_green</v>
      </c>
      <c r="F108" t="s">
        <v>2211</v>
      </c>
      <c r="G108">
        <v>14</v>
      </c>
      <c r="H108" t="str">
        <f>VLOOKUP(B108,Cats_eq!$A$2:$B$17,2,0)</f>
        <v>Fodder_green</v>
      </c>
      <c r="I108" t="s">
        <v>2018</v>
      </c>
      <c r="J108" t="s">
        <v>2212</v>
      </c>
      <c r="K108" t="s">
        <v>2214</v>
      </c>
      <c r="L108" t="s">
        <v>1567</v>
      </c>
    </row>
    <row r="109" spans="1:12" x14ac:dyDescent="0.3">
      <c r="A109" s="10" t="s">
        <v>1759</v>
      </c>
      <c r="B109" t="s">
        <v>2018</v>
      </c>
      <c r="C109" t="s">
        <v>2222</v>
      </c>
      <c r="D109" t="str">
        <f t="shared" si="5"/>
        <v>Fodder_green</v>
      </c>
      <c r="E109" t="str">
        <f t="shared" si="6"/>
        <v>Fodder_green</v>
      </c>
      <c r="F109" t="s">
        <v>2211</v>
      </c>
      <c r="G109">
        <v>14</v>
      </c>
      <c r="H109" t="str">
        <f>VLOOKUP(B109,Cats_eq!$A$2:$B$17,2,0)</f>
        <v>Fodder_green</v>
      </c>
      <c r="I109" t="s">
        <v>2018</v>
      </c>
      <c r="J109" t="s">
        <v>2212</v>
      </c>
      <c r="K109" t="s">
        <v>2213</v>
      </c>
      <c r="L109" t="s">
        <v>1567</v>
      </c>
    </row>
    <row r="110" spans="1:12" x14ac:dyDescent="0.3">
      <c r="A110" s="10" t="s">
        <v>2175</v>
      </c>
      <c r="B110" t="s">
        <v>2018</v>
      </c>
      <c r="C110" t="s">
        <v>2222</v>
      </c>
      <c r="D110" t="str">
        <f t="shared" si="5"/>
        <v>Fodder_green</v>
      </c>
      <c r="E110" t="str">
        <f t="shared" si="6"/>
        <v>Fodder_green</v>
      </c>
      <c r="F110" t="s">
        <v>2211</v>
      </c>
      <c r="G110">
        <v>14</v>
      </c>
      <c r="H110" t="str">
        <f>VLOOKUP(B110,Cats_eq!$A$2:$B$17,2,0)</f>
        <v>Fodder_green</v>
      </c>
      <c r="I110" t="s">
        <v>2018</v>
      </c>
      <c r="J110" t="s">
        <v>2212</v>
      </c>
      <c r="K110" t="s">
        <v>2213</v>
      </c>
      <c r="L110" t="s">
        <v>1567</v>
      </c>
    </row>
    <row r="111" spans="1:12" x14ac:dyDescent="0.3">
      <c r="A111" s="10" t="s">
        <v>1786</v>
      </c>
      <c r="B111" t="s">
        <v>2018</v>
      </c>
      <c r="C111" t="s">
        <v>2222</v>
      </c>
      <c r="D111" t="str">
        <f t="shared" si="5"/>
        <v>Fodder_green</v>
      </c>
      <c r="E111" t="str">
        <f t="shared" si="6"/>
        <v>Fodder_green</v>
      </c>
      <c r="F111" t="s">
        <v>2211</v>
      </c>
      <c r="G111">
        <v>14</v>
      </c>
      <c r="H111" t="str">
        <f>VLOOKUP(B111,Cats_eq!$A$2:$B$17,2,0)</f>
        <v>Fodder_green</v>
      </c>
      <c r="I111" t="s">
        <v>2018</v>
      </c>
      <c r="J111" t="s">
        <v>2212</v>
      </c>
      <c r="K111" t="s">
        <v>2213</v>
      </c>
      <c r="L111" t="s">
        <v>1567</v>
      </c>
    </row>
    <row r="112" spans="1:12" x14ac:dyDescent="0.3">
      <c r="A112" s="10" t="s">
        <v>2177</v>
      </c>
      <c r="B112" t="s">
        <v>2018</v>
      </c>
      <c r="C112" t="s">
        <v>2222</v>
      </c>
      <c r="D112" t="str">
        <f t="shared" si="5"/>
        <v>Fodder_green</v>
      </c>
      <c r="E112" t="str">
        <f t="shared" si="6"/>
        <v>Fodder_green</v>
      </c>
      <c r="F112" t="s">
        <v>2211</v>
      </c>
      <c r="G112">
        <v>14</v>
      </c>
      <c r="H112" t="str">
        <f>VLOOKUP(B112,Cats_eq!$A$2:$B$17,2,0)</f>
        <v>Fodder_green</v>
      </c>
      <c r="I112" t="s">
        <v>2018</v>
      </c>
      <c r="J112" t="s">
        <v>2212</v>
      </c>
      <c r="K112" t="s">
        <v>2214</v>
      </c>
      <c r="L112" t="s">
        <v>1567</v>
      </c>
    </row>
    <row r="113" spans="1:12" x14ac:dyDescent="0.3">
      <c r="A113" t="s">
        <v>2223</v>
      </c>
      <c r="B113" t="s">
        <v>2018</v>
      </c>
      <c r="C113" t="s">
        <v>2222</v>
      </c>
      <c r="D113" t="str">
        <f t="shared" si="5"/>
        <v>Fodder_green</v>
      </c>
      <c r="E113" t="str">
        <f t="shared" si="6"/>
        <v>Fodder_green</v>
      </c>
      <c r="F113" t="s">
        <v>2211</v>
      </c>
      <c r="G113">
        <v>14</v>
      </c>
      <c r="H113" t="str">
        <f>VLOOKUP(B113,Cats_eq!$A$2:$B$17,2,0)</f>
        <v>Fodder_green</v>
      </c>
      <c r="I113" t="s">
        <v>2018</v>
      </c>
      <c r="J113" t="s">
        <v>2212</v>
      </c>
      <c r="K113" t="s">
        <v>2214</v>
      </c>
      <c r="L113" t="s">
        <v>1567</v>
      </c>
    </row>
    <row r="114" spans="1:12" x14ac:dyDescent="0.3">
      <c r="A114" s="10" t="s">
        <v>1920</v>
      </c>
      <c r="B114" t="s">
        <v>1022</v>
      </c>
      <c r="C114" t="s">
        <v>1022</v>
      </c>
      <c r="D114" t="str">
        <f t="shared" si="5"/>
        <v>Other</v>
      </c>
      <c r="E114" t="str">
        <f t="shared" si="6"/>
        <v>Other</v>
      </c>
      <c r="F114" t="s">
        <v>2211</v>
      </c>
      <c r="G114">
        <v>15</v>
      </c>
      <c r="H114" t="str">
        <f>VLOOKUP(B114,Cats_eq!$A$2:$B$17,2,0)</f>
        <v>Other</v>
      </c>
      <c r="I114" t="s">
        <v>2224</v>
      </c>
      <c r="J114" t="s">
        <v>1559</v>
      </c>
      <c r="K114" t="s">
        <v>2213</v>
      </c>
      <c r="L114" t="s">
        <v>1559</v>
      </c>
    </row>
    <row r="115" spans="1:12" x14ac:dyDescent="0.3">
      <c r="A115" s="10" t="s">
        <v>1706</v>
      </c>
      <c r="B115" t="s">
        <v>1022</v>
      </c>
      <c r="C115" t="s">
        <v>1022</v>
      </c>
      <c r="D115" t="str">
        <f t="shared" si="5"/>
        <v>Other</v>
      </c>
      <c r="E115" t="str">
        <f t="shared" si="6"/>
        <v>Other</v>
      </c>
      <c r="F115" t="s">
        <v>2211</v>
      </c>
      <c r="G115">
        <v>15</v>
      </c>
      <c r="H115" t="str">
        <f>VLOOKUP(B115,Cats_eq!$A$2:$B$17,2,0)</f>
        <v>Other</v>
      </c>
      <c r="I115" t="s">
        <v>2224</v>
      </c>
      <c r="J115" t="s">
        <v>1559</v>
      </c>
      <c r="K115" t="s">
        <v>2213</v>
      </c>
      <c r="L115" t="s">
        <v>1559</v>
      </c>
    </row>
    <row r="116" spans="1:12" x14ac:dyDescent="0.3">
      <c r="A116" s="10" t="s">
        <v>1022</v>
      </c>
      <c r="B116" t="s">
        <v>1022</v>
      </c>
      <c r="C116" t="s">
        <v>1022</v>
      </c>
      <c r="D116" t="str">
        <f t="shared" si="5"/>
        <v>Other</v>
      </c>
      <c r="E116" t="str">
        <f t="shared" si="6"/>
        <v>Other</v>
      </c>
      <c r="F116" t="s">
        <v>2211</v>
      </c>
      <c r="G116">
        <v>15</v>
      </c>
      <c r="H116" t="str">
        <f>VLOOKUP(B116,Cats_eq!$A$2:$B$17,2,0)</f>
        <v>Other</v>
      </c>
      <c r="I116" t="s">
        <v>2224</v>
      </c>
      <c r="J116" t="s">
        <v>2212</v>
      </c>
      <c r="K116" t="s">
        <v>2213</v>
      </c>
      <c r="L116" t="s">
        <v>1567</v>
      </c>
    </row>
    <row r="117" spans="1:12" x14ac:dyDescent="0.3">
      <c r="A117" s="10" t="s">
        <v>2107</v>
      </c>
      <c r="B117" t="s">
        <v>2018</v>
      </c>
      <c r="C117" t="s">
        <v>2222</v>
      </c>
      <c r="D117" t="str">
        <f t="shared" si="5"/>
        <v>Fodder_green</v>
      </c>
      <c r="E117" t="str">
        <f t="shared" si="6"/>
        <v>Fodder_green</v>
      </c>
      <c r="F117" t="s">
        <v>2211</v>
      </c>
      <c r="G117">
        <v>15</v>
      </c>
      <c r="H117" t="str">
        <f>VLOOKUP(B117,Cats_eq!$A$2:$B$17,2,0)</f>
        <v>Fodder_green</v>
      </c>
      <c r="I117" t="s">
        <v>2018</v>
      </c>
      <c r="J117" t="s">
        <v>2212</v>
      </c>
      <c r="K117" t="s">
        <v>2214</v>
      </c>
      <c r="L117" t="s">
        <v>1567</v>
      </c>
    </row>
    <row r="118" spans="1:12" x14ac:dyDescent="0.3">
      <c r="A118" s="10" t="s">
        <v>2021</v>
      </c>
      <c r="B118" t="s">
        <v>2021</v>
      </c>
      <c r="C118" t="s">
        <v>2021</v>
      </c>
      <c r="D118" t="str">
        <f t="shared" si="5"/>
        <v>Fallow</v>
      </c>
      <c r="E118" t="str">
        <f t="shared" si="6"/>
        <v>Fallow</v>
      </c>
      <c r="F118" t="s">
        <v>2211</v>
      </c>
      <c r="G118">
        <v>16</v>
      </c>
      <c r="H118" t="str">
        <f>VLOOKUP(B118,Cats_eq!$A$2:$B$17,2,0)</f>
        <v>Cereals</v>
      </c>
      <c r="I118" t="s">
        <v>2021</v>
      </c>
      <c r="J118" t="s">
        <v>2212</v>
      </c>
      <c r="K118" t="s">
        <v>2213</v>
      </c>
    </row>
    <row r="119" spans="1:12" x14ac:dyDescent="0.3">
      <c r="A119" s="10" t="s">
        <v>1871</v>
      </c>
      <c r="B119" t="s">
        <v>1871</v>
      </c>
      <c r="C119" t="s">
        <v>1871</v>
      </c>
      <c r="D119" t="s">
        <v>1871</v>
      </c>
      <c r="E119" t="str">
        <f t="shared" si="6"/>
        <v>Grass</v>
      </c>
      <c r="F119" t="s">
        <v>2216</v>
      </c>
      <c r="G119">
        <v>17</v>
      </c>
      <c r="H119" t="s">
        <v>1871</v>
      </c>
      <c r="I119" t="s">
        <v>1871</v>
      </c>
      <c r="J119" t="s">
        <v>1871</v>
      </c>
      <c r="K119" t="s">
        <v>2214</v>
      </c>
    </row>
    <row r="120" spans="1:12" x14ac:dyDescent="0.3">
      <c r="A120" s="10" t="s">
        <v>2131</v>
      </c>
      <c r="B120" t="s">
        <v>2131</v>
      </c>
      <c r="C120" t="s">
        <v>2131</v>
      </c>
      <c r="D120" t="s">
        <v>2131</v>
      </c>
      <c r="E120" t="str">
        <f t="shared" si="6"/>
        <v>Acorns</v>
      </c>
      <c r="F120" t="s">
        <v>2216</v>
      </c>
      <c r="G120">
        <v>18</v>
      </c>
      <c r="H120" t="s">
        <v>1871</v>
      </c>
      <c r="I120" t="s">
        <v>3493</v>
      </c>
      <c r="J120" t="s">
        <v>1871</v>
      </c>
      <c r="K120" t="s">
        <v>2214</v>
      </c>
    </row>
    <row r="121" spans="1:12" x14ac:dyDescent="0.3">
      <c r="A121" t="s">
        <v>2225</v>
      </c>
      <c r="B121" t="s">
        <v>1871</v>
      </c>
      <c r="C121" t="str">
        <f>B121</f>
        <v>Grass</v>
      </c>
      <c r="D121" t="str">
        <f>C121</f>
        <v>Grass</v>
      </c>
      <c r="E121" t="str">
        <f t="shared" si="6"/>
        <v>Grass</v>
      </c>
      <c r="F121" t="s">
        <v>2216</v>
      </c>
      <c r="G121">
        <v>19</v>
      </c>
      <c r="H121" t="s">
        <v>1871</v>
      </c>
      <c r="I121" t="s">
        <v>1871</v>
      </c>
      <c r="J121" t="s">
        <v>1871</v>
      </c>
      <c r="K121" t="s">
        <v>2214</v>
      </c>
    </row>
    <row r="122" spans="1:12" x14ac:dyDescent="0.3">
      <c r="A122" t="s">
        <v>2226</v>
      </c>
      <c r="B122" t="s">
        <v>2227</v>
      </c>
      <c r="C122" t="str">
        <f t="shared" ref="C122:D123" si="7">B122</f>
        <v>Forest</v>
      </c>
      <c r="D122" t="str">
        <f t="shared" si="7"/>
        <v>Forest</v>
      </c>
      <c r="E122" t="str">
        <f t="shared" si="6"/>
        <v>Forest</v>
      </c>
      <c r="F122" t="s">
        <v>2216</v>
      </c>
      <c r="G122">
        <v>20</v>
      </c>
      <c r="H122" t="s">
        <v>1871</v>
      </c>
      <c r="I122" t="s">
        <v>2227</v>
      </c>
      <c r="J122" t="s">
        <v>1871</v>
      </c>
      <c r="K122" t="s">
        <v>2214</v>
      </c>
    </row>
    <row r="123" spans="1:12" x14ac:dyDescent="0.3">
      <c r="A123" t="s">
        <v>2228</v>
      </c>
      <c r="B123" t="s">
        <v>2227</v>
      </c>
      <c r="C123" t="str">
        <f t="shared" si="7"/>
        <v>Forest</v>
      </c>
      <c r="D123" t="str">
        <f t="shared" si="7"/>
        <v>Forest</v>
      </c>
      <c r="E123" t="str">
        <f t="shared" si="6"/>
        <v>Forest</v>
      </c>
      <c r="F123" t="s">
        <v>2216</v>
      </c>
      <c r="G123">
        <v>20</v>
      </c>
      <c r="H123" t="s">
        <v>1871</v>
      </c>
      <c r="I123" t="s">
        <v>2227</v>
      </c>
      <c r="J123" t="s">
        <v>1871</v>
      </c>
      <c r="K123" t="s">
        <v>2214</v>
      </c>
    </row>
    <row r="124" spans="1:12" x14ac:dyDescent="0.3">
      <c r="A124" s="10" t="s">
        <v>1873</v>
      </c>
      <c r="B124" t="s">
        <v>2018</v>
      </c>
      <c r="C124" t="s">
        <v>2222</v>
      </c>
      <c r="D124" t="str">
        <f t="shared" ref="D124" si="8">B124</f>
        <v>Fodder_green</v>
      </c>
      <c r="E124" t="str">
        <f t="shared" ref="E124" si="9">B124</f>
        <v>Fodder_green</v>
      </c>
      <c r="F124" t="s">
        <v>2211</v>
      </c>
      <c r="G124">
        <v>14</v>
      </c>
      <c r="H124" t="str">
        <f>VLOOKUP(B124,Cats_eq!$A$2:$B$17,2,0)</f>
        <v>Fodder_green</v>
      </c>
      <c r="I124" t="s">
        <v>2018</v>
      </c>
      <c r="J124" t="s">
        <v>2212</v>
      </c>
      <c r="K124" t="s">
        <v>2214</v>
      </c>
      <c r="L124" t="s">
        <v>1567</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442C2E-11C3-4EBB-8D5C-CC67117493FD}">
  <dimension ref="A1:H40"/>
  <sheetViews>
    <sheetView zoomScale="90" zoomScaleNormal="90" workbookViewId="0">
      <pane ySplit="1" topLeftCell="A20" activePane="bottomLeft" state="frozen"/>
      <selection activeCell="J41" sqref="J41"/>
      <selection pane="bottomLeft" activeCell="F21" sqref="F21"/>
    </sheetView>
  </sheetViews>
  <sheetFormatPr defaultColWidth="10.77734375" defaultRowHeight="14.4" x14ac:dyDescent="0.3"/>
  <cols>
    <col min="1" max="1" width="19.109375" customWidth="1"/>
    <col min="2" max="2" width="19.21875" customWidth="1"/>
    <col min="3" max="3" width="23.77734375" customWidth="1"/>
  </cols>
  <sheetData>
    <row r="1" spans="1:8" x14ac:dyDescent="0.3">
      <c r="A1" t="s">
        <v>1931</v>
      </c>
      <c r="B1" t="s">
        <v>2229</v>
      </c>
      <c r="C1" t="s">
        <v>2230</v>
      </c>
      <c r="D1" t="s">
        <v>2231</v>
      </c>
      <c r="E1" t="s">
        <v>2232</v>
      </c>
      <c r="F1" t="s">
        <v>2233</v>
      </c>
      <c r="G1" t="s">
        <v>2234</v>
      </c>
      <c r="H1" t="s">
        <v>2206</v>
      </c>
    </row>
    <row r="2" spans="1:8" x14ac:dyDescent="0.3">
      <c r="A2" s="10" t="s">
        <v>1935</v>
      </c>
      <c r="B2" t="str">
        <f>A2</f>
        <v>Additives</v>
      </c>
      <c r="C2" t="str">
        <f>B2</f>
        <v>Additives</v>
      </c>
      <c r="D2" t="s">
        <v>730</v>
      </c>
      <c r="E2" t="s">
        <v>2235</v>
      </c>
      <c r="F2" t="s">
        <v>2236</v>
      </c>
      <c r="G2" t="s">
        <v>2237</v>
      </c>
    </row>
    <row r="3" spans="1:8" x14ac:dyDescent="0.3">
      <c r="A3" s="10" t="s">
        <v>1966</v>
      </c>
      <c r="B3" t="s">
        <v>2238</v>
      </c>
      <c r="C3" t="s">
        <v>2239</v>
      </c>
      <c r="D3" t="s">
        <v>2240</v>
      </c>
      <c r="E3" t="s">
        <v>2241</v>
      </c>
      <c r="F3" t="s">
        <v>1545</v>
      </c>
      <c r="G3" t="s">
        <v>2242</v>
      </c>
    </row>
    <row r="4" spans="1:8" x14ac:dyDescent="0.3">
      <c r="A4" s="10" t="s">
        <v>1974</v>
      </c>
      <c r="B4" t="s">
        <v>2243</v>
      </c>
      <c r="C4" t="s">
        <v>727</v>
      </c>
      <c r="D4" t="s">
        <v>730</v>
      </c>
      <c r="E4" t="s">
        <v>2235</v>
      </c>
      <c r="F4" t="s">
        <v>2047</v>
      </c>
      <c r="G4" t="s">
        <v>2244</v>
      </c>
    </row>
    <row r="5" spans="1:8" x14ac:dyDescent="0.3">
      <c r="A5" s="10" t="s">
        <v>1976</v>
      </c>
      <c r="B5" t="s">
        <v>2243</v>
      </c>
      <c r="C5" t="s">
        <v>1975</v>
      </c>
      <c r="D5" t="s">
        <v>730</v>
      </c>
      <c r="E5" t="s">
        <v>2245</v>
      </c>
      <c r="F5" t="s">
        <v>2246</v>
      </c>
      <c r="G5" t="s">
        <v>2247</v>
      </c>
    </row>
    <row r="6" spans="1:8" x14ac:dyDescent="0.3">
      <c r="A6" s="10" t="s">
        <v>1521</v>
      </c>
      <c r="B6" t="s">
        <v>2238</v>
      </c>
      <c r="C6" t="s">
        <v>2061</v>
      </c>
      <c r="D6" t="s">
        <v>2240</v>
      </c>
      <c r="E6" t="s">
        <v>2248</v>
      </c>
      <c r="F6" t="s">
        <v>1545</v>
      </c>
      <c r="G6" t="s">
        <v>1545</v>
      </c>
    </row>
    <row r="7" spans="1:8" x14ac:dyDescent="0.3">
      <c r="A7" s="10" t="s">
        <v>2061</v>
      </c>
      <c r="B7" t="s">
        <v>2238</v>
      </c>
      <c r="C7" t="s">
        <v>2061</v>
      </c>
      <c r="D7" t="s">
        <v>2240</v>
      </c>
      <c r="E7" t="s">
        <v>2245</v>
      </c>
      <c r="F7" t="s">
        <v>2236</v>
      </c>
      <c r="G7" t="s">
        <v>2237</v>
      </c>
    </row>
    <row r="8" spans="1:8" x14ac:dyDescent="0.3">
      <c r="A8" s="10" t="s">
        <v>1545</v>
      </c>
      <c r="B8" t="s">
        <v>1546</v>
      </c>
      <c r="C8" t="str">
        <f>B8</f>
        <v>Grains</v>
      </c>
      <c r="D8" t="s">
        <v>2240</v>
      </c>
      <c r="E8" t="s">
        <v>2245</v>
      </c>
      <c r="F8" t="s">
        <v>1545</v>
      </c>
      <c r="G8" t="s">
        <v>1545</v>
      </c>
      <c r="H8" t="s">
        <v>2211</v>
      </c>
    </row>
    <row r="9" spans="1:8" x14ac:dyDescent="0.3">
      <c r="A9" s="10" t="s">
        <v>1725</v>
      </c>
      <c r="B9" t="s">
        <v>2249</v>
      </c>
      <c r="C9" t="str">
        <f>B9</f>
        <v>Fruits and vegetables</v>
      </c>
      <c r="D9" t="s">
        <v>2240</v>
      </c>
      <c r="E9" t="s">
        <v>2245</v>
      </c>
      <c r="F9" t="s">
        <v>2250</v>
      </c>
      <c r="G9" t="s">
        <v>1607</v>
      </c>
      <c r="H9" t="s">
        <v>2216</v>
      </c>
    </row>
    <row r="10" spans="1:8" x14ac:dyDescent="0.3">
      <c r="A10" s="10" t="s">
        <v>2251</v>
      </c>
      <c r="B10" t="s">
        <v>2061</v>
      </c>
      <c r="C10" t="str">
        <f>B10</f>
        <v>Cakes</v>
      </c>
      <c r="D10" t="s">
        <v>2240</v>
      </c>
      <c r="E10" t="s">
        <v>2245</v>
      </c>
      <c r="F10" t="s">
        <v>1545</v>
      </c>
      <c r="G10" t="s">
        <v>2237</v>
      </c>
    </row>
    <row r="11" spans="1:8" x14ac:dyDescent="0.3">
      <c r="A11" s="10" t="s">
        <v>757</v>
      </c>
      <c r="B11" t="s">
        <v>2243</v>
      </c>
      <c r="C11" t="s">
        <v>727</v>
      </c>
      <c r="D11" t="s">
        <v>730</v>
      </c>
      <c r="E11" t="s">
        <v>2245</v>
      </c>
      <c r="F11" t="s">
        <v>2047</v>
      </c>
      <c r="G11" t="s">
        <v>2244</v>
      </c>
    </row>
    <row r="12" spans="1:8" x14ac:dyDescent="0.3">
      <c r="A12" s="10" t="s">
        <v>1826</v>
      </c>
      <c r="B12" t="s">
        <v>1022</v>
      </c>
      <c r="C12" t="s">
        <v>2252</v>
      </c>
      <c r="D12" t="s">
        <v>2240</v>
      </c>
      <c r="E12" t="s">
        <v>2241</v>
      </c>
      <c r="F12" t="s">
        <v>2236</v>
      </c>
      <c r="G12" t="s">
        <v>2237</v>
      </c>
      <c r="H12" t="s">
        <v>2211</v>
      </c>
    </row>
    <row r="13" spans="1:8" x14ac:dyDescent="0.3">
      <c r="A13" s="10" t="s">
        <v>2018</v>
      </c>
      <c r="B13" t="s">
        <v>1022</v>
      </c>
      <c r="C13" t="s">
        <v>2252</v>
      </c>
      <c r="D13" t="s">
        <v>2240</v>
      </c>
      <c r="E13" t="s">
        <v>2248</v>
      </c>
      <c r="F13" t="s">
        <v>2236</v>
      </c>
      <c r="G13" t="s">
        <v>2237</v>
      </c>
      <c r="H13" t="s">
        <v>2211</v>
      </c>
    </row>
    <row r="14" spans="1:8" x14ac:dyDescent="0.3">
      <c r="A14" s="10" t="s">
        <v>1607</v>
      </c>
      <c r="B14" t="s">
        <v>2249</v>
      </c>
      <c r="C14" t="str">
        <f>B14</f>
        <v>Fruits and vegetables</v>
      </c>
      <c r="D14" t="s">
        <v>2240</v>
      </c>
      <c r="E14" t="s">
        <v>2245</v>
      </c>
      <c r="F14" t="s">
        <v>2250</v>
      </c>
      <c r="G14" t="s">
        <v>1607</v>
      </c>
      <c r="H14" t="s">
        <v>2216</v>
      </c>
    </row>
    <row r="15" spans="1:8" x14ac:dyDescent="0.3">
      <c r="A15" s="10" t="s">
        <v>1257</v>
      </c>
      <c r="B15" t="s">
        <v>2249</v>
      </c>
      <c r="C15" t="str">
        <f>B15</f>
        <v>Fruits and vegetables</v>
      </c>
      <c r="D15" t="s">
        <v>2240</v>
      </c>
      <c r="E15" t="s">
        <v>2241</v>
      </c>
      <c r="F15" t="s">
        <v>2250</v>
      </c>
      <c r="G15" t="s">
        <v>1607</v>
      </c>
      <c r="H15" t="s">
        <v>2216</v>
      </c>
    </row>
    <row r="16" spans="1:8" x14ac:dyDescent="0.3">
      <c r="A16" s="10" t="s">
        <v>2033</v>
      </c>
      <c r="B16" t="s">
        <v>2243</v>
      </c>
      <c r="C16" t="s">
        <v>2047</v>
      </c>
      <c r="D16" t="s">
        <v>730</v>
      </c>
      <c r="E16" t="s">
        <v>2241</v>
      </c>
      <c r="F16" t="s">
        <v>2047</v>
      </c>
      <c r="G16" t="s">
        <v>2244</v>
      </c>
    </row>
    <row r="17" spans="1:8" x14ac:dyDescent="0.3">
      <c r="A17" s="10" t="s">
        <v>2047</v>
      </c>
      <c r="B17" t="s">
        <v>2243</v>
      </c>
      <c r="C17" t="s">
        <v>2047</v>
      </c>
      <c r="D17" t="s">
        <v>730</v>
      </c>
      <c r="E17" t="s">
        <v>2235</v>
      </c>
      <c r="F17" t="s">
        <v>2047</v>
      </c>
      <c r="G17" t="s">
        <v>2047</v>
      </c>
    </row>
    <row r="18" spans="1:8" x14ac:dyDescent="0.3">
      <c r="A18" s="10" t="s">
        <v>2055</v>
      </c>
      <c r="B18" t="s">
        <v>2243</v>
      </c>
      <c r="C18" t="s">
        <v>745</v>
      </c>
      <c r="D18" t="s">
        <v>730</v>
      </c>
      <c r="E18" t="s">
        <v>2245</v>
      </c>
      <c r="F18" t="s">
        <v>745</v>
      </c>
      <c r="G18" t="s">
        <v>745</v>
      </c>
    </row>
    <row r="19" spans="1:8" x14ac:dyDescent="0.3">
      <c r="A19" s="10" t="s">
        <v>1015</v>
      </c>
      <c r="B19" t="s">
        <v>2238</v>
      </c>
      <c r="C19" t="s">
        <v>2061</v>
      </c>
      <c r="D19" t="s">
        <v>2240</v>
      </c>
      <c r="E19" t="s">
        <v>2245</v>
      </c>
      <c r="F19" t="s">
        <v>2236</v>
      </c>
      <c r="G19" t="s">
        <v>2237</v>
      </c>
    </row>
    <row r="20" spans="1:8" x14ac:dyDescent="0.3">
      <c r="A20" s="10" t="s">
        <v>2113</v>
      </c>
      <c r="B20" t="s">
        <v>2238</v>
      </c>
      <c r="C20" t="s">
        <v>2253</v>
      </c>
      <c r="D20" t="s">
        <v>2240</v>
      </c>
      <c r="E20" t="s">
        <v>2245</v>
      </c>
      <c r="F20" t="s">
        <v>2113</v>
      </c>
      <c r="G20" t="s">
        <v>2113</v>
      </c>
    </row>
    <row r="21" spans="1:8" x14ac:dyDescent="0.3">
      <c r="A21" s="10" t="s">
        <v>1998</v>
      </c>
      <c r="B21" t="s">
        <v>1546</v>
      </c>
      <c r="C21" t="s">
        <v>1998</v>
      </c>
      <c r="D21" t="s">
        <v>2240</v>
      </c>
      <c r="E21" t="s">
        <v>2245</v>
      </c>
      <c r="F21" t="s">
        <v>2236</v>
      </c>
      <c r="G21" t="s">
        <v>2237</v>
      </c>
      <c r="H21" t="s">
        <v>2211</v>
      </c>
    </row>
    <row r="22" spans="1:8" x14ac:dyDescent="0.3">
      <c r="A22" s="10" t="s">
        <v>1094</v>
      </c>
      <c r="B22" t="s">
        <v>1022</v>
      </c>
      <c r="C22" t="s">
        <v>2252</v>
      </c>
      <c r="D22" t="s">
        <v>2240</v>
      </c>
      <c r="E22" t="s">
        <v>2241</v>
      </c>
      <c r="F22" t="s">
        <v>2236</v>
      </c>
      <c r="G22" t="s">
        <v>2237</v>
      </c>
      <c r="H22" t="s">
        <v>2216</v>
      </c>
    </row>
    <row r="23" spans="1:8" x14ac:dyDescent="0.3">
      <c r="A23" s="10" t="s">
        <v>1022</v>
      </c>
      <c r="B23" t="str">
        <f>A23</f>
        <v>Other</v>
      </c>
      <c r="C23" t="s">
        <v>2252</v>
      </c>
      <c r="D23" t="s">
        <v>2240</v>
      </c>
      <c r="E23" t="s">
        <v>2241</v>
      </c>
      <c r="F23" t="s">
        <v>2236</v>
      </c>
      <c r="G23" t="s">
        <v>2237</v>
      </c>
      <c r="H23" t="s">
        <v>2211</v>
      </c>
    </row>
    <row r="24" spans="1:8" x14ac:dyDescent="0.3">
      <c r="A24" s="10" t="s">
        <v>727</v>
      </c>
      <c r="B24" t="s">
        <v>2243</v>
      </c>
      <c r="C24" t="s">
        <v>727</v>
      </c>
      <c r="D24" t="s">
        <v>730</v>
      </c>
      <c r="E24" t="s">
        <v>2245</v>
      </c>
      <c r="F24" t="s">
        <v>2047</v>
      </c>
      <c r="G24" t="s">
        <v>2244</v>
      </c>
    </row>
    <row r="25" spans="1:8" x14ac:dyDescent="0.3">
      <c r="A25" s="10" t="s">
        <v>1588</v>
      </c>
      <c r="B25" t="s">
        <v>1546</v>
      </c>
      <c r="C25" t="str">
        <f>B25</f>
        <v>Grains</v>
      </c>
      <c r="D25" t="s">
        <v>2240</v>
      </c>
      <c r="E25" t="s">
        <v>2245</v>
      </c>
      <c r="F25" t="s">
        <v>2236</v>
      </c>
      <c r="G25" t="s">
        <v>2254</v>
      </c>
      <c r="H25" t="s">
        <v>2211</v>
      </c>
    </row>
    <row r="26" spans="1:8" x14ac:dyDescent="0.3">
      <c r="A26" s="10" t="s">
        <v>2092</v>
      </c>
      <c r="B26" t="s">
        <v>1022</v>
      </c>
      <c r="C26" t="s">
        <v>2252</v>
      </c>
      <c r="D26" t="s">
        <v>2240</v>
      </c>
      <c r="E26" t="s">
        <v>2245</v>
      </c>
      <c r="F26" t="s">
        <v>2255</v>
      </c>
      <c r="G26" t="s">
        <v>1566</v>
      </c>
      <c r="H26" t="s">
        <v>2211</v>
      </c>
    </row>
    <row r="27" spans="1:8" x14ac:dyDescent="0.3">
      <c r="A27" s="10" t="s">
        <v>1806</v>
      </c>
      <c r="B27" t="s">
        <v>1022</v>
      </c>
      <c r="C27" t="s">
        <v>2252</v>
      </c>
      <c r="D27" t="s">
        <v>2240</v>
      </c>
      <c r="E27" t="s">
        <v>2241</v>
      </c>
      <c r="F27" t="s">
        <v>2236</v>
      </c>
      <c r="G27" t="s">
        <v>2237</v>
      </c>
      <c r="H27" t="s">
        <v>2211</v>
      </c>
    </row>
    <row r="28" spans="1:8" x14ac:dyDescent="0.3">
      <c r="A28" s="10" t="s">
        <v>1298</v>
      </c>
      <c r="B28" t="s">
        <v>2256</v>
      </c>
      <c r="C28" t="s">
        <v>2252</v>
      </c>
      <c r="D28" t="s">
        <v>2240</v>
      </c>
      <c r="E28" t="s">
        <v>2256</v>
      </c>
      <c r="F28" t="s">
        <v>2236</v>
      </c>
      <c r="G28" t="s">
        <v>2237</v>
      </c>
    </row>
    <row r="29" spans="1:8" x14ac:dyDescent="0.3">
      <c r="A29" s="10" t="s">
        <v>2099</v>
      </c>
      <c r="B29" t="s">
        <v>2238</v>
      </c>
      <c r="C29" t="s">
        <v>2239</v>
      </c>
      <c r="D29" t="s">
        <v>2240</v>
      </c>
      <c r="E29" t="s">
        <v>2245</v>
      </c>
      <c r="F29" t="s">
        <v>2236</v>
      </c>
      <c r="G29" t="s">
        <v>2242</v>
      </c>
    </row>
    <row r="30" spans="1:8" x14ac:dyDescent="0.3">
      <c r="A30" s="10" t="s">
        <v>2098</v>
      </c>
      <c r="B30" t="s">
        <v>1022</v>
      </c>
      <c r="C30" t="s">
        <v>2252</v>
      </c>
      <c r="D30" t="s">
        <v>2240</v>
      </c>
      <c r="E30" t="s">
        <v>2245</v>
      </c>
      <c r="F30" t="s">
        <v>2236</v>
      </c>
      <c r="G30" t="s">
        <v>2242</v>
      </c>
      <c r="H30" t="s">
        <v>2211</v>
      </c>
    </row>
    <row r="31" spans="1:8" x14ac:dyDescent="0.3">
      <c r="A31" s="10" t="s">
        <v>1606</v>
      </c>
      <c r="B31" t="s">
        <v>1022</v>
      </c>
      <c r="C31" t="s">
        <v>2252</v>
      </c>
      <c r="D31" t="s">
        <v>2240</v>
      </c>
      <c r="E31" t="s">
        <v>2245</v>
      </c>
      <c r="F31" t="s">
        <v>2236</v>
      </c>
      <c r="G31" t="s">
        <v>1606</v>
      </c>
      <c r="H31" t="s">
        <v>2216</v>
      </c>
    </row>
    <row r="32" spans="1:8" x14ac:dyDescent="0.3">
      <c r="A32" s="10" t="s">
        <v>1559</v>
      </c>
      <c r="B32" t="s">
        <v>2249</v>
      </c>
      <c r="C32" t="str">
        <f>B32</f>
        <v>Fruits and vegetables</v>
      </c>
      <c r="D32" t="s">
        <v>2240</v>
      </c>
      <c r="E32" t="s">
        <v>2245</v>
      </c>
      <c r="F32" t="s">
        <v>2250</v>
      </c>
      <c r="G32" t="s">
        <v>1559</v>
      </c>
      <c r="H32" t="s">
        <v>2211</v>
      </c>
    </row>
    <row r="33" spans="1:8" x14ac:dyDescent="0.3">
      <c r="A33" s="10" t="s">
        <v>1919</v>
      </c>
      <c r="B33" t="s">
        <v>2257</v>
      </c>
      <c r="C33" t="s">
        <v>2252</v>
      </c>
      <c r="D33" t="s">
        <v>2240</v>
      </c>
      <c r="E33" t="s">
        <v>2241</v>
      </c>
    </row>
    <row r="34" spans="1:8" x14ac:dyDescent="0.3">
      <c r="A34" s="10" t="s">
        <v>1503</v>
      </c>
      <c r="B34" t="s">
        <v>1022</v>
      </c>
      <c r="C34" t="s">
        <v>2252</v>
      </c>
      <c r="D34" t="s">
        <v>2240</v>
      </c>
      <c r="E34" t="s">
        <v>2248</v>
      </c>
      <c r="F34" t="s">
        <v>2246</v>
      </c>
      <c r="G34" t="s">
        <v>2247</v>
      </c>
    </row>
    <row r="35" spans="1:8" x14ac:dyDescent="0.3">
      <c r="A35" s="10" t="s">
        <v>1918</v>
      </c>
      <c r="B35" t="s">
        <v>2256</v>
      </c>
      <c r="C35" t="s">
        <v>2252</v>
      </c>
      <c r="D35" t="s">
        <v>2240</v>
      </c>
      <c r="E35" t="s">
        <v>2256</v>
      </c>
      <c r="F35" t="s">
        <v>2236</v>
      </c>
      <c r="G35" t="s">
        <v>2237</v>
      </c>
    </row>
    <row r="36" spans="1:8" x14ac:dyDescent="0.3">
      <c r="A36" s="10" t="s">
        <v>1871</v>
      </c>
      <c r="B36" s="10" t="s">
        <v>1871</v>
      </c>
      <c r="C36" s="10" t="s">
        <v>1871</v>
      </c>
      <c r="D36" s="10" t="s">
        <v>1871</v>
      </c>
      <c r="E36" t="s">
        <v>1871</v>
      </c>
      <c r="H36" t="s">
        <v>1871</v>
      </c>
    </row>
    <row r="37" spans="1:8" x14ac:dyDescent="0.3">
      <c r="A37" s="10" t="s">
        <v>2131</v>
      </c>
      <c r="B37" t="s">
        <v>1871</v>
      </c>
      <c r="C37" t="s">
        <v>1871</v>
      </c>
      <c r="D37" t="s">
        <v>1871</v>
      </c>
      <c r="E37" t="s">
        <v>1871</v>
      </c>
      <c r="G37" t="s">
        <v>2237</v>
      </c>
    </row>
    <row r="38" spans="1:8" x14ac:dyDescent="0.3">
      <c r="A38" s="10" t="s">
        <v>2021</v>
      </c>
      <c r="B38" t="s">
        <v>1871</v>
      </c>
      <c r="C38" t="s">
        <v>1871</v>
      </c>
      <c r="D38" t="s">
        <v>1871</v>
      </c>
      <c r="E38" t="s">
        <v>1871</v>
      </c>
    </row>
    <row r="39" spans="1:8" x14ac:dyDescent="0.3">
      <c r="A39" s="10" t="s">
        <v>2057</v>
      </c>
      <c r="B39" t="s">
        <v>2243</v>
      </c>
      <c r="C39" t="s">
        <v>745</v>
      </c>
      <c r="D39" t="s">
        <v>730</v>
      </c>
      <c r="E39" t="s">
        <v>2057</v>
      </c>
    </row>
    <row r="40" spans="1:8" x14ac:dyDescent="0.3">
      <c r="A40" s="10" t="s">
        <v>2227</v>
      </c>
      <c r="B40" t="s">
        <v>2227</v>
      </c>
      <c r="C40" t="s">
        <v>2227</v>
      </c>
      <c r="D40" t="s">
        <v>2227</v>
      </c>
      <c r="E40" t="s">
        <v>1871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691C32-77E7-4F7F-9641-2712DCD385D5}">
  <dimension ref="A1:D19"/>
  <sheetViews>
    <sheetView workbookViewId="0">
      <selection activeCell="G17" sqref="G17"/>
    </sheetView>
  </sheetViews>
  <sheetFormatPr defaultColWidth="10.77734375" defaultRowHeight="14.4" x14ac:dyDescent="0.3"/>
  <cols>
    <col min="1" max="1" width="22.77734375" customWidth="1"/>
    <col min="2" max="2" width="20.44140625" customWidth="1"/>
    <col min="3" max="3" width="14.44140625" customWidth="1"/>
  </cols>
  <sheetData>
    <row r="1" spans="1:4" x14ac:dyDescent="0.3">
      <c r="A1" t="s">
        <v>2258</v>
      </c>
      <c r="B1" t="s">
        <v>1529</v>
      </c>
      <c r="C1" t="s">
        <v>1530</v>
      </c>
      <c r="D1" t="s">
        <v>2259</v>
      </c>
    </row>
    <row r="2" spans="1:4" x14ac:dyDescent="0.3">
      <c r="A2" t="s">
        <v>1664</v>
      </c>
      <c r="B2" t="s">
        <v>1819</v>
      </c>
      <c r="C2">
        <v>767</v>
      </c>
      <c r="D2" t="s">
        <v>2260</v>
      </c>
    </row>
    <row r="3" spans="1:4" x14ac:dyDescent="0.3">
      <c r="A3" t="s">
        <v>1664</v>
      </c>
      <c r="B3" t="s">
        <v>1666</v>
      </c>
      <c r="C3">
        <v>329</v>
      </c>
      <c r="D3" t="s">
        <v>2260</v>
      </c>
    </row>
    <row r="4" spans="1:4" x14ac:dyDescent="0.3">
      <c r="B4" t="s">
        <v>1664</v>
      </c>
      <c r="C4">
        <v>328</v>
      </c>
      <c r="D4" t="s">
        <v>2261</v>
      </c>
    </row>
    <row r="5" spans="1:4" x14ac:dyDescent="0.3">
      <c r="A5" t="s">
        <v>1086</v>
      </c>
      <c r="B5" t="s">
        <v>1638</v>
      </c>
      <c r="C5">
        <v>257</v>
      </c>
      <c r="D5" t="s">
        <v>2260</v>
      </c>
    </row>
    <row r="6" spans="1:4" x14ac:dyDescent="0.3">
      <c r="A6" t="s">
        <v>1086</v>
      </c>
      <c r="B6" t="s">
        <v>1087</v>
      </c>
      <c r="C6">
        <v>256</v>
      </c>
      <c r="D6" t="s">
        <v>2260</v>
      </c>
    </row>
    <row r="7" spans="1:4" x14ac:dyDescent="0.3">
      <c r="B7" t="s">
        <v>1086</v>
      </c>
      <c r="C7">
        <v>254</v>
      </c>
      <c r="D7" t="s">
        <v>2261</v>
      </c>
    </row>
    <row r="8" spans="1:4" x14ac:dyDescent="0.3">
      <c r="A8" t="s">
        <v>1078</v>
      </c>
      <c r="B8" t="s">
        <v>1634</v>
      </c>
      <c r="C8">
        <v>249</v>
      </c>
      <c r="D8" t="s">
        <v>2262</v>
      </c>
    </row>
    <row r="9" spans="1:4" x14ac:dyDescent="0.3">
      <c r="A9" t="s">
        <v>1078</v>
      </c>
      <c r="B9" t="s">
        <v>1838</v>
      </c>
      <c r="C9">
        <v>813</v>
      </c>
      <c r="D9" t="s">
        <v>2262</v>
      </c>
    </row>
    <row r="10" spans="1:4" x14ac:dyDescent="0.3">
      <c r="B10" t="s">
        <v>1078</v>
      </c>
      <c r="C10" s="1">
        <v>248</v>
      </c>
      <c r="D10" t="s">
        <v>2263</v>
      </c>
    </row>
    <row r="11" spans="1:4" x14ac:dyDescent="0.3">
      <c r="A11" t="s">
        <v>1523</v>
      </c>
      <c r="B11" t="s">
        <v>1153</v>
      </c>
      <c r="C11">
        <v>336</v>
      </c>
      <c r="D11" t="s">
        <v>2262</v>
      </c>
    </row>
    <row r="12" spans="1:4" x14ac:dyDescent="0.3">
      <c r="A12" t="s">
        <v>1523</v>
      </c>
      <c r="B12" t="s">
        <v>1830</v>
      </c>
      <c r="C12">
        <v>777</v>
      </c>
      <c r="D12" t="s">
        <v>2262</v>
      </c>
    </row>
    <row r="13" spans="1:4" x14ac:dyDescent="0.3">
      <c r="B13" t="s">
        <v>1523</v>
      </c>
      <c r="C13" s="1">
        <v>776</v>
      </c>
      <c r="D13" t="s">
        <v>2263</v>
      </c>
    </row>
    <row r="14" spans="1:4" x14ac:dyDescent="0.3">
      <c r="A14" t="s">
        <v>1140</v>
      </c>
      <c r="B14" t="s">
        <v>1141</v>
      </c>
      <c r="C14">
        <v>311</v>
      </c>
      <c r="D14" t="s">
        <v>2260</v>
      </c>
    </row>
    <row r="15" spans="1:4" x14ac:dyDescent="0.3">
      <c r="A15" t="s">
        <v>1140</v>
      </c>
      <c r="B15" t="s">
        <v>1831</v>
      </c>
      <c r="C15">
        <v>778</v>
      </c>
      <c r="D15" t="s">
        <v>2260</v>
      </c>
    </row>
    <row r="16" spans="1:4" x14ac:dyDescent="0.3">
      <c r="B16" t="s">
        <v>1140</v>
      </c>
      <c r="C16">
        <v>310</v>
      </c>
      <c r="D16" t="s">
        <v>2261</v>
      </c>
    </row>
    <row r="17" spans="1:4" x14ac:dyDescent="0.3">
      <c r="A17" t="s">
        <v>1524</v>
      </c>
      <c r="B17" t="s">
        <v>1150</v>
      </c>
      <c r="C17">
        <v>333</v>
      </c>
      <c r="D17" t="s">
        <v>2262</v>
      </c>
    </row>
    <row r="18" spans="1:4" x14ac:dyDescent="0.3">
      <c r="A18" t="s">
        <v>1524</v>
      </c>
      <c r="B18" t="s">
        <v>1829</v>
      </c>
      <c r="C18">
        <v>773</v>
      </c>
      <c r="D18" t="s">
        <v>2262</v>
      </c>
    </row>
    <row r="19" spans="1:4" x14ac:dyDescent="0.3">
      <c r="B19" t="s">
        <v>1524</v>
      </c>
      <c r="C19" s="1">
        <v>772</v>
      </c>
      <c r="D19" t="s">
        <v>2263</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F1922-81FD-4948-B7B4-5A5385422265}">
  <dimension ref="A1:C47"/>
  <sheetViews>
    <sheetView zoomScale="90" zoomScaleNormal="90" workbookViewId="0">
      <selection activeCell="B57" sqref="B57"/>
    </sheetView>
  </sheetViews>
  <sheetFormatPr defaultColWidth="11.5546875" defaultRowHeight="14.4" x14ac:dyDescent="0.3"/>
  <cols>
    <col min="1" max="1" width="18.77734375" style="19" customWidth="1"/>
    <col min="2" max="2" width="14.109375" style="19" customWidth="1"/>
    <col min="3" max="3" width="18.21875" style="19" customWidth="1"/>
    <col min="4" max="16384" width="11.5546875" style="19"/>
  </cols>
  <sheetData>
    <row r="1" spans="1:3" x14ac:dyDescent="0.3">
      <c r="A1" s="19" t="s">
        <v>2264</v>
      </c>
      <c r="B1" s="19" t="s">
        <v>789</v>
      </c>
      <c r="C1" s="19" t="s">
        <v>2265</v>
      </c>
    </row>
    <row r="2" spans="1:3" x14ac:dyDescent="0.3">
      <c r="A2" s="19" t="s">
        <v>1357</v>
      </c>
      <c r="B2" s="19" t="str">
        <f>VLOOKUP(A2,[5]CBS_Trade_codes!$B$2:$C$699,2,0)</f>
        <v>Abaca</v>
      </c>
      <c r="C2" s="19" t="s">
        <v>2266</v>
      </c>
    </row>
    <row r="3" spans="1:3" x14ac:dyDescent="0.3">
      <c r="A3" s="19" t="s">
        <v>933</v>
      </c>
      <c r="B3" s="19" t="str">
        <f>VLOOKUP(A3,[5]CBS_Trade_codes!$B$2:$C$699,2,0)</f>
        <v>Maize and products</v>
      </c>
      <c r="C3" s="19" t="s">
        <v>2267</v>
      </c>
    </row>
    <row r="4" spans="1:3" x14ac:dyDescent="0.3">
      <c r="A4" s="19" t="s">
        <v>893</v>
      </c>
      <c r="B4" s="19" t="str">
        <f>VLOOKUP(A4,[5]CBS_Trade_codes!$B$2:$C$699,2,0)</f>
        <v>Wheat and products</v>
      </c>
      <c r="C4" s="19" t="s">
        <v>2267</v>
      </c>
    </row>
    <row r="5" spans="1:3" x14ac:dyDescent="0.3">
      <c r="A5" s="19" t="s">
        <v>1330</v>
      </c>
      <c r="B5" s="19" t="str">
        <f>VLOOKUP(A5,[5]CBS_Trade_codes!$B$2:$C$699,2,0)</f>
        <v>Cloves</v>
      </c>
      <c r="C5" s="19" t="s">
        <v>2268</v>
      </c>
    </row>
    <row r="6" spans="1:3" x14ac:dyDescent="0.3">
      <c r="A6" s="19" t="s">
        <v>1084</v>
      </c>
      <c r="B6" s="19" t="str">
        <f>VLOOKUP(A6,[5]CBS_Trade_codes!$B$2:$C$699,2,0)</f>
        <v>Copra Cake</v>
      </c>
      <c r="C6" s="19" t="s">
        <v>2267</v>
      </c>
    </row>
    <row r="7" spans="1:3" x14ac:dyDescent="0.3">
      <c r="A7" s="19" t="s">
        <v>1340</v>
      </c>
      <c r="B7" s="19" t="str">
        <f>VLOOKUP(A7,[5]CBS_Trade_codes!$B$2:$C$699,2,0)</f>
        <v>Cotton lint</v>
      </c>
      <c r="C7" s="19" t="s">
        <v>2266</v>
      </c>
    </row>
    <row r="8" spans="1:3" x14ac:dyDescent="0.3">
      <c r="A8" s="19" t="s">
        <v>1343</v>
      </c>
      <c r="B8" s="19" t="str">
        <f>VLOOKUP(A8,[5]CBS_Trade_codes!$B$2:$C$699,2,0)</f>
        <v>Cotton lint</v>
      </c>
      <c r="C8" s="19" t="s">
        <v>2266</v>
      </c>
    </row>
    <row r="9" spans="1:3" x14ac:dyDescent="0.3">
      <c r="A9" s="19" t="s">
        <v>1342</v>
      </c>
      <c r="B9" s="19" t="str">
        <f>VLOOKUP(A9,[5]CBS_Trade_codes!$B$2:$C$699,2,0)</f>
        <v>Cotton lint</v>
      </c>
      <c r="C9" s="19" t="s">
        <v>2266</v>
      </c>
    </row>
    <row r="10" spans="1:3" x14ac:dyDescent="0.3">
      <c r="A10" s="19" t="s">
        <v>1341</v>
      </c>
      <c r="B10" s="19" t="str">
        <f>VLOOKUP(A10,[5]CBS_Trade_codes!$B$2:$C$699,2,0)</f>
        <v>Cotton lint</v>
      </c>
      <c r="C10" s="19" t="s">
        <v>2266</v>
      </c>
    </row>
    <row r="11" spans="1:3" x14ac:dyDescent="0.3">
      <c r="A11" s="19" t="s">
        <v>1148</v>
      </c>
      <c r="B11" s="19" t="str">
        <f>VLOOKUP(A11,[5]CBS_Trade_codes!$B$2:$C$699,2,0)</f>
        <v>Cottonseed Cake</v>
      </c>
      <c r="C11" s="19" t="s">
        <v>2267</v>
      </c>
    </row>
    <row r="12" spans="1:3" x14ac:dyDescent="0.3">
      <c r="A12" s="19" t="s">
        <v>1977</v>
      </c>
      <c r="B12" s="19" t="str">
        <f>VLOOKUP(A12,[5]CBS_Trade_codes!$B$2:$C$699,2,0)</f>
        <v>Fish, Seafood</v>
      </c>
      <c r="C12" s="19" t="s">
        <v>2267</v>
      </c>
    </row>
    <row r="13" spans="1:3" x14ac:dyDescent="0.3">
      <c r="A13" s="19" t="s">
        <v>804</v>
      </c>
      <c r="B13" s="19" t="str">
        <f>VLOOKUP(A13,[5]CBS_Trade_codes!$B$2:$C$699,2,0)</f>
        <v>Hides and skins</v>
      </c>
      <c r="C13" s="19" t="s">
        <v>2266</v>
      </c>
    </row>
    <row r="14" spans="1:3" x14ac:dyDescent="0.3">
      <c r="A14" s="19" t="s">
        <v>1350</v>
      </c>
      <c r="B14" s="19" t="str">
        <f>VLOOKUP(A14,[5]CBS_Trade_codes!$B$2:$C$699,2,0)</f>
        <v>Jute</v>
      </c>
      <c r="C14" s="19" t="s">
        <v>2266</v>
      </c>
    </row>
    <row r="15" spans="1:3" x14ac:dyDescent="0.3">
      <c r="A15" s="19" t="s">
        <v>1472</v>
      </c>
      <c r="B15" s="19" t="str">
        <f>VLOOKUP(A15,[5]CBS_Trade_codes!$B$2:$C$699,2,0)</f>
        <v>Fish, Seafood</v>
      </c>
      <c r="C15" s="19" t="s">
        <v>2267</v>
      </c>
    </row>
    <row r="16" spans="1:3" x14ac:dyDescent="0.3">
      <c r="A16" s="19" t="s">
        <v>1015</v>
      </c>
      <c r="B16" s="19" t="str">
        <f>VLOOKUP(A16,[5]CBS_Trade_codes!$B$2:$C$699,2,0)</f>
        <v>Molasses</v>
      </c>
      <c r="C16" s="19" t="s">
        <v>2267</v>
      </c>
    </row>
    <row r="17" spans="1:3" x14ac:dyDescent="0.3">
      <c r="A17" s="19" t="s">
        <v>1152</v>
      </c>
      <c r="B17" s="19" t="str">
        <f>VLOOKUP(A17,[5]CBS_Trade_codes!$B$2:$C$699,2,0)</f>
        <v>Oilseed Cakes, Other</v>
      </c>
      <c r="C17" s="19" t="s">
        <v>2267</v>
      </c>
    </row>
    <row r="18" spans="1:3" x14ac:dyDescent="0.3">
      <c r="A18" s="19" t="s">
        <v>936</v>
      </c>
      <c r="B18" s="19" t="s">
        <v>936</v>
      </c>
      <c r="C18" s="19" t="s">
        <v>2267</v>
      </c>
    </row>
    <row r="19" spans="1:3" x14ac:dyDescent="0.3">
      <c r="A19" s="19" t="s">
        <v>1510</v>
      </c>
      <c r="B19" s="19" t="str">
        <f>VLOOKUP(A19,[5]CBS_Trade_codes!$B$2:$C$699,2,0)</f>
        <v>Rubber</v>
      </c>
      <c r="C19" s="19" t="s">
        <v>2266</v>
      </c>
    </row>
    <row r="20" spans="1:3" x14ac:dyDescent="0.3">
      <c r="A20" s="19" t="s">
        <v>1477</v>
      </c>
      <c r="B20" s="19" t="str">
        <f>VLOOKUP(A20,[5]CBS_Trade_codes!$B$2:$C$699,2,0)</f>
        <v>Silk</v>
      </c>
      <c r="C20" s="19" t="s">
        <v>2266</v>
      </c>
    </row>
    <row r="21" spans="1:3" x14ac:dyDescent="0.3">
      <c r="A21" s="19" t="s">
        <v>884</v>
      </c>
      <c r="B21" s="19" t="str">
        <f>VLOOKUP(A21,[5]CBS_Trade_codes!$B$2:$C$699,2,0)</f>
        <v>Silk</v>
      </c>
      <c r="C21" s="19" t="s">
        <v>2266</v>
      </c>
    </row>
    <row r="22" spans="1:3" x14ac:dyDescent="0.3">
      <c r="A22" s="19" t="s">
        <v>1354</v>
      </c>
      <c r="B22" s="19" t="str">
        <f>VLOOKUP(A22,[5]CBS_Trade_codes!$B$2:$C$699,2,0)</f>
        <v>Sisal</v>
      </c>
      <c r="C22" s="19" t="s">
        <v>2266</v>
      </c>
    </row>
    <row r="23" spans="1:3" x14ac:dyDescent="0.3">
      <c r="A23" s="19" t="s">
        <v>1346</v>
      </c>
      <c r="B23" s="19" t="str">
        <f>VLOOKUP(A23,[5]CBS_Trade_codes!$B$2:$C$699,2,0)</f>
        <v>Soft-Fibres, Other</v>
      </c>
      <c r="C23" s="19" t="s">
        <v>2266</v>
      </c>
    </row>
    <row r="24" spans="1:3" x14ac:dyDescent="0.3">
      <c r="A24" s="19" t="s">
        <v>1344</v>
      </c>
      <c r="B24" s="19" t="str">
        <f>VLOOKUP(A24,[5]CBS_Trade_codes!$B$2:$C$699,2,0)</f>
        <v>Soft-Fibres, Other</v>
      </c>
      <c r="C24" s="19" t="s">
        <v>2266</v>
      </c>
    </row>
    <row r="25" spans="1:3" x14ac:dyDescent="0.3">
      <c r="A25" s="19" t="s">
        <v>1347</v>
      </c>
      <c r="B25" s="19" t="str">
        <f>VLOOKUP(A25,[5]CBS_Trade_codes!$B$2:$C$699,2,0)</f>
        <v>Soft-Fibres, Other</v>
      </c>
      <c r="C25" s="19" t="s">
        <v>2266</v>
      </c>
    </row>
    <row r="26" spans="1:3" x14ac:dyDescent="0.3">
      <c r="A26" s="19" t="s">
        <v>1360</v>
      </c>
      <c r="B26" s="19" t="str">
        <f>VLOOKUP(A26,[5]CBS_Trade_codes!$B$2:$C$699,2,0)</f>
        <v>Hard Fibres, Other</v>
      </c>
      <c r="C26" s="19" t="s">
        <v>2266</v>
      </c>
    </row>
    <row r="27" spans="1:3" x14ac:dyDescent="0.3">
      <c r="A27" s="19" t="s">
        <v>1064</v>
      </c>
      <c r="B27" s="19" t="str">
        <f>VLOOKUP(A27,[5]CBS_Trade_codes!$B$2:$C$699,2,0)</f>
        <v>Soyabean Cake</v>
      </c>
      <c r="C27" s="19" t="s">
        <v>2267</v>
      </c>
    </row>
    <row r="28" spans="1:3" x14ac:dyDescent="0.3">
      <c r="A28" s="19" t="s">
        <v>1108</v>
      </c>
      <c r="B28" s="19" t="str">
        <f>VLOOKUP(A28,[5]CBS_Trade_codes!$B$2:$C$699,2,0)</f>
        <v>Sunflowerseed Cake</v>
      </c>
      <c r="C28" s="19" t="s">
        <v>2267</v>
      </c>
    </row>
    <row r="29" spans="1:3" x14ac:dyDescent="0.3">
      <c r="A29" s="19" t="s">
        <v>1362</v>
      </c>
      <c r="B29" s="19" t="str">
        <f>VLOOKUP(A29,[5]CBS_Trade_codes!$B$2:$C$699,2,0)</f>
        <v>Tobacco</v>
      </c>
      <c r="C29" s="19" t="s">
        <v>2266</v>
      </c>
    </row>
    <row r="30" spans="1:3" x14ac:dyDescent="0.3">
      <c r="A30" s="19" t="s">
        <v>1426</v>
      </c>
      <c r="B30" s="19" t="str">
        <f>VLOOKUP(A30,[5]CBS_Trade_codes!$B$2:$C$699,2,0)</f>
        <v>Wool (Clean Eq.)</v>
      </c>
      <c r="C30" s="19" t="s">
        <v>2266</v>
      </c>
    </row>
    <row r="31" spans="1:3" x14ac:dyDescent="0.3">
      <c r="A31" s="19" t="s">
        <v>880</v>
      </c>
      <c r="B31" s="19" t="str">
        <f>VLOOKUP(A31,[5]CBS_Trade_codes!$B$2:$C$699,2,0)</f>
        <v>Wool (Clean Eq.)</v>
      </c>
      <c r="C31" s="19" t="s">
        <v>2266</v>
      </c>
    </row>
    <row r="32" spans="1:3" x14ac:dyDescent="0.3">
      <c r="A32" s="19" t="s">
        <v>1431</v>
      </c>
      <c r="B32" s="19" t="str">
        <f>VLOOKUP(A32,[5]CBS_Trade_codes!$B$2:$C$699,2,0)</f>
        <v>Wool (Clean Eq.)</v>
      </c>
      <c r="C32" s="19" t="s">
        <v>2266</v>
      </c>
    </row>
    <row r="33" spans="1:3" x14ac:dyDescent="0.3">
      <c r="A33" s="19" t="s">
        <v>1092</v>
      </c>
      <c r="B33" s="19" t="str">
        <f>VLOOKUP(A33,[5]CBS_Trade_codes!$B$2:$C$699,2,0)</f>
        <v>Palmkernel Cake</v>
      </c>
      <c r="C33" s="19" t="s">
        <v>2267</v>
      </c>
    </row>
    <row r="34" spans="1:3" x14ac:dyDescent="0.3">
      <c r="A34" s="19" t="s">
        <v>1360</v>
      </c>
      <c r="B34" s="19" t="str">
        <f>VLOOKUP(A34,[5]CBS_Trade_codes!$B$2:$C$699,2,0)</f>
        <v>Hard Fibres, Other</v>
      </c>
      <c r="C34" s="19" t="s">
        <v>2266</v>
      </c>
    </row>
    <row r="35" spans="1:3" x14ac:dyDescent="0.3">
      <c r="A35" s="19" t="s">
        <v>1359</v>
      </c>
      <c r="B35" s="19" t="str">
        <f>VLOOKUP(A35,[5]CBS_Trade_codes!$B$2:$C$699,2,0)</f>
        <v>Hard Fibres, Other</v>
      </c>
      <c r="C35" s="19" t="s">
        <v>2266</v>
      </c>
    </row>
    <row r="36" spans="1:3" x14ac:dyDescent="0.3">
      <c r="A36" s="19" t="s">
        <v>1355</v>
      </c>
      <c r="B36" s="19" t="str">
        <f>VLOOKUP(A36,[5]CBS_Trade_codes!$B$2:$C$699,2,0)</f>
        <v>Hard Fibres, Other</v>
      </c>
      <c r="C36" s="19" t="s">
        <v>2266</v>
      </c>
    </row>
    <row r="37" spans="1:3" x14ac:dyDescent="0.3">
      <c r="A37" s="19" t="s">
        <v>1087</v>
      </c>
      <c r="B37" s="19" t="str">
        <f>VLOOKUP(A37,[5]CBS_Trade_codes!$B$2:$C$699,2,0)</f>
        <v>Palm kernels</v>
      </c>
      <c r="C37" s="19" t="s">
        <v>2268</v>
      </c>
    </row>
    <row r="38" spans="1:3" x14ac:dyDescent="0.3">
      <c r="A38" s="19" t="s">
        <v>1114</v>
      </c>
      <c r="B38" s="19" t="str">
        <f>VLOOKUP(A38,[5]CBS_Trade_codes!$B$2:$C$699,2,0)</f>
        <v>Rape and Mustard Cake</v>
      </c>
      <c r="C38" s="19" t="s">
        <v>2267</v>
      </c>
    </row>
    <row r="39" spans="1:3" x14ac:dyDescent="0.3">
      <c r="A39" s="19" t="s">
        <v>1072</v>
      </c>
      <c r="B39" s="19" t="str">
        <f>VLOOKUP(A39,[5]CBS_Trade_codes!$B$2:$C$699,2,0)</f>
        <v>Groundnut Oil</v>
      </c>
      <c r="C39" s="19" t="s">
        <v>2268</v>
      </c>
    </row>
    <row r="40" spans="1:3" x14ac:dyDescent="0.3">
      <c r="A40" s="19" t="s">
        <v>1074</v>
      </c>
      <c r="B40" s="19" t="str">
        <f>VLOOKUP(A40,[5]CBS_Trade_codes!$B$2:$C$699,2,0)</f>
        <v>Groundnut Cake</v>
      </c>
      <c r="C40" s="19" t="s">
        <v>2267</v>
      </c>
    </row>
    <row r="41" spans="1:3" x14ac:dyDescent="0.3">
      <c r="A41" s="19" t="s">
        <v>1125</v>
      </c>
      <c r="B41" s="19" t="str">
        <f>VLOOKUP(A41,[5]CBS_Trade_codes!$B$2:$C$699,2,0)</f>
        <v>Sesameseed Oil</v>
      </c>
      <c r="C41" s="19" t="s">
        <v>2268</v>
      </c>
    </row>
    <row r="42" spans="1:3" x14ac:dyDescent="0.3">
      <c r="A42" s="19" t="s">
        <v>1127</v>
      </c>
      <c r="B42" s="19" t="str">
        <f>VLOOKUP(A42,[5]CBS_Trade_codes!$B$2:$C$699,2,0)</f>
        <v>Sesameseed Cake</v>
      </c>
      <c r="C42" s="19" t="s">
        <v>2267</v>
      </c>
    </row>
    <row r="43" spans="1:3" x14ac:dyDescent="0.3">
      <c r="A43" s="19" t="s">
        <v>1005</v>
      </c>
      <c r="B43" s="19" t="str">
        <f>VLOOKUP(A43,[5]CBS_Trade_codes!$B$2:$C$699,2,0)</f>
        <v>Sugar cane</v>
      </c>
      <c r="C43" s="19" t="s">
        <v>2268</v>
      </c>
    </row>
    <row r="44" spans="1:3" x14ac:dyDescent="0.3">
      <c r="A44" s="19" t="s">
        <v>998</v>
      </c>
      <c r="B44" s="19" t="str">
        <f>VLOOKUP(A44,[5]CBS_Trade_codes!$B$2:$C$699,2,0)</f>
        <v>Yams</v>
      </c>
      <c r="C44" s="19" t="s">
        <v>2268</v>
      </c>
    </row>
    <row r="45" spans="1:3" x14ac:dyDescent="0.3">
      <c r="A45" s="19" t="s">
        <v>1304</v>
      </c>
      <c r="B45" s="19" t="str">
        <f>VLOOKUP(A45,[5]CBS_Trade_codes!$B$2:$C$699,2,0)</f>
        <v>DDGS</v>
      </c>
      <c r="C45" s="19" t="s">
        <v>2267</v>
      </c>
    </row>
    <row r="46" spans="1:3" x14ac:dyDescent="0.3">
      <c r="A46" s="19" t="s">
        <v>1365</v>
      </c>
      <c r="B46" s="19" t="s">
        <v>1362</v>
      </c>
      <c r="C46" s="19" t="s">
        <v>2266</v>
      </c>
    </row>
    <row r="47" spans="1:3" x14ac:dyDescent="0.3">
      <c r="A47" s="19" t="s">
        <v>1361</v>
      </c>
      <c r="B47" s="19" t="s">
        <v>1362</v>
      </c>
      <c r="C47" s="19" t="s">
        <v>2266</v>
      </c>
    </row>
  </sheetData>
  <pageMargins left="0.7" right="0.7" top="0.75" bottom="0.75" header="0.3" footer="0.3"/>
  <pageSetup orientation="portrait" horizontalDpi="1200" verticalDpi="120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7DA90-51F1-4A80-A6C9-C077F18CE373}">
  <dimension ref="A1:E169"/>
  <sheetViews>
    <sheetView workbookViewId="0">
      <selection activeCell="E64" sqref="E64"/>
    </sheetView>
  </sheetViews>
  <sheetFormatPr defaultColWidth="10.77734375" defaultRowHeight="14.4" x14ac:dyDescent="0.3"/>
  <sheetData>
    <row r="1" spans="1:5" x14ac:dyDescent="0.3">
      <c r="A1" t="s">
        <v>2269</v>
      </c>
      <c r="B1" t="s">
        <v>2270</v>
      </c>
      <c r="C1" t="s">
        <v>1926</v>
      </c>
      <c r="D1" t="s">
        <v>713</v>
      </c>
      <c r="E1" t="s">
        <v>712</v>
      </c>
    </row>
    <row r="2" spans="1:5" x14ac:dyDescent="0.3">
      <c r="A2" t="s">
        <v>2271</v>
      </c>
      <c r="B2" t="s">
        <v>2272</v>
      </c>
      <c r="C2" t="s">
        <v>1987</v>
      </c>
      <c r="D2">
        <v>2807</v>
      </c>
      <c r="E2" t="s">
        <v>904</v>
      </c>
    </row>
    <row r="3" spans="1:5" x14ac:dyDescent="0.3">
      <c r="A3" t="s">
        <v>2273</v>
      </c>
      <c r="B3" t="s">
        <v>2274</v>
      </c>
      <c r="C3" t="s">
        <v>1980</v>
      </c>
      <c r="D3">
        <v>2511</v>
      </c>
      <c r="E3" t="s">
        <v>891</v>
      </c>
    </row>
    <row r="4" spans="1:5" x14ac:dyDescent="0.3">
      <c r="A4" t="s">
        <v>2275</v>
      </c>
      <c r="B4" t="s">
        <v>2276</v>
      </c>
      <c r="C4" t="s">
        <v>1983</v>
      </c>
      <c r="D4">
        <v>2513</v>
      </c>
      <c r="E4" t="s">
        <v>920</v>
      </c>
    </row>
    <row r="5" spans="1:5" x14ac:dyDescent="0.3">
      <c r="A5" t="s">
        <v>2277</v>
      </c>
      <c r="B5" t="s">
        <v>2278</v>
      </c>
      <c r="C5" t="s">
        <v>1986</v>
      </c>
      <c r="D5">
        <v>2514</v>
      </c>
      <c r="E5" t="s">
        <v>930</v>
      </c>
    </row>
    <row r="6" spans="1:5" x14ac:dyDescent="0.3">
      <c r="A6" t="s">
        <v>2279</v>
      </c>
      <c r="B6" t="s">
        <v>2280</v>
      </c>
      <c r="C6" t="s">
        <v>1981</v>
      </c>
      <c r="D6">
        <v>2515</v>
      </c>
      <c r="E6" t="s">
        <v>944</v>
      </c>
    </row>
    <row r="7" spans="1:5" x14ac:dyDescent="0.3">
      <c r="A7" t="s">
        <v>2281</v>
      </c>
      <c r="B7" t="s">
        <v>2282</v>
      </c>
      <c r="C7" t="s">
        <v>1985</v>
      </c>
      <c r="D7">
        <v>2516</v>
      </c>
      <c r="E7" t="s">
        <v>947</v>
      </c>
    </row>
    <row r="8" spans="1:5" x14ac:dyDescent="0.3">
      <c r="A8" t="s">
        <v>2283</v>
      </c>
      <c r="B8" t="s">
        <v>2284</v>
      </c>
      <c r="C8" t="s">
        <v>1979</v>
      </c>
      <c r="D8">
        <v>2517</v>
      </c>
      <c r="E8" t="s">
        <v>951</v>
      </c>
    </row>
    <row r="9" spans="1:5" x14ac:dyDescent="0.3">
      <c r="A9" t="s">
        <v>2285</v>
      </c>
      <c r="B9" t="s">
        <v>2286</v>
      </c>
      <c r="C9" t="s">
        <v>1984</v>
      </c>
      <c r="D9">
        <v>2518</v>
      </c>
      <c r="E9" t="s">
        <v>956</v>
      </c>
    </row>
    <row r="10" spans="1:5" x14ac:dyDescent="0.3">
      <c r="A10" t="s">
        <v>2287</v>
      </c>
      <c r="B10" t="s">
        <v>2288</v>
      </c>
      <c r="C10" t="s">
        <v>1982</v>
      </c>
      <c r="D10">
        <v>2520</v>
      </c>
      <c r="E10" t="s">
        <v>942</v>
      </c>
    </row>
    <row r="11" spans="1:5" x14ac:dyDescent="0.3">
      <c r="A11" t="s">
        <v>2289</v>
      </c>
      <c r="B11" t="s">
        <v>2290</v>
      </c>
      <c r="C11" t="s">
        <v>2094</v>
      </c>
      <c r="D11">
        <v>2531</v>
      </c>
      <c r="E11" t="s">
        <v>983</v>
      </c>
    </row>
    <row r="12" spans="1:5" x14ac:dyDescent="0.3">
      <c r="A12" t="s">
        <v>2291</v>
      </c>
      <c r="B12" t="s">
        <v>2292</v>
      </c>
      <c r="C12" t="s">
        <v>2093</v>
      </c>
      <c r="D12">
        <v>2532</v>
      </c>
      <c r="E12" t="s">
        <v>990</v>
      </c>
    </row>
    <row r="13" spans="1:5" x14ac:dyDescent="0.3">
      <c r="A13" t="s">
        <v>2293</v>
      </c>
      <c r="B13" t="s">
        <v>2294</v>
      </c>
      <c r="C13" t="s">
        <v>2096</v>
      </c>
      <c r="D13">
        <v>2533</v>
      </c>
      <c r="E13" t="s">
        <v>988</v>
      </c>
    </row>
    <row r="14" spans="1:5" x14ac:dyDescent="0.3">
      <c r="A14" t="s">
        <v>2295</v>
      </c>
      <c r="B14" t="s">
        <v>2296</v>
      </c>
      <c r="C14" t="s">
        <v>2095</v>
      </c>
      <c r="D14">
        <v>2534</v>
      </c>
      <c r="E14" t="s">
        <v>996</v>
      </c>
    </row>
    <row r="15" spans="1:5" x14ac:dyDescent="0.3">
      <c r="A15" t="s">
        <v>2297</v>
      </c>
      <c r="B15" t="s">
        <v>2298</v>
      </c>
      <c r="C15" t="s">
        <v>2091</v>
      </c>
      <c r="D15">
        <v>2535</v>
      </c>
      <c r="E15" t="s">
        <v>998</v>
      </c>
    </row>
    <row r="16" spans="1:5" x14ac:dyDescent="0.3">
      <c r="A16" t="s">
        <v>2299</v>
      </c>
      <c r="B16" t="s">
        <v>2300</v>
      </c>
      <c r="C16" t="s">
        <v>2100</v>
      </c>
      <c r="D16">
        <v>2536</v>
      </c>
      <c r="E16" t="s">
        <v>1005</v>
      </c>
    </row>
    <row r="17" spans="1:5" x14ac:dyDescent="0.3">
      <c r="A17" t="s">
        <v>2301</v>
      </c>
      <c r="B17" t="s">
        <v>2302</v>
      </c>
      <c r="C17" t="s">
        <v>2097</v>
      </c>
      <c r="D17">
        <v>2537</v>
      </c>
      <c r="E17" t="s">
        <v>1006</v>
      </c>
    </row>
    <row r="18" spans="1:5" x14ac:dyDescent="0.3">
      <c r="A18" t="s">
        <v>2303</v>
      </c>
      <c r="B18" t="s">
        <v>2304</v>
      </c>
      <c r="C18" t="s">
        <v>2134</v>
      </c>
      <c r="D18">
        <v>2546</v>
      </c>
      <c r="E18" t="s">
        <v>1028</v>
      </c>
    </row>
    <row r="19" spans="1:5" x14ac:dyDescent="0.3">
      <c r="A19" t="s">
        <v>2305</v>
      </c>
      <c r="B19" t="s">
        <v>2306</v>
      </c>
      <c r="C19" t="s">
        <v>2135</v>
      </c>
      <c r="D19">
        <v>2547</v>
      </c>
      <c r="E19" t="s">
        <v>1032</v>
      </c>
    </row>
    <row r="20" spans="1:5" x14ac:dyDescent="0.3">
      <c r="A20" t="s">
        <v>2307</v>
      </c>
      <c r="B20" t="s">
        <v>2308</v>
      </c>
      <c r="C20" t="s">
        <v>2136</v>
      </c>
      <c r="D20">
        <v>2549</v>
      </c>
      <c r="E20" t="s">
        <v>1030</v>
      </c>
    </row>
    <row r="21" spans="1:5" x14ac:dyDescent="0.3">
      <c r="A21" t="s">
        <v>2309</v>
      </c>
      <c r="B21" t="s">
        <v>2310</v>
      </c>
      <c r="C21" t="s">
        <v>2137</v>
      </c>
      <c r="D21">
        <v>2551</v>
      </c>
      <c r="E21" t="s">
        <v>1044</v>
      </c>
    </row>
    <row r="22" spans="1:5" x14ac:dyDescent="0.3">
      <c r="A22" t="s">
        <v>2311</v>
      </c>
      <c r="B22" t="s">
        <v>2312</v>
      </c>
      <c r="C22" t="s">
        <v>2079</v>
      </c>
      <c r="D22">
        <v>2555</v>
      </c>
      <c r="E22" t="s">
        <v>1061</v>
      </c>
    </row>
    <row r="23" spans="1:5" x14ac:dyDescent="0.3">
      <c r="A23" t="s">
        <v>2313</v>
      </c>
      <c r="B23" t="s">
        <v>2314</v>
      </c>
      <c r="C23" t="s">
        <v>2076</v>
      </c>
      <c r="D23">
        <v>2552</v>
      </c>
      <c r="E23" t="s">
        <v>1070</v>
      </c>
    </row>
    <row r="24" spans="1:5" x14ac:dyDescent="0.3">
      <c r="A24" t="s">
        <v>2315</v>
      </c>
      <c r="B24" t="s">
        <v>2316</v>
      </c>
      <c r="C24" t="s">
        <v>2082</v>
      </c>
      <c r="D24">
        <v>2557</v>
      </c>
      <c r="E24" t="s">
        <v>1105</v>
      </c>
    </row>
    <row r="25" spans="1:5" x14ac:dyDescent="0.3">
      <c r="A25" t="s">
        <v>2317</v>
      </c>
      <c r="B25" t="s">
        <v>2318</v>
      </c>
      <c r="C25" t="s">
        <v>2083</v>
      </c>
      <c r="D25">
        <v>2558</v>
      </c>
      <c r="E25" t="s">
        <v>1111</v>
      </c>
    </row>
    <row r="26" spans="1:5" x14ac:dyDescent="0.3">
      <c r="A26" t="s">
        <v>2319</v>
      </c>
      <c r="B26" t="s">
        <v>2320</v>
      </c>
      <c r="C26" t="s">
        <v>2078</v>
      </c>
      <c r="D26">
        <v>328</v>
      </c>
      <c r="E26" t="s">
        <v>1525</v>
      </c>
    </row>
    <row r="27" spans="1:5" x14ac:dyDescent="0.3">
      <c r="A27" t="s">
        <v>2321</v>
      </c>
      <c r="B27" t="s">
        <v>2322</v>
      </c>
      <c r="C27" t="s">
        <v>2080</v>
      </c>
      <c r="D27">
        <v>2560</v>
      </c>
      <c r="E27" t="s">
        <v>1079</v>
      </c>
    </row>
    <row r="28" spans="1:5" x14ac:dyDescent="0.3">
      <c r="A28" t="s">
        <v>2323</v>
      </c>
      <c r="B28" t="s">
        <v>2324</v>
      </c>
      <c r="C28" t="s">
        <v>2081</v>
      </c>
      <c r="D28">
        <v>2561</v>
      </c>
      <c r="E28" t="s">
        <v>1124</v>
      </c>
    </row>
    <row r="29" spans="1:5" x14ac:dyDescent="0.3">
      <c r="A29" t="s">
        <v>2325</v>
      </c>
      <c r="B29" t="s">
        <v>2326</v>
      </c>
      <c r="C29" t="s">
        <v>2085</v>
      </c>
      <c r="D29">
        <v>254</v>
      </c>
      <c r="E29" t="s">
        <v>1526</v>
      </c>
    </row>
    <row r="30" spans="1:5" x14ac:dyDescent="0.3">
      <c r="A30" t="s">
        <v>2327</v>
      </c>
      <c r="B30" t="s">
        <v>2328</v>
      </c>
      <c r="C30" t="s">
        <v>2084</v>
      </c>
      <c r="D30">
        <v>2563</v>
      </c>
      <c r="E30" t="s">
        <v>1095</v>
      </c>
    </row>
    <row r="31" spans="1:5" x14ac:dyDescent="0.3">
      <c r="A31" t="s">
        <v>2329</v>
      </c>
      <c r="B31" t="s">
        <v>2330</v>
      </c>
      <c r="C31" t="s">
        <v>2086</v>
      </c>
      <c r="D31">
        <v>2570</v>
      </c>
      <c r="E31" t="s">
        <v>1100</v>
      </c>
    </row>
    <row r="32" spans="1:5" x14ac:dyDescent="0.3">
      <c r="A32" t="s">
        <v>2331</v>
      </c>
      <c r="B32" t="s">
        <v>2332</v>
      </c>
      <c r="C32" t="s">
        <v>2138</v>
      </c>
      <c r="D32">
        <v>2601</v>
      </c>
      <c r="E32" t="s">
        <v>1168</v>
      </c>
    </row>
    <row r="33" spans="1:5" x14ac:dyDescent="0.3">
      <c r="A33" t="s">
        <v>2333</v>
      </c>
      <c r="B33" t="s">
        <v>2334</v>
      </c>
      <c r="C33" t="s">
        <v>2152</v>
      </c>
      <c r="D33">
        <v>2602</v>
      </c>
      <c r="E33" t="s">
        <v>1180</v>
      </c>
    </row>
    <row r="34" spans="1:5" x14ac:dyDescent="0.3">
      <c r="A34" t="s">
        <v>2335</v>
      </c>
      <c r="B34" t="s">
        <v>2336</v>
      </c>
      <c r="C34" t="s">
        <v>2130</v>
      </c>
      <c r="D34">
        <v>2605</v>
      </c>
      <c r="E34" t="s">
        <v>1161</v>
      </c>
    </row>
    <row r="35" spans="1:5" x14ac:dyDescent="0.3">
      <c r="A35" t="s">
        <v>2337</v>
      </c>
      <c r="B35" t="s">
        <v>2338</v>
      </c>
      <c r="C35" t="s">
        <v>2145</v>
      </c>
      <c r="D35">
        <v>2611</v>
      </c>
      <c r="E35" t="s">
        <v>1214</v>
      </c>
    </row>
    <row r="36" spans="1:5" x14ac:dyDescent="0.3">
      <c r="A36" t="s">
        <v>2339</v>
      </c>
      <c r="B36" t="s">
        <v>2340</v>
      </c>
      <c r="C36" t="s">
        <v>2142</v>
      </c>
      <c r="D36">
        <v>2612</v>
      </c>
      <c r="E36" t="s">
        <v>1220</v>
      </c>
    </row>
    <row r="37" spans="1:5" x14ac:dyDescent="0.3">
      <c r="A37" t="s">
        <v>2341</v>
      </c>
      <c r="B37" t="s">
        <v>2342</v>
      </c>
      <c r="C37" t="s">
        <v>2139</v>
      </c>
      <c r="D37">
        <v>2613</v>
      </c>
      <c r="E37" t="s">
        <v>1224</v>
      </c>
    </row>
    <row r="38" spans="1:5" x14ac:dyDescent="0.3">
      <c r="A38" t="s">
        <v>2343</v>
      </c>
      <c r="B38" t="s">
        <v>2344</v>
      </c>
      <c r="C38" t="s">
        <v>2143</v>
      </c>
      <c r="D38">
        <v>2614</v>
      </c>
      <c r="E38" t="s">
        <v>1228</v>
      </c>
    </row>
    <row r="39" spans="1:5" x14ac:dyDescent="0.3">
      <c r="A39" t="s">
        <v>2345</v>
      </c>
      <c r="B39" t="s">
        <v>2346</v>
      </c>
      <c r="C39" t="s">
        <v>2129</v>
      </c>
      <c r="D39">
        <v>2615</v>
      </c>
      <c r="E39" t="s">
        <v>1210</v>
      </c>
    </row>
    <row r="40" spans="1:5" x14ac:dyDescent="0.3">
      <c r="A40" t="s">
        <v>2347</v>
      </c>
      <c r="B40" t="s">
        <v>2348</v>
      </c>
      <c r="C40" t="s">
        <v>2126</v>
      </c>
      <c r="D40">
        <v>2616</v>
      </c>
      <c r="E40" t="s">
        <v>1212</v>
      </c>
    </row>
    <row r="41" spans="1:5" x14ac:dyDescent="0.3">
      <c r="A41" t="s">
        <v>2349</v>
      </c>
      <c r="B41" t="s">
        <v>2350</v>
      </c>
      <c r="C41" t="s">
        <v>2140</v>
      </c>
      <c r="D41">
        <v>2617</v>
      </c>
      <c r="E41" t="s">
        <v>1232</v>
      </c>
    </row>
    <row r="42" spans="1:5" x14ac:dyDescent="0.3">
      <c r="A42" t="s">
        <v>2351</v>
      </c>
      <c r="B42" t="s">
        <v>2352</v>
      </c>
      <c r="C42" t="s">
        <v>2144</v>
      </c>
      <c r="D42">
        <v>2618</v>
      </c>
      <c r="E42" t="s">
        <v>1271</v>
      </c>
    </row>
    <row r="43" spans="1:5" x14ac:dyDescent="0.3">
      <c r="A43" t="s">
        <v>2353</v>
      </c>
      <c r="B43" t="s">
        <v>2354</v>
      </c>
      <c r="C43" t="s">
        <v>2153</v>
      </c>
      <c r="D43">
        <v>2619</v>
      </c>
      <c r="E43" t="s">
        <v>1274</v>
      </c>
    </row>
    <row r="44" spans="1:5" x14ac:dyDescent="0.3">
      <c r="A44" t="s">
        <v>2355</v>
      </c>
      <c r="B44" t="s">
        <v>2356</v>
      </c>
      <c r="C44" t="s">
        <v>2133</v>
      </c>
      <c r="D44">
        <v>2620</v>
      </c>
      <c r="E44" t="s">
        <v>1258</v>
      </c>
    </row>
    <row r="45" spans="1:5" x14ac:dyDescent="0.3">
      <c r="A45" t="s">
        <v>2357</v>
      </c>
      <c r="B45" t="s">
        <v>2358</v>
      </c>
      <c r="C45" t="s">
        <v>2146</v>
      </c>
      <c r="D45">
        <v>2625</v>
      </c>
      <c r="E45" t="s">
        <v>1237</v>
      </c>
    </row>
    <row r="46" spans="1:5" x14ac:dyDescent="0.3">
      <c r="A46" t="s">
        <v>2359</v>
      </c>
      <c r="B46" t="s">
        <v>2360</v>
      </c>
      <c r="C46" t="s">
        <v>1991</v>
      </c>
      <c r="D46">
        <v>2630</v>
      </c>
      <c r="E46" t="s">
        <v>1307</v>
      </c>
    </row>
    <row r="47" spans="1:5" x14ac:dyDescent="0.3">
      <c r="A47" t="s">
        <v>2361</v>
      </c>
      <c r="B47" t="s">
        <v>2362</v>
      </c>
      <c r="C47" t="s">
        <v>1990</v>
      </c>
      <c r="D47">
        <v>2633</v>
      </c>
      <c r="E47" t="s">
        <v>1313</v>
      </c>
    </row>
    <row r="48" spans="1:5" x14ac:dyDescent="0.3">
      <c r="A48" t="s">
        <v>2363</v>
      </c>
      <c r="B48" t="s">
        <v>2364</v>
      </c>
      <c r="C48" t="s">
        <v>1988</v>
      </c>
      <c r="D48">
        <v>2635</v>
      </c>
      <c r="E48" t="s">
        <v>1319</v>
      </c>
    </row>
    <row r="49" spans="1:5" x14ac:dyDescent="0.3">
      <c r="A49" t="s">
        <v>2365</v>
      </c>
      <c r="B49" t="s">
        <v>2366</v>
      </c>
      <c r="C49" t="s">
        <v>2148</v>
      </c>
      <c r="D49">
        <v>677</v>
      </c>
      <c r="E49" t="s">
        <v>1322</v>
      </c>
    </row>
    <row r="50" spans="1:5" x14ac:dyDescent="0.3">
      <c r="A50" t="s">
        <v>2367</v>
      </c>
      <c r="B50" t="s">
        <v>2368</v>
      </c>
      <c r="C50" t="s">
        <v>2141</v>
      </c>
      <c r="D50">
        <v>2640</v>
      </c>
      <c r="E50" t="s">
        <v>1324</v>
      </c>
    </row>
    <row r="51" spans="1:5" x14ac:dyDescent="0.3">
      <c r="A51" t="s">
        <v>2369</v>
      </c>
      <c r="B51" t="s">
        <v>2370</v>
      </c>
      <c r="C51" t="s">
        <v>2147</v>
      </c>
      <c r="D51">
        <v>2641</v>
      </c>
      <c r="E51" t="s">
        <v>1326</v>
      </c>
    </row>
    <row r="52" spans="1:5" x14ac:dyDescent="0.3">
      <c r="A52" t="s">
        <v>2371</v>
      </c>
      <c r="B52" t="s">
        <v>2372</v>
      </c>
      <c r="C52" t="s">
        <v>2128</v>
      </c>
      <c r="D52">
        <v>2642</v>
      </c>
      <c r="E52" t="s">
        <v>1330</v>
      </c>
    </row>
    <row r="53" spans="1:5" x14ac:dyDescent="0.3">
      <c r="A53" t="s">
        <v>2373</v>
      </c>
      <c r="B53" t="s">
        <v>2374</v>
      </c>
      <c r="C53" t="s">
        <v>2149</v>
      </c>
      <c r="D53">
        <v>2645</v>
      </c>
      <c r="E53" t="s">
        <v>1328</v>
      </c>
    </row>
    <row r="54" spans="1:5" x14ac:dyDescent="0.3">
      <c r="A54" t="s">
        <v>2375</v>
      </c>
      <c r="B54" t="s">
        <v>2376</v>
      </c>
      <c r="C54" t="s">
        <v>1999</v>
      </c>
      <c r="D54">
        <v>2662</v>
      </c>
      <c r="E54" t="s">
        <v>1350</v>
      </c>
    </row>
    <row r="55" spans="1:5" x14ac:dyDescent="0.3">
      <c r="A55" t="s">
        <v>2377</v>
      </c>
      <c r="B55" t="s">
        <v>2378</v>
      </c>
      <c r="C55" t="s">
        <v>2000</v>
      </c>
      <c r="D55">
        <v>2663</v>
      </c>
      <c r="E55" t="s">
        <v>1352</v>
      </c>
    </row>
    <row r="56" spans="1:5" x14ac:dyDescent="0.3">
      <c r="A56" t="s">
        <v>2379</v>
      </c>
      <c r="B56" t="s">
        <v>2380</v>
      </c>
      <c r="C56" t="s">
        <v>1995</v>
      </c>
      <c r="D56">
        <v>2664</v>
      </c>
      <c r="E56" t="s">
        <v>1345</v>
      </c>
    </row>
    <row r="57" spans="1:5" x14ac:dyDescent="0.3">
      <c r="A57" t="s">
        <v>2381</v>
      </c>
      <c r="B57" t="s">
        <v>2382</v>
      </c>
      <c r="C57" t="s">
        <v>2003</v>
      </c>
      <c r="D57">
        <v>2665</v>
      </c>
      <c r="E57" t="s">
        <v>1354</v>
      </c>
    </row>
    <row r="58" spans="1:5" x14ac:dyDescent="0.3">
      <c r="A58" t="s">
        <v>2383</v>
      </c>
      <c r="B58" t="s">
        <v>2384</v>
      </c>
      <c r="C58" t="s">
        <v>2001</v>
      </c>
      <c r="D58">
        <v>2666</v>
      </c>
      <c r="E58" t="s">
        <v>1358</v>
      </c>
    </row>
    <row r="59" spans="1:5" x14ac:dyDescent="0.3">
      <c r="A59" t="s">
        <v>2385</v>
      </c>
      <c r="B59" t="s">
        <v>2386</v>
      </c>
      <c r="C59" t="s">
        <v>2002</v>
      </c>
      <c r="D59">
        <v>2667</v>
      </c>
      <c r="E59" t="s">
        <v>1356</v>
      </c>
    </row>
    <row r="60" spans="1:5" x14ac:dyDescent="0.3">
      <c r="A60" t="s">
        <v>2387</v>
      </c>
      <c r="B60" t="s">
        <v>2388</v>
      </c>
      <c r="C60" t="s">
        <v>2110</v>
      </c>
      <c r="D60">
        <v>2671</v>
      </c>
      <c r="E60" t="s">
        <v>1362</v>
      </c>
    </row>
    <row r="61" spans="1:5" x14ac:dyDescent="0.3">
      <c r="A61" t="s">
        <v>2389</v>
      </c>
      <c r="B61" t="s">
        <v>2390</v>
      </c>
      <c r="C61" t="s">
        <v>2108</v>
      </c>
      <c r="D61">
        <v>2672</v>
      </c>
      <c r="E61" t="s">
        <v>1367</v>
      </c>
    </row>
    <row r="62" spans="1:5" x14ac:dyDescent="0.3">
      <c r="A62" t="s">
        <v>2391</v>
      </c>
      <c r="B62" t="s">
        <v>2392</v>
      </c>
      <c r="C62" t="s">
        <v>2016</v>
      </c>
      <c r="D62">
        <v>2000</v>
      </c>
      <c r="E62" t="s">
        <v>1679</v>
      </c>
    </row>
    <row r="63" spans="1:5" x14ac:dyDescent="0.3">
      <c r="A63" t="s">
        <v>2393</v>
      </c>
      <c r="B63" t="s">
        <v>2394</v>
      </c>
      <c r="C63" t="s">
        <v>2023</v>
      </c>
      <c r="D63">
        <v>2001</v>
      </c>
      <c r="E63" t="s">
        <v>1922</v>
      </c>
    </row>
    <row r="64" spans="1:5" x14ac:dyDescent="0.3">
      <c r="A64" t="s">
        <v>2395</v>
      </c>
      <c r="B64" t="s">
        <v>2396</v>
      </c>
      <c r="C64" t="s">
        <v>1997</v>
      </c>
      <c r="D64">
        <v>2559</v>
      </c>
      <c r="E64" t="s">
        <v>1145</v>
      </c>
    </row>
    <row r="65" spans="1:5" x14ac:dyDescent="0.3">
      <c r="A65" t="s">
        <v>2395</v>
      </c>
      <c r="B65" t="s">
        <v>2396</v>
      </c>
      <c r="C65" t="s">
        <v>2030</v>
      </c>
      <c r="D65">
        <v>2661</v>
      </c>
      <c r="E65" t="s">
        <v>1340</v>
      </c>
    </row>
    <row r="66" spans="1:5" x14ac:dyDescent="0.3">
      <c r="A66" t="s">
        <v>2397</v>
      </c>
      <c r="B66" t="s">
        <v>2398</v>
      </c>
      <c r="C66" t="s">
        <v>2105</v>
      </c>
      <c r="D66">
        <v>2541</v>
      </c>
      <c r="E66" t="s">
        <v>1013</v>
      </c>
    </row>
    <row r="67" spans="1:5" x14ac:dyDescent="0.3">
      <c r="A67" t="s">
        <v>2399</v>
      </c>
      <c r="B67" t="s">
        <v>2400</v>
      </c>
      <c r="C67" t="s">
        <v>2104</v>
      </c>
      <c r="D67">
        <v>2542</v>
      </c>
      <c r="E67" t="s">
        <v>1008</v>
      </c>
    </row>
    <row r="68" spans="1:5" x14ac:dyDescent="0.3">
      <c r="A68" t="s">
        <v>2401</v>
      </c>
      <c r="B68" t="s">
        <v>2402</v>
      </c>
      <c r="C68" t="s">
        <v>2117</v>
      </c>
      <c r="D68">
        <v>2543</v>
      </c>
      <c r="E68" t="s">
        <v>1003</v>
      </c>
    </row>
    <row r="69" spans="1:5" x14ac:dyDescent="0.3">
      <c r="A69" t="s">
        <v>2403</v>
      </c>
      <c r="B69" t="s">
        <v>2404</v>
      </c>
      <c r="C69" t="s">
        <v>2123</v>
      </c>
      <c r="D69">
        <v>2571</v>
      </c>
      <c r="E69" t="s">
        <v>1063</v>
      </c>
    </row>
    <row r="70" spans="1:5" x14ac:dyDescent="0.3">
      <c r="A70" t="s">
        <v>2405</v>
      </c>
      <c r="B70" t="s">
        <v>2406</v>
      </c>
      <c r="C70" t="s">
        <v>2124</v>
      </c>
      <c r="D70">
        <v>2572</v>
      </c>
      <c r="E70" t="s">
        <v>1073</v>
      </c>
    </row>
    <row r="71" spans="1:5" x14ac:dyDescent="0.3">
      <c r="A71" t="s">
        <v>2407</v>
      </c>
      <c r="B71" t="s">
        <v>2408</v>
      </c>
      <c r="C71" t="s">
        <v>2125</v>
      </c>
      <c r="D71">
        <v>2573</v>
      </c>
      <c r="E71" t="s">
        <v>1107</v>
      </c>
    </row>
    <row r="72" spans="1:5" x14ac:dyDescent="0.3">
      <c r="A72" t="s">
        <v>2409</v>
      </c>
      <c r="B72" t="s">
        <v>2410</v>
      </c>
      <c r="C72" t="s">
        <v>2120</v>
      </c>
      <c r="D72">
        <v>2574</v>
      </c>
      <c r="E72" t="s">
        <v>1113</v>
      </c>
    </row>
    <row r="73" spans="1:5" x14ac:dyDescent="0.3">
      <c r="A73" t="s">
        <v>2411</v>
      </c>
      <c r="B73" t="s">
        <v>2412</v>
      </c>
      <c r="C73" t="s">
        <v>2118</v>
      </c>
      <c r="D73">
        <v>2575</v>
      </c>
      <c r="E73" t="s">
        <v>1147</v>
      </c>
    </row>
    <row r="74" spans="1:5" x14ac:dyDescent="0.3">
      <c r="A74" t="s">
        <v>2413</v>
      </c>
      <c r="B74" t="s">
        <v>2414</v>
      </c>
      <c r="C74" t="s">
        <v>2119</v>
      </c>
      <c r="D74">
        <v>2576</v>
      </c>
      <c r="E74" t="s">
        <v>1091</v>
      </c>
    </row>
    <row r="75" spans="1:5" x14ac:dyDescent="0.3">
      <c r="A75" t="s">
        <v>2415</v>
      </c>
      <c r="B75" t="s">
        <v>2416</v>
      </c>
      <c r="C75" t="s">
        <v>2077</v>
      </c>
      <c r="D75">
        <v>2562</v>
      </c>
      <c r="E75" t="s">
        <v>1087</v>
      </c>
    </row>
    <row r="76" spans="1:5" x14ac:dyDescent="0.3">
      <c r="A76" t="s">
        <v>2415</v>
      </c>
      <c r="B76" t="s">
        <v>2416</v>
      </c>
      <c r="C76" t="s">
        <v>2116</v>
      </c>
      <c r="D76">
        <v>2577</v>
      </c>
      <c r="E76" t="s">
        <v>1089</v>
      </c>
    </row>
    <row r="77" spans="1:5" x14ac:dyDescent="0.3">
      <c r="A77" t="s">
        <v>2417</v>
      </c>
      <c r="B77" t="s">
        <v>2418</v>
      </c>
      <c r="C77" t="s">
        <v>2111</v>
      </c>
      <c r="D77">
        <v>2578</v>
      </c>
      <c r="E77" t="s">
        <v>1083</v>
      </c>
    </row>
    <row r="78" spans="1:5" x14ac:dyDescent="0.3">
      <c r="A78" t="s">
        <v>2419</v>
      </c>
      <c r="B78" t="s">
        <v>2420</v>
      </c>
      <c r="C78" t="s">
        <v>2115</v>
      </c>
      <c r="D78">
        <v>2579</v>
      </c>
      <c r="E78" t="s">
        <v>1126</v>
      </c>
    </row>
    <row r="79" spans="1:5" x14ac:dyDescent="0.3">
      <c r="A79" t="s">
        <v>2421</v>
      </c>
      <c r="B79" t="s">
        <v>2422</v>
      </c>
      <c r="C79" t="s">
        <v>2122</v>
      </c>
      <c r="D79">
        <v>2580</v>
      </c>
      <c r="E79" t="s">
        <v>1097</v>
      </c>
    </row>
    <row r="80" spans="1:5" x14ac:dyDescent="0.3">
      <c r="A80" t="s">
        <v>2423</v>
      </c>
      <c r="B80" t="s">
        <v>2424</v>
      </c>
      <c r="C80" t="s">
        <v>2114</v>
      </c>
      <c r="D80">
        <v>2581</v>
      </c>
      <c r="E80" t="s">
        <v>914</v>
      </c>
    </row>
    <row r="81" spans="1:5" x14ac:dyDescent="0.3">
      <c r="A81" t="s">
        <v>2425</v>
      </c>
      <c r="B81" t="s">
        <v>2426</v>
      </c>
      <c r="C81" t="s">
        <v>2121</v>
      </c>
      <c r="D81">
        <v>2582</v>
      </c>
      <c r="E81" t="s">
        <v>935</v>
      </c>
    </row>
    <row r="82" spans="1:5" x14ac:dyDescent="0.3">
      <c r="A82" t="s">
        <v>2427</v>
      </c>
      <c r="B82" t="s">
        <v>2428</v>
      </c>
      <c r="C82" t="s">
        <v>2072</v>
      </c>
      <c r="D82">
        <v>2586</v>
      </c>
      <c r="E82" t="s">
        <v>1102</v>
      </c>
    </row>
    <row r="83" spans="1:5" x14ac:dyDescent="0.3">
      <c r="A83" t="s">
        <v>2403</v>
      </c>
      <c r="B83" t="s">
        <v>2404</v>
      </c>
      <c r="C83" t="s">
        <v>2059</v>
      </c>
      <c r="D83">
        <v>2590</v>
      </c>
      <c r="E83" t="s">
        <v>1065</v>
      </c>
    </row>
    <row r="84" spans="1:5" x14ac:dyDescent="0.3">
      <c r="A84" t="s">
        <v>2405</v>
      </c>
      <c r="B84" t="s">
        <v>2406</v>
      </c>
      <c r="C84" t="s">
        <v>2063</v>
      </c>
      <c r="D84">
        <v>2591</v>
      </c>
      <c r="E84" t="s">
        <v>1075</v>
      </c>
    </row>
    <row r="85" spans="1:5" x14ac:dyDescent="0.3">
      <c r="A85" t="s">
        <v>2407</v>
      </c>
      <c r="B85" t="s">
        <v>2408</v>
      </c>
      <c r="C85" t="s">
        <v>2073</v>
      </c>
      <c r="D85">
        <v>2592</v>
      </c>
      <c r="E85" t="s">
        <v>1109</v>
      </c>
    </row>
    <row r="86" spans="1:5" x14ac:dyDescent="0.3">
      <c r="A86" t="s">
        <v>2409</v>
      </c>
      <c r="B86" t="s">
        <v>2410</v>
      </c>
      <c r="C86" t="s">
        <v>2069</v>
      </c>
      <c r="D86">
        <v>2593</v>
      </c>
      <c r="E86" t="s">
        <v>1115</v>
      </c>
    </row>
    <row r="87" spans="1:5" x14ac:dyDescent="0.3">
      <c r="A87" t="s">
        <v>2411</v>
      </c>
      <c r="B87" t="s">
        <v>2412</v>
      </c>
      <c r="C87" t="s">
        <v>2067</v>
      </c>
      <c r="D87">
        <v>2594</v>
      </c>
      <c r="E87" t="s">
        <v>1149</v>
      </c>
    </row>
    <row r="88" spans="1:5" x14ac:dyDescent="0.3">
      <c r="A88" t="s">
        <v>2413</v>
      </c>
      <c r="B88" t="s">
        <v>2414</v>
      </c>
      <c r="C88" t="s">
        <v>2065</v>
      </c>
      <c r="D88">
        <v>2595</v>
      </c>
      <c r="E88" t="s">
        <v>1093</v>
      </c>
    </row>
    <row r="89" spans="1:5" x14ac:dyDescent="0.3">
      <c r="A89" t="s">
        <v>2417</v>
      </c>
      <c r="B89" t="s">
        <v>2418</v>
      </c>
      <c r="C89" t="s">
        <v>2075</v>
      </c>
      <c r="D89">
        <v>2596</v>
      </c>
      <c r="E89" t="s">
        <v>1085</v>
      </c>
    </row>
    <row r="90" spans="1:5" x14ac:dyDescent="0.3">
      <c r="A90" t="s">
        <v>2419</v>
      </c>
      <c r="B90" t="s">
        <v>2420</v>
      </c>
      <c r="C90" t="s">
        <v>2071</v>
      </c>
      <c r="D90">
        <v>2597</v>
      </c>
      <c r="E90" t="s">
        <v>1128</v>
      </c>
    </row>
    <row r="91" spans="1:5" x14ac:dyDescent="0.3">
      <c r="A91" t="s">
        <v>2423</v>
      </c>
      <c r="B91" t="s">
        <v>2424</v>
      </c>
      <c r="C91" t="s">
        <v>1964</v>
      </c>
      <c r="D91">
        <v>2598</v>
      </c>
      <c r="E91" t="s">
        <v>937</v>
      </c>
    </row>
    <row r="92" spans="1:5" x14ac:dyDescent="0.3">
      <c r="A92" t="s">
        <v>2425</v>
      </c>
      <c r="B92" t="s">
        <v>2426</v>
      </c>
      <c r="C92" t="s">
        <v>1964</v>
      </c>
      <c r="D92">
        <v>2598</v>
      </c>
      <c r="E92" t="s">
        <v>937</v>
      </c>
    </row>
    <row r="93" spans="1:5" x14ac:dyDescent="0.3">
      <c r="A93" t="s">
        <v>2427</v>
      </c>
      <c r="B93" t="s">
        <v>2428</v>
      </c>
      <c r="C93" t="s">
        <v>1964</v>
      </c>
      <c r="D93">
        <v>2598</v>
      </c>
      <c r="E93" t="s">
        <v>937</v>
      </c>
    </row>
    <row r="94" spans="1:5" x14ac:dyDescent="0.3">
      <c r="A94" t="s">
        <v>2429</v>
      </c>
      <c r="B94" t="s">
        <v>2430</v>
      </c>
      <c r="C94" t="s">
        <v>1967</v>
      </c>
      <c r="D94">
        <v>2655</v>
      </c>
      <c r="E94" t="s">
        <v>1262</v>
      </c>
    </row>
    <row r="95" spans="1:5" x14ac:dyDescent="0.3">
      <c r="A95" t="s">
        <v>2431</v>
      </c>
      <c r="B95" t="s">
        <v>2432</v>
      </c>
      <c r="C95" t="s">
        <v>1970</v>
      </c>
      <c r="D95">
        <v>2656</v>
      </c>
      <c r="E95" t="s">
        <v>928</v>
      </c>
    </row>
    <row r="96" spans="1:5" x14ac:dyDescent="0.3">
      <c r="A96" t="s">
        <v>2433</v>
      </c>
      <c r="B96" t="s">
        <v>2434</v>
      </c>
      <c r="C96" t="s">
        <v>1968</v>
      </c>
      <c r="D96">
        <v>2657</v>
      </c>
      <c r="E96" t="s">
        <v>902</v>
      </c>
    </row>
    <row r="97" spans="1:5" x14ac:dyDescent="0.3">
      <c r="A97" t="s">
        <v>2435</v>
      </c>
      <c r="B97" t="s">
        <v>2436</v>
      </c>
      <c r="C97" t="s">
        <v>1993</v>
      </c>
      <c r="D97">
        <v>2658</v>
      </c>
      <c r="E97" t="s">
        <v>1296</v>
      </c>
    </row>
    <row r="98" spans="1:5" x14ac:dyDescent="0.3">
      <c r="A98" t="s">
        <v>2437</v>
      </c>
      <c r="B98" t="s">
        <v>2438</v>
      </c>
      <c r="C98" t="s">
        <v>2004</v>
      </c>
      <c r="D98">
        <v>2659</v>
      </c>
      <c r="E98" t="s">
        <v>1293</v>
      </c>
    </row>
    <row r="99" spans="1:5" x14ac:dyDescent="0.3">
      <c r="A99" t="s">
        <v>2439</v>
      </c>
      <c r="B99" t="s">
        <v>2440</v>
      </c>
      <c r="C99" t="s">
        <v>2035</v>
      </c>
      <c r="D99">
        <v>866</v>
      </c>
      <c r="E99" t="s">
        <v>726</v>
      </c>
    </row>
    <row r="100" spans="1:5" x14ac:dyDescent="0.3">
      <c r="A100" t="s">
        <v>2441</v>
      </c>
      <c r="B100" t="s">
        <v>2442</v>
      </c>
      <c r="C100" t="s">
        <v>2042</v>
      </c>
      <c r="D100">
        <v>946</v>
      </c>
      <c r="E100" t="s">
        <v>735</v>
      </c>
    </row>
    <row r="101" spans="1:5" x14ac:dyDescent="0.3">
      <c r="A101" t="s">
        <v>2443</v>
      </c>
      <c r="B101" t="s">
        <v>2444</v>
      </c>
      <c r="C101" t="s">
        <v>2038</v>
      </c>
      <c r="D101">
        <v>976</v>
      </c>
      <c r="E101" t="s">
        <v>779</v>
      </c>
    </row>
    <row r="102" spans="1:5" x14ac:dyDescent="0.3">
      <c r="A102" t="s">
        <v>2445</v>
      </c>
      <c r="B102" t="s">
        <v>2446</v>
      </c>
      <c r="C102" t="s">
        <v>2039</v>
      </c>
      <c r="D102">
        <v>1016</v>
      </c>
      <c r="E102" t="s">
        <v>762</v>
      </c>
    </row>
    <row r="103" spans="1:5" x14ac:dyDescent="0.3">
      <c r="A103" t="s">
        <v>2447</v>
      </c>
      <c r="B103" t="s">
        <v>2448</v>
      </c>
      <c r="C103" t="s">
        <v>2449</v>
      </c>
      <c r="D103">
        <v>1034</v>
      </c>
      <c r="E103" t="s">
        <v>769</v>
      </c>
    </row>
    <row r="104" spans="1:5" x14ac:dyDescent="0.3">
      <c r="A104" t="s">
        <v>2450</v>
      </c>
      <c r="B104" t="s">
        <v>2451</v>
      </c>
      <c r="C104" t="s">
        <v>2043</v>
      </c>
      <c r="D104">
        <v>2029</v>
      </c>
      <c r="E104" t="s">
        <v>2452</v>
      </c>
    </row>
    <row r="105" spans="1:5" x14ac:dyDescent="0.3">
      <c r="A105" t="s">
        <v>2453</v>
      </c>
      <c r="B105" t="s">
        <v>2454</v>
      </c>
      <c r="C105" t="s">
        <v>2036</v>
      </c>
      <c r="D105">
        <v>1096</v>
      </c>
      <c r="E105" t="s">
        <v>767</v>
      </c>
    </row>
    <row r="106" spans="1:5" x14ac:dyDescent="0.3">
      <c r="A106" t="s">
        <v>2455</v>
      </c>
      <c r="B106" t="s">
        <v>2456</v>
      </c>
      <c r="C106" t="s">
        <v>2037</v>
      </c>
      <c r="D106">
        <v>1107</v>
      </c>
      <c r="E106" t="s">
        <v>731</v>
      </c>
    </row>
    <row r="107" spans="1:5" x14ac:dyDescent="0.3">
      <c r="A107" t="s">
        <v>2457</v>
      </c>
      <c r="B107" t="s">
        <v>2458</v>
      </c>
      <c r="C107" t="s">
        <v>2034</v>
      </c>
      <c r="D107">
        <v>1110</v>
      </c>
      <c r="E107" t="s">
        <v>768</v>
      </c>
    </row>
    <row r="108" spans="1:5" x14ac:dyDescent="0.3">
      <c r="A108" t="s">
        <v>2459</v>
      </c>
      <c r="B108" t="s">
        <v>2460</v>
      </c>
      <c r="C108" t="s">
        <v>2044</v>
      </c>
      <c r="D108">
        <v>1126</v>
      </c>
      <c r="E108" t="s">
        <v>738</v>
      </c>
    </row>
    <row r="109" spans="1:5" x14ac:dyDescent="0.3">
      <c r="A109" t="s">
        <v>2461</v>
      </c>
      <c r="B109" t="s">
        <v>2462</v>
      </c>
      <c r="C109" t="s">
        <v>2045</v>
      </c>
      <c r="D109">
        <v>1157</v>
      </c>
      <c r="E109" t="s">
        <v>736</v>
      </c>
    </row>
    <row r="110" spans="1:5" x14ac:dyDescent="0.3">
      <c r="A110" t="s">
        <v>2463</v>
      </c>
      <c r="B110" t="s">
        <v>2464</v>
      </c>
      <c r="C110" t="s">
        <v>2040</v>
      </c>
      <c r="D110">
        <v>1140</v>
      </c>
      <c r="E110" t="s">
        <v>775</v>
      </c>
    </row>
    <row r="111" spans="1:5" x14ac:dyDescent="0.3">
      <c r="A111" t="s">
        <v>2465</v>
      </c>
      <c r="B111" t="s">
        <v>2466</v>
      </c>
      <c r="C111" t="s">
        <v>2058</v>
      </c>
      <c r="D111">
        <v>1150</v>
      </c>
      <c r="E111" t="s">
        <v>777</v>
      </c>
    </row>
    <row r="112" spans="1:5" x14ac:dyDescent="0.3">
      <c r="A112" t="s">
        <v>2467</v>
      </c>
      <c r="B112" t="s">
        <v>2468</v>
      </c>
      <c r="C112" t="s">
        <v>2054</v>
      </c>
      <c r="D112">
        <v>2848</v>
      </c>
      <c r="E112" t="s">
        <v>815</v>
      </c>
    </row>
    <row r="113" spans="1:5" x14ac:dyDescent="0.3">
      <c r="A113" t="s">
        <v>2469</v>
      </c>
      <c r="B113" t="s">
        <v>2470</v>
      </c>
      <c r="C113" t="s">
        <v>2054</v>
      </c>
      <c r="D113">
        <v>2848</v>
      </c>
      <c r="E113" t="s">
        <v>815</v>
      </c>
    </row>
    <row r="114" spans="1:5" x14ac:dyDescent="0.3">
      <c r="A114" t="s">
        <v>2471</v>
      </c>
      <c r="B114" t="s">
        <v>2472</v>
      </c>
      <c r="C114" t="s">
        <v>2054</v>
      </c>
      <c r="D114">
        <v>2848</v>
      </c>
      <c r="E114" t="s">
        <v>815</v>
      </c>
    </row>
    <row r="115" spans="1:5" x14ac:dyDescent="0.3">
      <c r="A115" t="s">
        <v>2473</v>
      </c>
      <c r="B115" t="s">
        <v>2474</v>
      </c>
      <c r="C115" t="s">
        <v>2054</v>
      </c>
      <c r="D115">
        <v>2848</v>
      </c>
      <c r="E115" t="s">
        <v>815</v>
      </c>
    </row>
    <row r="116" spans="1:5" x14ac:dyDescent="0.3">
      <c r="A116" t="s">
        <v>2475</v>
      </c>
      <c r="B116" t="s">
        <v>2476</v>
      </c>
      <c r="C116" t="s">
        <v>2054</v>
      </c>
      <c r="D116">
        <v>2848</v>
      </c>
      <c r="E116" t="s">
        <v>815</v>
      </c>
    </row>
    <row r="117" spans="1:5" x14ac:dyDescent="0.3">
      <c r="A117" t="s">
        <v>2467</v>
      </c>
      <c r="B117" t="s">
        <v>2468</v>
      </c>
      <c r="C117" t="s">
        <v>1992</v>
      </c>
      <c r="D117">
        <v>2740</v>
      </c>
      <c r="E117" t="s">
        <v>1384</v>
      </c>
    </row>
    <row r="118" spans="1:5" x14ac:dyDescent="0.3">
      <c r="A118" t="s">
        <v>2469</v>
      </c>
      <c r="B118" t="s">
        <v>2470</v>
      </c>
      <c r="C118" t="s">
        <v>1992</v>
      </c>
      <c r="D118">
        <v>2740</v>
      </c>
      <c r="E118" t="s">
        <v>1384</v>
      </c>
    </row>
    <row r="119" spans="1:5" x14ac:dyDescent="0.3">
      <c r="A119" t="s">
        <v>2471</v>
      </c>
      <c r="B119" t="s">
        <v>2472</v>
      </c>
      <c r="C119" t="s">
        <v>1992</v>
      </c>
      <c r="D119">
        <v>2740</v>
      </c>
      <c r="E119" t="s">
        <v>1384</v>
      </c>
    </row>
    <row r="120" spans="1:5" x14ac:dyDescent="0.3">
      <c r="A120" t="s">
        <v>2473</v>
      </c>
      <c r="B120" t="s">
        <v>2474</v>
      </c>
      <c r="C120" t="s">
        <v>1992</v>
      </c>
      <c r="D120">
        <v>2740</v>
      </c>
      <c r="E120" t="s">
        <v>1384</v>
      </c>
    </row>
    <row r="121" spans="1:5" x14ac:dyDescent="0.3">
      <c r="A121" t="s">
        <v>2475</v>
      </c>
      <c r="B121" t="s">
        <v>2476</v>
      </c>
      <c r="C121" t="s">
        <v>1992</v>
      </c>
      <c r="D121">
        <v>2740</v>
      </c>
      <c r="E121" t="s">
        <v>1384</v>
      </c>
    </row>
    <row r="122" spans="1:5" x14ac:dyDescent="0.3">
      <c r="A122" t="s">
        <v>2477</v>
      </c>
      <c r="B122" t="s">
        <v>2478</v>
      </c>
      <c r="C122" t="s">
        <v>2046</v>
      </c>
      <c r="D122">
        <v>2731</v>
      </c>
      <c r="E122" t="s">
        <v>807</v>
      </c>
    </row>
    <row r="123" spans="1:5" x14ac:dyDescent="0.3">
      <c r="A123" t="s">
        <v>2479</v>
      </c>
      <c r="B123" t="s">
        <v>2480</v>
      </c>
      <c r="C123" t="s">
        <v>2046</v>
      </c>
      <c r="D123">
        <v>2731</v>
      </c>
      <c r="E123" t="s">
        <v>807</v>
      </c>
    </row>
    <row r="124" spans="1:5" x14ac:dyDescent="0.3">
      <c r="A124" t="s">
        <v>2481</v>
      </c>
      <c r="B124" t="s">
        <v>2482</v>
      </c>
      <c r="C124" t="s">
        <v>2050</v>
      </c>
      <c r="D124">
        <v>2732</v>
      </c>
      <c r="E124" t="s">
        <v>829</v>
      </c>
    </row>
    <row r="125" spans="1:5" x14ac:dyDescent="0.3">
      <c r="A125" t="s">
        <v>2483</v>
      </c>
      <c r="B125" t="s">
        <v>2484</v>
      </c>
      <c r="C125" t="s">
        <v>2050</v>
      </c>
      <c r="D125">
        <v>2732</v>
      </c>
      <c r="E125" t="s">
        <v>829</v>
      </c>
    </row>
    <row r="126" spans="1:5" x14ac:dyDescent="0.3">
      <c r="A126" t="s">
        <v>2481</v>
      </c>
      <c r="B126" t="s">
        <v>2482</v>
      </c>
      <c r="C126" t="s">
        <v>2052</v>
      </c>
      <c r="D126">
        <v>2746</v>
      </c>
      <c r="E126" t="s">
        <v>881</v>
      </c>
    </row>
    <row r="127" spans="1:5" x14ac:dyDescent="0.3">
      <c r="A127" t="s">
        <v>2485</v>
      </c>
      <c r="B127" t="s">
        <v>2486</v>
      </c>
      <c r="C127" t="s">
        <v>2049</v>
      </c>
      <c r="D127">
        <v>2733</v>
      </c>
      <c r="E127" t="s">
        <v>857</v>
      </c>
    </row>
    <row r="128" spans="1:5" x14ac:dyDescent="0.3">
      <c r="A128" t="s">
        <v>2487</v>
      </c>
      <c r="B128" t="s">
        <v>2488</v>
      </c>
      <c r="C128" t="s">
        <v>2053</v>
      </c>
      <c r="D128">
        <v>2734</v>
      </c>
      <c r="E128" t="s">
        <v>845</v>
      </c>
    </row>
    <row r="129" spans="1:5" x14ac:dyDescent="0.3">
      <c r="A129" t="s">
        <v>2487</v>
      </c>
      <c r="B129" t="s">
        <v>2488</v>
      </c>
      <c r="C129" t="s">
        <v>2025</v>
      </c>
      <c r="D129">
        <v>2744</v>
      </c>
      <c r="E129" t="s">
        <v>757</v>
      </c>
    </row>
    <row r="130" spans="1:5" x14ac:dyDescent="0.3">
      <c r="A130" t="s">
        <v>2489</v>
      </c>
      <c r="B130" t="s">
        <v>2490</v>
      </c>
      <c r="C130" t="s">
        <v>2048</v>
      </c>
      <c r="D130">
        <v>2735</v>
      </c>
      <c r="E130" t="s">
        <v>820</v>
      </c>
    </row>
    <row r="131" spans="1:5" x14ac:dyDescent="0.3">
      <c r="A131" t="s">
        <v>2491</v>
      </c>
      <c r="B131" t="s">
        <v>2492</v>
      </c>
      <c r="C131" t="s">
        <v>2048</v>
      </c>
      <c r="D131">
        <v>2735</v>
      </c>
      <c r="E131" t="s">
        <v>820</v>
      </c>
    </row>
    <row r="132" spans="1:5" x14ac:dyDescent="0.3">
      <c r="A132" t="s">
        <v>2493</v>
      </c>
      <c r="B132" t="s">
        <v>2494</v>
      </c>
      <c r="C132" t="s">
        <v>2048</v>
      </c>
      <c r="D132">
        <v>2735</v>
      </c>
      <c r="E132" t="s">
        <v>820</v>
      </c>
    </row>
    <row r="133" spans="1:5" x14ac:dyDescent="0.3">
      <c r="A133" t="s">
        <v>2495</v>
      </c>
      <c r="B133" t="s">
        <v>2496</v>
      </c>
      <c r="C133" t="s">
        <v>2048</v>
      </c>
      <c r="D133">
        <v>2735</v>
      </c>
      <c r="E133" t="s">
        <v>820</v>
      </c>
    </row>
    <row r="134" spans="1:5" x14ac:dyDescent="0.3">
      <c r="A134" t="s">
        <v>2497</v>
      </c>
      <c r="B134" t="s">
        <v>2498</v>
      </c>
      <c r="C134" t="s">
        <v>2048</v>
      </c>
      <c r="D134">
        <v>2735</v>
      </c>
      <c r="E134" t="s">
        <v>820</v>
      </c>
    </row>
    <row r="135" spans="1:5" x14ac:dyDescent="0.3">
      <c r="A135" t="s">
        <v>2499</v>
      </c>
      <c r="B135" t="s">
        <v>2500</v>
      </c>
      <c r="C135" t="s">
        <v>2048</v>
      </c>
      <c r="D135">
        <v>2735</v>
      </c>
      <c r="E135" t="s">
        <v>820</v>
      </c>
    </row>
    <row r="136" spans="1:5" x14ac:dyDescent="0.3">
      <c r="A136" t="s">
        <v>2501</v>
      </c>
      <c r="B136" t="s">
        <v>2502</v>
      </c>
      <c r="C136" t="s">
        <v>2048</v>
      </c>
      <c r="D136">
        <v>2735</v>
      </c>
      <c r="E136" t="s">
        <v>820</v>
      </c>
    </row>
    <row r="137" spans="1:5" x14ac:dyDescent="0.3">
      <c r="A137" t="s">
        <v>2477</v>
      </c>
      <c r="B137" t="s">
        <v>2478</v>
      </c>
      <c r="C137" t="s">
        <v>1972</v>
      </c>
      <c r="D137">
        <v>2736</v>
      </c>
      <c r="E137" t="s">
        <v>811</v>
      </c>
    </row>
    <row r="138" spans="1:5" x14ac:dyDescent="0.3">
      <c r="A138" t="s">
        <v>2479</v>
      </c>
      <c r="B138" t="s">
        <v>2480</v>
      </c>
      <c r="C138" t="s">
        <v>1972</v>
      </c>
      <c r="D138">
        <v>2736</v>
      </c>
      <c r="E138" t="s">
        <v>811</v>
      </c>
    </row>
    <row r="139" spans="1:5" x14ac:dyDescent="0.3">
      <c r="A139" t="s">
        <v>2481</v>
      </c>
      <c r="B139" t="s">
        <v>2482</v>
      </c>
      <c r="C139" t="s">
        <v>1972</v>
      </c>
      <c r="D139">
        <v>2736</v>
      </c>
      <c r="E139" t="s">
        <v>811</v>
      </c>
    </row>
    <row r="140" spans="1:5" x14ac:dyDescent="0.3">
      <c r="A140" t="s">
        <v>2483</v>
      </c>
      <c r="B140" t="s">
        <v>2484</v>
      </c>
      <c r="C140" t="s">
        <v>1972</v>
      </c>
      <c r="D140">
        <v>2736</v>
      </c>
      <c r="E140" t="s">
        <v>811</v>
      </c>
    </row>
    <row r="141" spans="1:5" x14ac:dyDescent="0.3">
      <c r="A141" t="s">
        <v>2485</v>
      </c>
      <c r="B141" t="s">
        <v>2486</v>
      </c>
      <c r="C141" t="s">
        <v>1972</v>
      </c>
      <c r="D141">
        <v>2736</v>
      </c>
      <c r="E141" t="s">
        <v>811</v>
      </c>
    </row>
    <row r="142" spans="1:5" x14ac:dyDescent="0.3">
      <c r="A142" t="s">
        <v>2487</v>
      </c>
      <c r="B142" t="s">
        <v>2488</v>
      </c>
      <c r="C142" t="s">
        <v>1972</v>
      </c>
      <c r="D142">
        <v>2736</v>
      </c>
      <c r="E142" t="s">
        <v>811</v>
      </c>
    </row>
    <row r="143" spans="1:5" x14ac:dyDescent="0.3">
      <c r="A143" t="s">
        <v>2489</v>
      </c>
      <c r="B143" t="s">
        <v>2490</v>
      </c>
      <c r="C143" t="s">
        <v>1972</v>
      </c>
      <c r="D143">
        <v>2736</v>
      </c>
      <c r="E143" t="s">
        <v>811</v>
      </c>
    </row>
    <row r="144" spans="1:5" x14ac:dyDescent="0.3">
      <c r="A144" t="s">
        <v>2491</v>
      </c>
      <c r="B144" t="s">
        <v>2492</v>
      </c>
      <c r="C144" t="s">
        <v>1972</v>
      </c>
      <c r="D144">
        <v>2736</v>
      </c>
      <c r="E144" t="s">
        <v>811</v>
      </c>
    </row>
    <row r="145" spans="1:5" x14ac:dyDescent="0.3">
      <c r="A145" t="s">
        <v>2493</v>
      </c>
      <c r="B145" t="s">
        <v>2494</v>
      </c>
      <c r="C145" t="s">
        <v>1972</v>
      </c>
      <c r="D145">
        <v>2736</v>
      </c>
      <c r="E145" t="s">
        <v>811</v>
      </c>
    </row>
    <row r="146" spans="1:5" x14ac:dyDescent="0.3">
      <c r="A146" t="s">
        <v>2495</v>
      </c>
      <c r="B146" t="s">
        <v>2496</v>
      </c>
      <c r="C146" t="s">
        <v>1972</v>
      </c>
      <c r="D146">
        <v>2736</v>
      </c>
      <c r="E146" t="s">
        <v>811</v>
      </c>
    </row>
    <row r="147" spans="1:5" x14ac:dyDescent="0.3">
      <c r="A147" t="s">
        <v>2497</v>
      </c>
      <c r="B147" t="s">
        <v>2498</v>
      </c>
      <c r="C147" t="s">
        <v>1972</v>
      </c>
      <c r="D147">
        <v>2736</v>
      </c>
      <c r="E147" t="s">
        <v>811</v>
      </c>
    </row>
    <row r="148" spans="1:5" x14ac:dyDescent="0.3">
      <c r="A148" t="s">
        <v>2499</v>
      </c>
      <c r="B148" t="s">
        <v>2500</v>
      </c>
      <c r="C148" t="s">
        <v>1972</v>
      </c>
      <c r="D148">
        <v>2736</v>
      </c>
      <c r="E148" t="s">
        <v>811</v>
      </c>
    </row>
    <row r="149" spans="1:5" x14ac:dyDescent="0.3">
      <c r="A149" t="s">
        <v>2501</v>
      </c>
      <c r="B149" t="s">
        <v>2502</v>
      </c>
      <c r="C149" t="s">
        <v>1972</v>
      </c>
      <c r="D149">
        <v>2736</v>
      </c>
      <c r="E149" t="s">
        <v>811</v>
      </c>
    </row>
    <row r="150" spans="1:5" x14ac:dyDescent="0.3">
      <c r="A150" t="s">
        <v>2477</v>
      </c>
      <c r="B150" t="s">
        <v>2478</v>
      </c>
      <c r="C150" t="s">
        <v>2027</v>
      </c>
      <c r="D150">
        <v>2737</v>
      </c>
      <c r="E150" t="s">
        <v>800</v>
      </c>
    </row>
    <row r="151" spans="1:5" x14ac:dyDescent="0.3">
      <c r="A151" t="s">
        <v>2479</v>
      </c>
      <c r="B151" t="s">
        <v>2480</v>
      </c>
      <c r="C151" t="s">
        <v>2027</v>
      </c>
      <c r="D151">
        <v>2737</v>
      </c>
      <c r="E151" t="s">
        <v>800</v>
      </c>
    </row>
    <row r="152" spans="1:5" x14ac:dyDescent="0.3">
      <c r="A152" t="s">
        <v>2481</v>
      </c>
      <c r="B152" t="s">
        <v>2482</v>
      </c>
      <c r="C152" t="s">
        <v>2027</v>
      </c>
      <c r="D152">
        <v>2737</v>
      </c>
      <c r="E152" t="s">
        <v>800</v>
      </c>
    </row>
    <row r="153" spans="1:5" x14ac:dyDescent="0.3">
      <c r="A153" t="s">
        <v>2483</v>
      </c>
      <c r="B153" t="s">
        <v>2484</v>
      </c>
      <c r="C153" t="s">
        <v>2027</v>
      </c>
      <c r="D153">
        <v>2737</v>
      </c>
      <c r="E153" t="s">
        <v>800</v>
      </c>
    </row>
    <row r="154" spans="1:5" x14ac:dyDescent="0.3">
      <c r="A154" t="s">
        <v>2485</v>
      </c>
      <c r="B154" t="s">
        <v>2486</v>
      </c>
      <c r="C154" t="s">
        <v>2027</v>
      </c>
      <c r="D154">
        <v>2737</v>
      </c>
      <c r="E154" t="s">
        <v>800</v>
      </c>
    </row>
    <row r="155" spans="1:5" x14ac:dyDescent="0.3">
      <c r="A155" t="s">
        <v>2487</v>
      </c>
      <c r="B155" t="s">
        <v>2488</v>
      </c>
      <c r="C155" t="s">
        <v>2027</v>
      </c>
      <c r="D155">
        <v>2737</v>
      </c>
      <c r="E155" t="s">
        <v>800</v>
      </c>
    </row>
    <row r="156" spans="1:5" x14ac:dyDescent="0.3">
      <c r="A156" t="s">
        <v>2489</v>
      </c>
      <c r="B156" t="s">
        <v>2490</v>
      </c>
      <c r="C156" t="s">
        <v>2027</v>
      </c>
      <c r="D156">
        <v>2737</v>
      </c>
      <c r="E156" t="s">
        <v>800</v>
      </c>
    </row>
    <row r="157" spans="1:5" x14ac:dyDescent="0.3">
      <c r="A157" t="s">
        <v>2491</v>
      </c>
      <c r="B157" t="s">
        <v>2492</v>
      </c>
      <c r="C157" t="s">
        <v>2027</v>
      </c>
      <c r="D157">
        <v>2737</v>
      </c>
      <c r="E157" t="s">
        <v>800</v>
      </c>
    </row>
    <row r="158" spans="1:5" x14ac:dyDescent="0.3">
      <c r="A158" t="s">
        <v>2493</v>
      </c>
      <c r="B158" t="s">
        <v>2494</v>
      </c>
      <c r="C158" t="s">
        <v>2027</v>
      </c>
      <c r="D158">
        <v>2737</v>
      </c>
      <c r="E158" t="s">
        <v>800</v>
      </c>
    </row>
    <row r="159" spans="1:5" x14ac:dyDescent="0.3">
      <c r="A159" t="s">
        <v>2495</v>
      </c>
      <c r="B159" t="s">
        <v>2496</v>
      </c>
      <c r="C159" t="s">
        <v>2027</v>
      </c>
      <c r="D159">
        <v>2737</v>
      </c>
      <c r="E159" t="s">
        <v>800</v>
      </c>
    </row>
    <row r="160" spans="1:5" x14ac:dyDescent="0.3">
      <c r="A160" t="s">
        <v>2497</v>
      </c>
      <c r="B160" t="s">
        <v>2498</v>
      </c>
      <c r="C160" t="s">
        <v>2027</v>
      </c>
      <c r="D160">
        <v>2737</v>
      </c>
      <c r="E160" t="s">
        <v>800</v>
      </c>
    </row>
    <row r="161" spans="1:5" x14ac:dyDescent="0.3">
      <c r="A161" t="s">
        <v>2499</v>
      </c>
      <c r="B161" t="s">
        <v>2500</v>
      </c>
      <c r="C161" t="s">
        <v>2027</v>
      </c>
      <c r="D161">
        <v>2737</v>
      </c>
      <c r="E161" t="s">
        <v>800</v>
      </c>
    </row>
    <row r="162" spans="1:5" x14ac:dyDescent="0.3">
      <c r="A162" t="s">
        <v>2501</v>
      </c>
      <c r="B162" t="s">
        <v>2502</v>
      </c>
      <c r="C162" t="s">
        <v>2027</v>
      </c>
      <c r="D162">
        <v>2737</v>
      </c>
      <c r="E162" t="s">
        <v>800</v>
      </c>
    </row>
    <row r="163" spans="1:5" x14ac:dyDescent="0.3">
      <c r="A163" t="s">
        <v>2477</v>
      </c>
      <c r="B163" t="s">
        <v>2478</v>
      </c>
      <c r="C163" t="s">
        <v>2029</v>
      </c>
      <c r="D163">
        <v>2748</v>
      </c>
      <c r="E163" t="s">
        <v>804</v>
      </c>
    </row>
    <row r="164" spans="1:5" x14ac:dyDescent="0.3">
      <c r="A164" t="s">
        <v>2479</v>
      </c>
      <c r="B164" t="s">
        <v>2480</v>
      </c>
      <c r="C164" t="s">
        <v>2029</v>
      </c>
      <c r="D164">
        <v>2748</v>
      </c>
      <c r="E164" t="s">
        <v>804</v>
      </c>
    </row>
    <row r="165" spans="1:5" x14ac:dyDescent="0.3">
      <c r="A165" t="s">
        <v>2481</v>
      </c>
      <c r="B165" t="s">
        <v>2482</v>
      </c>
      <c r="C165" t="s">
        <v>2029</v>
      </c>
      <c r="D165">
        <v>2748</v>
      </c>
      <c r="E165" t="s">
        <v>804</v>
      </c>
    </row>
    <row r="166" spans="1:5" x14ac:dyDescent="0.3">
      <c r="A166" t="s">
        <v>2483</v>
      </c>
      <c r="B166" t="s">
        <v>2484</v>
      </c>
      <c r="C166" t="s">
        <v>2029</v>
      </c>
      <c r="D166">
        <v>2748</v>
      </c>
      <c r="E166" t="s">
        <v>804</v>
      </c>
    </row>
    <row r="167" spans="1:5" x14ac:dyDescent="0.3">
      <c r="A167" t="s">
        <v>2503</v>
      </c>
      <c r="B167" t="s">
        <v>2504</v>
      </c>
      <c r="C167" t="s">
        <v>2011</v>
      </c>
      <c r="D167">
        <v>2745</v>
      </c>
      <c r="E167" t="s">
        <v>796</v>
      </c>
    </row>
    <row r="168" spans="1:5" x14ac:dyDescent="0.3">
      <c r="A168" t="s">
        <v>2505</v>
      </c>
      <c r="B168" t="s">
        <v>2506</v>
      </c>
      <c r="C168" t="s">
        <v>2014</v>
      </c>
      <c r="D168">
        <v>2747</v>
      </c>
      <c r="E168" t="s">
        <v>885</v>
      </c>
    </row>
    <row r="169" spans="1:5" x14ac:dyDescent="0.3">
      <c r="A169" t="s">
        <v>2507</v>
      </c>
      <c r="B169" t="s">
        <v>2508</v>
      </c>
      <c r="C169" t="s">
        <v>2006</v>
      </c>
      <c r="D169">
        <v>2960</v>
      </c>
      <c r="E169" t="s">
        <v>2509</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B8AF39-A1FD-4D05-A596-21BB26A75511}">
  <dimension ref="A1:I225"/>
  <sheetViews>
    <sheetView zoomScale="80" zoomScaleNormal="80" workbookViewId="0">
      <pane ySplit="1" topLeftCell="A41" activePane="bottomLeft" state="frozen"/>
      <selection pane="bottomLeft" activeCell="A82" sqref="A82:XFD82"/>
    </sheetView>
  </sheetViews>
  <sheetFormatPr defaultColWidth="10.77734375" defaultRowHeight="14.4" x14ac:dyDescent="0.3"/>
  <cols>
    <col min="1" max="1" width="38" customWidth="1"/>
    <col min="2" max="2" width="28.44140625" customWidth="1"/>
    <col min="3" max="3" width="22.21875" style="10" customWidth="1"/>
    <col min="4" max="4" width="12" customWidth="1"/>
    <col min="5" max="5" width="25.21875" customWidth="1"/>
    <col min="6" max="6" width="19.77734375" bestFit="1" customWidth="1"/>
  </cols>
  <sheetData>
    <row r="1" spans="1:9" ht="15.6" x14ac:dyDescent="0.3">
      <c r="A1" s="24" t="s">
        <v>2510</v>
      </c>
      <c r="B1" s="24" t="s">
        <v>2511</v>
      </c>
      <c r="C1" s="24" t="s">
        <v>791</v>
      </c>
      <c r="D1" s="48" t="s">
        <v>2512</v>
      </c>
      <c r="E1" s="48" t="s">
        <v>1531</v>
      </c>
      <c r="F1" s="48" t="s">
        <v>1931</v>
      </c>
    </row>
    <row r="2" spans="1:9" x14ac:dyDescent="0.3">
      <c r="A2" s="25" t="s">
        <v>2556</v>
      </c>
      <c r="B2" s="25"/>
      <c r="C2" s="20"/>
      <c r="D2" t="s">
        <v>2515</v>
      </c>
      <c r="E2" s="26" t="s">
        <v>1947</v>
      </c>
      <c r="F2" t="s">
        <v>1935</v>
      </c>
      <c r="G2">
        <f t="shared" ref="G2:G33" si="0">B2</f>
        <v>0</v>
      </c>
      <c r="H2" t="e">
        <f>VLOOKUP(B2,[6]FEDNA_2019!$A$3:$D$307,2,0)</f>
        <v>#N/A</v>
      </c>
      <c r="I2" t="e">
        <f>VLOOKUP(B2,[6]FEDNA_2019!$A$3:$D$307,4,0)</f>
        <v>#N/A</v>
      </c>
    </row>
    <row r="3" spans="1:9" x14ac:dyDescent="0.3">
      <c r="A3" s="25" t="s">
        <v>2555</v>
      </c>
      <c r="B3" s="25"/>
      <c r="C3" s="20"/>
      <c r="D3" t="s">
        <v>2515</v>
      </c>
      <c r="E3" s="26" t="s">
        <v>1947</v>
      </c>
      <c r="F3" t="s">
        <v>1935</v>
      </c>
      <c r="G3">
        <f t="shared" si="0"/>
        <v>0</v>
      </c>
      <c r="H3" t="e">
        <f>VLOOKUP(B3,[6]FEDNA_2019!$A$3:$D$307,2,0)</f>
        <v>#N/A</v>
      </c>
      <c r="I3" t="e">
        <f>VLOOKUP(B3,[6]FEDNA_2019!$A$3:$D$307,4,0)</f>
        <v>#N/A</v>
      </c>
    </row>
    <row r="4" spans="1:9" ht="15.6" x14ac:dyDescent="0.3">
      <c r="A4" s="25" t="s">
        <v>2769</v>
      </c>
      <c r="B4" s="29" t="s">
        <v>2768</v>
      </c>
      <c r="C4" s="20" t="s">
        <v>1638</v>
      </c>
      <c r="D4" t="s">
        <v>2515</v>
      </c>
      <c r="E4" t="str">
        <f>VLOOKUP(C4,Names_biomass_CB!$A$2:$B$236,2,0)</f>
        <v>Palm Oil</v>
      </c>
      <c r="F4" t="str">
        <f>VLOOKUP(E4,Names_biomass_CB!$B$2:$D$249,3,0)</f>
        <v>Oil</v>
      </c>
      <c r="G4" t="str">
        <f t="shared" si="0"/>
        <v>AC. PALMA</v>
      </c>
      <c r="H4">
        <f>VLOOKUP(B4,[6]FEDNA_2019!$A$3:$D$307,2,0)</f>
        <v>0</v>
      </c>
      <c r="I4">
        <f>VLOOKUP(B4,[6]FEDNA_2019!$A$3:$D$307,4,0)</f>
        <v>0</v>
      </c>
    </row>
    <row r="5" spans="1:9" ht="15.6" x14ac:dyDescent="0.3">
      <c r="A5" s="25" t="s">
        <v>2772</v>
      </c>
      <c r="B5" s="29" t="s">
        <v>2773</v>
      </c>
      <c r="C5" s="20" t="s">
        <v>1626</v>
      </c>
      <c r="D5" t="s">
        <v>2515</v>
      </c>
      <c r="E5" t="str">
        <f>VLOOKUP(C5,Names_biomass_CB!$A$2:$B$236,2,0)</f>
        <v>Soyabean Oil</v>
      </c>
      <c r="F5" t="str">
        <f>VLOOKUP(E5,Names_biomass_CB!$B$2:$D$249,3,0)</f>
        <v>Oil</v>
      </c>
      <c r="G5" t="str">
        <f t="shared" si="0"/>
        <v>AC. SOJA</v>
      </c>
      <c r="H5">
        <f>VLOOKUP(B5,[6]FEDNA_2019!$A$3:$D$307,2,0)</f>
        <v>0</v>
      </c>
      <c r="I5">
        <f>VLOOKUP(B5,[6]FEDNA_2019!$A$3:$D$307,4,0)</f>
        <v>0</v>
      </c>
    </row>
    <row r="6" spans="1:9" ht="15.6" x14ac:dyDescent="0.3">
      <c r="A6" s="25" t="s">
        <v>2767</v>
      </c>
      <c r="B6" s="29" t="s">
        <v>2768</v>
      </c>
      <c r="C6" s="20" t="s">
        <v>1638</v>
      </c>
      <c r="D6" t="s">
        <v>2515</v>
      </c>
      <c r="E6" t="str">
        <f>VLOOKUP(C6,Names_biomass_CB!$A$2:$B$236,2,0)</f>
        <v>Palm Oil</v>
      </c>
      <c r="F6" t="str">
        <f>VLOOKUP(E6,Names_biomass_CB!$B$2:$D$249,3,0)</f>
        <v>Oil</v>
      </c>
      <c r="G6" t="str">
        <f t="shared" si="0"/>
        <v>AC. PALMA</v>
      </c>
      <c r="H6">
        <f>VLOOKUP(B6,[6]FEDNA_2019!$A$3:$D$307,2,0)</f>
        <v>0</v>
      </c>
      <c r="I6">
        <f>VLOOKUP(B6,[6]FEDNA_2019!$A$3:$D$307,4,0)</f>
        <v>0</v>
      </c>
    </row>
    <row r="7" spans="1:9" x14ac:dyDescent="0.3">
      <c r="A7" s="25" t="s">
        <v>2516</v>
      </c>
      <c r="B7" s="25" t="s">
        <v>2514</v>
      </c>
      <c r="C7" s="20"/>
      <c r="D7" t="s">
        <v>2515</v>
      </c>
      <c r="E7" s="26" t="s">
        <v>1946</v>
      </c>
      <c r="F7" t="s">
        <v>1935</v>
      </c>
      <c r="G7" t="str">
        <f t="shared" si="0"/>
        <v>ACIDO PROMEDIO</v>
      </c>
      <c r="H7" t="e" cm="1">
        <f t="array" aca="1" ref="H7" ca="1">buscarv(B7,[6]FEDNA_2019!$A$3:$D$307,2,0)</f>
        <v>#NAME?</v>
      </c>
      <c r="I7">
        <f>VLOOKUP(B7,[6]FEDNA_2019!$A$3:$D$307,4,0)</f>
        <v>0</v>
      </c>
    </row>
    <row r="8" spans="1:9" x14ac:dyDescent="0.3">
      <c r="A8" s="25" t="s">
        <v>2513</v>
      </c>
      <c r="B8" s="25" t="s">
        <v>2514</v>
      </c>
      <c r="C8" s="20"/>
      <c r="D8" t="s">
        <v>2515</v>
      </c>
      <c r="E8" s="26" t="s">
        <v>1946</v>
      </c>
      <c r="F8" t="s">
        <v>1935</v>
      </c>
      <c r="G8" t="str">
        <f t="shared" si="0"/>
        <v>ACIDO PROMEDIO</v>
      </c>
      <c r="H8" t="e" cm="1">
        <f t="array" aca="1" ref="H8" ca="1">buscarv(G8,[6]FEDNA_2019!$A$3:$D$307,2,0)</f>
        <v>#NAME?</v>
      </c>
    </row>
    <row r="9" spans="1:9" ht="15.6" x14ac:dyDescent="0.3">
      <c r="A9" s="25" t="s">
        <v>2548</v>
      </c>
      <c r="B9" s="28" t="s">
        <v>2549</v>
      </c>
      <c r="C9" s="20"/>
      <c r="D9" t="s">
        <v>2515</v>
      </c>
      <c r="E9" s="26" t="s">
        <v>1940</v>
      </c>
      <c r="F9" t="s">
        <v>1935</v>
      </c>
      <c r="G9" t="str">
        <f t="shared" si="0"/>
        <v>ADSORBENTE DE MICOTOXINAS</v>
      </c>
      <c r="H9" t="e">
        <f>VLOOKUP(B9,[6]FEDNA_2019!$A$3:$D$307,2,0)</f>
        <v>#N/A</v>
      </c>
      <c r="I9" t="e">
        <f>VLOOKUP(B9,[6]FEDNA_2019!$A$3:$D$307,4,0)</f>
        <v>#N/A</v>
      </c>
    </row>
    <row r="10" spans="1:9" ht="15.6" x14ac:dyDescent="0.3">
      <c r="A10" s="18" t="s">
        <v>2702</v>
      </c>
      <c r="B10" s="16" t="s">
        <v>2703</v>
      </c>
      <c r="C10" s="30" t="s">
        <v>1769</v>
      </c>
      <c r="D10" t="s">
        <v>2515</v>
      </c>
      <c r="E10" t="str">
        <f>VLOOKUP(C10,Names_biomass_CB!$A$2:$B$236,2,0)</f>
        <v>Fodder legumes</v>
      </c>
      <c r="F10" t="str">
        <f>VLOOKUP(E10,Names_biomass_CB!$B$2:$D$249,3,0)</f>
        <v>Fodder_green</v>
      </c>
      <c r="G10" t="str">
        <f t="shared" si="0"/>
        <v>ALFALFA HENO PROMEDIO</v>
      </c>
      <c r="H10" t="e">
        <f>VLOOKUP(B10,[6]FEDNA_2019!$A$3:$D$307,2,0)</f>
        <v>#N/A</v>
      </c>
      <c r="I10" t="e">
        <f>VLOOKUP(B10,[6]FEDNA_2019!$A$3:$D$307,4,0)</f>
        <v>#N/A</v>
      </c>
    </row>
    <row r="11" spans="1:9" ht="15.6" x14ac:dyDescent="0.3">
      <c r="A11" s="18" t="s">
        <v>2706</v>
      </c>
      <c r="B11" s="16" t="s">
        <v>2703</v>
      </c>
      <c r="C11" s="30" t="s">
        <v>1769</v>
      </c>
      <c r="D11" t="s">
        <v>2515</v>
      </c>
      <c r="E11" t="str">
        <f>VLOOKUP(C11,Names_biomass_CB!$A$2:$B$236,2,0)</f>
        <v>Fodder legumes</v>
      </c>
      <c r="F11" t="str">
        <f>VLOOKUP(E11,Names_biomass_CB!$B$2:$D$249,3,0)</f>
        <v>Fodder_green</v>
      </c>
      <c r="G11" t="str">
        <f t="shared" si="0"/>
        <v>ALFALFA HENO PROMEDIO</v>
      </c>
      <c r="H11" t="e">
        <f>VLOOKUP(B11,[6]FEDNA_2019!$A$3:$D$307,2,0)</f>
        <v>#N/A</v>
      </c>
      <c r="I11" t="e">
        <f>VLOOKUP(B11,[6]FEDNA_2019!$A$3:$D$307,4,0)</f>
        <v>#N/A</v>
      </c>
    </row>
    <row r="12" spans="1:9" ht="15.6" x14ac:dyDescent="0.3">
      <c r="A12" s="25" t="s">
        <v>2776</v>
      </c>
      <c r="B12" s="29" t="s">
        <v>2775</v>
      </c>
      <c r="C12" s="32" t="s">
        <v>1145</v>
      </c>
      <c r="D12" t="s">
        <v>2515</v>
      </c>
      <c r="E12" t="str">
        <f>VLOOKUP(C12,Names_biomass_CB!$A$2:$B$236,2,0)</f>
        <v>Cottonseed</v>
      </c>
      <c r="F12" t="str">
        <f>VLOOKUP(E12,Names_biomass_CB!$B$2:$D$249,3,0)</f>
        <v>Oilseeds</v>
      </c>
      <c r="G12" t="str">
        <f t="shared" si="0"/>
        <v>SEMILLA ALGODON</v>
      </c>
      <c r="H12">
        <f>VLOOKUP(B12,[6]FEDNA_2019!$A$3:$D$307,2,0)</f>
        <v>9.1</v>
      </c>
      <c r="I12">
        <f>VLOOKUP(B12,[6]FEDNA_2019!$A$3:$D$307,4,0)</f>
        <v>20.8</v>
      </c>
    </row>
    <row r="13" spans="1:9" x14ac:dyDescent="0.3">
      <c r="A13" s="25" t="s">
        <v>2570</v>
      </c>
      <c r="B13" s="25" t="s">
        <v>2571</v>
      </c>
      <c r="C13" s="20"/>
      <c r="D13" t="s">
        <v>2515</v>
      </c>
      <c r="E13" s="26" t="s">
        <v>1948</v>
      </c>
      <c r="F13" t="s">
        <v>1935</v>
      </c>
      <c r="G13" t="str">
        <f t="shared" si="0"/>
        <v>ALMIDON</v>
      </c>
      <c r="H13" t="e">
        <f>VLOOKUP(B13,[6]FEDNA_2019!$A$3:$D$307,2,0)</f>
        <v>#N/A</v>
      </c>
      <c r="I13" t="e">
        <f>VLOOKUP(B13,[6]FEDNA_2019!$A$3:$D$307,4,0)</f>
        <v>#N/A</v>
      </c>
    </row>
    <row r="14" spans="1:9" x14ac:dyDescent="0.3">
      <c r="A14" s="25" t="s">
        <v>2532</v>
      </c>
      <c r="B14" s="25" t="s">
        <v>2533</v>
      </c>
      <c r="C14" s="20"/>
      <c r="D14" t="s">
        <v>2515</v>
      </c>
      <c r="E14" s="26" t="s">
        <v>1962</v>
      </c>
      <c r="F14" t="s">
        <v>1935</v>
      </c>
      <c r="G14" t="str">
        <f t="shared" si="0"/>
        <v>AROMA</v>
      </c>
      <c r="H14" t="e">
        <f>VLOOKUP(B14,[6]FEDNA_2019!$A$3:$D$307,2,0)</f>
        <v>#N/A</v>
      </c>
      <c r="I14" t="e">
        <f>VLOOKUP(B14,[6]FEDNA_2019!$A$3:$D$307,4,0)</f>
        <v>#N/A</v>
      </c>
    </row>
    <row r="15" spans="1:9" x14ac:dyDescent="0.3">
      <c r="A15" s="25" t="s">
        <v>2675</v>
      </c>
      <c r="B15" s="25" t="s">
        <v>2676</v>
      </c>
      <c r="C15" s="20" t="s">
        <v>947</v>
      </c>
      <c r="D15" t="s">
        <v>2515</v>
      </c>
      <c r="E15" t="str">
        <f>VLOOKUP(C15,Names_biomass_CB!$A$2:$B$236,2,0)</f>
        <v>Oats</v>
      </c>
      <c r="F15" t="str">
        <f>VLOOKUP(E15,Names_biomass_CB!$B$2:$D$249,3,0)</f>
        <v>Cereals</v>
      </c>
      <c r="G15" t="str">
        <f t="shared" si="0"/>
        <v>AVENA</v>
      </c>
      <c r="H15">
        <f>VLOOKUP(B15,[6]FEDNA_2019!$A$3:$D$307,2,0)</f>
        <v>9.5</v>
      </c>
      <c r="I15">
        <f>VLOOKUP(B15,[6]FEDNA_2019!$A$3:$D$307,4,0)</f>
        <v>9.9</v>
      </c>
    </row>
    <row r="16" spans="1:9" ht="15.6" x14ac:dyDescent="0.3">
      <c r="A16" s="25" t="s">
        <v>2730</v>
      </c>
      <c r="B16" s="34" t="s">
        <v>2731</v>
      </c>
      <c r="C16" s="32" t="s">
        <v>2170</v>
      </c>
      <c r="D16" t="s">
        <v>2515</v>
      </c>
      <c r="E16" t="str">
        <f>VLOOKUP(C16,Names_biomass_CB!$A$2:$B$236,2,0)</f>
        <v>Fodder cereal and grasses</v>
      </c>
      <c r="F16" t="str">
        <f>VLOOKUP(E16,Names_biomass_CB!$B$2:$D$249,3,0)</f>
        <v>Fodder_green</v>
      </c>
      <c r="G16" t="str">
        <f t="shared" si="0"/>
        <v>AVENA ENSILADO</v>
      </c>
      <c r="H16" t="e">
        <f>VLOOKUP(B16,[6]FEDNA_2019!$A$3:$D$307,2,0)</f>
        <v>#N/A</v>
      </c>
      <c r="I16" t="e">
        <f>VLOOKUP(B16,[6]FEDNA_2019!$A$3:$D$307,4,0)</f>
        <v>#N/A</v>
      </c>
    </row>
    <row r="17" spans="1:9" ht="15.6" x14ac:dyDescent="0.3">
      <c r="A17" s="25" t="s">
        <v>2697</v>
      </c>
      <c r="B17" s="29" t="s">
        <v>2698</v>
      </c>
      <c r="C17" s="32" t="s">
        <v>1519</v>
      </c>
      <c r="D17" t="s">
        <v>2515</v>
      </c>
      <c r="E17" t="str">
        <f>VLOOKUP(C17,Names_biomass_CB!$A$2:$B$236,2,0)</f>
        <v>DDGS Barley</v>
      </c>
      <c r="F17" t="str">
        <f>VLOOKUP(E17,Names_biomass_CB!$B$2:$D$249,3,0)</f>
        <v>Cakes</v>
      </c>
      <c r="G17" t="str">
        <f t="shared" si="0"/>
        <v>BAGAZO CERVEZA</v>
      </c>
      <c r="H17">
        <f>VLOOKUP(B17,[6]FEDNA_2019!$A$3:$D$307,2,0)</f>
        <v>8.5</v>
      </c>
      <c r="I17">
        <f>VLOOKUP(B17,[6]FEDNA_2019!$A$3:$D$307,4,0)</f>
        <v>24.3</v>
      </c>
    </row>
    <row r="18" spans="1:9" x14ac:dyDescent="0.3">
      <c r="A18" s="25" t="s">
        <v>2796</v>
      </c>
      <c r="B18" s="25" t="s">
        <v>2797</v>
      </c>
      <c r="C18" s="20" t="s">
        <v>2132</v>
      </c>
      <c r="D18" t="s">
        <v>2515</v>
      </c>
      <c r="E18" t="s">
        <v>2131</v>
      </c>
      <c r="F18" t="str">
        <f>VLOOKUP(E18,Names_biomass_CB!$B$2:$D$249,3,0)</f>
        <v>Acorns</v>
      </c>
      <c r="G18" t="str">
        <f t="shared" si="0"/>
        <v>BELLOTA DECORTICADA</v>
      </c>
      <c r="H18">
        <f>VLOOKUP(B18,[6]FEDNA_2019!$A$3:$D$307,2,0)</f>
        <v>42.8</v>
      </c>
      <c r="I18">
        <f>VLOOKUP(B18,[6]FEDNA_2019!$A$3:$D$307,4,0)</f>
        <v>3.2</v>
      </c>
    </row>
    <row r="19" spans="1:9" ht="15.6" x14ac:dyDescent="0.3">
      <c r="A19" s="25" t="s">
        <v>2521</v>
      </c>
      <c r="B19" s="29" t="s">
        <v>2522</v>
      </c>
      <c r="C19" s="20"/>
      <c r="D19" t="s">
        <v>2515</v>
      </c>
      <c r="E19" s="26" t="s">
        <v>1961</v>
      </c>
      <c r="F19" t="s">
        <v>1935</v>
      </c>
      <c r="G19" t="str">
        <f t="shared" si="0"/>
        <v>BICARBONATO SODICO</v>
      </c>
      <c r="H19">
        <f>VLOOKUP(B19,[6]FEDNA_2019!$A$3:$D$307,2,0)</f>
        <v>0.2</v>
      </c>
      <c r="I19">
        <f>VLOOKUP(B19,[6]FEDNA_2019!$A$3:$D$307,4,0)</f>
        <v>0</v>
      </c>
    </row>
    <row r="20" spans="1:9" ht="15.6" x14ac:dyDescent="0.3">
      <c r="A20" s="25" t="s">
        <v>2563</v>
      </c>
      <c r="B20" s="28" t="s">
        <v>2564</v>
      </c>
      <c r="C20" s="20"/>
      <c r="D20" t="s">
        <v>2515</v>
      </c>
      <c r="E20" s="26" t="s">
        <v>1958</v>
      </c>
      <c r="F20" t="s">
        <v>1935</v>
      </c>
      <c r="G20" t="str">
        <f t="shared" si="0"/>
        <v>BUTIRATO SODICO</v>
      </c>
      <c r="H20" t="str">
        <f>VLOOKUP(B20,[6]FEDNA_2019!$A$3:$D$307,2,0)</f>
        <v>.</v>
      </c>
      <c r="I20">
        <f>VLOOKUP(B20,[6]FEDNA_2019!$A$3:$D$307,4,0)</f>
        <v>0</v>
      </c>
    </row>
    <row r="21" spans="1:9" x14ac:dyDescent="0.3">
      <c r="A21" s="25" t="s">
        <v>2526</v>
      </c>
      <c r="B21" s="25" t="s">
        <v>2524</v>
      </c>
      <c r="C21" s="20"/>
      <c r="D21" t="s">
        <v>2515</v>
      </c>
      <c r="E21" s="26" t="s">
        <v>1959</v>
      </c>
      <c r="F21" t="s">
        <v>1935</v>
      </c>
      <c r="G21" t="str">
        <f t="shared" si="0"/>
        <v>CARBONATO CALCICO</v>
      </c>
      <c r="H21">
        <f>VLOOKUP(B21,[6]FEDNA_2019!$A$3:$D$307,2,0)</f>
        <v>2</v>
      </c>
      <c r="I21">
        <f>VLOOKUP(B21,[6]FEDNA_2019!$A$3:$D$307,4,0)</f>
        <v>0</v>
      </c>
    </row>
    <row r="22" spans="1:9" ht="15.6" x14ac:dyDescent="0.3">
      <c r="A22" s="25" t="s">
        <v>2523</v>
      </c>
      <c r="B22" s="25" t="s">
        <v>2524</v>
      </c>
      <c r="C22" s="32"/>
      <c r="E22" s="26" t="s">
        <v>1959</v>
      </c>
      <c r="F22" t="s">
        <v>1935</v>
      </c>
      <c r="G22" t="str">
        <f t="shared" si="0"/>
        <v>CARBONATO CALCICO</v>
      </c>
      <c r="H22">
        <f>VLOOKUP(B22,[6]FEDNA_2019!$A$3:$D$307,2,0)</f>
        <v>2</v>
      </c>
      <c r="I22">
        <f>VLOOKUP(B22,[6]FEDNA_2019!$A$3:$D$307,4,0)</f>
        <v>0</v>
      </c>
    </row>
    <row r="23" spans="1:9" x14ac:dyDescent="0.3">
      <c r="A23" s="25" t="s">
        <v>2525</v>
      </c>
      <c r="B23" s="25" t="s">
        <v>2524</v>
      </c>
      <c r="C23" s="20"/>
      <c r="D23" t="s">
        <v>2515</v>
      </c>
      <c r="E23" s="26" t="s">
        <v>1959</v>
      </c>
      <c r="F23" t="s">
        <v>1935</v>
      </c>
      <c r="G23" t="str">
        <f t="shared" si="0"/>
        <v>CARBONATO CALCICO</v>
      </c>
      <c r="H23">
        <f>VLOOKUP(B23,[6]FEDNA_2019!$A$3:$D$307,2,0)</f>
        <v>2</v>
      </c>
      <c r="I23">
        <f>VLOOKUP(B23,[6]FEDNA_2019!$A$3:$D$307,4,0)</f>
        <v>0</v>
      </c>
    </row>
    <row r="24" spans="1:9" ht="15.6" x14ac:dyDescent="0.3">
      <c r="A24" s="25" t="s">
        <v>2559</v>
      </c>
      <c r="B24" s="29" t="s">
        <v>2560</v>
      </c>
      <c r="C24" s="20"/>
      <c r="D24" t="s">
        <v>2515</v>
      </c>
      <c r="E24" s="26" t="s">
        <v>1942</v>
      </c>
      <c r="F24" t="s">
        <v>1935</v>
      </c>
      <c r="G24" t="str">
        <f t="shared" si="0"/>
        <v>CARBONATO POTASICO</v>
      </c>
      <c r="H24" t="e">
        <f>VLOOKUP(B24,[6]FEDNA_2019!$A$3:$D$307,2,0)</f>
        <v>#N/A</v>
      </c>
      <c r="I24" t="e">
        <f>VLOOKUP(B24,[6]FEDNA_2019!$A$3:$D$307,4,0)</f>
        <v>#N/A</v>
      </c>
    </row>
    <row r="25" spans="1:9" ht="15.6" x14ac:dyDescent="0.3">
      <c r="A25" s="18" t="s">
        <v>2599</v>
      </c>
      <c r="B25" s="18" t="s">
        <v>2600</v>
      </c>
      <c r="C25" s="30" t="s">
        <v>2089</v>
      </c>
      <c r="D25" t="s">
        <v>2515</v>
      </c>
      <c r="E25" t="str">
        <f>VLOOKUP(C25,Names_biomass_CB!$A$2:$B$218,2,0)</f>
        <v>Brans</v>
      </c>
      <c r="F25" t="str">
        <f>VLOOKUP(E25,Names_biomass_CB!$B$2:$D$249,3,0)</f>
        <v>Brans</v>
      </c>
      <c r="G25" t="str">
        <f t="shared" si="0"/>
        <v>CASCARILLA AVENA</v>
      </c>
      <c r="H25">
        <f>VLOOKUP(B25,[6]FEDNA_2019!$A$3:$D$307,2,0)</f>
        <v>10</v>
      </c>
      <c r="I25">
        <f>VLOOKUP(B25,[6]FEDNA_2019!$A$3:$D$307,4,0)</f>
        <v>3.8</v>
      </c>
    </row>
    <row r="26" spans="1:9" ht="15.6" x14ac:dyDescent="0.3">
      <c r="A26" s="25" t="s">
        <v>2614</v>
      </c>
      <c r="B26" s="28" t="s">
        <v>2615</v>
      </c>
      <c r="C26" s="32" t="s">
        <v>1520</v>
      </c>
      <c r="D26" t="s">
        <v>2515</v>
      </c>
      <c r="E26" t="str">
        <f>VLOOKUP(C26,Names_biomass_CB!$A$2:$B$236,2,0)</f>
        <v>Soy hulls</v>
      </c>
      <c r="F26" t="str">
        <f>VLOOKUP(E26,Names_biomass_CB!$B$2:$D$249,3,0)</f>
        <v>Brans</v>
      </c>
      <c r="G26" t="str">
        <f t="shared" si="0"/>
        <v>CASCARILLA DE SOJA</v>
      </c>
      <c r="H26" t="e">
        <f>VLOOKUP(B26,[6]FEDNA_2019!$A$3:$D$307,2,0)</f>
        <v>#N/A</v>
      </c>
      <c r="I26" t="e">
        <f>VLOOKUP(B26,[6]FEDNA_2019!$A$3:$D$307,4,0)</f>
        <v>#N/A</v>
      </c>
    </row>
    <row r="27" spans="1:9" ht="15.6" x14ac:dyDescent="0.3">
      <c r="A27" s="18" t="s">
        <v>2611</v>
      </c>
      <c r="B27" s="18" t="s">
        <v>2612</v>
      </c>
      <c r="C27" s="30" t="s">
        <v>1520</v>
      </c>
      <c r="D27" t="s">
        <v>2515</v>
      </c>
      <c r="E27" t="str">
        <f>C27</f>
        <v>Soy hulls</v>
      </c>
      <c r="F27" t="str">
        <f>VLOOKUP(E27,Names_biomass_CB!$B$2:$D$249,3,0)</f>
        <v>Brans</v>
      </c>
      <c r="G27" t="str">
        <f t="shared" si="0"/>
        <v>CASCARILLA SOJA 10%PB</v>
      </c>
      <c r="H27">
        <f>VLOOKUP(B27,[6]FEDNA_2019!$A$3:$D$307,2,0)</f>
        <v>11.7</v>
      </c>
      <c r="I27">
        <f>VLOOKUP(B27,[6]FEDNA_2019!$A$3:$D$307,4,0)</f>
        <v>10</v>
      </c>
    </row>
    <row r="28" spans="1:9" ht="15.6" x14ac:dyDescent="0.3">
      <c r="A28" s="25" t="s">
        <v>2655</v>
      </c>
      <c r="B28" s="42" t="s">
        <v>2651</v>
      </c>
      <c r="C28" s="20" t="s">
        <v>919</v>
      </c>
      <c r="D28" t="s">
        <v>2515</v>
      </c>
      <c r="E28" t="str">
        <f>VLOOKUP(C28,Names_biomass_CB!$A$2:$B$236,2,0)</f>
        <v>Barley and products</v>
      </c>
      <c r="F28" t="str">
        <f>VLOOKUP(E28,Names_biomass_CB!$B$2:$D$249,3,0)</f>
        <v>Cereals</v>
      </c>
      <c r="G28" t="str">
        <f t="shared" si="0"/>
        <v>CEBADA PROMEDIO</v>
      </c>
      <c r="H28">
        <f>VLOOKUP(B28,[6]FEDNA_2019!$A$3:$D$307,2,0)</f>
        <v>10.6</v>
      </c>
      <c r="I28">
        <f>VLOOKUP(B28,[6]FEDNA_2019!$A$3:$D$307,4,0)</f>
        <v>10.45</v>
      </c>
    </row>
    <row r="29" spans="1:9" ht="15.6" x14ac:dyDescent="0.3">
      <c r="A29" s="18" t="s">
        <v>2648</v>
      </c>
      <c r="B29" s="18" t="s">
        <v>2649</v>
      </c>
      <c r="C29" s="30" t="s">
        <v>919</v>
      </c>
      <c r="D29" t="s">
        <v>2515</v>
      </c>
      <c r="E29" t="str">
        <f>VLOOKUP(C29,Names_biomass_CB!$A$2:$B$236,2,0)</f>
        <v>Barley and products</v>
      </c>
      <c r="F29" t="str">
        <f>VLOOKUP(E29,Names_biomass_CB!$B$2:$D$249,3,0)</f>
        <v>Cereals</v>
      </c>
      <c r="G29" t="str">
        <f t="shared" si="0"/>
        <v>CEBADA 2C 11.3 PB</v>
      </c>
      <c r="H29">
        <f>VLOOKUP(B29,[6]FEDNA_2019!$A$3:$D$307,2,0)</f>
        <v>10.1</v>
      </c>
      <c r="I29">
        <f>VLOOKUP(B29,[6]FEDNA_2019!$A$3:$D$307,4,0)</f>
        <v>11.3</v>
      </c>
    </row>
    <row r="30" spans="1:9" ht="15.6" x14ac:dyDescent="0.3">
      <c r="A30" s="25" t="s">
        <v>2650</v>
      </c>
      <c r="B30" s="42" t="s">
        <v>2651</v>
      </c>
      <c r="C30" s="30" t="s">
        <v>919</v>
      </c>
      <c r="D30" t="s">
        <v>2515</v>
      </c>
      <c r="E30" t="str">
        <f>VLOOKUP(C30,Names_biomass_CB!$A$2:$B$236,2,0)</f>
        <v>Barley and products</v>
      </c>
      <c r="F30" t="str">
        <f>VLOOKUP(E30,Names_biomass_CB!$B$2:$D$249,3,0)</f>
        <v>Cereals</v>
      </c>
      <c r="G30" t="str">
        <f t="shared" si="0"/>
        <v>CEBADA PROMEDIO</v>
      </c>
      <c r="H30">
        <f>VLOOKUP(B30,[6]FEDNA_2019!$A$3:$D$307,2,0)</f>
        <v>10.6</v>
      </c>
      <c r="I30">
        <f>VLOOKUP(B30,[6]FEDNA_2019!$A$3:$D$307,4,0)</f>
        <v>10.45</v>
      </c>
    </row>
    <row r="31" spans="1:9" ht="15.6" x14ac:dyDescent="0.3">
      <c r="A31" s="25" t="s">
        <v>2654</v>
      </c>
      <c r="B31" s="42" t="s">
        <v>2651</v>
      </c>
      <c r="C31" s="20" t="s">
        <v>919</v>
      </c>
      <c r="D31" t="s">
        <v>2515</v>
      </c>
      <c r="E31" t="str">
        <f>VLOOKUP(C31,Names_biomass_CB!$A$2:$B$236,2,0)</f>
        <v>Barley and products</v>
      </c>
      <c r="F31" t="str">
        <f>VLOOKUP(E31,Names_biomass_CB!$B$2:$D$249,3,0)</f>
        <v>Cereals</v>
      </c>
      <c r="G31" t="str">
        <f t="shared" si="0"/>
        <v>CEBADA PROMEDIO</v>
      </c>
      <c r="H31">
        <f>VLOOKUP(B31,[6]FEDNA_2019!$A$3:$D$307,2,0)</f>
        <v>10.6</v>
      </c>
      <c r="I31">
        <f>VLOOKUP(B31,[6]FEDNA_2019!$A$3:$D$307,4,0)</f>
        <v>10.45</v>
      </c>
    </row>
    <row r="32" spans="1:9" ht="15.6" x14ac:dyDescent="0.3">
      <c r="A32" s="25" t="s">
        <v>2652</v>
      </c>
      <c r="B32" s="42" t="s">
        <v>2651</v>
      </c>
      <c r="C32" s="30" t="s">
        <v>919</v>
      </c>
      <c r="D32" t="s">
        <v>2515</v>
      </c>
      <c r="E32" t="str">
        <f>VLOOKUP(C32,Names_biomass_CB!$A$2:$B$236,2,0)</f>
        <v>Barley and products</v>
      </c>
      <c r="F32" t="str">
        <f>VLOOKUP(E32,Names_biomass_CB!$B$2:$D$249,3,0)</f>
        <v>Cereals</v>
      </c>
      <c r="G32" t="str">
        <f t="shared" si="0"/>
        <v>CEBADA PROMEDIO</v>
      </c>
      <c r="H32">
        <f>VLOOKUP(B32,[6]FEDNA_2019!$A$3:$D$307,2,0)</f>
        <v>10.6</v>
      </c>
      <c r="I32">
        <f>VLOOKUP(B32,[6]FEDNA_2019!$A$3:$D$307,4,0)</f>
        <v>10.45</v>
      </c>
    </row>
    <row r="33" spans="1:9" ht="15.6" x14ac:dyDescent="0.3">
      <c r="A33" s="25" t="s">
        <v>2707</v>
      </c>
      <c r="B33" s="17" t="s">
        <v>2708</v>
      </c>
      <c r="C33" s="30" t="s">
        <v>2161</v>
      </c>
      <c r="D33" t="s">
        <v>2515</v>
      </c>
      <c r="E33" t="str">
        <f>VLOOKUP(C33,Names_biomass_CB!$A$2:$B$236,2,0)</f>
        <v>Fodder cereal and grasses</v>
      </c>
      <c r="F33" t="str">
        <f>VLOOKUP(E33,Names_biomass_CB!$B$2:$D$249,3,0)</f>
        <v>Fodder_green</v>
      </c>
      <c r="G33" t="str">
        <f t="shared" si="0"/>
        <v>CEBADA SILO PROMEDIO</v>
      </c>
      <c r="H33" t="e">
        <f>VLOOKUP(B33,[6]FEDNA_2019!$A$3:$D$307,2,0)</f>
        <v>#N/A</v>
      </c>
      <c r="I33" t="e">
        <f>VLOOKUP(B33,[6]FEDNA_2019!$A$3:$D$307,4,0)</f>
        <v>#N/A</v>
      </c>
    </row>
    <row r="34" spans="1:9" ht="15.6" x14ac:dyDescent="0.3">
      <c r="A34" s="25" t="s">
        <v>2517</v>
      </c>
      <c r="B34" s="25" t="s">
        <v>2518</v>
      </c>
      <c r="C34" s="32"/>
      <c r="E34" s="26" t="s">
        <v>1953</v>
      </c>
      <c r="F34" t="s">
        <v>1935</v>
      </c>
      <c r="G34" t="str">
        <f t="shared" ref="G34:G65" si="1">B34</f>
        <v>CLORURO AMONICO</v>
      </c>
      <c r="H34" t="e" cm="1">
        <f t="array" aca="1" ref="H34" ca="1">buscarv(B34,[6]FEDNA_2019!$A$3:$D$307,2,0)</f>
        <v>#NAME?</v>
      </c>
      <c r="I34">
        <f>VLOOKUP(B34,[6]FEDNA_2019!$A$3:$D$307,4,0)</f>
        <v>163.6</v>
      </c>
    </row>
    <row r="35" spans="1:9" x14ac:dyDescent="0.3">
      <c r="A35" s="25" t="s">
        <v>2529</v>
      </c>
      <c r="B35" s="25"/>
      <c r="C35" s="20"/>
      <c r="D35" t="s">
        <v>2515</v>
      </c>
      <c r="E35" s="26" t="s">
        <v>1933</v>
      </c>
      <c r="F35" t="s">
        <v>1935</v>
      </c>
      <c r="G35">
        <f t="shared" si="1"/>
        <v>0</v>
      </c>
      <c r="H35" t="e">
        <f>VLOOKUP(B35,[6]FEDNA_2019!$A$3:$D$307,2,0)</f>
        <v>#N/A</v>
      </c>
      <c r="I35" t="e">
        <f>VLOOKUP(B35,[6]FEDNA_2019!$A$3:$D$307,4,0)</f>
        <v>#N/A</v>
      </c>
    </row>
    <row r="36" spans="1:9" x14ac:dyDescent="0.3">
      <c r="A36" s="25" t="s">
        <v>2547</v>
      </c>
      <c r="B36" s="25"/>
      <c r="C36" s="20"/>
      <c r="D36" t="s">
        <v>2515</v>
      </c>
      <c r="E36" s="26" t="s">
        <v>1940</v>
      </c>
      <c r="F36" t="s">
        <v>1935</v>
      </c>
      <c r="G36">
        <f t="shared" si="1"/>
        <v>0</v>
      </c>
      <c r="H36" t="e">
        <f>VLOOKUP(B36,[6]FEDNA_2019!$A$3:$D$307,2,0)</f>
        <v>#N/A</v>
      </c>
      <c r="I36" t="e">
        <f>VLOOKUP(B36,[6]FEDNA_2019!$A$3:$D$307,4,0)</f>
        <v>#N/A</v>
      </c>
    </row>
    <row r="37" spans="1:9" ht="15.6" x14ac:dyDescent="0.3">
      <c r="A37" s="18" t="s">
        <v>2618</v>
      </c>
      <c r="B37" s="25" t="s">
        <v>2619</v>
      </c>
      <c r="C37" s="38" t="s">
        <v>2074</v>
      </c>
      <c r="D37" t="s">
        <v>2515</v>
      </c>
      <c r="E37" t="str">
        <f>VLOOKUP(C37,Names_biomass_CB!$A$2:$B$236,2,0)</f>
        <v>Rape and Mustard Cake</v>
      </c>
      <c r="F37" t="str">
        <f>VLOOKUP(E37,Names_biomass_CB!$B$2:$D$249,3,0)</f>
        <v>Cakes</v>
      </c>
      <c r="G37" t="str">
        <f t="shared" si="1"/>
        <v>HNA. COLZA 00 SOLVENTES 33%PB</v>
      </c>
      <c r="H37">
        <f>VLOOKUP(B37,[6]FEDNA_2019!$A$3:$D$307,2,0)</f>
        <v>11.6</v>
      </c>
      <c r="I37">
        <f>VLOOKUP(B37,[6]FEDNA_2019!$A$3:$D$307,4,0)</f>
        <v>33</v>
      </c>
    </row>
    <row r="38" spans="1:9" ht="15.6" x14ac:dyDescent="0.3">
      <c r="A38" s="18" t="s">
        <v>2625</v>
      </c>
      <c r="B38" s="18" t="s">
        <v>2626</v>
      </c>
      <c r="C38" s="38" t="s">
        <v>1065</v>
      </c>
      <c r="D38" t="s">
        <v>2515</v>
      </c>
      <c r="E38" t="str">
        <f>VLOOKUP(C38,Names_biomass_CB!$A$2:$B$236,2,0)</f>
        <v>Soyabean Cake</v>
      </c>
      <c r="F38" t="str">
        <f>VLOOKUP(E38,Names_biomass_CB!$B$2:$D$249,3,0)</f>
        <v>Cakes</v>
      </c>
      <c r="G38" t="str">
        <f t="shared" si="1"/>
        <v>CONC.PROTEINA SOJA-EXTR.</v>
      </c>
      <c r="H38">
        <f>VLOOKUP(B38,[6]FEDNA_2019!$A$3:$D$307,2,0)</f>
        <v>7</v>
      </c>
      <c r="I38">
        <f>VLOOKUP(B38,[6]FEDNA_2019!$A$3:$D$307,4,0)</f>
        <v>65</v>
      </c>
    </row>
    <row r="39" spans="1:9" ht="15.6" x14ac:dyDescent="0.3">
      <c r="A39" s="25" t="s">
        <v>2583</v>
      </c>
      <c r="B39" s="28" t="s">
        <v>2584</v>
      </c>
      <c r="C39" s="20"/>
      <c r="D39" t="s">
        <v>2515</v>
      </c>
      <c r="E39" s="26" t="s">
        <v>1945</v>
      </c>
      <c r="F39" t="s">
        <v>1935</v>
      </c>
      <c r="G39" t="str">
        <f t="shared" si="1"/>
        <v>CORRECTOR VITAMINICO MINERAL</v>
      </c>
      <c r="H39" t="e">
        <f>VLOOKUP(B39,[6]FEDNA_2019!$A$3:$D$307,2,0)</f>
        <v>#N/A</v>
      </c>
      <c r="I39" t="e">
        <f>VLOOKUP(B39,[6]FEDNA_2019!$A$3:$D$307,4,0)</f>
        <v>#N/A</v>
      </c>
    </row>
    <row r="40" spans="1:9" x14ac:dyDescent="0.3">
      <c r="A40" s="25" t="s">
        <v>2589</v>
      </c>
      <c r="B40" s="25"/>
      <c r="C40" s="20"/>
      <c r="D40" t="s">
        <v>2515</v>
      </c>
      <c r="E40" s="26" t="s">
        <v>1945</v>
      </c>
      <c r="F40" t="s">
        <v>1935</v>
      </c>
      <c r="G40">
        <f t="shared" si="1"/>
        <v>0</v>
      </c>
      <c r="H40" t="e">
        <f>VLOOKUP(B40,[6]FEDNA_2019!$A$3:$D$307,2,0)</f>
        <v>#N/A</v>
      </c>
      <c r="I40" t="e">
        <f>VLOOKUP(B40,[6]FEDNA_2019!$A$3:$D$307,4,0)</f>
        <v>#N/A</v>
      </c>
    </row>
    <row r="41" spans="1:9" ht="15.6" x14ac:dyDescent="0.3">
      <c r="A41" t="s">
        <v>2590</v>
      </c>
      <c r="B41" s="28" t="s">
        <v>2584</v>
      </c>
      <c r="C41" s="20"/>
      <c r="D41" t="s">
        <v>2515</v>
      </c>
      <c r="E41" s="26" t="s">
        <v>1945</v>
      </c>
      <c r="F41" t="s">
        <v>1935</v>
      </c>
      <c r="G41" t="str">
        <f t="shared" si="1"/>
        <v>CORRECTOR VITAMINICO MINERAL</v>
      </c>
      <c r="H41" t="e">
        <f>VLOOKUP(B41,[6]FEDNA_2019!$A$3:$D$307,2,0)</f>
        <v>#N/A</v>
      </c>
      <c r="I41" t="e">
        <f>VLOOKUP(B41,[6]FEDNA_2019!$A$3:$D$307,4,0)</f>
        <v>#N/A</v>
      </c>
    </row>
    <row r="42" spans="1:9" ht="15.6" x14ac:dyDescent="0.3">
      <c r="A42" s="25" t="s">
        <v>2692</v>
      </c>
      <c r="B42" s="41" t="s">
        <v>2693</v>
      </c>
      <c r="C42" s="30" t="s">
        <v>2090</v>
      </c>
      <c r="D42" t="s">
        <v>2515</v>
      </c>
      <c r="E42" t="str">
        <f>VLOOKUP(C42,Names_biomass_CB!$A$2:$B$236,2,0)</f>
        <v>Cake, maize</v>
      </c>
      <c r="F42" t="str">
        <f>VLOOKUP(E42,Names_biomass_CB!$B$2:$D$249,3,0)</f>
        <v>Cakes</v>
      </c>
      <c r="G42" t="str">
        <f t="shared" si="1"/>
        <v>DDGS MAIZ PROMEDIO</v>
      </c>
      <c r="H42">
        <f>VLOOKUP(B42,[6]FEDNA_2019!$A$3:$D$307,2,0)</f>
        <v>10.266666666666666</v>
      </c>
      <c r="I42">
        <f>VLOOKUP(B42,[6]FEDNA_2019!$A$3:$D$307,4,0)</f>
        <v>27.633333333333336</v>
      </c>
    </row>
    <row r="43" spans="1:9" ht="15.6" x14ac:dyDescent="0.3">
      <c r="A43" s="25" t="s">
        <v>2694</v>
      </c>
      <c r="B43" s="41" t="s">
        <v>2693</v>
      </c>
      <c r="C43" s="30" t="s">
        <v>2090</v>
      </c>
      <c r="D43" t="s">
        <v>2515</v>
      </c>
      <c r="E43" t="str">
        <f>VLOOKUP(C43,Names_biomass_CB!$A$2:$B$236,2,0)</f>
        <v>Cake, maize</v>
      </c>
      <c r="F43" t="str">
        <f>VLOOKUP(E43,Names_biomass_CB!$B$2:$D$249,3,0)</f>
        <v>Cakes</v>
      </c>
      <c r="G43" t="str">
        <f t="shared" si="1"/>
        <v>DDGS MAIZ PROMEDIO</v>
      </c>
      <c r="H43">
        <f>VLOOKUP(B43,[6]FEDNA_2019!$A$3:$D$307,2,0)</f>
        <v>10.266666666666666</v>
      </c>
      <c r="I43">
        <f>VLOOKUP(B43,[6]FEDNA_2019!$A$3:$D$307,4,0)</f>
        <v>27.633333333333336</v>
      </c>
    </row>
    <row r="44" spans="1:9" x14ac:dyDescent="0.3">
      <c r="A44" s="25" t="s">
        <v>2531</v>
      </c>
      <c r="B44" s="25"/>
      <c r="C44" s="20"/>
      <c r="D44" t="s">
        <v>2515</v>
      </c>
      <c r="E44" s="26" t="s">
        <v>1960</v>
      </c>
      <c r="F44" t="s">
        <v>1935</v>
      </c>
      <c r="G44">
        <f t="shared" si="1"/>
        <v>0</v>
      </c>
      <c r="H44" t="e">
        <f>VLOOKUP(B44,[6]FEDNA_2019!$A$3:$D$307,2,0)</f>
        <v>#N/A</v>
      </c>
      <c r="I44" t="e">
        <f>VLOOKUP(B44,[6]FEDNA_2019!$A$3:$D$307,4,0)</f>
        <v>#N/A</v>
      </c>
    </row>
    <row r="45" spans="1:9" x14ac:dyDescent="0.3">
      <c r="A45" s="25" t="s">
        <v>2530</v>
      </c>
      <c r="B45" s="25"/>
      <c r="C45" s="20"/>
      <c r="D45" t="s">
        <v>2515</v>
      </c>
      <c r="E45" s="26" t="s">
        <v>1960</v>
      </c>
      <c r="F45" t="s">
        <v>1935</v>
      </c>
      <c r="G45">
        <f t="shared" si="1"/>
        <v>0</v>
      </c>
      <c r="H45" t="e">
        <f>VLOOKUP(B45,[6]FEDNA_2019!$A$3:$D$307,2,0)</f>
        <v>#N/A</v>
      </c>
      <c r="I45" t="e">
        <f>VLOOKUP(B45,[6]FEDNA_2019!$A$3:$D$307,4,0)</f>
        <v>#N/A</v>
      </c>
    </row>
    <row r="46" spans="1:9" ht="15.6" x14ac:dyDescent="0.3">
      <c r="A46" s="25" t="s">
        <v>2740</v>
      </c>
      <c r="B46" s="18" t="s">
        <v>2737</v>
      </c>
      <c r="C46" s="20" t="s">
        <v>1871</v>
      </c>
      <c r="D46" t="s">
        <v>2515</v>
      </c>
      <c r="E46" t="str">
        <f>VLOOKUP(C46,Names_biomass_CB!$A$2:$B$236,2,0)</f>
        <v>Grassland</v>
      </c>
      <c r="F46" t="str">
        <f>VLOOKUP(E46,Names_biomass_CB!$B$2:$D$249,3,0)</f>
        <v>Grass</v>
      </c>
      <c r="G46" t="str">
        <f t="shared" si="1"/>
        <v>HARINA FORRAJERA MEZCLA (12.5%PB)</v>
      </c>
      <c r="H46">
        <f>VLOOKUP(B46,[6]FEDNA_2019!$A$3:$D$307,2,0)</f>
        <v>8.4</v>
      </c>
      <c r="I46">
        <f>VLOOKUP(B46,[6]FEDNA_2019!$A$3:$D$307,4,0)</f>
        <v>12.5</v>
      </c>
    </row>
    <row r="47" spans="1:9" x14ac:dyDescent="0.3">
      <c r="A47" s="25" t="s">
        <v>2569</v>
      </c>
      <c r="B47" s="25"/>
      <c r="C47" s="20"/>
      <c r="D47" t="s">
        <v>2515</v>
      </c>
      <c r="E47" s="26" t="s">
        <v>1941</v>
      </c>
      <c r="F47" t="s">
        <v>1935</v>
      </c>
      <c r="G47">
        <f t="shared" si="1"/>
        <v>0</v>
      </c>
      <c r="H47" t="e">
        <f>VLOOKUP(B47,[6]FEDNA_2019!$A$3:$D$307,2,0)</f>
        <v>#N/A</v>
      </c>
      <c r="I47" t="e">
        <f>VLOOKUP(B47,[6]FEDNA_2019!$A$3:$D$307,4,0)</f>
        <v>#N/A</v>
      </c>
    </row>
    <row r="48" spans="1:9" ht="15.6" x14ac:dyDescent="0.3">
      <c r="A48" s="25" t="s">
        <v>2567</v>
      </c>
      <c r="B48" s="29" t="s">
        <v>2568</v>
      </c>
      <c r="C48" s="20"/>
      <c r="D48" t="s">
        <v>2515</v>
      </c>
      <c r="E48" s="26" t="s">
        <v>1941</v>
      </c>
      <c r="F48" t="s">
        <v>1935</v>
      </c>
      <c r="G48" t="str">
        <f t="shared" si="1"/>
        <v>FOSFATO BICALCICO DIHR.</v>
      </c>
      <c r="H48">
        <f>VLOOKUP(B48,[6]FEDNA_2019!$A$3:$D$307,2,0)</f>
        <v>2</v>
      </c>
      <c r="I48">
        <f>VLOOKUP(B48,[6]FEDNA_2019!$A$3:$D$307,4,0)</f>
        <v>0</v>
      </c>
    </row>
    <row r="49" spans="1:9" x14ac:dyDescent="0.3">
      <c r="A49" s="25" t="s">
        <v>2565</v>
      </c>
      <c r="B49" t="s">
        <v>2566</v>
      </c>
      <c r="C49" s="20"/>
      <c r="D49" t="s">
        <v>2515</v>
      </c>
      <c r="E49" s="26" t="s">
        <v>1941</v>
      </c>
      <c r="F49" t="s">
        <v>1935</v>
      </c>
      <c r="G49" t="str">
        <f t="shared" si="1"/>
        <v>FOSFATO_MONOCALCICO</v>
      </c>
      <c r="H49" t="e">
        <f>VLOOKUP(B49,[6]FEDNA_2019!$A$3:$D$307,2,0)</f>
        <v>#N/A</v>
      </c>
      <c r="I49" t="e">
        <f>VLOOKUP(B49,[6]FEDNA_2019!$A$3:$D$307,4,0)</f>
        <v>#N/A</v>
      </c>
    </row>
    <row r="50" spans="1:9" ht="15.6" x14ac:dyDescent="0.3">
      <c r="A50" s="25" t="s">
        <v>2790</v>
      </c>
      <c r="B50" s="25" t="s">
        <v>2791</v>
      </c>
      <c r="C50" s="30" t="s">
        <v>1708</v>
      </c>
      <c r="D50" t="s">
        <v>2515</v>
      </c>
      <c r="E50" t="str">
        <f>VLOOKUP(C50,Names_biomass_CB!$A$2:$B$236,2,0)</f>
        <v>Nuts and products</v>
      </c>
      <c r="F50" t="str">
        <f>VLOOKUP(E50,Names_biomass_CB!$B$2:$D$249,3,0)</f>
        <v>Treenuts</v>
      </c>
      <c r="G50" t="str">
        <f t="shared" si="1"/>
        <v>GARROFA</v>
      </c>
      <c r="H50">
        <f>VLOOKUP(B50,[6]FEDNA_2019!$A$3:$D$307,2,0)</f>
        <v>15</v>
      </c>
      <c r="I50">
        <f>VLOOKUP(B50,[6]FEDNA_2019!$A$3:$D$307,4,0)</f>
        <v>4.5</v>
      </c>
    </row>
    <row r="51" spans="1:9" ht="15.6" x14ac:dyDescent="0.3">
      <c r="A51" s="18" t="s">
        <v>2639</v>
      </c>
      <c r="B51" s="18" t="s">
        <v>2640</v>
      </c>
      <c r="C51" s="38" t="s">
        <v>2064</v>
      </c>
      <c r="D51" t="s">
        <v>2515</v>
      </c>
      <c r="E51" t="str">
        <f>VLOOKUP(C51,Names_biomass_CB!$A$2:$B$236,2,0)</f>
        <v>Sunflowerseed Cake</v>
      </c>
      <c r="F51" t="str">
        <f>VLOOKUP(E51,Names_biomass_CB!$B$2:$D$249,3,0)</f>
        <v>Cakes</v>
      </c>
      <c r="G51" t="str">
        <f t="shared" si="1"/>
        <v>HNA.GIRASOL 32</v>
      </c>
      <c r="H51">
        <f>VLOOKUP(B51,[6]FEDNA_2019!$A$3:$D$307,2,0)</f>
        <v>10.1</v>
      </c>
      <c r="I51">
        <f>VLOOKUP(B51,[6]FEDNA_2019!$A$3:$D$307,4,0)</f>
        <v>32</v>
      </c>
    </row>
    <row r="52" spans="1:9" x14ac:dyDescent="0.3">
      <c r="A52" s="25" t="s">
        <v>2672</v>
      </c>
      <c r="B52" s="25" t="s">
        <v>2669</v>
      </c>
      <c r="C52" s="20" t="s">
        <v>929</v>
      </c>
      <c r="D52" t="s">
        <v>2515</v>
      </c>
      <c r="E52" t="str">
        <f>VLOOKUP(C52,Names_biomass_CB!$A$2:$B$236,2,0)</f>
        <v>Maize and products</v>
      </c>
      <c r="F52" t="str">
        <f>VLOOKUP(E52,Names_biomass_CB!$B$2:$D$249,3,0)</f>
        <v>Cereals</v>
      </c>
      <c r="G52" t="str">
        <f t="shared" si="1"/>
        <v>GLUTEN MEAL MAIZ 60%</v>
      </c>
      <c r="H52">
        <f>VLOOKUP(B52,[6]FEDNA_2019!$A$3:$D$307,2,0)</f>
        <v>10.4</v>
      </c>
      <c r="I52">
        <f>VLOOKUP(B52,[6]FEDNA_2019!$A$3:$D$307,4,0)</f>
        <v>60</v>
      </c>
    </row>
    <row r="53" spans="1:9" ht="15.6" x14ac:dyDescent="0.3">
      <c r="A53" s="25" t="s">
        <v>2668</v>
      </c>
      <c r="B53" s="25" t="s">
        <v>2669</v>
      </c>
      <c r="C53" s="32" t="s">
        <v>2185</v>
      </c>
      <c r="D53" t="s">
        <v>2515</v>
      </c>
      <c r="E53" t="str">
        <f>VLOOKUP(C53,Names_biomass_CB!$A$2:$B$236,2,0)</f>
        <v>Maize and products</v>
      </c>
      <c r="F53" t="str">
        <f>VLOOKUP(E53,Names_biomass_CB!$B$2:$D$249,3,0)</f>
        <v>Cereals</v>
      </c>
      <c r="G53" t="str">
        <f t="shared" si="1"/>
        <v>GLUTEN MEAL MAIZ 60%</v>
      </c>
      <c r="H53">
        <f>VLOOKUP(B53,[6]FEDNA_2019!$A$3:$D$307,2,0)</f>
        <v>10.4</v>
      </c>
      <c r="I53">
        <f>VLOOKUP(B53,[6]FEDNA_2019!$A$3:$D$307,4,0)</f>
        <v>60</v>
      </c>
    </row>
    <row r="54" spans="1:9" ht="15.6" x14ac:dyDescent="0.3">
      <c r="A54" s="25" t="s">
        <v>2667</v>
      </c>
      <c r="B54" s="29" t="s">
        <v>2666</v>
      </c>
      <c r="C54" s="32" t="s">
        <v>2185</v>
      </c>
      <c r="D54" t="s">
        <v>2515</v>
      </c>
      <c r="E54" t="str">
        <f>VLOOKUP(C54,Names_biomass_CB!$A$2:$B$236,2,0)</f>
        <v>Maize and products</v>
      </c>
      <c r="F54" t="str">
        <f>VLOOKUP(E54,Names_biomass_CB!$B$2:$D$249,3,0)</f>
        <v>Cereals</v>
      </c>
      <c r="G54" t="str">
        <f t="shared" si="1"/>
        <v>GLUTEN FEED MAIZ 20.5%</v>
      </c>
      <c r="H54">
        <f>VLOOKUP(B54,[6]FEDNA_2019!$A$3:$D$307,2,0)</f>
        <v>11.5</v>
      </c>
      <c r="I54">
        <f>VLOOKUP(B54,[6]FEDNA_2019!$A$3:$D$307,4,0)</f>
        <v>20.5</v>
      </c>
    </row>
    <row r="55" spans="1:9" ht="15.6" x14ac:dyDescent="0.3">
      <c r="A55" s="25" t="s">
        <v>2663</v>
      </c>
      <c r="B55" s="25" t="s">
        <v>2664</v>
      </c>
      <c r="C55" s="30" t="s">
        <v>2185</v>
      </c>
      <c r="D55" t="s">
        <v>2515</v>
      </c>
      <c r="E55" t="str">
        <f>VLOOKUP(C55,Names_biomass_CB!$A$2:$B$236,2,0)</f>
        <v>Maize and products</v>
      </c>
      <c r="F55" t="str">
        <f>VLOOKUP(E55,Names_biomass_CB!$B$2:$D$249,3,0)</f>
        <v>Cereals</v>
      </c>
      <c r="G55" t="str">
        <f t="shared" si="1"/>
        <v>GLUTEN FEED MAIZ 19%</v>
      </c>
      <c r="H55">
        <f>VLOOKUP(B55,[6]FEDNA_2019!$A$3:$D$307,2,0)</f>
        <v>11.2</v>
      </c>
      <c r="I55">
        <f>VLOOKUP(B55,[6]FEDNA_2019!$A$3:$D$307,4,0)</f>
        <v>19</v>
      </c>
    </row>
    <row r="56" spans="1:9" ht="15.6" x14ac:dyDescent="0.3">
      <c r="A56" s="25" t="s">
        <v>2665</v>
      </c>
      <c r="B56" s="25" t="s">
        <v>2666</v>
      </c>
      <c r="C56" s="30" t="s">
        <v>2185</v>
      </c>
      <c r="D56" t="s">
        <v>2515</v>
      </c>
      <c r="E56" t="str">
        <f>VLOOKUP(C56,Names_biomass_CB!$A$2:$B$236,2,0)</f>
        <v>Maize and products</v>
      </c>
      <c r="F56" t="str">
        <f>VLOOKUP(E56,Names_biomass_CB!$B$2:$D$249,3,0)</f>
        <v>Cereals</v>
      </c>
      <c r="G56" t="str">
        <f t="shared" si="1"/>
        <v>GLUTEN FEED MAIZ 20.5%</v>
      </c>
      <c r="H56">
        <f>VLOOKUP(B56,[6]FEDNA_2019!$A$3:$D$307,2,0)</f>
        <v>11.5</v>
      </c>
      <c r="I56">
        <f>VLOOKUP(B56,[6]FEDNA_2019!$A$3:$D$307,4,0)</f>
        <v>20.5</v>
      </c>
    </row>
    <row r="57" spans="1:9" x14ac:dyDescent="0.3">
      <c r="A57" s="25" t="s">
        <v>2671</v>
      </c>
      <c r="B57" s="25" t="s">
        <v>2666</v>
      </c>
      <c r="C57" s="20" t="s">
        <v>929</v>
      </c>
      <c r="D57" t="s">
        <v>2515</v>
      </c>
      <c r="E57" t="str">
        <f>VLOOKUP(C57,Names_biomass_CB!$A$2:$B$236,2,0)</f>
        <v>Maize and products</v>
      </c>
      <c r="F57" t="str">
        <f>VLOOKUP(E57,Names_biomass_CB!$B$2:$D$249,3,0)</f>
        <v>Cereals</v>
      </c>
      <c r="G57" t="str">
        <f t="shared" si="1"/>
        <v>GLUTEN FEED MAIZ 20.5%</v>
      </c>
      <c r="H57">
        <f>VLOOKUP(B57,[6]FEDNA_2019!$A$3:$D$307,2,0)</f>
        <v>11.5</v>
      </c>
      <c r="I57">
        <f>VLOOKUP(B57,[6]FEDNA_2019!$A$3:$D$307,4,0)</f>
        <v>20.5</v>
      </c>
    </row>
    <row r="58" spans="1:9" ht="15.6" x14ac:dyDescent="0.3">
      <c r="A58" s="18" t="s">
        <v>2695</v>
      </c>
      <c r="B58" s="25" t="s">
        <v>2696</v>
      </c>
      <c r="C58" s="30" t="s">
        <v>1519</v>
      </c>
      <c r="D58" t="s">
        <v>2515</v>
      </c>
      <c r="E58" t="str">
        <f>VLOOKUP(C58,Names_biomass_CB!$A$2:$B$236,2,0)</f>
        <v>DDGS Barley</v>
      </c>
      <c r="F58" t="str">
        <f>VLOOKUP(E58,Names_biomass_CB!$B$2:$D$249,3,0)</f>
        <v>Cakes</v>
      </c>
      <c r="G58" t="str">
        <f t="shared" si="1"/>
        <v>DDGS CEBADA</v>
      </c>
      <c r="H58">
        <f>VLOOKUP(B58,[6]FEDNA_2019!$A$3:$D$307,2,0)</f>
        <v>8.1</v>
      </c>
      <c r="I58">
        <f>VLOOKUP(B58,[6]FEDNA_2019!$A$3:$D$307,4,0)</f>
        <v>24.9</v>
      </c>
    </row>
    <row r="59" spans="1:9" x14ac:dyDescent="0.3">
      <c r="A59" s="25" t="s">
        <v>2770</v>
      </c>
      <c r="B59" s="25" t="s">
        <v>2771</v>
      </c>
      <c r="C59" s="20" t="s">
        <v>1638</v>
      </c>
      <c r="D59" t="s">
        <v>2515</v>
      </c>
      <c r="E59" t="str">
        <f>VLOOKUP(C59,Names_biomass_CB!$A$2:$B$236,2,0)</f>
        <v>Palm Oil</v>
      </c>
      <c r="F59" t="str">
        <f>VLOOKUP(E59,Names_biomass_CB!$B$2:$D$249,3,0)</f>
        <v>Oil</v>
      </c>
      <c r="G59" t="str">
        <f t="shared" si="1"/>
        <v>GRASA MEZCLA 3/5</v>
      </c>
      <c r="H59">
        <f>VLOOKUP(B59,[6]FEDNA_2019!$A$3:$D$307,2,0)</f>
        <v>0</v>
      </c>
      <c r="I59">
        <f>VLOOKUP(B59,[6]FEDNA_2019!$A$3:$D$307,4,0)</f>
        <v>0</v>
      </c>
    </row>
    <row r="60" spans="1:9" ht="15.6" x14ac:dyDescent="0.3">
      <c r="A60" s="25" t="s">
        <v>2527</v>
      </c>
      <c r="B60" s="28" t="s">
        <v>2528</v>
      </c>
      <c r="C60" s="20"/>
      <c r="D60" t="s">
        <v>2515</v>
      </c>
      <c r="E60" s="26" t="s">
        <v>1949</v>
      </c>
      <c r="F60" t="s">
        <v>1935</v>
      </c>
      <c r="G60" t="str">
        <f t="shared" si="1"/>
        <v>GRASAS CALCICAS</v>
      </c>
      <c r="H60" t="e">
        <f>VLOOKUP(B60,[6]FEDNA_2019!$A$3:$D$307,2,0)</f>
        <v>#N/A</v>
      </c>
      <c r="I60" t="e">
        <f>VLOOKUP(B60,[6]FEDNA_2019!$A$3:$D$307,4,0)</f>
        <v>#N/A</v>
      </c>
    </row>
    <row r="61" spans="1:9" ht="15.6" x14ac:dyDescent="0.3">
      <c r="A61" s="25" t="s">
        <v>2782</v>
      </c>
      <c r="B61" s="29" t="s">
        <v>2783</v>
      </c>
      <c r="C61" s="32" t="s">
        <v>1592</v>
      </c>
      <c r="D61" t="s">
        <v>2515</v>
      </c>
      <c r="E61" t="str">
        <f>VLOOKUP(C61,Names_biomass_CB!$A$2:$B$236,2,0)</f>
        <v>Peas</v>
      </c>
      <c r="F61" t="str">
        <f>VLOOKUP(E61,Names_biomass_CB!$B$2:$D$249,3,0)</f>
        <v>Pulses</v>
      </c>
      <c r="G61" t="str">
        <f t="shared" si="1"/>
        <v>GUISANTES PRIMAVERA</v>
      </c>
      <c r="H61">
        <f>VLOOKUP(B61,[6]FEDNA_2019!$A$3:$D$307,2,0)</f>
        <v>10.7</v>
      </c>
      <c r="I61">
        <f>VLOOKUP(B61,[6]FEDNA_2019!$A$3:$D$307,4,0)</f>
        <v>21.5</v>
      </c>
    </row>
    <row r="62" spans="1:9" ht="15.6" x14ac:dyDescent="0.3">
      <c r="A62" s="25" t="s">
        <v>2638</v>
      </c>
      <c r="B62" s="25" t="s">
        <v>2628</v>
      </c>
      <c r="C62" s="38" t="s">
        <v>1061</v>
      </c>
      <c r="D62" t="s">
        <v>2515</v>
      </c>
      <c r="E62" t="str">
        <f>VLOOKUP(C62,Names_biomass_CB!$A$2:$B$236,2,0)</f>
        <v>Soyabeans</v>
      </c>
      <c r="F62" t="str">
        <f>VLOOKUP(E62,Names_biomass_CB!$B$2:$D$249,3,0)</f>
        <v>Oilseeds</v>
      </c>
      <c r="G62" t="str">
        <f t="shared" si="1"/>
        <v>HABA SOJA EXTRUSIONADA</v>
      </c>
      <c r="H62">
        <f>VLOOKUP(B62,[6]FEDNA_2019!$A$3:$D$307,2,0)</f>
        <v>9.1999999999999993</v>
      </c>
      <c r="I62">
        <f>VLOOKUP(B62,[6]FEDNA_2019!$A$3:$D$307,4,0)</f>
        <v>37</v>
      </c>
    </row>
    <row r="63" spans="1:9" ht="15.6" x14ac:dyDescent="0.3">
      <c r="A63" s="18" t="s">
        <v>2627</v>
      </c>
      <c r="B63" s="18" t="s">
        <v>2628</v>
      </c>
      <c r="C63" s="38" t="s">
        <v>1061</v>
      </c>
      <c r="D63" t="s">
        <v>2515</v>
      </c>
      <c r="E63" t="str">
        <f>VLOOKUP(C63,Names_biomass_CB!$A$2:$B$236,2,0)</f>
        <v>Soyabeans</v>
      </c>
      <c r="F63" t="str">
        <f>VLOOKUP(E63,Names_biomass_CB!$B$2:$D$249,3,0)</f>
        <v>Oilseeds</v>
      </c>
      <c r="G63" t="str">
        <f t="shared" si="1"/>
        <v>HABA SOJA EXTRUSIONADA</v>
      </c>
      <c r="H63">
        <f>VLOOKUP(B63,[6]FEDNA_2019!$A$3:$D$307,2,0)</f>
        <v>9.1999999999999993</v>
      </c>
      <c r="I63">
        <f>VLOOKUP(B63,[6]FEDNA_2019!$A$3:$D$307,4,0)</f>
        <v>37</v>
      </c>
    </row>
    <row r="64" spans="1:9" ht="15.6" x14ac:dyDescent="0.3">
      <c r="A64" s="25" t="s">
        <v>2653</v>
      </c>
      <c r="B64" s="42" t="s">
        <v>2651</v>
      </c>
      <c r="C64" s="38" t="s">
        <v>919</v>
      </c>
      <c r="D64" t="s">
        <v>2515</v>
      </c>
      <c r="E64" t="str">
        <f>VLOOKUP(C64,Names_biomass_CB!$A$2:$B$236,2,0)</f>
        <v>Barley and products</v>
      </c>
      <c r="F64" t="str">
        <f>VLOOKUP(E64,Names_biomass_CB!$B$2:$D$249,3,0)</f>
        <v>Cereals</v>
      </c>
      <c r="G64" t="str">
        <f t="shared" si="1"/>
        <v>CEBADA PROMEDIO</v>
      </c>
      <c r="H64">
        <f>VLOOKUP(B64,[6]FEDNA_2019!$A$3:$D$307,2,0)</f>
        <v>10.6</v>
      </c>
      <c r="I64">
        <f>VLOOKUP(B64,[6]FEDNA_2019!$A$3:$D$307,4,0)</f>
        <v>10.45</v>
      </c>
    </row>
    <row r="65" spans="1:9" x14ac:dyDescent="0.3">
      <c r="A65" s="25" t="s">
        <v>2752</v>
      </c>
      <c r="B65" s="25" t="s">
        <v>2746</v>
      </c>
      <c r="C65" s="20" t="s">
        <v>2051</v>
      </c>
      <c r="D65" t="s">
        <v>2515</v>
      </c>
      <c r="E65" t="str">
        <f>VLOOKUP(C65,Names_biomass_CB!$A$2:$B$236,2,0)</f>
        <v>Meat Meal</v>
      </c>
      <c r="F65" t="str">
        <f>VLOOKUP(E65,Names_biomass_CB!$B$2:$D$249,3,0)</f>
        <v>Meat</v>
      </c>
      <c r="G65" t="str">
        <f t="shared" si="1"/>
        <v>CARNE 44/15/28</v>
      </c>
      <c r="H65">
        <f>VLOOKUP(B65,[6]FEDNA_2019!$A$3:$D$307,2,0)</f>
        <v>6.4</v>
      </c>
      <c r="I65">
        <f>VLOOKUP(B65,[6]FEDNA_2019!$A$3:$D$307,4,0)</f>
        <v>43.7</v>
      </c>
    </row>
    <row r="66" spans="1:9" ht="15.6" x14ac:dyDescent="0.3">
      <c r="A66" s="25" t="s">
        <v>2745</v>
      </c>
      <c r="B66" s="25" t="s">
        <v>2746</v>
      </c>
      <c r="C66" s="32" t="s">
        <v>2051</v>
      </c>
      <c r="D66" t="s">
        <v>2515</v>
      </c>
      <c r="E66" t="str">
        <f>VLOOKUP(C66,Names_biomass_CB!$A$2:$B$236,2,0)</f>
        <v>Meat Meal</v>
      </c>
      <c r="F66" t="str">
        <f>VLOOKUP(E66,Names_biomass_CB!$B$2:$D$249,3,0)</f>
        <v>Meat</v>
      </c>
      <c r="G66" t="str">
        <f t="shared" ref="G66:G97" si="2">B66</f>
        <v>CARNE 44/15/28</v>
      </c>
      <c r="H66">
        <f>VLOOKUP(B66,[6]FEDNA_2019!$A$3:$D$307,2,0)</f>
        <v>6.4</v>
      </c>
      <c r="I66">
        <f>VLOOKUP(B66,[6]FEDNA_2019!$A$3:$D$307,4,0)</f>
        <v>43.7</v>
      </c>
    </row>
    <row r="67" spans="1:9" x14ac:dyDescent="0.3">
      <c r="A67" s="25" t="s">
        <v>2749</v>
      </c>
      <c r="B67" s="25" t="s">
        <v>2750</v>
      </c>
      <c r="C67" s="20" t="s">
        <v>2051</v>
      </c>
      <c r="D67" t="s">
        <v>2515</v>
      </c>
      <c r="E67" t="str">
        <f>VLOOKUP(C67,Names_biomass_CB!$A$2:$B$236,2,0)</f>
        <v>Meat Meal</v>
      </c>
      <c r="F67" t="str">
        <f>VLOOKUP(E67,Names_biomass_CB!$B$2:$D$249,3,0)</f>
        <v>Meat</v>
      </c>
      <c r="G67" t="str">
        <f t="shared" si="2"/>
        <v>CARNE 50/14/26</v>
      </c>
      <c r="H67">
        <f>VLOOKUP(B67,[6]FEDNA_2019!$A$3:$D$307,2,0)</f>
        <v>5.4</v>
      </c>
      <c r="I67">
        <f>VLOOKUP(B67,[6]FEDNA_2019!$A$3:$D$307,4,0)</f>
        <v>49.3</v>
      </c>
    </row>
    <row r="68" spans="1:9" x14ac:dyDescent="0.3">
      <c r="A68" s="25" t="s">
        <v>2751</v>
      </c>
      <c r="B68" s="25" t="s">
        <v>2748</v>
      </c>
      <c r="C68" s="20" t="s">
        <v>2051</v>
      </c>
      <c r="D68" t="s">
        <v>2515</v>
      </c>
      <c r="E68" t="str">
        <f>VLOOKUP(C68,Names_biomass_CB!$A$2:$B$236,2,0)</f>
        <v>Meat Meal</v>
      </c>
      <c r="F68" t="str">
        <f>VLOOKUP(E68,Names_biomass_CB!$B$2:$D$249,3,0)</f>
        <v>Meat</v>
      </c>
      <c r="G68" t="str">
        <f t="shared" si="2"/>
        <v>CARNE 52/14/25</v>
      </c>
      <c r="H68">
        <f>VLOOKUP(B68,[6]FEDNA_2019!$A$3:$D$307,2,0)</f>
        <v>4.2</v>
      </c>
      <c r="I68">
        <f>VLOOKUP(B68,[6]FEDNA_2019!$A$3:$D$307,4,0)</f>
        <v>52.3</v>
      </c>
    </row>
    <row r="69" spans="1:9" ht="15.6" x14ac:dyDescent="0.3">
      <c r="A69" s="25" t="s">
        <v>2747</v>
      </c>
      <c r="B69" s="25" t="s">
        <v>2748</v>
      </c>
      <c r="C69" s="32" t="s">
        <v>2051</v>
      </c>
      <c r="D69" t="s">
        <v>2515</v>
      </c>
      <c r="E69" t="str">
        <f>VLOOKUP(C69,Names_biomass_CB!$A$2:$B$236,2,0)</f>
        <v>Meat Meal</v>
      </c>
      <c r="F69" t="str">
        <f>VLOOKUP(E69,Names_biomass_CB!$B$2:$D$249,3,0)</f>
        <v>Meat</v>
      </c>
      <c r="G69" t="str">
        <f t="shared" si="2"/>
        <v>CARNE 52/14/25</v>
      </c>
      <c r="H69">
        <f>VLOOKUP(B69,[6]FEDNA_2019!$A$3:$D$307,2,0)</f>
        <v>4.2</v>
      </c>
      <c r="I69">
        <f>VLOOKUP(B69,[6]FEDNA_2019!$A$3:$D$307,4,0)</f>
        <v>52.3</v>
      </c>
    </row>
    <row r="70" spans="1:9" ht="15.6" x14ac:dyDescent="0.3">
      <c r="A70" s="25" t="s">
        <v>2620</v>
      </c>
      <c r="B70" s="18" t="s">
        <v>2619</v>
      </c>
      <c r="C70" s="38" t="s">
        <v>2074</v>
      </c>
      <c r="D70" t="s">
        <v>2515</v>
      </c>
      <c r="E70" t="str">
        <f>VLOOKUP(C70,Names_biomass_CB!$A$2:$B$236,2,0)</f>
        <v>Rape and Mustard Cake</v>
      </c>
      <c r="F70" t="str">
        <f>VLOOKUP(E70,Names_biomass_CB!$B$2:$D$249,3,0)</f>
        <v>Cakes</v>
      </c>
      <c r="G70" t="str">
        <f t="shared" si="2"/>
        <v>HNA. COLZA 00 SOLVENTES 33%PB</v>
      </c>
      <c r="H70">
        <f>VLOOKUP(B70,[6]FEDNA_2019!$A$3:$D$307,2,0)</f>
        <v>11.6</v>
      </c>
      <c r="I70">
        <f>VLOOKUP(B70,[6]FEDNA_2019!$A$3:$D$307,4,0)</f>
        <v>33</v>
      </c>
    </row>
    <row r="71" spans="1:9" ht="15.6" x14ac:dyDescent="0.3">
      <c r="A71" s="18" t="s">
        <v>2621</v>
      </c>
      <c r="B71" s="18" t="s">
        <v>2619</v>
      </c>
      <c r="C71" s="38" t="s">
        <v>2074</v>
      </c>
      <c r="D71" t="s">
        <v>2515</v>
      </c>
      <c r="E71" t="str">
        <f>VLOOKUP(C71,Names_biomass_CB!$A$2:$B$236,2,0)</f>
        <v>Rape and Mustard Cake</v>
      </c>
      <c r="F71" t="str">
        <f>VLOOKUP(E71,Names_biomass_CB!$B$2:$D$249,3,0)</f>
        <v>Cakes</v>
      </c>
      <c r="G71" t="str">
        <f t="shared" si="2"/>
        <v>HNA. COLZA 00 SOLVENTES 33%PB</v>
      </c>
      <c r="H71">
        <f>VLOOKUP(B71,[6]FEDNA_2019!$A$3:$D$307,2,0)</f>
        <v>11.6</v>
      </c>
      <c r="I71">
        <f>VLOOKUP(B71,[6]FEDNA_2019!$A$3:$D$307,4,0)</f>
        <v>33</v>
      </c>
    </row>
    <row r="72" spans="1:9" ht="15.6" x14ac:dyDescent="0.3">
      <c r="A72" s="18" t="s">
        <v>2622</v>
      </c>
      <c r="B72" s="18" t="s">
        <v>2623</v>
      </c>
      <c r="C72" s="38" t="s">
        <v>2074</v>
      </c>
      <c r="D72" t="s">
        <v>2515</v>
      </c>
      <c r="E72" t="str">
        <f>VLOOKUP(C72,Names_biomass_CB!$A$2:$B$236,2,0)</f>
        <v>Rape and Mustard Cake</v>
      </c>
      <c r="F72" t="str">
        <f>VLOOKUP(E72,Names_biomass_CB!$B$2:$D$249,3,0)</f>
        <v>Cakes</v>
      </c>
      <c r="G72" t="str">
        <f t="shared" si="2"/>
        <v>HNA. COLZA 00 SOLVENTES 36%PB</v>
      </c>
      <c r="H72">
        <f>VLOOKUP(B72,[6]FEDNA_2019!$A$3:$D$307,2,0)</f>
        <v>11.5</v>
      </c>
      <c r="I72">
        <f>VLOOKUP(B72,[6]FEDNA_2019!$A$3:$D$307,4,0)</f>
        <v>36</v>
      </c>
    </row>
    <row r="73" spans="1:9" ht="15.6" x14ac:dyDescent="0.3">
      <c r="A73" s="25" t="s">
        <v>2646</v>
      </c>
      <c r="B73" s="18" t="s">
        <v>2640</v>
      </c>
      <c r="C73" s="20" t="s">
        <v>2064</v>
      </c>
      <c r="D73" t="s">
        <v>2515</v>
      </c>
      <c r="E73" t="str">
        <f>VLOOKUP(C73,Names_biomass_CB!$A$2:$B$236,2,0)</f>
        <v>Sunflowerseed Cake</v>
      </c>
      <c r="F73" t="str">
        <f>VLOOKUP(E73,Names_biomass_CB!$B$2:$D$249,3,0)</f>
        <v>Cakes</v>
      </c>
      <c r="G73" t="str">
        <f t="shared" si="2"/>
        <v>HNA.GIRASOL 32</v>
      </c>
      <c r="H73">
        <f>VLOOKUP(B73,[6]FEDNA_2019!$A$3:$D$307,2,0)</f>
        <v>10.1</v>
      </c>
      <c r="I73">
        <f>VLOOKUP(B73,[6]FEDNA_2019!$A$3:$D$307,4,0)</f>
        <v>32</v>
      </c>
    </row>
    <row r="74" spans="1:9" ht="15.6" x14ac:dyDescent="0.3">
      <c r="A74" s="25" t="s">
        <v>2624</v>
      </c>
      <c r="B74" s="18" t="s">
        <v>2619</v>
      </c>
      <c r="C74" s="38" t="s">
        <v>2074</v>
      </c>
      <c r="D74" t="s">
        <v>2515</v>
      </c>
      <c r="E74" t="str">
        <f>VLOOKUP(C74,Names_biomass_CB!$A$2:$B$236,2,0)</f>
        <v>Rape and Mustard Cake</v>
      </c>
      <c r="F74" t="str">
        <f>VLOOKUP(E74,Names_biomass_CB!$B$2:$D$249,3,0)</f>
        <v>Cakes</v>
      </c>
      <c r="G74" t="str">
        <f t="shared" si="2"/>
        <v>HNA. COLZA 00 SOLVENTES 33%PB</v>
      </c>
      <c r="H74">
        <f>VLOOKUP(B74,[6]FEDNA_2019!$A$3:$D$307,2,0)</f>
        <v>11.6</v>
      </c>
      <c r="I74">
        <f>VLOOKUP(B74,[6]FEDNA_2019!$A$3:$D$307,4,0)</f>
        <v>33</v>
      </c>
    </row>
    <row r="75" spans="1:9" ht="15.6" x14ac:dyDescent="0.3">
      <c r="A75" s="25" t="s">
        <v>2647</v>
      </c>
      <c r="B75" s="18" t="s">
        <v>2642</v>
      </c>
      <c r="C75" s="38" t="s">
        <v>2064</v>
      </c>
      <c r="D75" t="s">
        <v>2515</v>
      </c>
      <c r="E75" t="str">
        <f>VLOOKUP(C75,Names_biomass_CB!$A$2:$B$236,2,0)</f>
        <v>Sunflowerseed Cake</v>
      </c>
      <c r="F75" t="str">
        <f>VLOOKUP(E75,Names_biomass_CB!$B$2:$D$249,3,0)</f>
        <v>Cakes</v>
      </c>
      <c r="G75" t="str">
        <f t="shared" si="2"/>
        <v>HNA.GIRASOL 36</v>
      </c>
      <c r="H75">
        <f>VLOOKUP(B75,[6]FEDNA_2019!$A$3:$D$307,2,0)</f>
        <v>9.6</v>
      </c>
      <c r="I75">
        <f>VLOOKUP(B75,[6]FEDNA_2019!$A$3:$D$307,4,0)</f>
        <v>36</v>
      </c>
    </row>
    <row r="76" spans="1:9" ht="15.6" x14ac:dyDescent="0.3">
      <c r="A76" s="18" t="s">
        <v>2641</v>
      </c>
      <c r="B76" s="18" t="s">
        <v>2642</v>
      </c>
      <c r="C76" s="38" t="s">
        <v>2064</v>
      </c>
      <c r="D76" t="s">
        <v>2515</v>
      </c>
      <c r="E76" t="str">
        <f>VLOOKUP(C76,Names_biomass_CB!$A$2:$B$236,2,0)</f>
        <v>Sunflowerseed Cake</v>
      </c>
      <c r="F76" t="str">
        <f>VLOOKUP(E76,Names_biomass_CB!$B$2:$D$249,3,0)</f>
        <v>Cakes</v>
      </c>
      <c r="G76" t="str">
        <f t="shared" si="2"/>
        <v>HNA.GIRASOL 36</v>
      </c>
      <c r="H76">
        <f>VLOOKUP(B76,[6]FEDNA_2019!$A$3:$D$307,2,0)</f>
        <v>9.6</v>
      </c>
      <c r="I76">
        <f>VLOOKUP(B76,[6]FEDNA_2019!$A$3:$D$307,4,0)</f>
        <v>36</v>
      </c>
    </row>
    <row r="77" spans="1:9" ht="15.6" x14ac:dyDescent="0.3">
      <c r="A77" s="18" t="s">
        <v>2629</v>
      </c>
      <c r="B77" s="18" t="s">
        <v>2630</v>
      </c>
      <c r="C77" s="44" t="s">
        <v>1065</v>
      </c>
      <c r="D77" t="s">
        <v>2515</v>
      </c>
      <c r="E77" t="str">
        <f>VLOOKUP(C77,Names_biomass_CB!$A$2:$B$236,2,0)</f>
        <v>Soyabean Cake</v>
      </c>
      <c r="F77" t="str">
        <f>VLOOKUP(E77,Names_biomass_CB!$B$2:$D$249,3,0)</f>
        <v>Cakes</v>
      </c>
      <c r="G77" t="str">
        <f t="shared" si="2"/>
        <v>HNA.SOJA 44</v>
      </c>
      <c r="H77">
        <f>VLOOKUP(B77,[6]FEDNA_2019!$A$3:$D$307,2,0)</f>
        <v>12.1</v>
      </c>
      <c r="I77">
        <f>VLOOKUP(B77,[6]FEDNA_2019!$A$3:$D$307,4,0)</f>
        <v>44</v>
      </c>
    </row>
    <row r="78" spans="1:9" ht="15.6" x14ac:dyDescent="0.3">
      <c r="A78" s="18" t="s">
        <v>2631</v>
      </c>
      <c r="B78" s="18" t="s">
        <v>2632</v>
      </c>
      <c r="C78" s="44" t="s">
        <v>1065</v>
      </c>
      <c r="D78" t="s">
        <v>2515</v>
      </c>
      <c r="E78" t="str">
        <f>VLOOKUP(C78,Names_biomass_CB!$A$2:$B$236,2,0)</f>
        <v>Soyabean Cake</v>
      </c>
      <c r="F78" t="str">
        <f>VLOOKUP(E78,Names_biomass_CB!$B$2:$D$249,3,0)</f>
        <v>Cakes</v>
      </c>
      <c r="G78" t="str">
        <f t="shared" si="2"/>
        <v>HNA.SOJA 47</v>
      </c>
      <c r="H78">
        <f>VLOOKUP(B78,[6]FEDNA_2019!$A$3:$D$307,2,0)</f>
        <v>11.8</v>
      </c>
      <c r="I78">
        <f>VLOOKUP(B78,[6]FEDNA_2019!$A$3:$D$307,4,0)</f>
        <v>47</v>
      </c>
    </row>
    <row r="79" spans="1:9" ht="15.6" x14ac:dyDescent="0.3">
      <c r="A79" s="25" t="s">
        <v>2637</v>
      </c>
      <c r="B79" s="18" t="s">
        <v>2630</v>
      </c>
      <c r="C79" s="44" t="s">
        <v>1065</v>
      </c>
      <c r="D79" t="s">
        <v>2515</v>
      </c>
      <c r="E79" t="str">
        <f>VLOOKUP(C79,Names_biomass_CB!$A$2:$B$236,2,0)</f>
        <v>Soyabean Cake</v>
      </c>
      <c r="F79" t="str">
        <f>VLOOKUP(E79,Names_biomass_CB!$B$2:$D$249,3,0)</f>
        <v>Cakes</v>
      </c>
      <c r="G79" t="str">
        <f t="shared" si="2"/>
        <v>HNA.SOJA 44</v>
      </c>
      <c r="H79">
        <f>VLOOKUP(B79,[6]FEDNA_2019!$A$3:$D$307,2,0)</f>
        <v>12.1</v>
      </c>
      <c r="I79">
        <f>VLOOKUP(B79,[6]FEDNA_2019!$A$3:$D$307,4,0)</f>
        <v>44</v>
      </c>
    </row>
    <row r="80" spans="1:9" ht="15.6" x14ac:dyDescent="0.3">
      <c r="A80" s="25" t="s">
        <v>2738</v>
      </c>
      <c r="B80" s="18" t="s">
        <v>2737</v>
      </c>
      <c r="C80" s="20" t="s">
        <v>1771</v>
      </c>
      <c r="D80" t="s">
        <v>2515</v>
      </c>
      <c r="E80" t="str">
        <f>VLOOKUP(C80,Names_biomass_CB!$A$2:$B$236,2,0)</f>
        <v>Fodder vegetables and roots</v>
      </c>
      <c r="F80" t="str">
        <f>VLOOKUP(E80,Names_biomass_CB!$B$2:$D$249,3,0)</f>
        <v>Fodder_green</v>
      </c>
      <c r="G80" t="str">
        <f t="shared" si="2"/>
        <v>HARINA FORRAJERA MEZCLA (12.5%PB)</v>
      </c>
      <c r="H80">
        <f>VLOOKUP(B80,[6]FEDNA_2019!$A$3:$D$307,2,0)</f>
        <v>8.4</v>
      </c>
      <c r="I80">
        <f>VLOOKUP(B80,[6]FEDNA_2019!$A$3:$D$307,4,0)</f>
        <v>12.5</v>
      </c>
    </row>
    <row r="81" spans="1:9" ht="15.6" x14ac:dyDescent="0.3">
      <c r="A81" s="25" t="s">
        <v>2739</v>
      </c>
      <c r="B81" s="18" t="s">
        <v>2737</v>
      </c>
      <c r="C81" s="20" t="s">
        <v>1771</v>
      </c>
      <c r="D81" t="s">
        <v>2515</v>
      </c>
      <c r="E81" t="str">
        <f>VLOOKUP(C81,Names_biomass_CB!$A$2:$B$236,2,0)</f>
        <v>Fodder vegetables and roots</v>
      </c>
      <c r="F81" t="str">
        <f>VLOOKUP(E81,Names_biomass_CB!$B$2:$D$249,3,0)</f>
        <v>Fodder_green</v>
      </c>
      <c r="G81" t="str">
        <f t="shared" si="2"/>
        <v>HARINA FORRAJERA MEZCLA (12.5%PB)</v>
      </c>
      <c r="H81">
        <f>VLOOKUP(B81,[6]FEDNA_2019!$A$3:$D$307,2,0)</f>
        <v>8.4</v>
      </c>
      <c r="I81">
        <f>VLOOKUP(B81,[6]FEDNA_2019!$A$3:$D$307,4,0)</f>
        <v>12.5</v>
      </c>
    </row>
    <row r="82" spans="1:9" ht="15.6" x14ac:dyDescent="0.3">
      <c r="A82" t="s">
        <v>2644</v>
      </c>
      <c r="B82" s="29" t="s">
        <v>2645</v>
      </c>
      <c r="C82" s="20" t="s">
        <v>1105</v>
      </c>
      <c r="D82" t="s">
        <v>2515</v>
      </c>
      <c r="E82" t="str">
        <f>VLOOKUP(C82,Names_biomass_CB!$A$2:$B$236,2,0)</f>
        <v>Sunflower seed</v>
      </c>
      <c r="F82" t="str">
        <f>VLOOKUP(E82,Names_biomass_CB!$B$2:$D$249,3,0)</f>
        <v>Oilseeds</v>
      </c>
      <c r="G82" t="str">
        <f t="shared" si="2"/>
        <v>HNA.GIRASOL 28</v>
      </c>
      <c r="H82">
        <f>VLOOKUP(B82,[6]FEDNA_2019!$A$3:$D$307,2,0)</f>
        <v>10.6</v>
      </c>
      <c r="I82">
        <f>VLOOKUP(B82,[6]FEDNA_2019!$A$3:$D$307,4,0)</f>
        <v>28</v>
      </c>
    </row>
    <row r="83" spans="1:9" ht="15.6" x14ac:dyDescent="0.3">
      <c r="A83" s="18" t="s">
        <v>2643</v>
      </c>
      <c r="B83" s="18" t="s">
        <v>2642</v>
      </c>
      <c r="C83" s="38" t="s">
        <v>2064</v>
      </c>
      <c r="D83" t="s">
        <v>2515</v>
      </c>
      <c r="E83" t="str">
        <f>VLOOKUP(C83,Names_biomass_CB!$A$2:$B$236,2,0)</f>
        <v>Sunflowerseed Cake</v>
      </c>
      <c r="F83" t="str">
        <f>VLOOKUP(E83,Names_biomass_CB!$B$2:$D$249,3,0)</f>
        <v>Cakes</v>
      </c>
      <c r="G83" t="str">
        <f t="shared" si="2"/>
        <v>HNA.GIRASOL 36</v>
      </c>
      <c r="H83">
        <f>VLOOKUP(B83,[6]FEDNA_2019!$A$3:$D$307,2,0)</f>
        <v>9.6</v>
      </c>
      <c r="I83">
        <f>VLOOKUP(B83,[6]FEDNA_2019!$A$3:$D$307,4,0)</f>
        <v>36</v>
      </c>
    </row>
    <row r="84" spans="1:9" ht="15.6" x14ac:dyDescent="0.3">
      <c r="A84" s="18" t="s">
        <v>2656</v>
      </c>
      <c r="B84" s="18" t="s">
        <v>2657</v>
      </c>
      <c r="C84" s="32" t="s">
        <v>929</v>
      </c>
      <c r="D84" t="s">
        <v>2515</v>
      </c>
      <c r="E84" t="str">
        <f>VLOOKUP(C84,Names_biomass_CB!$A$2:$B$236,2,0)</f>
        <v>Maize and products</v>
      </c>
      <c r="F84" t="str">
        <f>VLOOKUP(E84,Names_biomass_CB!$B$2:$D$249,3,0)</f>
        <v>Cereals</v>
      </c>
      <c r="G84" t="str">
        <f t="shared" si="2"/>
        <v>HARINILLAS MAIZ 6%EE</v>
      </c>
      <c r="H84">
        <f>VLOOKUP(B84,[6]FEDNA_2019!$A$3:$D$307,2,0)</f>
        <v>13.7</v>
      </c>
      <c r="I84">
        <f>VLOOKUP(B84,[6]FEDNA_2019!$A$3:$D$307,4,0)</f>
        <v>8.3000000000000007</v>
      </c>
    </row>
    <row r="85" spans="1:9" ht="15.6" x14ac:dyDescent="0.3">
      <c r="A85" s="18" t="s">
        <v>2736</v>
      </c>
      <c r="B85" s="18" t="s">
        <v>2737</v>
      </c>
      <c r="C85" s="27" t="s">
        <v>1771</v>
      </c>
      <c r="D85" t="s">
        <v>2515</v>
      </c>
      <c r="E85" t="str">
        <f>VLOOKUP(C85,Names_biomass_CB!$A$2:$B$236,2,0)</f>
        <v>Fodder vegetables and roots</v>
      </c>
      <c r="F85" t="str">
        <f>VLOOKUP(E85,Names_biomass_CB!$B$2:$D$249,3,0)</f>
        <v>Fodder_green</v>
      </c>
      <c r="G85" t="str">
        <f t="shared" si="2"/>
        <v>HARINA FORRAJERA MEZCLA (12.5%PB)</v>
      </c>
      <c r="H85">
        <f>VLOOKUP(B85,[6]FEDNA_2019!$A$3:$D$307,2,0)</f>
        <v>8.4</v>
      </c>
      <c r="I85">
        <f>VLOOKUP(B85,[6]FEDNA_2019!$A$3:$D$307,4,0)</f>
        <v>12.5</v>
      </c>
    </row>
    <row r="86" spans="1:9" ht="15.6" x14ac:dyDescent="0.3">
      <c r="A86" s="18" t="s">
        <v>2633</v>
      </c>
      <c r="B86" s="18" t="s">
        <v>2630</v>
      </c>
      <c r="C86" s="44" t="s">
        <v>1065</v>
      </c>
      <c r="D86" t="s">
        <v>2515</v>
      </c>
      <c r="E86" t="str">
        <f>VLOOKUP(C86,Names_biomass_CB!$A$2:$B$236,2,0)</f>
        <v>Soyabean Cake</v>
      </c>
      <c r="F86" t="str">
        <f>VLOOKUP(E86,Names_biomass_CB!$B$2:$D$249,3,0)</f>
        <v>Cakes</v>
      </c>
      <c r="G86" t="str">
        <f t="shared" si="2"/>
        <v>HNA.SOJA 44</v>
      </c>
      <c r="H86">
        <f>VLOOKUP(B86,[6]FEDNA_2019!$A$3:$D$307,2,0)</f>
        <v>12.1</v>
      </c>
      <c r="I86">
        <f>VLOOKUP(B86,[6]FEDNA_2019!$A$3:$D$307,4,0)</f>
        <v>44</v>
      </c>
    </row>
    <row r="87" spans="1:9" ht="15.6" x14ac:dyDescent="0.3">
      <c r="A87" s="18" t="s">
        <v>2634</v>
      </c>
      <c r="B87" s="18" t="s">
        <v>2632</v>
      </c>
      <c r="C87" s="44" t="s">
        <v>1065</v>
      </c>
      <c r="D87" t="s">
        <v>2515</v>
      </c>
      <c r="E87" t="str">
        <f>VLOOKUP(C87,Names_biomass_CB!$A$2:$B$236,2,0)</f>
        <v>Soyabean Cake</v>
      </c>
      <c r="F87" t="str">
        <f>VLOOKUP(E87,Names_biomass_CB!$B$2:$D$249,3,0)</f>
        <v>Cakes</v>
      </c>
      <c r="G87" t="str">
        <f t="shared" si="2"/>
        <v>HNA.SOJA 47</v>
      </c>
      <c r="H87">
        <f>VLOOKUP(B87,[6]FEDNA_2019!$A$3:$D$307,2,0)</f>
        <v>11.8</v>
      </c>
      <c r="I87">
        <f>VLOOKUP(B87,[6]FEDNA_2019!$A$3:$D$307,4,0)</f>
        <v>47</v>
      </c>
    </row>
    <row r="88" spans="1:9" ht="15.6" x14ac:dyDescent="0.3">
      <c r="A88" s="25" t="s">
        <v>2686</v>
      </c>
      <c r="B88" s="42" t="s">
        <v>2680</v>
      </c>
      <c r="C88" s="20" t="s">
        <v>890</v>
      </c>
      <c r="D88" t="s">
        <v>2515</v>
      </c>
      <c r="E88" t="str">
        <f>VLOOKUP(C88,Names_biomass_CB!$A$2:$B$236,2,0)</f>
        <v>Wheat and products</v>
      </c>
      <c r="F88" t="str">
        <f>VLOOKUP(E88,Names_biomass_CB!$B$2:$D$249,3,0)</f>
        <v>Cereals</v>
      </c>
      <c r="G88" t="str">
        <f t="shared" si="2"/>
        <v>TRIGO BLANDO PROMEDIO</v>
      </c>
      <c r="H88">
        <f>VLOOKUP(B88,[6]FEDNA_2019!$A$3:$D$307,2,0)</f>
        <v>11.425000000000001</v>
      </c>
      <c r="I88">
        <f>VLOOKUP(B88,[6]FEDNA_2019!$A$3:$D$307,4,0)</f>
        <v>11.324999999999999</v>
      </c>
    </row>
    <row r="89" spans="1:9" ht="15.6" x14ac:dyDescent="0.3">
      <c r="A89" s="25" t="s">
        <v>2687</v>
      </c>
      <c r="B89" s="28" t="s">
        <v>2688</v>
      </c>
      <c r="C89" s="20" t="s">
        <v>890</v>
      </c>
      <c r="D89" t="s">
        <v>2515</v>
      </c>
      <c r="E89" t="str">
        <f>VLOOKUP(C89,Names_biomass_CB!$A$2:$B$236,2,0)</f>
        <v>Wheat and products</v>
      </c>
      <c r="F89" t="str">
        <f>VLOOKUP(E89,Names_biomass_CB!$B$2:$D$249,3,0)</f>
        <v>Cereals</v>
      </c>
      <c r="G89" t="str">
        <f t="shared" si="2"/>
        <v>HARINILLAS TRIGO 30% ALM</v>
      </c>
      <c r="H89">
        <f>VLOOKUP(B89,[6]FEDNA_2019!$A$3:$D$307,2,0)</f>
        <v>11.8</v>
      </c>
      <c r="I89">
        <f>VLOOKUP(B89,[6]FEDNA_2019!$A$3:$D$307,4,0)</f>
        <v>14.7</v>
      </c>
    </row>
    <row r="90" spans="1:9" ht="15.6" x14ac:dyDescent="0.3">
      <c r="A90" s="18" t="s">
        <v>2704</v>
      </c>
      <c r="B90" s="39" t="s">
        <v>2705</v>
      </c>
      <c r="C90" s="30" t="s">
        <v>1769</v>
      </c>
      <c r="D90" t="s">
        <v>2515</v>
      </c>
      <c r="E90" t="str">
        <f>VLOOKUP(C90,Names_biomass_CB!$A$2:$B$236,2,0)</f>
        <v>Fodder legumes</v>
      </c>
      <c r="F90" t="str">
        <f>VLOOKUP(E90,Names_biomass_CB!$B$2:$D$249,3,0)</f>
        <v>Fodder_green</v>
      </c>
      <c r="G90" t="str">
        <f t="shared" si="2"/>
        <v>Alfalfa heno PRIMERA</v>
      </c>
      <c r="H90" t="e">
        <f>VLOOKUP(B90,[6]FEDNA_2019!$A$3:$D$307,2,0)</f>
        <v>#N/A</v>
      </c>
      <c r="I90" t="e">
        <f>VLOOKUP(B90,[6]FEDNA_2019!$A$3:$D$307,4,0)</f>
        <v>#N/A</v>
      </c>
    </row>
    <row r="91" spans="1:9" ht="15.6" x14ac:dyDescent="0.3">
      <c r="A91" s="25" t="s">
        <v>2729</v>
      </c>
      <c r="B91" s="35" t="s">
        <v>2720</v>
      </c>
      <c r="C91" s="27" t="s">
        <v>2173</v>
      </c>
      <c r="D91" t="s">
        <v>2515</v>
      </c>
      <c r="E91" t="str">
        <f>VLOOKUP(C91,Names_biomass_CB!$A$2:$B$236,2,0)</f>
        <v>Fodder cereal and grasses</v>
      </c>
      <c r="F91" t="str">
        <f>VLOOKUP(E91,Names_biomass_CB!$B$2:$D$249,3,0)</f>
        <v>Fodder_green</v>
      </c>
      <c r="G91" t="str">
        <f t="shared" si="2"/>
        <v>Ray-grass heno SEGUNDA</v>
      </c>
      <c r="H91" t="e">
        <f>VLOOKUP(B91,[6]FEDNA_2019!$A$3:$D$307,2,0)</f>
        <v>#N/A</v>
      </c>
      <c r="I91" t="e">
        <f>VLOOKUP(B91,[6]FEDNA_2019!$A$3:$D$307,4,0)</f>
        <v>#N/A</v>
      </c>
    </row>
    <row r="92" spans="1:9" x14ac:dyDescent="0.3">
      <c r="A92" s="25" t="s">
        <v>2540</v>
      </c>
      <c r="B92" s="25"/>
      <c r="C92" s="20"/>
      <c r="D92" t="s">
        <v>2515</v>
      </c>
      <c r="E92" s="26" t="s">
        <v>1950</v>
      </c>
      <c r="F92" t="s">
        <v>1935</v>
      </c>
      <c r="G92">
        <f t="shared" si="2"/>
        <v>0</v>
      </c>
      <c r="H92" t="e">
        <f>VLOOKUP(B92,[6]FEDNA_2019!$A$3:$D$307,2,0)</f>
        <v>#N/A</v>
      </c>
      <c r="I92" t="e">
        <f>VLOOKUP(B92,[6]FEDNA_2019!$A$3:$D$307,4,0)</f>
        <v>#N/A</v>
      </c>
    </row>
    <row r="93" spans="1:9" ht="15.6" x14ac:dyDescent="0.3">
      <c r="A93" s="18" t="s">
        <v>2538</v>
      </c>
      <c r="B93" s="18" t="s">
        <v>2539</v>
      </c>
      <c r="C93" s="32"/>
      <c r="E93" s="26" t="s">
        <v>1950</v>
      </c>
      <c r="F93" t="s">
        <v>1935</v>
      </c>
      <c r="G93" t="str">
        <f t="shared" si="2"/>
        <v>HIDROXI-ANAL MET</v>
      </c>
      <c r="H93">
        <f>VLOOKUP(B93,[6]FEDNA_2019!$A$3:$D$307,2,0)</f>
        <v>12</v>
      </c>
      <c r="I93">
        <f>VLOOKUP(B93,[6]FEDNA_2019!$A$3:$D$307,4,0)</f>
        <v>0</v>
      </c>
    </row>
    <row r="94" spans="1:9" ht="15.6" x14ac:dyDescent="0.3">
      <c r="A94" s="25" t="s">
        <v>2709</v>
      </c>
      <c r="B94" s="36" t="s">
        <v>2710</v>
      </c>
      <c r="C94" s="38" t="s">
        <v>1764</v>
      </c>
      <c r="D94" t="s">
        <v>2515</v>
      </c>
      <c r="E94" t="str">
        <f>VLOOKUP(C94,Names_biomass_CB!$A$2:$B$236,2,0)</f>
        <v>Fodder cereal and grasses</v>
      </c>
      <c r="F94" t="str">
        <f>VLOOKUP(E94,Names_biomass_CB!$B$2:$D$249,3,0)</f>
        <v>Fodder_green</v>
      </c>
      <c r="G94" t="str">
        <f t="shared" si="2"/>
        <v>Hierba silo TERCERA</v>
      </c>
      <c r="H94" t="e">
        <f>VLOOKUP(B94,[6]FEDNA_2019!$A$3:$D$307,2,0)</f>
        <v>#N/A</v>
      </c>
      <c r="I94" t="e">
        <f>VLOOKUP(B94,[6]FEDNA_2019!$A$3:$D$307,4,0)</f>
        <v>#N/A</v>
      </c>
    </row>
    <row r="95" spans="1:9" ht="15.6" x14ac:dyDescent="0.3">
      <c r="A95" s="18" t="s">
        <v>2572</v>
      </c>
      <c r="B95" s="18" t="s">
        <v>2573</v>
      </c>
      <c r="C95" s="32"/>
      <c r="E95" s="26" t="s">
        <v>1951</v>
      </c>
      <c r="F95" t="s">
        <v>1935</v>
      </c>
      <c r="G95" t="str">
        <f t="shared" si="2"/>
        <v>L-TREONINA</v>
      </c>
      <c r="H95">
        <f>VLOOKUP(B95,[6]FEDNA_2019!$A$3:$D$307,2,0)</f>
        <v>0.5</v>
      </c>
      <c r="I95">
        <f>VLOOKUP(B95,[6]FEDNA_2019!$A$3:$D$307,4,0)</f>
        <v>72.5</v>
      </c>
    </row>
    <row r="96" spans="1:9" ht="15.6" x14ac:dyDescent="0.3">
      <c r="A96" s="25" t="s">
        <v>2575</v>
      </c>
      <c r="B96" s="25" t="s">
        <v>2576</v>
      </c>
      <c r="C96" s="32"/>
      <c r="E96" s="26" t="s">
        <v>1943</v>
      </c>
      <c r="F96" t="s">
        <v>1935</v>
      </c>
      <c r="G96" t="str">
        <f t="shared" si="2"/>
        <v>L-TRIPTOFANO</v>
      </c>
      <c r="H96">
        <f>VLOOKUP(B96,[6]FEDNA_2019!$A$3:$D$307,2,0)</f>
        <v>0.6</v>
      </c>
      <c r="I96">
        <f>VLOOKUP(B96,[6]FEDNA_2019!$A$3:$D$307,4,0)</f>
        <v>84.5</v>
      </c>
    </row>
    <row r="97" spans="1:9" ht="15.6" x14ac:dyDescent="0.3">
      <c r="A97" s="18" t="s">
        <v>2579</v>
      </c>
      <c r="B97" s="18" t="s">
        <v>2580</v>
      </c>
      <c r="C97" s="32"/>
      <c r="E97" s="26" t="s">
        <v>1954</v>
      </c>
      <c r="F97" t="s">
        <v>1935</v>
      </c>
      <c r="G97" t="str">
        <f t="shared" si="2"/>
        <v>L-VALINA</v>
      </c>
      <c r="H97">
        <f>VLOOKUP(B97,[6]FEDNA_2019!$A$3:$D$307,2,0)</f>
        <v>1</v>
      </c>
      <c r="I97">
        <f>VLOOKUP(B97,[6]FEDNA_2019!$A$3:$D$307,4,0)</f>
        <v>72.400000000000006</v>
      </c>
    </row>
    <row r="98" spans="1:9" ht="15.6" x14ac:dyDescent="0.3">
      <c r="A98" s="25" t="s">
        <v>2756</v>
      </c>
      <c r="B98" s="33" t="s">
        <v>2757</v>
      </c>
      <c r="C98" s="27" t="s">
        <v>1849</v>
      </c>
      <c r="D98" t="s">
        <v>2515</v>
      </c>
      <c r="E98" t="str">
        <f>VLOOKUP(C98,Names_biomass_CB!$A$2:$B$236,2,0)</f>
        <v>Whey</v>
      </c>
      <c r="F98" t="str">
        <f>VLOOKUP(E98,Names_biomass_CB!$B$2:$D$249,3,0)</f>
        <v>Milk and products</v>
      </c>
      <c r="G98" t="str">
        <f t="shared" ref="G98:G129" si="3">B98</f>
        <v>SUERO PROMEDIO</v>
      </c>
      <c r="H98">
        <f>VLOOKUP(B98,[6]FEDNA_2019!$A$3:$D$307,2,0)</f>
        <v>4.5333333333333332</v>
      </c>
      <c r="I98">
        <f>VLOOKUP(B98,[6]FEDNA_2019!$A$3:$D$307,4,0)</f>
        <v>17.149999999999999</v>
      </c>
    </row>
    <row r="99" spans="1:9" ht="15.6" x14ac:dyDescent="0.3">
      <c r="A99" s="25" t="s">
        <v>2760</v>
      </c>
      <c r="B99" s="33" t="s">
        <v>2757</v>
      </c>
      <c r="C99" s="20" t="s">
        <v>1849</v>
      </c>
      <c r="D99" t="s">
        <v>2515</v>
      </c>
      <c r="E99" t="str">
        <f>VLOOKUP(C99,Names_biomass_CB!$A$2:$B$236,2,0)</f>
        <v>Whey</v>
      </c>
      <c r="F99" t="str">
        <f>VLOOKUP(E99,Names_biomass_CB!$B$2:$D$249,3,0)</f>
        <v>Milk and products</v>
      </c>
      <c r="G99" t="str">
        <f t="shared" si="3"/>
        <v>SUERO PROMEDIO</v>
      </c>
      <c r="H99">
        <f>VLOOKUP(B99,[6]FEDNA_2019!$A$3:$D$307,2,0)</f>
        <v>4.5333333333333332</v>
      </c>
      <c r="I99">
        <f>VLOOKUP(B99,[6]FEDNA_2019!$A$3:$D$307,4,0)</f>
        <v>17.149999999999999</v>
      </c>
    </row>
    <row r="100" spans="1:9" ht="15.6" x14ac:dyDescent="0.3">
      <c r="A100" s="18" t="s">
        <v>2753</v>
      </c>
      <c r="B100" s="18" t="s">
        <v>2754</v>
      </c>
      <c r="C100" s="27" t="s">
        <v>816</v>
      </c>
      <c r="D100" t="s">
        <v>2515</v>
      </c>
      <c r="E100" t="str">
        <f>VLOOKUP(C100,Names_biomass_CB!$A$2:$B$236,2,0)</f>
        <v>Milk - Excluding Butter</v>
      </c>
      <c r="F100" t="str">
        <f>VLOOKUP(E100,Names_biomass_CB!$B$2:$D$249,3,0)</f>
        <v>Milk and products</v>
      </c>
      <c r="G100" t="str">
        <f t="shared" si="3"/>
        <v>LECHE DESCREMADA</v>
      </c>
      <c r="H100">
        <f>VLOOKUP(B100,[6]FEDNA_2019!$A$3:$D$307,2,0)</f>
        <v>5</v>
      </c>
      <c r="I100">
        <f>VLOOKUP(B100,[6]FEDNA_2019!$A$3:$D$307,4,0)</f>
        <v>34.200000000000003</v>
      </c>
    </row>
    <row r="101" spans="1:9" ht="15.6" x14ac:dyDescent="0.3">
      <c r="A101" s="25" t="s">
        <v>2755</v>
      </c>
      <c r="B101" s="18" t="s">
        <v>2754</v>
      </c>
      <c r="C101" s="20" t="s">
        <v>816</v>
      </c>
      <c r="D101" t="s">
        <v>2515</v>
      </c>
      <c r="E101" t="str">
        <f>VLOOKUP(C101,Names_biomass_CB!$A$2:$B$236,2,0)</f>
        <v>Milk - Excluding Butter</v>
      </c>
      <c r="F101" t="str">
        <f>VLOOKUP(E101,Names_biomass_CB!$B$2:$D$249,3,0)</f>
        <v>Milk and products</v>
      </c>
      <c r="G101" t="str">
        <f t="shared" si="3"/>
        <v>LECHE DESCREMADA</v>
      </c>
      <c r="H101">
        <f>VLOOKUP(B101,[6]FEDNA_2019!$A$3:$D$307,2,0)</f>
        <v>5</v>
      </c>
      <c r="I101">
        <f>VLOOKUP(B101,[6]FEDNA_2019!$A$3:$D$307,4,0)</f>
        <v>34.200000000000003</v>
      </c>
    </row>
    <row r="102" spans="1:9" ht="15.6" x14ac:dyDescent="0.3">
      <c r="A102" s="25" t="s">
        <v>2792</v>
      </c>
      <c r="B102" s="28" t="s">
        <v>2793</v>
      </c>
      <c r="C102" s="27" t="s">
        <v>2056</v>
      </c>
      <c r="D102" t="s">
        <v>2515</v>
      </c>
      <c r="E102" t="str">
        <f>VLOOKUP(C102,Names_biomass_CB!$A$2:$B$236,2,0)</f>
        <v>Milk, lactation</v>
      </c>
      <c r="F102" t="str">
        <f>VLOOKUP(E102,Names_biomass_CB!$B$2:$D$249,3,0)</f>
        <v>Lactation</v>
      </c>
      <c r="G102" t="str">
        <f t="shared" si="3"/>
        <v>LECHE MATERNA BOVINO</v>
      </c>
      <c r="H102" t="e">
        <f>VLOOKUP(B102,[6]FEDNA_2019!$A$3:$D$307,2,0)</f>
        <v>#N/A</v>
      </c>
      <c r="I102" t="e">
        <f>VLOOKUP(B102,[6]FEDNA_2019!$A$3:$D$307,4,0)</f>
        <v>#N/A</v>
      </c>
    </row>
    <row r="103" spans="1:9" ht="15.6" x14ac:dyDescent="0.3">
      <c r="A103" s="25" t="s">
        <v>2741</v>
      </c>
      <c r="B103" s="33" t="s">
        <v>2742</v>
      </c>
      <c r="C103" s="27" t="s">
        <v>2056</v>
      </c>
      <c r="D103" t="s">
        <v>2515</v>
      </c>
      <c r="E103" t="str">
        <f>VLOOKUP(C103,Names_biomass_CB!$A$2:$B$236,2,0)</f>
        <v>Milk, lactation</v>
      </c>
      <c r="F103" t="str">
        <f>VLOOKUP(E103,Names_biomass_CB!$B$2:$D$249,3,0)</f>
        <v>Lactation</v>
      </c>
      <c r="G103" t="str">
        <f t="shared" si="3"/>
        <v>SC</v>
      </c>
      <c r="H103" t="e">
        <f>VLOOKUP(B103,[6]FEDNA_2019!$A$3:$D$307,2,0)</f>
        <v>#N/A</v>
      </c>
      <c r="I103" t="e">
        <f>VLOOKUP(B103,[6]FEDNA_2019!$A$3:$D$307,4,0)</f>
        <v>#N/A</v>
      </c>
    </row>
    <row r="104" spans="1:9" ht="15.6" x14ac:dyDescent="0.3">
      <c r="A104" s="25" t="s">
        <v>2743</v>
      </c>
      <c r="B104" s="33" t="s">
        <v>2742</v>
      </c>
      <c r="C104" s="27" t="s">
        <v>2056</v>
      </c>
      <c r="D104" t="s">
        <v>2515</v>
      </c>
      <c r="E104" t="str">
        <f>VLOOKUP(C104,Names_biomass_CB!$A$2:$B$236,2,0)</f>
        <v>Milk, lactation</v>
      </c>
      <c r="F104" t="str">
        <f>VLOOKUP(E104,Names_biomass_CB!$B$2:$D$249,3,0)</f>
        <v>Lactation</v>
      </c>
      <c r="G104" t="str">
        <f t="shared" si="3"/>
        <v>SC</v>
      </c>
      <c r="H104" t="e">
        <f>VLOOKUP(B104,[6]FEDNA_2019!$A$3:$D$307,2,0)</f>
        <v>#N/A</v>
      </c>
      <c r="I104" t="e">
        <f>VLOOKUP(B104,[6]FEDNA_2019!$A$3:$D$307,4,0)</f>
        <v>#N/A</v>
      </c>
    </row>
    <row r="105" spans="1:9" ht="15.6" x14ac:dyDescent="0.3">
      <c r="A105" s="25" t="s">
        <v>2744</v>
      </c>
      <c r="B105" s="33" t="s">
        <v>2742</v>
      </c>
      <c r="C105" s="27" t="s">
        <v>2056</v>
      </c>
      <c r="D105" t="s">
        <v>2515</v>
      </c>
      <c r="E105" t="str">
        <f>VLOOKUP(C105,Names_biomass_CB!$A$2:$B$236,2,0)</f>
        <v>Milk, lactation</v>
      </c>
      <c r="F105" t="str">
        <f>VLOOKUP(E105,Names_biomass_CB!$B$2:$D$249,3,0)</f>
        <v>Lactation</v>
      </c>
      <c r="G105" t="str">
        <f t="shared" si="3"/>
        <v>SC</v>
      </c>
      <c r="H105" t="e">
        <f>VLOOKUP(B105,[6]FEDNA_2019!$A$3:$D$307,2,0)</f>
        <v>#N/A</v>
      </c>
      <c r="I105" t="e">
        <f>VLOOKUP(B105,[6]FEDNA_2019!$A$3:$D$307,4,0)</f>
        <v>#N/A</v>
      </c>
    </row>
    <row r="106" spans="1:9" ht="15.6" x14ac:dyDescent="0.3">
      <c r="A106" s="25" t="s">
        <v>2594</v>
      </c>
      <c r="B106" s="25" t="s">
        <v>2595</v>
      </c>
      <c r="C106" s="32"/>
      <c r="E106" s="26" t="s">
        <v>1955</v>
      </c>
      <c r="F106" t="s">
        <v>1935</v>
      </c>
      <c r="G106" t="str">
        <f t="shared" si="3"/>
        <v>LEVADURA CERVEZA</v>
      </c>
      <c r="H106">
        <f>VLOOKUP(B106,[6]FEDNA_2019!$A$3:$D$307,2,0)</f>
        <v>8.1999999999999993</v>
      </c>
      <c r="I106">
        <f>VLOOKUP(B106,[6]FEDNA_2019!$A$3:$D$307,4,0)</f>
        <v>46</v>
      </c>
    </row>
    <row r="107" spans="1:9" x14ac:dyDescent="0.3">
      <c r="A107" s="25" t="s">
        <v>2596</v>
      </c>
      <c r="B107" s="25" t="s">
        <v>2595</v>
      </c>
      <c r="C107" s="20"/>
      <c r="D107" t="s">
        <v>2515</v>
      </c>
      <c r="E107" s="26" t="s">
        <v>1955</v>
      </c>
      <c r="F107" t="s">
        <v>1935</v>
      </c>
      <c r="G107" t="str">
        <f t="shared" si="3"/>
        <v>LEVADURA CERVEZA</v>
      </c>
      <c r="H107">
        <f>VLOOKUP(B107,[6]FEDNA_2019!$A$3:$D$307,2,0)</f>
        <v>8.1999999999999993</v>
      </c>
      <c r="I107">
        <f>VLOOKUP(B107,[6]FEDNA_2019!$A$3:$D$307,4,0)</f>
        <v>46</v>
      </c>
    </row>
    <row r="108" spans="1:9" x14ac:dyDescent="0.3">
      <c r="A108" s="25" t="s">
        <v>2537</v>
      </c>
      <c r="B108" s="25"/>
      <c r="C108" s="20"/>
      <c r="D108" t="s">
        <v>2515</v>
      </c>
      <c r="E108" s="26" t="s">
        <v>1937</v>
      </c>
      <c r="F108" t="s">
        <v>1935</v>
      </c>
      <c r="G108">
        <f t="shared" si="3"/>
        <v>0</v>
      </c>
      <c r="H108" t="e">
        <f>VLOOKUP(B108,[6]FEDNA_2019!$A$3:$D$307,2,0)</f>
        <v>#N/A</v>
      </c>
      <c r="I108" t="e">
        <f>VLOOKUP(B108,[6]FEDNA_2019!$A$3:$D$307,4,0)</f>
        <v>#N/A</v>
      </c>
    </row>
    <row r="109" spans="1:9" ht="15.6" x14ac:dyDescent="0.3">
      <c r="A109" s="25" t="s">
        <v>2534</v>
      </c>
      <c r="B109" s="25" t="s">
        <v>2535</v>
      </c>
      <c r="C109" s="32"/>
      <c r="E109" s="26" t="s">
        <v>1937</v>
      </c>
      <c r="F109" t="s">
        <v>1935</v>
      </c>
      <c r="G109" t="str">
        <f t="shared" si="3"/>
        <v>L-LISINA 50</v>
      </c>
      <c r="H109">
        <f>VLOOKUP(B109,[6]FEDNA_2019!$A$3:$D$307,2,0)</f>
        <v>46</v>
      </c>
      <c r="I109">
        <f>VLOOKUP(B109,[6]FEDNA_2019!$A$3:$D$307,4,0)</f>
        <v>60</v>
      </c>
    </row>
    <row r="110" spans="1:9" ht="15.6" x14ac:dyDescent="0.3">
      <c r="A110" s="25" t="s">
        <v>2536</v>
      </c>
      <c r="B110" s="25"/>
      <c r="C110" s="32"/>
      <c r="D110" t="s">
        <v>2515</v>
      </c>
      <c r="E110" s="26" t="s">
        <v>1937</v>
      </c>
      <c r="F110" t="s">
        <v>1935</v>
      </c>
      <c r="G110">
        <f t="shared" si="3"/>
        <v>0</v>
      </c>
      <c r="H110" t="e">
        <f>VLOOKUP(B110,[6]FEDNA_2019!$A$3:$D$307,2,0)</f>
        <v>#N/A</v>
      </c>
      <c r="I110" t="e">
        <f>VLOOKUP(B110,[6]FEDNA_2019!$A$3:$D$307,4,0)</f>
        <v>#N/A</v>
      </c>
    </row>
    <row r="111" spans="1:9" ht="15.6" x14ac:dyDescent="0.3">
      <c r="A111" s="25" t="s">
        <v>2574</v>
      </c>
      <c r="B111" s="25" t="s">
        <v>2573</v>
      </c>
      <c r="C111" s="32"/>
      <c r="E111" s="26" t="s">
        <v>1951</v>
      </c>
      <c r="F111" t="s">
        <v>1935</v>
      </c>
      <c r="G111" t="str">
        <f t="shared" si="3"/>
        <v>L-TREONINA</v>
      </c>
      <c r="H111">
        <f>VLOOKUP(B111,[6]FEDNA_2019!$A$3:$D$307,2,0)</f>
        <v>0.5</v>
      </c>
      <c r="I111">
        <f>VLOOKUP(B111,[6]FEDNA_2019!$A$3:$D$307,4,0)</f>
        <v>72.5</v>
      </c>
    </row>
    <row r="112" spans="1:9" ht="15.6" x14ac:dyDescent="0.3">
      <c r="A112" s="25" t="s">
        <v>2711</v>
      </c>
      <c r="B112" s="36" t="s">
        <v>2712</v>
      </c>
      <c r="C112" s="38" t="s">
        <v>1189</v>
      </c>
      <c r="D112" t="s">
        <v>2515</v>
      </c>
      <c r="E112" t="str">
        <f>VLOOKUP(C112,Names_biomass_CB!$A$2:$B$236,2,0)</f>
        <v>Fodder cereal and grasses</v>
      </c>
      <c r="F112" t="str">
        <f>VLOOKUP(E112,Names_biomass_CB!$B$2:$D$249,3,0)</f>
        <v>Fodder_green</v>
      </c>
      <c r="G112" t="str">
        <f t="shared" si="3"/>
        <v>Maiz silo PROMEDIO</v>
      </c>
      <c r="H112" t="e">
        <f>VLOOKUP(B112,[6]FEDNA_2019!$A$3:$D$307,2,0)</f>
        <v>#N/A</v>
      </c>
      <c r="I112" t="e">
        <f>VLOOKUP(B112,[6]FEDNA_2019!$A$3:$D$307,4,0)</f>
        <v>#N/A</v>
      </c>
    </row>
    <row r="113" spans="1:9" ht="15.6" x14ac:dyDescent="0.3">
      <c r="A113" s="25" t="s">
        <v>2658</v>
      </c>
      <c r="B113" s="42" t="s">
        <v>2659</v>
      </c>
      <c r="C113" s="27" t="s">
        <v>929</v>
      </c>
      <c r="D113" t="s">
        <v>2515</v>
      </c>
      <c r="E113" t="str">
        <f>VLOOKUP(C113,Names_biomass_CB!$A$2:$B$236,2,0)</f>
        <v>Maize and products</v>
      </c>
      <c r="F113" t="str">
        <f>VLOOKUP(E113,Names_biomass_CB!$B$2:$D$249,3,0)</f>
        <v>Cereals</v>
      </c>
      <c r="G113" t="str">
        <f t="shared" si="3"/>
        <v>MAIZ PROMEDIO</v>
      </c>
      <c r="H113">
        <f>VLOOKUP(B113,[6]FEDNA_2019!$A$3:$D$307,2,0)</f>
        <v>13.733333333333334</v>
      </c>
      <c r="I113">
        <f>VLOOKUP(B113,[6]FEDNA_2019!$A$3:$D$307,4,0)</f>
        <v>7.666666666666667</v>
      </c>
    </row>
    <row r="114" spans="1:9" ht="15.6" x14ac:dyDescent="0.3">
      <c r="A114" s="25" t="s">
        <v>2660</v>
      </c>
      <c r="B114" s="25" t="s">
        <v>2661</v>
      </c>
      <c r="C114" s="27" t="s">
        <v>929</v>
      </c>
      <c r="D114" t="s">
        <v>2515</v>
      </c>
      <c r="E114" t="str">
        <f>VLOOKUP(C114,Names_biomass_CB!$A$2:$B$236,2,0)</f>
        <v>Maize and products</v>
      </c>
      <c r="F114" t="str">
        <f>VLOOKUP(E114,Names_biomass_CB!$B$2:$D$249,3,0)</f>
        <v>Cereals</v>
      </c>
      <c r="G114" t="str">
        <f t="shared" si="3"/>
        <v>MAIZ NACIONAL</v>
      </c>
      <c r="H114">
        <f>VLOOKUP(B114,[6]FEDNA_2019!$A$3:$D$307,2,0)</f>
        <v>13.6</v>
      </c>
      <c r="I114">
        <f>VLOOKUP(B114,[6]FEDNA_2019!$A$3:$D$307,4,0)</f>
        <v>7.3</v>
      </c>
    </row>
    <row r="115" spans="1:9" ht="15.6" x14ac:dyDescent="0.3">
      <c r="A115" s="25" t="s">
        <v>2662</v>
      </c>
      <c r="B115" s="25" t="s">
        <v>2657</v>
      </c>
      <c r="C115" s="38" t="s">
        <v>929</v>
      </c>
      <c r="D115" t="s">
        <v>2515</v>
      </c>
      <c r="E115" t="str">
        <f>VLOOKUP(C115,Names_biomass_CB!$A$2:$B$236,2,0)</f>
        <v>Maize and products</v>
      </c>
      <c r="F115" t="str">
        <f>VLOOKUP(E115,Names_biomass_CB!$B$2:$D$249,3,0)</f>
        <v>Cereals</v>
      </c>
      <c r="G115" t="str">
        <f t="shared" si="3"/>
        <v>HARINILLAS MAIZ 6%EE</v>
      </c>
      <c r="H115">
        <f>VLOOKUP(B115,[6]FEDNA_2019!$A$3:$D$307,2,0)</f>
        <v>13.7</v>
      </c>
      <c r="I115">
        <f>VLOOKUP(B115,[6]FEDNA_2019!$A$3:$D$307,4,0)</f>
        <v>8.3000000000000007</v>
      </c>
    </row>
    <row r="116" spans="1:9" x14ac:dyDescent="0.3">
      <c r="A116" s="25" t="s">
        <v>2670</v>
      </c>
      <c r="B116" s="25" t="s">
        <v>2661</v>
      </c>
      <c r="C116" s="20" t="s">
        <v>929</v>
      </c>
      <c r="D116" t="s">
        <v>2515</v>
      </c>
      <c r="E116" t="str">
        <f>VLOOKUP(C116,Names_biomass_CB!$A$2:$B$236,2,0)</f>
        <v>Maize and products</v>
      </c>
      <c r="F116" t="str">
        <f>VLOOKUP(E116,Names_biomass_CB!$B$2:$D$249,3,0)</f>
        <v>Cereals</v>
      </c>
      <c r="G116" t="str">
        <f t="shared" si="3"/>
        <v>MAIZ NACIONAL</v>
      </c>
      <c r="H116">
        <f>VLOOKUP(B116,[6]FEDNA_2019!$A$3:$D$307,2,0)</f>
        <v>13.6</v>
      </c>
      <c r="I116">
        <f>VLOOKUP(B116,[6]FEDNA_2019!$A$3:$D$307,4,0)</f>
        <v>7.3</v>
      </c>
    </row>
    <row r="117" spans="1:9" x14ac:dyDescent="0.3">
      <c r="A117" s="25" t="s">
        <v>2673</v>
      </c>
      <c r="B117" s="25" t="s">
        <v>2674</v>
      </c>
      <c r="C117" s="20" t="s">
        <v>929</v>
      </c>
      <c r="D117" t="s">
        <v>2515</v>
      </c>
      <c r="E117" t="str">
        <f>VLOOKUP(C117,Names_biomass_CB!$A$2:$B$236,2,0)</f>
        <v>Maize and products</v>
      </c>
      <c r="F117" t="str">
        <f>VLOOKUP(E117,Names_biomass_CB!$B$2:$D$249,3,0)</f>
        <v>Cereals</v>
      </c>
      <c r="G117" t="str">
        <f t="shared" si="3"/>
        <v>MAIZ TRATADO CALOR</v>
      </c>
      <c r="H117">
        <f>VLOOKUP(B117,[6]FEDNA_2019!$A$3:$D$307,2,0)</f>
        <v>13.8</v>
      </c>
      <c r="I117">
        <f>VLOOKUP(B117,[6]FEDNA_2019!$A$3:$D$307,4,0)</f>
        <v>7.3</v>
      </c>
    </row>
    <row r="118" spans="1:9" ht="15.6" x14ac:dyDescent="0.3">
      <c r="A118" s="25" t="s">
        <v>2784</v>
      </c>
      <c r="B118" s="25" t="s">
        <v>2785</v>
      </c>
      <c r="C118" s="32" t="s">
        <v>989</v>
      </c>
      <c r="D118" t="s">
        <v>2515</v>
      </c>
      <c r="E118" t="str">
        <f>VLOOKUP(C118,Names_biomass_CB!$A$2:$B$236,2,0)</f>
        <v>Cassava and products</v>
      </c>
      <c r="F118" t="str">
        <f>VLOOKUP(E118,Names_biomass_CB!$B$2:$D$249,3,0)</f>
        <v>Roots_tubers</v>
      </c>
      <c r="G118" t="str">
        <f t="shared" si="3"/>
        <v>MANDIOCA_65</v>
      </c>
      <c r="H118" t="e">
        <f>VLOOKUP(B118,[6]FEDNA_2019!$A$3:$D$307,2,0)</f>
        <v>#N/A</v>
      </c>
      <c r="I118" t="e">
        <f>VLOOKUP(B118,[6]FEDNA_2019!$A$3:$D$307,4,0)</f>
        <v>#N/A</v>
      </c>
    </row>
    <row r="119" spans="1:9" ht="15.6" x14ac:dyDescent="0.3">
      <c r="A119" s="25" t="s">
        <v>2597</v>
      </c>
      <c r="B119" s="29" t="s">
        <v>2598</v>
      </c>
      <c r="C119" s="20" t="s">
        <v>801</v>
      </c>
      <c r="D119" t="s">
        <v>2515</v>
      </c>
      <c r="E119" t="str">
        <f>VLOOKUP(C119,Names_biomass_CB!$A$2:$B$236,2,0)</f>
        <v>Fats, Animals, Raw</v>
      </c>
      <c r="F119" t="str">
        <f>VLOOKUP(E119,Names_biomass_CB!$B$2:$D$249,3,0)</f>
        <v>Animal fats</v>
      </c>
      <c r="G119" t="str">
        <f t="shared" si="3"/>
        <v>MANTECA</v>
      </c>
      <c r="H119">
        <f>VLOOKUP(B119,[6]FEDNA_2019!$A$3:$D$307,2,0)</f>
        <v>0</v>
      </c>
      <c r="I119">
        <f>VLOOKUP(B119,[6]FEDNA_2019!$A$3:$D$307,4,0)</f>
        <v>0</v>
      </c>
    </row>
    <row r="120" spans="1:9" ht="15.6" x14ac:dyDescent="0.3">
      <c r="A120" s="25" t="s">
        <v>2761</v>
      </c>
      <c r="B120" s="25" t="s">
        <v>2762</v>
      </c>
      <c r="C120" s="27" t="s">
        <v>1585</v>
      </c>
      <c r="D120" t="s">
        <v>2515</v>
      </c>
      <c r="E120" t="str">
        <f>VLOOKUP(C120,Names_biomass_CB!$A$2:$B$236,2,0)</f>
        <v>Molasses</v>
      </c>
      <c r="F120" t="str">
        <f>VLOOKUP(E120,Names_biomass_CB!$B$2:$D$249,3,0)</f>
        <v>Molasses</v>
      </c>
      <c r="G120" t="str">
        <f t="shared" si="3"/>
        <v>MELAZA CAÑA</v>
      </c>
      <c r="H120">
        <f>VLOOKUP(B120,[6]FEDNA_2019!$A$3:$D$307,2,0)</f>
        <v>27.4</v>
      </c>
      <c r="I120">
        <f>VLOOKUP(B120,[6]FEDNA_2019!$A$3:$D$307,4,0)</f>
        <v>4.3</v>
      </c>
    </row>
    <row r="121" spans="1:9" ht="15.6" x14ac:dyDescent="0.3">
      <c r="A121" s="25" t="s">
        <v>2765</v>
      </c>
      <c r="B121" s="25" t="s">
        <v>2762</v>
      </c>
      <c r="C121" s="27" t="s">
        <v>1585</v>
      </c>
      <c r="D121" t="s">
        <v>2515</v>
      </c>
      <c r="E121" t="str">
        <f>VLOOKUP(C121,Names_biomass_CB!$A$2:$B$236,2,0)</f>
        <v>Molasses</v>
      </c>
      <c r="F121" t="str">
        <f>VLOOKUP(E121,Names_biomass_CB!$B$2:$D$249,3,0)</f>
        <v>Molasses</v>
      </c>
      <c r="G121" t="str">
        <f t="shared" si="3"/>
        <v>MELAZA CAÑA</v>
      </c>
      <c r="H121">
        <f>VLOOKUP(B121,[6]FEDNA_2019!$A$3:$D$307,2,0)</f>
        <v>27.4</v>
      </c>
      <c r="I121">
        <f>VLOOKUP(B121,[6]FEDNA_2019!$A$3:$D$307,4,0)</f>
        <v>4.3</v>
      </c>
    </row>
    <row r="122" spans="1:9" x14ac:dyDescent="0.3">
      <c r="A122" s="25" t="s">
        <v>2766</v>
      </c>
      <c r="B122" s="25" t="s">
        <v>2764</v>
      </c>
      <c r="C122" s="20" t="s">
        <v>2102</v>
      </c>
      <c r="D122" t="s">
        <v>2515</v>
      </c>
      <c r="E122" t="str">
        <f>VLOOKUP(C122,Names_biomass_CB!$A$2:$B$236,2,0)</f>
        <v>Molasses</v>
      </c>
      <c r="F122" t="str">
        <f>VLOOKUP(E122,Names_biomass_CB!$B$2:$D$249,3,0)</f>
        <v>Molasses</v>
      </c>
      <c r="G122" t="str">
        <f t="shared" si="3"/>
        <v>MELAZA REMOLACHA</v>
      </c>
      <c r="H122">
        <f>VLOOKUP(B122,[6]FEDNA_2019!$A$3:$D$307,2,0)</f>
        <v>28.2</v>
      </c>
      <c r="I122">
        <f>VLOOKUP(B122,[6]FEDNA_2019!$A$3:$D$307,4,0)</f>
        <v>9.1</v>
      </c>
    </row>
    <row r="123" spans="1:9" ht="15.6" x14ac:dyDescent="0.3">
      <c r="A123" s="25" t="s">
        <v>2763</v>
      </c>
      <c r="B123" s="25" t="s">
        <v>2764</v>
      </c>
      <c r="C123" s="27" t="s">
        <v>2102</v>
      </c>
      <c r="D123" t="s">
        <v>2515</v>
      </c>
      <c r="E123" t="str">
        <f>VLOOKUP(C123,Names_biomass_CB!$A$2:$B$236,2,0)</f>
        <v>Molasses</v>
      </c>
      <c r="F123" t="str">
        <f>VLOOKUP(E123,Names_biomass_CB!$B$2:$D$249,3,0)</f>
        <v>Molasses</v>
      </c>
      <c r="G123" t="str">
        <f t="shared" si="3"/>
        <v>MELAZA REMOLACHA</v>
      </c>
      <c r="H123">
        <f>VLOOKUP(B123,[6]FEDNA_2019!$A$3:$D$307,2,0)</f>
        <v>28.2</v>
      </c>
      <c r="I123">
        <f>VLOOKUP(B123,[6]FEDNA_2019!$A$3:$D$307,4,0)</f>
        <v>9.1</v>
      </c>
    </row>
    <row r="124" spans="1:9" x14ac:dyDescent="0.3">
      <c r="A124" s="25" t="s">
        <v>2541</v>
      </c>
      <c r="B124" s="25"/>
      <c r="C124" s="20"/>
      <c r="D124" t="s">
        <v>2515</v>
      </c>
      <c r="E124" s="26" t="s">
        <v>1950</v>
      </c>
      <c r="F124" t="s">
        <v>1935</v>
      </c>
      <c r="G124">
        <f t="shared" si="3"/>
        <v>0</v>
      </c>
      <c r="H124" t="e">
        <f>VLOOKUP(B124,[6]FEDNA_2019!$A$3:$D$307,2,0)</f>
        <v>#N/A</v>
      </c>
      <c r="I124" t="e">
        <f>VLOOKUP(B124,[6]FEDNA_2019!$A$3:$D$307,4,0)</f>
        <v>#N/A</v>
      </c>
    </row>
    <row r="125" spans="1:9" x14ac:dyDescent="0.3">
      <c r="A125" s="25" t="s">
        <v>2542</v>
      </c>
      <c r="B125" s="25" t="s">
        <v>1938</v>
      </c>
      <c r="C125" s="20"/>
      <c r="D125" t="s">
        <v>2515</v>
      </c>
      <c r="E125" s="26" t="s">
        <v>1938</v>
      </c>
      <c r="F125" t="s">
        <v>1935</v>
      </c>
      <c r="G125" t="str">
        <f t="shared" si="3"/>
        <v>MgO</v>
      </c>
      <c r="H125" t="e">
        <f>VLOOKUP(B125,[6]FEDNA_2019!$A$3:$D$307,2,0)</f>
        <v>#N/A</v>
      </c>
      <c r="I125" t="e">
        <f>VLOOKUP(B125,[6]FEDNA_2019!$A$3:$D$307,4,0)</f>
        <v>#N/A</v>
      </c>
    </row>
    <row r="126" spans="1:9" x14ac:dyDescent="0.3">
      <c r="A126" s="25" t="s">
        <v>2543</v>
      </c>
      <c r="B126" s="25"/>
      <c r="C126" s="20"/>
      <c r="D126" t="s">
        <v>2515</v>
      </c>
      <c r="E126" s="26" t="s">
        <v>1939</v>
      </c>
      <c r="F126" t="s">
        <v>1935</v>
      </c>
      <c r="G126">
        <f t="shared" si="3"/>
        <v>0</v>
      </c>
      <c r="H126" t="e">
        <f>VLOOKUP(B126,[6]FEDNA_2019!$A$3:$D$307,2,0)</f>
        <v>#N/A</v>
      </c>
      <c r="I126" t="e">
        <f>VLOOKUP(B126,[6]FEDNA_2019!$A$3:$D$307,4,0)</f>
        <v>#N/A</v>
      </c>
    </row>
    <row r="127" spans="1:9" x14ac:dyDescent="0.3">
      <c r="A127" s="25" t="s">
        <v>2545</v>
      </c>
      <c r="B127" s="25"/>
      <c r="C127" s="20"/>
      <c r="D127" t="s">
        <v>2515</v>
      </c>
      <c r="E127" s="26" t="s">
        <v>1963</v>
      </c>
      <c r="F127" t="s">
        <v>1935</v>
      </c>
      <c r="G127">
        <f t="shared" si="3"/>
        <v>0</v>
      </c>
      <c r="H127" t="e">
        <f>VLOOKUP(B127,[6]FEDNA_2019!$A$3:$D$307,2,0)</f>
        <v>#N/A</v>
      </c>
      <c r="I127" t="e">
        <f>VLOOKUP(B127,[6]FEDNA_2019!$A$3:$D$307,4,0)</f>
        <v>#N/A</v>
      </c>
    </row>
    <row r="128" spans="1:9" x14ac:dyDescent="0.3">
      <c r="A128" s="25" t="s">
        <v>2546</v>
      </c>
      <c r="B128" s="25"/>
      <c r="C128" s="20"/>
      <c r="D128" t="s">
        <v>2515</v>
      </c>
      <c r="E128" s="26" t="s">
        <v>1963</v>
      </c>
      <c r="F128" t="s">
        <v>1935</v>
      </c>
      <c r="G128">
        <f t="shared" si="3"/>
        <v>0</v>
      </c>
      <c r="H128" t="e">
        <f>VLOOKUP(B128,[6]FEDNA_2019!$A$3:$D$307,2,0)</f>
        <v>#N/A</v>
      </c>
      <c r="I128" t="e">
        <f>VLOOKUP(B128,[6]FEDNA_2019!$A$3:$D$307,4,0)</f>
        <v>#N/A</v>
      </c>
    </row>
    <row r="129" spans="1:9" ht="15.6" x14ac:dyDescent="0.3">
      <c r="A129" s="25" t="s">
        <v>2786</v>
      </c>
      <c r="B129" s="25" t="s">
        <v>2787</v>
      </c>
      <c r="C129" s="31" t="s">
        <v>1298</v>
      </c>
      <c r="D129" t="s">
        <v>2788</v>
      </c>
      <c r="E129" s="1" t="s">
        <v>1298</v>
      </c>
      <c r="F129" t="str">
        <f>VLOOKUP(E129,Names_biomass_CB!$B$2:$D$249,3,0)</f>
        <v>Straw</v>
      </c>
      <c r="G129" t="str">
        <f t="shared" si="3"/>
        <v>PAJA DE CEREALES</v>
      </c>
      <c r="H129">
        <f>VLOOKUP(B129,[6]FEDNA_2019!$A$3:$D$307,2,0)</f>
        <v>8.6</v>
      </c>
      <c r="I129">
        <f>VLOOKUP(B129,[6]FEDNA_2019!$A$3:$D$307,4,0)</f>
        <v>4.5999999999999996</v>
      </c>
    </row>
    <row r="130" spans="1:9" x14ac:dyDescent="0.3">
      <c r="A130" s="25" t="s">
        <v>2789</v>
      </c>
      <c r="B130" s="25" t="s">
        <v>2787</v>
      </c>
      <c r="C130" s="20" t="s">
        <v>1298</v>
      </c>
      <c r="D130" t="s">
        <v>2788</v>
      </c>
      <c r="E130" t="s">
        <v>1298</v>
      </c>
      <c r="F130" t="str">
        <f>VLOOKUP(E130,Names_biomass_CB!$B$2:$D$249,3,0)</f>
        <v>Straw</v>
      </c>
      <c r="G130" t="str">
        <f t="shared" ref="G130:G161" si="4">B130</f>
        <v>PAJA DE CEREALES</v>
      </c>
      <c r="H130">
        <f>VLOOKUP(B130,[6]FEDNA_2019!$A$3:$D$307,2,0)</f>
        <v>8.6</v>
      </c>
      <c r="I130">
        <f>VLOOKUP(B130,[6]FEDNA_2019!$A$3:$D$307,4,0)</f>
        <v>4.5999999999999996</v>
      </c>
    </row>
    <row r="131" spans="1:9" x14ac:dyDescent="0.3">
      <c r="A131" s="25" t="s">
        <v>2558</v>
      </c>
      <c r="B131" s="25"/>
      <c r="C131" s="20"/>
      <c r="D131" t="s">
        <v>2515</v>
      </c>
      <c r="E131" s="26" t="s">
        <v>1952</v>
      </c>
      <c r="F131" t="s">
        <v>1935</v>
      </c>
      <c r="G131">
        <f t="shared" si="4"/>
        <v>0</v>
      </c>
      <c r="H131" t="e">
        <f>VLOOKUP(B131,[6]FEDNA_2019!$A$3:$D$307,2,0)</f>
        <v>#N/A</v>
      </c>
      <c r="I131" t="e">
        <f>VLOOKUP(B131,[6]FEDNA_2019!$A$3:$D$307,4,0)</f>
        <v>#N/A</v>
      </c>
    </row>
    <row r="132" spans="1:9" x14ac:dyDescent="0.3">
      <c r="A132" s="25" t="s">
        <v>2557</v>
      </c>
      <c r="B132" s="25"/>
      <c r="C132" s="20"/>
      <c r="D132" t="s">
        <v>2515</v>
      </c>
      <c r="E132" s="26" t="s">
        <v>1952</v>
      </c>
      <c r="F132" t="s">
        <v>1935</v>
      </c>
      <c r="G132">
        <f t="shared" si="4"/>
        <v>0</v>
      </c>
      <c r="H132" t="e">
        <f>VLOOKUP(B132,[6]FEDNA_2019!$A$3:$D$307,2,0)</f>
        <v>#N/A</v>
      </c>
      <c r="I132" t="e">
        <f>VLOOKUP(B132,[6]FEDNA_2019!$A$3:$D$307,4,0)</f>
        <v>#N/A</v>
      </c>
    </row>
    <row r="133" spans="1:9" x14ac:dyDescent="0.3">
      <c r="A133" s="25" t="s">
        <v>2544</v>
      </c>
      <c r="B133" s="25"/>
      <c r="C133" s="20"/>
      <c r="D133" t="s">
        <v>2515</v>
      </c>
      <c r="E133" s="26" t="s">
        <v>1939</v>
      </c>
      <c r="F133" t="s">
        <v>1935</v>
      </c>
      <c r="G133">
        <f t="shared" si="4"/>
        <v>0</v>
      </c>
      <c r="H133" t="e">
        <f>VLOOKUP(B133,[6]FEDNA_2019!$A$3:$D$307,2,0)</f>
        <v>#N/A</v>
      </c>
      <c r="I133" t="e">
        <f>VLOOKUP(B133,[6]FEDNA_2019!$A$3:$D$307,4,0)</f>
        <v>#N/A</v>
      </c>
    </row>
    <row r="134" spans="1:9" ht="15.6" x14ac:dyDescent="0.3">
      <c r="A134" s="25" t="s">
        <v>2581</v>
      </c>
      <c r="B134" s="46" t="s">
        <v>2582</v>
      </c>
      <c r="C134" s="32"/>
      <c r="E134" s="26" t="s">
        <v>1945</v>
      </c>
      <c r="F134" t="s">
        <v>1935</v>
      </c>
      <c r="G134" t="str">
        <f t="shared" si="4"/>
        <v>PREMEZCLAVITAMINAS_MINERALES</v>
      </c>
      <c r="H134" t="e">
        <f>VLOOKUP(B134,[6]FEDNA_2019!$A$3:$D$307,2,0)</f>
        <v>#N/A</v>
      </c>
      <c r="I134" t="e">
        <f>VLOOKUP(B134,[6]FEDNA_2019!$A$3:$D$307,4,0)</f>
        <v>#N/A</v>
      </c>
    </row>
    <row r="135" spans="1:9" x14ac:dyDescent="0.3">
      <c r="A135" s="25" t="s">
        <v>2587</v>
      </c>
      <c r="B135" s="25"/>
      <c r="C135" s="20"/>
      <c r="D135" t="s">
        <v>2515</v>
      </c>
      <c r="E135" s="26" t="s">
        <v>1945</v>
      </c>
      <c r="F135" t="s">
        <v>1935</v>
      </c>
      <c r="G135">
        <f t="shared" si="4"/>
        <v>0</v>
      </c>
      <c r="H135" t="e">
        <f>VLOOKUP(B135,[6]FEDNA_2019!$A$3:$D$307,2,0)</f>
        <v>#N/A</v>
      </c>
      <c r="I135" t="e">
        <f>VLOOKUP(B135,[6]FEDNA_2019!$A$3:$D$307,4,0)</f>
        <v>#N/A</v>
      </c>
    </row>
    <row r="136" spans="1:9" ht="15.6" x14ac:dyDescent="0.3">
      <c r="A136" s="18" t="s">
        <v>2677</v>
      </c>
      <c r="B136" s="18" t="s">
        <v>2678</v>
      </c>
      <c r="C136" s="43" t="s">
        <v>890</v>
      </c>
      <c r="D136" t="s">
        <v>2515</v>
      </c>
      <c r="E136" t="str">
        <f>VLOOKUP(C136,Names_biomass_CB!$A$2:$B$236,2,0)</f>
        <v>Wheat and products</v>
      </c>
      <c r="F136" t="str">
        <f>VLOOKUP(E136,Names_biomass_CB!$B$2:$D$249,3,0)</f>
        <v>Cereals</v>
      </c>
      <c r="G136" t="str">
        <f t="shared" si="4"/>
        <v>PROT. TRIGO HIDROLIZADO</v>
      </c>
      <c r="H136">
        <f>VLOOKUP(B136,[6]FEDNA_2019!$A$3:$D$307,2,0)</f>
        <v>7.5</v>
      </c>
      <c r="I136">
        <f>VLOOKUP(B136,[6]FEDNA_2019!$A$3:$D$307,4,0)</f>
        <v>78</v>
      </c>
    </row>
    <row r="137" spans="1:9" ht="15.6" x14ac:dyDescent="0.3">
      <c r="A137" s="18" t="s">
        <v>2690</v>
      </c>
      <c r="B137" s="18" t="s">
        <v>2691</v>
      </c>
      <c r="C137" s="30" t="s">
        <v>1715</v>
      </c>
      <c r="D137" t="s">
        <v>2515</v>
      </c>
      <c r="E137" t="str">
        <f>VLOOKUP(C137,Names_biomass_CB!$A$2:$B$236,2,0)</f>
        <v>Oranges, Mandarines</v>
      </c>
      <c r="F137" t="str">
        <f>VLOOKUP(E137,Names_biomass_CB!$B$2:$D$249,3,0)</f>
        <v>Citrus</v>
      </c>
      <c r="G137" t="str">
        <f t="shared" si="4"/>
        <v>PULPA CÍTRICOS (NARANJA+MANDARINA)</v>
      </c>
      <c r="H137">
        <f>VLOOKUP(B137,[6]FEDNA_2019!$A$3:$D$307,2,0)</f>
        <v>12.3</v>
      </c>
      <c r="I137">
        <f>VLOOKUP(B137,[6]FEDNA_2019!$A$3:$D$307,4,0)</f>
        <v>6.1</v>
      </c>
    </row>
    <row r="138" spans="1:9" ht="15.6" x14ac:dyDescent="0.3">
      <c r="A138" s="25" t="s">
        <v>2701</v>
      </c>
      <c r="B138" s="18" t="s">
        <v>2700</v>
      </c>
      <c r="C138" s="20" t="s">
        <v>2088</v>
      </c>
      <c r="D138" t="s">
        <v>2515</v>
      </c>
      <c r="E138" t="str">
        <f>VLOOKUP(C138,Names_biomass_CB!$A$2:$B$236,2,0)</f>
        <v>Sugarbeet pulp</v>
      </c>
      <c r="F138" t="str">
        <f>VLOOKUP(E138,Names_biomass_CB!$B$2:$D$249,3,0)</f>
        <v>Cakes</v>
      </c>
      <c r="G138" t="str">
        <f t="shared" si="4"/>
        <v>PULPA REMOLACHA 4% CENIZAS</v>
      </c>
      <c r="H138">
        <f>VLOOKUP(B138,[6]FEDNA_2019!$A$3:$D$307,2,0)</f>
        <v>10.7</v>
      </c>
      <c r="I138">
        <f>VLOOKUP(B138,[6]FEDNA_2019!$A$3:$D$307,4,0)</f>
        <v>8.6</v>
      </c>
    </row>
    <row r="139" spans="1:9" ht="15.6" x14ac:dyDescent="0.3">
      <c r="A139" s="18" t="s">
        <v>2699</v>
      </c>
      <c r="B139" s="18" t="s">
        <v>2700</v>
      </c>
      <c r="C139" s="40" t="s">
        <v>2088</v>
      </c>
      <c r="D139" t="s">
        <v>2515</v>
      </c>
      <c r="E139" t="str">
        <f>VLOOKUP(C139,Names_biomass_CB!$A$2:$B$236,2,0)</f>
        <v>Sugarbeet pulp</v>
      </c>
      <c r="F139" t="str">
        <f>VLOOKUP(E139,Names_biomass_CB!$B$2:$D$249,3,0)</f>
        <v>Cakes</v>
      </c>
      <c r="G139" t="str">
        <f t="shared" si="4"/>
        <v>PULPA REMOLACHA 4% CENIZAS</v>
      </c>
      <c r="H139">
        <f>VLOOKUP(B139,[6]FEDNA_2019!$A$3:$D$307,2,0)</f>
        <v>10.7</v>
      </c>
      <c r="I139">
        <f>VLOOKUP(B139,[6]FEDNA_2019!$A$3:$D$307,4,0)</f>
        <v>8.6</v>
      </c>
    </row>
    <row r="140" spans="1:9" ht="15.6" x14ac:dyDescent="0.3">
      <c r="A140" s="25" t="s">
        <v>2713</v>
      </c>
      <c r="B140" s="37" t="s">
        <v>2714</v>
      </c>
      <c r="C140" s="27" t="s">
        <v>1761</v>
      </c>
      <c r="D140" t="s">
        <v>2515</v>
      </c>
      <c r="E140" t="str">
        <f>VLOOKUP(C140,Names_biomass_CB!$A$2:$B$236,2,0)</f>
        <v>Fodder cereal and grasses</v>
      </c>
      <c r="F140" t="str">
        <f>VLOOKUP(E140,Names_biomass_CB!$B$2:$D$249,3,0)</f>
        <v>Fodder_green</v>
      </c>
      <c r="G140" t="str">
        <f t="shared" si="4"/>
        <v>RAY-GRASS SILO PROMEDIO</v>
      </c>
      <c r="H140" t="e">
        <f>VLOOKUP(B140,[6]FEDNA_2019!$A$3:$D$307,2,0)</f>
        <v>#N/A</v>
      </c>
      <c r="I140" t="e">
        <f>VLOOKUP(B140,[6]FEDNA_2019!$A$3:$D$307,4,0)</f>
        <v>#N/A</v>
      </c>
    </row>
    <row r="141" spans="1:9" ht="15.6" x14ac:dyDescent="0.3">
      <c r="A141" s="25" t="s">
        <v>2715</v>
      </c>
      <c r="B141" s="35" t="s">
        <v>2716</v>
      </c>
      <c r="C141" s="27" t="s">
        <v>1761</v>
      </c>
      <c r="D141" t="s">
        <v>2515</v>
      </c>
      <c r="E141" t="str">
        <f>VLOOKUP(C141,Names_biomass_CB!$A$2:$B$236,2,0)</f>
        <v>Fodder cereal and grasses</v>
      </c>
      <c r="F141" t="str">
        <f>VLOOKUP(E141,Names_biomass_CB!$B$2:$D$249,3,0)</f>
        <v>Fodder_green</v>
      </c>
      <c r="G141" t="str">
        <f t="shared" si="4"/>
        <v>Ray-grass heno PROMEDIO</v>
      </c>
      <c r="H141" t="e">
        <f>VLOOKUP(B141,[6]FEDNA_2019!$A$3:$D$307,2,0)</f>
        <v>#N/A</v>
      </c>
      <c r="I141" t="e">
        <f>VLOOKUP(B141,[6]FEDNA_2019!$A$3:$D$307,4,0)</f>
        <v>#N/A</v>
      </c>
    </row>
    <row r="142" spans="1:9" ht="15.6" x14ac:dyDescent="0.3">
      <c r="A142" s="25" t="s">
        <v>2717</v>
      </c>
      <c r="B142" s="35" t="s">
        <v>2718</v>
      </c>
      <c r="C142" s="27" t="s">
        <v>1761</v>
      </c>
      <c r="D142" t="s">
        <v>2515</v>
      </c>
      <c r="E142" t="str">
        <f>VLOOKUP(C142,Names_biomass_CB!$A$2:$B$236,2,0)</f>
        <v>Fodder cereal and grasses</v>
      </c>
      <c r="F142" t="str">
        <f>VLOOKUP(E142,Names_biomass_CB!$B$2:$D$249,3,0)</f>
        <v>Fodder_green</v>
      </c>
      <c r="G142" t="str">
        <f t="shared" si="4"/>
        <v>Ray-grass heno PRIMERA</v>
      </c>
      <c r="H142" t="e">
        <f>VLOOKUP(B142,[6]FEDNA_2019!$A$3:$D$307,2,0)</f>
        <v>#N/A</v>
      </c>
      <c r="I142" t="e">
        <f>VLOOKUP(B142,[6]FEDNA_2019!$A$3:$D$307,4,0)</f>
        <v>#N/A</v>
      </c>
    </row>
    <row r="143" spans="1:9" ht="15.6" x14ac:dyDescent="0.3">
      <c r="A143" s="25" t="s">
        <v>2719</v>
      </c>
      <c r="B143" s="35" t="s">
        <v>2720</v>
      </c>
      <c r="C143" s="27" t="s">
        <v>1761</v>
      </c>
      <c r="D143" t="s">
        <v>2515</v>
      </c>
      <c r="E143" t="str">
        <f>VLOOKUP(C143,Names_biomass_CB!$A$2:$B$236,2,0)</f>
        <v>Fodder cereal and grasses</v>
      </c>
      <c r="F143" t="str">
        <f>VLOOKUP(E143,Names_biomass_CB!$B$2:$D$249,3,0)</f>
        <v>Fodder_green</v>
      </c>
      <c r="G143" t="str">
        <f t="shared" si="4"/>
        <v>Ray-grass heno SEGUNDA</v>
      </c>
      <c r="H143" t="e">
        <f>VLOOKUP(B143,[6]FEDNA_2019!$A$3:$D$307,2,0)</f>
        <v>#N/A</v>
      </c>
      <c r="I143" t="e">
        <f>VLOOKUP(B143,[6]FEDNA_2019!$A$3:$D$307,4,0)</f>
        <v>#N/A</v>
      </c>
    </row>
    <row r="144" spans="1:9" ht="15.6" x14ac:dyDescent="0.3">
      <c r="A144" s="25" t="s">
        <v>2721</v>
      </c>
      <c r="B144" s="35" t="s">
        <v>2722</v>
      </c>
      <c r="C144" s="27" t="s">
        <v>1761</v>
      </c>
      <c r="D144" t="s">
        <v>2515</v>
      </c>
      <c r="E144" t="str">
        <f>VLOOKUP(C144,Names_biomass_CB!$A$2:$B$236,2,0)</f>
        <v>Fodder cereal and grasses</v>
      </c>
      <c r="F144" t="str">
        <f>VLOOKUP(E144,Names_biomass_CB!$B$2:$D$249,3,0)</f>
        <v>Fodder_green</v>
      </c>
      <c r="G144" t="str">
        <f t="shared" si="4"/>
        <v>Ray-grass heno TERCERA</v>
      </c>
      <c r="H144" t="e">
        <f>VLOOKUP(B144,[6]FEDNA_2019!$A$3:$D$307,2,0)</f>
        <v>#N/A</v>
      </c>
      <c r="I144" t="e">
        <f>VLOOKUP(B144,[6]FEDNA_2019!$A$3:$D$307,4,0)</f>
        <v>#N/A</v>
      </c>
    </row>
    <row r="145" spans="1:9" ht="15.6" x14ac:dyDescent="0.3">
      <c r="A145" s="25" t="s">
        <v>2723</v>
      </c>
      <c r="B145" s="36" t="s">
        <v>2724</v>
      </c>
      <c r="C145" s="27" t="s">
        <v>1761</v>
      </c>
      <c r="D145" t="s">
        <v>2515</v>
      </c>
      <c r="E145" t="str">
        <f>VLOOKUP(C145,Names_biomass_CB!$A$2:$B$236,2,0)</f>
        <v>Fodder cereal and grasses</v>
      </c>
      <c r="F145" t="str">
        <f>VLOOKUP(E145,Names_biomass_CB!$B$2:$D$249,3,0)</f>
        <v>Fodder_green</v>
      </c>
      <c r="G145" t="str">
        <f t="shared" si="4"/>
        <v>Ray-grass verde PRIMERA</v>
      </c>
      <c r="H145" t="e">
        <f>VLOOKUP(B145,[6]FEDNA_2019!$A$3:$D$307,2,0)</f>
        <v>#N/A</v>
      </c>
      <c r="I145" t="e">
        <f>VLOOKUP(B145,[6]FEDNA_2019!$A$3:$D$307,4,0)</f>
        <v>#N/A</v>
      </c>
    </row>
    <row r="146" spans="1:9" ht="15.6" x14ac:dyDescent="0.3">
      <c r="A146" s="25" t="s">
        <v>2725</v>
      </c>
      <c r="B146" s="36" t="s">
        <v>2726</v>
      </c>
      <c r="C146" s="27" t="s">
        <v>1761</v>
      </c>
      <c r="D146" t="s">
        <v>2515</v>
      </c>
      <c r="E146" t="str">
        <f>VLOOKUP(C146,Names_biomass_CB!$A$2:$B$236,2,0)</f>
        <v>Fodder cereal and grasses</v>
      </c>
      <c r="F146" t="str">
        <f>VLOOKUP(E146,Names_biomass_CB!$B$2:$D$249,3,0)</f>
        <v>Fodder_green</v>
      </c>
      <c r="G146" t="str">
        <f t="shared" si="4"/>
        <v>Ray-grass verde SEGUNDA</v>
      </c>
      <c r="H146" t="e">
        <f>VLOOKUP(B146,[6]FEDNA_2019!$A$3:$D$307,2,0)</f>
        <v>#N/A</v>
      </c>
      <c r="I146" t="e">
        <f>VLOOKUP(B146,[6]FEDNA_2019!$A$3:$D$307,4,0)</f>
        <v>#N/A</v>
      </c>
    </row>
    <row r="147" spans="1:9" ht="15.6" x14ac:dyDescent="0.3">
      <c r="A147" s="25" t="s">
        <v>2727</v>
      </c>
      <c r="B147" s="36" t="s">
        <v>2728</v>
      </c>
      <c r="C147" s="27" t="s">
        <v>1761</v>
      </c>
      <c r="D147" t="s">
        <v>2515</v>
      </c>
      <c r="E147" t="str">
        <f>VLOOKUP(C147,Names_biomass_CB!$A$2:$B$236,2,0)</f>
        <v>Fodder cereal and grasses</v>
      </c>
      <c r="F147" t="str">
        <f>VLOOKUP(E147,Names_biomass_CB!$B$2:$D$249,3,0)</f>
        <v>Fodder_green</v>
      </c>
      <c r="G147" t="str">
        <f t="shared" si="4"/>
        <v>Ray-grass verde TERCERA</v>
      </c>
      <c r="H147" t="e">
        <f>VLOOKUP(B147,[6]FEDNA_2019!$A$3:$D$307,2,0)</f>
        <v>#N/A</v>
      </c>
      <c r="I147" t="e">
        <f>VLOOKUP(B147,[6]FEDNA_2019!$A$3:$D$307,4,0)</f>
        <v>#N/A</v>
      </c>
    </row>
    <row r="148" spans="1:9" x14ac:dyDescent="0.3">
      <c r="A148" s="25" t="s">
        <v>2561</v>
      </c>
      <c r="B148" s="25" t="s">
        <v>2562</v>
      </c>
      <c r="C148" s="20"/>
      <c r="D148" t="s">
        <v>2515</v>
      </c>
      <c r="E148" s="26" t="s">
        <v>1956</v>
      </c>
      <c r="F148" t="s">
        <v>1935</v>
      </c>
      <c r="G148" t="str">
        <f t="shared" si="4"/>
        <v>SAL</v>
      </c>
      <c r="H148" t="e">
        <f>VLOOKUP(B148,[6]FEDNA_2019!$A$3:$D$307,2,0)</f>
        <v>#N/A</v>
      </c>
      <c r="I148" t="e">
        <f>VLOOKUP(B148,[6]FEDNA_2019!$A$3:$D$307,4,0)</f>
        <v>#N/A</v>
      </c>
    </row>
    <row r="149" spans="1:9" ht="15.6" x14ac:dyDescent="0.3">
      <c r="A149" s="25" t="s">
        <v>2519</v>
      </c>
      <c r="B149" s="28" t="s">
        <v>2520</v>
      </c>
      <c r="C149" s="20"/>
      <c r="D149" t="s">
        <v>2515</v>
      </c>
      <c r="E149" s="26" t="s">
        <v>1957</v>
      </c>
      <c r="F149" t="s">
        <v>1935</v>
      </c>
      <c r="G149" t="str">
        <f t="shared" si="4"/>
        <v>SALES ANIONICAS</v>
      </c>
      <c r="H149" t="e">
        <f>VLOOKUP(B149,[6]FEDNA_2019!$A$3:$D$307,2,0)</f>
        <v>#N/A</v>
      </c>
      <c r="I149" t="e">
        <f>VLOOKUP(B149,[6]FEDNA_2019!$A$3:$D$307,4,0)</f>
        <v>#N/A</v>
      </c>
    </row>
    <row r="150" spans="1:9" ht="15.6" x14ac:dyDescent="0.3">
      <c r="A150" s="25" t="s">
        <v>2601</v>
      </c>
      <c r="B150" s="18" t="s">
        <v>2602</v>
      </c>
      <c r="C150" s="27" t="s">
        <v>2089</v>
      </c>
      <c r="D150" t="s">
        <v>2515</v>
      </c>
      <c r="E150" t="str">
        <f>VLOOKUP(C150,Names_biomass_CB!$A$2:$B$236,2,0)</f>
        <v>Brans</v>
      </c>
      <c r="F150" t="str">
        <f>VLOOKUP(E150,Names_biomass_CB!$B$2:$D$249,3,0)</f>
        <v>Brans</v>
      </c>
      <c r="G150" t="str">
        <f t="shared" si="4"/>
        <v>SALVADO TRIGO 15% ALMIDÓN</v>
      </c>
      <c r="H150">
        <f>VLOOKUP(B150,[6]FEDNA_2019!$A$3:$D$307,2,0)</f>
        <v>12.6</v>
      </c>
      <c r="I150">
        <f>VLOOKUP(B150,[6]FEDNA_2019!$A$3:$D$307,4,0)</f>
        <v>15.4</v>
      </c>
    </row>
    <row r="151" spans="1:9" ht="15.6" x14ac:dyDescent="0.3">
      <c r="A151" s="25" t="s">
        <v>2609</v>
      </c>
      <c r="B151" s="18" t="s">
        <v>2604</v>
      </c>
      <c r="C151" s="20" t="s">
        <v>2089</v>
      </c>
      <c r="D151" t="s">
        <v>2515</v>
      </c>
      <c r="E151" t="str">
        <f>VLOOKUP(C151,Names_biomass_CB!$A$2:$B$236,2,0)</f>
        <v>Brans</v>
      </c>
      <c r="F151" t="str">
        <f>VLOOKUP(E151,Names_biomass_CB!$B$2:$D$249,3,0)</f>
        <v>Brans</v>
      </c>
      <c r="G151" t="str">
        <f t="shared" si="4"/>
        <v>SALVADO TRIGO 20% ALMIDÓN</v>
      </c>
      <c r="H151">
        <f>VLOOKUP(B151,[6]FEDNA_2019!$A$3:$D$307,2,0)</f>
        <v>12.4</v>
      </c>
      <c r="I151">
        <f>VLOOKUP(B151,[6]FEDNA_2019!$A$3:$D$307,4,0)</f>
        <v>15</v>
      </c>
    </row>
    <row r="152" spans="1:9" ht="15.6" x14ac:dyDescent="0.3">
      <c r="A152" s="18" t="s">
        <v>2603</v>
      </c>
      <c r="B152" s="18" t="s">
        <v>2604</v>
      </c>
      <c r="C152" s="27" t="s">
        <v>2089</v>
      </c>
      <c r="D152" t="s">
        <v>2515</v>
      </c>
      <c r="E152" t="str">
        <f>VLOOKUP(C152,Names_biomass_CB!$A$2:$B$236,2,0)</f>
        <v>Brans</v>
      </c>
      <c r="F152" t="str">
        <f>VLOOKUP(E152,Names_biomass_CB!$B$2:$D$249,3,0)</f>
        <v>Brans</v>
      </c>
      <c r="G152" t="str">
        <f t="shared" si="4"/>
        <v>SALVADO TRIGO 20% ALMIDÓN</v>
      </c>
      <c r="H152">
        <f>VLOOKUP(B152,[6]FEDNA_2019!$A$3:$D$307,2,0)</f>
        <v>12.4</v>
      </c>
      <c r="I152">
        <f>VLOOKUP(B152,[6]FEDNA_2019!$A$3:$D$307,4,0)</f>
        <v>15</v>
      </c>
    </row>
    <row r="153" spans="1:9" ht="15.6" x14ac:dyDescent="0.3">
      <c r="A153" s="25" t="s">
        <v>2608</v>
      </c>
      <c r="B153" s="18" t="s">
        <v>2604</v>
      </c>
      <c r="C153" s="20" t="s">
        <v>2089</v>
      </c>
      <c r="D153" t="s">
        <v>2515</v>
      </c>
      <c r="E153" t="str">
        <f>VLOOKUP(C153,Names_biomass_CB!$A$2:$B$236,2,0)</f>
        <v>Brans</v>
      </c>
      <c r="F153" t="str">
        <f>VLOOKUP(E153,Names_biomass_CB!$B$2:$D$249,3,0)</f>
        <v>Brans</v>
      </c>
      <c r="G153" t="str">
        <f t="shared" si="4"/>
        <v>SALVADO TRIGO 20% ALMIDÓN</v>
      </c>
      <c r="H153">
        <f>VLOOKUP(B153,[6]FEDNA_2019!$A$3:$D$307,2,0)</f>
        <v>12.4</v>
      </c>
      <c r="I153">
        <f>VLOOKUP(B153,[6]FEDNA_2019!$A$3:$D$307,4,0)</f>
        <v>15</v>
      </c>
    </row>
    <row r="154" spans="1:9" ht="15.6" x14ac:dyDescent="0.3">
      <c r="A154" s="25" t="s">
        <v>2607</v>
      </c>
      <c r="B154" s="18" t="s">
        <v>2604</v>
      </c>
      <c r="C154" s="20" t="s">
        <v>2089</v>
      </c>
      <c r="D154" t="s">
        <v>2515</v>
      </c>
      <c r="E154" t="str">
        <f>VLOOKUP(C154,Names_biomass_CB!$A$2:$B$236,2,0)</f>
        <v>Brans</v>
      </c>
      <c r="F154" t="str">
        <f>VLOOKUP(E154,Names_biomass_CB!$B$2:$D$249,3,0)</f>
        <v>Brans</v>
      </c>
      <c r="G154" t="str">
        <f t="shared" si="4"/>
        <v>SALVADO TRIGO 20% ALMIDÓN</v>
      </c>
      <c r="H154">
        <f>VLOOKUP(B154,[6]FEDNA_2019!$A$3:$D$307,2,0)</f>
        <v>12.4</v>
      </c>
      <c r="I154">
        <f>VLOOKUP(B154,[6]FEDNA_2019!$A$3:$D$307,4,0)</f>
        <v>15</v>
      </c>
    </row>
    <row r="155" spans="1:9" ht="15.6" x14ac:dyDescent="0.3">
      <c r="A155" s="25" t="s">
        <v>2610</v>
      </c>
      <c r="B155" s="18" t="s">
        <v>2604</v>
      </c>
      <c r="C155" s="20" t="s">
        <v>2089</v>
      </c>
      <c r="D155" t="s">
        <v>2515</v>
      </c>
      <c r="E155" t="str">
        <f>VLOOKUP(C155,Names_biomass_CB!$A$2:$B$236,2,0)</f>
        <v>Brans</v>
      </c>
      <c r="F155" t="str">
        <f>VLOOKUP(E155,Names_biomass_CB!$B$2:$D$249,3,0)</f>
        <v>Brans</v>
      </c>
      <c r="G155" t="str">
        <f t="shared" si="4"/>
        <v>SALVADO TRIGO 20% ALMIDÓN</v>
      </c>
      <c r="H155">
        <f>VLOOKUP(B155,[6]FEDNA_2019!$A$3:$D$307,2,0)</f>
        <v>12.4</v>
      </c>
      <c r="I155">
        <f>VLOOKUP(B155,[6]FEDNA_2019!$A$3:$D$307,4,0)</f>
        <v>15</v>
      </c>
    </row>
    <row r="156" spans="1:9" ht="15.6" x14ac:dyDescent="0.3">
      <c r="A156" s="25" t="s">
        <v>2794</v>
      </c>
      <c r="B156" s="28" t="s">
        <v>2795</v>
      </c>
      <c r="C156" s="27"/>
      <c r="D156" t="s">
        <v>2515</v>
      </c>
      <c r="E156" s="26" t="s">
        <v>1947</v>
      </c>
      <c r="F156" t="e">
        <f>VLOOKUP(E156,Names_biomass_CB!$B$2:$D$249,3,0)</f>
        <v>#N/A</v>
      </c>
      <c r="G156" t="str">
        <f t="shared" si="4"/>
        <v>SEIS_FITASA</v>
      </c>
      <c r="H156" t="e">
        <f>VLOOKUP(B156,[6]FEDNA_2019!$A$3:$D$307,2,0)</f>
        <v>#N/A</v>
      </c>
      <c r="I156" t="e">
        <f>VLOOKUP(B156,[6]FEDNA_2019!$A$3:$D$307,4,0)</f>
        <v>#N/A</v>
      </c>
    </row>
    <row r="157" spans="1:9" x14ac:dyDescent="0.3">
      <c r="A157" s="25" t="s">
        <v>2554</v>
      </c>
      <c r="B157" s="25"/>
      <c r="C157" s="20"/>
      <c r="D157" t="s">
        <v>2515</v>
      </c>
      <c r="E157" s="26" t="s">
        <v>1947</v>
      </c>
      <c r="F157" t="s">
        <v>1935</v>
      </c>
      <c r="G157">
        <f t="shared" si="4"/>
        <v>0</v>
      </c>
      <c r="H157" t="e">
        <f>VLOOKUP(B157,[6]FEDNA_2019!$A$3:$D$307,2,0)</f>
        <v>#N/A</v>
      </c>
      <c r="I157" t="e">
        <f>VLOOKUP(B157,[6]FEDNA_2019!$A$3:$D$307,4,0)</f>
        <v>#N/A</v>
      </c>
    </row>
    <row r="158" spans="1:9" ht="15.6" x14ac:dyDescent="0.3">
      <c r="A158" s="25" t="s">
        <v>2777</v>
      </c>
      <c r="B158" s="29" t="s">
        <v>2775</v>
      </c>
      <c r="C158" s="20" t="s">
        <v>1145</v>
      </c>
      <c r="D158" t="s">
        <v>2515</v>
      </c>
      <c r="E158" t="str">
        <f>VLOOKUP(C158,Names_biomass_CB!$A$2:$B$236,2,0)</f>
        <v>Cottonseed</v>
      </c>
      <c r="F158" t="str">
        <f>VLOOKUP(E158,Names_biomass_CB!$B$2:$D$249,3,0)</f>
        <v>Oilseeds</v>
      </c>
      <c r="G158" t="str">
        <f t="shared" si="4"/>
        <v>SEMILLA ALGODON</v>
      </c>
      <c r="H158">
        <f>VLOOKUP(B158,[6]FEDNA_2019!$A$3:$D$307,2,0)</f>
        <v>9.1</v>
      </c>
      <c r="I158">
        <f>VLOOKUP(B158,[6]FEDNA_2019!$A$3:$D$307,4,0)</f>
        <v>20.8</v>
      </c>
    </row>
    <row r="159" spans="1:9" ht="15.6" x14ac:dyDescent="0.3">
      <c r="A159" s="25" t="s">
        <v>2774</v>
      </c>
      <c r="B159" s="29" t="s">
        <v>2775</v>
      </c>
      <c r="C159" s="32" t="s">
        <v>1145</v>
      </c>
      <c r="D159" t="s">
        <v>2515</v>
      </c>
      <c r="E159" t="str">
        <f>VLOOKUP(C159,Names_biomass_CB!$A$2:$B$236,2,0)</f>
        <v>Cottonseed</v>
      </c>
      <c r="F159" t="str">
        <f>VLOOKUP(E159,Names_biomass_CB!$B$2:$D$249,3,0)</f>
        <v>Oilseeds</v>
      </c>
      <c r="G159" t="str">
        <f t="shared" si="4"/>
        <v>SEMILLA ALGODON</v>
      </c>
      <c r="H159">
        <f>VLOOKUP(B159,[6]FEDNA_2019!$A$3:$D$307,2,0)</f>
        <v>9.1</v>
      </c>
      <c r="I159">
        <f>VLOOKUP(B159,[6]FEDNA_2019!$A$3:$D$307,4,0)</f>
        <v>20.8</v>
      </c>
    </row>
    <row r="160" spans="1:9" ht="15.6" x14ac:dyDescent="0.3">
      <c r="A160" s="18" t="s">
        <v>2780</v>
      </c>
      <c r="B160" s="18" t="s">
        <v>2781</v>
      </c>
      <c r="C160" s="27" t="s">
        <v>1105</v>
      </c>
      <c r="D160" t="s">
        <v>2515</v>
      </c>
      <c r="E160" t="str">
        <f>VLOOKUP(C160,Names_biomass_CB!$A$2:$B$236,2,0)</f>
        <v>Sunflower seed</v>
      </c>
      <c r="F160" t="str">
        <f>VLOOKUP(E160,Names_biomass_CB!$B$2:$D$249,3,0)</f>
        <v>Oilseeds</v>
      </c>
      <c r="G160" t="str">
        <f t="shared" si="4"/>
        <v>SEMILLA GIRASOL</v>
      </c>
      <c r="H160">
        <f>VLOOKUP(B160,[6]FEDNA_2019!$A$3:$D$307,2,0)</f>
        <v>4.4000000000000004</v>
      </c>
      <c r="I160">
        <f>VLOOKUP(B160,[6]FEDNA_2019!$A$3:$D$307,4,0)</f>
        <v>16.399999999999999</v>
      </c>
    </row>
    <row r="161" spans="1:9" ht="15.6" x14ac:dyDescent="0.3">
      <c r="A161" s="18" t="s">
        <v>2613</v>
      </c>
      <c r="B161" s="18" t="s">
        <v>2612</v>
      </c>
      <c r="C161" s="27" t="s">
        <v>1520</v>
      </c>
      <c r="D161" t="s">
        <v>2515</v>
      </c>
      <c r="E161" t="str">
        <f>VLOOKUP(C161,Names_biomass_CB!$A$2:$B$236,2,0)</f>
        <v>Soy hulls</v>
      </c>
      <c r="F161" t="str">
        <f>VLOOKUP(E161,Names_biomass_CB!$B$2:$D$249,3,0)</f>
        <v>Brans</v>
      </c>
      <c r="G161" t="str">
        <f t="shared" si="4"/>
        <v>CASCARILLA SOJA 10%PB</v>
      </c>
      <c r="H161">
        <f>VLOOKUP(B161,[6]FEDNA_2019!$A$3:$D$307,2,0)</f>
        <v>11.7</v>
      </c>
      <c r="I161">
        <f>VLOOKUP(B161,[6]FEDNA_2019!$A$3:$D$307,4,0)</f>
        <v>10</v>
      </c>
    </row>
    <row r="162" spans="1:9" ht="15.6" x14ac:dyDescent="0.3">
      <c r="A162" s="25" t="s">
        <v>2635</v>
      </c>
      <c r="B162" s="18" t="s">
        <v>2630</v>
      </c>
      <c r="C162" s="44" t="s">
        <v>1065</v>
      </c>
      <c r="D162" t="s">
        <v>2515</v>
      </c>
      <c r="E162" t="str">
        <f>VLOOKUP(C162,Names_biomass_CB!$A$2:$B$236,2,0)</f>
        <v>Soyabean Cake</v>
      </c>
      <c r="F162" t="str">
        <f>VLOOKUP(E162,Names_biomass_CB!$B$2:$D$249,3,0)</f>
        <v>Cakes</v>
      </c>
      <c r="G162" t="str">
        <f t="shared" ref="G162:G182" si="5">B162</f>
        <v>HNA.SOJA 44</v>
      </c>
      <c r="H162">
        <f>VLOOKUP(B162,[6]FEDNA_2019!$A$3:$D$307,2,0)</f>
        <v>12.1</v>
      </c>
      <c r="I162">
        <f>VLOOKUP(B162,[6]FEDNA_2019!$A$3:$D$307,4,0)</f>
        <v>44</v>
      </c>
    </row>
    <row r="163" spans="1:9" ht="15.6" x14ac:dyDescent="0.3">
      <c r="A163" s="25" t="s">
        <v>2636</v>
      </c>
      <c r="B163" s="18" t="s">
        <v>2632</v>
      </c>
      <c r="C163" s="44" t="s">
        <v>1065</v>
      </c>
      <c r="D163" t="s">
        <v>2515</v>
      </c>
      <c r="E163" t="str">
        <f>VLOOKUP(C163,Names_biomass_CB!$A$2:$B$236,2,0)</f>
        <v>Soyabean Cake</v>
      </c>
      <c r="F163" t="str">
        <f>VLOOKUP(E163,Names_biomass_CB!$B$2:$D$249,3,0)</f>
        <v>Cakes</v>
      </c>
      <c r="G163" t="str">
        <f t="shared" si="5"/>
        <v>HNA.SOJA 47</v>
      </c>
      <c r="H163">
        <f>VLOOKUP(B163,[6]FEDNA_2019!$A$3:$D$307,2,0)</f>
        <v>11.8</v>
      </c>
      <c r="I163">
        <f>VLOOKUP(B163,[6]FEDNA_2019!$A$3:$D$307,4,0)</f>
        <v>47</v>
      </c>
    </row>
    <row r="164" spans="1:9" ht="15.6" x14ac:dyDescent="0.3">
      <c r="A164" s="25" t="s">
        <v>2778</v>
      </c>
      <c r="B164" s="18" t="s">
        <v>2779</v>
      </c>
      <c r="C164" s="27" t="s">
        <v>1061</v>
      </c>
      <c r="D164" t="s">
        <v>2515</v>
      </c>
      <c r="E164" t="str">
        <f>VLOOKUP(C164,Names_biomass_CB!$A$2:$B$236,2,0)</f>
        <v>Soyabeans</v>
      </c>
      <c r="F164" t="str">
        <f>VLOOKUP(E164,Names_biomass_CB!$B$2:$D$249,3,0)</f>
        <v>Oilseeds</v>
      </c>
      <c r="G164" t="str">
        <f t="shared" si="5"/>
        <v>HABA SOJA TOSTADA</v>
      </c>
      <c r="H164">
        <f>VLOOKUP(B164,[6]FEDNA_2019!$A$3:$D$307,2,0)</f>
        <v>9.1999999999999993</v>
      </c>
      <c r="I164">
        <f>VLOOKUP(B164,[6]FEDNA_2019!$A$3:$D$307,4,0)</f>
        <v>37</v>
      </c>
    </row>
    <row r="165" spans="1:9" ht="15.6" x14ac:dyDescent="0.3">
      <c r="A165" s="25" t="s">
        <v>2732</v>
      </c>
      <c r="B165" s="34" t="s">
        <v>2733</v>
      </c>
      <c r="C165" s="20" t="s">
        <v>1757</v>
      </c>
      <c r="D165" t="s">
        <v>2515</v>
      </c>
      <c r="E165" t="str">
        <f>VLOOKUP(C165,Names_biomass_CB!$A$2:$B$236,2,0)</f>
        <v>Fodder cereal and grasses</v>
      </c>
      <c r="F165" t="str">
        <f>VLOOKUP(E165,Names_biomass_CB!$B$2:$D$249,3,0)</f>
        <v>Fodder_green</v>
      </c>
      <c r="G165" t="str">
        <f t="shared" si="5"/>
        <v>SORGO ENSILADO</v>
      </c>
      <c r="H165" t="e">
        <f>VLOOKUP(B165,[6]FEDNA_2019!$A$3:$D$307,2,0)</f>
        <v>#N/A</v>
      </c>
      <c r="I165" t="e">
        <f>VLOOKUP(B165,[6]FEDNA_2019!$A$3:$D$307,4,0)</f>
        <v>#N/A</v>
      </c>
    </row>
    <row r="166" spans="1:9" ht="15.6" x14ac:dyDescent="0.3">
      <c r="A166" s="25" t="s">
        <v>2758</v>
      </c>
      <c r="B166" s="25" t="s">
        <v>2759</v>
      </c>
      <c r="C166" s="27" t="s">
        <v>1849</v>
      </c>
      <c r="D166" t="s">
        <v>2515</v>
      </c>
      <c r="E166" t="str">
        <f>VLOOKUP(C166,Names_biomass_CB!$A$2:$B$236,2,0)</f>
        <v>Whey</v>
      </c>
      <c r="F166" t="str">
        <f>VLOOKUP(E166,Names_biomass_CB!$B$2:$D$249,3,0)</f>
        <v>Milk and products</v>
      </c>
      <c r="G166" t="str">
        <f t="shared" si="5"/>
        <v>SUERO DULCE VACUNO</v>
      </c>
      <c r="H166">
        <f>VLOOKUP(B166,[6]FEDNA_2019!$A$3:$D$307,2,0)</f>
        <v>4.5</v>
      </c>
      <c r="I166">
        <f>VLOOKUP(B166,[6]FEDNA_2019!$A$3:$D$307,4,0)</f>
        <v>12.5</v>
      </c>
    </row>
    <row r="167" spans="1:9" ht="15.6" x14ac:dyDescent="0.3">
      <c r="A167" s="18" t="s">
        <v>2616</v>
      </c>
      <c r="B167" s="18" t="s">
        <v>2617</v>
      </c>
      <c r="C167" s="45" t="s">
        <v>2068</v>
      </c>
      <c r="D167" t="s">
        <v>2515</v>
      </c>
      <c r="E167" t="str">
        <f>VLOOKUP(C167,Names_biomass_CB!$A$2:$B$236,2,0)</f>
        <v>Palmkernel Cake</v>
      </c>
      <c r="F167" t="str">
        <f>VLOOKUP(E167,Names_biomass_CB!$B$2:$D$249,3,0)</f>
        <v>Cakes</v>
      </c>
      <c r="G167" t="str">
        <f t="shared" si="5"/>
        <v>TORTA PALMISTE PRESION</v>
      </c>
      <c r="H167">
        <f>VLOOKUP(B167,[6]FEDNA_2019!$A$3:$D$307,2,0)</f>
        <v>8.4</v>
      </c>
      <c r="I167">
        <f>VLOOKUP(B167,[6]FEDNA_2019!$A$3:$D$307,4,0)</f>
        <v>15.6</v>
      </c>
    </row>
    <row r="168" spans="1:9" ht="15.6" x14ac:dyDescent="0.3">
      <c r="A168" s="25" t="s">
        <v>2550</v>
      </c>
      <c r="B168" s="47" t="s">
        <v>2551</v>
      </c>
      <c r="C168" s="20"/>
      <c r="D168" t="s">
        <v>2515</v>
      </c>
      <c r="E168" s="26" t="s">
        <v>1947</v>
      </c>
      <c r="F168" t="s">
        <v>1935</v>
      </c>
      <c r="G168" t="str">
        <f t="shared" si="5"/>
        <v>TRES_FITASA_750</v>
      </c>
      <c r="H168" t="e">
        <f>VLOOKUP(B168,[6]FEDNA_2019!$A$3:$D$307,2,0)</f>
        <v>#N/A</v>
      </c>
      <c r="I168" t="e">
        <f>VLOOKUP(B168,[6]FEDNA_2019!$A$3:$D$307,4,0)</f>
        <v>#N/A</v>
      </c>
    </row>
    <row r="169" spans="1:9" ht="15.6" x14ac:dyDescent="0.3">
      <c r="A169" s="25" t="s">
        <v>2552</v>
      </c>
      <c r="B169" s="47" t="s">
        <v>2553</v>
      </c>
      <c r="C169" s="20"/>
      <c r="D169" t="s">
        <v>2515</v>
      </c>
      <c r="E169" s="26" t="s">
        <v>1947</v>
      </c>
      <c r="F169" t="s">
        <v>1935</v>
      </c>
      <c r="G169" t="str">
        <f t="shared" si="5"/>
        <v>TRES_FITASA_500</v>
      </c>
      <c r="H169" t="e">
        <f>VLOOKUP(B169,[6]FEDNA_2019!$A$3:$D$307,2,0)</f>
        <v>#N/A</v>
      </c>
      <c r="I169" t="e">
        <f>VLOOKUP(B169,[6]FEDNA_2019!$A$3:$D$307,4,0)</f>
        <v>#N/A</v>
      </c>
    </row>
    <row r="170" spans="1:9" ht="15.6" x14ac:dyDescent="0.3">
      <c r="A170" s="25" t="s">
        <v>2679</v>
      </c>
      <c r="B170" s="42" t="s">
        <v>2680</v>
      </c>
      <c r="C170" s="27" t="s">
        <v>890</v>
      </c>
      <c r="D170" t="s">
        <v>2515</v>
      </c>
      <c r="E170" t="str">
        <f>VLOOKUP(C170,Names_biomass_CB!$A$2:$B$236,2,0)</f>
        <v>Wheat and products</v>
      </c>
      <c r="F170" t="str">
        <f>VLOOKUP(E170,Names_biomass_CB!$B$2:$D$249,3,0)</f>
        <v>Cereals</v>
      </c>
      <c r="G170" t="str">
        <f t="shared" si="5"/>
        <v>TRIGO BLANDO PROMEDIO</v>
      </c>
      <c r="H170">
        <f>VLOOKUP(B170,[6]FEDNA_2019!$A$3:$D$307,2,0)</f>
        <v>11.425000000000001</v>
      </c>
      <c r="I170">
        <f>VLOOKUP(B170,[6]FEDNA_2019!$A$3:$D$307,4,0)</f>
        <v>11.324999999999999</v>
      </c>
    </row>
    <row r="171" spans="1:9" ht="15.6" x14ac:dyDescent="0.3">
      <c r="A171" s="25" t="s">
        <v>2681</v>
      </c>
      <c r="B171" s="42" t="s">
        <v>2682</v>
      </c>
      <c r="C171" s="27" t="s">
        <v>890</v>
      </c>
      <c r="D171" t="s">
        <v>2515</v>
      </c>
      <c r="E171" t="str">
        <f>VLOOKUP(C171,Names_biomass_CB!$A$2:$B$236,2,0)</f>
        <v>Wheat and products</v>
      </c>
      <c r="F171" t="str">
        <f>VLOOKUP(E171,Names_biomass_CB!$B$2:$D$249,3,0)</f>
        <v>Cereals</v>
      </c>
      <c r="G171" t="str">
        <f t="shared" si="5"/>
        <v>TRIGO BLANDO NO INGLES</v>
      </c>
      <c r="H171" t="e">
        <f>VLOOKUP(B171,[6]FEDNA_2019!$A$3:$D$307,2,0)</f>
        <v>#N/A</v>
      </c>
      <c r="I171" t="e">
        <f>VLOOKUP(B171,[6]FEDNA_2019!$A$3:$D$307,4,0)</f>
        <v>#N/A</v>
      </c>
    </row>
    <row r="172" spans="1:9" ht="15.6" x14ac:dyDescent="0.3">
      <c r="A172" s="25" t="s">
        <v>2689</v>
      </c>
      <c r="B172" s="42" t="s">
        <v>2680</v>
      </c>
      <c r="C172" s="20" t="s">
        <v>890</v>
      </c>
      <c r="D172" t="s">
        <v>2515</v>
      </c>
      <c r="E172" t="str">
        <f>VLOOKUP(C172,Names_biomass_CB!$A$2:$B$236,2,0)</f>
        <v>Wheat and products</v>
      </c>
      <c r="F172" t="str">
        <f>VLOOKUP(E172,Names_biomass_CB!$B$2:$D$249,3,0)</f>
        <v>Cereals</v>
      </c>
      <c r="G172" t="str">
        <f t="shared" si="5"/>
        <v>TRIGO BLANDO PROMEDIO</v>
      </c>
      <c r="H172">
        <f>VLOOKUP(B172,[6]FEDNA_2019!$A$3:$D$307,2,0)</f>
        <v>11.425000000000001</v>
      </c>
      <c r="I172">
        <f>VLOOKUP(B172,[6]FEDNA_2019!$A$3:$D$307,4,0)</f>
        <v>11.324999999999999</v>
      </c>
    </row>
    <row r="173" spans="1:9" ht="15.6" x14ac:dyDescent="0.3">
      <c r="A173" s="25" t="s">
        <v>2685</v>
      </c>
      <c r="B173" s="42" t="s">
        <v>2680</v>
      </c>
      <c r="C173" s="32" t="s">
        <v>890</v>
      </c>
      <c r="D173" t="s">
        <v>2515</v>
      </c>
      <c r="E173" t="str">
        <f>VLOOKUP(C173,Names_biomass_CB!$A$2:$B$236,2,0)</f>
        <v>Wheat and products</v>
      </c>
      <c r="F173" t="str">
        <f>VLOOKUP(E173,Names_biomass_CB!$B$2:$D$249,3,0)</f>
        <v>Cereals</v>
      </c>
      <c r="G173" t="str">
        <f t="shared" si="5"/>
        <v>TRIGO BLANDO PROMEDIO</v>
      </c>
      <c r="H173">
        <f>VLOOKUP(B173,[6]FEDNA_2019!$A$3:$D$307,2,0)</f>
        <v>11.425000000000001</v>
      </c>
      <c r="I173">
        <f>VLOOKUP(B173,[6]FEDNA_2019!$A$3:$D$307,4,0)</f>
        <v>11.324999999999999</v>
      </c>
    </row>
    <row r="174" spans="1:9" ht="15.6" x14ac:dyDescent="0.3">
      <c r="A174" s="18" t="s">
        <v>2683</v>
      </c>
      <c r="B174" s="18" t="s">
        <v>2684</v>
      </c>
      <c r="C174" s="27" t="s">
        <v>890</v>
      </c>
      <c r="D174" t="s">
        <v>2515</v>
      </c>
      <c r="E174" t="str">
        <f>VLOOKUP(C174,Names_biomass_CB!$A$2:$B$236,2,0)</f>
        <v>Wheat and products</v>
      </c>
      <c r="F174" t="str">
        <f>VLOOKUP(E174,Names_biomass_CB!$B$2:$D$249,3,0)</f>
        <v>Cereals</v>
      </c>
      <c r="G174" t="str">
        <f t="shared" si="5"/>
        <v>TRIGO BLANDO INGLES</v>
      </c>
      <c r="H174">
        <f>VLOOKUP(B174,[6]FEDNA_2019!$A$3:$D$307,2,0)</f>
        <v>13</v>
      </c>
      <c r="I174">
        <f>VLOOKUP(B174,[6]FEDNA_2019!$A$3:$D$307,4,0)</f>
        <v>11</v>
      </c>
    </row>
    <row r="175" spans="1:9" ht="15.6" x14ac:dyDescent="0.3">
      <c r="A175" s="25" t="s">
        <v>2605</v>
      </c>
      <c r="B175" s="29" t="s">
        <v>2606</v>
      </c>
      <c r="C175" s="32" t="s">
        <v>2089</v>
      </c>
      <c r="D175" t="s">
        <v>2515</v>
      </c>
      <c r="E175" t="str">
        <f>VLOOKUP(C175,Names_biomass_CB!$A$2:$B$236,2,0)</f>
        <v>Brans</v>
      </c>
      <c r="F175" t="str">
        <f>VLOOKUP(E175,Names_biomass_CB!$B$2:$D$249,3,0)</f>
        <v>Brans</v>
      </c>
      <c r="G175" t="str">
        <f t="shared" si="5"/>
        <v>TERCERILLAS TRIGO 25% ALMIDÓN</v>
      </c>
      <c r="H175">
        <f>VLOOKUP(B175,[6]FEDNA_2019!$A$3:$D$307,2,0)</f>
        <v>12.1</v>
      </c>
      <c r="I175">
        <f>VLOOKUP(B175,[6]FEDNA_2019!$A$3:$D$307,4,0)</f>
        <v>14.3</v>
      </c>
    </row>
    <row r="176" spans="1:9" ht="15.6" x14ac:dyDescent="0.3">
      <c r="A176" s="25" t="s">
        <v>2577</v>
      </c>
      <c r="B176" s="25" t="s">
        <v>2578</v>
      </c>
      <c r="C176" s="32"/>
      <c r="E176" s="26" t="s">
        <v>1944</v>
      </c>
      <c r="F176" t="s">
        <v>1935</v>
      </c>
      <c r="G176" t="str">
        <f t="shared" si="5"/>
        <v>UREA</v>
      </c>
      <c r="H176">
        <f>VLOOKUP(B176,[6]FEDNA_2019!$A$3:$D$307,2,0)</f>
        <v>1</v>
      </c>
      <c r="I176">
        <f>VLOOKUP(B176,[6]FEDNA_2019!$A$3:$D$307,4,0)</f>
        <v>287.5</v>
      </c>
    </row>
    <row r="177" spans="1:9" ht="15.6" x14ac:dyDescent="0.3">
      <c r="A177" s="25" t="s">
        <v>2734</v>
      </c>
      <c r="B177" s="25" t="s">
        <v>2735</v>
      </c>
      <c r="C177" s="27" t="s">
        <v>2176</v>
      </c>
      <c r="D177" t="s">
        <v>2515</v>
      </c>
      <c r="E177" t="str">
        <f>VLOOKUP(C177,Names_biomass_CB!$A$2:$B$236,2,0)</f>
        <v>Fodder legumes</v>
      </c>
      <c r="F177" t="str">
        <f>VLOOKUP(E177,Names_biomass_CB!$B$2:$D$249,3,0)</f>
        <v>Fodder_green</v>
      </c>
      <c r="G177" t="str">
        <f t="shared" si="5"/>
        <v>Veza heno TERCERA</v>
      </c>
      <c r="H177" t="e">
        <f>VLOOKUP(B177,[6]FEDNA_2019!$A$3:$D$307,2,0)</f>
        <v>#N/A</v>
      </c>
      <c r="I177" t="e">
        <f>VLOOKUP(B177,[6]FEDNA_2019!$A$3:$D$307,4,0)</f>
        <v>#N/A</v>
      </c>
    </row>
    <row r="178" spans="1:9" x14ac:dyDescent="0.3">
      <c r="A178" s="25" t="s">
        <v>2593</v>
      </c>
      <c r="B178" s="25"/>
      <c r="C178" s="20"/>
      <c r="D178" t="s">
        <v>2515</v>
      </c>
      <c r="E178" s="26" t="s">
        <v>1945</v>
      </c>
      <c r="F178" t="s">
        <v>1935</v>
      </c>
      <c r="G178">
        <f t="shared" si="5"/>
        <v>0</v>
      </c>
      <c r="H178" t="e">
        <f>VLOOKUP(B178,[6]FEDNA_2019!$A$3:$D$307,2,0)</f>
        <v>#N/A</v>
      </c>
      <c r="I178" t="e">
        <f>VLOOKUP(B178,[6]FEDNA_2019!$A$3:$D$307,4,0)</f>
        <v>#N/A</v>
      </c>
    </row>
    <row r="179" spans="1:9" ht="15.6" x14ac:dyDescent="0.3">
      <c r="A179" s="25" t="s">
        <v>2591</v>
      </c>
      <c r="B179" s="28" t="s">
        <v>2592</v>
      </c>
      <c r="C179" s="20"/>
      <c r="D179" t="s">
        <v>2515</v>
      </c>
      <c r="E179" s="26" t="s">
        <v>1945</v>
      </c>
      <c r="F179" t="s">
        <v>1935</v>
      </c>
      <c r="G179" t="str">
        <f t="shared" si="5"/>
        <v>VITAMINAS MINERALES</v>
      </c>
      <c r="H179" t="e">
        <f>VLOOKUP(B179,[6]FEDNA_2019!$A$3:$D$307,2,0)</f>
        <v>#N/A</v>
      </c>
      <c r="I179" t="e">
        <f>VLOOKUP(B179,[6]FEDNA_2019!$A$3:$D$307,4,0)</f>
        <v>#N/A</v>
      </c>
    </row>
    <row r="180" spans="1:9" x14ac:dyDescent="0.3">
      <c r="A180" s="25" t="s">
        <v>2585</v>
      </c>
      <c r="B180" s="25"/>
      <c r="C180" s="20"/>
      <c r="D180" t="s">
        <v>2515</v>
      </c>
      <c r="E180" s="26" t="s">
        <v>1945</v>
      </c>
      <c r="F180" t="s">
        <v>1935</v>
      </c>
      <c r="G180">
        <f t="shared" si="5"/>
        <v>0</v>
      </c>
      <c r="H180" t="e">
        <f>VLOOKUP(B180,[6]FEDNA_2019!$A$3:$D$307,2,0)</f>
        <v>#N/A</v>
      </c>
      <c r="I180" t="e">
        <f>VLOOKUP(B180,[6]FEDNA_2019!$A$3:$D$307,4,0)</f>
        <v>#N/A</v>
      </c>
    </row>
    <row r="181" spans="1:9" x14ac:dyDescent="0.3">
      <c r="A181" s="25" t="s">
        <v>2586</v>
      </c>
      <c r="B181" s="25"/>
      <c r="C181" s="20"/>
      <c r="D181" t="s">
        <v>2515</v>
      </c>
      <c r="E181" s="26" t="s">
        <v>1945</v>
      </c>
      <c r="F181" t="s">
        <v>1935</v>
      </c>
      <c r="G181">
        <f t="shared" si="5"/>
        <v>0</v>
      </c>
      <c r="H181" t="e">
        <f>VLOOKUP(B181,[6]FEDNA_2019!$A$3:$D$307,2,0)</f>
        <v>#N/A</v>
      </c>
      <c r="I181" t="e">
        <f>VLOOKUP(B181,[6]FEDNA_2019!$A$3:$D$307,4,0)</f>
        <v>#N/A</v>
      </c>
    </row>
    <row r="182" spans="1:9" x14ac:dyDescent="0.3">
      <c r="A182" s="25" t="s">
        <v>2588</v>
      </c>
      <c r="B182" s="25"/>
      <c r="C182" s="20"/>
      <c r="D182" t="s">
        <v>2515</v>
      </c>
      <c r="E182" s="26" t="s">
        <v>1945</v>
      </c>
      <c r="F182" t="s">
        <v>1935</v>
      </c>
      <c r="G182">
        <f t="shared" si="5"/>
        <v>0</v>
      </c>
      <c r="H182" t="e">
        <f>VLOOKUP(B182,[6]FEDNA_2019!$A$3:$D$307,2,0)</f>
        <v>#N/A</v>
      </c>
      <c r="I182" t="e">
        <f>VLOOKUP(B182,[6]FEDNA_2019!$A$3:$D$307,4,0)</f>
        <v>#N/A</v>
      </c>
    </row>
    <row r="183" spans="1:9" x14ac:dyDescent="0.3">
      <c r="A183" s="25"/>
      <c r="B183" s="25"/>
      <c r="C183" s="20"/>
    </row>
    <row r="184" spans="1:9" x14ac:dyDescent="0.3">
      <c r="A184" s="25"/>
      <c r="B184" s="25"/>
      <c r="C184" s="20"/>
    </row>
    <row r="185" spans="1:9" x14ac:dyDescent="0.3">
      <c r="A185" s="25"/>
      <c r="B185" s="25"/>
      <c r="C185" s="20"/>
    </row>
    <row r="186" spans="1:9" x14ac:dyDescent="0.3">
      <c r="A186" s="25"/>
      <c r="B186" s="25"/>
      <c r="C186" s="20"/>
    </row>
    <row r="187" spans="1:9" ht="15.6" x14ac:dyDescent="0.3">
      <c r="A187" s="24" t="s">
        <v>2798</v>
      </c>
      <c r="B187" s="22" t="s">
        <v>2799</v>
      </c>
      <c r="C187" s="20"/>
    </row>
    <row r="188" spans="1:9" ht="15.6" x14ac:dyDescent="0.3">
      <c r="A188" s="23" t="s">
        <v>2800</v>
      </c>
      <c r="B188" s="22" t="s">
        <v>2801</v>
      </c>
      <c r="C188" s="20"/>
    </row>
    <row r="189" spans="1:9" ht="15.6" x14ac:dyDescent="0.3">
      <c r="A189" s="21" t="s">
        <v>2802</v>
      </c>
      <c r="C189" s="20"/>
    </row>
    <row r="190" spans="1:9" x14ac:dyDescent="0.3">
      <c r="C190" s="20"/>
    </row>
    <row r="191" spans="1:9" x14ac:dyDescent="0.3">
      <c r="C191" s="20"/>
    </row>
    <row r="192" spans="1:9" x14ac:dyDescent="0.3">
      <c r="C192" s="20"/>
    </row>
    <row r="193" spans="3:3" x14ac:dyDescent="0.3">
      <c r="C193" s="20"/>
    </row>
    <row r="194" spans="3:3" x14ac:dyDescent="0.3">
      <c r="C194" s="20"/>
    </row>
    <row r="195" spans="3:3" x14ac:dyDescent="0.3">
      <c r="C195" s="20"/>
    </row>
    <row r="196" spans="3:3" x14ac:dyDescent="0.3">
      <c r="C196" s="20"/>
    </row>
    <row r="197" spans="3:3" x14ac:dyDescent="0.3">
      <c r="C197" s="20"/>
    </row>
    <row r="198" spans="3:3" x14ac:dyDescent="0.3">
      <c r="C198" s="20"/>
    </row>
    <row r="199" spans="3:3" x14ac:dyDescent="0.3">
      <c r="C199" s="20"/>
    </row>
    <row r="200" spans="3:3" x14ac:dyDescent="0.3">
      <c r="C200" s="20"/>
    </row>
    <row r="201" spans="3:3" x14ac:dyDescent="0.3">
      <c r="C201" s="20"/>
    </row>
    <row r="202" spans="3:3" x14ac:dyDescent="0.3">
      <c r="C202" s="20"/>
    </row>
    <row r="203" spans="3:3" x14ac:dyDescent="0.3">
      <c r="C203" s="20"/>
    </row>
    <row r="204" spans="3:3" x14ac:dyDescent="0.3">
      <c r="C204" s="20"/>
    </row>
    <row r="205" spans="3:3" x14ac:dyDescent="0.3">
      <c r="C205" s="20"/>
    </row>
    <row r="206" spans="3:3" x14ac:dyDescent="0.3">
      <c r="C206" s="20"/>
    </row>
    <row r="207" spans="3:3" x14ac:dyDescent="0.3">
      <c r="C207" s="20"/>
    </row>
    <row r="208" spans="3:3" x14ac:dyDescent="0.3">
      <c r="C208" s="20"/>
    </row>
    <row r="209" spans="3:3" x14ac:dyDescent="0.3">
      <c r="C209" s="20"/>
    </row>
    <row r="210" spans="3:3" x14ac:dyDescent="0.3">
      <c r="C210" s="20"/>
    </row>
    <row r="211" spans="3:3" x14ac:dyDescent="0.3">
      <c r="C211" s="20"/>
    </row>
    <row r="212" spans="3:3" x14ac:dyDescent="0.3">
      <c r="C212" s="20"/>
    </row>
    <row r="213" spans="3:3" x14ac:dyDescent="0.3">
      <c r="C213" s="20"/>
    </row>
    <row r="214" spans="3:3" x14ac:dyDescent="0.3">
      <c r="C214" s="20"/>
    </row>
    <row r="215" spans="3:3" x14ac:dyDescent="0.3">
      <c r="C215" s="20"/>
    </row>
    <row r="216" spans="3:3" x14ac:dyDescent="0.3">
      <c r="C216" s="20"/>
    </row>
    <row r="217" spans="3:3" x14ac:dyDescent="0.3">
      <c r="C217" s="20"/>
    </row>
    <row r="218" spans="3:3" x14ac:dyDescent="0.3">
      <c r="C218" s="20"/>
    </row>
    <row r="219" spans="3:3" x14ac:dyDescent="0.3">
      <c r="C219" s="20"/>
    </row>
    <row r="220" spans="3:3" x14ac:dyDescent="0.3">
      <c r="C220" s="20"/>
    </row>
    <row r="221" spans="3:3" x14ac:dyDescent="0.3">
      <c r="C221" s="20"/>
    </row>
    <row r="222" spans="3:3" x14ac:dyDescent="0.3">
      <c r="C222" s="20"/>
    </row>
    <row r="223" spans="3:3" x14ac:dyDescent="0.3">
      <c r="C223" s="20"/>
    </row>
    <row r="224" spans="3:3" x14ac:dyDescent="0.3">
      <c r="C224" s="20"/>
    </row>
    <row r="225" spans="3:3" x14ac:dyDescent="0.3">
      <c r="C225" s="20"/>
    </row>
  </sheetData>
  <autoFilter ref="A1:I182" xr:uid="{05B8AF39-A1FD-4D05-A596-21BB26A75511}">
    <sortState xmlns:xlrd2="http://schemas.microsoft.com/office/spreadsheetml/2017/richdata2" ref="A2:I182">
      <sortCondition ref="A1:A182"/>
    </sortState>
  </autoFilter>
  <pageMargins left="0.7" right="0.7" top="0.75" bottom="0.75" header="0.3" footer="0.3"/>
  <pageSetup orientation="portrait" horizontalDpi="1200" verticalDpi="1200"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AC199-DB8F-4F7B-9BC7-013BD66ED701}">
  <dimension ref="A1:C51"/>
  <sheetViews>
    <sheetView zoomScale="80" zoomScaleNormal="80" workbookViewId="0">
      <selection activeCell="C3" sqref="C3"/>
    </sheetView>
  </sheetViews>
  <sheetFormatPr defaultColWidth="10.77734375" defaultRowHeight="14.4" x14ac:dyDescent="0.3"/>
  <cols>
    <col min="1" max="1" width="35.77734375" customWidth="1"/>
    <col min="2" max="2" width="31.109375" customWidth="1"/>
  </cols>
  <sheetData>
    <row r="1" spans="1:3" x14ac:dyDescent="0.3">
      <c r="A1" t="s">
        <v>2807</v>
      </c>
      <c r="B1" t="s">
        <v>2808</v>
      </c>
      <c r="C1" t="s">
        <v>789</v>
      </c>
    </row>
    <row r="2" spans="1:3" x14ac:dyDescent="0.3">
      <c r="A2" t="s">
        <v>2809</v>
      </c>
      <c r="B2" t="s">
        <v>2810</v>
      </c>
      <c r="C2" t="s">
        <v>1503</v>
      </c>
    </row>
    <row r="3" spans="1:3" x14ac:dyDescent="0.3">
      <c r="A3" t="s">
        <v>2811</v>
      </c>
      <c r="B3" t="s">
        <v>2810</v>
      </c>
      <c r="C3" t="s">
        <v>1503</v>
      </c>
    </row>
    <row r="4" spans="1:3" x14ac:dyDescent="0.3">
      <c r="A4" t="s">
        <v>2812</v>
      </c>
      <c r="B4" t="s">
        <v>2810</v>
      </c>
      <c r="C4" t="s">
        <v>1503</v>
      </c>
    </row>
    <row r="5" spans="1:3" x14ac:dyDescent="0.3">
      <c r="A5" t="s">
        <v>2813</v>
      </c>
      <c r="B5" t="s">
        <v>2810</v>
      </c>
      <c r="C5" t="s">
        <v>1503</v>
      </c>
    </row>
    <row r="6" spans="1:3" x14ac:dyDescent="0.3">
      <c r="A6" t="s">
        <v>2814</v>
      </c>
      <c r="B6" t="s">
        <v>2815</v>
      </c>
      <c r="C6" t="s">
        <v>1978</v>
      </c>
    </row>
    <row r="7" spans="1:3" x14ac:dyDescent="0.3">
      <c r="A7" t="s">
        <v>2816</v>
      </c>
      <c r="B7" t="s">
        <v>2815</v>
      </c>
      <c r="C7" t="s">
        <v>2010</v>
      </c>
    </row>
    <row r="8" spans="1:3" x14ac:dyDescent="0.3">
      <c r="A8" t="s">
        <v>2817</v>
      </c>
      <c r="B8" t="s">
        <v>2815</v>
      </c>
      <c r="C8" t="s">
        <v>1978</v>
      </c>
    </row>
    <row r="9" spans="1:3" x14ac:dyDescent="0.3">
      <c r="A9" t="s">
        <v>2818</v>
      </c>
      <c r="B9" t="s">
        <v>2815</v>
      </c>
      <c r="C9" t="s">
        <v>2012</v>
      </c>
    </row>
    <row r="10" spans="1:3" x14ac:dyDescent="0.3">
      <c r="A10" t="s">
        <v>2819</v>
      </c>
      <c r="B10" t="s">
        <v>2815</v>
      </c>
      <c r="C10" t="s">
        <v>2009</v>
      </c>
    </row>
    <row r="11" spans="1:3" x14ac:dyDescent="0.3">
      <c r="A11" t="s">
        <v>2820</v>
      </c>
      <c r="B11" t="s">
        <v>2815</v>
      </c>
      <c r="C11" t="s">
        <v>2005</v>
      </c>
    </row>
    <row r="12" spans="1:3" x14ac:dyDescent="0.3">
      <c r="A12" t="s">
        <v>2821</v>
      </c>
      <c r="B12" t="s">
        <v>2815</v>
      </c>
      <c r="C12" t="s">
        <v>2009</v>
      </c>
    </row>
    <row r="13" spans="1:3" x14ac:dyDescent="0.3">
      <c r="A13" t="s">
        <v>2822</v>
      </c>
      <c r="B13" t="s">
        <v>2815</v>
      </c>
      <c r="C13" t="s">
        <v>1978</v>
      </c>
    </row>
    <row r="14" spans="1:3" x14ac:dyDescent="0.3">
      <c r="A14" t="s">
        <v>2823</v>
      </c>
      <c r="B14" t="s">
        <v>2815</v>
      </c>
      <c r="C14" t="s">
        <v>2013</v>
      </c>
    </row>
    <row r="15" spans="1:3" x14ac:dyDescent="0.3">
      <c r="A15" t="s">
        <v>2824</v>
      </c>
      <c r="B15" t="s">
        <v>2815</v>
      </c>
      <c r="C15" t="s">
        <v>2012</v>
      </c>
    </row>
    <row r="16" spans="1:3" x14ac:dyDescent="0.3">
      <c r="A16" t="s">
        <v>2825</v>
      </c>
      <c r="B16" t="s">
        <v>2815</v>
      </c>
      <c r="C16" t="s">
        <v>2009</v>
      </c>
    </row>
    <row r="17" spans="1:3" x14ac:dyDescent="0.3">
      <c r="A17" t="s">
        <v>2826</v>
      </c>
      <c r="B17" t="s">
        <v>2815</v>
      </c>
      <c r="C17" t="s">
        <v>2009</v>
      </c>
    </row>
    <row r="18" spans="1:3" x14ac:dyDescent="0.3">
      <c r="A18" t="s">
        <v>2827</v>
      </c>
      <c r="B18" t="s">
        <v>2815</v>
      </c>
      <c r="C18" t="s">
        <v>2009</v>
      </c>
    </row>
    <row r="19" spans="1:3" x14ac:dyDescent="0.3">
      <c r="A19" t="s">
        <v>2828</v>
      </c>
      <c r="B19" t="s">
        <v>2815</v>
      </c>
      <c r="C19" t="s">
        <v>2009</v>
      </c>
    </row>
    <row r="20" spans="1:3" x14ac:dyDescent="0.3">
      <c r="A20" t="s">
        <v>2829</v>
      </c>
      <c r="B20" t="s">
        <v>2815</v>
      </c>
      <c r="C20" t="s">
        <v>1494</v>
      </c>
    </row>
    <row r="21" spans="1:3" x14ac:dyDescent="0.3">
      <c r="A21" t="s">
        <v>2830</v>
      </c>
      <c r="B21" t="s">
        <v>2815</v>
      </c>
      <c r="C21" t="s">
        <v>2013</v>
      </c>
    </row>
    <row r="22" spans="1:3" x14ac:dyDescent="0.3">
      <c r="A22" t="s">
        <v>2831</v>
      </c>
      <c r="B22" t="s">
        <v>2815</v>
      </c>
      <c r="C22" t="s">
        <v>1494</v>
      </c>
    </row>
    <row r="23" spans="1:3" x14ac:dyDescent="0.3">
      <c r="A23" t="s">
        <v>2832</v>
      </c>
      <c r="B23" t="s">
        <v>2815</v>
      </c>
      <c r="C23" t="s">
        <v>2012</v>
      </c>
    </row>
    <row r="24" spans="1:3" x14ac:dyDescent="0.3">
      <c r="A24" t="s">
        <v>2833</v>
      </c>
      <c r="B24" t="s">
        <v>2815</v>
      </c>
      <c r="C24" s="1" t="s">
        <v>2010</v>
      </c>
    </row>
    <row r="25" spans="1:3" x14ac:dyDescent="0.3">
      <c r="A25" t="s">
        <v>2834</v>
      </c>
      <c r="B25" t="s">
        <v>2815</v>
      </c>
      <c r="C25" t="s">
        <v>2010</v>
      </c>
    </row>
    <row r="26" spans="1:3" x14ac:dyDescent="0.3">
      <c r="A26" t="s">
        <v>2835</v>
      </c>
      <c r="B26" t="s">
        <v>2815</v>
      </c>
      <c r="C26" t="s">
        <v>2009</v>
      </c>
    </row>
    <row r="27" spans="1:3" x14ac:dyDescent="0.3">
      <c r="A27" t="s">
        <v>2836</v>
      </c>
      <c r="B27" t="s">
        <v>2815</v>
      </c>
      <c r="C27" t="s">
        <v>1978</v>
      </c>
    </row>
    <row r="28" spans="1:3" x14ac:dyDescent="0.3">
      <c r="A28" t="s">
        <v>2837</v>
      </c>
      <c r="B28" t="s">
        <v>2815</v>
      </c>
      <c r="C28" t="s">
        <v>2005</v>
      </c>
    </row>
    <row r="29" spans="1:3" x14ac:dyDescent="0.3">
      <c r="A29" t="s">
        <v>2838</v>
      </c>
      <c r="B29" t="s">
        <v>2815</v>
      </c>
      <c r="C29" t="s">
        <v>1978</v>
      </c>
    </row>
    <row r="30" spans="1:3" x14ac:dyDescent="0.3">
      <c r="A30" t="s">
        <v>2839</v>
      </c>
      <c r="B30" t="s">
        <v>2815</v>
      </c>
      <c r="C30" t="s">
        <v>1978</v>
      </c>
    </row>
    <row r="31" spans="1:3" x14ac:dyDescent="0.3">
      <c r="A31" t="s">
        <v>2840</v>
      </c>
      <c r="B31" t="s">
        <v>2815</v>
      </c>
      <c r="C31" t="s">
        <v>2010</v>
      </c>
    </row>
    <row r="32" spans="1:3" x14ac:dyDescent="0.3">
      <c r="A32" t="s">
        <v>2841</v>
      </c>
      <c r="B32" t="s">
        <v>2815</v>
      </c>
      <c r="C32" t="s">
        <v>2010</v>
      </c>
    </row>
    <row r="33" spans="1:3" x14ac:dyDescent="0.3">
      <c r="A33" t="s">
        <v>2842</v>
      </c>
      <c r="B33" t="s">
        <v>2815</v>
      </c>
      <c r="C33" t="s">
        <v>1978</v>
      </c>
    </row>
    <row r="34" spans="1:3" x14ac:dyDescent="0.3">
      <c r="A34" t="s">
        <v>2843</v>
      </c>
      <c r="B34" t="s">
        <v>2815</v>
      </c>
      <c r="C34" t="s">
        <v>2013</v>
      </c>
    </row>
    <row r="35" spans="1:3" x14ac:dyDescent="0.3">
      <c r="A35" t="s">
        <v>2844</v>
      </c>
      <c r="B35" t="s">
        <v>2815</v>
      </c>
      <c r="C35" t="s">
        <v>2013</v>
      </c>
    </row>
    <row r="36" spans="1:3" x14ac:dyDescent="0.3">
      <c r="A36" t="s">
        <v>2845</v>
      </c>
      <c r="B36" t="s">
        <v>2815</v>
      </c>
      <c r="C36" t="s">
        <v>2005</v>
      </c>
    </row>
    <row r="37" spans="1:3" x14ac:dyDescent="0.3">
      <c r="A37" t="s">
        <v>2846</v>
      </c>
      <c r="B37" t="s">
        <v>2815</v>
      </c>
      <c r="C37" s="1" t="s">
        <v>1494</v>
      </c>
    </row>
    <row r="38" spans="1:3" x14ac:dyDescent="0.3">
      <c r="A38" t="s">
        <v>2847</v>
      </c>
      <c r="B38" t="s">
        <v>2815</v>
      </c>
      <c r="C38" t="s">
        <v>2009</v>
      </c>
    </row>
    <row r="39" spans="1:3" x14ac:dyDescent="0.3">
      <c r="A39" t="s">
        <v>2848</v>
      </c>
      <c r="B39" t="s">
        <v>2815</v>
      </c>
      <c r="C39" t="s">
        <v>1496</v>
      </c>
    </row>
    <row r="40" spans="1:3" x14ac:dyDescent="0.3">
      <c r="A40" t="s">
        <v>2849</v>
      </c>
      <c r="B40" t="s">
        <v>2815</v>
      </c>
      <c r="C40" t="s">
        <v>2010</v>
      </c>
    </row>
    <row r="41" spans="1:3" x14ac:dyDescent="0.3">
      <c r="A41" t="s">
        <v>2850</v>
      </c>
      <c r="B41" t="s">
        <v>2815</v>
      </c>
      <c r="C41" t="s">
        <v>2010</v>
      </c>
    </row>
    <row r="42" spans="1:3" x14ac:dyDescent="0.3">
      <c r="A42" t="s">
        <v>2851</v>
      </c>
      <c r="B42" t="s">
        <v>2815</v>
      </c>
      <c r="C42" t="s">
        <v>2005</v>
      </c>
    </row>
    <row r="43" spans="1:3" x14ac:dyDescent="0.3">
      <c r="A43" t="s">
        <v>2852</v>
      </c>
      <c r="B43" t="s">
        <v>2815</v>
      </c>
      <c r="C43" t="s">
        <v>2013</v>
      </c>
    </row>
    <row r="44" spans="1:3" x14ac:dyDescent="0.3">
      <c r="A44" t="s">
        <v>2853</v>
      </c>
      <c r="B44" t="s">
        <v>2854</v>
      </c>
      <c r="C44" t="s">
        <v>2013</v>
      </c>
    </row>
    <row r="45" spans="1:3" x14ac:dyDescent="0.3">
      <c r="A45" t="s">
        <v>2855</v>
      </c>
      <c r="B45" t="s">
        <v>2854</v>
      </c>
      <c r="C45" t="s">
        <v>2013</v>
      </c>
    </row>
    <row r="46" spans="1:3" x14ac:dyDescent="0.3">
      <c r="A46" t="s">
        <v>2856</v>
      </c>
      <c r="B46" t="s">
        <v>2854</v>
      </c>
      <c r="C46" t="s">
        <v>2013</v>
      </c>
    </row>
    <row r="47" spans="1:3" x14ac:dyDescent="0.3">
      <c r="A47" t="s">
        <v>2857</v>
      </c>
      <c r="B47" t="s">
        <v>2854</v>
      </c>
      <c r="C47" t="s">
        <v>2013</v>
      </c>
    </row>
    <row r="48" spans="1:3" x14ac:dyDescent="0.3">
      <c r="A48" t="s">
        <v>2858</v>
      </c>
      <c r="B48" t="s">
        <v>2854</v>
      </c>
      <c r="C48" t="s">
        <v>2013</v>
      </c>
    </row>
    <row r="49" spans="1:3" x14ac:dyDescent="0.3">
      <c r="A49" t="s">
        <v>2859</v>
      </c>
      <c r="B49" t="s">
        <v>2854</v>
      </c>
      <c r="C49" t="s">
        <v>2013</v>
      </c>
    </row>
    <row r="50" spans="1:3" x14ac:dyDescent="0.3">
      <c r="A50" t="s">
        <v>2860</v>
      </c>
      <c r="B50" t="s">
        <v>2854</v>
      </c>
      <c r="C50" t="s">
        <v>2013</v>
      </c>
    </row>
    <row r="51" spans="1:3" x14ac:dyDescent="0.3">
      <c r="A51" t="s">
        <v>2861</v>
      </c>
      <c r="B51" t="s">
        <v>2854</v>
      </c>
      <c r="C51" t="s">
        <v>2013</v>
      </c>
    </row>
  </sheetData>
  <sortState xmlns:xlrd2="http://schemas.microsoft.com/office/spreadsheetml/2017/richdata2" ref="A2:C51">
    <sortCondition ref="B2:B51"/>
    <sortCondition ref="A2:A51"/>
  </sortState>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CC2F39-1922-4407-8FF5-C3F7183B9C46}">
  <dimension ref="A1:N244"/>
  <sheetViews>
    <sheetView zoomScale="70" zoomScaleNormal="70" workbookViewId="0">
      <pane ySplit="1" topLeftCell="A56" activePane="bottomLeft" state="frozen"/>
      <selection activeCell="J41" sqref="J41"/>
      <selection pane="bottomLeft" activeCell="I105" sqref="I105"/>
    </sheetView>
  </sheetViews>
  <sheetFormatPr defaultColWidth="9.109375" defaultRowHeight="14.4" x14ac:dyDescent="0.3"/>
  <cols>
    <col min="1" max="1" width="33.5546875" customWidth="1"/>
    <col min="2" max="2" width="32.77734375" customWidth="1"/>
    <col min="3" max="3" width="18.77734375" customWidth="1"/>
    <col min="4" max="4" width="13.77734375" customWidth="1"/>
    <col min="5" max="5" width="15" customWidth="1"/>
    <col min="6" max="6" width="25.21875" customWidth="1"/>
    <col min="7" max="7" width="23.77734375" customWidth="1"/>
    <col min="8" max="8" width="7.77734375" customWidth="1"/>
    <col min="9" max="9" width="19.109375" customWidth="1"/>
    <col min="12" max="12" width="32.44140625" customWidth="1"/>
    <col min="13" max="13" width="15.77734375" customWidth="1"/>
  </cols>
  <sheetData>
    <row r="1" spans="1:13" s="100" customFormat="1" x14ac:dyDescent="0.3">
      <c r="A1" s="100" t="s">
        <v>2862</v>
      </c>
      <c r="B1" s="100" t="s">
        <v>791</v>
      </c>
      <c r="C1" s="100" t="s">
        <v>2863</v>
      </c>
      <c r="D1" s="100" t="s">
        <v>2864</v>
      </c>
      <c r="E1" s="100" t="s">
        <v>2865</v>
      </c>
      <c r="F1" s="100" t="s">
        <v>2866</v>
      </c>
      <c r="G1" s="100" t="s">
        <v>2867</v>
      </c>
      <c r="H1" s="100" t="s">
        <v>2868</v>
      </c>
      <c r="I1" s="100" t="s">
        <v>2869</v>
      </c>
      <c r="J1" s="100" t="s">
        <v>2870</v>
      </c>
      <c r="K1" s="100" t="s">
        <v>2871</v>
      </c>
      <c r="L1" s="100" t="s">
        <v>2872</v>
      </c>
      <c r="M1" s="100" t="s">
        <v>1538</v>
      </c>
    </row>
    <row r="2" spans="1:13" x14ac:dyDescent="0.3">
      <c r="A2" s="79" t="s">
        <v>2873</v>
      </c>
      <c r="B2" s="73" t="e">
        <f>IF(A2="",VLOOKUP(F2,Names_Prov!$B$2:$D$134,3,0),VLOOKUP(A2,Names_Lab!$A$2:$B$198,2,0))</f>
        <v>#N/A</v>
      </c>
      <c r="C2" s="78" t="s">
        <v>2874</v>
      </c>
      <c r="D2" s="97">
        <v>10</v>
      </c>
      <c r="E2" s="77"/>
      <c r="F2" s="99" t="s">
        <v>2873</v>
      </c>
      <c r="J2" t="s">
        <v>2875</v>
      </c>
      <c r="K2">
        <v>108</v>
      </c>
      <c r="L2" t="str">
        <f>VLOOKUP(K2,FAO_Sp!$A$2:$B$109,2,0)</f>
        <v>Cereals nes</v>
      </c>
      <c r="M2" t="e">
        <f>VLOOKUP(B2,Names_biomass!$A$2:$B$169,2,0)</f>
        <v>#N/A</v>
      </c>
    </row>
    <row r="3" spans="1:13" x14ac:dyDescent="0.3">
      <c r="A3" s="79" t="s">
        <v>2876</v>
      </c>
      <c r="B3" s="73" t="str">
        <f>VLOOKUP(A3,Names_Lab!$A$2:$B$198,2,0)</f>
        <v>Winter cereals, other</v>
      </c>
      <c r="C3" s="78" t="s">
        <v>2874</v>
      </c>
      <c r="D3" s="97">
        <v>100</v>
      </c>
      <c r="E3" s="76"/>
      <c r="F3" s="75" t="s">
        <v>2877</v>
      </c>
      <c r="J3" t="s">
        <v>2875</v>
      </c>
      <c r="K3" s="1">
        <v>108</v>
      </c>
      <c r="L3" s="1" t="s">
        <v>974</v>
      </c>
      <c r="M3" t="str">
        <f>VLOOKUP(B3,Names_biomass!$A$2:$B$169,2,0)</f>
        <v>Cereals_nes</v>
      </c>
    </row>
    <row r="4" spans="1:13" x14ac:dyDescent="0.3">
      <c r="A4" s="79" t="s">
        <v>2878</v>
      </c>
      <c r="B4" s="73" t="str">
        <f>VLOOKUP(A4,Names_Lab!$A$2:$B$198,2,0)</f>
        <v>Canary grass</v>
      </c>
      <c r="C4" s="78" t="s">
        <v>2874</v>
      </c>
      <c r="D4" s="97">
        <v>101</v>
      </c>
      <c r="E4" s="76"/>
      <c r="F4" s="75" t="s">
        <v>2879</v>
      </c>
      <c r="J4" t="s">
        <v>2875</v>
      </c>
      <c r="K4">
        <f>INDEX([7]Coefs!$A$3:$A$234,MATCH($B4,[7]Coefs!$B$3:$B$234,0))</f>
        <v>101</v>
      </c>
      <c r="L4" t="str">
        <f>VLOOKUP(K4,FAO_Sp!$A$2:$B$109,2,0)</f>
        <v>Canary seed</v>
      </c>
      <c r="M4" t="str">
        <f>VLOOKUP(B4,Names_biomass!$A$2:$B$169,2,0)</f>
        <v>Cereals_nes</v>
      </c>
    </row>
    <row r="5" spans="1:13" s="25" customFormat="1" x14ac:dyDescent="0.3">
      <c r="A5" s="74" t="s">
        <v>2880</v>
      </c>
      <c r="B5" s="73" t="str">
        <f>VLOOKUP(A5,Names_Lab!$A$2:$B$198,2,0)</f>
        <v>Rice</v>
      </c>
      <c r="C5" s="69" t="s">
        <v>1548</v>
      </c>
      <c r="D5" s="98">
        <v>102</v>
      </c>
      <c r="E5" s="67">
        <v>102</v>
      </c>
      <c r="F5" s="70" t="s">
        <v>2881</v>
      </c>
      <c r="G5" s="25" t="s">
        <v>2881</v>
      </c>
      <c r="H5" s="25" t="s">
        <v>2882</v>
      </c>
      <c r="I5" s="25" t="s">
        <v>1548</v>
      </c>
      <c r="J5" s="25" t="s">
        <v>2881</v>
      </c>
      <c r="K5">
        <f>INDEX([7]Coefs!$A$3:$A$234,MATCH($B5,[7]Coefs!$B$3:$B$234,0))</f>
        <v>27</v>
      </c>
      <c r="L5" t="str">
        <f>VLOOKUP(K5,FAO_Sp!$A$2:$B$109,2,0)</f>
        <v>Rice, paddy</v>
      </c>
      <c r="M5" t="str">
        <f>VLOOKUP(B5,Names_biomass!$A$2:$B$169,2,0)</f>
        <v>Rice</v>
      </c>
    </row>
    <row r="6" spans="1:13" s="25" customFormat="1" x14ac:dyDescent="0.3">
      <c r="A6" s="74" t="s">
        <v>2675</v>
      </c>
      <c r="B6" s="73" t="str">
        <f>VLOOKUP(A6,Names_Lab!$A$2:$B$198,2,0)</f>
        <v>Oats</v>
      </c>
      <c r="C6" s="69" t="s">
        <v>2874</v>
      </c>
      <c r="D6" s="98">
        <v>103</v>
      </c>
      <c r="E6" s="67">
        <v>103</v>
      </c>
      <c r="F6" s="70" t="s">
        <v>2883</v>
      </c>
      <c r="G6" s="25" t="s">
        <v>2883</v>
      </c>
      <c r="H6" s="25" t="s">
        <v>2884</v>
      </c>
      <c r="I6" s="25" t="s">
        <v>947</v>
      </c>
      <c r="J6" s="25" t="s">
        <v>2875</v>
      </c>
      <c r="K6">
        <f>INDEX([7]Coefs!$A$3:$A$234,MATCH($B6,[7]Coefs!$B$3:$B$234,0))</f>
        <v>75</v>
      </c>
      <c r="L6" t="str">
        <f>VLOOKUP(K6,FAO_Sp!$A$2:$B$109,2,0)</f>
        <v>Oats</v>
      </c>
      <c r="M6" t="str">
        <f>VLOOKUP(B6,Names_biomass!$A$2:$B$169,2,0)</f>
        <v>Oats</v>
      </c>
    </row>
    <row r="7" spans="1:13" s="25" customFormat="1" x14ac:dyDescent="0.3">
      <c r="A7" s="74" t="s">
        <v>2655</v>
      </c>
      <c r="B7" s="73" t="str">
        <f>VLOOKUP(A7,Names_Lab!$A$2:$B$198,2,0)</f>
        <v>Barley</v>
      </c>
      <c r="C7" s="69" t="s">
        <v>919</v>
      </c>
      <c r="D7" s="98">
        <v>104</v>
      </c>
      <c r="E7" s="67">
        <v>104</v>
      </c>
      <c r="F7" s="70" t="s">
        <v>2885</v>
      </c>
      <c r="G7" s="25" t="s">
        <v>2885</v>
      </c>
      <c r="H7" s="25" t="s">
        <v>2886</v>
      </c>
      <c r="I7" s="25" t="s">
        <v>919</v>
      </c>
      <c r="J7" s="25" t="s">
        <v>2875</v>
      </c>
      <c r="K7">
        <f>INDEX([7]Coefs!$A$3:$A$234,MATCH($B7,[7]Coefs!$B$3:$B$234,0))</f>
        <v>44</v>
      </c>
      <c r="L7" t="str">
        <f>VLOOKUP(K7,FAO_Sp!$A$2:$B$109,2,0)</f>
        <v>Barley</v>
      </c>
      <c r="M7" t="str">
        <f>VLOOKUP(B7,Names_biomass!$A$2:$B$169,2,0)</f>
        <v>Barley</v>
      </c>
    </row>
    <row r="8" spans="1:13" s="25" customFormat="1" x14ac:dyDescent="0.3">
      <c r="A8" s="74" t="s">
        <v>2887</v>
      </c>
      <c r="B8" s="73" t="str">
        <f>VLOOKUP(A8,Names_Lab!$A$2:$B$198,2,0)</f>
        <v>Rye</v>
      </c>
      <c r="C8" s="69" t="s">
        <v>2874</v>
      </c>
      <c r="D8" s="98">
        <v>105</v>
      </c>
      <c r="E8" s="67">
        <v>105</v>
      </c>
      <c r="F8" s="70" t="s">
        <v>2888</v>
      </c>
      <c r="G8" s="25" t="s">
        <v>2888</v>
      </c>
      <c r="H8" s="25" t="s">
        <v>2889</v>
      </c>
      <c r="I8" s="25" t="s">
        <v>943</v>
      </c>
      <c r="J8" s="25" t="s">
        <v>2875</v>
      </c>
      <c r="K8">
        <f>INDEX([7]Coefs!$A$5:$A$234,MATCH($B8,[7]Coefs!$B$5:$B$234,0))</f>
        <v>71</v>
      </c>
      <c r="L8" t="str">
        <f>VLOOKUP(K8,FAO_Sp!$A$2:$B$109,2,0)</f>
        <v>Rye</v>
      </c>
      <c r="M8" t="str">
        <f>VLOOKUP(B8,Names_biomass!$A$2:$B$169,2,0)</f>
        <v>Rye</v>
      </c>
    </row>
    <row r="9" spans="1:13" x14ac:dyDescent="0.3">
      <c r="A9" s="79" t="s">
        <v>2890</v>
      </c>
      <c r="B9" s="73" t="str">
        <f>VLOOKUP(A9,Names_Lab!$A$2:$B$198,2,0)</f>
        <v>Winter cereals, other</v>
      </c>
      <c r="C9" s="78" t="s">
        <v>2874</v>
      </c>
      <c r="D9" s="97">
        <v>106</v>
      </c>
      <c r="E9" s="76"/>
      <c r="F9" s="75" t="s">
        <v>2891</v>
      </c>
      <c r="H9" t="s">
        <v>1552</v>
      </c>
      <c r="I9" t="s">
        <v>1552</v>
      </c>
      <c r="J9" t="s">
        <v>2875</v>
      </c>
      <c r="K9" s="1">
        <v>108</v>
      </c>
      <c r="L9" s="1" t="s">
        <v>974</v>
      </c>
      <c r="M9" t="str">
        <f>VLOOKUP(B9,Names_biomass!$A$2:$B$169,2,0)</f>
        <v>Cereals_nes</v>
      </c>
    </row>
    <row r="10" spans="1:13" s="25" customFormat="1" x14ac:dyDescent="0.3">
      <c r="A10" s="74" t="s">
        <v>2892</v>
      </c>
      <c r="B10" s="73" t="str">
        <f>VLOOKUP(A10,Names_Lab!$A$2:$B$198,2,0)</f>
        <v>Maize</v>
      </c>
      <c r="C10" s="69" t="s">
        <v>929</v>
      </c>
      <c r="D10" s="98">
        <v>107</v>
      </c>
      <c r="E10" s="67">
        <v>107</v>
      </c>
      <c r="F10" s="70" t="s">
        <v>2893</v>
      </c>
      <c r="G10" s="25" t="s">
        <v>2893</v>
      </c>
      <c r="H10" s="25" t="s">
        <v>2894</v>
      </c>
      <c r="I10" s="25" t="s">
        <v>929</v>
      </c>
      <c r="J10" s="25" t="s">
        <v>2893</v>
      </c>
      <c r="K10">
        <f>INDEX([7]Coefs!$A$5:$A$234,MATCH($B10,[7]Coefs!$B$5:$B$234,0))</f>
        <v>56</v>
      </c>
      <c r="L10" t="str">
        <f>VLOOKUP(K10,FAO_Sp!$A$2:$B$109,2,0)</f>
        <v>Maize</v>
      </c>
      <c r="M10" t="str">
        <f>VLOOKUP(B10,Names_biomass!$A$2:$B$169,2,0)</f>
        <v>Maize</v>
      </c>
    </row>
    <row r="11" spans="1:13" x14ac:dyDescent="0.3">
      <c r="A11" s="79" t="s">
        <v>2895</v>
      </c>
      <c r="B11" s="73" t="str">
        <f>VLOOKUP(A11,Names_Lab!$A$2:$B$198,2,0)</f>
        <v>Millet</v>
      </c>
      <c r="C11" s="78" t="s">
        <v>2874</v>
      </c>
      <c r="D11" s="97">
        <v>109</v>
      </c>
      <c r="E11" s="76"/>
      <c r="F11" s="75" t="s">
        <v>2896</v>
      </c>
      <c r="H11" t="s">
        <v>1552</v>
      </c>
      <c r="I11" t="s">
        <v>1552</v>
      </c>
      <c r="J11" t="s">
        <v>2875</v>
      </c>
      <c r="K11">
        <f>INDEX([7]Coefs!$A$5:$A$234,MATCH($B11,[7]Coefs!$B$5:$B$234,0))</f>
        <v>79</v>
      </c>
      <c r="L11" t="str">
        <f>VLOOKUP(K11,FAO_Sp!$A$2:$B$109,2,0)</f>
        <v>Millet</v>
      </c>
      <c r="M11" t="str">
        <f>VLOOKUP(B11,Names_biomass!$A$2:$B$169,2,0)</f>
        <v>Millet</v>
      </c>
    </row>
    <row r="12" spans="1:13" x14ac:dyDescent="0.3">
      <c r="A12" s="79" t="s">
        <v>2897</v>
      </c>
      <c r="B12" s="73" t="str">
        <f>VLOOKUP(A12,Names_Lab!$A$2:$B$198,2,0)</f>
        <v>Millet</v>
      </c>
      <c r="C12" s="78" t="s">
        <v>2874</v>
      </c>
      <c r="D12" s="97">
        <v>110</v>
      </c>
      <c r="E12" s="76"/>
      <c r="F12" s="75" t="s">
        <v>2898</v>
      </c>
      <c r="H12" t="s">
        <v>1552</v>
      </c>
      <c r="I12" t="s">
        <v>1552</v>
      </c>
      <c r="J12" t="s">
        <v>2875</v>
      </c>
      <c r="K12">
        <f>INDEX([7]Coefs!$A$5:$A$234,MATCH($B12,[7]Coefs!$B$5:$B$234,0))</f>
        <v>79</v>
      </c>
      <c r="L12" t="str">
        <f>VLOOKUP(K12,FAO_Sp!$A$2:$B$109,2,0)</f>
        <v>Millet</v>
      </c>
      <c r="M12" t="str">
        <f>VLOOKUP(B12,Names_biomass!$A$2:$B$169,2,0)</f>
        <v>Millet</v>
      </c>
    </row>
    <row r="13" spans="1:13" x14ac:dyDescent="0.3">
      <c r="A13" s="79" t="s">
        <v>2899</v>
      </c>
      <c r="B13" s="73" t="str">
        <f>VLOOKUP(A13,Names_Lab!$A$2:$B$198,2,0)</f>
        <v>Grain, mixed</v>
      </c>
      <c r="C13" s="78" t="s">
        <v>2874</v>
      </c>
      <c r="D13" s="97">
        <v>108</v>
      </c>
      <c r="E13" s="76"/>
      <c r="F13" s="75" t="s">
        <v>2900</v>
      </c>
      <c r="H13" t="s">
        <v>1552</v>
      </c>
      <c r="I13" t="s">
        <v>1552</v>
      </c>
      <c r="J13" t="s">
        <v>2875</v>
      </c>
      <c r="K13">
        <f>INDEX([7]Coefs!$A$5:$A$234,MATCH($B13,[7]Coefs!$B$5:$B$234,0))</f>
        <v>103</v>
      </c>
      <c r="L13" t="s">
        <v>974</v>
      </c>
      <c r="M13" t="str">
        <f>VLOOKUP(B13,Names_biomass!$A$2:$B$169,2,0)</f>
        <v>Cereals_nes</v>
      </c>
    </row>
    <row r="14" spans="1:13" x14ac:dyDescent="0.3">
      <c r="A14" s="79" t="s">
        <v>2901</v>
      </c>
      <c r="B14" s="73" t="str">
        <f>VLOOKUP(A14,Names_Lab!$A$2:$B$198,2,0)</f>
        <v>Summer cereals, other</v>
      </c>
      <c r="C14" s="78" t="s">
        <v>2874</v>
      </c>
      <c r="D14" s="97">
        <v>111</v>
      </c>
      <c r="E14" s="76"/>
      <c r="F14" s="75" t="s">
        <v>2902</v>
      </c>
      <c r="H14" t="s">
        <v>1552</v>
      </c>
      <c r="I14" t="s">
        <v>1552</v>
      </c>
      <c r="J14" t="s">
        <v>2875</v>
      </c>
      <c r="K14">
        <v>108</v>
      </c>
      <c r="L14" t="str">
        <f>VLOOKUP(K14,FAO_Sp!$A$2:$B$109,2,0)</f>
        <v>Cereals nes</v>
      </c>
      <c r="M14" t="str">
        <f>VLOOKUP(B14,Names_biomass!$A$2:$B$169,2,0)</f>
        <v>Cereals_nes</v>
      </c>
    </row>
    <row r="15" spans="1:13" x14ac:dyDescent="0.3">
      <c r="A15" s="79" t="s">
        <v>2903</v>
      </c>
      <c r="B15" s="73" t="str">
        <f>VLOOKUP(A15,Names_Lab!$A$2:$B$198,2,0)</f>
        <v>Sorghum</v>
      </c>
      <c r="C15" s="78" t="s">
        <v>2874</v>
      </c>
      <c r="D15" s="97">
        <v>112</v>
      </c>
      <c r="E15" s="76"/>
      <c r="F15" s="75" t="s">
        <v>2904</v>
      </c>
      <c r="H15" t="s">
        <v>1552</v>
      </c>
      <c r="I15" t="s">
        <v>1552</v>
      </c>
      <c r="J15" t="s">
        <v>2875</v>
      </c>
      <c r="K15">
        <f>INDEX([7]Coefs!$A$5:$A$234,MATCH($B15,[7]Coefs!$B$5:$B$234,0))</f>
        <v>83</v>
      </c>
      <c r="L15" t="str">
        <f>VLOOKUP(K15,FAO_Sp!$A$2:$B$109,2,0)</f>
        <v>Sorghum</v>
      </c>
      <c r="M15" t="str">
        <f>VLOOKUP(B15,Names_biomass!$A$2:$B$169,2,0)</f>
        <v>Sorghum</v>
      </c>
    </row>
    <row r="16" spans="1:13" x14ac:dyDescent="0.3">
      <c r="A16" s="79" t="s">
        <v>2905</v>
      </c>
      <c r="B16" s="73" t="str">
        <f>VLOOKUP(A16,Names_Lab!$A$2:$B$198,2,0)</f>
        <v>Sorghum</v>
      </c>
      <c r="C16" s="78" t="s">
        <v>2874</v>
      </c>
      <c r="D16" s="97">
        <v>113</v>
      </c>
      <c r="E16" s="76"/>
      <c r="F16" s="75" t="s">
        <v>2906</v>
      </c>
      <c r="G16" t="s">
        <v>2906</v>
      </c>
      <c r="H16" t="s">
        <v>2907</v>
      </c>
      <c r="I16" t="s">
        <v>955</v>
      </c>
      <c r="J16" t="s">
        <v>2875</v>
      </c>
      <c r="K16">
        <f>INDEX([7]Coefs!$A$5:$A$234,MATCH($B16,[7]Coefs!$B$5:$B$234,0))</f>
        <v>83</v>
      </c>
      <c r="L16" t="str">
        <f>VLOOKUP(K16,FAO_Sp!$A$2:$B$109,2,0)</f>
        <v>Sorghum</v>
      </c>
      <c r="M16" t="str">
        <f>VLOOKUP(B16,Names_biomass!$A$2:$B$169,2,0)</f>
        <v>Sorghum</v>
      </c>
    </row>
    <row r="17" spans="1:13" x14ac:dyDescent="0.3">
      <c r="A17" s="79" t="s">
        <v>2908</v>
      </c>
      <c r="B17" s="73" t="str">
        <f>VLOOKUP(A17,Names_Lab!$A$2:$B$198,2,0)</f>
        <v>Grain, mixed</v>
      </c>
      <c r="C17" s="78" t="s">
        <v>2874</v>
      </c>
      <c r="D17" s="97">
        <v>114</v>
      </c>
      <c r="E17" s="76"/>
      <c r="F17" s="75" t="s">
        <v>2909</v>
      </c>
      <c r="G17" t="s">
        <v>2909</v>
      </c>
      <c r="H17" t="s">
        <v>2910</v>
      </c>
      <c r="I17" t="s">
        <v>2911</v>
      </c>
      <c r="J17" t="s">
        <v>2875</v>
      </c>
      <c r="K17">
        <v>103</v>
      </c>
      <c r="L17" t="str">
        <f>VLOOKUP(K17,FAO_Sp!$A$2:$B$109,2,0)</f>
        <v>Grain, mixed</v>
      </c>
      <c r="M17" t="str">
        <f>VLOOKUP(B17,Names_biomass!$A$2:$B$169,2,0)</f>
        <v>Cereals_nes</v>
      </c>
    </row>
    <row r="18" spans="1:13" s="25" customFormat="1" x14ac:dyDescent="0.3">
      <c r="A18" s="74" t="s">
        <v>2912</v>
      </c>
      <c r="B18" s="73" t="str">
        <f>VLOOKUP(A18,Names_Lab!$A$2:$B$198,2,0)</f>
        <v>Wheat</v>
      </c>
      <c r="C18" s="69" t="s">
        <v>890</v>
      </c>
      <c r="D18" s="98">
        <v>115</v>
      </c>
      <c r="E18" s="67">
        <v>115</v>
      </c>
      <c r="F18" s="70" t="s">
        <v>2913</v>
      </c>
      <c r="G18" s="25" t="s">
        <v>2913</v>
      </c>
      <c r="H18" s="25" t="s">
        <v>2914</v>
      </c>
      <c r="I18" s="25" t="s">
        <v>2915</v>
      </c>
      <c r="J18" s="25" t="s">
        <v>2875</v>
      </c>
      <c r="K18">
        <f>INDEX([7]Coefs!$A$5:$A$234,MATCH($B18,[7]Coefs!$B$5:$B$234,0))</f>
        <v>15</v>
      </c>
      <c r="L18" t="str">
        <f>VLOOKUP(K18,FAO_Sp!$A$2:$B$109,2,0)</f>
        <v>Wheat</v>
      </c>
      <c r="M18" t="str">
        <f>VLOOKUP(B18,Names_biomass!$A$2:$B$169,2,0)</f>
        <v>Wheat</v>
      </c>
    </row>
    <row r="19" spans="1:13" x14ac:dyDescent="0.3">
      <c r="A19" s="79" t="s">
        <v>2916</v>
      </c>
      <c r="B19" s="73" t="str">
        <f>VLOOKUP(A19,Names_Lab!$A$2:$B$198,2,0)</f>
        <v>Winter cereals, other</v>
      </c>
      <c r="C19" s="78" t="s">
        <v>2874</v>
      </c>
      <c r="D19" s="97">
        <v>116</v>
      </c>
      <c r="E19" s="76"/>
      <c r="F19" s="75" t="s">
        <v>967</v>
      </c>
      <c r="G19" t="s">
        <v>967</v>
      </c>
      <c r="H19" t="s">
        <v>2917</v>
      </c>
      <c r="I19" t="s">
        <v>967</v>
      </c>
      <c r="J19" t="s">
        <v>2875</v>
      </c>
      <c r="K19" s="1">
        <v>108</v>
      </c>
      <c r="L19" s="1" t="s">
        <v>974</v>
      </c>
      <c r="M19" t="str">
        <f>VLOOKUP(B19,Names_biomass!$A$2:$B$169,2,0)</f>
        <v>Cereals_nes</v>
      </c>
    </row>
    <row r="20" spans="1:13" x14ac:dyDescent="0.3">
      <c r="A20" s="79" t="s">
        <v>2918</v>
      </c>
      <c r="B20" s="73" t="str">
        <f>VLOOKUP(A20,Names_Lab!$A$2:$B$198,2,0)</f>
        <v>Sorghum</v>
      </c>
      <c r="C20" s="78" t="s">
        <v>2874</v>
      </c>
      <c r="D20" s="97">
        <v>117</v>
      </c>
      <c r="E20" s="76"/>
      <c r="F20" s="75" t="s">
        <v>2919</v>
      </c>
      <c r="H20" t="s">
        <v>1552</v>
      </c>
      <c r="I20" t="s">
        <v>1552</v>
      </c>
      <c r="J20" t="s">
        <v>2875</v>
      </c>
      <c r="K20">
        <f>INDEX([7]Coefs!$A$5:$A$234,MATCH($B20,[7]Coefs!$B$5:$B$234,0))</f>
        <v>83</v>
      </c>
      <c r="L20" t="str">
        <f>VLOOKUP(K20,FAO_Sp!$A$2:$B$109,2,0)</f>
        <v>Sorghum</v>
      </c>
      <c r="M20" t="str">
        <f>VLOOKUP(B20,Names_biomass!$A$2:$B$169,2,0)</f>
        <v>Sorghum</v>
      </c>
    </row>
    <row r="21" spans="1:13" s="25" customFormat="1" x14ac:dyDescent="0.3">
      <c r="A21" s="74"/>
      <c r="B21" s="73" t="s">
        <v>2021</v>
      </c>
      <c r="C21" s="69" t="s">
        <v>1871</v>
      </c>
      <c r="D21" s="98">
        <v>118</v>
      </c>
      <c r="E21" s="67">
        <v>118</v>
      </c>
      <c r="F21" s="70" t="s">
        <v>2920</v>
      </c>
      <c r="H21" s="25" t="s">
        <v>1552</v>
      </c>
      <c r="I21" s="25" t="s">
        <v>1552</v>
      </c>
      <c r="J21" s="25" t="s">
        <v>2920</v>
      </c>
      <c r="K21">
        <f>INDEX([7]Coefs!$A$5:$A$234,MATCH($B21,[7]Coefs!$B$5:$B$234,0))</f>
        <v>118</v>
      </c>
      <c r="L21"/>
      <c r="M21" t="str">
        <f>VLOOKUP(B21,Names_biomass!$A$2:$B$169,2,0)</f>
        <v>Fallow</v>
      </c>
    </row>
    <row r="22" spans="1:13" x14ac:dyDescent="0.3">
      <c r="A22" s="79"/>
      <c r="B22" s="73" t="s">
        <v>2160</v>
      </c>
      <c r="C22" s="78" t="s">
        <v>2874</v>
      </c>
      <c r="D22" s="97">
        <v>119</v>
      </c>
      <c r="E22" s="76"/>
      <c r="F22" s="75" t="s">
        <v>2921</v>
      </c>
      <c r="H22" t="s">
        <v>1552</v>
      </c>
      <c r="I22" t="s">
        <v>1552</v>
      </c>
      <c r="J22" t="s">
        <v>2875</v>
      </c>
      <c r="K22" s="1">
        <v>108</v>
      </c>
      <c r="L22" s="1" t="s">
        <v>974</v>
      </c>
      <c r="M22" t="str">
        <f>VLOOKUP(B22,Names_biomass!$A$2:$B$169,2,0)</f>
        <v>Cereals_nes</v>
      </c>
    </row>
    <row r="23" spans="1:13" x14ac:dyDescent="0.3">
      <c r="A23" s="79" t="s">
        <v>2922</v>
      </c>
      <c r="B23" s="73" t="s">
        <v>1040</v>
      </c>
      <c r="C23" s="78" t="s">
        <v>2254</v>
      </c>
      <c r="D23" s="84">
        <v>20</v>
      </c>
      <c r="E23" s="83"/>
      <c r="F23" s="82" t="s">
        <v>2923</v>
      </c>
      <c r="H23" t="s">
        <v>1552</v>
      </c>
      <c r="I23" t="s">
        <v>1552</v>
      </c>
      <c r="J23" t="s">
        <v>2923</v>
      </c>
      <c r="K23">
        <f>INDEX([7]Coefs!$A$5:$A$234,MATCH($B23,[7]Coefs!$B$5:$B$234,0))</f>
        <v>211</v>
      </c>
      <c r="L23" t="str">
        <f>VLOOKUP(K23,FAO_Sp!$A$2:$B$109,2,0)</f>
        <v>Pulses nes</v>
      </c>
      <c r="M23" t="str">
        <f>VLOOKUP(B23,Names_biomass!$A$2:$B$169,2,0)</f>
        <v>Pulses_nes</v>
      </c>
    </row>
    <row r="24" spans="1:13" s="25" customFormat="1" x14ac:dyDescent="0.3">
      <c r="A24" s="74" t="s">
        <v>2924</v>
      </c>
      <c r="B24" s="73" t="str">
        <f>IF(A24="",VLOOKUP(F24,Names_Prov!$B$2:$D$134,3,0),VLOOKUP(A24,Names_Lab!$A$2:$B$198,2,0))</f>
        <v>Pulses nes</v>
      </c>
      <c r="C24" s="69" t="s">
        <v>2254</v>
      </c>
      <c r="D24" s="71">
        <v>200</v>
      </c>
      <c r="E24" s="67">
        <v>200</v>
      </c>
      <c r="F24" s="70" t="s">
        <v>2925</v>
      </c>
      <c r="H24" s="25" t="s">
        <v>1552</v>
      </c>
      <c r="I24" s="25" t="s">
        <v>1552</v>
      </c>
      <c r="J24" s="25" t="s">
        <v>2923</v>
      </c>
      <c r="K24">
        <f>INDEX([7]Coefs!$A$5:$A$234,MATCH($B24,[7]Coefs!$B$5:$B$234,0))</f>
        <v>211</v>
      </c>
      <c r="L24" t="str">
        <f>VLOOKUP(K24,FAO_Sp!$A$2:$B$109,2,0)</f>
        <v>Pulses nes</v>
      </c>
      <c r="M24" t="str">
        <f>VLOOKUP(B24,Names_biomass!$A$2:$B$169,2,0)</f>
        <v>Pulses_nes</v>
      </c>
    </row>
    <row r="25" spans="1:13" x14ac:dyDescent="0.3">
      <c r="A25" s="79" t="s">
        <v>2926</v>
      </c>
      <c r="B25" s="73" t="str">
        <f>VLOOKUP(A25,Names_Lab!$A$2:$B$198,2,0)</f>
        <v>Pulses nes</v>
      </c>
      <c r="C25" s="78" t="s">
        <v>2254</v>
      </c>
      <c r="D25" s="77">
        <v>201</v>
      </c>
      <c r="E25" s="76"/>
      <c r="F25" s="75" t="s">
        <v>2927</v>
      </c>
      <c r="H25" t="s">
        <v>1552</v>
      </c>
      <c r="I25" t="s">
        <v>1552</v>
      </c>
      <c r="J25" t="s">
        <v>2923</v>
      </c>
      <c r="K25">
        <f>INDEX([7]Coefs!$A$5:$A$234,MATCH($B25,[7]Coefs!$B$5:$B$234,0))</f>
        <v>211</v>
      </c>
      <c r="L25" t="str">
        <f>VLOOKUP(K25,FAO_Sp!$A$2:$B$109,2,0)</f>
        <v>Pulses nes</v>
      </c>
      <c r="M25" t="str">
        <f>VLOOKUP(B25,Names_biomass!$A$2:$B$169,2,0)</f>
        <v>Pulses_nes</v>
      </c>
    </row>
    <row r="26" spans="1:13" x14ac:dyDescent="0.3">
      <c r="A26" s="79" t="s">
        <v>2928</v>
      </c>
      <c r="B26" s="73" t="str">
        <f>VLOOKUP(A26,Names_Lab!$A$2:$B$198,2,0)</f>
        <v>Pulses nes</v>
      </c>
      <c r="C26" s="78" t="s">
        <v>2254</v>
      </c>
      <c r="D26" s="77">
        <v>202</v>
      </c>
      <c r="E26" s="76"/>
      <c r="F26" s="75" t="s">
        <v>2929</v>
      </c>
      <c r="H26" t="s">
        <v>1552</v>
      </c>
      <c r="I26" t="s">
        <v>1552</v>
      </c>
      <c r="J26" t="s">
        <v>2923</v>
      </c>
      <c r="K26">
        <f>INDEX([7]Coefs!$A$5:$A$234,MATCH($B26,[7]Coefs!$B$5:$B$234,0))</f>
        <v>211</v>
      </c>
      <c r="L26" t="str">
        <f>VLOOKUP(K26,FAO_Sp!$A$2:$B$109,2,0)</f>
        <v>Pulses nes</v>
      </c>
      <c r="M26" t="str">
        <f>VLOOKUP(B26,Names_biomass!$A$2:$B$169,2,0)</f>
        <v>Pulses_nes</v>
      </c>
    </row>
    <row r="27" spans="1:13" x14ac:dyDescent="0.3">
      <c r="A27" s="79" t="s">
        <v>2930</v>
      </c>
      <c r="B27" s="73" t="str">
        <f>VLOOKUP(A27,Names_Lab!$A$2:$B$198,2,0)</f>
        <v>Lupin</v>
      </c>
      <c r="C27" s="78" t="s">
        <v>2254</v>
      </c>
      <c r="D27" s="77">
        <v>203</v>
      </c>
      <c r="E27" s="76"/>
      <c r="F27" s="75" t="s">
        <v>2931</v>
      </c>
      <c r="G27" t="s">
        <v>2932</v>
      </c>
      <c r="H27" t="s">
        <v>2933</v>
      </c>
      <c r="I27" t="s">
        <v>1601</v>
      </c>
      <c r="J27" t="s">
        <v>2923</v>
      </c>
      <c r="K27">
        <f>INDEX([7]Coefs!$A$5:$A$234,MATCH($B27,[7]Coefs!$B$5:$B$234,0))</f>
        <v>210</v>
      </c>
      <c r="L27" t="str">
        <f>VLOOKUP(K27,FAO_Sp!$A$2:$B$109,2,0)</f>
        <v>Lupins</v>
      </c>
      <c r="M27" t="str">
        <f>VLOOKUP(B27,Names_biomass!$A$2:$B$169,2,0)</f>
        <v>Lupins</v>
      </c>
    </row>
    <row r="28" spans="1:13" x14ac:dyDescent="0.3">
      <c r="A28" s="79" t="s">
        <v>2934</v>
      </c>
      <c r="B28" s="73" t="str">
        <f>VLOOKUP(A28,Names_Lab!$A$2:$B$198,2,0)</f>
        <v>Pulses nes</v>
      </c>
      <c r="C28" s="78" t="s">
        <v>2254</v>
      </c>
      <c r="D28" s="77">
        <v>204</v>
      </c>
      <c r="E28" s="76"/>
      <c r="F28" s="75" t="s">
        <v>2935</v>
      </c>
      <c r="H28" t="s">
        <v>1552</v>
      </c>
      <c r="I28" t="s">
        <v>1552</v>
      </c>
      <c r="J28" t="s">
        <v>2923</v>
      </c>
      <c r="K28">
        <f>INDEX([7]Coefs!$A$5:$A$234,MATCH($B28,[7]Coefs!$B$5:$B$234,0))</f>
        <v>211</v>
      </c>
      <c r="L28" t="str">
        <f>VLOOKUP(K28,FAO_Sp!$A$2:$B$109,2,0)</f>
        <v>Pulses nes</v>
      </c>
      <c r="M28" t="str">
        <f>VLOOKUP(B28,Names_biomass!$A$2:$B$169,2,0)</f>
        <v>Pulses_nes</v>
      </c>
    </row>
    <row r="29" spans="1:13" s="25" customFormat="1" x14ac:dyDescent="0.3">
      <c r="A29" s="74" t="s">
        <v>2936</v>
      </c>
      <c r="B29" s="73" t="str">
        <f>VLOOKUP(A29,Names_Lab!$A$2:$B$198,2,0)</f>
        <v>Chickpea</v>
      </c>
      <c r="C29" s="69" t="s">
        <v>2254</v>
      </c>
      <c r="D29" s="71">
        <v>205</v>
      </c>
      <c r="E29" s="67">
        <v>205</v>
      </c>
      <c r="F29" s="70" t="s">
        <v>2937</v>
      </c>
      <c r="G29" s="25" t="s">
        <v>2937</v>
      </c>
      <c r="H29" s="25" t="s">
        <v>2938</v>
      </c>
      <c r="I29" s="25" t="s">
        <v>1594</v>
      </c>
      <c r="J29" s="25" t="s">
        <v>2923</v>
      </c>
      <c r="K29">
        <f>INDEX([7]Coefs!$A$5:$A$234,MATCH($B29,[7]Coefs!$B$5:$B$234,0))</f>
        <v>191</v>
      </c>
      <c r="L29" t="str">
        <f>VLOOKUP(K29,FAO_Sp!$A$2:$B$109,2,0)</f>
        <v>Chick peas</v>
      </c>
      <c r="M29" t="str">
        <f>VLOOKUP(B29,Names_biomass!$A$2:$B$169,2,0)</f>
        <v>Chickpeas</v>
      </c>
    </row>
    <row r="30" spans="1:13" x14ac:dyDescent="0.3">
      <c r="A30" s="79" t="s">
        <v>2939</v>
      </c>
      <c r="B30" s="73" t="str">
        <f>VLOOKUP(A30,Names_Lab!$A$2:$B$198,2,0)</f>
        <v>Pea, green, with pod</v>
      </c>
      <c r="C30" s="78" t="s">
        <v>2254</v>
      </c>
      <c r="H30" t="s">
        <v>1552</v>
      </c>
      <c r="I30" t="s">
        <v>1552</v>
      </c>
      <c r="J30" t="s">
        <v>2923</v>
      </c>
      <c r="K30">
        <f>INDEX([7]Coefs!$A$5:$A$234,MATCH($B30,[7]Coefs!$B$5:$B$234,0))</f>
        <v>417</v>
      </c>
      <c r="L30" t="str">
        <f>VLOOKUP(K30,FAO_Sp!$A$2:$B$109,2,0)</f>
        <v>Peas, green</v>
      </c>
      <c r="M30" t="str">
        <f>VLOOKUP(B30,Names_biomass!$A$2:$B$169,2,0)</f>
        <v>Peas_green</v>
      </c>
    </row>
    <row r="31" spans="1:13" s="25" customFormat="1" x14ac:dyDescent="0.3">
      <c r="A31" s="74" t="s">
        <v>2940</v>
      </c>
      <c r="B31" s="73" t="str">
        <f>VLOOKUP(A31,Names_Lab!$A$2:$B$198,2,0)</f>
        <v>Pea</v>
      </c>
      <c r="C31" s="69" t="s">
        <v>2254</v>
      </c>
      <c r="D31" s="71">
        <v>206</v>
      </c>
      <c r="E31" s="67">
        <v>206</v>
      </c>
      <c r="F31" s="70" t="s">
        <v>2941</v>
      </c>
      <c r="G31" s="25" t="s">
        <v>2941</v>
      </c>
      <c r="H31" s="25" t="s">
        <v>2942</v>
      </c>
      <c r="I31" s="25" t="s">
        <v>1592</v>
      </c>
      <c r="J31" s="25" t="s">
        <v>2923</v>
      </c>
      <c r="K31">
        <f>INDEX([7]Coefs!$A$5:$A$234,MATCH($B31,[7]Coefs!$B$5:$B$234,0))</f>
        <v>187</v>
      </c>
      <c r="L31" t="str">
        <f>VLOOKUP(K31,FAO_Sp!$A$2:$B$109,2,0)</f>
        <v>Peas, dry</v>
      </c>
      <c r="M31" t="str">
        <f>VLOOKUP(B31,Names_biomass!$A$2:$B$169,2,0)</f>
        <v>Peas</v>
      </c>
    </row>
    <row r="32" spans="1:13" x14ac:dyDescent="0.3">
      <c r="A32" s="79" t="s">
        <v>2943</v>
      </c>
      <c r="B32" s="73" t="str">
        <f>VLOOKUP(A32,Names_Lab!$A$2:$B$198,2,0)</f>
        <v>Vegetables, leguminous nes</v>
      </c>
      <c r="C32" s="78" t="s">
        <v>2254</v>
      </c>
      <c r="G32" t="s">
        <v>2944</v>
      </c>
      <c r="H32" t="s">
        <v>2945</v>
      </c>
      <c r="I32" t="s">
        <v>2946</v>
      </c>
      <c r="J32" t="s">
        <v>2923</v>
      </c>
      <c r="K32">
        <f>INDEX([7]Coefs!$A$5:$A$234,MATCH($B32,[7]Coefs!$B$5:$B$234,0))</f>
        <v>420</v>
      </c>
      <c r="L32" t="str">
        <f>VLOOKUP(K32,FAO_Sp!$A$2:$B$109,2,0)</f>
        <v>Vegetables, leguminous nes</v>
      </c>
      <c r="M32" t="str">
        <f>VLOOKUP(B32,Names_biomass!$A$2:$B$169,2,0)</f>
        <v>Legumes_green_nes</v>
      </c>
    </row>
    <row r="33" spans="1:13" s="25" customFormat="1" x14ac:dyDescent="0.3">
      <c r="A33" s="74" t="s">
        <v>2947</v>
      </c>
      <c r="B33" s="73" t="str">
        <f>VLOOKUP(A33,Names_Lab!$A$2:$B$198,2,0)</f>
        <v>Fava bean</v>
      </c>
      <c r="C33" s="69" t="s">
        <v>2254</v>
      </c>
      <c r="D33" s="71">
        <v>207</v>
      </c>
      <c r="E33" s="67">
        <v>207</v>
      </c>
      <c r="F33" s="70" t="s">
        <v>2948</v>
      </c>
      <c r="G33" s="25" t="s">
        <v>2948</v>
      </c>
      <c r="H33" s="25" t="s">
        <v>2949</v>
      </c>
      <c r="I33" s="25" t="s">
        <v>2950</v>
      </c>
      <c r="J33" s="25" t="s">
        <v>2923</v>
      </c>
      <c r="K33">
        <f>INDEX([7]Coefs!$A$5:$A$234,MATCH($B33,[7]Coefs!$B$5:$B$234,0))</f>
        <v>181</v>
      </c>
      <c r="L33" t="str">
        <f>VLOOKUP(K33,FAO_Sp!$A$2:$B$109,2,0)</f>
        <v>Broad beans, horse beans, dry</v>
      </c>
      <c r="M33" t="str">
        <f>VLOOKUP(B33,Names_biomass!$A$2:$B$169,2,0)</f>
        <v>Fava_beans</v>
      </c>
    </row>
    <row r="34" spans="1:13" s="25" customFormat="1" x14ac:dyDescent="0.3">
      <c r="A34" s="74" t="s">
        <v>2951</v>
      </c>
      <c r="B34" s="73" t="str">
        <f>VLOOKUP(A34,Names_Lab!$A$2:$B$198,2,0)</f>
        <v>Beans</v>
      </c>
      <c r="C34" s="69" t="s">
        <v>2254</v>
      </c>
      <c r="D34" s="71">
        <v>208</v>
      </c>
      <c r="E34" s="67">
        <v>208</v>
      </c>
      <c r="F34" s="70" t="s">
        <v>2952</v>
      </c>
      <c r="G34" s="25" t="s">
        <v>2952</v>
      </c>
      <c r="H34" s="25" t="s">
        <v>2953</v>
      </c>
      <c r="I34" s="25" t="s">
        <v>2954</v>
      </c>
      <c r="J34" s="25" t="s">
        <v>2923</v>
      </c>
      <c r="K34">
        <f>INDEX([7]Coefs!$A$5:$A$234,MATCH($B34,[7]Coefs!$B$5:$B$234,0))</f>
        <v>176</v>
      </c>
      <c r="L34" t="str">
        <f>VLOOKUP(K34,FAO_Sp!$A$2:$B$109,2,0)</f>
        <v>Beans, dry</v>
      </c>
      <c r="M34" t="str">
        <f>VLOOKUP(B34,Names_biomass!$A$2:$B$169,2,0)</f>
        <v>Beans_dry</v>
      </c>
    </row>
    <row r="35" spans="1:13" s="25" customFormat="1" x14ac:dyDescent="0.3">
      <c r="A35" s="74" t="s">
        <v>2955</v>
      </c>
      <c r="B35" s="73" t="str">
        <f>VLOOKUP(A35,Names_Lab!$A$2:$B$198,2,0)</f>
        <v>Lentils</v>
      </c>
      <c r="C35" s="69" t="s">
        <v>2254</v>
      </c>
      <c r="D35" s="71">
        <v>210</v>
      </c>
      <c r="E35" s="67">
        <v>209</v>
      </c>
      <c r="F35" s="70" t="s">
        <v>2956</v>
      </c>
      <c r="G35" s="25" t="s">
        <v>2956</v>
      </c>
      <c r="H35" s="25" t="s">
        <v>2957</v>
      </c>
      <c r="I35" s="25" t="s">
        <v>2958</v>
      </c>
      <c r="J35" s="25" t="s">
        <v>2923</v>
      </c>
      <c r="K35">
        <f>INDEX([7]Coefs!$A$5:$A$234,MATCH($B35,[7]Coefs!$B$5:$B$234,0))</f>
        <v>201</v>
      </c>
      <c r="L35" t="str">
        <f>VLOOKUP(K35,FAO_Sp!$A$2:$B$109,2,0)</f>
        <v>Lentils</v>
      </c>
      <c r="M35" t="str">
        <f>VLOOKUP(B35,Names_biomass!$A$2:$B$169,2,0)</f>
        <v>Lentils</v>
      </c>
    </row>
    <row r="36" spans="1:13" x14ac:dyDescent="0.3">
      <c r="A36" s="79" t="s">
        <v>2959</v>
      </c>
      <c r="B36" s="68" t="s">
        <v>1040</v>
      </c>
      <c r="C36" s="78" t="s">
        <v>2254</v>
      </c>
      <c r="D36" s="77">
        <v>211</v>
      </c>
      <c r="E36" s="76"/>
      <c r="F36" s="75" t="s">
        <v>2960</v>
      </c>
      <c r="H36" t="s">
        <v>1552</v>
      </c>
      <c r="I36" t="s">
        <v>1552</v>
      </c>
      <c r="J36" t="s">
        <v>2923</v>
      </c>
      <c r="K36">
        <f>INDEX([7]Coefs!$A$5:$A$234,MATCH($B36,[7]Coefs!$B$5:$B$234,0))</f>
        <v>211</v>
      </c>
      <c r="L36" t="str">
        <f>VLOOKUP(K36,FAO_Sp!$A$2:$B$109,2,0)</f>
        <v>Pulses nes</v>
      </c>
      <c r="M36" t="str">
        <f>VLOOKUP(B36,Names_biomass!$A$2:$B$169,2,0)</f>
        <v>Pulses_nes</v>
      </c>
    </row>
    <row r="37" spans="1:13" s="25" customFormat="1" x14ac:dyDescent="0.3">
      <c r="A37" s="74" t="s">
        <v>2961</v>
      </c>
      <c r="B37" s="73" t="str">
        <f>VLOOKUP(A37,Names_Lab!$A$2:$B$198,2,0)</f>
        <v>Vetch</v>
      </c>
      <c r="C37" s="69" t="s">
        <v>2254</v>
      </c>
      <c r="D37" s="71">
        <v>212</v>
      </c>
      <c r="E37" s="67">
        <v>211</v>
      </c>
      <c r="F37" s="70" t="s">
        <v>2962</v>
      </c>
      <c r="G37" s="25" t="s">
        <v>2963</v>
      </c>
      <c r="H37" s="25" t="s">
        <v>2964</v>
      </c>
      <c r="I37" s="25" t="s">
        <v>1600</v>
      </c>
      <c r="J37" s="25" t="s">
        <v>2923</v>
      </c>
      <c r="K37">
        <f>INDEX([7]Coefs!$A$5:$A$234,MATCH($B37,[7]Coefs!$B$5:$B$234,0))</f>
        <v>205</v>
      </c>
      <c r="L37" t="str">
        <f>VLOOKUP(K37,FAO_Sp!$A$2:$B$109,2,0)</f>
        <v>Vetches</v>
      </c>
      <c r="M37" t="str">
        <f>VLOOKUP(B37,Names_biomass!$A$2:$B$169,2,0)</f>
        <v>Vetches</v>
      </c>
    </row>
    <row r="38" spans="1:13" s="25" customFormat="1" x14ac:dyDescent="0.3">
      <c r="A38" s="74" t="s">
        <v>2965</v>
      </c>
      <c r="B38" s="73" t="str">
        <f>VLOOKUP(A38,Names_Lab!$A$2:$B$198,2,0)</f>
        <v>Pulses nes</v>
      </c>
      <c r="C38" s="69" t="s">
        <v>2254</v>
      </c>
      <c r="D38" s="71">
        <v>213</v>
      </c>
      <c r="E38" s="67">
        <v>212</v>
      </c>
      <c r="F38" s="70" t="s">
        <v>2966</v>
      </c>
      <c r="G38" s="25" t="s">
        <v>2966</v>
      </c>
      <c r="H38" s="25" t="s">
        <v>2967</v>
      </c>
      <c r="I38" s="25" t="s">
        <v>2968</v>
      </c>
      <c r="J38" s="25" t="s">
        <v>2923</v>
      </c>
      <c r="K38">
        <f>INDEX([7]Coefs!$A$5:$A$234,MATCH($B38,[7]Coefs!$B$5:$B$234,0))</f>
        <v>211</v>
      </c>
      <c r="L38" t="str">
        <f>VLOOKUP(K38,FAO_Sp!$A$2:$B$109,2,0)</f>
        <v>Pulses nes</v>
      </c>
      <c r="M38" t="str">
        <f>VLOOKUP(B38,Names_biomass!$A$2:$B$169,2,0)</f>
        <v>Pulses_nes</v>
      </c>
    </row>
    <row r="39" spans="1:13" x14ac:dyDescent="0.3">
      <c r="A39" s="79"/>
      <c r="B39" s="68" t="s">
        <v>1564</v>
      </c>
      <c r="C39" s="78" t="s">
        <v>1566</v>
      </c>
      <c r="D39" s="84">
        <v>30</v>
      </c>
      <c r="E39" s="83"/>
      <c r="F39" s="82" t="s">
        <v>2969</v>
      </c>
      <c r="H39" t="s">
        <v>1552</v>
      </c>
      <c r="I39" t="s">
        <v>1552</v>
      </c>
      <c r="J39" t="s">
        <v>2969</v>
      </c>
      <c r="K39">
        <f>INDEX([7]Coefs!$A$5:$A$234,MATCH($B39,[7]Coefs!$B$5:$B$234,0))</f>
        <v>116</v>
      </c>
      <c r="L39" t="str">
        <f>VLOOKUP(K39,FAO_Sp!$A$2:$B$109,2,0)</f>
        <v>Potatoes</v>
      </c>
      <c r="M39" t="str">
        <f>VLOOKUP(B39,Names_biomass!$A$2:$B$169,2,0)</f>
        <v>Potatoes</v>
      </c>
    </row>
    <row r="40" spans="1:13" s="25" customFormat="1" x14ac:dyDescent="0.3">
      <c r="A40" s="74" t="s">
        <v>2970</v>
      </c>
      <c r="B40" s="73" t="str">
        <f>VLOOKUP(A40,Names_Lab!$A$2:$B$198,2,0)</f>
        <v>Potato</v>
      </c>
      <c r="C40" s="69" t="s">
        <v>1566</v>
      </c>
      <c r="D40" s="71">
        <v>301</v>
      </c>
      <c r="E40" s="67">
        <v>301</v>
      </c>
      <c r="F40" s="70" t="s">
        <v>2971</v>
      </c>
      <c r="G40" s="25" t="s">
        <v>2972</v>
      </c>
      <c r="H40" s="25" t="s">
        <v>2973</v>
      </c>
      <c r="I40" s="25" t="s">
        <v>1564</v>
      </c>
      <c r="J40" s="25" t="s">
        <v>2969</v>
      </c>
      <c r="K40">
        <f>INDEX([7]Coefs!$A$5:$A$234,MATCH($B40,[7]Coefs!$B$5:$B$234,0))</f>
        <v>116</v>
      </c>
      <c r="L40" t="str">
        <f>VLOOKUP(K40,FAO_Sp!$A$2:$B$109,2,0)</f>
        <v>Potatoes</v>
      </c>
      <c r="M40" t="str">
        <f>VLOOKUP(B40,Names_biomass!$A$2:$B$169,2,0)</f>
        <v>Potatoes</v>
      </c>
    </row>
    <row r="41" spans="1:13" s="25" customFormat="1" x14ac:dyDescent="0.3">
      <c r="A41" s="74"/>
      <c r="B41" s="68" t="s">
        <v>1564</v>
      </c>
      <c r="C41" s="69" t="s">
        <v>1566</v>
      </c>
      <c r="D41" s="71">
        <v>302</v>
      </c>
      <c r="E41" s="67">
        <v>302</v>
      </c>
      <c r="F41" s="70" t="s">
        <v>2974</v>
      </c>
      <c r="H41" s="25" t="s">
        <v>1552</v>
      </c>
      <c r="I41" s="25" t="s">
        <v>1552</v>
      </c>
      <c r="J41" s="25" t="s">
        <v>2969</v>
      </c>
      <c r="K41">
        <f>INDEX([7]Coefs!$A$5:$A$234,MATCH($B41,[7]Coefs!$B$5:$B$234,0))</f>
        <v>116</v>
      </c>
      <c r="L41" t="str">
        <f>VLOOKUP(K41,FAO_Sp!$A$2:$B$109,2,0)</f>
        <v>Potatoes</v>
      </c>
      <c r="M41" t="str">
        <f>VLOOKUP(B41,Names_biomass!$A$2:$B$169,2,0)</f>
        <v>Potatoes</v>
      </c>
    </row>
    <row r="42" spans="1:13" s="25" customFormat="1" x14ac:dyDescent="0.3">
      <c r="A42" s="74"/>
      <c r="B42" s="68" t="s">
        <v>1564</v>
      </c>
      <c r="C42" s="69" t="s">
        <v>1566</v>
      </c>
      <c r="D42" s="71">
        <v>303</v>
      </c>
      <c r="E42" s="67">
        <v>303</v>
      </c>
      <c r="F42" s="70" t="s">
        <v>2975</v>
      </c>
      <c r="H42" s="25" t="s">
        <v>1552</v>
      </c>
      <c r="I42" s="25" t="s">
        <v>1552</v>
      </c>
      <c r="J42" s="25" t="s">
        <v>2969</v>
      </c>
      <c r="K42">
        <f>INDEX([7]Coefs!$A$5:$A$234,MATCH($B42,[7]Coefs!$B$5:$B$234,0))</f>
        <v>116</v>
      </c>
      <c r="L42" t="str">
        <f>VLOOKUP(K42,FAO_Sp!$A$2:$B$109,2,0)</f>
        <v>Potatoes</v>
      </c>
      <c r="M42" t="str">
        <f>VLOOKUP(B42,Names_biomass!$A$2:$B$169,2,0)</f>
        <v>Potatoes</v>
      </c>
    </row>
    <row r="43" spans="1:13" s="25" customFormat="1" x14ac:dyDescent="0.3">
      <c r="A43" s="74"/>
      <c r="B43" s="68" t="s">
        <v>1564</v>
      </c>
      <c r="C43" s="69" t="s">
        <v>1566</v>
      </c>
      <c r="D43" s="71">
        <v>304</v>
      </c>
      <c r="E43" s="67">
        <v>304</v>
      </c>
      <c r="F43" s="70" t="s">
        <v>2976</v>
      </c>
      <c r="H43" s="25" t="s">
        <v>1552</v>
      </c>
      <c r="I43" s="25" t="s">
        <v>1552</v>
      </c>
      <c r="J43" s="25" t="s">
        <v>2969</v>
      </c>
      <c r="K43">
        <f>INDEX([7]Coefs!$A$5:$A$234,MATCH($B43,[7]Coefs!$B$5:$B$234,0))</f>
        <v>116</v>
      </c>
      <c r="L43" t="str">
        <f>VLOOKUP(K43,FAO_Sp!$A$2:$B$109,2,0)</f>
        <v>Potatoes</v>
      </c>
      <c r="M43" t="str">
        <f>VLOOKUP(B43,Names_biomass!$A$2:$B$169,2,0)</f>
        <v>Potatoes</v>
      </c>
    </row>
    <row r="44" spans="1:13" x14ac:dyDescent="0.3">
      <c r="A44" s="79" t="s">
        <v>2977</v>
      </c>
      <c r="B44" s="68" t="s">
        <v>1677</v>
      </c>
      <c r="C44" s="78" t="s">
        <v>1559</v>
      </c>
      <c r="D44" s="84">
        <v>40</v>
      </c>
      <c r="E44" s="83"/>
      <c r="F44" s="82" t="s">
        <v>2978</v>
      </c>
      <c r="H44" t="s">
        <v>1552</v>
      </c>
      <c r="I44" t="s">
        <v>1552</v>
      </c>
      <c r="J44" t="s">
        <v>2978</v>
      </c>
      <c r="K44">
        <f>INDEX([7]Coefs!$A$5:$A$234,MATCH($B44,[7]Coefs!$B$5:$B$234,0))</f>
        <v>463</v>
      </c>
      <c r="L44" t="str">
        <f>VLOOKUP(K44,FAO_Sp!$A$2:$B$109,2,0)</f>
        <v>Vegetables, fresh nes</v>
      </c>
      <c r="M44" t="str">
        <f>VLOOKUP(B44,Names_biomass!$A$2:$B$169,2,0)</f>
        <v>Vegetables_nes</v>
      </c>
    </row>
    <row r="45" spans="1:13" x14ac:dyDescent="0.3">
      <c r="A45" s="79" t="s">
        <v>2979</v>
      </c>
      <c r="B45" s="73" t="str">
        <f>VLOOKUP(A45,Names_Lab!$A$2:$B$198,2,0)</f>
        <v>Chard</v>
      </c>
      <c r="C45" s="78" t="s">
        <v>1559</v>
      </c>
      <c r="D45" s="77">
        <v>400</v>
      </c>
      <c r="E45" s="76"/>
      <c r="F45" s="75" t="s">
        <v>2980</v>
      </c>
      <c r="G45" t="s">
        <v>2980</v>
      </c>
      <c r="H45" t="s">
        <v>2981</v>
      </c>
      <c r="I45" t="s">
        <v>2195</v>
      </c>
      <c r="J45" t="s">
        <v>2978</v>
      </c>
      <c r="K45">
        <v>463</v>
      </c>
      <c r="L45" t="str">
        <f>VLOOKUP(K45,FAO_Sp!$A$2:$B$109,2,0)</f>
        <v>Vegetables, fresh nes</v>
      </c>
      <c r="M45" t="str">
        <f>VLOOKUP(B45,Names_biomass!$A$2:$B$169,2,0)</f>
        <v>Vegetables_nes</v>
      </c>
    </row>
    <row r="46" spans="1:13" x14ac:dyDescent="0.3">
      <c r="A46" s="79" t="s">
        <v>2982</v>
      </c>
      <c r="B46" s="73" t="str">
        <f>VLOOKUP(A46,Names_Lab!$A$2:$B$198,2,0)</f>
        <v>Chicory roots</v>
      </c>
      <c r="C46" s="78" t="s">
        <v>1559</v>
      </c>
      <c r="D46" s="77">
        <v>402</v>
      </c>
      <c r="E46" s="76"/>
      <c r="F46" s="75" t="s">
        <v>2983</v>
      </c>
      <c r="H46" t="s">
        <v>1552</v>
      </c>
      <c r="I46" s="12" t="str">
        <f>B46</f>
        <v>Chicory roots</v>
      </c>
      <c r="J46" t="s">
        <v>2978</v>
      </c>
      <c r="K46">
        <v>372</v>
      </c>
      <c r="L46" t="str">
        <f>VLOOKUP(K46,FAO_Sp!$A$2:$B$109,2,0)</f>
        <v>Lettuce and chicory</v>
      </c>
      <c r="M46" t="str">
        <f>VLOOKUP(B46,Names_biomass!$A$2:$B$169,2,0)</f>
        <v>Vegetables_nes</v>
      </c>
    </row>
    <row r="47" spans="1:13" s="25" customFormat="1" x14ac:dyDescent="0.3">
      <c r="A47" s="74" t="s">
        <v>2984</v>
      </c>
      <c r="B47" s="73" t="str">
        <f>VLOOKUP(A47,Names_Lab!$A$2:$B$198,2,0)</f>
        <v>Garlic</v>
      </c>
      <c r="C47" s="69" t="s">
        <v>1559</v>
      </c>
      <c r="D47" s="71">
        <v>403</v>
      </c>
      <c r="E47" s="67">
        <v>403</v>
      </c>
      <c r="F47" s="70" t="s">
        <v>2984</v>
      </c>
      <c r="G47" s="25" t="s">
        <v>2984</v>
      </c>
      <c r="H47" s="25" t="s">
        <v>2985</v>
      </c>
      <c r="I47" s="25" t="s">
        <v>1181</v>
      </c>
      <c r="J47" s="25" t="s">
        <v>2978</v>
      </c>
      <c r="K47">
        <f>INDEX([7]Coefs!$A$3:$A$234,MATCH($B47,[7]Coefs!$B$3:$B$234,0))</f>
        <v>406</v>
      </c>
      <c r="L47" t="str">
        <f>VLOOKUP(K47,FAO_Sp!$A$2:$B$109,2,0)</f>
        <v>Garlic</v>
      </c>
      <c r="M47" t="str">
        <f>VLOOKUP(B47,Names_biomass!$A$2:$B$169,2,0)</f>
        <v>Garlic</v>
      </c>
    </row>
    <row r="48" spans="1:13" s="25" customFormat="1" x14ac:dyDescent="0.3">
      <c r="A48" s="74" t="s">
        <v>2986</v>
      </c>
      <c r="B48" s="73" t="str">
        <f>VLOOKUP(A48,Names_Lab!$A$2:$B$198,2,0)</f>
        <v>Artichoke</v>
      </c>
      <c r="C48" s="69" t="s">
        <v>1559</v>
      </c>
      <c r="D48" s="71">
        <v>404</v>
      </c>
      <c r="E48" s="67">
        <v>404</v>
      </c>
      <c r="F48" s="70" t="s">
        <v>2987</v>
      </c>
      <c r="G48" s="25" t="s">
        <v>2987</v>
      </c>
      <c r="H48" s="25" t="s">
        <v>2988</v>
      </c>
      <c r="I48" s="25" t="s">
        <v>1674</v>
      </c>
      <c r="J48" s="25" t="s">
        <v>2978</v>
      </c>
      <c r="K48">
        <f>INDEX([7]Coefs!$A$3:$A$234,MATCH($B48,[7]Coefs!$B$3:$B$234,0))</f>
        <v>366</v>
      </c>
      <c r="L48" t="str">
        <f>VLOOKUP(K48,FAO_Sp!$A$2:$B$109,2,0)</f>
        <v>Artichokes</v>
      </c>
      <c r="M48" t="str">
        <f>VLOOKUP(B48,Names_biomass!$A$2:$B$169,2,0)</f>
        <v>Artichokes</v>
      </c>
    </row>
    <row r="49" spans="1:13" x14ac:dyDescent="0.3">
      <c r="A49" s="79" t="s">
        <v>2989</v>
      </c>
      <c r="B49" s="73" t="str">
        <f>VLOOKUP(A49,Names_Lab!$A$2:$B$198,2,0)</f>
        <v>Celery</v>
      </c>
      <c r="C49" s="78" t="s">
        <v>1559</v>
      </c>
      <c r="D49" s="77">
        <v>406</v>
      </c>
      <c r="E49" s="76"/>
      <c r="F49" s="75" t="s">
        <v>2990</v>
      </c>
      <c r="H49" t="s">
        <v>1552</v>
      </c>
      <c r="I49" t="s">
        <v>1552</v>
      </c>
      <c r="J49" t="s">
        <v>2978</v>
      </c>
      <c r="K49">
        <v>463</v>
      </c>
      <c r="L49" t="str">
        <f>VLOOKUP(K49,FAO_Sp!$A$2:$B$109,2,0)</f>
        <v>Vegetables, fresh nes</v>
      </c>
      <c r="M49" t="str">
        <f>VLOOKUP(B49,Names_biomass!$A$2:$B$169,2,0)</f>
        <v>Celery</v>
      </c>
    </row>
    <row r="50" spans="1:13" x14ac:dyDescent="0.3">
      <c r="A50" s="79" t="s">
        <v>2991</v>
      </c>
      <c r="B50" s="73" t="str">
        <f>VLOOKUP(A50,Names_Lab!$A$2:$B$198,2,0)</f>
        <v>Aubergine</v>
      </c>
      <c r="C50" s="78" t="s">
        <v>1559</v>
      </c>
      <c r="D50" s="77">
        <v>407</v>
      </c>
      <c r="E50" s="76"/>
      <c r="F50" s="75" t="s">
        <v>2992</v>
      </c>
      <c r="G50" t="s">
        <v>2992</v>
      </c>
      <c r="H50" t="s">
        <v>2993</v>
      </c>
      <c r="I50" t="s">
        <v>2994</v>
      </c>
      <c r="J50" t="s">
        <v>2978</v>
      </c>
      <c r="K50">
        <f>INDEX([7]Coefs!$A$3:$A$234,MATCH($B50,[7]Coefs!$B$3:$B$234,0))</f>
        <v>399</v>
      </c>
      <c r="L50" t="str">
        <f>VLOOKUP(K50,FAO_Sp!$A$2:$B$109,2,0)</f>
        <v>Eggplants (aubergines)</v>
      </c>
      <c r="M50" t="str">
        <f>VLOOKUP(B50,Names_biomass!$A$2:$B$169,2,0)</f>
        <v>Aubergines</v>
      </c>
    </row>
    <row r="51" spans="1:13" x14ac:dyDescent="0.3">
      <c r="A51" s="79" t="s">
        <v>2995</v>
      </c>
      <c r="B51" s="73" t="str">
        <f>VLOOKUP(A51,Names_Lab!$A$2:$B$198,2,0)</f>
        <v>Cabbage, Broccoli</v>
      </c>
      <c r="C51" s="78" t="s">
        <v>1559</v>
      </c>
      <c r="D51" s="77">
        <v>408</v>
      </c>
      <c r="E51" s="76"/>
      <c r="F51" s="75" t="s">
        <v>2996</v>
      </c>
      <c r="H51" t="s">
        <v>1552</v>
      </c>
      <c r="I51" t="s">
        <v>1552</v>
      </c>
      <c r="J51" t="s">
        <v>2978</v>
      </c>
      <c r="K51">
        <f>INDEX([7]Coefs!$A$3:$A$234,MATCH($B51,[7]Coefs!$B$3:$B$234,0))</f>
        <v>358</v>
      </c>
      <c r="L51" t="str">
        <f>VLOOKUP(K51,FAO_Sp!$A$2:$B$109,2,0)</f>
        <v>Cabbages and other brassicas</v>
      </c>
      <c r="M51" t="str">
        <f>VLOOKUP(B51,Names_biomass!$A$2:$B$169,2,0)</f>
        <v>Cabbages</v>
      </c>
    </row>
    <row r="52" spans="1:13" x14ac:dyDescent="0.3">
      <c r="A52" s="79" t="s">
        <v>2997</v>
      </c>
      <c r="B52" s="73" t="str">
        <f>VLOOKUP(A52,Names_Lab!$A$2:$B$198,2,0)</f>
        <v>Borage</v>
      </c>
      <c r="C52" s="78" t="s">
        <v>1559</v>
      </c>
      <c r="D52" s="77">
        <v>409</v>
      </c>
      <c r="E52" s="76"/>
      <c r="F52" s="75" t="s">
        <v>2998</v>
      </c>
      <c r="H52" t="s">
        <v>1552</v>
      </c>
      <c r="I52" t="s">
        <v>1552</v>
      </c>
      <c r="J52" t="s">
        <v>2978</v>
      </c>
      <c r="K52">
        <v>463</v>
      </c>
      <c r="L52" t="str">
        <f>VLOOKUP(K52,FAO_Sp!$A$2:$B$109,2,0)</f>
        <v>Vegetables, fresh nes</v>
      </c>
      <c r="M52" t="str">
        <f>VLOOKUP(B52,Names_biomass!$A$2:$B$169,2,0)</f>
        <v>Vegetables_nes</v>
      </c>
    </row>
    <row r="53" spans="1:13" s="25" customFormat="1" x14ac:dyDescent="0.3">
      <c r="A53" s="74" t="s">
        <v>2999</v>
      </c>
      <c r="B53" s="73" t="str">
        <f>VLOOKUP(A53,Names_Lab!$A$2:$B$198,2,0)</f>
        <v>Zucchini</v>
      </c>
      <c r="C53" s="69" t="s">
        <v>1559</v>
      </c>
      <c r="D53" s="71">
        <v>410</v>
      </c>
      <c r="E53" s="67">
        <v>410</v>
      </c>
      <c r="F53" s="70" t="s">
        <v>3000</v>
      </c>
      <c r="G53" s="25" t="s">
        <v>3000</v>
      </c>
      <c r="H53" s="25" t="s">
        <v>3001</v>
      </c>
      <c r="I53" s="25" t="s">
        <v>3002</v>
      </c>
      <c r="J53" s="25" t="s">
        <v>2978</v>
      </c>
      <c r="K53">
        <v>463</v>
      </c>
      <c r="L53" t="str">
        <f>VLOOKUP(K53,FAO_Sp!$A$2:$B$109,2,0)</f>
        <v>Vegetables, fresh nes</v>
      </c>
      <c r="M53" t="str">
        <f>VLOOKUP(B53,Names_biomass!$A$2:$B$169,2,0)</f>
        <v>Zucchini</v>
      </c>
    </row>
    <row r="54" spans="1:13" x14ac:dyDescent="0.3">
      <c r="A54" s="79" t="s">
        <v>3003</v>
      </c>
      <c r="B54" s="73" t="str">
        <f>VLOOKUP(A54,Names_Lab!$A$2:$B$198,2,0)</f>
        <v>Squash, pumpkin</v>
      </c>
      <c r="C54" s="78" t="s">
        <v>1559</v>
      </c>
      <c r="D54" s="77">
        <v>411</v>
      </c>
      <c r="E54" s="76"/>
      <c r="F54" s="75" t="s">
        <v>3003</v>
      </c>
      <c r="G54" t="s">
        <v>3003</v>
      </c>
      <c r="H54" t="s">
        <v>3004</v>
      </c>
      <c r="I54" t="s">
        <v>3005</v>
      </c>
      <c r="J54" t="s">
        <v>2978</v>
      </c>
      <c r="K54">
        <f>INDEX([7]Coefs!$A$3:$A$234,MATCH($B54,[7]Coefs!$B$3:$B$234,0))</f>
        <v>394</v>
      </c>
      <c r="L54" t="str">
        <f>VLOOKUP(K54,FAO_Sp!$A$2:$B$109,2,0)</f>
        <v>Pumpkins, squash and gourds</v>
      </c>
      <c r="M54" t="str">
        <f>VLOOKUP(B54,Names_biomass!$A$2:$B$169,2,0)</f>
        <v>Pumpkins</v>
      </c>
    </row>
    <row r="55" spans="1:13" x14ac:dyDescent="0.3">
      <c r="A55" s="79" t="s">
        <v>3006</v>
      </c>
      <c r="B55" s="73" t="str">
        <f>VLOOKUP(A55,Names_Lab!$A$2:$B$198,2,0)</f>
        <v>Artichoke thistle</v>
      </c>
      <c r="C55" s="78" t="s">
        <v>1559</v>
      </c>
      <c r="D55" s="77">
        <v>412</v>
      </c>
      <c r="E55" s="76"/>
      <c r="F55" s="75" t="s">
        <v>3007</v>
      </c>
      <c r="H55" t="s">
        <v>1552</v>
      </c>
      <c r="I55" t="s">
        <v>1552</v>
      </c>
      <c r="J55" t="s">
        <v>2978</v>
      </c>
      <c r="K55">
        <v>463</v>
      </c>
      <c r="L55" t="str">
        <f>VLOOKUP(K55,FAO_Sp!$A$2:$B$109,2,0)</f>
        <v>Vegetables, fresh nes</v>
      </c>
      <c r="M55" t="str">
        <f>VLOOKUP(B55,Names_biomass!$A$2:$B$169,2,0)</f>
        <v>Vegetables_nes</v>
      </c>
    </row>
    <row r="56" spans="1:13" s="25" customFormat="1" x14ac:dyDescent="0.3">
      <c r="A56" s="74" t="s">
        <v>3008</v>
      </c>
      <c r="B56" s="73" t="str">
        <f>VLOOKUP(A56,Names_Lab!$A$2:$B$198,2,0)</f>
        <v>Onion</v>
      </c>
      <c r="C56" s="69" t="s">
        <v>1559</v>
      </c>
      <c r="D56" s="71">
        <v>413</v>
      </c>
      <c r="E56" s="67">
        <v>413</v>
      </c>
      <c r="F56" s="70" t="s">
        <v>3008</v>
      </c>
      <c r="G56" s="25" t="s">
        <v>3008</v>
      </c>
      <c r="H56" s="25" t="s">
        <v>3009</v>
      </c>
      <c r="I56" s="25" t="s">
        <v>1692</v>
      </c>
      <c r="J56" s="25" t="s">
        <v>2978</v>
      </c>
      <c r="K56">
        <f>INDEX([7]Coefs!$A$3:$A$234,MATCH($B56,[7]Coefs!$B$3:$B$234,0))</f>
        <v>403</v>
      </c>
      <c r="L56" t="str">
        <f>VLOOKUP(K56,FAO_Sp!$A$2:$B$109,2,0)</f>
        <v>Onions, dry</v>
      </c>
      <c r="M56" t="str">
        <f>VLOOKUP(B56,Names_biomass!$A$2:$B$169,2,0)</f>
        <v>Onions</v>
      </c>
    </row>
    <row r="57" spans="1:13" x14ac:dyDescent="0.3">
      <c r="A57" s="79" t="s">
        <v>3010</v>
      </c>
      <c r="B57" s="73" t="str">
        <f>VLOOKUP(A57,Names_Lab!$A$2:$B$198,2,0)</f>
        <v>Onion</v>
      </c>
      <c r="C57" s="78" t="s">
        <v>1559</v>
      </c>
      <c r="D57" s="77">
        <v>414</v>
      </c>
      <c r="E57" s="76"/>
      <c r="F57" s="75" t="s">
        <v>3011</v>
      </c>
      <c r="G57" t="s">
        <v>3011</v>
      </c>
      <c r="H57" t="s">
        <v>3012</v>
      </c>
      <c r="I57" t="s">
        <v>3013</v>
      </c>
      <c r="J57" t="s">
        <v>2978</v>
      </c>
      <c r="K57">
        <v>402</v>
      </c>
      <c r="L57" t="str">
        <f>VLOOKUP(K57,FAO_Sp!$A$2:$B$109,2,0)</f>
        <v>Onions, shallots, green</v>
      </c>
      <c r="M57" t="str">
        <f>VLOOKUP(B57,Names_biomass!$A$2:$B$169,2,0)</f>
        <v>Onions</v>
      </c>
    </row>
    <row r="58" spans="1:13" s="25" customFormat="1" x14ac:dyDescent="0.3">
      <c r="A58" s="74" t="s">
        <v>3014</v>
      </c>
      <c r="B58" s="73" t="str">
        <f>VLOOKUP(A58,Names_Lab!$A$2:$B$198,2,0)</f>
        <v>Cabbage, Broccoli</v>
      </c>
      <c r="C58" s="69" t="s">
        <v>1559</v>
      </c>
      <c r="D58" s="71">
        <v>415</v>
      </c>
      <c r="E58" s="67">
        <v>415</v>
      </c>
      <c r="F58" s="70" t="s">
        <v>3014</v>
      </c>
      <c r="H58" s="25" t="s">
        <v>1552</v>
      </c>
      <c r="I58" s="25" t="s">
        <v>1552</v>
      </c>
      <c r="J58" s="25" t="s">
        <v>2978</v>
      </c>
      <c r="K58">
        <f>INDEX([7]Coefs!$A$3:$A$234,MATCH($B58,[7]Coefs!$B$3:$B$234,0))</f>
        <v>358</v>
      </c>
      <c r="L58" t="str">
        <f>VLOOKUP(K58,FAO_Sp!$A$2:$B$109,2,0)</f>
        <v>Cabbages and other brassicas</v>
      </c>
      <c r="M58" t="str">
        <f>VLOOKUP(B58,Names_biomass!$A$2:$B$169,2,0)</f>
        <v>Cabbages</v>
      </c>
    </row>
    <row r="59" spans="1:13" s="25" customFormat="1" x14ac:dyDescent="0.3">
      <c r="A59" s="74" t="s">
        <v>3015</v>
      </c>
      <c r="B59" s="73" t="str">
        <f>VLOOKUP(A59,Names_Lab!$A$2:$B$198,2,0)</f>
        <v>Cauliflower</v>
      </c>
      <c r="C59" s="69" t="s">
        <v>1559</v>
      </c>
      <c r="D59" s="71">
        <v>416</v>
      </c>
      <c r="E59" s="67">
        <v>416</v>
      </c>
      <c r="F59" s="70" t="s">
        <v>3015</v>
      </c>
      <c r="G59" s="25" t="s">
        <v>3015</v>
      </c>
      <c r="H59" s="25" t="s">
        <v>3016</v>
      </c>
      <c r="I59" s="25" t="s">
        <v>1681</v>
      </c>
      <c r="J59" s="25" t="s">
        <v>2978</v>
      </c>
      <c r="K59">
        <f>INDEX([7]Coefs!$A$3:$A$234,MATCH($B59,[7]Coefs!$B$3:$B$234,0))</f>
        <v>393</v>
      </c>
      <c r="L59" t="str">
        <f>VLOOKUP(K59,FAO_Sp!$A$2:$B$109,2,0)</f>
        <v>Cauliflowers and broccoli</v>
      </c>
      <c r="M59" t="str">
        <f>VLOOKUP(B59,Names_biomass!$A$2:$B$169,2,0)</f>
        <v>Caulifowers_broccoli</v>
      </c>
    </row>
    <row r="60" spans="1:13" x14ac:dyDescent="0.3">
      <c r="A60" s="79" t="s">
        <v>3017</v>
      </c>
      <c r="B60" s="73" t="str">
        <f>VLOOKUP(A60,Names_Lab!$A$2:$B$198,2,0)</f>
        <v>Endive</v>
      </c>
      <c r="C60" s="78" t="s">
        <v>1559</v>
      </c>
      <c r="D60" s="77">
        <v>417</v>
      </c>
      <c r="E60" s="76"/>
      <c r="F60" s="75" t="s">
        <v>3018</v>
      </c>
      <c r="H60" t="s">
        <v>1552</v>
      </c>
      <c r="I60" s="12" t="str">
        <f>B60</f>
        <v>Endive</v>
      </c>
      <c r="J60" t="s">
        <v>2978</v>
      </c>
      <c r="K60">
        <v>372</v>
      </c>
      <c r="L60" t="str">
        <f>VLOOKUP(K60,FAO_Sp!$A$2:$B$109,2,0)</f>
        <v>Lettuce and chicory</v>
      </c>
      <c r="M60" t="str">
        <f>VLOOKUP(B60,Names_biomass!$A$2:$B$169,2,0)</f>
        <v>Lettuce_chicory</v>
      </c>
    </row>
    <row r="61" spans="1:13" x14ac:dyDescent="0.3">
      <c r="A61" s="79" t="s">
        <v>3019</v>
      </c>
      <c r="B61" s="73" t="str">
        <f>VLOOKUP(A61,Names_Lab!$A$2:$B$198,2,0)</f>
        <v>Endive</v>
      </c>
      <c r="C61" s="78" t="s">
        <v>1559</v>
      </c>
      <c r="D61" s="77">
        <v>418</v>
      </c>
      <c r="E61" s="76"/>
      <c r="F61" s="75" t="s">
        <v>3020</v>
      </c>
      <c r="G61" t="s">
        <v>3020</v>
      </c>
      <c r="H61" t="s">
        <v>3021</v>
      </c>
      <c r="I61" t="s">
        <v>3022</v>
      </c>
      <c r="J61" t="s">
        <v>2978</v>
      </c>
      <c r="K61">
        <v>372</v>
      </c>
      <c r="L61" t="str">
        <f>VLOOKUP(K61,FAO_Sp!$A$2:$B$109,2,0)</f>
        <v>Lettuce and chicory</v>
      </c>
      <c r="M61" t="str">
        <f>VLOOKUP(B61,Names_biomass!$A$2:$B$169,2,0)</f>
        <v>Lettuce_chicory</v>
      </c>
    </row>
    <row r="62" spans="1:13" s="25" customFormat="1" x14ac:dyDescent="0.3">
      <c r="A62" s="74" t="s">
        <v>3023</v>
      </c>
      <c r="B62" s="73" t="str">
        <f>VLOOKUP(A62,Names_Lab!$A$2:$B$198,2,0)</f>
        <v>Asparagus</v>
      </c>
      <c r="C62" s="69" t="s">
        <v>1559</v>
      </c>
      <c r="D62" s="71">
        <v>419</v>
      </c>
      <c r="E62" s="67">
        <v>419</v>
      </c>
      <c r="F62" s="70" t="s">
        <v>3024</v>
      </c>
      <c r="G62" s="25" t="s">
        <v>3024</v>
      </c>
      <c r="H62" s="25" t="s">
        <v>3025</v>
      </c>
      <c r="I62" s="25" t="s">
        <v>1163</v>
      </c>
      <c r="J62" s="25" t="s">
        <v>2978</v>
      </c>
      <c r="K62">
        <f>INDEX([7]Coefs!$A$3:$A$234,MATCH($B62,[7]Coefs!$B$3:$B$234,0))</f>
        <v>367</v>
      </c>
      <c r="L62" t="str">
        <f>VLOOKUP(K62,FAO_Sp!$A$2:$B$109,2,0)</f>
        <v>Asparagus</v>
      </c>
      <c r="M62" t="str">
        <f>VLOOKUP(B62,Names_biomass!$A$2:$B$169,2,0)</f>
        <v>Asparagus</v>
      </c>
    </row>
    <row r="63" spans="1:13" x14ac:dyDescent="0.3">
      <c r="A63" s="79" t="s">
        <v>3026</v>
      </c>
      <c r="B63" s="73" t="str">
        <f>VLOOKUP(A63,Names_Lab!$A$2:$B$198,2,0)</f>
        <v>Spinach</v>
      </c>
      <c r="C63" s="78" t="s">
        <v>1559</v>
      </c>
      <c r="D63" s="77">
        <v>420</v>
      </c>
      <c r="E63" s="76"/>
      <c r="F63" s="75" t="s">
        <v>3027</v>
      </c>
      <c r="G63" t="s">
        <v>3027</v>
      </c>
      <c r="H63" t="s">
        <v>3028</v>
      </c>
      <c r="I63" t="s">
        <v>1165</v>
      </c>
      <c r="J63" t="s">
        <v>2978</v>
      </c>
      <c r="K63">
        <f>INDEX([7]Coefs!$A$3:$A$234,MATCH($B63,[7]Coefs!$B$3:$B$234,0))</f>
        <v>373</v>
      </c>
      <c r="L63" t="str">
        <f>VLOOKUP(K63,FAO_Sp!$A$2:$B$109,2,0)</f>
        <v>Spinach</v>
      </c>
      <c r="M63" t="str">
        <f>VLOOKUP(B63,Names_biomass!$A$2:$B$169,2,0)</f>
        <v>Spinach</v>
      </c>
    </row>
    <row r="64" spans="1:13" x14ac:dyDescent="0.3">
      <c r="A64" s="79" t="s">
        <v>3029</v>
      </c>
      <c r="B64" s="73" t="str">
        <f>VLOOKUP(A64,Names_Lab!$A$2:$B$198,2,0)</f>
        <v>Strawberry</v>
      </c>
      <c r="C64" s="78" t="s">
        <v>1559</v>
      </c>
      <c r="D64" s="77">
        <v>421</v>
      </c>
      <c r="E64" s="76"/>
      <c r="F64" s="75" t="s">
        <v>3030</v>
      </c>
      <c r="G64" t="s">
        <v>3030</v>
      </c>
      <c r="H64" t="s">
        <v>3031</v>
      </c>
      <c r="I64" t="s">
        <v>1738</v>
      </c>
      <c r="J64" t="s">
        <v>2978</v>
      </c>
      <c r="K64">
        <f>INDEX([7]Coefs!$A$3:$A$234,MATCH($B64,[7]Coefs!$B$3:$B$234,0))</f>
        <v>544</v>
      </c>
      <c r="L64" t="str">
        <f>VLOOKUP(K64,FAO_Sp!$A$2:$B$109,2,0)</f>
        <v>Strawberries</v>
      </c>
      <c r="M64" t="str">
        <f>VLOOKUP(B64,Names_biomass!$A$2:$B$169,2,0)</f>
        <v>Strawberry</v>
      </c>
    </row>
    <row r="65" spans="1:13" x14ac:dyDescent="0.3">
      <c r="A65" s="79" t="s">
        <v>3032</v>
      </c>
      <c r="B65" s="73" t="str">
        <f>VLOOKUP(A65,Names_Lab!$A$2:$B$198,2,0)</f>
        <v>Chili pepper</v>
      </c>
      <c r="C65" s="78" t="s">
        <v>1559</v>
      </c>
      <c r="D65" s="77">
        <v>422</v>
      </c>
      <c r="E65" s="76"/>
      <c r="F65" s="75" t="s">
        <v>3033</v>
      </c>
      <c r="H65" t="s">
        <v>1552</v>
      </c>
      <c r="I65" t="s">
        <v>3034</v>
      </c>
      <c r="J65" t="s">
        <v>2978</v>
      </c>
      <c r="K65">
        <f>INDEX([7]Coefs!$A$3:$A$234,MATCH($B65,[7]Coefs!$B$3:$B$234,0))</f>
        <v>401</v>
      </c>
      <c r="L65" t="str">
        <f>VLOOKUP(K65,FAO_Sp!$A$2:$B$109,2,0)</f>
        <v>Chillies and peppers, green</v>
      </c>
      <c r="M65" t="str">
        <f>VLOOKUP(B65,Names_biomass!$A$2:$B$169,2,0)</f>
        <v>Peppers_green</v>
      </c>
    </row>
    <row r="66" spans="1:13" s="25" customFormat="1" x14ac:dyDescent="0.3">
      <c r="A66" s="74" t="s">
        <v>3035</v>
      </c>
      <c r="B66" s="73" t="str">
        <f>VLOOKUP(A66,Names_Lab!$A$2:$B$198,2,0)</f>
        <v>Pea, green, with pod</v>
      </c>
      <c r="C66" s="69" t="s">
        <v>1559</v>
      </c>
      <c r="D66" s="71">
        <v>423</v>
      </c>
      <c r="E66" s="67">
        <v>423</v>
      </c>
      <c r="F66" s="70" t="s">
        <v>3036</v>
      </c>
      <c r="G66" s="25" t="s">
        <v>3037</v>
      </c>
      <c r="H66" s="25" t="s">
        <v>3038</v>
      </c>
      <c r="I66" s="25" t="s">
        <v>3039</v>
      </c>
      <c r="J66" s="25" t="s">
        <v>2978</v>
      </c>
      <c r="K66">
        <f>INDEX([7]Coefs!$A$3:$A$234,MATCH($B66,[7]Coefs!$B$3:$B$234,0))</f>
        <v>417</v>
      </c>
      <c r="L66" t="str">
        <f>VLOOKUP(K66,FAO_Sp!$A$2:$B$109,2,0)</f>
        <v>Peas, green</v>
      </c>
      <c r="M66" t="str">
        <f>VLOOKUP(B66,Names_biomass!$A$2:$B$169,2,0)</f>
        <v>Peas_green</v>
      </c>
    </row>
    <row r="67" spans="1:13" x14ac:dyDescent="0.3">
      <c r="B67" s="68" t="s">
        <v>1700</v>
      </c>
      <c r="C67" s="78" t="s">
        <v>1559</v>
      </c>
      <c r="D67" s="77">
        <v>424</v>
      </c>
      <c r="E67" s="76"/>
      <c r="F67" s="75" t="s">
        <v>3035</v>
      </c>
      <c r="H67" t="s">
        <v>1552</v>
      </c>
      <c r="I67" t="s">
        <v>1552</v>
      </c>
      <c r="J67" t="s">
        <v>2978</v>
      </c>
      <c r="K67">
        <f>INDEX([7]Coefs!$A$3:$A$234,MATCH($B67,[7]Coefs!$B$3:$B$234,0))</f>
        <v>417</v>
      </c>
      <c r="L67" t="str">
        <f>VLOOKUP(K67,FAO_Sp!$A$2:$B$109,2,0)</f>
        <v>Peas, green</v>
      </c>
      <c r="M67" t="str">
        <f>VLOOKUP(B67,Names_biomass!$A$2:$B$169,2,0)</f>
        <v>Peas_green</v>
      </c>
    </row>
    <row r="68" spans="1:13" s="25" customFormat="1" x14ac:dyDescent="0.3">
      <c r="A68" s="74" t="s">
        <v>3040</v>
      </c>
      <c r="B68" s="73" t="str">
        <f>VLOOKUP(A68,Names_Lab!$A$2:$B$198,2,0)</f>
        <v>Vegetables, leguminous nes</v>
      </c>
      <c r="C68" s="69" t="s">
        <v>1559</v>
      </c>
      <c r="D68" s="71">
        <v>425</v>
      </c>
      <c r="E68" s="67">
        <v>425</v>
      </c>
      <c r="F68" s="70" t="s">
        <v>3041</v>
      </c>
      <c r="G68" s="25" t="s">
        <v>2944</v>
      </c>
      <c r="H68" s="25" t="s">
        <v>2945</v>
      </c>
      <c r="I68" s="25" t="s">
        <v>2946</v>
      </c>
      <c r="J68" s="25" t="s">
        <v>2978</v>
      </c>
      <c r="K68">
        <v>420</v>
      </c>
      <c r="L68" t="str">
        <f>VLOOKUP(K68,FAO_Sp!$A$2:$B$109,2,0)</f>
        <v>Vegetables, leguminous nes</v>
      </c>
      <c r="M68" t="str">
        <f>VLOOKUP(B68,Names_biomass!$A$2:$B$169,2,0)</f>
        <v>Legumes_green_nes</v>
      </c>
    </row>
    <row r="69" spans="1:13" x14ac:dyDescent="0.3">
      <c r="B69" s="68" t="s">
        <v>1185</v>
      </c>
      <c r="C69" s="78" t="s">
        <v>1559</v>
      </c>
      <c r="D69" s="77">
        <v>426</v>
      </c>
      <c r="E69" s="76"/>
      <c r="F69" s="75" t="s">
        <v>3040</v>
      </c>
      <c r="H69" t="s">
        <v>1552</v>
      </c>
      <c r="I69" t="s">
        <v>1552</v>
      </c>
      <c r="J69" t="s">
        <v>2978</v>
      </c>
      <c r="K69">
        <v>420</v>
      </c>
      <c r="L69" t="str">
        <f>VLOOKUP(K69,FAO_Sp!$A$2:$B$109,2,0)</f>
        <v>Vegetables, leguminous nes</v>
      </c>
      <c r="M69" t="str">
        <f>VLOOKUP(B69,Names_biomass!$A$2:$B$169,2,0)</f>
        <v>Legumes_green_nes</v>
      </c>
    </row>
    <row r="70" spans="1:13" x14ac:dyDescent="0.3">
      <c r="A70" s="79" t="s">
        <v>3042</v>
      </c>
      <c r="B70" s="73" t="str">
        <f>VLOOKUP(A70,Names_Lab!$A$2:$B$198,2,0)</f>
        <v>Beans</v>
      </c>
      <c r="C70" s="78" t="s">
        <v>2254</v>
      </c>
      <c r="D70" s="77">
        <v>427</v>
      </c>
      <c r="E70" s="76"/>
      <c r="F70" s="75" t="s">
        <v>3043</v>
      </c>
      <c r="H70" t="s">
        <v>1552</v>
      </c>
      <c r="I70" t="s">
        <v>1552</v>
      </c>
      <c r="J70" t="s">
        <v>2923</v>
      </c>
      <c r="K70">
        <f>INDEX([7]Coefs!$A$3:$A$234,MATCH($B70,[7]Coefs!$B$3:$B$234,0))</f>
        <v>176</v>
      </c>
      <c r="L70" t="str">
        <f>VLOOKUP(K70,FAO_Sp!$A$2:$B$109,2,0)</f>
        <v>Beans, dry</v>
      </c>
      <c r="M70" t="str">
        <f>VLOOKUP(B70,Names_biomass!$A$2:$B$169,2,0)</f>
        <v>Beans_dry</v>
      </c>
    </row>
    <row r="71" spans="1:13" s="25" customFormat="1" x14ac:dyDescent="0.3">
      <c r="A71" s="74" t="s">
        <v>3044</v>
      </c>
      <c r="B71" s="73" t="str">
        <f>VLOOKUP(A71,Names_Lab!$A$2:$B$198,2,0)</f>
        <v>Beans, green</v>
      </c>
      <c r="C71" s="69" t="s">
        <v>1559</v>
      </c>
      <c r="D71" s="71">
        <v>428</v>
      </c>
      <c r="E71" s="67">
        <v>428</v>
      </c>
      <c r="F71" s="70" t="s">
        <v>3045</v>
      </c>
      <c r="G71" s="25" t="s">
        <v>3045</v>
      </c>
      <c r="H71" s="25" t="s">
        <v>3046</v>
      </c>
      <c r="I71" s="25" t="s">
        <v>3047</v>
      </c>
      <c r="J71" s="25" t="s">
        <v>2978</v>
      </c>
      <c r="K71">
        <f>INDEX([7]Coefs!$A$3:$A$234,MATCH($B71,[7]Coefs!$B$3:$B$234,0))</f>
        <v>414</v>
      </c>
      <c r="L71" t="str">
        <f>VLOOKUP(K71,FAO_Sp!$A$2:$B$109,2,0)</f>
        <v>Beans, green</v>
      </c>
      <c r="M71" t="str">
        <f>VLOOKUP(B71,Names_biomass!$A$2:$B$169,2,0)</f>
        <v>Beans_green</v>
      </c>
    </row>
    <row r="72" spans="1:13" s="25" customFormat="1" x14ac:dyDescent="0.3">
      <c r="A72" s="74" t="s">
        <v>3048</v>
      </c>
      <c r="B72" s="73" t="str">
        <f>VLOOKUP(A72,Names_Lab!$A$2:$B$198,2,0)</f>
        <v>Lettuce</v>
      </c>
      <c r="C72" s="69" t="s">
        <v>1559</v>
      </c>
      <c r="D72" s="71">
        <v>430</v>
      </c>
      <c r="E72" s="67">
        <v>430</v>
      </c>
      <c r="F72" s="70" t="s">
        <v>3049</v>
      </c>
      <c r="G72" s="25" t="s">
        <v>3049</v>
      </c>
      <c r="H72" s="25" t="s">
        <v>3050</v>
      </c>
      <c r="I72" s="25" t="s">
        <v>1675</v>
      </c>
      <c r="J72" s="25" t="s">
        <v>2978</v>
      </c>
      <c r="K72">
        <f>INDEX([7]Coefs!$A$3:$A$234,MATCH($B72,[7]Coefs!$B$3:$B$234,0))</f>
        <v>372</v>
      </c>
      <c r="L72" t="str">
        <f>VLOOKUP(K72,FAO_Sp!$A$2:$B$109,2,0)</f>
        <v>Lettuce and chicory</v>
      </c>
      <c r="M72" t="str">
        <f>VLOOKUP(B72,Names_biomass!$A$2:$B$169,2,0)</f>
        <v>Lettuce_chicory</v>
      </c>
    </row>
    <row r="73" spans="1:13" s="25" customFormat="1" x14ac:dyDescent="0.3">
      <c r="A73" s="74" t="s">
        <v>3051</v>
      </c>
      <c r="B73" s="73" t="str">
        <f>VLOOKUP(A73,Names_Lab!$A$2:$B$198,2,0)</f>
        <v>Melon</v>
      </c>
      <c r="C73" s="69" t="s">
        <v>1559</v>
      </c>
      <c r="D73" s="71">
        <v>431</v>
      </c>
      <c r="E73" s="67">
        <v>431</v>
      </c>
      <c r="F73" s="70" t="s">
        <v>3052</v>
      </c>
      <c r="G73" s="25" t="s">
        <v>3052</v>
      </c>
      <c r="H73" s="25" t="s">
        <v>191</v>
      </c>
      <c r="I73" s="25" t="s">
        <v>3053</v>
      </c>
      <c r="J73" s="25" t="s">
        <v>2978</v>
      </c>
      <c r="K73">
        <f>INDEX([7]Coefs!$A$3:$A$234,MATCH($B73,[7]Coefs!$B$3:$B$234,0))</f>
        <v>568</v>
      </c>
      <c r="L73" t="str">
        <f>VLOOKUP(K73,FAO_Sp!$A$2:$B$109,2,0)</f>
        <v>Melons, other (inc.cantaloupes)</v>
      </c>
      <c r="M73" t="str">
        <f>VLOOKUP(B73,Names_biomass!$A$2:$B$169,2,0)</f>
        <v>Melons</v>
      </c>
    </row>
    <row r="74" spans="1:13" s="25" customFormat="1" x14ac:dyDescent="0.3">
      <c r="A74" s="74" t="s">
        <v>3054</v>
      </c>
      <c r="B74" s="73" t="str">
        <f>VLOOKUP(A74,Names_Lab!$A$2:$B$198,2,0)</f>
        <v>Turnip</v>
      </c>
      <c r="C74" s="69" t="s">
        <v>1559</v>
      </c>
      <c r="D74" s="71">
        <v>432</v>
      </c>
      <c r="E74" s="67">
        <v>432</v>
      </c>
      <c r="F74" s="70" t="s">
        <v>3054</v>
      </c>
      <c r="G74" s="25" t="s">
        <v>3055</v>
      </c>
      <c r="H74" s="25" t="s">
        <v>3056</v>
      </c>
      <c r="I74" s="25" t="s">
        <v>2201</v>
      </c>
      <c r="J74" s="25" t="s">
        <v>2978</v>
      </c>
      <c r="K74">
        <v>426</v>
      </c>
      <c r="L74" t="str">
        <f>VLOOKUP(K74,FAO_Sp!$A$2:$B$109,2,0)</f>
        <v>Carrots and turnips</v>
      </c>
      <c r="M74" t="str">
        <f>VLOOKUP(B74,Names_biomass!$A$2:$B$169,2,0)</f>
        <v>Carrots_turnips</v>
      </c>
    </row>
    <row r="75" spans="1:13" x14ac:dyDescent="0.3">
      <c r="A75" s="79" t="s">
        <v>3057</v>
      </c>
      <c r="B75" s="73" t="str">
        <f>VLOOKUP(A75,Names_Lab!$A$2:$B$198,2,0)</f>
        <v>Vegetables, other</v>
      </c>
      <c r="C75" s="78" t="s">
        <v>1559</v>
      </c>
      <c r="D75" s="77">
        <v>433</v>
      </c>
      <c r="E75" s="76"/>
      <c r="F75" s="75" t="s">
        <v>3058</v>
      </c>
      <c r="H75" t="s">
        <v>1552</v>
      </c>
      <c r="I75" t="s">
        <v>1552</v>
      </c>
      <c r="J75" t="s">
        <v>2978</v>
      </c>
      <c r="K75">
        <f>INDEX([7]Coefs!$A$3:$A$234,MATCH($B75,[7]Coefs!$B$3:$B$234,0))</f>
        <v>463</v>
      </c>
      <c r="L75" t="str">
        <f>VLOOKUP(K75,FAO_Sp!$A$2:$B$109,2,0)</f>
        <v>Vegetables, fresh nes</v>
      </c>
      <c r="M75" t="str">
        <f>VLOOKUP(B75,Names_biomass!$A$2:$B$169,2,0)</f>
        <v>Vegetables_nes</v>
      </c>
    </row>
    <row r="76" spans="1:13" x14ac:dyDescent="0.3">
      <c r="A76" s="79" t="s">
        <v>3059</v>
      </c>
      <c r="B76" s="73" t="str">
        <f>VLOOKUP(A76,Names_Lab!$A$2:$B$198,2,0)</f>
        <v>Potato</v>
      </c>
      <c r="C76" s="78" t="s">
        <v>1566</v>
      </c>
      <c r="D76" s="77">
        <v>434</v>
      </c>
      <c r="E76" s="76"/>
      <c r="F76" s="75" t="s">
        <v>3060</v>
      </c>
      <c r="H76" t="s">
        <v>1552</v>
      </c>
      <c r="I76" t="s">
        <v>1552</v>
      </c>
      <c r="J76" t="s">
        <v>2969</v>
      </c>
      <c r="K76">
        <f>INDEX([7]Coefs!$A$3:$A$234,MATCH($B76,[7]Coefs!$B$3:$B$234,0))</f>
        <v>116</v>
      </c>
      <c r="L76" t="str">
        <f>VLOOKUP(K76,FAO_Sp!$A$2:$B$109,2,0)</f>
        <v>Potatoes</v>
      </c>
      <c r="M76" t="str">
        <f>VLOOKUP(B76,Names_biomass!$A$2:$B$169,2,0)</f>
        <v>Potatoes</v>
      </c>
    </row>
    <row r="77" spans="1:13" x14ac:dyDescent="0.3">
      <c r="A77" s="79" t="s">
        <v>3061</v>
      </c>
      <c r="B77" s="73" t="str">
        <f>VLOOKUP(A77,Names_Lab!$A$2:$B$198,2,0)</f>
        <v>Cucumber</v>
      </c>
      <c r="C77" s="78" t="s">
        <v>1559</v>
      </c>
      <c r="D77" s="77">
        <v>435</v>
      </c>
      <c r="E77" s="76"/>
      <c r="F77" s="75" t="s">
        <v>3062</v>
      </c>
      <c r="H77" t="s">
        <v>1552</v>
      </c>
      <c r="I77" t="s">
        <v>1552</v>
      </c>
      <c r="J77" t="s">
        <v>2978</v>
      </c>
      <c r="K77">
        <f>INDEX([7]Coefs!$A$3:$A$234,MATCH($B77,[7]Coefs!$B$3:$B$234,0))</f>
        <v>397</v>
      </c>
      <c r="L77" t="str">
        <f>VLOOKUP(K77,FAO_Sp!$A$2:$B$109,2,0)</f>
        <v>Cucumbers and gherkins</v>
      </c>
      <c r="M77" t="str">
        <f>VLOOKUP(B77,Names_biomass!$A$2:$B$169,2,0)</f>
        <v>Cucumbers</v>
      </c>
    </row>
    <row r="78" spans="1:13" s="25" customFormat="1" x14ac:dyDescent="0.3">
      <c r="A78" s="74" t="s">
        <v>3063</v>
      </c>
      <c r="B78" s="73" t="str">
        <f>VLOOKUP(A78,Names_Lab!$A$2:$B$198,2,0)</f>
        <v>Cucumber</v>
      </c>
      <c r="C78" s="69" t="s">
        <v>1559</v>
      </c>
      <c r="D78" s="71">
        <v>436</v>
      </c>
      <c r="E78" s="67">
        <v>436</v>
      </c>
      <c r="F78" s="70" t="s">
        <v>3064</v>
      </c>
      <c r="G78" s="25" t="s">
        <v>3064</v>
      </c>
      <c r="H78" s="25" t="s">
        <v>3065</v>
      </c>
      <c r="I78" s="25" t="s">
        <v>1685</v>
      </c>
      <c r="J78" s="25" t="s">
        <v>2978</v>
      </c>
      <c r="K78">
        <f>INDEX([7]Coefs!$A$3:$A$234,MATCH($B78,[7]Coefs!$B$3:$B$234,0))</f>
        <v>397</v>
      </c>
      <c r="L78" t="str">
        <f>VLOOKUP(K78,FAO_Sp!$A$2:$B$109,2,0)</f>
        <v>Cucumbers and gherkins</v>
      </c>
      <c r="M78" t="str">
        <f>VLOOKUP(B78,Names_biomass!$A$2:$B$169,2,0)</f>
        <v>Cucumbers</v>
      </c>
    </row>
    <row r="79" spans="1:13" x14ac:dyDescent="0.3">
      <c r="A79" s="79" t="s">
        <v>3066</v>
      </c>
      <c r="B79" s="73" t="str">
        <f>VLOOKUP(A79,Names_Lab!$A$2:$B$198,2,0)</f>
        <v>Parsley</v>
      </c>
      <c r="C79" s="78" t="s">
        <v>1559</v>
      </c>
      <c r="D79" s="77">
        <v>437</v>
      </c>
      <c r="E79" s="76"/>
      <c r="F79" s="75" t="s">
        <v>3067</v>
      </c>
      <c r="H79" t="s">
        <v>1552</v>
      </c>
      <c r="I79" t="s">
        <v>1552</v>
      </c>
      <c r="J79" t="s">
        <v>2978</v>
      </c>
      <c r="K79">
        <v>463</v>
      </c>
      <c r="L79" t="str">
        <f>VLOOKUP(K79,FAO_Sp!$A$2:$B$109,2,0)</f>
        <v>Vegetables, fresh nes</v>
      </c>
      <c r="M79" t="str">
        <f>VLOOKUP(B79,Names_biomass!$A$2:$B$169,2,0)</f>
        <v>Vegetables_nes</v>
      </c>
    </row>
    <row r="80" spans="1:13" s="25" customFormat="1" x14ac:dyDescent="0.3">
      <c r="A80" s="74" t="s">
        <v>3068</v>
      </c>
      <c r="B80" s="73" t="str">
        <f>VLOOKUP(A80,Names_Lab!$A$2:$B$198,2,0)</f>
        <v>Pepper</v>
      </c>
      <c r="C80" s="69" t="s">
        <v>1559</v>
      </c>
      <c r="D80" s="71">
        <v>438</v>
      </c>
      <c r="E80" s="67">
        <v>438</v>
      </c>
      <c r="F80" s="70" t="s">
        <v>3068</v>
      </c>
      <c r="G80" s="25" t="s">
        <v>3068</v>
      </c>
      <c r="H80" s="25" t="s">
        <v>3069</v>
      </c>
      <c r="I80" s="25" t="s">
        <v>1324</v>
      </c>
      <c r="J80" s="25" t="s">
        <v>2978</v>
      </c>
      <c r="K80">
        <v>401</v>
      </c>
      <c r="L80" t="str">
        <f>VLOOKUP(K80,FAO_Sp!$A$2:$B$109,2,0)</f>
        <v>Chillies and peppers, green</v>
      </c>
      <c r="M80" t="str">
        <f>VLOOKUP(B80,Names_biomass!$A$2:$B$169,2,0)</f>
        <v>Peppers_green</v>
      </c>
    </row>
    <row r="81" spans="1:13" x14ac:dyDescent="0.3">
      <c r="A81" s="79" t="s">
        <v>3070</v>
      </c>
      <c r="B81" s="73" t="str">
        <f>VLOOKUP(A81,Names_Lab!$A$2:$B$198,2,0)</f>
        <v>Leek</v>
      </c>
      <c r="C81" s="78" t="s">
        <v>1559</v>
      </c>
      <c r="D81" s="77">
        <v>439</v>
      </c>
      <c r="E81" s="76"/>
      <c r="F81" s="75" t="s">
        <v>3071</v>
      </c>
      <c r="G81" t="s">
        <v>3071</v>
      </c>
      <c r="H81" t="s">
        <v>3072</v>
      </c>
      <c r="I81" t="s">
        <v>1696</v>
      </c>
      <c r="J81" t="s">
        <v>2978</v>
      </c>
      <c r="K81">
        <f>INDEX([7]Coefs!$A$3:$A$234,MATCH($B81,[7]Coefs!$B$3:$B$234,0))</f>
        <v>407</v>
      </c>
      <c r="L81" t="str">
        <f>VLOOKUP(K81,FAO_Sp!$A$2:$B$109,2,0)</f>
        <v>Leeks, other alliaceous vegetables</v>
      </c>
      <c r="M81" t="str">
        <f>VLOOKUP(B81,Names_biomass!$A$2:$B$169,2,0)</f>
        <v>Leeks</v>
      </c>
    </row>
    <row r="82" spans="1:13" s="25" customFormat="1" x14ac:dyDescent="0.3">
      <c r="A82" s="74" t="s">
        <v>3073</v>
      </c>
      <c r="B82" s="73" t="str">
        <f>VLOOKUP(A82,Names_Lab!$A$2:$B$198,2,0)</f>
        <v>Beet</v>
      </c>
      <c r="C82" s="69" t="s">
        <v>1559</v>
      </c>
      <c r="D82" s="71">
        <v>440</v>
      </c>
      <c r="E82" s="67">
        <v>440</v>
      </c>
      <c r="F82" s="70" t="s">
        <v>3074</v>
      </c>
      <c r="G82" s="25" t="s">
        <v>3075</v>
      </c>
      <c r="H82" s="25" t="s">
        <v>3076</v>
      </c>
      <c r="I82" s="25" t="s">
        <v>3077</v>
      </c>
      <c r="J82" s="25" t="s">
        <v>2978</v>
      </c>
      <c r="K82">
        <v>463</v>
      </c>
      <c r="L82" t="str">
        <f>VLOOKUP(K82,FAO_Sp!$A$2:$B$109,2,0)</f>
        <v>Vegetables, fresh nes</v>
      </c>
      <c r="M82" t="str">
        <f>VLOOKUP(B82,Names_biomass!$A$2:$B$169,2,0)</f>
        <v>Vegetables_nes</v>
      </c>
    </row>
    <row r="83" spans="1:13" s="25" customFormat="1" x14ac:dyDescent="0.3">
      <c r="A83" s="74" t="s">
        <v>3078</v>
      </c>
      <c r="B83" s="73" t="str">
        <f>VLOOKUP(A83,Names_Lab!$A$2:$B$198,2,0)</f>
        <v>Watermelon</v>
      </c>
      <c r="C83" s="69" t="s">
        <v>1559</v>
      </c>
      <c r="D83" s="71">
        <v>441</v>
      </c>
      <c r="E83" s="67">
        <v>441</v>
      </c>
      <c r="F83" s="70" t="s">
        <v>3079</v>
      </c>
      <c r="G83" s="25" t="s">
        <v>3079</v>
      </c>
      <c r="H83" s="25" t="s">
        <v>3080</v>
      </c>
      <c r="I83" s="25" t="s">
        <v>1741</v>
      </c>
      <c r="J83" s="25" t="s">
        <v>2978</v>
      </c>
      <c r="K83">
        <f>INDEX([7]Coefs!$A$3:$A$234,MATCH($B83,[7]Coefs!$B$3:$B$234,0))</f>
        <v>567</v>
      </c>
      <c r="L83" t="str">
        <f>VLOOKUP(K83,FAO_Sp!$A$2:$B$109,2,0)</f>
        <v>Watermelons</v>
      </c>
      <c r="M83" t="str">
        <f>VLOOKUP(B83,Names_biomass!$A$2:$B$169,2,0)</f>
        <v>Watermelons</v>
      </c>
    </row>
    <row r="84" spans="1:13" s="25" customFormat="1" x14ac:dyDescent="0.3">
      <c r="A84" s="74" t="s">
        <v>3081</v>
      </c>
      <c r="B84" s="73" t="str">
        <f>VLOOKUP(A84,Names_Lab!$A$2:$B$198,2,0)</f>
        <v>Tomato</v>
      </c>
      <c r="C84" s="69" t="s">
        <v>1559</v>
      </c>
      <c r="D84" s="71">
        <v>442</v>
      </c>
      <c r="E84" s="67">
        <v>442</v>
      </c>
      <c r="F84" s="70" t="s">
        <v>3081</v>
      </c>
      <c r="G84" s="25" t="s">
        <v>3081</v>
      </c>
      <c r="H84" s="25" t="s">
        <v>3082</v>
      </c>
      <c r="I84" s="25" t="s">
        <v>1680</v>
      </c>
      <c r="J84" s="25" t="s">
        <v>2978</v>
      </c>
      <c r="K84">
        <f>INDEX([7]Coefs!$A$3:$A$234,MATCH($B84,[7]Coefs!$B$3:$B$234,0))</f>
        <v>388</v>
      </c>
      <c r="L84" t="str">
        <f>VLOOKUP(K84,FAO_Sp!$A$2:$B$109,2,0)</f>
        <v>Tomatoes</v>
      </c>
      <c r="M84" t="str">
        <f>VLOOKUP(B84,Names_biomass!$A$2:$B$169,2,0)</f>
        <v>Tomatoes</v>
      </c>
    </row>
    <row r="85" spans="1:13" s="25" customFormat="1" x14ac:dyDescent="0.3">
      <c r="A85" s="74" t="s">
        <v>3083</v>
      </c>
      <c r="B85" s="73" t="str">
        <f>VLOOKUP(A85,Names_Lab!$A$2:$B$198,2,0)</f>
        <v>Carrot</v>
      </c>
      <c r="C85" s="69" t="s">
        <v>1559</v>
      </c>
      <c r="D85" s="71">
        <v>443</v>
      </c>
      <c r="E85" s="67">
        <v>443</v>
      </c>
      <c r="F85" s="70" t="s">
        <v>3083</v>
      </c>
      <c r="G85" s="25" t="s">
        <v>3083</v>
      </c>
      <c r="H85" s="25" t="s">
        <v>3084</v>
      </c>
      <c r="I85" s="25" t="s">
        <v>1703</v>
      </c>
      <c r="J85" s="25" t="s">
        <v>2978</v>
      </c>
      <c r="K85">
        <f>INDEX([7]Coefs!$A$3:$A$234,MATCH($B85,[7]Coefs!$B$3:$B$234,0))</f>
        <v>426</v>
      </c>
      <c r="L85" t="str">
        <f>VLOOKUP(K85,FAO_Sp!$A$2:$B$109,2,0)</f>
        <v>Carrots and turnips</v>
      </c>
      <c r="M85" t="str">
        <f>VLOOKUP(B85,Names_biomass!$A$2:$B$169,2,0)</f>
        <v>Carrots_turnips</v>
      </c>
    </row>
    <row r="86" spans="1:13" x14ac:dyDescent="0.3">
      <c r="B86" s="68" t="s">
        <v>1677</v>
      </c>
      <c r="C86" s="78" t="s">
        <v>1559</v>
      </c>
      <c r="D86" s="77">
        <v>444</v>
      </c>
      <c r="E86" s="76"/>
      <c r="F86" s="75"/>
      <c r="H86" t="s">
        <v>1552</v>
      </c>
      <c r="I86" t="s">
        <v>1552</v>
      </c>
      <c r="J86" t="s">
        <v>2978</v>
      </c>
      <c r="K86">
        <f>INDEX([7]Coefs!$A$3:$A$234,MATCH($B86,[7]Coefs!$B$3:$B$234,0))</f>
        <v>463</v>
      </c>
      <c r="L86" t="str">
        <f>VLOOKUP(K86,FAO_Sp!$A$2:$B$109,2,0)</f>
        <v>Vegetables, fresh nes</v>
      </c>
      <c r="M86" t="str">
        <f>VLOOKUP(B86,Names_biomass!$A$2:$B$169,2,0)</f>
        <v>Vegetables_nes</v>
      </c>
    </row>
    <row r="87" spans="1:13" x14ac:dyDescent="0.3">
      <c r="B87" s="68" t="s">
        <v>1740</v>
      </c>
      <c r="C87" s="78" t="s">
        <v>1740</v>
      </c>
      <c r="D87" s="84">
        <v>60</v>
      </c>
      <c r="E87" s="83"/>
      <c r="F87" s="82" t="s">
        <v>3085</v>
      </c>
      <c r="H87" t="s">
        <v>1552</v>
      </c>
      <c r="I87" t="s">
        <v>1552</v>
      </c>
      <c r="J87" t="s">
        <v>3085</v>
      </c>
      <c r="K87">
        <f>INDEX([7]Coefs!$A$3:$A$234,MATCH($B87,[7]Coefs!$B$3:$B$234,0))</f>
        <v>560</v>
      </c>
      <c r="L87" t="str">
        <f>VLOOKUP(K87,FAO_Sp!$A$2:$B$109,2,0)</f>
        <v>Grapes</v>
      </c>
      <c r="M87" t="str">
        <f>VLOOKUP(B87,Names_biomass!$A$2:$B$169,2,0)</f>
        <v>Grapes</v>
      </c>
    </row>
    <row r="88" spans="1:13" x14ac:dyDescent="0.3">
      <c r="A88" s="79" t="s">
        <v>3086</v>
      </c>
      <c r="B88" s="73" t="str">
        <f>VLOOKUP(A88,Names_Lab!$A$2:$B$198,2,0)</f>
        <v>Grapevine</v>
      </c>
      <c r="C88" s="78" t="s">
        <v>1740</v>
      </c>
      <c r="D88" s="77">
        <v>600</v>
      </c>
      <c r="E88" s="76"/>
      <c r="F88" s="75" t="s">
        <v>3087</v>
      </c>
      <c r="H88" t="s">
        <v>1552</v>
      </c>
      <c r="I88" t="s">
        <v>1552</v>
      </c>
      <c r="J88" t="s">
        <v>3085</v>
      </c>
      <c r="K88">
        <f>INDEX([7]Coefs!$A$3:$A$234,MATCH($B88,[7]Coefs!$B$3:$B$234,0))</f>
        <v>560</v>
      </c>
      <c r="L88" t="str">
        <f>VLOOKUP(K88,FAO_Sp!$A$2:$B$109,2,0)</f>
        <v>Grapes</v>
      </c>
      <c r="M88" t="str">
        <f>VLOOKUP(B88,Names_biomass!$A$2:$B$169,2,0)</f>
        <v>Grapes</v>
      </c>
    </row>
    <row r="89" spans="1:13" s="25" customFormat="1" x14ac:dyDescent="0.3">
      <c r="A89" s="74" t="s">
        <v>3088</v>
      </c>
      <c r="B89" s="73" t="str">
        <f>VLOOKUP(A89,Names_Lab!$A$2:$B$198,2,0)</f>
        <v>Grapevine</v>
      </c>
      <c r="C89" s="69" t="s">
        <v>1740</v>
      </c>
      <c r="D89" s="71">
        <v>601</v>
      </c>
      <c r="E89" s="67">
        <v>605</v>
      </c>
      <c r="F89" s="70" t="s">
        <v>3089</v>
      </c>
      <c r="G89" s="25" t="s">
        <v>3090</v>
      </c>
      <c r="H89" s="25" t="s">
        <v>3091</v>
      </c>
      <c r="I89" s="25" t="s">
        <v>3092</v>
      </c>
      <c r="J89" s="25" t="s">
        <v>3085</v>
      </c>
      <c r="K89">
        <f>INDEX([7]Coefs!$A$3:$A$234,MATCH($B89,[7]Coefs!$B$3:$B$234,0))</f>
        <v>560</v>
      </c>
      <c r="L89" t="str">
        <f>VLOOKUP(K89,FAO_Sp!$A$2:$B$109,2,0)</f>
        <v>Grapes</v>
      </c>
      <c r="M89" t="str">
        <f>VLOOKUP(B89,Names_biomass!$A$2:$B$169,2,0)</f>
        <v>Grapes</v>
      </c>
    </row>
    <row r="90" spans="1:13" x14ac:dyDescent="0.3">
      <c r="A90" s="79" t="s">
        <v>3093</v>
      </c>
      <c r="B90" s="73" t="str">
        <f>VLOOKUP(A90,Names_Lab!$A$2:$B$198,2,0)</f>
        <v>Grapevine</v>
      </c>
      <c r="C90" s="91" t="s">
        <v>1740</v>
      </c>
      <c r="D90" s="90">
        <v>602</v>
      </c>
      <c r="E90" s="89" t="s">
        <v>3094</v>
      </c>
      <c r="F90" s="88" t="s">
        <v>3095</v>
      </c>
      <c r="G90" t="s">
        <v>3096</v>
      </c>
      <c r="H90" t="s">
        <v>3097</v>
      </c>
      <c r="I90" t="s">
        <v>3098</v>
      </c>
      <c r="J90" t="s">
        <v>3085</v>
      </c>
      <c r="K90">
        <f>INDEX([7]Coefs!$A$3:$A$234,MATCH($B90,[7]Coefs!$B$3:$B$234,0))</f>
        <v>560</v>
      </c>
      <c r="L90" t="str">
        <f>VLOOKUP(K90,FAO_Sp!$A$2:$B$109,2,0)</f>
        <v>Grapes</v>
      </c>
      <c r="M90" t="str">
        <f>VLOOKUP(B90,Names_biomass!$A$2:$B$169,2,0)</f>
        <v>Grapes</v>
      </c>
    </row>
    <row r="91" spans="1:13" s="25" customFormat="1" x14ac:dyDescent="0.3">
      <c r="A91" s="74"/>
      <c r="B91" s="68" t="s">
        <v>1740</v>
      </c>
      <c r="C91" s="69" t="s">
        <v>1740</v>
      </c>
      <c r="D91" s="71"/>
      <c r="E91" s="67">
        <v>601</v>
      </c>
      <c r="F91" s="70" t="s">
        <v>3095</v>
      </c>
      <c r="J91" s="25" t="s">
        <v>3085</v>
      </c>
      <c r="K91">
        <f>INDEX([7]Coefs!$A$3:$A$234,MATCH($B91,[7]Coefs!$B$3:$B$234,0))</f>
        <v>560</v>
      </c>
      <c r="L91" t="str">
        <f>VLOOKUP(K91,FAO_Sp!$A$2:$B$109,2,0)</f>
        <v>Grapes</v>
      </c>
      <c r="M91" t="str">
        <f>VLOOKUP(B91,Names_biomass!$A$2:$B$169,2,0)</f>
        <v>Grapes</v>
      </c>
    </row>
    <row r="92" spans="1:13" s="25" customFormat="1" x14ac:dyDescent="0.3">
      <c r="A92" s="74"/>
      <c r="B92" s="68" t="s">
        <v>1740</v>
      </c>
      <c r="C92" s="69" t="s">
        <v>1740</v>
      </c>
      <c r="D92" s="71"/>
      <c r="E92" s="67">
        <v>602</v>
      </c>
      <c r="F92" s="70" t="s">
        <v>3099</v>
      </c>
      <c r="J92" s="25" t="s">
        <v>3085</v>
      </c>
      <c r="K92">
        <f>INDEX([7]Coefs!$A$3:$A$234,MATCH($B92,[7]Coefs!$B$3:$B$234,0))</f>
        <v>560</v>
      </c>
      <c r="L92" t="str">
        <f>VLOOKUP(K92,FAO_Sp!$A$2:$B$109,2,0)</f>
        <v>Grapes</v>
      </c>
      <c r="M92" t="str">
        <f>VLOOKUP(B92,Names_biomass!$A$2:$B$169,2,0)</f>
        <v>Grapes</v>
      </c>
    </row>
    <row r="93" spans="1:13" s="25" customFormat="1" x14ac:dyDescent="0.3">
      <c r="A93" s="74"/>
      <c r="B93" s="68" t="s">
        <v>1740</v>
      </c>
      <c r="C93" s="69" t="s">
        <v>1740</v>
      </c>
      <c r="D93" s="71">
        <v>603</v>
      </c>
      <c r="E93" s="67">
        <v>603</v>
      </c>
      <c r="F93" s="70" t="s">
        <v>3100</v>
      </c>
      <c r="H93" s="25" t="s">
        <v>1552</v>
      </c>
      <c r="I93" s="25" t="s">
        <v>1552</v>
      </c>
      <c r="J93" s="25" t="s">
        <v>3085</v>
      </c>
      <c r="K93">
        <f>INDEX([7]Coefs!$A$3:$A$234,MATCH($B93,[7]Coefs!$B$3:$B$234,0))</f>
        <v>560</v>
      </c>
      <c r="L93" t="str">
        <f>VLOOKUP(K93,FAO_Sp!$A$2:$B$109,2,0)</f>
        <v>Grapes</v>
      </c>
      <c r="M93" t="str">
        <f>VLOOKUP(B93,Names_biomass!$A$2:$B$169,2,0)</f>
        <v>Grapes</v>
      </c>
    </row>
    <row r="94" spans="1:13" s="25" customFormat="1" x14ac:dyDescent="0.3">
      <c r="A94" s="74"/>
      <c r="B94" s="68" t="s">
        <v>1740</v>
      </c>
      <c r="C94" s="69" t="s">
        <v>1740</v>
      </c>
      <c r="D94" s="71">
        <v>604</v>
      </c>
      <c r="E94" s="67">
        <v>604</v>
      </c>
      <c r="F94" s="70"/>
      <c r="H94" s="25" t="s">
        <v>1552</v>
      </c>
      <c r="I94" s="25" t="s">
        <v>1552</v>
      </c>
      <c r="J94" s="25" t="s">
        <v>3085</v>
      </c>
      <c r="K94">
        <f>INDEX([7]Coefs!$A$3:$A$234,MATCH($B94,[7]Coefs!$B$3:$B$234,0))</f>
        <v>560</v>
      </c>
      <c r="L94" t="str">
        <f>VLOOKUP(K94,FAO_Sp!$A$2:$B$109,2,0)</f>
        <v>Grapes</v>
      </c>
      <c r="M94" t="str">
        <f>VLOOKUP(B94,Names_biomass!$A$2:$B$169,2,0)</f>
        <v>Grapes</v>
      </c>
    </row>
    <row r="95" spans="1:13" x14ac:dyDescent="0.3">
      <c r="A95" s="79" t="s">
        <v>3101</v>
      </c>
      <c r="B95" s="68" t="s">
        <v>1607</v>
      </c>
      <c r="C95" s="78" t="s">
        <v>1607</v>
      </c>
      <c r="D95" s="84">
        <v>50</v>
      </c>
      <c r="E95" s="83"/>
      <c r="F95" s="82" t="s">
        <v>3102</v>
      </c>
      <c r="H95" t="s">
        <v>1552</v>
      </c>
      <c r="I95" t="s">
        <v>1552</v>
      </c>
      <c r="J95" t="s">
        <v>3102</v>
      </c>
      <c r="K95">
        <f>INDEX([7]Coefs!$A$3:$A$234,MATCH($B95,[7]Coefs!$B$3:$B$234,0))</f>
        <v>619</v>
      </c>
      <c r="L95" t="str">
        <f>VLOOKUP(K95,FAO_Sp!$A$2:$B$109,2,0)</f>
        <v>Fruit, fresh nes</v>
      </c>
      <c r="M95" t="str">
        <f>VLOOKUP(B95,Names_biomass!$A$2:$B$169,2,0)</f>
        <v>Fruits_nes</v>
      </c>
    </row>
    <row r="96" spans="1:13" x14ac:dyDescent="0.3">
      <c r="A96" s="79" t="s">
        <v>3103</v>
      </c>
      <c r="B96" s="73" t="str">
        <f>VLOOKUP(A96,Names_Lab!$A$2:$B$198,2,0)</f>
        <v>Fruits</v>
      </c>
      <c r="C96" s="78" t="s">
        <v>1607</v>
      </c>
      <c r="D96" s="77">
        <v>500</v>
      </c>
      <c r="E96" s="76"/>
      <c r="F96" s="75" t="s">
        <v>3104</v>
      </c>
      <c r="H96" t="s">
        <v>1552</v>
      </c>
      <c r="I96" t="s">
        <v>1552</v>
      </c>
      <c r="J96" t="s">
        <v>3102</v>
      </c>
      <c r="K96">
        <f>INDEX([7]Coefs!$A$3:$A$234,MATCH($B96,[7]Coefs!$B$3:$B$234,0))</f>
        <v>619</v>
      </c>
      <c r="L96" t="str">
        <f>VLOOKUP(K96,FAO_Sp!$A$2:$B$109,2,0)</f>
        <v>Fruit, fresh nes</v>
      </c>
      <c r="M96" t="str">
        <f>VLOOKUP(B96,Names_biomass!$A$2:$B$169,2,0)</f>
        <v>Fruits_nes</v>
      </c>
    </row>
    <row r="97" spans="1:13" s="25" customFormat="1" x14ac:dyDescent="0.3">
      <c r="A97" s="74" t="s">
        <v>3105</v>
      </c>
      <c r="B97" s="73" t="str">
        <f>VLOOKUP(A97,Names_Lab!$A$2:$B$198,2,0)</f>
        <v>Avocado</v>
      </c>
      <c r="C97" s="69" t="s">
        <v>1607</v>
      </c>
      <c r="D97" s="71">
        <v>501</v>
      </c>
      <c r="E97" s="67">
        <v>501</v>
      </c>
      <c r="F97" s="70" t="s">
        <v>3106</v>
      </c>
      <c r="G97" s="25" t="s">
        <v>3106</v>
      </c>
      <c r="H97" s="25" t="s">
        <v>3107</v>
      </c>
      <c r="I97" s="25" t="s">
        <v>1746</v>
      </c>
      <c r="J97" s="25" t="s">
        <v>3102</v>
      </c>
      <c r="K97">
        <f>INDEX([7]Coefs!$A$3:$A$234,MATCH($B97,[7]Coefs!$B$3:$B$234,0))</f>
        <v>572</v>
      </c>
      <c r="L97" t="str">
        <f>VLOOKUP(K97,FAO_Sp!$A$2:$B$109,2,0)</f>
        <v>Avocados</v>
      </c>
      <c r="M97" t="str">
        <f>VLOOKUP(B97,Names_biomass!$A$2:$B$169,2,0)</f>
        <v>Avocados</v>
      </c>
    </row>
    <row r="98" spans="1:13" s="25" customFormat="1" x14ac:dyDescent="0.3">
      <c r="A98" s="74" t="s">
        <v>3108</v>
      </c>
      <c r="B98" s="73" t="str">
        <f>VLOOKUP(A98,Names_Lab!$A$2:$B$198,2,0)</f>
        <v>Apricot</v>
      </c>
      <c r="C98" s="69" t="s">
        <v>1607</v>
      </c>
      <c r="D98" s="71">
        <v>502</v>
      </c>
      <c r="E98" s="67">
        <v>502</v>
      </c>
      <c r="F98" s="70" t="s">
        <v>3109</v>
      </c>
      <c r="G98" s="25" t="s">
        <v>3110</v>
      </c>
      <c r="H98" s="25" t="s">
        <v>3111</v>
      </c>
      <c r="I98" s="25" t="s">
        <v>1729</v>
      </c>
      <c r="J98" s="25" t="s">
        <v>3102</v>
      </c>
      <c r="K98">
        <f>INDEX([7]Coefs!$A$3:$A$234,MATCH($B98,[7]Coefs!$B$3:$B$234,0))</f>
        <v>526</v>
      </c>
      <c r="L98" t="str">
        <f>VLOOKUP(K98,FAO_Sp!$A$2:$B$109,2,0)</f>
        <v>Apricots</v>
      </c>
      <c r="M98" t="str">
        <f>VLOOKUP(B98,Names_biomass!$A$2:$B$169,2,0)</f>
        <v>Apricots</v>
      </c>
    </row>
    <row r="99" spans="1:13" s="25" customFormat="1" x14ac:dyDescent="0.3">
      <c r="A99" s="74" t="s">
        <v>3112</v>
      </c>
      <c r="B99" s="73" t="str">
        <f>VLOOKUP(A99,Names_Lab!$A$2:$B$198,2,0)</f>
        <v>Carob</v>
      </c>
      <c r="C99" s="69" t="s">
        <v>1606</v>
      </c>
      <c r="D99" s="71">
        <v>503</v>
      </c>
      <c r="E99" s="67">
        <v>503</v>
      </c>
      <c r="F99" s="70" t="s">
        <v>3112</v>
      </c>
      <c r="G99" s="25" t="s">
        <v>3112</v>
      </c>
      <c r="H99" s="25" t="s">
        <v>3113</v>
      </c>
      <c r="I99" s="25" t="s">
        <v>3114</v>
      </c>
      <c r="J99" s="25" t="s">
        <v>3115</v>
      </c>
      <c r="K99">
        <f>INDEX([7]Coefs!$A$3:$A$234,MATCH($B99,[7]Coefs!$B$3:$B$234,0))</f>
        <v>461</v>
      </c>
      <c r="L99" t="str">
        <f>VLOOKUP(K99,FAO_Sp!$A$2:$B$109,2,0)</f>
        <v>Carobs</v>
      </c>
      <c r="M99" t="str">
        <f>VLOOKUP(B99,Names_biomass!$A$2:$B$169,2,0)</f>
        <v>Carobs</v>
      </c>
    </row>
    <row r="100" spans="1:13" s="25" customFormat="1" x14ac:dyDescent="0.3">
      <c r="A100" s="74" t="s">
        <v>3116</v>
      </c>
      <c r="B100" s="73" t="str">
        <f>VLOOKUP(A100,Names_Lab!$A$2:$B$198,2,0)</f>
        <v>Almonds</v>
      </c>
      <c r="C100" s="69" t="s">
        <v>1606</v>
      </c>
      <c r="D100" s="71">
        <v>504</v>
      </c>
      <c r="E100" s="67">
        <v>504</v>
      </c>
      <c r="F100" s="70" t="s">
        <v>3117</v>
      </c>
      <c r="G100" s="25" t="s">
        <v>3118</v>
      </c>
      <c r="H100" s="25" t="s">
        <v>3119</v>
      </c>
      <c r="I100" s="25" t="s">
        <v>3120</v>
      </c>
      <c r="J100" s="25" t="s">
        <v>3115</v>
      </c>
      <c r="K100">
        <f>INDEX([7]Coefs!$A$3:$A$234,MATCH($B100,[7]Coefs!$B$3:$B$234,0))</f>
        <v>221</v>
      </c>
      <c r="L100" t="str">
        <f>VLOOKUP(K100,FAO_Sp!$A$2:$B$109,2,0)</f>
        <v>Almonds, with shell</v>
      </c>
      <c r="M100" t="str">
        <f>VLOOKUP(B100,Names_biomass!$A$2:$B$169,2,0)</f>
        <v>Almonds</v>
      </c>
    </row>
    <row r="101" spans="1:13" x14ac:dyDescent="0.3">
      <c r="A101" s="86" t="s">
        <v>3121</v>
      </c>
      <c r="B101" s="85" t="s">
        <v>1254</v>
      </c>
      <c r="C101" s="78" t="s">
        <v>1607</v>
      </c>
      <c r="D101" s="96"/>
      <c r="E101" s="95"/>
      <c r="F101" s="94"/>
      <c r="G101" s="2"/>
      <c r="H101" s="2"/>
      <c r="I101" s="12" t="str">
        <f>B101</f>
        <v>Blueberries</v>
      </c>
      <c r="J101" t="s">
        <v>3102</v>
      </c>
      <c r="K101">
        <f>INDEX([7]Coefs!$A$3:$A$234,MATCH($B101,[7]Coefs!$B$3:$B$234,0))</f>
        <v>552</v>
      </c>
      <c r="L101" t="str">
        <f>VLOOKUP(K101,FAO_Sp!$A$2:$B$109,2,0)</f>
        <v>Blueberries</v>
      </c>
      <c r="M101" t="str">
        <f>VLOOKUP(B101,Names_biomass!$A$2:$B$169,2,0)</f>
        <v>Berries</v>
      </c>
    </row>
    <row r="102" spans="1:13" x14ac:dyDescent="0.3">
      <c r="A102" s="86" t="s">
        <v>3122</v>
      </c>
      <c r="B102" s="85" t="s">
        <v>1255</v>
      </c>
      <c r="C102" s="78" t="s">
        <v>1607</v>
      </c>
      <c r="D102" s="96"/>
      <c r="E102" s="95"/>
      <c r="F102" s="94"/>
      <c r="G102" s="2"/>
      <c r="H102" s="2"/>
      <c r="I102" s="12" t="str">
        <f>B102</f>
        <v>Cranberries</v>
      </c>
      <c r="J102" t="s">
        <v>3102</v>
      </c>
      <c r="K102">
        <f>INDEX([7]Coefs!$A$3:$A$234,MATCH($B102,[7]Coefs!$B$3:$B$234,0))</f>
        <v>554</v>
      </c>
      <c r="L102" t="str">
        <f>VLOOKUP(K102,FAO_Sp!$A$2:$B$109,2,0)</f>
        <v>Cranberries</v>
      </c>
      <c r="M102" t="str">
        <f>VLOOKUP(B102,Names_biomass!$A$2:$B$169,2,0)</f>
        <v>Berries</v>
      </c>
    </row>
    <row r="103" spans="1:13" x14ac:dyDescent="0.3">
      <c r="A103" s="86" t="s">
        <v>3123</v>
      </c>
      <c r="B103" s="85" t="s">
        <v>1253</v>
      </c>
      <c r="C103" s="78" t="s">
        <v>1607</v>
      </c>
      <c r="D103" s="96"/>
      <c r="E103" s="95"/>
      <c r="F103" s="94"/>
      <c r="G103" s="2"/>
      <c r="H103" s="2"/>
      <c r="I103" s="12"/>
      <c r="J103" t="s">
        <v>3102</v>
      </c>
      <c r="K103">
        <f>INDEX([7]Coefs!$A$3:$A$234,MATCH($B103,[7]Coefs!$B$3:$B$234,0))</f>
        <v>550</v>
      </c>
      <c r="L103" t="str">
        <f>VLOOKUP(K103,FAO_Sp!$A$2:$B$109,2,0)</f>
        <v>Currants</v>
      </c>
      <c r="M103" t="str">
        <f>VLOOKUP(B103,Names_biomass!$A$2:$B$169,2,0)</f>
        <v>Berries</v>
      </c>
    </row>
    <row r="104" spans="1:13" x14ac:dyDescent="0.3">
      <c r="A104" s="86" t="s">
        <v>3124</v>
      </c>
      <c r="B104" s="85" t="s">
        <v>1252</v>
      </c>
      <c r="C104" s="78" t="s">
        <v>1607</v>
      </c>
      <c r="D104" s="96"/>
      <c r="E104" s="95"/>
      <c r="F104" s="94"/>
      <c r="G104" s="2"/>
      <c r="H104" s="2"/>
      <c r="I104" s="12"/>
      <c r="J104" t="s">
        <v>3102</v>
      </c>
      <c r="K104">
        <f>INDEX([7]Coefs!$A$3:$A$234,MATCH($B104,[7]Coefs!$B$3:$B$234,0))</f>
        <v>549</v>
      </c>
      <c r="L104" t="str">
        <f>VLOOKUP(K104,FAO_Sp!$A$2:$B$109,2,0)</f>
        <v>Gooseberries</v>
      </c>
      <c r="M104" t="str">
        <f>VLOOKUP(B104,Names_biomass!$A$2:$B$169,2,0)</f>
        <v>Berries</v>
      </c>
    </row>
    <row r="105" spans="1:13" s="25" customFormat="1" x14ac:dyDescent="0.3">
      <c r="A105" s="74" t="s">
        <v>3125</v>
      </c>
      <c r="B105" s="73" t="str">
        <f>VLOOKUP(A105,Names_Lab!$A$2:$B$198,2,0)</f>
        <v>Hazelnut</v>
      </c>
      <c r="C105" s="69" t="s">
        <v>1606</v>
      </c>
      <c r="D105" s="71">
        <v>506</v>
      </c>
      <c r="E105" s="67">
        <v>506</v>
      </c>
      <c r="F105" s="70" t="s">
        <v>3126</v>
      </c>
      <c r="G105" s="25" t="s">
        <v>3126</v>
      </c>
      <c r="H105" s="25" t="s">
        <v>3127</v>
      </c>
      <c r="I105" s="25" t="s">
        <v>2186</v>
      </c>
      <c r="J105" s="25" t="s">
        <v>3115</v>
      </c>
      <c r="K105">
        <f>INDEX([7]Coefs!$A$3:$A$234,MATCH($B105,[7]Coefs!$B$3:$B$234,0))</f>
        <v>225</v>
      </c>
      <c r="L105" t="str">
        <f>VLOOKUP(K105,FAO_Sp!$A$2:$B$109,2,0)</f>
        <v>Hazelnuts, with shell</v>
      </c>
      <c r="M105" t="str">
        <f>VLOOKUP(B105,Names_biomass!$A$2:$B$169,2,0)</f>
        <v>Hazelnuts</v>
      </c>
    </row>
    <row r="106" spans="1:13" x14ac:dyDescent="0.3">
      <c r="A106" s="79" t="s">
        <v>3128</v>
      </c>
      <c r="B106" s="73" t="str">
        <f>VLOOKUP(A106,Names_Lab!$A$2:$B$198,2,0)</f>
        <v>Fruits</v>
      </c>
      <c r="C106" s="78" t="s">
        <v>1607</v>
      </c>
      <c r="D106" s="77">
        <v>507</v>
      </c>
      <c r="E106" s="76"/>
      <c r="F106" s="75" t="s">
        <v>3129</v>
      </c>
      <c r="H106" t="s">
        <v>1552</v>
      </c>
      <c r="I106" t="s">
        <v>3130</v>
      </c>
      <c r="J106" t="s">
        <v>3102</v>
      </c>
      <c r="K106">
        <f>INDEX([7]Coefs!$A$3:$A$234,MATCH($B106,[7]Coefs!$B$3:$B$234,0))</f>
        <v>619</v>
      </c>
      <c r="L106" t="str">
        <f>VLOOKUP(K106,FAO_Sp!$A$2:$B$109,2,0)</f>
        <v>Fruit, fresh nes</v>
      </c>
      <c r="M106" t="str">
        <f>VLOOKUP(B106,Names_biomass!$A$2:$B$169,2,0)</f>
        <v>Fruits_nes</v>
      </c>
    </row>
    <row r="107" spans="1:13" x14ac:dyDescent="0.3">
      <c r="A107" s="79" t="s">
        <v>3131</v>
      </c>
      <c r="B107" s="73" t="str">
        <f>VLOOKUP(A107,Names_Lab!$A$2:$B$198,2,0)</f>
        <v>Coffee</v>
      </c>
      <c r="C107" s="78" t="s">
        <v>1607</v>
      </c>
      <c r="D107" s="77">
        <v>509</v>
      </c>
      <c r="E107" s="76"/>
      <c r="F107" s="75" t="s">
        <v>3132</v>
      </c>
      <c r="H107" t="s">
        <v>1552</v>
      </c>
      <c r="I107" s="12" t="str">
        <f>B107</f>
        <v>Coffee</v>
      </c>
      <c r="J107" t="s">
        <v>3102</v>
      </c>
      <c r="K107">
        <f>INDEX([7]Coefs!$A$3:$A$234,MATCH($B107,[7]Coefs!$B$3:$B$234,0))</f>
        <v>656</v>
      </c>
      <c r="L107" t="str">
        <f>VLOOKUP(K107,FAO_Sp!$A$2:$B$109,2,0)</f>
        <v>Coffee, green</v>
      </c>
      <c r="M107" t="str">
        <f>VLOOKUP(B107,Names_biomass!$A$2:$B$169,2,0)</f>
        <v>Woody_other</v>
      </c>
    </row>
    <row r="108" spans="1:13" x14ac:dyDescent="0.3">
      <c r="A108" s="79" t="s">
        <v>3133</v>
      </c>
      <c r="B108" s="73" t="str">
        <f>VLOOKUP(A108,Names_Lab!$A$2:$B$198,2,0)</f>
        <v>Persimmon</v>
      </c>
      <c r="C108" s="78" t="s">
        <v>1607</v>
      </c>
      <c r="D108" s="77">
        <v>510</v>
      </c>
      <c r="E108" s="76"/>
      <c r="F108" s="75" t="s">
        <v>3134</v>
      </c>
      <c r="H108" t="s">
        <v>1552</v>
      </c>
      <c r="I108" s="12" t="str">
        <f>B108</f>
        <v>Persimmon</v>
      </c>
      <c r="J108" t="s">
        <v>3102</v>
      </c>
      <c r="K108">
        <f>INDEX([7]Coefs!$A$3:$A$234,MATCH($B108,[7]Coefs!$B$3:$B$234,0))</f>
        <v>587</v>
      </c>
      <c r="L108" t="str">
        <f>VLOOKUP(K108,FAO_Sp!$A$2:$B$109,2,0)</f>
        <v>Persimmons</v>
      </c>
      <c r="M108" t="str">
        <f>VLOOKUP(B108,Names_biomass!$A$2:$B$169,2,0)</f>
        <v>Persimmons</v>
      </c>
    </row>
    <row r="109" spans="1:13" s="25" customFormat="1" x14ac:dyDescent="0.3">
      <c r="A109" s="74" t="s">
        <v>3135</v>
      </c>
      <c r="B109" s="73" t="str">
        <f>VLOOKUP(A109,Names_Lab!$A$2:$B$198,2,0)</f>
        <v>Chestnut</v>
      </c>
      <c r="C109" s="69" t="s">
        <v>1606</v>
      </c>
      <c r="D109" s="71">
        <v>511</v>
      </c>
      <c r="E109" s="67">
        <v>511</v>
      </c>
      <c r="F109" s="70" t="s">
        <v>3136</v>
      </c>
      <c r="H109" s="25" t="s">
        <v>1552</v>
      </c>
      <c r="I109" s="93" t="str">
        <f>B109</f>
        <v>Chestnut</v>
      </c>
      <c r="J109" s="25" t="s">
        <v>3115</v>
      </c>
      <c r="K109">
        <f>INDEX([7]Coefs!$A$3:$A$234,MATCH($B109,[7]Coefs!$B$3:$B$234,0))</f>
        <v>220</v>
      </c>
      <c r="L109" t="str">
        <f>VLOOKUP(K109,FAO_Sp!$A$2:$B$109,2,0)</f>
        <v>Chestnut</v>
      </c>
      <c r="M109" t="str">
        <f>VLOOKUP(B109,Names_biomass!$A$2:$B$169,2,0)</f>
        <v>Chestnut</v>
      </c>
    </row>
    <row r="110" spans="1:13" x14ac:dyDescent="0.3">
      <c r="A110" s="79" t="s">
        <v>3137</v>
      </c>
      <c r="B110" s="73" t="str">
        <f>VLOOKUP(A110,Names_Lab!$A$2:$B$198,2,0)</f>
        <v>Cherries</v>
      </c>
      <c r="C110" s="78" t="s">
        <v>1607</v>
      </c>
      <c r="D110" s="77">
        <v>512</v>
      </c>
      <c r="E110" s="76"/>
      <c r="F110" s="75" t="s">
        <v>3138</v>
      </c>
      <c r="G110" t="s">
        <v>3139</v>
      </c>
      <c r="H110" t="s">
        <v>3140</v>
      </c>
      <c r="I110" t="s">
        <v>1731</v>
      </c>
      <c r="J110" t="s">
        <v>3102</v>
      </c>
      <c r="K110">
        <f>INDEX([7]Coefs!$A$3:$A$234,MATCH($B110,[7]Coefs!$B$3:$B$234,0))</f>
        <v>531</v>
      </c>
      <c r="L110" t="str">
        <f>VLOOKUP(K110,FAO_Sp!$A$2:$B$109,2,0)</f>
        <v>Cherries</v>
      </c>
      <c r="M110" t="str">
        <f>VLOOKUP(B110,Names_biomass!$A$2:$B$169,2,0)</f>
        <v>Cherry</v>
      </c>
    </row>
    <row r="111" spans="1:13" x14ac:dyDescent="0.3">
      <c r="A111" s="86" t="s">
        <v>3141</v>
      </c>
      <c r="B111" s="85" t="s">
        <v>1241</v>
      </c>
      <c r="C111" s="78" t="s">
        <v>1607</v>
      </c>
      <c r="D111" s="77"/>
      <c r="E111" s="76"/>
      <c r="F111" s="75"/>
      <c r="G111" t="s">
        <v>3142</v>
      </c>
      <c r="H111" t="s">
        <v>3140</v>
      </c>
      <c r="I111" t="s">
        <v>3143</v>
      </c>
      <c r="J111" t="s">
        <v>3102</v>
      </c>
      <c r="K111">
        <f>INDEX([7]Coefs!$A$3:$A$234,MATCH($B111,[7]Coefs!$B$3:$B$234,0))</f>
        <v>530</v>
      </c>
      <c r="L111" t="str">
        <f>VLOOKUP(K111,FAO_Sp!$A$2:$B$109,2,0)</f>
        <v>Cherries, sour</v>
      </c>
      <c r="M111" t="str">
        <f>VLOOKUP(B111,Names_biomass!$A$2:$B$169,2,0)</f>
        <v>Cherry</v>
      </c>
    </row>
    <row r="112" spans="1:13" x14ac:dyDescent="0.3">
      <c r="A112" s="86" t="s">
        <v>3144</v>
      </c>
      <c r="B112" s="85" t="s">
        <v>1242</v>
      </c>
      <c r="C112" s="78" t="s">
        <v>1607</v>
      </c>
      <c r="D112" s="77"/>
      <c r="E112" s="76"/>
      <c r="F112" s="75"/>
      <c r="G112" t="s">
        <v>3145</v>
      </c>
      <c r="H112" t="s">
        <v>3140</v>
      </c>
      <c r="I112" t="s">
        <v>1731</v>
      </c>
      <c r="J112" t="s">
        <v>3102</v>
      </c>
      <c r="K112">
        <f>INDEX([7]Coefs!$A$3:$A$234,MATCH($B112,[7]Coefs!$B$3:$B$234,0))</f>
        <v>531</v>
      </c>
      <c r="L112" t="str">
        <f>VLOOKUP(K112,FAO_Sp!$A$2:$B$109,2,0)</f>
        <v>Cherries</v>
      </c>
      <c r="M112" t="str">
        <f>VLOOKUP(B112,Names_biomass!$A$2:$B$169,2,0)</f>
        <v>Cherry</v>
      </c>
    </row>
    <row r="113" spans="1:13" x14ac:dyDescent="0.3">
      <c r="A113" s="79" t="s">
        <v>3146</v>
      </c>
      <c r="B113" s="73" t="str">
        <f>VLOOKUP(A113,Names_Lab!$A$2:$B$198,2,0)</f>
        <v>Fruit, tropical fresh nes</v>
      </c>
      <c r="C113" s="78" t="s">
        <v>1607</v>
      </c>
      <c r="D113" s="77">
        <v>513</v>
      </c>
      <c r="E113" s="76"/>
      <c r="F113" s="75" t="s">
        <v>3147</v>
      </c>
      <c r="G113" t="s">
        <v>3148</v>
      </c>
      <c r="H113" t="s">
        <v>3149</v>
      </c>
      <c r="I113" t="s">
        <v>3150</v>
      </c>
      <c r="J113" t="s">
        <v>3102</v>
      </c>
      <c r="K113">
        <f>INDEX([7]Coefs!$A$3:$A$234,MATCH($B113,[7]Coefs!$B$3:$B$234,0))</f>
        <v>603</v>
      </c>
      <c r="L113" t="str">
        <f>VLOOKUP(K113,FAO_Sp!$A$2:$B$109,2,0)</f>
        <v>Fruit, tropical fresh nes</v>
      </c>
      <c r="M113" t="str">
        <f>VLOOKUP(B113,Names_biomass!$A$2:$B$169,2,0)</f>
        <v>Fruits_nes</v>
      </c>
    </row>
    <row r="114" spans="1:13" x14ac:dyDescent="0.3">
      <c r="A114" s="79" t="s">
        <v>3151</v>
      </c>
      <c r="B114" s="73" t="str">
        <f>VLOOKUP(A114,Names_Lab!$A$2:$B$198,2,0)</f>
        <v>Plum</v>
      </c>
      <c r="C114" s="78" t="s">
        <v>1607</v>
      </c>
      <c r="D114" s="77">
        <v>515</v>
      </c>
      <c r="E114" s="76"/>
      <c r="F114" s="75" t="s">
        <v>3152</v>
      </c>
      <c r="G114" t="s">
        <v>3153</v>
      </c>
      <c r="H114" t="s">
        <v>3154</v>
      </c>
      <c r="I114" t="s">
        <v>1734</v>
      </c>
      <c r="J114" t="s">
        <v>3102</v>
      </c>
      <c r="K114">
        <f>INDEX([7]Coefs!$A$3:$A$234,MATCH($B114,[7]Coefs!$B$3:$B$234,0))</f>
        <v>536</v>
      </c>
      <c r="L114" t="str">
        <f>VLOOKUP(K114,FAO_Sp!$A$2:$B$109,2,0)</f>
        <v>Plums and sloes</v>
      </c>
      <c r="M114" t="str">
        <f>VLOOKUP(B114,Names_biomass!$A$2:$B$169,2,0)</f>
        <v>Plums</v>
      </c>
    </row>
    <row r="115" spans="1:13" x14ac:dyDescent="0.3">
      <c r="A115" s="79" t="s">
        <v>3155</v>
      </c>
      <c r="B115" s="73" t="str">
        <f>VLOOKUP(A115,Names_Lab!$A$2:$B$198,2,0)</f>
        <v>Dates</v>
      </c>
      <c r="C115" s="78" t="s">
        <v>1606</v>
      </c>
      <c r="D115" s="77">
        <v>516</v>
      </c>
      <c r="E115" s="76"/>
      <c r="F115" s="75" t="s">
        <v>3156</v>
      </c>
      <c r="H115" t="s">
        <v>1552</v>
      </c>
      <c r="I115" t="s">
        <v>1552</v>
      </c>
      <c r="J115" t="s">
        <v>3115</v>
      </c>
      <c r="K115">
        <f>INDEX([7]Coefs!$A$3:$A$234,MATCH($B115,[7]Coefs!$B$3:$B$234,0))</f>
        <v>577</v>
      </c>
      <c r="L115" t="str">
        <f>VLOOKUP(K115,FAO_Sp!$A$2:$B$109,2,0)</f>
        <v>Dates</v>
      </c>
      <c r="M115" t="str">
        <f>VLOOKUP(B115,Names_biomass!$A$2:$B$169,2,0)</f>
        <v>Fruits_nes</v>
      </c>
    </row>
    <row r="116" spans="1:13" x14ac:dyDescent="0.3">
      <c r="A116" s="79" t="s">
        <v>3157</v>
      </c>
      <c r="B116" s="73" t="str">
        <f>VLOOKUP(A116,Names_Lab!$A$2:$B$198,2,0)</f>
        <v>Pomegranate</v>
      </c>
      <c r="C116" s="78" t="s">
        <v>1607</v>
      </c>
      <c r="D116" s="77">
        <v>517</v>
      </c>
      <c r="E116" s="76"/>
      <c r="F116" s="75" t="s">
        <v>3158</v>
      </c>
      <c r="G116" t="s">
        <v>3159</v>
      </c>
      <c r="H116" t="s">
        <v>3160</v>
      </c>
      <c r="I116" t="s">
        <v>2178</v>
      </c>
      <c r="J116" t="s">
        <v>3102</v>
      </c>
      <c r="K116">
        <f>INDEX([7]Coefs!$A$3:$A$234,MATCH($B116,[7]Coefs!$B$3:$B$234,0))</f>
        <v>0</v>
      </c>
      <c r="L116" t="e">
        <f>VLOOKUP(K116,FAO_Sp!$A$2:$B$109,2,0)</f>
        <v>#N/A</v>
      </c>
      <c r="M116" t="str">
        <f>VLOOKUP(B116,Names_biomass!$A$2:$B$169,2,0)</f>
        <v>Fruits_nes</v>
      </c>
    </row>
    <row r="117" spans="1:13" x14ac:dyDescent="0.3">
      <c r="A117" s="79" t="s">
        <v>3161</v>
      </c>
      <c r="B117" s="73" t="str">
        <f>VLOOKUP(A117,Names_Lab!$A$2:$B$198,2,0)</f>
        <v>Fruit, tropical fresh nes</v>
      </c>
      <c r="C117" s="78" t="s">
        <v>1607</v>
      </c>
      <c r="D117" s="77">
        <v>518</v>
      </c>
      <c r="E117" s="76"/>
      <c r="F117" s="75" t="s">
        <v>3162</v>
      </c>
      <c r="H117" t="s">
        <v>1552</v>
      </c>
      <c r="I117" t="s">
        <v>1552</v>
      </c>
      <c r="J117" t="s">
        <v>3102</v>
      </c>
      <c r="K117">
        <f>INDEX([7]Coefs!$A$3:$A$234,MATCH($B117,[7]Coefs!$B$3:$B$234,0))</f>
        <v>603</v>
      </c>
      <c r="L117" t="str">
        <f>VLOOKUP(K117,FAO_Sp!$A$2:$B$109,2,0)</f>
        <v>Fruit, tropical fresh nes</v>
      </c>
      <c r="M117" t="str">
        <f>VLOOKUP(B117,Names_biomass!$A$2:$B$169,2,0)</f>
        <v>Fruits_nes</v>
      </c>
    </row>
    <row r="118" spans="1:13" x14ac:dyDescent="0.3">
      <c r="A118" s="79" t="s">
        <v>3163</v>
      </c>
      <c r="B118" s="73" t="str">
        <f>VLOOKUP(A118,Names_Lab!$A$2:$B$198,2,0)</f>
        <v>Fruits</v>
      </c>
      <c r="C118" s="78" t="s">
        <v>1607</v>
      </c>
      <c r="D118" s="77">
        <v>520</v>
      </c>
      <c r="E118" s="76"/>
      <c r="F118" s="75" t="s">
        <v>3164</v>
      </c>
      <c r="H118" t="s">
        <v>1552</v>
      </c>
      <c r="I118" t="s">
        <v>1552</v>
      </c>
      <c r="J118" t="s">
        <v>3102</v>
      </c>
      <c r="K118">
        <f>INDEX([7]Coefs!$A$3:$A$234,MATCH($B118,[7]Coefs!$B$3:$B$234,0))</f>
        <v>619</v>
      </c>
      <c r="L118" t="str">
        <f>VLOOKUP(K118,FAO_Sp!$A$2:$B$109,2,0)</f>
        <v>Fruit, fresh nes</v>
      </c>
      <c r="M118" t="str">
        <f>VLOOKUP(B118,Names_biomass!$A$2:$B$169,2,0)</f>
        <v>Fruits_nes</v>
      </c>
    </row>
    <row r="119" spans="1:13" s="25" customFormat="1" x14ac:dyDescent="0.3">
      <c r="A119" s="74" t="s">
        <v>3165</v>
      </c>
      <c r="B119" s="73" t="str">
        <f>VLOOKUP(A119,Names_Lab!$A$2:$B$198,2,0)</f>
        <v>Figs</v>
      </c>
      <c r="C119" s="69" t="s">
        <v>1607</v>
      </c>
      <c r="D119" s="71">
        <v>519</v>
      </c>
      <c r="E119" s="67">
        <v>519</v>
      </c>
      <c r="F119" s="70" t="s">
        <v>3166</v>
      </c>
      <c r="G119" s="25" t="s">
        <v>3167</v>
      </c>
      <c r="H119" s="25" t="s">
        <v>3168</v>
      </c>
      <c r="I119" s="25" t="s">
        <v>3169</v>
      </c>
      <c r="J119" s="25" t="s">
        <v>3102</v>
      </c>
      <c r="K119">
        <f>INDEX([7]Coefs!$A$3:$A$234,MATCH($B119,[7]Coefs!$B$3:$B$234,0))</f>
        <v>569</v>
      </c>
      <c r="L119" t="str">
        <f>VLOOKUP(K119,FAO_Sp!$A$2:$B$109,2,0)</f>
        <v>Figs</v>
      </c>
      <c r="M119" t="str">
        <f>VLOOKUP(B119,Names_biomass!$A$2:$B$169,2,0)</f>
        <v>Figs</v>
      </c>
    </row>
    <row r="120" spans="1:13" x14ac:dyDescent="0.3">
      <c r="A120" s="79" t="s">
        <v>3170</v>
      </c>
      <c r="B120" s="73" t="str">
        <f>VLOOKUP(A120,Names_Lab!$A$2:$B$198,2,0)</f>
        <v>Lemon</v>
      </c>
      <c r="C120" s="78" t="s">
        <v>1725</v>
      </c>
      <c r="D120" s="77">
        <v>522</v>
      </c>
      <c r="E120" s="76"/>
      <c r="F120" s="75" t="s">
        <v>3171</v>
      </c>
      <c r="H120" t="s">
        <v>1552</v>
      </c>
      <c r="I120" t="s">
        <v>1552</v>
      </c>
      <c r="J120" t="s">
        <v>3172</v>
      </c>
      <c r="K120">
        <f>INDEX([7]Coefs!$A$3:$A$234,MATCH($B120,[7]Coefs!$B$3:$B$234,0))</f>
        <v>497</v>
      </c>
      <c r="L120" t="str">
        <f>VLOOKUP(K120,FAO_Sp!$A$2:$B$109,2,0)</f>
        <v>Lemons and limes</v>
      </c>
      <c r="M120" t="str">
        <f>VLOOKUP(B120,Names_biomass!$A$2:$B$169,2,0)</f>
        <v>Lemons_limes</v>
      </c>
    </row>
    <row r="121" spans="1:13" s="25" customFormat="1" x14ac:dyDescent="0.3">
      <c r="A121" s="74" t="s">
        <v>3173</v>
      </c>
      <c r="B121" s="73" t="str">
        <f>VLOOKUP(A121,Names_Lab!$A$2:$B$198,2,0)</f>
        <v>Lemon</v>
      </c>
      <c r="C121" s="69" t="s">
        <v>1725</v>
      </c>
      <c r="D121" s="71">
        <v>523</v>
      </c>
      <c r="E121" s="67">
        <v>507</v>
      </c>
      <c r="F121" s="70" t="s">
        <v>3174</v>
      </c>
      <c r="G121" s="25" t="s">
        <v>3175</v>
      </c>
      <c r="H121" s="25" t="s">
        <v>3176</v>
      </c>
      <c r="I121" s="25" t="s">
        <v>1725</v>
      </c>
      <c r="J121" s="25" t="s">
        <v>3172</v>
      </c>
      <c r="K121">
        <f>INDEX([7]Coefs!$A$3:$A$234,MATCH($B121,[7]Coefs!$B$3:$B$234,0))</f>
        <v>497</v>
      </c>
      <c r="L121" t="str">
        <f>VLOOKUP(K121,FAO_Sp!$A$2:$B$109,2,0)</f>
        <v>Lemons and limes</v>
      </c>
      <c r="M121" t="str">
        <f>VLOOKUP(B121,Names_biomass!$A$2:$B$169,2,0)</f>
        <v>Lemons_limes</v>
      </c>
    </row>
    <row r="122" spans="1:13" s="25" customFormat="1" x14ac:dyDescent="0.3">
      <c r="A122" s="92" t="s">
        <v>3177</v>
      </c>
      <c r="B122" s="85" t="s">
        <v>3178</v>
      </c>
      <c r="C122" s="69" t="s">
        <v>1607</v>
      </c>
      <c r="D122" s="71">
        <v>521</v>
      </c>
      <c r="E122" s="67">
        <v>521</v>
      </c>
      <c r="F122" s="70" t="s">
        <v>3179</v>
      </c>
      <c r="G122" s="25" t="s">
        <v>3179</v>
      </c>
      <c r="H122" s="25" t="s">
        <v>3180</v>
      </c>
      <c r="I122" s="25" t="s">
        <v>3179</v>
      </c>
      <c r="J122" s="25" t="s">
        <v>3102</v>
      </c>
      <c r="K122">
        <f>INDEX([7]Coefs!$A$3:$A$234,MATCH($B122,[7]Coefs!$B$3:$B$234,0))</f>
        <v>592</v>
      </c>
      <c r="L122" t="str">
        <f>VLOOKUP(K122,FAO_Sp!$A$2:$B$109,2,0)</f>
        <v>Kiwi fruit</v>
      </c>
      <c r="M122" t="str">
        <f>VLOOKUP(B122,Names_biomass!$A$2:$B$169,2,0)</f>
        <v>Kiwifruit</v>
      </c>
    </row>
    <row r="123" spans="1:13" s="25" customFormat="1" x14ac:dyDescent="0.3">
      <c r="A123" s="74" t="s">
        <v>3181</v>
      </c>
      <c r="B123" s="73" t="str">
        <f>VLOOKUP(A123,Names_Lab!$A$2:$B$198,2,0)</f>
        <v>Mandarin</v>
      </c>
      <c r="C123" s="69" t="s">
        <v>1725</v>
      </c>
      <c r="D123" s="71">
        <v>524</v>
      </c>
      <c r="E123" s="67">
        <v>508</v>
      </c>
      <c r="F123" s="70" t="s">
        <v>3182</v>
      </c>
      <c r="G123" s="25" t="s">
        <v>3183</v>
      </c>
      <c r="H123" s="25" t="s">
        <v>3184</v>
      </c>
      <c r="I123" s="25" t="s">
        <v>1717</v>
      </c>
      <c r="J123" s="25" t="s">
        <v>3172</v>
      </c>
      <c r="K123">
        <f>INDEX([7]Coefs!$A$3:$A$234,MATCH($B123,[7]Coefs!$B$3:$B$234,0))</f>
        <v>495</v>
      </c>
      <c r="L123" t="str">
        <f>VLOOKUP(K123,FAO_Sp!$A$2:$B$109,2,0)</f>
        <v>Tangerines, mandarins, clementines, satsumas</v>
      </c>
      <c r="M123" t="str">
        <f>VLOOKUP(B123,Names_biomass!$A$2:$B$169,2,0)</f>
        <v>Tangerines</v>
      </c>
    </row>
    <row r="124" spans="1:13" x14ac:dyDescent="0.3">
      <c r="A124" s="79" t="s">
        <v>3185</v>
      </c>
      <c r="B124" s="73" t="str">
        <f>VLOOKUP(A124,Names_Lab!$A$2:$B$198,2,0)</f>
        <v>Mandarin</v>
      </c>
      <c r="C124" s="78" t="s">
        <v>1725</v>
      </c>
      <c r="D124" s="77">
        <v>525</v>
      </c>
      <c r="E124" s="76"/>
      <c r="F124" s="75" t="s">
        <v>3186</v>
      </c>
      <c r="G124" t="s">
        <v>3183</v>
      </c>
      <c r="H124" t="s">
        <v>3184</v>
      </c>
      <c r="I124" t="s">
        <v>1717</v>
      </c>
      <c r="J124" t="s">
        <v>3172</v>
      </c>
      <c r="K124">
        <f>INDEX([7]Coefs!$A$3:$A$234,MATCH($B124,[7]Coefs!$B$3:$B$234,0))</f>
        <v>495</v>
      </c>
      <c r="L124" t="str">
        <f>VLOOKUP(K124,FAO_Sp!$A$2:$B$109,2,0)</f>
        <v>Tangerines, mandarins, clementines, satsumas</v>
      </c>
      <c r="M124" t="str">
        <f>VLOOKUP(B124,Names_biomass!$A$2:$B$169,2,0)</f>
        <v>Tangerines</v>
      </c>
    </row>
    <row r="125" spans="1:13" x14ac:dyDescent="0.3">
      <c r="A125" s="79" t="s">
        <v>3187</v>
      </c>
      <c r="B125" s="73" t="str">
        <f>VLOOKUP(A125,Names_Lab!$A$2:$B$198,2,0)</f>
        <v>Fruit, tropical fresh nes</v>
      </c>
      <c r="C125" s="78" t="s">
        <v>1607</v>
      </c>
      <c r="D125" s="77">
        <v>526</v>
      </c>
      <c r="E125" s="76"/>
      <c r="F125" s="75" t="s">
        <v>3188</v>
      </c>
      <c r="H125" t="s">
        <v>1552</v>
      </c>
      <c r="I125" t="s">
        <v>1552</v>
      </c>
      <c r="J125" t="s">
        <v>3102</v>
      </c>
      <c r="K125">
        <f>INDEX([7]Coefs!$A$3:$A$234,MATCH($B125,[7]Coefs!$B$3:$B$234,0))</f>
        <v>603</v>
      </c>
      <c r="L125" t="str">
        <f>VLOOKUP(K125,FAO_Sp!$A$2:$B$109,2,0)</f>
        <v>Fruit, tropical fresh nes</v>
      </c>
      <c r="M125" t="str">
        <f>VLOOKUP(B125,Names_biomass!$A$2:$B$169,2,0)</f>
        <v>Fruits_nes</v>
      </c>
    </row>
    <row r="126" spans="1:13" x14ac:dyDescent="0.3">
      <c r="A126" s="79" t="s">
        <v>3189</v>
      </c>
      <c r="B126" s="73" t="str">
        <f>VLOOKUP(A126,Names_Lab!$A$2:$B$198,2,0)</f>
        <v>Apple</v>
      </c>
      <c r="C126" s="78" t="s">
        <v>1607</v>
      </c>
      <c r="D126" s="77">
        <v>528</v>
      </c>
      <c r="E126" s="76"/>
      <c r="F126" s="75" t="s">
        <v>3190</v>
      </c>
      <c r="G126" t="s">
        <v>3191</v>
      </c>
      <c r="H126" t="s">
        <v>3192</v>
      </c>
      <c r="I126" t="s">
        <v>1726</v>
      </c>
      <c r="J126" t="s">
        <v>3102</v>
      </c>
      <c r="K126">
        <f>INDEX([7]Coefs!$A$3:$A$234,MATCH($B126,[7]Coefs!$B$3:$B$234,0))</f>
        <v>515</v>
      </c>
      <c r="L126" t="str">
        <f>VLOOKUP(K126,FAO_Sp!$A$2:$B$109,2,0)</f>
        <v>Apples</v>
      </c>
      <c r="M126" t="str">
        <f>VLOOKUP(B126,Names_biomass!$A$2:$B$169,2,0)</f>
        <v>Apples</v>
      </c>
    </row>
    <row r="127" spans="1:13" s="25" customFormat="1" x14ac:dyDescent="0.3">
      <c r="A127" s="74" t="s">
        <v>3193</v>
      </c>
      <c r="B127" s="73" t="str">
        <f>VLOOKUP(A127,Names_Lab!$A$2:$B$198,2,0)</f>
        <v>Apple</v>
      </c>
      <c r="C127" s="69" t="s">
        <v>1607</v>
      </c>
      <c r="D127" s="71">
        <v>527</v>
      </c>
      <c r="E127" s="67">
        <v>527</v>
      </c>
      <c r="F127" s="70" t="s">
        <v>3194</v>
      </c>
      <c r="G127" s="25" t="s">
        <v>3191</v>
      </c>
      <c r="H127" s="25" t="s">
        <v>3192</v>
      </c>
      <c r="I127" s="25" t="s">
        <v>1726</v>
      </c>
      <c r="J127" s="25" t="s">
        <v>3102</v>
      </c>
      <c r="K127">
        <f>INDEX([7]Coefs!$A$3:$A$234,MATCH($B127,[7]Coefs!$B$3:$B$234,0))</f>
        <v>515</v>
      </c>
      <c r="L127" t="str">
        <f>VLOOKUP(K127,FAO_Sp!$A$2:$B$109,2,0)</f>
        <v>Apples</v>
      </c>
      <c r="M127" t="str">
        <f>VLOOKUP(B127,Names_biomass!$A$2:$B$169,2,0)</f>
        <v>Apples</v>
      </c>
    </row>
    <row r="128" spans="1:13" s="25" customFormat="1" x14ac:dyDescent="0.3">
      <c r="A128" s="74" t="s">
        <v>3195</v>
      </c>
      <c r="B128" s="73" t="str">
        <f>VLOOKUP(A128,Names_Lab!$A$2:$B$198,2,0)</f>
        <v>Peach</v>
      </c>
      <c r="C128" s="69" t="s">
        <v>1607</v>
      </c>
      <c r="D128" s="71">
        <v>529</v>
      </c>
      <c r="E128" s="67">
        <v>529</v>
      </c>
      <c r="F128" s="70" t="s">
        <v>3196</v>
      </c>
      <c r="G128" s="25" t="s">
        <v>3197</v>
      </c>
      <c r="H128" s="25" t="s">
        <v>3198</v>
      </c>
      <c r="I128" s="25" t="s">
        <v>1732</v>
      </c>
      <c r="J128" s="25" t="s">
        <v>3102</v>
      </c>
      <c r="K128">
        <f>INDEX([7]Coefs!$A$3:$A$234,MATCH($B128,[7]Coefs!$B$3:$B$234,0))</f>
        <v>534</v>
      </c>
      <c r="L128" t="str">
        <f>VLOOKUP(K128,FAO_Sp!$A$2:$B$109,2,0)</f>
        <v>Peaches and nectarines</v>
      </c>
      <c r="M128" t="str">
        <f>VLOOKUP(B128,Names_biomass!$A$2:$B$169,2,0)</f>
        <v>Peaches_nectarines</v>
      </c>
    </row>
    <row r="129" spans="1:13" x14ac:dyDescent="0.3">
      <c r="A129" s="79" t="s">
        <v>3199</v>
      </c>
      <c r="B129" s="73" t="str">
        <f>VLOOKUP(A129,Names_Lab!$A$2:$B$198,2,0)</f>
        <v>Quince</v>
      </c>
      <c r="C129" s="78" t="s">
        <v>1607</v>
      </c>
      <c r="D129" s="77">
        <v>530</v>
      </c>
      <c r="E129" s="76"/>
      <c r="F129" s="75" t="s">
        <v>3200</v>
      </c>
      <c r="G129" t="s">
        <v>3201</v>
      </c>
      <c r="H129" t="s">
        <v>3202</v>
      </c>
      <c r="I129" t="s">
        <v>1728</v>
      </c>
      <c r="J129" t="s">
        <v>3102</v>
      </c>
      <c r="K129">
        <f>INDEX([7]Coefs!$A$3:$A$234,MATCH($B129,[7]Coefs!$B$3:$B$234,0))</f>
        <v>523</v>
      </c>
      <c r="L129" t="str">
        <f>VLOOKUP(K129,FAO_Sp!$A$2:$B$109,2,0)</f>
        <v>Quinces</v>
      </c>
      <c r="M129" t="str">
        <f>VLOOKUP(B129,Names_biomass!$A$2:$B$169,2,0)</f>
        <v>Quinces</v>
      </c>
    </row>
    <row r="130" spans="1:13" s="25" customFormat="1" x14ac:dyDescent="0.3">
      <c r="A130" s="74" t="s">
        <v>3203</v>
      </c>
      <c r="B130" s="73" t="str">
        <f>VLOOKUP(A130,Names_Lab!$A$2:$B$198,2,0)</f>
        <v>Orange</v>
      </c>
      <c r="C130" s="69" t="s">
        <v>1725</v>
      </c>
      <c r="D130" s="71">
        <v>532</v>
      </c>
      <c r="E130" s="67">
        <v>544</v>
      </c>
      <c r="F130" s="70" t="s">
        <v>3204</v>
      </c>
      <c r="G130" s="25" t="s">
        <v>3205</v>
      </c>
      <c r="H130" s="25" t="s">
        <v>3206</v>
      </c>
      <c r="I130" s="25" t="s">
        <v>1715</v>
      </c>
      <c r="J130" s="25" t="s">
        <v>3172</v>
      </c>
      <c r="K130">
        <f>INDEX([7]Coefs!$A$3:$A$234,MATCH($B130,[7]Coefs!$B$3:$B$234,0))</f>
        <v>490</v>
      </c>
      <c r="L130" t="str">
        <f>VLOOKUP(K130,FAO_Sp!$A$2:$B$109,2,0)</f>
        <v>Oranges</v>
      </c>
      <c r="M130" t="str">
        <f>VLOOKUP(B130,Names_biomass!$A$2:$B$169,2,0)</f>
        <v>Oranges</v>
      </c>
    </row>
    <row r="131" spans="1:13" x14ac:dyDescent="0.3">
      <c r="A131" s="79" t="s">
        <v>3207</v>
      </c>
      <c r="B131" s="73" t="str">
        <f>VLOOKUP(A131,Names_Lab!$A$2:$B$198,2,0)</f>
        <v>Orange</v>
      </c>
      <c r="C131" s="78" t="s">
        <v>1725</v>
      </c>
      <c r="D131" s="77">
        <v>533</v>
      </c>
      <c r="E131" s="76"/>
      <c r="F131" s="75" t="s">
        <v>3208</v>
      </c>
      <c r="G131" t="s">
        <v>3205</v>
      </c>
      <c r="H131" t="s">
        <v>3206</v>
      </c>
      <c r="I131" t="s">
        <v>1715</v>
      </c>
      <c r="J131" t="s">
        <v>3172</v>
      </c>
      <c r="K131">
        <f>INDEX([7]Coefs!$A$3:$A$234,MATCH($B131,[7]Coefs!$B$3:$B$234,0))</f>
        <v>490</v>
      </c>
      <c r="L131" t="str">
        <f>VLOOKUP(K131,FAO_Sp!$A$2:$B$109,2,0)</f>
        <v>Oranges</v>
      </c>
      <c r="M131" t="str">
        <f>VLOOKUP(B131,Names_biomass!$A$2:$B$169,2,0)</f>
        <v>Oranges</v>
      </c>
    </row>
    <row r="132" spans="1:13" x14ac:dyDescent="0.3">
      <c r="A132" s="79" t="s">
        <v>3209</v>
      </c>
      <c r="B132" s="73" t="str">
        <f>VLOOKUP(A132,Names_Lab!$A$2:$B$198,2,0)</f>
        <v>Orange</v>
      </c>
      <c r="C132" s="78" t="s">
        <v>1725</v>
      </c>
      <c r="D132" s="77">
        <v>534</v>
      </c>
      <c r="E132" s="76"/>
      <c r="F132" s="75" t="s">
        <v>3210</v>
      </c>
      <c r="G132" t="s">
        <v>3210</v>
      </c>
      <c r="H132" t="s">
        <v>3211</v>
      </c>
      <c r="I132" t="s">
        <v>3212</v>
      </c>
      <c r="J132" t="s">
        <v>3172</v>
      </c>
      <c r="K132">
        <f>INDEX([7]Coefs!$A$3:$A$234,MATCH($B132,[7]Coefs!$B$3:$B$234,0))</f>
        <v>490</v>
      </c>
      <c r="L132" t="str">
        <f>VLOOKUP(K132,FAO_Sp!$A$2:$B$109,2,0)</f>
        <v>Oranges</v>
      </c>
      <c r="M132" t="str">
        <f>VLOOKUP(B132,Names_biomass!$A$2:$B$169,2,0)</f>
        <v>Oranges</v>
      </c>
    </row>
    <row r="133" spans="1:13" x14ac:dyDescent="0.3">
      <c r="A133" s="79" t="s">
        <v>3213</v>
      </c>
      <c r="B133" s="73" t="str">
        <f>VLOOKUP(A133,Names_Lab!$A$2:$B$198,2,0)</f>
        <v>Fruits</v>
      </c>
      <c r="C133" s="78" t="s">
        <v>1607</v>
      </c>
      <c r="D133" s="77">
        <v>535</v>
      </c>
      <c r="E133" s="76"/>
      <c r="F133" s="75" t="s">
        <v>3214</v>
      </c>
      <c r="G133" t="s">
        <v>3214</v>
      </c>
      <c r="H133" t="s">
        <v>3215</v>
      </c>
      <c r="I133" t="s">
        <v>3216</v>
      </c>
      <c r="J133" t="s">
        <v>3102</v>
      </c>
      <c r="K133">
        <f>INDEX([7]Coefs!$A$3:$A$234,MATCH($B133,[7]Coefs!$B$3:$B$234,0))</f>
        <v>619</v>
      </c>
      <c r="L133" t="str">
        <f>VLOOKUP(K133,FAO_Sp!$A$2:$B$109,2,0)</f>
        <v>Fruit, fresh nes</v>
      </c>
      <c r="M133" t="str">
        <f>VLOOKUP(B133,Names_biomass!$A$2:$B$169,2,0)</f>
        <v>Fruits_nes</v>
      </c>
    </row>
    <row r="134" spans="1:13" x14ac:dyDescent="0.3">
      <c r="A134" s="79" t="s">
        <v>3217</v>
      </c>
      <c r="B134" s="73" t="str">
        <f>VLOOKUP(A134,Names_Lab!$A$2:$B$198,2,0)</f>
        <v>Walnut</v>
      </c>
      <c r="C134" s="78" t="s">
        <v>1606</v>
      </c>
      <c r="D134" s="77">
        <v>537</v>
      </c>
      <c r="E134" s="76"/>
      <c r="F134" s="75" t="s">
        <v>3218</v>
      </c>
      <c r="G134" t="s">
        <v>3219</v>
      </c>
      <c r="H134" t="s">
        <v>3220</v>
      </c>
      <c r="I134" t="s">
        <v>1614</v>
      </c>
      <c r="J134" t="s">
        <v>3115</v>
      </c>
      <c r="K134">
        <f>INDEX([7]Coefs!$A$3:$A$234,MATCH($B134,[7]Coefs!$B$3:$B$234,0))</f>
        <v>222</v>
      </c>
      <c r="L134" t="str">
        <f>VLOOKUP(K134,FAO_Sp!$A$2:$B$109,2,0)</f>
        <v>Walnuts, with shell</v>
      </c>
      <c r="M134" t="str">
        <f>VLOOKUP(B134,Names_biomass!$A$2:$B$169,2,0)</f>
        <v>Walnuts</v>
      </c>
    </row>
    <row r="135" spans="1:13" x14ac:dyDescent="0.3">
      <c r="A135" s="79" t="s">
        <v>3221</v>
      </c>
      <c r="B135" s="73" t="str">
        <f>VLOOKUP(A135,Names_Lab!$A$2:$B$198,2,0)</f>
        <v>Citrus</v>
      </c>
      <c r="C135" s="78" t="s">
        <v>1725</v>
      </c>
      <c r="D135" s="77">
        <v>538</v>
      </c>
      <c r="E135" s="76"/>
      <c r="F135" s="75" t="s">
        <v>3222</v>
      </c>
      <c r="G135" t="s">
        <v>3222</v>
      </c>
      <c r="H135" t="s">
        <v>3223</v>
      </c>
      <c r="I135" t="s">
        <v>3224</v>
      </c>
      <c r="J135" t="s">
        <v>3172</v>
      </c>
      <c r="K135">
        <f>INDEX([7]Coefs!$A$3:$A$234,MATCH($B135,[7]Coefs!$B$3:$B$234,0))</f>
        <v>512</v>
      </c>
      <c r="L135" t="str">
        <f>VLOOKUP(K135,FAO_Sp!$A$2:$B$109,2,0)</f>
        <v>Fruit, citrus nes</v>
      </c>
      <c r="M135" t="str">
        <f>VLOOKUP(B135,Names_biomass!$A$2:$B$169,2,0)</f>
        <v>Citrus_nes</v>
      </c>
    </row>
    <row r="136" spans="1:13" x14ac:dyDescent="0.3">
      <c r="A136" s="79" t="s">
        <v>3225</v>
      </c>
      <c r="B136" s="73" t="str">
        <f>VLOOKUP(A136,Names_Lab!$A$2:$B$198,2,0)</f>
        <v>Fruits</v>
      </c>
      <c r="C136" s="78" t="s">
        <v>1607</v>
      </c>
      <c r="D136" s="77">
        <v>539</v>
      </c>
      <c r="E136" s="76"/>
      <c r="F136" s="75" t="s">
        <v>3226</v>
      </c>
      <c r="G136" t="s">
        <v>3226</v>
      </c>
      <c r="H136" t="s">
        <v>284</v>
      </c>
      <c r="I136" t="s">
        <v>3227</v>
      </c>
      <c r="J136" t="s">
        <v>3102</v>
      </c>
      <c r="K136">
        <f>INDEX([7]Coefs!$A$3:$A$234,MATCH($B136,[7]Coefs!$B$3:$B$234,0))</f>
        <v>619</v>
      </c>
      <c r="L136" t="str">
        <f>VLOOKUP(K136,FAO_Sp!$A$2:$B$109,2,0)</f>
        <v>Fruit, fresh nes</v>
      </c>
      <c r="M136" t="str">
        <f>VLOOKUP(B136,Names_biomass!$A$2:$B$169,2,0)</f>
        <v>Fruits_nes</v>
      </c>
    </row>
    <row r="137" spans="1:13" x14ac:dyDescent="0.3">
      <c r="A137" s="79" t="s">
        <v>3228</v>
      </c>
      <c r="B137" s="73" t="str">
        <f>VLOOKUP(A137,Names_Lab!$A$2:$B$198,2,0)</f>
        <v>Fruits</v>
      </c>
      <c r="C137" s="78" t="s">
        <v>1607</v>
      </c>
      <c r="D137" s="77">
        <v>540</v>
      </c>
      <c r="E137" s="76"/>
      <c r="F137" s="75" t="s">
        <v>3229</v>
      </c>
      <c r="G137" t="s">
        <v>3229</v>
      </c>
      <c r="H137" t="s">
        <v>3230</v>
      </c>
      <c r="I137" t="s">
        <v>3231</v>
      </c>
      <c r="J137" t="s">
        <v>3102</v>
      </c>
      <c r="K137">
        <f>INDEX([7]Coefs!$A$3:$A$234,MATCH($B137,[7]Coefs!$B$3:$B$234,0))</f>
        <v>619</v>
      </c>
      <c r="L137" t="str">
        <f>VLOOKUP(K137,FAO_Sp!$A$2:$B$109,2,0)</f>
        <v>Fruit, fresh nes</v>
      </c>
      <c r="M137" t="str">
        <f>VLOOKUP(B137,Names_biomass!$A$2:$B$169,2,0)</f>
        <v>Fruits_nes</v>
      </c>
    </row>
    <row r="138" spans="1:13" s="25" customFormat="1" x14ac:dyDescent="0.3">
      <c r="A138" s="74" t="s">
        <v>3232</v>
      </c>
      <c r="B138" s="73" t="str">
        <f>VLOOKUP(A138,Names_Lab!$A$2:$B$198,2,0)</f>
        <v>Pear</v>
      </c>
      <c r="C138" s="69" t="s">
        <v>1607</v>
      </c>
      <c r="D138" s="71">
        <v>541</v>
      </c>
      <c r="E138" s="67">
        <v>541</v>
      </c>
      <c r="F138" s="70" t="s">
        <v>3233</v>
      </c>
      <c r="G138" s="25" t="s">
        <v>3234</v>
      </c>
      <c r="H138" s="25" t="s">
        <v>515</v>
      </c>
      <c r="I138" s="25" t="s">
        <v>1727</v>
      </c>
      <c r="J138" s="25" t="s">
        <v>3102</v>
      </c>
      <c r="K138">
        <f>INDEX([7]Coefs!$A$3:$A$234,MATCH($B138,[7]Coefs!$B$3:$B$234,0))</f>
        <v>521</v>
      </c>
      <c r="L138" t="str">
        <f>VLOOKUP(K138,FAO_Sp!$A$2:$B$109,2,0)</f>
        <v>Pears</v>
      </c>
      <c r="M138" t="str">
        <f>VLOOKUP(B138,Names_biomass!$A$2:$B$169,2,0)</f>
        <v>Pears</v>
      </c>
    </row>
    <row r="139" spans="1:13" x14ac:dyDescent="0.3">
      <c r="A139" s="79" t="s">
        <v>3235</v>
      </c>
      <c r="B139" s="73" t="str">
        <f>VLOOKUP(A139,Names_Lab!$A$2:$B$198,2,0)</f>
        <v>Bananas, platains</v>
      </c>
      <c r="C139" s="78" t="s">
        <v>1607</v>
      </c>
      <c r="D139" s="77">
        <v>542</v>
      </c>
      <c r="E139" s="76"/>
      <c r="F139" s="75" t="s">
        <v>3236</v>
      </c>
      <c r="H139" t="s">
        <v>1552</v>
      </c>
      <c r="I139" t="s">
        <v>1552</v>
      </c>
      <c r="J139" t="s">
        <v>3102</v>
      </c>
      <c r="K139">
        <f>INDEX([7]Coefs!$A$3:$A$234,MATCH($B139,[7]Coefs!$B$3:$B$234,0))</f>
        <v>486</v>
      </c>
      <c r="L139" t="str">
        <f>VLOOKUP(K139,FAO_Sp!$A$2:$B$109,2,0)</f>
        <v>Bananas</v>
      </c>
      <c r="M139" t="str">
        <f>VLOOKUP(B139,Names_biomass!$A$2:$B$169,2,0)</f>
        <v>Bananas</v>
      </c>
    </row>
    <row r="140" spans="1:13" x14ac:dyDescent="0.3">
      <c r="A140" s="79" t="s">
        <v>3237</v>
      </c>
      <c r="B140" s="73" t="str">
        <f>VLOOKUP(A140,Names_Lab!$A$2:$B$198,2,0)</f>
        <v>Grapefruit</v>
      </c>
      <c r="C140" s="78" t="s">
        <v>1725</v>
      </c>
      <c r="D140" s="77">
        <v>543</v>
      </c>
      <c r="E140" s="76"/>
      <c r="F140" s="75" t="s">
        <v>3238</v>
      </c>
      <c r="G140" t="s">
        <v>3238</v>
      </c>
      <c r="H140" t="s">
        <v>3239</v>
      </c>
      <c r="I140" t="s">
        <v>1722</v>
      </c>
      <c r="J140" t="s">
        <v>3172</v>
      </c>
      <c r="K140">
        <f>INDEX([7]Coefs!$A$3:$A$234,MATCH($B140,[7]Coefs!$B$3:$B$234,0))</f>
        <v>507</v>
      </c>
      <c r="L140" t="str">
        <f>VLOOKUP(K140,FAO_Sp!$A$2:$B$109,2,0)</f>
        <v>Grapefruit (inc. pomelos)</v>
      </c>
      <c r="M140" t="str">
        <f>VLOOKUP(B140,Names_biomass!$A$2:$B$169,2,0)</f>
        <v>Citrus_nes</v>
      </c>
    </row>
    <row r="141" spans="1:13" x14ac:dyDescent="0.3">
      <c r="A141" s="86" t="s">
        <v>3240</v>
      </c>
      <c r="B141" s="85" t="s">
        <v>1049</v>
      </c>
      <c r="C141" s="78" t="s">
        <v>1606</v>
      </c>
      <c r="D141" s="77"/>
      <c r="E141" s="76"/>
      <c r="F141" s="75"/>
      <c r="J141" t="s">
        <v>3172</v>
      </c>
      <c r="K141">
        <f>INDEX([7]Coefs!$A$3:$A$234,MATCH($B141,[7]Coefs!$B$3:$B$234,0))</f>
        <v>223</v>
      </c>
      <c r="L141" t="str">
        <f>VLOOKUP(K141,FAO_Sp!$A$2:$B$109,2,0)</f>
        <v>Pistachios</v>
      </c>
      <c r="M141" t="str">
        <f>VLOOKUP(B141,Names_biomass!$A$2:$B$169,2,0)</f>
        <v>Pistachios</v>
      </c>
    </row>
    <row r="142" spans="1:13" x14ac:dyDescent="0.3">
      <c r="A142" s="79" t="s">
        <v>3241</v>
      </c>
      <c r="B142" s="73" t="str">
        <f>VLOOKUP(A142,Names_Lab!$A$2:$B$198,2,0)</f>
        <v>Fruits</v>
      </c>
      <c r="C142" s="78" t="s">
        <v>1607</v>
      </c>
      <c r="D142" s="77">
        <v>545</v>
      </c>
      <c r="E142" s="76"/>
      <c r="F142" s="75" t="s">
        <v>3242</v>
      </c>
      <c r="H142" t="s">
        <v>1552</v>
      </c>
      <c r="I142" t="s">
        <v>1552</v>
      </c>
      <c r="J142" t="s">
        <v>3102</v>
      </c>
      <c r="K142">
        <f>INDEX([7]Coefs!$A$3:$A$234,MATCH($B142,[7]Coefs!$B$3:$B$234,0))</f>
        <v>619</v>
      </c>
      <c r="L142" t="str">
        <f>VLOOKUP(K142,FAO_Sp!$A$2:$B$109,2,0)</f>
        <v>Fruit, fresh nes</v>
      </c>
      <c r="M142" t="str">
        <f>VLOOKUP(B142,Names_biomass!$A$2:$B$169,2,0)</f>
        <v>Fruits_nes</v>
      </c>
    </row>
    <row r="143" spans="1:13" x14ac:dyDescent="0.3">
      <c r="A143" s="79"/>
      <c r="B143" s="68" t="s">
        <v>1607</v>
      </c>
      <c r="C143" s="78" t="s">
        <v>1607</v>
      </c>
      <c r="D143" s="77">
        <v>547</v>
      </c>
      <c r="E143" s="76"/>
      <c r="F143" s="75" t="s">
        <v>2921</v>
      </c>
      <c r="H143" t="s">
        <v>1552</v>
      </c>
      <c r="I143" t="s">
        <v>1552</v>
      </c>
      <c r="J143" t="s">
        <v>3102</v>
      </c>
      <c r="K143">
        <f>INDEX([7]Coefs!$A$3:$A$234,MATCH($B143,[7]Coefs!$B$3:$B$234,0))</f>
        <v>619</v>
      </c>
      <c r="L143" t="str">
        <f>VLOOKUP(K143,FAO_Sp!$A$2:$B$109,2,0)</f>
        <v>Fruit, fresh nes</v>
      </c>
      <c r="M143" t="str">
        <f>VLOOKUP(B143,Names_biomass!$A$2:$B$169,2,0)</f>
        <v>Fruits_nes</v>
      </c>
    </row>
    <row r="144" spans="1:13" x14ac:dyDescent="0.3">
      <c r="A144" s="86" t="s">
        <v>3243</v>
      </c>
      <c r="B144" s="85" t="s">
        <v>1058</v>
      </c>
      <c r="C144" s="78" t="s">
        <v>1606</v>
      </c>
      <c r="D144" s="77"/>
      <c r="E144" s="76"/>
      <c r="F144" s="75"/>
      <c r="J144" t="s">
        <v>3115</v>
      </c>
      <c r="K144">
        <f>INDEX([7]Coefs!$A$3:$A$234,MATCH($B144,[7]Coefs!$B$3:$B$234,0))</f>
        <v>234</v>
      </c>
      <c r="L144" t="str">
        <f>VLOOKUP(K144,FAO_Sp!$A$2:$B$109,2,0)</f>
        <v>Nuts nes</v>
      </c>
      <c r="M144" t="str">
        <f>VLOOKUP(B144,Names_biomass!$A$2:$B$169,2,0)</f>
        <v>Nuts_nes</v>
      </c>
    </row>
    <row r="145" spans="1:13" x14ac:dyDescent="0.3">
      <c r="A145" s="79"/>
      <c r="B145" s="68" t="s">
        <v>1607</v>
      </c>
      <c r="C145" s="78" t="s">
        <v>1607</v>
      </c>
      <c r="D145" s="77"/>
      <c r="E145" s="76"/>
      <c r="F145" s="75"/>
      <c r="G145" t="s">
        <v>3244</v>
      </c>
      <c r="H145" t="s">
        <v>3245</v>
      </c>
      <c r="I145" t="s">
        <v>3246</v>
      </c>
      <c r="J145" t="s">
        <v>3102</v>
      </c>
      <c r="K145">
        <f>INDEX([7]Coefs!$A$3:$A$234,MATCH($B145,[7]Coefs!$B$3:$B$234,0))</f>
        <v>619</v>
      </c>
      <c r="L145" t="str">
        <f>VLOOKUP(K145,FAO_Sp!$A$2:$B$109,2,0)</f>
        <v>Fruit, fresh nes</v>
      </c>
      <c r="M145" t="str">
        <f>VLOOKUP(B145,Names_biomass!$A$2:$B$169,2,0)</f>
        <v>Fruits_nes</v>
      </c>
    </row>
    <row r="146" spans="1:13" x14ac:dyDescent="0.3">
      <c r="A146" s="86" t="s">
        <v>3247</v>
      </c>
      <c r="B146" s="85" t="str">
        <f>[7]Coefs!D158</f>
        <v>Fruits</v>
      </c>
      <c r="C146" s="78" t="s">
        <v>1607</v>
      </c>
      <c r="D146" s="77"/>
      <c r="E146" s="76"/>
      <c r="F146" s="75"/>
      <c r="J146" t="s">
        <v>3102</v>
      </c>
      <c r="K146">
        <f>INDEX([7]Coefs!$A$3:$A$234,MATCH($B146,[7]Coefs!$B$3:$B$234,0))</f>
        <v>619</v>
      </c>
      <c r="L146" t="str">
        <f>VLOOKUP(K146,FAO_Sp!$A$2:$B$109,2,0)</f>
        <v>Fruit, fresh nes</v>
      </c>
      <c r="M146" t="str">
        <f>VLOOKUP(B146,Names_biomass!$A$2:$B$169,2,0)</f>
        <v>Fruits_nes</v>
      </c>
    </row>
    <row r="147" spans="1:13" x14ac:dyDescent="0.3">
      <c r="A147" s="86" t="s">
        <v>3248</v>
      </c>
      <c r="B147" s="85" t="s">
        <v>1251</v>
      </c>
      <c r="C147" s="78" t="s">
        <v>1607</v>
      </c>
      <c r="D147" s="77"/>
      <c r="E147" s="76"/>
      <c r="F147" s="75"/>
      <c r="J147" t="s">
        <v>3102</v>
      </c>
      <c r="K147">
        <f>INDEX([7]Coefs!$A$3:$A$234,MATCH($B147,[7]Coefs!$B$3:$B$234,0))</f>
        <v>547</v>
      </c>
      <c r="L147" t="str">
        <f>VLOOKUP(K147,FAO_Sp!$A$2:$B$109,2,0)</f>
        <v>Raspberries</v>
      </c>
      <c r="M147" t="str">
        <f>VLOOKUP(B147,Names_biomass!$A$2:$B$169,2,0)</f>
        <v>Berries</v>
      </c>
    </row>
    <row r="148" spans="1:13" x14ac:dyDescent="0.3">
      <c r="A148" s="86" t="s">
        <v>3249</v>
      </c>
      <c r="B148" s="85" t="s">
        <v>1256</v>
      </c>
      <c r="C148" s="78" t="s">
        <v>1607</v>
      </c>
      <c r="D148" s="77"/>
      <c r="E148" s="76"/>
      <c r="F148" s="75"/>
      <c r="J148" t="s">
        <v>3102</v>
      </c>
      <c r="K148">
        <f>INDEX([7]Coefs!$A$3:$A$234,MATCH($B148,[7]Coefs!$B$3:$B$234,0))</f>
        <v>558</v>
      </c>
      <c r="L148" t="str">
        <f>VLOOKUP(K148,FAO_Sp!$A$2:$B$109,2,0)</f>
        <v>Berries nes</v>
      </c>
      <c r="M148" t="str">
        <f>VLOOKUP(B148,Names_biomass!$A$2:$B$169,2,0)</f>
        <v>Berries</v>
      </c>
    </row>
    <row r="149" spans="1:13" x14ac:dyDescent="0.3">
      <c r="A149" s="86" t="s">
        <v>3250</v>
      </c>
      <c r="B149" s="85" t="s">
        <v>1612</v>
      </c>
      <c r="C149" s="78" t="s">
        <v>1612</v>
      </c>
      <c r="D149" s="84">
        <v>70</v>
      </c>
      <c r="E149" s="83"/>
      <c r="F149" s="82" t="s">
        <v>3250</v>
      </c>
      <c r="H149" t="s">
        <v>1552</v>
      </c>
      <c r="I149" t="s">
        <v>1552</v>
      </c>
      <c r="J149" t="s">
        <v>3250</v>
      </c>
      <c r="K149">
        <f>INDEX([7]Coefs!$A$3:$A$234,MATCH($B149,[7]Coefs!$B$3:$B$234,0))</f>
        <v>260</v>
      </c>
      <c r="L149" t="str">
        <f>VLOOKUP(K149,FAO_Sp!$A$2:$B$109,2,0)</f>
        <v>Olives</v>
      </c>
      <c r="M149" t="str">
        <f>VLOOKUP(B149,Names_biomass!$A$2:$B$169,2,0)</f>
        <v>Olives</v>
      </c>
    </row>
    <row r="150" spans="1:13" s="25" customFormat="1" x14ac:dyDescent="0.3">
      <c r="A150" s="74" t="s">
        <v>3251</v>
      </c>
      <c r="B150" s="73" t="str">
        <f>VLOOKUP(A150,Names_Lab!$A$2:$B$198,2,0)</f>
        <v>Olive</v>
      </c>
      <c r="C150" s="69" t="s">
        <v>1612</v>
      </c>
      <c r="D150" s="71">
        <v>700</v>
      </c>
      <c r="E150" s="67">
        <v>705</v>
      </c>
      <c r="F150" s="70" t="s">
        <v>3252</v>
      </c>
      <c r="G150" s="25" t="s">
        <v>3253</v>
      </c>
      <c r="H150" s="25" t="s">
        <v>3254</v>
      </c>
      <c r="I150" s="25" t="s">
        <v>3255</v>
      </c>
      <c r="J150" s="25" t="s">
        <v>3250</v>
      </c>
      <c r="K150">
        <f>INDEX([7]Coefs!$A$3:$A$234,MATCH($B150,[7]Coefs!$B$3:$B$234,0))</f>
        <v>260</v>
      </c>
      <c r="L150" t="str">
        <f>VLOOKUP(K150,FAO_Sp!$A$2:$B$109,2,0)</f>
        <v>Olives</v>
      </c>
      <c r="M150" t="str">
        <f>VLOOKUP(B150,Names_biomass!$A$2:$B$169,2,0)</f>
        <v>Olives</v>
      </c>
    </row>
    <row r="151" spans="1:13" s="25" customFormat="1" x14ac:dyDescent="0.3">
      <c r="A151" s="74" t="s">
        <v>3256</v>
      </c>
      <c r="B151" s="73" t="str">
        <f>VLOOKUP(A151,Names_Lab!$A$2:$B$198,2,0)</f>
        <v>Olive</v>
      </c>
      <c r="C151" s="69" t="s">
        <v>1612</v>
      </c>
      <c r="D151" s="71">
        <v>701</v>
      </c>
      <c r="E151" s="67">
        <v>701</v>
      </c>
      <c r="F151" s="70" t="s">
        <v>3257</v>
      </c>
      <c r="G151" s="25" t="s">
        <v>3258</v>
      </c>
      <c r="H151" s="25" t="s">
        <v>3259</v>
      </c>
      <c r="I151" s="25" t="s">
        <v>3260</v>
      </c>
      <c r="J151" s="25" t="s">
        <v>3250</v>
      </c>
      <c r="K151">
        <f>INDEX([7]Coefs!$A$3:$A$234,MATCH($B151,[7]Coefs!$B$3:$B$234,0))</f>
        <v>260</v>
      </c>
      <c r="L151" t="str">
        <f>VLOOKUP(K151,FAO_Sp!$A$2:$B$109,2,0)</f>
        <v>Olives</v>
      </c>
      <c r="M151" t="str">
        <f>VLOOKUP(B151,Names_biomass!$A$2:$B$169,2,0)</f>
        <v>Olives</v>
      </c>
    </row>
    <row r="152" spans="1:13" s="25" customFormat="1" x14ac:dyDescent="0.3">
      <c r="A152" s="74"/>
      <c r="B152" s="68" t="s">
        <v>1612</v>
      </c>
      <c r="C152" s="69" t="s">
        <v>1612</v>
      </c>
      <c r="D152" s="71">
        <v>701</v>
      </c>
      <c r="E152" s="67">
        <v>702</v>
      </c>
      <c r="F152" s="70" t="e">
        <v>#REF!</v>
      </c>
      <c r="H152" s="25" t="s">
        <v>1552</v>
      </c>
      <c r="I152" s="25" t="s">
        <v>1552</v>
      </c>
      <c r="J152" s="25" t="s">
        <v>3250</v>
      </c>
      <c r="K152">
        <f>INDEX([7]Coefs!$A$3:$A$234,MATCH($B152,[7]Coefs!$B$3:$B$234,0))</f>
        <v>260</v>
      </c>
      <c r="L152" t="str">
        <f>VLOOKUP(K152,FAO_Sp!$A$2:$B$109,2,0)</f>
        <v>Olives</v>
      </c>
      <c r="M152" t="str">
        <f>VLOOKUP(B152,Names_biomass!$A$2:$B$169,2,0)</f>
        <v>Olives</v>
      </c>
    </row>
    <row r="153" spans="1:13" s="25" customFormat="1" x14ac:dyDescent="0.3">
      <c r="A153" s="74"/>
      <c r="B153" s="68" t="s">
        <v>1612</v>
      </c>
      <c r="C153" s="69" t="s">
        <v>1612</v>
      </c>
      <c r="D153" s="71">
        <v>701</v>
      </c>
      <c r="E153" s="67">
        <v>703</v>
      </c>
      <c r="F153" s="70"/>
      <c r="H153" s="25" t="s">
        <v>1552</v>
      </c>
      <c r="I153" s="25" t="s">
        <v>1552</v>
      </c>
      <c r="J153" s="25" t="s">
        <v>3250</v>
      </c>
      <c r="K153">
        <f>INDEX([7]Coefs!$A$3:$A$234,MATCH($B153,[7]Coefs!$B$3:$B$234,0))</f>
        <v>260</v>
      </c>
      <c r="L153" t="str">
        <f>VLOOKUP(K153,FAO_Sp!$A$2:$B$109,2,0)</f>
        <v>Olives</v>
      </c>
      <c r="M153" t="str">
        <f>VLOOKUP(B153,Names_biomass!$A$2:$B$169,2,0)</f>
        <v>Olives</v>
      </c>
    </row>
    <row r="154" spans="1:13" s="25" customFormat="1" x14ac:dyDescent="0.3">
      <c r="A154" s="74"/>
      <c r="B154" s="68" t="s">
        <v>1612</v>
      </c>
      <c r="C154" s="69" t="s">
        <v>1612</v>
      </c>
      <c r="D154" s="71">
        <v>701</v>
      </c>
      <c r="E154" s="67">
        <v>704</v>
      </c>
      <c r="F154" s="70"/>
      <c r="H154" s="25" t="s">
        <v>1552</v>
      </c>
      <c r="I154" s="25" t="s">
        <v>1552</v>
      </c>
      <c r="J154" s="25" t="s">
        <v>3250</v>
      </c>
      <c r="K154">
        <f>INDEX([7]Coefs!$A$3:$A$234,MATCH($B154,[7]Coefs!$B$3:$B$234,0))</f>
        <v>260</v>
      </c>
      <c r="L154" t="str">
        <f>VLOOKUP(K154,FAO_Sp!$A$2:$B$109,2,0)</f>
        <v>Olives</v>
      </c>
      <c r="M154" t="str">
        <f>VLOOKUP(B154,Names_biomass!$A$2:$B$169,2,0)</f>
        <v>Olives</v>
      </c>
    </row>
    <row r="155" spans="1:13" x14ac:dyDescent="0.3">
      <c r="A155" s="86" t="s">
        <v>3261</v>
      </c>
      <c r="B155" s="85" t="s">
        <v>2187</v>
      </c>
      <c r="C155" s="78" t="s">
        <v>1998</v>
      </c>
      <c r="D155" s="84">
        <v>80</v>
      </c>
      <c r="E155" s="83"/>
      <c r="F155" s="82" t="s">
        <v>3262</v>
      </c>
      <c r="H155" t="s">
        <v>1552</v>
      </c>
      <c r="I155" t="s">
        <v>1552</v>
      </c>
      <c r="J155" t="s">
        <v>3263</v>
      </c>
      <c r="K155">
        <f>INDEX([7]Coefs!$A$3:$A$234,MATCH($B155,[7]Coefs!$B$3:$B$234,0))</f>
        <v>0</v>
      </c>
      <c r="L155" t="e">
        <f>VLOOKUP(K155,FAO_Sp!$A$2:$B$109,2,0)</f>
        <v>#N/A</v>
      </c>
      <c r="M155" t="str">
        <f>VLOOKUP(B155,Names_biomass!$A$2:$B$169,2,0)</f>
        <v>Other</v>
      </c>
    </row>
    <row r="156" spans="1:13" s="25" customFormat="1" x14ac:dyDescent="0.3">
      <c r="A156" s="74" t="s">
        <v>3264</v>
      </c>
      <c r="B156" s="73" t="str">
        <f>VLOOKUP(A156,Names_Lab!$A$2:$B$198,2,0)</f>
        <v>Cotton fiber</v>
      </c>
      <c r="C156" s="69" t="s">
        <v>3265</v>
      </c>
      <c r="D156" s="71">
        <v>800</v>
      </c>
      <c r="E156" s="67">
        <v>800</v>
      </c>
      <c r="F156" s="70" t="s">
        <v>3266</v>
      </c>
      <c r="G156" s="25" t="s">
        <v>3267</v>
      </c>
      <c r="H156" s="25" t="s">
        <v>3268</v>
      </c>
      <c r="I156" s="25" t="s">
        <v>3269</v>
      </c>
      <c r="J156" s="25" t="s">
        <v>3263</v>
      </c>
      <c r="K156">
        <f>INDEX([7]Coefs!$A$3:$A$234,MATCH($B156,[7]Coefs!$B$3:$B$234,0))</f>
        <v>767</v>
      </c>
      <c r="L156" t="str">
        <f>VLOOKUP(K156,FAO_Sp!$A$2:$B$109,2,0)</f>
        <v>Cotton lint</v>
      </c>
      <c r="M156" t="str">
        <f>VLOOKUP(B156,Names_biomass!$A$2:$B$169,2,0)</f>
        <v>Cotton_lint</v>
      </c>
    </row>
    <row r="157" spans="1:13" x14ac:dyDescent="0.3">
      <c r="A157" s="79" t="s">
        <v>3270</v>
      </c>
      <c r="B157" s="73" t="str">
        <f>VLOOKUP(A157,Names_Lab!$A$2:$B$198,2,0)</f>
        <v>Cottonseed</v>
      </c>
      <c r="C157" s="91" t="s">
        <v>1998</v>
      </c>
      <c r="D157" s="90">
        <v>801</v>
      </c>
      <c r="E157" s="89"/>
      <c r="F157" s="88" t="s">
        <v>3270</v>
      </c>
      <c r="H157" t="s">
        <v>1552</v>
      </c>
      <c r="I157" t="s">
        <v>1552</v>
      </c>
      <c r="J157" t="s">
        <v>3263</v>
      </c>
      <c r="K157">
        <f>INDEX([7]Coefs!$A$3:$A$234,MATCH($B157,[7]Coefs!$B$3:$B$234,0))</f>
        <v>329</v>
      </c>
      <c r="L157" t="str">
        <f>VLOOKUP(K157,FAO_Sp!$A$2:$B$109,2,0)</f>
        <v>Cottonseed</v>
      </c>
      <c r="M157" t="str">
        <f>VLOOKUP(B157,Names_biomass!$A$2:$B$169,2,0)</f>
        <v>Cottonseed</v>
      </c>
    </row>
    <row r="158" spans="1:13" x14ac:dyDescent="0.3">
      <c r="A158" s="79" t="s">
        <v>3271</v>
      </c>
      <c r="B158" s="73" t="str">
        <f>VLOOKUP(A158,Names_Lab!$A$2:$B$198,2,0)</f>
        <v>Hemp</v>
      </c>
      <c r="C158" s="78" t="s">
        <v>3265</v>
      </c>
      <c r="D158" s="77">
        <v>802</v>
      </c>
      <c r="E158" s="76"/>
      <c r="F158" s="75" t="s">
        <v>3272</v>
      </c>
      <c r="H158" t="s">
        <v>1552</v>
      </c>
      <c r="I158" t="s">
        <v>1552</v>
      </c>
      <c r="J158" t="s">
        <v>3263</v>
      </c>
      <c r="K158">
        <f>INDEX([7]Coefs!$A$3:$A$234,MATCH($B158,[7]Coefs!$B$3:$B$234,0))</f>
        <v>777</v>
      </c>
      <c r="L158" t="str">
        <f>VLOOKUP(K158,FAO_Sp!$A$2:$B$109,2,0)</f>
        <v>Hemp tow waste</v>
      </c>
      <c r="M158" t="str">
        <f>VLOOKUP(B158,Names_biomass!$A$2:$B$169,2,0)</f>
        <v>Fibres_nes</v>
      </c>
    </row>
    <row r="159" spans="1:13" x14ac:dyDescent="0.3">
      <c r="A159" s="79" t="s">
        <v>3273</v>
      </c>
      <c r="B159" s="73" t="str">
        <f>VLOOKUP(A159,Names_Lab!$A$2:$B$198,2,0)</f>
        <v>Hemp</v>
      </c>
      <c r="C159" s="78" t="s">
        <v>3265</v>
      </c>
      <c r="D159" s="77">
        <v>803</v>
      </c>
      <c r="E159" s="76"/>
      <c r="F159" s="75" t="s">
        <v>3274</v>
      </c>
      <c r="H159" t="s">
        <v>1552</v>
      </c>
      <c r="I159" t="s">
        <v>1552</v>
      </c>
      <c r="J159" t="s">
        <v>3263</v>
      </c>
      <c r="K159">
        <f>INDEX([7]Coefs!$A$3:$A$234,MATCH($B159,[7]Coefs!$B$3:$B$234,0))</f>
        <v>777</v>
      </c>
      <c r="L159" t="str">
        <f>VLOOKUP(K159,FAO_Sp!$A$2:$B$109,2,0)</f>
        <v>Hemp tow waste</v>
      </c>
      <c r="M159" t="str">
        <f>VLOOKUP(B159,Names_biomass!$A$2:$B$169,2,0)</f>
        <v>Fibres_nes</v>
      </c>
    </row>
    <row r="160" spans="1:13" x14ac:dyDescent="0.3">
      <c r="A160" s="79" t="s">
        <v>3275</v>
      </c>
      <c r="B160" s="73" t="str">
        <f>VLOOKUP(A160,Names_Lab!$A$2:$B$198,2,0)</f>
        <v>Hemp seed</v>
      </c>
      <c r="C160" s="78" t="s">
        <v>1998</v>
      </c>
      <c r="D160" s="77">
        <v>804</v>
      </c>
      <c r="E160" s="76"/>
      <c r="F160" s="75" t="s">
        <v>3276</v>
      </c>
      <c r="H160" t="s">
        <v>1552</v>
      </c>
      <c r="I160" t="s">
        <v>1552</v>
      </c>
      <c r="J160" t="s">
        <v>3263</v>
      </c>
      <c r="K160">
        <f>INDEX([7]Coefs!$A$3:$A$234,MATCH($B160,[7]Coefs!$B$3:$B$234,0))</f>
        <v>336</v>
      </c>
      <c r="L160" t="str">
        <f>VLOOKUP(K160,FAO_Sp!$A$2:$B$109,2,0)</f>
        <v>Hempseed</v>
      </c>
      <c r="M160" t="str">
        <f>VLOOKUP(B160,Names_biomass!$A$2:$B$169,2,0)</f>
        <v>Hempseed</v>
      </c>
    </row>
    <row r="161" spans="1:13" x14ac:dyDescent="0.3">
      <c r="A161" s="79" t="s">
        <v>3277</v>
      </c>
      <c r="B161" s="73" t="str">
        <f>VLOOKUP(A161,Names_Lab!$A$2:$B$198,2,0)</f>
        <v>Safflower</v>
      </c>
      <c r="C161" s="78" t="s">
        <v>1998</v>
      </c>
      <c r="D161" s="77">
        <v>805</v>
      </c>
      <c r="E161" s="76"/>
      <c r="F161" s="75" t="s">
        <v>3278</v>
      </c>
      <c r="H161" t="s">
        <v>1552</v>
      </c>
      <c r="I161" t="s">
        <v>1552</v>
      </c>
      <c r="J161" t="s">
        <v>3263</v>
      </c>
      <c r="K161">
        <f>INDEX([7]Coefs!$A$3:$A$234,MATCH($B161,[7]Coefs!$B$3:$B$234,0))</f>
        <v>280</v>
      </c>
      <c r="L161" t="str">
        <f>VLOOKUP(K161,FAO_Sp!$A$2:$B$109,2,0)</f>
        <v>Safflower seed</v>
      </c>
      <c r="M161" t="str">
        <f>VLOOKUP(B161,Names_biomass!$A$2:$B$169,2,0)</f>
        <v>Safflowerseed</v>
      </c>
    </row>
    <row r="162" spans="1:13" x14ac:dyDescent="0.3">
      <c r="A162" s="79" t="s">
        <v>3279</v>
      </c>
      <c r="B162" s="73" t="str">
        <f>VLOOKUP(A162,Names_Lab!$A$2:$B$198,2,0)</f>
        <v>Rape</v>
      </c>
      <c r="C162" s="78" t="s">
        <v>1998</v>
      </c>
      <c r="D162" s="77">
        <v>806</v>
      </c>
      <c r="E162" s="76"/>
      <c r="F162" s="75" t="s">
        <v>3280</v>
      </c>
      <c r="G162" t="s">
        <v>3280</v>
      </c>
      <c r="H162" t="s">
        <v>3281</v>
      </c>
      <c r="I162" t="s">
        <v>1110</v>
      </c>
      <c r="J162" t="s">
        <v>3263</v>
      </c>
      <c r="K162">
        <f>INDEX([7]Coefs!$A$3:$A$234,MATCH($B162,[7]Coefs!$B$3:$B$234,0))</f>
        <v>270</v>
      </c>
      <c r="L162" t="str">
        <f>VLOOKUP(K162,FAO_Sp!$A$2:$B$109,2,0)</f>
        <v>Rapeseed</v>
      </c>
      <c r="M162" t="str">
        <f>VLOOKUP(B162,Names_biomass!$A$2:$B$169,2,0)</f>
        <v>Rapeseed</v>
      </c>
    </row>
    <row r="163" spans="1:13" s="25" customFormat="1" x14ac:dyDescent="0.3">
      <c r="A163" s="74" t="s">
        <v>3282</v>
      </c>
      <c r="B163" s="73" t="str">
        <f>VLOOKUP(A163,Names_Lab!$A$2:$B$198,2,0)</f>
        <v>Esparto grass</v>
      </c>
      <c r="C163" s="69" t="s">
        <v>3265</v>
      </c>
      <c r="D163" s="71">
        <v>807</v>
      </c>
      <c r="E163" s="67">
        <v>807</v>
      </c>
      <c r="F163" s="70" t="s">
        <v>3283</v>
      </c>
      <c r="H163" s="25" t="s">
        <v>1552</v>
      </c>
      <c r="I163" s="25" t="s">
        <v>1552</v>
      </c>
      <c r="J163" s="25" t="s">
        <v>3263</v>
      </c>
      <c r="K163">
        <f>INDEX([7]Coefs!$A$3:$A$234,MATCH($B163,[7]Coefs!$B$3:$B$234,0))</f>
        <v>0</v>
      </c>
      <c r="L163" t="e">
        <f>VLOOKUP(K163,FAO_Sp!$A$2:$B$109,2,0)</f>
        <v>#N/A</v>
      </c>
      <c r="M163" t="str">
        <f>VLOOKUP(B163,Names_biomass!$A$2:$B$169,2,0)</f>
        <v>Esparto_grass</v>
      </c>
    </row>
    <row r="164" spans="1:13" x14ac:dyDescent="0.3">
      <c r="A164" s="79" t="s">
        <v>3284</v>
      </c>
      <c r="B164" s="73" t="str">
        <f>VLOOKUP(A164,Names_Lab!$A$2:$B$198,2,0)</f>
        <v>Flax fibre and tow</v>
      </c>
      <c r="C164" s="78" t="s">
        <v>3265</v>
      </c>
      <c r="D164" s="77">
        <v>809</v>
      </c>
      <c r="E164" s="76"/>
      <c r="F164" s="75" t="s">
        <v>3285</v>
      </c>
      <c r="H164" t="s">
        <v>1552</v>
      </c>
      <c r="I164" t="s">
        <v>1552</v>
      </c>
      <c r="J164" t="s">
        <v>3263</v>
      </c>
      <c r="K164">
        <f>INDEX([7]Coefs!$A$3:$A$234,MATCH($B164,[7]Coefs!$B$3:$B$234,0))</f>
        <v>773</v>
      </c>
      <c r="L164" t="str">
        <f>VLOOKUP(K164,FAO_Sp!$A$2:$B$109,2,0)</f>
        <v>Flax fibre and tow</v>
      </c>
      <c r="M164" t="str">
        <f>VLOOKUP(B164,Names_biomass!$A$2:$B$169,2,0)</f>
        <v>Fibres_nes</v>
      </c>
    </row>
    <row r="165" spans="1:13" x14ac:dyDescent="0.3">
      <c r="A165" s="79" t="s">
        <v>3286</v>
      </c>
      <c r="B165" s="73" t="str">
        <f>VLOOKUP(A165,Names_Lab!$A$2:$B$198,2,0)</f>
        <v>Flax fibre and tow</v>
      </c>
      <c r="C165" s="78" t="s">
        <v>3265</v>
      </c>
      <c r="D165" s="77">
        <v>811</v>
      </c>
      <c r="E165" s="76"/>
      <c r="F165" s="75" t="s">
        <v>3287</v>
      </c>
      <c r="H165" t="s">
        <v>1552</v>
      </c>
      <c r="I165" t="s">
        <v>1552</v>
      </c>
      <c r="J165" t="s">
        <v>3263</v>
      </c>
      <c r="K165">
        <f>INDEX([7]Coefs!$A$3:$A$234,MATCH($B165,[7]Coefs!$B$3:$B$234,0))</f>
        <v>773</v>
      </c>
      <c r="L165" t="str">
        <f>VLOOKUP(K165,FAO_Sp!$A$2:$B$109,2,0)</f>
        <v>Flax fibre and tow</v>
      </c>
      <c r="M165" t="str">
        <f>VLOOKUP(B165,Names_biomass!$A$2:$B$169,2,0)</f>
        <v>Fibres_nes</v>
      </c>
    </row>
    <row r="166" spans="1:13" x14ac:dyDescent="0.3">
      <c r="A166" s="79" t="s">
        <v>3288</v>
      </c>
      <c r="B166" s="73" t="str">
        <f>VLOOKUP(A166,Names_Lab!$A$2:$B$198,2,0)</f>
        <v>Linseed</v>
      </c>
      <c r="C166" s="78" t="s">
        <v>1998</v>
      </c>
      <c r="D166" s="77">
        <v>812</v>
      </c>
      <c r="E166" s="76"/>
      <c r="F166" s="75" t="s">
        <v>3289</v>
      </c>
      <c r="H166" t="s">
        <v>1552</v>
      </c>
      <c r="I166" t="s">
        <v>1552</v>
      </c>
      <c r="J166" t="s">
        <v>3263</v>
      </c>
      <c r="K166">
        <f>INDEX([7]Coefs!$A$3:$A$234,MATCH($B166,[7]Coefs!$B$3:$B$234,0))</f>
        <v>333</v>
      </c>
      <c r="L166" t="str">
        <f>VLOOKUP(K166,FAO_Sp!$A$2:$B$109,2,0)</f>
        <v>Linseed</v>
      </c>
      <c r="M166" t="str">
        <f>VLOOKUP(B166,Names_biomass!$A$2:$B$169,2,0)</f>
        <v>Linseed</v>
      </c>
    </row>
    <row r="167" spans="1:13" s="25" customFormat="1" x14ac:dyDescent="0.3">
      <c r="A167" s="74" t="s">
        <v>3290</v>
      </c>
      <c r="B167" s="73" t="str">
        <f>VLOOKUP(A167,Names_Lab!$A$2:$B$198,2,0)</f>
        <v>Crack willow</v>
      </c>
      <c r="C167" s="69" t="s">
        <v>3265</v>
      </c>
      <c r="D167" s="71">
        <v>813</v>
      </c>
      <c r="E167" s="67">
        <v>812</v>
      </c>
      <c r="F167" s="70" t="s">
        <v>3291</v>
      </c>
      <c r="H167" s="25" t="s">
        <v>1552</v>
      </c>
      <c r="I167" s="25" t="s">
        <v>1552</v>
      </c>
      <c r="J167" s="25" t="s">
        <v>3263</v>
      </c>
      <c r="K167">
        <f>INDEX([7]Coefs!$A$3:$A$234,MATCH($B167,[7]Coefs!$B$3:$B$234,0))</f>
        <v>0</v>
      </c>
      <c r="L167" t="e">
        <f>VLOOKUP(K167,FAO_Sp!$A$2:$B$109,2,0)</f>
        <v>#N/A</v>
      </c>
      <c r="M167" t="str">
        <f>VLOOKUP(B167,Names_biomass!$A$2:$B$169,2,0)</f>
        <v>Crack_willow</v>
      </c>
    </row>
    <row r="168" spans="1:13" x14ac:dyDescent="0.3">
      <c r="A168" s="79" t="s">
        <v>3292</v>
      </c>
      <c r="B168" s="73" t="str">
        <f>VLOOKUP(A168,Names_Lab!$A$2:$B$198,2,0)</f>
        <v>Rape</v>
      </c>
      <c r="C168" s="78" t="s">
        <v>1998</v>
      </c>
      <c r="D168" s="77">
        <v>814</v>
      </c>
      <c r="E168" s="76"/>
      <c r="F168" s="75" t="s">
        <v>3293</v>
      </c>
      <c r="H168" t="s">
        <v>1552</v>
      </c>
      <c r="I168" t="s">
        <v>1552</v>
      </c>
      <c r="J168" t="s">
        <v>3263</v>
      </c>
      <c r="K168">
        <f>INDEX([7]Coefs!$A$3:$A$234,MATCH($B168,[7]Coefs!$B$3:$B$234,0))</f>
        <v>270</v>
      </c>
      <c r="L168" t="str">
        <f>VLOOKUP(K168,FAO_Sp!$A$2:$B$109,2,0)</f>
        <v>Rapeseed</v>
      </c>
      <c r="M168" t="str">
        <f>VLOOKUP(B168,Names_biomass!$A$2:$B$169,2,0)</f>
        <v>Rapeseed</v>
      </c>
    </row>
    <row r="169" spans="1:13" x14ac:dyDescent="0.3">
      <c r="A169" s="79" t="s">
        <v>3294</v>
      </c>
      <c r="B169" s="73" t="str">
        <f>VLOOKUP(A169,Names_Lab!$A$2:$B$198,2,0)</f>
        <v>Fruits</v>
      </c>
      <c r="C169" s="78" t="s">
        <v>1607</v>
      </c>
      <c r="D169" s="77">
        <v>815</v>
      </c>
      <c r="E169" s="76"/>
      <c r="F169" s="75" t="s">
        <v>3295</v>
      </c>
      <c r="H169" t="s">
        <v>1552</v>
      </c>
      <c r="I169" t="s">
        <v>1552</v>
      </c>
      <c r="J169" t="s">
        <v>3263</v>
      </c>
      <c r="K169">
        <f>INDEX([7]Coefs!$A$3:$A$234,MATCH($B169,[7]Coefs!$B$3:$B$234,0))</f>
        <v>619</v>
      </c>
      <c r="L169" t="str">
        <f>VLOOKUP(K169,FAO_Sp!$A$2:$B$109,2,0)</f>
        <v>Fruit, fresh nes</v>
      </c>
      <c r="M169" t="str">
        <f>VLOOKUP(B169,Names_biomass!$A$2:$B$169,2,0)</f>
        <v>Fruits_nes</v>
      </c>
    </row>
    <row r="170" spans="1:13" x14ac:dyDescent="0.3">
      <c r="A170" s="79" t="s">
        <v>3296</v>
      </c>
      <c r="B170" s="73" t="str">
        <f>VLOOKUP(A170,Names_Lab!$A$2:$B$198,2,0)</f>
        <v>Bastfibres, other</v>
      </c>
      <c r="C170" s="78" t="s">
        <v>3265</v>
      </c>
      <c r="D170" s="77">
        <v>816</v>
      </c>
      <c r="E170" s="76"/>
      <c r="F170" s="75" t="s">
        <v>3297</v>
      </c>
      <c r="H170" t="s">
        <v>1552</v>
      </c>
      <c r="I170" t="s">
        <v>1552</v>
      </c>
      <c r="J170" t="s">
        <v>3263</v>
      </c>
      <c r="K170">
        <f>INDEX([7]Coefs!$A$3:$A$234,MATCH($B170,[7]Coefs!$B$3:$B$234,0))</f>
        <v>782</v>
      </c>
      <c r="L170" t="str">
        <f>VLOOKUP(K170,FAO_Sp!$A$2:$B$109,2,0)</f>
        <v>Bastfibres, other</v>
      </c>
      <c r="M170" t="str">
        <f>VLOOKUP(B170,Names_biomass!$A$2:$B$169,2,0)</f>
        <v>Fibres_nes</v>
      </c>
    </row>
    <row r="171" spans="1:13" x14ac:dyDescent="0.3">
      <c r="A171" s="79" t="s">
        <v>3298</v>
      </c>
      <c r="B171" s="73" t="str">
        <f>VLOOKUP(A171,Names_Lab!$A$2:$B$198,2,0)</f>
        <v>Bastfibres, other</v>
      </c>
      <c r="C171" s="78" t="s">
        <v>3265</v>
      </c>
      <c r="D171" s="77">
        <v>817</v>
      </c>
      <c r="E171" s="76"/>
      <c r="F171" s="75" t="s">
        <v>3299</v>
      </c>
      <c r="H171" t="s">
        <v>1552</v>
      </c>
      <c r="I171" t="s">
        <v>1552</v>
      </c>
      <c r="J171" t="s">
        <v>3263</v>
      </c>
      <c r="K171">
        <f>INDEX([7]Coefs!$A$3:$A$234,MATCH($B171,[7]Coefs!$B$3:$B$234,0))</f>
        <v>782</v>
      </c>
      <c r="L171" t="str">
        <f>VLOOKUP(K171,FAO_Sp!$A$2:$B$109,2,0)</f>
        <v>Bastfibres, other</v>
      </c>
      <c r="M171" t="str">
        <f>VLOOKUP(B171,Names_biomass!$A$2:$B$169,2,0)</f>
        <v>Fibres_nes</v>
      </c>
    </row>
    <row r="172" spans="1:13" x14ac:dyDescent="0.3">
      <c r="A172" s="79" t="s">
        <v>3300</v>
      </c>
      <c r="B172" s="73" t="str">
        <f>VLOOKUP(A172,Names_Lab!$A$2:$B$198,2,0)</f>
        <v>Soyabeans</v>
      </c>
      <c r="C172" s="78" t="s">
        <v>1998</v>
      </c>
      <c r="D172" s="77">
        <v>818</v>
      </c>
      <c r="E172" s="76"/>
      <c r="F172" s="75" t="s">
        <v>3301</v>
      </c>
      <c r="G172" t="s">
        <v>3301</v>
      </c>
      <c r="H172" t="s">
        <v>3302</v>
      </c>
      <c r="I172" t="s">
        <v>3303</v>
      </c>
      <c r="J172" t="s">
        <v>3263</v>
      </c>
      <c r="K172">
        <f>INDEX([7]Coefs!$A$3:$A$234,MATCH($B172,[7]Coefs!$B$3:$B$234,0))</f>
        <v>236</v>
      </c>
      <c r="L172" t="str">
        <f>VLOOKUP(K172,FAO_Sp!$A$2:$B$109,2,0)</f>
        <v>Soybeans</v>
      </c>
      <c r="M172" t="str">
        <f>VLOOKUP(B172,Names_biomass!$A$2:$B$169,2,0)</f>
        <v>Soybeans</v>
      </c>
    </row>
    <row r="173" spans="1:13" x14ac:dyDescent="0.3">
      <c r="A173" s="79"/>
      <c r="B173" s="68" t="s">
        <v>974</v>
      </c>
      <c r="C173" s="78" t="s">
        <v>1022</v>
      </c>
      <c r="D173" s="77">
        <v>819</v>
      </c>
      <c r="E173" s="76"/>
      <c r="F173" s="75" t="s">
        <v>2921</v>
      </c>
      <c r="H173" t="s">
        <v>1552</v>
      </c>
      <c r="I173" t="s">
        <v>1552</v>
      </c>
      <c r="J173" t="s">
        <v>3263</v>
      </c>
      <c r="K173">
        <f>INDEX([7]Coefs!$A$3:$A$234,MATCH($B173,[7]Coefs!$B$3:$B$234,0))</f>
        <v>108</v>
      </c>
      <c r="L173" t="str">
        <f>VLOOKUP(K173,FAO_Sp!$A$2:$B$109,2,0)</f>
        <v>Cereals nes</v>
      </c>
      <c r="M173" t="str">
        <f>VLOOKUP(B173,Names_biomass!$A$2:$B$169,2,0)</f>
        <v>Cereals_nes</v>
      </c>
    </row>
    <row r="174" spans="1:13" x14ac:dyDescent="0.3">
      <c r="A174" s="86" t="s">
        <v>3304</v>
      </c>
      <c r="B174" s="85" t="s">
        <v>1006</v>
      </c>
      <c r="C174" s="78"/>
      <c r="D174" s="84">
        <v>90</v>
      </c>
      <c r="E174" s="83"/>
      <c r="F174" s="82" t="s">
        <v>3305</v>
      </c>
      <c r="H174" t="s">
        <v>1552</v>
      </c>
      <c r="I174" t="s">
        <v>1552</v>
      </c>
      <c r="J174" t="s">
        <v>3263</v>
      </c>
      <c r="K174">
        <f>INDEX([7]Coefs!$A$3:$A$234,MATCH($B174,[7]Coefs!$B$3:$B$234,0))</f>
        <v>157</v>
      </c>
      <c r="L174" t="str">
        <f>VLOOKUP(K174,FAO_Sp!$A$2:$B$109,2,0)</f>
        <v>Sugar beet</v>
      </c>
      <c r="M174" t="str">
        <f>VLOOKUP(B174,Names_biomass!$A$2:$B$169,2,0)</f>
        <v>Sugar_beet</v>
      </c>
    </row>
    <row r="175" spans="1:13" s="25" customFormat="1" x14ac:dyDescent="0.3">
      <c r="A175" s="74" t="s">
        <v>3306</v>
      </c>
      <c r="B175" s="73" t="str">
        <f>VLOOKUP(A175,Names_Lab!$A$2:$B$198,2,0)</f>
        <v>Sugar beet</v>
      </c>
      <c r="C175" s="69" t="s">
        <v>3307</v>
      </c>
      <c r="D175" s="71">
        <v>900</v>
      </c>
      <c r="E175" s="67">
        <v>900</v>
      </c>
      <c r="F175" s="70" t="s">
        <v>3308</v>
      </c>
      <c r="G175" s="25" t="s">
        <v>3308</v>
      </c>
      <c r="H175" s="25" t="s">
        <v>3309</v>
      </c>
      <c r="I175" s="25" t="s">
        <v>3310</v>
      </c>
      <c r="J175" s="25" t="s">
        <v>3263</v>
      </c>
      <c r="K175">
        <f>INDEX([7]Coefs!$A$3:$A$234,MATCH($B175,[7]Coefs!$B$3:$B$234,0))</f>
        <v>157</v>
      </c>
      <c r="L175" t="str">
        <f>VLOOKUP(K175,FAO_Sp!$A$2:$B$109,2,0)</f>
        <v>Sugar beet</v>
      </c>
      <c r="M175" t="str">
        <f>VLOOKUP(B175,Names_biomass!$A$2:$B$169,2,0)</f>
        <v>Sugar_beet</v>
      </c>
    </row>
    <row r="176" spans="1:13" s="25" customFormat="1" x14ac:dyDescent="0.3">
      <c r="A176" s="74" t="s">
        <v>3311</v>
      </c>
      <c r="B176" s="73" t="str">
        <f>VLOOKUP(A176,Names_Lab!$A$2:$B$198,2,0)</f>
        <v>Sugarcane</v>
      </c>
      <c r="C176" s="69" t="s">
        <v>1022</v>
      </c>
      <c r="D176" s="71">
        <v>901</v>
      </c>
      <c r="E176" s="67">
        <v>901</v>
      </c>
      <c r="F176" s="70" t="s">
        <v>3312</v>
      </c>
      <c r="H176" s="25" t="s">
        <v>1552</v>
      </c>
      <c r="I176" s="25" t="s">
        <v>1552</v>
      </c>
      <c r="J176" s="25" t="s">
        <v>3263</v>
      </c>
      <c r="K176">
        <f>INDEX([7]Coefs!$A$3:$A$234,MATCH($B176,[7]Coefs!$B$3:$B$234,0))</f>
        <v>156</v>
      </c>
      <c r="L176" t="str">
        <f>VLOOKUP(K176,FAO_Sp!$A$2:$B$109,2,0)</f>
        <v>Sugar cane</v>
      </c>
      <c r="M176" t="str">
        <f>VLOOKUP(B176,Names_biomass!$A$2:$B$169,2,0)</f>
        <v>Sugar_cane</v>
      </c>
    </row>
    <row r="177" spans="1:13" x14ac:dyDescent="0.3">
      <c r="A177" s="79" t="s">
        <v>3313</v>
      </c>
      <c r="B177" s="73" t="str">
        <f>VLOOKUP(A177,Names_Lab!$A$2:$B$198,2,0)</f>
        <v>Spices, Other</v>
      </c>
      <c r="C177" s="78" t="s">
        <v>1022</v>
      </c>
      <c r="D177" s="77">
        <v>1201</v>
      </c>
      <c r="E177" s="76"/>
      <c r="F177" s="75" t="s">
        <v>3314</v>
      </c>
      <c r="H177" t="s">
        <v>1552</v>
      </c>
      <c r="I177" t="s">
        <v>1552</v>
      </c>
      <c r="J177" t="s">
        <v>3263</v>
      </c>
      <c r="K177">
        <f>INDEX([7]Coefs!$A$3:$A$234,MATCH($B177,[7]Coefs!$B$3:$B$234,0))</f>
        <v>723</v>
      </c>
      <c r="L177" t="str">
        <f>VLOOKUP(K177,FAO_Sp!$A$2:$B$109,2,0)</f>
        <v>Spices nes</v>
      </c>
      <c r="M177" t="str">
        <f>VLOOKUP(B177,Names_biomass!$A$2:$B$169,2,0)</f>
        <v>Spices</v>
      </c>
    </row>
    <row r="178" spans="1:13" x14ac:dyDescent="0.3">
      <c r="A178" s="79" t="s">
        <v>3315</v>
      </c>
      <c r="B178" s="73" t="str">
        <f>VLOOKUP(A178,Names_Lab!$A$2:$B$198,2,0)</f>
        <v>Hop</v>
      </c>
      <c r="C178" s="78" t="s">
        <v>1022</v>
      </c>
      <c r="D178" s="77">
        <v>1202</v>
      </c>
      <c r="E178" s="76"/>
      <c r="F178" s="75" t="s">
        <v>3316</v>
      </c>
      <c r="G178" t="s">
        <v>3316</v>
      </c>
      <c r="H178" t="s">
        <v>3317</v>
      </c>
      <c r="I178" t="s">
        <v>1804</v>
      </c>
      <c r="J178" t="s">
        <v>3263</v>
      </c>
      <c r="K178">
        <f>INDEX([7]Coefs!$A$3:$A$234,MATCH($B178,[7]Coefs!$B$3:$B$234,0))</f>
        <v>677</v>
      </c>
      <c r="L178" t="str">
        <f>VLOOKUP(K178,FAO_Sp!$A$2:$B$109,2,0)</f>
        <v>Hops</v>
      </c>
      <c r="M178" t="str">
        <f>VLOOKUP(B178,Names_biomass!$A$2:$B$169,2,0)</f>
        <v>Hops</v>
      </c>
    </row>
    <row r="179" spans="1:13" x14ac:dyDescent="0.3">
      <c r="A179" s="79" t="s">
        <v>3318</v>
      </c>
      <c r="B179" s="73" t="str">
        <f>VLOOKUP(A179,Names_Lab!$A$2:$B$198,2,0)</f>
        <v>Spices, Other</v>
      </c>
      <c r="C179" s="78" t="s">
        <v>1022</v>
      </c>
      <c r="D179" s="77">
        <v>1203</v>
      </c>
      <c r="E179" s="76"/>
      <c r="F179" s="75" t="s">
        <v>3319</v>
      </c>
      <c r="H179" t="s">
        <v>1552</v>
      </c>
      <c r="I179" t="s">
        <v>1552</v>
      </c>
      <c r="J179" t="s">
        <v>3263</v>
      </c>
      <c r="K179">
        <f>INDEX([7]Coefs!$A$3:$A$234,MATCH($B179,[7]Coefs!$B$3:$B$234,0))</f>
        <v>723</v>
      </c>
      <c r="L179" t="str">
        <f>VLOOKUP(K179,FAO_Sp!$A$2:$B$109,2,0)</f>
        <v>Spices nes</v>
      </c>
      <c r="M179" t="str">
        <f>VLOOKUP(B179,Names_biomass!$A$2:$B$169,2,0)</f>
        <v>Spices</v>
      </c>
    </row>
    <row r="180" spans="1:13" x14ac:dyDescent="0.3">
      <c r="A180" s="86" t="s">
        <v>3320</v>
      </c>
      <c r="B180" s="85" t="s">
        <v>1660</v>
      </c>
      <c r="C180" s="78" t="s">
        <v>1022</v>
      </c>
      <c r="D180" s="77"/>
      <c r="E180" s="76"/>
      <c r="F180" s="75"/>
      <c r="J180" t="s">
        <v>3263</v>
      </c>
      <c r="K180">
        <f>INDEX([7]Coefs!$A$3:$A$234,MATCH($B180,[7]Coefs!$B$3:$B$234,0))</f>
        <v>296</v>
      </c>
      <c r="L180" t="str">
        <f>VLOOKUP(K180,FAO_Sp!$A$2:$B$109,2,0)</f>
        <v>Poppy seed</v>
      </c>
      <c r="M180" t="str">
        <f>VLOOKUP(B180,Names_biomass!$A$2:$B$169,2,0)</f>
        <v>Spices</v>
      </c>
    </row>
    <row r="181" spans="1:13" s="25" customFormat="1" x14ac:dyDescent="0.3">
      <c r="A181" s="74" t="s">
        <v>3321</v>
      </c>
      <c r="B181" s="73" t="str">
        <f>VLOOKUP(A181,Names_Lab!$A$2:$B$198,2,0)</f>
        <v>Tobacco</v>
      </c>
      <c r="C181" s="69" t="s">
        <v>1022</v>
      </c>
      <c r="D181" s="71">
        <v>1204</v>
      </c>
      <c r="E181" s="67">
        <v>820</v>
      </c>
      <c r="F181" s="70" t="s">
        <v>3322</v>
      </c>
      <c r="G181" s="25" t="s">
        <v>3322</v>
      </c>
      <c r="H181" s="25" t="s">
        <v>3323</v>
      </c>
      <c r="I181" s="25" t="s">
        <v>1362</v>
      </c>
      <c r="J181" t="s">
        <v>3263</v>
      </c>
      <c r="K181">
        <f>INDEX([7]Coefs!$A$3:$A$234,MATCH($B181,[7]Coefs!$B$3:$B$234,0))</f>
        <v>826</v>
      </c>
      <c r="L181" t="str">
        <f>VLOOKUP(K181,FAO_Sp!$A$2:$B$109,2,0)</f>
        <v>Tobacco, unmanufactured</v>
      </c>
      <c r="M181" t="str">
        <f>VLOOKUP(B181,Names_biomass!$A$2:$B$169,2,0)</f>
        <v>Tobacco</v>
      </c>
    </row>
    <row r="182" spans="1:13" x14ac:dyDescent="0.3">
      <c r="A182" s="86" t="s">
        <v>3324</v>
      </c>
      <c r="B182" s="85" t="s">
        <v>3325</v>
      </c>
      <c r="C182" s="78" t="s">
        <v>1022</v>
      </c>
      <c r="D182" s="84">
        <v>100</v>
      </c>
      <c r="E182" s="83"/>
      <c r="F182" s="82" t="s">
        <v>3324</v>
      </c>
      <c r="H182" t="s">
        <v>1552</v>
      </c>
      <c r="I182" t="s">
        <v>1552</v>
      </c>
      <c r="J182" t="s">
        <v>3263</v>
      </c>
      <c r="K182">
        <f>INDEX([7]Coefs!$A$3:$A$234,MATCH($B182,[7]Coefs!$B$3:$B$234,0))</f>
        <v>723</v>
      </c>
      <c r="L182" t="str">
        <f>VLOOKUP(K182,FAO_Sp!$A$2:$B$109,2,0)</f>
        <v>Spices nes</v>
      </c>
      <c r="M182" t="str">
        <f>VLOOKUP(B182,Names_biomass!$A$2:$B$169,2,0)</f>
        <v>Spices</v>
      </c>
    </row>
    <row r="183" spans="1:13" s="25" customFormat="1" x14ac:dyDescent="0.3">
      <c r="A183" s="74" t="s">
        <v>3326</v>
      </c>
      <c r="B183" s="73" t="str">
        <f>VLOOKUP(A183,Names_Lab!$A$2:$B$198,2,0)</f>
        <v>Saffron</v>
      </c>
      <c r="C183" s="69" t="s">
        <v>1022</v>
      </c>
      <c r="D183" s="71">
        <v>1001</v>
      </c>
      <c r="E183" s="67">
        <v>1001</v>
      </c>
      <c r="F183" s="70" t="s">
        <v>3327</v>
      </c>
      <c r="H183" s="25" t="s">
        <v>1552</v>
      </c>
      <c r="I183" s="25" t="s">
        <v>1552</v>
      </c>
      <c r="J183" s="25" t="s">
        <v>3263</v>
      </c>
      <c r="K183">
        <f>INDEX([7]Coefs!$A$3:$A$234,MATCH($B183,[7]Coefs!$B$3:$B$234,0))</f>
        <v>0</v>
      </c>
      <c r="L183" t="e">
        <f>VLOOKUP(K183,FAO_Sp!$A$2:$B$109,2,0)</f>
        <v>#N/A</v>
      </c>
      <c r="M183" t="str">
        <f>VLOOKUP(B183,Names_biomass!$A$2:$B$169,2,0)</f>
        <v>Saffron</v>
      </c>
    </row>
    <row r="184" spans="1:13" x14ac:dyDescent="0.3">
      <c r="A184" s="79" t="s">
        <v>3328</v>
      </c>
      <c r="B184" s="73" t="str">
        <f>VLOOKUP(A184,Names_Lab!$A$2:$B$198,2,0)</f>
        <v>Spices, Other</v>
      </c>
      <c r="C184" s="78" t="s">
        <v>1022</v>
      </c>
      <c r="D184" s="77">
        <v>1002</v>
      </c>
      <c r="E184" s="76"/>
      <c r="F184" s="75" t="s">
        <v>3329</v>
      </c>
      <c r="H184" t="s">
        <v>1552</v>
      </c>
      <c r="I184" t="s">
        <v>1552</v>
      </c>
      <c r="J184" t="s">
        <v>3263</v>
      </c>
      <c r="K184">
        <f>INDEX([7]Coefs!$A$3:$A$234,MATCH($B184,[7]Coefs!$B$3:$B$234,0))</f>
        <v>723</v>
      </c>
      <c r="L184" t="str">
        <f>VLOOKUP(K184,FAO_Sp!$A$2:$B$109,2,0)</f>
        <v>Spices nes</v>
      </c>
      <c r="M184" t="str">
        <f>VLOOKUP(B184,Names_biomass!$A$2:$B$169,2,0)</f>
        <v>Spices</v>
      </c>
    </row>
    <row r="185" spans="1:13" x14ac:dyDescent="0.3">
      <c r="A185" s="79" t="s">
        <v>3330</v>
      </c>
      <c r="B185" s="73" t="str">
        <f>VLOOKUP(A185,Names_Lab!$A$2:$B$198,2,0)</f>
        <v>Spices, Other</v>
      </c>
      <c r="C185" s="78" t="s">
        <v>1022</v>
      </c>
      <c r="D185" s="77">
        <v>1003</v>
      </c>
      <c r="E185" s="76"/>
      <c r="F185" s="75" t="s">
        <v>3331</v>
      </c>
      <c r="H185" t="s">
        <v>1552</v>
      </c>
      <c r="I185" t="s">
        <v>1552</v>
      </c>
      <c r="J185" t="s">
        <v>3263</v>
      </c>
      <c r="K185">
        <f>INDEX([7]Coefs!$A$3:$A$234,MATCH($B185,[7]Coefs!$B$3:$B$234,0))</f>
        <v>723</v>
      </c>
      <c r="L185" t="str">
        <f>VLOOKUP(K185,FAO_Sp!$A$2:$B$109,2,0)</f>
        <v>Spices nes</v>
      </c>
      <c r="M185" t="str">
        <f>VLOOKUP(B185,Names_biomass!$A$2:$B$169,2,0)</f>
        <v>Spices</v>
      </c>
    </row>
    <row r="186" spans="1:13" s="25" customFormat="1" x14ac:dyDescent="0.3">
      <c r="A186" s="74" t="s">
        <v>3332</v>
      </c>
      <c r="B186" s="73" t="str">
        <f>VLOOKUP(A186,Names_Lab!$A$2:$B$198,2,0)</f>
        <v>Chili pepper and peppers, dry</v>
      </c>
      <c r="C186" s="69" t="s">
        <v>1022</v>
      </c>
      <c r="D186" s="71">
        <v>1004</v>
      </c>
      <c r="E186" s="67">
        <v>1004</v>
      </c>
      <c r="F186" s="70" t="s">
        <v>3333</v>
      </c>
      <c r="H186" s="25" t="s">
        <v>1552</v>
      </c>
      <c r="I186" s="25" t="s">
        <v>1552</v>
      </c>
      <c r="J186" s="25" t="s">
        <v>3263</v>
      </c>
      <c r="K186">
        <f>INDEX([7]Coefs!$A$3:$A$234,MATCH($B186,[7]Coefs!$B$3:$B$234,0))</f>
        <v>689</v>
      </c>
      <c r="L186" t="str">
        <f>VLOOKUP(K186,FAO_Sp!$A$2:$B$109,2,0)</f>
        <v>Chillies and peppers, dry</v>
      </c>
      <c r="M186" t="str">
        <f>VLOOKUP(B186,Names_biomass!$A$2:$B$169,2,0)</f>
        <v>Peppers_dry</v>
      </c>
    </row>
    <row r="187" spans="1:13" x14ac:dyDescent="0.3">
      <c r="A187" s="86" t="s">
        <v>3334</v>
      </c>
      <c r="B187" s="85" t="s">
        <v>1196</v>
      </c>
      <c r="C187" s="78" t="s">
        <v>1022</v>
      </c>
      <c r="D187" s="77">
        <v>401</v>
      </c>
      <c r="E187" s="76"/>
      <c r="F187" s="75" t="s">
        <v>3335</v>
      </c>
      <c r="H187" t="s">
        <v>1552</v>
      </c>
      <c r="I187" t="s">
        <v>1552</v>
      </c>
      <c r="J187" t="s">
        <v>3263</v>
      </c>
      <c r="K187">
        <f>INDEX([7]Coefs!$A$3:$A$234,MATCH($B187,[7]Coefs!$B$3:$B$234,0))</f>
        <v>459</v>
      </c>
      <c r="L187" t="str">
        <f>VLOOKUP(K187,FAO_Sp!$A$2:$B$109,2,0)</f>
        <v>Chicory roots</v>
      </c>
      <c r="M187" t="str">
        <f>VLOOKUP(B187,Names_biomass!$A$2:$B$169,2,0)</f>
        <v>Vegetables_nes</v>
      </c>
    </row>
    <row r="188" spans="1:13" x14ac:dyDescent="0.3">
      <c r="A188" s="79" t="s">
        <v>3336</v>
      </c>
      <c r="B188" s="73" t="str">
        <f>VLOOKUP(A188,Names_Lab!$A$2:$B$198,2,0)</f>
        <v>Caper</v>
      </c>
      <c r="C188" s="78" t="s">
        <v>1022</v>
      </c>
      <c r="D188" s="77">
        <v>405</v>
      </c>
      <c r="E188" s="76"/>
      <c r="F188" s="75" t="s">
        <v>3337</v>
      </c>
      <c r="H188" t="s">
        <v>1552</v>
      </c>
      <c r="I188" t="s">
        <v>1552</v>
      </c>
      <c r="J188" t="s">
        <v>3263</v>
      </c>
      <c r="K188">
        <f>INDEX([7]Coefs!$A$3:$A$234,MATCH($B188,[7]Coefs!$B$3:$B$234,0))</f>
        <v>0</v>
      </c>
      <c r="L188" t="s">
        <v>1334</v>
      </c>
      <c r="M188" t="str">
        <f>VLOOKUP(B188,Names_biomass!$A$2:$B$169,2,0)</f>
        <v>Vegetables_nes</v>
      </c>
    </row>
    <row r="189" spans="1:13" x14ac:dyDescent="0.3">
      <c r="A189" s="79" t="s">
        <v>3338</v>
      </c>
      <c r="B189" s="73" t="str">
        <f>VLOOKUP(A189,Names_Lab!$A$2:$B$198,2,0)</f>
        <v>Anise</v>
      </c>
      <c r="C189" s="78" t="s">
        <v>1022</v>
      </c>
      <c r="D189" s="77">
        <v>505</v>
      </c>
      <c r="E189" s="76"/>
      <c r="F189" s="75" t="s">
        <v>3339</v>
      </c>
      <c r="H189" t="s">
        <v>1552</v>
      </c>
      <c r="I189" t="s">
        <v>1552</v>
      </c>
      <c r="J189" t="s">
        <v>3263</v>
      </c>
      <c r="K189">
        <f>INDEX([7]Coefs!$A$3:$A$234,MATCH($B189,[7]Coefs!$B$3:$B$234,0))</f>
        <v>711</v>
      </c>
      <c r="L189" t="str">
        <f>VLOOKUP(K189,FAO_Sp!$A$2:$B$109,2,0)</f>
        <v>Anise, badian, fennel, coriander</v>
      </c>
      <c r="M189" t="str">
        <f>VLOOKUP(B189,Names_biomass!$A$2:$B$169,2,0)</f>
        <v>Spices</v>
      </c>
    </row>
    <row r="190" spans="1:13" x14ac:dyDescent="0.3">
      <c r="A190" s="12" t="s">
        <v>3330</v>
      </c>
      <c r="B190" s="73" t="str">
        <f>VLOOKUP(A190,Names_Lab!$A$2:$B$198,2,0)</f>
        <v>Spices, Other</v>
      </c>
      <c r="C190" s="78" t="s">
        <v>1022</v>
      </c>
      <c r="D190" s="77"/>
      <c r="E190" s="76"/>
      <c r="F190" s="75"/>
      <c r="J190" t="s">
        <v>3263</v>
      </c>
      <c r="K190">
        <f>INDEX([7]Coefs!$A$3:$A$234,MATCH($B190,[7]Coefs!$B$3:$B$234,0))</f>
        <v>723</v>
      </c>
      <c r="L190" t="str">
        <f>VLOOKUP(K190,FAO_Sp!$A$2:$B$109,2,0)</f>
        <v>Spices nes</v>
      </c>
      <c r="M190" t="str">
        <f>VLOOKUP(B190,Names_biomass!$A$2:$B$169,2,0)</f>
        <v>Spices</v>
      </c>
    </row>
    <row r="191" spans="1:13" x14ac:dyDescent="0.3">
      <c r="A191" s="79" t="s">
        <v>3340</v>
      </c>
      <c r="B191" s="73" t="str">
        <f>VLOOKUP(A191,Names_Lab!$A$2:$B$198,2,0)</f>
        <v>Groundnuts, with shell</v>
      </c>
      <c r="C191" s="78" t="s">
        <v>1998</v>
      </c>
      <c r="D191" s="77">
        <v>508</v>
      </c>
      <c r="E191" s="76"/>
      <c r="F191" s="75" t="s">
        <v>3340</v>
      </c>
      <c r="H191" t="s">
        <v>1552</v>
      </c>
      <c r="I191" t="s">
        <v>1552</v>
      </c>
      <c r="J191" t="s">
        <v>3263</v>
      </c>
      <c r="K191">
        <f>INDEX([7]Coefs!$A$3:$A$234,MATCH($B191,[7]Coefs!$B$3:$B$234,0))</f>
        <v>242</v>
      </c>
      <c r="L191" t="str">
        <f>VLOOKUP(K191,FAO_Sp!$A$2:$B$109,2,0)</f>
        <v>Groundnuts, with shell</v>
      </c>
      <c r="M191" t="str">
        <f>VLOOKUP(B191,Names_biomass!$A$2:$B$169,2,0)</f>
        <v>Groundnuts</v>
      </c>
    </row>
    <row r="192" spans="1:13" x14ac:dyDescent="0.3">
      <c r="A192" s="79" t="s">
        <v>3341</v>
      </c>
      <c r="B192" s="73" t="str">
        <f>VLOOKUP(A192,Names_Lab!$A$2:$B$198,2,0)</f>
        <v>Sweet potato</v>
      </c>
      <c r="C192" s="78" t="s">
        <v>1566</v>
      </c>
      <c r="D192" s="77">
        <v>300</v>
      </c>
      <c r="E192" s="76"/>
      <c r="F192" s="75" t="s">
        <v>3342</v>
      </c>
      <c r="H192" t="s">
        <v>1552</v>
      </c>
      <c r="I192" t="s">
        <v>1552</v>
      </c>
      <c r="J192" t="s">
        <v>2969</v>
      </c>
      <c r="K192">
        <f>INDEX([7]Coefs!$A$3:$A$234,MATCH($B192,[7]Coefs!$B$3:$B$234,0))</f>
        <v>122</v>
      </c>
      <c r="L192" t="str">
        <f>VLOOKUP(K192,FAO_Sp!$A$2:$B$109,2,0)</f>
        <v>Sweet potatoes</v>
      </c>
      <c r="M192" t="str">
        <f>VLOOKUP(B192,Names_biomass!$A$2:$B$169,2,0)</f>
        <v>Roots_nes</v>
      </c>
    </row>
    <row r="193" spans="1:13" s="25" customFormat="1" x14ac:dyDescent="0.3">
      <c r="A193" s="74" t="s">
        <v>3343</v>
      </c>
      <c r="B193" s="73" t="str">
        <f>VLOOKUP(A193,Names_Lab!$A$2:$B$198,2,0)</f>
        <v>Giant reed</v>
      </c>
      <c r="C193" s="69" t="s">
        <v>1022</v>
      </c>
      <c r="D193" s="71">
        <v>902</v>
      </c>
      <c r="E193" s="67">
        <v>821</v>
      </c>
      <c r="F193" s="70" t="s">
        <v>3344</v>
      </c>
      <c r="H193" s="25" t="s">
        <v>1552</v>
      </c>
      <c r="I193" s="25" t="s">
        <v>1552</v>
      </c>
      <c r="J193" s="25" t="s">
        <v>3263</v>
      </c>
      <c r="K193">
        <f>INDEX([7]Coefs!$A$3:$A$234,MATCH($B193,[7]Coefs!$B$3:$B$234,0))</f>
        <v>0</v>
      </c>
      <c r="L193" t="e">
        <f>VLOOKUP(K193,FAO_Sp!$A$2:$B$109,2,0)</f>
        <v>#N/A</v>
      </c>
      <c r="M193" t="str">
        <f>VLOOKUP(B193,Names_biomass!$A$2:$B$169,2,0)</f>
        <v>Giant_reed</v>
      </c>
    </row>
    <row r="194" spans="1:13" x14ac:dyDescent="0.3">
      <c r="A194" s="79" t="s">
        <v>3345</v>
      </c>
      <c r="B194" s="73" t="str">
        <f>VLOOKUP(A194,Names_Lab!$A$2:$B$198,2,0)</f>
        <v>Spices, Other</v>
      </c>
      <c r="C194" s="78" t="s">
        <v>1022</v>
      </c>
      <c r="D194" s="77">
        <v>514</v>
      </c>
      <c r="E194" s="76"/>
      <c r="F194" s="75" t="s">
        <v>3346</v>
      </c>
      <c r="H194" t="s">
        <v>1552</v>
      </c>
      <c r="I194" t="s">
        <v>1552</v>
      </c>
      <c r="J194" t="s">
        <v>3263</v>
      </c>
      <c r="K194">
        <f>INDEX([7]Coefs!$A$3:$A$234,MATCH($B194,[7]Coefs!$B$3:$B$234,0))</f>
        <v>723</v>
      </c>
      <c r="L194" t="str">
        <f>VLOOKUP(K194,FAO_Sp!$A$2:$B$109,2,0)</f>
        <v>Spices nes</v>
      </c>
      <c r="M194" t="str">
        <f>VLOOKUP(B194,Names_biomass!$A$2:$B$169,2,0)</f>
        <v>Spices</v>
      </c>
    </row>
    <row r="195" spans="1:13" s="25" customFormat="1" x14ac:dyDescent="0.3">
      <c r="A195" s="74" t="s">
        <v>3347</v>
      </c>
      <c r="B195" s="73" t="str">
        <f>VLOOKUP(A195,Names_Lab!$A$2:$B$198,2,0)</f>
        <v>Sunflower seed</v>
      </c>
      <c r="C195" s="69" t="s">
        <v>1998</v>
      </c>
      <c r="D195" s="71">
        <v>808</v>
      </c>
      <c r="E195" s="67">
        <v>808</v>
      </c>
      <c r="F195" s="70" t="s">
        <v>3348</v>
      </c>
      <c r="G195" s="25" t="s">
        <v>3348</v>
      </c>
      <c r="H195" s="25" t="s">
        <v>664</v>
      </c>
      <c r="I195" s="25" t="s">
        <v>3349</v>
      </c>
      <c r="J195" s="25" t="s">
        <v>3263</v>
      </c>
      <c r="K195">
        <f>INDEX([7]Coefs!$A$3:$A$234,MATCH($B195,[7]Coefs!$B$3:$B$234,0))</f>
        <v>267</v>
      </c>
      <c r="L195" t="str">
        <f>VLOOKUP(K195,FAO_Sp!$A$2:$B$109,2,0)</f>
        <v>Sunflower seed</v>
      </c>
      <c r="M195" t="str">
        <f>VLOOKUP(B195,Names_biomass!$A$2:$B$169,2,0)</f>
        <v>Sunflowerseed</v>
      </c>
    </row>
    <row r="196" spans="1:13" x14ac:dyDescent="0.3">
      <c r="A196" s="79" t="s">
        <v>3350</v>
      </c>
      <c r="B196" s="73" t="str">
        <f>VLOOKUP(A196,Names_Lab!$A$2:$B$198,2,0)</f>
        <v>Fruits</v>
      </c>
      <c r="C196" s="78" t="s">
        <v>3265</v>
      </c>
      <c r="D196" s="77">
        <v>531</v>
      </c>
      <c r="E196" s="76"/>
      <c r="F196" s="75" t="s">
        <v>3351</v>
      </c>
      <c r="G196" t="s">
        <v>3352</v>
      </c>
      <c r="H196" t="s">
        <v>3353</v>
      </c>
      <c r="I196" t="s">
        <v>3354</v>
      </c>
      <c r="J196" t="s">
        <v>3263</v>
      </c>
      <c r="K196">
        <f>INDEX([7]Coefs!$A$3:$A$234,MATCH($B196,[7]Coefs!$B$3:$B$234,0))</f>
        <v>619</v>
      </c>
      <c r="L196" t="str">
        <f>VLOOKUP(K196,FAO_Sp!$A$2:$B$109,2,0)</f>
        <v>Fruit, fresh nes</v>
      </c>
      <c r="M196" t="str">
        <f>VLOOKUP(B196,Names_biomass!$A$2:$B$169,2,0)</f>
        <v>Fruits_nes</v>
      </c>
    </row>
    <row r="197" spans="1:13" s="25" customFormat="1" x14ac:dyDescent="0.3">
      <c r="A197" s="74" t="s">
        <v>3355</v>
      </c>
      <c r="B197" s="73" t="str">
        <f>VLOOKUP(A197,Names_Lab!$A$2:$B$198,2,0)</f>
        <v>Fruits</v>
      </c>
      <c r="C197" s="69" t="s">
        <v>3265</v>
      </c>
      <c r="D197" s="71">
        <v>536</v>
      </c>
      <c r="E197" s="67">
        <v>536</v>
      </c>
      <c r="F197" s="70" t="s">
        <v>3356</v>
      </c>
      <c r="H197" s="25" t="s">
        <v>1552</v>
      </c>
      <c r="I197" s="25" t="s">
        <v>1552</v>
      </c>
      <c r="J197" s="25" t="s">
        <v>3263</v>
      </c>
      <c r="K197">
        <f>INDEX([7]Coefs!$A$3:$A$234,MATCH($B197,[7]Coefs!$B$3:$B$234,0))</f>
        <v>619</v>
      </c>
      <c r="L197" t="str">
        <f>VLOOKUP(K197,FAO_Sp!$A$2:$B$109,2,0)</f>
        <v>Fruit, fresh nes</v>
      </c>
      <c r="M197" t="str">
        <f>VLOOKUP(B197,Names_biomass!$A$2:$B$169,2,0)</f>
        <v>Fruits_nes</v>
      </c>
    </row>
    <row r="198" spans="1:13" x14ac:dyDescent="0.3">
      <c r="A198" s="79" t="s">
        <v>3357</v>
      </c>
      <c r="B198" s="73" t="str">
        <f>VLOOKUP(A198,Names_Lab!$A$2:$B$198,2,0)</f>
        <v>Fruits</v>
      </c>
      <c r="C198" s="78" t="s">
        <v>3265</v>
      </c>
      <c r="D198" s="77">
        <v>544</v>
      </c>
      <c r="E198" s="76"/>
      <c r="F198" s="75" t="s">
        <v>3358</v>
      </c>
      <c r="H198" t="s">
        <v>1552</v>
      </c>
      <c r="I198" t="s">
        <v>1552</v>
      </c>
      <c r="J198" t="s">
        <v>3263</v>
      </c>
      <c r="K198">
        <f>INDEX([7]Coefs!$A$3:$A$234,MATCH($B198,[7]Coefs!$B$3:$B$234,0))</f>
        <v>619</v>
      </c>
      <c r="L198" t="str">
        <f>VLOOKUP(K198,FAO_Sp!$A$2:$B$109,2,0)</f>
        <v>Fruit, fresh nes</v>
      </c>
      <c r="M198" t="str">
        <f>VLOOKUP(B198,Names_biomass!$A$2:$B$169,2,0)</f>
        <v>Fruits_nes</v>
      </c>
    </row>
    <row r="199" spans="1:13" x14ac:dyDescent="0.3">
      <c r="A199" s="79" t="s">
        <v>3359</v>
      </c>
      <c r="B199" s="73" t="str">
        <f>VLOOKUP(A199,Names_Lab!$A$2:$B$198,2,0)</f>
        <v>Fruits</v>
      </c>
      <c r="C199" s="78" t="s">
        <v>3265</v>
      </c>
      <c r="D199" s="77">
        <v>810</v>
      </c>
      <c r="E199" s="76"/>
      <c r="F199" s="75" t="s">
        <v>3360</v>
      </c>
      <c r="H199" t="s">
        <v>1552</v>
      </c>
      <c r="I199" t="s">
        <v>1552</v>
      </c>
      <c r="J199" t="s">
        <v>3263</v>
      </c>
      <c r="K199">
        <f>INDEX([7]Coefs!$A$3:$A$234,MATCH($B199,[7]Coefs!$B$3:$B$234,0))</f>
        <v>619</v>
      </c>
      <c r="L199" t="str">
        <f>VLOOKUP(K199,FAO_Sp!$A$2:$B$109,2,0)</f>
        <v>Fruit, fresh nes</v>
      </c>
      <c r="M199" t="str">
        <f>VLOOKUP(B199,Names_biomass!$A$2:$B$169,2,0)</f>
        <v>Fruits_nes</v>
      </c>
    </row>
    <row r="200" spans="1:13" x14ac:dyDescent="0.3">
      <c r="A200" s="79" t="s">
        <v>3361</v>
      </c>
      <c r="B200" s="73" t="str">
        <f>VLOOKUP(A200,Names_Lab!$A$2:$B$198,2,0)</f>
        <v>Fruits</v>
      </c>
      <c r="C200" s="78" t="s">
        <v>3265</v>
      </c>
      <c r="D200" s="77">
        <v>546</v>
      </c>
      <c r="E200" s="76"/>
      <c r="F200" s="75" t="s">
        <v>3362</v>
      </c>
      <c r="H200" t="s">
        <v>1552</v>
      </c>
      <c r="I200" t="s">
        <v>1552</v>
      </c>
      <c r="J200" t="s">
        <v>3263</v>
      </c>
      <c r="K200">
        <f>INDEX([7]Coefs!$A$3:$A$234,MATCH($B200,[7]Coefs!$B$3:$B$234,0))</f>
        <v>619</v>
      </c>
      <c r="L200" t="str">
        <f>VLOOKUP(K200,FAO_Sp!$A$2:$B$109,2,0)</f>
        <v>Fruit, fresh nes</v>
      </c>
      <c r="M200" t="str">
        <f>VLOOKUP(B200,Names_biomass!$A$2:$B$169,2,0)</f>
        <v>Fruits_nes</v>
      </c>
    </row>
    <row r="201" spans="1:13" x14ac:dyDescent="0.3">
      <c r="A201" s="86" t="s">
        <v>3363</v>
      </c>
      <c r="B201" s="85" t="s">
        <v>1706</v>
      </c>
      <c r="C201" s="87" t="s">
        <v>1022</v>
      </c>
      <c r="D201" s="77"/>
      <c r="E201" s="76"/>
      <c r="F201" s="75"/>
      <c r="G201" t="s">
        <v>3364</v>
      </c>
      <c r="H201" t="s">
        <v>423</v>
      </c>
      <c r="I201" t="s">
        <v>3365</v>
      </c>
      <c r="J201" t="s">
        <v>3263</v>
      </c>
      <c r="K201">
        <f>INDEX([7]Coefs!$A$3:$A$234,MATCH($B201,[7]Coefs!$B$3:$B$234,0))</f>
        <v>449</v>
      </c>
      <c r="L201" t="str">
        <f>VLOOKUP(K201,FAO_Sp!$A$2:$B$109,2,0)</f>
        <v>Mushrooms and truffles</v>
      </c>
      <c r="M201" t="str">
        <f>VLOOKUP(B201,Names_biomass!$A$2:$B$169,2,0)</f>
        <v>Mushrooms</v>
      </c>
    </row>
    <row r="202" spans="1:13" x14ac:dyDescent="0.3">
      <c r="A202" s="86" t="s">
        <v>3366</v>
      </c>
      <c r="B202" s="85" t="s">
        <v>1338</v>
      </c>
      <c r="C202" s="87" t="s">
        <v>1022</v>
      </c>
      <c r="D202" s="77"/>
      <c r="E202" s="76"/>
      <c r="F202" s="75"/>
      <c r="J202" t="s">
        <v>3263</v>
      </c>
      <c r="K202">
        <f>INDEX([7]Coefs!$A$3:$A$234,MATCH($B202,[7]Coefs!$B$3:$B$234,0))</f>
        <v>754</v>
      </c>
      <c r="L202" t="str">
        <f>VLOOKUP(K202,FAO_Sp!$A$2:$B$109,2,0)</f>
        <v>Pyrethrum, dried</v>
      </c>
      <c r="M202" t="str">
        <f>VLOOKUP(B202,Names_biomass!$A$2:$B$169,2,0)</f>
        <v>Spices</v>
      </c>
    </row>
    <row r="203" spans="1:13" x14ac:dyDescent="0.3">
      <c r="A203" s="86" t="s">
        <v>3367</v>
      </c>
      <c r="B203" s="85" t="s">
        <v>1771</v>
      </c>
      <c r="C203" s="78" t="s">
        <v>3368</v>
      </c>
      <c r="D203" s="84">
        <v>110</v>
      </c>
      <c r="E203" s="83"/>
      <c r="F203" s="82" t="s">
        <v>3369</v>
      </c>
      <c r="H203" t="s">
        <v>1552</v>
      </c>
      <c r="I203" t="s">
        <v>1552</v>
      </c>
      <c r="J203" t="s">
        <v>3370</v>
      </c>
      <c r="K203" t="str">
        <f>INDEX([7]Coefs!$A$3:$A$234,MATCH($B203,[7]Coefs!$B$3:$B$234,0))</f>
        <v>H51</v>
      </c>
      <c r="L203" s="12" t="str">
        <f t="shared" ref="L203:L243" si="0">B203</f>
        <v>Fodder, other</v>
      </c>
      <c r="M203" t="str">
        <f>VLOOKUP(B203,Names_biomass!$A$2:$B$169,2,0)</f>
        <v>Fodder_other</v>
      </c>
    </row>
    <row r="204" spans="1:13" x14ac:dyDescent="0.3">
      <c r="A204" s="79" t="s">
        <v>3371</v>
      </c>
      <c r="B204" s="73" t="str">
        <f>VLOOKUP(A204,Names_Lab!$A$2:$B$198,2,0)</f>
        <v>Alfalfa</v>
      </c>
      <c r="C204" s="78" t="s">
        <v>3368</v>
      </c>
      <c r="D204" s="77">
        <v>1101</v>
      </c>
      <c r="E204" s="76"/>
      <c r="F204" s="75" t="s">
        <v>3372</v>
      </c>
      <c r="H204" t="s">
        <v>1552</v>
      </c>
      <c r="I204" t="s">
        <v>1552</v>
      </c>
      <c r="J204" t="s">
        <v>3370</v>
      </c>
      <c r="K204" t="str">
        <f>INDEX([7]Coefs!$A$3:$A$234,MATCH($B204,[7]Coefs!$B$3:$B$234,0))</f>
        <v>H39</v>
      </c>
      <c r="L204" s="12" t="str">
        <f t="shared" si="0"/>
        <v>Alfalfa</v>
      </c>
      <c r="M204" t="str">
        <f>VLOOKUP(B204,Names_biomass!$A$2:$B$169,2,0)</f>
        <v>Alfalfa</v>
      </c>
    </row>
    <row r="205" spans="1:13" s="25" customFormat="1" x14ac:dyDescent="0.3">
      <c r="A205" s="74" t="s">
        <v>3373</v>
      </c>
      <c r="B205" s="73" t="str">
        <f>VLOOKUP(A205,Names_Lab!$A$2:$B$198,2,0)</f>
        <v>Alfalfa</v>
      </c>
      <c r="C205" s="69" t="s">
        <v>1769</v>
      </c>
      <c r="D205" s="71">
        <v>1102</v>
      </c>
      <c r="E205" s="67">
        <v>1101</v>
      </c>
      <c r="F205" s="70" t="s">
        <v>1769</v>
      </c>
      <c r="G205" s="25" t="s">
        <v>1769</v>
      </c>
      <c r="H205" s="25" t="s">
        <v>3374</v>
      </c>
      <c r="I205" s="25" t="s">
        <v>3375</v>
      </c>
      <c r="J205" s="25" t="s">
        <v>3370</v>
      </c>
      <c r="K205" t="str">
        <f>INDEX([7]Coefs!$A$3:$A$234,MATCH($B205,[7]Coefs!$B$3:$B$234,0))</f>
        <v>H39</v>
      </c>
      <c r="L205" s="12" t="str">
        <f t="shared" si="0"/>
        <v>Alfalfa</v>
      </c>
      <c r="M205" t="str">
        <f>VLOOKUP(B205,Names_biomass!$A$2:$B$169,2,0)</f>
        <v>Alfalfa</v>
      </c>
    </row>
    <row r="206" spans="1:13" x14ac:dyDescent="0.3">
      <c r="A206" s="79" t="s">
        <v>3376</v>
      </c>
      <c r="B206" s="73" t="str">
        <f>VLOOKUP(A206,Names_Lab!$A$2:$B$198,2,0)</f>
        <v>Other legumes for green fodder</v>
      </c>
      <c r="C206" s="78" t="s">
        <v>3368</v>
      </c>
      <c r="D206" s="77">
        <v>1103</v>
      </c>
      <c r="E206" s="76"/>
      <c r="F206" s="75" t="s">
        <v>3377</v>
      </c>
      <c r="H206" t="s">
        <v>1552</v>
      </c>
      <c r="I206" t="s">
        <v>1552</v>
      </c>
      <c r="J206" t="s">
        <v>3370</v>
      </c>
      <c r="K206" t="str">
        <f>INDEX([7]Coefs!$A$3:$A$234,MATCH($B206,[7]Coefs!$B$3:$B$234,0))</f>
        <v>H44</v>
      </c>
      <c r="L206" s="12" t="str">
        <f t="shared" si="0"/>
        <v>Other legumes for green fodder</v>
      </c>
      <c r="M206" t="str">
        <f>VLOOKUP(B206,Names_biomass!$A$2:$B$169,2,0)</f>
        <v>Legumes_fodder</v>
      </c>
    </row>
    <row r="207" spans="1:13" x14ac:dyDescent="0.3">
      <c r="A207" s="79" t="s">
        <v>3378</v>
      </c>
      <c r="B207" s="73" t="str">
        <f>VLOOKUP(A207,Names_Lab!$A$2:$B$198,2,0)</f>
        <v>Other legumes for green fodder</v>
      </c>
      <c r="C207" s="78" t="s">
        <v>3368</v>
      </c>
      <c r="D207" s="77">
        <v>1104</v>
      </c>
      <c r="E207" s="76"/>
      <c r="F207" s="75" t="s">
        <v>3379</v>
      </c>
      <c r="H207" t="s">
        <v>1552</v>
      </c>
      <c r="I207" t="s">
        <v>1552</v>
      </c>
      <c r="J207" t="s">
        <v>3370</v>
      </c>
      <c r="K207" t="str">
        <f>INDEX([7]Coefs!$A$3:$A$234,MATCH($B207,[7]Coefs!$B$3:$B$234,0))</f>
        <v>H44</v>
      </c>
      <c r="L207" s="12" t="str">
        <f t="shared" si="0"/>
        <v>Other legumes for green fodder</v>
      </c>
      <c r="M207" t="str">
        <f>VLOOKUP(B207,Names_biomass!$A$2:$B$169,2,0)</f>
        <v>Legumes_fodder</v>
      </c>
    </row>
    <row r="208" spans="1:13" s="25" customFormat="1" x14ac:dyDescent="0.3">
      <c r="A208" s="74" t="s">
        <v>3380</v>
      </c>
      <c r="B208" s="73" t="str">
        <f>VLOOKUP(A208,Names_Lab!$A$2:$B$198,2,0)</f>
        <v>Oats, green</v>
      </c>
      <c r="C208" s="69" t="s">
        <v>3368</v>
      </c>
      <c r="D208" s="71">
        <v>1105</v>
      </c>
      <c r="E208" s="67">
        <v>1105</v>
      </c>
      <c r="F208" s="70" t="s">
        <v>3381</v>
      </c>
      <c r="H208" s="25" t="s">
        <v>1552</v>
      </c>
      <c r="I208" s="25" t="s">
        <v>1552</v>
      </c>
      <c r="J208" s="25" t="s">
        <v>3370</v>
      </c>
      <c r="K208" t="s">
        <v>3382</v>
      </c>
      <c r="L208" s="12" t="str">
        <f t="shared" si="0"/>
        <v>Oats, green</v>
      </c>
      <c r="M208" t="str">
        <f>VLOOKUP(B208,Names_biomass!$A$2:$B$169,2,0)</f>
        <v>Cereals_green</v>
      </c>
    </row>
    <row r="209" spans="1:13" s="25" customFormat="1" x14ac:dyDescent="0.3">
      <c r="A209" s="74" t="s">
        <v>3383</v>
      </c>
      <c r="B209" s="73" t="str">
        <f>VLOOKUP(A209,Names_Lab!$A$2:$B$198,2,0)</f>
        <v>Brome</v>
      </c>
      <c r="C209" s="69" t="s">
        <v>3368</v>
      </c>
      <c r="D209" s="71">
        <v>1106</v>
      </c>
      <c r="E209" s="67">
        <v>1106</v>
      </c>
      <c r="F209" s="70" t="s">
        <v>3384</v>
      </c>
      <c r="G209" s="25" t="s">
        <v>3384</v>
      </c>
      <c r="H209" s="25" t="s">
        <v>3385</v>
      </c>
      <c r="I209" s="25" t="s">
        <v>3386</v>
      </c>
      <c r="J209" s="25" t="s">
        <v>3370</v>
      </c>
      <c r="K209" t="s">
        <v>3387</v>
      </c>
      <c r="L209" s="12" t="str">
        <f t="shared" si="0"/>
        <v>Brome</v>
      </c>
      <c r="M209" t="str">
        <f>VLOOKUP(B209,Names_biomass!$A$2:$B$169,2,0)</f>
        <v>Grasses_fodder</v>
      </c>
    </row>
    <row r="210" spans="1:13" x14ac:dyDescent="0.3">
      <c r="A210" s="79" t="s">
        <v>3388</v>
      </c>
      <c r="B210" s="73" t="str">
        <f>VLOOKUP(A210,Names_Lab!$A$2:$B$198,2,0)</f>
        <v>Squash, for fodder</v>
      </c>
      <c r="C210" s="78" t="s">
        <v>3368</v>
      </c>
      <c r="D210" s="77">
        <v>1107</v>
      </c>
      <c r="E210" s="76"/>
      <c r="F210" s="75" t="s">
        <v>3389</v>
      </c>
      <c r="H210" t="s">
        <v>1552</v>
      </c>
      <c r="I210" t="s">
        <v>1552</v>
      </c>
      <c r="J210" t="s">
        <v>3370</v>
      </c>
      <c r="K210" t="str">
        <f>INDEX([7]Coefs!$A$3:$A$234,MATCH($B210,[7]Coefs!$B$3:$B$234,0))</f>
        <v>H47</v>
      </c>
      <c r="L210" s="12" t="str">
        <f t="shared" si="0"/>
        <v>Squash, for fodder</v>
      </c>
      <c r="M210" t="str">
        <f>VLOOKUP(B210,Names_biomass!$A$2:$B$169,2,0)</f>
        <v>Squash_fodder</v>
      </c>
    </row>
    <row r="211" spans="1:13" x14ac:dyDescent="0.3">
      <c r="A211" s="79" t="s">
        <v>3390</v>
      </c>
      <c r="B211" s="73" t="str">
        <f>VLOOKUP(A211,Names_Lab!$A$2:$B$198,2,0)</f>
        <v>Jerusalem artichoke</v>
      </c>
      <c r="C211" s="78" t="s">
        <v>3368</v>
      </c>
      <c r="D211" s="77">
        <v>1108</v>
      </c>
      <c r="E211" s="76"/>
      <c r="F211" s="75" t="s">
        <v>3391</v>
      </c>
      <c r="G211" t="s">
        <v>3392</v>
      </c>
      <c r="H211" t="s">
        <v>3393</v>
      </c>
      <c r="I211" t="s">
        <v>3394</v>
      </c>
      <c r="J211" t="s">
        <v>3370</v>
      </c>
      <c r="K211" t="s">
        <v>3395</v>
      </c>
      <c r="L211" s="12" t="str">
        <f t="shared" si="0"/>
        <v>Jerusalem artichoke</v>
      </c>
      <c r="M211" t="str">
        <f>VLOOKUP(B211,Names_biomass!$A$2:$B$169,2,0)</f>
        <v>Fodder_other</v>
      </c>
    </row>
    <row r="212" spans="1:13" s="25" customFormat="1" x14ac:dyDescent="0.3">
      <c r="A212" s="74" t="s">
        <v>3396</v>
      </c>
      <c r="B212" s="73" t="str">
        <f>VLOOKUP(A212,Names_Lab!$A$2:$B$198,2,0)</f>
        <v>Cereals, green</v>
      </c>
      <c r="C212" s="69" t="s">
        <v>3368</v>
      </c>
      <c r="D212" s="71">
        <v>1109</v>
      </c>
      <c r="E212" s="67">
        <v>1109</v>
      </c>
      <c r="F212" s="70" t="s">
        <v>3397</v>
      </c>
      <c r="H212" s="25" t="s">
        <v>1552</v>
      </c>
      <c r="I212" s="25" t="s">
        <v>1552</v>
      </c>
      <c r="J212" s="25" t="s">
        <v>3370</v>
      </c>
      <c r="K212" t="str">
        <f>INDEX([7]Coefs!$A$3:$A$234,MATCH($B212,[7]Coefs!$B$3:$B$234,0))</f>
        <v>H35</v>
      </c>
      <c r="L212" s="12" t="str">
        <f t="shared" si="0"/>
        <v>Cereals, green</v>
      </c>
      <c r="M212" t="str">
        <f>VLOOKUP(B212,Names_biomass!$A$2:$B$169,2,0)</f>
        <v>Cereals_green</v>
      </c>
    </row>
    <row r="213" spans="1:13" s="25" customFormat="1" x14ac:dyDescent="0.3">
      <c r="A213" s="74" t="s">
        <v>3398</v>
      </c>
      <c r="B213" s="73" t="str">
        <f>VLOOKUP(A213,Names_Lab!$A$2:$B$198,2,0)</f>
        <v>Cereals, green</v>
      </c>
      <c r="C213" s="69" t="s">
        <v>3368</v>
      </c>
      <c r="D213" s="71">
        <v>1110</v>
      </c>
      <c r="E213" s="67">
        <v>1110</v>
      </c>
      <c r="F213" s="70" t="s">
        <v>3399</v>
      </c>
      <c r="H213" s="25" t="s">
        <v>1552</v>
      </c>
      <c r="I213" s="25" t="s">
        <v>1552</v>
      </c>
      <c r="J213" s="25" t="s">
        <v>3370</v>
      </c>
      <c r="K213" t="str">
        <f>INDEX([7]Coefs!$A$3:$A$234,MATCH($B213,[7]Coefs!$B$3:$B$234,0))</f>
        <v>H35</v>
      </c>
      <c r="L213" s="12" t="str">
        <f t="shared" si="0"/>
        <v>Cereals, green</v>
      </c>
      <c r="M213" t="str">
        <f>VLOOKUP(B213,Names_biomass!$A$2:$B$169,2,0)</f>
        <v>Cereals_green</v>
      </c>
    </row>
    <row r="214" spans="1:13" s="25" customFormat="1" x14ac:dyDescent="0.3">
      <c r="A214" s="74" t="s">
        <v>3400</v>
      </c>
      <c r="B214" s="73" t="str">
        <f>VLOOKUP(A214,Names_Lab!$A$2:$B$198,2,0)</f>
        <v>Cereals, green</v>
      </c>
      <c r="C214" s="69" t="s">
        <v>3368</v>
      </c>
      <c r="D214" s="71">
        <v>1111</v>
      </c>
      <c r="E214" s="67">
        <v>1140</v>
      </c>
      <c r="F214" s="70" t="s">
        <v>3401</v>
      </c>
      <c r="G214" s="25" t="s">
        <v>3402</v>
      </c>
      <c r="H214" s="25" t="s">
        <v>3403</v>
      </c>
      <c r="I214" s="25" t="s">
        <v>3404</v>
      </c>
      <c r="J214" s="25" t="s">
        <v>3370</v>
      </c>
      <c r="K214" t="str">
        <f>INDEX([7]Coefs!$A$3:$A$234,MATCH($B214,[7]Coefs!$B$3:$B$234,0))</f>
        <v>H35</v>
      </c>
      <c r="L214" s="12" t="str">
        <f t="shared" si="0"/>
        <v>Cereals, green</v>
      </c>
      <c r="M214" t="str">
        <f>VLOOKUP(B214,Names_biomass!$A$2:$B$169,2,0)</f>
        <v>Cereals_green</v>
      </c>
    </row>
    <row r="215" spans="1:13" x14ac:dyDescent="0.3">
      <c r="A215" s="79" t="s">
        <v>3405</v>
      </c>
      <c r="B215" s="73" t="str">
        <f>VLOOKUP(A215,Names_Lab!$A$2:$B$198,2,0)</f>
        <v>Other roots and tubers for fodder</v>
      </c>
      <c r="C215" s="78" t="s">
        <v>3368</v>
      </c>
      <c r="D215" s="77">
        <v>1112</v>
      </c>
      <c r="E215" s="76"/>
      <c r="F215" s="75" t="s">
        <v>3406</v>
      </c>
      <c r="H215" t="s">
        <v>1552</v>
      </c>
      <c r="I215" t="s">
        <v>1552</v>
      </c>
      <c r="J215" t="s">
        <v>3370</v>
      </c>
      <c r="K215" t="s">
        <v>3407</v>
      </c>
      <c r="L215" s="12" t="str">
        <f t="shared" si="0"/>
        <v>Other roots and tubers for fodder</v>
      </c>
      <c r="M215" t="str">
        <f>VLOOKUP(B215,Names_biomass!$A$2:$B$169,2,0)</f>
        <v>Fodder_other</v>
      </c>
    </row>
    <row r="216" spans="1:13" s="25" customFormat="1" x14ac:dyDescent="0.3">
      <c r="A216" s="74" t="s">
        <v>3408</v>
      </c>
      <c r="B216" s="73" t="str">
        <f>VLOOKUP(A216,Names_Lab!$A$2:$B$198,2,0)</f>
        <v>Fodder cabbage</v>
      </c>
      <c r="C216" s="69" t="s">
        <v>3368</v>
      </c>
      <c r="D216" s="71">
        <v>1113</v>
      </c>
      <c r="E216" s="67">
        <v>1113</v>
      </c>
      <c r="F216" s="70" t="s">
        <v>3409</v>
      </c>
      <c r="H216" s="25" t="s">
        <v>1552</v>
      </c>
      <c r="I216" s="25" t="s">
        <v>1552</v>
      </c>
      <c r="J216" s="25" t="s">
        <v>3370</v>
      </c>
      <c r="K216" t="str">
        <f>INDEX([7]Coefs!$A$3:$A$234,MATCH($B216,[7]Coefs!$B$3:$B$234,0))</f>
        <v>H46</v>
      </c>
      <c r="L216" s="12" t="str">
        <f t="shared" si="0"/>
        <v>Fodder cabbage</v>
      </c>
      <c r="M216" t="str">
        <f>VLOOKUP(B216,Names_biomass!$A$2:$B$169,2,0)</f>
        <v>Cabbage_fodder</v>
      </c>
    </row>
    <row r="217" spans="1:13" s="25" customFormat="1" x14ac:dyDescent="0.3">
      <c r="A217" s="74" t="s">
        <v>3410</v>
      </c>
      <c r="B217" s="73" t="str">
        <f>VLOOKUP(A217,Names_Lab!$A$2:$B$198,2,0)</f>
        <v>Common sainfoin</v>
      </c>
      <c r="C217" s="69" t="s">
        <v>3368</v>
      </c>
      <c r="D217" s="71">
        <v>1114</v>
      </c>
      <c r="E217" s="67">
        <v>1114</v>
      </c>
      <c r="F217" s="70" t="s">
        <v>3411</v>
      </c>
      <c r="G217" s="25" t="s">
        <v>3411</v>
      </c>
      <c r="H217" s="25" t="s">
        <v>3412</v>
      </c>
      <c r="I217" s="25" t="s">
        <v>2163</v>
      </c>
      <c r="J217" s="25" t="s">
        <v>3370</v>
      </c>
      <c r="K217" t="str">
        <f>INDEX([7]Coefs!$A$3:$A$234,MATCH($B217,[7]Coefs!$B$3:$B$234,0))</f>
        <v>H41</v>
      </c>
      <c r="L217" s="12" t="str">
        <f t="shared" si="0"/>
        <v>Common sainfoin</v>
      </c>
      <c r="M217" t="str">
        <f>VLOOKUP(B217,Names_biomass!$A$2:$B$169,2,0)</f>
        <v>Common_sainfoin</v>
      </c>
    </row>
    <row r="218" spans="1:13" x14ac:dyDescent="0.3">
      <c r="A218" s="79" t="s">
        <v>3413</v>
      </c>
      <c r="B218" s="73" t="str">
        <f>VLOOKUP(A218,Names_Lab!$A$2:$B$198,2,0)</f>
        <v>Pea, green, for fodder</v>
      </c>
      <c r="C218" s="78" t="s">
        <v>3368</v>
      </c>
      <c r="D218" s="77">
        <v>1115</v>
      </c>
      <c r="E218" s="76"/>
      <c r="F218" s="75" t="s">
        <v>3414</v>
      </c>
      <c r="H218" t="s">
        <v>1552</v>
      </c>
      <c r="I218" t="s">
        <v>1552</v>
      </c>
      <c r="J218" t="s">
        <v>3370</v>
      </c>
      <c r="K218" t="s">
        <v>3415</v>
      </c>
      <c r="L218" s="12" t="str">
        <f t="shared" si="0"/>
        <v>Pea, green, for fodder</v>
      </c>
      <c r="M218" t="str">
        <f>VLOOKUP(B218,Names_biomass!$A$2:$B$169,2,0)</f>
        <v>Legumes_fodder</v>
      </c>
    </row>
    <row r="219" spans="1:13" x14ac:dyDescent="0.3">
      <c r="A219" s="79" t="s">
        <v>3416</v>
      </c>
      <c r="B219" s="73" t="str">
        <f>VLOOKUP(A219,Names_Lab!$A$2:$B$198,2,0)</f>
        <v>Faba bean, Broad bean, green, for fodder</v>
      </c>
      <c r="C219" s="78" t="s">
        <v>3368</v>
      </c>
      <c r="D219" s="77">
        <v>1116</v>
      </c>
      <c r="E219" s="76"/>
      <c r="F219" s="75" t="s">
        <v>3417</v>
      </c>
      <c r="H219" t="s">
        <v>1552</v>
      </c>
      <c r="I219" t="s">
        <v>1552</v>
      </c>
      <c r="J219" t="s">
        <v>3370</v>
      </c>
      <c r="K219" t="s">
        <v>3415</v>
      </c>
      <c r="L219" s="12" t="str">
        <f t="shared" si="0"/>
        <v>Faba bean, Broad bean, green, for fodder</v>
      </c>
      <c r="M219" t="str">
        <f>VLOOKUP(B219,Names_biomass!$A$2:$B$169,2,0)</f>
        <v>Legumes_fodder</v>
      </c>
    </row>
    <row r="220" spans="1:13" s="25" customFormat="1" x14ac:dyDescent="0.3">
      <c r="A220" s="74" t="s">
        <v>3418</v>
      </c>
      <c r="B220" s="73" t="str">
        <f>VLOOKUP(A220,Names_Lab!$A$2:$B$198,2,0)</f>
        <v>Maize, green</v>
      </c>
      <c r="C220" s="69" t="s">
        <v>3368</v>
      </c>
      <c r="D220" s="71">
        <v>1117</v>
      </c>
      <c r="E220" s="67">
        <v>1117</v>
      </c>
      <c r="F220" s="70" t="s">
        <v>3419</v>
      </c>
      <c r="G220" s="25" t="s">
        <v>3420</v>
      </c>
      <c r="H220" s="25" t="s">
        <v>554</v>
      </c>
      <c r="I220" s="25" t="s">
        <v>3421</v>
      </c>
      <c r="J220" s="25" t="s">
        <v>3370</v>
      </c>
      <c r="K220" t="str">
        <f>INDEX([7]Coefs!$A$3:$A$234,MATCH($B220,[7]Coefs!$B$3:$B$234,0))</f>
        <v>H36</v>
      </c>
      <c r="L220" s="12" t="str">
        <f t="shared" si="0"/>
        <v>Maize, green</v>
      </c>
      <c r="M220" t="str">
        <f>VLOOKUP(B220,Names_biomass!$A$2:$B$169,2,0)</f>
        <v>Maize_green</v>
      </c>
    </row>
    <row r="221" spans="1:13" s="25" customFormat="1" x14ac:dyDescent="0.3">
      <c r="A221" s="74" t="s">
        <v>3422</v>
      </c>
      <c r="B221" s="73" t="str">
        <f>VLOOKUP(A221,Names_Lab!$A$2:$B$198,2,0)</f>
        <v>Turnip, for fodder</v>
      </c>
      <c r="C221" s="69" t="s">
        <v>3368</v>
      </c>
      <c r="D221" s="71">
        <v>1118</v>
      </c>
      <c r="E221" s="67">
        <v>1118</v>
      </c>
      <c r="F221" s="70" t="s">
        <v>3423</v>
      </c>
      <c r="G221" s="25" t="s">
        <v>3424</v>
      </c>
      <c r="H221" s="25" t="s">
        <v>3425</v>
      </c>
      <c r="I221" s="25" t="s">
        <v>3426</v>
      </c>
      <c r="J221" s="25" t="s">
        <v>3370</v>
      </c>
      <c r="K221" t="str">
        <f>INDEX([7]Coefs!$A$3:$A$234,MATCH($B221,[7]Coefs!$B$3:$B$234,0))</f>
        <v>H50</v>
      </c>
      <c r="L221" s="12" t="str">
        <f t="shared" si="0"/>
        <v>Turnip, for fodder</v>
      </c>
      <c r="M221" t="str">
        <f>VLOOKUP(B221,Names_biomass!$A$2:$B$169,2,0)</f>
        <v>Turnip_fodder</v>
      </c>
    </row>
    <row r="222" spans="1:13" x14ac:dyDescent="0.3">
      <c r="A222" s="79" t="s">
        <v>3427</v>
      </c>
      <c r="B222" s="73" t="str">
        <f>VLOOKUP(A222,Names_Lab!$A$2:$B$198,2,0)</f>
        <v>Other true grasses for fodder</v>
      </c>
      <c r="C222" s="78" t="s">
        <v>3368</v>
      </c>
      <c r="D222" s="77">
        <v>1119</v>
      </c>
      <c r="E222" s="76"/>
      <c r="F222" s="75" t="s">
        <v>3428</v>
      </c>
      <c r="G222" t="s">
        <v>3429</v>
      </c>
      <c r="H222" t="s">
        <v>3430</v>
      </c>
      <c r="I222" t="s">
        <v>3431</v>
      </c>
      <c r="J222" t="s">
        <v>3370</v>
      </c>
      <c r="K222" t="str">
        <f>INDEX([7]Coefs!$A$3:$A$234,MATCH($B222,[7]Coefs!$B$3:$B$234,0))</f>
        <v>H38</v>
      </c>
      <c r="L222" s="12" t="str">
        <f t="shared" si="0"/>
        <v>Other true grasses for fodder</v>
      </c>
      <c r="M222" t="str">
        <f>VLOOKUP(B222,Names_biomass!$A$2:$B$169,2,0)</f>
        <v>Grasses_fodder</v>
      </c>
    </row>
    <row r="223" spans="1:13" x14ac:dyDescent="0.3">
      <c r="A223" s="79" t="s">
        <v>3432</v>
      </c>
      <c r="B223" s="73" t="str">
        <f>VLOOKUP(A223,Names_Lab!$A$2:$B$198,2,0)</f>
        <v>Other legumes for green fodder</v>
      </c>
      <c r="C223" s="78" t="s">
        <v>3368</v>
      </c>
      <c r="D223" s="77">
        <v>1120</v>
      </c>
      <c r="E223" s="76"/>
      <c r="F223" s="75" t="s">
        <v>3433</v>
      </c>
      <c r="G223" t="s">
        <v>3434</v>
      </c>
      <c r="H223" t="s">
        <v>3435</v>
      </c>
      <c r="I223" t="s">
        <v>3436</v>
      </c>
      <c r="J223" t="s">
        <v>3370</v>
      </c>
      <c r="K223" t="str">
        <f>INDEX([7]Coefs!$A$3:$A$234,MATCH($B223,[7]Coefs!$B$3:$B$234,0))</f>
        <v>H44</v>
      </c>
      <c r="L223" s="12" t="str">
        <f t="shared" si="0"/>
        <v>Other legumes for green fodder</v>
      </c>
      <c r="M223" t="str">
        <f>VLOOKUP(B223,Names_biomass!$A$2:$B$169,2,0)</f>
        <v>Legumes_fodder</v>
      </c>
    </row>
    <row r="224" spans="1:13" x14ac:dyDescent="0.3">
      <c r="A224" s="79" t="s">
        <v>3437</v>
      </c>
      <c r="B224" s="73" t="str">
        <f>VLOOKUP(A224,Names_Lab!$A$2:$B$198,2,0)</f>
        <v>Other monospecific swards</v>
      </c>
      <c r="C224" s="78" t="s">
        <v>3368</v>
      </c>
      <c r="D224" s="77">
        <v>1121</v>
      </c>
      <c r="E224" s="76"/>
      <c r="F224" s="75" t="s">
        <v>3438</v>
      </c>
      <c r="H224" t="s">
        <v>1552</v>
      </c>
      <c r="I224" t="s">
        <v>1552</v>
      </c>
      <c r="J224" t="s">
        <v>3370</v>
      </c>
      <c r="K224" t="s">
        <v>3395</v>
      </c>
      <c r="L224" s="12" t="str">
        <f t="shared" si="0"/>
        <v>Other monospecific swards</v>
      </c>
      <c r="M224" t="str">
        <f>VLOOKUP(B224,Names_biomass!$A$2:$B$169,2,0)</f>
        <v>Fodder_other</v>
      </c>
    </row>
    <row r="225" spans="1:14" x14ac:dyDescent="0.3">
      <c r="A225" s="79" t="s">
        <v>3439</v>
      </c>
      <c r="B225" s="73" t="str">
        <f>VLOOKUP(A225,Names_Lab!$A$2:$B$198,2,0)</f>
        <v>Other roots and tubers for fodder</v>
      </c>
      <c r="C225" s="78" t="s">
        <v>3368</v>
      </c>
      <c r="D225" s="77">
        <v>1122</v>
      </c>
      <c r="E225" s="76"/>
      <c r="F225" s="75" t="s">
        <v>3440</v>
      </c>
      <c r="H225" t="s">
        <v>1552</v>
      </c>
      <c r="I225" t="s">
        <v>1552</v>
      </c>
      <c r="J225" t="s">
        <v>3370</v>
      </c>
      <c r="K225" t="s">
        <v>3407</v>
      </c>
      <c r="L225" s="12" t="str">
        <f t="shared" si="0"/>
        <v>Other roots and tubers for fodder</v>
      </c>
      <c r="M225" t="str">
        <f>VLOOKUP(B225,Names_biomass!$A$2:$B$169,2,0)</f>
        <v>Fodder_other</v>
      </c>
    </row>
    <row r="226" spans="1:14" x14ac:dyDescent="0.3">
      <c r="A226" s="79" t="s">
        <v>3441</v>
      </c>
      <c r="B226" s="73" t="str">
        <f>VLOOKUP(A226,Names_Lab!$A$2:$B$198,2,0)</f>
        <v>Fodder, other</v>
      </c>
      <c r="C226" s="78" t="s">
        <v>3368</v>
      </c>
      <c r="D226" s="77">
        <v>1123</v>
      </c>
      <c r="E226" s="76"/>
      <c r="F226" s="75" t="s">
        <v>3442</v>
      </c>
      <c r="H226" t="s">
        <v>1552</v>
      </c>
      <c r="I226" t="s">
        <v>1552</v>
      </c>
      <c r="J226" t="s">
        <v>3370</v>
      </c>
      <c r="K226" t="str">
        <f>INDEX([7]Coefs!$A$3:$A$234,MATCH($B226,[7]Coefs!$B$3:$B$234,0))</f>
        <v>H51</v>
      </c>
      <c r="L226" s="12" t="str">
        <f t="shared" si="0"/>
        <v>Fodder, other</v>
      </c>
      <c r="M226" t="str">
        <f>VLOOKUP(B226,Names_biomass!$A$2:$B$169,2,0)</f>
        <v>Fodder_other</v>
      </c>
    </row>
    <row r="227" spans="1:14" x14ac:dyDescent="0.3">
      <c r="A227" s="79" t="s">
        <v>3443</v>
      </c>
      <c r="B227" s="73" t="str">
        <f>VLOOKUP(A227,Names_Lab!$A$2:$B$198,2,0)</f>
        <v>Clover</v>
      </c>
      <c r="C227" s="78" t="s">
        <v>3368</v>
      </c>
      <c r="D227" s="77">
        <v>1124</v>
      </c>
      <c r="E227" s="76"/>
      <c r="F227" s="75" t="s">
        <v>3444</v>
      </c>
      <c r="H227" t="s">
        <v>1552</v>
      </c>
      <c r="I227" t="s">
        <v>1552</v>
      </c>
      <c r="J227" t="s">
        <v>3370</v>
      </c>
      <c r="K227" t="str">
        <f>INDEX([7]Coefs!$A$3:$A$234,MATCH($B227,[7]Coefs!$B$3:$B$234,0))</f>
        <v>H40</v>
      </c>
      <c r="L227" s="12" t="str">
        <f t="shared" si="0"/>
        <v>Clover</v>
      </c>
      <c r="M227" t="str">
        <f>VLOOKUP(B227,Names_biomass!$A$2:$B$169,2,0)</f>
        <v>Clover</v>
      </c>
    </row>
    <row r="228" spans="1:14" x14ac:dyDescent="0.3">
      <c r="A228" s="79" t="s">
        <v>3445</v>
      </c>
      <c r="B228" s="73" t="str">
        <f>VLOOKUP(A228,Names_Lab!$A$2:$B$198,2,0)</f>
        <v>Turnip, for fodder</v>
      </c>
      <c r="C228" s="78" t="s">
        <v>3368</v>
      </c>
      <c r="D228" s="77">
        <v>1125</v>
      </c>
      <c r="E228" s="76"/>
      <c r="F228" s="75" t="s">
        <v>3446</v>
      </c>
      <c r="H228" t="s">
        <v>1552</v>
      </c>
      <c r="I228" t="s">
        <v>1552</v>
      </c>
      <c r="J228" t="s">
        <v>3370</v>
      </c>
      <c r="K228" t="s">
        <v>3407</v>
      </c>
      <c r="L228" s="12" t="str">
        <f t="shared" si="0"/>
        <v>Turnip, for fodder</v>
      </c>
      <c r="M228" t="str">
        <f>VLOOKUP(B228,Names_biomass!$A$2:$B$169,2,0)</f>
        <v>Turnip_fodder</v>
      </c>
    </row>
    <row r="229" spans="1:14" s="25" customFormat="1" x14ac:dyDescent="0.3">
      <c r="A229" s="74" t="s">
        <v>3447</v>
      </c>
      <c r="B229" s="73" t="str">
        <f>VLOOKUP(A229,Names_Lab!$A$2:$B$198,2,0)</f>
        <v>Mixed swards</v>
      </c>
      <c r="C229" s="69" t="s">
        <v>3368</v>
      </c>
      <c r="D229" s="71">
        <v>1126</v>
      </c>
      <c r="E229" s="67">
        <v>1126</v>
      </c>
      <c r="F229" s="70" t="s">
        <v>3448</v>
      </c>
      <c r="H229" s="25" t="s">
        <v>1552</v>
      </c>
      <c r="I229" s="25" t="s">
        <v>1552</v>
      </c>
      <c r="J229" s="25" t="s">
        <v>3370</v>
      </c>
      <c r="K229" t="str">
        <f>INDEX([7]Coefs!$A$3:$A$234,MATCH($B229,[7]Coefs!$B$3:$B$234,0))</f>
        <v>H45</v>
      </c>
      <c r="L229" s="12" t="str">
        <f t="shared" si="0"/>
        <v>Mixed swards</v>
      </c>
      <c r="M229" t="str">
        <f>VLOOKUP(B229,Names_biomass!$A$2:$B$169,2,0)</f>
        <v>Mixed_swards</v>
      </c>
    </row>
    <row r="230" spans="1:14" s="25" customFormat="1" x14ac:dyDescent="0.3">
      <c r="A230" s="74" t="s">
        <v>3449</v>
      </c>
      <c r="B230" s="73" t="str">
        <f>VLOOKUP(A230,Names_Lab!$A$2:$B$198,2,0)</f>
        <v>Mixed swards</v>
      </c>
      <c r="C230" s="69" t="s">
        <v>3368</v>
      </c>
      <c r="D230" s="71">
        <v>1127</v>
      </c>
      <c r="E230" s="67">
        <v>1127</v>
      </c>
      <c r="F230" s="70" t="s">
        <v>3450</v>
      </c>
      <c r="G230" s="25" t="s">
        <v>3451</v>
      </c>
      <c r="H230" s="25" t="s">
        <v>3452</v>
      </c>
      <c r="I230" s="25" t="s">
        <v>3453</v>
      </c>
      <c r="J230" s="25" t="s">
        <v>3370</v>
      </c>
      <c r="K230" t="str">
        <f>INDEX([7]Coefs!$A$3:$A$234,MATCH($B230,[7]Coefs!$B$3:$B$234,0))</f>
        <v>H45</v>
      </c>
      <c r="L230" s="12" t="str">
        <f t="shared" si="0"/>
        <v>Mixed swards</v>
      </c>
      <c r="M230" t="str">
        <f>VLOOKUP(B230,Names_biomass!$A$2:$B$169,2,0)</f>
        <v>Mixed_swards</v>
      </c>
    </row>
    <row r="231" spans="1:14" x14ac:dyDescent="0.3">
      <c r="A231" s="79" t="s">
        <v>3454</v>
      </c>
      <c r="B231" s="73" t="str">
        <f>VLOOKUP(A231,Names_Lab!$A$2:$B$198,2,0)</f>
        <v>Ryegrass</v>
      </c>
      <c r="C231" s="78" t="s">
        <v>3368</v>
      </c>
      <c r="D231" s="77">
        <v>1128</v>
      </c>
      <c r="E231" s="76"/>
      <c r="F231" s="75" t="s">
        <v>3455</v>
      </c>
      <c r="H231" t="s">
        <v>1552</v>
      </c>
      <c r="I231" t="s">
        <v>1552</v>
      </c>
      <c r="J231" t="s">
        <v>3370</v>
      </c>
      <c r="K231" t="s">
        <v>3387</v>
      </c>
      <c r="L231" s="12" t="str">
        <f t="shared" si="0"/>
        <v>Ryegrass</v>
      </c>
      <c r="M231" t="str">
        <f>VLOOKUP(B231,Names_biomass!$A$2:$B$169,2,0)</f>
        <v>Grasses_fodder</v>
      </c>
    </row>
    <row r="232" spans="1:14" s="25" customFormat="1" x14ac:dyDescent="0.3">
      <c r="A232" s="12" t="s">
        <v>3456</v>
      </c>
      <c r="B232" s="73" t="str">
        <f>VLOOKUP(A232,Names_Lab!$A$2:$B$198,2,0)</f>
        <v>Fodder beet</v>
      </c>
      <c r="C232" s="69" t="s">
        <v>3368</v>
      </c>
      <c r="D232" s="71">
        <v>1129</v>
      </c>
      <c r="E232" s="67">
        <v>1129</v>
      </c>
      <c r="F232" s="70" t="s">
        <v>3457</v>
      </c>
      <c r="G232" s="25" t="s">
        <v>3457</v>
      </c>
      <c r="H232" s="25" t="s">
        <v>3458</v>
      </c>
      <c r="I232" s="25" t="s">
        <v>3459</v>
      </c>
      <c r="J232" s="25" t="s">
        <v>3370</v>
      </c>
      <c r="K232" t="str">
        <f>INDEX([7]Coefs!$A$3:$A$234,MATCH($B232,[7]Coefs!$B$3:$B$234,0))</f>
        <v>H48</v>
      </c>
      <c r="L232" s="12" t="str">
        <f t="shared" si="0"/>
        <v>Fodder beet</v>
      </c>
      <c r="M232" t="str">
        <f>VLOOKUP(B232,Names_biomass!$A$2:$B$169,2,0)</f>
        <v>Beet_fodder</v>
      </c>
    </row>
    <row r="233" spans="1:14" x14ac:dyDescent="0.3">
      <c r="A233" s="79" t="s">
        <v>3460</v>
      </c>
      <c r="B233" s="73" t="str">
        <f>VLOOKUP(A233,Names_Lab!$A$2:$B$198,2,0)</f>
        <v>Fodder, other</v>
      </c>
      <c r="C233" s="78" t="s">
        <v>3368</v>
      </c>
      <c r="D233" s="77">
        <v>1130</v>
      </c>
      <c r="E233" s="76"/>
      <c r="F233" s="75" t="s">
        <v>3461</v>
      </c>
      <c r="H233" t="s">
        <v>1552</v>
      </c>
      <c r="I233" t="s">
        <v>1552</v>
      </c>
      <c r="J233" t="s">
        <v>3370</v>
      </c>
      <c r="K233" t="str">
        <f>INDEX([7]Coefs!$A$3:$A$234,MATCH($B233,[7]Coefs!$B$3:$B$234,0))</f>
        <v>H51</v>
      </c>
      <c r="L233" s="12" t="str">
        <f t="shared" si="0"/>
        <v>Fodder, other</v>
      </c>
      <c r="M233" t="str">
        <f>VLOOKUP(B233,Names_biomass!$A$2:$B$169,2,0)</f>
        <v>Fodder_other</v>
      </c>
    </row>
    <row r="234" spans="1:14" x14ac:dyDescent="0.3">
      <c r="A234" s="79" t="s">
        <v>3462</v>
      </c>
      <c r="B234" s="73" t="str">
        <f>VLOOKUP(A234,Names_Lab!$A$2:$B$198,2,0)</f>
        <v>Sorghum, green</v>
      </c>
      <c r="C234" s="78" t="s">
        <v>3368</v>
      </c>
      <c r="D234" s="77">
        <v>1131</v>
      </c>
      <c r="E234" s="76"/>
      <c r="F234" s="75" t="s">
        <v>3463</v>
      </c>
      <c r="G234" t="s">
        <v>3464</v>
      </c>
      <c r="H234" t="s">
        <v>3465</v>
      </c>
      <c r="I234" t="s">
        <v>3466</v>
      </c>
      <c r="J234" t="s">
        <v>3370</v>
      </c>
      <c r="K234" t="str">
        <f>INDEX([7]Coefs!$A$3:$A$234,MATCH($B234,[7]Coefs!$B$3:$B$234,0))</f>
        <v>H37</v>
      </c>
      <c r="L234" s="12" t="str">
        <f t="shared" si="0"/>
        <v>Sorghum, green</v>
      </c>
      <c r="M234" t="str">
        <f>VLOOKUP(B234,Names_biomass!$A$2:$B$169,2,0)</f>
        <v>Sorghum_green</v>
      </c>
    </row>
    <row r="235" spans="1:14" x14ac:dyDescent="0.3">
      <c r="A235" s="79" t="s">
        <v>3467</v>
      </c>
      <c r="B235" s="73" t="str">
        <f>VLOOKUP(A235,Names_Lab!$A$2:$B$198,2,0)</f>
        <v>Crimson clover, in bloom</v>
      </c>
      <c r="C235" s="78" t="s">
        <v>3368</v>
      </c>
      <c r="D235" s="77">
        <v>1133</v>
      </c>
      <c r="E235" s="76"/>
      <c r="F235" s="75" t="s">
        <v>3468</v>
      </c>
      <c r="H235" t="s">
        <v>1552</v>
      </c>
      <c r="I235" t="s">
        <v>1552</v>
      </c>
      <c r="J235" t="s">
        <v>3370</v>
      </c>
      <c r="K235" t="s">
        <v>3469</v>
      </c>
      <c r="L235" s="12" t="str">
        <f t="shared" si="0"/>
        <v>Crimson clover, in bloom</v>
      </c>
      <c r="M235" t="str">
        <f>VLOOKUP(B235,Names_biomass!$A$2:$B$169,2,0)</f>
        <v>Clover</v>
      </c>
      <c r="N235" s="81"/>
    </row>
    <row r="236" spans="1:14" x14ac:dyDescent="0.3">
      <c r="A236" s="79" t="s">
        <v>3470</v>
      </c>
      <c r="B236" s="73" t="str">
        <f>VLOOKUP(A236,Names_Lab!$A$2:$B$198,2,0)</f>
        <v>Clover</v>
      </c>
      <c r="C236" s="78" t="s">
        <v>3368</v>
      </c>
      <c r="D236" s="77">
        <v>1134</v>
      </c>
      <c r="E236" s="76"/>
      <c r="F236" s="75" t="s">
        <v>3471</v>
      </c>
      <c r="G236" t="s">
        <v>3472</v>
      </c>
      <c r="H236" t="s">
        <v>3473</v>
      </c>
      <c r="I236" t="s">
        <v>1766</v>
      </c>
      <c r="J236" t="s">
        <v>3370</v>
      </c>
      <c r="K236" t="str">
        <f>INDEX([7]Coefs!$A$3:$A$234,MATCH($B236,[7]Coefs!$B$3:$B$234,0))</f>
        <v>H40</v>
      </c>
      <c r="L236" s="12" t="str">
        <f t="shared" si="0"/>
        <v>Clover</v>
      </c>
      <c r="M236" t="str">
        <f>VLOOKUP(B236,Names_biomass!$A$2:$B$169,2,0)</f>
        <v>Clover</v>
      </c>
      <c r="N236" s="81"/>
    </row>
    <row r="237" spans="1:14" s="25" customFormat="1" x14ac:dyDescent="0.3">
      <c r="A237" s="74" t="s">
        <v>3474</v>
      </c>
      <c r="B237" s="73" t="str">
        <f>VLOOKUP(A237,Names_Lab!$A$2:$B$198,2,0)</f>
        <v>Clover</v>
      </c>
      <c r="C237" s="69" t="s">
        <v>3368</v>
      </c>
      <c r="D237" s="71">
        <v>1132</v>
      </c>
      <c r="E237" s="67">
        <v>1132</v>
      </c>
      <c r="F237" s="70" t="s">
        <v>3472</v>
      </c>
      <c r="H237" s="25" t="s">
        <v>1552</v>
      </c>
      <c r="I237" s="25" t="s">
        <v>1552</v>
      </c>
      <c r="J237" s="25" t="s">
        <v>3370</v>
      </c>
      <c r="K237" t="str">
        <f>INDEX([7]Coefs!$A$3:$A$234,MATCH($B237,[7]Coefs!$B$3:$B$234,0))</f>
        <v>H40</v>
      </c>
      <c r="L237" s="12" t="str">
        <f t="shared" si="0"/>
        <v>Clover</v>
      </c>
      <c r="M237" t="str">
        <f>VLOOKUP(B237,Names_biomass!$A$2:$B$169,2,0)</f>
        <v>Clover</v>
      </c>
      <c r="N237" s="80"/>
    </row>
    <row r="238" spans="1:14" x14ac:dyDescent="0.3">
      <c r="A238" s="79" t="s">
        <v>3475</v>
      </c>
      <c r="B238" s="73" t="str">
        <f>VLOOKUP(A238,Names_Lab!$A$2:$B$198,2,0)</f>
        <v>Cereals, green</v>
      </c>
      <c r="C238" s="78" t="s">
        <v>3368</v>
      </c>
      <c r="D238" s="77">
        <v>1135</v>
      </c>
      <c r="E238" s="76"/>
      <c r="F238" s="75" t="s">
        <v>3476</v>
      </c>
      <c r="H238" t="s">
        <v>1552</v>
      </c>
      <c r="I238" t="s">
        <v>1552</v>
      </c>
      <c r="J238" t="s">
        <v>3370</v>
      </c>
      <c r="K238" t="str">
        <f>INDEX([7]Coefs!$A$3:$A$234,MATCH($B238,[7]Coefs!$B$3:$B$234,0))</f>
        <v>H35</v>
      </c>
      <c r="L238" s="12" t="str">
        <f t="shared" si="0"/>
        <v>Cereals, green</v>
      </c>
      <c r="M238" t="str">
        <f>VLOOKUP(B238,Names_biomass!$A$2:$B$169,2,0)</f>
        <v>Cereals_green</v>
      </c>
    </row>
    <row r="239" spans="1:14" s="25" customFormat="1" x14ac:dyDescent="0.3">
      <c r="A239" s="74" t="s">
        <v>3477</v>
      </c>
      <c r="B239" s="73" t="str">
        <f>VLOOKUP(A239,Names_Lab!$A$2:$B$198,2,0)</f>
        <v>Vetch, green</v>
      </c>
      <c r="C239" s="69" t="s">
        <v>3368</v>
      </c>
      <c r="D239" s="71">
        <v>1136</v>
      </c>
      <c r="E239" s="67">
        <v>1136</v>
      </c>
      <c r="F239" s="70" t="s">
        <v>3478</v>
      </c>
      <c r="G239" s="25" t="s">
        <v>3479</v>
      </c>
      <c r="H239" s="25" t="s">
        <v>3480</v>
      </c>
      <c r="I239" s="25" t="s">
        <v>3481</v>
      </c>
      <c r="J239" s="25" t="s">
        <v>3370</v>
      </c>
      <c r="K239" t="str">
        <f>INDEX([7]Coefs!$A$3:$A$234,MATCH($B239,[7]Coefs!$B$3:$B$234,0))</f>
        <v>H43</v>
      </c>
      <c r="L239" s="12" t="str">
        <f t="shared" si="0"/>
        <v>Vetch, green</v>
      </c>
      <c r="M239" t="str">
        <f>VLOOKUP(B239,Names_biomass!$A$2:$B$169,2,0)</f>
        <v>Vetch_green</v>
      </c>
    </row>
    <row r="240" spans="1:14" s="25" customFormat="1" x14ac:dyDescent="0.3">
      <c r="A240" s="74" t="s">
        <v>3482</v>
      </c>
      <c r="B240" s="73" t="str">
        <f>VLOOKUP(A240,Names_Lab!$A$2:$B$198,2,0)</f>
        <v>Carrot, for fodder</v>
      </c>
      <c r="C240" s="69" t="s">
        <v>3368</v>
      </c>
      <c r="D240" s="71">
        <v>1137</v>
      </c>
      <c r="E240" s="67">
        <v>1137</v>
      </c>
      <c r="F240" s="70" t="s">
        <v>3483</v>
      </c>
      <c r="H240" s="25" t="s">
        <v>1552</v>
      </c>
      <c r="I240" s="25" t="s">
        <v>1552</v>
      </c>
      <c r="J240" s="25" t="s">
        <v>3370</v>
      </c>
      <c r="K240" t="str">
        <f>INDEX([7]Coefs!$A$3:$A$234,MATCH($B240,[7]Coefs!$B$3:$B$234,0))</f>
        <v>H49</v>
      </c>
      <c r="L240" s="12" t="str">
        <f t="shared" si="0"/>
        <v>Carrot, for fodder</v>
      </c>
      <c r="M240" t="str">
        <f>VLOOKUP(B240,Names_biomass!$A$2:$B$169,2,0)</f>
        <v>Carrot_fodder</v>
      </c>
    </row>
    <row r="241" spans="1:13" s="25" customFormat="1" ht="15" thickBot="1" x14ac:dyDescent="0.35">
      <c r="A241" s="74" t="s">
        <v>3484</v>
      </c>
      <c r="B241" s="73" t="str">
        <f>VLOOKUP(A241,Names_Lab!$A$2:$B$198,2,0)</f>
        <v>French honeysuckle</v>
      </c>
      <c r="C241" s="72" t="s">
        <v>3368</v>
      </c>
      <c r="D241" s="71">
        <v>1138</v>
      </c>
      <c r="E241" s="67">
        <v>1138</v>
      </c>
      <c r="F241" s="70" t="s">
        <v>3485</v>
      </c>
      <c r="G241" s="25" t="s">
        <v>3485</v>
      </c>
      <c r="H241" s="25" t="s">
        <v>3486</v>
      </c>
      <c r="I241" s="25" t="s">
        <v>3487</v>
      </c>
      <c r="J241" s="25" t="s">
        <v>3370</v>
      </c>
      <c r="K241" t="str">
        <f>INDEX([7]Coefs!$A$3:$A$234,MATCH($B241,[7]Coefs!$B$3:$B$234,0))</f>
        <v>H42</v>
      </c>
      <c r="L241" s="12" t="str">
        <f t="shared" si="0"/>
        <v>French honeysuckle</v>
      </c>
      <c r="M241" t="str">
        <f>VLOOKUP(B241,Names_biomass!$A$2:$B$169,2,0)</f>
        <v>French_honeysuckle</v>
      </c>
    </row>
    <row r="242" spans="1:13" x14ac:dyDescent="0.3">
      <c r="B242" s="68" t="s">
        <v>1920</v>
      </c>
      <c r="C242" s="69" t="s">
        <v>1022</v>
      </c>
      <c r="E242" s="67">
        <v>3001</v>
      </c>
      <c r="L242" s="12" t="str">
        <f t="shared" si="0"/>
        <v>Flowers</v>
      </c>
      <c r="M242" t="str">
        <f>VLOOKUP(B242,Names_biomass!$A$2:$B$169,2,0)</f>
        <v>Flowers</v>
      </c>
    </row>
    <row r="243" spans="1:13" x14ac:dyDescent="0.3">
      <c r="B243" s="68" t="s">
        <v>1677</v>
      </c>
      <c r="L243" s="12" t="str">
        <f t="shared" si="0"/>
        <v>Vegetables, other</v>
      </c>
      <c r="M243" t="str">
        <f>VLOOKUP(B243,Names_biomass!$A$2:$B$169,2,0)</f>
        <v>Vegetables_nes</v>
      </c>
    </row>
    <row r="244" spans="1:13" x14ac:dyDescent="0.3">
      <c r="B244" t="s">
        <v>1871</v>
      </c>
      <c r="E244" s="67">
        <v>2000</v>
      </c>
      <c r="K244">
        <v>2000</v>
      </c>
      <c r="L244" t="s">
        <v>1871</v>
      </c>
      <c r="M244" t="str">
        <f>VLOOKUP(B244,Names_biomass!$A$2:$B$169,2,0)</f>
        <v>Grass</v>
      </c>
    </row>
  </sheetData>
  <pageMargins left="0.7" right="0.7" top="0.75" bottom="0.75" header="0.3" footer="0.3"/>
  <pageSetup orientation="portrait" horizontalDpi="1200" verticalDpi="1200"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E5C57-50E0-4364-8477-917C89E6842A}">
  <dimension ref="A1:D138"/>
  <sheetViews>
    <sheetView zoomScale="70" zoomScaleNormal="70" workbookViewId="0">
      <pane ySplit="1" topLeftCell="A46" activePane="bottomLeft" state="frozen"/>
      <selection activeCell="J41" sqref="J41"/>
      <selection pane="bottomLeft" activeCell="A83" sqref="A83"/>
    </sheetView>
  </sheetViews>
  <sheetFormatPr defaultColWidth="8.77734375" defaultRowHeight="14.4" x14ac:dyDescent="0.3"/>
  <cols>
    <col min="1" max="1" width="22" customWidth="1"/>
    <col min="2" max="2" width="32" customWidth="1"/>
    <col min="3" max="3" width="10.21875" style="49" customWidth="1"/>
  </cols>
  <sheetData>
    <row r="1" spans="1:4" x14ac:dyDescent="0.3">
      <c r="A1" t="s">
        <v>1538</v>
      </c>
      <c r="B1" t="s">
        <v>2866</v>
      </c>
      <c r="C1" s="49" t="s">
        <v>2865</v>
      </c>
      <c r="D1" t="s">
        <v>791</v>
      </c>
    </row>
    <row r="2" spans="1:4" x14ac:dyDescent="0.3">
      <c r="A2" s="10" t="s">
        <v>919</v>
      </c>
      <c r="B2" t="str">
        <f>INDEX(Prov!$F$2:$F$241,MATCH($A2,Prov!$M$2:$M$241,0))</f>
        <v>Cebada</v>
      </c>
      <c r="C2" s="49">
        <f>INDEX(Prov!$E$2:$E$241,MATCH($A2,Prov!$M$2:$M$241,0))</f>
        <v>104</v>
      </c>
      <c r="D2" t="str">
        <f>VLOOKUP(A2,Biomass_names!$A$2:$B$119,2,0)</f>
        <v>Barley</v>
      </c>
    </row>
    <row r="3" spans="1:4" x14ac:dyDescent="0.3">
      <c r="A3" s="10" t="s">
        <v>1556</v>
      </c>
      <c r="B3" s="2"/>
      <c r="C3" s="50"/>
      <c r="D3" t="str">
        <f>VLOOKUP(A3,Biomass_names!$A$2:$B$119,2,0)</f>
        <v>Cereals nes</v>
      </c>
    </row>
    <row r="4" spans="1:4" x14ac:dyDescent="0.3">
      <c r="A4" s="10" t="s">
        <v>929</v>
      </c>
      <c r="B4" t="str">
        <f>INDEX(Prov!$F$2:$F$241,MATCH($A4,Prov!$M$2:$M$241,0))</f>
        <v>Maíz</v>
      </c>
      <c r="C4" s="49">
        <f>INDEX(Prov!$E$2:$E$241,MATCH($A4,Prov!$M$2:$M$241,0))</f>
        <v>107</v>
      </c>
      <c r="D4" t="str">
        <f>VLOOKUP(A4,Biomass_names!$A$2:$B$119,2,0)</f>
        <v>Maize</v>
      </c>
    </row>
    <row r="5" spans="1:4" x14ac:dyDescent="0.3">
      <c r="A5" s="10" t="s">
        <v>950</v>
      </c>
      <c r="B5" s="2"/>
      <c r="C5" s="50"/>
      <c r="D5" t="str">
        <f>VLOOKUP(A5,Biomass_names!$A$2:$B$119,2,0)</f>
        <v>Millet</v>
      </c>
    </row>
    <row r="6" spans="1:4" x14ac:dyDescent="0.3">
      <c r="A6" s="10" t="s">
        <v>947</v>
      </c>
      <c r="B6" t="str">
        <f>INDEX(Prov!$F$2:$F$241,MATCH($A6,Prov!$M$2:$M$241,0))</f>
        <v>Avena</v>
      </c>
      <c r="C6" s="49">
        <f>INDEX(Prov!$E$2:$E$241,MATCH($A6,Prov!$M$2:$M$241,0))</f>
        <v>103</v>
      </c>
      <c r="D6" t="str">
        <f>VLOOKUP(A6,Biomass_names!$A$2:$B$119,2,0)</f>
        <v>Oats</v>
      </c>
    </row>
    <row r="7" spans="1:4" x14ac:dyDescent="0.3">
      <c r="A7" s="10" t="s">
        <v>1548</v>
      </c>
      <c r="B7" t="str">
        <f>INDEX(Prov!$F$2:$F$241,MATCH($A7,Prov!$M$2:$M$241,0))</f>
        <v>Arroz</v>
      </c>
      <c r="C7" s="49">
        <f>INDEX(Prov!$E$2:$E$241,MATCH($A7,Prov!$M$2:$M$241,0))</f>
        <v>102</v>
      </c>
      <c r="D7" t="str">
        <f>VLOOKUP(A7,Biomass_names!$A$2:$B$119,2,0)</f>
        <v>Rice</v>
      </c>
    </row>
    <row r="8" spans="1:4" x14ac:dyDescent="0.3">
      <c r="A8" s="10" t="s">
        <v>943</v>
      </c>
      <c r="B8" t="str">
        <f>INDEX(Prov!$F$2:$F$241,MATCH($A8,Prov!$M$2:$M$241,0))</f>
        <v>Centeno</v>
      </c>
      <c r="C8" s="49">
        <f>INDEX(Prov!$E$2:$E$241,MATCH($A8,Prov!$M$2:$M$241,0))</f>
        <v>105</v>
      </c>
      <c r="D8" t="str">
        <f>VLOOKUP(A8,Biomass_names!$A$2:$B$119,2,0)</f>
        <v>Rye</v>
      </c>
    </row>
    <row r="9" spans="1:4" x14ac:dyDescent="0.3">
      <c r="A9" s="10" t="s">
        <v>955</v>
      </c>
      <c r="B9" s="2"/>
      <c r="C9" s="50"/>
      <c r="D9" t="str">
        <f>VLOOKUP(A9,Biomass_names!$A$2:$B$119,2,0)</f>
        <v>Sorghum</v>
      </c>
    </row>
    <row r="10" spans="1:4" x14ac:dyDescent="0.3">
      <c r="A10" s="10" t="s">
        <v>890</v>
      </c>
      <c r="B10" t="str">
        <f>INDEX(Prov!$F$2:$F$241,MATCH($A10,Prov!$M$2:$M$241,0))</f>
        <v>Trigo</v>
      </c>
      <c r="C10" s="49">
        <f>INDEX(Prov!$E$2:$E$241,MATCH($A10,Prov!$M$2:$M$241,0))</f>
        <v>115</v>
      </c>
      <c r="D10" t="str">
        <f>VLOOKUP(A10,Biomass_names!$A$2:$B$119,2,0)</f>
        <v>Wheat</v>
      </c>
    </row>
    <row r="11" spans="1:4" x14ac:dyDescent="0.3">
      <c r="A11" s="10" t="s">
        <v>1587</v>
      </c>
      <c r="B11" t="str">
        <f>INDEX(Prov!$F$2:$F$241,MATCH($A11,Prov!$M$2:$M$241,0))</f>
        <v>Judías secas</v>
      </c>
      <c r="C11" s="49">
        <f>INDEX(Prov!$E$2:$E$241,MATCH($A11,Prov!$M$2:$M$241,0))</f>
        <v>208</v>
      </c>
      <c r="D11" t="str">
        <f>VLOOKUP(A11,Biomass_names!$A$2:$B$119,2,0)</f>
        <v>Beans</v>
      </c>
    </row>
    <row r="12" spans="1:4" x14ac:dyDescent="0.3">
      <c r="A12" s="10" t="s">
        <v>1595</v>
      </c>
      <c r="B12" t="str">
        <f>INDEX(Prov!$F$2:$F$241,MATCH($A12,Prov!$M$2:$M$241,0))</f>
        <v>Garbanzos</v>
      </c>
      <c r="C12" s="49">
        <f>INDEX(Prov!$E$2:$E$241,MATCH($A12,Prov!$M$2:$M$241,0))</f>
        <v>205</v>
      </c>
      <c r="D12" t="str">
        <f>VLOOKUP(A12,Biomass_names!$A$2:$B$119,2,0)</f>
        <v>Chickpea</v>
      </c>
    </row>
    <row r="13" spans="1:4" x14ac:dyDescent="0.3">
      <c r="A13" s="10" t="s">
        <v>1591</v>
      </c>
      <c r="B13" t="str">
        <f>INDEX(Prov!$F$2:$F$241,MATCH($A13,Prov!$M$2:$M$241,0))</f>
        <v>Habas secas</v>
      </c>
      <c r="C13" s="49">
        <f>INDEX(Prov!$E$2:$E$241,MATCH($A13,Prov!$M$2:$M$241,0))</f>
        <v>207</v>
      </c>
      <c r="D13" t="str">
        <f>VLOOKUP(A13,Biomass_names!$A$2:$B$119,2,0)</f>
        <v>Fava bean</v>
      </c>
    </row>
    <row r="14" spans="1:4" x14ac:dyDescent="0.3">
      <c r="A14" s="10" t="s">
        <v>1036</v>
      </c>
      <c r="B14" t="str">
        <f>INDEX(Prov!$F$2:$F$241,MATCH($A14,Prov!$M$2:$M$241,0))</f>
        <v>Lentejas</v>
      </c>
      <c r="C14" s="49">
        <f>INDEX(Prov!$E$2:$E$241,MATCH($A14,Prov!$M$2:$M$241,0))</f>
        <v>209</v>
      </c>
      <c r="D14" t="str">
        <f>VLOOKUP(A14,Biomass_names!$A$2:$B$119,2,0)</f>
        <v>Lentils</v>
      </c>
    </row>
    <row r="15" spans="1:4" x14ac:dyDescent="0.3">
      <c r="A15" s="10" t="s">
        <v>1039</v>
      </c>
      <c r="B15" s="2"/>
      <c r="C15" s="50"/>
      <c r="D15" t="str">
        <f>VLOOKUP(A15,Biomass_names!$A$2:$B$119,2,0)</f>
        <v>Lupin</v>
      </c>
    </row>
    <row r="16" spans="1:4" x14ac:dyDescent="0.3">
      <c r="A16" s="10" t="s">
        <v>1032</v>
      </c>
      <c r="B16" s="66" t="str">
        <f>INDEX(Prov!$F$2:$F$241,MATCH($A16,Prov!$M$2:$M$241,0))</f>
        <v>Guisantes secos</v>
      </c>
      <c r="C16" s="65">
        <f>INDEX(Prov!$E$2:$E$241,MATCH($A16,Prov!$M$2:$M$241,0))</f>
        <v>206</v>
      </c>
      <c r="D16" t="str">
        <f>VLOOKUP(A16,Biomass_names!$A$2:$B$119,2,0)</f>
        <v>Pea</v>
      </c>
    </row>
    <row r="17" spans="1:4" x14ac:dyDescent="0.3">
      <c r="A17" s="10" t="s">
        <v>1596</v>
      </c>
      <c r="B17" s="64" t="s">
        <v>2925</v>
      </c>
      <c r="C17" s="63">
        <v>200</v>
      </c>
      <c r="D17" t="str">
        <f>VLOOKUP(A17,Biomass_names!$A$2:$B$119,2,0)</f>
        <v>Pulses nes</v>
      </c>
    </row>
    <row r="18" spans="1:4" x14ac:dyDescent="0.3">
      <c r="A18" s="10" t="s">
        <v>1596</v>
      </c>
      <c r="B18" s="64" t="s">
        <v>2966</v>
      </c>
      <c r="C18" s="63">
        <v>212</v>
      </c>
      <c r="D18" t="str">
        <f>VLOOKUP(A18,Biomass_names!$A$2:$B$119,2,0)</f>
        <v>Pulses nes</v>
      </c>
    </row>
    <row r="19" spans="1:4" x14ac:dyDescent="0.3">
      <c r="A19" s="10" t="s">
        <v>1038</v>
      </c>
      <c r="B19" s="66" t="str">
        <f>INDEX(Prov!$F$2:$F$241,MATCH($A19,Prov!$M$2:$M$241,0))</f>
        <v>Veza o alverjas</v>
      </c>
      <c r="C19" s="65">
        <f>INDEX(Prov!$E$2:$E$241,MATCH($A19,Prov!$M$2:$M$241,0))</f>
        <v>211</v>
      </c>
      <c r="D19" t="str">
        <f>VLOOKUP(A19,Biomass_names!$A$2:$B$119,2,0)</f>
        <v>Vetch</v>
      </c>
    </row>
    <row r="20" spans="1:4" x14ac:dyDescent="0.3">
      <c r="A20" s="10" t="s">
        <v>982</v>
      </c>
      <c r="B20" s="64" t="s">
        <v>2971</v>
      </c>
      <c r="C20" s="63">
        <v>301</v>
      </c>
      <c r="D20" t="str">
        <f>VLOOKUP(A20,Biomass_names!$A$2:$B$119,2,0)</f>
        <v>Potato</v>
      </c>
    </row>
    <row r="21" spans="1:4" x14ac:dyDescent="0.3">
      <c r="A21" s="10" t="s">
        <v>982</v>
      </c>
      <c r="B21" s="64" t="s">
        <v>2975</v>
      </c>
      <c r="C21" s="63">
        <v>303</v>
      </c>
      <c r="D21" t="str">
        <f>VLOOKUP(A21,Biomass_names!$A$2:$B$119,2,0)</f>
        <v>Potato</v>
      </c>
    </row>
    <row r="22" spans="1:4" x14ac:dyDescent="0.3">
      <c r="A22" s="10" t="s">
        <v>982</v>
      </c>
      <c r="B22" s="64" t="s">
        <v>2976</v>
      </c>
      <c r="C22" s="63">
        <v>304</v>
      </c>
      <c r="D22" t="str">
        <f>VLOOKUP(A22,Biomass_names!$A$2:$B$119,2,0)</f>
        <v>Potato</v>
      </c>
    </row>
    <row r="23" spans="1:4" x14ac:dyDescent="0.3">
      <c r="A23" s="10" t="s">
        <v>982</v>
      </c>
      <c r="B23" s="64" t="s">
        <v>2974</v>
      </c>
      <c r="C23" s="63">
        <v>302</v>
      </c>
      <c r="D23" t="str">
        <f>VLOOKUP(A23,Biomass_names!$A$2:$B$119,2,0)</f>
        <v>Potato</v>
      </c>
    </row>
    <row r="24" spans="1:4" x14ac:dyDescent="0.3">
      <c r="A24" s="10" t="s">
        <v>1558</v>
      </c>
      <c r="B24" s="2"/>
      <c r="C24" s="50"/>
      <c r="D24" t="str">
        <f>VLOOKUP(A24,Biomass_names!$A$2:$B$119,2,0)</f>
        <v>Roots, other</v>
      </c>
    </row>
    <row r="25" spans="1:4" x14ac:dyDescent="0.3">
      <c r="A25" s="10" t="s">
        <v>1162</v>
      </c>
      <c r="B25" t="str">
        <f>INDEX(Prov!$F$2:$F$241,MATCH($A25,Prov!$M$2:$M$241,0))</f>
        <v>Alcachofa</v>
      </c>
      <c r="C25" s="49">
        <f>INDEX(Prov!$E$2:$E$241,MATCH($A25,Prov!$M$2:$M$241,0))</f>
        <v>404</v>
      </c>
      <c r="D25" t="str">
        <f>VLOOKUP(A25,Biomass_names!$A$2:$B$119,2,0)</f>
        <v>Artichoke</v>
      </c>
    </row>
    <row r="26" spans="1:4" x14ac:dyDescent="0.3">
      <c r="A26" s="10" t="s">
        <v>1163</v>
      </c>
      <c r="B26" t="str">
        <f>INDEX(Prov!$F$2:$F$241,MATCH($A26,Prov!$M$2:$M$241,0))</f>
        <v>Espárrago</v>
      </c>
      <c r="C26" s="49">
        <f>INDEX(Prov!$E$2:$E$241,MATCH($A26,Prov!$M$2:$M$241,0))</f>
        <v>419</v>
      </c>
      <c r="D26" t="str">
        <f>VLOOKUP(A26,Biomass_names!$A$2:$B$119,2,0)</f>
        <v>Asparagus</v>
      </c>
    </row>
    <row r="27" spans="1:4" x14ac:dyDescent="0.3">
      <c r="A27" s="10" t="s">
        <v>1688</v>
      </c>
      <c r="B27" s="2"/>
      <c r="C27" s="50"/>
      <c r="D27" t="str">
        <f>VLOOKUP(A27,Biomass_names!$A$2:$B$119,2,0)</f>
        <v>Aubergine</v>
      </c>
    </row>
    <row r="28" spans="1:4" x14ac:dyDescent="0.3">
      <c r="A28" s="10" t="s">
        <v>1699</v>
      </c>
      <c r="B28" s="66" t="str">
        <f>INDEX(Prov!$F$2:$F$241,MATCH($A28,Prov!$M$2:$M$241,0))</f>
        <v>Judías verdes</v>
      </c>
      <c r="C28" s="65">
        <f>INDEX(Prov!$E$2:$E$241,MATCH($A28,Prov!$M$2:$M$241,0))</f>
        <v>428</v>
      </c>
      <c r="D28" t="str">
        <f>VLOOKUP(A28,Biomass_names!$A$2:$B$119,2,0)</f>
        <v>Beans, green</v>
      </c>
    </row>
    <row r="29" spans="1:4" x14ac:dyDescent="0.3">
      <c r="A29" s="10" t="s">
        <v>1671</v>
      </c>
      <c r="B29" s="64" t="s">
        <v>3014</v>
      </c>
      <c r="C29" s="63">
        <v>415</v>
      </c>
      <c r="D29" t="str">
        <f>VLOOKUP(A29,Biomass_names!$A$2:$B$119,2,0)</f>
        <v>Cabbage, Broccoli</v>
      </c>
    </row>
    <row r="30" spans="1:4" x14ac:dyDescent="0.3">
      <c r="A30" s="10" t="s">
        <v>1704</v>
      </c>
      <c r="B30" s="66" t="str">
        <f>INDEX(Prov!$F$2:$F$241,MATCH($A30,Prov!$M$2:$M$241,0))</f>
        <v>Nabos y rábanos</v>
      </c>
      <c r="C30" s="65">
        <f>INDEX(Prov!$E$2:$E$241,MATCH($A30,Prov!$M$2:$M$241,0))</f>
        <v>432</v>
      </c>
      <c r="D30" t="str">
        <f>VLOOKUP(A30,Biomass_names!$A$2:$B$119,2,0)</f>
        <v>Carrot</v>
      </c>
    </row>
    <row r="31" spans="1:4" x14ac:dyDescent="0.3">
      <c r="A31" s="10" t="s">
        <v>1704</v>
      </c>
      <c r="B31" s="66" t="s">
        <v>3488</v>
      </c>
      <c r="C31" s="65">
        <f>Prov!E85</f>
        <v>443</v>
      </c>
      <c r="D31" t="str">
        <f>VLOOKUP(A31,Biomass_names!$A$2:$B$119,2,0)</f>
        <v>Carrot</v>
      </c>
    </row>
    <row r="32" spans="1:4" x14ac:dyDescent="0.3">
      <c r="A32" s="10" t="s">
        <v>1682</v>
      </c>
      <c r="B32" s="66" t="str">
        <f>INDEX(Prov!$F$2:$F$241,MATCH($A32,Prov!$M$2:$M$241,0))</f>
        <v>Coliflor</v>
      </c>
      <c r="C32" s="65">
        <f>INDEX(Prov!$E$2:$E$241,MATCH($A32,Prov!$M$2:$M$241,0))</f>
        <v>416</v>
      </c>
      <c r="D32" t="str">
        <f>VLOOKUP(A32,Biomass_names!$A$2:$B$119,2,0)</f>
        <v>Cauliflower</v>
      </c>
    </row>
    <row r="33" spans="1:4" x14ac:dyDescent="0.3">
      <c r="A33" s="10" t="s">
        <v>1686</v>
      </c>
      <c r="B33" s="64" t="s">
        <v>3064</v>
      </c>
      <c r="C33" s="63">
        <v>436</v>
      </c>
      <c r="D33" t="str">
        <f>VLOOKUP(A33,Biomass_names!$A$2:$B$119,2,0)</f>
        <v>Cucumber</v>
      </c>
    </row>
    <row r="34" spans="1:4" x14ac:dyDescent="0.3">
      <c r="A34" s="10" t="s">
        <v>1181</v>
      </c>
      <c r="B34" s="66" t="str">
        <f>INDEX(Prov!$F$2:$F$241,MATCH($A34,Prov!$M$2:$M$241,0))</f>
        <v>Ajo</v>
      </c>
      <c r="C34" s="65">
        <f>INDEX(Prov!$E$2:$E$241,MATCH($A34,Prov!$M$2:$M$241,0))</f>
        <v>403</v>
      </c>
      <c r="D34" t="str">
        <f>VLOOKUP(A34,Biomass_names!$A$2:$B$119,2,0)</f>
        <v>Garlic</v>
      </c>
    </row>
    <row r="35" spans="1:4" x14ac:dyDescent="0.3">
      <c r="A35" s="10" t="s">
        <v>1697</v>
      </c>
      <c r="B35" s="2"/>
      <c r="C35" s="50"/>
      <c r="D35" t="str">
        <f>VLOOKUP(A35,Biomass_names!$A$2:$B$119,2,0)</f>
        <v>Leek</v>
      </c>
    </row>
    <row r="36" spans="1:4" x14ac:dyDescent="0.3">
      <c r="A36" s="10" t="s">
        <v>2199</v>
      </c>
      <c r="B36" s="64" t="s">
        <v>3041</v>
      </c>
      <c r="C36" s="63">
        <v>425</v>
      </c>
      <c r="D36" t="str">
        <f>VLOOKUP(A36,Biomass_names!$A$2:$B$119,2,0)</f>
        <v>Vegetables, leguminous nes</v>
      </c>
    </row>
    <row r="37" spans="1:4" x14ac:dyDescent="0.3">
      <c r="A37" s="10" t="s">
        <v>1676</v>
      </c>
      <c r="B37" s="64" t="s">
        <v>3049</v>
      </c>
      <c r="C37" s="63">
        <v>430</v>
      </c>
      <c r="D37" t="str">
        <f>VLOOKUP(A37,Biomass_names!$A$2:$B$119,2,0)</f>
        <v>Lettuce</v>
      </c>
    </row>
    <row r="38" spans="1:4" x14ac:dyDescent="0.3">
      <c r="A38" s="10" t="str">
        <f>Prov!M73</f>
        <v>Melons</v>
      </c>
      <c r="B38" s="66" t="str">
        <f>Prov!M73</f>
        <v>Melons</v>
      </c>
      <c r="C38" s="65">
        <v>431</v>
      </c>
      <c r="D38" t="str">
        <f>VLOOKUP(A38,Biomass_names!$A$2:$B$119,2,0)</f>
        <v>Melon</v>
      </c>
    </row>
    <row r="39" spans="1:4" x14ac:dyDescent="0.3">
      <c r="A39" s="10" t="s">
        <v>1180</v>
      </c>
      <c r="B39" s="66" t="str">
        <f>INDEX(Prov!$F$2:$F$241,MATCH($A39,Prov!$M$2:$M$241,0))</f>
        <v>Cebolla</v>
      </c>
      <c r="C39" s="65">
        <f>INDEX(Prov!$E$2:$E$241,MATCH($A39,Prov!$M$2:$M$241,0))</f>
        <v>413</v>
      </c>
      <c r="D39" t="str">
        <f>VLOOKUP(A39,Biomass_names!$A$2:$B$119,2,0)</f>
        <v>Onion</v>
      </c>
    </row>
    <row r="40" spans="1:4" x14ac:dyDescent="0.3">
      <c r="A40" s="10" t="s">
        <v>1701</v>
      </c>
      <c r="B40" s="64" t="s">
        <v>3036</v>
      </c>
      <c r="C40" s="63">
        <v>423</v>
      </c>
      <c r="D40" t="str">
        <f>VLOOKUP(A40,Biomass_names!$A$2:$B$119,2,0)</f>
        <v>Pea, green, with pod</v>
      </c>
    </row>
    <row r="41" spans="1:4" x14ac:dyDescent="0.3">
      <c r="A41" s="10" t="s">
        <v>1336</v>
      </c>
      <c r="B41" s="2"/>
      <c r="C41" s="50"/>
      <c r="D41" t="str">
        <f>VLOOKUP(A41,Biomass_names!$A$2:$B$119,2,0)</f>
        <v>Peppermint</v>
      </c>
    </row>
    <row r="42" spans="1:4" x14ac:dyDescent="0.3">
      <c r="A42" s="10" t="s">
        <v>1690</v>
      </c>
      <c r="B42" s="64" t="s">
        <v>3068</v>
      </c>
      <c r="C42" s="63">
        <v>438</v>
      </c>
      <c r="D42" t="str">
        <f>VLOOKUP(A42,Biomass_names!$A$2:$B$119,2,0)</f>
        <v>Pepper</v>
      </c>
    </row>
    <row r="43" spans="1:4" x14ac:dyDescent="0.3">
      <c r="A43" s="10" t="s">
        <v>1684</v>
      </c>
      <c r="B43" s="2"/>
      <c r="C43" s="50"/>
      <c r="D43" t="str">
        <f>VLOOKUP(A43,Biomass_names!$A$2:$B$119,2,0)</f>
        <v>Squash, pumpkin</v>
      </c>
    </row>
    <row r="44" spans="1:4" x14ac:dyDescent="0.3">
      <c r="A44" s="10" t="s">
        <v>1165</v>
      </c>
      <c r="B44" s="2"/>
      <c r="C44" s="50"/>
      <c r="D44" t="str">
        <f>VLOOKUP(A44,Biomass_names!$A$2:$B$119,2,0)</f>
        <v>Spinach</v>
      </c>
    </row>
    <row r="45" spans="1:4" x14ac:dyDescent="0.3">
      <c r="A45" s="10" t="s">
        <v>1167</v>
      </c>
      <c r="B45" t="str">
        <f>INDEX(Prov!$F$2:$F$241,MATCH($A45,Prov!$M$2:$M$241,0))</f>
        <v>Tomate</v>
      </c>
      <c r="C45" s="49">
        <f>INDEX(Prov!$E$2:$E$241,MATCH($A45,Prov!$M$2:$M$241,0))</f>
        <v>442</v>
      </c>
      <c r="D45" t="str">
        <f>VLOOKUP(A45,Biomass_names!$A$2:$B$119,2,0)</f>
        <v>Tomato</v>
      </c>
    </row>
    <row r="46" spans="1:4" x14ac:dyDescent="0.3">
      <c r="A46" s="10" t="s">
        <v>1678</v>
      </c>
      <c r="B46" s="2"/>
      <c r="C46" s="50"/>
      <c r="D46" t="str">
        <f>VLOOKUP(A46,Biomass_names!$A$2:$B$119,2,0)</f>
        <v>Vegetables, other</v>
      </c>
    </row>
    <row r="47" spans="1:4" x14ac:dyDescent="0.3">
      <c r="A47" s="10" t="s">
        <v>2202</v>
      </c>
      <c r="B47" t="str">
        <f>Prov!F53</f>
        <v>Calabacín</v>
      </c>
      <c r="C47" s="49">
        <f>Prov!E53</f>
        <v>410</v>
      </c>
      <c r="D47" t="str">
        <f>VLOOKUP(A47,Biomass_names!$A$2:$B$119,2,0)</f>
        <v>Zucchini</v>
      </c>
    </row>
    <row r="48" spans="1:4" x14ac:dyDescent="0.3">
      <c r="A48" s="10" t="s">
        <v>2194</v>
      </c>
      <c r="B48" s="2"/>
      <c r="C48" s="50"/>
      <c r="D48" t="str">
        <f>VLOOKUP(A48,Biomass_names!$A$2:$B$119,2,0)</f>
        <v>Celery</v>
      </c>
    </row>
    <row r="49" spans="1:4" x14ac:dyDescent="0.3">
      <c r="A49" s="10" t="s">
        <v>1264</v>
      </c>
      <c r="B49" t="str">
        <f>INDEX(Prov!$F$2:$F$241,MATCH($A49,Prov!$M$2:$M$241,0))</f>
        <v>Sandía</v>
      </c>
      <c r="C49" s="49">
        <f>INDEX(Prov!$E$2:$E$241,MATCH($A49,Prov!$M$2:$M$241,0))</f>
        <v>441</v>
      </c>
      <c r="D49" t="str">
        <f>VLOOKUP(A49,Biomass_names!$A$2:$B$119,2,0)</f>
        <v>Watermelon</v>
      </c>
    </row>
    <row r="50" spans="1:4" x14ac:dyDescent="0.3">
      <c r="A50" s="10" t="s">
        <v>1257</v>
      </c>
      <c r="B50" s="58" t="s">
        <v>3089</v>
      </c>
      <c r="C50" s="57">
        <v>605</v>
      </c>
      <c r="D50" t="str">
        <f>VLOOKUP(A50,Biomass_names!$A$2:$B$119,2,0)</f>
        <v>Grapevine</v>
      </c>
    </row>
    <row r="51" spans="1:4" x14ac:dyDescent="0.3">
      <c r="A51" s="10" t="s">
        <v>1257</v>
      </c>
      <c r="B51" s="58" t="s">
        <v>3099</v>
      </c>
      <c r="C51" s="57">
        <v>602</v>
      </c>
      <c r="D51" t="str">
        <f>VLOOKUP(A51,Biomass_names!$A$2:$B$119,2,0)</f>
        <v>Grapevine</v>
      </c>
    </row>
    <row r="52" spans="1:4" x14ac:dyDescent="0.3">
      <c r="A52" s="10" t="s">
        <v>1257</v>
      </c>
      <c r="B52" s="58" t="s">
        <v>3095</v>
      </c>
      <c r="C52" s="57">
        <v>601</v>
      </c>
      <c r="D52" t="str">
        <f>VLOOKUP(A52,Biomass_names!$A$2:$B$119,2,0)</f>
        <v>Grapevine</v>
      </c>
    </row>
    <row r="53" spans="1:4" x14ac:dyDescent="0.3">
      <c r="A53" s="10" t="s">
        <v>1257</v>
      </c>
      <c r="B53" s="58" t="s">
        <v>3100</v>
      </c>
      <c r="C53" s="57">
        <v>603</v>
      </c>
      <c r="D53" t="str">
        <f>VLOOKUP(A53,Biomass_names!$A$2:$B$119,2,0)</f>
        <v>Grapevine</v>
      </c>
    </row>
    <row r="54" spans="1:4" x14ac:dyDescent="0.3">
      <c r="A54" s="10" t="s">
        <v>1257</v>
      </c>
      <c r="B54" s="58"/>
      <c r="C54" s="57">
        <v>604</v>
      </c>
      <c r="D54" t="str">
        <f>VLOOKUP(A54,Biomass_names!$A$2:$B$119,2,0)</f>
        <v>Grapevine</v>
      </c>
    </row>
    <row r="55" spans="1:4" x14ac:dyDescent="0.3">
      <c r="A55" s="10" t="s">
        <v>1094</v>
      </c>
      <c r="B55" s="58" t="s">
        <v>3257</v>
      </c>
      <c r="C55" s="57">
        <v>701</v>
      </c>
      <c r="D55" t="str">
        <f>VLOOKUP(A55,Biomass_names!$A$2:$B$119,2,0)</f>
        <v>Olive</v>
      </c>
    </row>
    <row r="56" spans="1:4" x14ac:dyDescent="0.3">
      <c r="A56" s="10" t="s">
        <v>1094</v>
      </c>
      <c r="B56" s="58" t="s">
        <v>3252</v>
      </c>
      <c r="C56" s="57">
        <v>705</v>
      </c>
      <c r="D56" t="str">
        <f>VLOOKUP(A56,Biomass_names!$A$2:$B$119,2,0)</f>
        <v>Olive</v>
      </c>
    </row>
    <row r="57" spans="1:4" x14ac:dyDescent="0.3">
      <c r="A57" s="10" t="s">
        <v>1094</v>
      </c>
      <c r="B57" s="58"/>
      <c r="C57" s="57">
        <v>702</v>
      </c>
      <c r="D57" t="str">
        <f>VLOOKUP(A57,Biomass_names!$A$2:$B$119,2,0)</f>
        <v>Olive</v>
      </c>
    </row>
    <row r="58" spans="1:4" x14ac:dyDescent="0.3">
      <c r="A58" s="10" t="s">
        <v>1094</v>
      </c>
      <c r="B58" s="58"/>
      <c r="C58" s="57">
        <v>703</v>
      </c>
      <c r="D58" t="str">
        <f>VLOOKUP(A58,Biomass_names!$A$2:$B$119,2,0)</f>
        <v>Olive</v>
      </c>
    </row>
    <row r="59" spans="1:4" x14ac:dyDescent="0.3">
      <c r="A59" s="10" t="s">
        <v>1094</v>
      </c>
      <c r="B59" s="58"/>
      <c r="C59" s="57">
        <v>704</v>
      </c>
      <c r="D59" t="str">
        <f>VLOOKUP(A59,Biomass_names!$A$2:$B$119,2,0)</f>
        <v>Olive</v>
      </c>
    </row>
    <row r="60" spans="1:4" x14ac:dyDescent="0.3">
      <c r="A60" s="10" t="s">
        <v>1231</v>
      </c>
      <c r="B60" s="58" t="s">
        <v>3194</v>
      </c>
      <c r="C60" s="57">
        <v>527</v>
      </c>
      <c r="D60" t="str">
        <f>VLOOKUP(A60,Biomass_names!$A$2:$B$119,2,0)</f>
        <v>Apple</v>
      </c>
    </row>
    <row r="61" spans="1:4" x14ac:dyDescent="0.3">
      <c r="A61" s="10" t="s">
        <v>1239</v>
      </c>
      <c r="B61" t="str">
        <f>INDEX(Prov!$F$2:$F$241,MATCH($A61,Prov!$M$2:$M$241,0))</f>
        <v>Albaricoque</v>
      </c>
      <c r="C61" s="49">
        <f>INDEX(Prov!$E$2:$E$241,MATCH($A61,Prov!$M$2:$M$241,0))</f>
        <v>502</v>
      </c>
      <c r="D61" t="str">
        <f>VLOOKUP(A61,Biomass_names!$A$2:$B$119,2,0)</f>
        <v>Apricot</v>
      </c>
    </row>
    <row r="62" spans="1:4" x14ac:dyDescent="0.3">
      <c r="A62" s="10" t="s">
        <v>1269</v>
      </c>
      <c r="B62" t="str">
        <f>INDEX(Prov!$F$2:$F$241,MATCH($A62,Prov!$M$2:$M$241,0))</f>
        <v>Aguacate</v>
      </c>
      <c r="C62" s="49">
        <f>INDEX(Prov!$E$2:$E$241,MATCH($A62,Prov!$M$2:$M$241,0))</f>
        <v>501</v>
      </c>
      <c r="D62" t="str">
        <f>VLOOKUP(A62,Biomass_names!$A$2:$B$119,2,0)</f>
        <v>Avocado</v>
      </c>
    </row>
    <row r="63" spans="1:4" x14ac:dyDescent="0.3">
      <c r="A63" s="10" t="s">
        <v>1210</v>
      </c>
      <c r="B63" s="2"/>
      <c r="C63" s="50"/>
      <c r="D63" t="str">
        <f>VLOOKUP(A63,Biomass_names!$A$2:$B$119,2,0)</f>
        <v>Bananas, platains</v>
      </c>
    </row>
    <row r="64" spans="1:4" x14ac:dyDescent="0.3">
      <c r="A64" s="10" t="s">
        <v>1709</v>
      </c>
      <c r="B64" s="2"/>
      <c r="C64" s="50"/>
      <c r="D64" t="str">
        <f>VLOOKUP(A64,Biomass_names!$A$2:$B$119,2,0)</f>
        <v>Berries nes</v>
      </c>
    </row>
    <row r="65" spans="1:4" x14ac:dyDescent="0.3">
      <c r="A65" s="10" t="s">
        <v>1731</v>
      </c>
      <c r="B65" s="2"/>
      <c r="C65" s="50"/>
      <c r="D65" t="str">
        <f>VLOOKUP(A65,Biomass_names!$A$2:$B$119,2,0)</f>
        <v>Cherries</v>
      </c>
    </row>
    <row r="66" spans="1:4" x14ac:dyDescent="0.3">
      <c r="A66" s="10" t="s">
        <v>1266</v>
      </c>
      <c r="B66" t="str">
        <f>INDEX(Prov!$F$2:$F$241,MATCH($A66,Prov!$M$2:$M$241,0))</f>
        <v>Higos</v>
      </c>
      <c r="C66" s="49">
        <f>INDEX(Prov!$E$2:$E$241,MATCH($A66,Prov!$M$2:$M$241,0))</f>
        <v>519</v>
      </c>
      <c r="D66" t="str">
        <f>VLOOKUP(A66,Biomass_names!$A$2:$B$119,2,0)</f>
        <v>Figs</v>
      </c>
    </row>
    <row r="67" spans="1:4" x14ac:dyDescent="0.3">
      <c r="A67" s="10" t="s">
        <v>1663</v>
      </c>
      <c r="B67" s="62"/>
      <c r="C67" s="61"/>
      <c r="D67" t="str">
        <f>VLOOKUP(A67,Biomass_names!$A$2:$B$119,2,0)</f>
        <v>Fruits</v>
      </c>
    </row>
    <row r="68" spans="1:4" x14ac:dyDescent="0.3">
      <c r="A68" s="10" t="s">
        <v>1749</v>
      </c>
      <c r="B68" t="str">
        <f>INDEX(Prov!$F$2:$F$241,MATCH($A68,Prov!$M$2:$M$241,0))</f>
        <v>Kiwi</v>
      </c>
      <c r="C68" s="49">
        <f>INDEX(Prov!$E$2:$E$241,MATCH($A68,Prov!$M$2:$M$241,0))</f>
        <v>521</v>
      </c>
      <c r="D68" t="str">
        <f>VLOOKUP(A68,Biomass_names!$A$2:$B$119,2,0)</f>
        <v>Kiwifruit</v>
      </c>
    </row>
    <row r="69" spans="1:4" x14ac:dyDescent="0.3">
      <c r="A69" s="10" t="s">
        <v>1733</v>
      </c>
      <c r="B69" t="str">
        <f>INDEX(Prov!$F$2:$F$241,MATCH($A69,Prov!$M$2:$M$241,0))</f>
        <v>Melocotón</v>
      </c>
      <c r="C69" s="49">
        <f>INDEX(Prov!$E$2:$E$241,MATCH($A69,Prov!$M$2:$M$241,0))</f>
        <v>529</v>
      </c>
      <c r="D69" t="str">
        <f>VLOOKUP(A69,Biomass_names!$A$2:$B$119,2,0)</f>
        <v>Peach</v>
      </c>
    </row>
    <row r="70" spans="1:4" x14ac:dyDescent="0.3">
      <c r="A70" s="10" t="s">
        <v>1236</v>
      </c>
      <c r="B70" t="str">
        <f>INDEX(Prov!$F$2:$F$241,MATCH($A70,Prov!$M$2:$M$241,0))</f>
        <v>Pera</v>
      </c>
      <c r="C70" s="49">
        <f>INDEX(Prov!$E$2:$E$241,MATCH($A70,Prov!$M$2:$M$241,0))</f>
        <v>541</v>
      </c>
      <c r="D70" t="str">
        <f>VLOOKUP(A70,Biomass_names!$A$2:$B$119,2,0)</f>
        <v>Pear</v>
      </c>
    </row>
    <row r="71" spans="1:4" x14ac:dyDescent="0.3">
      <c r="A71" s="10" t="s">
        <v>1277</v>
      </c>
      <c r="B71" s="2"/>
      <c r="C71" s="50"/>
      <c r="D71" t="str">
        <f>VLOOKUP(A71,Biomass_names!$A$2:$B$119,2,0)</f>
        <v>Persimmon</v>
      </c>
    </row>
    <row r="72" spans="1:4" x14ac:dyDescent="0.3">
      <c r="A72" s="10" t="s">
        <v>1735</v>
      </c>
      <c r="B72" s="2"/>
      <c r="C72" s="50"/>
      <c r="D72" t="str">
        <f>VLOOKUP(A72,Biomass_names!$A$2:$B$119,2,0)</f>
        <v>Plum</v>
      </c>
    </row>
    <row r="73" spans="1:4" x14ac:dyDescent="0.3">
      <c r="A73" s="10" t="s">
        <v>2219</v>
      </c>
      <c r="B73" s="60" t="s">
        <v>3356</v>
      </c>
      <c r="C73" s="59">
        <v>536</v>
      </c>
      <c r="D73" t="str">
        <f>VLOOKUP(A73,Biomass_names!$A$2:$B$119,2,0)</f>
        <v>Prickly pears</v>
      </c>
    </row>
    <row r="74" spans="1:4" x14ac:dyDescent="0.3">
      <c r="A74" s="10" t="s">
        <v>1238</v>
      </c>
      <c r="B74" s="2"/>
      <c r="C74" s="50"/>
      <c r="D74" t="str">
        <f>VLOOKUP(A74,Biomass_names!$A$2:$B$119,2,0)</f>
        <v>Quince</v>
      </c>
    </row>
    <row r="75" spans="1:4" x14ac:dyDescent="0.3">
      <c r="A75" s="10" t="s">
        <v>1738</v>
      </c>
      <c r="B75" s="2"/>
      <c r="C75" s="50"/>
      <c r="D75" t="str">
        <f>VLOOKUP(A75,Biomass_names!$A$2:$B$119,2,0)</f>
        <v>Strawberry</v>
      </c>
    </row>
    <row r="76" spans="1:4" x14ac:dyDescent="0.3">
      <c r="A76" s="10" t="s">
        <v>1723</v>
      </c>
      <c r="B76" s="2"/>
      <c r="C76" s="50"/>
      <c r="D76" t="str">
        <f>VLOOKUP(A76,Biomass_names!$A$2:$B$119,2,0)</f>
        <v>Citrus</v>
      </c>
    </row>
    <row r="77" spans="1:4" x14ac:dyDescent="0.3">
      <c r="A77" s="10" t="s">
        <v>1720</v>
      </c>
      <c r="B77" s="58" t="s">
        <v>3174</v>
      </c>
      <c r="C77" s="57">
        <v>507</v>
      </c>
      <c r="D77" t="str">
        <f>VLOOKUP(A77,Biomass_names!$A$2:$B$119,2,0)</f>
        <v>Lemon</v>
      </c>
    </row>
    <row r="78" spans="1:4" x14ac:dyDescent="0.3">
      <c r="A78" s="10" t="s">
        <v>1213</v>
      </c>
      <c r="B78" s="56" t="str">
        <f>INDEX(Prov!$F$2:$F$241,MATCH($A78,Prov!$M$2:$M$241,0))</f>
        <v>Naranja</v>
      </c>
      <c r="C78" s="55">
        <f>INDEX(Prov!$E$2:$E$241,MATCH($A78,Prov!$M$2:$M$241,0))</f>
        <v>544</v>
      </c>
      <c r="D78" t="str">
        <f>VLOOKUP(A78,Biomass_names!$A$2:$B$119,2,0)</f>
        <v>Orange</v>
      </c>
    </row>
    <row r="79" spans="1:4" x14ac:dyDescent="0.3">
      <c r="A79" s="10" t="s">
        <v>1718</v>
      </c>
      <c r="B79" s="56" t="str">
        <f>INDEX(Prov!$F$2:$F$241,MATCH($A79,Prov!$M$2:$M$241,0))</f>
        <v>Mandarina</v>
      </c>
      <c r="C79" s="55">
        <f>INDEX(Prov!$E$2:$E$241,MATCH($A79,Prov!$M$2:$M$241,0))</f>
        <v>508</v>
      </c>
      <c r="D79" t="str">
        <f>VLOOKUP(A79,Biomass_names!$A$2:$B$119,2,0)</f>
        <v>Mandarin</v>
      </c>
    </row>
    <row r="80" spans="1:4" x14ac:dyDescent="0.3">
      <c r="A80" s="10" t="s">
        <v>1611</v>
      </c>
      <c r="B80" s="56" t="str">
        <f>INDEX(Prov!$F$2:$F$241,MATCH($A80,Prov!$M$2:$M$241,0))</f>
        <v>Almendra</v>
      </c>
      <c r="C80" s="55">
        <f>INDEX(Prov!$E$2:$E$241,MATCH($A80,Prov!$M$2:$M$241,0))</f>
        <v>504</v>
      </c>
      <c r="D80" t="str">
        <f>VLOOKUP(A80,Biomass_names!$A$2:$B$119,2,0)</f>
        <v>Almonds</v>
      </c>
    </row>
    <row r="81" spans="1:4" x14ac:dyDescent="0.3">
      <c r="A81" s="10" t="s">
        <v>1198</v>
      </c>
      <c r="B81" t="str">
        <f>INDEX(Prov!$F$2:$F$241,MATCH($A81,Prov!$M$2:$M$241,0))</f>
        <v>Algarrobo</v>
      </c>
      <c r="C81" s="49">
        <f>INDEX(Prov!$E$2:$E$241,MATCH($A81,Prov!$M$2:$M$241,0))</f>
        <v>503</v>
      </c>
      <c r="D81" t="str">
        <f>VLOOKUP(A81,Biomass_names!$A$2:$B$119,2,0)</f>
        <v>Carob</v>
      </c>
    </row>
    <row r="82" spans="1:4" x14ac:dyDescent="0.3">
      <c r="A82" s="10" t="s">
        <v>1046</v>
      </c>
      <c r="B82" t="str">
        <f>INDEX(Prov!$F$2:$F$241,MATCH($A82,Prov!$M$2:$M$241,0))</f>
        <v>Castaña</v>
      </c>
      <c r="C82" s="49">
        <f>INDEX(Prov!$E$2:$E$241,MATCH($A82,Prov!$M$2:$M$241,0))</f>
        <v>511</v>
      </c>
      <c r="D82" t="str">
        <f>VLOOKUP(A82,Biomass_names!$A$2:$B$119,2,0)</f>
        <v>Chestnut</v>
      </c>
    </row>
    <row r="83" spans="1:4" x14ac:dyDescent="0.3">
      <c r="A83" s="10" t="s">
        <v>1618</v>
      </c>
      <c r="B83" t="str">
        <f>INDEX(Prov!$F$2:$F$241,MATCH($A83,Prov!$M$2:$M$241,0))</f>
        <v>Avellano</v>
      </c>
      <c r="C83" s="49">
        <f>INDEX(Prov!$E$2:$E$241,MATCH($A83,Prov!$M$2:$M$241,0))</f>
        <v>506</v>
      </c>
      <c r="D83" t="str">
        <f>VLOOKUP(A83,Biomass_names!$A$2:$B$119,2,0)</f>
        <v>Hazelnut</v>
      </c>
    </row>
    <row r="84" spans="1:4" x14ac:dyDescent="0.3">
      <c r="A84" s="10" t="s">
        <v>1605</v>
      </c>
      <c r="B84" s="2"/>
      <c r="C84" s="50"/>
      <c r="D84" t="str">
        <f>VLOOKUP(A84,Biomass_names!$A$2:$B$119,2,0)</f>
        <v>Nuts nes</v>
      </c>
    </row>
    <row r="85" spans="1:4" x14ac:dyDescent="0.3">
      <c r="A85" s="10" t="s">
        <v>1049</v>
      </c>
      <c r="B85" s="2"/>
      <c r="C85" s="50"/>
      <c r="D85" t="str">
        <f>VLOOKUP(A85,Biomass_names!$A$2:$B$119,2,0)</f>
        <v>Pistachios</v>
      </c>
    </row>
    <row r="86" spans="1:4" x14ac:dyDescent="0.3">
      <c r="A86" s="10" t="s">
        <v>1615</v>
      </c>
      <c r="B86" s="2"/>
      <c r="C86" s="50"/>
      <c r="D86" t="str">
        <f>VLOOKUP(A86,Biomass_names!$A$2:$B$119,2,0)</f>
        <v>Walnut</v>
      </c>
    </row>
    <row r="87" spans="1:4" x14ac:dyDescent="0.3">
      <c r="A87" s="10" t="s">
        <v>1070</v>
      </c>
      <c r="B87" s="2"/>
      <c r="C87" s="50"/>
      <c r="D87" t="str">
        <f>VLOOKUP(A87,Biomass_names!$A$2:$B$119,2,0)</f>
        <v>Groundnuts, with shell</v>
      </c>
    </row>
    <row r="88" spans="1:4" x14ac:dyDescent="0.3">
      <c r="A88" s="10" t="s">
        <v>1153</v>
      </c>
      <c r="B88" s="2"/>
      <c r="C88" s="50"/>
      <c r="D88" t="str">
        <f>VLOOKUP(A88,Biomass_names!$A$2:$B$119,2,0)</f>
        <v>Hemp seed</v>
      </c>
    </row>
    <row r="89" spans="1:4" x14ac:dyDescent="0.3">
      <c r="A89" s="10" t="s">
        <v>1150</v>
      </c>
      <c r="B89" s="2"/>
      <c r="C89" s="50"/>
      <c r="D89" t="str">
        <f>VLOOKUP(A89,Biomass_names!$A$2:$B$119,2,0)</f>
        <v>Linseed</v>
      </c>
    </row>
    <row r="90" spans="1:4" x14ac:dyDescent="0.3">
      <c r="A90" s="10" t="s">
        <v>1110</v>
      </c>
      <c r="B90" s="2"/>
      <c r="C90" s="50"/>
      <c r="D90" t="str">
        <f>VLOOKUP(A90,Biomass_names!$A$2:$B$119,2,0)</f>
        <v>Rape</v>
      </c>
    </row>
    <row r="91" spans="1:4" x14ac:dyDescent="0.3">
      <c r="A91" t="s">
        <v>1656</v>
      </c>
      <c r="B91" s="2"/>
      <c r="C91" s="50"/>
      <c r="D91" t="str">
        <f>VLOOKUP(A91,Biomass_names!$A$2:$B$119,2,0)</f>
        <v>Safflower</v>
      </c>
    </row>
    <row r="92" spans="1:4" x14ac:dyDescent="0.3">
      <c r="A92" t="s">
        <v>1060</v>
      </c>
      <c r="B92" s="2"/>
      <c r="C92" s="50"/>
      <c r="D92" t="str">
        <f>VLOOKUP(A92,Biomass_names!$A$2:$B$119,2,0)</f>
        <v>Soyabeans</v>
      </c>
    </row>
    <row r="93" spans="1:4" x14ac:dyDescent="0.3">
      <c r="A93" s="10" t="s">
        <v>1646</v>
      </c>
      <c r="B93" t="str">
        <f>INDEX(Prov!$F$2:$F$241,MATCH($A93,Prov!$M$2:$M$241,0))</f>
        <v>Girasol</v>
      </c>
      <c r="C93" s="49">
        <f>INDEX(Prov!$E$2:$E$241,MATCH($A93,Prov!$M$2:$M$241,0))</f>
        <v>808</v>
      </c>
      <c r="D93" t="str">
        <f>VLOOKUP(A93,Biomass_names!$A$2:$B$119,2,0)</f>
        <v>Sunflower seed</v>
      </c>
    </row>
    <row r="94" spans="1:4" x14ac:dyDescent="0.3">
      <c r="A94" s="10" t="s">
        <v>1821</v>
      </c>
      <c r="B94" t="str">
        <f>INDEX(Prov!$F$2:$F$241,MATCH($A94,Prov!$M$2:$M$241,0))</f>
        <v>Algodón</v>
      </c>
      <c r="C94" s="49">
        <f>INDEX(Prov!$E$2:$E$241,MATCH($A94,Prov!$M$2:$M$241,0))</f>
        <v>800</v>
      </c>
      <c r="D94" t="s">
        <v>1820</v>
      </c>
    </row>
    <row r="95" spans="1:4" x14ac:dyDescent="0.3">
      <c r="A95" s="10" t="s">
        <v>1145</v>
      </c>
      <c r="B95" t="s">
        <v>3266</v>
      </c>
      <c r="C95" s="49">
        <v>800</v>
      </c>
      <c r="D95" t="s">
        <v>1145</v>
      </c>
    </row>
    <row r="96" spans="1:4" x14ac:dyDescent="0.3">
      <c r="A96" s="10" t="s">
        <v>2184</v>
      </c>
      <c r="B96" s="52" t="s">
        <v>3344</v>
      </c>
      <c r="C96" s="51">
        <v>821</v>
      </c>
      <c r="D96" t="str">
        <f>VLOOKUP(A96,Biomass_names!$A$2:$B$119,2,0)</f>
        <v>Giant reed</v>
      </c>
    </row>
    <row r="97" spans="1:4" x14ac:dyDescent="0.3">
      <c r="A97" s="10" t="s">
        <v>2182</v>
      </c>
      <c r="B97" s="52" t="s">
        <v>3283</v>
      </c>
      <c r="C97" s="51">
        <v>807</v>
      </c>
      <c r="D97" t="str">
        <f>VLOOKUP(A97,Biomass_names!$A$2:$B$119,2,0)</f>
        <v>Esparto grass</v>
      </c>
    </row>
    <row r="98" spans="1:4" x14ac:dyDescent="0.3">
      <c r="A98" s="10" t="s">
        <v>2180</v>
      </c>
      <c r="B98" s="52" t="s">
        <v>3291</v>
      </c>
      <c r="C98" s="51">
        <v>812</v>
      </c>
      <c r="D98" t="str">
        <f>VLOOKUP(A98,Biomass_names!$A$2:$B$119,2,0)</f>
        <v>Crack willow</v>
      </c>
    </row>
    <row r="99" spans="1:4" x14ac:dyDescent="0.3">
      <c r="A99" s="10" t="s">
        <v>1828</v>
      </c>
      <c r="B99" s="54"/>
      <c r="C99" s="53"/>
      <c r="D99" t="str">
        <f>VLOOKUP(A99,Biomass_names!$A$2:$B$119,2,0)</f>
        <v>Fibres, other</v>
      </c>
    </row>
    <row r="100" spans="1:4" x14ac:dyDescent="0.3">
      <c r="A100" s="10" t="s">
        <v>1632</v>
      </c>
      <c r="B100" s="2"/>
      <c r="C100" s="50"/>
      <c r="D100" t="str">
        <f>VLOOKUP(A100,Biomass_names!$A$2:$B$119,2,0)</f>
        <v>Coffee</v>
      </c>
    </row>
    <row r="101" spans="1:4" x14ac:dyDescent="0.3">
      <c r="A101" s="10" t="s">
        <v>1322</v>
      </c>
      <c r="B101" s="2"/>
      <c r="C101" s="50"/>
      <c r="D101" t="str">
        <f>VLOOKUP(A101,Biomass_names!$A$2:$B$119,2,0)</f>
        <v>Hop</v>
      </c>
    </row>
    <row r="102" spans="1:4" x14ac:dyDescent="0.3">
      <c r="A102" s="10" t="s">
        <v>1809</v>
      </c>
      <c r="B102" s="52" t="s">
        <v>3333</v>
      </c>
      <c r="C102" s="51">
        <v>1004</v>
      </c>
      <c r="D102" t="str">
        <f>VLOOKUP(A102,Biomass_names!$A$2:$B$119,2,0)</f>
        <v>Chili pepper and peppers, dry</v>
      </c>
    </row>
    <row r="103" spans="1:4" x14ac:dyDescent="0.3">
      <c r="A103" s="10" t="s">
        <v>2188</v>
      </c>
      <c r="B103" s="52" t="s">
        <v>3327</v>
      </c>
      <c r="C103" s="51">
        <v>1001</v>
      </c>
      <c r="D103" t="str">
        <f>VLOOKUP(A103,Biomass_names!$A$2:$B$119,2,0)</f>
        <v>Saffron</v>
      </c>
    </row>
    <row r="104" spans="1:4" x14ac:dyDescent="0.3">
      <c r="A104" s="10" t="s">
        <v>1806</v>
      </c>
      <c r="B104" s="54"/>
      <c r="C104" s="53"/>
      <c r="D104" t="str">
        <f>VLOOKUP(A104,Biomass_names!$A$2:$B$119,2,0)</f>
        <v>Spices, Other</v>
      </c>
    </row>
    <row r="105" spans="1:4" x14ac:dyDescent="0.3">
      <c r="A105" s="10" t="s">
        <v>1362</v>
      </c>
      <c r="B105" t="str">
        <f>INDEX(Prov!$F$2:$F$241,MATCH($A105,Prov!$M$2:$M$241,0))</f>
        <v>Tabaco</v>
      </c>
      <c r="C105" s="49">
        <f>INDEX(Prov!$E$2:$E$241,MATCH($A105,Prov!$M$2:$M$241,0))</f>
        <v>820</v>
      </c>
      <c r="D105" t="str">
        <f>VLOOKUP(A105,Biomass_names!$A$2:$B$119,2,0)</f>
        <v>Tobacco</v>
      </c>
    </row>
    <row r="106" spans="1:4" x14ac:dyDescent="0.3">
      <c r="A106" s="10" t="s">
        <v>1581</v>
      </c>
      <c r="B106" s="52" t="s">
        <v>3308</v>
      </c>
      <c r="C106" s="51">
        <v>900</v>
      </c>
      <c r="D106" t="str">
        <f>VLOOKUP(A106,Biomass_names!$A$2:$B$119,2,0)</f>
        <v>Sugar beet</v>
      </c>
    </row>
    <row r="107" spans="1:4" x14ac:dyDescent="0.3">
      <c r="A107" s="10" t="s">
        <v>1575</v>
      </c>
      <c r="B107" t="str">
        <f>INDEX(Prov!$F$2:$F$241,MATCH($A107,Prov!$M$2:$M$241,0))</f>
        <v>Caña de azúcar</v>
      </c>
      <c r="C107" s="49">
        <f>INDEX(Prov!$E$2:$E$241,MATCH($A107,Prov!$M$2:$M$241,0))</f>
        <v>901</v>
      </c>
      <c r="D107" t="str">
        <f>VLOOKUP(A107,Biomass_names!$A$2:$B$119,2,0)</f>
        <v>Sugarcane</v>
      </c>
    </row>
    <row r="108" spans="1:4" x14ac:dyDescent="0.3">
      <c r="A108" s="10" t="s">
        <v>1769</v>
      </c>
      <c r="B108" s="52" t="s">
        <v>1769</v>
      </c>
      <c r="C108" s="51">
        <v>1101</v>
      </c>
      <c r="D108" t="str">
        <f>VLOOKUP(A108,Biomass_names!$A$2:$B$119,2,0)</f>
        <v>Alfalfa</v>
      </c>
    </row>
    <row r="109" spans="1:4" x14ac:dyDescent="0.3">
      <c r="A109" s="10" t="s">
        <v>1789</v>
      </c>
      <c r="B109" t="str">
        <f>INDEX(Prov!$F$2:$F$241,MATCH($A109,Prov!$M$2:$M$241,0))</f>
        <v>Remolacha forrajera</v>
      </c>
      <c r="C109" s="49">
        <f>INDEX(Prov!$E$2:$E$241,MATCH($A109,Prov!$M$2:$M$241,0))</f>
        <v>1129</v>
      </c>
      <c r="D109" t="str">
        <f>VLOOKUP(A109,Biomass_names!$A$2:$B$119,2,0)</f>
        <v>Fodder beet</v>
      </c>
    </row>
    <row r="110" spans="1:4" x14ac:dyDescent="0.3">
      <c r="A110" s="10" t="s">
        <v>1778</v>
      </c>
      <c r="B110" t="str">
        <f>INDEX(Prov!$F$2:$F$241,MATCH($A110,Prov!$M$2:$M$241,0))</f>
        <v>Col para forraje</v>
      </c>
      <c r="C110" s="49">
        <f>INDEX(Prov!$E$2:$E$241,MATCH($A110,Prov!$M$2:$M$241,0))</f>
        <v>1113</v>
      </c>
      <c r="D110" t="str">
        <f>VLOOKUP(A110,Biomass_names!$A$2:$B$119,2,0)</f>
        <v>Fodder cabbage</v>
      </c>
    </row>
    <row r="111" spans="1:4" x14ac:dyDescent="0.3">
      <c r="A111" s="10" t="s">
        <v>1792</v>
      </c>
      <c r="B111" t="str">
        <f>INDEX(Prov!$F$2:$F$241,MATCH($A111,Prov!$M$2:$M$241,0))</f>
        <v>Zanahoria para forraje</v>
      </c>
      <c r="C111" s="49">
        <f>INDEX(Prov!$E$2:$E$241,MATCH($A111,Prov!$M$2:$M$241,0))</f>
        <v>1137</v>
      </c>
      <c r="D111" t="str">
        <f>VLOOKUP(A111,Biomass_names!$A$2:$B$119,2,0)</f>
        <v>Carrot, for fodder</v>
      </c>
    </row>
    <row r="112" spans="1:4" x14ac:dyDescent="0.3">
      <c r="A112" s="10" t="s">
        <v>2162</v>
      </c>
      <c r="B112" t="str">
        <f>INDEX(Prov!$F$2:$F$241,MATCH($A112,Prov!$M$2:$M$241,0))</f>
        <v>Avena para forraje</v>
      </c>
      <c r="C112" s="49">
        <f>INDEX(Prov!$E$2:$E$241,MATCH($A112,Prov!$M$2:$M$241,0))</f>
        <v>1105</v>
      </c>
      <c r="D112" t="str">
        <f>VLOOKUP(A112,Biomass_names!$A$2:$B$119,2,0)</f>
        <v>Cereals, green</v>
      </c>
    </row>
    <row r="113" spans="1:4" x14ac:dyDescent="0.3">
      <c r="A113" s="10" t="s">
        <v>2162</v>
      </c>
      <c r="B113" t="str">
        <f>Prov!A212</f>
        <v>cebada para forrajes</v>
      </c>
      <c r="C113" s="49">
        <f>Prov!E212</f>
        <v>1109</v>
      </c>
      <c r="D113" t="str">
        <f>VLOOKUP(A113,Biomass_names!$A$2:$B$119,2,0)</f>
        <v>Cereals, green</v>
      </c>
    </row>
    <row r="114" spans="1:4" x14ac:dyDescent="0.3">
      <c r="A114" s="10" t="s">
        <v>2162</v>
      </c>
      <c r="B114" t="str">
        <f>Prov!A213</f>
        <v>centeno para forrajes</v>
      </c>
      <c r="C114" s="49">
        <f>Prov!E213</f>
        <v>1110</v>
      </c>
      <c r="D114" t="str">
        <f>VLOOKUP(A114,Biomass_names!$A$2:$B$119,2,0)</f>
        <v>Cereals, green</v>
      </c>
    </row>
    <row r="115" spans="1:4" x14ac:dyDescent="0.3">
      <c r="A115" s="10" t="s">
        <v>2162</v>
      </c>
      <c r="B115" t="str">
        <f>Prov!A214</f>
        <v>cereales (trigo, avena, cebada, centeno y mezclas) para forraje</v>
      </c>
      <c r="C115" s="49">
        <f>Prov!E214</f>
        <v>1140</v>
      </c>
      <c r="D115" t="str">
        <f>VLOOKUP(A115,Biomass_names!$A$2:$B$119,2,0)</f>
        <v>Cereals, green</v>
      </c>
    </row>
    <row r="116" spans="1:4" x14ac:dyDescent="0.3">
      <c r="A116" s="10" t="s">
        <v>1766</v>
      </c>
      <c r="B116" s="52" t="s">
        <v>3472</v>
      </c>
      <c r="C116" s="51">
        <v>1132</v>
      </c>
      <c r="D116" t="str">
        <f>VLOOKUP(A116,Biomass_names!$A$2:$B$119,2,0)</f>
        <v>Clover</v>
      </c>
    </row>
    <row r="117" spans="1:4" x14ac:dyDescent="0.3">
      <c r="A117" s="10" t="s">
        <v>2164</v>
      </c>
      <c r="B117" t="str">
        <f>INDEX(Prov!$F$2:$F$241,MATCH($A117,Prov!$M$2:$M$241,0))</f>
        <v>Esparceta</v>
      </c>
      <c r="C117" s="49">
        <f>INDEX(Prov!$E$2:$E$241,MATCH($A117,Prov!$M$2:$M$241,0))</f>
        <v>1114</v>
      </c>
      <c r="D117" t="str">
        <f>VLOOKUP(A117,Biomass_names!$A$2:$B$119,2,0)</f>
        <v>Common sainfoin</v>
      </c>
    </row>
    <row r="118" spans="1:4" x14ac:dyDescent="0.3">
      <c r="A118" s="10" t="s">
        <v>1772</v>
      </c>
      <c r="B118" s="2"/>
      <c r="C118" s="50"/>
      <c r="D118" t="str">
        <f>VLOOKUP(A118,Biomass_names!$A$2:$B$119,2,0)</f>
        <v>Fodder, other</v>
      </c>
    </row>
    <row r="119" spans="1:4" x14ac:dyDescent="0.3">
      <c r="A119" s="10" t="s">
        <v>2168</v>
      </c>
      <c r="B119" t="str">
        <f>INDEX(Prov!$F$2:$F$241,MATCH($A119,Prov!$M$2:$M$241,0))</f>
        <v>Zulla</v>
      </c>
      <c r="C119" s="49">
        <f>INDEX(Prov!$E$2:$E$241,MATCH($A119,Prov!$M$2:$M$241,0))</f>
        <v>1138</v>
      </c>
      <c r="D119" t="str">
        <f>VLOOKUP(A119,Biomass_names!$A$2:$B$119,2,0)</f>
        <v>French honeysuckle</v>
      </c>
    </row>
    <row r="120" spans="1:4" x14ac:dyDescent="0.3">
      <c r="A120" s="10" t="s">
        <v>1762</v>
      </c>
      <c r="B120" t="str">
        <f>INDEX(Prov!$F$2:$F$241,MATCH($A120,Prov!$M$2:$M$241,0))</f>
        <v>Ballico</v>
      </c>
      <c r="C120" s="49">
        <f>INDEX(Prov!$E$2:$E$241,MATCH($A120,Prov!$M$2:$M$241,0))</f>
        <v>1106</v>
      </c>
      <c r="D120" t="str">
        <f>VLOOKUP(A120,Biomass_names!$A$2:$B$119,2,0)</f>
        <v>Brome</v>
      </c>
    </row>
    <row r="121" spans="1:4" x14ac:dyDescent="0.3">
      <c r="A121" s="10" t="s">
        <v>1775</v>
      </c>
      <c r="B121" s="2"/>
      <c r="C121" s="50"/>
      <c r="D121" t="str">
        <f>VLOOKUP(A121,Biomass_names!$A$2:$B$119,2,0)</f>
        <v>Other legumes for green fodder</v>
      </c>
    </row>
    <row r="122" spans="1:4" x14ac:dyDescent="0.3">
      <c r="A122" s="10" t="s">
        <v>1755</v>
      </c>
      <c r="B122" t="str">
        <f>INDEX(Prov!$F$2:$F$241,MATCH($A122,Prov!$M$2:$M$241,0))</f>
        <v>Maíz para forraje</v>
      </c>
      <c r="C122" s="49">
        <f>INDEX(Prov!$E$2:$E$241,MATCH($A122,Prov!$M$2:$M$241,0))</f>
        <v>1117</v>
      </c>
      <c r="D122" t="str">
        <f>VLOOKUP(A122,Biomass_names!$A$2:$B$119,2,0)</f>
        <v>Maize, green</v>
      </c>
    </row>
    <row r="123" spans="1:4" x14ac:dyDescent="0.3">
      <c r="A123" s="10" t="s">
        <v>1782</v>
      </c>
      <c r="B123" t="str">
        <f>INDEX(Prov!$F$2:$F$241,MATCH($A123,Prov!$M$2:$M$241,0))</f>
        <v>Praderas artificiales</v>
      </c>
      <c r="C123" s="49">
        <f>INDEX(Prov!$E$2:$E$241,MATCH($A123,Prov!$M$2:$M$241,0))</f>
        <v>1126</v>
      </c>
      <c r="D123" t="str">
        <f>VLOOKUP(A123,Biomass_names!$A$2:$B$119,2,0)</f>
        <v>Mixed swards</v>
      </c>
    </row>
    <row r="124" spans="1:4" x14ac:dyDescent="0.3">
      <c r="A124" s="10" t="s">
        <v>1782</v>
      </c>
      <c r="B124" s="52" t="s">
        <v>3450</v>
      </c>
      <c r="C124" s="51">
        <v>1127</v>
      </c>
      <c r="D124" t="str">
        <f>VLOOKUP(A124,Biomass_names!$A$2:$B$119,2,0)</f>
        <v>Mixed swards</v>
      </c>
    </row>
    <row r="125" spans="1:4" x14ac:dyDescent="0.3">
      <c r="A125" s="10" t="s">
        <v>1759</v>
      </c>
      <c r="B125" s="2"/>
      <c r="C125" s="50"/>
      <c r="D125" t="str">
        <f>VLOOKUP(A125,Biomass_names!$A$2:$B$119,2,0)</f>
        <v>Sorghum, green</v>
      </c>
    </row>
    <row r="126" spans="1:4" x14ac:dyDescent="0.3">
      <c r="A126" s="10" t="s">
        <v>2175</v>
      </c>
      <c r="B126" s="2"/>
      <c r="C126" s="50"/>
      <c r="D126" t="str">
        <f>VLOOKUP(A126,Biomass_names!$A$2:$B$119,2,0)</f>
        <v>Squash, for fodder</v>
      </c>
    </row>
    <row r="127" spans="1:4" x14ac:dyDescent="0.3">
      <c r="A127" s="10" t="s">
        <v>1786</v>
      </c>
      <c r="B127" t="str">
        <f>INDEX(Prov!$F$2:$F$241,MATCH($A127,Prov!$M$2:$M$241,0))</f>
        <v>Nabo para forraje</v>
      </c>
      <c r="C127" s="49">
        <f>INDEX(Prov!$E$2:$E$241,MATCH($A127,Prov!$M$2:$M$241,0))</f>
        <v>1118</v>
      </c>
      <c r="D127" t="str">
        <f>VLOOKUP(A127,Biomass_names!$A$2:$B$119,2,0)</f>
        <v>Turnip, for fodder</v>
      </c>
    </row>
    <row r="128" spans="1:4" x14ac:dyDescent="0.3">
      <c r="A128" s="10" t="s">
        <v>2177</v>
      </c>
      <c r="B128" t="str">
        <f>INDEX(Prov!$F$2:$F$241,MATCH($A128,Prov!$M$2:$M$241,0))</f>
        <v>Veza para forraje</v>
      </c>
      <c r="C128" s="49">
        <f>INDEX(Prov!$E$2:$E$241,MATCH($A128,Prov!$M$2:$M$241,0))</f>
        <v>1136</v>
      </c>
      <c r="D128" t="str">
        <f>VLOOKUP(A128,Biomass_names!$A$2:$B$119,2,0)</f>
        <v>Vetch, green</v>
      </c>
    </row>
    <row r="129" spans="1:4" x14ac:dyDescent="0.3">
      <c r="A129" s="10" t="s">
        <v>1920</v>
      </c>
      <c r="B129" s="2"/>
      <c r="C129" s="50"/>
      <c r="D129" t="str">
        <f>VLOOKUP(A129,Biomass_names!$A$2:$B$119,2,0)</f>
        <v>Flowers</v>
      </c>
    </row>
    <row r="130" spans="1:4" x14ac:dyDescent="0.3">
      <c r="A130" s="10" t="s">
        <v>1706</v>
      </c>
      <c r="B130" s="2"/>
      <c r="C130" s="50"/>
      <c r="D130" t="str">
        <f>VLOOKUP(A130,Biomass_names!$A$2:$B$119,2,0)</f>
        <v>Mushrooms</v>
      </c>
    </row>
    <row r="131" spans="1:4" x14ac:dyDescent="0.3">
      <c r="A131" t="s">
        <v>1022</v>
      </c>
      <c r="B131" s="2"/>
      <c r="C131" s="50"/>
      <c r="D131" t="str">
        <f>VLOOKUP(A131,Biomass_names!$A$2:$B$119,2,0)</f>
        <v>Other crops</v>
      </c>
    </row>
    <row r="132" spans="1:4" x14ac:dyDescent="0.3">
      <c r="A132" s="10" t="s">
        <v>2107</v>
      </c>
      <c r="B132" s="2"/>
      <c r="C132" s="50"/>
      <c r="D132" t="str">
        <f>VLOOKUP(A132,Biomass_names!$A$2:$B$119,2,0)</f>
        <v>Meadows</v>
      </c>
    </row>
    <row r="133" spans="1:4" x14ac:dyDescent="0.3">
      <c r="A133" s="10" t="s">
        <v>2021</v>
      </c>
      <c r="B133" t="str">
        <f>INDEX(Prov!$F$2:$F$241,MATCH($A133,Prov!$M$2:$M$241,0))</f>
        <v>Barbecho</v>
      </c>
      <c r="C133" s="49">
        <f>INDEX(Prov!$E$2:$E$241,MATCH($A133,Prov!$M$2:$M$241,0))</f>
        <v>118</v>
      </c>
      <c r="D133" t="str">
        <f>VLOOKUP(A133,Biomass_names!$A$2:$B$119,2,0)</f>
        <v>Fallow</v>
      </c>
    </row>
    <row r="134" spans="1:4" x14ac:dyDescent="0.3">
      <c r="A134" s="10" t="s">
        <v>1871</v>
      </c>
      <c r="B134" t="s">
        <v>3489</v>
      </c>
      <c r="C134" s="49">
        <v>2000</v>
      </c>
      <c r="D134" t="str">
        <f>VLOOKUP(A134,Biomass_names!$A$2:$B$119,2,0)</f>
        <v>Grass</v>
      </c>
    </row>
    <row r="135" spans="1:4" x14ac:dyDescent="0.3">
      <c r="A135" s="10" t="s">
        <v>3490</v>
      </c>
      <c r="B135" t="s">
        <v>3491</v>
      </c>
      <c r="C135" s="49">
        <v>2001</v>
      </c>
      <c r="D135" t="s">
        <v>3492</v>
      </c>
    </row>
    <row r="136" spans="1:4" x14ac:dyDescent="0.3">
      <c r="A136" s="10" t="s">
        <v>3493</v>
      </c>
      <c r="B136" t="s">
        <v>3493</v>
      </c>
      <c r="C136" s="49">
        <v>2002</v>
      </c>
      <c r="D136" t="s">
        <v>2132</v>
      </c>
    </row>
    <row r="137" spans="1:4" x14ac:dyDescent="0.3">
      <c r="A137" s="10" t="s">
        <v>3494</v>
      </c>
      <c r="B137" t="s">
        <v>3495</v>
      </c>
      <c r="C137" s="49">
        <v>2003</v>
      </c>
      <c r="D137" t="s">
        <v>3496</v>
      </c>
    </row>
    <row r="138" spans="1:4" x14ac:dyDescent="0.3">
      <c r="A138" s="10" t="s">
        <v>3497</v>
      </c>
      <c r="B138" t="s">
        <v>3498</v>
      </c>
      <c r="C138" s="49">
        <v>2004</v>
      </c>
      <c r="D138" t="s">
        <v>2228</v>
      </c>
    </row>
  </sheetData>
  <pageMargins left="0.7" right="0.7" top="0.75" bottom="0.75" header="0.3" footer="0.3"/>
  <pageSetup paperSize="9" orientation="portrait" horizontalDpi="1200" verticalDpi="1200"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A51913-3E89-4AEC-9832-E11932EC8C27}">
  <dimension ref="A1:D109"/>
  <sheetViews>
    <sheetView zoomScale="70" zoomScaleNormal="70" workbookViewId="0">
      <pane ySplit="1" topLeftCell="A2" activePane="bottomLeft" state="frozen"/>
      <selection activeCell="J41" sqref="J41"/>
      <selection pane="bottomLeft" activeCell="D49" sqref="D49"/>
    </sheetView>
  </sheetViews>
  <sheetFormatPr defaultColWidth="8.77734375" defaultRowHeight="14.4" x14ac:dyDescent="0.3"/>
  <cols>
    <col min="2" max="2" width="30.77734375" customWidth="1"/>
    <col min="4" max="4" width="20.77734375" customWidth="1"/>
  </cols>
  <sheetData>
    <row r="1" spans="1:4" x14ac:dyDescent="0.3">
      <c r="A1" t="s">
        <v>3499</v>
      </c>
      <c r="B1" t="s">
        <v>2872</v>
      </c>
      <c r="C1" t="s">
        <v>2871</v>
      </c>
      <c r="D1" t="s">
        <v>1538</v>
      </c>
    </row>
    <row r="2" spans="1:4" x14ac:dyDescent="0.3">
      <c r="A2">
        <v>221</v>
      </c>
      <c r="B2" t="s">
        <v>1047</v>
      </c>
      <c r="C2">
        <f>A2</f>
        <v>221</v>
      </c>
      <c r="D2" t="s">
        <v>1611</v>
      </c>
    </row>
    <row r="3" spans="1:4" x14ac:dyDescent="0.3">
      <c r="A3">
        <v>711</v>
      </c>
      <c r="B3" t="s">
        <v>1332</v>
      </c>
      <c r="D3" t="s">
        <v>1806</v>
      </c>
    </row>
    <row r="4" spans="1:4" x14ac:dyDescent="0.3">
      <c r="A4">
        <v>515</v>
      </c>
      <c r="B4" t="s">
        <v>1231</v>
      </c>
      <c r="C4">
        <f t="shared" ref="C4:D10" si="0">A4</f>
        <v>515</v>
      </c>
      <c r="D4" t="str">
        <f t="shared" si="0"/>
        <v>Apples</v>
      </c>
    </row>
    <row r="5" spans="1:4" x14ac:dyDescent="0.3">
      <c r="A5">
        <v>526</v>
      </c>
      <c r="B5" t="s">
        <v>1239</v>
      </c>
      <c r="C5">
        <f t="shared" si="0"/>
        <v>526</v>
      </c>
      <c r="D5" t="str">
        <f t="shared" si="0"/>
        <v>Apricots</v>
      </c>
    </row>
    <row r="6" spans="1:4" x14ac:dyDescent="0.3">
      <c r="A6">
        <v>366</v>
      </c>
      <c r="B6" t="s">
        <v>1162</v>
      </c>
      <c r="C6">
        <f t="shared" si="0"/>
        <v>366</v>
      </c>
      <c r="D6" t="str">
        <f t="shared" si="0"/>
        <v>Artichokes</v>
      </c>
    </row>
    <row r="7" spans="1:4" x14ac:dyDescent="0.3">
      <c r="A7">
        <v>367</v>
      </c>
      <c r="B7" t="s">
        <v>1163</v>
      </c>
      <c r="C7">
        <f t="shared" si="0"/>
        <v>367</v>
      </c>
      <c r="D7" t="str">
        <f t="shared" si="0"/>
        <v>Asparagus</v>
      </c>
    </row>
    <row r="8" spans="1:4" x14ac:dyDescent="0.3">
      <c r="A8">
        <v>572</v>
      </c>
      <c r="B8" t="s">
        <v>1269</v>
      </c>
      <c r="C8">
        <f t="shared" si="0"/>
        <v>572</v>
      </c>
      <c r="D8" t="str">
        <f t="shared" si="0"/>
        <v>Avocados</v>
      </c>
    </row>
    <row r="9" spans="1:4" x14ac:dyDescent="0.3">
      <c r="A9">
        <v>486</v>
      </c>
      <c r="B9" t="s">
        <v>1210</v>
      </c>
      <c r="C9">
        <f t="shared" si="0"/>
        <v>486</v>
      </c>
      <c r="D9" t="str">
        <f t="shared" si="0"/>
        <v>Bananas</v>
      </c>
    </row>
    <row r="10" spans="1:4" x14ac:dyDescent="0.3">
      <c r="A10">
        <v>44</v>
      </c>
      <c r="B10" t="s">
        <v>919</v>
      </c>
      <c r="C10">
        <f t="shared" si="0"/>
        <v>44</v>
      </c>
      <c r="D10" t="str">
        <f t="shared" si="0"/>
        <v>Barley</v>
      </c>
    </row>
    <row r="11" spans="1:4" x14ac:dyDescent="0.3">
      <c r="A11">
        <v>782</v>
      </c>
      <c r="B11" t="s">
        <v>1351</v>
      </c>
      <c r="D11" t="s">
        <v>1828</v>
      </c>
    </row>
    <row r="12" spans="1:4" x14ac:dyDescent="0.3">
      <c r="A12">
        <v>176</v>
      </c>
      <c r="B12" t="s">
        <v>1027</v>
      </c>
      <c r="C12">
        <f>A12</f>
        <v>176</v>
      </c>
      <c r="D12" t="s">
        <v>1587</v>
      </c>
    </row>
    <row r="13" spans="1:4" x14ac:dyDescent="0.3">
      <c r="A13">
        <v>414</v>
      </c>
      <c r="B13" t="s">
        <v>1183</v>
      </c>
      <c r="C13">
        <f>A13</f>
        <v>414</v>
      </c>
      <c r="D13" t="s">
        <v>1699</v>
      </c>
    </row>
    <row r="14" spans="1:4" x14ac:dyDescent="0.3">
      <c r="A14">
        <v>558</v>
      </c>
      <c r="B14" t="s">
        <v>1256</v>
      </c>
      <c r="D14" t="s">
        <v>1709</v>
      </c>
    </row>
    <row r="15" spans="1:4" x14ac:dyDescent="0.3">
      <c r="A15">
        <v>552</v>
      </c>
      <c r="B15" t="s">
        <v>1254</v>
      </c>
      <c r="D15" t="s">
        <v>1709</v>
      </c>
    </row>
    <row r="16" spans="1:4" x14ac:dyDescent="0.3">
      <c r="A16">
        <v>181</v>
      </c>
      <c r="B16" t="s">
        <v>1029</v>
      </c>
      <c r="C16">
        <f>A16</f>
        <v>181</v>
      </c>
      <c r="D16" t="s">
        <v>1591</v>
      </c>
    </row>
    <row r="17" spans="1:4" x14ac:dyDescent="0.3">
      <c r="A17">
        <v>358</v>
      </c>
      <c r="B17" t="s">
        <v>1160</v>
      </c>
      <c r="C17">
        <f>A17</f>
        <v>358</v>
      </c>
      <c r="D17" t="s">
        <v>1671</v>
      </c>
    </row>
    <row r="18" spans="1:4" x14ac:dyDescent="0.3">
      <c r="A18">
        <v>101</v>
      </c>
      <c r="B18" t="s">
        <v>970</v>
      </c>
      <c r="D18" t="s">
        <v>1556</v>
      </c>
    </row>
    <row r="19" spans="1:4" x14ac:dyDescent="0.3">
      <c r="A19">
        <v>461</v>
      </c>
      <c r="B19" t="s">
        <v>1198</v>
      </c>
      <c r="C19">
        <f>A19</f>
        <v>461</v>
      </c>
      <c r="D19" t="str">
        <f>B19</f>
        <v>Carobs</v>
      </c>
    </row>
    <row r="20" spans="1:4" x14ac:dyDescent="0.3">
      <c r="A20">
        <v>426</v>
      </c>
      <c r="B20" t="s">
        <v>1187</v>
      </c>
      <c r="C20">
        <f>A20</f>
        <v>426</v>
      </c>
      <c r="D20" t="s">
        <v>1704</v>
      </c>
    </row>
    <row r="21" spans="1:4" x14ac:dyDescent="0.3">
      <c r="A21">
        <v>393</v>
      </c>
      <c r="B21" t="s">
        <v>1173</v>
      </c>
      <c r="C21">
        <f>A21</f>
        <v>393</v>
      </c>
      <c r="D21" t="s">
        <v>1682</v>
      </c>
    </row>
    <row r="22" spans="1:4" x14ac:dyDescent="0.3">
      <c r="A22">
        <v>108</v>
      </c>
      <c r="B22" t="s">
        <v>974</v>
      </c>
      <c r="C22">
        <f>A22</f>
        <v>108</v>
      </c>
      <c r="D22" t="s">
        <v>1556</v>
      </c>
    </row>
    <row r="23" spans="1:4" x14ac:dyDescent="0.3">
      <c r="A23">
        <v>531</v>
      </c>
      <c r="B23" t="s">
        <v>1242</v>
      </c>
      <c r="D23" t="s">
        <v>1731</v>
      </c>
    </row>
    <row r="24" spans="1:4" x14ac:dyDescent="0.3">
      <c r="A24">
        <v>530</v>
      </c>
      <c r="B24" t="s">
        <v>1241</v>
      </c>
      <c r="D24" t="s">
        <v>1731</v>
      </c>
    </row>
    <row r="25" spans="1:4" x14ac:dyDescent="0.3">
      <c r="A25">
        <v>220</v>
      </c>
      <c r="B25" t="s">
        <v>1046</v>
      </c>
      <c r="C25">
        <f>A25</f>
        <v>220</v>
      </c>
      <c r="D25" t="str">
        <f>B25</f>
        <v>Chestnut</v>
      </c>
    </row>
    <row r="26" spans="1:4" x14ac:dyDescent="0.3">
      <c r="A26">
        <v>191</v>
      </c>
      <c r="B26" t="s">
        <v>1033</v>
      </c>
      <c r="C26">
        <f>A26</f>
        <v>191</v>
      </c>
      <c r="D26" t="s">
        <v>1595</v>
      </c>
    </row>
    <row r="27" spans="1:4" x14ac:dyDescent="0.3">
      <c r="A27">
        <v>459</v>
      </c>
      <c r="B27" t="s">
        <v>1196</v>
      </c>
      <c r="D27" t="s">
        <v>1678</v>
      </c>
    </row>
    <row r="28" spans="1:4" x14ac:dyDescent="0.3">
      <c r="A28">
        <v>689</v>
      </c>
      <c r="B28" t="s">
        <v>1325</v>
      </c>
      <c r="C28">
        <f>A28</f>
        <v>689</v>
      </c>
      <c r="D28" t="s">
        <v>1809</v>
      </c>
    </row>
    <row r="29" spans="1:4" x14ac:dyDescent="0.3">
      <c r="A29">
        <v>401</v>
      </c>
      <c r="B29" t="s">
        <v>1177</v>
      </c>
      <c r="C29">
        <f>A29</f>
        <v>401</v>
      </c>
      <c r="D29" t="s">
        <v>1690</v>
      </c>
    </row>
    <row r="30" spans="1:4" x14ac:dyDescent="0.3">
      <c r="A30">
        <v>656</v>
      </c>
      <c r="B30" t="s">
        <v>1306</v>
      </c>
      <c r="D30" t="s">
        <v>1632</v>
      </c>
    </row>
    <row r="31" spans="1:4" x14ac:dyDescent="0.3">
      <c r="A31">
        <v>767</v>
      </c>
      <c r="B31" t="s">
        <v>1340</v>
      </c>
      <c r="C31">
        <f>A31</f>
        <v>767</v>
      </c>
      <c r="D31" t="s">
        <v>1821</v>
      </c>
    </row>
    <row r="32" spans="1:4" x14ac:dyDescent="0.3">
      <c r="A32">
        <v>329</v>
      </c>
      <c r="B32" t="s">
        <v>1145</v>
      </c>
      <c r="C32">
        <f>A32</f>
        <v>329</v>
      </c>
      <c r="D32" t="str">
        <f>B32</f>
        <v>Cottonseed</v>
      </c>
    </row>
    <row r="33" spans="1:4" x14ac:dyDescent="0.3">
      <c r="A33">
        <v>554</v>
      </c>
      <c r="B33" t="s">
        <v>1255</v>
      </c>
      <c r="D33" t="s">
        <v>1709</v>
      </c>
    </row>
    <row r="34" spans="1:4" x14ac:dyDescent="0.3">
      <c r="A34">
        <v>397</v>
      </c>
      <c r="B34" t="s">
        <v>1175</v>
      </c>
      <c r="C34">
        <f>A34</f>
        <v>397</v>
      </c>
      <c r="D34" t="s">
        <v>1686</v>
      </c>
    </row>
    <row r="35" spans="1:4" x14ac:dyDescent="0.3">
      <c r="A35">
        <v>550</v>
      </c>
      <c r="B35" t="s">
        <v>1253</v>
      </c>
      <c r="D35" t="s">
        <v>1709</v>
      </c>
    </row>
    <row r="36" spans="1:4" x14ac:dyDescent="0.3">
      <c r="A36">
        <v>577</v>
      </c>
      <c r="B36" t="s">
        <v>1274</v>
      </c>
      <c r="D36" t="s">
        <v>1663</v>
      </c>
    </row>
    <row r="37" spans="1:4" x14ac:dyDescent="0.3">
      <c r="A37">
        <v>399</v>
      </c>
      <c r="B37" t="s">
        <v>1176</v>
      </c>
      <c r="C37">
        <f>A37</f>
        <v>399</v>
      </c>
      <c r="D37" t="s">
        <v>1688</v>
      </c>
    </row>
    <row r="38" spans="1:4" x14ac:dyDescent="0.3">
      <c r="A38">
        <v>569</v>
      </c>
      <c r="B38" t="s">
        <v>1266</v>
      </c>
      <c r="C38">
        <f>A38</f>
        <v>569</v>
      </c>
      <c r="D38" t="str">
        <f>B38</f>
        <v>Figs</v>
      </c>
    </row>
    <row r="39" spans="1:4" x14ac:dyDescent="0.3">
      <c r="A39">
        <v>773</v>
      </c>
      <c r="B39" t="s">
        <v>1346</v>
      </c>
      <c r="D39" t="s">
        <v>1828</v>
      </c>
    </row>
    <row r="40" spans="1:4" x14ac:dyDescent="0.3">
      <c r="A40">
        <v>512</v>
      </c>
      <c r="B40" t="s">
        <v>1227</v>
      </c>
      <c r="C40">
        <f>A40</f>
        <v>512</v>
      </c>
      <c r="D40" t="s">
        <v>1723</v>
      </c>
    </row>
    <row r="41" spans="1:4" x14ac:dyDescent="0.3">
      <c r="A41">
        <v>619</v>
      </c>
      <c r="B41" t="s">
        <v>1283</v>
      </c>
      <c r="C41">
        <f>A41</f>
        <v>619</v>
      </c>
      <c r="D41" t="s">
        <v>1663</v>
      </c>
    </row>
    <row r="42" spans="1:4" x14ac:dyDescent="0.3">
      <c r="A42">
        <v>603</v>
      </c>
      <c r="B42" t="s">
        <v>1281</v>
      </c>
      <c r="D42" t="s">
        <v>1663</v>
      </c>
    </row>
    <row r="43" spans="1:4" x14ac:dyDescent="0.3">
      <c r="A43">
        <v>406</v>
      </c>
      <c r="B43" t="s">
        <v>1181</v>
      </c>
      <c r="C43">
        <f>A43</f>
        <v>406</v>
      </c>
      <c r="D43" t="str">
        <f>B43</f>
        <v>Garlic</v>
      </c>
    </row>
    <row r="44" spans="1:4" x14ac:dyDescent="0.3">
      <c r="A44">
        <v>549</v>
      </c>
      <c r="B44" t="s">
        <v>1252</v>
      </c>
      <c r="D44" t="s">
        <v>1709</v>
      </c>
    </row>
    <row r="45" spans="1:4" x14ac:dyDescent="0.3">
      <c r="A45">
        <v>103</v>
      </c>
      <c r="B45" t="s">
        <v>971</v>
      </c>
      <c r="D45" t="s">
        <v>1556</v>
      </c>
    </row>
    <row r="46" spans="1:4" x14ac:dyDescent="0.3">
      <c r="A46">
        <v>507</v>
      </c>
      <c r="B46" t="s">
        <v>1223</v>
      </c>
      <c r="C46">
        <f>A46</f>
        <v>507</v>
      </c>
      <c r="D46" t="s">
        <v>1723</v>
      </c>
    </row>
    <row r="47" spans="1:4" x14ac:dyDescent="0.3">
      <c r="A47">
        <v>560</v>
      </c>
      <c r="B47" t="s">
        <v>1257</v>
      </c>
      <c r="C47">
        <f>A47</f>
        <v>560</v>
      </c>
      <c r="D47" t="str">
        <f>B47</f>
        <v>Grapes</v>
      </c>
    </row>
    <row r="48" spans="1:4" x14ac:dyDescent="0.3">
      <c r="A48">
        <v>242</v>
      </c>
      <c r="B48" t="s">
        <v>1069</v>
      </c>
      <c r="C48">
        <f>A48</f>
        <v>242</v>
      </c>
      <c r="D48" t="s">
        <v>1070</v>
      </c>
    </row>
    <row r="49" spans="1:4" x14ac:dyDescent="0.3">
      <c r="A49">
        <v>225</v>
      </c>
      <c r="B49" t="s">
        <v>1051</v>
      </c>
      <c r="C49">
        <f>A49</f>
        <v>225</v>
      </c>
      <c r="D49" t="s">
        <v>1618</v>
      </c>
    </row>
    <row r="50" spans="1:4" x14ac:dyDescent="0.3">
      <c r="A50">
        <v>777</v>
      </c>
      <c r="B50" t="s">
        <v>1348</v>
      </c>
      <c r="D50" t="s">
        <v>1828</v>
      </c>
    </row>
    <row r="51" spans="1:4" x14ac:dyDescent="0.3">
      <c r="A51">
        <v>336</v>
      </c>
      <c r="B51" t="s">
        <v>1153</v>
      </c>
      <c r="C51">
        <f t="shared" ref="C51:C58" si="1">A51</f>
        <v>336</v>
      </c>
      <c r="D51" t="s">
        <v>1153</v>
      </c>
    </row>
    <row r="52" spans="1:4" x14ac:dyDescent="0.3">
      <c r="A52">
        <v>677</v>
      </c>
      <c r="B52" t="s">
        <v>1322</v>
      </c>
      <c r="C52">
        <f t="shared" si="1"/>
        <v>677</v>
      </c>
      <c r="D52" t="s">
        <v>1322</v>
      </c>
    </row>
    <row r="53" spans="1:4" x14ac:dyDescent="0.3">
      <c r="A53">
        <v>592</v>
      </c>
      <c r="B53" t="s">
        <v>1279</v>
      </c>
      <c r="C53">
        <f t="shared" si="1"/>
        <v>592</v>
      </c>
      <c r="D53" t="s">
        <v>1749</v>
      </c>
    </row>
    <row r="54" spans="1:4" x14ac:dyDescent="0.3">
      <c r="A54">
        <v>407</v>
      </c>
      <c r="B54" t="s">
        <v>1182</v>
      </c>
      <c r="C54">
        <f t="shared" si="1"/>
        <v>407</v>
      </c>
      <c r="D54" t="s">
        <v>1697</v>
      </c>
    </row>
    <row r="55" spans="1:4" x14ac:dyDescent="0.3">
      <c r="A55">
        <v>497</v>
      </c>
      <c r="B55" t="s">
        <v>1219</v>
      </c>
      <c r="C55">
        <f t="shared" si="1"/>
        <v>497</v>
      </c>
      <c r="D55" t="s">
        <v>1720</v>
      </c>
    </row>
    <row r="56" spans="1:4" x14ac:dyDescent="0.3">
      <c r="A56">
        <v>201</v>
      </c>
      <c r="B56" t="s">
        <v>1036</v>
      </c>
      <c r="C56">
        <f t="shared" si="1"/>
        <v>201</v>
      </c>
      <c r="D56" t="str">
        <f>B56</f>
        <v>Lentils</v>
      </c>
    </row>
    <row r="57" spans="1:4" x14ac:dyDescent="0.3">
      <c r="A57">
        <v>372</v>
      </c>
      <c r="B57" t="s">
        <v>1164</v>
      </c>
      <c r="C57">
        <f t="shared" si="1"/>
        <v>372</v>
      </c>
      <c r="D57" t="s">
        <v>1676</v>
      </c>
    </row>
    <row r="58" spans="1:4" x14ac:dyDescent="0.3">
      <c r="A58">
        <v>333</v>
      </c>
      <c r="B58" t="s">
        <v>1150</v>
      </c>
      <c r="C58">
        <f t="shared" si="1"/>
        <v>333</v>
      </c>
      <c r="D58" t="s">
        <v>1150</v>
      </c>
    </row>
    <row r="59" spans="1:4" x14ac:dyDescent="0.3">
      <c r="A59">
        <v>210</v>
      </c>
      <c r="B59" t="s">
        <v>1039</v>
      </c>
      <c r="C59">
        <v>210</v>
      </c>
      <c r="D59" t="s">
        <v>1039</v>
      </c>
    </row>
    <row r="60" spans="1:4" x14ac:dyDescent="0.3">
      <c r="A60">
        <v>56</v>
      </c>
      <c r="B60" t="s">
        <v>929</v>
      </c>
      <c r="C60">
        <f>A60</f>
        <v>56</v>
      </c>
      <c r="D60" t="str">
        <f>B60</f>
        <v>Maize</v>
      </c>
    </row>
    <row r="61" spans="1:4" x14ac:dyDescent="0.3">
      <c r="A61">
        <v>568</v>
      </c>
      <c r="B61" t="s">
        <v>1265</v>
      </c>
      <c r="C61">
        <f>A61</f>
        <v>568</v>
      </c>
      <c r="D61" t="s">
        <v>1744</v>
      </c>
    </row>
    <row r="62" spans="1:4" x14ac:dyDescent="0.3">
      <c r="A62">
        <v>79</v>
      </c>
      <c r="B62" t="s">
        <v>950</v>
      </c>
      <c r="C62">
        <v>79</v>
      </c>
      <c r="D62" t="s">
        <v>950</v>
      </c>
    </row>
    <row r="63" spans="1:4" x14ac:dyDescent="0.3">
      <c r="A63">
        <v>449</v>
      </c>
      <c r="B63" t="s">
        <v>1193</v>
      </c>
      <c r="C63">
        <v>449</v>
      </c>
      <c r="D63" t="s">
        <v>1706</v>
      </c>
    </row>
    <row r="64" spans="1:4" x14ac:dyDescent="0.3">
      <c r="A64">
        <v>234</v>
      </c>
      <c r="B64" t="s">
        <v>1058</v>
      </c>
      <c r="C64">
        <v>234</v>
      </c>
      <c r="D64" t="s">
        <v>1605</v>
      </c>
    </row>
    <row r="65" spans="1:4" x14ac:dyDescent="0.3">
      <c r="A65">
        <v>75</v>
      </c>
      <c r="B65" t="s">
        <v>947</v>
      </c>
      <c r="C65">
        <f>A65</f>
        <v>75</v>
      </c>
      <c r="D65" t="str">
        <f>B65</f>
        <v>Oats</v>
      </c>
    </row>
    <row r="66" spans="1:4" x14ac:dyDescent="0.3">
      <c r="A66">
        <v>260</v>
      </c>
      <c r="B66" t="s">
        <v>1094</v>
      </c>
      <c r="C66">
        <f>A66</f>
        <v>260</v>
      </c>
      <c r="D66" t="str">
        <f>B66</f>
        <v>Olives</v>
      </c>
    </row>
    <row r="67" spans="1:4" x14ac:dyDescent="0.3">
      <c r="A67">
        <v>403</v>
      </c>
      <c r="B67" t="s">
        <v>1179</v>
      </c>
      <c r="D67" t="s">
        <v>1180</v>
      </c>
    </row>
    <row r="68" spans="1:4" x14ac:dyDescent="0.3">
      <c r="A68">
        <v>402</v>
      </c>
      <c r="B68" t="s">
        <v>1178</v>
      </c>
      <c r="D68" t="s">
        <v>1180</v>
      </c>
    </row>
    <row r="69" spans="1:4" x14ac:dyDescent="0.3">
      <c r="A69">
        <v>490</v>
      </c>
      <c r="B69" t="s">
        <v>1213</v>
      </c>
      <c r="C69">
        <f>A69</f>
        <v>490</v>
      </c>
      <c r="D69" t="str">
        <f>B69</f>
        <v>Oranges</v>
      </c>
    </row>
    <row r="70" spans="1:4" x14ac:dyDescent="0.3">
      <c r="A70">
        <v>534</v>
      </c>
      <c r="B70" t="s">
        <v>1243</v>
      </c>
      <c r="C70">
        <f>A70</f>
        <v>534</v>
      </c>
      <c r="D70" t="s">
        <v>1733</v>
      </c>
    </row>
    <row r="71" spans="1:4" x14ac:dyDescent="0.3">
      <c r="A71">
        <v>521</v>
      </c>
      <c r="B71" t="s">
        <v>1236</v>
      </c>
      <c r="C71">
        <f>A71</f>
        <v>521</v>
      </c>
      <c r="D71" t="str">
        <f>B71</f>
        <v>Pears</v>
      </c>
    </row>
    <row r="72" spans="1:4" x14ac:dyDescent="0.3">
      <c r="A72">
        <v>187</v>
      </c>
      <c r="B72" t="s">
        <v>1031</v>
      </c>
      <c r="C72">
        <f>A72</f>
        <v>187</v>
      </c>
      <c r="D72" t="s">
        <v>1032</v>
      </c>
    </row>
    <row r="73" spans="1:4" x14ac:dyDescent="0.3">
      <c r="A73">
        <v>417</v>
      </c>
      <c r="B73" t="s">
        <v>1184</v>
      </c>
      <c r="C73">
        <f>A73</f>
        <v>417</v>
      </c>
      <c r="D73" t="s">
        <v>1701</v>
      </c>
    </row>
    <row r="74" spans="1:4" x14ac:dyDescent="0.3">
      <c r="A74">
        <v>748</v>
      </c>
      <c r="B74" t="s">
        <v>1336</v>
      </c>
      <c r="C74">
        <v>748</v>
      </c>
      <c r="D74" t="s">
        <v>1336</v>
      </c>
    </row>
    <row r="75" spans="1:4" x14ac:dyDescent="0.3">
      <c r="A75">
        <v>587</v>
      </c>
      <c r="B75" t="s">
        <v>1277</v>
      </c>
      <c r="C75">
        <f>A75</f>
        <v>587</v>
      </c>
      <c r="D75" t="str">
        <f>B75</f>
        <v>Persimmons</v>
      </c>
    </row>
    <row r="76" spans="1:4" x14ac:dyDescent="0.3">
      <c r="A76">
        <v>223</v>
      </c>
      <c r="B76" t="s">
        <v>1049</v>
      </c>
      <c r="C76">
        <f>A76</f>
        <v>223</v>
      </c>
      <c r="D76" t="str">
        <f>B76</f>
        <v>Pistachios</v>
      </c>
    </row>
    <row r="77" spans="1:4" x14ac:dyDescent="0.3">
      <c r="A77">
        <v>536</v>
      </c>
      <c r="B77" t="s">
        <v>1244</v>
      </c>
      <c r="C77">
        <f>A77</f>
        <v>536</v>
      </c>
      <c r="D77" t="s">
        <v>1735</v>
      </c>
    </row>
    <row r="78" spans="1:4" x14ac:dyDescent="0.3">
      <c r="A78">
        <v>296</v>
      </c>
      <c r="B78" t="s">
        <v>1133</v>
      </c>
      <c r="D78" t="s">
        <v>1022</v>
      </c>
    </row>
    <row r="79" spans="1:4" x14ac:dyDescent="0.3">
      <c r="A79">
        <v>116</v>
      </c>
      <c r="B79" t="s">
        <v>982</v>
      </c>
      <c r="C79">
        <f>A79</f>
        <v>116</v>
      </c>
      <c r="D79" t="s">
        <v>982</v>
      </c>
    </row>
    <row r="80" spans="1:4" x14ac:dyDescent="0.3">
      <c r="A80">
        <v>211</v>
      </c>
      <c r="B80" t="s">
        <v>1040</v>
      </c>
      <c r="C80">
        <f>A80</f>
        <v>211</v>
      </c>
      <c r="D80" t="s">
        <v>1596</v>
      </c>
    </row>
    <row r="81" spans="1:4" x14ac:dyDescent="0.3">
      <c r="A81">
        <v>394</v>
      </c>
      <c r="B81" t="s">
        <v>1174</v>
      </c>
      <c r="C81">
        <f>A81</f>
        <v>394</v>
      </c>
      <c r="D81" t="s">
        <v>1684</v>
      </c>
    </row>
    <row r="82" spans="1:4" x14ac:dyDescent="0.3">
      <c r="A82">
        <v>754</v>
      </c>
      <c r="B82" t="s">
        <v>1338</v>
      </c>
      <c r="D82" t="s">
        <v>1022</v>
      </c>
    </row>
    <row r="83" spans="1:4" x14ac:dyDescent="0.3">
      <c r="A83">
        <v>523</v>
      </c>
      <c r="B83" t="s">
        <v>1238</v>
      </c>
      <c r="C83">
        <f>A83</f>
        <v>523</v>
      </c>
      <c r="D83" t="str">
        <f>B83</f>
        <v>Quinces</v>
      </c>
    </row>
    <row r="84" spans="1:4" x14ac:dyDescent="0.3">
      <c r="A84">
        <v>270</v>
      </c>
      <c r="B84" t="s">
        <v>1110</v>
      </c>
      <c r="C84">
        <f>A84</f>
        <v>270</v>
      </c>
      <c r="D84" t="str">
        <f>B84</f>
        <v>Rapeseed</v>
      </c>
    </row>
    <row r="85" spans="1:4" x14ac:dyDescent="0.3">
      <c r="A85">
        <v>547</v>
      </c>
      <c r="B85" t="s">
        <v>1251</v>
      </c>
      <c r="D85" t="s">
        <v>1663</v>
      </c>
    </row>
    <row r="86" spans="1:4" x14ac:dyDescent="0.3">
      <c r="A86">
        <v>27</v>
      </c>
      <c r="B86" t="s">
        <v>903</v>
      </c>
      <c r="C86">
        <f t="shared" ref="C86:C92" si="2">A86</f>
        <v>27</v>
      </c>
      <c r="D86" t="s">
        <v>1548</v>
      </c>
    </row>
    <row r="87" spans="1:4" x14ac:dyDescent="0.3">
      <c r="A87">
        <v>149</v>
      </c>
      <c r="B87" t="s">
        <v>999</v>
      </c>
      <c r="C87">
        <f t="shared" si="2"/>
        <v>149</v>
      </c>
      <c r="D87" t="s">
        <v>1558</v>
      </c>
    </row>
    <row r="88" spans="1:4" x14ac:dyDescent="0.3">
      <c r="A88">
        <v>71</v>
      </c>
      <c r="B88" t="s">
        <v>943</v>
      </c>
      <c r="C88">
        <f t="shared" si="2"/>
        <v>71</v>
      </c>
      <c r="D88" t="str">
        <f>B88</f>
        <v>Rye</v>
      </c>
    </row>
    <row r="89" spans="1:4" x14ac:dyDescent="0.3">
      <c r="A89">
        <v>280</v>
      </c>
      <c r="B89" t="s">
        <v>1121</v>
      </c>
      <c r="C89">
        <f t="shared" si="2"/>
        <v>280</v>
      </c>
      <c r="D89" t="s">
        <v>1656</v>
      </c>
    </row>
    <row r="90" spans="1:4" x14ac:dyDescent="0.3">
      <c r="A90">
        <v>328</v>
      </c>
      <c r="B90" t="s">
        <v>1525</v>
      </c>
      <c r="C90">
        <f t="shared" si="2"/>
        <v>328</v>
      </c>
      <c r="D90" t="s">
        <v>1665</v>
      </c>
    </row>
    <row r="91" spans="1:4" x14ac:dyDescent="0.3">
      <c r="A91">
        <v>83</v>
      </c>
      <c r="B91" t="s">
        <v>955</v>
      </c>
      <c r="C91">
        <f t="shared" si="2"/>
        <v>83</v>
      </c>
      <c r="D91" t="str">
        <f>B91</f>
        <v>Sorghum</v>
      </c>
    </row>
    <row r="92" spans="1:4" x14ac:dyDescent="0.3">
      <c r="A92">
        <v>236</v>
      </c>
      <c r="B92" t="s">
        <v>1060</v>
      </c>
      <c r="C92">
        <f t="shared" si="2"/>
        <v>236</v>
      </c>
      <c r="D92" t="s">
        <v>1060</v>
      </c>
    </row>
    <row r="93" spans="1:4" x14ac:dyDescent="0.3">
      <c r="A93">
        <v>723</v>
      </c>
      <c r="B93" t="s">
        <v>1334</v>
      </c>
      <c r="D93" t="s">
        <v>1806</v>
      </c>
    </row>
    <row r="94" spans="1:4" x14ac:dyDescent="0.3">
      <c r="A94">
        <v>373</v>
      </c>
      <c r="B94" t="s">
        <v>1165</v>
      </c>
      <c r="C94">
        <f>A94</f>
        <v>373</v>
      </c>
      <c r="D94" t="str">
        <f>B94</f>
        <v>Spinach</v>
      </c>
    </row>
    <row r="95" spans="1:4" x14ac:dyDescent="0.3">
      <c r="A95">
        <v>544</v>
      </c>
      <c r="B95" t="s">
        <v>1250</v>
      </c>
      <c r="D95" t="s">
        <v>1663</v>
      </c>
    </row>
    <row r="96" spans="1:4" x14ac:dyDescent="0.3">
      <c r="A96">
        <v>157</v>
      </c>
      <c r="B96" t="s">
        <v>1006</v>
      </c>
      <c r="C96">
        <f>A96</f>
        <v>157</v>
      </c>
      <c r="D96" t="s">
        <v>1581</v>
      </c>
    </row>
    <row r="97" spans="1:4" x14ac:dyDescent="0.3">
      <c r="A97">
        <v>156</v>
      </c>
      <c r="B97" t="s">
        <v>1005</v>
      </c>
      <c r="C97">
        <f>A97</f>
        <v>156</v>
      </c>
      <c r="D97" t="s">
        <v>1575</v>
      </c>
    </row>
    <row r="98" spans="1:4" x14ac:dyDescent="0.3">
      <c r="A98">
        <v>267</v>
      </c>
      <c r="B98" t="s">
        <v>1105</v>
      </c>
      <c r="C98">
        <f>A98</f>
        <v>267</v>
      </c>
      <c r="D98" t="s">
        <v>1646</v>
      </c>
    </row>
    <row r="99" spans="1:4" x14ac:dyDescent="0.3">
      <c r="A99">
        <v>122</v>
      </c>
      <c r="B99" t="s">
        <v>988</v>
      </c>
      <c r="D99" t="s">
        <v>1558</v>
      </c>
    </row>
    <row r="100" spans="1:4" x14ac:dyDescent="0.3">
      <c r="A100">
        <v>495</v>
      </c>
      <c r="B100" t="s">
        <v>1217</v>
      </c>
      <c r="C100">
        <f>A100</f>
        <v>495</v>
      </c>
      <c r="D100" t="s">
        <v>1718</v>
      </c>
    </row>
    <row r="101" spans="1:4" x14ac:dyDescent="0.3">
      <c r="A101">
        <v>826</v>
      </c>
      <c r="B101" t="s">
        <v>1361</v>
      </c>
      <c r="C101">
        <f>A101</f>
        <v>826</v>
      </c>
      <c r="D101" t="s">
        <v>1362</v>
      </c>
    </row>
    <row r="102" spans="1:4" x14ac:dyDescent="0.3">
      <c r="A102">
        <v>388</v>
      </c>
      <c r="B102" t="s">
        <v>1167</v>
      </c>
      <c r="C102">
        <f>A102</f>
        <v>388</v>
      </c>
      <c r="D102" t="str">
        <f>B102</f>
        <v>Tomatoes</v>
      </c>
    </row>
    <row r="103" spans="1:4" x14ac:dyDescent="0.3">
      <c r="A103">
        <v>97</v>
      </c>
      <c r="B103" t="s">
        <v>967</v>
      </c>
      <c r="D103" t="s">
        <v>1556</v>
      </c>
    </row>
    <row r="104" spans="1:4" x14ac:dyDescent="0.3">
      <c r="A104">
        <v>463</v>
      </c>
      <c r="B104" t="s">
        <v>1199</v>
      </c>
      <c r="C104">
        <f t="shared" ref="C104:C109" si="3">A104</f>
        <v>463</v>
      </c>
      <c r="D104" t="s">
        <v>1678</v>
      </c>
    </row>
    <row r="105" spans="1:4" x14ac:dyDescent="0.3">
      <c r="A105">
        <v>420</v>
      </c>
      <c r="B105" t="s">
        <v>1185</v>
      </c>
      <c r="C105">
        <f t="shared" si="3"/>
        <v>420</v>
      </c>
      <c r="D105" t="s">
        <v>2199</v>
      </c>
    </row>
    <row r="106" spans="1:4" x14ac:dyDescent="0.3">
      <c r="A106">
        <v>205</v>
      </c>
      <c r="B106" t="s">
        <v>1038</v>
      </c>
      <c r="C106">
        <f t="shared" si="3"/>
        <v>205</v>
      </c>
      <c r="D106" t="str">
        <f>B106</f>
        <v>Vetches</v>
      </c>
    </row>
    <row r="107" spans="1:4" x14ac:dyDescent="0.3">
      <c r="A107">
        <v>222</v>
      </c>
      <c r="B107" t="s">
        <v>1048</v>
      </c>
      <c r="C107">
        <f t="shared" si="3"/>
        <v>222</v>
      </c>
      <c r="D107" t="s">
        <v>1615</v>
      </c>
    </row>
    <row r="108" spans="1:4" x14ac:dyDescent="0.3">
      <c r="A108">
        <v>567</v>
      </c>
      <c r="B108" t="s">
        <v>1264</v>
      </c>
      <c r="C108">
        <f t="shared" si="3"/>
        <v>567</v>
      </c>
      <c r="D108" t="str">
        <f>B108</f>
        <v>Watermelons</v>
      </c>
    </row>
    <row r="109" spans="1:4" x14ac:dyDescent="0.3">
      <c r="A109">
        <v>15</v>
      </c>
      <c r="B109" t="s">
        <v>890</v>
      </c>
      <c r="C109">
        <f t="shared" si="3"/>
        <v>15</v>
      </c>
      <c r="D109" t="str">
        <f>B109</f>
        <v>Wheat</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63D28-07EA-463F-AB8B-198EFB0779AB}">
  <dimension ref="A1:B14"/>
  <sheetViews>
    <sheetView workbookViewId="0">
      <selection activeCell="J41" sqref="J41"/>
    </sheetView>
  </sheetViews>
  <sheetFormatPr defaultColWidth="10.77734375" defaultRowHeight="14.4" x14ac:dyDescent="0.3"/>
  <cols>
    <col min="2" max="2" width="47.21875" customWidth="1"/>
  </cols>
  <sheetData>
    <row r="1" spans="1:2" x14ac:dyDescent="0.3">
      <c r="A1" t="s">
        <v>3500</v>
      </c>
      <c r="B1" t="s">
        <v>1537</v>
      </c>
    </row>
    <row r="2" spans="1:2" x14ac:dyDescent="0.3">
      <c r="A2" t="s">
        <v>3501</v>
      </c>
      <c r="B2" t="s">
        <v>3502</v>
      </c>
    </row>
    <row r="3" spans="1:2" s="15" customFormat="1" x14ac:dyDescent="0.3">
      <c r="A3" s="15" t="s">
        <v>3503</v>
      </c>
      <c r="B3" s="15" t="s">
        <v>1872</v>
      </c>
    </row>
    <row r="4" spans="1:2" x14ac:dyDescent="0.3">
      <c r="A4" t="s">
        <v>3504</v>
      </c>
      <c r="B4" t="s">
        <v>3505</v>
      </c>
    </row>
    <row r="5" spans="1:2" s="15" customFormat="1" x14ac:dyDescent="0.3">
      <c r="A5" s="15" t="s">
        <v>3506</v>
      </c>
      <c r="B5" s="15" t="s">
        <v>1769</v>
      </c>
    </row>
    <row r="6" spans="1:2" s="15" customFormat="1" x14ac:dyDescent="0.3">
      <c r="A6" s="15" t="s">
        <v>3507</v>
      </c>
      <c r="B6" s="15" t="s">
        <v>1767</v>
      </c>
    </row>
    <row r="7" spans="1:2" s="15" customFormat="1" x14ac:dyDescent="0.3">
      <c r="A7" s="15" t="s">
        <v>3508</v>
      </c>
      <c r="B7" s="15" t="s">
        <v>1754</v>
      </c>
    </row>
    <row r="8" spans="1:2" s="15" customFormat="1" x14ac:dyDescent="0.3">
      <c r="A8" s="15" t="s">
        <v>3509</v>
      </c>
      <c r="B8" s="15" t="s">
        <v>1758</v>
      </c>
    </row>
    <row r="9" spans="1:2" x14ac:dyDescent="0.3">
      <c r="A9" t="s">
        <v>3510</v>
      </c>
      <c r="B9" t="s">
        <v>3511</v>
      </c>
    </row>
    <row r="10" spans="1:2" x14ac:dyDescent="0.3">
      <c r="A10" t="s">
        <v>3512</v>
      </c>
      <c r="B10" t="s">
        <v>3513</v>
      </c>
    </row>
    <row r="11" spans="1:2" x14ac:dyDescent="0.3">
      <c r="A11" t="s">
        <v>3514</v>
      </c>
      <c r="B11" t="s">
        <v>3515</v>
      </c>
    </row>
    <row r="12" spans="1:2" x14ac:dyDescent="0.3">
      <c r="A12" t="s">
        <v>3516</v>
      </c>
      <c r="B12" t="s">
        <v>3517</v>
      </c>
    </row>
    <row r="13" spans="1:2" x14ac:dyDescent="0.3">
      <c r="A13" t="s">
        <v>3518</v>
      </c>
      <c r="B13" t="s">
        <v>3519</v>
      </c>
    </row>
    <row r="14" spans="1:2" s="15" customFormat="1" x14ac:dyDescent="0.3">
      <c r="A14" s="15" t="s">
        <v>3520</v>
      </c>
      <c r="B14" s="15" t="s">
        <v>1785</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4D52C-8EFC-4B4A-B301-E2456EC014E1}">
  <dimension ref="A1:F125"/>
  <sheetViews>
    <sheetView zoomScale="70" zoomScaleNormal="70" workbookViewId="0">
      <pane ySplit="1" topLeftCell="A86" activePane="bottomLeft" state="frozen"/>
      <selection activeCell="J41" sqref="J41"/>
      <selection pane="bottomLeft" activeCell="D90" sqref="D90"/>
    </sheetView>
  </sheetViews>
  <sheetFormatPr defaultColWidth="8.77734375" defaultRowHeight="14.4" x14ac:dyDescent="0.3"/>
  <cols>
    <col min="1" max="1" width="21.109375" customWidth="1"/>
    <col min="2" max="2" width="18.109375" customWidth="1"/>
    <col min="3" max="3" width="11.77734375" customWidth="1"/>
    <col min="4" max="4" width="28.77734375" customWidth="1"/>
    <col min="5" max="5" width="5.77734375" customWidth="1"/>
  </cols>
  <sheetData>
    <row r="1" spans="1:6" x14ac:dyDescent="0.3">
      <c r="A1" t="s">
        <v>1538</v>
      </c>
      <c r="B1" t="s">
        <v>3521</v>
      </c>
      <c r="C1" t="s">
        <v>3522</v>
      </c>
      <c r="D1" t="s">
        <v>2872</v>
      </c>
      <c r="E1" t="s">
        <v>2871</v>
      </c>
    </row>
    <row r="2" spans="1:6" x14ac:dyDescent="0.3">
      <c r="A2" t="s">
        <v>919</v>
      </c>
      <c r="B2" t="s">
        <v>2885</v>
      </c>
      <c r="C2" t="s">
        <v>3523</v>
      </c>
      <c r="D2" t="s">
        <v>919</v>
      </c>
      <c r="E2">
        <v>44</v>
      </c>
      <c r="F2" t="str">
        <f t="shared" ref="F2:F33" si="0">A2</f>
        <v>Barley</v>
      </c>
    </row>
    <row r="3" spans="1:6" x14ac:dyDescent="0.3">
      <c r="A3" t="s">
        <v>1556</v>
      </c>
      <c r="B3" t="s">
        <v>3524</v>
      </c>
      <c r="C3" t="s">
        <v>3525</v>
      </c>
      <c r="D3" t="s">
        <v>974</v>
      </c>
      <c r="E3">
        <v>108</v>
      </c>
      <c r="F3" t="str">
        <f t="shared" si="0"/>
        <v>Cereals_nes</v>
      </c>
    </row>
    <row r="4" spans="1:6" x14ac:dyDescent="0.3">
      <c r="A4" t="s">
        <v>1556</v>
      </c>
      <c r="B4" t="s">
        <v>2909</v>
      </c>
      <c r="C4" t="s">
        <v>3526</v>
      </c>
      <c r="D4" t="s">
        <v>971</v>
      </c>
      <c r="E4">
        <v>103</v>
      </c>
      <c r="F4" t="str">
        <f t="shared" si="0"/>
        <v>Cereals_nes</v>
      </c>
    </row>
    <row r="5" spans="1:6" x14ac:dyDescent="0.3">
      <c r="A5" t="s">
        <v>1556</v>
      </c>
      <c r="B5" t="s">
        <v>967</v>
      </c>
      <c r="C5" t="s">
        <v>3527</v>
      </c>
      <c r="D5" t="s">
        <v>967</v>
      </c>
      <c r="E5">
        <v>97</v>
      </c>
      <c r="F5" t="str">
        <f t="shared" si="0"/>
        <v>Cereals_nes</v>
      </c>
    </row>
    <row r="6" spans="1:6" x14ac:dyDescent="0.3">
      <c r="A6" t="s">
        <v>929</v>
      </c>
      <c r="B6" t="s">
        <v>3528</v>
      </c>
      <c r="C6" t="s">
        <v>3529</v>
      </c>
      <c r="D6" t="s">
        <v>929</v>
      </c>
      <c r="E6">
        <v>56</v>
      </c>
      <c r="F6" t="str">
        <f t="shared" si="0"/>
        <v>Maize</v>
      </c>
    </row>
    <row r="7" spans="1:6" x14ac:dyDescent="0.3">
      <c r="A7" t="s">
        <v>947</v>
      </c>
      <c r="B7" t="s">
        <v>2883</v>
      </c>
      <c r="C7" t="s">
        <v>3530</v>
      </c>
      <c r="D7" t="s">
        <v>947</v>
      </c>
      <c r="E7">
        <v>75</v>
      </c>
      <c r="F7" t="str">
        <f t="shared" si="0"/>
        <v>Oats</v>
      </c>
    </row>
    <row r="8" spans="1:6" x14ac:dyDescent="0.3">
      <c r="A8" t="s">
        <v>1548</v>
      </c>
      <c r="B8" t="s">
        <v>2881</v>
      </c>
      <c r="C8" t="s">
        <v>3531</v>
      </c>
      <c r="D8" t="s">
        <v>903</v>
      </c>
      <c r="E8">
        <v>27</v>
      </c>
      <c r="F8" t="str">
        <f t="shared" si="0"/>
        <v>Rice</v>
      </c>
    </row>
    <row r="9" spans="1:6" x14ac:dyDescent="0.3">
      <c r="A9" t="s">
        <v>943</v>
      </c>
      <c r="B9" t="s">
        <v>2888</v>
      </c>
      <c r="C9" t="s">
        <v>3532</v>
      </c>
      <c r="D9" t="s">
        <v>943</v>
      </c>
      <c r="E9">
        <v>71</v>
      </c>
      <c r="F9" t="str">
        <f t="shared" si="0"/>
        <v>Rye</v>
      </c>
    </row>
    <row r="10" spans="1:6" x14ac:dyDescent="0.3">
      <c r="A10" t="s">
        <v>955</v>
      </c>
      <c r="B10" t="s">
        <v>2906</v>
      </c>
      <c r="C10" t="s">
        <v>3533</v>
      </c>
      <c r="D10" t="s">
        <v>955</v>
      </c>
      <c r="E10">
        <v>83</v>
      </c>
      <c r="F10" t="str">
        <f t="shared" si="0"/>
        <v>Sorghum</v>
      </c>
    </row>
    <row r="11" spans="1:6" x14ac:dyDescent="0.3">
      <c r="A11" t="s">
        <v>890</v>
      </c>
      <c r="B11" t="s">
        <v>2913</v>
      </c>
      <c r="C11" t="s">
        <v>3534</v>
      </c>
      <c r="D11" t="s">
        <v>890</v>
      </c>
      <c r="E11">
        <v>15</v>
      </c>
      <c r="F11" t="str">
        <f t="shared" si="0"/>
        <v>Wheat</v>
      </c>
    </row>
    <row r="12" spans="1:6" x14ac:dyDescent="0.3">
      <c r="A12" t="s">
        <v>1587</v>
      </c>
      <c r="B12" t="s">
        <v>2952</v>
      </c>
      <c r="C12" t="s">
        <v>3535</v>
      </c>
      <c r="D12" t="s">
        <v>1027</v>
      </c>
      <c r="E12">
        <v>176</v>
      </c>
      <c r="F12" t="str">
        <f t="shared" si="0"/>
        <v>Beans_dry</v>
      </c>
    </row>
    <row r="13" spans="1:6" x14ac:dyDescent="0.3">
      <c r="A13" t="s">
        <v>1595</v>
      </c>
      <c r="B13" t="s">
        <v>2937</v>
      </c>
      <c r="C13" t="s">
        <v>3536</v>
      </c>
      <c r="D13" t="s">
        <v>1033</v>
      </c>
      <c r="E13">
        <v>191</v>
      </c>
      <c r="F13" t="str">
        <f t="shared" si="0"/>
        <v>Chickpeas</v>
      </c>
    </row>
    <row r="14" spans="1:6" x14ac:dyDescent="0.3">
      <c r="A14" t="s">
        <v>1591</v>
      </c>
      <c r="B14" t="s">
        <v>2948</v>
      </c>
      <c r="C14" t="s">
        <v>3537</v>
      </c>
      <c r="D14" t="s">
        <v>1029</v>
      </c>
      <c r="E14">
        <v>181</v>
      </c>
      <c r="F14" t="str">
        <f t="shared" si="0"/>
        <v>Fava_beans</v>
      </c>
    </row>
    <row r="15" spans="1:6" x14ac:dyDescent="0.3">
      <c r="A15" t="s">
        <v>1036</v>
      </c>
      <c r="B15" t="s">
        <v>2956</v>
      </c>
      <c r="C15" t="s">
        <v>3538</v>
      </c>
      <c r="D15" t="s">
        <v>1036</v>
      </c>
      <c r="E15">
        <v>201</v>
      </c>
      <c r="F15" t="str">
        <f t="shared" si="0"/>
        <v>Lentils</v>
      </c>
    </row>
    <row r="16" spans="1:6" x14ac:dyDescent="0.3">
      <c r="A16" t="s">
        <v>1039</v>
      </c>
      <c r="B16" t="s">
        <v>2932</v>
      </c>
      <c r="C16" t="s">
        <v>3539</v>
      </c>
      <c r="D16" t="s">
        <v>1039</v>
      </c>
      <c r="E16">
        <v>210</v>
      </c>
      <c r="F16" t="str">
        <f t="shared" si="0"/>
        <v>Lupins</v>
      </c>
    </row>
    <row r="17" spans="1:6" x14ac:dyDescent="0.3">
      <c r="A17" t="s">
        <v>1032</v>
      </c>
      <c r="B17" t="s">
        <v>3540</v>
      </c>
      <c r="C17" t="s">
        <v>3541</v>
      </c>
      <c r="D17" t="s">
        <v>1031</v>
      </c>
      <c r="E17">
        <v>187</v>
      </c>
      <c r="F17" t="str">
        <f t="shared" si="0"/>
        <v>Peas</v>
      </c>
    </row>
    <row r="18" spans="1:6" x14ac:dyDescent="0.3">
      <c r="A18" t="s">
        <v>1596</v>
      </c>
      <c r="B18" t="s">
        <v>3542</v>
      </c>
      <c r="C18" t="s">
        <v>3543</v>
      </c>
      <c r="D18" t="s">
        <v>1040</v>
      </c>
      <c r="E18">
        <v>211</v>
      </c>
      <c r="F18" t="str">
        <f t="shared" si="0"/>
        <v>Pulses_nes</v>
      </c>
    </row>
    <row r="19" spans="1:6" x14ac:dyDescent="0.3">
      <c r="A19" t="s">
        <v>1596</v>
      </c>
      <c r="B19" t="s">
        <v>2966</v>
      </c>
      <c r="C19" t="s">
        <v>3544</v>
      </c>
      <c r="D19" t="s">
        <v>1040</v>
      </c>
      <c r="E19">
        <v>211</v>
      </c>
      <c r="F19" t="str">
        <f t="shared" si="0"/>
        <v>Pulses_nes</v>
      </c>
    </row>
    <row r="20" spans="1:6" x14ac:dyDescent="0.3">
      <c r="A20" t="s">
        <v>1038</v>
      </c>
      <c r="B20" t="s">
        <v>3545</v>
      </c>
      <c r="C20" t="s">
        <v>3546</v>
      </c>
      <c r="D20" t="s">
        <v>1038</v>
      </c>
      <c r="E20">
        <v>205</v>
      </c>
      <c r="F20" t="str">
        <f t="shared" si="0"/>
        <v>Vetches</v>
      </c>
    </row>
    <row r="21" spans="1:6" x14ac:dyDescent="0.3">
      <c r="A21" t="s">
        <v>982</v>
      </c>
      <c r="B21" t="s">
        <v>3547</v>
      </c>
      <c r="C21" t="s">
        <v>3548</v>
      </c>
      <c r="D21" t="s">
        <v>982</v>
      </c>
      <c r="E21">
        <v>116</v>
      </c>
      <c r="F21" t="str">
        <f t="shared" si="0"/>
        <v>Potatoes</v>
      </c>
    </row>
    <row r="22" spans="1:6" x14ac:dyDescent="0.3">
      <c r="A22" t="s">
        <v>982</v>
      </c>
      <c r="B22" t="s">
        <v>3549</v>
      </c>
      <c r="C22" t="s">
        <v>3550</v>
      </c>
      <c r="D22" t="s">
        <v>982</v>
      </c>
      <c r="E22">
        <v>116</v>
      </c>
      <c r="F22" t="str">
        <f t="shared" si="0"/>
        <v>Potatoes</v>
      </c>
    </row>
    <row r="23" spans="1:6" x14ac:dyDescent="0.3">
      <c r="A23" t="s">
        <v>1558</v>
      </c>
      <c r="B23" t="s">
        <v>3551</v>
      </c>
      <c r="C23" t="s">
        <v>3552</v>
      </c>
      <c r="D23" t="s">
        <v>999</v>
      </c>
      <c r="E23">
        <v>149</v>
      </c>
      <c r="F23" t="str">
        <f t="shared" si="0"/>
        <v>Roots_nes</v>
      </c>
    </row>
    <row r="24" spans="1:6" x14ac:dyDescent="0.3">
      <c r="A24" t="s">
        <v>1558</v>
      </c>
      <c r="B24" t="s">
        <v>3553</v>
      </c>
      <c r="C24" t="s">
        <v>3554</v>
      </c>
      <c r="D24" t="s">
        <v>999</v>
      </c>
      <c r="E24">
        <v>149</v>
      </c>
      <c r="F24" t="str">
        <f t="shared" si="0"/>
        <v>Roots_nes</v>
      </c>
    </row>
    <row r="25" spans="1:6" x14ac:dyDescent="0.3">
      <c r="A25" t="s">
        <v>1162</v>
      </c>
      <c r="B25" t="s">
        <v>2987</v>
      </c>
      <c r="C25" t="s">
        <v>3555</v>
      </c>
      <c r="D25" t="s">
        <v>1162</v>
      </c>
      <c r="E25">
        <v>366</v>
      </c>
      <c r="F25" t="str">
        <f t="shared" si="0"/>
        <v>Artichokes</v>
      </c>
    </row>
    <row r="26" spans="1:6" x14ac:dyDescent="0.3">
      <c r="A26" t="s">
        <v>1163</v>
      </c>
      <c r="B26" t="s">
        <v>3024</v>
      </c>
      <c r="C26" t="s">
        <v>3556</v>
      </c>
      <c r="D26" t="s">
        <v>1163</v>
      </c>
      <c r="E26">
        <v>367</v>
      </c>
      <c r="F26" t="str">
        <f t="shared" si="0"/>
        <v>Asparagus</v>
      </c>
    </row>
    <row r="27" spans="1:6" x14ac:dyDescent="0.3">
      <c r="A27" t="s">
        <v>1688</v>
      </c>
      <c r="B27" t="s">
        <v>2992</v>
      </c>
      <c r="C27" t="s">
        <v>3557</v>
      </c>
      <c r="D27" t="s">
        <v>1176</v>
      </c>
      <c r="E27">
        <v>399</v>
      </c>
      <c r="F27" t="str">
        <f t="shared" si="0"/>
        <v>Aubergines</v>
      </c>
    </row>
    <row r="28" spans="1:6" x14ac:dyDescent="0.3">
      <c r="A28" t="s">
        <v>1699</v>
      </c>
      <c r="B28" t="s">
        <v>3045</v>
      </c>
      <c r="C28" t="s">
        <v>3558</v>
      </c>
      <c r="D28" t="s">
        <v>1183</v>
      </c>
      <c r="E28">
        <v>414</v>
      </c>
      <c r="F28" t="str">
        <f t="shared" si="0"/>
        <v>Beans_green</v>
      </c>
    </row>
    <row r="29" spans="1:6" x14ac:dyDescent="0.3">
      <c r="A29" t="s">
        <v>1671</v>
      </c>
      <c r="B29" t="s">
        <v>2996</v>
      </c>
      <c r="C29" t="s">
        <v>3559</v>
      </c>
      <c r="D29" t="s">
        <v>1160</v>
      </c>
      <c r="E29">
        <v>358</v>
      </c>
      <c r="F29" t="str">
        <f t="shared" si="0"/>
        <v>Cabbages</v>
      </c>
    </row>
    <row r="30" spans="1:6" x14ac:dyDescent="0.3">
      <c r="A30" t="s">
        <v>1671</v>
      </c>
      <c r="B30" t="s">
        <v>3560</v>
      </c>
      <c r="C30" t="s">
        <v>3561</v>
      </c>
      <c r="D30" t="s">
        <v>1160</v>
      </c>
      <c r="E30">
        <v>358</v>
      </c>
      <c r="F30" t="str">
        <f t="shared" si="0"/>
        <v>Cabbages</v>
      </c>
    </row>
    <row r="31" spans="1:6" x14ac:dyDescent="0.3">
      <c r="A31" t="s">
        <v>1704</v>
      </c>
      <c r="B31" t="s">
        <v>3055</v>
      </c>
      <c r="C31" t="s">
        <v>3562</v>
      </c>
      <c r="D31" t="s">
        <v>1187</v>
      </c>
      <c r="E31">
        <v>426</v>
      </c>
      <c r="F31" t="str">
        <f t="shared" si="0"/>
        <v>Carrots_turnips</v>
      </c>
    </row>
    <row r="32" spans="1:6" x14ac:dyDescent="0.3">
      <c r="A32" t="s">
        <v>1704</v>
      </c>
      <c r="B32" t="s">
        <v>3083</v>
      </c>
      <c r="C32" t="s">
        <v>3563</v>
      </c>
      <c r="D32" t="s">
        <v>1187</v>
      </c>
      <c r="E32">
        <v>426</v>
      </c>
      <c r="F32" t="str">
        <f t="shared" si="0"/>
        <v>Carrots_turnips</v>
      </c>
    </row>
    <row r="33" spans="1:6" x14ac:dyDescent="0.3">
      <c r="A33" t="s">
        <v>1682</v>
      </c>
      <c r="B33" t="s">
        <v>3015</v>
      </c>
      <c r="C33" t="s">
        <v>3564</v>
      </c>
      <c r="D33" t="s">
        <v>1173</v>
      </c>
      <c r="E33">
        <v>393</v>
      </c>
      <c r="F33" t="str">
        <f t="shared" si="0"/>
        <v>Caulifowers_broccoli</v>
      </c>
    </row>
    <row r="34" spans="1:6" x14ac:dyDescent="0.3">
      <c r="A34" t="s">
        <v>1686</v>
      </c>
      <c r="B34" t="s">
        <v>3062</v>
      </c>
      <c r="C34" t="s">
        <v>3565</v>
      </c>
      <c r="D34" t="s">
        <v>1175</v>
      </c>
      <c r="E34">
        <v>397</v>
      </c>
      <c r="F34" t="str">
        <f t="shared" ref="F34:F65" si="1">A34</f>
        <v>Cucumbers</v>
      </c>
    </row>
    <row r="35" spans="1:6" x14ac:dyDescent="0.3">
      <c r="A35" t="s">
        <v>1686</v>
      </c>
      <c r="B35" t="s">
        <v>3064</v>
      </c>
      <c r="C35" t="s">
        <v>3566</v>
      </c>
      <c r="D35" t="s">
        <v>1175</v>
      </c>
      <c r="E35">
        <v>397</v>
      </c>
      <c r="F35" t="str">
        <f t="shared" si="1"/>
        <v>Cucumbers</v>
      </c>
    </row>
    <row r="36" spans="1:6" x14ac:dyDescent="0.3">
      <c r="A36" t="s">
        <v>1181</v>
      </c>
      <c r="B36" t="s">
        <v>2984</v>
      </c>
      <c r="C36" t="s">
        <v>3567</v>
      </c>
      <c r="D36" t="s">
        <v>1181</v>
      </c>
      <c r="E36">
        <v>406</v>
      </c>
      <c r="F36" t="str">
        <f t="shared" si="1"/>
        <v>Garlic</v>
      </c>
    </row>
    <row r="37" spans="1:6" x14ac:dyDescent="0.3">
      <c r="A37" t="s">
        <v>1697</v>
      </c>
      <c r="B37" t="s">
        <v>3071</v>
      </c>
      <c r="C37" t="s">
        <v>3568</v>
      </c>
      <c r="D37" t="s">
        <v>1182</v>
      </c>
      <c r="E37">
        <v>407</v>
      </c>
      <c r="F37" t="str">
        <f t="shared" si="1"/>
        <v>Leeks</v>
      </c>
    </row>
    <row r="38" spans="1:6" x14ac:dyDescent="0.3">
      <c r="A38" t="s">
        <v>2199</v>
      </c>
      <c r="B38" t="s">
        <v>2944</v>
      </c>
      <c r="C38" t="s">
        <v>3569</v>
      </c>
      <c r="D38" t="s">
        <v>1185</v>
      </c>
      <c r="E38">
        <v>420</v>
      </c>
      <c r="F38" t="str">
        <f t="shared" si="1"/>
        <v>Legumes_green_nes</v>
      </c>
    </row>
    <row r="39" spans="1:6" x14ac:dyDescent="0.3">
      <c r="A39" t="s">
        <v>1676</v>
      </c>
      <c r="B39" t="s">
        <v>3018</v>
      </c>
      <c r="C39" t="s">
        <v>3570</v>
      </c>
      <c r="D39" t="s">
        <v>1164</v>
      </c>
      <c r="E39">
        <v>372</v>
      </c>
      <c r="F39" t="str">
        <f t="shared" si="1"/>
        <v>Lettuce_chicory</v>
      </c>
    </row>
    <row r="40" spans="1:6" x14ac:dyDescent="0.3">
      <c r="A40" t="s">
        <v>1676</v>
      </c>
      <c r="B40" t="s">
        <v>3020</v>
      </c>
      <c r="C40" t="s">
        <v>3571</v>
      </c>
      <c r="D40" t="s">
        <v>1164</v>
      </c>
      <c r="E40">
        <v>372</v>
      </c>
      <c r="F40" t="str">
        <f t="shared" si="1"/>
        <v>Lettuce_chicory</v>
      </c>
    </row>
    <row r="41" spans="1:6" x14ac:dyDescent="0.3">
      <c r="A41" t="s">
        <v>1676</v>
      </c>
      <c r="B41" t="s">
        <v>3049</v>
      </c>
      <c r="C41" t="s">
        <v>3572</v>
      </c>
      <c r="D41" t="s">
        <v>1164</v>
      </c>
      <c r="E41">
        <v>372</v>
      </c>
      <c r="F41" t="str">
        <f t="shared" si="1"/>
        <v>Lettuce_chicory</v>
      </c>
    </row>
    <row r="42" spans="1:6" x14ac:dyDescent="0.3">
      <c r="A42" t="s">
        <v>1744</v>
      </c>
      <c r="B42" t="s">
        <v>3052</v>
      </c>
      <c r="C42" t="s">
        <v>3573</v>
      </c>
      <c r="D42" t="s">
        <v>1265</v>
      </c>
      <c r="E42">
        <v>568</v>
      </c>
      <c r="F42" t="str">
        <f t="shared" si="1"/>
        <v>Melons</v>
      </c>
    </row>
    <row r="43" spans="1:6" x14ac:dyDescent="0.3">
      <c r="A43" t="s">
        <v>1180</v>
      </c>
      <c r="B43" t="s">
        <v>3008</v>
      </c>
      <c r="C43" t="s">
        <v>3574</v>
      </c>
      <c r="D43" t="s">
        <v>1179</v>
      </c>
      <c r="E43">
        <v>403</v>
      </c>
      <c r="F43" t="str">
        <f t="shared" si="1"/>
        <v>Onions</v>
      </c>
    </row>
    <row r="44" spans="1:6" x14ac:dyDescent="0.3">
      <c r="A44" t="s">
        <v>1180</v>
      </c>
      <c r="B44" t="s">
        <v>3011</v>
      </c>
      <c r="C44" t="s">
        <v>3575</v>
      </c>
      <c r="D44" t="s">
        <v>1178</v>
      </c>
      <c r="E44">
        <v>402</v>
      </c>
      <c r="F44" t="str">
        <f t="shared" si="1"/>
        <v>Onions</v>
      </c>
    </row>
    <row r="45" spans="1:6" x14ac:dyDescent="0.3">
      <c r="A45" t="s">
        <v>1701</v>
      </c>
      <c r="B45" t="s">
        <v>3037</v>
      </c>
      <c r="C45" t="s">
        <v>3576</v>
      </c>
      <c r="D45" t="s">
        <v>1184</v>
      </c>
      <c r="E45">
        <v>417</v>
      </c>
      <c r="F45" t="str">
        <f t="shared" si="1"/>
        <v>Peas_green</v>
      </c>
    </row>
    <row r="46" spans="1:6" x14ac:dyDescent="0.3">
      <c r="A46" t="s">
        <v>1690</v>
      </c>
      <c r="B46" t="s">
        <v>3577</v>
      </c>
      <c r="C46" t="s">
        <v>3578</v>
      </c>
      <c r="D46" t="s">
        <v>1177</v>
      </c>
      <c r="E46">
        <v>401</v>
      </c>
      <c r="F46" t="str">
        <f t="shared" si="1"/>
        <v>Peppers_green</v>
      </c>
    </row>
    <row r="47" spans="1:6" x14ac:dyDescent="0.3">
      <c r="A47" t="s">
        <v>1684</v>
      </c>
      <c r="B47" t="s">
        <v>3003</v>
      </c>
      <c r="C47" t="s">
        <v>3579</v>
      </c>
      <c r="D47" t="s">
        <v>1174</v>
      </c>
      <c r="E47">
        <v>394</v>
      </c>
      <c r="F47" t="str">
        <f t="shared" si="1"/>
        <v>Pumpkins</v>
      </c>
    </row>
    <row r="48" spans="1:6" x14ac:dyDescent="0.3">
      <c r="A48" t="s">
        <v>1165</v>
      </c>
      <c r="B48" t="s">
        <v>3027</v>
      </c>
      <c r="C48" t="s">
        <v>3580</v>
      </c>
      <c r="D48" t="s">
        <v>1165</v>
      </c>
      <c r="E48">
        <v>373</v>
      </c>
      <c r="F48" t="str">
        <f t="shared" si="1"/>
        <v>Spinach</v>
      </c>
    </row>
    <row r="49" spans="1:6" x14ac:dyDescent="0.3">
      <c r="A49" t="s">
        <v>1167</v>
      </c>
      <c r="B49" t="s">
        <v>3081</v>
      </c>
      <c r="C49" t="s">
        <v>3581</v>
      </c>
      <c r="D49" t="s">
        <v>1167</v>
      </c>
      <c r="E49">
        <v>388</v>
      </c>
      <c r="F49" t="str">
        <f t="shared" si="1"/>
        <v>Tomatoes</v>
      </c>
    </row>
    <row r="50" spans="1:6" x14ac:dyDescent="0.3">
      <c r="A50" t="s">
        <v>1678</v>
      </c>
      <c r="B50" t="s">
        <v>2980</v>
      </c>
      <c r="C50" t="s">
        <v>3582</v>
      </c>
      <c r="D50" t="s">
        <v>1199</v>
      </c>
      <c r="E50">
        <v>463</v>
      </c>
      <c r="F50" t="str">
        <f t="shared" si="1"/>
        <v>Vegetables_nes</v>
      </c>
    </row>
    <row r="51" spans="1:6" x14ac:dyDescent="0.3">
      <c r="A51" t="s">
        <v>1678</v>
      </c>
      <c r="B51" t="s">
        <v>3335</v>
      </c>
      <c r="C51" t="s">
        <v>3583</v>
      </c>
      <c r="D51" t="s">
        <v>1196</v>
      </c>
      <c r="E51">
        <v>459</v>
      </c>
      <c r="F51" t="str">
        <f t="shared" si="1"/>
        <v>Vegetables_nes</v>
      </c>
    </row>
    <row r="52" spans="1:6" x14ac:dyDescent="0.3">
      <c r="A52" t="s">
        <v>2194</v>
      </c>
      <c r="B52" t="s">
        <v>2990</v>
      </c>
      <c r="C52" t="s">
        <v>3584</v>
      </c>
      <c r="D52" t="s">
        <v>1199</v>
      </c>
      <c r="E52">
        <v>463</v>
      </c>
      <c r="F52" t="str">
        <f t="shared" si="1"/>
        <v>Celery</v>
      </c>
    </row>
    <row r="53" spans="1:6" x14ac:dyDescent="0.3">
      <c r="A53" t="s">
        <v>1678</v>
      </c>
      <c r="B53" t="s">
        <v>2998</v>
      </c>
      <c r="C53" t="s">
        <v>3585</v>
      </c>
      <c r="D53" t="s">
        <v>1199</v>
      </c>
      <c r="E53">
        <v>463</v>
      </c>
      <c r="F53" t="str">
        <f t="shared" si="1"/>
        <v>Vegetables_nes</v>
      </c>
    </row>
    <row r="54" spans="1:6" x14ac:dyDescent="0.3">
      <c r="A54" t="s">
        <v>2202</v>
      </c>
      <c r="B54" t="s">
        <v>3000</v>
      </c>
      <c r="C54" t="s">
        <v>3586</v>
      </c>
      <c r="D54" t="s">
        <v>1199</v>
      </c>
      <c r="E54">
        <v>463</v>
      </c>
      <c r="F54" t="str">
        <f t="shared" si="1"/>
        <v>Zucchini</v>
      </c>
    </row>
    <row r="55" spans="1:6" x14ac:dyDescent="0.3">
      <c r="A55" t="s">
        <v>1678</v>
      </c>
      <c r="B55" t="s">
        <v>3007</v>
      </c>
      <c r="C55" t="s">
        <v>3587</v>
      </c>
      <c r="D55" t="s">
        <v>1199</v>
      </c>
      <c r="E55">
        <v>463</v>
      </c>
      <c r="F55" t="str">
        <f t="shared" si="1"/>
        <v>Vegetables_nes</v>
      </c>
    </row>
    <row r="56" spans="1:6" x14ac:dyDescent="0.3">
      <c r="A56" t="s">
        <v>1678</v>
      </c>
      <c r="B56" t="s">
        <v>3588</v>
      </c>
      <c r="C56" t="s">
        <v>3589</v>
      </c>
      <c r="D56" t="s">
        <v>1199</v>
      </c>
      <c r="E56">
        <v>463</v>
      </c>
      <c r="F56" t="str">
        <f t="shared" si="1"/>
        <v>Vegetables_nes</v>
      </c>
    </row>
    <row r="57" spans="1:6" x14ac:dyDescent="0.3">
      <c r="A57" t="s">
        <v>1678</v>
      </c>
      <c r="B57" t="s">
        <v>3058</v>
      </c>
      <c r="C57" t="s">
        <v>3590</v>
      </c>
      <c r="D57" t="s">
        <v>1199</v>
      </c>
      <c r="E57">
        <v>463</v>
      </c>
      <c r="F57" t="str">
        <f t="shared" si="1"/>
        <v>Vegetables_nes</v>
      </c>
    </row>
    <row r="58" spans="1:6" x14ac:dyDescent="0.3">
      <c r="A58" t="s">
        <v>1581</v>
      </c>
      <c r="B58" t="s">
        <v>3074</v>
      </c>
      <c r="C58" t="s">
        <v>3591</v>
      </c>
      <c r="D58" t="s">
        <v>1006</v>
      </c>
      <c r="E58">
        <v>157</v>
      </c>
      <c r="F58" t="str">
        <f t="shared" si="1"/>
        <v>Sugar_beet</v>
      </c>
    </row>
    <row r="59" spans="1:6" x14ac:dyDescent="0.3">
      <c r="A59" t="s">
        <v>1678</v>
      </c>
      <c r="B59" t="s">
        <v>3075</v>
      </c>
      <c r="C59" t="s">
        <v>3592</v>
      </c>
      <c r="D59" t="s">
        <v>1199</v>
      </c>
      <c r="E59">
        <v>463</v>
      </c>
      <c r="F59" t="str">
        <f t="shared" si="1"/>
        <v>Vegetables_nes</v>
      </c>
    </row>
    <row r="60" spans="1:6" x14ac:dyDescent="0.3">
      <c r="A60" t="s">
        <v>1264</v>
      </c>
      <c r="B60" t="s">
        <v>3079</v>
      </c>
      <c r="C60" t="s">
        <v>3593</v>
      </c>
      <c r="D60" t="s">
        <v>1264</v>
      </c>
      <c r="E60">
        <v>567</v>
      </c>
      <c r="F60" t="str">
        <f t="shared" si="1"/>
        <v>Watermelons</v>
      </c>
    </row>
    <row r="61" spans="1:6" x14ac:dyDescent="0.3">
      <c r="A61" t="s">
        <v>1257</v>
      </c>
      <c r="B61" t="s">
        <v>3594</v>
      </c>
      <c r="C61" t="s">
        <v>3595</v>
      </c>
      <c r="D61" t="s">
        <v>1257</v>
      </c>
      <c r="E61">
        <v>560</v>
      </c>
      <c r="F61" t="str">
        <f t="shared" si="1"/>
        <v>Grapes</v>
      </c>
    </row>
    <row r="62" spans="1:6" x14ac:dyDescent="0.3">
      <c r="A62" t="s">
        <v>1257</v>
      </c>
      <c r="B62" t="s">
        <v>3596</v>
      </c>
      <c r="C62" t="s">
        <v>3597</v>
      </c>
      <c r="D62" t="s">
        <v>1257</v>
      </c>
      <c r="E62">
        <v>560</v>
      </c>
      <c r="F62" t="str">
        <f t="shared" si="1"/>
        <v>Grapes</v>
      </c>
    </row>
    <row r="63" spans="1:6" x14ac:dyDescent="0.3">
      <c r="A63" t="s">
        <v>1257</v>
      </c>
      <c r="B63" t="s">
        <v>3598</v>
      </c>
      <c r="C63" t="s">
        <v>3599</v>
      </c>
      <c r="D63" t="s">
        <v>1257</v>
      </c>
      <c r="E63">
        <v>560</v>
      </c>
      <c r="F63" t="str">
        <f t="shared" si="1"/>
        <v>Grapes</v>
      </c>
    </row>
    <row r="64" spans="1:6" x14ac:dyDescent="0.3">
      <c r="A64" t="s">
        <v>1094</v>
      </c>
      <c r="B64" t="s">
        <v>3600</v>
      </c>
      <c r="C64" t="s">
        <v>3601</v>
      </c>
      <c r="D64" t="s">
        <v>1094</v>
      </c>
      <c r="E64">
        <v>260</v>
      </c>
      <c r="F64" t="str">
        <f t="shared" si="1"/>
        <v>Olives</v>
      </c>
    </row>
    <row r="65" spans="1:6" x14ac:dyDescent="0.3">
      <c r="A65" t="s">
        <v>1094</v>
      </c>
      <c r="B65" t="s">
        <v>3602</v>
      </c>
      <c r="C65" t="s">
        <v>3603</v>
      </c>
      <c r="D65" t="s">
        <v>1094</v>
      </c>
      <c r="E65">
        <v>260</v>
      </c>
      <c r="F65" t="str">
        <f t="shared" si="1"/>
        <v>Olives</v>
      </c>
    </row>
    <row r="66" spans="1:6" x14ac:dyDescent="0.3">
      <c r="A66" t="s">
        <v>1231</v>
      </c>
      <c r="B66" t="s">
        <v>3191</v>
      </c>
      <c r="C66" t="s">
        <v>3604</v>
      </c>
      <c r="D66" t="s">
        <v>1231</v>
      </c>
      <c r="E66">
        <v>515</v>
      </c>
      <c r="F66" t="str">
        <f t="shared" ref="F66:F97" si="2">A66</f>
        <v>Apples</v>
      </c>
    </row>
    <row r="67" spans="1:6" x14ac:dyDescent="0.3">
      <c r="A67" t="s">
        <v>1239</v>
      </c>
      <c r="B67" t="s">
        <v>3110</v>
      </c>
      <c r="C67" t="s">
        <v>3605</v>
      </c>
      <c r="D67" t="s">
        <v>1239</v>
      </c>
      <c r="E67">
        <v>526</v>
      </c>
      <c r="F67" t="str">
        <f t="shared" si="2"/>
        <v>Apricots</v>
      </c>
    </row>
    <row r="68" spans="1:6" x14ac:dyDescent="0.3">
      <c r="A68" t="s">
        <v>1269</v>
      </c>
      <c r="B68" t="s">
        <v>3106</v>
      </c>
      <c r="C68" t="s">
        <v>3606</v>
      </c>
      <c r="D68" t="s">
        <v>1269</v>
      </c>
      <c r="E68">
        <v>572</v>
      </c>
      <c r="F68" t="str">
        <f t="shared" si="2"/>
        <v>Avocados</v>
      </c>
    </row>
    <row r="69" spans="1:6" x14ac:dyDescent="0.3">
      <c r="A69" t="s">
        <v>1210</v>
      </c>
      <c r="B69" t="s">
        <v>3236</v>
      </c>
      <c r="C69" t="s">
        <v>3607</v>
      </c>
      <c r="D69" t="s">
        <v>1210</v>
      </c>
      <c r="E69">
        <v>486</v>
      </c>
      <c r="F69" t="str">
        <f t="shared" si="2"/>
        <v>Bananas</v>
      </c>
    </row>
    <row r="70" spans="1:6" x14ac:dyDescent="0.3">
      <c r="A70" t="s">
        <v>1731</v>
      </c>
      <c r="B70" t="s">
        <v>3608</v>
      </c>
      <c r="C70" t="s">
        <v>3609</v>
      </c>
      <c r="D70" t="s">
        <v>1242</v>
      </c>
      <c r="E70">
        <v>531</v>
      </c>
      <c r="F70" t="str">
        <f t="shared" si="2"/>
        <v>Cherry</v>
      </c>
    </row>
    <row r="71" spans="1:6" x14ac:dyDescent="0.3">
      <c r="A71" t="s">
        <v>1266</v>
      </c>
      <c r="B71" t="s">
        <v>3167</v>
      </c>
      <c r="C71" t="s">
        <v>3610</v>
      </c>
      <c r="D71" t="s">
        <v>1266</v>
      </c>
      <c r="E71">
        <v>569</v>
      </c>
      <c r="F71" t="str">
        <f t="shared" si="2"/>
        <v>Figs</v>
      </c>
    </row>
    <row r="72" spans="1:6" x14ac:dyDescent="0.3">
      <c r="A72" t="s">
        <v>1663</v>
      </c>
      <c r="B72" t="s">
        <v>3148</v>
      </c>
      <c r="C72" t="s">
        <v>3611</v>
      </c>
      <c r="D72" t="s">
        <v>1281</v>
      </c>
      <c r="E72">
        <v>603</v>
      </c>
      <c r="F72" t="str">
        <f t="shared" si="2"/>
        <v>Fruits_nes</v>
      </c>
    </row>
    <row r="73" spans="1:6" x14ac:dyDescent="0.3">
      <c r="A73" t="s">
        <v>1738</v>
      </c>
      <c r="B73" t="s">
        <v>3030</v>
      </c>
      <c r="C73" t="s">
        <v>3612</v>
      </c>
      <c r="D73" t="s">
        <v>1250</v>
      </c>
      <c r="E73">
        <v>544</v>
      </c>
      <c r="F73" t="str">
        <f t="shared" si="2"/>
        <v>Strawberry</v>
      </c>
    </row>
    <row r="74" spans="1:6" x14ac:dyDescent="0.3">
      <c r="A74" t="s">
        <v>1663</v>
      </c>
      <c r="B74" t="s">
        <v>3214</v>
      </c>
      <c r="C74" t="s">
        <v>3613</v>
      </c>
      <c r="D74" t="s">
        <v>1283</v>
      </c>
      <c r="E74">
        <v>619</v>
      </c>
      <c r="F74" t="str">
        <f t="shared" si="2"/>
        <v>Fruits_nes</v>
      </c>
    </row>
    <row r="75" spans="1:6" x14ac:dyDescent="0.3">
      <c r="A75" t="s">
        <v>1663</v>
      </c>
      <c r="B75" t="s">
        <v>3614</v>
      </c>
      <c r="C75" t="s">
        <v>3615</v>
      </c>
      <c r="D75" t="s">
        <v>1283</v>
      </c>
      <c r="E75">
        <v>619</v>
      </c>
      <c r="F75" t="str">
        <f t="shared" si="2"/>
        <v>Fruits_nes</v>
      </c>
    </row>
    <row r="76" spans="1:6" x14ac:dyDescent="0.3">
      <c r="A76" t="s">
        <v>1632</v>
      </c>
      <c r="B76" t="s">
        <v>3616</v>
      </c>
      <c r="C76" t="s">
        <v>3617</v>
      </c>
      <c r="D76" s="26" t="s">
        <v>1283</v>
      </c>
      <c r="E76">
        <v>619</v>
      </c>
      <c r="F76" t="str">
        <f t="shared" si="2"/>
        <v>Woody_other</v>
      </c>
    </row>
    <row r="77" spans="1:6" x14ac:dyDescent="0.3">
      <c r="A77" t="s">
        <v>1733</v>
      </c>
      <c r="B77" t="s">
        <v>3197</v>
      </c>
      <c r="C77" t="s">
        <v>3618</v>
      </c>
      <c r="D77" t="s">
        <v>1243</v>
      </c>
      <c r="E77">
        <v>534</v>
      </c>
      <c r="F77" t="str">
        <f t="shared" si="2"/>
        <v>Peaches_nectarines</v>
      </c>
    </row>
    <row r="78" spans="1:6" x14ac:dyDescent="0.3">
      <c r="A78" t="s">
        <v>1733</v>
      </c>
      <c r="B78" t="s">
        <v>3244</v>
      </c>
      <c r="C78" t="s">
        <v>3619</v>
      </c>
      <c r="D78" t="s">
        <v>1243</v>
      </c>
      <c r="E78">
        <v>534</v>
      </c>
      <c r="F78" t="str">
        <f t="shared" si="2"/>
        <v>Peaches_nectarines</v>
      </c>
    </row>
    <row r="79" spans="1:6" x14ac:dyDescent="0.3">
      <c r="A79" t="s">
        <v>1236</v>
      </c>
      <c r="B79" t="s">
        <v>3234</v>
      </c>
      <c r="C79" t="s">
        <v>3620</v>
      </c>
      <c r="D79" t="s">
        <v>1236</v>
      </c>
      <c r="E79">
        <v>521</v>
      </c>
      <c r="F79" t="str">
        <f t="shared" si="2"/>
        <v>Pears</v>
      </c>
    </row>
    <row r="80" spans="1:6" x14ac:dyDescent="0.3">
      <c r="A80" t="s">
        <v>1735</v>
      </c>
      <c r="B80" t="s">
        <v>3153</v>
      </c>
      <c r="C80" t="s">
        <v>3621</v>
      </c>
      <c r="D80" t="s">
        <v>1244</v>
      </c>
      <c r="E80">
        <v>536</v>
      </c>
      <c r="F80" t="str">
        <f t="shared" si="2"/>
        <v>Plums</v>
      </c>
    </row>
    <row r="81" spans="1:6" x14ac:dyDescent="0.3">
      <c r="A81" t="s">
        <v>2219</v>
      </c>
      <c r="B81" s="2"/>
      <c r="C81" s="2"/>
      <c r="F81" t="str">
        <f t="shared" si="2"/>
        <v>Prickly_pears</v>
      </c>
    </row>
    <row r="82" spans="1:6" x14ac:dyDescent="0.3">
      <c r="A82" t="s">
        <v>1238</v>
      </c>
      <c r="B82" t="s">
        <v>3200</v>
      </c>
      <c r="C82" t="s">
        <v>3622</v>
      </c>
      <c r="D82" t="s">
        <v>1238</v>
      </c>
      <c r="E82">
        <v>523</v>
      </c>
      <c r="F82" t="str">
        <f t="shared" si="2"/>
        <v>Quinces</v>
      </c>
    </row>
    <row r="83" spans="1:6" x14ac:dyDescent="0.3">
      <c r="A83" t="s">
        <v>1723</v>
      </c>
      <c r="B83" t="s">
        <v>3623</v>
      </c>
      <c r="C83" t="s">
        <v>3624</v>
      </c>
      <c r="D83" t="s">
        <v>1223</v>
      </c>
      <c r="E83">
        <v>507</v>
      </c>
      <c r="F83" t="str">
        <f t="shared" si="2"/>
        <v>Citrus_nes</v>
      </c>
    </row>
    <row r="84" spans="1:6" x14ac:dyDescent="0.3">
      <c r="A84" t="s">
        <v>1720</v>
      </c>
      <c r="B84" t="s">
        <v>3175</v>
      </c>
      <c r="C84" t="s">
        <v>3625</v>
      </c>
      <c r="D84" t="s">
        <v>1219</v>
      </c>
      <c r="E84">
        <v>497</v>
      </c>
      <c r="F84" t="str">
        <f t="shared" si="2"/>
        <v>Lemons_limes</v>
      </c>
    </row>
    <row r="85" spans="1:6" x14ac:dyDescent="0.3">
      <c r="A85" t="s">
        <v>1213</v>
      </c>
      <c r="B85" t="s">
        <v>3205</v>
      </c>
      <c r="C85" t="s">
        <v>3626</v>
      </c>
      <c r="D85" t="s">
        <v>1213</v>
      </c>
      <c r="E85">
        <v>490</v>
      </c>
      <c r="F85" t="str">
        <f t="shared" si="2"/>
        <v>Oranges</v>
      </c>
    </row>
    <row r="86" spans="1:6" x14ac:dyDescent="0.3">
      <c r="A86" t="s">
        <v>1718</v>
      </c>
      <c r="B86" t="s">
        <v>3183</v>
      </c>
      <c r="C86" t="s">
        <v>3627</v>
      </c>
      <c r="D86" t="s">
        <v>1217</v>
      </c>
      <c r="E86">
        <v>495</v>
      </c>
      <c r="F86" t="str">
        <f t="shared" si="2"/>
        <v>Tangerines</v>
      </c>
    </row>
    <row r="87" spans="1:6" x14ac:dyDescent="0.3">
      <c r="A87" t="s">
        <v>1611</v>
      </c>
      <c r="B87" t="s">
        <v>3118</v>
      </c>
      <c r="C87" t="s">
        <v>3628</v>
      </c>
      <c r="D87" t="s">
        <v>1047</v>
      </c>
      <c r="E87">
        <v>221</v>
      </c>
      <c r="F87" t="str">
        <f t="shared" si="2"/>
        <v>Almonds</v>
      </c>
    </row>
    <row r="88" spans="1:6" x14ac:dyDescent="0.3">
      <c r="A88" t="s">
        <v>1198</v>
      </c>
      <c r="B88" s="2"/>
      <c r="C88" s="2"/>
      <c r="D88" t="s">
        <v>1708</v>
      </c>
      <c r="E88">
        <v>461</v>
      </c>
      <c r="F88" t="str">
        <f t="shared" si="2"/>
        <v>Carobs</v>
      </c>
    </row>
    <row r="89" spans="1:6" x14ac:dyDescent="0.3">
      <c r="A89" t="s">
        <v>1046</v>
      </c>
      <c r="B89" t="s">
        <v>3629</v>
      </c>
      <c r="C89" t="s">
        <v>3630</v>
      </c>
      <c r="D89" t="s">
        <v>1046</v>
      </c>
      <c r="E89">
        <v>220</v>
      </c>
      <c r="F89" t="str">
        <f t="shared" si="2"/>
        <v>Chestnut</v>
      </c>
    </row>
    <row r="90" spans="1:6" x14ac:dyDescent="0.3">
      <c r="A90" t="s">
        <v>1618</v>
      </c>
      <c r="B90" t="s">
        <v>3126</v>
      </c>
      <c r="C90" t="s">
        <v>3631</v>
      </c>
      <c r="D90" t="s">
        <v>1051</v>
      </c>
      <c r="E90">
        <v>225</v>
      </c>
      <c r="F90" t="str">
        <f t="shared" si="2"/>
        <v>Hazelnuts</v>
      </c>
    </row>
    <row r="91" spans="1:6" x14ac:dyDescent="0.3">
      <c r="A91" t="s">
        <v>1049</v>
      </c>
      <c r="B91" t="s">
        <v>3632</v>
      </c>
      <c r="C91" t="s">
        <v>3633</v>
      </c>
      <c r="D91" t="s">
        <v>1049</v>
      </c>
      <c r="E91">
        <v>223</v>
      </c>
      <c r="F91" t="str">
        <f t="shared" si="2"/>
        <v>Pistachios</v>
      </c>
    </row>
    <row r="92" spans="1:6" x14ac:dyDescent="0.3">
      <c r="A92" t="s">
        <v>1615</v>
      </c>
      <c r="B92" t="s">
        <v>3219</v>
      </c>
      <c r="C92" t="s">
        <v>3634</v>
      </c>
      <c r="D92" t="s">
        <v>1048</v>
      </c>
      <c r="E92">
        <v>222</v>
      </c>
      <c r="F92" t="str">
        <f t="shared" si="2"/>
        <v>Walnuts</v>
      </c>
    </row>
    <row r="93" spans="1:6" x14ac:dyDescent="0.3">
      <c r="A93" t="s">
        <v>1150</v>
      </c>
      <c r="B93" t="s">
        <v>3635</v>
      </c>
      <c r="C93" t="s">
        <v>3636</v>
      </c>
      <c r="D93" t="s">
        <v>1150</v>
      </c>
      <c r="E93">
        <v>333</v>
      </c>
      <c r="F93" t="str">
        <f t="shared" si="2"/>
        <v>Linseed</v>
      </c>
    </row>
    <row r="94" spans="1:6" x14ac:dyDescent="0.3">
      <c r="A94" t="s">
        <v>1110</v>
      </c>
      <c r="B94" t="s">
        <v>3280</v>
      </c>
      <c r="C94" t="s">
        <v>3637</v>
      </c>
      <c r="D94" t="s">
        <v>1110</v>
      </c>
      <c r="E94">
        <v>270</v>
      </c>
      <c r="F94" t="str">
        <f t="shared" si="2"/>
        <v>Rapeseed</v>
      </c>
    </row>
    <row r="95" spans="1:6" x14ac:dyDescent="0.3">
      <c r="A95" t="s">
        <v>1060</v>
      </c>
      <c r="B95" t="s">
        <v>3301</v>
      </c>
      <c r="C95" t="s">
        <v>3638</v>
      </c>
      <c r="D95" t="s">
        <v>1060</v>
      </c>
      <c r="E95">
        <v>236</v>
      </c>
      <c r="F95" t="str">
        <f t="shared" si="2"/>
        <v>Soybeans</v>
      </c>
    </row>
    <row r="96" spans="1:6" x14ac:dyDescent="0.3">
      <c r="A96" t="s">
        <v>1646</v>
      </c>
      <c r="B96" t="s">
        <v>3348</v>
      </c>
      <c r="C96" t="s">
        <v>3639</v>
      </c>
      <c r="D96" t="s">
        <v>1105</v>
      </c>
      <c r="E96">
        <v>267</v>
      </c>
      <c r="F96" t="str">
        <f t="shared" si="2"/>
        <v>Sunflowerseed</v>
      </c>
    </row>
    <row r="97" spans="1:6" x14ac:dyDescent="0.3">
      <c r="A97" t="s">
        <v>1821</v>
      </c>
      <c r="B97" t="s">
        <v>3266</v>
      </c>
      <c r="C97" t="s">
        <v>3640</v>
      </c>
      <c r="D97" t="s">
        <v>1340</v>
      </c>
      <c r="E97">
        <v>767</v>
      </c>
      <c r="F97" t="str">
        <f t="shared" si="2"/>
        <v>Cotton_lint</v>
      </c>
    </row>
    <row r="98" spans="1:6" x14ac:dyDescent="0.3">
      <c r="A98" s="10" t="s">
        <v>2184</v>
      </c>
      <c r="B98" s="2"/>
      <c r="C98" s="2"/>
      <c r="F98" t="str">
        <f t="shared" ref="F98:F125" si="3">A98</f>
        <v>Giant_reed</v>
      </c>
    </row>
    <row r="99" spans="1:6" x14ac:dyDescent="0.3">
      <c r="A99" s="10" t="s">
        <v>2182</v>
      </c>
      <c r="B99" s="2"/>
      <c r="C99" s="2"/>
      <c r="F99" t="str">
        <f t="shared" si="3"/>
        <v>Esparto_grass</v>
      </c>
    </row>
    <row r="100" spans="1:6" x14ac:dyDescent="0.3">
      <c r="A100" s="10" t="s">
        <v>2180</v>
      </c>
      <c r="B100" s="2"/>
      <c r="C100" s="2"/>
      <c r="F100" t="str">
        <f t="shared" si="3"/>
        <v>Crack_willow</v>
      </c>
    </row>
    <row r="101" spans="1:6" x14ac:dyDescent="0.3">
      <c r="A101" t="s">
        <v>1828</v>
      </c>
      <c r="B101" t="s">
        <v>3641</v>
      </c>
      <c r="C101" t="s">
        <v>3642</v>
      </c>
      <c r="D101" t="s">
        <v>1348</v>
      </c>
      <c r="E101">
        <v>777</v>
      </c>
      <c r="F101" t="str">
        <f t="shared" si="3"/>
        <v>Fibres_nes</v>
      </c>
    </row>
    <row r="102" spans="1:6" x14ac:dyDescent="0.3">
      <c r="A102" t="s">
        <v>1322</v>
      </c>
      <c r="B102" t="s">
        <v>3316</v>
      </c>
      <c r="C102" t="s">
        <v>3643</v>
      </c>
      <c r="D102" t="s">
        <v>1322</v>
      </c>
      <c r="E102">
        <v>677</v>
      </c>
      <c r="F102" t="str">
        <f t="shared" si="3"/>
        <v>Hops</v>
      </c>
    </row>
    <row r="103" spans="1:6" x14ac:dyDescent="0.3">
      <c r="A103" t="s">
        <v>1362</v>
      </c>
      <c r="B103" t="s">
        <v>3322</v>
      </c>
      <c r="C103" t="s">
        <v>3644</v>
      </c>
      <c r="D103" t="s">
        <v>1361</v>
      </c>
      <c r="E103">
        <v>826</v>
      </c>
      <c r="F103" t="str">
        <f t="shared" si="3"/>
        <v>Tobacco</v>
      </c>
    </row>
    <row r="104" spans="1:6" x14ac:dyDescent="0.3">
      <c r="A104" t="s">
        <v>1575</v>
      </c>
      <c r="B104" t="s">
        <v>3312</v>
      </c>
      <c r="C104" t="s">
        <v>3645</v>
      </c>
      <c r="D104" t="s">
        <v>1005</v>
      </c>
      <c r="E104">
        <v>156</v>
      </c>
      <c r="F104" t="str">
        <f t="shared" si="3"/>
        <v>Sugar_cane</v>
      </c>
    </row>
    <row r="105" spans="1:6" x14ac:dyDescent="0.3">
      <c r="A105" t="s">
        <v>1769</v>
      </c>
      <c r="B105" t="s">
        <v>1769</v>
      </c>
      <c r="C105" t="s">
        <v>3646</v>
      </c>
      <c r="D105" t="s">
        <v>1552</v>
      </c>
      <c r="E105" s="105" t="s">
        <v>3646</v>
      </c>
      <c r="F105" t="str">
        <f t="shared" si="3"/>
        <v>Alfalfa</v>
      </c>
    </row>
    <row r="106" spans="1:6" x14ac:dyDescent="0.3">
      <c r="A106" t="s">
        <v>1789</v>
      </c>
      <c r="B106" t="s">
        <v>3457</v>
      </c>
      <c r="C106" t="s">
        <v>3647</v>
      </c>
      <c r="D106" t="s">
        <v>1552</v>
      </c>
      <c r="E106" s="105" t="s">
        <v>3647</v>
      </c>
      <c r="F106" t="str">
        <f t="shared" si="3"/>
        <v>Beet_fodder</v>
      </c>
    </row>
    <row r="107" spans="1:6" x14ac:dyDescent="0.3">
      <c r="A107" t="s">
        <v>1778</v>
      </c>
      <c r="B107" t="s">
        <v>3648</v>
      </c>
      <c r="C107" t="s">
        <v>3649</v>
      </c>
      <c r="D107" t="s">
        <v>1552</v>
      </c>
      <c r="E107" s="105" t="s">
        <v>3649</v>
      </c>
      <c r="F107" t="str">
        <f t="shared" si="3"/>
        <v>Cabbage_fodder</v>
      </c>
    </row>
    <row r="108" spans="1:6" x14ac:dyDescent="0.3">
      <c r="A108" t="s">
        <v>1792</v>
      </c>
      <c r="B108" t="s">
        <v>3650</v>
      </c>
      <c r="C108" t="s">
        <v>3651</v>
      </c>
      <c r="D108" t="s">
        <v>1552</v>
      </c>
      <c r="E108" s="105" t="s">
        <v>3651</v>
      </c>
      <c r="F108" t="str">
        <f t="shared" si="3"/>
        <v>Carrot_fodder</v>
      </c>
    </row>
    <row r="109" spans="1:6" x14ac:dyDescent="0.3">
      <c r="A109" t="s">
        <v>2162</v>
      </c>
      <c r="B109" t="s">
        <v>3402</v>
      </c>
      <c r="C109" t="s">
        <v>3382</v>
      </c>
      <c r="D109" t="s">
        <v>1552</v>
      </c>
      <c r="E109" s="105" t="s">
        <v>3382</v>
      </c>
      <c r="F109" t="str">
        <f t="shared" si="3"/>
        <v>Cereals_green</v>
      </c>
    </row>
    <row r="110" spans="1:6" x14ac:dyDescent="0.3">
      <c r="A110" t="s">
        <v>1766</v>
      </c>
      <c r="B110" t="s">
        <v>3472</v>
      </c>
      <c r="C110" t="s">
        <v>3469</v>
      </c>
      <c r="D110" t="s">
        <v>1552</v>
      </c>
      <c r="E110" s="105" t="s">
        <v>3469</v>
      </c>
      <c r="F110" t="str">
        <f t="shared" si="3"/>
        <v>Clover</v>
      </c>
    </row>
    <row r="111" spans="1:6" x14ac:dyDescent="0.3">
      <c r="A111" t="s">
        <v>1772</v>
      </c>
      <c r="B111" t="s">
        <v>3652</v>
      </c>
      <c r="C111" t="s">
        <v>3395</v>
      </c>
      <c r="D111" t="s">
        <v>1552</v>
      </c>
      <c r="E111" s="105" t="s">
        <v>3395</v>
      </c>
      <c r="F111" t="str">
        <f t="shared" si="3"/>
        <v>Fodder_other</v>
      </c>
    </row>
    <row r="112" spans="1:6" x14ac:dyDescent="0.3">
      <c r="A112" t="s">
        <v>2164</v>
      </c>
      <c r="B112" t="s">
        <v>3411</v>
      </c>
      <c r="C112" t="s">
        <v>3653</v>
      </c>
      <c r="D112" t="s">
        <v>1552</v>
      </c>
      <c r="E112" s="105" t="s">
        <v>3653</v>
      </c>
      <c r="F112" t="str">
        <f t="shared" si="3"/>
        <v>Common_sainfoin</v>
      </c>
    </row>
    <row r="113" spans="1:6" x14ac:dyDescent="0.3">
      <c r="A113" t="s">
        <v>2168</v>
      </c>
      <c r="B113" t="s">
        <v>3485</v>
      </c>
      <c r="C113" t="s">
        <v>3654</v>
      </c>
      <c r="D113" t="s">
        <v>1552</v>
      </c>
      <c r="E113" s="105" t="s">
        <v>3654</v>
      </c>
      <c r="F113" t="str">
        <f t="shared" si="3"/>
        <v>French_honeysuckle</v>
      </c>
    </row>
    <row r="114" spans="1:6" x14ac:dyDescent="0.3">
      <c r="A114" t="s">
        <v>1762</v>
      </c>
      <c r="B114" t="s">
        <v>3429</v>
      </c>
      <c r="C114" t="s">
        <v>3387</v>
      </c>
      <c r="D114" t="s">
        <v>1552</v>
      </c>
      <c r="E114" s="105" t="s">
        <v>3387</v>
      </c>
      <c r="F114" t="str">
        <f t="shared" si="3"/>
        <v>Grasses_fodder</v>
      </c>
    </row>
    <row r="115" spans="1:6" x14ac:dyDescent="0.3">
      <c r="A115" t="s">
        <v>1775</v>
      </c>
      <c r="B115" t="s">
        <v>3434</v>
      </c>
      <c r="C115" t="s">
        <v>3415</v>
      </c>
      <c r="D115" t="s">
        <v>1552</v>
      </c>
      <c r="E115" s="105" t="s">
        <v>3415</v>
      </c>
      <c r="F115" t="str">
        <f t="shared" si="3"/>
        <v>Legumes_fodder</v>
      </c>
    </row>
    <row r="116" spans="1:6" x14ac:dyDescent="0.3">
      <c r="A116" t="s">
        <v>1755</v>
      </c>
      <c r="B116" t="s">
        <v>3420</v>
      </c>
      <c r="C116" t="s">
        <v>3655</v>
      </c>
      <c r="D116" t="s">
        <v>1552</v>
      </c>
      <c r="E116" s="105" t="s">
        <v>3655</v>
      </c>
      <c r="F116" t="str">
        <f t="shared" si="3"/>
        <v>Maize_green</v>
      </c>
    </row>
    <row r="117" spans="1:6" x14ac:dyDescent="0.3">
      <c r="A117" t="s">
        <v>1782</v>
      </c>
      <c r="B117" t="s">
        <v>3451</v>
      </c>
      <c r="C117" t="s">
        <v>3656</v>
      </c>
      <c r="D117" t="s">
        <v>1552</v>
      </c>
      <c r="E117" s="105" t="s">
        <v>3656</v>
      </c>
      <c r="F117" t="str">
        <f t="shared" si="3"/>
        <v>Mixed_swards</v>
      </c>
    </row>
    <row r="118" spans="1:6" x14ac:dyDescent="0.3">
      <c r="A118" s="2" t="s">
        <v>2107</v>
      </c>
      <c r="B118" t="s">
        <v>3657</v>
      </c>
      <c r="C118" t="s">
        <v>3658</v>
      </c>
      <c r="D118" t="s">
        <v>1552</v>
      </c>
      <c r="E118" s="105" t="s">
        <v>3658</v>
      </c>
      <c r="F118" t="str">
        <f t="shared" si="3"/>
        <v>Meadows</v>
      </c>
    </row>
    <row r="119" spans="1:6" x14ac:dyDescent="0.3">
      <c r="A119" t="s">
        <v>1759</v>
      </c>
      <c r="B119" t="s">
        <v>3464</v>
      </c>
      <c r="C119" t="s">
        <v>3659</v>
      </c>
      <c r="D119" t="s">
        <v>1552</v>
      </c>
      <c r="E119" s="105" t="s">
        <v>3659</v>
      </c>
      <c r="F119" t="str">
        <f t="shared" si="3"/>
        <v>Sorghum_green</v>
      </c>
    </row>
    <row r="120" spans="1:6" x14ac:dyDescent="0.3">
      <c r="A120" t="s">
        <v>2175</v>
      </c>
      <c r="B120" t="s">
        <v>3660</v>
      </c>
      <c r="C120" t="s">
        <v>3661</v>
      </c>
      <c r="D120" t="s">
        <v>1552</v>
      </c>
      <c r="E120" s="105" t="s">
        <v>3661</v>
      </c>
      <c r="F120" t="str">
        <f t="shared" si="3"/>
        <v>Squash_fodder</v>
      </c>
    </row>
    <row r="121" spans="1:6" x14ac:dyDescent="0.3">
      <c r="A121" t="s">
        <v>1786</v>
      </c>
      <c r="B121" t="s">
        <v>3424</v>
      </c>
      <c r="C121" t="s">
        <v>3407</v>
      </c>
      <c r="D121" t="s">
        <v>1552</v>
      </c>
      <c r="E121" s="105" t="s">
        <v>3407</v>
      </c>
      <c r="F121" t="str">
        <f t="shared" si="3"/>
        <v>Turnip_fodder</v>
      </c>
    </row>
    <row r="122" spans="1:6" x14ac:dyDescent="0.3">
      <c r="A122" t="s">
        <v>2177</v>
      </c>
      <c r="B122" t="s">
        <v>3479</v>
      </c>
      <c r="C122" t="s">
        <v>3662</v>
      </c>
      <c r="D122" t="s">
        <v>1552</v>
      </c>
      <c r="E122" s="105" t="s">
        <v>3662</v>
      </c>
      <c r="F122" t="str">
        <f t="shared" si="3"/>
        <v>Vetch_green</v>
      </c>
    </row>
    <row r="123" spans="1:6" x14ac:dyDescent="0.3">
      <c r="A123" t="s">
        <v>1920</v>
      </c>
      <c r="B123" t="s">
        <v>3663</v>
      </c>
      <c r="C123" t="s">
        <v>3664</v>
      </c>
      <c r="D123" t="s">
        <v>1552</v>
      </c>
      <c r="E123" s="26" t="s">
        <v>3664</v>
      </c>
      <c r="F123" t="str">
        <f t="shared" si="3"/>
        <v>Flowers</v>
      </c>
    </row>
    <row r="124" spans="1:6" x14ac:dyDescent="0.3">
      <c r="A124" t="s">
        <v>1022</v>
      </c>
      <c r="B124" t="s">
        <v>3665</v>
      </c>
      <c r="C124" t="s">
        <v>3666</v>
      </c>
      <c r="D124" t="s">
        <v>1552</v>
      </c>
      <c r="E124" s="105" t="s">
        <v>3666</v>
      </c>
      <c r="F124" t="str">
        <f t="shared" si="3"/>
        <v>Other</v>
      </c>
    </row>
    <row r="125" spans="1:6" x14ac:dyDescent="0.3">
      <c r="A125" t="s">
        <v>2021</v>
      </c>
      <c r="B125" s="2"/>
      <c r="C125" s="2"/>
      <c r="F125" t="str">
        <f t="shared" si="3"/>
        <v>Fallow</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84170-C5E4-4EE3-B7BA-B8CEC6AC2085}">
  <dimension ref="A1:C198"/>
  <sheetViews>
    <sheetView zoomScale="80" zoomScaleNormal="80" workbookViewId="0">
      <pane ySplit="1" topLeftCell="A68" activePane="bottomLeft" state="frozen"/>
      <selection activeCell="J41" sqref="J41"/>
      <selection pane="bottomLeft" activeCell="B126" sqref="B126"/>
    </sheetView>
  </sheetViews>
  <sheetFormatPr defaultColWidth="8.77734375" defaultRowHeight="14.4" x14ac:dyDescent="0.3"/>
  <cols>
    <col min="1" max="2" width="26.109375" customWidth="1"/>
  </cols>
  <sheetData>
    <row r="1" spans="1:3" x14ac:dyDescent="0.3">
      <c r="A1" s="106" t="s">
        <v>3667</v>
      </c>
      <c r="B1" s="102" t="s">
        <v>791</v>
      </c>
      <c r="C1" s="102"/>
    </row>
    <row r="2" spans="1:3" x14ac:dyDescent="0.3">
      <c r="A2" s="12" t="s">
        <v>2655</v>
      </c>
      <c r="B2" s="12" t="s">
        <v>919</v>
      </c>
    </row>
    <row r="3" spans="1:3" x14ac:dyDescent="0.3">
      <c r="A3" s="12" t="s">
        <v>2876</v>
      </c>
      <c r="B3" s="12" t="s">
        <v>2160</v>
      </c>
    </row>
    <row r="4" spans="1:3" x14ac:dyDescent="0.3">
      <c r="A4" s="12" t="s">
        <v>2878</v>
      </c>
      <c r="B4" s="12" t="s">
        <v>1560</v>
      </c>
    </row>
    <row r="5" spans="1:3" x14ac:dyDescent="0.3">
      <c r="A5" s="12" t="s">
        <v>2890</v>
      </c>
      <c r="B5" s="12" t="s">
        <v>2160</v>
      </c>
    </row>
    <row r="6" spans="1:3" x14ac:dyDescent="0.3">
      <c r="A6" s="12" t="s">
        <v>2899</v>
      </c>
      <c r="B6" s="12" t="s">
        <v>971</v>
      </c>
    </row>
    <row r="7" spans="1:3" x14ac:dyDescent="0.3">
      <c r="A7" s="12" t="s">
        <v>2901</v>
      </c>
      <c r="B7" s="12" t="s">
        <v>2159</v>
      </c>
    </row>
    <row r="8" spans="1:3" x14ac:dyDescent="0.3">
      <c r="A8" s="12" t="s">
        <v>2908</v>
      </c>
      <c r="B8" s="12" t="s">
        <v>971</v>
      </c>
    </row>
    <row r="9" spans="1:3" x14ac:dyDescent="0.3">
      <c r="A9" s="12" t="s">
        <v>2916</v>
      </c>
      <c r="B9" s="12" t="s">
        <v>2160</v>
      </c>
    </row>
    <row r="10" spans="1:3" x14ac:dyDescent="0.3">
      <c r="A10" s="12" t="s">
        <v>2892</v>
      </c>
      <c r="B10" s="12" t="s">
        <v>929</v>
      </c>
    </row>
    <row r="11" spans="1:3" x14ac:dyDescent="0.3">
      <c r="A11" s="12" t="s">
        <v>2895</v>
      </c>
      <c r="B11" s="12" t="s">
        <v>950</v>
      </c>
    </row>
    <row r="12" spans="1:3" x14ac:dyDescent="0.3">
      <c r="A12" s="12" t="s">
        <v>2897</v>
      </c>
      <c r="B12" s="12" t="s">
        <v>950</v>
      </c>
    </row>
    <row r="13" spans="1:3" x14ac:dyDescent="0.3">
      <c r="A13" s="12" t="s">
        <v>2675</v>
      </c>
      <c r="B13" s="12" t="s">
        <v>947</v>
      </c>
    </row>
    <row r="14" spans="1:3" x14ac:dyDescent="0.3">
      <c r="A14" s="12" t="s">
        <v>2880</v>
      </c>
      <c r="B14" s="12" t="s">
        <v>1548</v>
      </c>
    </row>
    <row r="15" spans="1:3" x14ac:dyDescent="0.3">
      <c r="A15" s="12" t="s">
        <v>2887</v>
      </c>
      <c r="B15" s="12" t="s">
        <v>943</v>
      </c>
    </row>
    <row r="16" spans="1:3" x14ac:dyDescent="0.3">
      <c r="A16" s="12" t="s">
        <v>2903</v>
      </c>
      <c r="B16" s="12" t="s">
        <v>955</v>
      </c>
    </row>
    <row r="17" spans="1:2" x14ac:dyDescent="0.3">
      <c r="A17" s="12" t="s">
        <v>2905</v>
      </c>
      <c r="B17" s="12" t="s">
        <v>955</v>
      </c>
    </row>
    <row r="18" spans="1:2" x14ac:dyDescent="0.3">
      <c r="A18" s="12" t="s">
        <v>2918</v>
      </c>
      <c r="B18" s="12" t="s">
        <v>955</v>
      </c>
    </row>
    <row r="19" spans="1:2" x14ac:dyDescent="0.3">
      <c r="A19" s="12" t="s">
        <v>2912</v>
      </c>
      <c r="B19" s="12" t="s">
        <v>890</v>
      </c>
    </row>
    <row r="20" spans="1:2" x14ac:dyDescent="0.3">
      <c r="A20" s="12" t="s">
        <v>2951</v>
      </c>
      <c r="B20" s="12" t="s">
        <v>1028</v>
      </c>
    </row>
    <row r="21" spans="1:2" x14ac:dyDescent="0.3">
      <c r="A21" s="12" t="s">
        <v>3042</v>
      </c>
      <c r="B21" s="12" t="s">
        <v>1028</v>
      </c>
    </row>
    <row r="22" spans="1:2" x14ac:dyDescent="0.3">
      <c r="A22" s="12" t="s">
        <v>2936</v>
      </c>
      <c r="B22" s="12" t="s">
        <v>1594</v>
      </c>
    </row>
    <row r="23" spans="1:2" x14ac:dyDescent="0.3">
      <c r="A23" s="12" t="s">
        <v>2947</v>
      </c>
      <c r="B23" s="12" t="s">
        <v>1590</v>
      </c>
    </row>
    <row r="24" spans="1:2" x14ac:dyDescent="0.3">
      <c r="A24" s="12" t="s">
        <v>2955</v>
      </c>
      <c r="B24" s="12" t="s">
        <v>1036</v>
      </c>
    </row>
    <row r="25" spans="1:2" x14ac:dyDescent="0.3">
      <c r="A25" s="12" t="s">
        <v>2930</v>
      </c>
      <c r="B25" s="12" t="s">
        <v>1601</v>
      </c>
    </row>
    <row r="26" spans="1:2" x14ac:dyDescent="0.3">
      <c r="A26" s="12" t="s">
        <v>2940</v>
      </c>
      <c r="B26" s="12" t="s">
        <v>1592</v>
      </c>
    </row>
    <row r="27" spans="1:2" x14ac:dyDescent="0.3">
      <c r="A27" s="12" t="s">
        <v>2924</v>
      </c>
      <c r="B27" s="12" t="s">
        <v>1040</v>
      </c>
    </row>
    <row r="28" spans="1:2" x14ac:dyDescent="0.3">
      <c r="A28" s="12" t="s">
        <v>2926</v>
      </c>
      <c r="B28" s="12" t="s">
        <v>1040</v>
      </c>
    </row>
    <row r="29" spans="1:2" x14ac:dyDescent="0.3">
      <c r="A29" s="12" t="s">
        <v>2928</v>
      </c>
      <c r="B29" s="12" t="s">
        <v>1040</v>
      </c>
    </row>
    <row r="30" spans="1:2" x14ac:dyDescent="0.3">
      <c r="A30" s="12" t="s">
        <v>2934</v>
      </c>
      <c r="B30" s="12" t="s">
        <v>1040</v>
      </c>
    </row>
    <row r="31" spans="1:2" x14ac:dyDescent="0.3">
      <c r="A31" s="12" t="s">
        <v>3668</v>
      </c>
      <c r="B31" s="12" t="s">
        <v>1040</v>
      </c>
    </row>
    <row r="32" spans="1:2" x14ac:dyDescent="0.3">
      <c r="A32" s="12" t="s">
        <v>2965</v>
      </c>
      <c r="B32" s="12" t="s">
        <v>1040</v>
      </c>
    </row>
    <row r="33" spans="1:2" x14ac:dyDescent="0.3">
      <c r="A33" s="12" t="s">
        <v>2961</v>
      </c>
      <c r="B33" s="12" t="s">
        <v>1600</v>
      </c>
    </row>
    <row r="34" spans="1:2" x14ac:dyDescent="0.3">
      <c r="A34" s="12" t="s">
        <v>2970</v>
      </c>
      <c r="B34" s="12" t="s">
        <v>1564</v>
      </c>
    </row>
    <row r="35" spans="1:2" x14ac:dyDescent="0.3">
      <c r="A35" s="12" t="s">
        <v>3059</v>
      </c>
      <c r="B35" s="12" t="s">
        <v>1564</v>
      </c>
    </row>
    <row r="36" spans="1:2" x14ac:dyDescent="0.3">
      <c r="A36" s="12" t="s">
        <v>3341</v>
      </c>
      <c r="B36" s="12" t="s">
        <v>1568</v>
      </c>
    </row>
    <row r="37" spans="1:2" x14ac:dyDescent="0.3">
      <c r="A37" s="12" t="s">
        <v>2986</v>
      </c>
      <c r="B37" s="12" t="s">
        <v>1674</v>
      </c>
    </row>
    <row r="38" spans="1:2" x14ac:dyDescent="0.3">
      <c r="A38" s="12" t="s">
        <v>3023</v>
      </c>
      <c r="B38" s="12" t="s">
        <v>1163</v>
      </c>
    </row>
    <row r="39" spans="1:2" x14ac:dyDescent="0.3">
      <c r="A39" s="12" t="s">
        <v>2991</v>
      </c>
      <c r="B39" s="12" t="s">
        <v>1687</v>
      </c>
    </row>
    <row r="40" spans="1:2" x14ac:dyDescent="0.3">
      <c r="A40" s="12" t="s">
        <v>3044</v>
      </c>
      <c r="B40" s="12" t="s">
        <v>1183</v>
      </c>
    </row>
    <row r="41" spans="1:2" x14ac:dyDescent="0.3">
      <c r="A41" s="12" t="s">
        <v>2995</v>
      </c>
      <c r="B41" s="12" t="s">
        <v>1672</v>
      </c>
    </row>
    <row r="42" spans="1:2" x14ac:dyDescent="0.3">
      <c r="A42" s="12" t="s">
        <v>3014</v>
      </c>
      <c r="B42" s="12" t="s">
        <v>1672</v>
      </c>
    </row>
    <row r="43" spans="1:2" x14ac:dyDescent="0.3">
      <c r="A43" s="12" t="s">
        <v>3054</v>
      </c>
      <c r="B43" s="12" t="s">
        <v>2201</v>
      </c>
    </row>
    <row r="44" spans="1:2" x14ac:dyDescent="0.3">
      <c r="A44" s="12" t="s">
        <v>3083</v>
      </c>
      <c r="B44" s="12" t="s">
        <v>1703</v>
      </c>
    </row>
    <row r="45" spans="1:2" x14ac:dyDescent="0.3">
      <c r="A45" s="12" t="s">
        <v>3015</v>
      </c>
      <c r="B45" s="12" t="s">
        <v>1681</v>
      </c>
    </row>
    <row r="46" spans="1:2" x14ac:dyDescent="0.3">
      <c r="A46" s="12" t="s">
        <v>3061</v>
      </c>
      <c r="B46" s="12" t="s">
        <v>1685</v>
      </c>
    </row>
    <row r="47" spans="1:2" x14ac:dyDescent="0.3">
      <c r="A47" s="12" t="s">
        <v>3063</v>
      </c>
      <c r="B47" s="12" t="s">
        <v>1685</v>
      </c>
    </row>
    <row r="48" spans="1:2" x14ac:dyDescent="0.3">
      <c r="A48" s="12" t="s">
        <v>2984</v>
      </c>
      <c r="B48" s="12" t="s">
        <v>1181</v>
      </c>
    </row>
    <row r="49" spans="1:2" x14ac:dyDescent="0.3">
      <c r="A49" s="12" t="s">
        <v>3070</v>
      </c>
      <c r="B49" s="12" t="s">
        <v>1696</v>
      </c>
    </row>
    <row r="50" spans="1:2" x14ac:dyDescent="0.3">
      <c r="A50" s="12" t="s">
        <v>2943</v>
      </c>
      <c r="B50" s="12" t="s">
        <v>1185</v>
      </c>
    </row>
    <row r="51" spans="1:2" x14ac:dyDescent="0.3">
      <c r="A51" s="12" t="s">
        <v>3040</v>
      </c>
      <c r="B51" s="12" t="s">
        <v>1185</v>
      </c>
    </row>
    <row r="52" spans="1:2" x14ac:dyDescent="0.3">
      <c r="A52" s="12" t="s">
        <v>3017</v>
      </c>
      <c r="B52" s="12" t="s">
        <v>2197</v>
      </c>
    </row>
    <row r="53" spans="1:2" x14ac:dyDescent="0.3">
      <c r="A53" s="12" t="s">
        <v>3019</v>
      </c>
      <c r="B53" s="12" t="s">
        <v>2197</v>
      </c>
    </row>
    <row r="54" spans="1:2" x14ac:dyDescent="0.3">
      <c r="A54" s="12" t="s">
        <v>3048</v>
      </c>
      <c r="B54" s="12" t="s">
        <v>1675</v>
      </c>
    </row>
    <row r="55" spans="1:2" x14ac:dyDescent="0.3">
      <c r="A55" s="12" t="s">
        <v>3051</v>
      </c>
      <c r="B55" s="12" t="s">
        <v>1743</v>
      </c>
    </row>
    <row r="56" spans="1:2" x14ac:dyDescent="0.3">
      <c r="A56" s="12" t="s">
        <v>3008</v>
      </c>
      <c r="B56" s="12" t="s">
        <v>1692</v>
      </c>
    </row>
    <row r="57" spans="1:2" x14ac:dyDescent="0.3">
      <c r="A57" s="12" t="s">
        <v>3010</v>
      </c>
      <c r="B57" s="12" t="s">
        <v>1692</v>
      </c>
    </row>
    <row r="58" spans="1:2" x14ac:dyDescent="0.3">
      <c r="A58" s="12" t="s">
        <v>2939</v>
      </c>
      <c r="B58" s="12" t="s">
        <v>1700</v>
      </c>
    </row>
    <row r="59" spans="1:2" x14ac:dyDescent="0.3">
      <c r="A59" s="12" t="s">
        <v>3035</v>
      </c>
      <c r="B59" s="12" t="s">
        <v>1700</v>
      </c>
    </row>
    <row r="60" spans="1:2" x14ac:dyDescent="0.3">
      <c r="A60" s="12" t="s">
        <v>3669</v>
      </c>
      <c r="B60" s="12" t="s">
        <v>1183</v>
      </c>
    </row>
    <row r="61" spans="1:2" x14ac:dyDescent="0.3">
      <c r="A61" s="12" t="s">
        <v>3032</v>
      </c>
      <c r="B61" s="12" t="s">
        <v>2196</v>
      </c>
    </row>
    <row r="62" spans="1:2" x14ac:dyDescent="0.3">
      <c r="A62" s="12" t="s">
        <v>3068</v>
      </c>
      <c r="B62" s="12" t="s">
        <v>1324</v>
      </c>
    </row>
    <row r="63" spans="1:2" x14ac:dyDescent="0.3">
      <c r="A63" s="12" t="s">
        <v>3003</v>
      </c>
      <c r="B63" s="12" t="s">
        <v>1683</v>
      </c>
    </row>
    <row r="64" spans="1:2" x14ac:dyDescent="0.3">
      <c r="A64" s="12" t="s">
        <v>3026</v>
      </c>
      <c r="B64" s="12" t="s">
        <v>1165</v>
      </c>
    </row>
    <row r="65" spans="1:2" x14ac:dyDescent="0.3">
      <c r="A65" s="12" t="s">
        <v>3081</v>
      </c>
      <c r="B65" s="12" t="s">
        <v>1680</v>
      </c>
    </row>
    <row r="66" spans="1:2" x14ac:dyDescent="0.3">
      <c r="A66" s="12" t="s">
        <v>2979</v>
      </c>
      <c r="B66" s="12" t="s">
        <v>2195</v>
      </c>
    </row>
    <row r="67" spans="1:2" x14ac:dyDescent="0.3">
      <c r="A67" s="12" t="s">
        <v>3670</v>
      </c>
      <c r="B67" s="12" t="s">
        <v>1196</v>
      </c>
    </row>
    <row r="68" spans="1:2" x14ac:dyDescent="0.3">
      <c r="A68" s="12" t="s">
        <v>2982</v>
      </c>
      <c r="B68" s="12" t="s">
        <v>1196</v>
      </c>
    </row>
    <row r="69" spans="1:2" x14ac:dyDescent="0.3">
      <c r="A69" s="12" t="s">
        <v>3336</v>
      </c>
      <c r="B69" s="12" t="s">
        <v>2193</v>
      </c>
    </row>
    <row r="70" spans="1:2" x14ac:dyDescent="0.3">
      <c r="A70" s="12" t="s">
        <v>2989</v>
      </c>
      <c r="B70" s="12" t="s">
        <v>2194</v>
      </c>
    </row>
    <row r="71" spans="1:2" x14ac:dyDescent="0.3">
      <c r="A71" s="12" t="s">
        <v>2997</v>
      </c>
      <c r="B71" s="12" t="s">
        <v>2192</v>
      </c>
    </row>
    <row r="72" spans="1:2" x14ac:dyDescent="0.3">
      <c r="A72" s="12" t="s">
        <v>2999</v>
      </c>
      <c r="B72" s="12" t="s">
        <v>2202</v>
      </c>
    </row>
    <row r="73" spans="1:2" x14ac:dyDescent="0.3">
      <c r="A73" s="12" t="s">
        <v>3006</v>
      </c>
      <c r="B73" s="12" t="s">
        <v>2190</v>
      </c>
    </row>
    <row r="74" spans="1:2" x14ac:dyDescent="0.3">
      <c r="A74" s="12" t="s">
        <v>3057</v>
      </c>
      <c r="B74" s="12" t="s">
        <v>1677</v>
      </c>
    </row>
    <row r="75" spans="1:2" x14ac:dyDescent="0.3">
      <c r="A75" s="12" t="s">
        <v>3066</v>
      </c>
      <c r="B75" s="12" t="s">
        <v>2200</v>
      </c>
    </row>
    <row r="76" spans="1:2" x14ac:dyDescent="0.3">
      <c r="A76" s="12" t="s">
        <v>3073</v>
      </c>
      <c r="B76" s="12" t="s">
        <v>2191</v>
      </c>
    </row>
    <row r="77" spans="1:2" x14ac:dyDescent="0.3">
      <c r="A77" s="12" t="s">
        <v>3078</v>
      </c>
      <c r="B77" s="12" t="s">
        <v>1741</v>
      </c>
    </row>
    <row r="78" spans="1:2" x14ac:dyDescent="0.3">
      <c r="A78" s="12" t="s">
        <v>3093</v>
      </c>
      <c r="B78" s="12" t="s">
        <v>1740</v>
      </c>
    </row>
    <row r="79" spans="1:2" x14ac:dyDescent="0.3">
      <c r="A79" s="12" t="s">
        <v>3086</v>
      </c>
      <c r="B79" s="12" t="s">
        <v>1740</v>
      </c>
    </row>
    <row r="80" spans="1:2" x14ac:dyDescent="0.3">
      <c r="A80" s="12" t="s">
        <v>3088</v>
      </c>
      <c r="B80" s="12" t="s">
        <v>1740</v>
      </c>
    </row>
    <row r="81" spans="1:2" x14ac:dyDescent="0.3">
      <c r="A81" s="12" t="s">
        <v>3251</v>
      </c>
      <c r="B81" s="12" t="s">
        <v>1612</v>
      </c>
    </row>
    <row r="82" spans="1:2" x14ac:dyDescent="0.3">
      <c r="A82" s="12" t="s">
        <v>3256</v>
      </c>
      <c r="B82" s="12" t="s">
        <v>1612</v>
      </c>
    </row>
    <row r="83" spans="1:2" x14ac:dyDescent="0.3">
      <c r="A83" s="12" t="s">
        <v>3193</v>
      </c>
      <c r="B83" s="12" t="s">
        <v>1726</v>
      </c>
    </row>
    <row r="84" spans="1:2" x14ac:dyDescent="0.3">
      <c r="A84" s="12" t="s">
        <v>3189</v>
      </c>
      <c r="B84" s="12" t="s">
        <v>1726</v>
      </c>
    </row>
    <row r="85" spans="1:2" x14ac:dyDescent="0.3">
      <c r="A85" s="12" t="s">
        <v>3199</v>
      </c>
      <c r="B85" s="12" t="s">
        <v>1728</v>
      </c>
    </row>
    <row r="86" spans="1:2" x14ac:dyDescent="0.3">
      <c r="A86" s="12" t="s">
        <v>3108</v>
      </c>
      <c r="B86" s="12" t="s">
        <v>1729</v>
      </c>
    </row>
    <row r="87" spans="1:2" x14ac:dyDescent="0.3">
      <c r="A87" s="12" t="s">
        <v>3105</v>
      </c>
      <c r="B87" s="12" t="s">
        <v>1746</v>
      </c>
    </row>
    <row r="88" spans="1:2" x14ac:dyDescent="0.3">
      <c r="A88" s="12" t="s">
        <v>3235</v>
      </c>
      <c r="B88" s="12" t="s">
        <v>1712</v>
      </c>
    </row>
    <row r="89" spans="1:2" x14ac:dyDescent="0.3">
      <c r="A89" s="12" t="s">
        <v>3137</v>
      </c>
      <c r="B89" s="12" t="s">
        <v>1242</v>
      </c>
    </row>
    <row r="90" spans="1:2" x14ac:dyDescent="0.3">
      <c r="A90" s="12" t="s">
        <v>3165</v>
      </c>
      <c r="B90" s="12" t="s">
        <v>1266</v>
      </c>
    </row>
    <row r="91" spans="1:2" x14ac:dyDescent="0.3">
      <c r="A91" s="12" t="s">
        <v>3103</v>
      </c>
      <c r="B91" s="12" t="s">
        <v>1607</v>
      </c>
    </row>
    <row r="92" spans="1:2" x14ac:dyDescent="0.3">
      <c r="A92" s="12" t="s">
        <v>3128</v>
      </c>
      <c r="B92" s="12" t="s">
        <v>1607</v>
      </c>
    </row>
    <row r="93" spans="1:2" x14ac:dyDescent="0.3">
      <c r="A93" s="12" t="s">
        <v>3133</v>
      </c>
      <c r="B93" s="12" t="s">
        <v>1748</v>
      </c>
    </row>
    <row r="94" spans="1:2" x14ac:dyDescent="0.3">
      <c r="A94" s="12" t="s">
        <v>3146</v>
      </c>
      <c r="B94" t="s">
        <v>1281</v>
      </c>
    </row>
    <row r="95" spans="1:2" x14ac:dyDescent="0.3">
      <c r="A95" s="12" t="s">
        <v>3155</v>
      </c>
      <c r="B95" s="12" t="s">
        <v>1274</v>
      </c>
    </row>
    <row r="96" spans="1:2" x14ac:dyDescent="0.3">
      <c r="A96" s="12" t="s">
        <v>3029</v>
      </c>
      <c r="B96" s="12" t="s">
        <v>1738</v>
      </c>
    </row>
    <row r="97" spans="1:2" x14ac:dyDescent="0.3">
      <c r="A97" s="12" t="s">
        <v>3157</v>
      </c>
      <c r="B97" s="12" t="s">
        <v>2178</v>
      </c>
    </row>
    <row r="98" spans="1:2" x14ac:dyDescent="0.3">
      <c r="A98" s="12" t="s">
        <v>3161</v>
      </c>
      <c r="B98" s="12" t="s">
        <v>1281</v>
      </c>
    </row>
    <row r="99" spans="1:2" x14ac:dyDescent="0.3">
      <c r="A99" s="12" t="s">
        <v>3163</v>
      </c>
      <c r="B99" s="12" t="s">
        <v>1607</v>
      </c>
    </row>
    <row r="100" spans="1:2" x14ac:dyDescent="0.3">
      <c r="A100" s="12" t="s">
        <v>3671</v>
      </c>
      <c r="B100" s="12" t="s">
        <v>1607</v>
      </c>
    </row>
    <row r="101" spans="1:2" x14ac:dyDescent="0.3">
      <c r="A101" s="12" t="s">
        <v>3187</v>
      </c>
      <c r="B101" s="12" t="s">
        <v>1281</v>
      </c>
    </row>
    <row r="102" spans="1:2" x14ac:dyDescent="0.3">
      <c r="A102" s="12" t="s">
        <v>3350</v>
      </c>
      <c r="B102" s="12" t="s">
        <v>1607</v>
      </c>
    </row>
    <row r="103" spans="1:2" x14ac:dyDescent="0.3">
      <c r="A103" s="12" t="s">
        <v>3213</v>
      </c>
      <c r="B103" s="12" t="s">
        <v>1607</v>
      </c>
    </row>
    <row r="104" spans="1:2" x14ac:dyDescent="0.3">
      <c r="A104" s="12" t="s">
        <v>3355</v>
      </c>
      <c r="B104" s="12" t="s">
        <v>1607</v>
      </c>
    </row>
    <row r="105" spans="1:2" x14ac:dyDescent="0.3">
      <c r="A105" s="12" t="s">
        <v>3225</v>
      </c>
      <c r="B105" s="12" t="s">
        <v>1607</v>
      </c>
    </row>
    <row r="106" spans="1:2" x14ac:dyDescent="0.3">
      <c r="A106" s="12" t="s">
        <v>3228</v>
      </c>
      <c r="B106" s="12" t="s">
        <v>1607</v>
      </c>
    </row>
    <row r="107" spans="1:2" x14ac:dyDescent="0.3">
      <c r="A107" s="12" t="s">
        <v>3357</v>
      </c>
      <c r="B107" s="12" t="s">
        <v>1607</v>
      </c>
    </row>
    <row r="108" spans="1:2" x14ac:dyDescent="0.3">
      <c r="A108" s="12" t="s">
        <v>3359</v>
      </c>
      <c r="B108" s="12" t="s">
        <v>1607</v>
      </c>
    </row>
    <row r="109" spans="1:2" x14ac:dyDescent="0.3">
      <c r="A109" s="12" t="s">
        <v>3241</v>
      </c>
      <c r="B109" s="12" t="s">
        <v>1607</v>
      </c>
    </row>
    <row r="110" spans="1:2" x14ac:dyDescent="0.3">
      <c r="A110" s="12" t="s">
        <v>3361</v>
      </c>
      <c r="B110" s="12" t="s">
        <v>1607</v>
      </c>
    </row>
    <row r="111" spans="1:2" x14ac:dyDescent="0.3">
      <c r="A111" s="12" t="s">
        <v>3195</v>
      </c>
      <c r="B111" s="12" t="s">
        <v>1732</v>
      </c>
    </row>
    <row r="112" spans="1:2" x14ac:dyDescent="0.3">
      <c r="A112" s="12" t="s">
        <v>3232</v>
      </c>
      <c r="B112" s="12" t="s">
        <v>1727</v>
      </c>
    </row>
    <row r="113" spans="1:2" x14ac:dyDescent="0.3">
      <c r="A113" s="12" t="s">
        <v>3151</v>
      </c>
      <c r="B113" s="12" t="s">
        <v>1734</v>
      </c>
    </row>
    <row r="114" spans="1:2" x14ac:dyDescent="0.3">
      <c r="A114" s="12" t="s">
        <v>3170</v>
      </c>
      <c r="B114" s="12" t="s">
        <v>1719</v>
      </c>
    </row>
    <row r="115" spans="1:2" x14ac:dyDescent="0.3">
      <c r="A115" s="12" t="s">
        <v>3173</v>
      </c>
      <c r="B115" s="12" t="s">
        <v>1719</v>
      </c>
    </row>
    <row r="116" spans="1:2" x14ac:dyDescent="0.3">
      <c r="A116" s="12" t="s">
        <v>3203</v>
      </c>
      <c r="B116" s="12" t="s">
        <v>1715</v>
      </c>
    </row>
    <row r="117" spans="1:2" x14ac:dyDescent="0.3">
      <c r="A117" s="12" t="s">
        <v>3207</v>
      </c>
      <c r="B117" s="12" t="s">
        <v>1715</v>
      </c>
    </row>
    <row r="118" spans="1:2" x14ac:dyDescent="0.3">
      <c r="A118" s="12" t="s">
        <v>3209</v>
      </c>
      <c r="B118" s="12" t="s">
        <v>1715</v>
      </c>
    </row>
    <row r="119" spans="1:2" x14ac:dyDescent="0.3">
      <c r="A119" s="12" t="s">
        <v>3221</v>
      </c>
      <c r="B119" s="12" t="s">
        <v>1725</v>
      </c>
    </row>
    <row r="120" spans="1:2" x14ac:dyDescent="0.3">
      <c r="A120" s="12" t="s">
        <v>3237</v>
      </c>
      <c r="B120" s="12" t="s">
        <v>1722</v>
      </c>
    </row>
    <row r="121" spans="1:2" x14ac:dyDescent="0.3">
      <c r="A121" s="12" t="s">
        <v>3181</v>
      </c>
      <c r="B121" s="12" t="s">
        <v>1717</v>
      </c>
    </row>
    <row r="122" spans="1:2" x14ac:dyDescent="0.3">
      <c r="A122" s="12" t="s">
        <v>3185</v>
      </c>
      <c r="B122" s="12" t="s">
        <v>1717</v>
      </c>
    </row>
    <row r="123" spans="1:2" x14ac:dyDescent="0.3">
      <c r="A123" s="12" t="s">
        <v>3116</v>
      </c>
      <c r="B123" s="12" t="s">
        <v>1611</v>
      </c>
    </row>
    <row r="124" spans="1:2" x14ac:dyDescent="0.3">
      <c r="A124" s="12" t="s">
        <v>3112</v>
      </c>
      <c r="B124" s="12" t="s">
        <v>1708</v>
      </c>
    </row>
    <row r="125" spans="1:2" x14ac:dyDescent="0.3">
      <c r="A125" s="12" t="s">
        <v>3135</v>
      </c>
      <c r="B125" s="12" t="s">
        <v>1046</v>
      </c>
    </row>
    <row r="126" spans="1:2" x14ac:dyDescent="0.3">
      <c r="A126" s="12" t="s">
        <v>3125</v>
      </c>
      <c r="B126" s="12" t="s">
        <v>2186</v>
      </c>
    </row>
    <row r="127" spans="1:2" x14ac:dyDescent="0.3">
      <c r="A127" s="12" t="s">
        <v>3217</v>
      </c>
      <c r="B127" s="12" t="s">
        <v>1614</v>
      </c>
    </row>
    <row r="128" spans="1:2" x14ac:dyDescent="0.3">
      <c r="A128" s="12" t="s">
        <v>3270</v>
      </c>
      <c r="B128" s="12" t="s">
        <v>1145</v>
      </c>
    </row>
    <row r="129" spans="1:2" x14ac:dyDescent="0.3">
      <c r="A129" s="12" t="s">
        <v>3340</v>
      </c>
      <c r="B129" s="12" t="s">
        <v>1069</v>
      </c>
    </row>
    <row r="130" spans="1:2" x14ac:dyDescent="0.3">
      <c r="A130" s="12" t="s">
        <v>3275</v>
      </c>
      <c r="B130" s="12" t="s">
        <v>1669</v>
      </c>
    </row>
    <row r="131" spans="1:2" x14ac:dyDescent="0.3">
      <c r="A131" s="12" t="s">
        <v>3288</v>
      </c>
      <c r="B131" s="12" t="s">
        <v>1150</v>
      </c>
    </row>
    <row r="132" spans="1:2" x14ac:dyDescent="0.3">
      <c r="A132" s="12" t="s">
        <v>3279</v>
      </c>
      <c r="B132" s="12" t="s">
        <v>1651</v>
      </c>
    </row>
    <row r="133" spans="1:2" x14ac:dyDescent="0.3">
      <c r="A133" s="12" t="s">
        <v>3292</v>
      </c>
      <c r="B133" s="12" t="s">
        <v>1651</v>
      </c>
    </row>
    <row r="134" spans="1:2" x14ac:dyDescent="0.3">
      <c r="A134" s="12" t="s">
        <v>3277</v>
      </c>
      <c r="B134" s="12" t="s">
        <v>1655</v>
      </c>
    </row>
    <row r="135" spans="1:2" x14ac:dyDescent="0.3">
      <c r="A135" s="12" t="s">
        <v>3300</v>
      </c>
      <c r="B135" s="12" t="s">
        <v>1061</v>
      </c>
    </row>
    <row r="136" spans="1:2" x14ac:dyDescent="0.3">
      <c r="A136" s="12" t="s">
        <v>3347</v>
      </c>
      <c r="B136" s="12" t="s">
        <v>1105</v>
      </c>
    </row>
    <row r="137" spans="1:2" x14ac:dyDescent="0.3">
      <c r="A137" s="12" t="s">
        <v>3264</v>
      </c>
      <c r="B137" s="12" t="s">
        <v>1820</v>
      </c>
    </row>
    <row r="138" spans="1:2" x14ac:dyDescent="0.3">
      <c r="A138" s="12" t="s">
        <v>3343</v>
      </c>
      <c r="B138" s="12" t="s">
        <v>2183</v>
      </c>
    </row>
    <row r="139" spans="1:2" x14ac:dyDescent="0.3">
      <c r="A139" s="12" t="s">
        <v>3271</v>
      </c>
      <c r="B139" s="12" t="s">
        <v>1523</v>
      </c>
    </row>
    <row r="140" spans="1:2" x14ac:dyDescent="0.3">
      <c r="A140" s="12" t="s">
        <v>3273</v>
      </c>
      <c r="B140" s="12" t="s">
        <v>1523</v>
      </c>
    </row>
    <row r="141" spans="1:2" x14ac:dyDescent="0.3">
      <c r="A141" s="12" t="s">
        <v>3282</v>
      </c>
      <c r="B141" s="12" t="s">
        <v>2181</v>
      </c>
    </row>
    <row r="142" spans="1:2" x14ac:dyDescent="0.3">
      <c r="A142" s="12" t="s">
        <v>3284</v>
      </c>
      <c r="B142" s="12" t="s">
        <v>1346</v>
      </c>
    </row>
    <row r="143" spans="1:2" x14ac:dyDescent="0.3">
      <c r="A143" s="12" t="s">
        <v>3286</v>
      </c>
      <c r="B143" s="12" t="s">
        <v>1346</v>
      </c>
    </row>
    <row r="144" spans="1:2" x14ac:dyDescent="0.3">
      <c r="A144" s="12" t="s">
        <v>3290</v>
      </c>
      <c r="B144" s="12" t="s">
        <v>2179</v>
      </c>
    </row>
    <row r="145" spans="1:2" x14ac:dyDescent="0.3">
      <c r="A145" s="12" t="s">
        <v>3294</v>
      </c>
      <c r="B145" s="12" t="s">
        <v>1607</v>
      </c>
    </row>
    <row r="146" spans="1:2" x14ac:dyDescent="0.3">
      <c r="A146" s="12" t="s">
        <v>3296</v>
      </c>
      <c r="B146" s="12" t="s">
        <v>1351</v>
      </c>
    </row>
    <row r="147" spans="1:2" x14ac:dyDescent="0.3">
      <c r="A147" s="12" t="s">
        <v>3298</v>
      </c>
      <c r="B147" s="12" t="s">
        <v>1351</v>
      </c>
    </row>
    <row r="148" spans="1:2" x14ac:dyDescent="0.3">
      <c r="A148" s="12" t="s">
        <v>3131</v>
      </c>
      <c r="B148" s="12" t="s">
        <v>1796</v>
      </c>
    </row>
    <row r="149" spans="1:2" x14ac:dyDescent="0.3">
      <c r="A149" s="12" t="s">
        <v>3315</v>
      </c>
      <c r="B149" s="12" t="s">
        <v>1804</v>
      </c>
    </row>
    <row r="150" spans="1:2" x14ac:dyDescent="0.3">
      <c r="A150" s="12" t="s">
        <v>3338</v>
      </c>
      <c r="B150" s="12" t="s">
        <v>2150</v>
      </c>
    </row>
    <row r="151" spans="1:2" x14ac:dyDescent="0.3">
      <c r="A151" s="12" t="s">
        <v>3326</v>
      </c>
      <c r="B151" s="12" t="s">
        <v>2188</v>
      </c>
    </row>
    <row r="152" spans="1:2" x14ac:dyDescent="0.3">
      <c r="A152" s="12" t="s">
        <v>3345</v>
      </c>
      <c r="B152" s="12" t="s">
        <v>1328</v>
      </c>
    </row>
    <row r="153" spans="1:2" x14ac:dyDescent="0.3">
      <c r="A153" s="12" t="s">
        <v>3328</v>
      </c>
      <c r="B153" s="12" t="s">
        <v>1328</v>
      </c>
    </row>
    <row r="154" spans="1:2" x14ac:dyDescent="0.3">
      <c r="A154" s="12" t="s">
        <v>3313</v>
      </c>
      <c r="B154" s="12" t="s">
        <v>1328</v>
      </c>
    </row>
    <row r="155" spans="1:2" x14ac:dyDescent="0.3">
      <c r="A155" s="12" t="s">
        <v>3330</v>
      </c>
      <c r="B155" s="12" t="s">
        <v>1328</v>
      </c>
    </row>
    <row r="156" spans="1:2" x14ac:dyDescent="0.3">
      <c r="A156" s="12" t="s">
        <v>3318</v>
      </c>
      <c r="B156" s="12" t="s">
        <v>1328</v>
      </c>
    </row>
    <row r="157" spans="1:2" x14ac:dyDescent="0.3">
      <c r="A157" s="12" t="s">
        <v>3332</v>
      </c>
      <c r="B157" s="13" t="s">
        <v>1808</v>
      </c>
    </row>
    <row r="158" spans="1:2" x14ac:dyDescent="0.3">
      <c r="A158" s="12" t="s">
        <v>3321</v>
      </c>
      <c r="B158" s="12" t="s">
        <v>1362</v>
      </c>
    </row>
    <row r="159" spans="1:2" x14ac:dyDescent="0.3">
      <c r="A159" s="12" t="s">
        <v>3306</v>
      </c>
      <c r="B159" s="12" t="s">
        <v>1006</v>
      </c>
    </row>
    <row r="160" spans="1:2" x14ac:dyDescent="0.3">
      <c r="A160" s="12" t="s">
        <v>3311</v>
      </c>
      <c r="B160" s="12" t="s">
        <v>1574</v>
      </c>
    </row>
    <row r="161" spans="1:3" x14ac:dyDescent="0.3">
      <c r="A161" s="12" t="s">
        <v>3373</v>
      </c>
      <c r="B161" s="12" t="s">
        <v>1769</v>
      </c>
      <c r="C161" s="12"/>
    </row>
    <row r="162" spans="1:3" x14ac:dyDescent="0.3">
      <c r="A162" s="12" t="s">
        <v>3371</v>
      </c>
      <c r="B162" s="12" t="s">
        <v>1769</v>
      </c>
      <c r="C162" s="12"/>
    </row>
    <row r="163" spans="1:3" x14ac:dyDescent="0.3">
      <c r="A163" s="12" t="s">
        <v>3456</v>
      </c>
      <c r="B163" s="12" t="s">
        <v>1788</v>
      </c>
      <c r="C163" s="12"/>
    </row>
    <row r="164" spans="1:3" x14ac:dyDescent="0.3">
      <c r="A164" s="12" t="s">
        <v>3408</v>
      </c>
      <c r="B164" s="12" t="s">
        <v>1777</v>
      </c>
      <c r="C164" s="12"/>
    </row>
    <row r="165" spans="1:3" x14ac:dyDescent="0.3">
      <c r="A165" s="12" t="s">
        <v>3482</v>
      </c>
      <c r="B165" s="12" t="s">
        <v>1791</v>
      </c>
      <c r="C165" s="12"/>
    </row>
    <row r="166" spans="1:3" x14ac:dyDescent="0.3">
      <c r="A166" s="12" t="s">
        <v>3380</v>
      </c>
      <c r="B166" s="12" t="s">
        <v>2170</v>
      </c>
      <c r="C166" s="12"/>
    </row>
    <row r="167" spans="1:3" x14ac:dyDescent="0.3">
      <c r="A167" s="12" t="s">
        <v>3396</v>
      </c>
      <c r="B167" s="12" t="s">
        <v>2161</v>
      </c>
      <c r="C167" s="12"/>
    </row>
    <row r="168" spans="1:3" x14ac:dyDescent="0.3">
      <c r="A168" s="12" t="s">
        <v>3398</v>
      </c>
      <c r="B168" s="12" t="s">
        <v>2161</v>
      </c>
      <c r="C168" s="12"/>
    </row>
    <row r="169" spans="1:3" x14ac:dyDescent="0.3">
      <c r="A169" s="12" t="s">
        <v>3400</v>
      </c>
      <c r="B169" s="12" t="s">
        <v>2161</v>
      </c>
      <c r="C169" s="12"/>
    </row>
    <row r="170" spans="1:3" x14ac:dyDescent="0.3">
      <c r="A170" s="12" t="s">
        <v>3475</v>
      </c>
      <c r="B170" s="12" t="s">
        <v>2161</v>
      </c>
      <c r="C170" s="12"/>
    </row>
    <row r="171" spans="1:3" x14ac:dyDescent="0.3">
      <c r="A171" s="12" t="s">
        <v>3443</v>
      </c>
      <c r="B171" s="12" t="s">
        <v>1766</v>
      </c>
      <c r="C171" s="12"/>
    </row>
    <row r="172" spans="1:3" x14ac:dyDescent="0.3">
      <c r="A172" s="12" t="s">
        <v>3474</v>
      </c>
      <c r="B172" s="12" t="s">
        <v>1766</v>
      </c>
      <c r="C172" s="12"/>
    </row>
    <row r="173" spans="1:3" x14ac:dyDescent="0.3">
      <c r="A173" s="12" t="s">
        <v>3467</v>
      </c>
      <c r="B173" s="12" t="s">
        <v>2165</v>
      </c>
      <c r="C173" s="12"/>
    </row>
    <row r="174" spans="1:3" x14ac:dyDescent="0.3">
      <c r="A174" s="12" t="s">
        <v>3470</v>
      </c>
      <c r="B174" s="12" t="s">
        <v>1766</v>
      </c>
      <c r="C174" s="12"/>
    </row>
    <row r="175" spans="1:3" x14ac:dyDescent="0.3">
      <c r="A175" s="12" t="s">
        <v>3390</v>
      </c>
      <c r="B175" s="12" t="s">
        <v>2169</v>
      </c>
      <c r="C175" s="12"/>
    </row>
    <row r="176" spans="1:3" x14ac:dyDescent="0.3">
      <c r="A176" s="12" t="s">
        <v>3437</v>
      </c>
      <c r="B176" s="12" t="s">
        <v>2171</v>
      </c>
      <c r="C176" s="12"/>
    </row>
    <row r="177" spans="1:3" x14ac:dyDescent="0.3">
      <c r="A177" s="12" t="s">
        <v>3439</v>
      </c>
      <c r="B177" s="12" t="s">
        <v>1794</v>
      </c>
      <c r="C177" s="12"/>
    </row>
    <row r="178" spans="1:3" x14ac:dyDescent="0.3">
      <c r="A178" s="12" t="s">
        <v>3441</v>
      </c>
      <c r="B178" s="12" t="s">
        <v>1771</v>
      </c>
      <c r="C178" s="12"/>
    </row>
    <row r="179" spans="1:3" x14ac:dyDescent="0.3">
      <c r="A179" s="12" t="s">
        <v>3445</v>
      </c>
      <c r="B179" s="12" t="s">
        <v>1784</v>
      </c>
      <c r="C179" s="12"/>
    </row>
    <row r="180" spans="1:3" x14ac:dyDescent="0.3">
      <c r="A180" s="12" t="s">
        <v>3460</v>
      </c>
      <c r="B180" s="12" t="s">
        <v>1771</v>
      </c>
      <c r="C180" s="12"/>
    </row>
    <row r="181" spans="1:3" x14ac:dyDescent="0.3">
      <c r="A181" s="12" t="s">
        <v>3410</v>
      </c>
      <c r="B181" s="12" t="s">
        <v>2163</v>
      </c>
      <c r="C181" s="12"/>
    </row>
    <row r="182" spans="1:3" x14ac:dyDescent="0.3">
      <c r="A182" s="12" t="s">
        <v>3484</v>
      </c>
      <c r="B182" s="12" t="s">
        <v>2167</v>
      </c>
      <c r="C182" s="12"/>
    </row>
    <row r="183" spans="1:3" x14ac:dyDescent="0.3">
      <c r="A183" s="12" t="s">
        <v>3383</v>
      </c>
      <c r="B183" s="12" t="s">
        <v>2019</v>
      </c>
      <c r="C183" s="12"/>
    </row>
    <row r="184" spans="1:3" x14ac:dyDescent="0.3">
      <c r="A184" s="12" t="s">
        <v>3427</v>
      </c>
      <c r="B184" s="12" t="s">
        <v>1764</v>
      </c>
      <c r="C184" s="12"/>
    </row>
    <row r="185" spans="1:3" x14ac:dyDescent="0.3">
      <c r="A185" s="12" t="s">
        <v>3454</v>
      </c>
      <c r="B185" s="12" t="s">
        <v>1761</v>
      </c>
      <c r="C185" s="12"/>
    </row>
    <row r="186" spans="1:3" x14ac:dyDescent="0.3">
      <c r="A186" s="12" t="s">
        <v>3376</v>
      </c>
      <c r="B186" s="12" t="s">
        <v>1774</v>
      </c>
      <c r="C186" s="12"/>
    </row>
    <row r="187" spans="1:3" x14ac:dyDescent="0.3">
      <c r="A187" s="12" t="s">
        <v>3378</v>
      </c>
      <c r="B187" s="12" t="s">
        <v>1774</v>
      </c>
      <c r="C187" s="12"/>
    </row>
    <row r="188" spans="1:3" x14ac:dyDescent="0.3">
      <c r="A188" s="12" t="s">
        <v>3413</v>
      </c>
      <c r="B188" s="12" t="s">
        <v>2172</v>
      </c>
      <c r="C188" s="12"/>
    </row>
    <row r="189" spans="1:3" x14ac:dyDescent="0.3">
      <c r="A189" s="12" t="s">
        <v>3416</v>
      </c>
      <c r="B189" s="12" t="s">
        <v>2166</v>
      </c>
      <c r="C189" s="12"/>
    </row>
    <row r="190" spans="1:3" x14ac:dyDescent="0.3">
      <c r="A190" s="12" t="s">
        <v>3432</v>
      </c>
      <c r="B190" s="12" t="s">
        <v>1774</v>
      </c>
      <c r="C190" s="12"/>
    </row>
    <row r="191" spans="1:3" x14ac:dyDescent="0.3">
      <c r="A191" s="12" t="s">
        <v>3418</v>
      </c>
      <c r="B191" s="12" t="s">
        <v>1189</v>
      </c>
      <c r="C191" s="12"/>
    </row>
    <row r="192" spans="1:3" x14ac:dyDescent="0.3">
      <c r="A192" s="12" t="s">
        <v>3447</v>
      </c>
      <c r="B192" s="12" t="s">
        <v>2020</v>
      </c>
      <c r="C192" s="12"/>
    </row>
    <row r="193" spans="1:3" x14ac:dyDescent="0.3">
      <c r="A193" s="12" t="s">
        <v>3449</v>
      </c>
      <c r="B193" s="12" t="s">
        <v>2020</v>
      </c>
      <c r="C193" s="12"/>
    </row>
    <row r="194" spans="1:3" x14ac:dyDescent="0.3">
      <c r="A194" s="12" t="s">
        <v>3462</v>
      </c>
      <c r="B194" s="12" t="s">
        <v>1757</v>
      </c>
      <c r="C194" s="12"/>
    </row>
    <row r="195" spans="1:3" x14ac:dyDescent="0.3">
      <c r="A195" s="12" t="s">
        <v>3388</v>
      </c>
      <c r="B195" s="12" t="s">
        <v>2174</v>
      </c>
      <c r="C195" s="12"/>
    </row>
    <row r="196" spans="1:3" x14ac:dyDescent="0.3">
      <c r="A196" s="12" t="s">
        <v>3405</v>
      </c>
      <c r="B196" s="12" t="s">
        <v>1794</v>
      </c>
      <c r="C196" s="12"/>
    </row>
    <row r="197" spans="1:3" x14ac:dyDescent="0.3">
      <c r="A197" s="12" t="s">
        <v>3422</v>
      </c>
      <c r="B197" s="12" t="s">
        <v>1784</v>
      </c>
      <c r="C197" s="12"/>
    </row>
    <row r="198" spans="1:3" x14ac:dyDescent="0.3">
      <c r="A198" s="12" t="s">
        <v>3477</v>
      </c>
      <c r="B198" s="12" t="s">
        <v>2176</v>
      </c>
      <c r="C198" s="12"/>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89B29-AA68-4D75-99D0-2BC7A433CE72}">
  <dimension ref="A1:B17"/>
  <sheetViews>
    <sheetView workbookViewId="0">
      <selection activeCell="J41" sqref="J41"/>
    </sheetView>
  </sheetViews>
  <sheetFormatPr defaultColWidth="8.77734375" defaultRowHeight="14.4" x14ac:dyDescent="0.3"/>
  <cols>
    <col min="2" max="2" width="15.109375" customWidth="1"/>
  </cols>
  <sheetData>
    <row r="1" spans="1:2" x14ac:dyDescent="0.3">
      <c r="A1" s="15" t="s">
        <v>1931</v>
      </c>
      <c r="B1" s="15" t="s">
        <v>3672</v>
      </c>
    </row>
    <row r="2" spans="1:2" x14ac:dyDescent="0.3">
      <c r="A2" t="s">
        <v>1545</v>
      </c>
      <c r="B2" s="140" t="s">
        <v>1545</v>
      </c>
    </row>
    <row r="3" spans="1:2" x14ac:dyDescent="0.3">
      <c r="A3" t="s">
        <v>1725</v>
      </c>
      <c r="B3" t="s">
        <v>1725</v>
      </c>
    </row>
    <row r="4" spans="1:2" x14ac:dyDescent="0.3">
      <c r="A4" t="s">
        <v>2021</v>
      </c>
      <c r="B4" t="s">
        <v>1545</v>
      </c>
    </row>
    <row r="5" spans="1:2" x14ac:dyDescent="0.3">
      <c r="A5" t="s">
        <v>1826</v>
      </c>
      <c r="B5" t="s">
        <v>3673</v>
      </c>
    </row>
    <row r="6" spans="1:2" x14ac:dyDescent="0.3">
      <c r="A6" t="s">
        <v>2018</v>
      </c>
      <c r="B6" t="s">
        <v>2018</v>
      </c>
    </row>
    <row r="7" spans="1:2" x14ac:dyDescent="0.3">
      <c r="A7" t="s">
        <v>1607</v>
      </c>
      <c r="B7" t="s">
        <v>1607</v>
      </c>
    </row>
    <row r="8" spans="1:2" x14ac:dyDescent="0.3">
      <c r="A8" t="s">
        <v>1257</v>
      </c>
      <c r="B8" t="s">
        <v>1257</v>
      </c>
    </row>
    <row r="9" spans="1:2" x14ac:dyDescent="0.3">
      <c r="A9" t="s">
        <v>1998</v>
      </c>
      <c r="B9" t="s">
        <v>3673</v>
      </c>
    </row>
    <row r="10" spans="1:2" x14ac:dyDescent="0.3">
      <c r="A10" t="s">
        <v>1094</v>
      </c>
      <c r="B10" t="s">
        <v>1094</v>
      </c>
    </row>
    <row r="11" spans="1:2" x14ac:dyDescent="0.3">
      <c r="A11" t="s">
        <v>1022</v>
      </c>
      <c r="B11" t="s">
        <v>1022</v>
      </c>
    </row>
    <row r="12" spans="1:2" x14ac:dyDescent="0.3">
      <c r="A12" t="s">
        <v>1588</v>
      </c>
      <c r="B12" s="140" t="s">
        <v>1588</v>
      </c>
    </row>
    <row r="13" spans="1:2" x14ac:dyDescent="0.3">
      <c r="A13" t="s">
        <v>2092</v>
      </c>
      <c r="B13" t="s">
        <v>2092</v>
      </c>
    </row>
    <row r="14" spans="1:2" x14ac:dyDescent="0.3">
      <c r="A14" t="s">
        <v>1806</v>
      </c>
      <c r="B14" t="s">
        <v>1022</v>
      </c>
    </row>
    <row r="15" spans="1:2" x14ac:dyDescent="0.3">
      <c r="A15" t="s">
        <v>2098</v>
      </c>
      <c r="B15" t="s">
        <v>3673</v>
      </c>
    </row>
    <row r="16" spans="1:2" x14ac:dyDescent="0.3">
      <c r="A16" t="s">
        <v>1606</v>
      </c>
      <c r="B16" t="s">
        <v>1632</v>
      </c>
    </row>
    <row r="17" spans="1:2" x14ac:dyDescent="0.3">
      <c r="A17" t="s">
        <v>1559</v>
      </c>
      <c r="B17" t="s">
        <v>1559</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ACE4B-5B24-4346-93DF-A00C9BE0B9CB}">
  <dimension ref="A1:D169"/>
  <sheetViews>
    <sheetView workbookViewId="0">
      <pane ySplit="1" topLeftCell="A91" activePane="bottomLeft" state="frozen"/>
      <selection activeCell="J41" sqref="J41"/>
      <selection pane="bottomLeft" activeCell="D119" sqref="D119"/>
    </sheetView>
  </sheetViews>
  <sheetFormatPr defaultColWidth="8.77734375" defaultRowHeight="14.4" x14ac:dyDescent="0.3"/>
  <cols>
    <col min="1" max="1" width="20.21875" customWidth="1"/>
    <col min="2" max="2" width="24.44140625" customWidth="1"/>
  </cols>
  <sheetData>
    <row r="1" spans="1:4" x14ac:dyDescent="0.3">
      <c r="A1" t="s">
        <v>3674</v>
      </c>
      <c r="B1" t="s">
        <v>789</v>
      </c>
      <c r="C1" t="s">
        <v>790</v>
      </c>
      <c r="D1" t="s">
        <v>3675</v>
      </c>
    </row>
    <row r="2" spans="1:4" x14ac:dyDescent="0.3">
      <c r="A2" t="s">
        <v>1044</v>
      </c>
      <c r="B2" t="s">
        <v>1047</v>
      </c>
      <c r="C2">
        <v>221</v>
      </c>
      <c r="D2" t="s">
        <v>3676</v>
      </c>
    </row>
    <row r="3" spans="1:4" x14ac:dyDescent="0.3">
      <c r="A3" t="s">
        <v>1328</v>
      </c>
      <c r="B3" t="s">
        <v>1332</v>
      </c>
      <c r="C3">
        <v>711</v>
      </c>
      <c r="D3" t="s">
        <v>3677</v>
      </c>
    </row>
    <row r="4" spans="1:4" x14ac:dyDescent="0.3">
      <c r="A4" t="s">
        <v>1232</v>
      </c>
      <c r="B4" t="s">
        <v>1231</v>
      </c>
      <c r="C4">
        <v>515</v>
      </c>
      <c r="D4" t="s">
        <v>3678</v>
      </c>
    </row>
    <row r="5" spans="1:4" x14ac:dyDescent="0.3">
      <c r="A5" t="s">
        <v>1237</v>
      </c>
      <c r="B5" t="s">
        <v>1239</v>
      </c>
      <c r="C5">
        <v>526</v>
      </c>
      <c r="D5" t="s">
        <v>3679</v>
      </c>
    </row>
    <row r="6" spans="1:4" x14ac:dyDescent="0.3">
      <c r="A6" t="s">
        <v>920</v>
      </c>
      <c r="B6" t="s">
        <v>919</v>
      </c>
      <c r="C6">
        <v>44</v>
      </c>
      <c r="D6" t="s">
        <v>3680</v>
      </c>
    </row>
    <row r="7" spans="1:4" x14ac:dyDescent="0.3">
      <c r="A7" t="s">
        <v>1237</v>
      </c>
      <c r="B7" t="s">
        <v>1256</v>
      </c>
      <c r="C7">
        <v>558</v>
      </c>
      <c r="D7" t="s">
        <v>3681</v>
      </c>
    </row>
    <row r="8" spans="1:4" x14ac:dyDescent="0.3">
      <c r="A8" t="s">
        <v>1340</v>
      </c>
      <c r="B8" t="s">
        <v>1340</v>
      </c>
      <c r="C8">
        <v>767</v>
      </c>
      <c r="D8" t="s">
        <v>3682</v>
      </c>
    </row>
    <row r="9" spans="1:4" x14ac:dyDescent="0.3">
      <c r="A9" t="s">
        <v>1340</v>
      </c>
      <c r="B9" t="s">
        <v>1145</v>
      </c>
      <c r="C9">
        <v>329</v>
      </c>
      <c r="D9" t="s">
        <v>3682</v>
      </c>
    </row>
    <row r="10" spans="1:4" x14ac:dyDescent="0.3">
      <c r="A10" t="s">
        <v>1237</v>
      </c>
      <c r="B10" t="s">
        <v>1266</v>
      </c>
      <c r="C10">
        <v>569</v>
      </c>
      <c r="D10" t="s">
        <v>3683</v>
      </c>
    </row>
    <row r="11" spans="1:4" x14ac:dyDescent="0.3">
      <c r="A11" t="s">
        <v>1228</v>
      </c>
      <c r="B11" t="s">
        <v>1227</v>
      </c>
      <c r="C11">
        <v>512</v>
      </c>
      <c r="D11" t="s">
        <v>3684</v>
      </c>
    </row>
    <row r="12" spans="1:4" x14ac:dyDescent="0.3">
      <c r="A12" t="s">
        <v>1237</v>
      </c>
      <c r="B12" t="s">
        <v>1283</v>
      </c>
      <c r="C12">
        <v>619</v>
      </c>
      <c r="D12" t="s">
        <v>3685</v>
      </c>
    </row>
    <row r="13" spans="1:4" x14ac:dyDescent="0.3">
      <c r="A13" t="s">
        <v>1237</v>
      </c>
      <c r="B13" t="s">
        <v>1248</v>
      </c>
      <c r="C13">
        <v>541</v>
      </c>
      <c r="D13" t="s">
        <v>3686</v>
      </c>
    </row>
    <row r="14" spans="1:4" x14ac:dyDescent="0.3">
      <c r="A14" t="s">
        <v>1258</v>
      </c>
      <c r="B14" t="s">
        <v>1257</v>
      </c>
      <c r="C14">
        <v>560</v>
      </c>
      <c r="D14" t="s">
        <v>3687</v>
      </c>
    </row>
    <row r="15" spans="1:4" x14ac:dyDescent="0.3">
      <c r="A15" t="s">
        <v>1100</v>
      </c>
      <c r="B15" t="s">
        <v>1150</v>
      </c>
      <c r="C15">
        <v>333</v>
      </c>
      <c r="D15" t="s">
        <v>3688</v>
      </c>
    </row>
    <row r="16" spans="1:4" x14ac:dyDescent="0.3">
      <c r="A16" t="s">
        <v>930</v>
      </c>
      <c r="B16" t="s">
        <v>929</v>
      </c>
      <c r="C16">
        <v>56</v>
      </c>
      <c r="D16" t="s">
        <v>3689</v>
      </c>
    </row>
    <row r="17" spans="1:4" x14ac:dyDescent="0.3">
      <c r="A17" t="s">
        <v>1161</v>
      </c>
      <c r="B17" t="s">
        <v>1265</v>
      </c>
      <c r="C17">
        <v>568</v>
      </c>
      <c r="D17" t="s">
        <v>3690</v>
      </c>
    </row>
    <row r="18" spans="1:4" x14ac:dyDescent="0.3">
      <c r="A18" t="s">
        <v>951</v>
      </c>
      <c r="B18" t="s">
        <v>950</v>
      </c>
      <c r="C18">
        <v>79</v>
      </c>
      <c r="D18" t="s">
        <v>3691</v>
      </c>
    </row>
    <row r="19" spans="1:4" x14ac:dyDescent="0.3">
      <c r="A19" t="s">
        <v>1044</v>
      </c>
      <c r="B19" t="s">
        <v>3692</v>
      </c>
      <c r="C19">
        <v>234</v>
      </c>
      <c r="D19" t="s">
        <v>3693</v>
      </c>
    </row>
    <row r="20" spans="1:4" x14ac:dyDescent="0.3">
      <c r="A20" t="s">
        <v>1095</v>
      </c>
      <c r="B20" t="s">
        <v>1094</v>
      </c>
      <c r="C20">
        <v>260</v>
      </c>
      <c r="D20" t="s">
        <v>3694</v>
      </c>
    </row>
    <row r="21" spans="1:4" x14ac:dyDescent="0.3">
      <c r="A21" t="s">
        <v>1180</v>
      </c>
      <c r="B21" t="s">
        <v>1179</v>
      </c>
      <c r="C21">
        <v>403</v>
      </c>
      <c r="D21" t="s">
        <v>3695</v>
      </c>
    </row>
    <row r="22" spans="1:4" x14ac:dyDescent="0.3">
      <c r="A22" t="s">
        <v>1214</v>
      </c>
      <c r="B22" t="s">
        <v>1213</v>
      </c>
      <c r="C22">
        <v>490</v>
      </c>
      <c r="D22" t="s">
        <v>3696</v>
      </c>
    </row>
    <row r="23" spans="1:4" x14ac:dyDescent="0.3">
      <c r="A23" t="s">
        <v>1237</v>
      </c>
      <c r="B23" t="s">
        <v>1243</v>
      </c>
      <c r="C23">
        <v>534</v>
      </c>
      <c r="D23" t="s">
        <v>3697</v>
      </c>
    </row>
    <row r="24" spans="1:4" x14ac:dyDescent="0.3">
      <c r="A24" t="s">
        <v>1237</v>
      </c>
      <c r="B24" t="s">
        <v>1236</v>
      </c>
      <c r="C24">
        <v>521</v>
      </c>
      <c r="D24" t="s">
        <v>3698</v>
      </c>
    </row>
    <row r="25" spans="1:4" x14ac:dyDescent="0.3">
      <c r="A25" t="s">
        <v>1044</v>
      </c>
      <c r="B25" t="s">
        <v>1049</v>
      </c>
      <c r="C25">
        <v>223</v>
      </c>
      <c r="D25" t="s">
        <v>3699</v>
      </c>
    </row>
    <row r="26" spans="1:4" x14ac:dyDescent="0.3">
      <c r="A26" t="s">
        <v>1237</v>
      </c>
      <c r="B26" t="s">
        <v>1244</v>
      </c>
      <c r="C26">
        <v>536</v>
      </c>
      <c r="D26" t="s">
        <v>3700</v>
      </c>
    </row>
    <row r="27" spans="1:4" x14ac:dyDescent="0.3">
      <c r="A27" t="s">
        <v>983</v>
      </c>
      <c r="B27" t="s">
        <v>982</v>
      </c>
      <c r="C27">
        <v>116</v>
      </c>
      <c r="D27" t="s">
        <v>3701</v>
      </c>
    </row>
    <row r="28" spans="1:4" x14ac:dyDescent="0.3">
      <c r="A28" t="s">
        <v>1030</v>
      </c>
      <c r="B28" t="s">
        <v>3702</v>
      </c>
      <c r="C28">
        <v>211</v>
      </c>
      <c r="D28" t="s">
        <v>3703</v>
      </c>
    </row>
    <row r="29" spans="1:4" x14ac:dyDescent="0.3">
      <c r="A29" t="s">
        <v>904</v>
      </c>
      <c r="B29" t="s">
        <v>903</v>
      </c>
      <c r="C29">
        <v>27</v>
      </c>
      <c r="D29" t="s">
        <v>3704</v>
      </c>
    </row>
    <row r="30" spans="1:4" x14ac:dyDescent="0.3">
      <c r="A30" t="s">
        <v>1340</v>
      </c>
      <c r="B30" t="s">
        <v>1525</v>
      </c>
      <c r="C30">
        <v>328</v>
      </c>
      <c r="D30" t="s">
        <v>3682</v>
      </c>
    </row>
    <row r="31" spans="1:4" x14ac:dyDescent="0.3">
      <c r="A31" t="s">
        <v>1124</v>
      </c>
      <c r="B31" t="s">
        <v>1124</v>
      </c>
      <c r="C31">
        <v>289</v>
      </c>
      <c r="D31" t="s">
        <v>3705</v>
      </c>
    </row>
    <row r="32" spans="1:4" x14ac:dyDescent="0.3">
      <c r="A32" t="s">
        <v>1328</v>
      </c>
      <c r="B32" t="s">
        <v>3706</v>
      </c>
      <c r="C32">
        <v>723</v>
      </c>
      <c r="D32" t="s">
        <v>3707</v>
      </c>
    </row>
    <row r="33" spans="1:4" x14ac:dyDescent="0.3">
      <c r="A33" t="s">
        <v>1006</v>
      </c>
      <c r="B33" t="s">
        <v>1006</v>
      </c>
      <c r="C33">
        <v>157</v>
      </c>
      <c r="D33" t="s">
        <v>3708</v>
      </c>
    </row>
    <row r="34" spans="1:4" x14ac:dyDescent="0.3">
      <c r="A34" t="s">
        <v>1005</v>
      </c>
      <c r="B34" t="s">
        <v>1005</v>
      </c>
      <c r="C34">
        <v>156</v>
      </c>
      <c r="D34" t="s">
        <v>3709</v>
      </c>
    </row>
    <row r="35" spans="1:4" x14ac:dyDescent="0.3">
      <c r="A35" t="s">
        <v>1105</v>
      </c>
      <c r="B35" t="s">
        <v>1105</v>
      </c>
      <c r="C35">
        <v>267</v>
      </c>
      <c r="D35" t="s">
        <v>3710</v>
      </c>
    </row>
    <row r="36" spans="1:4" x14ac:dyDescent="0.3">
      <c r="A36" t="s">
        <v>1161</v>
      </c>
      <c r="B36" t="s">
        <v>1199</v>
      </c>
      <c r="C36">
        <v>463</v>
      </c>
      <c r="D36" t="s">
        <v>3711</v>
      </c>
    </row>
    <row r="37" spans="1:4" x14ac:dyDescent="0.3">
      <c r="A37" t="s">
        <v>1044</v>
      </c>
      <c r="B37" t="s">
        <v>1048</v>
      </c>
      <c r="C37">
        <v>222</v>
      </c>
      <c r="D37" t="s">
        <v>3712</v>
      </c>
    </row>
    <row r="38" spans="1:4" x14ac:dyDescent="0.3">
      <c r="A38" t="s">
        <v>1161</v>
      </c>
      <c r="B38" t="s">
        <v>1264</v>
      </c>
      <c r="C38">
        <v>567</v>
      </c>
      <c r="D38" t="s">
        <v>3713</v>
      </c>
    </row>
    <row r="39" spans="1:4" x14ac:dyDescent="0.3">
      <c r="A39" t="s">
        <v>891</v>
      </c>
      <c r="B39" t="s">
        <v>890</v>
      </c>
      <c r="C39">
        <v>15</v>
      </c>
      <c r="D39" t="s">
        <v>3714</v>
      </c>
    </row>
    <row r="40" spans="1:4" x14ac:dyDescent="0.3">
      <c r="A40" t="s">
        <v>1028</v>
      </c>
      <c r="B40" t="s">
        <v>1027</v>
      </c>
      <c r="C40">
        <v>176</v>
      </c>
      <c r="D40" t="s">
        <v>3715</v>
      </c>
    </row>
    <row r="41" spans="1:4" x14ac:dyDescent="0.3">
      <c r="A41" t="s">
        <v>1161</v>
      </c>
      <c r="B41" t="s">
        <v>1183</v>
      </c>
      <c r="C41">
        <v>414</v>
      </c>
      <c r="D41" t="s">
        <v>3716</v>
      </c>
    </row>
    <row r="42" spans="1:4" x14ac:dyDescent="0.3">
      <c r="A42" t="s">
        <v>1030</v>
      </c>
      <c r="B42" t="s">
        <v>1029</v>
      </c>
      <c r="C42">
        <v>181</v>
      </c>
      <c r="D42" t="s">
        <v>3717</v>
      </c>
    </row>
    <row r="43" spans="1:4" x14ac:dyDescent="0.3">
      <c r="A43" t="s">
        <v>1161</v>
      </c>
      <c r="B43" t="s">
        <v>1160</v>
      </c>
      <c r="C43">
        <v>358</v>
      </c>
      <c r="D43" t="s">
        <v>3718</v>
      </c>
    </row>
    <row r="44" spans="1:4" x14ac:dyDescent="0.3">
      <c r="A44" t="s">
        <v>1161</v>
      </c>
      <c r="B44" t="s">
        <v>1187</v>
      </c>
      <c r="C44">
        <v>426</v>
      </c>
      <c r="D44" t="s">
        <v>3719</v>
      </c>
    </row>
    <row r="45" spans="1:4" x14ac:dyDescent="0.3">
      <c r="A45" t="s">
        <v>1161</v>
      </c>
      <c r="B45" t="s">
        <v>1173</v>
      </c>
      <c r="C45">
        <v>393</v>
      </c>
      <c r="D45" t="s">
        <v>3720</v>
      </c>
    </row>
    <row r="46" spans="1:4" x14ac:dyDescent="0.3">
      <c r="A46" t="s">
        <v>1237</v>
      </c>
      <c r="B46" t="s">
        <v>1242</v>
      </c>
      <c r="C46">
        <v>531</v>
      </c>
      <c r="D46" t="s">
        <v>3721</v>
      </c>
    </row>
    <row r="47" spans="1:4" x14ac:dyDescent="0.3">
      <c r="A47" t="s">
        <v>1237</v>
      </c>
      <c r="B47" t="s">
        <v>1241</v>
      </c>
      <c r="C47">
        <v>530</v>
      </c>
      <c r="D47" t="s">
        <v>3722</v>
      </c>
    </row>
    <row r="48" spans="1:4" x14ac:dyDescent="0.3">
      <c r="A48" t="s">
        <v>1044</v>
      </c>
      <c r="B48" t="s">
        <v>1046</v>
      </c>
      <c r="C48">
        <v>220</v>
      </c>
      <c r="D48" t="s">
        <v>3723</v>
      </c>
    </row>
    <row r="49" spans="1:4" x14ac:dyDescent="0.3">
      <c r="A49" t="s">
        <v>1161</v>
      </c>
      <c r="B49" t="s">
        <v>1177</v>
      </c>
      <c r="C49">
        <v>401</v>
      </c>
      <c r="D49" t="s">
        <v>3724</v>
      </c>
    </row>
    <row r="50" spans="1:4" x14ac:dyDescent="0.3">
      <c r="A50" t="s">
        <v>1161</v>
      </c>
      <c r="B50" t="s">
        <v>1175</v>
      </c>
      <c r="C50">
        <v>397</v>
      </c>
      <c r="D50" t="s">
        <v>3725</v>
      </c>
    </row>
    <row r="51" spans="1:4" x14ac:dyDescent="0.3">
      <c r="A51" t="s">
        <v>1274</v>
      </c>
      <c r="B51" t="s">
        <v>1274</v>
      </c>
      <c r="C51">
        <v>577</v>
      </c>
      <c r="D51" t="s">
        <v>3726</v>
      </c>
    </row>
    <row r="52" spans="1:4" x14ac:dyDescent="0.3">
      <c r="A52" t="s">
        <v>1161</v>
      </c>
      <c r="B52" t="s">
        <v>1176</v>
      </c>
      <c r="C52">
        <v>399</v>
      </c>
      <c r="D52" t="s">
        <v>3727</v>
      </c>
    </row>
    <row r="53" spans="1:4" x14ac:dyDescent="0.3">
      <c r="A53" t="s">
        <v>1161</v>
      </c>
      <c r="B53" t="s">
        <v>1181</v>
      </c>
      <c r="C53">
        <v>406</v>
      </c>
      <c r="D53" t="s">
        <v>3728</v>
      </c>
    </row>
    <row r="54" spans="1:4" x14ac:dyDescent="0.3">
      <c r="A54" t="s">
        <v>1328</v>
      </c>
      <c r="B54" t="s">
        <v>1322</v>
      </c>
      <c r="C54">
        <v>677</v>
      </c>
      <c r="D54" t="s">
        <v>3729</v>
      </c>
    </row>
    <row r="55" spans="1:4" x14ac:dyDescent="0.3">
      <c r="A55" t="s">
        <v>1161</v>
      </c>
      <c r="B55" t="s">
        <v>1182</v>
      </c>
      <c r="C55">
        <v>407</v>
      </c>
      <c r="D55" t="s">
        <v>3711</v>
      </c>
    </row>
    <row r="56" spans="1:4" x14ac:dyDescent="0.3">
      <c r="A56" t="s">
        <v>1220</v>
      </c>
      <c r="B56" t="s">
        <v>1219</v>
      </c>
      <c r="C56">
        <v>497</v>
      </c>
      <c r="D56" t="s">
        <v>3730</v>
      </c>
    </row>
    <row r="57" spans="1:4" x14ac:dyDescent="0.3">
      <c r="A57" t="s">
        <v>1161</v>
      </c>
      <c r="B57" t="s">
        <v>1164</v>
      </c>
      <c r="C57">
        <v>372</v>
      </c>
      <c r="D57" t="s">
        <v>3731</v>
      </c>
    </row>
    <row r="58" spans="1:4" x14ac:dyDescent="0.3">
      <c r="A58" t="s">
        <v>1161</v>
      </c>
      <c r="B58" t="s">
        <v>1193</v>
      </c>
      <c r="C58">
        <v>449</v>
      </c>
      <c r="D58" t="s">
        <v>3732</v>
      </c>
    </row>
    <row r="59" spans="1:4" x14ac:dyDescent="0.3">
      <c r="A59" t="s">
        <v>947</v>
      </c>
      <c r="B59" t="s">
        <v>947</v>
      </c>
      <c r="C59">
        <v>75</v>
      </c>
      <c r="D59" t="s">
        <v>3733</v>
      </c>
    </row>
    <row r="60" spans="1:4" x14ac:dyDescent="0.3">
      <c r="A60" t="s">
        <v>1161</v>
      </c>
      <c r="B60" t="s">
        <v>1188</v>
      </c>
      <c r="C60">
        <v>430</v>
      </c>
      <c r="D60" t="s">
        <v>3734</v>
      </c>
    </row>
    <row r="61" spans="1:4" x14ac:dyDescent="0.3">
      <c r="A61" t="s">
        <v>1161</v>
      </c>
      <c r="B61" t="s">
        <v>1178</v>
      </c>
      <c r="C61">
        <v>402</v>
      </c>
      <c r="D61" t="s">
        <v>3735</v>
      </c>
    </row>
    <row r="62" spans="1:4" x14ac:dyDescent="0.3">
      <c r="A62" t="s">
        <v>1161</v>
      </c>
      <c r="B62" t="s">
        <v>1184</v>
      </c>
      <c r="C62">
        <v>417</v>
      </c>
      <c r="D62" t="s">
        <v>3736</v>
      </c>
    </row>
    <row r="63" spans="1:4" x14ac:dyDescent="0.3">
      <c r="A63" t="s">
        <v>1161</v>
      </c>
      <c r="B63" t="s">
        <v>1174</v>
      </c>
      <c r="C63">
        <v>394</v>
      </c>
      <c r="D63" t="s">
        <v>3737</v>
      </c>
    </row>
    <row r="64" spans="1:4" x14ac:dyDescent="0.3">
      <c r="A64" t="s">
        <v>1237</v>
      </c>
      <c r="B64" t="s">
        <v>1238</v>
      </c>
      <c r="C64">
        <v>523</v>
      </c>
      <c r="D64" t="s">
        <v>3738</v>
      </c>
    </row>
    <row r="65" spans="1:4" x14ac:dyDescent="0.3">
      <c r="A65" t="s">
        <v>944</v>
      </c>
      <c r="B65" t="s">
        <v>943</v>
      </c>
      <c r="C65">
        <v>71</v>
      </c>
      <c r="D65" t="s">
        <v>3739</v>
      </c>
    </row>
    <row r="66" spans="1:4" x14ac:dyDescent="0.3">
      <c r="A66" t="s">
        <v>956</v>
      </c>
      <c r="B66" t="s">
        <v>955</v>
      </c>
      <c r="C66">
        <v>83</v>
      </c>
      <c r="D66" t="s">
        <v>3740</v>
      </c>
    </row>
    <row r="67" spans="1:4" x14ac:dyDescent="0.3">
      <c r="A67" t="s">
        <v>1061</v>
      </c>
      <c r="B67" t="s">
        <v>1060</v>
      </c>
      <c r="C67">
        <v>236</v>
      </c>
      <c r="D67" t="s">
        <v>3741</v>
      </c>
    </row>
    <row r="68" spans="1:4" x14ac:dyDescent="0.3">
      <c r="A68" t="s">
        <v>1161</v>
      </c>
      <c r="B68" t="s">
        <v>1165</v>
      </c>
      <c r="C68">
        <v>373</v>
      </c>
      <c r="D68" t="s">
        <v>3742</v>
      </c>
    </row>
    <row r="69" spans="1:4" x14ac:dyDescent="0.3">
      <c r="A69" t="s">
        <v>1228</v>
      </c>
      <c r="B69" t="s">
        <v>1217</v>
      </c>
      <c r="C69">
        <v>495</v>
      </c>
      <c r="D69" t="s">
        <v>3743</v>
      </c>
    </row>
    <row r="70" spans="1:4" x14ac:dyDescent="0.3">
      <c r="A70" t="s">
        <v>1362</v>
      </c>
      <c r="B70" t="s">
        <v>1361</v>
      </c>
      <c r="C70">
        <v>826</v>
      </c>
      <c r="D70" t="s">
        <v>3744</v>
      </c>
    </row>
    <row r="71" spans="1:4" x14ac:dyDescent="0.3">
      <c r="A71" t="s">
        <v>1168</v>
      </c>
      <c r="B71" t="s">
        <v>1167</v>
      </c>
      <c r="C71">
        <v>388</v>
      </c>
      <c r="D71" t="s">
        <v>3745</v>
      </c>
    </row>
    <row r="72" spans="1:4" x14ac:dyDescent="0.3">
      <c r="A72" t="s">
        <v>1161</v>
      </c>
      <c r="B72" t="s">
        <v>1185</v>
      </c>
      <c r="C72">
        <v>420</v>
      </c>
      <c r="D72" t="s">
        <v>3746</v>
      </c>
    </row>
    <row r="73" spans="1:4" x14ac:dyDescent="0.3">
      <c r="A73" t="s">
        <v>1030</v>
      </c>
      <c r="B73" t="s">
        <v>1038</v>
      </c>
      <c r="C73">
        <v>205</v>
      </c>
      <c r="D73" t="s">
        <v>3747</v>
      </c>
    </row>
    <row r="74" spans="1:4" x14ac:dyDescent="0.3">
      <c r="A74" t="s">
        <v>1161</v>
      </c>
      <c r="B74" t="s">
        <v>1162</v>
      </c>
      <c r="C74">
        <v>366</v>
      </c>
      <c r="D74" t="s">
        <v>3748</v>
      </c>
    </row>
    <row r="75" spans="1:4" x14ac:dyDescent="0.3">
      <c r="A75" t="s">
        <v>1210</v>
      </c>
      <c r="B75" t="s">
        <v>1210</v>
      </c>
      <c r="C75">
        <v>486</v>
      </c>
      <c r="D75" t="s">
        <v>3749</v>
      </c>
    </row>
    <row r="76" spans="1:4" x14ac:dyDescent="0.3">
      <c r="A76" t="s">
        <v>1044</v>
      </c>
      <c r="B76" t="s">
        <v>1198</v>
      </c>
      <c r="C76">
        <v>461</v>
      </c>
      <c r="D76" t="s">
        <v>3750</v>
      </c>
    </row>
    <row r="77" spans="1:4" x14ac:dyDescent="0.3">
      <c r="A77" t="s">
        <v>1030</v>
      </c>
      <c r="B77" t="s">
        <v>1033</v>
      </c>
      <c r="C77">
        <v>191</v>
      </c>
      <c r="D77" t="s">
        <v>3751</v>
      </c>
    </row>
    <row r="78" spans="1:4" x14ac:dyDescent="0.3">
      <c r="A78" t="s">
        <v>1326</v>
      </c>
      <c r="B78" t="s">
        <v>1325</v>
      </c>
      <c r="C78">
        <v>689</v>
      </c>
      <c r="D78" t="s">
        <v>3752</v>
      </c>
    </row>
    <row r="79" spans="1:4" x14ac:dyDescent="0.3">
      <c r="A79" t="s">
        <v>1237</v>
      </c>
      <c r="B79" t="s">
        <v>1281</v>
      </c>
      <c r="C79">
        <v>603</v>
      </c>
      <c r="D79" t="s">
        <v>3753</v>
      </c>
    </row>
    <row r="80" spans="1:4" x14ac:dyDescent="0.3">
      <c r="A80" t="s">
        <v>1224</v>
      </c>
      <c r="B80" t="s">
        <v>1223</v>
      </c>
      <c r="C80">
        <v>507</v>
      </c>
      <c r="D80" t="s">
        <v>3754</v>
      </c>
    </row>
    <row r="81" spans="1:4" x14ac:dyDescent="0.3">
      <c r="A81" t="s">
        <v>3755</v>
      </c>
      <c r="B81" t="s">
        <v>1070</v>
      </c>
      <c r="C81">
        <v>242</v>
      </c>
      <c r="D81" t="s">
        <v>3756</v>
      </c>
    </row>
    <row r="82" spans="1:4" x14ac:dyDescent="0.3">
      <c r="A82" t="s">
        <v>1030</v>
      </c>
      <c r="B82" t="s">
        <v>1036</v>
      </c>
      <c r="C82">
        <v>201</v>
      </c>
      <c r="D82" t="s">
        <v>3757</v>
      </c>
    </row>
    <row r="83" spans="1:4" x14ac:dyDescent="0.3">
      <c r="A83" t="s">
        <v>1032</v>
      </c>
      <c r="B83" t="s">
        <v>1031</v>
      </c>
      <c r="C83">
        <v>187</v>
      </c>
      <c r="D83" t="s">
        <v>3758</v>
      </c>
    </row>
    <row r="84" spans="1:4" x14ac:dyDescent="0.3">
      <c r="A84" t="s">
        <v>1111</v>
      </c>
      <c r="B84" t="s">
        <v>1110</v>
      </c>
      <c r="C84">
        <v>270</v>
      </c>
      <c r="D84" t="s">
        <v>3759</v>
      </c>
    </row>
    <row r="85" spans="1:4" x14ac:dyDescent="0.3">
      <c r="A85" t="s">
        <v>1161</v>
      </c>
      <c r="B85" t="s">
        <v>1250</v>
      </c>
      <c r="C85">
        <v>544</v>
      </c>
      <c r="D85" t="s">
        <v>3760</v>
      </c>
    </row>
    <row r="86" spans="1:4" x14ac:dyDescent="0.3">
      <c r="A86" t="s">
        <v>942</v>
      </c>
      <c r="B86" t="s">
        <v>967</v>
      </c>
      <c r="C86">
        <v>97</v>
      </c>
      <c r="D86" t="s">
        <v>2916</v>
      </c>
    </row>
    <row r="87" spans="1:4" x14ac:dyDescent="0.3">
      <c r="A87" t="s">
        <v>990</v>
      </c>
      <c r="B87" t="s">
        <v>989</v>
      </c>
      <c r="C87">
        <v>125</v>
      </c>
      <c r="D87" t="s">
        <v>3761</v>
      </c>
    </row>
    <row r="88" spans="1:4" x14ac:dyDescent="0.3">
      <c r="A88" t="s">
        <v>1313</v>
      </c>
      <c r="B88" t="s">
        <v>1312</v>
      </c>
      <c r="C88">
        <v>661</v>
      </c>
      <c r="D88" t="s">
        <v>3762</v>
      </c>
    </row>
    <row r="89" spans="1:4" x14ac:dyDescent="0.3">
      <c r="A89" t="s">
        <v>1079</v>
      </c>
      <c r="B89" t="s">
        <v>1078</v>
      </c>
      <c r="C89">
        <v>249</v>
      </c>
      <c r="D89" t="s">
        <v>3763</v>
      </c>
    </row>
    <row r="90" spans="1:4" x14ac:dyDescent="0.3">
      <c r="A90" t="s">
        <v>1161</v>
      </c>
      <c r="B90" t="s">
        <v>1189</v>
      </c>
      <c r="C90">
        <v>446</v>
      </c>
      <c r="D90" t="s">
        <v>3764</v>
      </c>
    </row>
    <row r="91" spans="1:4" x14ac:dyDescent="0.3">
      <c r="A91" t="s">
        <v>1271</v>
      </c>
      <c r="B91" t="s">
        <v>1270</v>
      </c>
      <c r="C91">
        <v>574</v>
      </c>
      <c r="D91" t="s">
        <v>3765</v>
      </c>
    </row>
    <row r="92" spans="1:4" x14ac:dyDescent="0.3">
      <c r="A92" t="s">
        <v>998</v>
      </c>
      <c r="B92" t="s">
        <v>997</v>
      </c>
      <c r="C92">
        <v>136</v>
      </c>
      <c r="D92" t="s">
        <v>3766</v>
      </c>
    </row>
    <row r="93" spans="1:4" x14ac:dyDescent="0.3">
      <c r="A93" t="s">
        <v>998</v>
      </c>
      <c r="B93" t="s">
        <v>998</v>
      </c>
      <c r="C93">
        <v>137</v>
      </c>
      <c r="D93" t="s">
        <v>3767</v>
      </c>
    </row>
    <row r="94" spans="1:4" x14ac:dyDescent="0.3">
      <c r="A94" t="s">
        <v>1352</v>
      </c>
      <c r="B94" t="s">
        <v>1351</v>
      </c>
      <c r="C94">
        <v>782</v>
      </c>
      <c r="D94" t="s">
        <v>3768</v>
      </c>
    </row>
    <row r="95" spans="1:4" x14ac:dyDescent="0.3">
      <c r="A95" t="s">
        <v>1044</v>
      </c>
      <c r="B95" t="s">
        <v>1045</v>
      </c>
      <c r="C95">
        <v>217</v>
      </c>
      <c r="D95" t="s">
        <v>3769</v>
      </c>
    </row>
    <row r="96" spans="1:4" x14ac:dyDescent="0.3">
      <c r="A96" t="s">
        <v>1100</v>
      </c>
      <c r="B96" t="s">
        <v>1103</v>
      </c>
      <c r="C96">
        <v>265</v>
      </c>
      <c r="D96" t="s">
        <v>3770</v>
      </c>
    </row>
    <row r="97" spans="1:4" x14ac:dyDescent="0.3">
      <c r="A97" t="s">
        <v>1307</v>
      </c>
      <c r="B97" t="s">
        <v>1306</v>
      </c>
      <c r="C97">
        <v>656</v>
      </c>
      <c r="D97" t="s">
        <v>3771</v>
      </c>
    </row>
    <row r="98" spans="1:4" x14ac:dyDescent="0.3">
      <c r="A98" t="s">
        <v>1087</v>
      </c>
      <c r="B98" t="s">
        <v>1086</v>
      </c>
      <c r="C98">
        <v>254</v>
      </c>
      <c r="D98" t="s">
        <v>3772</v>
      </c>
    </row>
    <row r="99" spans="1:4" x14ac:dyDescent="0.3">
      <c r="A99" t="s">
        <v>1087</v>
      </c>
      <c r="B99" t="s">
        <v>1088</v>
      </c>
      <c r="C99">
        <v>257</v>
      </c>
      <c r="D99" t="s">
        <v>3772</v>
      </c>
    </row>
    <row r="100" spans="1:4" x14ac:dyDescent="0.3">
      <c r="A100" t="s">
        <v>1087</v>
      </c>
      <c r="B100" t="s">
        <v>1087</v>
      </c>
      <c r="C100">
        <v>256</v>
      </c>
      <c r="D100" t="s">
        <v>3772</v>
      </c>
    </row>
    <row r="101" spans="1:4" x14ac:dyDescent="0.3">
      <c r="A101" t="s">
        <v>1354</v>
      </c>
      <c r="B101" t="s">
        <v>1354</v>
      </c>
      <c r="C101">
        <v>789</v>
      </c>
      <c r="D101" t="s">
        <v>3773</v>
      </c>
    </row>
    <row r="102" spans="1:4" x14ac:dyDescent="0.3">
      <c r="A102" t="s">
        <v>988</v>
      </c>
      <c r="B102" t="s">
        <v>988</v>
      </c>
      <c r="C102">
        <v>122</v>
      </c>
      <c r="D102" t="s">
        <v>3774</v>
      </c>
    </row>
    <row r="103" spans="1:4" x14ac:dyDescent="0.3">
      <c r="A103" t="s">
        <v>1237</v>
      </c>
      <c r="B103" t="s">
        <v>1268</v>
      </c>
      <c r="C103">
        <v>571</v>
      </c>
      <c r="D103" t="s">
        <v>3187</v>
      </c>
    </row>
    <row r="104" spans="1:4" x14ac:dyDescent="0.3">
      <c r="A104" t="s">
        <v>1161</v>
      </c>
      <c r="B104" t="s">
        <v>1163</v>
      </c>
      <c r="C104">
        <v>367</v>
      </c>
      <c r="D104" t="s">
        <v>3775</v>
      </c>
    </row>
    <row r="105" spans="1:4" x14ac:dyDescent="0.3">
      <c r="A105" t="s">
        <v>1237</v>
      </c>
      <c r="B105" t="s">
        <v>1269</v>
      </c>
      <c r="C105">
        <v>572</v>
      </c>
      <c r="D105" t="s">
        <v>3776</v>
      </c>
    </row>
    <row r="106" spans="1:4" x14ac:dyDescent="0.3">
      <c r="A106" t="s">
        <v>942</v>
      </c>
      <c r="B106" t="s">
        <v>970</v>
      </c>
      <c r="C106">
        <v>101</v>
      </c>
      <c r="D106" t="s">
        <v>3777</v>
      </c>
    </row>
    <row r="107" spans="1:4" x14ac:dyDescent="0.3">
      <c r="A107" t="s">
        <v>942</v>
      </c>
      <c r="B107" t="s">
        <v>3778</v>
      </c>
      <c r="C107">
        <v>108</v>
      </c>
      <c r="D107" t="s">
        <v>3779</v>
      </c>
    </row>
    <row r="108" spans="1:4" x14ac:dyDescent="0.3">
      <c r="A108" t="s">
        <v>1356</v>
      </c>
      <c r="B108" t="s">
        <v>1360</v>
      </c>
      <c r="C108">
        <v>821</v>
      </c>
      <c r="D108" t="s">
        <v>3780</v>
      </c>
    </row>
    <row r="109" spans="1:4" x14ac:dyDescent="0.3">
      <c r="A109" t="s">
        <v>1345</v>
      </c>
      <c r="B109" t="s">
        <v>1346</v>
      </c>
      <c r="C109">
        <v>773</v>
      </c>
      <c r="D109" t="s">
        <v>3781</v>
      </c>
    </row>
    <row r="110" spans="1:4" x14ac:dyDescent="0.3">
      <c r="A110" t="s">
        <v>1030</v>
      </c>
      <c r="B110" t="s">
        <v>1039</v>
      </c>
      <c r="C110">
        <v>210</v>
      </c>
      <c r="D110" t="s">
        <v>3782</v>
      </c>
    </row>
    <row r="111" spans="1:4" x14ac:dyDescent="0.3">
      <c r="A111" t="s">
        <v>1319</v>
      </c>
      <c r="B111" t="s">
        <v>1320</v>
      </c>
      <c r="C111">
        <v>671</v>
      </c>
      <c r="D111" t="s">
        <v>3783</v>
      </c>
    </row>
    <row r="112" spans="1:4" x14ac:dyDescent="0.3">
      <c r="A112" t="s">
        <v>1100</v>
      </c>
      <c r="B112" t="s">
        <v>1156</v>
      </c>
      <c r="C112">
        <v>339</v>
      </c>
      <c r="D112" t="s">
        <v>3784</v>
      </c>
    </row>
    <row r="113" spans="1:4" x14ac:dyDescent="0.3">
      <c r="A113" t="s">
        <v>1237</v>
      </c>
      <c r="B113" t="s">
        <v>1280</v>
      </c>
      <c r="C113">
        <v>600</v>
      </c>
      <c r="D113" t="s">
        <v>3785</v>
      </c>
    </row>
    <row r="114" spans="1:4" x14ac:dyDescent="0.3">
      <c r="A114" t="s">
        <v>1328</v>
      </c>
      <c r="B114" t="s">
        <v>1336</v>
      </c>
      <c r="C114">
        <v>748</v>
      </c>
      <c r="D114" t="s">
        <v>3786</v>
      </c>
    </row>
    <row r="115" spans="1:4" x14ac:dyDescent="0.3">
      <c r="A115" t="s">
        <v>1100</v>
      </c>
      <c r="B115" t="s">
        <v>1121</v>
      </c>
      <c r="C115">
        <v>280</v>
      </c>
      <c r="D115" t="s">
        <v>3787</v>
      </c>
    </row>
    <row r="116" spans="1:4" x14ac:dyDescent="0.3">
      <c r="A116" t="s">
        <v>1030</v>
      </c>
      <c r="B116" t="s">
        <v>1186</v>
      </c>
      <c r="C116">
        <v>423</v>
      </c>
      <c r="D116" t="s">
        <v>3788</v>
      </c>
    </row>
    <row r="117" spans="1:4" x14ac:dyDescent="0.3">
      <c r="A117" t="s">
        <v>1319</v>
      </c>
      <c r="B117" t="s">
        <v>1318</v>
      </c>
      <c r="C117">
        <v>667</v>
      </c>
      <c r="D117" t="s">
        <v>3789</v>
      </c>
    </row>
    <row r="118" spans="1:4" x14ac:dyDescent="0.3">
      <c r="A118" t="s">
        <v>1044</v>
      </c>
      <c r="B118" t="s">
        <v>1117</v>
      </c>
      <c r="C118">
        <v>275</v>
      </c>
      <c r="D118" t="s">
        <v>3790</v>
      </c>
    </row>
    <row r="119" spans="1:4" x14ac:dyDescent="0.3">
      <c r="A119" t="s">
        <v>1044</v>
      </c>
      <c r="B119" t="s">
        <v>1051</v>
      </c>
      <c r="C119">
        <v>225</v>
      </c>
      <c r="D119" t="s">
        <v>3791</v>
      </c>
    </row>
    <row r="120" spans="1:4" x14ac:dyDescent="0.3">
      <c r="A120" t="s">
        <v>1237</v>
      </c>
      <c r="B120" t="s">
        <v>1254</v>
      </c>
      <c r="C120">
        <v>552</v>
      </c>
      <c r="D120" t="s">
        <v>3792</v>
      </c>
    </row>
    <row r="121" spans="1:4" x14ac:dyDescent="0.3">
      <c r="A121" t="s">
        <v>1030</v>
      </c>
      <c r="B121" t="s">
        <v>1034</v>
      </c>
      <c r="C121">
        <v>195</v>
      </c>
      <c r="D121" t="s">
        <v>3793</v>
      </c>
    </row>
    <row r="122" spans="1:4" x14ac:dyDescent="0.3">
      <c r="A122" t="s">
        <v>1237</v>
      </c>
      <c r="B122" t="s">
        <v>1253</v>
      </c>
      <c r="C122">
        <v>550</v>
      </c>
      <c r="D122" t="s">
        <v>3794</v>
      </c>
    </row>
    <row r="123" spans="1:4" x14ac:dyDescent="0.3">
      <c r="A123" t="s">
        <v>1237</v>
      </c>
      <c r="B123" t="s">
        <v>1279</v>
      </c>
      <c r="C123">
        <v>592</v>
      </c>
      <c r="D123" t="s">
        <v>3795</v>
      </c>
    </row>
    <row r="124" spans="1:4" x14ac:dyDescent="0.3">
      <c r="A124" t="s">
        <v>1100</v>
      </c>
      <c r="B124" t="s">
        <v>1129</v>
      </c>
      <c r="C124">
        <v>292</v>
      </c>
      <c r="D124" t="s">
        <v>3796</v>
      </c>
    </row>
    <row r="125" spans="1:4" x14ac:dyDescent="0.3">
      <c r="A125" t="s">
        <v>1237</v>
      </c>
      <c r="B125" t="s">
        <v>1277</v>
      </c>
      <c r="C125">
        <v>587</v>
      </c>
      <c r="D125" t="s">
        <v>3797</v>
      </c>
    </row>
    <row r="126" spans="1:4" x14ac:dyDescent="0.3">
      <c r="A126" t="s">
        <v>1237</v>
      </c>
      <c r="B126" t="s">
        <v>1251</v>
      </c>
      <c r="C126">
        <v>547</v>
      </c>
      <c r="D126" t="s">
        <v>3798</v>
      </c>
    </row>
    <row r="127" spans="1:4" x14ac:dyDescent="0.3">
      <c r="A127" t="s">
        <v>942</v>
      </c>
      <c r="B127" t="s">
        <v>960</v>
      </c>
      <c r="C127">
        <v>89</v>
      </c>
      <c r="D127" t="s">
        <v>3799</v>
      </c>
    </row>
    <row r="128" spans="1:4" x14ac:dyDescent="0.3">
      <c r="A128" t="s">
        <v>1237</v>
      </c>
      <c r="B128" t="s">
        <v>1252</v>
      </c>
      <c r="C128">
        <v>549</v>
      </c>
      <c r="D128" t="s">
        <v>3800</v>
      </c>
    </row>
    <row r="129" spans="1:4" x14ac:dyDescent="0.3">
      <c r="A129" t="s">
        <v>942</v>
      </c>
      <c r="B129" t="s">
        <v>971</v>
      </c>
      <c r="C129">
        <v>103</v>
      </c>
      <c r="D129" t="s">
        <v>3801</v>
      </c>
    </row>
    <row r="130" spans="1:4" x14ac:dyDescent="0.3">
      <c r="A130" t="s">
        <v>1352</v>
      </c>
      <c r="B130" t="s">
        <v>1348</v>
      </c>
      <c r="C130">
        <v>777</v>
      </c>
      <c r="D130" t="s">
        <v>3802</v>
      </c>
    </row>
    <row r="131" spans="1:4" x14ac:dyDescent="0.3">
      <c r="A131" t="s">
        <v>1100</v>
      </c>
      <c r="B131" t="s">
        <v>1133</v>
      </c>
      <c r="C131">
        <v>296</v>
      </c>
      <c r="D131" t="s">
        <v>3803</v>
      </c>
    </row>
    <row r="132" spans="1:4" x14ac:dyDescent="0.3">
      <c r="A132" t="s">
        <v>1237</v>
      </c>
      <c r="B132" t="s">
        <v>1255</v>
      </c>
      <c r="C132">
        <v>554</v>
      </c>
      <c r="D132" t="s">
        <v>3804</v>
      </c>
    </row>
    <row r="133" spans="1:4" x14ac:dyDescent="0.3">
      <c r="A133" t="s">
        <v>1030</v>
      </c>
      <c r="B133" t="s">
        <v>1035</v>
      </c>
      <c r="C133">
        <v>197</v>
      </c>
      <c r="D133" t="s">
        <v>3805</v>
      </c>
    </row>
    <row r="134" spans="1:4" x14ac:dyDescent="0.3">
      <c r="A134" t="s">
        <v>1212</v>
      </c>
      <c r="B134" t="s">
        <v>1211</v>
      </c>
      <c r="C134">
        <v>489</v>
      </c>
      <c r="D134" t="s">
        <v>3806</v>
      </c>
    </row>
    <row r="135" spans="1:4" x14ac:dyDescent="0.3">
      <c r="A135" t="s">
        <v>1044</v>
      </c>
      <c r="B135" t="s">
        <v>1052</v>
      </c>
      <c r="C135">
        <v>226</v>
      </c>
      <c r="D135" t="s">
        <v>3807</v>
      </c>
    </row>
    <row r="136" spans="1:4" x14ac:dyDescent="0.3">
      <c r="A136" t="s">
        <v>1079</v>
      </c>
      <c r="B136" t="s">
        <v>1359</v>
      </c>
      <c r="C136">
        <v>813</v>
      </c>
      <c r="D136" t="s">
        <v>3763</v>
      </c>
    </row>
    <row r="137" spans="1:4" x14ac:dyDescent="0.3">
      <c r="A137" t="s">
        <v>1328</v>
      </c>
      <c r="B137" t="s">
        <v>1333</v>
      </c>
      <c r="C137">
        <v>720</v>
      </c>
      <c r="D137" t="s">
        <v>3808</v>
      </c>
    </row>
    <row r="138" spans="1:4" x14ac:dyDescent="0.3">
      <c r="A138" t="s">
        <v>1350</v>
      </c>
      <c r="B138" t="s">
        <v>1350</v>
      </c>
      <c r="C138">
        <v>780</v>
      </c>
      <c r="D138" t="s">
        <v>3809</v>
      </c>
    </row>
    <row r="139" spans="1:4" x14ac:dyDescent="0.3">
      <c r="A139" t="s">
        <v>1367</v>
      </c>
      <c r="B139" t="s">
        <v>1366</v>
      </c>
      <c r="C139">
        <v>836</v>
      </c>
      <c r="D139" t="s">
        <v>3810</v>
      </c>
    </row>
    <row r="140" spans="1:4" x14ac:dyDescent="0.3">
      <c r="A140" t="s">
        <v>1003</v>
      </c>
      <c r="B140" t="s">
        <v>3811</v>
      </c>
      <c r="C140">
        <v>161</v>
      </c>
      <c r="D140" t="s">
        <v>3812</v>
      </c>
    </row>
    <row r="141" spans="1:4" x14ac:dyDescent="0.3">
      <c r="A141" t="s">
        <v>996</v>
      </c>
      <c r="B141" t="s">
        <v>1196</v>
      </c>
      <c r="C141">
        <v>459</v>
      </c>
      <c r="D141" t="s">
        <v>3813</v>
      </c>
    </row>
    <row r="142" spans="1:4" x14ac:dyDescent="0.3">
      <c r="A142" t="s">
        <v>996</v>
      </c>
      <c r="B142" t="s">
        <v>3814</v>
      </c>
      <c r="C142">
        <v>149</v>
      </c>
      <c r="D142" t="s">
        <v>3815</v>
      </c>
    </row>
    <row r="143" spans="1:4" x14ac:dyDescent="0.3">
      <c r="A143" t="s">
        <v>998</v>
      </c>
      <c r="B143" t="s">
        <v>995</v>
      </c>
      <c r="C143">
        <v>135</v>
      </c>
      <c r="D143" t="s">
        <v>3816</v>
      </c>
    </row>
    <row r="144" spans="1:4" x14ac:dyDescent="0.3">
      <c r="A144" t="s">
        <v>942</v>
      </c>
      <c r="B144" t="s">
        <v>964</v>
      </c>
      <c r="C144">
        <v>94</v>
      </c>
      <c r="D144" t="s">
        <v>3817</v>
      </c>
    </row>
    <row r="145" spans="1:4" x14ac:dyDescent="0.3">
      <c r="A145" t="s">
        <v>1044</v>
      </c>
      <c r="B145" t="s">
        <v>1099</v>
      </c>
      <c r="C145">
        <v>263</v>
      </c>
      <c r="D145" t="s">
        <v>3818</v>
      </c>
    </row>
    <row r="146" spans="1:4" x14ac:dyDescent="0.3">
      <c r="A146" t="s">
        <v>1044</v>
      </c>
      <c r="B146" t="s">
        <v>1050</v>
      </c>
      <c r="C146">
        <v>224</v>
      </c>
      <c r="D146" t="s">
        <v>3819</v>
      </c>
    </row>
    <row r="147" spans="1:4" x14ac:dyDescent="0.3">
      <c r="A147" t="s">
        <v>1324</v>
      </c>
      <c r="B147" t="s">
        <v>1323</v>
      </c>
      <c r="C147">
        <v>687</v>
      </c>
      <c r="D147" t="s">
        <v>3820</v>
      </c>
    </row>
    <row r="148" spans="1:4" x14ac:dyDescent="0.3">
      <c r="A148" t="s">
        <v>1328</v>
      </c>
      <c r="B148" t="s">
        <v>1331</v>
      </c>
      <c r="C148">
        <v>702</v>
      </c>
      <c r="D148" t="s">
        <v>3821</v>
      </c>
    </row>
    <row r="149" spans="1:4" x14ac:dyDescent="0.3">
      <c r="A149" t="s">
        <v>1044</v>
      </c>
      <c r="B149" t="s">
        <v>1043</v>
      </c>
      <c r="C149">
        <v>216</v>
      </c>
      <c r="D149" t="s">
        <v>3822</v>
      </c>
    </row>
    <row r="150" spans="1:4" x14ac:dyDescent="0.3">
      <c r="A150" t="s">
        <v>1328</v>
      </c>
      <c r="B150" t="s">
        <v>1338</v>
      </c>
      <c r="C150">
        <v>754</v>
      </c>
      <c r="D150" t="s">
        <v>3823</v>
      </c>
    </row>
    <row r="151" spans="1:4" x14ac:dyDescent="0.3">
      <c r="A151" t="s">
        <v>942</v>
      </c>
      <c r="B151" t="s">
        <v>963</v>
      </c>
      <c r="C151">
        <v>92</v>
      </c>
      <c r="D151" t="s">
        <v>3824</v>
      </c>
    </row>
    <row r="152" spans="1:4" x14ac:dyDescent="0.3">
      <c r="A152" t="s">
        <v>1237</v>
      </c>
      <c r="B152" t="s">
        <v>1278</v>
      </c>
      <c r="C152">
        <v>591</v>
      </c>
      <c r="D152" t="s">
        <v>3825</v>
      </c>
    </row>
    <row r="153" spans="1:4" x14ac:dyDescent="0.3">
      <c r="A153" t="s">
        <v>1367</v>
      </c>
      <c r="B153" t="s">
        <v>3826</v>
      </c>
      <c r="C153">
        <v>839</v>
      </c>
      <c r="D153" t="s">
        <v>3810</v>
      </c>
    </row>
    <row r="154" spans="1:4" x14ac:dyDescent="0.3">
      <c r="A154" t="s">
        <v>1345</v>
      </c>
      <c r="B154" t="s">
        <v>1353</v>
      </c>
      <c r="C154">
        <v>788</v>
      </c>
      <c r="D154" t="s">
        <v>3827</v>
      </c>
    </row>
    <row r="155" spans="1:4" x14ac:dyDescent="0.3">
      <c r="A155" t="s">
        <v>1100</v>
      </c>
      <c r="B155" t="s">
        <v>1153</v>
      </c>
      <c r="C155">
        <v>336</v>
      </c>
      <c r="D155" t="s">
        <v>3828</v>
      </c>
    </row>
    <row r="156" spans="1:4" x14ac:dyDescent="0.3">
      <c r="A156" t="s">
        <v>1100</v>
      </c>
      <c r="B156" t="s">
        <v>1136</v>
      </c>
      <c r="C156">
        <v>299</v>
      </c>
      <c r="D156" t="s">
        <v>3829</v>
      </c>
    </row>
    <row r="157" spans="1:4" x14ac:dyDescent="0.3">
      <c r="A157" t="s">
        <v>1030</v>
      </c>
      <c r="B157" t="s">
        <v>1037</v>
      </c>
      <c r="C157">
        <v>203</v>
      </c>
      <c r="D157" t="s">
        <v>3830</v>
      </c>
    </row>
    <row r="158" spans="1:4" x14ac:dyDescent="0.3">
      <c r="A158" t="s">
        <v>1328</v>
      </c>
      <c r="B158" t="s">
        <v>3831</v>
      </c>
      <c r="C158">
        <v>693</v>
      </c>
      <c r="D158" t="s">
        <v>3832</v>
      </c>
    </row>
    <row r="159" spans="1:4" x14ac:dyDescent="0.3">
      <c r="A159" t="s">
        <v>1330</v>
      </c>
      <c r="B159" t="s">
        <v>1330</v>
      </c>
      <c r="C159">
        <v>698</v>
      </c>
      <c r="D159" t="s">
        <v>3833</v>
      </c>
    </row>
    <row r="160" spans="1:4" x14ac:dyDescent="0.3">
      <c r="A160" t="s">
        <v>1237</v>
      </c>
      <c r="B160" t="s">
        <v>1137</v>
      </c>
      <c r="C160">
        <v>305</v>
      </c>
      <c r="D160" t="s">
        <v>3685</v>
      </c>
    </row>
    <row r="161" spans="1:4" x14ac:dyDescent="0.3">
      <c r="A161" t="s">
        <v>1328</v>
      </c>
      <c r="B161" t="s">
        <v>1327</v>
      </c>
      <c r="C161">
        <v>692</v>
      </c>
      <c r="D161" t="s">
        <v>3834</v>
      </c>
    </row>
    <row r="162" spans="1:4" x14ac:dyDescent="0.3">
      <c r="A162" t="s">
        <v>1356</v>
      </c>
      <c r="B162" t="s">
        <v>1355</v>
      </c>
      <c r="C162">
        <v>800</v>
      </c>
      <c r="D162" t="s">
        <v>3835</v>
      </c>
    </row>
    <row r="163" spans="1:4" x14ac:dyDescent="0.3">
      <c r="A163" t="s">
        <v>990</v>
      </c>
      <c r="B163" t="s">
        <v>1166</v>
      </c>
      <c r="C163">
        <v>378</v>
      </c>
      <c r="D163" t="s">
        <v>3761</v>
      </c>
    </row>
    <row r="164" spans="1:4" x14ac:dyDescent="0.3">
      <c r="A164" t="s">
        <v>1358</v>
      </c>
      <c r="B164" t="s">
        <v>1357</v>
      </c>
      <c r="C164">
        <v>809</v>
      </c>
      <c r="D164" t="s">
        <v>3836</v>
      </c>
    </row>
    <row r="165" spans="1:4" x14ac:dyDescent="0.3">
      <c r="A165" t="s">
        <v>1345</v>
      </c>
      <c r="B165" t="s">
        <v>1349</v>
      </c>
      <c r="C165">
        <v>778</v>
      </c>
      <c r="D165" t="s">
        <v>3837</v>
      </c>
    </row>
    <row r="166" spans="1:4" x14ac:dyDescent="0.3">
      <c r="A166" t="s">
        <v>1345</v>
      </c>
      <c r="B166" t="s">
        <v>1140</v>
      </c>
      <c r="C166">
        <v>310</v>
      </c>
      <c r="D166" t="s">
        <v>3837</v>
      </c>
    </row>
    <row r="167" spans="1:4" x14ac:dyDescent="0.3">
      <c r="A167" t="s">
        <v>1100</v>
      </c>
      <c r="B167" t="s">
        <v>1141</v>
      </c>
      <c r="C167">
        <v>311</v>
      </c>
      <c r="D167" t="s">
        <v>3838</v>
      </c>
    </row>
    <row r="168" spans="1:4" x14ac:dyDescent="0.3">
      <c r="A168" t="s">
        <v>1100</v>
      </c>
      <c r="B168" t="s">
        <v>1119</v>
      </c>
      <c r="C168">
        <v>277</v>
      </c>
      <c r="D168" t="s">
        <v>3784</v>
      </c>
    </row>
    <row r="169" spans="1:4" x14ac:dyDescent="0.3">
      <c r="A169" t="s">
        <v>1237</v>
      </c>
      <c r="B169" t="s">
        <v>1249</v>
      </c>
      <c r="C169">
        <v>542</v>
      </c>
      <c r="D169" t="s">
        <v>3685</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83F1D-1429-4FCF-BCEB-70FA12DFA795}">
  <dimension ref="A1:E130"/>
  <sheetViews>
    <sheetView topLeftCell="A92" workbookViewId="0">
      <selection activeCell="E126" sqref="E126"/>
    </sheetView>
  </sheetViews>
  <sheetFormatPr defaultColWidth="10.77734375" defaultRowHeight="14.4" x14ac:dyDescent="0.3"/>
  <cols>
    <col min="2" max="2" width="52.77734375" customWidth="1"/>
    <col min="3" max="3" width="36.77734375" customWidth="1"/>
  </cols>
  <sheetData>
    <row r="1" spans="1:5" x14ac:dyDescent="0.3">
      <c r="A1" s="139" t="s">
        <v>3839</v>
      </c>
      <c r="B1" s="139" t="s">
        <v>3840</v>
      </c>
      <c r="C1" s="139" t="s">
        <v>3841</v>
      </c>
      <c r="D1" s="139" t="s">
        <v>3499</v>
      </c>
      <c r="E1" s="139" t="s">
        <v>3842</v>
      </c>
    </row>
    <row r="2" spans="1:5" x14ac:dyDescent="0.3">
      <c r="A2" t="s">
        <v>3843</v>
      </c>
      <c r="B2" t="s">
        <v>3844</v>
      </c>
      <c r="C2" t="s">
        <v>3844</v>
      </c>
      <c r="D2">
        <v>116</v>
      </c>
      <c r="E2" t="s">
        <v>982</v>
      </c>
    </row>
    <row r="3" spans="1:5" x14ac:dyDescent="0.3">
      <c r="A3" t="s">
        <v>3845</v>
      </c>
      <c r="B3" t="s">
        <v>3846</v>
      </c>
      <c r="C3" t="s">
        <v>3846</v>
      </c>
      <c r="D3">
        <v>388</v>
      </c>
      <c r="E3" t="s">
        <v>1167</v>
      </c>
    </row>
    <row r="4" spans="1:5" x14ac:dyDescent="0.3">
      <c r="A4" t="s">
        <v>3847</v>
      </c>
      <c r="B4" t="s">
        <v>3848</v>
      </c>
      <c r="C4" t="s">
        <v>3848</v>
      </c>
      <c r="D4">
        <v>402</v>
      </c>
      <c r="E4" t="s">
        <v>1178</v>
      </c>
    </row>
    <row r="5" spans="1:5" x14ac:dyDescent="0.3">
      <c r="A5" t="s">
        <v>3847</v>
      </c>
      <c r="B5" t="s">
        <v>3848</v>
      </c>
      <c r="C5" t="s">
        <v>3848</v>
      </c>
      <c r="D5">
        <v>406</v>
      </c>
      <c r="E5" t="s">
        <v>1181</v>
      </c>
    </row>
    <row r="6" spans="1:5" x14ac:dyDescent="0.3">
      <c r="A6" t="s">
        <v>3847</v>
      </c>
      <c r="B6" t="s">
        <v>3848</v>
      </c>
      <c r="C6" t="s">
        <v>3848</v>
      </c>
      <c r="D6">
        <v>407</v>
      </c>
      <c r="E6" t="s">
        <v>1182</v>
      </c>
    </row>
    <row r="7" spans="1:5" x14ac:dyDescent="0.3">
      <c r="A7" t="s">
        <v>3849</v>
      </c>
      <c r="B7" t="s">
        <v>3850</v>
      </c>
      <c r="C7" t="s">
        <v>3850</v>
      </c>
      <c r="D7">
        <v>358</v>
      </c>
      <c r="E7" t="s">
        <v>1160</v>
      </c>
    </row>
    <row r="8" spans="1:5" x14ac:dyDescent="0.3">
      <c r="A8" t="s">
        <v>3849</v>
      </c>
      <c r="B8" t="s">
        <v>3850</v>
      </c>
      <c r="C8" t="s">
        <v>3850</v>
      </c>
      <c r="D8">
        <v>393</v>
      </c>
      <c r="E8" t="s">
        <v>1173</v>
      </c>
    </row>
    <row r="9" spans="1:5" x14ac:dyDescent="0.3">
      <c r="A9" t="s">
        <v>3851</v>
      </c>
      <c r="B9" t="s">
        <v>3852</v>
      </c>
      <c r="C9" t="s">
        <v>3853</v>
      </c>
      <c r="D9">
        <v>372</v>
      </c>
      <c r="E9" t="s">
        <v>1164</v>
      </c>
    </row>
    <row r="10" spans="1:5" x14ac:dyDescent="0.3">
      <c r="A10" t="s">
        <v>3854</v>
      </c>
      <c r="B10" t="s">
        <v>3855</v>
      </c>
      <c r="C10" t="s">
        <v>3855</v>
      </c>
      <c r="D10">
        <v>426</v>
      </c>
      <c r="E10" t="s">
        <v>1187</v>
      </c>
    </row>
    <row r="11" spans="1:5" x14ac:dyDescent="0.3">
      <c r="A11" t="s">
        <v>3856</v>
      </c>
      <c r="B11" t="s">
        <v>3857</v>
      </c>
      <c r="C11" t="s">
        <v>3857</v>
      </c>
      <c r="D11">
        <v>397</v>
      </c>
      <c r="E11" t="s">
        <v>1175</v>
      </c>
    </row>
    <row r="12" spans="1:5" x14ac:dyDescent="0.3">
      <c r="A12" t="s">
        <v>3858</v>
      </c>
      <c r="B12" t="s">
        <v>3859</v>
      </c>
      <c r="C12" t="s">
        <v>3859</v>
      </c>
      <c r="D12">
        <v>191</v>
      </c>
      <c r="E12" t="s">
        <v>1033</v>
      </c>
    </row>
    <row r="13" spans="1:5" x14ac:dyDescent="0.3">
      <c r="A13" t="s">
        <v>3858</v>
      </c>
      <c r="B13" t="s">
        <v>3859</v>
      </c>
      <c r="C13" t="s">
        <v>3859</v>
      </c>
      <c r="D13">
        <v>197</v>
      </c>
      <c r="E13" t="s">
        <v>1035</v>
      </c>
    </row>
    <row r="14" spans="1:5" x14ac:dyDescent="0.3">
      <c r="A14" t="s">
        <v>3858</v>
      </c>
      <c r="B14" t="s">
        <v>3859</v>
      </c>
      <c r="C14" t="s">
        <v>3859</v>
      </c>
      <c r="D14">
        <v>201</v>
      </c>
      <c r="E14" t="s">
        <v>1036</v>
      </c>
    </row>
    <row r="15" spans="1:5" x14ac:dyDescent="0.3">
      <c r="A15" t="s">
        <v>3858</v>
      </c>
      <c r="B15" t="s">
        <v>3859</v>
      </c>
      <c r="C15" t="s">
        <v>3859</v>
      </c>
      <c r="D15">
        <v>203</v>
      </c>
      <c r="E15" t="s">
        <v>1037</v>
      </c>
    </row>
    <row r="16" spans="1:5" x14ac:dyDescent="0.3">
      <c r="A16" t="s">
        <v>3858</v>
      </c>
      <c r="B16" t="s">
        <v>3859</v>
      </c>
      <c r="C16" t="s">
        <v>3859</v>
      </c>
      <c r="D16">
        <v>211</v>
      </c>
      <c r="E16" t="s">
        <v>1040</v>
      </c>
    </row>
    <row r="17" spans="1:5" x14ac:dyDescent="0.3">
      <c r="A17" t="s">
        <v>3858</v>
      </c>
      <c r="B17" t="s">
        <v>3859</v>
      </c>
      <c r="C17" t="s">
        <v>3859</v>
      </c>
      <c r="D17">
        <v>414</v>
      </c>
      <c r="E17" t="s">
        <v>1183</v>
      </c>
    </row>
    <row r="18" spans="1:5" x14ac:dyDescent="0.3">
      <c r="A18" t="s">
        <v>3858</v>
      </c>
      <c r="B18" t="s">
        <v>3859</v>
      </c>
      <c r="C18" t="s">
        <v>3859</v>
      </c>
      <c r="D18">
        <v>417</v>
      </c>
      <c r="E18" t="s">
        <v>1184</v>
      </c>
    </row>
    <row r="19" spans="1:5" x14ac:dyDescent="0.3">
      <c r="A19" t="s">
        <v>3858</v>
      </c>
      <c r="B19" t="s">
        <v>3859</v>
      </c>
      <c r="C19" t="s">
        <v>3859</v>
      </c>
      <c r="D19">
        <v>420</v>
      </c>
      <c r="E19" t="s">
        <v>1185</v>
      </c>
    </row>
    <row r="20" spans="1:5" x14ac:dyDescent="0.3">
      <c r="A20" t="s">
        <v>3858</v>
      </c>
      <c r="B20" t="s">
        <v>3859</v>
      </c>
      <c r="C20" t="s">
        <v>3859</v>
      </c>
      <c r="D20">
        <v>423</v>
      </c>
      <c r="E20" t="s">
        <v>1186</v>
      </c>
    </row>
    <row r="21" spans="1:5" x14ac:dyDescent="0.3">
      <c r="A21" t="s">
        <v>3860</v>
      </c>
      <c r="B21" t="s">
        <v>3861</v>
      </c>
      <c r="C21" t="s">
        <v>3862</v>
      </c>
      <c r="D21">
        <v>122</v>
      </c>
      <c r="E21" t="s">
        <v>988</v>
      </c>
    </row>
    <row r="22" spans="1:5" x14ac:dyDescent="0.3">
      <c r="A22" t="s">
        <v>3860</v>
      </c>
      <c r="B22" t="s">
        <v>3861</v>
      </c>
      <c r="C22" t="s">
        <v>3862</v>
      </c>
      <c r="D22">
        <v>125</v>
      </c>
      <c r="E22" t="s">
        <v>989</v>
      </c>
    </row>
    <row r="23" spans="1:5" x14ac:dyDescent="0.3">
      <c r="A23" t="s">
        <v>3860</v>
      </c>
      <c r="B23" t="s">
        <v>3861</v>
      </c>
      <c r="C23" t="s">
        <v>3862</v>
      </c>
      <c r="D23">
        <v>135</v>
      </c>
      <c r="E23" t="s">
        <v>995</v>
      </c>
    </row>
    <row r="24" spans="1:5" x14ac:dyDescent="0.3">
      <c r="A24" t="s">
        <v>3860</v>
      </c>
      <c r="B24" t="s">
        <v>3861</v>
      </c>
      <c r="C24" t="s">
        <v>3862</v>
      </c>
      <c r="D24">
        <v>136</v>
      </c>
      <c r="E24" t="s">
        <v>997</v>
      </c>
    </row>
    <row r="25" spans="1:5" x14ac:dyDescent="0.3">
      <c r="A25" t="s">
        <v>3860</v>
      </c>
      <c r="B25" t="s">
        <v>3861</v>
      </c>
      <c r="C25" t="s">
        <v>3862</v>
      </c>
      <c r="D25">
        <v>137</v>
      </c>
      <c r="E25" t="s">
        <v>998</v>
      </c>
    </row>
    <row r="26" spans="1:5" x14ac:dyDescent="0.3">
      <c r="A26" t="s">
        <v>3860</v>
      </c>
      <c r="B26" t="s">
        <v>3861</v>
      </c>
      <c r="C26" t="s">
        <v>3862</v>
      </c>
      <c r="D26">
        <v>149</v>
      </c>
      <c r="E26" t="s">
        <v>999</v>
      </c>
    </row>
    <row r="27" spans="1:5" x14ac:dyDescent="0.3">
      <c r="A27" t="s">
        <v>3863</v>
      </c>
      <c r="B27" t="s">
        <v>3864</v>
      </c>
      <c r="C27" t="s">
        <v>3864</v>
      </c>
      <c r="D27">
        <v>216</v>
      </c>
      <c r="E27" t="s">
        <v>1043</v>
      </c>
    </row>
    <row r="28" spans="1:5" x14ac:dyDescent="0.3">
      <c r="A28" t="s">
        <v>3863</v>
      </c>
      <c r="B28" t="s">
        <v>3864</v>
      </c>
      <c r="C28" t="s">
        <v>3864</v>
      </c>
      <c r="D28">
        <v>217</v>
      </c>
      <c r="E28" t="s">
        <v>1045</v>
      </c>
    </row>
    <row r="29" spans="1:5" x14ac:dyDescent="0.3">
      <c r="A29" t="s">
        <v>3863</v>
      </c>
      <c r="B29" t="s">
        <v>3864</v>
      </c>
      <c r="C29" t="s">
        <v>3864</v>
      </c>
      <c r="D29">
        <v>249</v>
      </c>
      <c r="E29" t="s">
        <v>1078</v>
      </c>
    </row>
    <row r="30" spans="1:5" x14ac:dyDescent="0.3">
      <c r="A30" t="s">
        <v>3865</v>
      </c>
      <c r="B30" t="s">
        <v>3866</v>
      </c>
      <c r="C30" t="s">
        <v>3867</v>
      </c>
      <c r="D30">
        <v>486</v>
      </c>
      <c r="E30" t="s">
        <v>1210</v>
      </c>
    </row>
    <row r="31" spans="1:5" x14ac:dyDescent="0.3">
      <c r="A31" t="s">
        <v>3865</v>
      </c>
      <c r="B31" t="s">
        <v>3866</v>
      </c>
      <c r="C31" t="s">
        <v>3867</v>
      </c>
      <c r="D31">
        <v>489</v>
      </c>
      <c r="E31" t="s">
        <v>1211</v>
      </c>
    </row>
    <row r="32" spans="1:5" x14ac:dyDescent="0.3">
      <c r="A32" t="s">
        <v>3868</v>
      </c>
      <c r="B32" t="s">
        <v>3869</v>
      </c>
      <c r="C32" t="s">
        <v>3869</v>
      </c>
      <c r="D32">
        <v>569</v>
      </c>
      <c r="E32" t="s">
        <v>1266</v>
      </c>
    </row>
    <row r="33" spans="1:5" x14ac:dyDescent="0.3">
      <c r="A33" t="s">
        <v>3868</v>
      </c>
      <c r="B33" t="s">
        <v>3869</v>
      </c>
      <c r="C33" t="s">
        <v>3869</v>
      </c>
      <c r="D33">
        <v>571</v>
      </c>
      <c r="E33" t="s">
        <v>1268</v>
      </c>
    </row>
    <row r="34" spans="1:5" x14ac:dyDescent="0.3">
      <c r="A34" t="s">
        <v>3868</v>
      </c>
      <c r="B34" t="s">
        <v>3869</v>
      </c>
      <c r="C34" t="s">
        <v>3869</v>
      </c>
      <c r="D34">
        <v>572</v>
      </c>
      <c r="E34" t="s">
        <v>1269</v>
      </c>
    </row>
    <row r="35" spans="1:5" x14ac:dyDescent="0.3">
      <c r="A35" t="s">
        <v>3868</v>
      </c>
      <c r="B35" t="s">
        <v>3869</v>
      </c>
      <c r="C35" t="s">
        <v>3869</v>
      </c>
      <c r="D35">
        <v>574</v>
      </c>
      <c r="E35" t="s">
        <v>1270</v>
      </c>
    </row>
    <row r="36" spans="1:5" x14ac:dyDescent="0.3">
      <c r="A36" t="s">
        <v>3868</v>
      </c>
      <c r="B36" t="s">
        <v>3869</v>
      </c>
      <c r="C36" t="s">
        <v>3869</v>
      </c>
      <c r="D36">
        <v>577</v>
      </c>
      <c r="E36" t="s">
        <v>1274</v>
      </c>
    </row>
    <row r="37" spans="1:5" x14ac:dyDescent="0.3">
      <c r="A37" t="s">
        <v>3868</v>
      </c>
      <c r="B37" t="s">
        <v>3869</v>
      </c>
      <c r="C37" t="s">
        <v>3869</v>
      </c>
      <c r="D37">
        <v>603</v>
      </c>
      <c r="E37" t="s">
        <v>1281</v>
      </c>
    </row>
    <row r="38" spans="1:5" x14ac:dyDescent="0.3">
      <c r="A38" t="s">
        <v>3870</v>
      </c>
      <c r="B38" t="s">
        <v>3871</v>
      </c>
      <c r="C38" t="s">
        <v>3871</v>
      </c>
      <c r="D38">
        <v>490</v>
      </c>
      <c r="E38" t="s">
        <v>1213</v>
      </c>
    </row>
    <row r="39" spans="1:5" x14ac:dyDescent="0.3">
      <c r="A39" t="s">
        <v>3870</v>
      </c>
      <c r="B39" t="s">
        <v>3871</v>
      </c>
      <c r="C39" t="s">
        <v>3871</v>
      </c>
      <c r="D39">
        <v>495</v>
      </c>
      <c r="E39" t="s">
        <v>1217</v>
      </c>
    </row>
    <row r="40" spans="1:5" x14ac:dyDescent="0.3">
      <c r="A40" t="s">
        <v>3870</v>
      </c>
      <c r="B40" t="s">
        <v>3871</v>
      </c>
      <c r="C40" t="s">
        <v>3871</v>
      </c>
      <c r="D40">
        <v>497</v>
      </c>
      <c r="E40" t="s">
        <v>1219</v>
      </c>
    </row>
    <row r="41" spans="1:5" x14ac:dyDescent="0.3">
      <c r="A41" t="s">
        <v>3870</v>
      </c>
      <c r="B41" t="s">
        <v>3871</v>
      </c>
      <c r="C41" t="s">
        <v>3871</v>
      </c>
      <c r="D41">
        <v>507</v>
      </c>
      <c r="E41" t="s">
        <v>1223</v>
      </c>
    </row>
    <row r="42" spans="1:5" x14ac:dyDescent="0.3">
      <c r="A42" t="s">
        <v>3870</v>
      </c>
      <c r="B42" t="s">
        <v>3871</v>
      </c>
      <c r="C42" t="s">
        <v>3871</v>
      </c>
      <c r="D42">
        <v>512</v>
      </c>
      <c r="E42" t="s">
        <v>1227</v>
      </c>
    </row>
    <row r="43" spans="1:5" x14ac:dyDescent="0.3">
      <c r="A43" t="s">
        <v>3870</v>
      </c>
      <c r="B43" t="s">
        <v>3871</v>
      </c>
      <c r="C43" t="s">
        <v>3871</v>
      </c>
      <c r="D43">
        <v>1804</v>
      </c>
      <c r="E43" t="s">
        <v>1910</v>
      </c>
    </row>
    <row r="44" spans="1:5" x14ac:dyDescent="0.3">
      <c r="A44" t="s">
        <v>3872</v>
      </c>
      <c r="B44" t="s">
        <v>3873</v>
      </c>
      <c r="C44" t="s">
        <v>3873</v>
      </c>
      <c r="D44">
        <v>560</v>
      </c>
      <c r="E44" t="s">
        <v>1257</v>
      </c>
    </row>
    <row r="45" spans="1:5" x14ac:dyDescent="0.3">
      <c r="A45" t="s">
        <v>3874</v>
      </c>
      <c r="B45" t="s">
        <v>3875</v>
      </c>
      <c r="C45" t="s">
        <v>3876</v>
      </c>
      <c r="D45">
        <v>567</v>
      </c>
      <c r="E45" t="s">
        <v>1264</v>
      </c>
    </row>
    <row r="46" spans="1:5" x14ac:dyDescent="0.3">
      <c r="A46" t="s">
        <v>3874</v>
      </c>
      <c r="B46" t="s">
        <v>3875</v>
      </c>
      <c r="C46" t="s">
        <v>3876</v>
      </c>
      <c r="D46">
        <v>568</v>
      </c>
      <c r="E46" t="s">
        <v>1265</v>
      </c>
    </row>
    <row r="47" spans="1:5" x14ac:dyDescent="0.3">
      <c r="A47" t="s">
        <v>3874</v>
      </c>
      <c r="B47" t="s">
        <v>3875</v>
      </c>
      <c r="C47" t="s">
        <v>3876</v>
      </c>
      <c r="D47">
        <v>600</v>
      </c>
      <c r="E47" t="s">
        <v>1280</v>
      </c>
    </row>
    <row r="48" spans="1:5" x14ac:dyDescent="0.3">
      <c r="A48" t="s">
        <v>3877</v>
      </c>
      <c r="B48" t="s">
        <v>3878</v>
      </c>
      <c r="C48" t="s">
        <v>3879</v>
      </c>
      <c r="D48">
        <v>515</v>
      </c>
      <c r="E48" t="s">
        <v>1231</v>
      </c>
    </row>
    <row r="49" spans="1:5" x14ac:dyDescent="0.3">
      <c r="A49" t="s">
        <v>3880</v>
      </c>
      <c r="B49" t="s">
        <v>3881</v>
      </c>
      <c r="C49" t="s">
        <v>3882</v>
      </c>
      <c r="D49">
        <v>521</v>
      </c>
      <c r="E49" t="s">
        <v>1236</v>
      </c>
    </row>
    <row r="50" spans="1:5" x14ac:dyDescent="0.3">
      <c r="A50" t="s">
        <v>3883</v>
      </c>
      <c r="B50" t="s">
        <v>3884</v>
      </c>
      <c r="C50" t="s">
        <v>3885</v>
      </c>
      <c r="D50">
        <v>523</v>
      </c>
      <c r="E50" t="s">
        <v>1238</v>
      </c>
    </row>
    <row r="51" spans="1:5" x14ac:dyDescent="0.3">
      <c r="A51" t="s">
        <v>3886</v>
      </c>
      <c r="B51" t="s">
        <v>3887</v>
      </c>
      <c r="C51" t="s">
        <v>3888</v>
      </c>
      <c r="D51">
        <v>526</v>
      </c>
      <c r="E51" t="s">
        <v>1239</v>
      </c>
    </row>
    <row r="52" spans="1:5" x14ac:dyDescent="0.3">
      <c r="A52" t="s">
        <v>3889</v>
      </c>
      <c r="B52" t="s">
        <v>3890</v>
      </c>
      <c r="C52" t="s">
        <v>3891</v>
      </c>
      <c r="D52">
        <v>530</v>
      </c>
      <c r="E52" t="s">
        <v>1241</v>
      </c>
    </row>
    <row r="53" spans="1:5" x14ac:dyDescent="0.3">
      <c r="A53" t="s">
        <v>3892</v>
      </c>
      <c r="B53" t="s">
        <v>3893</v>
      </c>
      <c r="C53" t="s">
        <v>3894</v>
      </c>
      <c r="D53">
        <v>531</v>
      </c>
      <c r="E53" t="s">
        <v>1242</v>
      </c>
    </row>
    <row r="54" spans="1:5" x14ac:dyDescent="0.3">
      <c r="A54" t="s">
        <v>3895</v>
      </c>
      <c r="B54" t="s">
        <v>3896</v>
      </c>
      <c r="C54" t="s">
        <v>3897</v>
      </c>
      <c r="D54">
        <v>534</v>
      </c>
      <c r="E54" t="s">
        <v>1243</v>
      </c>
    </row>
    <row r="55" spans="1:5" x14ac:dyDescent="0.3">
      <c r="A55" t="s">
        <v>3898</v>
      </c>
      <c r="B55" t="s">
        <v>3899</v>
      </c>
      <c r="C55" t="s">
        <v>3900</v>
      </c>
      <c r="D55">
        <v>536</v>
      </c>
      <c r="E55" t="s">
        <v>1244</v>
      </c>
    </row>
    <row r="56" spans="1:5" x14ac:dyDescent="0.3">
      <c r="A56" t="s">
        <v>3901</v>
      </c>
      <c r="B56" t="s">
        <v>3902</v>
      </c>
      <c r="C56" t="s">
        <v>3903</v>
      </c>
      <c r="D56">
        <v>310</v>
      </c>
      <c r="E56" t="s">
        <v>1140</v>
      </c>
    </row>
    <row r="57" spans="1:5" x14ac:dyDescent="0.3">
      <c r="A57" t="s">
        <v>3901</v>
      </c>
      <c r="B57" t="s">
        <v>3902</v>
      </c>
      <c r="C57" t="s">
        <v>3903</v>
      </c>
      <c r="D57">
        <v>541</v>
      </c>
      <c r="E57" t="s">
        <v>1248</v>
      </c>
    </row>
    <row r="58" spans="1:5" x14ac:dyDescent="0.3">
      <c r="A58" t="s">
        <v>3901</v>
      </c>
      <c r="B58" t="s">
        <v>3902</v>
      </c>
      <c r="C58" t="s">
        <v>3903</v>
      </c>
      <c r="D58">
        <v>542</v>
      </c>
      <c r="E58" t="s">
        <v>1249</v>
      </c>
    </row>
    <row r="59" spans="1:5" x14ac:dyDescent="0.3">
      <c r="A59" t="s">
        <v>3901</v>
      </c>
      <c r="B59" t="s">
        <v>3902</v>
      </c>
      <c r="C59" t="s">
        <v>3903</v>
      </c>
      <c r="D59">
        <v>544</v>
      </c>
      <c r="E59" t="s">
        <v>1250</v>
      </c>
    </row>
    <row r="60" spans="1:5" x14ac:dyDescent="0.3">
      <c r="A60" t="s">
        <v>3901</v>
      </c>
      <c r="B60" t="s">
        <v>3902</v>
      </c>
      <c r="C60" t="s">
        <v>3903</v>
      </c>
      <c r="D60">
        <v>547</v>
      </c>
      <c r="E60" t="s">
        <v>1251</v>
      </c>
    </row>
    <row r="61" spans="1:5" x14ac:dyDescent="0.3">
      <c r="A61" t="s">
        <v>3901</v>
      </c>
      <c r="B61" t="s">
        <v>3902</v>
      </c>
      <c r="C61" t="s">
        <v>3903</v>
      </c>
      <c r="D61">
        <v>549</v>
      </c>
      <c r="E61" t="s">
        <v>1252</v>
      </c>
    </row>
    <row r="62" spans="1:5" x14ac:dyDescent="0.3">
      <c r="A62" t="s">
        <v>3901</v>
      </c>
      <c r="B62" t="s">
        <v>3902</v>
      </c>
      <c r="C62" t="s">
        <v>3903</v>
      </c>
      <c r="D62">
        <v>550</v>
      </c>
      <c r="E62" t="s">
        <v>1253</v>
      </c>
    </row>
    <row r="63" spans="1:5" x14ac:dyDescent="0.3">
      <c r="A63" t="s">
        <v>3901</v>
      </c>
      <c r="B63" t="s">
        <v>3902</v>
      </c>
      <c r="C63" t="s">
        <v>3903</v>
      </c>
      <c r="D63">
        <v>552</v>
      </c>
      <c r="E63" t="s">
        <v>1254</v>
      </c>
    </row>
    <row r="64" spans="1:5" x14ac:dyDescent="0.3">
      <c r="A64" t="s">
        <v>3901</v>
      </c>
      <c r="B64" t="s">
        <v>3902</v>
      </c>
      <c r="C64" t="s">
        <v>3903</v>
      </c>
      <c r="D64">
        <v>554</v>
      </c>
      <c r="E64" t="s">
        <v>1255</v>
      </c>
    </row>
    <row r="65" spans="1:5" x14ac:dyDescent="0.3">
      <c r="A65" t="s">
        <v>3901</v>
      </c>
      <c r="B65" t="s">
        <v>3902</v>
      </c>
      <c r="C65" t="s">
        <v>3903</v>
      </c>
      <c r="D65">
        <v>558</v>
      </c>
      <c r="E65" t="s">
        <v>1256</v>
      </c>
    </row>
    <row r="66" spans="1:5" x14ac:dyDescent="0.3">
      <c r="A66" t="s">
        <v>3901</v>
      </c>
      <c r="B66" t="s">
        <v>3902</v>
      </c>
      <c r="C66" t="s">
        <v>3903</v>
      </c>
      <c r="D66">
        <v>587</v>
      </c>
      <c r="E66" t="s">
        <v>1277</v>
      </c>
    </row>
    <row r="67" spans="1:5" x14ac:dyDescent="0.3">
      <c r="A67" t="s">
        <v>3901</v>
      </c>
      <c r="B67" t="s">
        <v>3902</v>
      </c>
      <c r="C67" t="s">
        <v>3903</v>
      </c>
      <c r="D67">
        <v>591</v>
      </c>
      <c r="E67" t="s">
        <v>1278</v>
      </c>
    </row>
    <row r="68" spans="1:5" x14ac:dyDescent="0.3">
      <c r="A68" t="s">
        <v>3901</v>
      </c>
      <c r="B68" t="s">
        <v>3902</v>
      </c>
      <c r="C68" t="s">
        <v>3903</v>
      </c>
      <c r="D68">
        <v>592</v>
      </c>
      <c r="E68" t="s">
        <v>1279</v>
      </c>
    </row>
    <row r="69" spans="1:5" x14ac:dyDescent="0.3">
      <c r="A69" t="s">
        <v>3901</v>
      </c>
      <c r="B69" t="s">
        <v>3902</v>
      </c>
      <c r="C69" t="s">
        <v>3903</v>
      </c>
      <c r="D69">
        <v>619</v>
      </c>
      <c r="E69" t="s">
        <v>1283</v>
      </c>
    </row>
    <row r="70" spans="1:5" x14ac:dyDescent="0.3">
      <c r="A70" t="s">
        <v>3901</v>
      </c>
      <c r="B70" t="s">
        <v>3902</v>
      </c>
      <c r="C70" t="s">
        <v>3903</v>
      </c>
      <c r="D70">
        <v>1738</v>
      </c>
      <c r="E70" t="s">
        <v>1710</v>
      </c>
    </row>
    <row r="71" spans="1:5" x14ac:dyDescent="0.3">
      <c r="A71" t="s">
        <v>3904</v>
      </c>
      <c r="B71" t="s">
        <v>3905</v>
      </c>
      <c r="C71" t="s">
        <v>3905</v>
      </c>
      <c r="D71">
        <v>656</v>
      </c>
      <c r="E71" t="s">
        <v>1306</v>
      </c>
    </row>
    <row r="72" spans="1:5" x14ac:dyDescent="0.3">
      <c r="A72" t="s">
        <v>3906</v>
      </c>
      <c r="B72" t="s">
        <v>3907</v>
      </c>
      <c r="C72" t="s">
        <v>3907</v>
      </c>
      <c r="D72">
        <v>667</v>
      </c>
      <c r="E72" t="s">
        <v>1318</v>
      </c>
    </row>
    <row r="73" spans="1:5" x14ac:dyDescent="0.3">
      <c r="A73" t="s">
        <v>3908</v>
      </c>
      <c r="B73" t="s">
        <v>1320</v>
      </c>
      <c r="C73" t="s">
        <v>3909</v>
      </c>
      <c r="D73">
        <v>671</v>
      </c>
      <c r="E73" t="s">
        <v>1320</v>
      </c>
    </row>
    <row r="74" spans="1:5" x14ac:dyDescent="0.3">
      <c r="A74" t="s">
        <v>3910</v>
      </c>
      <c r="B74" t="s">
        <v>1327</v>
      </c>
      <c r="C74" t="s">
        <v>1327</v>
      </c>
      <c r="D74">
        <v>692</v>
      </c>
      <c r="E74" t="s">
        <v>1327</v>
      </c>
    </row>
    <row r="75" spans="1:5" x14ac:dyDescent="0.3">
      <c r="A75" t="s">
        <v>3911</v>
      </c>
      <c r="B75" t="s">
        <v>3912</v>
      </c>
      <c r="C75" t="s">
        <v>3912</v>
      </c>
      <c r="D75">
        <v>693</v>
      </c>
      <c r="E75" t="s">
        <v>1329</v>
      </c>
    </row>
    <row r="76" spans="1:5" x14ac:dyDescent="0.3">
      <c r="A76" t="s">
        <v>3913</v>
      </c>
      <c r="B76" t="s">
        <v>3914</v>
      </c>
      <c r="C76" t="s">
        <v>3915</v>
      </c>
      <c r="D76">
        <v>698</v>
      </c>
      <c r="E76" t="s">
        <v>1330</v>
      </c>
    </row>
    <row r="77" spans="1:5" x14ac:dyDescent="0.3">
      <c r="A77" t="s">
        <v>3916</v>
      </c>
      <c r="B77" t="s">
        <v>1331</v>
      </c>
      <c r="C77" t="s">
        <v>1331</v>
      </c>
      <c r="D77">
        <v>702</v>
      </c>
      <c r="E77" t="s">
        <v>1331</v>
      </c>
    </row>
    <row r="78" spans="1:5" x14ac:dyDescent="0.3">
      <c r="A78" t="s">
        <v>3917</v>
      </c>
      <c r="B78" t="s">
        <v>3918</v>
      </c>
      <c r="C78" t="s">
        <v>3919</v>
      </c>
      <c r="D78">
        <v>711</v>
      </c>
      <c r="E78" t="s">
        <v>1332</v>
      </c>
    </row>
    <row r="79" spans="1:5" x14ac:dyDescent="0.3">
      <c r="A79" t="s">
        <v>3920</v>
      </c>
      <c r="B79" t="s">
        <v>3921</v>
      </c>
      <c r="C79" t="s">
        <v>3922</v>
      </c>
      <c r="D79">
        <v>720</v>
      </c>
      <c r="E79" t="s">
        <v>1333</v>
      </c>
    </row>
    <row r="80" spans="1:5" x14ac:dyDescent="0.3">
      <c r="A80" t="s">
        <v>3920</v>
      </c>
      <c r="B80" t="s">
        <v>3921</v>
      </c>
      <c r="C80" t="s">
        <v>3922</v>
      </c>
      <c r="D80">
        <v>723</v>
      </c>
      <c r="E80" t="s">
        <v>1334</v>
      </c>
    </row>
    <row r="81" spans="1:5" x14ac:dyDescent="0.3">
      <c r="A81" t="s">
        <v>3923</v>
      </c>
      <c r="B81" t="s">
        <v>3924</v>
      </c>
      <c r="C81" t="s">
        <v>3924</v>
      </c>
      <c r="D81">
        <v>15</v>
      </c>
      <c r="E81" t="s">
        <v>890</v>
      </c>
    </row>
    <row r="82" spans="1:5" x14ac:dyDescent="0.3">
      <c r="A82" t="s">
        <v>3925</v>
      </c>
      <c r="B82" t="s">
        <v>943</v>
      </c>
      <c r="C82" t="s">
        <v>943</v>
      </c>
      <c r="D82">
        <v>71</v>
      </c>
      <c r="E82" t="s">
        <v>943</v>
      </c>
    </row>
    <row r="83" spans="1:5" x14ac:dyDescent="0.3">
      <c r="A83" t="s">
        <v>3926</v>
      </c>
      <c r="B83" t="s">
        <v>919</v>
      </c>
      <c r="C83" t="s">
        <v>919</v>
      </c>
      <c r="D83">
        <v>44</v>
      </c>
      <c r="E83" t="s">
        <v>919</v>
      </c>
    </row>
    <row r="84" spans="1:5" x14ac:dyDescent="0.3">
      <c r="A84" t="s">
        <v>3927</v>
      </c>
      <c r="B84" t="s">
        <v>947</v>
      </c>
      <c r="C84" t="s">
        <v>947</v>
      </c>
      <c r="D84">
        <v>75</v>
      </c>
      <c r="E84" t="s">
        <v>947</v>
      </c>
    </row>
    <row r="85" spans="1:5" x14ac:dyDescent="0.3">
      <c r="A85" t="s">
        <v>3928</v>
      </c>
      <c r="B85" t="s">
        <v>1553</v>
      </c>
      <c r="C85" t="s">
        <v>3929</v>
      </c>
      <c r="D85">
        <v>56</v>
      </c>
      <c r="E85" t="s">
        <v>929</v>
      </c>
    </row>
    <row r="86" spans="1:5" x14ac:dyDescent="0.3">
      <c r="A86" t="s">
        <v>3930</v>
      </c>
      <c r="B86" t="s">
        <v>3931</v>
      </c>
      <c r="C86" t="s">
        <v>3931</v>
      </c>
      <c r="D86">
        <v>83</v>
      </c>
      <c r="E86" t="s">
        <v>955</v>
      </c>
    </row>
    <row r="87" spans="1:5" x14ac:dyDescent="0.3">
      <c r="A87" t="s">
        <v>3932</v>
      </c>
      <c r="B87" t="s">
        <v>3933</v>
      </c>
      <c r="C87" t="s">
        <v>3934</v>
      </c>
      <c r="D87">
        <v>79</v>
      </c>
      <c r="E87" t="s">
        <v>950</v>
      </c>
    </row>
    <row r="88" spans="1:5" x14ac:dyDescent="0.3">
      <c r="A88" t="s">
        <v>3932</v>
      </c>
      <c r="B88" t="s">
        <v>3933</v>
      </c>
      <c r="C88" t="s">
        <v>3934</v>
      </c>
      <c r="D88">
        <v>89</v>
      </c>
      <c r="E88" t="s">
        <v>960</v>
      </c>
    </row>
    <row r="89" spans="1:5" x14ac:dyDescent="0.3">
      <c r="A89" t="s">
        <v>3932</v>
      </c>
      <c r="B89" t="s">
        <v>3933</v>
      </c>
      <c r="C89" t="s">
        <v>3934</v>
      </c>
      <c r="D89">
        <v>92</v>
      </c>
      <c r="E89" t="s">
        <v>963</v>
      </c>
    </row>
    <row r="90" spans="1:5" x14ac:dyDescent="0.3">
      <c r="A90" t="s">
        <v>3932</v>
      </c>
      <c r="B90" t="s">
        <v>3933</v>
      </c>
      <c r="C90" t="s">
        <v>3934</v>
      </c>
      <c r="D90">
        <v>94</v>
      </c>
      <c r="E90" t="s">
        <v>964</v>
      </c>
    </row>
    <row r="91" spans="1:5" x14ac:dyDescent="0.3">
      <c r="A91" t="s">
        <v>3932</v>
      </c>
      <c r="B91" t="s">
        <v>3933</v>
      </c>
      <c r="C91" t="s">
        <v>3934</v>
      </c>
      <c r="D91">
        <v>97</v>
      </c>
      <c r="E91" t="s">
        <v>967</v>
      </c>
    </row>
    <row r="92" spans="1:5" x14ac:dyDescent="0.3">
      <c r="A92" t="s">
        <v>3932</v>
      </c>
      <c r="B92" t="s">
        <v>3933</v>
      </c>
      <c r="C92" t="s">
        <v>3934</v>
      </c>
      <c r="D92">
        <v>101</v>
      </c>
      <c r="E92" t="s">
        <v>970</v>
      </c>
    </row>
    <row r="93" spans="1:5" x14ac:dyDescent="0.3">
      <c r="A93" t="s">
        <v>3932</v>
      </c>
      <c r="B93" t="s">
        <v>3933</v>
      </c>
      <c r="C93" t="s">
        <v>3934</v>
      </c>
      <c r="D93">
        <v>103</v>
      </c>
      <c r="E93" t="s">
        <v>971</v>
      </c>
    </row>
    <row r="94" spans="1:5" x14ac:dyDescent="0.3">
      <c r="A94" t="s">
        <v>3932</v>
      </c>
      <c r="B94" t="s">
        <v>3933</v>
      </c>
      <c r="C94" t="s">
        <v>3934</v>
      </c>
      <c r="D94">
        <v>108</v>
      </c>
      <c r="E94" t="s">
        <v>974</v>
      </c>
    </row>
    <row r="95" spans="1:5" x14ac:dyDescent="0.3">
      <c r="A95" t="s">
        <v>3935</v>
      </c>
      <c r="B95" t="s">
        <v>3936</v>
      </c>
      <c r="C95" t="s">
        <v>3936</v>
      </c>
      <c r="D95">
        <v>236</v>
      </c>
      <c r="E95" t="s">
        <v>1060</v>
      </c>
    </row>
    <row r="96" spans="1:5" x14ac:dyDescent="0.3">
      <c r="A96" t="s">
        <v>3937</v>
      </c>
      <c r="B96" t="s">
        <v>3938</v>
      </c>
      <c r="C96" t="s">
        <v>3939</v>
      </c>
      <c r="D96">
        <v>242</v>
      </c>
      <c r="E96" t="s">
        <v>1069</v>
      </c>
    </row>
    <row r="97" spans="1:5" x14ac:dyDescent="0.3">
      <c r="A97" t="s">
        <v>3940</v>
      </c>
      <c r="B97" t="s">
        <v>3941</v>
      </c>
      <c r="C97" t="s">
        <v>3941</v>
      </c>
      <c r="D97">
        <v>333</v>
      </c>
      <c r="E97" t="s">
        <v>1150</v>
      </c>
    </row>
    <row r="98" spans="1:5" x14ac:dyDescent="0.3">
      <c r="A98" t="s">
        <v>3942</v>
      </c>
      <c r="B98" t="s">
        <v>3943</v>
      </c>
      <c r="C98" t="s">
        <v>3943</v>
      </c>
      <c r="D98">
        <v>270</v>
      </c>
      <c r="E98" t="s">
        <v>1110</v>
      </c>
    </row>
    <row r="99" spans="1:5" x14ac:dyDescent="0.3">
      <c r="A99" t="s">
        <v>3944</v>
      </c>
      <c r="B99" t="s">
        <v>3945</v>
      </c>
      <c r="C99" t="s">
        <v>3945</v>
      </c>
      <c r="D99">
        <v>267</v>
      </c>
      <c r="E99" t="s">
        <v>1105</v>
      </c>
    </row>
    <row r="100" spans="1:5" x14ac:dyDescent="0.3">
      <c r="A100" t="s">
        <v>3946</v>
      </c>
      <c r="B100" t="s">
        <v>3947</v>
      </c>
      <c r="C100" t="s">
        <v>3948</v>
      </c>
      <c r="D100">
        <v>265</v>
      </c>
      <c r="E100" t="s">
        <v>1103</v>
      </c>
    </row>
    <row r="101" spans="1:5" x14ac:dyDescent="0.3">
      <c r="A101" t="s">
        <v>3949</v>
      </c>
      <c r="B101" t="s">
        <v>3950</v>
      </c>
      <c r="C101" t="s">
        <v>3951</v>
      </c>
      <c r="D101">
        <v>289</v>
      </c>
      <c r="E101" t="s">
        <v>1124</v>
      </c>
    </row>
    <row r="102" spans="1:5" x14ac:dyDescent="0.3">
      <c r="A102" t="s">
        <v>3952</v>
      </c>
      <c r="B102" t="s">
        <v>3953</v>
      </c>
      <c r="C102" t="s">
        <v>3954</v>
      </c>
      <c r="D102">
        <v>292</v>
      </c>
      <c r="E102" t="s">
        <v>1129</v>
      </c>
    </row>
    <row r="103" spans="1:5" x14ac:dyDescent="0.3">
      <c r="A103" t="s">
        <v>3955</v>
      </c>
      <c r="B103" t="s">
        <v>3956</v>
      </c>
      <c r="C103" t="s">
        <v>3957</v>
      </c>
      <c r="D103">
        <v>280</v>
      </c>
      <c r="E103" t="s">
        <v>1121</v>
      </c>
    </row>
    <row r="104" spans="1:5" x14ac:dyDescent="0.3">
      <c r="A104" t="s">
        <v>3958</v>
      </c>
      <c r="B104" t="s">
        <v>3959</v>
      </c>
      <c r="C104" t="s">
        <v>3959</v>
      </c>
      <c r="D104">
        <v>677</v>
      </c>
      <c r="E104" t="s">
        <v>1322</v>
      </c>
    </row>
    <row r="105" spans="1:5" x14ac:dyDescent="0.3">
      <c r="A105" t="s">
        <v>3960</v>
      </c>
      <c r="B105" t="s">
        <v>3961</v>
      </c>
      <c r="C105" t="s">
        <v>3962</v>
      </c>
      <c r="D105">
        <v>157</v>
      </c>
      <c r="E105" t="s">
        <v>1006</v>
      </c>
    </row>
    <row r="106" spans="1:5" x14ac:dyDescent="0.3">
      <c r="A106" t="s">
        <v>3963</v>
      </c>
      <c r="B106" t="s">
        <v>3964</v>
      </c>
      <c r="C106" t="s">
        <v>3965</v>
      </c>
      <c r="D106">
        <v>205</v>
      </c>
      <c r="E106" t="s">
        <v>1038</v>
      </c>
    </row>
    <row r="107" spans="1:5" x14ac:dyDescent="0.3">
      <c r="A107" t="s">
        <v>3963</v>
      </c>
      <c r="B107" t="s">
        <v>3964</v>
      </c>
      <c r="C107" t="s">
        <v>3965</v>
      </c>
      <c r="D107">
        <v>210</v>
      </c>
      <c r="E107" t="s">
        <v>1039</v>
      </c>
    </row>
    <row r="108" spans="1:5" x14ac:dyDescent="0.3">
      <c r="A108" t="s">
        <v>3966</v>
      </c>
      <c r="B108" t="s">
        <v>3967</v>
      </c>
      <c r="C108" t="s">
        <v>3967</v>
      </c>
      <c r="D108">
        <v>661</v>
      </c>
      <c r="E108" t="s">
        <v>1312</v>
      </c>
    </row>
    <row r="109" spans="1:5" x14ac:dyDescent="0.3">
      <c r="A109" t="s">
        <v>3968</v>
      </c>
      <c r="B109" t="s">
        <v>3969</v>
      </c>
      <c r="C109" t="s">
        <v>3969</v>
      </c>
      <c r="D109">
        <v>836</v>
      </c>
      <c r="E109" t="s">
        <v>1366</v>
      </c>
    </row>
    <row r="110" spans="1:5" x14ac:dyDescent="0.3">
      <c r="A110" t="s">
        <v>3968</v>
      </c>
      <c r="B110" t="s">
        <v>3969</v>
      </c>
      <c r="C110" t="s">
        <v>3969</v>
      </c>
      <c r="D110">
        <v>839</v>
      </c>
      <c r="E110" t="s">
        <v>3826</v>
      </c>
    </row>
    <row r="111" spans="1:5" x14ac:dyDescent="0.3">
      <c r="A111" t="s">
        <v>3970</v>
      </c>
      <c r="B111" t="s">
        <v>3971</v>
      </c>
      <c r="C111" t="s">
        <v>3972</v>
      </c>
      <c r="D111">
        <v>328</v>
      </c>
      <c r="E111" t="s">
        <v>1525</v>
      </c>
    </row>
    <row r="112" spans="1:5" x14ac:dyDescent="0.3">
      <c r="A112" t="s">
        <v>3973</v>
      </c>
      <c r="B112" t="s">
        <v>3974</v>
      </c>
      <c r="C112" t="s">
        <v>3975</v>
      </c>
      <c r="D112">
        <v>773</v>
      </c>
      <c r="E112" t="s">
        <v>1346</v>
      </c>
    </row>
    <row r="113" spans="1:5" x14ac:dyDescent="0.3">
      <c r="A113" t="s">
        <v>3973</v>
      </c>
      <c r="B113" t="s">
        <v>3974</v>
      </c>
      <c r="C113" t="s">
        <v>3975</v>
      </c>
      <c r="D113">
        <v>777</v>
      </c>
      <c r="E113" t="s">
        <v>1348</v>
      </c>
    </row>
    <row r="114" spans="1:5" x14ac:dyDescent="0.3">
      <c r="A114" t="s">
        <v>3976</v>
      </c>
      <c r="B114" t="s">
        <v>3977</v>
      </c>
      <c r="C114" t="s">
        <v>3978</v>
      </c>
      <c r="D114">
        <v>336</v>
      </c>
      <c r="E114" t="s">
        <v>1153</v>
      </c>
    </row>
    <row r="115" spans="1:5" x14ac:dyDescent="0.3">
      <c r="A115" t="s">
        <v>3979</v>
      </c>
      <c r="B115" t="s">
        <v>3980</v>
      </c>
      <c r="C115" t="s">
        <v>3981</v>
      </c>
      <c r="D115">
        <v>780</v>
      </c>
      <c r="E115" t="s">
        <v>1350</v>
      </c>
    </row>
    <row r="116" spans="1:5" x14ac:dyDescent="0.3">
      <c r="A116" t="s">
        <v>3979</v>
      </c>
      <c r="B116" t="s">
        <v>3980</v>
      </c>
      <c r="C116" t="s">
        <v>3981</v>
      </c>
      <c r="D116">
        <v>788</v>
      </c>
      <c r="E116" t="s">
        <v>1353</v>
      </c>
    </row>
    <row r="117" spans="1:5" x14ac:dyDescent="0.3">
      <c r="A117" t="s">
        <v>3979</v>
      </c>
      <c r="B117" t="s">
        <v>3980</v>
      </c>
      <c r="C117" t="s">
        <v>3981</v>
      </c>
      <c r="D117">
        <v>800</v>
      </c>
      <c r="E117" t="s">
        <v>1355</v>
      </c>
    </row>
    <row r="118" spans="1:5" x14ac:dyDescent="0.3">
      <c r="A118" t="s">
        <v>3982</v>
      </c>
      <c r="B118" t="s">
        <v>3983</v>
      </c>
      <c r="C118" t="s">
        <v>3984</v>
      </c>
      <c r="D118">
        <v>156</v>
      </c>
      <c r="E118" t="s">
        <v>1005</v>
      </c>
    </row>
    <row r="119" spans="1:5" x14ac:dyDescent="0.3">
      <c r="A119" t="s">
        <v>3985</v>
      </c>
      <c r="B119" t="s">
        <v>3986</v>
      </c>
      <c r="C119" t="s">
        <v>3987</v>
      </c>
      <c r="D119">
        <v>328</v>
      </c>
      <c r="E119" t="s">
        <v>1525</v>
      </c>
    </row>
    <row r="120" spans="1:5" x14ac:dyDescent="0.3">
      <c r="A120" t="s">
        <v>3988</v>
      </c>
      <c r="B120" t="s">
        <v>3989</v>
      </c>
      <c r="C120" t="s">
        <v>3990</v>
      </c>
      <c r="D120" t="s">
        <v>3991</v>
      </c>
      <c r="E120" t="s">
        <v>3992</v>
      </c>
    </row>
    <row r="121" spans="1:5" x14ac:dyDescent="0.3">
      <c r="A121" t="s">
        <v>3993</v>
      </c>
      <c r="B121" t="s">
        <v>3994</v>
      </c>
      <c r="C121" t="s">
        <v>3995</v>
      </c>
      <c r="D121">
        <v>220</v>
      </c>
      <c r="E121" t="s">
        <v>1046</v>
      </c>
    </row>
    <row r="122" spans="1:5" x14ac:dyDescent="0.3">
      <c r="A122" t="s">
        <v>3993</v>
      </c>
      <c r="B122" t="s">
        <v>3994</v>
      </c>
      <c r="C122" t="s">
        <v>3995</v>
      </c>
      <c r="D122">
        <v>221</v>
      </c>
      <c r="E122" t="s">
        <v>1047</v>
      </c>
    </row>
    <row r="123" spans="1:5" x14ac:dyDescent="0.3">
      <c r="A123" t="s">
        <v>3993</v>
      </c>
      <c r="B123" t="s">
        <v>3994</v>
      </c>
      <c r="C123" t="s">
        <v>3995</v>
      </c>
      <c r="D123">
        <v>222</v>
      </c>
      <c r="E123" t="s">
        <v>1048</v>
      </c>
    </row>
    <row r="124" spans="1:5" x14ac:dyDescent="0.3">
      <c r="A124" t="s">
        <v>3993</v>
      </c>
      <c r="B124" t="s">
        <v>3994</v>
      </c>
      <c r="C124" t="s">
        <v>3995</v>
      </c>
      <c r="D124">
        <v>223</v>
      </c>
      <c r="E124" t="s">
        <v>1049</v>
      </c>
    </row>
    <row r="125" spans="1:5" x14ac:dyDescent="0.3">
      <c r="A125" t="s">
        <v>3993</v>
      </c>
      <c r="B125" t="s">
        <v>3994</v>
      </c>
      <c r="C125" t="s">
        <v>3995</v>
      </c>
      <c r="D125">
        <v>224</v>
      </c>
      <c r="E125" t="s">
        <v>1050</v>
      </c>
    </row>
    <row r="126" spans="1:5" x14ac:dyDescent="0.3">
      <c r="A126" t="s">
        <v>3993</v>
      </c>
      <c r="B126" t="s">
        <v>3994</v>
      </c>
      <c r="C126" t="s">
        <v>3995</v>
      </c>
      <c r="D126">
        <v>225</v>
      </c>
      <c r="E126" t="s">
        <v>1051</v>
      </c>
    </row>
    <row r="127" spans="1:5" x14ac:dyDescent="0.3">
      <c r="A127" t="s">
        <v>3993</v>
      </c>
      <c r="B127" t="s">
        <v>3994</v>
      </c>
      <c r="C127" t="s">
        <v>3995</v>
      </c>
      <c r="D127">
        <v>226</v>
      </c>
      <c r="E127" t="s">
        <v>1052</v>
      </c>
    </row>
    <row r="128" spans="1:5" x14ac:dyDescent="0.3">
      <c r="A128" t="s">
        <v>3993</v>
      </c>
      <c r="B128" t="s">
        <v>3994</v>
      </c>
      <c r="C128" t="s">
        <v>3995</v>
      </c>
      <c r="D128">
        <v>234</v>
      </c>
      <c r="E128" t="s">
        <v>1058</v>
      </c>
    </row>
    <row r="129" spans="1:5" x14ac:dyDescent="0.3">
      <c r="A129" t="s">
        <v>3993</v>
      </c>
      <c r="B129" t="s">
        <v>3994</v>
      </c>
      <c r="C129" t="s">
        <v>3995</v>
      </c>
      <c r="D129">
        <v>263</v>
      </c>
      <c r="E129" t="s">
        <v>1099</v>
      </c>
    </row>
    <row r="130" spans="1:5" x14ac:dyDescent="0.3">
      <c r="A130" s="110" t="s">
        <v>3993</v>
      </c>
      <c r="B130" s="110" t="s">
        <v>3994</v>
      </c>
      <c r="C130" s="110" t="s">
        <v>3995</v>
      </c>
      <c r="D130" s="110">
        <v>275</v>
      </c>
      <c r="E130" s="110" t="s">
        <v>1117</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925D2-A6D1-4DBA-8D8B-15BDCEC42ABD}">
  <dimension ref="A1:Q93"/>
  <sheetViews>
    <sheetView zoomScale="80" zoomScaleNormal="80" workbookViewId="0">
      <pane xSplit="1" ySplit="2" topLeftCell="B3" activePane="bottomRight" state="frozen"/>
      <selection pane="topRight" activeCell="J41" sqref="J41"/>
      <selection pane="bottomLeft" activeCell="J41" sqref="J41"/>
      <selection pane="bottomRight" activeCell="J41" sqref="J41"/>
    </sheetView>
  </sheetViews>
  <sheetFormatPr defaultColWidth="10.77734375" defaultRowHeight="14.4" x14ac:dyDescent="0.3"/>
  <cols>
    <col min="4" max="4" width="31.77734375" customWidth="1"/>
    <col min="5" max="5" width="82" customWidth="1"/>
    <col min="6" max="6" width="37.109375" customWidth="1"/>
  </cols>
  <sheetData>
    <row r="1" spans="1:17" x14ac:dyDescent="0.3">
      <c r="A1" s="138"/>
      <c r="B1" s="137"/>
      <c r="C1" s="136"/>
      <c r="D1" s="136"/>
      <c r="E1" s="136"/>
      <c r="F1" s="136"/>
      <c r="G1" s="143" t="s">
        <v>3996</v>
      </c>
      <c r="H1" s="143"/>
      <c r="I1" s="143"/>
      <c r="J1" s="143" t="s">
        <v>3997</v>
      </c>
      <c r="K1" s="143"/>
      <c r="L1" s="143"/>
      <c r="M1" s="143" t="s">
        <v>3998</v>
      </c>
      <c r="N1" s="143"/>
      <c r="O1" s="143"/>
      <c r="P1" s="135"/>
      <c r="Q1" s="134"/>
    </row>
    <row r="2" spans="1:17" ht="93.6" x14ac:dyDescent="0.3">
      <c r="A2" s="133" t="s">
        <v>3999</v>
      </c>
      <c r="B2" s="130" t="s">
        <v>4000</v>
      </c>
      <c r="C2" s="132" t="s">
        <v>3842</v>
      </c>
      <c r="D2" s="130" t="s">
        <v>4001</v>
      </c>
      <c r="E2" s="130" t="s">
        <v>4002</v>
      </c>
      <c r="F2" s="130" t="s">
        <v>789</v>
      </c>
      <c r="G2" s="130" t="s">
        <v>4003</v>
      </c>
      <c r="H2" s="130" t="s">
        <v>4004</v>
      </c>
      <c r="I2" s="130" t="s">
        <v>4005</v>
      </c>
      <c r="J2" s="131" t="s">
        <v>4003</v>
      </c>
      <c r="K2" s="131" t="s">
        <v>4004</v>
      </c>
      <c r="L2" s="130" t="s">
        <v>4005</v>
      </c>
      <c r="M2" s="131" t="s">
        <v>4003</v>
      </c>
      <c r="N2" s="131" t="s">
        <v>4004</v>
      </c>
      <c r="O2" s="130" t="s">
        <v>4005</v>
      </c>
      <c r="P2" s="129" t="s">
        <v>4006</v>
      </c>
      <c r="Q2" s="128" t="s">
        <v>4007</v>
      </c>
    </row>
    <row r="3" spans="1:17" ht="57.6" x14ac:dyDescent="0.3">
      <c r="A3" s="118" t="s">
        <v>4008</v>
      </c>
      <c r="B3" s="113">
        <v>711</v>
      </c>
      <c r="C3" t="e">
        <f>VLOOKUP(I3,HS_FAO_JRC!$A$2:$E$130,5,0)</f>
        <v>#N/A</v>
      </c>
      <c r="D3" t="s">
        <v>4009</v>
      </c>
      <c r="E3" t="s">
        <v>4010</v>
      </c>
      <c r="F3" s="113"/>
      <c r="G3" s="5">
        <v>1</v>
      </c>
      <c r="H3" s="5">
        <v>1</v>
      </c>
      <c r="I3" s="119" t="s">
        <v>4011</v>
      </c>
      <c r="J3" s="126"/>
      <c r="K3" s="127"/>
      <c r="L3" s="126"/>
      <c r="M3" s="127"/>
      <c r="N3" s="126"/>
      <c r="O3" s="126"/>
      <c r="P3" s="126"/>
      <c r="Q3" s="125" t="s">
        <v>4012</v>
      </c>
    </row>
    <row r="4" spans="1:17" ht="15.6" x14ac:dyDescent="0.3">
      <c r="A4" s="118" t="s">
        <v>4013</v>
      </c>
      <c r="B4" s="113">
        <v>711</v>
      </c>
      <c r="C4" t="str">
        <f>VLOOKUP(I4,HS_FAO_JRC!$A$2:$E$130,5,0)</f>
        <v>Cucumbers and gherkins</v>
      </c>
      <c r="D4" t="s">
        <v>4014</v>
      </c>
      <c r="E4" t="s">
        <v>4015</v>
      </c>
      <c r="F4" s="113"/>
      <c r="G4" s="5">
        <v>1</v>
      </c>
      <c r="H4" s="5">
        <v>1</v>
      </c>
      <c r="I4" s="117" t="s">
        <v>3856</v>
      </c>
      <c r="K4" s="124"/>
      <c r="M4" s="124"/>
      <c r="P4" s="123"/>
      <c r="Q4" s="116" t="s">
        <v>4012</v>
      </c>
    </row>
    <row r="5" spans="1:17" x14ac:dyDescent="0.3">
      <c r="A5" s="118" t="s">
        <v>4016</v>
      </c>
      <c r="B5" s="113" t="s">
        <v>4017</v>
      </c>
      <c r="C5" t="e">
        <f>VLOOKUP(I5,HS_FAO_JRC!$A$2:$E$130,5,0)</f>
        <v>#N/A</v>
      </c>
      <c r="D5" s="113" t="s">
        <v>4018</v>
      </c>
      <c r="E5" s="113" t="s">
        <v>4018</v>
      </c>
      <c r="F5" s="113"/>
      <c r="G5" s="5">
        <v>0.35</v>
      </c>
      <c r="H5" s="5">
        <v>1</v>
      </c>
      <c r="I5" s="117" t="s">
        <v>4019</v>
      </c>
      <c r="P5" s="8"/>
      <c r="Q5" s="116" t="s">
        <v>4012</v>
      </c>
    </row>
    <row r="6" spans="1:17" x14ac:dyDescent="0.3">
      <c r="A6" s="118" t="s">
        <v>4020</v>
      </c>
      <c r="B6" s="113" t="s">
        <v>4017</v>
      </c>
      <c r="C6" t="str">
        <f>VLOOKUP(I6,HS_FAO_JRC!$A$2:$E$130,5,0)</f>
        <v>Chick peas</v>
      </c>
      <c r="D6" s="113" t="s">
        <v>4021</v>
      </c>
      <c r="E6" s="113" t="s">
        <v>4021</v>
      </c>
      <c r="F6" s="113"/>
      <c r="G6" s="5">
        <v>0.35</v>
      </c>
      <c r="H6" s="5">
        <v>1</v>
      </c>
      <c r="I6" s="117" t="s">
        <v>3858</v>
      </c>
      <c r="P6" s="8"/>
      <c r="Q6" s="116" t="s">
        <v>4012</v>
      </c>
    </row>
    <row r="7" spans="1:17" x14ac:dyDescent="0.3">
      <c r="A7" s="118" t="s">
        <v>4022</v>
      </c>
      <c r="B7" s="113">
        <v>813</v>
      </c>
      <c r="C7" t="e">
        <f>VLOOKUP(I7,HS_FAO_JRC!$A$2:$E$130,5,0)</f>
        <v>#N/A</v>
      </c>
      <c r="D7" t="s">
        <v>3887</v>
      </c>
      <c r="E7" t="s">
        <v>4023</v>
      </c>
      <c r="F7" s="113"/>
      <c r="G7" s="5">
        <v>0.28999999999999998</v>
      </c>
      <c r="H7" s="5">
        <v>1</v>
      </c>
      <c r="I7" s="117" t="s">
        <v>4024</v>
      </c>
      <c r="P7" s="8"/>
      <c r="Q7" s="116" t="s">
        <v>4012</v>
      </c>
    </row>
    <row r="8" spans="1:17" x14ac:dyDescent="0.3">
      <c r="A8" s="118" t="s">
        <v>4025</v>
      </c>
      <c r="B8" s="113">
        <v>813</v>
      </c>
      <c r="C8" t="e">
        <f>VLOOKUP(I8,HS_FAO_JRC!$A$2:$E$130,5,0)</f>
        <v>#N/A</v>
      </c>
      <c r="D8" t="s">
        <v>4026</v>
      </c>
      <c r="E8" t="s">
        <v>4027</v>
      </c>
      <c r="F8" s="113"/>
      <c r="G8" s="5">
        <v>0.35</v>
      </c>
      <c r="H8" s="5">
        <v>1</v>
      </c>
      <c r="I8" s="117" t="s">
        <v>4028</v>
      </c>
      <c r="P8" s="8"/>
      <c r="Q8" s="116" t="s">
        <v>4012</v>
      </c>
    </row>
    <row r="9" spans="1:17" x14ac:dyDescent="0.3">
      <c r="A9" s="118" t="s">
        <v>4029</v>
      </c>
      <c r="B9" s="113">
        <v>813</v>
      </c>
      <c r="C9" t="e">
        <f>VLOOKUP(I9,HS_FAO_JRC!$A$2:$E$130,5,0)</f>
        <v>#N/A</v>
      </c>
      <c r="D9" t="s">
        <v>3878</v>
      </c>
      <c r="E9" t="s">
        <v>4030</v>
      </c>
      <c r="F9" s="113"/>
      <c r="G9" s="5">
        <v>0.12</v>
      </c>
      <c r="H9" s="5">
        <v>1</v>
      </c>
      <c r="I9" s="117" t="s">
        <v>4031</v>
      </c>
      <c r="P9" s="8"/>
      <c r="Q9" s="116" t="s">
        <v>4012</v>
      </c>
    </row>
    <row r="10" spans="1:17" x14ac:dyDescent="0.3">
      <c r="A10" s="118" t="s">
        <v>4032</v>
      </c>
      <c r="B10" s="113">
        <v>813</v>
      </c>
      <c r="C10" t="str">
        <f>VLOOKUP(I10,HS_FAO_JRC!$A$2:$E$130,5,0)</f>
        <v>Kapok fruit</v>
      </c>
      <c r="D10" t="s">
        <v>4033</v>
      </c>
      <c r="E10" t="s">
        <v>4034</v>
      </c>
      <c r="F10" s="113"/>
      <c r="G10" s="5">
        <v>0.25</v>
      </c>
      <c r="H10" s="5">
        <v>1</v>
      </c>
      <c r="I10" s="117" t="s">
        <v>3901</v>
      </c>
      <c r="P10" s="122"/>
      <c r="Q10" s="116" t="s">
        <v>4012</v>
      </c>
    </row>
    <row r="11" spans="1:17" ht="28.8" x14ac:dyDescent="0.3">
      <c r="A11" s="113" t="s">
        <v>4035</v>
      </c>
      <c r="B11" s="113" t="s">
        <v>4036</v>
      </c>
      <c r="C11" t="e">
        <f>VLOOKUP(I11,HS_FAO_JRC!$A$2:$E$130,5,0)</f>
        <v>#N/A</v>
      </c>
      <c r="D11" s="113" t="s">
        <v>4037</v>
      </c>
      <c r="E11" s="113" t="s">
        <v>4037</v>
      </c>
      <c r="F11" s="113"/>
      <c r="G11" s="5">
        <v>1</v>
      </c>
      <c r="H11" s="5">
        <v>1</v>
      </c>
      <c r="I11" s="119" t="s">
        <v>4038</v>
      </c>
      <c r="P11" s="8"/>
      <c r="Q11" s="116" t="s">
        <v>4012</v>
      </c>
    </row>
    <row r="12" spans="1:17" ht="273.60000000000002" x14ac:dyDescent="0.3">
      <c r="A12" s="113" t="s">
        <v>4039</v>
      </c>
      <c r="B12" s="113" t="s">
        <v>4040</v>
      </c>
      <c r="C12" t="e">
        <f>VLOOKUP(I12,HS_FAO_JRC!$A$2:$E$130,5,0)</f>
        <v>#N/A</v>
      </c>
      <c r="D12" s="113" t="s">
        <v>1548</v>
      </c>
      <c r="E12" s="113" t="s">
        <v>1548</v>
      </c>
      <c r="F12" s="113"/>
      <c r="G12" s="5">
        <v>0.72</v>
      </c>
      <c r="H12" s="5">
        <v>1</v>
      </c>
      <c r="I12" s="119" t="s">
        <v>4041</v>
      </c>
      <c r="P12" s="8" t="s">
        <v>4042</v>
      </c>
      <c r="Q12" s="116" t="s">
        <v>4043</v>
      </c>
    </row>
    <row r="13" spans="1:17" x14ac:dyDescent="0.3">
      <c r="A13" s="118" t="s">
        <v>4044</v>
      </c>
      <c r="B13" s="113" t="s">
        <v>4045</v>
      </c>
      <c r="C13" t="str">
        <f>VLOOKUP(I13,HS_FAO_JRC!$A$2:$E$130,5,0)</f>
        <v>Wheat</v>
      </c>
      <c r="D13" s="113" t="s">
        <v>4046</v>
      </c>
      <c r="E13" s="113" t="s">
        <v>4046</v>
      </c>
      <c r="F13" t="s">
        <v>1522</v>
      </c>
      <c r="G13" s="5">
        <v>0.79</v>
      </c>
      <c r="H13" s="5">
        <v>0.7993920558187525</v>
      </c>
      <c r="I13" s="117" t="s">
        <v>3923</v>
      </c>
      <c r="P13" s="8"/>
      <c r="Q13" s="116" t="s">
        <v>4012</v>
      </c>
    </row>
    <row r="14" spans="1:17" x14ac:dyDescent="0.3">
      <c r="A14" s="118" t="s">
        <v>4047</v>
      </c>
      <c r="B14" s="113">
        <v>1102</v>
      </c>
      <c r="C14" t="str">
        <f>VLOOKUP(I14,HS_FAO_JRC!$A$2:$E$130,5,0)</f>
        <v>Maize</v>
      </c>
      <c r="D14" t="s">
        <v>4048</v>
      </c>
      <c r="E14" t="s">
        <v>4049</v>
      </c>
      <c r="F14" s="113"/>
      <c r="G14" s="5">
        <v>0.82</v>
      </c>
      <c r="H14" s="5">
        <v>0.84082340966631186</v>
      </c>
      <c r="I14" s="117" t="s">
        <v>3928</v>
      </c>
      <c r="P14" s="8"/>
      <c r="Q14" s="116" t="s">
        <v>4012</v>
      </c>
    </row>
    <row r="15" spans="1:17" x14ac:dyDescent="0.3">
      <c r="A15" s="118" t="s">
        <v>4050</v>
      </c>
      <c r="B15" s="113">
        <v>1102</v>
      </c>
      <c r="C15" t="str">
        <f>VLOOKUP(I15,HS_FAO_JRC!$A$2:$E$130,5,0)</f>
        <v>Millet</v>
      </c>
      <c r="D15" t="s">
        <v>4051</v>
      </c>
      <c r="E15" t="s">
        <v>4052</v>
      </c>
      <c r="F15" s="113"/>
      <c r="G15" s="5">
        <v>0.79</v>
      </c>
      <c r="H15" s="5">
        <v>0.82620187438434589</v>
      </c>
      <c r="I15" s="117" t="s">
        <v>3932</v>
      </c>
      <c r="P15" s="8"/>
      <c r="Q15" s="116" t="s">
        <v>4012</v>
      </c>
    </row>
    <row r="16" spans="1:17" x14ac:dyDescent="0.3">
      <c r="A16" s="118" t="s">
        <v>4053</v>
      </c>
      <c r="B16" s="113">
        <v>1103</v>
      </c>
      <c r="C16" t="e">
        <f>VLOOKUP(I16,HS_FAO_JRC!$A$2:$E$130,5,0)</f>
        <v>#N/A</v>
      </c>
      <c r="D16" t="s">
        <v>4054</v>
      </c>
      <c r="E16" t="s">
        <v>4055</v>
      </c>
      <c r="F16" s="113"/>
      <c r="G16" s="5">
        <v>1</v>
      </c>
      <c r="H16" s="5">
        <v>1</v>
      </c>
      <c r="I16" s="113" t="s">
        <v>4056</v>
      </c>
      <c r="P16" s="8"/>
      <c r="Q16" s="116" t="s">
        <v>4012</v>
      </c>
    </row>
    <row r="17" spans="1:17" x14ac:dyDescent="0.3">
      <c r="A17" s="118" t="s">
        <v>4057</v>
      </c>
      <c r="B17" s="113">
        <v>1103</v>
      </c>
      <c r="C17" t="str">
        <f>VLOOKUP(I17,HS_FAO_JRC!$A$2:$E$130,5,0)</f>
        <v>Maize</v>
      </c>
      <c r="D17" t="s">
        <v>4058</v>
      </c>
      <c r="E17" t="s">
        <v>4059</v>
      </c>
      <c r="F17" t="s">
        <v>936</v>
      </c>
      <c r="G17" s="5">
        <v>0.11</v>
      </c>
      <c r="H17" s="5">
        <v>9.7234849621385649E-2</v>
      </c>
      <c r="I17" s="117" t="s">
        <v>3928</v>
      </c>
      <c r="P17" s="8"/>
      <c r="Q17" s="116" t="s">
        <v>4012</v>
      </c>
    </row>
    <row r="18" spans="1:17" x14ac:dyDescent="0.3">
      <c r="A18" s="118" t="s">
        <v>4060</v>
      </c>
      <c r="B18" s="113">
        <v>1103</v>
      </c>
      <c r="C18" t="e">
        <f>VLOOKUP(I18,HS_FAO_JRC!$A$2:$E$130,5,0)</f>
        <v>#N/A</v>
      </c>
      <c r="D18" t="s">
        <v>4061</v>
      </c>
      <c r="E18" t="s">
        <v>4062</v>
      </c>
      <c r="F18" s="113"/>
      <c r="G18" s="5">
        <v>0.18</v>
      </c>
      <c r="H18" s="5">
        <v>0.20060794418124744</v>
      </c>
      <c r="I18" s="113" t="s">
        <v>4056</v>
      </c>
      <c r="P18" s="8"/>
      <c r="Q18" s="116" t="s">
        <v>4012</v>
      </c>
    </row>
    <row r="19" spans="1:17" x14ac:dyDescent="0.3">
      <c r="A19" s="118" t="s">
        <v>4056</v>
      </c>
      <c r="B19" s="113">
        <v>1103</v>
      </c>
      <c r="C19" t="e">
        <f>VLOOKUP(I19,HS_FAO_JRC!$A$2:$E$130,5,0)</f>
        <v>#N/A</v>
      </c>
      <c r="D19" t="s">
        <v>4063</v>
      </c>
      <c r="E19" t="s">
        <v>4064</v>
      </c>
      <c r="F19" s="113"/>
      <c r="G19" s="5">
        <v>0.18</v>
      </c>
      <c r="H19" s="5">
        <v>0.20060794418124744</v>
      </c>
      <c r="I19" s="117">
        <v>1001</v>
      </c>
      <c r="P19" s="8"/>
      <c r="Q19" s="116" t="s">
        <v>4012</v>
      </c>
    </row>
    <row r="20" spans="1:17" x14ac:dyDescent="0.3">
      <c r="A20" s="118" t="s">
        <v>4065</v>
      </c>
      <c r="B20" s="113">
        <v>1104</v>
      </c>
      <c r="C20" t="str">
        <f>VLOOKUP(I20,HS_FAO_JRC!$A$2:$E$130,5,0)</f>
        <v>Oats</v>
      </c>
      <c r="D20" t="s">
        <v>4066</v>
      </c>
      <c r="E20" t="s">
        <v>4067</v>
      </c>
      <c r="F20" s="113"/>
      <c r="G20" s="5">
        <v>0.53</v>
      </c>
      <c r="H20" s="5">
        <v>0.7162895961710084</v>
      </c>
      <c r="I20" s="117" t="s">
        <v>3927</v>
      </c>
      <c r="P20" s="8"/>
      <c r="Q20" s="116" t="s">
        <v>4012</v>
      </c>
    </row>
    <row r="21" spans="1:17" x14ac:dyDescent="0.3">
      <c r="A21" s="118" t="s">
        <v>4068</v>
      </c>
      <c r="B21" s="113">
        <v>1104</v>
      </c>
      <c r="C21" t="str">
        <f>VLOOKUP(I21,HS_FAO_JRC!$A$2:$E$130,5,0)</f>
        <v>Millet</v>
      </c>
      <c r="D21" t="s">
        <v>4061</v>
      </c>
      <c r="E21" t="s">
        <v>4069</v>
      </c>
      <c r="F21" s="113"/>
      <c r="G21" s="5">
        <v>0.85</v>
      </c>
      <c r="H21" s="5">
        <v>1</v>
      </c>
      <c r="I21" s="117" t="s">
        <v>3932</v>
      </c>
      <c r="P21" s="8"/>
      <c r="Q21" s="116" t="s">
        <v>4012</v>
      </c>
    </row>
    <row r="22" spans="1:17" x14ac:dyDescent="0.3">
      <c r="A22" s="118" t="s">
        <v>4070</v>
      </c>
      <c r="B22" s="113">
        <v>1104</v>
      </c>
      <c r="C22" t="str">
        <f>VLOOKUP(I22,HS_FAO_JRC!$A$2:$E$130,5,0)</f>
        <v>Oats</v>
      </c>
      <c r="D22" t="s">
        <v>4066</v>
      </c>
      <c r="E22" t="s">
        <v>4071</v>
      </c>
      <c r="F22" s="113"/>
      <c r="G22" s="5">
        <v>0.73</v>
      </c>
      <c r="H22" s="5">
        <v>1</v>
      </c>
      <c r="I22" s="117" t="s">
        <v>3927</v>
      </c>
      <c r="P22" s="8"/>
      <c r="Q22" s="116" t="s">
        <v>4012</v>
      </c>
    </row>
    <row r="23" spans="1:17" x14ac:dyDescent="0.3">
      <c r="A23" s="118" t="s">
        <v>4072</v>
      </c>
      <c r="B23" s="113">
        <v>1104</v>
      </c>
      <c r="C23" t="str">
        <f>VLOOKUP(I23,HS_FAO_JRC!$A$2:$E$130,5,0)</f>
        <v>Maize</v>
      </c>
      <c r="D23" t="s">
        <v>4058</v>
      </c>
      <c r="E23" t="s">
        <v>4073</v>
      </c>
      <c r="F23" s="113"/>
      <c r="G23" s="5">
        <v>0.93</v>
      </c>
      <c r="H23" s="5">
        <v>1</v>
      </c>
      <c r="I23" s="117" t="s">
        <v>3928</v>
      </c>
      <c r="P23" s="8"/>
      <c r="Q23" s="116" t="s">
        <v>4012</v>
      </c>
    </row>
    <row r="24" spans="1:17" x14ac:dyDescent="0.3">
      <c r="A24" s="118" t="s">
        <v>4074</v>
      </c>
      <c r="B24" s="113">
        <v>1104</v>
      </c>
      <c r="C24" t="str">
        <f>VLOOKUP(I24,HS_FAO_JRC!$A$2:$E$130,5,0)</f>
        <v>Millet</v>
      </c>
      <c r="D24" t="s">
        <v>4061</v>
      </c>
      <c r="E24" t="s">
        <v>4075</v>
      </c>
      <c r="F24" s="113"/>
      <c r="G24" s="5">
        <v>0.85</v>
      </c>
      <c r="H24" s="5">
        <v>1</v>
      </c>
      <c r="I24" s="117" t="s">
        <v>3932</v>
      </c>
      <c r="P24" s="8"/>
      <c r="Q24" s="116" t="s">
        <v>4012</v>
      </c>
    </row>
    <row r="25" spans="1:17" x14ac:dyDescent="0.3">
      <c r="A25" s="118" t="s">
        <v>4076</v>
      </c>
      <c r="B25" s="113">
        <v>1104</v>
      </c>
      <c r="C25" t="str">
        <f>VLOOKUP(I25,HS_FAO_JRC!$A$2:$E$130,5,0)</f>
        <v>Millet</v>
      </c>
      <c r="D25" t="s">
        <v>4077</v>
      </c>
      <c r="E25" t="s">
        <v>4078</v>
      </c>
      <c r="F25" s="113"/>
      <c r="G25" s="5">
        <v>0.02</v>
      </c>
      <c r="H25" s="5">
        <v>1.6626538028498762E-2</v>
      </c>
      <c r="I25" s="117" t="s">
        <v>3932</v>
      </c>
      <c r="P25" s="8"/>
      <c r="Q25" s="116" t="s">
        <v>4012</v>
      </c>
    </row>
    <row r="26" spans="1:17" x14ac:dyDescent="0.3">
      <c r="A26" s="118" t="s">
        <v>4079</v>
      </c>
      <c r="B26" s="113" t="s">
        <v>4045</v>
      </c>
      <c r="C26" t="str">
        <f>VLOOKUP(I26,HS_FAO_JRC!$A$2:$E$130,5,0)</f>
        <v>Potatoes</v>
      </c>
      <c r="D26" t="s">
        <v>4080</v>
      </c>
      <c r="E26" t="s">
        <v>4080</v>
      </c>
      <c r="F26" s="113"/>
      <c r="G26">
        <v>0.24</v>
      </c>
      <c r="H26">
        <v>1</v>
      </c>
      <c r="I26" s="117" t="s">
        <v>3843</v>
      </c>
      <c r="P26" s="8"/>
      <c r="Q26" s="116" t="s">
        <v>4012</v>
      </c>
    </row>
    <row r="27" spans="1:17" x14ac:dyDescent="0.3">
      <c r="A27" s="118" t="s">
        <v>4081</v>
      </c>
      <c r="B27" s="113" t="s">
        <v>4045</v>
      </c>
      <c r="C27" t="e">
        <f>VLOOKUP(I27,HS_FAO_JRC!$A$2:$E$130,5,0)</f>
        <v>#N/A</v>
      </c>
      <c r="D27" s="113" t="s">
        <v>4082</v>
      </c>
      <c r="E27" s="113" t="s">
        <v>4083</v>
      </c>
      <c r="F27" s="113"/>
      <c r="G27" s="5">
        <v>0.72</v>
      </c>
      <c r="H27" s="5">
        <v>1</v>
      </c>
      <c r="I27" s="113" t="s">
        <v>4020</v>
      </c>
      <c r="P27" s="8"/>
      <c r="Q27" s="116" t="s">
        <v>4012</v>
      </c>
    </row>
    <row r="28" spans="1:17" x14ac:dyDescent="0.3">
      <c r="A28" s="118" t="s">
        <v>4084</v>
      </c>
      <c r="B28" s="113">
        <v>1107</v>
      </c>
      <c r="C28" t="e">
        <f>VLOOKUP(I28,HS_FAO_JRC!$A$2:$E$130,5,0)</f>
        <v>#N/A</v>
      </c>
      <c r="D28" t="s">
        <v>4085</v>
      </c>
      <c r="E28" t="s">
        <v>4086</v>
      </c>
      <c r="F28" s="113"/>
      <c r="G28" s="5">
        <v>0.73</v>
      </c>
      <c r="H28" s="5">
        <v>1</v>
      </c>
      <c r="I28" s="117">
        <v>1003</v>
      </c>
      <c r="P28" s="8"/>
      <c r="Q28" s="116" t="s">
        <v>4012</v>
      </c>
    </row>
    <row r="29" spans="1:17" x14ac:dyDescent="0.3">
      <c r="A29" s="118" t="s">
        <v>4087</v>
      </c>
      <c r="B29" s="113">
        <v>1107</v>
      </c>
      <c r="C29" t="e">
        <f>VLOOKUP(I29,HS_FAO_JRC!$A$2:$E$130,5,0)</f>
        <v>#N/A</v>
      </c>
      <c r="D29" t="s">
        <v>4088</v>
      </c>
      <c r="E29" t="s">
        <v>4089</v>
      </c>
      <c r="F29" s="113"/>
      <c r="G29" s="5">
        <v>0.8</v>
      </c>
      <c r="H29" s="5">
        <v>1</v>
      </c>
      <c r="I29" s="113" t="s">
        <v>4084</v>
      </c>
      <c r="P29" s="8"/>
      <c r="Q29" s="116" t="s">
        <v>4012</v>
      </c>
    </row>
    <row r="30" spans="1:17" x14ac:dyDescent="0.3">
      <c r="A30" s="118" t="s">
        <v>4090</v>
      </c>
      <c r="B30" s="113">
        <v>1108</v>
      </c>
      <c r="C30" t="e">
        <f>VLOOKUP(I30,HS_FAO_JRC!$A$2:$E$130,5,0)</f>
        <v>#N/A</v>
      </c>
      <c r="D30" t="s">
        <v>4091</v>
      </c>
      <c r="E30" t="s">
        <v>4092</v>
      </c>
      <c r="F30" s="113"/>
      <c r="G30" s="5">
        <v>0.85</v>
      </c>
      <c r="H30" s="5">
        <v>0.66017029339966815</v>
      </c>
      <c r="I30" s="113" t="s">
        <v>4044</v>
      </c>
      <c r="P30" s="8"/>
      <c r="Q30" s="116" t="s">
        <v>4012</v>
      </c>
    </row>
    <row r="31" spans="1:17" x14ac:dyDescent="0.3">
      <c r="A31" s="118" t="s">
        <v>4093</v>
      </c>
      <c r="B31" s="113">
        <v>1108</v>
      </c>
      <c r="C31" t="e">
        <f>VLOOKUP(I31,HS_FAO_JRC!$A$2:$E$130,5,0)</f>
        <v>#N/A</v>
      </c>
      <c r="D31" t="s">
        <v>4094</v>
      </c>
      <c r="E31" t="s">
        <v>4095</v>
      </c>
      <c r="F31" s="113"/>
      <c r="G31" s="5">
        <v>0.75</v>
      </c>
      <c r="H31" s="5">
        <v>1</v>
      </c>
      <c r="I31" s="113" t="s">
        <v>4047</v>
      </c>
      <c r="P31" s="8"/>
      <c r="Q31" s="116" t="s">
        <v>4012</v>
      </c>
    </row>
    <row r="32" spans="1:17" x14ac:dyDescent="0.3">
      <c r="A32" s="118" t="s">
        <v>4096</v>
      </c>
      <c r="B32" s="113">
        <v>1108</v>
      </c>
      <c r="C32" t="str">
        <f>VLOOKUP(I32,HS_FAO_JRC!$A$2:$E$130,5,0)</f>
        <v>Potatoes</v>
      </c>
      <c r="D32" t="s">
        <v>4097</v>
      </c>
      <c r="E32" t="s">
        <v>4098</v>
      </c>
      <c r="F32" s="113"/>
      <c r="G32" s="5">
        <v>0.19</v>
      </c>
      <c r="H32" s="5">
        <v>1</v>
      </c>
      <c r="I32" s="117" t="s">
        <v>3843</v>
      </c>
      <c r="P32" s="8"/>
      <c r="Q32" s="116" t="s">
        <v>4012</v>
      </c>
    </row>
    <row r="33" spans="1:17" x14ac:dyDescent="0.3">
      <c r="A33" s="118" t="s">
        <v>4099</v>
      </c>
      <c r="B33" s="113">
        <v>1108</v>
      </c>
      <c r="C33" t="str">
        <f>VLOOKUP(I33,HS_FAO_JRC!$A$2:$E$130,5,0)</f>
        <v>Sweet potatoes</v>
      </c>
      <c r="D33" t="s">
        <v>4100</v>
      </c>
      <c r="E33" t="s">
        <v>4101</v>
      </c>
      <c r="F33" s="113"/>
      <c r="G33" s="5">
        <v>0.25</v>
      </c>
      <c r="H33" s="5">
        <v>1</v>
      </c>
      <c r="I33" s="117" t="s">
        <v>3860</v>
      </c>
      <c r="P33" s="8"/>
      <c r="Q33" s="116" t="s">
        <v>4012</v>
      </c>
    </row>
    <row r="34" spans="1:17" x14ac:dyDescent="0.3">
      <c r="A34" s="118" t="s">
        <v>4102</v>
      </c>
      <c r="B34" s="113" t="s">
        <v>4045</v>
      </c>
      <c r="C34" t="e">
        <f>VLOOKUP(I34,HS_FAO_JRC!$A$2:$E$130,5,0)</f>
        <v>#N/A</v>
      </c>
      <c r="D34" s="113" t="s">
        <v>4103</v>
      </c>
      <c r="E34" s="113" t="s">
        <v>4103</v>
      </c>
      <c r="F34" s="113"/>
      <c r="G34" s="5">
        <v>0.15</v>
      </c>
      <c r="H34" s="5">
        <v>0.3398297066003319</v>
      </c>
      <c r="I34" s="113" t="s">
        <v>4044</v>
      </c>
      <c r="M34" s="113"/>
      <c r="P34" s="120"/>
      <c r="Q34" s="116" t="s">
        <v>4012</v>
      </c>
    </row>
    <row r="35" spans="1:17" x14ac:dyDescent="0.3">
      <c r="A35" s="118" t="s">
        <v>4104</v>
      </c>
      <c r="B35" s="113" t="s">
        <v>4105</v>
      </c>
      <c r="C35" t="str">
        <f>VLOOKUP(I35,HS_FAO_JRC!$A$2:$E$130,5,0)</f>
        <v>Brazil nuts, with shell</v>
      </c>
      <c r="D35" s="113" t="s">
        <v>1081</v>
      </c>
      <c r="E35" s="113" t="s">
        <v>1081</v>
      </c>
      <c r="F35" s="113"/>
      <c r="G35" s="5">
        <v>0.6</v>
      </c>
      <c r="H35" s="5">
        <v>1</v>
      </c>
      <c r="I35" s="117" t="s">
        <v>3863</v>
      </c>
      <c r="P35" s="8"/>
      <c r="Q35" s="116" t="s">
        <v>4012</v>
      </c>
    </row>
    <row r="36" spans="1:17" ht="28.8" x14ac:dyDescent="0.3">
      <c r="A36" s="113" t="s">
        <v>4106</v>
      </c>
      <c r="B36" s="113">
        <v>1207</v>
      </c>
      <c r="C36" t="e">
        <f>VLOOKUP(I36,HS_FAO_JRC!$A$2:$E$130,5,0)</f>
        <v>#N/A</v>
      </c>
      <c r="D36" t="s">
        <v>4107</v>
      </c>
      <c r="E36" t="s">
        <v>4108</v>
      </c>
      <c r="F36" s="113" t="s">
        <v>1087</v>
      </c>
      <c r="G36" s="5">
        <v>0.06</v>
      </c>
      <c r="H36" s="5">
        <v>0.16</v>
      </c>
      <c r="I36" s="119" t="s">
        <v>4109</v>
      </c>
      <c r="P36" s="8"/>
      <c r="Q36" s="116" t="s">
        <v>4012</v>
      </c>
    </row>
    <row r="37" spans="1:17" x14ac:dyDescent="0.3">
      <c r="A37" s="118" t="s">
        <v>4110</v>
      </c>
      <c r="B37" s="113" t="s">
        <v>4105</v>
      </c>
      <c r="C37" t="str">
        <f>VLOOKUP(I37,HS_FAO_JRC!$A$2:$E$130,5,0)</f>
        <v>Soybeans</v>
      </c>
      <c r="D37" s="113" t="s">
        <v>4111</v>
      </c>
      <c r="E37" s="113" t="s">
        <v>4112</v>
      </c>
      <c r="F37" s="113"/>
      <c r="G37" s="5">
        <v>0.85</v>
      </c>
      <c r="H37" s="5">
        <v>1</v>
      </c>
      <c r="I37" s="117" t="s">
        <v>3935</v>
      </c>
      <c r="P37" s="8"/>
      <c r="Q37" s="116" t="s">
        <v>4012</v>
      </c>
    </row>
    <row r="38" spans="1:17" x14ac:dyDescent="0.3">
      <c r="A38" s="118" t="s">
        <v>4113</v>
      </c>
      <c r="B38" s="113" t="s">
        <v>4114</v>
      </c>
      <c r="C38" t="str">
        <f>VLOOKUP(I38,HS_FAO_JRC!$A$2:$E$130,5,0)</f>
        <v>Soybeans</v>
      </c>
      <c r="D38" s="113" t="s">
        <v>4115</v>
      </c>
      <c r="E38" s="113" t="s">
        <v>4116</v>
      </c>
      <c r="F38" t="s">
        <v>1063</v>
      </c>
      <c r="G38" s="5">
        <v>0.18</v>
      </c>
      <c r="H38" s="5">
        <v>0.34464473273854535</v>
      </c>
      <c r="I38" s="117" t="s">
        <v>3935</v>
      </c>
      <c r="M38" s="113"/>
      <c r="P38" s="120"/>
      <c r="Q38" s="116" t="s">
        <v>4012</v>
      </c>
    </row>
    <row r="39" spans="1:17" x14ac:dyDescent="0.3">
      <c r="A39" s="118" t="s">
        <v>4117</v>
      </c>
      <c r="B39" s="113" t="s">
        <v>4114</v>
      </c>
      <c r="C39" t="str">
        <f>VLOOKUP(I39,HS_FAO_JRC!$A$2:$E$130,5,0)</f>
        <v>Groundnuts, with shell</v>
      </c>
      <c r="D39" s="113" t="s">
        <v>4118</v>
      </c>
      <c r="E39" s="113" t="s">
        <v>4118</v>
      </c>
      <c r="F39" t="s">
        <v>1073</v>
      </c>
      <c r="G39" s="5">
        <v>0.43</v>
      </c>
      <c r="H39" s="5">
        <v>0.79836076351489982</v>
      </c>
      <c r="I39" s="117" t="s">
        <v>3937</v>
      </c>
      <c r="P39" s="8"/>
      <c r="Q39" s="116" t="s">
        <v>4012</v>
      </c>
    </row>
    <row r="40" spans="1:17" x14ac:dyDescent="0.3">
      <c r="A40" s="118" t="s">
        <v>4119</v>
      </c>
      <c r="B40" s="113" t="s">
        <v>4114</v>
      </c>
      <c r="C40" t="e">
        <f>VLOOKUP(I40,HS_FAO_JRC!$A$2:$E$130,5,0)</f>
        <v>#N/A</v>
      </c>
      <c r="D40" s="113" t="s">
        <v>4120</v>
      </c>
      <c r="E40" s="113" t="s">
        <v>4121</v>
      </c>
      <c r="F40" t="s">
        <v>1097</v>
      </c>
      <c r="G40" s="5">
        <v>0.2</v>
      </c>
      <c r="H40" s="5">
        <v>0.95741496292538231</v>
      </c>
      <c r="I40" s="113" t="s">
        <v>4008</v>
      </c>
      <c r="P40" s="8"/>
      <c r="Q40" s="116" t="s">
        <v>4012</v>
      </c>
    </row>
    <row r="41" spans="1:17" x14ac:dyDescent="0.3">
      <c r="A41" s="118" t="s">
        <v>4122</v>
      </c>
      <c r="B41" s="113" t="s">
        <v>4114</v>
      </c>
      <c r="C41" t="e">
        <f>VLOOKUP(I41,HS_FAO_JRC!$A$2:$E$130,5,0)</f>
        <v>#N/A</v>
      </c>
      <c r="D41" t="s">
        <v>4123</v>
      </c>
      <c r="E41" t="s">
        <v>4124</v>
      </c>
      <c r="F41" s="113"/>
      <c r="G41" s="5">
        <v>0.02</v>
      </c>
      <c r="H41" s="5">
        <v>4.2585037074617665E-2</v>
      </c>
      <c r="I41" s="113" t="s">
        <v>4008</v>
      </c>
      <c r="P41" s="8"/>
      <c r="Q41" s="116" t="s">
        <v>4012</v>
      </c>
    </row>
    <row r="42" spans="1:17" ht="28.8" x14ac:dyDescent="0.3">
      <c r="A42" s="118" t="s">
        <v>4125</v>
      </c>
      <c r="B42" s="113" t="s">
        <v>4114</v>
      </c>
      <c r="C42" t="e">
        <f>VLOOKUP(I42,HS_FAO_JRC!$A$2:$E$130,5,0)</f>
        <v>#N/A</v>
      </c>
      <c r="D42" s="113" t="s">
        <v>4126</v>
      </c>
      <c r="E42" s="113" t="s">
        <v>4127</v>
      </c>
      <c r="F42" t="s">
        <v>1089</v>
      </c>
      <c r="G42" s="5">
        <v>0.19</v>
      </c>
      <c r="H42" s="5">
        <v>0.84323650658249738</v>
      </c>
      <c r="I42" s="119" t="s">
        <v>4109</v>
      </c>
      <c r="P42" s="8"/>
      <c r="Q42" s="116" t="s">
        <v>4012</v>
      </c>
    </row>
    <row r="43" spans="1:17" x14ac:dyDescent="0.3">
      <c r="A43" s="118" t="s">
        <v>4128</v>
      </c>
      <c r="B43" s="113" t="s">
        <v>4114</v>
      </c>
      <c r="C43" t="e">
        <f>VLOOKUP(I43,HS_FAO_JRC!$A$2:$E$130,5,0)</f>
        <v>#N/A</v>
      </c>
      <c r="D43" s="113" t="s">
        <v>4129</v>
      </c>
      <c r="E43" s="113" t="s">
        <v>4129</v>
      </c>
      <c r="F43" t="s">
        <v>1107</v>
      </c>
      <c r="G43" s="5">
        <v>0.41</v>
      </c>
      <c r="H43" s="5">
        <v>0.81072538253005644</v>
      </c>
      <c r="I43" s="117" t="s">
        <v>4130</v>
      </c>
      <c r="P43" s="8"/>
      <c r="Q43" s="116" t="s">
        <v>4012</v>
      </c>
    </row>
    <row r="44" spans="1:17" x14ac:dyDescent="0.3">
      <c r="A44" s="113" t="s">
        <v>4131</v>
      </c>
      <c r="B44" s="113">
        <v>1513</v>
      </c>
      <c r="C44" t="e">
        <f>VLOOKUP(I44,HS_FAO_JRC!$A$2:$E$130,5,0)</f>
        <v>#N/A</v>
      </c>
      <c r="D44" t="s">
        <v>4132</v>
      </c>
      <c r="E44" t="s">
        <v>4133</v>
      </c>
      <c r="F44" t="s">
        <v>1083</v>
      </c>
      <c r="G44">
        <v>0.36</v>
      </c>
      <c r="H44">
        <v>0.76</v>
      </c>
      <c r="I44" s="113" t="s">
        <v>4104</v>
      </c>
      <c r="M44" s="113"/>
      <c r="P44" s="120"/>
      <c r="Q44" s="116" t="s">
        <v>4012</v>
      </c>
    </row>
    <row r="45" spans="1:17" x14ac:dyDescent="0.3">
      <c r="A45" s="113" t="s">
        <v>4134</v>
      </c>
      <c r="B45" s="113">
        <v>1513</v>
      </c>
      <c r="C45" t="e">
        <f>VLOOKUP(I45,HS_FAO_JRC!$A$2:$E$130,5,0)</f>
        <v>#N/A</v>
      </c>
      <c r="D45" t="s">
        <v>3983</v>
      </c>
      <c r="E45" t="s">
        <v>4135</v>
      </c>
      <c r="F45" s="113"/>
      <c r="G45" s="5">
        <v>0.98</v>
      </c>
      <c r="H45" s="5">
        <v>1</v>
      </c>
      <c r="I45" s="113" t="s">
        <v>4131</v>
      </c>
      <c r="M45" s="113"/>
      <c r="P45" s="120"/>
      <c r="Q45" s="116" t="s">
        <v>4012</v>
      </c>
    </row>
    <row r="46" spans="1:17" x14ac:dyDescent="0.3">
      <c r="A46" s="113" t="s">
        <v>4136</v>
      </c>
      <c r="B46" s="113">
        <v>1513</v>
      </c>
      <c r="C46" t="e">
        <f>VLOOKUP(I46,HS_FAO_JRC!$A$2:$E$130,5,0)</f>
        <v>#N/A</v>
      </c>
      <c r="D46" t="s">
        <v>4132</v>
      </c>
      <c r="E46" t="s">
        <v>4137</v>
      </c>
      <c r="F46" t="s">
        <v>1091</v>
      </c>
      <c r="G46" s="5">
        <v>0.46</v>
      </c>
      <c r="H46" s="5">
        <v>0.85</v>
      </c>
      <c r="I46" s="113" t="s">
        <v>4106</v>
      </c>
      <c r="M46" s="113"/>
      <c r="P46" s="120"/>
      <c r="Q46" s="116" t="s">
        <v>4012</v>
      </c>
    </row>
    <row r="47" spans="1:17" x14ac:dyDescent="0.3">
      <c r="A47" s="113" t="s">
        <v>4138</v>
      </c>
      <c r="B47" s="113">
        <v>1513</v>
      </c>
      <c r="C47" t="e">
        <f>VLOOKUP(I47,HS_FAO_JRC!$A$2:$E$130,5,0)</f>
        <v>#N/A</v>
      </c>
      <c r="D47" t="s">
        <v>3983</v>
      </c>
      <c r="E47" t="s">
        <v>4139</v>
      </c>
      <c r="F47" s="113"/>
      <c r="G47" s="5">
        <v>0.98</v>
      </c>
      <c r="H47" s="5">
        <v>1</v>
      </c>
      <c r="I47" s="113" t="s">
        <v>4136</v>
      </c>
      <c r="M47" s="113"/>
      <c r="P47" s="120"/>
      <c r="Q47" s="116" t="s">
        <v>4012</v>
      </c>
    </row>
    <row r="48" spans="1:17" x14ac:dyDescent="0.3">
      <c r="A48" s="118" t="s">
        <v>4140</v>
      </c>
      <c r="B48" s="113" t="s">
        <v>4114</v>
      </c>
      <c r="C48" t="str">
        <f>VLOOKUP(I48,HS_FAO_JRC!$A$2:$E$130,5,0)</f>
        <v>Rapeseed</v>
      </c>
      <c r="D48" s="113" t="s">
        <v>4141</v>
      </c>
      <c r="E48" s="113" t="s">
        <v>4141</v>
      </c>
      <c r="F48" t="s">
        <v>1113</v>
      </c>
      <c r="G48" s="5">
        <v>0.38</v>
      </c>
      <c r="H48" s="5">
        <v>0.705300524341818</v>
      </c>
      <c r="I48" s="117" t="s">
        <v>3942</v>
      </c>
      <c r="P48" s="8"/>
      <c r="Q48" s="116" t="s">
        <v>4012</v>
      </c>
    </row>
    <row r="49" spans="1:17" ht="115.2" x14ac:dyDescent="0.3">
      <c r="A49" s="118" t="s">
        <v>4142</v>
      </c>
      <c r="B49" s="113" t="s">
        <v>4114</v>
      </c>
      <c r="C49" t="e">
        <f>VLOOKUP(I49,HS_FAO_JRC!$A$2:$E$130,5,0)</f>
        <v>#N/A</v>
      </c>
      <c r="D49" s="113" t="s">
        <v>4143</v>
      </c>
      <c r="E49" s="113" t="s">
        <v>4144</v>
      </c>
      <c r="F49" s="113"/>
      <c r="G49" s="121">
        <v>4.7619047619047619</v>
      </c>
      <c r="H49" s="121">
        <v>1</v>
      </c>
      <c r="I49" s="113" t="s">
        <v>4140</v>
      </c>
      <c r="J49" s="121">
        <v>5.5555555555555554</v>
      </c>
      <c r="K49" s="121">
        <v>1</v>
      </c>
      <c r="L49" s="113" t="s">
        <v>4128</v>
      </c>
      <c r="M49" s="121">
        <v>5</v>
      </c>
      <c r="N49">
        <v>1</v>
      </c>
      <c r="O49" s="113" t="s">
        <v>4125</v>
      </c>
      <c r="P49" s="8" t="s">
        <v>4145</v>
      </c>
      <c r="Q49" t="s">
        <v>4146</v>
      </c>
    </row>
    <row r="50" spans="1:17" x14ac:dyDescent="0.3">
      <c r="A50" s="113" t="s">
        <v>4147</v>
      </c>
      <c r="B50" s="113" t="s">
        <v>4148</v>
      </c>
      <c r="C50" t="str">
        <f>VLOOKUP(I50,HS_FAO_JRC!$A$2:$E$130,5,0)</f>
        <v>Sugar cane</v>
      </c>
      <c r="D50" s="113" t="s">
        <v>4149</v>
      </c>
      <c r="E50" s="113" t="s">
        <v>4150</v>
      </c>
      <c r="F50" t="s">
        <v>1008</v>
      </c>
      <c r="G50" s="5">
        <v>0.11</v>
      </c>
      <c r="H50" s="5">
        <v>0.87436129775170701</v>
      </c>
      <c r="I50" s="117" t="s">
        <v>3982</v>
      </c>
      <c r="P50" s="8"/>
      <c r="Q50" s="116" t="s">
        <v>4012</v>
      </c>
    </row>
    <row r="51" spans="1:17" x14ac:dyDescent="0.3">
      <c r="A51" s="118" t="s">
        <v>4151</v>
      </c>
      <c r="B51" s="113" t="s">
        <v>4148</v>
      </c>
      <c r="C51" t="str">
        <f>VLOOKUP(I51,HS_FAO_JRC!$A$2:$E$130,5,0)</f>
        <v>Sugar beet</v>
      </c>
      <c r="D51" s="113" t="s">
        <v>4152</v>
      </c>
      <c r="E51" s="113" t="s">
        <v>4153</v>
      </c>
      <c r="F51" s="113"/>
      <c r="G51" s="5">
        <v>0.14000000000000001</v>
      </c>
      <c r="H51" s="5">
        <v>0.91538969664631897</v>
      </c>
      <c r="I51" s="117" t="s">
        <v>3960</v>
      </c>
      <c r="P51" s="8"/>
      <c r="Q51" s="116" t="s">
        <v>4012</v>
      </c>
    </row>
    <row r="52" spans="1:17" ht="28.8" x14ac:dyDescent="0.3">
      <c r="A52" s="118" t="s">
        <v>4154</v>
      </c>
      <c r="B52" s="113" t="s">
        <v>4148</v>
      </c>
      <c r="C52" t="e">
        <f>VLOOKUP(I52,HS_FAO_JRC!$A$2:$E$130,5,0)</f>
        <v>#N/A</v>
      </c>
      <c r="D52" s="113" t="s">
        <v>4155</v>
      </c>
      <c r="E52" s="113" t="s">
        <v>4156</v>
      </c>
      <c r="F52" s="113"/>
      <c r="G52" s="5">
        <v>1.87</v>
      </c>
      <c r="H52" s="5">
        <v>1</v>
      </c>
      <c r="I52" s="113" t="s">
        <v>4147</v>
      </c>
      <c r="J52" s="5">
        <v>1.87</v>
      </c>
      <c r="K52" s="5">
        <v>1</v>
      </c>
      <c r="L52" s="113" t="s">
        <v>4151</v>
      </c>
      <c r="P52" s="8" t="s">
        <v>4157</v>
      </c>
      <c r="Q52" s="116" t="s">
        <v>4012</v>
      </c>
    </row>
    <row r="53" spans="1:17" x14ac:dyDescent="0.3">
      <c r="A53" s="118" t="s">
        <v>4158</v>
      </c>
      <c r="B53" s="113" t="s">
        <v>4148</v>
      </c>
      <c r="C53" t="e">
        <f>VLOOKUP(I53,HS_FAO_JRC!$A$2:$E$130,5,0)</f>
        <v>#N/A</v>
      </c>
      <c r="D53" s="113" t="s">
        <v>3983</v>
      </c>
      <c r="E53" s="113" t="s">
        <v>4159</v>
      </c>
      <c r="F53" s="113"/>
      <c r="G53" s="5">
        <v>1</v>
      </c>
      <c r="H53" s="5">
        <v>1</v>
      </c>
      <c r="I53" s="113" t="s">
        <v>4154</v>
      </c>
      <c r="P53" s="8"/>
      <c r="Q53" s="116" t="s">
        <v>4012</v>
      </c>
    </row>
    <row r="54" spans="1:17" x14ac:dyDescent="0.3">
      <c r="A54" s="118" t="s">
        <v>4160</v>
      </c>
      <c r="B54" s="113">
        <v>17</v>
      </c>
      <c r="C54" t="e">
        <f>VLOOKUP(I54,HS_FAO_JRC!$A$2:$E$130,5,0)</f>
        <v>#N/A</v>
      </c>
      <c r="D54" t="s">
        <v>4161</v>
      </c>
      <c r="E54" t="s">
        <v>4161</v>
      </c>
      <c r="F54" t="s">
        <v>1015</v>
      </c>
      <c r="G54" s="5">
        <v>0.05</v>
      </c>
      <c r="H54" s="5">
        <v>0.08</v>
      </c>
      <c r="I54" s="117">
        <v>121291</v>
      </c>
      <c r="P54" s="8"/>
      <c r="Q54" s="116" t="s">
        <v>4012</v>
      </c>
    </row>
    <row r="55" spans="1:17" x14ac:dyDescent="0.3">
      <c r="A55" s="118" t="s">
        <v>4162</v>
      </c>
      <c r="B55" s="113" t="s">
        <v>4163</v>
      </c>
      <c r="C55" t="e">
        <f>VLOOKUP(I55,HS_FAO_JRC!$A$2:$E$130,5,0)</f>
        <v>#N/A</v>
      </c>
      <c r="D55" s="113" t="s">
        <v>4164</v>
      </c>
      <c r="E55" s="113" t="s">
        <v>4164</v>
      </c>
      <c r="F55" s="113"/>
      <c r="G55" s="5">
        <v>0.8</v>
      </c>
      <c r="H55" s="5">
        <v>0.97303548356782177</v>
      </c>
      <c r="I55" s="117">
        <v>1801</v>
      </c>
      <c r="P55" s="8"/>
      <c r="Q55" s="116" t="s">
        <v>4012</v>
      </c>
    </row>
    <row r="56" spans="1:17" x14ac:dyDescent="0.3">
      <c r="A56" s="118" t="s">
        <v>4165</v>
      </c>
      <c r="B56" s="113" t="s">
        <v>4163</v>
      </c>
      <c r="C56" t="e">
        <f>VLOOKUP(I56,HS_FAO_JRC!$A$2:$E$130,5,0)</f>
        <v>#N/A</v>
      </c>
      <c r="D56" s="113" t="s">
        <v>4166</v>
      </c>
      <c r="E56" s="113" t="s">
        <v>4166</v>
      </c>
      <c r="F56" s="113"/>
      <c r="G56" s="5">
        <v>0.47</v>
      </c>
      <c r="H56" s="5">
        <v>0.65809438643593587</v>
      </c>
      <c r="I56" s="113" t="s">
        <v>4162</v>
      </c>
      <c r="P56" s="8"/>
      <c r="Q56" s="116" t="s">
        <v>4012</v>
      </c>
    </row>
    <row r="57" spans="1:17" x14ac:dyDescent="0.3">
      <c r="A57" s="118" t="s">
        <v>4167</v>
      </c>
      <c r="B57" s="113" t="s">
        <v>4163</v>
      </c>
      <c r="C57" t="e">
        <f>VLOOKUP(I57,HS_FAO_JRC!$A$2:$E$130,5,0)</f>
        <v>#N/A</v>
      </c>
      <c r="D57" s="113" t="s">
        <v>4168</v>
      </c>
      <c r="E57" s="113" t="s">
        <v>4168</v>
      </c>
      <c r="F57" s="113"/>
      <c r="G57" s="5">
        <v>0.53</v>
      </c>
      <c r="H57" s="5">
        <v>0.34190561356406401</v>
      </c>
      <c r="I57" s="113" t="s">
        <v>4162</v>
      </c>
      <c r="P57" s="8"/>
      <c r="Q57" s="116" t="s">
        <v>4012</v>
      </c>
    </row>
    <row r="58" spans="1:17" x14ac:dyDescent="0.3">
      <c r="A58" s="118" t="s">
        <v>4169</v>
      </c>
      <c r="B58" s="113" t="s">
        <v>4163</v>
      </c>
      <c r="C58" t="e">
        <f>VLOOKUP(I58,HS_FAO_JRC!$A$2:$E$130,5,0)</f>
        <v>#N/A</v>
      </c>
      <c r="D58" s="113" t="s">
        <v>4170</v>
      </c>
      <c r="E58" s="113" t="s">
        <v>4170</v>
      </c>
      <c r="F58" s="113"/>
      <c r="G58" s="5">
        <v>0.89285714285714279</v>
      </c>
      <c r="H58" s="5">
        <v>1</v>
      </c>
      <c r="I58" s="117">
        <v>1801</v>
      </c>
      <c r="J58" s="5">
        <v>7.2992700729926998</v>
      </c>
      <c r="K58" s="5">
        <v>1</v>
      </c>
      <c r="L58" s="113" t="s">
        <v>4171</v>
      </c>
      <c r="P58" s="8"/>
      <c r="Q58" s="116" t="s">
        <v>4172</v>
      </c>
    </row>
    <row r="59" spans="1:17" x14ac:dyDescent="0.3">
      <c r="A59" s="118" t="s">
        <v>4173</v>
      </c>
      <c r="B59" s="113">
        <v>1902</v>
      </c>
      <c r="C59" t="e">
        <f>VLOOKUP(I59,HS_FAO_JRC!$A$2:$E$130,5,0)</f>
        <v>#N/A</v>
      </c>
      <c r="D59" t="s">
        <v>3983</v>
      </c>
      <c r="E59" t="s">
        <v>4174</v>
      </c>
      <c r="F59" s="113"/>
      <c r="G59" s="5">
        <v>1</v>
      </c>
      <c r="H59" s="5">
        <v>1</v>
      </c>
      <c r="I59" s="113" t="s">
        <v>4044</v>
      </c>
      <c r="P59" s="8"/>
      <c r="Q59" s="116" t="s">
        <v>4012</v>
      </c>
    </row>
    <row r="60" spans="1:17" ht="28.8" x14ac:dyDescent="0.3">
      <c r="A60" s="118" t="s">
        <v>4175</v>
      </c>
      <c r="B60" s="113" t="s">
        <v>4176</v>
      </c>
      <c r="C60" t="e">
        <f>VLOOKUP(I60,HS_FAO_JRC!$A$2:$E$130,5,0)</f>
        <v>#N/A</v>
      </c>
      <c r="D60" s="113" t="s">
        <v>4177</v>
      </c>
      <c r="E60" s="113" t="s">
        <v>4177</v>
      </c>
      <c r="F60" s="113"/>
      <c r="G60" s="5">
        <v>1.1499999999999999</v>
      </c>
      <c r="H60" s="5">
        <v>1</v>
      </c>
      <c r="I60" s="113" t="s">
        <v>4044</v>
      </c>
      <c r="M60" s="113"/>
      <c r="P60" s="120" t="s">
        <v>4178</v>
      </c>
      <c r="Q60" s="116" t="s">
        <v>4012</v>
      </c>
    </row>
    <row r="61" spans="1:17" ht="43.2" x14ac:dyDescent="0.3">
      <c r="A61" s="118" t="s">
        <v>4179</v>
      </c>
      <c r="B61" s="113" t="s">
        <v>4180</v>
      </c>
      <c r="C61" t="e">
        <f>VLOOKUP(I61,HS_FAO_JRC!$A$2:$E$130,5,0)</f>
        <v>#N/A</v>
      </c>
      <c r="D61" s="113" t="s">
        <v>4181</v>
      </c>
      <c r="E61" s="113" t="s">
        <v>4181</v>
      </c>
      <c r="F61" s="113"/>
      <c r="G61" s="5">
        <v>1</v>
      </c>
      <c r="H61" s="5">
        <v>1</v>
      </c>
      <c r="I61" s="113" t="s">
        <v>4013</v>
      </c>
      <c r="M61" s="113"/>
      <c r="P61" s="120" t="s">
        <v>4182</v>
      </c>
      <c r="Q61" s="116" t="s">
        <v>4012</v>
      </c>
    </row>
    <row r="62" spans="1:17" x14ac:dyDescent="0.3">
      <c r="A62" s="118" t="s">
        <v>4183</v>
      </c>
      <c r="B62" s="113" t="s">
        <v>4180</v>
      </c>
      <c r="C62" t="str">
        <f>VLOOKUP(I62,HS_FAO_JRC!$A$2:$E$130,5,0)</f>
        <v>Tomatoes</v>
      </c>
      <c r="D62" s="113" t="s">
        <v>4184</v>
      </c>
      <c r="E62" s="113" t="s">
        <v>4185</v>
      </c>
      <c r="F62" s="113"/>
      <c r="G62" s="5">
        <v>1</v>
      </c>
      <c r="H62" s="5">
        <v>1</v>
      </c>
      <c r="I62" s="117" t="s">
        <v>3845</v>
      </c>
      <c r="P62" s="8"/>
      <c r="Q62" s="116" t="s">
        <v>4012</v>
      </c>
    </row>
    <row r="63" spans="1:17" ht="43.2" x14ac:dyDescent="0.3">
      <c r="A63" s="118" t="s">
        <v>4186</v>
      </c>
      <c r="B63" s="113" t="s">
        <v>4180</v>
      </c>
      <c r="C63" t="e">
        <f>VLOOKUP(I63,HS_FAO_JRC!$A$2:$E$130,5,0)</f>
        <v>#N/A</v>
      </c>
      <c r="D63" s="113" t="s">
        <v>4187</v>
      </c>
      <c r="E63" s="113" t="s">
        <v>4187</v>
      </c>
      <c r="F63" s="113"/>
      <c r="G63" s="5">
        <v>1</v>
      </c>
      <c r="H63" s="5">
        <v>1</v>
      </c>
      <c r="I63" s="119" t="s">
        <v>4188</v>
      </c>
      <c r="P63" s="8"/>
      <c r="Q63" s="116" t="s">
        <v>4012</v>
      </c>
    </row>
    <row r="64" spans="1:17" x14ac:dyDescent="0.3">
      <c r="A64" s="118" t="s">
        <v>4189</v>
      </c>
      <c r="B64" s="113" t="s">
        <v>4180</v>
      </c>
      <c r="C64" t="str">
        <f>VLOOKUP(I64,HS_FAO_JRC!$A$2:$E$130,5,0)</f>
        <v>Kapok fruit</v>
      </c>
      <c r="D64" s="113" t="s">
        <v>4190</v>
      </c>
      <c r="E64" s="113" t="s">
        <v>4191</v>
      </c>
      <c r="F64" s="113"/>
      <c r="G64" s="5">
        <v>0.43859649122807021</v>
      </c>
      <c r="H64" s="5">
        <v>1</v>
      </c>
      <c r="I64" s="117" t="s">
        <v>3901</v>
      </c>
      <c r="J64" s="5">
        <v>2.3255813953488373</v>
      </c>
      <c r="K64" s="5">
        <v>1</v>
      </c>
      <c r="L64" s="113" t="s">
        <v>4154</v>
      </c>
      <c r="P64" s="8"/>
      <c r="Q64" s="116" t="s">
        <v>4192</v>
      </c>
    </row>
    <row r="65" spans="1:17" x14ac:dyDescent="0.3">
      <c r="A65" s="118" t="s">
        <v>4193</v>
      </c>
      <c r="B65" s="113">
        <v>2009</v>
      </c>
      <c r="C65" t="str">
        <f>VLOOKUP(I65,HS_FAO_JRC!$A$2:$E$130,5,0)</f>
        <v>Oranges</v>
      </c>
      <c r="D65" t="s">
        <v>4194</v>
      </c>
      <c r="E65" t="s">
        <v>4195</v>
      </c>
      <c r="F65" s="113"/>
      <c r="G65" s="5">
        <v>0.55000000000000004</v>
      </c>
      <c r="H65" s="5">
        <v>1</v>
      </c>
      <c r="I65" s="117" t="s">
        <v>3870</v>
      </c>
      <c r="P65" s="8"/>
      <c r="Q65" s="116" t="s">
        <v>4012</v>
      </c>
    </row>
    <row r="66" spans="1:17" x14ac:dyDescent="0.3">
      <c r="A66" s="118" t="s">
        <v>4196</v>
      </c>
      <c r="B66" s="113">
        <v>2009</v>
      </c>
      <c r="C66" t="str">
        <f>VLOOKUP(I66,HS_FAO_JRC!$A$2:$E$130,5,0)</f>
        <v>Oranges</v>
      </c>
      <c r="D66" t="s">
        <v>4197</v>
      </c>
      <c r="E66" t="s">
        <v>4198</v>
      </c>
      <c r="F66" s="113"/>
      <c r="G66" s="5">
        <v>0.75</v>
      </c>
      <c r="H66" s="5">
        <v>1</v>
      </c>
      <c r="I66" s="117" t="s">
        <v>3870</v>
      </c>
      <c r="P66" s="8"/>
      <c r="Q66" s="116" t="s">
        <v>4012</v>
      </c>
    </row>
    <row r="67" spans="1:17" x14ac:dyDescent="0.3">
      <c r="A67" s="118" t="s">
        <v>4199</v>
      </c>
      <c r="B67" s="113">
        <v>2009</v>
      </c>
      <c r="C67" t="str">
        <f>VLOOKUP(I67,HS_FAO_JRC!$A$2:$E$130,5,0)</f>
        <v>Figs</v>
      </c>
      <c r="D67" t="s">
        <v>4200</v>
      </c>
      <c r="E67" t="s">
        <v>4201</v>
      </c>
      <c r="F67" s="113"/>
      <c r="G67" s="5">
        <v>0.2</v>
      </c>
      <c r="H67" s="5">
        <v>1</v>
      </c>
      <c r="I67" s="117" t="s">
        <v>3868</v>
      </c>
      <c r="P67" s="8"/>
      <c r="Q67" s="116" t="s">
        <v>4012</v>
      </c>
    </row>
    <row r="68" spans="1:17" x14ac:dyDescent="0.3">
      <c r="A68" s="118" t="s">
        <v>4202</v>
      </c>
      <c r="B68" s="113">
        <v>2009</v>
      </c>
      <c r="C68" t="str">
        <f>VLOOKUP(I68,HS_FAO_JRC!$A$2:$E$130,5,0)</f>
        <v>Tomatoes</v>
      </c>
      <c r="D68" t="s">
        <v>4203</v>
      </c>
      <c r="E68" t="s">
        <v>4204</v>
      </c>
      <c r="F68" s="113"/>
      <c r="G68" s="5">
        <v>0.8</v>
      </c>
      <c r="H68" s="5">
        <v>1</v>
      </c>
      <c r="I68" s="117" t="s">
        <v>3845</v>
      </c>
      <c r="P68" s="8"/>
      <c r="Q68" s="116" t="s">
        <v>4012</v>
      </c>
    </row>
    <row r="69" spans="1:17" x14ac:dyDescent="0.3">
      <c r="A69" s="118" t="s">
        <v>4205</v>
      </c>
      <c r="B69" s="113">
        <v>2009</v>
      </c>
      <c r="C69" t="str">
        <f>VLOOKUP(I69,HS_FAO_JRC!$A$2:$E$130,5,0)</f>
        <v>Grapes</v>
      </c>
      <c r="D69" t="s">
        <v>4206</v>
      </c>
      <c r="E69" t="s">
        <v>4207</v>
      </c>
      <c r="F69" s="113"/>
      <c r="G69" s="5">
        <v>0.75</v>
      </c>
      <c r="H69" s="5">
        <v>1</v>
      </c>
      <c r="I69" s="117" t="s">
        <v>3872</v>
      </c>
      <c r="P69" s="8"/>
      <c r="Q69" s="116" t="s">
        <v>4012</v>
      </c>
    </row>
    <row r="70" spans="1:17" x14ac:dyDescent="0.3">
      <c r="A70" s="113" t="s">
        <v>4208</v>
      </c>
      <c r="B70" s="113">
        <v>2009</v>
      </c>
      <c r="C70" t="e">
        <f>VLOOKUP(I70,HS_FAO_JRC!$A$2:$E$130,5,0)</f>
        <v>#N/A</v>
      </c>
      <c r="D70" t="s">
        <v>4200</v>
      </c>
      <c r="E70" t="s">
        <v>4209</v>
      </c>
      <c r="F70" s="113"/>
      <c r="G70" s="5">
        <v>0.72</v>
      </c>
      <c r="H70" s="5">
        <v>1</v>
      </c>
      <c r="I70" s="117" t="s">
        <v>4031</v>
      </c>
      <c r="P70" s="8"/>
      <c r="Q70" s="116" t="s">
        <v>4012</v>
      </c>
    </row>
    <row r="71" spans="1:17" x14ac:dyDescent="0.3">
      <c r="A71" s="113" t="s">
        <v>4210</v>
      </c>
      <c r="B71" s="113" t="s">
        <v>4211</v>
      </c>
      <c r="C71" t="str">
        <f>VLOOKUP(I71,HS_FAO_JRC!$A$2:$E$130,5,0)</f>
        <v>Kapok fruit</v>
      </c>
      <c r="E71" t="s">
        <v>4212</v>
      </c>
      <c r="F71" s="113"/>
      <c r="G71" s="5">
        <v>1</v>
      </c>
      <c r="H71" s="5">
        <v>1</v>
      </c>
      <c r="I71" s="117" t="s">
        <v>3901</v>
      </c>
      <c r="P71" s="8"/>
      <c r="Q71" s="116"/>
    </row>
    <row r="72" spans="1:17" x14ac:dyDescent="0.3">
      <c r="A72" s="118" t="s">
        <v>4213</v>
      </c>
      <c r="B72" s="113" t="s">
        <v>4214</v>
      </c>
      <c r="C72" t="str">
        <f>VLOOKUP(I72,HS_FAO_JRC!$A$2:$E$130,5,0)</f>
        <v>Soybeans</v>
      </c>
      <c r="D72" s="113" t="s">
        <v>4215</v>
      </c>
      <c r="E72" s="113" t="s">
        <v>1066</v>
      </c>
      <c r="F72" s="113"/>
      <c r="G72" s="5">
        <v>3.5</v>
      </c>
      <c r="H72" s="5">
        <v>1</v>
      </c>
      <c r="I72" s="117" t="s">
        <v>3935</v>
      </c>
      <c r="P72" s="8"/>
      <c r="Q72" s="116" t="s">
        <v>4012</v>
      </c>
    </row>
    <row r="73" spans="1:17" x14ac:dyDescent="0.3">
      <c r="A73" s="118" t="s">
        <v>4216</v>
      </c>
      <c r="B73" s="113" t="s">
        <v>4214</v>
      </c>
      <c r="C73" t="str">
        <f>VLOOKUP(I73,HS_FAO_JRC!$A$2:$E$130,5,0)</f>
        <v>Tomatoes</v>
      </c>
      <c r="D73" s="113" t="s">
        <v>4217</v>
      </c>
      <c r="E73" s="113" t="s">
        <v>4218</v>
      </c>
      <c r="F73" s="113"/>
      <c r="G73" s="5">
        <v>0.4</v>
      </c>
      <c r="H73" s="5">
        <v>1</v>
      </c>
      <c r="I73" s="117" t="s">
        <v>3845</v>
      </c>
      <c r="P73" s="8"/>
      <c r="Q73" s="116" t="s">
        <v>4012</v>
      </c>
    </row>
    <row r="74" spans="1:17" x14ac:dyDescent="0.3">
      <c r="A74" s="118" t="s">
        <v>4219</v>
      </c>
      <c r="B74" s="113" t="s">
        <v>4214</v>
      </c>
      <c r="C74" t="str">
        <f>VLOOKUP(I74,HS_FAO_JRC!$A$2:$E$130,5,0)</f>
        <v>Mustard seed</v>
      </c>
      <c r="D74" s="113" t="s">
        <v>4220</v>
      </c>
      <c r="E74" s="113" t="s">
        <v>4221</v>
      </c>
      <c r="F74" s="113"/>
      <c r="G74" s="5">
        <v>0.85</v>
      </c>
      <c r="H74" s="5">
        <v>1</v>
      </c>
      <c r="I74" s="117" t="s">
        <v>3952</v>
      </c>
      <c r="P74" s="8"/>
      <c r="Q74" s="116" t="s">
        <v>4012</v>
      </c>
    </row>
    <row r="75" spans="1:17" x14ac:dyDescent="0.3">
      <c r="A75" s="118" t="s">
        <v>4222</v>
      </c>
      <c r="B75" s="113" t="s">
        <v>4223</v>
      </c>
      <c r="C75" t="e">
        <f>VLOOKUP(I75,HS_FAO_JRC!$A$2:$E$130,5,0)</f>
        <v>#N/A</v>
      </c>
      <c r="D75" s="113" t="s">
        <v>4224</v>
      </c>
      <c r="E75" s="113" t="s">
        <v>4224</v>
      </c>
      <c r="F75" t="s">
        <v>928</v>
      </c>
      <c r="G75" s="5">
        <v>6.55</v>
      </c>
      <c r="H75" s="5">
        <v>1</v>
      </c>
      <c r="I75" s="113" t="s">
        <v>4225</v>
      </c>
      <c r="P75" s="8"/>
      <c r="Q75" s="116" t="s">
        <v>4012</v>
      </c>
    </row>
    <row r="76" spans="1:17" x14ac:dyDescent="0.3">
      <c r="A76" s="118" t="s">
        <v>4226</v>
      </c>
      <c r="B76" s="113" t="s">
        <v>4223</v>
      </c>
      <c r="C76" t="str">
        <f>VLOOKUP(I76,HS_FAO_JRC!$A$2:$E$130,5,0)</f>
        <v>Grapes</v>
      </c>
      <c r="D76" s="113" t="s">
        <v>4227</v>
      </c>
      <c r="E76" s="113" t="s">
        <v>4228</v>
      </c>
      <c r="F76" t="s">
        <v>1262</v>
      </c>
      <c r="G76" s="5">
        <v>0.86</v>
      </c>
      <c r="H76" s="5">
        <v>1</v>
      </c>
      <c r="I76" s="117" t="s">
        <v>3872</v>
      </c>
      <c r="P76" s="8"/>
      <c r="Q76" s="116" t="s">
        <v>4012</v>
      </c>
    </row>
    <row r="77" spans="1:17" x14ac:dyDescent="0.3">
      <c r="A77" s="118" t="s">
        <v>4229</v>
      </c>
      <c r="B77" s="113" t="s">
        <v>4223</v>
      </c>
      <c r="C77" t="str">
        <f>VLOOKUP(I77,HS_FAO_JRC!$A$2:$E$130,5,0)</f>
        <v>Grapes</v>
      </c>
      <c r="D77" s="113" t="s">
        <v>4230</v>
      </c>
      <c r="E77" s="113" t="s">
        <v>4231</v>
      </c>
      <c r="F77" t="s">
        <v>902</v>
      </c>
      <c r="G77" s="5">
        <v>0.7</v>
      </c>
      <c r="H77" s="5">
        <v>1</v>
      </c>
      <c r="I77" s="117" t="s">
        <v>3872</v>
      </c>
      <c r="P77" s="8"/>
      <c r="Q77" s="116" t="s">
        <v>4012</v>
      </c>
    </row>
    <row r="78" spans="1:17" x14ac:dyDescent="0.3">
      <c r="A78" s="118" t="s">
        <v>4232</v>
      </c>
      <c r="B78" s="113" t="s">
        <v>4223</v>
      </c>
      <c r="C78" t="e">
        <f>VLOOKUP(I78,HS_FAO_JRC!$A$2:$E$130,5,0)</f>
        <v>#N/A</v>
      </c>
      <c r="D78" s="113" t="s">
        <v>4233</v>
      </c>
      <c r="E78" s="113" t="s">
        <v>4234</v>
      </c>
      <c r="F78" s="113"/>
      <c r="G78" s="5">
        <v>0.5714285714285714</v>
      </c>
      <c r="H78" s="5">
        <v>1</v>
      </c>
      <c r="I78" s="113" t="s">
        <v>4226</v>
      </c>
      <c r="P78" s="8"/>
      <c r="Q78" s="116" t="s">
        <v>4235</v>
      </c>
    </row>
    <row r="79" spans="1:17" x14ac:dyDescent="0.3">
      <c r="A79" s="118" t="s">
        <v>4236</v>
      </c>
      <c r="B79" s="113" t="s">
        <v>4237</v>
      </c>
      <c r="C79" t="str">
        <f>VLOOKUP(I79,HS_FAO_JRC!$A$2:$E$130,5,0)</f>
        <v>Soybeans</v>
      </c>
      <c r="D79" t="s">
        <v>4238</v>
      </c>
      <c r="E79" t="s">
        <v>4238</v>
      </c>
      <c r="F79" t="s">
        <v>1065</v>
      </c>
      <c r="G79" s="5">
        <v>0.79</v>
      </c>
      <c r="H79" s="5">
        <v>0.65535526726145477</v>
      </c>
      <c r="I79" s="117" t="s">
        <v>3935</v>
      </c>
      <c r="P79" s="8"/>
      <c r="Q79" s="116" t="s">
        <v>4012</v>
      </c>
    </row>
    <row r="80" spans="1:17" x14ac:dyDescent="0.3">
      <c r="A80" s="118" t="s">
        <v>4239</v>
      </c>
      <c r="B80" s="113" t="s">
        <v>4237</v>
      </c>
      <c r="C80" t="str">
        <f>VLOOKUP(I80,HS_FAO_JRC!$A$2:$E$130,5,0)</f>
        <v>Groundnuts, with shell</v>
      </c>
      <c r="D80" t="s">
        <v>4240</v>
      </c>
      <c r="E80" t="s">
        <v>4240</v>
      </c>
      <c r="F80" t="s">
        <v>1075</v>
      </c>
      <c r="G80" s="5">
        <v>0.54</v>
      </c>
      <c r="H80" s="5">
        <v>0.20163923648510021</v>
      </c>
      <c r="I80" s="117" t="s">
        <v>3937</v>
      </c>
      <c r="P80" s="8"/>
      <c r="Q80" s="116" t="s">
        <v>4012</v>
      </c>
    </row>
    <row r="81" spans="1:17" x14ac:dyDescent="0.3">
      <c r="A81" s="118" t="s">
        <v>4241</v>
      </c>
      <c r="B81" s="113">
        <v>2306</v>
      </c>
      <c r="C81" t="str">
        <f>VLOOKUP(I81,HS_FAO_JRC!$A$2:$E$130,5,0)</f>
        <v>Seed cotton</v>
      </c>
      <c r="D81" t="s">
        <v>4242</v>
      </c>
      <c r="E81" t="s">
        <v>4243</v>
      </c>
      <c r="F81" t="s">
        <v>1149</v>
      </c>
      <c r="G81" s="5">
        <v>0.51</v>
      </c>
      <c r="H81" s="5">
        <v>0.32937551139078125</v>
      </c>
      <c r="I81" s="117" t="s">
        <v>3985</v>
      </c>
      <c r="P81" s="8"/>
      <c r="Q81" s="116" t="s">
        <v>4012</v>
      </c>
    </row>
    <row r="82" spans="1:17" x14ac:dyDescent="0.3">
      <c r="A82" s="118" t="s">
        <v>4244</v>
      </c>
      <c r="B82" s="113">
        <v>2306</v>
      </c>
      <c r="C82" t="str">
        <f>VLOOKUP(I82,HS_FAO_JRC!$A$2:$E$130,5,0)</f>
        <v>Linseed</v>
      </c>
      <c r="D82" t="s">
        <v>4245</v>
      </c>
      <c r="E82" t="s">
        <v>4246</v>
      </c>
      <c r="F82" t="s">
        <v>937</v>
      </c>
      <c r="G82" s="5">
        <v>0.63</v>
      </c>
      <c r="H82" s="5">
        <v>0.3750720990127574</v>
      </c>
      <c r="I82" s="117" t="s">
        <v>3940</v>
      </c>
      <c r="P82" s="8"/>
      <c r="Q82" s="116" t="s">
        <v>4012</v>
      </c>
    </row>
    <row r="83" spans="1:17" x14ac:dyDescent="0.3">
      <c r="A83" s="118" t="s">
        <v>4247</v>
      </c>
      <c r="B83" s="113">
        <v>2306</v>
      </c>
      <c r="C83" t="e">
        <f>VLOOKUP(I83,HS_FAO_JRC!$A$2:$E$130,5,0)</f>
        <v>#N/A</v>
      </c>
      <c r="D83" t="s">
        <v>4248</v>
      </c>
      <c r="E83" t="s">
        <v>4249</v>
      </c>
      <c r="F83" t="s">
        <v>1109</v>
      </c>
      <c r="G83" s="5">
        <v>0.47</v>
      </c>
      <c r="H83" s="5">
        <v>0.18927461746994348</v>
      </c>
      <c r="I83" s="117" t="s">
        <v>4130</v>
      </c>
      <c r="P83" s="8"/>
      <c r="Q83" s="116" t="s">
        <v>4012</v>
      </c>
    </row>
    <row r="84" spans="1:17" x14ac:dyDescent="0.3">
      <c r="A84" s="118" t="s">
        <v>4250</v>
      </c>
      <c r="B84" s="113">
        <v>2306</v>
      </c>
      <c r="C84" t="str">
        <f>VLOOKUP(I84,HS_FAO_JRC!$A$2:$E$130,5,0)</f>
        <v>Rapeseed</v>
      </c>
      <c r="D84" t="s">
        <v>4251</v>
      </c>
      <c r="E84" t="s">
        <v>4252</v>
      </c>
      <c r="F84" t="s">
        <v>1115</v>
      </c>
      <c r="G84" s="5">
        <v>0.6</v>
      </c>
      <c r="H84" s="5">
        <v>0.29469947565818211</v>
      </c>
      <c r="I84" s="117" t="s">
        <v>3942</v>
      </c>
      <c r="P84" s="8"/>
      <c r="Q84" s="116" t="s">
        <v>4012</v>
      </c>
    </row>
    <row r="85" spans="1:17" x14ac:dyDescent="0.3">
      <c r="A85" s="118" t="s">
        <v>4253</v>
      </c>
      <c r="B85" s="113">
        <v>2306</v>
      </c>
      <c r="C85" t="e">
        <f>VLOOKUP(I85,HS_FAO_JRC!$A$2:$E$130,5,0)</f>
        <v>#N/A</v>
      </c>
      <c r="D85" t="s">
        <v>4254</v>
      </c>
      <c r="E85" t="s">
        <v>4255</v>
      </c>
      <c r="F85" t="s">
        <v>1085</v>
      </c>
      <c r="G85" s="5">
        <v>0.61</v>
      </c>
      <c r="H85" s="5">
        <v>0.24</v>
      </c>
      <c r="I85" s="113" t="s">
        <v>4104</v>
      </c>
      <c r="P85" s="8"/>
      <c r="Q85" s="116" t="s">
        <v>4012</v>
      </c>
    </row>
    <row r="86" spans="1:17" x14ac:dyDescent="0.3">
      <c r="A86" s="118" t="s">
        <v>4256</v>
      </c>
      <c r="B86" s="113">
        <v>2306</v>
      </c>
      <c r="C86" t="e">
        <f>VLOOKUP(I86,HS_FAO_JRC!$A$2:$E$130,5,0)</f>
        <v>#N/A</v>
      </c>
      <c r="D86" t="s">
        <v>4257</v>
      </c>
      <c r="E86" t="s">
        <v>4258</v>
      </c>
      <c r="F86" t="s">
        <v>1093</v>
      </c>
      <c r="G86" s="5">
        <v>0.52</v>
      </c>
      <c r="H86" s="5">
        <v>0.15097806180408466</v>
      </c>
      <c r="I86" s="113" t="s">
        <v>4106</v>
      </c>
      <c r="P86" s="8"/>
      <c r="Q86" s="116" t="s">
        <v>4012</v>
      </c>
    </row>
    <row r="87" spans="1:17" ht="43.2" x14ac:dyDescent="0.3">
      <c r="A87" s="118" t="s">
        <v>4259</v>
      </c>
      <c r="B87" s="113" t="s">
        <v>4260</v>
      </c>
      <c r="C87" t="e">
        <f>VLOOKUP(I87,HS_FAO_JRC!$A$2:$E$130,5,0)</f>
        <v>#N/A</v>
      </c>
      <c r="D87" s="113" t="s">
        <v>4261</v>
      </c>
      <c r="E87" s="113" t="s">
        <v>4261</v>
      </c>
      <c r="F87" s="113"/>
      <c r="G87" s="5">
        <v>1</v>
      </c>
      <c r="H87" s="5">
        <v>1</v>
      </c>
      <c r="I87" s="119" t="s">
        <v>4262</v>
      </c>
      <c r="P87" s="8"/>
      <c r="Q87" s="116" t="s">
        <v>4012</v>
      </c>
    </row>
    <row r="88" spans="1:17" x14ac:dyDescent="0.3">
      <c r="A88" s="118" t="s">
        <v>4263</v>
      </c>
      <c r="B88" s="113" t="s">
        <v>4264</v>
      </c>
      <c r="C88" t="e">
        <f>VLOOKUP(I88,HS_FAO_JRC!$A$2:$E$130,5,0)</f>
        <v>#N/A</v>
      </c>
      <c r="D88" s="113" t="s">
        <v>4265</v>
      </c>
      <c r="E88" s="113" t="s">
        <v>4265</v>
      </c>
      <c r="F88" s="113"/>
      <c r="G88" s="5">
        <v>0.95</v>
      </c>
      <c r="H88" s="5">
        <v>0.9861919399429242</v>
      </c>
      <c r="I88" s="117">
        <v>5201</v>
      </c>
      <c r="P88" s="8"/>
      <c r="Q88" s="116" t="s">
        <v>4012</v>
      </c>
    </row>
    <row r="89" spans="1:17" x14ac:dyDescent="0.3">
      <c r="A89" s="118" t="s">
        <v>4266</v>
      </c>
      <c r="B89" s="113" t="s">
        <v>4264</v>
      </c>
      <c r="C89" t="e">
        <f>VLOOKUP(I89,HS_FAO_JRC!$A$2:$E$130,5,0)</f>
        <v>#N/A</v>
      </c>
      <c r="D89" s="113" t="s">
        <v>4267</v>
      </c>
      <c r="E89" s="113" t="s">
        <v>4267</v>
      </c>
      <c r="F89" s="113"/>
      <c r="G89">
        <v>0.94</v>
      </c>
      <c r="H89">
        <v>1</v>
      </c>
      <c r="I89" s="117" t="s">
        <v>4263</v>
      </c>
      <c r="P89" s="8"/>
      <c r="Q89" s="116" t="s">
        <v>4268</v>
      </c>
    </row>
    <row r="90" spans="1:17" x14ac:dyDescent="0.3">
      <c r="A90" s="118" t="s">
        <v>4269</v>
      </c>
      <c r="B90" s="113" t="s">
        <v>4264</v>
      </c>
      <c r="C90" t="e">
        <f>VLOOKUP(I90,HS_FAO_JRC!$A$2:$E$130,5,0)</f>
        <v>#N/A</v>
      </c>
      <c r="D90" s="113" t="s">
        <v>4270</v>
      </c>
      <c r="E90" s="113" t="s">
        <v>4271</v>
      </c>
      <c r="F90" s="113"/>
      <c r="G90">
        <v>0.94</v>
      </c>
      <c r="H90">
        <v>1</v>
      </c>
      <c r="I90" s="117" t="s">
        <v>4263</v>
      </c>
      <c r="P90" s="8"/>
      <c r="Q90" s="116" t="s">
        <v>4268</v>
      </c>
    </row>
    <row r="91" spans="1:17" x14ac:dyDescent="0.3">
      <c r="A91" s="118" t="s">
        <v>4272</v>
      </c>
      <c r="B91" s="113" t="s">
        <v>4273</v>
      </c>
      <c r="C91" t="e">
        <f>VLOOKUP(I91,HS_FAO_JRC!$A$2:$E$130,5,0)</f>
        <v>#N/A</v>
      </c>
      <c r="D91" t="s">
        <v>4274</v>
      </c>
      <c r="E91" t="s">
        <v>4275</v>
      </c>
      <c r="F91" s="113"/>
      <c r="G91">
        <v>0.5</v>
      </c>
      <c r="H91">
        <v>0.46</v>
      </c>
      <c r="I91" s="113" t="s">
        <v>4104</v>
      </c>
      <c r="L91" s="113"/>
      <c r="O91" s="113"/>
      <c r="P91" s="8"/>
      <c r="Q91" s="116" t="s">
        <v>4012</v>
      </c>
    </row>
    <row r="92" spans="1:17" ht="230.4" x14ac:dyDescent="0.3">
      <c r="A92" s="118" t="s">
        <v>4276</v>
      </c>
      <c r="B92" s="113" t="s">
        <v>4273</v>
      </c>
      <c r="C92" t="e">
        <f>VLOOKUP(I92,HS_FAO_JRC!$A$2:$E$130,5,0)</f>
        <v>#N/A</v>
      </c>
      <c r="D92" s="113" t="s">
        <v>4277</v>
      </c>
      <c r="E92" s="113" t="s">
        <v>4277</v>
      </c>
      <c r="F92" s="113"/>
      <c r="G92" s="5">
        <v>0.12820512820512822</v>
      </c>
      <c r="H92" s="5">
        <v>1</v>
      </c>
      <c r="I92" s="117">
        <v>5301</v>
      </c>
      <c r="P92" s="8" t="s">
        <v>4278</v>
      </c>
      <c r="Q92" s="116" t="s">
        <v>4279</v>
      </c>
    </row>
    <row r="93" spans="1:17" ht="230.4" x14ac:dyDescent="0.3">
      <c r="A93" s="115" t="s">
        <v>4280</v>
      </c>
      <c r="B93" s="114" t="s">
        <v>4273</v>
      </c>
      <c r="C93" t="e">
        <f>VLOOKUP(I93,HS_FAO_JRC!$A$2:$E$130,5,0)</f>
        <v>#N/A</v>
      </c>
      <c r="D93" s="114" t="s">
        <v>4281</v>
      </c>
      <c r="E93" s="114" t="s">
        <v>4282</v>
      </c>
      <c r="F93" s="113"/>
      <c r="G93" s="112">
        <v>0.41666666666666669</v>
      </c>
      <c r="H93" s="112">
        <v>1</v>
      </c>
      <c r="I93" s="111">
        <v>5303</v>
      </c>
      <c r="J93" s="110"/>
      <c r="K93" s="110"/>
      <c r="L93" s="110"/>
      <c r="M93" s="110"/>
      <c r="N93" s="110"/>
      <c r="O93" s="110"/>
      <c r="P93" s="109" t="s">
        <v>4283</v>
      </c>
      <c r="Q93" s="108" t="s">
        <v>4279</v>
      </c>
    </row>
  </sheetData>
  <mergeCells count="3">
    <mergeCell ref="G1:I1"/>
    <mergeCell ref="J1:L1"/>
    <mergeCell ref="M1:O1"/>
  </mergeCells>
  <hyperlinks>
    <hyperlink ref="Q58" r:id="rId1" display="https://www.sciencedirect.com/science/article/pii/S0048969717325378" xr:uid="{1BA705E2-C752-48E2-8DC9-A047103BA044}"/>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C2D0F-4E4B-4869-8D10-B6042BEFF510}">
  <dimension ref="A1:C475"/>
  <sheetViews>
    <sheetView topLeftCell="A378" zoomScale="106" zoomScaleNormal="106" workbookViewId="0">
      <selection activeCell="A411" sqref="A411"/>
    </sheetView>
  </sheetViews>
  <sheetFormatPr defaultColWidth="10.77734375" defaultRowHeight="14.4" x14ac:dyDescent="0.3"/>
  <cols>
    <col min="1" max="2" width="26.5546875" customWidth="1"/>
    <col min="3" max="3" width="29.77734375" customWidth="1"/>
  </cols>
  <sheetData>
    <row r="1" spans="1:3" x14ac:dyDescent="0.3">
      <c r="A1" t="s">
        <v>791</v>
      </c>
      <c r="B1" t="s">
        <v>4284</v>
      </c>
      <c r="C1" t="s">
        <v>4285</v>
      </c>
    </row>
    <row r="2" spans="1:3" x14ac:dyDescent="0.3">
      <c r="A2" s="12" t="s">
        <v>919</v>
      </c>
      <c r="B2" s="12" t="s">
        <v>4286</v>
      </c>
      <c r="C2" t="s">
        <v>4287</v>
      </c>
    </row>
    <row r="3" spans="1:3" x14ac:dyDescent="0.3">
      <c r="A3" s="12" t="s">
        <v>1560</v>
      </c>
      <c r="B3" s="12" t="s">
        <v>4286</v>
      </c>
      <c r="C3" t="s">
        <v>4287</v>
      </c>
    </row>
    <row r="4" spans="1:3" x14ac:dyDescent="0.3">
      <c r="A4" s="12" t="s">
        <v>974</v>
      </c>
      <c r="B4" s="12" t="s">
        <v>4286</v>
      </c>
      <c r="C4" t="s">
        <v>4287</v>
      </c>
    </row>
    <row r="5" spans="1:3" x14ac:dyDescent="0.3">
      <c r="A5" s="12" t="s">
        <v>971</v>
      </c>
      <c r="B5" s="12" t="s">
        <v>4286</v>
      </c>
      <c r="C5" t="s">
        <v>4287</v>
      </c>
    </row>
    <row r="6" spans="1:3" x14ac:dyDescent="0.3">
      <c r="A6" s="12" t="s">
        <v>2159</v>
      </c>
      <c r="B6" s="12" t="s">
        <v>4286</v>
      </c>
      <c r="C6" t="s">
        <v>4287</v>
      </c>
    </row>
    <row r="7" spans="1:3" x14ac:dyDescent="0.3">
      <c r="A7" s="12" t="s">
        <v>2160</v>
      </c>
      <c r="B7" s="12" t="s">
        <v>4286</v>
      </c>
      <c r="C7" t="s">
        <v>4287</v>
      </c>
    </row>
    <row r="8" spans="1:3" x14ac:dyDescent="0.3">
      <c r="A8" s="12" t="s">
        <v>929</v>
      </c>
      <c r="B8" s="12" t="s">
        <v>4286</v>
      </c>
      <c r="C8" t="s">
        <v>4287</v>
      </c>
    </row>
    <row r="9" spans="1:3" x14ac:dyDescent="0.3">
      <c r="A9" s="12" t="s">
        <v>950</v>
      </c>
      <c r="B9" s="12" t="s">
        <v>4286</v>
      </c>
      <c r="C9" t="s">
        <v>4287</v>
      </c>
    </row>
    <row r="10" spans="1:3" x14ac:dyDescent="0.3">
      <c r="A10" s="12" t="s">
        <v>947</v>
      </c>
      <c r="B10" s="12" t="s">
        <v>4286</v>
      </c>
      <c r="C10" t="s">
        <v>4287</v>
      </c>
    </row>
    <row r="11" spans="1:3" x14ac:dyDescent="0.3">
      <c r="A11" s="12" t="s">
        <v>1548</v>
      </c>
      <c r="B11" s="12" t="s">
        <v>4286</v>
      </c>
      <c r="C11" t="s">
        <v>4287</v>
      </c>
    </row>
    <row r="12" spans="1:3" x14ac:dyDescent="0.3">
      <c r="A12" s="12" t="s">
        <v>943</v>
      </c>
      <c r="B12" s="12" t="s">
        <v>4286</v>
      </c>
      <c r="C12" t="s">
        <v>4287</v>
      </c>
    </row>
    <row r="13" spans="1:3" x14ac:dyDescent="0.3">
      <c r="A13" s="12" t="s">
        <v>955</v>
      </c>
      <c r="B13" s="12" t="s">
        <v>4286</v>
      </c>
      <c r="C13" t="s">
        <v>4287</v>
      </c>
    </row>
    <row r="14" spans="1:3" x14ac:dyDescent="0.3">
      <c r="A14" s="12" t="s">
        <v>967</v>
      </c>
      <c r="B14" s="12" t="s">
        <v>4286</v>
      </c>
      <c r="C14" t="s">
        <v>4287</v>
      </c>
    </row>
    <row r="15" spans="1:3" x14ac:dyDescent="0.3">
      <c r="A15" s="12" t="s">
        <v>890</v>
      </c>
      <c r="B15" s="12" t="s">
        <v>4286</v>
      </c>
      <c r="C15" t="s">
        <v>4287</v>
      </c>
    </row>
    <row r="16" spans="1:3" x14ac:dyDescent="0.3">
      <c r="A16" s="12" t="s">
        <v>1028</v>
      </c>
      <c r="B16" s="12" t="s">
        <v>4286</v>
      </c>
      <c r="C16" t="s">
        <v>4287</v>
      </c>
    </row>
    <row r="17" spans="1:3" x14ac:dyDescent="0.3">
      <c r="A17" s="12" t="s">
        <v>1594</v>
      </c>
      <c r="B17" s="12" t="s">
        <v>4286</v>
      </c>
      <c r="C17" t="s">
        <v>4287</v>
      </c>
    </row>
    <row r="18" spans="1:3" x14ac:dyDescent="0.3">
      <c r="A18" s="12" t="s">
        <v>1590</v>
      </c>
      <c r="B18" s="12" t="s">
        <v>4286</v>
      </c>
      <c r="C18" t="s">
        <v>4287</v>
      </c>
    </row>
    <row r="19" spans="1:3" x14ac:dyDescent="0.3">
      <c r="A19" s="12" t="s">
        <v>1036</v>
      </c>
      <c r="B19" s="12" t="s">
        <v>4286</v>
      </c>
      <c r="C19" t="s">
        <v>4287</v>
      </c>
    </row>
    <row r="20" spans="1:3" x14ac:dyDescent="0.3">
      <c r="A20" s="12" t="s">
        <v>1601</v>
      </c>
      <c r="B20" s="12" t="s">
        <v>4286</v>
      </c>
      <c r="C20" t="s">
        <v>4287</v>
      </c>
    </row>
    <row r="21" spans="1:3" x14ac:dyDescent="0.3">
      <c r="A21" s="12" t="s">
        <v>1592</v>
      </c>
      <c r="B21" s="12" t="s">
        <v>4286</v>
      </c>
      <c r="C21" t="s">
        <v>4287</v>
      </c>
    </row>
    <row r="22" spans="1:3" x14ac:dyDescent="0.3">
      <c r="A22" s="12" t="s">
        <v>1040</v>
      </c>
      <c r="B22" s="12" t="s">
        <v>4286</v>
      </c>
      <c r="C22" t="s">
        <v>4287</v>
      </c>
    </row>
    <row r="23" spans="1:3" x14ac:dyDescent="0.3">
      <c r="A23" s="12" t="s">
        <v>1600</v>
      </c>
      <c r="B23" s="12" t="s">
        <v>4286</v>
      </c>
      <c r="C23" t="s">
        <v>4287</v>
      </c>
    </row>
    <row r="24" spans="1:3" x14ac:dyDescent="0.3">
      <c r="A24" s="12" t="s">
        <v>1564</v>
      </c>
      <c r="B24" s="12" t="s">
        <v>4286</v>
      </c>
      <c r="C24" t="s">
        <v>4288</v>
      </c>
    </row>
    <row r="25" spans="1:3" x14ac:dyDescent="0.3">
      <c r="A25" s="12" t="s">
        <v>1568</v>
      </c>
      <c r="B25" s="12" t="s">
        <v>4286</v>
      </c>
      <c r="C25" t="s">
        <v>4288</v>
      </c>
    </row>
    <row r="26" spans="1:3" x14ac:dyDescent="0.3">
      <c r="A26" s="12" t="s">
        <v>1557</v>
      </c>
      <c r="B26" s="12" t="s">
        <v>4286</v>
      </c>
      <c r="C26" t="s">
        <v>4288</v>
      </c>
    </row>
    <row r="27" spans="1:3" x14ac:dyDescent="0.3">
      <c r="A27" s="12" t="s">
        <v>1674</v>
      </c>
      <c r="B27" s="12" t="s">
        <v>4286</v>
      </c>
      <c r="C27" t="s">
        <v>4288</v>
      </c>
    </row>
    <row r="28" spans="1:3" x14ac:dyDescent="0.3">
      <c r="A28" s="12" t="s">
        <v>1163</v>
      </c>
      <c r="B28" s="12" t="s">
        <v>4286</v>
      </c>
      <c r="C28" t="s">
        <v>4288</v>
      </c>
    </row>
    <row r="29" spans="1:3" x14ac:dyDescent="0.3">
      <c r="A29" s="12" t="s">
        <v>1687</v>
      </c>
      <c r="B29" s="12" t="s">
        <v>4286</v>
      </c>
      <c r="C29" t="s">
        <v>4288</v>
      </c>
    </row>
    <row r="30" spans="1:3" x14ac:dyDescent="0.3">
      <c r="A30" s="12" t="s">
        <v>1183</v>
      </c>
      <c r="B30" s="12" t="s">
        <v>4286</v>
      </c>
      <c r="C30" t="s">
        <v>4288</v>
      </c>
    </row>
    <row r="31" spans="1:3" x14ac:dyDescent="0.3">
      <c r="A31" s="12" t="s">
        <v>1672</v>
      </c>
      <c r="B31" s="12" t="s">
        <v>4286</v>
      </c>
      <c r="C31" t="s">
        <v>4288</v>
      </c>
    </row>
    <row r="32" spans="1:3" x14ac:dyDescent="0.3">
      <c r="A32" s="12" t="s">
        <v>1703</v>
      </c>
      <c r="B32" s="12" t="s">
        <v>4286</v>
      </c>
      <c r="C32" t="s">
        <v>4288</v>
      </c>
    </row>
    <row r="33" spans="1:3" x14ac:dyDescent="0.3">
      <c r="A33" s="12" t="s">
        <v>2201</v>
      </c>
      <c r="B33" s="12" t="s">
        <v>4286</v>
      </c>
      <c r="C33" t="s">
        <v>4288</v>
      </c>
    </row>
    <row r="34" spans="1:3" x14ac:dyDescent="0.3">
      <c r="A34" s="12" t="s">
        <v>1681</v>
      </c>
      <c r="B34" s="12" t="s">
        <v>4286</v>
      </c>
      <c r="C34" t="s">
        <v>4288</v>
      </c>
    </row>
    <row r="35" spans="1:3" x14ac:dyDescent="0.3">
      <c r="A35" s="12" t="s">
        <v>1685</v>
      </c>
      <c r="B35" s="12" t="s">
        <v>4286</v>
      </c>
      <c r="C35" t="s">
        <v>4288</v>
      </c>
    </row>
    <row r="36" spans="1:3" x14ac:dyDescent="0.3">
      <c r="A36" s="12" t="s">
        <v>1181</v>
      </c>
      <c r="B36" s="12" t="s">
        <v>4286</v>
      </c>
      <c r="C36" t="s">
        <v>4288</v>
      </c>
    </row>
    <row r="37" spans="1:3" x14ac:dyDescent="0.3">
      <c r="A37" s="12" t="s">
        <v>1696</v>
      </c>
      <c r="B37" s="12" t="s">
        <v>4286</v>
      </c>
      <c r="C37" t="s">
        <v>4288</v>
      </c>
    </row>
    <row r="38" spans="1:3" x14ac:dyDescent="0.3">
      <c r="A38" s="12" t="s">
        <v>2198</v>
      </c>
      <c r="B38" s="12" t="s">
        <v>4286</v>
      </c>
      <c r="C38" t="s">
        <v>4288</v>
      </c>
    </row>
    <row r="39" spans="1:3" x14ac:dyDescent="0.3">
      <c r="A39" s="12" t="s">
        <v>2197</v>
      </c>
      <c r="B39" s="12" t="s">
        <v>4286</v>
      </c>
      <c r="C39" t="s">
        <v>4288</v>
      </c>
    </row>
    <row r="40" spans="1:3" x14ac:dyDescent="0.3">
      <c r="A40" s="12" t="s">
        <v>1675</v>
      </c>
      <c r="B40" s="12" t="s">
        <v>4286</v>
      </c>
      <c r="C40" t="s">
        <v>4288</v>
      </c>
    </row>
    <row r="41" spans="1:3" x14ac:dyDescent="0.3">
      <c r="A41" s="12" t="s">
        <v>1743</v>
      </c>
      <c r="B41" s="12" t="s">
        <v>4286</v>
      </c>
      <c r="C41" t="s">
        <v>4288</v>
      </c>
    </row>
    <row r="42" spans="1:3" x14ac:dyDescent="0.3">
      <c r="A42" s="12" t="s">
        <v>1692</v>
      </c>
      <c r="B42" s="12" t="s">
        <v>4286</v>
      </c>
      <c r="C42" t="s">
        <v>4288</v>
      </c>
    </row>
    <row r="43" spans="1:3" x14ac:dyDescent="0.3">
      <c r="A43" s="12" t="s">
        <v>1700</v>
      </c>
      <c r="B43" s="12" t="s">
        <v>4286</v>
      </c>
      <c r="C43" t="s">
        <v>4288</v>
      </c>
    </row>
    <row r="44" spans="1:3" x14ac:dyDescent="0.3">
      <c r="A44" s="12" t="s">
        <v>2196</v>
      </c>
      <c r="B44" s="12" t="s">
        <v>4286</v>
      </c>
      <c r="C44" t="s">
        <v>4288</v>
      </c>
    </row>
    <row r="45" spans="1:3" x14ac:dyDescent="0.3">
      <c r="A45" s="12" t="s">
        <v>1324</v>
      </c>
      <c r="B45" s="12" t="s">
        <v>4286</v>
      </c>
      <c r="C45" t="s">
        <v>4288</v>
      </c>
    </row>
    <row r="46" spans="1:3" x14ac:dyDescent="0.3">
      <c r="A46" s="12" t="s">
        <v>1683</v>
      </c>
      <c r="B46" s="12" t="s">
        <v>4286</v>
      </c>
      <c r="C46" t="s">
        <v>4288</v>
      </c>
    </row>
    <row r="47" spans="1:3" x14ac:dyDescent="0.3">
      <c r="A47" s="12" t="s">
        <v>1165</v>
      </c>
      <c r="B47" s="12" t="s">
        <v>4286</v>
      </c>
      <c r="C47" t="s">
        <v>4288</v>
      </c>
    </row>
    <row r="48" spans="1:3" x14ac:dyDescent="0.3">
      <c r="A48" s="12" t="s">
        <v>1680</v>
      </c>
      <c r="B48" s="12" t="s">
        <v>4286</v>
      </c>
      <c r="C48" t="s">
        <v>4288</v>
      </c>
    </row>
    <row r="49" spans="1:3" x14ac:dyDescent="0.3">
      <c r="A49" s="12" t="s">
        <v>2190</v>
      </c>
      <c r="B49" s="12" t="s">
        <v>4286</v>
      </c>
      <c r="C49" t="s">
        <v>4288</v>
      </c>
    </row>
    <row r="50" spans="1:3" x14ac:dyDescent="0.3">
      <c r="A50" s="12" t="s">
        <v>2191</v>
      </c>
      <c r="B50" s="12" t="s">
        <v>4286</v>
      </c>
      <c r="C50" t="s">
        <v>4288</v>
      </c>
    </row>
    <row r="51" spans="1:3" x14ac:dyDescent="0.3">
      <c r="A51" s="12" t="s">
        <v>2192</v>
      </c>
      <c r="B51" s="12" t="s">
        <v>4286</v>
      </c>
      <c r="C51" t="s">
        <v>4288</v>
      </c>
    </row>
    <row r="52" spans="1:3" x14ac:dyDescent="0.3">
      <c r="A52" s="12" t="s">
        <v>2193</v>
      </c>
      <c r="B52" s="12" t="s">
        <v>4286</v>
      </c>
      <c r="C52" t="s">
        <v>4288</v>
      </c>
    </row>
    <row r="53" spans="1:3" x14ac:dyDescent="0.3">
      <c r="A53" s="12" t="s">
        <v>2194</v>
      </c>
      <c r="B53" s="12" t="s">
        <v>4286</v>
      </c>
      <c r="C53" t="s">
        <v>4288</v>
      </c>
    </row>
    <row r="54" spans="1:3" x14ac:dyDescent="0.3">
      <c r="A54" s="12" t="s">
        <v>2195</v>
      </c>
      <c r="B54" s="12" t="s">
        <v>4286</v>
      </c>
      <c r="C54" t="s">
        <v>4288</v>
      </c>
    </row>
    <row r="55" spans="1:3" x14ac:dyDescent="0.3">
      <c r="A55" s="12" t="s">
        <v>1196</v>
      </c>
      <c r="B55" s="12" t="s">
        <v>4286</v>
      </c>
      <c r="C55" t="s">
        <v>4288</v>
      </c>
    </row>
    <row r="56" spans="1:3" x14ac:dyDescent="0.3">
      <c r="A56" s="12" t="s">
        <v>2200</v>
      </c>
      <c r="B56" s="12" t="s">
        <v>4286</v>
      </c>
      <c r="C56" t="s">
        <v>4288</v>
      </c>
    </row>
    <row r="57" spans="1:3" x14ac:dyDescent="0.3">
      <c r="A57" s="12" t="s">
        <v>1677</v>
      </c>
      <c r="B57" s="12" t="s">
        <v>4286</v>
      </c>
      <c r="C57" t="s">
        <v>4288</v>
      </c>
    </row>
    <row r="58" spans="1:3" x14ac:dyDescent="0.3">
      <c r="A58" s="12" t="s">
        <v>2202</v>
      </c>
      <c r="B58" s="12" t="s">
        <v>4286</v>
      </c>
      <c r="C58" t="s">
        <v>4288</v>
      </c>
    </row>
    <row r="59" spans="1:3" x14ac:dyDescent="0.3">
      <c r="A59" s="12" t="s">
        <v>1185</v>
      </c>
      <c r="B59" s="12" t="s">
        <v>4286</v>
      </c>
      <c r="C59" t="s">
        <v>4288</v>
      </c>
    </row>
    <row r="60" spans="1:3" x14ac:dyDescent="0.3">
      <c r="A60" s="12" t="s">
        <v>1741</v>
      </c>
      <c r="B60" s="12" t="s">
        <v>4286</v>
      </c>
      <c r="C60" t="s">
        <v>4288</v>
      </c>
    </row>
    <row r="61" spans="1:3" x14ac:dyDescent="0.3">
      <c r="A61" s="12" t="s">
        <v>1740</v>
      </c>
      <c r="B61" s="12" t="s">
        <v>4286</v>
      </c>
      <c r="C61" t="s">
        <v>4289</v>
      </c>
    </row>
    <row r="62" spans="1:3" x14ac:dyDescent="0.3">
      <c r="A62" s="12" t="s">
        <v>1612</v>
      </c>
      <c r="B62" s="12" t="s">
        <v>4286</v>
      </c>
      <c r="C62" t="s">
        <v>4290</v>
      </c>
    </row>
    <row r="63" spans="1:3" x14ac:dyDescent="0.3">
      <c r="A63" s="12" t="s">
        <v>1726</v>
      </c>
      <c r="B63" s="12" t="s">
        <v>4286</v>
      </c>
      <c r="C63" t="s">
        <v>4291</v>
      </c>
    </row>
    <row r="64" spans="1:3" x14ac:dyDescent="0.3">
      <c r="A64" s="12" t="s">
        <v>1729</v>
      </c>
      <c r="B64" s="12" t="s">
        <v>4286</v>
      </c>
      <c r="C64" t="s">
        <v>4291</v>
      </c>
    </row>
    <row r="65" spans="1:3" x14ac:dyDescent="0.3">
      <c r="A65" s="12" t="s">
        <v>1746</v>
      </c>
      <c r="B65" s="12" t="s">
        <v>4286</v>
      </c>
      <c r="C65" t="s">
        <v>4291</v>
      </c>
    </row>
    <row r="66" spans="1:3" x14ac:dyDescent="0.3">
      <c r="A66" s="12" t="s">
        <v>1712</v>
      </c>
      <c r="B66" s="12" t="s">
        <v>4286</v>
      </c>
      <c r="C66" t="s">
        <v>4291</v>
      </c>
    </row>
    <row r="67" spans="1:3" x14ac:dyDescent="0.3">
      <c r="A67" s="12" t="s">
        <v>1242</v>
      </c>
      <c r="B67" s="12" t="s">
        <v>4286</v>
      </c>
      <c r="C67" t="s">
        <v>4291</v>
      </c>
    </row>
    <row r="68" spans="1:3" x14ac:dyDescent="0.3">
      <c r="A68" s="12" t="s">
        <v>1241</v>
      </c>
      <c r="B68" s="12" t="s">
        <v>4286</v>
      </c>
      <c r="C68" t="s">
        <v>4291</v>
      </c>
    </row>
    <row r="69" spans="1:3" x14ac:dyDescent="0.3">
      <c r="A69" s="12" t="s">
        <v>1266</v>
      </c>
      <c r="B69" s="12" t="s">
        <v>4286</v>
      </c>
      <c r="C69" t="s">
        <v>4291</v>
      </c>
    </row>
    <row r="70" spans="1:3" x14ac:dyDescent="0.3">
      <c r="A70" s="12" t="s">
        <v>1274</v>
      </c>
      <c r="B70" s="12" t="s">
        <v>4286</v>
      </c>
      <c r="C70" t="s">
        <v>4291</v>
      </c>
    </row>
    <row r="71" spans="1:3" x14ac:dyDescent="0.3">
      <c r="A71" s="12" t="s">
        <v>1281</v>
      </c>
      <c r="B71" s="12" t="s">
        <v>4286</v>
      </c>
      <c r="C71" t="s">
        <v>4291</v>
      </c>
    </row>
    <row r="72" spans="1:3" x14ac:dyDescent="0.3">
      <c r="A72" s="12" t="s">
        <v>1607</v>
      </c>
      <c r="B72" s="12" t="s">
        <v>4286</v>
      </c>
      <c r="C72" t="s">
        <v>4291</v>
      </c>
    </row>
    <row r="73" spans="1:3" x14ac:dyDescent="0.3">
      <c r="A73" s="12" t="s">
        <v>2178</v>
      </c>
      <c r="B73" s="12" t="s">
        <v>4286</v>
      </c>
      <c r="C73" t="s">
        <v>4291</v>
      </c>
    </row>
    <row r="74" spans="1:3" x14ac:dyDescent="0.3">
      <c r="A74" s="12" t="s">
        <v>1738</v>
      </c>
      <c r="B74" s="12" t="s">
        <v>4286</v>
      </c>
      <c r="C74" t="s">
        <v>4291</v>
      </c>
    </row>
    <row r="75" spans="1:3" x14ac:dyDescent="0.3">
      <c r="A75" s="12" t="s">
        <v>1732</v>
      </c>
      <c r="B75" s="12" t="s">
        <v>4286</v>
      </c>
      <c r="C75" t="s">
        <v>4291</v>
      </c>
    </row>
    <row r="76" spans="1:3" x14ac:dyDescent="0.3">
      <c r="A76" s="12" t="s">
        <v>1727</v>
      </c>
      <c r="B76" s="12" t="s">
        <v>4286</v>
      </c>
      <c r="C76" t="s">
        <v>4291</v>
      </c>
    </row>
    <row r="77" spans="1:3" x14ac:dyDescent="0.3">
      <c r="A77" s="12" t="s">
        <v>1749</v>
      </c>
      <c r="B77" s="12" t="s">
        <v>4286</v>
      </c>
      <c r="C77" t="s">
        <v>4291</v>
      </c>
    </row>
    <row r="78" spans="1:3" x14ac:dyDescent="0.3">
      <c r="A78" s="12" t="s">
        <v>1748</v>
      </c>
      <c r="B78" s="12" t="s">
        <v>4286</v>
      </c>
      <c r="C78" t="s">
        <v>4291</v>
      </c>
    </row>
    <row r="79" spans="1:3" x14ac:dyDescent="0.3">
      <c r="A79" s="12" t="s">
        <v>1728</v>
      </c>
      <c r="B79" s="12" t="s">
        <v>4286</v>
      </c>
      <c r="C79" t="s">
        <v>4291</v>
      </c>
    </row>
    <row r="80" spans="1:3" x14ac:dyDescent="0.3">
      <c r="A80" s="12" t="s">
        <v>1734</v>
      </c>
      <c r="B80" s="12" t="s">
        <v>4286</v>
      </c>
      <c r="C80" t="s">
        <v>4291</v>
      </c>
    </row>
    <row r="81" spans="1:3" x14ac:dyDescent="0.3">
      <c r="A81" s="12" t="s">
        <v>1256</v>
      </c>
      <c r="B81" s="12" t="s">
        <v>4286</v>
      </c>
      <c r="C81" t="s">
        <v>4291</v>
      </c>
    </row>
    <row r="82" spans="1:3" x14ac:dyDescent="0.3">
      <c r="A82" s="12" t="s">
        <v>1254</v>
      </c>
      <c r="B82" s="12" t="s">
        <v>4286</v>
      </c>
      <c r="C82" t="s">
        <v>4291</v>
      </c>
    </row>
    <row r="83" spans="1:3" x14ac:dyDescent="0.3">
      <c r="A83" s="12" t="s">
        <v>1255</v>
      </c>
      <c r="B83" s="12" t="s">
        <v>4286</v>
      </c>
      <c r="C83" t="s">
        <v>4291</v>
      </c>
    </row>
    <row r="84" spans="1:3" x14ac:dyDescent="0.3">
      <c r="A84" s="12" t="s">
        <v>1253</v>
      </c>
      <c r="B84" s="12" t="s">
        <v>4286</v>
      </c>
      <c r="C84" t="s">
        <v>4291</v>
      </c>
    </row>
    <row r="85" spans="1:3" x14ac:dyDescent="0.3">
      <c r="A85" s="12" t="s">
        <v>1252</v>
      </c>
      <c r="B85" s="12" t="s">
        <v>4286</v>
      </c>
      <c r="C85" t="s">
        <v>4291</v>
      </c>
    </row>
    <row r="86" spans="1:3" x14ac:dyDescent="0.3">
      <c r="A86" s="12" t="s">
        <v>1251</v>
      </c>
      <c r="B86" s="12" t="s">
        <v>4286</v>
      </c>
      <c r="C86" t="s">
        <v>4291</v>
      </c>
    </row>
    <row r="87" spans="1:3" x14ac:dyDescent="0.3">
      <c r="A87" s="12" t="s">
        <v>1719</v>
      </c>
      <c r="B87" s="12" t="s">
        <v>4286</v>
      </c>
      <c r="C87" t="s">
        <v>4292</v>
      </c>
    </row>
    <row r="88" spans="1:3" x14ac:dyDescent="0.3">
      <c r="A88" s="12" t="s">
        <v>1715</v>
      </c>
      <c r="B88" s="12" t="s">
        <v>4286</v>
      </c>
      <c r="C88" t="s">
        <v>4292</v>
      </c>
    </row>
    <row r="89" spans="1:3" x14ac:dyDescent="0.3">
      <c r="A89" s="12" t="s">
        <v>1717</v>
      </c>
      <c r="B89" s="12" t="s">
        <v>4286</v>
      </c>
      <c r="C89" t="s">
        <v>4292</v>
      </c>
    </row>
    <row r="90" spans="1:3" x14ac:dyDescent="0.3">
      <c r="A90" s="12" t="s">
        <v>1722</v>
      </c>
      <c r="B90" s="12" t="s">
        <v>4286</v>
      </c>
      <c r="C90" t="s">
        <v>4292</v>
      </c>
    </row>
    <row r="91" spans="1:3" x14ac:dyDescent="0.3">
      <c r="A91" s="12" t="s">
        <v>1725</v>
      </c>
      <c r="B91" s="12" t="s">
        <v>4286</v>
      </c>
      <c r="C91" t="s">
        <v>4292</v>
      </c>
    </row>
    <row r="92" spans="1:3" x14ac:dyDescent="0.3">
      <c r="A92" s="12" t="s">
        <v>1611</v>
      </c>
      <c r="B92" s="12" t="s">
        <v>4286</v>
      </c>
      <c r="C92" t="s">
        <v>4291</v>
      </c>
    </row>
    <row r="93" spans="1:3" x14ac:dyDescent="0.3">
      <c r="A93" s="12" t="s">
        <v>1708</v>
      </c>
      <c r="B93" s="12" t="s">
        <v>4286</v>
      </c>
      <c r="C93" t="s">
        <v>4291</v>
      </c>
    </row>
    <row r="94" spans="1:3" x14ac:dyDescent="0.3">
      <c r="A94" s="12" t="s">
        <v>1046</v>
      </c>
      <c r="B94" s="12" t="s">
        <v>4286</v>
      </c>
      <c r="C94" t="s">
        <v>4291</v>
      </c>
    </row>
    <row r="95" spans="1:3" x14ac:dyDescent="0.3">
      <c r="A95" s="12" t="s">
        <v>2186</v>
      </c>
      <c r="B95" s="12" t="s">
        <v>4286</v>
      </c>
      <c r="C95" t="s">
        <v>4291</v>
      </c>
    </row>
    <row r="96" spans="1:3" x14ac:dyDescent="0.3">
      <c r="A96" s="12" t="s">
        <v>1614</v>
      </c>
      <c r="B96" s="12" t="s">
        <v>4286</v>
      </c>
      <c r="C96" t="s">
        <v>4291</v>
      </c>
    </row>
    <row r="97" spans="1:3" x14ac:dyDescent="0.3">
      <c r="A97" s="12" t="s">
        <v>1049</v>
      </c>
      <c r="B97" s="12" t="s">
        <v>4286</v>
      </c>
      <c r="C97" t="s">
        <v>4291</v>
      </c>
    </row>
    <row r="98" spans="1:3" x14ac:dyDescent="0.3">
      <c r="A98" s="12" t="s">
        <v>1058</v>
      </c>
      <c r="B98" s="12" t="s">
        <v>4286</v>
      </c>
      <c r="C98" t="s">
        <v>4291</v>
      </c>
    </row>
    <row r="99" spans="1:3" x14ac:dyDescent="0.3">
      <c r="A99" s="12" t="s">
        <v>1145</v>
      </c>
      <c r="B99" s="12" t="s">
        <v>4286</v>
      </c>
      <c r="C99" t="s">
        <v>4287</v>
      </c>
    </row>
    <row r="100" spans="1:3" x14ac:dyDescent="0.3">
      <c r="A100" s="12" t="s">
        <v>1069</v>
      </c>
      <c r="B100" s="12" t="s">
        <v>4286</v>
      </c>
      <c r="C100" t="s">
        <v>4287</v>
      </c>
    </row>
    <row r="101" spans="1:3" x14ac:dyDescent="0.3">
      <c r="A101" s="12" t="s">
        <v>1669</v>
      </c>
      <c r="B101" s="12" t="s">
        <v>4286</v>
      </c>
      <c r="C101" t="s">
        <v>4287</v>
      </c>
    </row>
    <row r="102" spans="1:3" x14ac:dyDescent="0.3">
      <c r="A102" s="12" t="s">
        <v>4293</v>
      </c>
      <c r="B102" s="12" t="s">
        <v>4286</v>
      </c>
      <c r="C102" t="s">
        <v>4287</v>
      </c>
    </row>
    <row r="103" spans="1:3" x14ac:dyDescent="0.3">
      <c r="A103" s="12" t="s">
        <v>1651</v>
      </c>
      <c r="B103" s="12" t="s">
        <v>4286</v>
      </c>
      <c r="C103" t="s">
        <v>4287</v>
      </c>
    </row>
    <row r="104" spans="1:3" x14ac:dyDescent="0.3">
      <c r="A104" s="12" t="s">
        <v>1655</v>
      </c>
      <c r="B104" s="12" t="s">
        <v>4286</v>
      </c>
      <c r="C104" t="s">
        <v>4287</v>
      </c>
    </row>
    <row r="105" spans="1:3" x14ac:dyDescent="0.3">
      <c r="A105" s="12" t="s">
        <v>1061</v>
      </c>
      <c r="B105" s="12" t="s">
        <v>4286</v>
      </c>
      <c r="C105" t="s">
        <v>4287</v>
      </c>
    </row>
    <row r="106" spans="1:3" x14ac:dyDescent="0.3">
      <c r="A106" s="12" t="s">
        <v>1105</v>
      </c>
      <c r="B106" s="12" t="s">
        <v>4286</v>
      </c>
      <c r="C106" t="s">
        <v>4287</v>
      </c>
    </row>
    <row r="107" spans="1:3" x14ac:dyDescent="0.3">
      <c r="A107" s="12" t="s">
        <v>1820</v>
      </c>
      <c r="B107" s="12" t="s">
        <v>4286</v>
      </c>
      <c r="C107" t="s">
        <v>4287</v>
      </c>
    </row>
    <row r="108" spans="1:3" x14ac:dyDescent="0.3">
      <c r="A108" s="12" t="s">
        <v>1525</v>
      </c>
      <c r="B108" s="12" t="s">
        <v>4286</v>
      </c>
      <c r="C108" t="s">
        <v>4287</v>
      </c>
    </row>
    <row r="109" spans="1:3" x14ac:dyDescent="0.3">
      <c r="A109" s="12" t="s">
        <v>1827</v>
      </c>
      <c r="B109" s="12" t="s">
        <v>4286</v>
      </c>
      <c r="C109" t="s">
        <v>4287</v>
      </c>
    </row>
    <row r="110" spans="1:3" x14ac:dyDescent="0.3">
      <c r="A110" s="12" t="s">
        <v>1351</v>
      </c>
      <c r="B110" s="12" t="s">
        <v>4286</v>
      </c>
      <c r="C110" t="s">
        <v>4287</v>
      </c>
    </row>
    <row r="111" spans="1:3" x14ac:dyDescent="0.3">
      <c r="A111" s="12" t="s">
        <v>1523</v>
      </c>
      <c r="B111" s="12" t="s">
        <v>4286</v>
      </c>
      <c r="C111" t="s">
        <v>4287</v>
      </c>
    </row>
    <row r="112" spans="1:3" x14ac:dyDescent="0.3">
      <c r="A112" s="12" t="s">
        <v>1346</v>
      </c>
      <c r="B112" s="12" t="s">
        <v>4286</v>
      </c>
      <c r="C112" t="s">
        <v>4287</v>
      </c>
    </row>
    <row r="113" spans="1:3" x14ac:dyDescent="0.3">
      <c r="A113" s="12" t="s">
        <v>1796</v>
      </c>
      <c r="B113" s="12" t="s">
        <v>4286</v>
      </c>
      <c r="C113" t="s">
        <v>4287</v>
      </c>
    </row>
    <row r="114" spans="1:3" x14ac:dyDescent="0.3">
      <c r="A114" s="12" t="s">
        <v>1804</v>
      </c>
      <c r="B114" s="12" t="s">
        <v>4286</v>
      </c>
      <c r="C114" t="s">
        <v>4287</v>
      </c>
    </row>
    <row r="115" spans="1:3" x14ac:dyDescent="0.3">
      <c r="A115" s="12" t="s">
        <v>1336</v>
      </c>
      <c r="B115" s="12" t="s">
        <v>4286</v>
      </c>
      <c r="C115" t="s">
        <v>4287</v>
      </c>
    </row>
    <row r="116" spans="1:3" x14ac:dyDescent="0.3">
      <c r="A116" s="12" t="s">
        <v>2150</v>
      </c>
      <c r="B116" s="12" t="s">
        <v>4286</v>
      </c>
      <c r="C116" t="s">
        <v>4287</v>
      </c>
    </row>
    <row r="117" spans="1:3" x14ac:dyDescent="0.3">
      <c r="A117" s="12" t="s">
        <v>1328</v>
      </c>
      <c r="B117" s="12" t="s">
        <v>4286</v>
      </c>
      <c r="C117" t="s">
        <v>4287</v>
      </c>
    </row>
    <row r="118" spans="1:3" x14ac:dyDescent="0.3">
      <c r="A118" s="12" t="s">
        <v>1338</v>
      </c>
      <c r="B118" s="12" t="s">
        <v>4286</v>
      </c>
      <c r="C118" t="s">
        <v>4287</v>
      </c>
    </row>
    <row r="119" spans="1:3" x14ac:dyDescent="0.3">
      <c r="A119" s="12" t="s">
        <v>1660</v>
      </c>
      <c r="B119" s="12" t="s">
        <v>4286</v>
      </c>
      <c r="C119" t="s">
        <v>4287</v>
      </c>
    </row>
    <row r="120" spans="1:3" x14ac:dyDescent="0.3">
      <c r="A120" s="12" t="s">
        <v>1808</v>
      </c>
      <c r="B120" s="12" t="s">
        <v>4286</v>
      </c>
      <c r="C120" t="s">
        <v>4288</v>
      </c>
    </row>
    <row r="121" spans="1:3" x14ac:dyDescent="0.3">
      <c r="A121" s="12" t="s">
        <v>1362</v>
      </c>
      <c r="B121" s="12" t="s">
        <v>4286</v>
      </c>
      <c r="C121" t="s">
        <v>4287</v>
      </c>
    </row>
    <row r="122" spans="1:3" x14ac:dyDescent="0.3">
      <c r="A122" s="12" t="s">
        <v>1006</v>
      </c>
      <c r="B122" s="12" t="s">
        <v>4286</v>
      </c>
      <c r="C122" t="s">
        <v>4287</v>
      </c>
    </row>
    <row r="123" spans="1:3" x14ac:dyDescent="0.3">
      <c r="A123" s="12" t="s">
        <v>1574</v>
      </c>
      <c r="B123" s="12" t="s">
        <v>4286</v>
      </c>
      <c r="C123" t="s">
        <v>4287</v>
      </c>
    </row>
    <row r="124" spans="1:3" x14ac:dyDescent="0.3">
      <c r="A124" s="12" t="s">
        <v>1769</v>
      </c>
      <c r="B124" s="12" t="s">
        <v>4286</v>
      </c>
      <c r="C124" t="s">
        <v>4287</v>
      </c>
    </row>
    <row r="125" spans="1:3" x14ac:dyDescent="0.3">
      <c r="A125" s="12" t="s">
        <v>1788</v>
      </c>
      <c r="B125" s="12" t="s">
        <v>4286</v>
      </c>
      <c r="C125" t="s">
        <v>4287</v>
      </c>
    </row>
    <row r="126" spans="1:3" x14ac:dyDescent="0.3">
      <c r="A126" s="12" t="s">
        <v>1777</v>
      </c>
      <c r="B126" s="12" t="s">
        <v>4286</v>
      </c>
      <c r="C126" t="s">
        <v>4287</v>
      </c>
    </row>
    <row r="127" spans="1:3" x14ac:dyDescent="0.3">
      <c r="A127" s="12" t="s">
        <v>1791</v>
      </c>
      <c r="B127" s="12" t="s">
        <v>4286</v>
      </c>
      <c r="C127" t="s">
        <v>4287</v>
      </c>
    </row>
    <row r="128" spans="1:3" x14ac:dyDescent="0.3">
      <c r="A128" s="12" t="s">
        <v>2161</v>
      </c>
      <c r="B128" s="12" t="s">
        <v>4286</v>
      </c>
      <c r="C128" t="s">
        <v>4287</v>
      </c>
    </row>
    <row r="129" spans="1:3" x14ac:dyDescent="0.3">
      <c r="A129" s="12" t="s">
        <v>1189</v>
      </c>
      <c r="B129" s="12" t="s">
        <v>4286</v>
      </c>
      <c r="C129" t="s">
        <v>4287</v>
      </c>
    </row>
    <row r="130" spans="1:3" x14ac:dyDescent="0.3">
      <c r="A130" s="12" t="s">
        <v>2170</v>
      </c>
      <c r="B130" s="12" t="s">
        <v>4286</v>
      </c>
      <c r="C130" t="s">
        <v>4287</v>
      </c>
    </row>
    <row r="131" spans="1:3" x14ac:dyDescent="0.3">
      <c r="A131" s="12" t="s">
        <v>1766</v>
      </c>
      <c r="B131" s="12" t="s">
        <v>4286</v>
      </c>
      <c r="C131" t="s">
        <v>4287</v>
      </c>
    </row>
    <row r="132" spans="1:3" x14ac:dyDescent="0.3">
      <c r="A132" s="12" t="s">
        <v>2165</v>
      </c>
      <c r="B132" s="12" t="s">
        <v>4286</v>
      </c>
      <c r="C132" t="s">
        <v>4287</v>
      </c>
    </row>
    <row r="133" spans="1:3" x14ac:dyDescent="0.3">
      <c r="A133" s="12" t="s">
        <v>2163</v>
      </c>
      <c r="B133" s="12" t="s">
        <v>4286</v>
      </c>
      <c r="C133" t="s">
        <v>4287</v>
      </c>
    </row>
    <row r="134" spans="1:3" x14ac:dyDescent="0.3">
      <c r="A134" s="12" t="s">
        <v>1771</v>
      </c>
      <c r="B134" s="12" t="s">
        <v>4286</v>
      </c>
      <c r="C134" t="s">
        <v>4287</v>
      </c>
    </row>
    <row r="135" spans="1:3" x14ac:dyDescent="0.3">
      <c r="A135" s="12" t="s">
        <v>2169</v>
      </c>
      <c r="B135" s="12" t="s">
        <v>4286</v>
      </c>
      <c r="C135" t="s">
        <v>4287</v>
      </c>
    </row>
    <row r="136" spans="1:3" x14ac:dyDescent="0.3">
      <c r="A136" s="12" t="s">
        <v>2171</v>
      </c>
      <c r="B136" s="12" t="s">
        <v>4286</v>
      </c>
      <c r="C136" t="s">
        <v>4287</v>
      </c>
    </row>
    <row r="137" spans="1:3" x14ac:dyDescent="0.3">
      <c r="A137" s="12" t="s">
        <v>1794</v>
      </c>
      <c r="B137" s="12" t="s">
        <v>4286</v>
      </c>
      <c r="C137" t="s">
        <v>4287</v>
      </c>
    </row>
    <row r="138" spans="1:3" x14ac:dyDescent="0.3">
      <c r="A138" s="12" t="s">
        <v>2167</v>
      </c>
      <c r="B138" s="12" t="s">
        <v>4286</v>
      </c>
      <c r="C138" t="s">
        <v>4287</v>
      </c>
    </row>
    <row r="139" spans="1:3" x14ac:dyDescent="0.3">
      <c r="A139" s="12" t="s">
        <v>2019</v>
      </c>
      <c r="B139" s="12" t="s">
        <v>4286</v>
      </c>
      <c r="C139" t="s">
        <v>4287</v>
      </c>
    </row>
    <row r="140" spans="1:3" x14ac:dyDescent="0.3">
      <c r="A140" s="12" t="s">
        <v>1764</v>
      </c>
      <c r="B140" s="12" t="s">
        <v>4286</v>
      </c>
      <c r="C140" t="s">
        <v>4287</v>
      </c>
    </row>
    <row r="141" spans="1:3" x14ac:dyDescent="0.3">
      <c r="A141" s="12" t="s">
        <v>1761</v>
      </c>
      <c r="B141" s="12" t="s">
        <v>4286</v>
      </c>
      <c r="C141" t="s">
        <v>4287</v>
      </c>
    </row>
    <row r="142" spans="1:3" x14ac:dyDescent="0.3">
      <c r="A142" s="12" t="s">
        <v>2166</v>
      </c>
      <c r="B142" s="12" t="s">
        <v>4286</v>
      </c>
      <c r="C142" t="s">
        <v>4287</v>
      </c>
    </row>
    <row r="143" spans="1:3" x14ac:dyDescent="0.3">
      <c r="A143" s="12" t="s">
        <v>1774</v>
      </c>
      <c r="B143" s="12" t="s">
        <v>4286</v>
      </c>
      <c r="C143" t="s">
        <v>4287</v>
      </c>
    </row>
    <row r="144" spans="1:3" x14ac:dyDescent="0.3">
      <c r="A144" s="12" t="s">
        <v>2172</v>
      </c>
      <c r="B144" s="12" t="s">
        <v>4286</v>
      </c>
      <c r="C144" t="s">
        <v>4287</v>
      </c>
    </row>
    <row r="145" spans="1:3" x14ac:dyDescent="0.3">
      <c r="A145" s="12" t="s">
        <v>2020</v>
      </c>
      <c r="B145" s="12" t="s">
        <v>4286</v>
      </c>
      <c r="C145" t="s">
        <v>4287</v>
      </c>
    </row>
    <row r="146" spans="1:3" x14ac:dyDescent="0.3">
      <c r="A146" s="12" t="s">
        <v>1757</v>
      </c>
      <c r="B146" s="12" t="s">
        <v>4286</v>
      </c>
      <c r="C146" t="s">
        <v>4287</v>
      </c>
    </row>
    <row r="147" spans="1:3" x14ac:dyDescent="0.3">
      <c r="A147" s="12" t="s">
        <v>2174</v>
      </c>
      <c r="B147" s="12" t="s">
        <v>4286</v>
      </c>
      <c r="C147" t="s">
        <v>4287</v>
      </c>
    </row>
    <row r="148" spans="1:3" x14ac:dyDescent="0.3">
      <c r="A148" s="12" t="s">
        <v>1784</v>
      </c>
      <c r="B148" s="12" t="s">
        <v>4286</v>
      </c>
      <c r="C148" t="s">
        <v>4287</v>
      </c>
    </row>
    <row r="149" spans="1:3" x14ac:dyDescent="0.3">
      <c r="A149" s="12" t="s">
        <v>2176</v>
      </c>
      <c r="B149" s="12" t="s">
        <v>4286</v>
      </c>
      <c r="C149" t="s">
        <v>4287</v>
      </c>
    </row>
    <row r="150" spans="1:3" x14ac:dyDescent="0.3">
      <c r="A150" s="12" t="s">
        <v>1920</v>
      </c>
      <c r="B150" s="12" t="s">
        <v>4286</v>
      </c>
      <c r="C150" t="s">
        <v>4288</v>
      </c>
    </row>
    <row r="151" spans="1:3" x14ac:dyDescent="0.3">
      <c r="A151" s="12" t="s">
        <v>1706</v>
      </c>
      <c r="B151" s="12" t="s">
        <v>4286</v>
      </c>
      <c r="C151" t="s">
        <v>4288</v>
      </c>
    </row>
    <row r="152" spans="1:3" x14ac:dyDescent="0.3">
      <c r="A152" s="12" t="s">
        <v>2187</v>
      </c>
      <c r="B152" s="12" t="s">
        <v>4286</v>
      </c>
      <c r="C152" t="s">
        <v>4288</v>
      </c>
    </row>
    <row r="153" spans="1:3" x14ac:dyDescent="0.3">
      <c r="A153" s="12" t="s">
        <v>2107</v>
      </c>
      <c r="B153" s="12" t="s">
        <v>4286</v>
      </c>
      <c r="C153" t="s">
        <v>4288</v>
      </c>
    </row>
    <row r="154" spans="1:3" x14ac:dyDescent="0.3">
      <c r="A154" s="12" t="s">
        <v>2021</v>
      </c>
      <c r="B154" s="12" t="s">
        <v>4286</v>
      </c>
      <c r="C154" t="s">
        <v>4287</v>
      </c>
    </row>
    <row r="155" spans="1:3" x14ac:dyDescent="0.3">
      <c r="A155" s="12" t="s">
        <v>1871</v>
      </c>
      <c r="B155" s="12" t="s">
        <v>4286</v>
      </c>
    </row>
    <row r="156" spans="1:3" x14ac:dyDescent="0.3">
      <c r="A156" s="12" t="s">
        <v>2181</v>
      </c>
      <c r="B156" s="12" t="s">
        <v>4286</v>
      </c>
      <c r="C156" t="s">
        <v>4287</v>
      </c>
    </row>
    <row r="157" spans="1:3" x14ac:dyDescent="0.3">
      <c r="A157" s="12" t="s">
        <v>2179</v>
      </c>
      <c r="B157" s="12" t="s">
        <v>4286</v>
      </c>
      <c r="C157" t="s">
        <v>4287</v>
      </c>
    </row>
    <row r="158" spans="1:3" x14ac:dyDescent="0.3">
      <c r="A158" s="12" t="s">
        <v>2183</v>
      </c>
      <c r="B158" s="12" t="s">
        <v>4286</v>
      </c>
      <c r="C158" t="s">
        <v>4287</v>
      </c>
    </row>
    <row r="159" spans="1:3" x14ac:dyDescent="0.3">
      <c r="A159" s="12" t="s">
        <v>2188</v>
      </c>
      <c r="B159" s="12" t="s">
        <v>4286</v>
      </c>
      <c r="C159" t="s">
        <v>4287</v>
      </c>
    </row>
    <row r="160" spans="1:3" x14ac:dyDescent="0.3">
      <c r="A160" s="12" t="s">
        <v>919</v>
      </c>
      <c r="B160" s="12" t="s">
        <v>4294</v>
      </c>
      <c r="C160" t="s">
        <v>4295</v>
      </c>
    </row>
    <row r="161" spans="1:3" x14ac:dyDescent="0.3">
      <c r="A161" s="12" t="s">
        <v>1560</v>
      </c>
      <c r="B161" s="12" t="s">
        <v>4294</v>
      </c>
      <c r="C161" t="s">
        <v>4295</v>
      </c>
    </row>
    <row r="162" spans="1:3" x14ac:dyDescent="0.3">
      <c r="A162" s="12" t="s">
        <v>974</v>
      </c>
      <c r="B162" s="12" t="s">
        <v>4294</v>
      </c>
      <c r="C162" t="s">
        <v>4295</v>
      </c>
    </row>
    <row r="163" spans="1:3" x14ac:dyDescent="0.3">
      <c r="A163" s="12" t="s">
        <v>971</v>
      </c>
      <c r="B163" s="12" t="s">
        <v>4294</v>
      </c>
      <c r="C163" t="s">
        <v>4295</v>
      </c>
    </row>
    <row r="164" spans="1:3" x14ac:dyDescent="0.3">
      <c r="A164" s="12" t="s">
        <v>2159</v>
      </c>
      <c r="B164" s="12" t="s">
        <v>4294</v>
      </c>
      <c r="C164" t="s">
        <v>4295</v>
      </c>
    </row>
    <row r="165" spans="1:3" x14ac:dyDescent="0.3">
      <c r="A165" s="12" t="s">
        <v>2160</v>
      </c>
      <c r="B165" s="12" t="s">
        <v>4294</v>
      </c>
      <c r="C165" t="s">
        <v>4295</v>
      </c>
    </row>
    <row r="166" spans="1:3" x14ac:dyDescent="0.3">
      <c r="A166" s="12" t="s">
        <v>929</v>
      </c>
      <c r="B166" s="12" t="s">
        <v>4294</v>
      </c>
      <c r="C166" t="s">
        <v>4295</v>
      </c>
    </row>
    <row r="167" spans="1:3" x14ac:dyDescent="0.3">
      <c r="A167" s="12" t="s">
        <v>950</v>
      </c>
      <c r="B167" s="12" t="s">
        <v>4294</v>
      </c>
      <c r="C167" t="s">
        <v>4295</v>
      </c>
    </row>
    <row r="168" spans="1:3" x14ac:dyDescent="0.3">
      <c r="A168" s="12" t="s">
        <v>947</v>
      </c>
      <c r="B168" s="12" t="s">
        <v>4294</v>
      </c>
      <c r="C168" t="s">
        <v>4295</v>
      </c>
    </row>
    <row r="169" spans="1:3" x14ac:dyDescent="0.3">
      <c r="A169" s="12" t="s">
        <v>1548</v>
      </c>
      <c r="B169" s="12" t="s">
        <v>4294</v>
      </c>
      <c r="C169" t="s">
        <v>4295</v>
      </c>
    </row>
    <row r="170" spans="1:3" x14ac:dyDescent="0.3">
      <c r="A170" s="12" t="s">
        <v>943</v>
      </c>
      <c r="B170" s="12" t="s">
        <v>4294</v>
      </c>
      <c r="C170" t="s">
        <v>4295</v>
      </c>
    </row>
    <row r="171" spans="1:3" x14ac:dyDescent="0.3">
      <c r="A171" s="12" t="s">
        <v>955</v>
      </c>
      <c r="B171" s="12" t="s">
        <v>4294</v>
      </c>
      <c r="C171" t="s">
        <v>4295</v>
      </c>
    </row>
    <row r="172" spans="1:3" x14ac:dyDescent="0.3">
      <c r="A172" s="12" t="s">
        <v>967</v>
      </c>
      <c r="B172" s="12" t="s">
        <v>4294</v>
      </c>
      <c r="C172" t="s">
        <v>4295</v>
      </c>
    </row>
    <row r="173" spans="1:3" x14ac:dyDescent="0.3">
      <c r="A173" s="12" t="s">
        <v>890</v>
      </c>
      <c r="B173" s="12" t="s">
        <v>4294</v>
      </c>
      <c r="C173" t="s">
        <v>4295</v>
      </c>
    </row>
    <row r="174" spans="1:3" x14ac:dyDescent="0.3">
      <c r="A174" s="12" t="s">
        <v>1028</v>
      </c>
      <c r="B174" s="12" t="s">
        <v>4294</v>
      </c>
      <c r="C174" t="s">
        <v>4295</v>
      </c>
    </row>
    <row r="175" spans="1:3" x14ac:dyDescent="0.3">
      <c r="A175" s="12" t="s">
        <v>1594</v>
      </c>
      <c r="B175" s="12" t="s">
        <v>4294</v>
      </c>
      <c r="C175" t="s">
        <v>4295</v>
      </c>
    </row>
    <row r="176" spans="1:3" x14ac:dyDescent="0.3">
      <c r="A176" s="12" t="s">
        <v>1590</v>
      </c>
      <c r="B176" s="12" t="s">
        <v>4294</v>
      </c>
      <c r="C176" t="s">
        <v>4295</v>
      </c>
    </row>
    <row r="177" spans="1:3" x14ac:dyDescent="0.3">
      <c r="A177" s="12" t="s">
        <v>1036</v>
      </c>
      <c r="B177" s="12" t="s">
        <v>4294</v>
      </c>
      <c r="C177" t="s">
        <v>4295</v>
      </c>
    </row>
    <row r="178" spans="1:3" x14ac:dyDescent="0.3">
      <c r="A178" s="12" t="s">
        <v>1601</v>
      </c>
      <c r="B178" s="12" t="s">
        <v>4294</v>
      </c>
      <c r="C178" t="s">
        <v>4295</v>
      </c>
    </row>
    <row r="179" spans="1:3" x14ac:dyDescent="0.3">
      <c r="A179" s="12" t="s">
        <v>1592</v>
      </c>
      <c r="B179" s="12" t="s">
        <v>4294</v>
      </c>
      <c r="C179" t="s">
        <v>4295</v>
      </c>
    </row>
    <row r="180" spans="1:3" x14ac:dyDescent="0.3">
      <c r="A180" s="12" t="s">
        <v>1040</v>
      </c>
      <c r="B180" s="12" t="s">
        <v>4294</v>
      </c>
      <c r="C180" t="s">
        <v>4295</v>
      </c>
    </row>
    <row r="181" spans="1:3" x14ac:dyDescent="0.3">
      <c r="A181" s="12" t="s">
        <v>1600</v>
      </c>
      <c r="B181" s="12" t="s">
        <v>4294</v>
      </c>
      <c r="C181" t="s">
        <v>4295</v>
      </c>
    </row>
    <row r="182" spans="1:3" x14ac:dyDescent="0.3">
      <c r="A182" s="12" t="s">
        <v>1564</v>
      </c>
      <c r="B182" s="12" t="s">
        <v>4294</v>
      </c>
      <c r="C182" t="s">
        <v>4296</v>
      </c>
    </row>
    <row r="183" spans="1:3" x14ac:dyDescent="0.3">
      <c r="A183" s="12" t="s">
        <v>1568</v>
      </c>
      <c r="B183" s="12" t="s">
        <v>4294</v>
      </c>
      <c r="C183" t="s">
        <v>4296</v>
      </c>
    </row>
    <row r="184" spans="1:3" x14ac:dyDescent="0.3">
      <c r="A184" s="12" t="s">
        <v>1557</v>
      </c>
      <c r="B184" s="12" t="s">
        <v>4294</v>
      </c>
      <c r="C184" t="s">
        <v>4296</v>
      </c>
    </row>
    <row r="185" spans="1:3" x14ac:dyDescent="0.3">
      <c r="A185" s="12" t="s">
        <v>1674</v>
      </c>
      <c r="B185" s="12" t="s">
        <v>4294</v>
      </c>
      <c r="C185" t="s">
        <v>4296</v>
      </c>
    </row>
    <row r="186" spans="1:3" x14ac:dyDescent="0.3">
      <c r="A186" s="12" t="s">
        <v>1163</v>
      </c>
      <c r="B186" s="12" t="s">
        <v>4294</v>
      </c>
      <c r="C186" t="s">
        <v>4296</v>
      </c>
    </row>
    <row r="187" spans="1:3" x14ac:dyDescent="0.3">
      <c r="A187" s="12" t="s">
        <v>1687</v>
      </c>
      <c r="B187" s="12" t="s">
        <v>4294</v>
      </c>
      <c r="C187" t="s">
        <v>4296</v>
      </c>
    </row>
    <row r="188" spans="1:3" x14ac:dyDescent="0.3">
      <c r="A188" s="12" t="s">
        <v>1183</v>
      </c>
      <c r="B188" s="12" t="s">
        <v>4294</v>
      </c>
      <c r="C188" t="s">
        <v>4296</v>
      </c>
    </row>
    <row r="189" spans="1:3" x14ac:dyDescent="0.3">
      <c r="A189" s="12" t="s">
        <v>1672</v>
      </c>
      <c r="B189" s="12" t="s">
        <v>4294</v>
      </c>
      <c r="C189" t="s">
        <v>4296</v>
      </c>
    </row>
    <row r="190" spans="1:3" x14ac:dyDescent="0.3">
      <c r="A190" s="12" t="s">
        <v>1703</v>
      </c>
      <c r="B190" s="12" t="s">
        <v>4294</v>
      </c>
      <c r="C190" t="s">
        <v>4296</v>
      </c>
    </row>
    <row r="191" spans="1:3" x14ac:dyDescent="0.3">
      <c r="A191" s="12" t="s">
        <v>2201</v>
      </c>
      <c r="B191" s="12" t="s">
        <v>4294</v>
      </c>
      <c r="C191" t="s">
        <v>4296</v>
      </c>
    </row>
    <row r="192" spans="1:3" x14ac:dyDescent="0.3">
      <c r="A192" s="12" t="s">
        <v>1681</v>
      </c>
      <c r="B192" s="12" t="s">
        <v>4294</v>
      </c>
      <c r="C192" t="s">
        <v>4296</v>
      </c>
    </row>
    <row r="193" spans="1:3" x14ac:dyDescent="0.3">
      <c r="A193" s="12" t="s">
        <v>1685</v>
      </c>
      <c r="B193" s="12" t="s">
        <v>4294</v>
      </c>
      <c r="C193" t="s">
        <v>4296</v>
      </c>
    </row>
    <row r="194" spans="1:3" x14ac:dyDescent="0.3">
      <c r="A194" s="12" t="s">
        <v>1181</v>
      </c>
      <c r="B194" s="12" t="s">
        <v>4294</v>
      </c>
      <c r="C194" t="s">
        <v>4296</v>
      </c>
    </row>
    <row r="195" spans="1:3" x14ac:dyDescent="0.3">
      <c r="A195" s="12" t="s">
        <v>1696</v>
      </c>
      <c r="B195" s="12" t="s">
        <v>4294</v>
      </c>
      <c r="C195" t="s">
        <v>4296</v>
      </c>
    </row>
    <row r="196" spans="1:3" x14ac:dyDescent="0.3">
      <c r="A196" s="12" t="s">
        <v>2198</v>
      </c>
      <c r="B196" s="12" t="s">
        <v>4294</v>
      </c>
      <c r="C196" t="s">
        <v>4296</v>
      </c>
    </row>
    <row r="197" spans="1:3" x14ac:dyDescent="0.3">
      <c r="A197" s="12" t="s">
        <v>2197</v>
      </c>
      <c r="B197" s="12" t="s">
        <v>4294</v>
      </c>
      <c r="C197" t="s">
        <v>4296</v>
      </c>
    </row>
    <row r="198" spans="1:3" x14ac:dyDescent="0.3">
      <c r="A198" s="12" t="s">
        <v>1675</v>
      </c>
      <c r="B198" s="12" t="s">
        <v>4294</v>
      </c>
      <c r="C198" t="s">
        <v>4296</v>
      </c>
    </row>
    <row r="199" spans="1:3" x14ac:dyDescent="0.3">
      <c r="A199" s="12" t="s">
        <v>1743</v>
      </c>
      <c r="B199" s="12" t="s">
        <v>4294</v>
      </c>
      <c r="C199" t="s">
        <v>4296</v>
      </c>
    </row>
    <row r="200" spans="1:3" x14ac:dyDescent="0.3">
      <c r="A200" s="12" t="s">
        <v>1692</v>
      </c>
      <c r="B200" s="12" t="s">
        <v>4294</v>
      </c>
      <c r="C200" t="s">
        <v>4296</v>
      </c>
    </row>
    <row r="201" spans="1:3" x14ac:dyDescent="0.3">
      <c r="A201" s="12" t="s">
        <v>1700</v>
      </c>
      <c r="B201" s="12" t="s">
        <v>4294</v>
      </c>
      <c r="C201" t="s">
        <v>4296</v>
      </c>
    </row>
    <row r="202" spans="1:3" x14ac:dyDescent="0.3">
      <c r="A202" s="12" t="s">
        <v>2196</v>
      </c>
      <c r="B202" s="12" t="s">
        <v>4294</v>
      </c>
      <c r="C202" t="s">
        <v>4296</v>
      </c>
    </row>
    <row r="203" spans="1:3" x14ac:dyDescent="0.3">
      <c r="A203" s="12" t="s">
        <v>1324</v>
      </c>
      <c r="B203" s="12" t="s">
        <v>4294</v>
      </c>
      <c r="C203" t="s">
        <v>4296</v>
      </c>
    </row>
    <row r="204" spans="1:3" x14ac:dyDescent="0.3">
      <c r="A204" s="12" t="s">
        <v>1683</v>
      </c>
      <c r="B204" s="12" t="s">
        <v>4294</v>
      </c>
      <c r="C204" t="s">
        <v>4296</v>
      </c>
    </row>
    <row r="205" spans="1:3" x14ac:dyDescent="0.3">
      <c r="A205" s="12" t="s">
        <v>1165</v>
      </c>
      <c r="B205" s="12" t="s">
        <v>4294</v>
      </c>
      <c r="C205" t="s">
        <v>4296</v>
      </c>
    </row>
    <row r="206" spans="1:3" x14ac:dyDescent="0.3">
      <c r="A206" s="12" t="s">
        <v>1680</v>
      </c>
      <c r="B206" s="12" t="s">
        <v>4294</v>
      </c>
      <c r="C206" t="s">
        <v>4296</v>
      </c>
    </row>
    <row r="207" spans="1:3" x14ac:dyDescent="0.3">
      <c r="A207" s="12" t="s">
        <v>2190</v>
      </c>
      <c r="B207" s="12" t="s">
        <v>4294</v>
      </c>
      <c r="C207" t="s">
        <v>4296</v>
      </c>
    </row>
    <row r="208" spans="1:3" x14ac:dyDescent="0.3">
      <c r="A208" s="12" t="s">
        <v>2191</v>
      </c>
      <c r="B208" s="12" t="s">
        <v>4294</v>
      </c>
      <c r="C208" t="s">
        <v>4296</v>
      </c>
    </row>
    <row r="209" spans="1:3" x14ac:dyDescent="0.3">
      <c r="A209" s="12" t="s">
        <v>2192</v>
      </c>
      <c r="B209" s="12" t="s">
        <v>4294</v>
      </c>
      <c r="C209" t="s">
        <v>4296</v>
      </c>
    </row>
    <row r="210" spans="1:3" x14ac:dyDescent="0.3">
      <c r="A210" s="12" t="s">
        <v>2193</v>
      </c>
      <c r="B210" s="12" t="s">
        <v>4294</v>
      </c>
      <c r="C210" t="s">
        <v>4296</v>
      </c>
    </row>
    <row r="211" spans="1:3" x14ac:dyDescent="0.3">
      <c r="A211" s="12" t="s">
        <v>2194</v>
      </c>
      <c r="B211" s="12" t="s">
        <v>4294</v>
      </c>
      <c r="C211" t="s">
        <v>4296</v>
      </c>
    </row>
    <row r="212" spans="1:3" x14ac:dyDescent="0.3">
      <c r="A212" s="12" t="s">
        <v>2195</v>
      </c>
      <c r="B212" s="12" t="s">
        <v>4294</v>
      </c>
      <c r="C212" t="s">
        <v>4296</v>
      </c>
    </row>
    <row r="213" spans="1:3" x14ac:dyDescent="0.3">
      <c r="A213" s="12" t="s">
        <v>1196</v>
      </c>
      <c r="B213" s="12" t="s">
        <v>4294</v>
      </c>
      <c r="C213" t="s">
        <v>4296</v>
      </c>
    </row>
    <row r="214" spans="1:3" x14ac:dyDescent="0.3">
      <c r="A214" s="12" t="s">
        <v>2200</v>
      </c>
      <c r="B214" s="12" t="s">
        <v>4294</v>
      </c>
      <c r="C214" t="s">
        <v>4296</v>
      </c>
    </row>
    <row r="215" spans="1:3" x14ac:dyDescent="0.3">
      <c r="A215" s="12" t="s">
        <v>1677</v>
      </c>
      <c r="B215" s="12" t="s">
        <v>4294</v>
      </c>
      <c r="C215" t="s">
        <v>4296</v>
      </c>
    </row>
    <row r="216" spans="1:3" x14ac:dyDescent="0.3">
      <c r="A216" s="12" t="s">
        <v>2202</v>
      </c>
      <c r="B216" s="12" t="s">
        <v>4294</v>
      </c>
      <c r="C216" t="s">
        <v>4296</v>
      </c>
    </row>
    <row r="217" spans="1:3" x14ac:dyDescent="0.3">
      <c r="A217" s="12" t="s">
        <v>1185</v>
      </c>
      <c r="B217" s="12" t="s">
        <v>4294</v>
      </c>
      <c r="C217" t="s">
        <v>4296</v>
      </c>
    </row>
    <row r="218" spans="1:3" x14ac:dyDescent="0.3">
      <c r="A218" s="12" t="s">
        <v>1741</v>
      </c>
      <c r="B218" s="12" t="s">
        <v>4294</v>
      </c>
      <c r="C218" t="s">
        <v>4296</v>
      </c>
    </row>
    <row r="219" spans="1:3" x14ac:dyDescent="0.3">
      <c r="A219" s="12" t="s">
        <v>1740</v>
      </c>
      <c r="B219" s="12" t="s">
        <v>4294</v>
      </c>
      <c r="C219" t="s">
        <v>4297</v>
      </c>
    </row>
    <row r="220" spans="1:3" x14ac:dyDescent="0.3">
      <c r="A220" s="12" t="s">
        <v>1612</v>
      </c>
      <c r="B220" s="12" t="s">
        <v>4294</v>
      </c>
      <c r="C220" t="s">
        <v>4298</v>
      </c>
    </row>
    <row r="221" spans="1:3" x14ac:dyDescent="0.3">
      <c r="A221" s="12" t="s">
        <v>1726</v>
      </c>
      <c r="B221" s="12" t="s">
        <v>4294</v>
      </c>
      <c r="C221" t="s">
        <v>4299</v>
      </c>
    </row>
    <row r="222" spans="1:3" x14ac:dyDescent="0.3">
      <c r="A222" s="12" t="s">
        <v>1729</v>
      </c>
      <c r="B222" s="12" t="s">
        <v>4294</v>
      </c>
      <c r="C222" t="s">
        <v>4299</v>
      </c>
    </row>
    <row r="223" spans="1:3" x14ac:dyDescent="0.3">
      <c r="A223" s="12" t="s">
        <v>1746</v>
      </c>
      <c r="B223" s="12" t="s">
        <v>4294</v>
      </c>
      <c r="C223" t="s">
        <v>4299</v>
      </c>
    </row>
    <row r="224" spans="1:3" x14ac:dyDescent="0.3">
      <c r="A224" s="12" t="s">
        <v>1712</v>
      </c>
      <c r="B224" s="12" t="s">
        <v>4294</v>
      </c>
      <c r="C224" t="s">
        <v>4299</v>
      </c>
    </row>
    <row r="225" spans="1:3" x14ac:dyDescent="0.3">
      <c r="A225" s="12" t="s">
        <v>1242</v>
      </c>
      <c r="B225" s="12" t="s">
        <v>4294</v>
      </c>
      <c r="C225" t="s">
        <v>4299</v>
      </c>
    </row>
    <row r="226" spans="1:3" x14ac:dyDescent="0.3">
      <c r="A226" s="12" t="s">
        <v>1241</v>
      </c>
      <c r="B226" s="12" t="s">
        <v>4294</v>
      </c>
      <c r="C226" t="s">
        <v>4299</v>
      </c>
    </row>
    <row r="227" spans="1:3" x14ac:dyDescent="0.3">
      <c r="A227" s="12" t="s">
        <v>1266</v>
      </c>
      <c r="B227" s="12" t="s">
        <v>4294</v>
      </c>
      <c r="C227" t="s">
        <v>4299</v>
      </c>
    </row>
    <row r="228" spans="1:3" x14ac:dyDescent="0.3">
      <c r="A228" s="12" t="s">
        <v>1274</v>
      </c>
      <c r="B228" s="12" t="s">
        <v>4294</v>
      </c>
      <c r="C228" t="s">
        <v>4299</v>
      </c>
    </row>
    <row r="229" spans="1:3" x14ac:dyDescent="0.3">
      <c r="A229" s="12" t="s">
        <v>1281</v>
      </c>
      <c r="B229" s="12" t="s">
        <v>4294</v>
      </c>
      <c r="C229" t="s">
        <v>4299</v>
      </c>
    </row>
    <row r="230" spans="1:3" x14ac:dyDescent="0.3">
      <c r="A230" s="12" t="s">
        <v>1607</v>
      </c>
      <c r="B230" s="12" t="s">
        <v>4294</v>
      </c>
      <c r="C230" t="s">
        <v>4299</v>
      </c>
    </row>
    <row r="231" spans="1:3" x14ac:dyDescent="0.3">
      <c r="A231" s="12" t="s">
        <v>2178</v>
      </c>
      <c r="B231" s="12" t="s">
        <v>4294</v>
      </c>
      <c r="C231" t="s">
        <v>4299</v>
      </c>
    </row>
    <row r="232" spans="1:3" x14ac:dyDescent="0.3">
      <c r="A232" s="12" t="s">
        <v>1738</v>
      </c>
      <c r="B232" s="12" t="s">
        <v>4294</v>
      </c>
      <c r="C232" t="s">
        <v>4299</v>
      </c>
    </row>
    <row r="233" spans="1:3" x14ac:dyDescent="0.3">
      <c r="A233" s="12" t="s">
        <v>1732</v>
      </c>
      <c r="B233" s="12" t="s">
        <v>4294</v>
      </c>
      <c r="C233" t="s">
        <v>4299</v>
      </c>
    </row>
    <row r="234" spans="1:3" x14ac:dyDescent="0.3">
      <c r="A234" s="12" t="s">
        <v>1727</v>
      </c>
      <c r="B234" s="12" t="s">
        <v>4294</v>
      </c>
      <c r="C234" t="s">
        <v>4299</v>
      </c>
    </row>
    <row r="235" spans="1:3" x14ac:dyDescent="0.3">
      <c r="A235" s="12" t="s">
        <v>1749</v>
      </c>
      <c r="B235" s="12" t="s">
        <v>4294</v>
      </c>
      <c r="C235" t="s">
        <v>4299</v>
      </c>
    </row>
    <row r="236" spans="1:3" x14ac:dyDescent="0.3">
      <c r="A236" s="12" t="s">
        <v>1748</v>
      </c>
      <c r="B236" s="12" t="s">
        <v>4294</v>
      </c>
      <c r="C236" t="s">
        <v>4299</v>
      </c>
    </row>
    <row r="237" spans="1:3" x14ac:dyDescent="0.3">
      <c r="A237" s="12" t="s">
        <v>1728</v>
      </c>
      <c r="B237" s="12" t="s">
        <v>4294</v>
      </c>
      <c r="C237" t="s">
        <v>4299</v>
      </c>
    </row>
    <row r="238" spans="1:3" x14ac:dyDescent="0.3">
      <c r="A238" s="12" t="s">
        <v>1734</v>
      </c>
      <c r="B238" s="12" t="s">
        <v>4294</v>
      </c>
      <c r="C238" t="s">
        <v>4299</v>
      </c>
    </row>
    <row r="239" spans="1:3" x14ac:dyDescent="0.3">
      <c r="A239" s="12" t="s">
        <v>1256</v>
      </c>
      <c r="B239" s="12" t="s">
        <v>4294</v>
      </c>
      <c r="C239" t="s">
        <v>4299</v>
      </c>
    </row>
    <row r="240" spans="1:3" x14ac:dyDescent="0.3">
      <c r="A240" s="12" t="s">
        <v>1254</v>
      </c>
      <c r="B240" s="12" t="s">
        <v>4294</v>
      </c>
      <c r="C240" t="s">
        <v>4299</v>
      </c>
    </row>
    <row r="241" spans="1:3" x14ac:dyDescent="0.3">
      <c r="A241" s="12" t="s">
        <v>1255</v>
      </c>
      <c r="B241" s="12" t="s">
        <v>4294</v>
      </c>
      <c r="C241" t="s">
        <v>4299</v>
      </c>
    </row>
    <row r="242" spans="1:3" x14ac:dyDescent="0.3">
      <c r="A242" s="12" t="s">
        <v>1253</v>
      </c>
      <c r="B242" s="12" t="s">
        <v>4294</v>
      </c>
      <c r="C242" t="s">
        <v>4299</v>
      </c>
    </row>
    <row r="243" spans="1:3" x14ac:dyDescent="0.3">
      <c r="A243" s="12" t="s">
        <v>1252</v>
      </c>
      <c r="B243" s="12" t="s">
        <v>4294</v>
      </c>
      <c r="C243" t="s">
        <v>4299</v>
      </c>
    </row>
    <row r="244" spans="1:3" x14ac:dyDescent="0.3">
      <c r="A244" s="12" t="s">
        <v>1251</v>
      </c>
      <c r="B244" s="12" t="s">
        <v>4294</v>
      </c>
      <c r="C244" t="s">
        <v>4299</v>
      </c>
    </row>
    <row r="245" spans="1:3" x14ac:dyDescent="0.3">
      <c r="A245" s="12" t="s">
        <v>1719</v>
      </c>
      <c r="B245" s="12" t="s">
        <v>4294</v>
      </c>
      <c r="C245" t="s">
        <v>4300</v>
      </c>
    </row>
    <row r="246" spans="1:3" x14ac:dyDescent="0.3">
      <c r="A246" s="12" t="s">
        <v>1715</v>
      </c>
      <c r="B246" s="12" t="s">
        <v>4294</v>
      </c>
      <c r="C246" t="s">
        <v>4300</v>
      </c>
    </row>
    <row r="247" spans="1:3" x14ac:dyDescent="0.3">
      <c r="A247" s="12" t="s">
        <v>1717</v>
      </c>
      <c r="B247" s="12" t="s">
        <v>4294</v>
      </c>
      <c r="C247" t="s">
        <v>4300</v>
      </c>
    </row>
    <row r="248" spans="1:3" x14ac:dyDescent="0.3">
      <c r="A248" s="12" t="s">
        <v>1722</v>
      </c>
      <c r="B248" s="12" t="s">
        <v>4294</v>
      </c>
      <c r="C248" t="s">
        <v>4300</v>
      </c>
    </row>
    <row r="249" spans="1:3" x14ac:dyDescent="0.3">
      <c r="A249" s="12" t="s">
        <v>1725</v>
      </c>
      <c r="B249" s="12" t="s">
        <v>4294</v>
      </c>
      <c r="C249" t="s">
        <v>4300</v>
      </c>
    </row>
    <row r="250" spans="1:3" x14ac:dyDescent="0.3">
      <c r="A250" s="12" t="s">
        <v>1611</v>
      </c>
      <c r="B250" s="12" t="s">
        <v>4294</v>
      </c>
      <c r="C250" t="s">
        <v>4299</v>
      </c>
    </row>
    <row r="251" spans="1:3" x14ac:dyDescent="0.3">
      <c r="A251" s="12" t="s">
        <v>1708</v>
      </c>
      <c r="B251" s="12" t="s">
        <v>4294</v>
      </c>
      <c r="C251" t="s">
        <v>4299</v>
      </c>
    </row>
    <row r="252" spans="1:3" x14ac:dyDescent="0.3">
      <c r="A252" s="12" t="s">
        <v>1046</v>
      </c>
      <c r="B252" s="12" t="s">
        <v>4294</v>
      </c>
      <c r="C252" t="s">
        <v>4299</v>
      </c>
    </row>
    <row r="253" spans="1:3" x14ac:dyDescent="0.3">
      <c r="A253" s="12" t="s">
        <v>2186</v>
      </c>
      <c r="B253" s="12" t="s">
        <v>4294</v>
      </c>
      <c r="C253" t="s">
        <v>4299</v>
      </c>
    </row>
    <row r="254" spans="1:3" x14ac:dyDescent="0.3">
      <c r="A254" s="12" t="s">
        <v>1614</v>
      </c>
      <c r="B254" s="12" t="s">
        <v>4294</v>
      </c>
      <c r="C254" t="s">
        <v>4299</v>
      </c>
    </row>
    <row r="255" spans="1:3" x14ac:dyDescent="0.3">
      <c r="A255" s="12" t="s">
        <v>1049</v>
      </c>
      <c r="B255" s="12" t="s">
        <v>4294</v>
      </c>
      <c r="C255" t="s">
        <v>4299</v>
      </c>
    </row>
    <row r="256" spans="1:3" x14ac:dyDescent="0.3">
      <c r="A256" s="12" t="s">
        <v>1058</v>
      </c>
      <c r="B256" s="12" t="s">
        <v>4294</v>
      </c>
      <c r="C256" t="s">
        <v>4299</v>
      </c>
    </row>
    <row r="257" spans="1:3" x14ac:dyDescent="0.3">
      <c r="A257" s="12" t="s">
        <v>1145</v>
      </c>
      <c r="B257" s="12" t="s">
        <v>4294</v>
      </c>
      <c r="C257" t="s">
        <v>4295</v>
      </c>
    </row>
    <row r="258" spans="1:3" x14ac:dyDescent="0.3">
      <c r="A258" s="12" t="s">
        <v>1069</v>
      </c>
      <c r="B258" s="12" t="s">
        <v>4294</v>
      </c>
      <c r="C258" t="s">
        <v>4295</v>
      </c>
    </row>
    <row r="259" spans="1:3" x14ac:dyDescent="0.3">
      <c r="A259" s="12" t="s">
        <v>1669</v>
      </c>
      <c r="B259" s="12" t="s">
        <v>4294</v>
      </c>
      <c r="C259" t="s">
        <v>4295</v>
      </c>
    </row>
    <row r="260" spans="1:3" x14ac:dyDescent="0.3">
      <c r="A260" s="12" t="s">
        <v>4293</v>
      </c>
      <c r="B260" s="12" t="s">
        <v>4294</v>
      </c>
      <c r="C260" t="s">
        <v>4295</v>
      </c>
    </row>
    <row r="261" spans="1:3" x14ac:dyDescent="0.3">
      <c r="A261" s="12" t="s">
        <v>1651</v>
      </c>
      <c r="B261" s="12" t="s">
        <v>4294</v>
      </c>
      <c r="C261" t="s">
        <v>4295</v>
      </c>
    </row>
    <row r="262" spans="1:3" x14ac:dyDescent="0.3">
      <c r="A262" s="12" t="s">
        <v>1655</v>
      </c>
      <c r="B262" s="12" t="s">
        <v>4294</v>
      </c>
      <c r="C262" t="s">
        <v>4295</v>
      </c>
    </row>
    <row r="263" spans="1:3" x14ac:dyDescent="0.3">
      <c r="A263" s="12" t="s">
        <v>1061</v>
      </c>
      <c r="B263" s="12" t="s">
        <v>4294</v>
      </c>
      <c r="C263" t="s">
        <v>4295</v>
      </c>
    </row>
    <row r="264" spans="1:3" x14ac:dyDescent="0.3">
      <c r="A264" s="12" t="s">
        <v>1105</v>
      </c>
      <c r="B264" s="12" t="s">
        <v>4294</v>
      </c>
      <c r="C264" t="s">
        <v>4295</v>
      </c>
    </row>
    <row r="265" spans="1:3" x14ac:dyDescent="0.3">
      <c r="A265" s="12" t="s">
        <v>1820</v>
      </c>
      <c r="B265" s="12" t="s">
        <v>4294</v>
      </c>
      <c r="C265" t="s">
        <v>4295</v>
      </c>
    </row>
    <row r="266" spans="1:3" x14ac:dyDescent="0.3">
      <c r="A266" s="12" t="s">
        <v>1525</v>
      </c>
      <c r="B266" s="12" t="s">
        <v>4294</v>
      </c>
      <c r="C266" t="s">
        <v>4295</v>
      </c>
    </row>
    <row r="267" spans="1:3" x14ac:dyDescent="0.3">
      <c r="A267" s="12" t="s">
        <v>1827</v>
      </c>
      <c r="B267" s="12" t="s">
        <v>4294</v>
      </c>
      <c r="C267" t="s">
        <v>4295</v>
      </c>
    </row>
    <row r="268" spans="1:3" x14ac:dyDescent="0.3">
      <c r="A268" s="12" t="s">
        <v>1351</v>
      </c>
      <c r="B268" s="12" t="s">
        <v>4294</v>
      </c>
      <c r="C268" t="s">
        <v>4295</v>
      </c>
    </row>
    <row r="269" spans="1:3" x14ac:dyDescent="0.3">
      <c r="A269" s="12" t="s">
        <v>1523</v>
      </c>
      <c r="B269" s="12" t="s">
        <v>4294</v>
      </c>
      <c r="C269" t="s">
        <v>4295</v>
      </c>
    </row>
    <row r="270" spans="1:3" x14ac:dyDescent="0.3">
      <c r="A270" s="12" t="s">
        <v>1346</v>
      </c>
      <c r="B270" s="12" t="s">
        <v>4294</v>
      </c>
      <c r="C270" t="s">
        <v>4295</v>
      </c>
    </row>
    <row r="271" spans="1:3" x14ac:dyDescent="0.3">
      <c r="A271" s="12" t="s">
        <v>1796</v>
      </c>
      <c r="B271" s="12" t="s">
        <v>4294</v>
      </c>
      <c r="C271" t="s">
        <v>4295</v>
      </c>
    </row>
    <row r="272" spans="1:3" x14ac:dyDescent="0.3">
      <c r="A272" s="12" t="s">
        <v>1804</v>
      </c>
      <c r="B272" s="12" t="s">
        <v>4294</v>
      </c>
      <c r="C272" t="s">
        <v>4295</v>
      </c>
    </row>
    <row r="273" spans="1:3" x14ac:dyDescent="0.3">
      <c r="A273" s="12" t="s">
        <v>1336</v>
      </c>
      <c r="B273" s="12" t="s">
        <v>4294</v>
      </c>
      <c r="C273" t="s">
        <v>4295</v>
      </c>
    </row>
    <row r="274" spans="1:3" x14ac:dyDescent="0.3">
      <c r="A274" s="12" t="s">
        <v>2150</v>
      </c>
      <c r="B274" s="12" t="s">
        <v>4294</v>
      </c>
      <c r="C274" t="s">
        <v>4295</v>
      </c>
    </row>
    <row r="275" spans="1:3" x14ac:dyDescent="0.3">
      <c r="A275" s="12" t="s">
        <v>1328</v>
      </c>
      <c r="B275" s="12" t="s">
        <v>4294</v>
      </c>
      <c r="C275" t="s">
        <v>4295</v>
      </c>
    </row>
    <row r="276" spans="1:3" x14ac:dyDescent="0.3">
      <c r="A276" s="12" t="s">
        <v>1338</v>
      </c>
      <c r="B276" s="12" t="s">
        <v>4294</v>
      </c>
      <c r="C276" t="s">
        <v>4295</v>
      </c>
    </row>
    <row r="277" spans="1:3" x14ac:dyDescent="0.3">
      <c r="A277" s="12" t="s">
        <v>1660</v>
      </c>
      <c r="B277" s="12" t="s">
        <v>4294</v>
      </c>
      <c r="C277" t="s">
        <v>4295</v>
      </c>
    </row>
    <row r="278" spans="1:3" x14ac:dyDescent="0.3">
      <c r="A278" s="12" t="s">
        <v>1808</v>
      </c>
      <c r="B278" s="12" t="s">
        <v>4294</v>
      </c>
      <c r="C278" t="s">
        <v>4296</v>
      </c>
    </row>
    <row r="279" spans="1:3" x14ac:dyDescent="0.3">
      <c r="A279" s="12" t="s">
        <v>1362</v>
      </c>
      <c r="B279" s="12" t="s">
        <v>4294</v>
      </c>
      <c r="C279" t="s">
        <v>4295</v>
      </c>
    </row>
    <row r="280" spans="1:3" x14ac:dyDescent="0.3">
      <c r="A280" s="12" t="s">
        <v>1006</v>
      </c>
      <c r="B280" s="12" t="s">
        <v>4294</v>
      </c>
      <c r="C280" t="s">
        <v>4295</v>
      </c>
    </row>
    <row r="281" spans="1:3" x14ac:dyDescent="0.3">
      <c r="A281" s="12" t="s">
        <v>1574</v>
      </c>
      <c r="B281" s="12" t="s">
        <v>4294</v>
      </c>
      <c r="C281" t="s">
        <v>4295</v>
      </c>
    </row>
    <row r="282" spans="1:3" x14ac:dyDescent="0.3">
      <c r="A282" s="12" t="s">
        <v>1769</v>
      </c>
      <c r="B282" s="12" t="s">
        <v>4294</v>
      </c>
      <c r="C282" t="s">
        <v>4295</v>
      </c>
    </row>
    <row r="283" spans="1:3" x14ac:dyDescent="0.3">
      <c r="A283" s="12" t="s">
        <v>1788</v>
      </c>
      <c r="B283" s="12" t="s">
        <v>4294</v>
      </c>
      <c r="C283" t="s">
        <v>4295</v>
      </c>
    </row>
    <row r="284" spans="1:3" x14ac:dyDescent="0.3">
      <c r="A284" s="12" t="s">
        <v>1777</v>
      </c>
      <c r="B284" s="12" t="s">
        <v>4294</v>
      </c>
      <c r="C284" t="s">
        <v>4295</v>
      </c>
    </row>
    <row r="285" spans="1:3" x14ac:dyDescent="0.3">
      <c r="A285" s="12" t="s">
        <v>1791</v>
      </c>
      <c r="B285" s="12" t="s">
        <v>4294</v>
      </c>
      <c r="C285" t="s">
        <v>4295</v>
      </c>
    </row>
    <row r="286" spans="1:3" x14ac:dyDescent="0.3">
      <c r="A286" s="12" t="s">
        <v>2161</v>
      </c>
      <c r="B286" s="12" t="s">
        <v>4294</v>
      </c>
      <c r="C286" t="s">
        <v>4295</v>
      </c>
    </row>
    <row r="287" spans="1:3" x14ac:dyDescent="0.3">
      <c r="A287" s="12" t="s">
        <v>1189</v>
      </c>
      <c r="B287" s="12" t="s">
        <v>4294</v>
      </c>
      <c r="C287" t="s">
        <v>4295</v>
      </c>
    </row>
    <row r="288" spans="1:3" x14ac:dyDescent="0.3">
      <c r="A288" s="12" t="s">
        <v>2170</v>
      </c>
      <c r="B288" s="12" t="s">
        <v>4294</v>
      </c>
      <c r="C288" t="s">
        <v>4295</v>
      </c>
    </row>
    <row r="289" spans="1:3" x14ac:dyDescent="0.3">
      <c r="A289" s="12" t="s">
        <v>1766</v>
      </c>
      <c r="B289" s="12" t="s">
        <v>4294</v>
      </c>
      <c r="C289" t="s">
        <v>4295</v>
      </c>
    </row>
    <row r="290" spans="1:3" x14ac:dyDescent="0.3">
      <c r="A290" s="12" t="s">
        <v>2165</v>
      </c>
      <c r="B290" s="12" t="s">
        <v>4294</v>
      </c>
      <c r="C290" t="s">
        <v>4295</v>
      </c>
    </row>
    <row r="291" spans="1:3" x14ac:dyDescent="0.3">
      <c r="A291" s="12" t="s">
        <v>2163</v>
      </c>
      <c r="B291" s="12" t="s">
        <v>4294</v>
      </c>
      <c r="C291" t="s">
        <v>4295</v>
      </c>
    </row>
    <row r="292" spans="1:3" x14ac:dyDescent="0.3">
      <c r="A292" s="12" t="s">
        <v>1771</v>
      </c>
      <c r="B292" s="12" t="s">
        <v>4294</v>
      </c>
      <c r="C292" t="s">
        <v>4295</v>
      </c>
    </row>
    <row r="293" spans="1:3" x14ac:dyDescent="0.3">
      <c r="A293" s="12" t="s">
        <v>2169</v>
      </c>
      <c r="B293" s="12" t="s">
        <v>4294</v>
      </c>
      <c r="C293" t="s">
        <v>4295</v>
      </c>
    </row>
    <row r="294" spans="1:3" x14ac:dyDescent="0.3">
      <c r="A294" s="12" t="s">
        <v>2171</v>
      </c>
      <c r="B294" s="12" t="s">
        <v>4294</v>
      </c>
      <c r="C294" t="s">
        <v>4295</v>
      </c>
    </row>
    <row r="295" spans="1:3" x14ac:dyDescent="0.3">
      <c r="A295" s="12" t="s">
        <v>1794</v>
      </c>
      <c r="B295" s="12" t="s">
        <v>4294</v>
      </c>
      <c r="C295" t="s">
        <v>4295</v>
      </c>
    </row>
    <row r="296" spans="1:3" x14ac:dyDescent="0.3">
      <c r="A296" s="12" t="s">
        <v>2167</v>
      </c>
      <c r="B296" s="12" t="s">
        <v>4294</v>
      </c>
      <c r="C296" t="s">
        <v>4295</v>
      </c>
    </row>
    <row r="297" spans="1:3" x14ac:dyDescent="0.3">
      <c r="A297" s="12" t="s">
        <v>2019</v>
      </c>
      <c r="B297" s="12" t="s">
        <v>4294</v>
      </c>
      <c r="C297" t="s">
        <v>4295</v>
      </c>
    </row>
    <row r="298" spans="1:3" x14ac:dyDescent="0.3">
      <c r="A298" s="12" t="s">
        <v>1764</v>
      </c>
      <c r="B298" s="12" t="s">
        <v>4294</v>
      </c>
      <c r="C298" t="s">
        <v>4295</v>
      </c>
    </row>
    <row r="299" spans="1:3" x14ac:dyDescent="0.3">
      <c r="A299" s="12" t="s">
        <v>1761</v>
      </c>
      <c r="B299" s="12" t="s">
        <v>4294</v>
      </c>
      <c r="C299" t="s">
        <v>4295</v>
      </c>
    </row>
    <row r="300" spans="1:3" x14ac:dyDescent="0.3">
      <c r="A300" s="12" t="s">
        <v>2166</v>
      </c>
      <c r="B300" s="12" t="s">
        <v>4294</v>
      </c>
      <c r="C300" t="s">
        <v>4295</v>
      </c>
    </row>
    <row r="301" spans="1:3" x14ac:dyDescent="0.3">
      <c r="A301" s="12" t="s">
        <v>1774</v>
      </c>
      <c r="B301" s="12" t="s">
        <v>4294</v>
      </c>
      <c r="C301" t="s">
        <v>4295</v>
      </c>
    </row>
    <row r="302" spans="1:3" x14ac:dyDescent="0.3">
      <c r="A302" s="12" t="s">
        <v>2172</v>
      </c>
      <c r="B302" s="12" t="s">
        <v>4294</v>
      </c>
      <c r="C302" t="s">
        <v>4295</v>
      </c>
    </row>
    <row r="303" spans="1:3" x14ac:dyDescent="0.3">
      <c r="A303" s="12" t="s">
        <v>2020</v>
      </c>
      <c r="B303" s="12" t="s">
        <v>4294</v>
      </c>
      <c r="C303" t="s">
        <v>4295</v>
      </c>
    </row>
    <row r="304" spans="1:3" x14ac:dyDescent="0.3">
      <c r="A304" s="12" t="s">
        <v>1757</v>
      </c>
      <c r="B304" s="12" t="s">
        <v>4294</v>
      </c>
      <c r="C304" t="s">
        <v>4295</v>
      </c>
    </row>
    <row r="305" spans="1:3" x14ac:dyDescent="0.3">
      <c r="A305" s="12" t="s">
        <v>2174</v>
      </c>
      <c r="B305" s="12" t="s">
        <v>4294</v>
      </c>
      <c r="C305" t="s">
        <v>4295</v>
      </c>
    </row>
    <row r="306" spans="1:3" x14ac:dyDescent="0.3">
      <c r="A306" s="12" t="s">
        <v>1784</v>
      </c>
      <c r="B306" s="12" t="s">
        <v>4294</v>
      </c>
      <c r="C306" t="s">
        <v>4295</v>
      </c>
    </row>
    <row r="307" spans="1:3" x14ac:dyDescent="0.3">
      <c r="A307" s="12" t="s">
        <v>2176</v>
      </c>
      <c r="B307" s="12" t="s">
        <v>4294</v>
      </c>
      <c r="C307" t="s">
        <v>4295</v>
      </c>
    </row>
    <row r="308" spans="1:3" x14ac:dyDescent="0.3">
      <c r="A308" s="12" t="s">
        <v>1920</v>
      </c>
      <c r="B308" s="12" t="s">
        <v>4294</v>
      </c>
      <c r="C308" t="s">
        <v>4296</v>
      </c>
    </row>
    <row r="309" spans="1:3" x14ac:dyDescent="0.3">
      <c r="A309" s="12" t="s">
        <v>1706</v>
      </c>
      <c r="B309" s="12" t="s">
        <v>4294</v>
      </c>
      <c r="C309" t="s">
        <v>4296</v>
      </c>
    </row>
    <row r="310" spans="1:3" x14ac:dyDescent="0.3">
      <c r="A310" s="12" t="s">
        <v>2187</v>
      </c>
      <c r="B310" s="12" t="s">
        <v>4294</v>
      </c>
      <c r="C310" t="s">
        <v>4296</v>
      </c>
    </row>
    <row r="311" spans="1:3" x14ac:dyDescent="0.3">
      <c r="A311" s="12" t="s">
        <v>2107</v>
      </c>
      <c r="B311" s="12" t="s">
        <v>4294</v>
      </c>
      <c r="C311" t="s">
        <v>4296</v>
      </c>
    </row>
    <row r="312" spans="1:3" x14ac:dyDescent="0.3">
      <c r="A312" s="12" t="s">
        <v>2021</v>
      </c>
      <c r="B312" s="12" t="s">
        <v>4294</v>
      </c>
      <c r="C312" t="s">
        <v>4295</v>
      </c>
    </row>
    <row r="313" spans="1:3" x14ac:dyDescent="0.3">
      <c r="A313" s="12" t="s">
        <v>1871</v>
      </c>
      <c r="B313" s="12" t="s">
        <v>4294</v>
      </c>
    </row>
    <row r="314" spans="1:3" x14ac:dyDescent="0.3">
      <c r="A314" s="12" t="s">
        <v>2181</v>
      </c>
      <c r="B314" s="12" t="s">
        <v>4294</v>
      </c>
      <c r="C314" t="s">
        <v>4295</v>
      </c>
    </row>
    <row r="315" spans="1:3" x14ac:dyDescent="0.3">
      <c r="A315" s="12" t="s">
        <v>2179</v>
      </c>
      <c r="B315" s="12" t="s">
        <v>4294</v>
      </c>
      <c r="C315" t="s">
        <v>4295</v>
      </c>
    </row>
    <row r="316" spans="1:3" x14ac:dyDescent="0.3">
      <c r="A316" s="12" t="s">
        <v>2183</v>
      </c>
      <c r="B316" s="12" t="s">
        <v>4294</v>
      </c>
      <c r="C316" t="s">
        <v>4295</v>
      </c>
    </row>
    <row r="317" spans="1:3" x14ac:dyDescent="0.3">
      <c r="A317" s="12" t="s">
        <v>2188</v>
      </c>
      <c r="B317" s="12" t="s">
        <v>4294</v>
      </c>
      <c r="C317" t="s">
        <v>4295</v>
      </c>
    </row>
    <row r="318" spans="1:3" x14ac:dyDescent="0.3">
      <c r="A318" s="12" t="s">
        <v>919</v>
      </c>
      <c r="B318" s="12" t="s">
        <v>4301</v>
      </c>
      <c r="C318" t="s">
        <v>4302</v>
      </c>
    </row>
    <row r="319" spans="1:3" x14ac:dyDescent="0.3">
      <c r="A319" s="12" t="s">
        <v>1560</v>
      </c>
      <c r="B319" s="12" t="s">
        <v>4301</v>
      </c>
      <c r="C319" t="s">
        <v>4302</v>
      </c>
    </row>
    <row r="320" spans="1:3" x14ac:dyDescent="0.3">
      <c r="A320" s="12" t="s">
        <v>974</v>
      </c>
      <c r="B320" s="12" t="s">
        <v>4301</v>
      </c>
      <c r="C320" t="s">
        <v>4302</v>
      </c>
    </row>
    <row r="321" spans="1:3" x14ac:dyDescent="0.3">
      <c r="A321" s="12" t="s">
        <v>971</v>
      </c>
      <c r="B321" s="12" t="s">
        <v>4301</v>
      </c>
      <c r="C321" t="s">
        <v>4302</v>
      </c>
    </row>
    <row r="322" spans="1:3" x14ac:dyDescent="0.3">
      <c r="A322" s="12" t="s">
        <v>2159</v>
      </c>
      <c r="B322" s="12" t="s">
        <v>4301</v>
      </c>
      <c r="C322" t="s">
        <v>4302</v>
      </c>
    </row>
    <row r="323" spans="1:3" x14ac:dyDescent="0.3">
      <c r="A323" s="12" t="s">
        <v>2160</v>
      </c>
      <c r="B323" s="12" t="s">
        <v>4301</v>
      </c>
      <c r="C323" t="s">
        <v>4302</v>
      </c>
    </row>
    <row r="324" spans="1:3" x14ac:dyDescent="0.3">
      <c r="A324" s="12" t="s">
        <v>929</v>
      </c>
      <c r="B324" s="12" t="s">
        <v>4301</v>
      </c>
      <c r="C324" t="s">
        <v>4302</v>
      </c>
    </row>
    <row r="325" spans="1:3" x14ac:dyDescent="0.3">
      <c r="A325" s="12" t="s">
        <v>950</v>
      </c>
      <c r="B325" s="12" t="s">
        <v>4301</v>
      </c>
      <c r="C325" t="s">
        <v>4302</v>
      </c>
    </row>
    <row r="326" spans="1:3" x14ac:dyDescent="0.3">
      <c r="A326" s="12" t="s">
        <v>947</v>
      </c>
      <c r="B326" s="12" t="s">
        <v>4301</v>
      </c>
      <c r="C326" t="s">
        <v>4302</v>
      </c>
    </row>
    <row r="327" spans="1:3" x14ac:dyDescent="0.3">
      <c r="A327" s="12" t="s">
        <v>1548</v>
      </c>
      <c r="B327" s="12" t="s">
        <v>4301</v>
      </c>
      <c r="C327" t="s">
        <v>4302</v>
      </c>
    </row>
    <row r="328" spans="1:3" x14ac:dyDescent="0.3">
      <c r="A328" s="12" t="s">
        <v>943</v>
      </c>
      <c r="B328" s="12" t="s">
        <v>4301</v>
      </c>
      <c r="C328" t="s">
        <v>4302</v>
      </c>
    </row>
    <row r="329" spans="1:3" x14ac:dyDescent="0.3">
      <c r="A329" s="12" t="s">
        <v>955</v>
      </c>
      <c r="B329" s="12" t="s">
        <v>4301</v>
      </c>
      <c r="C329" t="s">
        <v>4302</v>
      </c>
    </row>
    <row r="330" spans="1:3" x14ac:dyDescent="0.3">
      <c r="A330" s="12" t="s">
        <v>967</v>
      </c>
      <c r="B330" s="12" t="s">
        <v>4301</v>
      </c>
      <c r="C330" t="s">
        <v>4302</v>
      </c>
    </row>
    <row r="331" spans="1:3" x14ac:dyDescent="0.3">
      <c r="A331" s="12" t="s">
        <v>890</v>
      </c>
      <c r="B331" s="12" t="s">
        <v>4301</v>
      </c>
      <c r="C331" t="s">
        <v>4302</v>
      </c>
    </row>
    <row r="332" spans="1:3" x14ac:dyDescent="0.3">
      <c r="A332" s="12" t="s">
        <v>1028</v>
      </c>
      <c r="B332" s="12" t="s">
        <v>4301</v>
      </c>
      <c r="C332" t="s">
        <v>4302</v>
      </c>
    </row>
    <row r="333" spans="1:3" x14ac:dyDescent="0.3">
      <c r="A333" s="12" t="s">
        <v>1594</v>
      </c>
      <c r="B333" s="12" t="s">
        <v>4301</v>
      </c>
      <c r="C333" t="s">
        <v>4302</v>
      </c>
    </row>
    <row r="334" spans="1:3" x14ac:dyDescent="0.3">
      <c r="A334" s="12" t="s">
        <v>1590</v>
      </c>
      <c r="B334" s="12" t="s">
        <v>4301</v>
      </c>
      <c r="C334" t="s">
        <v>4302</v>
      </c>
    </row>
    <row r="335" spans="1:3" x14ac:dyDescent="0.3">
      <c r="A335" s="12" t="s">
        <v>1036</v>
      </c>
      <c r="B335" s="12" t="s">
        <v>4301</v>
      </c>
      <c r="C335" t="s">
        <v>4302</v>
      </c>
    </row>
    <row r="336" spans="1:3" x14ac:dyDescent="0.3">
      <c r="A336" s="12" t="s">
        <v>1601</v>
      </c>
      <c r="B336" s="12" t="s">
        <v>4301</v>
      </c>
      <c r="C336" t="s">
        <v>4302</v>
      </c>
    </row>
    <row r="337" spans="1:3" x14ac:dyDescent="0.3">
      <c r="A337" s="12" t="s">
        <v>1592</v>
      </c>
      <c r="B337" s="12" t="s">
        <v>4301</v>
      </c>
      <c r="C337" t="s">
        <v>4302</v>
      </c>
    </row>
    <row r="338" spans="1:3" x14ac:dyDescent="0.3">
      <c r="A338" s="12" t="s">
        <v>1040</v>
      </c>
      <c r="B338" s="12" t="s">
        <v>4301</v>
      </c>
      <c r="C338" t="s">
        <v>4302</v>
      </c>
    </row>
    <row r="339" spans="1:3" x14ac:dyDescent="0.3">
      <c r="A339" s="12" t="s">
        <v>1600</v>
      </c>
      <c r="B339" s="12" t="s">
        <v>4301</v>
      </c>
      <c r="C339" t="s">
        <v>4302</v>
      </c>
    </row>
    <row r="340" spans="1:3" x14ac:dyDescent="0.3">
      <c r="A340" s="12" t="s">
        <v>1564</v>
      </c>
      <c r="B340" s="12" t="s">
        <v>4301</v>
      </c>
      <c r="C340" t="s">
        <v>4302</v>
      </c>
    </row>
    <row r="341" spans="1:3" x14ac:dyDescent="0.3">
      <c r="A341" s="12" t="s">
        <v>1568</v>
      </c>
      <c r="B341" s="12" t="s">
        <v>4301</v>
      </c>
      <c r="C341" t="s">
        <v>4302</v>
      </c>
    </row>
    <row r="342" spans="1:3" x14ac:dyDescent="0.3">
      <c r="A342" s="12" t="s">
        <v>1557</v>
      </c>
      <c r="B342" s="12" t="s">
        <v>4301</v>
      </c>
      <c r="C342" t="s">
        <v>4302</v>
      </c>
    </row>
    <row r="343" spans="1:3" x14ac:dyDescent="0.3">
      <c r="A343" s="12" t="s">
        <v>1674</v>
      </c>
      <c r="B343" s="12" t="s">
        <v>4301</v>
      </c>
      <c r="C343" t="s">
        <v>4302</v>
      </c>
    </row>
    <row r="344" spans="1:3" x14ac:dyDescent="0.3">
      <c r="A344" s="12" t="s">
        <v>1163</v>
      </c>
      <c r="B344" s="12" t="s">
        <v>4301</v>
      </c>
      <c r="C344" t="s">
        <v>4302</v>
      </c>
    </row>
    <row r="345" spans="1:3" x14ac:dyDescent="0.3">
      <c r="A345" s="12" t="s">
        <v>1687</v>
      </c>
      <c r="B345" s="12" t="s">
        <v>4301</v>
      </c>
      <c r="C345" t="s">
        <v>4302</v>
      </c>
    </row>
    <row r="346" spans="1:3" x14ac:dyDescent="0.3">
      <c r="A346" s="12" t="s">
        <v>1183</v>
      </c>
      <c r="B346" s="12" t="s">
        <v>4301</v>
      </c>
      <c r="C346" t="s">
        <v>4302</v>
      </c>
    </row>
    <row r="347" spans="1:3" x14ac:dyDescent="0.3">
      <c r="A347" s="12" t="s">
        <v>1672</v>
      </c>
      <c r="B347" s="12" t="s">
        <v>4301</v>
      </c>
      <c r="C347" t="s">
        <v>4302</v>
      </c>
    </row>
    <row r="348" spans="1:3" x14ac:dyDescent="0.3">
      <c r="A348" s="12" t="s">
        <v>1703</v>
      </c>
      <c r="B348" s="12" t="s">
        <v>4301</v>
      </c>
      <c r="C348" t="s">
        <v>4302</v>
      </c>
    </row>
    <row r="349" spans="1:3" x14ac:dyDescent="0.3">
      <c r="A349" s="12" t="s">
        <v>2201</v>
      </c>
      <c r="B349" s="12" t="s">
        <v>4301</v>
      </c>
      <c r="C349" t="s">
        <v>4302</v>
      </c>
    </row>
    <row r="350" spans="1:3" x14ac:dyDescent="0.3">
      <c r="A350" s="12" t="s">
        <v>1681</v>
      </c>
      <c r="B350" s="12" t="s">
        <v>4301</v>
      </c>
      <c r="C350" t="s">
        <v>4302</v>
      </c>
    </row>
    <row r="351" spans="1:3" x14ac:dyDescent="0.3">
      <c r="A351" s="12" t="s">
        <v>1685</v>
      </c>
      <c r="B351" s="12" t="s">
        <v>4301</v>
      </c>
      <c r="C351" t="s">
        <v>4302</v>
      </c>
    </row>
    <row r="352" spans="1:3" x14ac:dyDescent="0.3">
      <c r="A352" s="12" t="s">
        <v>1181</v>
      </c>
      <c r="B352" s="12" t="s">
        <v>4301</v>
      </c>
      <c r="C352" t="s">
        <v>4302</v>
      </c>
    </row>
    <row r="353" spans="1:3" x14ac:dyDescent="0.3">
      <c r="A353" s="12" t="s">
        <v>1696</v>
      </c>
      <c r="B353" s="12" t="s">
        <v>4301</v>
      </c>
      <c r="C353" t="s">
        <v>4302</v>
      </c>
    </row>
    <row r="354" spans="1:3" x14ac:dyDescent="0.3">
      <c r="A354" s="12" t="s">
        <v>2198</v>
      </c>
      <c r="B354" s="12" t="s">
        <v>4301</v>
      </c>
      <c r="C354" t="s">
        <v>4302</v>
      </c>
    </row>
    <row r="355" spans="1:3" x14ac:dyDescent="0.3">
      <c r="A355" s="12" t="s">
        <v>2197</v>
      </c>
      <c r="B355" s="12" t="s">
        <v>4301</v>
      </c>
      <c r="C355" t="s">
        <v>4302</v>
      </c>
    </row>
    <row r="356" spans="1:3" x14ac:dyDescent="0.3">
      <c r="A356" s="12" t="s">
        <v>1675</v>
      </c>
      <c r="B356" s="12" t="s">
        <v>4301</v>
      </c>
      <c r="C356" t="s">
        <v>4302</v>
      </c>
    </row>
    <row r="357" spans="1:3" x14ac:dyDescent="0.3">
      <c r="A357" s="12" t="s">
        <v>1743</v>
      </c>
      <c r="B357" s="12" t="s">
        <v>4301</v>
      </c>
      <c r="C357" t="s">
        <v>4302</v>
      </c>
    </row>
    <row r="358" spans="1:3" x14ac:dyDescent="0.3">
      <c r="A358" s="12" t="s">
        <v>1692</v>
      </c>
      <c r="B358" s="12" t="s">
        <v>4301</v>
      </c>
      <c r="C358" t="s">
        <v>4302</v>
      </c>
    </row>
    <row r="359" spans="1:3" x14ac:dyDescent="0.3">
      <c r="A359" s="12" t="s">
        <v>1700</v>
      </c>
      <c r="B359" s="12" t="s">
        <v>4301</v>
      </c>
      <c r="C359" t="s">
        <v>4302</v>
      </c>
    </row>
    <row r="360" spans="1:3" x14ac:dyDescent="0.3">
      <c r="A360" s="12" t="s">
        <v>2196</v>
      </c>
      <c r="B360" s="12" t="s">
        <v>4301</v>
      </c>
      <c r="C360" t="s">
        <v>4302</v>
      </c>
    </row>
    <row r="361" spans="1:3" x14ac:dyDescent="0.3">
      <c r="A361" s="12" t="s">
        <v>1324</v>
      </c>
      <c r="B361" s="12" t="s">
        <v>4301</v>
      </c>
      <c r="C361" t="s">
        <v>4302</v>
      </c>
    </row>
    <row r="362" spans="1:3" x14ac:dyDescent="0.3">
      <c r="A362" s="12" t="s">
        <v>1683</v>
      </c>
      <c r="B362" s="12" t="s">
        <v>4301</v>
      </c>
      <c r="C362" t="s">
        <v>4302</v>
      </c>
    </row>
    <row r="363" spans="1:3" x14ac:dyDescent="0.3">
      <c r="A363" s="12" t="s">
        <v>1165</v>
      </c>
      <c r="B363" s="12" t="s">
        <v>4301</v>
      </c>
      <c r="C363" t="s">
        <v>4302</v>
      </c>
    </row>
    <row r="364" spans="1:3" x14ac:dyDescent="0.3">
      <c r="A364" s="12" t="s">
        <v>1680</v>
      </c>
      <c r="B364" s="12" t="s">
        <v>4301</v>
      </c>
      <c r="C364" t="s">
        <v>4302</v>
      </c>
    </row>
    <row r="365" spans="1:3" x14ac:dyDescent="0.3">
      <c r="A365" s="12" t="s">
        <v>2190</v>
      </c>
      <c r="B365" s="12" t="s">
        <v>4301</v>
      </c>
      <c r="C365" t="s">
        <v>4302</v>
      </c>
    </row>
    <row r="366" spans="1:3" x14ac:dyDescent="0.3">
      <c r="A366" s="12" t="s">
        <v>2191</v>
      </c>
      <c r="B366" s="12" t="s">
        <v>4301</v>
      </c>
      <c r="C366" t="s">
        <v>4302</v>
      </c>
    </row>
    <row r="367" spans="1:3" x14ac:dyDescent="0.3">
      <c r="A367" s="12" t="s">
        <v>2192</v>
      </c>
      <c r="B367" s="12" t="s">
        <v>4301</v>
      </c>
      <c r="C367" t="s">
        <v>4302</v>
      </c>
    </row>
    <row r="368" spans="1:3" x14ac:dyDescent="0.3">
      <c r="A368" s="12" t="s">
        <v>2193</v>
      </c>
      <c r="B368" s="12" t="s">
        <v>4301</v>
      </c>
      <c r="C368" t="s">
        <v>4302</v>
      </c>
    </row>
    <row r="369" spans="1:3" x14ac:dyDescent="0.3">
      <c r="A369" s="12" t="s">
        <v>2194</v>
      </c>
      <c r="B369" s="12" t="s">
        <v>4301</v>
      </c>
      <c r="C369" t="s">
        <v>4302</v>
      </c>
    </row>
    <row r="370" spans="1:3" x14ac:dyDescent="0.3">
      <c r="A370" s="12" t="s">
        <v>2195</v>
      </c>
      <c r="B370" s="12" t="s">
        <v>4301</v>
      </c>
      <c r="C370" t="s">
        <v>4302</v>
      </c>
    </row>
    <row r="371" spans="1:3" x14ac:dyDescent="0.3">
      <c r="A371" s="12" t="s">
        <v>1196</v>
      </c>
      <c r="B371" s="12" t="s">
        <v>4301</v>
      </c>
      <c r="C371" t="s">
        <v>4302</v>
      </c>
    </row>
    <row r="372" spans="1:3" x14ac:dyDescent="0.3">
      <c r="A372" s="12" t="s">
        <v>2200</v>
      </c>
      <c r="B372" s="12" t="s">
        <v>4301</v>
      </c>
      <c r="C372" t="s">
        <v>4302</v>
      </c>
    </row>
    <row r="373" spans="1:3" x14ac:dyDescent="0.3">
      <c r="A373" s="12" t="s">
        <v>1677</v>
      </c>
      <c r="B373" s="12" t="s">
        <v>4301</v>
      </c>
      <c r="C373" t="s">
        <v>4302</v>
      </c>
    </row>
    <row r="374" spans="1:3" x14ac:dyDescent="0.3">
      <c r="A374" s="12" t="s">
        <v>2202</v>
      </c>
      <c r="B374" s="12" t="s">
        <v>4301</v>
      </c>
      <c r="C374" t="s">
        <v>4302</v>
      </c>
    </row>
    <row r="375" spans="1:3" x14ac:dyDescent="0.3">
      <c r="A375" s="12" t="s">
        <v>1185</v>
      </c>
      <c r="B375" s="12" t="s">
        <v>4301</v>
      </c>
      <c r="C375" t="s">
        <v>4302</v>
      </c>
    </row>
    <row r="376" spans="1:3" x14ac:dyDescent="0.3">
      <c r="A376" s="12" t="s">
        <v>1741</v>
      </c>
      <c r="B376" s="12" t="s">
        <v>4301</v>
      </c>
      <c r="C376" t="s">
        <v>4302</v>
      </c>
    </row>
    <row r="377" spans="1:3" x14ac:dyDescent="0.3">
      <c r="A377" s="12" t="s">
        <v>1740</v>
      </c>
      <c r="B377" s="12" t="s">
        <v>4301</v>
      </c>
      <c r="C377" t="s">
        <v>4302</v>
      </c>
    </row>
    <row r="378" spans="1:3" x14ac:dyDescent="0.3">
      <c r="A378" s="12" t="s">
        <v>1612</v>
      </c>
      <c r="B378" s="12" t="s">
        <v>4301</v>
      </c>
      <c r="C378" t="s">
        <v>4302</v>
      </c>
    </row>
    <row r="379" spans="1:3" x14ac:dyDescent="0.3">
      <c r="A379" s="12" t="s">
        <v>1726</v>
      </c>
      <c r="B379" s="12" t="s">
        <v>4301</v>
      </c>
      <c r="C379" t="s">
        <v>4302</v>
      </c>
    </row>
    <row r="380" spans="1:3" x14ac:dyDescent="0.3">
      <c r="A380" s="12" t="s">
        <v>1729</v>
      </c>
      <c r="B380" s="12" t="s">
        <v>4301</v>
      </c>
      <c r="C380" t="s">
        <v>4302</v>
      </c>
    </row>
    <row r="381" spans="1:3" x14ac:dyDescent="0.3">
      <c r="A381" s="12" t="s">
        <v>1746</v>
      </c>
      <c r="B381" s="12" t="s">
        <v>4301</v>
      </c>
      <c r="C381" t="s">
        <v>4302</v>
      </c>
    </row>
    <row r="382" spans="1:3" x14ac:dyDescent="0.3">
      <c r="A382" s="12" t="s">
        <v>1712</v>
      </c>
      <c r="B382" s="12" t="s">
        <v>4301</v>
      </c>
      <c r="C382" t="s">
        <v>4302</v>
      </c>
    </row>
    <row r="383" spans="1:3" x14ac:dyDescent="0.3">
      <c r="A383" s="12" t="s">
        <v>1242</v>
      </c>
      <c r="B383" s="12" t="s">
        <v>4301</v>
      </c>
      <c r="C383" t="s">
        <v>4302</v>
      </c>
    </row>
    <row r="384" spans="1:3" x14ac:dyDescent="0.3">
      <c r="A384" s="12" t="s">
        <v>1241</v>
      </c>
      <c r="B384" s="12" t="s">
        <v>4301</v>
      </c>
      <c r="C384" t="s">
        <v>4302</v>
      </c>
    </row>
    <row r="385" spans="1:3" x14ac:dyDescent="0.3">
      <c r="A385" s="12" t="s">
        <v>1266</v>
      </c>
      <c r="B385" s="12" t="s">
        <v>4301</v>
      </c>
      <c r="C385" t="s">
        <v>4302</v>
      </c>
    </row>
    <row r="386" spans="1:3" x14ac:dyDescent="0.3">
      <c r="A386" s="12" t="s">
        <v>1274</v>
      </c>
      <c r="B386" s="12" t="s">
        <v>4301</v>
      </c>
      <c r="C386" t="s">
        <v>4302</v>
      </c>
    </row>
    <row r="387" spans="1:3" x14ac:dyDescent="0.3">
      <c r="A387" s="12" t="s">
        <v>1281</v>
      </c>
      <c r="B387" s="12" t="s">
        <v>4301</v>
      </c>
      <c r="C387" t="s">
        <v>4302</v>
      </c>
    </row>
    <row r="388" spans="1:3" x14ac:dyDescent="0.3">
      <c r="A388" s="12" t="s">
        <v>1607</v>
      </c>
      <c r="B388" s="12" t="s">
        <v>4301</v>
      </c>
      <c r="C388" t="s">
        <v>4302</v>
      </c>
    </row>
    <row r="389" spans="1:3" x14ac:dyDescent="0.3">
      <c r="A389" s="12" t="s">
        <v>2178</v>
      </c>
      <c r="B389" s="12" t="s">
        <v>4301</v>
      </c>
      <c r="C389" t="s">
        <v>4302</v>
      </c>
    </row>
    <row r="390" spans="1:3" x14ac:dyDescent="0.3">
      <c r="A390" s="12" t="s">
        <v>1738</v>
      </c>
      <c r="B390" s="12" t="s">
        <v>4301</v>
      </c>
      <c r="C390" t="s">
        <v>4302</v>
      </c>
    </row>
    <row r="391" spans="1:3" x14ac:dyDescent="0.3">
      <c r="A391" s="12" t="s">
        <v>1732</v>
      </c>
      <c r="B391" s="12" t="s">
        <v>4301</v>
      </c>
      <c r="C391" t="s">
        <v>4302</v>
      </c>
    </row>
    <row r="392" spans="1:3" x14ac:dyDescent="0.3">
      <c r="A392" s="12" t="s">
        <v>1727</v>
      </c>
      <c r="B392" s="12" t="s">
        <v>4301</v>
      </c>
      <c r="C392" t="s">
        <v>4302</v>
      </c>
    </row>
    <row r="393" spans="1:3" x14ac:dyDescent="0.3">
      <c r="A393" s="12" t="s">
        <v>1749</v>
      </c>
      <c r="B393" s="12" t="s">
        <v>4301</v>
      </c>
      <c r="C393" t="s">
        <v>4302</v>
      </c>
    </row>
    <row r="394" spans="1:3" x14ac:dyDescent="0.3">
      <c r="A394" s="12" t="s">
        <v>1748</v>
      </c>
      <c r="B394" s="12" t="s">
        <v>4301</v>
      </c>
      <c r="C394" t="s">
        <v>4302</v>
      </c>
    </row>
    <row r="395" spans="1:3" x14ac:dyDescent="0.3">
      <c r="A395" s="12" t="s">
        <v>1728</v>
      </c>
      <c r="B395" s="12" t="s">
        <v>4301</v>
      </c>
      <c r="C395" t="s">
        <v>4302</v>
      </c>
    </row>
    <row r="396" spans="1:3" x14ac:dyDescent="0.3">
      <c r="A396" s="12" t="s">
        <v>1734</v>
      </c>
      <c r="B396" s="12" t="s">
        <v>4301</v>
      </c>
      <c r="C396" t="s">
        <v>4302</v>
      </c>
    </row>
    <row r="397" spans="1:3" x14ac:dyDescent="0.3">
      <c r="A397" s="12" t="s">
        <v>1256</v>
      </c>
      <c r="B397" s="12" t="s">
        <v>4301</v>
      </c>
      <c r="C397" t="s">
        <v>4302</v>
      </c>
    </row>
    <row r="398" spans="1:3" x14ac:dyDescent="0.3">
      <c r="A398" s="12" t="s">
        <v>1254</v>
      </c>
      <c r="B398" s="12" t="s">
        <v>4301</v>
      </c>
      <c r="C398" t="s">
        <v>4302</v>
      </c>
    </row>
    <row r="399" spans="1:3" x14ac:dyDescent="0.3">
      <c r="A399" s="12" t="s">
        <v>1255</v>
      </c>
      <c r="B399" s="12" t="s">
        <v>4301</v>
      </c>
      <c r="C399" t="s">
        <v>4302</v>
      </c>
    </row>
    <row r="400" spans="1:3" x14ac:dyDescent="0.3">
      <c r="A400" s="12" t="s">
        <v>1253</v>
      </c>
      <c r="B400" s="12" t="s">
        <v>4301</v>
      </c>
      <c r="C400" t="s">
        <v>4302</v>
      </c>
    </row>
    <row r="401" spans="1:3" x14ac:dyDescent="0.3">
      <c r="A401" s="12" t="s">
        <v>1252</v>
      </c>
      <c r="B401" s="12" t="s">
        <v>4301</v>
      </c>
      <c r="C401" t="s">
        <v>4302</v>
      </c>
    </row>
    <row r="402" spans="1:3" x14ac:dyDescent="0.3">
      <c r="A402" s="12" t="s">
        <v>1251</v>
      </c>
      <c r="B402" s="12" t="s">
        <v>4301</v>
      </c>
      <c r="C402" t="s">
        <v>4302</v>
      </c>
    </row>
    <row r="403" spans="1:3" x14ac:dyDescent="0.3">
      <c r="A403" s="12" t="s">
        <v>1719</v>
      </c>
      <c r="B403" s="12" t="s">
        <v>4301</v>
      </c>
      <c r="C403" t="s">
        <v>4302</v>
      </c>
    </row>
    <row r="404" spans="1:3" x14ac:dyDescent="0.3">
      <c r="A404" s="12" t="s">
        <v>1715</v>
      </c>
      <c r="B404" s="12" t="s">
        <v>4301</v>
      </c>
      <c r="C404" t="s">
        <v>4302</v>
      </c>
    </row>
    <row r="405" spans="1:3" x14ac:dyDescent="0.3">
      <c r="A405" s="12" t="s">
        <v>1717</v>
      </c>
      <c r="B405" s="12" t="s">
        <v>4301</v>
      </c>
      <c r="C405" t="s">
        <v>4302</v>
      </c>
    </row>
    <row r="406" spans="1:3" x14ac:dyDescent="0.3">
      <c r="A406" s="12" t="s">
        <v>1722</v>
      </c>
      <c r="B406" s="12" t="s">
        <v>4301</v>
      </c>
      <c r="C406" t="s">
        <v>4302</v>
      </c>
    </row>
    <row r="407" spans="1:3" x14ac:dyDescent="0.3">
      <c r="A407" s="12" t="s">
        <v>1725</v>
      </c>
      <c r="B407" s="12" t="s">
        <v>4301</v>
      </c>
      <c r="C407" t="s">
        <v>4302</v>
      </c>
    </row>
    <row r="408" spans="1:3" x14ac:dyDescent="0.3">
      <c r="A408" s="12" t="s">
        <v>1611</v>
      </c>
      <c r="B408" s="12" t="s">
        <v>4301</v>
      </c>
      <c r="C408" t="s">
        <v>4302</v>
      </c>
    </row>
    <row r="409" spans="1:3" x14ac:dyDescent="0.3">
      <c r="A409" s="12" t="s">
        <v>1708</v>
      </c>
      <c r="B409" s="12" t="s">
        <v>4301</v>
      </c>
      <c r="C409" t="s">
        <v>4302</v>
      </c>
    </row>
    <row r="410" spans="1:3" x14ac:dyDescent="0.3">
      <c r="A410" s="12" t="s">
        <v>1046</v>
      </c>
      <c r="B410" s="12" t="s">
        <v>4301</v>
      </c>
      <c r="C410" t="s">
        <v>4302</v>
      </c>
    </row>
    <row r="411" spans="1:3" x14ac:dyDescent="0.3">
      <c r="A411" s="12" t="s">
        <v>2186</v>
      </c>
      <c r="B411" s="12" t="s">
        <v>4301</v>
      </c>
      <c r="C411" t="s">
        <v>4302</v>
      </c>
    </row>
    <row r="412" spans="1:3" x14ac:dyDescent="0.3">
      <c r="A412" s="12" t="s">
        <v>1614</v>
      </c>
      <c r="B412" s="12" t="s">
        <v>4301</v>
      </c>
      <c r="C412" t="s">
        <v>4302</v>
      </c>
    </row>
    <row r="413" spans="1:3" x14ac:dyDescent="0.3">
      <c r="A413" s="12" t="s">
        <v>1049</v>
      </c>
      <c r="B413" s="12" t="s">
        <v>4301</v>
      </c>
      <c r="C413" t="s">
        <v>4302</v>
      </c>
    </row>
    <row r="414" spans="1:3" x14ac:dyDescent="0.3">
      <c r="A414" s="12" t="s">
        <v>1058</v>
      </c>
      <c r="B414" s="12" t="s">
        <v>4301</v>
      </c>
      <c r="C414" t="s">
        <v>4302</v>
      </c>
    </row>
    <row r="415" spans="1:3" x14ac:dyDescent="0.3">
      <c r="A415" s="12" t="s">
        <v>1145</v>
      </c>
      <c r="B415" s="12" t="s">
        <v>4301</v>
      </c>
      <c r="C415" t="s">
        <v>4302</v>
      </c>
    </row>
    <row r="416" spans="1:3" x14ac:dyDescent="0.3">
      <c r="A416" s="12" t="s">
        <v>1069</v>
      </c>
      <c r="B416" s="12" t="s">
        <v>4301</v>
      </c>
      <c r="C416" t="s">
        <v>4302</v>
      </c>
    </row>
    <row r="417" spans="1:3" x14ac:dyDescent="0.3">
      <c r="A417" s="12" t="s">
        <v>1669</v>
      </c>
      <c r="B417" s="12" t="s">
        <v>4301</v>
      </c>
      <c r="C417" t="s">
        <v>4302</v>
      </c>
    </row>
    <row r="418" spans="1:3" x14ac:dyDescent="0.3">
      <c r="A418" s="12" t="s">
        <v>4293</v>
      </c>
      <c r="B418" s="12" t="s">
        <v>4301</v>
      </c>
      <c r="C418" t="s">
        <v>4302</v>
      </c>
    </row>
    <row r="419" spans="1:3" x14ac:dyDescent="0.3">
      <c r="A419" s="12" t="s">
        <v>1651</v>
      </c>
      <c r="B419" s="12" t="s">
        <v>4301</v>
      </c>
      <c r="C419" t="s">
        <v>4302</v>
      </c>
    </row>
    <row r="420" spans="1:3" x14ac:dyDescent="0.3">
      <c r="A420" s="12" t="s">
        <v>1655</v>
      </c>
      <c r="B420" s="12" t="s">
        <v>4301</v>
      </c>
      <c r="C420" t="s">
        <v>4302</v>
      </c>
    </row>
    <row r="421" spans="1:3" x14ac:dyDescent="0.3">
      <c r="A421" s="12" t="s">
        <v>1061</v>
      </c>
      <c r="B421" s="12" t="s">
        <v>4301</v>
      </c>
      <c r="C421" t="s">
        <v>4302</v>
      </c>
    </row>
    <row r="422" spans="1:3" x14ac:dyDescent="0.3">
      <c r="A422" s="12" t="s">
        <v>1105</v>
      </c>
      <c r="B422" s="12" t="s">
        <v>4301</v>
      </c>
      <c r="C422" t="s">
        <v>4302</v>
      </c>
    </row>
    <row r="423" spans="1:3" x14ac:dyDescent="0.3">
      <c r="A423" s="12" t="s">
        <v>1820</v>
      </c>
      <c r="B423" s="12" t="s">
        <v>4301</v>
      </c>
      <c r="C423" t="s">
        <v>4302</v>
      </c>
    </row>
    <row r="424" spans="1:3" x14ac:dyDescent="0.3">
      <c r="A424" s="12" t="s">
        <v>1525</v>
      </c>
      <c r="B424" s="12" t="s">
        <v>4301</v>
      </c>
      <c r="C424" t="s">
        <v>4302</v>
      </c>
    </row>
    <row r="425" spans="1:3" x14ac:dyDescent="0.3">
      <c r="A425" s="12" t="s">
        <v>1827</v>
      </c>
      <c r="B425" s="12" t="s">
        <v>4301</v>
      </c>
      <c r="C425" t="s">
        <v>4302</v>
      </c>
    </row>
    <row r="426" spans="1:3" x14ac:dyDescent="0.3">
      <c r="A426" s="12" t="s">
        <v>1351</v>
      </c>
      <c r="B426" s="12" t="s">
        <v>4301</v>
      </c>
      <c r="C426" t="s">
        <v>4302</v>
      </c>
    </row>
    <row r="427" spans="1:3" x14ac:dyDescent="0.3">
      <c r="A427" s="12" t="s">
        <v>1523</v>
      </c>
      <c r="B427" s="12" t="s">
        <v>4301</v>
      </c>
      <c r="C427" t="s">
        <v>4302</v>
      </c>
    </row>
    <row r="428" spans="1:3" x14ac:dyDescent="0.3">
      <c r="A428" s="12" t="s">
        <v>1346</v>
      </c>
      <c r="B428" s="12" t="s">
        <v>4301</v>
      </c>
      <c r="C428" t="s">
        <v>4302</v>
      </c>
    </row>
    <row r="429" spans="1:3" x14ac:dyDescent="0.3">
      <c r="A429" s="12" t="s">
        <v>1796</v>
      </c>
      <c r="B429" s="12" t="s">
        <v>4301</v>
      </c>
      <c r="C429" t="s">
        <v>4302</v>
      </c>
    </row>
    <row r="430" spans="1:3" x14ac:dyDescent="0.3">
      <c r="A430" s="12" t="s">
        <v>1804</v>
      </c>
      <c r="B430" s="12" t="s">
        <v>4301</v>
      </c>
      <c r="C430" t="s">
        <v>4302</v>
      </c>
    </row>
    <row r="431" spans="1:3" x14ac:dyDescent="0.3">
      <c r="A431" s="12" t="s">
        <v>1336</v>
      </c>
      <c r="B431" s="12" t="s">
        <v>4301</v>
      </c>
      <c r="C431" t="s">
        <v>4302</v>
      </c>
    </row>
    <row r="432" spans="1:3" x14ac:dyDescent="0.3">
      <c r="A432" s="12" t="s">
        <v>2150</v>
      </c>
      <c r="B432" s="12" t="s">
        <v>4301</v>
      </c>
      <c r="C432" t="s">
        <v>4302</v>
      </c>
    </row>
    <row r="433" spans="1:3" x14ac:dyDescent="0.3">
      <c r="A433" s="12" t="s">
        <v>1328</v>
      </c>
      <c r="B433" s="12" t="s">
        <v>4301</v>
      </c>
      <c r="C433" t="s">
        <v>4302</v>
      </c>
    </row>
    <row r="434" spans="1:3" x14ac:dyDescent="0.3">
      <c r="A434" s="12" t="s">
        <v>1338</v>
      </c>
      <c r="B434" s="12" t="s">
        <v>4301</v>
      </c>
      <c r="C434" t="s">
        <v>4302</v>
      </c>
    </row>
    <row r="435" spans="1:3" x14ac:dyDescent="0.3">
      <c r="A435" s="12" t="s">
        <v>1660</v>
      </c>
      <c r="B435" s="12" t="s">
        <v>4301</v>
      </c>
      <c r="C435" t="s">
        <v>4302</v>
      </c>
    </row>
    <row r="436" spans="1:3" x14ac:dyDescent="0.3">
      <c r="A436" s="12" t="s">
        <v>1808</v>
      </c>
      <c r="B436" s="12" t="s">
        <v>4301</v>
      </c>
      <c r="C436" t="s">
        <v>4302</v>
      </c>
    </row>
    <row r="437" spans="1:3" x14ac:dyDescent="0.3">
      <c r="A437" s="12" t="s">
        <v>1362</v>
      </c>
      <c r="B437" s="12" t="s">
        <v>4301</v>
      </c>
      <c r="C437" t="s">
        <v>4302</v>
      </c>
    </row>
    <row r="438" spans="1:3" x14ac:dyDescent="0.3">
      <c r="A438" s="12" t="s">
        <v>1006</v>
      </c>
      <c r="B438" s="12" t="s">
        <v>4301</v>
      </c>
      <c r="C438" t="s">
        <v>4302</v>
      </c>
    </row>
    <row r="439" spans="1:3" x14ac:dyDescent="0.3">
      <c r="A439" s="12" t="s">
        <v>1574</v>
      </c>
      <c r="B439" s="12" t="s">
        <v>4301</v>
      </c>
      <c r="C439" t="s">
        <v>4302</v>
      </c>
    </row>
    <row r="440" spans="1:3" x14ac:dyDescent="0.3">
      <c r="A440" s="12" t="s">
        <v>1769</v>
      </c>
      <c r="B440" s="12" t="s">
        <v>4301</v>
      </c>
      <c r="C440" t="s">
        <v>4302</v>
      </c>
    </row>
    <row r="441" spans="1:3" x14ac:dyDescent="0.3">
      <c r="A441" s="12" t="s">
        <v>1788</v>
      </c>
      <c r="B441" s="12" t="s">
        <v>4301</v>
      </c>
      <c r="C441" t="s">
        <v>4302</v>
      </c>
    </row>
    <row r="442" spans="1:3" x14ac:dyDescent="0.3">
      <c r="A442" s="12" t="s">
        <v>1777</v>
      </c>
      <c r="B442" s="12" t="s">
        <v>4301</v>
      </c>
      <c r="C442" t="s">
        <v>4302</v>
      </c>
    </row>
    <row r="443" spans="1:3" x14ac:dyDescent="0.3">
      <c r="A443" s="12" t="s">
        <v>1791</v>
      </c>
      <c r="B443" s="12" t="s">
        <v>4301</v>
      </c>
      <c r="C443" t="s">
        <v>4302</v>
      </c>
    </row>
    <row r="444" spans="1:3" x14ac:dyDescent="0.3">
      <c r="A444" s="12" t="s">
        <v>2161</v>
      </c>
      <c r="B444" s="12" t="s">
        <v>4301</v>
      </c>
      <c r="C444" t="s">
        <v>4302</v>
      </c>
    </row>
    <row r="445" spans="1:3" x14ac:dyDescent="0.3">
      <c r="A445" s="12" t="s">
        <v>1189</v>
      </c>
      <c r="B445" s="12" t="s">
        <v>4301</v>
      </c>
      <c r="C445" t="s">
        <v>4302</v>
      </c>
    </row>
    <row r="446" spans="1:3" x14ac:dyDescent="0.3">
      <c r="A446" s="12" t="s">
        <v>2170</v>
      </c>
      <c r="B446" s="12" t="s">
        <v>4301</v>
      </c>
      <c r="C446" t="s">
        <v>4302</v>
      </c>
    </row>
    <row r="447" spans="1:3" x14ac:dyDescent="0.3">
      <c r="A447" s="12" t="s">
        <v>1766</v>
      </c>
      <c r="B447" s="12" t="s">
        <v>4301</v>
      </c>
      <c r="C447" t="s">
        <v>4302</v>
      </c>
    </row>
    <row r="448" spans="1:3" x14ac:dyDescent="0.3">
      <c r="A448" s="12" t="s">
        <v>2165</v>
      </c>
      <c r="B448" s="12" t="s">
        <v>4301</v>
      </c>
      <c r="C448" t="s">
        <v>4302</v>
      </c>
    </row>
    <row r="449" spans="1:3" x14ac:dyDescent="0.3">
      <c r="A449" s="12" t="s">
        <v>2163</v>
      </c>
      <c r="B449" s="12" t="s">
        <v>4301</v>
      </c>
      <c r="C449" t="s">
        <v>4302</v>
      </c>
    </row>
    <row r="450" spans="1:3" x14ac:dyDescent="0.3">
      <c r="A450" s="12" t="s">
        <v>1771</v>
      </c>
      <c r="B450" s="12" t="s">
        <v>4301</v>
      </c>
      <c r="C450" t="s">
        <v>4302</v>
      </c>
    </row>
    <row r="451" spans="1:3" x14ac:dyDescent="0.3">
      <c r="A451" s="12" t="s">
        <v>2169</v>
      </c>
      <c r="B451" s="12" t="s">
        <v>4301</v>
      </c>
      <c r="C451" t="s">
        <v>4302</v>
      </c>
    </row>
    <row r="452" spans="1:3" x14ac:dyDescent="0.3">
      <c r="A452" s="12" t="s">
        <v>2171</v>
      </c>
      <c r="B452" s="12" t="s">
        <v>4301</v>
      </c>
      <c r="C452" t="s">
        <v>4302</v>
      </c>
    </row>
    <row r="453" spans="1:3" x14ac:dyDescent="0.3">
      <c r="A453" s="12" t="s">
        <v>1794</v>
      </c>
      <c r="B453" s="12" t="s">
        <v>4301</v>
      </c>
      <c r="C453" t="s">
        <v>4302</v>
      </c>
    </row>
    <row r="454" spans="1:3" x14ac:dyDescent="0.3">
      <c r="A454" s="12" t="s">
        <v>2167</v>
      </c>
      <c r="B454" s="12" t="s">
        <v>4301</v>
      </c>
      <c r="C454" t="s">
        <v>4302</v>
      </c>
    </row>
    <row r="455" spans="1:3" x14ac:dyDescent="0.3">
      <c r="A455" s="12" t="s">
        <v>2019</v>
      </c>
      <c r="B455" s="12" t="s">
        <v>4301</v>
      </c>
      <c r="C455" t="s">
        <v>4302</v>
      </c>
    </row>
    <row r="456" spans="1:3" x14ac:dyDescent="0.3">
      <c r="A456" s="12" t="s">
        <v>1764</v>
      </c>
      <c r="B456" s="12" t="s">
        <v>4301</v>
      </c>
      <c r="C456" t="s">
        <v>4302</v>
      </c>
    </row>
    <row r="457" spans="1:3" x14ac:dyDescent="0.3">
      <c r="A457" s="12" t="s">
        <v>1761</v>
      </c>
      <c r="B457" s="12" t="s">
        <v>4301</v>
      </c>
      <c r="C457" t="s">
        <v>4302</v>
      </c>
    </row>
    <row r="458" spans="1:3" x14ac:dyDescent="0.3">
      <c r="A458" s="12" t="s">
        <v>2166</v>
      </c>
      <c r="B458" s="12" t="s">
        <v>4301</v>
      </c>
      <c r="C458" t="s">
        <v>4302</v>
      </c>
    </row>
    <row r="459" spans="1:3" x14ac:dyDescent="0.3">
      <c r="A459" s="12" t="s">
        <v>1774</v>
      </c>
      <c r="B459" s="12" t="s">
        <v>4301</v>
      </c>
      <c r="C459" t="s">
        <v>4302</v>
      </c>
    </row>
    <row r="460" spans="1:3" x14ac:dyDescent="0.3">
      <c r="A460" s="12" t="s">
        <v>2172</v>
      </c>
      <c r="B460" s="12" t="s">
        <v>4301</v>
      </c>
      <c r="C460" t="s">
        <v>4302</v>
      </c>
    </row>
    <row r="461" spans="1:3" x14ac:dyDescent="0.3">
      <c r="A461" s="12" t="s">
        <v>2020</v>
      </c>
      <c r="B461" s="12" t="s">
        <v>4301</v>
      </c>
      <c r="C461" t="s">
        <v>4302</v>
      </c>
    </row>
    <row r="462" spans="1:3" x14ac:dyDescent="0.3">
      <c r="A462" s="12" t="s">
        <v>1757</v>
      </c>
      <c r="B462" s="12" t="s">
        <v>4301</v>
      </c>
      <c r="C462" t="s">
        <v>4302</v>
      </c>
    </row>
    <row r="463" spans="1:3" x14ac:dyDescent="0.3">
      <c r="A463" s="12" t="s">
        <v>2174</v>
      </c>
      <c r="B463" s="12" t="s">
        <v>4301</v>
      </c>
      <c r="C463" t="s">
        <v>4302</v>
      </c>
    </row>
    <row r="464" spans="1:3" x14ac:dyDescent="0.3">
      <c r="A464" s="12" t="s">
        <v>1784</v>
      </c>
      <c r="B464" s="12" t="s">
        <v>4301</v>
      </c>
      <c r="C464" t="s">
        <v>4302</v>
      </c>
    </row>
    <row r="465" spans="1:3" x14ac:dyDescent="0.3">
      <c r="A465" s="12" t="s">
        <v>2176</v>
      </c>
      <c r="B465" s="12" t="s">
        <v>4301</v>
      </c>
      <c r="C465" t="s">
        <v>4302</v>
      </c>
    </row>
    <row r="466" spans="1:3" x14ac:dyDescent="0.3">
      <c r="A466" s="12" t="s">
        <v>1920</v>
      </c>
      <c r="B466" s="12" t="s">
        <v>4301</v>
      </c>
      <c r="C466" t="s">
        <v>4302</v>
      </c>
    </row>
    <row r="467" spans="1:3" x14ac:dyDescent="0.3">
      <c r="A467" s="12" t="s">
        <v>1706</v>
      </c>
      <c r="B467" s="12" t="s">
        <v>4301</v>
      </c>
      <c r="C467" t="s">
        <v>4302</v>
      </c>
    </row>
    <row r="468" spans="1:3" x14ac:dyDescent="0.3">
      <c r="A468" s="12" t="s">
        <v>2187</v>
      </c>
      <c r="B468" s="12" t="s">
        <v>4301</v>
      </c>
      <c r="C468" t="s">
        <v>4302</v>
      </c>
    </row>
    <row r="469" spans="1:3" x14ac:dyDescent="0.3">
      <c r="A469" s="12" t="s">
        <v>2107</v>
      </c>
      <c r="B469" s="12" t="s">
        <v>4301</v>
      </c>
      <c r="C469" t="s">
        <v>4302</v>
      </c>
    </row>
    <row r="470" spans="1:3" x14ac:dyDescent="0.3">
      <c r="A470" s="12" t="s">
        <v>2021</v>
      </c>
      <c r="B470" s="12" t="s">
        <v>4301</v>
      </c>
      <c r="C470" t="s">
        <v>4302</v>
      </c>
    </row>
    <row r="471" spans="1:3" x14ac:dyDescent="0.3">
      <c r="A471" s="12" t="s">
        <v>1871</v>
      </c>
      <c r="B471" s="12" t="s">
        <v>4301</v>
      </c>
      <c r="C471" t="s">
        <v>4302</v>
      </c>
    </row>
    <row r="472" spans="1:3" x14ac:dyDescent="0.3">
      <c r="A472" s="12" t="s">
        <v>2181</v>
      </c>
      <c r="B472" s="12" t="s">
        <v>4301</v>
      </c>
      <c r="C472" t="s">
        <v>4302</v>
      </c>
    </row>
    <row r="473" spans="1:3" x14ac:dyDescent="0.3">
      <c r="A473" s="12" t="s">
        <v>2179</v>
      </c>
      <c r="B473" s="12" t="s">
        <v>4301</v>
      </c>
      <c r="C473" t="s">
        <v>4302</v>
      </c>
    </row>
    <row r="474" spans="1:3" x14ac:dyDescent="0.3">
      <c r="A474" s="12" t="s">
        <v>2183</v>
      </c>
      <c r="B474" s="12" t="s">
        <v>4301</v>
      </c>
      <c r="C474" t="s">
        <v>4302</v>
      </c>
    </row>
    <row r="475" spans="1:3" x14ac:dyDescent="0.3">
      <c r="A475" s="12" t="s">
        <v>2188</v>
      </c>
      <c r="B475" s="12" t="s">
        <v>4301</v>
      </c>
      <c r="C475" t="s">
        <v>4302</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12B7D-A38D-48F4-AD07-CB58736AFD30}">
  <dimension ref="A1:J119"/>
  <sheetViews>
    <sheetView zoomScale="70" zoomScaleNormal="70" workbookViewId="0">
      <selection activeCell="J41" sqref="J41"/>
    </sheetView>
  </sheetViews>
  <sheetFormatPr defaultColWidth="8.77734375" defaultRowHeight="14.4" x14ac:dyDescent="0.3"/>
  <cols>
    <col min="1" max="1" width="18.109375" customWidth="1"/>
    <col min="2" max="2" width="11.77734375" customWidth="1"/>
    <col min="3" max="3" width="25.77734375" customWidth="1"/>
    <col min="4" max="6" width="10.109375" customWidth="1"/>
    <col min="7" max="7" width="21.77734375" customWidth="1"/>
    <col min="9" max="9" width="23.109375" customWidth="1"/>
  </cols>
  <sheetData>
    <row r="1" spans="1:10" x14ac:dyDescent="0.3">
      <c r="A1" t="s">
        <v>3521</v>
      </c>
      <c r="B1" s="107" t="s">
        <v>3522</v>
      </c>
      <c r="C1" s="107" t="s">
        <v>2872</v>
      </c>
      <c r="D1" s="107" t="str">
        <f>Prov!$K$1</f>
        <v>Code</v>
      </c>
      <c r="E1" s="107"/>
      <c r="F1" s="107"/>
      <c r="G1" t="s">
        <v>4303</v>
      </c>
      <c r="H1" t="s">
        <v>4304</v>
      </c>
      <c r="I1" t="s">
        <v>4305</v>
      </c>
      <c r="J1" t="s">
        <v>4306</v>
      </c>
    </row>
    <row r="2" spans="1:10" x14ac:dyDescent="0.3">
      <c r="A2" t="s">
        <v>2980</v>
      </c>
      <c r="B2" t="s">
        <v>3582</v>
      </c>
      <c r="C2" t="str">
        <f>VLOOKUP(D2,FAO_Sp!$A$2:$B$109,2,0)</f>
        <v>Vegetables, fresh nes</v>
      </c>
      <c r="D2">
        <v>463</v>
      </c>
      <c r="G2" t="s">
        <v>2978</v>
      </c>
      <c r="H2">
        <v>7</v>
      </c>
      <c r="I2" t="s">
        <v>2978</v>
      </c>
      <c r="J2" t="s">
        <v>4307</v>
      </c>
    </row>
    <row r="3" spans="1:10" x14ac:dyDescent="0.3">
      <c r="A3" t="s">
        <v>3335</v>
      </c>
      <c r="B3" t="s">
        <v>3583</v>
      </c>
      <c r="C3" t="str">
        <f>VLOOKUP(D3,FAO_Sp!$A$2:$B$109,2,0)</f>
        <v>Chicory roots</v>
      </c>
      <c r="D3">
        <v>459</v>
      </c>
      <c r="G3" t="s">
        <v>2978</v>
      </c>
      <c r="H3">
        <v>7</v>
      </c>
      <c r="I3" t="s">
        <v>2978</v>
      </c>
      <c r="J3" t="s">
        <v>4307</v>
      </c>
    </row>
    <row r="4" spans="1:10" x14ac:dyDescent="0.3">
      <c r="A4" t="s">
        <v>3106</v>
      </c>
      <c r="B4" t="s">
        <v>3606</v>
      </c>
      <c r="C4" t="str">
        <f>VLOOKUP(D4,FAO_Sp!$A$2:$B$109,2,0)</f>
        <v>Avocados</v>
      </c>
      <c r="D4">
        <f>VLOOKUP(A4,Prov!$A$2:$K$241,MATCH(D$1,Prov!$A$1:$K$1,0),0)</f>
        <v>572</v>
      </c>
      <c r="G4" t="s">
        <v>3102</v>
      </c>
      <c r="H4">
        <v>10</v>
      </c>
      <c r="I4" t="s">
        <v>3102</v>
      </c>
      <c r="J4" t="s">
        <v>4308</v>
      </c>
    </row>
    <row r="5" spans="1:10" x14ac:dyDescent="0.3">
      <c r="A5" t="s">
        <v>2984</v>
      </c>
      <c r="B5" t="s">
        <v>3567</v>
      </c>
      <c r="C5" t="str">
        <f>VLOOKUP(D5,FAO_Sp!$A$2:$B$109,2,0)</f>
        <v>Garlic</v>
      </c>
      <c r="D5">
        <f>VLOOKUP(A5,Prov!$A$2:$K$241,MATCH(D$1,Prov!$A$1:$K$1,0),0)</f>
        <v>406</v>
      </c>
      <c r="G5" t="s">
        <v>2978</v>
      </c>
      <c r="H5">
        <v>7</v>
      </c>
      <c r="I5" t="s">
        <v>2978</v>
      </c>
      <c r="J5" t="s">
        <v>4307</v>
      </c>
    </row>
    <row r="6" spans="1:10" x14ac:dyDescent="0.3">
      <c r="A6" t="s">
        <v>3110</v>
      </c>
      <c r="B6" t="s">
        <v>3605</v>
      </c>
      <c r="C6" t="str">
        <f>VLOOKUP(D6,FAO_Sp!$A$2:$B$109,2,0)</f>
        <v>Apricots</v>
      </c>
      <c r="D6">
        <v>526</v>
      </c>
      <c r="G6" t="s">
        <v>3102</v>
      </c>
      <c r="H6">
        <v>10</v>
      </c>
      <c r="I6" t="s">
        <v>3102</v>
      </c>
      <c r="J6" t="s">
        <v>4308</v>
      </c>
    </row>
    <row r="7" spans="1:10" x14ac:dyDescent="0.3">
      <c r="A7" t="s">
        <v>2987</v>
      </c>
      <c r="B7" t="s">
        <v>3555</v>
      </c>
      <c r="C7" t="str">
        <f>VLOOKUP(D7,FAO_Sp!$A$2:$B$109,2,0)</f>
        <v>Artichokes</v>
      </c>
      <c r="D7">
        <f>VLOOKUP(A7,Prov!$A$2:$K$241,MATCH(D$1,Prov!$A$1:$K$1,0),0)</f>
        <v>366</v>
      </c>
      <c r="G7" t="s">
        <v>2978</v>
      </c>
      <c r="H7">
        <v>7</v>
      </c>
      <c r="I7" t="s">
        <v>2978</v>
      </c>
      <c r="J7" t="s">
        <v>4307</v>
      </c>
    </row>
    <row r="8" spans="1:10" x14ac:dyDescent="0.3">
      <c r="A8" t="s">
        <v>1769</v>
      </c>
      <c r="B8" t="s">
        <v>3646</v>
      </c>
      <c r="C8" t="e">
        <f>VLOOKUP(D8,FAO_Sp!$A$2:$B$109,2,0)</f>
        <v>#N/A</v>
      </c>
      <c r="D8" s="105" t="str">
        <f>VLOOKUP(A8,Prov!$A$2:$K$241,MATCH(D$1,Prov!$A$1:$K$1,0),0)</f>
        <v>H39</v>
      </c>
      <c r="E8" s="105"/>
      <c r="F8" s="105"/>
      <c r="G8" t="s">
        <v>4309</v>
      </c>
      <c r="H8">
        <v>6</v>
      </c>
      <c r="I8" t="s">
        <v>4309</v>
      </c>
      <c r="J8" t="s">
        <v>4307</v>
      </c>
    </row>
    <row r="9" spans="1:10" x14ac:dyDescent="0.3">
      <c r="A9" t="s">
        <v>3266</v>
      </c>
      <c r="B9" t="s">
        <v>3640</v>
      </c>
      <c r="C9" t="str">
        <f>VLOOKUP(D9,FAO_Sp!$A$2:$B$109,2,0)</f>
        <v>Cotton lint</v>
      </c>
      <c r="D9">
        <f>VLOOKUP(A9,Prov!$A$2:$K$241,MATCH(D$1,Prov!$A$1:$K$1,0),0)</f>
        <v>767</v>
      </c>
      <c r="G9" t="s">
        <v>4310</v>
      </c>
      <c r="H9">
        <v>4</v>
      </c>
      <c r="I9" t="s">
        <v>4310</v>
      </c>
      <c r="J9" t="s">
        <v>4307</v>
      </c>
    </row>
    <row r="10" spans="1:10" x14ac:dyDescent="0.3">
      <c r="A10" t="s">
        <v>3118</v>
      </c>
      <c r="B10" t="s">
        <v>3628</v>
      </c>
      <c r="C10" t="str">
        <f>VLOOKUP(D10,FAO_Sp!$A$2:$B$109,2,0)</f>
        <v>Almonds, with shell</v>
      </c>
      <c r="D10">
        <v>221</v>
      </c>
      <c r="G10" t="s">
        <v>3118</v>
      </c>
      <c r="H10">
        <v>13</v>
      </c>
      <c r="I10" t="s">
        <v>3118</v>
      </c>
      <c r="J10" t="s">
        <v>4308</v>
      </c>
    </row>
    <row r="11" spans="1:10" x14ac:dyDescent="0.3">
      <c r="A11" t="s">
        <v>2932</v>
      </c>
      <c r="B11" t="s">
        <v>3539</v>
      </c>
      <c r="C11" t="str">
        <f>VLOOKUP(D11,FAO_Sp!$A$2:$B$109,2,0)</f>
        <v>Lupins</v>
      </c>
      <c r="D11">
        <v>210</v>
      </c>
      <c r="G11" t="s">
        <v>4311</v>
      </c>
      <c r="H11">
        <v>2</v>
      </c>
      <c r="I11" t="s">
        <v>4311</v>
      </c>
      <c r="J11" t="s">
        <v>4307</v>
      </c>
    </row>
    <row r="12" spans="1:10" x14ac:dyDescent="0.3">
      <c r="A12" t="s">
        <v>2990</v>
      </c>
      <c r="B12" t="s">
        <v>3584</v>
      </c>
      <c r="C12" t="str">
        <f>VLOOKUP(D12,FAO_Sp!$A$2:$B$109,2,0)</f>
        <v>Vegetables, fresh nes</v>
      </c>
      <c r="D12">
        <v>463</v>
      </c>
      <c r="G12" t="s">
        <v>2978</v>
      </c>
      <c r="H12">
        <v>7</v>
      </c>
      <c r="I12" t="s">
        <v>2978</v>
      </c>
      <c r="J12" t="s">
        <v>4307</v>
      </c>
    </row>
    <row r="13" spans="1:10" x14ac:dyDescent="0.3">
      <c r="A13" t="s">
        <v>2881</v>
      </c>
      <c r="B13" t="s">
        <v>3531</v>
      </c>
      <c r="C13" t="str">
        <f>VLOOKUP(D13,FAO_Sp!$A$2:$B$109,2,0)</f>
        <v>Rice, paddy</v>
      </c>
      <c r="D13">
        <f>VLOOKUP(A13,Prov!$A$2:$K$241,MATCH(D$1,Prov!$A$1:$K$1,0),0)</f>
        <v>27</v>
      </c>
      <c r="G13" t="s">
        <v>4312</v>
      </c>
      <c r="H13">
        <v>1</v>
      </c>
      <c r="I13" t="s">
        <v>2873</v>
      </c>
      <c r="J13" t="s">
        <v>4307</v>
      </c>
    </row>
    <row r="14" spans="1:10" x14ac:dyDescent="0.3">
      <c r="A14" t="s">
        <v>3126</v>
      </c>
      <c r="B14" t="s">
        <v>3631</v>
      </c>
      <c r="C14" t="str">
        <f>VLOOKUP(D14,FAO_Sp!$A$2:$B$109,2,0)</f>
        <v>Hazelnuts, with shell</v>
      </c>
      <c r="D14">
        <f>VLOOKUP(A14,Prov!$A$2:$K$241,MATCH(D$1,Prov!$A$1:$K$1,0),0)</f>
        <v>225</v>
      </c>
      <c r="G14" t="s">
        <v>3102</v>
      </c>
      <c r="H14">
        <v>10</v>
      </c>
      <c r="I14" t="s">
        <v>3102</v>
      </c>
      <c r="J14" t="s">
        <v>4308</v>
      </c>
    </row>
    <row r="15" spans="1:10" x14ac:dyDescent="0.3">
      <c r="A15" t="s">
        <v>2883</v>
      </c>
      <c r="B15" t="s">
        <v>3530</v>
      </c>
      <c r="C15" t="str">
        <f>VLOOKUP(D15,FAO_Sp!$A$2:$B$109,2,0)</f>
        <v>Oats</v>
      </c>
      <c r="D15">
        <f>VLOOKUP(A15,Prov!$A$2:$K$241,MATCH(D$1,Prov!$A$1:$K$1,0),0)</f>
        <v>75</v>
      </c>
      <c r="G15" t="s">
        <v>4313</v>
      </c>
      <c r="H15">
        <v>1</v>
      </c>
      <c r="I15" t="s">
        <v>2873</v>
      </c>
      <c r="J15" t="s">
        <v>4307</v>
      </c>
    </row>
    <row r="16" spans="1:10" x14ac:dyDescent="0.3">
      <c r="A16" t="s">
        <v>2992</v>
      </c>
      <c r="B16" t="s">
        <v>3557</v>
      </c>
      <c r="C16" t="str">
        <f>VLOOKUP(D16,FAO_Sp!$A$2:$B$109,2,0)</f>
        <v>Eggplants (aubergines)</v>
      </c>
      <c r="D16">
        <f>VLOOKUP(A16,Prov!$A$2:$K$241,MATCH(D$1,Prov!$A$1:$K$1,0),0)</f>
        <v>399</v>
      </c>
      <c r="G16" t="s">
        <v>2978</v>
      </c>
      <c r="H16">
        <v>7</v>
      </c>
      <c r="I16" t="s">
        <v>2978</v>
      </c>
      <c r="J16" t="s">
        <v>4307</v>
      </c>
    </row>
    <row r="17" spans="1:10" x14ac:dyDescent="0.3">
      <c r="A17" t="s">
        <v>2996</v>
      </c>
      <c r="B17" t="s">
        <v>3559</v>
      </c>
      <c r="C17" t="str">
        <f>VLOOKUP(D17,FAO_Sp!$A$2:$B$109,2,0)</f>
        <v>Cabbages and other brassicas</v>
      </c>
      <c r="D17">
        <f>VLOOKUP(A17,Prov!$A$2:$K$241,MATCH(D$1,Prov!$A$1:$K$1,0),0)</f>
        <v>358</v>
      </c>
      <c r="G17" t="s">
        <v>2978</v>
      </c>
      <c r="H17">
        <v>7</v>
      </c>
      <c r="I17" t="s">
        <v>2978</v>
      </c>
      <c r="J17" t="s">
        <v>4307</v>
      </c>
    </row>
    <row r="18" spans="1:10" x14ac:dyDescent="0.3">
      <c r="A18" t="s">
        <v>2998</v>
      </c>
      <c r="B18" t="s">
        <v>3585</v>
      </c>
      <c r="C18" t="str">
        <f>VLOOKUP(D18,FAO_Sp!$A$2:$B$109,2,0)</f>
        <v>Vegetables, fresh nes</v>
      </c>
      <c r="D18">
        <f>VLOOKUP(A18,Prov!$A$2:$K$241,MATCH(D$1,Prov!$A$1:$K$1,0),0)</f>
        <v>463</v>
      </c>
      <c r="G18" t="s">
        <v>2978</v>
      </c>
      <c r="H18">
        <v>7</v>
      </c>
      <c r="I18" t="s">
        <v>2978</v>
      </c>
      <c r="J18" t="s">
        <v>4307</v>
      </c>
    </row>
    <row r="19" spans="1:10" x14ac:dyDescent="0.3">
      <c r="A19" t="s">
        <v>3000</v>
      </c>
      <c r="B19" t="s">
        <v>3586</v>
      </c>
      <c r="C19" t="str">
        <f>VLOOKUP(D19,FAO_Sp!$A$2:$B$109,2,0)</f>
        <v>Vegetables, fresh nes</v>
      </c>
      <c r="D19">
        <f>VLOOKUP(A19,Prov!$A$2:$K$241,MATCH(D$1,Prov!$A$1:$K$1,0),0)</f>
        <v>463</v>
      </c>
      <c r="G19" t="s">
        <v>2978</v>
      </c>
      <c r="H19">
        <v>7</v>
      </c>
      <c r="I19" t="s">
        <v>2978</v>
      </c>
      <c r="J19" t="s">
        <v>4307</v>
      </c>
    </row>
    <row r="20" spans="1:10" x14ac:dyDescent="0.3">
      <c r="A20" t="s">
        <v>3003</v>
      </c>
      <c r="B20" t="s">
        <v>3579</v>
      </c>
      <c r="C20" t="str">
        <f>VLOOKUP(D20,FAO_Sp!$A$2:$B$109,2,0)</f>
        <v>Pumpkins, squash and gourds</v>
      </c>
      <c r="D20">
        <f>VLOOKUP(A20,Prov!$A$2:$K$241,MATCH(D$1,Prov!$A$1:$K$1,0),0)</f>
        <v>394</v>
      </c>
      <c r="G20" t="s">
        <v>2978</v>
      </c>
      <c r="H20">
        <v>7</v>
      </c>
      <c r="I20" t="s">
        <v>2978</v>
      </c>
      <c r="J20" t="s">
        <v>4307</v>
      </c>
    </row>
    <row r="21" spans="1:10" x14ac:dyDescent="0.3">
      <c r="A21" t="s">
        <v>3660</v>
      </c>
      <c r="B21" t="s">
        <v>3661</v>
      </c>
      <c r="C21" t="e">
        <f>VLOOKUP(D21,FAO_Sp!$A$2:$B$109,2,0)</f>
        <v>#N/A</v>
      </c>
      <c r="D21" s="105" t="s">
        <v>3661</v>
      </c>
      <c r="E21" s="105"/>
      <c r="F21" s="105"/>
      <c r="G21" t="s">
        <v>4309</v>
      </c>
      <c r="H21">
        <v>6</v>
      </c>
      <c r="I21" t="s">
        <v>4309</v>
      </c>
      <c r="J21" t="s">
        <v>4307</v>
      </c>
    </row>
    <row r="22" spans="1:10" x14ac:dyDescent="0.3">
      <c r="A22" t="s">
        <v>3312</v>
      </c>
      <c r="B22" t="s">
        <v>3645</v>
      </c>
      <c r="C22" t="str">
        <f>VLOOKUP(D22,FAO_Sp!$A$2:$B$109,2,0)</f>
        <v>Sugar cane</v>
      </c>
      <c r="D22">
        <f>VLOOKUP(A22,Prov!$A$2:$K$241,MATCH(D$1,Prov!$A$1:$K$1,0),0)</f>
        <v>156</v>
      </c>
      <c r="G22" t="s">
        <v>4310</v>
      </c>
      <c r="H22">
        <v>4</v>
      </c>
      <c r="I22" t="s">
        <v>4310</v>
      </c>
      <c r="J22" t="s">
        <v>4307</v>
      </c>
    </row>
    <row r="23" spans="1:10" x14ac:dyDescent="0.3">
      <c r="A23" t="s">
        <v>3641</v>
      </c>
      <c r="B23" t="s">
        <v>3642</v>
      </c>
      <c r="C23" t="str">
        <f>VLOOKUP(D23,FAO_Sp!$A$2:$B$109,2,0)</f>
        <v>Hemp tow waste</v>
      </c>
      <c r="D23">
        <v>777</v>
      </c>
      <c r="G23" t="s">
        <v>4310</v>
      </c>
      <c r="H23">
        <v>4</v>
      </c>
      <c r="I23" t="s">
        <v>4310</v>
      </c>
      <c r="J23" t="s">
        <v>4307</v>
      </c>
    </row>
    <row r="24" spans="1:10" x14ac:dyDescent="0.3">
      <c r="A24" t="s">
        <v>3007</v>
      </c>
      <c r="B24" t="s">
        <v>3587</v>
      </c>
      <c r="C24" t="str">
        <f>VLOOKUP(D24,FAO_Sp!$A$2:$B$109,2,0)</f>
        <v>Vegetables, fresh nes</v>
      </c>
      <c r="D24">
        <f>VLOOKUP(A24,Prov!$A$2:$K$241,MATCH(D$1,Prov!$A$1:$K$1,0),0)</f>
        <v>463</v>
      </c>
      <c r="G24" t="s">
        <v>2978</v>
      </c>
      <c r="H24">
        <v>7</v>
      </c>
      <c r="I24" t="s">
        <v>2978</v>
      </c>
      <c r="J24" t="s">
        <v>4307</v>
      </c>
    </row>
    <row r="25" spans="1:10" x14ac:dyDescent="0.3">
      <c r="A25" t="s">
        <v>3629</v>
      </c>
      <c r="B25" t="s">
        <v>3630</v>
      </c>
      <c r="C25" t="str">
        <f>VLOOKUP(D25,FAO_Sp!$A$2:$B$109,2,0)</f>
        <v>Chestnut</v>
      </c>
      <c r="D25">
        <v>220</v>
      </c>
      <c r="G25" t="s">
        <v>3102</v>
      </c>
      <c r="H25">
        <v>10</v>
      </c>
      <c r="I25" t="s">
        <v>3102</v>
      </c>
      <c r="J25" t="s">
        <v>4308</v>
      </c>
    </row>
    <row r="26" spans="1:10" x14ac:dyDescent="0.3">
      <c r="A26" t="s">
        <v>2885</v>
      </c>
      <c r="B26" t="s">
        <v>3523</v>
      </c>
      <c r="C26" t="str">
        <f>VLOOKUP(D26,FAO_Sp!$A$2:$B$109,2,0)</f>
        <v>Barley</v>
      </c>
      <c r="D26">
        <f>VLOOKUP(A26,Prov!$A$2:$K$241,MATCH(D$1,Prov!$A$1:$K$1,0),0)</f>
        <v>44</v>
      </c>
      <c r="G26" t="s">
        <v>4313</v>
      </c>
      <c r="H26">
        <v>1</v>
      </c>
      <c r="I26" t="s">
        <v>2873</v>
      </c>
      <c r="J26" t="s">
        <v>4307</v>
      </c>
    </row>
    <row r="27" spans="1:10" x14ac:dyDescent="0.3">
      <c r="A27" t="s">
        <v>3008</v>
      </c>
      <c r="B27" t="s">
        <v>3574</v>
      </c>
      <c r="C27" t="str">
        <f>VLOOKUP(D27,FAO_Sp!$A$2:$B$109,2,0)</f>
        <v>Onions, dry</v>
      </c>
      <c r="D27">
        <f>VLOOKUP(A27,Prov!$A$2:$K$241,MATCH(D$1,Prov!$A$1:$K$1,0),0)</f>
        <v>403</v>
      </c>
      <c r="G27" t="s">
        <v>2978</v>
      </c>
      <c r="H27">
        <v>7</v>
      </c>
      <c r="I27" t="s">
        <v>2978</v>
      </c>
      <c r="J27" t="s">
        <v>4307</v>
      </c>
    </row>
    <row r="28" spans="1:10" x14ac:dyDescent="0.3">
      <c r="A28" t="s">
        <v>3011</v>
      </c>
      <c r="B28" t="s">
        <v>3575</v>
      </c>
      <c r="C28" t="str">
        <f>VLOOKUP(D28,FAO_Sp!$A$2:$B$109,2,0)</f>
        <v>Onions, shallots, green</v>
      </c>
      <c r="D28">
        <f>VLOOKUP(A28,Prov!$A$2:$K$241,MATCH(D$1,Prov!$A$1:$K$1,0),0)</f>
        <v>402</v>
      </c>
      <c r="G28" t="s">
        <v>2978</v>
      </c>
      <c r="H28">
        <v>7</v>
      </c>
      <c r="I28" t="s">
        <v>2978</v>
      </c>
      <c r="J28" t="s">
        <v>4307</v>
      </c>
    </row>
    <row r="29" spans="1:10" x14ac:dyDescent="0.3">
      <c r="A29" t="s">
        <v>2888</v>
      </c>
      <c r="B29" t="s">
        <v>3532</v>
      </c>
      <c r="C29" t="str">
        <f>VLOOKUP(D29,FAO_Sp!$A$2:$B$109,2,0)</f>
        <v>Rye</v>
      </c>
      <c r="D29">
        <f>VLOOKUP(A29,Prov!$A$2:$K$241,MATCH(D$1,Prov!$A$1:$K$1,0),0)</f>
        <v>71</v>
      </c>
      <c r="G29" t="s">
        <v>4313</v>
      </c>
      <c r="H29">
        <v>1</v>
      </c>
      <c r="I29" t="s">
        <v>2873</v>
      </c>
      <c r="J29" t="s">
        <v>4307</v>
      </c>
    </row>
    <row r="30" spans="1:10" x14ac:dyDescent="0.3">
      <c r="A30" t="s">
        <v>3402</v>
      </c>
      <c r="B30" t="s">
        <v>3382</v>
      </c>
      <c r="C30" t="e">
        <f>VLOOKUP(D30,FAO_Sp!$A$2:$B$109,2,0)</f>
        <v>#N/A</v>
      </c>
      <c r="D30" s="105" t="s">
        <v>3382</v>
      </c>
      <c r="E30" s="105"/>
      <c r="F30" s="105"/>
      <c r="G30" t="s">
        <v>4309</v>
      </c>
      <c r="H30">
        <v>6</v>
      </c>
      <c r="I30" t="s">
        <v>4309</v>
      </c>
      <c r="J30" t="s">
        <v>4307</v>
      </c>
    </row>
    <row r="31" spans="1:10" x14ac:dyDescent="0.3">
      <c r="A31" t="s">
        <v>3608</v>
      </c>
      <c r="B31" t="s">
        <v>3609</v>
      </c>
      <c r="C31" t="str">
        <f>VLOOKUP(D31,FAO_Sp!$A$2:$B$109,2,0)</f>
        <v>Cherries</v>
      </c>
      <c r="D31">
        <v>531</v>
      </c>
      <c r="G31" t="s">
        <v>3102</v>
      </c>
      <c r="H31">
        <v>10</v>
      </c>
      <c r="I31" t="s">
        <v>3102</v>
      </c>
      <c r="J31" t="s">
        <v>4308</v>
      </c>
    </row>
    <row r="32" spans="1:10" x14ac:dyDescent="0.3">
      <c r="A32" t="s">
        <v>3148</v>
      </c>
      <c r="B32" t="s">
        <v>3611</v>
      </c>
      <c r="C32" t="str">
        <f>VLOOKUP(D32,FAO_Sp!$A$2:$B$109,2,0)</f>
        <v>Fruit, tropical fresh nes</v>
      </c>
      <c r="D32">
        <v>603</v>
      </c>
      <c r="G32" t="s">
        <v>3102</v>
      </c>
      <c r="H32">
        <v>10</v>
      </c>
      <c r="I32" t="s">
        <v>3102</v>
      </c>
      <c r="J32" t="s">
        <v>4308</v>
      </c>
    </row>
    <row r="33" spans="1:10" x14ac:dyDescent="0.3">
      <c r="A33" t="s">
        <v>3153</v>
      </c>
      <c r="B33" t="s">
        <v>3621</v>
      </c>
      <c r="C33" t="str">
        <f>VLOOKUP(D33,FAO_Sp!$A$2:$B$109,2,0)</f>
        <v>Plums and sloes</v>
      </c>
      <c r="D33">
        <v>536</v>
      </c>
      <c r="G33" t="s">
        <v>3102</v>
      </c>
      <c r="H33">
        <v>10</v>
      </c>
      <c r="I33" t="s">
        <v>3102</v>
      </c>
      <c r="J33" t="s">
        <v>4308</v>
      </c>
    </row>
    <row r="34" spans="1:10" x14ac:dyDescent="0.3">
      <c r="A34" t="s">
        <v>3648</v>
      </c>
      <c r="B34" t="s">
        <v>3649</v>
      </c>
      <c r="C34" t="e">
        <f>VLOOKUP(D34,FAO_Sp!$A$2:$B$109,2,0)</f>
        <v>#N/A</v>
      </c>
      <c r="D34" s="105" t="str">
        <f>VLOOKUP(A34,Prov!$A$2:$K$241,MATCH(D$1,Prov!$A$1:$K$1,0),0)</f>
        <v>H46</v>
      </c>
      <c r="E34" s="105"/>
      <c r="F34" s="105"/>
      <c r="G34" t="s">
        <v>4309</v>
      </c>
      <c r="H34">
        <v>6</v>
      </c>
      <c r="I34" t="s">
        <v>4309</v>
      </c>
      <c r="J34" t="s">
        <v>4307</v>
      </c>
    </row>
    <row r="35" spans="1:10" x14ac:dyDescent="0.3">
      <c r="A35" t="s">
        <v>3560</v>
      </c>
      <c r="B35" t="s">
        <v>3561</v>
      </c>
      <c r="C35" t="str">
        <f>VLOOKUP(D35,FAO_Sp!$A$2:$B$109,2,0)</f>
        <v>Cabbages and other brassicas</v>
      </c>
      <c r="D35">
        <v>358</v>
      </c>
      <c r="G35" t="s">
        <v>2978</v>
      </c>
      <c r="H35">
        <v>7</v>
      </c>
      <c r="I35" t="s">
        <v>2978</v>
      </c>
      <c r="J35" t="s">
        <v>4307</v>
      </c>
    </row>
    <row r="36" spans="1:10" x14ac:dyDescent="0.3">
      <c r="A36" t="s">
        <v>3015</v>
      </c>
      <c r="B36" t="s">
        <v>3564</v>
      </c>
      <c r="C36" t="str">
        <f>VLOOKUP(D36,FAO_Sp!$A$2:$B$109,2,0)</f>
        <v>Cauliflowers and broccoli</v>
      </c>
      <c r="D36">
        <f>VLOOKUP(A36,Prov!$A$2:$K$241,MATCH(D$1,Prov!$A$1:$K$1,0),0)</f>
        <v>393</v>
      </c>
      <c r="G36" t="s">
        <v>2978</v>
      </c>
      <c r="H36">
        <v>7</v>
      </c>
      <c r="I36" t="s">
        <v>2978</v>
      </c>
      <c r="J36" t="s">
        <v>4307</v>
      </c>
    </row>
    <row r="37" spans="1:10" x14ac:dyDescent="0.3">
      <c r="A37" t="s">
        <v>3280</v>
      </c>
      <c r="B37" t="s">
        <v>3637</v>
      </c>
      <c r="C37" t="str">
        <f>VLOOKUP(D37,FAO_Sp!$A$2:$B$109,2,0)</f>
        <v>Rapeseed</v>
      </c>
      <c r="D37">
        <f>VLOOKUP(A37,Prov!$A$2:$K$241,MATCH(D$1,Prov!$A$1:$K$1,0),0)</f>
        <v>270</v>
      </c>
      <c r="G37" t="s">
        <v>4310</v>
      </c>
      <c r="H37">
        <v>4</v>
      </c>
      <c r="I37" t="s">
        <v>4310</v>
      </c>
      <c r="J37" t="s">
        <v>4307</v>
      </c>
    </row>
    <row r="38" spans="1:10" x14ac:dyDescent="0.3">
      <c r="A38" t="s">
        <v>3018</v>
      </c>
      <c r="B38" t="s">
        <v>3570</v>
      </c>
      <c r="C38" t="str">
        <f>VLOOKUP(D38,FAO_Sp!$A$2:$B$109,2,0)</f>
        <v>Lettuce and chicory</v>
      </c>
      <c r="D38">
        <f>VLOOKUP(A38,Prov!$A$2:$K$241,MATCH(D$1,Prov!$A$1:$K$1,0),0)</f>
        <v>372</v>
      </c>
      <c r="G38" t="s">
        <v>2978</v>
      </c>
      <c r="H38">
        <v>7</v>
      </c>
      <c r="I38" t="s">
        <v>2978</v>
      </c>
      <c r="J38" t="s">
        <v>4307</v>
      </c>
    </row>
    <row r="39" spans="1:10" x14ac:dyDescent="0.3">
      <c r="A39" t="s">
        <v>3020</v>
      </c>
      <c r="B39" t="s">
        <v>3571</v>
      </c>
      <c r="C39" t="str">
        <f>VLOOKUP(D39,FAO_Sp!$A$2:$B$109,2,0)</f>
        <v>Lettuce and chicory</v>
      </c>
      <c r="D39">
        <f>VLOOKUP(A39,Prov!$A$2:$K$241,MATCH(D$1,Prov!$A$1:$K$1,0),0)</f>
        <v>372</v>
      </c>
      <c r="G39" t="s">
        <v>2978</v>
      </c>
      <c r="H39">
        <v>7</v>
      </c>
      <c r="I39" t="s">
        <v>2978</v>
      </c>
      <c r="J39" t="s">
        <v>4307</v>
      </c>
    </row>
    <row r="40" spans="1:10" x14ac:dyDescent="0.3">
      <c r="A40" t="s">
        <v>3411</v>
      </c>
      <c r="B40" t="s">
        <v>3653</v>
      </c>
      <c r="C40" t="e">
        <f>VLOOKUP(D40,FAO_Sp!$A$2:$B$109,2,0)</f>
        <v>#N/A</v>
      </c>
      <c r="D40" s="105" t="str">
        <f>VLOOKUP(A40,Prov!$A$2:$K$241,MATCH(D$1,Prov!$A$1:$K$1,0),0)</f>
        <v>H41</v>
      </c>
      <c r="E40" s="105"/>
      <c r="F40" s="105"/>
      <c r="G40" t="s">
        <v>4309</v>
      </c>
      <c r="H40">
        <v>6</v>
      </c>
      <c r="I40" t="s">
        <v>4309</v>
      </c>
      <c r="J40" t="s">
        <v>4307</v>
      </c>
    </row>
    <row r="41" spans="1:10" x14ac:dyDescent="0.3">
      <c r="A41" t="s">
        <v>3024</v>
      </c>
      <c r="B41" t="s">
        <v>3556</v>
      </c>
      <c r="C41" t="str">
        <f>VLOOKUP(D41,FAO_Sp!$A$2:$B$109,2,0)</f>
        <v>Asparagus</v>
      </c>
      <c r="D41">
        <f>VLOOKUP(A41,Prov!$A$2:$K$241,MATCH(D$1,Prov!$A$1:$K$1,0),0)</f>
        <v>367</v>
      </c>
      <c r="G41" t="s">
        <v>2978</v>
      </c>
      <c r="H41">
        <v>7</v>
      </c>
      <c r="I41" t="s">
        <v>2978</v>
      </c>
      <c r="J41" t="s">
        <v>4307</v>
      </c>
    </row>
    <row r="42" spans="1:10" x14ac:dyDescent="0.3">
      <c r="A42" t="s">
        <v>3027</v>
      </c>
      <c r="B42" t="s">
        <v>3580</v>
      </c>
      <c r="C42" t="str">
        <f>VLOOKUP(D42,FAO_Sp!$A$2:$B$109,2,0)</f>
        <v>Spinach</v>
      </c>
      <c r="D42">
        <f>VLOOKUP(A42,Prov!$A$2:$K$241,MATCH(D$1,Prov!$A$1:$K$1,0),0)</f>
        <v>373</v>
      </c>
      <c r="G42" t="s">
        <v>2978</v>
      </c>
      <c r="H42">
        <v>7</v>
      </c>
      <c r="I42" t="s">
        <v>2978</v>
      </c>
      <c r="J42" t="s">
        <v>4307</v>
      </c>
    </row>
    <row r="43" spans="1:10" x14ac:dyDescent="0.3">
      <c r="A43" t="s">
        <v>3663</v>
      </c>
      <c r="B43" t="s">
        <v>3664</v>
      </c>
      <c r="C43" t="e">
        <f>VLOOKUP(D43,FAO_Sp!$A$2:$B$109,2,0)</f>
        <v>#N/A</v>
      </c>
      <c r="D43" s="26" t="str">
        <f>B43</f>
        <v>H34</v>
      </c>
      <c r="E43" s="26"/>
      <c r="F43" s="26"/>
      <c r="G43" t="s">
        <v>3663</v>
      </c>
      <c r="H43">
        <v>8</v>
      </c>
      <c r="I43" t="s">
        <v>3663</v>
      </c>
      <c r="J43" t="s">
        <v>4307</v>
      </c>
    </row>
    <row r="44" spans="1:10" x14ac:dyDescent="0.3">
      <c r="A44" t="s">
        <v>3030</v>
      </c>
      <c r="B44" t="s">
        <v>3612</v>
      </c>
      <c r="C44" t="str">
        <f>VLOOKUP(D44,FAO_Sp!$A$2:$B$109,2,0)</f>
        <v>Strawberries</v>
      </c>
      <c r="D44">
        <f>VLOOKUP(A44,Prov!$A$2:$K$241,MATCH(D$1,Prov!$A$1:$K$1,0),0)</f>
        <v>544</v>
      </c>
      <c r="G44" t="s">
        <v>2978</v>
      </c>
      <c r="H44">
        <v>7</v>
      </c>
      <c r="I44" t="s">
        <v>2978</v>
      </c>
      <c r="J44" t="s">
        <v>4307</v>
      </c>
    </row>
    <row r="45" spans="1:10" x14ac:dyDescent="0.3">
      <c r="A45" t="s">
        <v>2937</v>
      </c>
      <c r="B45" t="s">
        <v>3536</v>
      </c>
      <c r="C45" t="str">
        <f>VLOOKUP(D45,FAO_Sp!$A$2:$B$109,2,0)</f>
        <v>Chick peas</v>
      </c>
      <c r="D45">
        <f>VLOOKUP(A45,Prov!$A$2:$K$241,MATCH(D$1,Prov!$A$1:$K$1,0),0)</f>
        <v>191</v>
      </c>
      <c r="G45" t="s">
        <v>4311</v>
      </c>
      <c r="H45">
        <v>2</v>
      </c>
      <c r="I45" t="s">
        <v>4311</v>
      </c>
      <c r="J45" t="s">
        <v>4307</v>
      </c>
    </row>
    <row r="46" spans="1:10" x14ac:dyDescent="0.3">
      <c r="A46" t="s">
        <v>3348</v>
      </c>
      <c r="B46" t="s">
        <v>3639</v>
      </c>
      <c r="C46" t="str">
        <f>VLOOKUP(D46,FAO_Sp!$A$2:$B$109,2,0)</f>
        <v>Sunflower seed</v>
      </c>
      <c r="D46">
        <f>VLOOKUP(A46,Prov!$A$2:$K$241,MATCH(D$1,Prov!$A$1:$K$1,0),0)</f>
        <v>267</v>
      </c>
      <c r="G46" t="s">
        <v>3348</v>
      </c>
      <c r="H46">
        <v>5</v>
      </c>
      <c r="I46" t="s">
        <v>3348</v>
      </c>
      <c r="J46" t="s">
        <v>4307</v>
      </c>
    </row>
    <row r="47" spans="1:10" x14ac:dyDescent="0.3">
      <c r="A47" t="s">
        <v>3588</v>
      </c>
      <c r="B47" t="s">
        <v>3589</v>
      </c>
      <c r="C47" t="str">
        <f>VLOOKUP(D47,FAO_Sp!$A$2:$B$109,2,0)</f>
        <v>Vegetables, fresh nes</v>
      </c>
      <c r="D47">
        <v>463</v>
      </c>
      <c r="G47" t="s">
        <v>2978</v>
      </c>
      <c r="H47">
        <v>7</v>
      </c>
      <c r="I47" t="s">
        <v>2978</v>
      </c>
      <c r="J47" t="s">
        <v>4307</v>
      </c>
    </row>
    <row r="48" spans="1:10" x14ac:dyDescent="0.3">
      <c r="A48" t="s">
        <v>3540</v>
      </c>
      <c r="B48" t="s">
        <v>3541</v>
      </c>
      <c r="C48" t="str">
        <f>VLOOKUP(D48,FAO_Sp!$A$2:$B$109,2,0)</f>
        <v>Peas, dry</v>
      </c>
      <c r="D48">
        <v>187</v>
      </c>
      <c r="G48" t="s">
        <v>4311</v>
      </c>
      <c r="H48">
        <v>2</v>
      </c>
      <c r="I48" t="s">
        <v>4311</v>
      </c>
      <c r="J48" t="s">
        <v>4307</v>
      </c>
    </row>
    <row r="49" spans="1:10" x14ac:dyDescent="0.3">
      <c r="A49" t="s">
        <v>3037</v>
      </c>
      <c r="B49" t="s">
        <v>3576</v>
      </c>
      <c r="C49" t="str">
        <f>VLOOKUP(D49,FAO_Sp!$A$2:$B$109,2,0)</f>
        <v>Peas, green</v>
      </c>
      <c r="D49">
        <v>417</v>
      </c>
      <c r="G49" t="s">
        <v>2978</v>
      </c>
      <c r="H49">
        <v>7</v>
      </c>
      <c r="I49" t="s">
        <v>2978</v>
      </c>
      <c r="J49" t="s">
        <v>4307</v>
      </c>
    </row>
    <row r="50" spans="1:10" x14ac:dyDescent="0.3">
      <c r="A50" t="s">
        <v>2948</v>
      </c>
      <c r="B50" t="s">
        <v>3537</v>
      </c>
      <c r="C50" t="str">
        <f>VLOOKUP(D50,FAO_Sp!$A$2:$B$109,2,0)</f>
        <v>Broad beans, horse beans, dry</v>
      </c>
      <c r="D50">
        <v>181</v>
      </c>
      <c r="G50" t="s">
        <v>4311</v>
      </c>
      <c r="H50">
        <v>2</v>
      </c>
      <c r="I50" t="s">
        <v>4311</v>
      </c>
      <c r="J50" t="s">
        <v>4307</v>
      </c>
    </row>
    <row r="51" spans="1:10" x14ac:dyDescent="0.3">
      <c r="A51" t="s">
        <v>2944</v>
      </c>
      <c r="B51" t="s">
        <v>3569</v>
      </c>
      <c r="C51" t="str">
        <f>VLOOKUP(D51,FAO_Sp!$A$2:$B$109,2,0)</f>
        <v>Vegetables, leguminous nes</v>
      </c>
      <c r="D51">
        <v>420</v>
      </c>
      <c r="G51" t="s">
        <v>2978</v>
      </c>
      <c r="H51">
        <v>7</v>
      </c>
      <c r="I51" t="s">
        <v>2978</v>
      </c>
      <c r="J51" t="s">
        <v>4307</v>
      </c>
    </row>
    <row r="52" spans="1:10" x14ac:dyDescent="0.3">
      <c r="A52" t="s">
        <v>3167</v>
      </c>
      <c r="B52" t="s">
        <v>3610</v>
      </c>
      <c r="C52" t="str">
        <f>VLOOKUP(D52,FAO_Sp!$A$2:$B$109,2,0)</f>
        <v>Figs</v>
      </c>
      <c r="D52">
        <v>569</v>
      </c>
      <c r="G52" t="s">
        <v>3102</v>
      </c>
      <c r="H52">
        <v>10</v>
      </c>
      <c r="I52" t="s">
        <v>3102</v>
      </c>
      <c r="J52" t="s">
        <v>4308</v>
      </c>
    </row>
    <row r="53" spans="1:10" x14ac:dyDescent="0.3">
      <c r="A53" t="s">
        <v>2952</v>
      </c>
      <c r="B53" t="s">
        <v>3535</v>
      </c>
      <c r="C53" t="str">
        <f>VLOOKUP(D53,FAO_Sp!$A$2:$B$109,2,0)</f>
        <v>Beans, dry</v>
      </c>
      <c r="D53">
        <v>176</v>
      </c>
      <c r="G53" t="s">
        <v>4311</v>
      </c>
      <c r="H53">
        <v>2</v>
      </c>
      <c r="I53" t="s">
        <v>4311</v>
      </c>
      <c r="J53" t="s">
        <v>4307</v>
      </c>
    </row>
    <row r="54" spans="1:10" x14ac:dyDescent="0.3">
      <c r="A54" t="s">
        <v>3045</v>
      </c>
      <c r="B54" t="s">
        <v>3558</v>
      </c>
      <c r="C54" t="e">
        <f>VLOOKUP(D54,FAO_Sp!$A$2:$B$109,2,0)</f>
        <v>#N/A</v>
      </c>
      <c r="D54" t="e">
        <f>VLOOKUP(A54,Prov!$A$2:$K$241,MATCH(D$1,Prov!$A$1:$K$1,0),0)</f>
        <v>#N/A</v>
      </c>
      <c r="G54" t="s">
        <v>2978</v>
      </c>
      <c r="H54">
        <v>7</v>
      </c>
      <c r="I54" t="s">
        <v>2978</v>
      </c>
      <c r="J54" t="s">
        <v>4307</v>
      </c>
    </row>
    <row r="55" spans="1:10" x14ac:dyDescent="0.3">
      <c r="A55" t="s">
        <v>3049</v>
      </c>
      <c r="B55" t="s">
        <v>3572</v>
      </c>
      <c r="C55" t="str">
        <f>VLOOKUP(D55,FAO_Sp!$A$2:$B$109,2,0)</f>
        <v>Lettuce and chicory</v>
      </c>
      <c r="D55">
        <f>VLOOKUP(A55,Prov!$A$2:$K$241,MATCH(D$1,Prov!$A$1:$K$1,0),0)</f>
        <v>372</v>
      </c>
      <c r="G55" t="s">
        <v>2978</v>
      </c>
      <c r="H55">
        <v>7</v>
      </c>
      <c r="I55" t="s">
        <v>2978</v>
      </c>
      <c r="J55" t="s">
        <v>4307</v>
      </c>
    </row>
    <row r="56" spans="1:10" x14ac:dyDescent="0.3">
      <c r="A56" t="s">
        <v>2956</v>
      </c>
      <c r="B56" t="s">
        <v>3538</v>
      </c>
      <c r="C56" t="str">
        <f>VLOOKUP(D56,FAO_Sp!$A$2:$B$109,2,0)</f>
        <v>Lentils</v>
      </c>
      <c r="D56">
        <f>VLOOKUP(A56,Prov!$A$2:$K$241,MATCH(D$1,Prov!$A$1:$K$1,0),0)</f>
        <v>201</v>
      </c>
      <c r="G56" t="s">
        <v>4311</v>
      </c>
      <c r="H56">
        <v>2</v>
      </c>
      <c r="I56" t="s">
        <v>4311</v>
      </c>
      <c r="J56" t="s">
        <v>4307</v>
      </c>
    </row>
    <row r="57" spans="1:10" x14ac:dyDescent="0.3">
      <c r="A57" t="s">
        <v>3175</v>
      </c>
      <c r="B57" t="s">
        <v>3625</v>
      </c>
      <c r="C57" t="str">
        <f>VLOOKUP(D57,FAO_Sp!$A$2:$B$109,2,0)</f>
        <v>Lemons and limes</v>
      </c>
      <c r="D57">
        <v>497</v>
      </c>
      <c r="G57" t="s">
        <v>3172</v>
      </c>
      <c r="H57">
        <v>9</v>
      </c>
      <c r="I57" t="s">
        <v>3172</v>
      </c>
      <c r="J57" t="s">
        <v>4308</v>
      </c>
    </row>
    <row r="58" spans="1:10" x14ac:dyDescent="0.3">
      <c r="A58" t="s">
        <v>3635</v>
      </c>
      <c r="B58" t="s">
        <v>3636</v>
      </c>
      <c r="C58" t="str">
        <f>VLOOKUP(D58,FAO_Sp!$A$2:$B$109,2,0)</f>
        <v>Linseed</v>
      </c>
      <c r="D58">
        <v>333</v>
      </c>
      <c r="G58" t="s">
        <v>4310</v>
      </c>
      <c r="H58">
        <v>4</v>
      </c>
      <c r="I58" t="s">
        <v>4310</v>
      </c>
      <c r="J58" t="s">
        <v>4307</v>
      </c>
    </row>
    <row r="59" spans="1:10" x14ac:dyDescent="0.3">
      <c r="A59" t="s">
        <v>3316</v>
      </c>
      <c r="B59" t="s">
        <v>3643</v>
      </c>
      <c r="C59" t="str">
        <f>VLOOKUP(D59,FAO_Sp!$A$2:$B$109,2,0)</f>
        <v>Hops</v>
      </c>
      <c r="D59">
        <v>677</v>
      </c>
      <c r="G59" t="s">
        <v>4310</v>
      </c>
      <c r="H59">
        <v>4</v>
      </c>
      <c r="I59" t="s">
        <v>4310</v>
      </c>
      <c r="J59" t="s">
        <v>4307</v>
      </c>
    </row>
    <row r="60" spans="1:10" x14ac:dyDescent="0.3">
      <c r="A60" t="s">
        <v>3420</v>
      </c>
      <c r="B60" t="s">
        <v>3655</v>
      </c>
      <c r="C60" t="e">
        <f>VLOOKUP(D60,FAO_Sp!$A$2:$B$109,2,0)</f>
        <v>#N/A</v>
      </c>
      <c r="D60" s="105" t="s">
        <v>3655</v>
      </c>
      <c r="E60" s="105"/>
      <c r="F60" s="105"/>
      <c r="G60" t="s">
        <v>4309</v>
      </c>
      <c r="H60">
        <v>6</v>
      </c>
      <c r="I60" t="s">
        <v>4309</v>
      </c>
      <c r="J60" t="s">
        <v>4307</v>
      </c>
    </row>
    <row r="61" spans="1:10" x14ac:dyDescent="0.3">
      <c r="A61" t="s">
        <v>3528</v>
      </c>
      <c r="B61" t="s">
        <v>3529</v>
      </c>
      <c r="C61" t="str">
        <f>VLOOKUP(D61,FAO_Sp!$A$2:$B$109,2,0)</f>
        <v>Maize</v>
      </c>
      <c r="D61">
        <v>56</v>
      </c>
      <c r="G61" t="s">
        <v>4312</v>
      </c>
      <c r="H61">
        <v>1</v>
      </c>
      <c r="I61" t="s">
        <v>2873</v>
      </c>
      <c r="J61" t="s">
        <v>4307</v>
      </c>
    </row>
    <row r="62" spans="1:10" x14ac:dyDescent="0.3">
      <c r="A62" t="s">
        <v>3183</v>
      </c>
      <c r="B62" t="s">
        <v>3627</v>
      </c>
      <c r="C62" t="str">
        <f>VLOOKUP(D62,FAO_Sp!$A$2:$B$109,2,0)</f>
        <v>Tangerines, mandarins, clementines, satsumas</v>
      </c>
      <c r="D62">
        <v>495</v>
      </c>
      <c r="G62" t="s">
        <v>3172</v>
      </c>
      <c r="H62">
        <v>9</v>
      </c>
      <c r="I62" t="s">
        <v>3172</v>
      </c>
      <c r="J62" t="s">
        <v>4308</v>
      </c>
    </row>
    <row r="63" spans="1:10" x14ac:dyDescent="0.3">
      <c r="A63" t="s">
        <v>3191</v>
      </c>
      <c r="B63" t="s">
        <v>3604</v>
      </c>
      <c r="C63" t="str">
        <f>VLOOKUP(D63,FAO_Sp!$A$2:$B$109,2,0)</f>
        <v>Apples</v>
      </c>
      <c r="D63">
        <v>515</v>
      </c>
      <c r="G63" t="s">
        <v>3102</v>
      </c>
      <c r="H63">
        <v>10</v>
      </c>
      <c r="I63" t="s">
        <v>3102</v>
      </c>
      <c r="J63" t="s">
        <v>4308</v>
      </c>
    </row>
    <row r="64" spans="1:10" x14ac:dyDescent="0.3">
      <c r="A64" t="s">
        <v>3197</v>
      </c>
      <c r="B64" t="s">
        <v>3618</v>
      </c>
      <c r="C64" t="str">
        <f>VLOOKUP(D64,FAO_Sp!$A$2:$B$109,2,0)</f>
        <v>Peaches and nectarines</v>
      </c>
      <c r="D64">
        <v>534</v>
      </c>
      <c r="G64" t="s">
        <v>3102</v>
      </c>
      <c r="H64">
        <v>10</v>
      </c>
      <c r="I64" t="s">
        <v>3102</v>
      </c>
      <c r="J64" t="s">
        <v>4308</v>
      </c>
    </row>
    <row r="65" spans="1:10" x14ac:dyDescent="0.3">
      <c r="A65" t="s">
        <v>3052</v>
      </c>
      <c r="B65" t="s">
        <v>3573</v>
      </c>
      <c r="C65" t="str">
        <f>VLOOKUP(D65,FAO_Sp!$A$2:$B$109,2,0)</f>
        <v>Melons, other (inc.cantaloupes)</v>
      </c>
      <c r="D65">
        <f>VLOOKUP(A65,Prov!$A$2:$K$241,MATCH(D$1,Prov!$A$1:$K$1,0),0)</f>
        <v>568</v>
      </c>
      <c r="G65" t="s">
        <v>2978</v>
      </c>
      <c r="H65">
        <v>7</v>
      </c>
      <c r="I65" t="s">
        <v>2978</v>
      </c>
      <c r="J65" t="s">
        <v>4307</v>
      </c>
    </row>
    <row r="66" spans="1:10" x14ac:dyDescent="0.3">
      <c r="A66" t="s">
        <v>3200</v>
      </c>
      <c r="B66" t="s">
        <v>3622</v>
      </c>
      <c r="C66" t="str">
        <f>VLOOKUP(D66,FAO_Sp!$A$2:$B$109,2,0)</f>
        <v>Quinces</v>
      </c>
      <c r="D66">
        <v>523</v>
      </c>
      <c r="G66" t="s">
        <v>3102</v>
      </c>
      <c r="H66">
        <v>10</v>
      </c>
      <c r="I66" t="s">
        <v>3102</v>
      </c>
      <c r="J66" t="s">
        <v>4308</v>
      </c>
    </row>
    <row r="67" spans="1:10" x14ac:dyDescent="0.3">
      <c r="A67" t="s">
        <v>3055</v>
      </c>
      <c r="B67" t="s">
        <v>3562</v>
      </c>
      <c r="C67" t="str">
        <f>VLOOKUP(D67,FAO_Sp!$A$2:$B$109,2,0)</f>
        <v>Carrots and turnips</v>
      </c>
      <c r="D67">
        <v>426</v>
      </c>
      <c r="G67" t="s">
        <v>2978</v>
      </c>
      <c r="H67">
        <v>7</v>
      </c>
      <c r="I67" t="s">
        <v>2978</v>
      </c>
      <c r="J67" t="s">
        <v>4307</v>
      </c>
    </row>
    <row r="68" spans="1:10" x14ac:dyDescent="0.3">
      <c r="A68" t="s">
        <v>3424</v>
      </c>
      <c r="B68" t="s">
        <v>3407</v>
      </c>
      <c r="C68" t="e">
        <f>VLOOKUP(D68,FAO_Sp!$A$2:$B$109,2,0)</f>
        <v>#N/A</v>
      </c>
      <c r="D68" s="105" t="str">
        <f>VLOOKUP(A68,Prov!$A$2:$K$241,MATCH(D$1,Prov!$A$1:$K$1,0),0)</f>
        <v>H50</v>
      </c>
      <c r="E68" s="105"/>
      <c r="F68" s="105"/>
      <c r="G68" t="s">
        <v>4309</v>
      </c>
      <c r="H68">
        <v>6</v>
      </c>
      <c r="I68" t="s">
        <v>4309</v>
      </c>
      <c r="J68" t="s">
        <v>4307</v>
      </c>
    </row>
    <row r="69" spans="1:10" x14ac:dyDescent="0.3">
      <c r="A69" t="s">
        <v>3205</v>
      </c>
      <c r="B69" t="s">
        <v>3626</v>
      </c>
      <c r="C69" t="str">
        <f>VLOOKUP(D69,FAO_Sp!$A$2:$B$109,2,0)</f>
        <v>Oranges</v>
      </c>
      <c r="D69">
        <v>490</v>
      </c>
      <c r="G69" t="s">
        <v>3172</v>
      </c>
      <c r="H69">
        <v>9</v>
      </c>
      <c r="I69" t="s">
        <v>3172</v>
      </c>
      <c r="J69" t="s">
        <v>4308</v>
      </c>
    </row>
    <row r="70" spans="1:10" x14ac:dyDescent="0.3">
      <c r="A70" t="s">
        <v>3244</v>
      </c>
      <c r="B70" t="s">
        <v>3619</v>
      </c>
      <c r="C70" t="str">
        <f>VLOOKUP(D70,FAO_Sp!$A$2:$B$109,2,0)</f>
        <v>Peaches and nectarines</v>
      </c>
      <c r="D70">
        <v>534</v>
      </c>
      <c r="G70" t="s">
        <v>3102</v>
      </c>
      <c r="H70">
        <v>10</v>
      </c>
      <c r="I70" t="s">
        <v>3102</v>
      </c>
      <c r="J70" t="s">
        <v>4308</v>
      </c>
    </row>
    <row r="71" spans="1:10" x14ac:dyDescent="0.3">
      <c r="A71" t="s">
        <v>3214</v>
      </c>
      <c r="B71" t="s">
        <v>3613</v>
      </c>
      <c r="C71" t="str">
        <f>VLOOKUP(D71,FAO_Sp!$A$2:$B$109,2,0)</f>
        <v>Fruit, fresh nes</v>
      </c>
      <c r="D71">
        <f>VLOOKUP(A71,Prov!$A$2:$K$241,MATCH(D$1,Prov!$A$1:$K$1,0),0)</f>
        <v>619</v>
      </c>
      <c r="G71" t="s">
        <v>3102</v>
      </c>
      <c r="H71">
        <v>10</v>
      </c>
      <c r="I71" t="s">
        <v>3102</v>
      </c>
      <c r="J71" t="s">
        <v>4308</v>
      </c>
    </row>
    <row r="72" spans="1:10" x14ac:dyDescent="0.3">
      <c r="A72" t="s">
        <v>3219</v>
      </c>
      <c r="B72" t="s">
        <v>3634</v>
      </c>
      <c r="C72" t="str">
        <f>VLOOKUP(D72,FAO_Sp!$A$2:$B$109,2,0)</f>
        <v>Walnuts, with shell</v>
      </c>
      <c r="D72">
        <v>222</v>
      </c>
      <c r="G72" t="s">
        <v>3102</v>
      </c>
      <c r="H72">
        <v>10</v>
      </c>
      <c r="I72" t="s">
        <v>3102</v>
      </c>
      <c r="J72" t="s">
        <v>4308</v>
      </c>
    </row>
    <row r="73" spans="1:10" x14ac:dyDescent="0.3">
      <c r="A73" t="s">
        <v>3600</v>
      </c>
      <c r="B73" t="s">
        <v>3601</v>
      </c>
      <c r="C73" t="str">
        <f>VLOOKUP(D73,FAO_Sp!$A$2:$B$109,2,0)</f>
        <v>Olives</v>
      </c>
      <c r="D73">
        <v>260</v>
      </c>
      <c r="G73" t="s">
        <v>3250</v>
      </c>
      <c r="H73">
        <v>12</v>
      </c>
      <c r="I73" t="s">
        <v>3250</v>
      </c>
      <c r="J73" t="s">
        <v>4308</v>
      </c>
    </row>
    <row r="74" spans="1:10" x14ac:dyDescent="0.3">
      <c r="A74" t="s">
        <v>3602</v>
      </c>
      <c r="B74" t="s">
        <v>3603</v>
      </c>
      <c r="C74" t="str">
        <f>VLOOKUP(D74,FAO_Sp!$A$2:$B$109,2,0)</f>
        <v>Olives</v>
      </c>
      <c r="D74">
        <v>260</v>
      </c>
      <c r="G74" t="s">
        <v>3250</v>
      </c>
      <c r="H74">
        <v>12</v>
      </c>
      <c r="I74" t="s">
        <v>3250</v>
      </c>
      <c r="J74" t="s">
        <v>4308</v>
      </c>
    </row>
    <row r="75" spans="1:10" x14ac:dyDescent="0.3">
      <c r="A75" t="s">
        <v>3542</v>
      </c>
      <c r="B75" t="s">
        <v>3543</v>
      </c>
      <c r="C75" t="str">
        <f>VLOOKUP(D75,FAO_Sp!$A$2:$B$109,2,0)</f>
        <v>Pulses nes</v>
      </c>
      <c r="D75">
        <v>211</v>
      </c>
      <c r="G75" t="s">
        <v>4311</v>
      </c>
      <c r="H75">
        <v>2</v>
      </c>
      <c r="I75" t="s">
        <v>4311</v>
      </c>
      <c r="J75" t="s">
        <v>4307</v>
      </c>
    </row>
    <row r="76" spans="1:10" x14ac:dyDescent="0.3">
      <c r="A76" t="s">
        <v>3652</v>
      </c>
      <c r="B76" t="s">
        <v>3395</v>
      </c>
      <c r="C76" t="e">
        <f>VLOOKUP(D76,FAO_Sp!$A$2:$B$109,2,0)</f>
        <v>#N/A</v>
      </c>
      <c r="D76" s="105" t="s">
        <v>3395</v>
      </c>
      <c r="E76" s="105"/>
      <c r="F76" s="105"/>
      <c r="G76" t="s">
        <v>4309</v>
      </c>
      <c r="H76">
        <v>6</v>
      </c>
      <c r="I76" t="s">
        <v>4309</v>
      </c>
      <c r="J76" t="s">
        <v>4307</v>
      </c>
    </row>
    <row r="77" spans="1:10" x14ac:dyDescent="0.3">
      <c r="A77" t="s">
        <v>3429</v>
      </c>
      <c r="B77" t="s">
        <v>3387</v>
      </c>
      <c r="C77" t="e">
        <f>VLOOKUP(D77,FAO_Sp!$A$2:$B$109,2,0)</f>
        <v>#N/A</v>
      </c>
      <c r="D77" s="105" t="s">
        <v>3387</v>
      </c>
      <c r="E77" s="105"/>
      <c r="F77" s="105"/>
      <c r="G77" t="s">
        <v>4309</v>
      </c>
      <c r="H77">
        <v>6</v>
      </c>
      <c r="I77" t="s">
        <v>4309</v>
      </c>
      <c r="J77" t="s">
        <v>4307</v>
      </c>
    </row>
    <row r="78" spans="1:10" x14ac:dyDescent="0.3">
      <c r="A78" t="s">
        <v>3058</v>
      </c>
      <c r="B78" t="s">
        <v>3590</v>
      </c>
      <c r="C78" t="str">
        <f>VLOOKUP(D78,FAO_Sp!$A$2:$B$109,2,0)</f>
        <v>Vegetables, fresh nes</v>
      </c>
      <c r="D78">
        <f>VLOOKUP(A78,Prov!$A$2:$K$241,MATCH(D$1,Prov!$A$1:$K$1,0),0)</f>
        <v>463</v>
      </c>
      <c r="G78" t="s">
        <v>2978</v>
      </c>
      <c r="H78">
        <v>7</v>
      </c>
      <c r="I78" t="s">
        <v>2978</v>
      </c>
      <c r="J78" t="s">
        <v>4307</v>
      </c>
    </row>
    <row r="79" spans="1:10" x14ac:dyDescent="0.3">
      <c r="A79" t="s">
        <v>3434</v>
      </c>
      <c r="B79" t="s">
        <v>3415</v>
      </c>
      <c r="C79" t="e">
        <f>VLOOKUP(D79,FAO_Sp!$A$2:$B$109,2,0)</f>
        <v>#N/A</v>
      </c>
      <c r="D79" s="105" t="s">
        <v>3415</v>
      </c>
      <c r="E79" s="105"/>
      <c r="F79" s="105"/>
      <c r="G79" t="s">
        <v>4309</v>
      </c>
      <c r="H79">
        <v>6</v>
      </c>
      <c r="I79" t="s">
        <v>4309</v>
      </c>
      <c r="J79" t="s">
        <v>4307</v>
      </c>
    </row>
    <row r="80" spans="1:10" x14ac:dyDescent="0.3">
      <c r="A80" t="s">
        <v>3547</v>
      </c>
      <c r="B80" t="s">
        <v>3548</v>
      </c>
      <c r="C80" t="str">
        <f>VLOOKUP(D80,FAO_Sp!$A$2:$B$109,2,0)</f>
        <v>Potatoes</v>
      </c>
      <c r="D80">
        <v>116</v>
      </c>
      <c r="G80" t="s">
        <v>2969</v>
      </c>
      <c r="H80">
        <v>3</v>
      </c>
      <c r="I80" t="s">
        <v>2969</v>
      </c>
      <c r="J80" t="s">
        <v>4307</v>
      </c>
    </row>
    <row r="81" spans="1:10" x14ac:dyDescent="0.3">
      <c r="A81" t="s">
        <v>3665</v>
      </c>
      <c r="B81" t="s">
        <v>3666</v>
      </c>
      <c r="C81" t="e">
        <f>VLOOKUP(D81,FAO_Sp!$A$2:$B$109,2,0)</f>
        <v>#N/A</v>
      </c>
      <c r="D81" t="e">
        <f>VLOOKUP(A81,Prov!$A$2:$K$241,MATCH(D$1,Prov!$A$1:$K$1,0),0)</f>
        <v>#N/A</v>
      </c>
      <c r="G81" t="s">
        <v>4310</v>
      </c>
      <c r="H81">
        <v>4</v>
      </c>
      <c r="I81" t="s">
        <v>4310</v>
      </c>
      <c r="J81" t="s">
        <v>4307</v>
      </c>
    </row>
    <row r="82" spans="1:10" x14ac:dyDescent="0.3">
      <c r="A82" t="s">
        <v>3524</v>
      </c>
      <c r="B82" t="s">
        <v>3525</v>
      </c>
      <c r="C82" t="str">
        <f>VLOOKUP(D82,FAO_Sp!$A$2:$B$109,2,0)</f>
        <v>Cereals nes</v>
      </c>
      <c r="D82">
        <v>108</v>
      </c>
      <c r="G82" t="s">
        <v>4312</v>
      </c>
      <c r="H82">
        <v>1</v>
      </c>
      <c r="I82" t="s">
        <v>2873</v>
      </c>
      <c r="J82" t="s">
        <v>4307</v>
      </c>
    </row>
    <row r="83" spans="1:10" x14ac:dyDescent="0.3">
      <c r="A83" t="s">
        <v>3614</v>
      </c>
      <c r="B83" t="s">
        <v>3615</v>
      </c>
      <c r="C83" t="str">
        <f>VLOOKUP(D83,FAO_Sp!$A$2:$B$109,2,0)</f>
        <v>Fruit, fresh nes</v>
      </c>
      <c r="D83">
        <v>619</v>
      </c>
      <c r="G83" t="s">
        <v>3102</v>
      </c>
      <c r="H83">
        <v>10</v>
      </c>
      <c r="I83" t="s">
        <v>3102</v>
      </c>
      <c r="J83" t="s">
        <v>4308</v>
      </c>
    </row>
    <row r="84" spans="1:10" x14ac:dyDescent="0.3">
      <c r="A84" t="s">
        <v>3616</v>
      </c>
      <c r="B84" t="s">
        <v>3617</v>
      </c>
      <c r="C84" s="26" t="str">
        <f>VLOOKUP(D84,FAO_Sp!$A$2:$B$109,2,0)</f>
        <v>Fruit, fresh nes</v>
      </c>
      <c r="D84">
        <v>619</v>
      </c>
      <c r="G84" t="s">
        <v>4314</v>
      </c>
      <c r="H84">
        <v>14</v>
      </c>
      <c r="I84" t="s">
        <v>4314</v>
      </c>
      <c r="J84" t="s">
        <v>4308</v>
      </c>
    </row>
    <row r="85" spans="1:10" x14ac:dyDescent="0.3">
      <c r="A85" t="s">
        <v>3551</v>
      </c>
      <c r="B85" t="s">
        <v>3552</v>
      </c>
      <c r="C85" t="str">
        <f>VLOOKUP(D85,FAO_Sp!$A$2:$B$109,2,0)</f>
        <v>Roots and tubers nes</v>
      </c>
      <c r="D85">
        <v>149</v>
      </c>
      <c r="G85" t="s">
        <v>2969</v>
      </c>
      <c r="H85">
        <v>3</v>
      </c>
      <c r="I85" t="s">
        <v>2969</v>
      </c>
      <c r="J85" t="s">
        <v>4307</v>
      </c>
    </row>
    <row r="86" spans="1:10" x14ac:dyDescent="0.3">
      <c r="A86" t="s">
        <v>3549</v>
      </c>
      <c r="B86" t="s">
        <v>3550</v>
      </c>
      <c r="C86" t="str">
        <f>VLOOKUP(D86,FAO_Sp!$A$2:$B$109,2,0)</f>
        <v>Potatoes</v>
      </c>
      <c r="D86">
        <v>116</v>
      </c>
      <c r="G86" t="s">
        <v>2969</v>
      </c>
      <c r="H86">
        <v>3</v>
      </c>
      <c r="I86" t="s">
        <v>2969</v>
      </c>
      <c r="J86" t="s">
        <v>4307</v>
      </c>
    </row>
    <row r="87" spans="1:10" x14ac:dyDescent="0.3">
      <c r="A87" t="s">
        <v>3062</v>
      </c>
      <c r="B87" t="s">
        <v>3565</v>
      </c>
      <c r="C87" t="str">
        <f>VLOOKUP(D87,FAO_Sp!$A$2:$B$109,2,0)</f>
        <v>Cucumbers and gherkins</v>
      </c>
      <c r="D87">
        <f>VLOOKUP(A87,Prov!$A$2:$K$241,MATCH(D$1,Prov!$A$1:$K$1,0),0)</f>
        <v>397</v>
      </c>
      <c r="G87" t="s">
        <v>2978</v>
      </c>
      <c r="H87">
        <v>7</v>
      </c>
      <c r="I87" t="s">
        <v>2978</v>
      </c>
      <c r="J87" t="s">
        <v>4307</v>
      </c>
    </row>
    <row r="88" spans="1:10" x14ac:dyDescent="0.3">
      <c r="A88" t="s">
        <v>3064</v>
      </c>
      <c r="B88" t="s">
        <v>3566</v>
      </c>
      <c r="C88" t="str">
        <f>VLOOKUP(D88,FAO_Sp!$A$2:$B$109,2,0)</f>
        <v>Cucumbers and gherkins</v>
      </c>
      <c r="D88">
        <f>VLOOKUP(A88,Prov!$A$2:$K$241,MATCH(D$1,Prov!$A$1:$K$1,0),0)</f>
        <v>397</v>
      </c>
      <c r="G88" t="s">
        <v>2978</v>
      </c>
      <c r="H88">
        <v>7</v>
      </c>
      <c r="I88" t="s">
        <v>2978</v>
      </c>
      <c r="J88" t="s">
        <v>4307</v>
      </c>
    </row>
    <row r="89" spans="1:10" x14ac:dyDescent="0.3">
      <c r="A89" t="s">
        <v>3234</v>
      </c>
      <c r="B89" t="s">
        <v>3620</v>
      </c>
      <c r="C89" t="str">
        <f>VLOOKUP(D89,FAO_Sp!$A$2:$B$109,2,0)</f>
        <v>Pears</v>
      </c>
      <c r="D89">
        <v>521</v>
      </c>
      <c r="G89" t="s">
        <v>3102</v>
      </c>
      <c r="H89">
        <v>10</v>
      </c>
      <c r="I89" t="s">
        <v>3102</v>
      </c>
      <c r="J89" t="s">
        <v>4308</v>
      </c>
    </row>
    <row r="90" spans="1:10" x14ac:dyDescent="0.3">
      <c r="A90" t="s">
        <v>3577</v>
      </c>
      <c r="B90" t="s">
        <v>3578</v>
      </c>
      <c r="C90" t="str">
        <f>VLOOKUP(D90,FAO_Sp!$A$2:$B$109,2,0)</f>
        <v>Chillies and peppers, green</v>
      </c>
      <c r="D90">
        <v>401</v>
      </c>
      <c r="G90" t="s">
        <v>2978</v>
      </c>
      <c r="H90">
        <v>7</v>
      </c>
      <c r="I90" t="s">
        <v>2978</v>
      </c>
      <c r="J90" t="s">
        <v>4307</v>
      </c>
    </row>
    <row r="91" spans="1:10" x14ac:dyDescent="0.3">
      <c r="A91" t="s">
        <v>3632</v>
      </c>
      <c r="B91" t="s">
        <v>3633</v>
      </c>
      <c r="C91" t="str">
        <f>VLOOKUP(D91,FAO_Sp!$A$2:$B$109,2,0)</f>
        <v>Pistachios</v>
      </c>
      <c r="D91">
        <f>VLOOKUP(A91,Prov!$A$2:$K$241,MATCH(D$1,Prov!$A$1:$K$1,0),0)</f>
        <v>223</v>
      </c>
      <c r="G91" t="s">
        <v>3102</v>
      </c>
      <c r="H91">
        <v>10</v>
      </c>
      <c r="I91" t="s">
        <v>3102</v>
      </c>
      <c r="J91" t="s">
        <v>4308</v>
      </c>
    </row>
    <row r="92" spans="1:10" x14ac:dyDescent="0.3">
      <c r="A92" t="s">
        <v>3236</v>
      </c>
      <c r="B92" t="s">
        <v>3607</v>
      </c>
      <c r="C92" t="str">
        <f>VLOOKUP(D92,FAO_Sp!$A$2:$B$109,2,0)</f>
        <v>Bananas</v>
      </c>
      <c r="D92">
        <v>486</v>
      </c>
      <c r="G92" t="s">
        <v>3102</v>
      </c>
      <c r="H92">
        <v>10</v>
      </c>
      <c r="I92" t="s">
        <v>3102</v>
      </c>
      <c r="J92" t="s">
        <v>4308</v>
      </c>
    </row>
    <row r="93" spans="1:10" x14ac:dyDescent="0.3">
      <c r="A93" t="s">
        <v>3623</v>
      </c>
      <c r="B93" t="s">
        <v>3624</v>
      </c>
      <c r="C93" t="str">
        <f>VLOOKUP(D93,FAO_Sp!$A$2:$B$109,2,0)</f>
        <v>Grapefruit (inc. pomelos)</v>
      </c>
      <c r="D93">
        <v>507</v>
      </c>
      <c r="G93" t="s">
        <v>3172</v>
      </c>
      <c r="H93">
        <v>9</v>
      </c>
      <c r="I93" t="s">
        <v>3172</v>
      </c>
      <c r="J93" t="s">
        <v>4308</v>
      </c>
    </row>
    <row r="94" spans="1:10" x14ac:dyDescent="0.3">
      <c r="A94" t="s">
        <v>3451</v>
      </c>
      <c r="B94" t="s">
        <v>3656</v>
      </c>
      <c r="C94" t="e">
        <f>VLOOKUP(D94,FAO_Sp!$A$2:$B$109,2,0)</f>
        <v>#N/A</v>
      </c>
      <c r="D94" s="105" t="s">
        <v>3656</v>
      </c>
      <c r="E94" s="105"/>
      <c r="F94" s="105"/>
      <c r="G94" t="s">
        <v>4309</v>
      </c>
      <c r="H94">
        <v>6</v>
      </c>
      <c r="I94" t="s">
        <v>4309</v>
      </c>
      <c r="J94" t="s">
        <v>4307</v>
      </c>
    </row>
    <row r="95" spans="1:10" x14ac:dyDescent="0.3">
      <c r="A95" t="s">
        <v>3657</v>
      </c>
      <c r="B95" t="s">
        <v>3658</v>
      </c>
      <c r="C95" t="e">
        <f>VLOOKUP(D95,FAO_Sp!$A$2:$B$109,2,0)</f>
        <v>#N/A</v>
      </c>
      <c r="D95" s="105" t="s">
        <v>3658</v>
      </c>
      <c r="E95" s="105"/>
      <c r="F95" s="105"/>
      <c r="G95" t="s">
        <v>98</v>
      </c>
      <c r="H95">
        <v>15</v>
      </c>
      <c r="I95" t="s">
        <v>4315</v>
      </c>
      <c r="J95" t="s">
        <v>4316</v>
      </c>
    </row>
    <row r="96" spans="1:10" x14ac:dyDescent="0.3">
      <c r="A96" t="s">
        <v>3071</v>
      </c>
      <c r="B96" t="s">
        <v>3568</v>
      </c>
      <c r="C96" t="str">
        <f>VLOOKUP(D96,FAO_Sp!$A$2:$B$109,2,0)</f>
        <v>Leeks, other alliaceous vegetables</v>
      </c>
      <c r="D96">
        <f>VLOOKUP(A96,Prov!$A$2:$K$241,MATCH(D$1,Prov!$A$1:$K$1,0),0)</f>
        <v>407</v>
      </c>
      <c r="G96" t="s">
        <v>2978</v>
      </c>
      <c r="H96">
        <v>7</v>
      </c>
      <c r="I96" t="s">
        <v>2978</v>
      </c>
      <c r="J96" t="s">
        <v>4307</v>
      </c>
    </row>
    <row r="97" spans="1:10" x14ac:dyDescent="0.3">
      <c r="A97" t="s">
        <v>3553</v>
      </c>
      <c r="B97" t="s">
        <v>3554</v>
      </c>
      <c r="C97" t="str">
        <f>VLOOKUP(D97,FAO_Sp!$A$2:$B$109,2,0)</f>
        <v>Roots and tubers nes</v>
      </c>
      <c r="D97">
        <v>149</v>
      </c>
      <c r="G97" t="s">
        <v>2978</v>
      </c>
      <c r="H97">
        <v>7</v>
      </c>
      <c r="I97" t="s">
        <v>2978</v>
      </c>
      <c r="J97" t="s">
        <v>4307</v>
      </c>
    </row>
    <row r="98" spans="1:10" x14ac:dyDescent="0.3">
      <c r="A98" t="s">
        <v>3074</v>
      </c>
      <c r="B98" t="s">
        <v>3591</v>
      </c>
      <c r="C98" t="str">
        <f>VLOOKUP(D98,FAO_Sp!$A$2:$B$109,2,0)</f>
        <v>Sugar beet</v>
      </c>
      <c r="D98">
        <v>157</v>
      </c>
      <c r="G98" t="s">
        <v>4310</v>
      </c>
      <c r="H98">
        <v>4</v>
      </c>
      <c r="I98" t="s">
        <v>4310</v>
      </c>
      <c r="J98" t="s">
        <v>4307</v>
      </c>
    </row>
    <row r="99" spans="1:10" x14ac:dyDescent="0.3">
      <c r="A99" t="s">
        <v>3075</v>
      </c>
      <c r="B99" t="s">
        <v>3592</v>
      </c>
      <c r="C99" t="e">
        <f>VLOOKUP(D99,FAO_Sp!$A$2:$B$109,2,0)</f>
        <v>#N/A</v>
      </c>
      <c r="D99" t="e">
        <f>VLOOKUP(A99,Prov!$A$2:$K$241,MATCH(D$1,Prov!$A$1:$K$1,0),0)</f>
        <v>#N/A</v>
      </c>
      <c r="G99" t="s">
        <v>2978</v>
      </c>
      <c r="H99">
        <v>7</v>
      </c>
      <c r="I99" t="s">
        <v>2978</v>
      </c>
      <c r="J99" t="s">
        <v>4307</v>
      </c>
    </row>
    <row r="100" spans="1:10" x14ac:dyDescent="0.3">
      <c r="A100" t="s">
        <v>3457</v>
      </c>
      <c r="B100" t="s">
        <v>3647</v>
      </c>
      <c r="C100" t="e">
        <f>VLOOKUP(D100,FAO_Sp!$A$2:$B$109,2,0)</f>
        <v>#N/A</v>
      </c>
      <c r="D100" s="105" t="s">
        <v>3647</v>
      </c>
      <c r="E100" s="105"/>
      <c r="F100" s="105"/>
      <c r="G100" t="s">
        <v>4309</v>
      </c>
      <c r="H100">
        <v>6</v>
      </c>
      <c r="I100" t="s">
        <v>4309</v>
      </c>
      <c r="J100" t="s">
        <v>4307</v>
      </c>
    </row>
    <row r="101" spans="1:10" x14ac:dyDescent="0.3">
      <c r="A101" t="s">
        <v>3079</v>
      </c>
      <c r="B101" t="s">
        <v>3593</v>
      </c>
      <c r="C101" t="str">
        <f>VLOOKUP(D101,FAO_Sp!$A$2:$B$109,2,0)</f>
        <v>Watermelons</v>
      </c>
      <c r="D101">
        <f>VLOOKUP(A101,Prov!$A$2:$K$241,MATCH(D$1,Prov!$A$1:$K$1,0),0)</f>
        <v>567</v>
      </c>
      <c r="G101" t="s">
        <v>2978</v>
      </c>
      <c r="H101">
        <v>7</v>
      </c>
      <c r="I101" t="s">
        <v>2978</v>
      </c>
      <c r="J101" t="s">
        <v>4307</v>
      </c>
    </row>
    <row r="102" spans="1:10" x14ac:dyDescent="0.3">
      <c r="A102" t="s">
        <v>3301</v>
      </c>
      <c r="B102" t="s">
        <v>3638</v>
      </c>
      <c r="C102" t="str">
        <f>VLOOKUP(D102,FAO_Sp!$A$2:$B$109,2,0)</f>
        <v>Soybeans</v>
      </c>
      <c r="D102">
        <f>VLOOKUP(A102,Prov!$A$2:$K$241,MATCH(D$1,Prov!$A$1:$K$1,0),0)</f>
        <v>236</v>
      </c>
      <c r="G102" t="s">
        <v>4310</v>
      </c>
      <c r="H102">
        <v>4</v>
      </c>
      <c r="I102" t="s">
        <v>4310</v>
      </c>
      <c r="J102" t="s">
        <v>4307</v>
      </c>
    </row>
    <row r="103" spans="1:10" x14ac:dyDescent="0.3">
      <c r="A103" t="s">
        <v>2906</v>
      </c>
      <c r="B103" t="s">
        <v>3533</v>
      </c>
      <c r="C103" t="str">
        <f>VLOOKUP(D103,FAO_Sp!$A$2:$B$109,2,0)</f>
        <v>Sorghum</v>
      </c>
      <c r="D103">
        <f>VLOOKUP(A103,Prov!$A$2:$K$241,MATCH(D$1,Prov!$A$1:$K$1,0),0)</f>
        <v>83</v>
      </c>
      <c r="G103" t="s">
        <v>4312</v>
      </c>
      <c r="H103">
        <v>1</v>
      </c>
      <c r="I103" t="s">
        <v>2873</v>
      </c>
      <c r="J103" t="s">
        <v>4307</v>
      </c>
    </row>
    <row r="104" spans="1:10" x14ac:dyDescent="0.3">
      <c r="A104" t="s">
        <v>3464</v>
      </c>
      <c r="B104" t="s">
        <v>3659</v>
      </c>
      <c r="C104" t="e">
        <f>VLOOKUP(D104,FAO_Sp!$A$2:$B$109,2,0)</f>
        <v>#N/A</v>
      </c>
      <c r="D104" s="105" t="str">
        <f>VLOOKUP(A104,Prov!$A$2:$K$241,MATCH(D$1,Prov!$A$1:$K$1,0),0)</f>
        <v>H37</v>
      </c>
      <c r="E104" s="105"/>
      <c r="F104" s="105"/>
      <c r="G104" t="s">
        <v>4309</v>
      </c>
      <c r="H104">
        <v>6</v>
      </c>
      <c r="I104" t="s">
        <v>4309</v>
      </c>
      <c r="J104" t="s">
        <v>4307</v>
      </c>
    </row>
    <row r="105" spans="1:10" x14ac:dyDescent="0.3">
      <c r="A105" t="s">
        <v>3322</v>
      </c>
      <c r="B105" t="s">
        <v>3644</v>
      </c>
      <c r="C105" t="str">
        <f>VLOOKUP(D105,FAO_Sp!$A$2:$B$109,2,0)</f>
        <v>Tobacco, unmanufactured</v>
      </c>
      <c r="D105">
        <f>VLOOKUP(A105,Prov!$A$2:$K$241,MATCH(D$1,Prov!$A$1:$K$1,0),0)</f>
        <v>826</v>
      </c>
      <c r="G105" t="s">
        <v>4310</v>
      </c>
      <c r="H105">
        <v>4</v>
      </c>
      <c r="I105" t="s">
        <v>4310</v>
      </c>
      <c r="J105" t="s">
        <v>4307</v>
      </c>
    </row>
    <row r="106" spans="1:10" x14ac:dyDescent="0.3">
      <c r="A106" t="s">
        <v>3081</v>
      </c>
      <c r="B106" t="s">
        <v>3581</v>
      </c>
      <c r="C106" t="str">
        <f>VLOOKUP(D106,FAO_Sp!$A$2:$B$109,2,0)</f>
        <v>Tomatoes</v>
      </c>
      <c r="D106">
        <f>VLOOKUP(A106,Prov!$A$2:$K$241,MATCH(D$1,Prov!$A$1:$K$1,0),0)</f>
        <v>388</v>
      </c>
      <c r="G106" t="s">
        <v>2978</v>
      </c>
      <c r="H106">
        <v>7</v>
      </c>
      <c r="I106" t="s">
        <v>2978</v>
      </c>
      <c r="J106" t="s">
        <v>4307</v>
      </c>
    </row>
    <row r="107" spans="1:10" x14ac:dyDescent="0.3">
      <c r="A107" t="s">
        <v>2909</v>
      </c>
      <c r="B107" t="s">
        <v>3526</v>
      </c>
      <c r="C107" t="str">
        <f>VLOOKUP(D107,FAO_Sp!$A$2:$B$109,2,0)</f>
        <v>Grain, mixed</v>
      </c>
      <c r="D107">
        <f>VLOOKUP(A107,Prov!$A$2:$K$241,MATCH(D$1,Prov!$A$1:$K$1,0),0)</f>
        <v>103</v>
      </c>
      <c r="G107" t="s">
        <v>4313</v>
      </c>
      <c r="H107">
        <v>1</v>
      </c>
      <c r="I107" t="s">
        <v>2873</v>
      </c>
      <c r="J107" t="s">
        <v>4307</v>
      </c>
    </row>
    <row r="108" spans="1:10" x14ac:dyDescent="0.3">
      <c r="A108" t="s">
        <v>3472</v>
      </c>
      <c r="B108" t="s">
        <v>3469</v>
      </c>
      <c r="C108" t="e">
        <f>VLOOKUP(D108,FAO_Sp!$A$2:$B$109,2,0)</f>
        <v>#N/A</v>
      </c>
      <c r="D108" s="105" t="s">
        <v>3469</v>
      </c>
      <c r="E108" s="105"/>
      <c r="F108" s="105"/>
      <c r="G108" t="s">
        <v>4309</v>
      </c>
      <c r="H108">
        <v>6</v>
      </c>
      <c r="I108" t="s">
        <v>4309</v>
      </c>
      <c r="J108" t="s">
        <v>4307</v>
      </c>
    </row>
    <row r="109" spans="1:10" x14ac:dyDescent="0.3">
      <c r="A109" t="s">
        <v>2913</v>
      </c>
      <c r="B109" t="s">
        <v>3534</v>
      </c>
      <c r="C109" t="str">
        <f>VLOOKUP(D109,FAO_Sp!$A$2:$B$109,2,0)</f>
        <v>Wheat</v>
      </c>
      <c r="D109">
        <f>VLOOKUP(A109,Prov!$A$2:$K$241,MATCH(D$1,Prov!$A$1:$K$1,0),0)</f>
        <v>15</v>
      </c>
      <c r="G109" t="s">
        <v>4313</v>
      </c>
      <c r="H109">
        <v>1</v>
      </c>
      <c r="I109" t="s">
        <v>2873</v>
      </c>
      <c r="J109" t="s">
        <v>4307</v>
      </c>
    </row>
    <row r="110" spans="1:10" x14ac:dyDescent="0.3">
      <c r="A110" t="s">
        <v>967</v>
      </c>
      <c r="B110" t="s">
        <v>3527</v>
      </c>
      <c r="C110" t="str">
        <f>VLOOKUP(D110,FAO_Sp!$A$2:$B$109,2,0)</f>
        <v>Cereals nes</v>
      </c>
      <c r="D110">
        <f>VLOOKUP(A110,Prov!$A$2:$K$241,MATCH(D$1,Prov!$A$1:$K$1,0),0)</f>
        <v>108</v>
      </c>
      <c r="G110" t="s">
        <v>4313</v>
      </c>
      <c r="H110">
        <v>1</v>
      </c>
      <c r="I110" t="s">
        <v>2873</v>
      </c>
      <c r="J110" t="s">
        <v>4307</v>
      </c>
    </row>
    <row r="111" spans="1:10" x14ac:dyDescent="0.3">
      <c r="A111" t="s">
        <v>3594</v>
      </c>
      <c r="B111" t="s">
        <v>3595</v>
      </c>
      <c r="C111" t="str">
        <f>VLOOKUP(D111,FAO_Sp!$A$2:$B$109,2,0)</f>
        <v>Grapes</v>
      </c>
      <c r="D111">
        <v>560</v>
      </c>
      <c r="G111" t="s">
        <v>3085</v>
      </c>
      <c r="H111">
        <v>11</v>
      </c>
      <c r="I111" t="s">
        <v>3085</v>
      </c>
      <c r="J111" t="s">
        <v>4308</v>
      </c>
    </row>
    <row r="112" spans="1:10" x14ac:dyDescent="0.3">
      <c r="A112" t="s">
        <v>3596</v>
      </c>
      <c r="B112" t="s">
        <v>3597</v>
      </c>
      <c r="C112" t="str">
        <f>VLOOKUP(D112,FAO_Sp!$A$2:$B$109,2,0)</f>
        <v>Grapes</v>
      </c>
      <c r="D112">
        <v>560</v>
      </c>
      <c r="G112" t="s">
        <v>3085</v>
      </c>
      <c r="H112">
        <v>11</v>
      </c>
      <c r="I112" t="s">
        <v>3085</v>
      </c>
      <c r="J112" t="s">
        <v>4308</v>
      </c>
    </row>
    <row r="113" spans="1:10" x14ac:dyDescent="0.3">
      <c r="A113" t="s">
        <v>3598</v>
      </c>
      <c r="B113" t="s">
        <v>3599</v>
      </c>
      <c r="C113" t="str">
        <f>VLOOKUP(D113,FAO_Sp!$A$2:$B$109,2,0)</f>
        <v>Grapes</v>
      </c>
      <c r="D113">
        <v>560</v>
      </c>
      <c r="G113" t="s">
        <v>3085</v>
      </c>
      <c r="H113">
        <v>11</v>
      </c>
      <c r="I113" t="s">
        <v>3085</v>
      </c>
      <c r="J113" t="s">
        <v>4308</v>
      </c>
    </row>
    <row r="114" spans="1:10" x14ac:dyDescent="0.3">
      <c r="A114" t="s">
        <v>3479</v>
      </c>
      <c r="B114" t="s">
        <v>3662</v>
      </c>
      <c r="C114" t="e">
        <f>VLOOKUP(D114,FAO_Sp!$A$2:$B$109,2,0)</f>
        <v>#N/A</v>
      </c>
      <c r="D114" s="105" t="s">
        <v>3662</v>
      </c>
      <c r="E114" s="105"/>
      <c r="F114" s="105"/>
      <c r="G114" t="s">
        <v>4309</v>
      </c>
      <c r="H114">
        <v>6</v>
      </c>
      <c r="I114" t="s">
        <v>4309</v>
      </c>
      <c r="J114" t="s">
        <v>4307</v>
      </c>
    </row>
    <row r="115" spans="1:10" x14ac:dyDescent="0.3">
      <c r="A115" t="s">
        <v>3545</v>
      </c>
      <c r="B115" t="s">
        <v>3546</v>
      </c>
      <c r="C115" t="str">
        <f>VLOOKUP(D115,FAO_Sp!$A$2:$B$109,2,0)</f>
        <v>Vetches</v>
      </c>
      <c r="D115">
        <v>205</v>
      </c>
      <c r="G115" t="s">
        <v>4311</v>
      </c>
      <c r="H115">
        <v>2</v>
      </c>
      <c r="I115" t="s">
        <v>4311</v>
      </c>
      <c r="J115" t="s">
        <v>4307</v>
      </c>
    </row>
    <row r="116" spans="1:10" x14ac:dyDescent="0.3">
      <c r="A116" t="s">
        <v>2966</v>
      </c>
      <c r="B116" t="s">
        <v>3544</v>
      </c>
      <c r="C116" t="str">
        <f>VLOOKUP(D116,FAO_Sp!$A$2:$B$109,2,0)</f>
        <v>Pulses nes</v>
      </c>
      <c r="D116">
        <f>VLOOKUP(A116,Prov!$A$2:$K$241,MATCH(D$1,Prov!$A$1:$K$1,0),0)</f>
        <v>211</v>
      </c>
      <c r="G116" t="s">
        <v>4311</v>
      </c>
      <c r="H116">
        <v>2</v>
      </c>
      <c r="I116" t="s">
        <v>4311</v>
      </c>
      <c r="J116" t="s">
        <v>4307</v>
      </c>
    </row>
    <row r="117" spans="1:10" x14ac:dyDescent="0.3">
      <c r="A117" t="s">
        <v>3083</v>
      </c>
      <c r="B117" t="s">
        <v>3563</v>
      </c>
      <c r="C117" t="str">
        <f>VLOOKUP(D117,FAO_Sp!$A$2:$B$109,2,0)</f>
        <v>Carrots and turnips</v>
      </c>
      <c r="D117">
        <f>VLOOKUP(A117,Prov!$A$2:$K$241,MATCH(D$1,Prov!$A$1:$K$1,0),0)</f>
        <v>426</v>
      </c>
      <c r="G117" t="s">
        <v>2978</v>
      </c>
      <c r="H117">
        <v>7</v>
      </c>
      <c r="I117" t="s">
        <v>2978</v>
      </c>
      <c r="J117" t="s">
        <v>4307</v>
      </c>
    </row>
    <row r="118" spans="1:10" x14ac:dyDescent="0.3">
      <c r="A118" t="s">
        <v>3650</v>
      </c>
      <c r="B118" t="s">
        <v>3651</v>
      </c>
      <c r="C118" t="e">
        <f>VLOOKUP(D118,FAO_Sp!$A$2:$B$109,2,0)</f>
        <v>#N/A</v>
      </c>
      <c r="D118" s="105" t="str">
        <f>VLOOKUP(A118,Prov!$A$2:$K$241,MATCH(D$1,Prov!$A$1:$K$1,0),0)</f>
        <v>H49</v>
      </c>
      <c r="E118" s="105"/>
      <c r="F118" s="105"/>
      <c r="G118" t="s">
        <v>4309</v>
      </c>
      <c r="H118">
        <v>6</v>
      </c>
      <c r="I118" t="s">
        <v>4309</v>
      </c>
      <c r="J118" t="s">
        <v>4307</v>
      </c>
    </row>
    <row r="119" spans="1:10" x14ac:dyDescent="0.3">
      <c r="A119" t="s">
        <v>3485</v>
      </c>
      <c r="B119" t="s">
        <v>3654</v>
      </c>
      <c r="C119" t="e">
        <f>VLOOKUP(D119,FAO_Sp!$A$2:$B$109,2,0)</f>
        <v>#N/A</v>
      </c>
      <c r="D119" s="105" t="str">
        <f>VLOOKUP(A119,Prov!$A$2:$K$241,MATCH(D$1,Prov!$A$1:$K$1,0),0)</f>
        <v>H42</v>
      </c>
      <c r="E119" s="105"/>
      <c r="F119" s="105"/>
      <c r="G119" t="s">
        <v>4309</v>
      </c>
      <c r="H119">
        <v>6</v>
      </c>
      <c r="I119" t="s">
        <v>4309</v>
      </c>
      <c r="J119" t="s">
        <v>4307</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6347B3-6699-4873-8733-A98E9ADF17E4}">
  <dimension ref="A1:B174"/>
  <sheetViews>
    <sheetView zoomScale="80" zoomScaleNormal="80" workbookViewId="0">
      <pane ySplit="1" topLeftCell="A8" activePane="bottomLeft" state="frozen"/>
      <selection activeCell="J41" sqref="J41"/>
      <selection pane="bottomLeft" activeCell="B78" sqref="B78"/>
    </sheetView>
  </sheetViews>
  <sheetFormatPr defaultColWidth="8.77734375" defaultRowHeight="14.4" x14ac:dyDescent="0.3"/>
  <cols>
    <col min="1" max="1" width="26.109375" customWidth="1"/>
    <col min="2" max="2" width="21.21875" customWidth="1"/>
  </cols>
  <sheetData>
    <row r="1" spans="1:2" x14ac:dyDescent="0.3">
      <c r="A1" s="102" t="s">
        <v>791</v>
      </c>
      <c r="B1" s="102" t="s">
        <v>1538</v>
      </c>
    </row>
    <row r="2" spans="1:2" x14ac:dyDescent="0.3">
      <c r="A2" s="12" t="s">
        <v>1769</v>
      </c>
      <c r="B2" t="s">
        <v>1769</v>
      </c>
    </row>
    <row r="3" spans="1:2" x14ac:dyDescent="0.3">
      <c r="A3" s="12" t="s">
        <v>1611</v>
      </c>
      <c r="B3" t="s">
        <v>1611</v>
      </c>
    </row>
    <row r="4" spans="1:2" x14ac:dyDescent="0.3">
      <c r="A4" s="12" t="s">
        <v>2150</v>
      </c>
      <c r="B4" t="s">
        <v>1806</v>
      </c>
    </row>
    <row r="5" spans="1:2" x14ac:dyDescent="0.3">
      <c r="A5" s="12" t="s">
        <v>1726</v>
      </c>
      <c r="B5" t="s">
        <v>1231</v>
      </c>
    </row>
    <row r="6" spans="1:2" x14ac:dyDescent="0.3">
      <c r="A6" s="12" t="s">
        <v>1729</v>
      </c>
      <c r="B6" t="s">
        <v>1239</v>
      </c>
    </row>
    <row r="7" spans="1:2" x14ac:dyDescent="0.3">
      <c r="A7" s="12" t="s">
        <v>1674</v>
      </c>
      <c r="B7" t="s">
        <v>1162</v>
      </c>
    </row>
    <row r="8" spans="1:2" x14ac:dyDescent="0.3">
      <c r="A8" s="12" t="s">
        <v>2190</v>
      </c>
      <c r="B8" t="s">
        <v>1678</v>
      </c>
    </row>
    <row r="9" spans="1:2" x14ac:dyDescent="0.3">
      <c r="A9" s="12" t="s">
        <v>1163</v>
      </c>
      <c r="B9" t="s">
        <v>1163</v>
      </c>
    </row>
    <row r="10" spans="1:2" x14ac:dyDescent="0.3">
      <c r="A10" s="12" t="s">
        <v>1687</v>
      </c>
      <c r="B10" t="s">
        <v>1688</v>
      </c>
    </row>
    <row r="11" spans="1:2" x14ac:dyDescent="0.3">
      <c r="A11" s="12" t="s">
        <v>1746</v>
      </c>
      <c r="B11" t="s">
        <v>1269</v>
      </c>
    </row>
    <row r="12" spans="1:2" x14ac:dyDescent="0.3">
      <c r="A12" s="12" t="s">
        <v>1712</v>
      </c>
      <c r="B12" t="s">
        <v>1210</v>
      </c>
    </row>
    <row r="13" spans="1:2" x14ac:dyDescent="0.3">
      <c r="A13" s="12" t="s">
        <v>919</v>
      </c>
      <c r="B13" t="s">
        <v>919</v>
      </c>
    </row>
    <row r="14" spans="1:2" x14ac:dyDescent="0.3">
      <c r="A14" s="104" t="s">
        <v>1351</v>
      </c>
      <c r="B14" t="s">
        <v>1828</v>
      </c>
    </row>
    <row r="15" spans="1:2" x14ac:dyDescent="0.3">
      <c r="A15" s="12" t="s">
        <v>1028</v>
      </c>
      <c r="B15" t="s">
        <v>1587</v>
      </c>
    </row>
    <row r="16" spans="1:2" x14ac:dyDescent="0.3">
      <c r="A16" s="12" t="s">
        <v>1183</v>
      </c>
      <c r="B16" t="s">
        <v>1699</v>
      </c>
    </row>
    <row r="17" spans="1:2" x14ac:dyDescent="0.3">
      <c r="A17" s="12" t="s">
        <v>2191</v>
      </c>
      <c r="B17" t="s">
        <v>1678</v>
      </c>
    </row>
    <row r="18" spans="1:2" x14ac:dyDescent="0.3">
      <c r="A18" s="12" t="s">
        <v>1256</v>
      </c>
      <c r="B18" t="s">
        <v>1709</v>
      </c>
    </row>
    <row r="19" spans="1:2" x14ac:dyDescent="0.3">
      <c r="A19" s="12" t="s">
        <v>1254</v>
      </c>
      <c r="B19" t="s">
        <v>1709</v>
      </c>
    </row>
    <row r="20" spans="1:2" x14ac:dyDescent="0.3">
      <c r="A20" s="12" t="s">
        <v>2192</v>
      </c>
      <c r="B20" t="s">
        <v>1678</v>
      </c>
    </row>
    <row r="21" spans="1:2" x14ac:dyDescent="0.3">
      <c r="A21" s="12" t="s">
        <v>2019</v>
      </c>
      <c r="B21" t="s">
        <v>1762</v>
      </c>
    </row>
    <row r="22" spans="1:2" x14ac:dyDescent="0.3">
      <c r="A22" s="12" t="s">
        <v>1672</v>
      </c>
      <c r="B22" t="s">
        <v>1671</v>
      </c>
    </row>
    <row r="23" spans="1:2" x14ac:dyDescent="0.3">
      <c r="A23" s="12" t="s">
        <v>1560</v>
      </c>
      <c r="B23" t="s">
        <v>1556</v>
      </c>
    </row>
    <row r="24" spans="1:2" x14ac:dyDescent="0.3">
      <c r="A24" s="12" t="s">
        <v>2193</v>
      </c>
      <c r="B24" t="s">
        <v>1678</v>
      </c>
    </row>
    <row r="25" spans="1:2" x14ac:dyDescent="0.3">
      <c r="A25" s="12" t="s">
        <v>1708</v>
      </c>
      <c r="B25" t="s">
        <v>1198</v>
      </c>
    </row>
    <row r="26" spans="1:2" x14ac:dyDescent="0.3">
      <c r="A26" s="12" t="s">
        <v>1703</v>
      </c>
      <c r="B26" t="s">
        <v>1704</v>
      </c>
    </row>
    <row r="27" spans="1:2" x14ac:dyDescent="0.3">
      <c r="A27" s="12" t="s">
        <v>1791</v>
      </c>
      <c r="B27" t="s">
        <v>1792</v>
      </c>
    </row>
    <row r="28" spans="1:2" x14ac:dyDescent="0.3">
      <c r="A28" t="s">
        <v>989</v>
      </c>
      <c r="B28" s="10" t="s">
        <v>1558</v>
      </c>
    </row>
    <row r="29" spans="1:2" x14ac:dyDescent="0.3">
      <c r="A29" s="12" t="s">
        <v>1681</v>
      </c>
      <c r="B29" t="s">
        <v>1682</v>
      </c>
    </row>
    <row r="30" spans="1:2" x14ac:dyDescent="0.3">
      <c r="A30" s="12" t="s">
        <v>2194</v>
      </c>
      <c r="B30" t="s">
        <v>2194</v>
      </c>
    </row>
    <row r="31" spans="1:2" x14ac:dyDescent="0.3">
      <c r="A31" s="12" t="s">
        <v>974</v>
      </c>
      <c r="B31" t="s">
        <v>1556</v>
      </c>
    </row>
    <row r="32" spans="1:2" x14ac:dyDescent="0.3">
      <c r="A32" s="12" t="s">
        <v>2161</v>
      </c>
      <c r="B32" t="s">
        <v>2162</v>
      </c>
    </row>
    <row r="33" spans="1:2" x14ac:dyDescent="0.3">
      <c r="A33" s="12" t="s">
        <v>2195</v>
      </c>
      <c r="B33" t="s">
        <v>1678</v>
      </c>
    </row>
    <row r="34" spans="1:2" x14ac:dyDescent="0.3">
      <c r="A34" s="12" t="s">
        <v>1242</v>
      </c>
      <c r="B34" t="s">
        <v>1731</v>
      </c>
    </row>
    <row r="35" spans="1:2" x14ac:dyDescent="0.3">
      <c r="A35" s="12" t="s">
        <v>1241</v>
      </c>
      <c r="B35" t="s">
        <v>1731</v>
      </c>
    </row>
    <row r="36" spans="1:2" x14ac:dyDescent="0.3">
      <c r="A36" s="12" t="s">
        <v>1046</v>
      </c>
      <c r="B36" t="s">
        <v>1046</v>
      </c>
    </row>
    <row r="37" spans="1:2" x14ac:dyDescent="0.3">
      <c r="A37" s="12" t="s">
        <v>1594</v>
      </c>
      <c r="B37" t="s">
        <v>1595</v>
      </c>
    </row>
    <row r="38" spans="1:2" x14ac:dyDescent="0.3">
      <c r="A38" s="12" t="s">
        <v>1196</v>
      </c>
      <c r="B38" t="s">
        <v>1678</v>
      </c>
    </row>
    <row r="39" spans="1:2" x14ac:dyDescent="0.3">
      <c r="A39" s="12" t="s">
        <v>2196</v>
      </c>
      <c r="B39" t="s">
        <v>1690</v>
      </c>
    </row>
    <row r="40" spans="1:2" x14ac:dyDescent="0.3">
      <c r="A40" s="12" t="s">
        <v>1808</v>
      </c>
      <c r="B40" t="s">
        <v>1809</v>
      </c>
    </row>
    <row r="41" spans="1:2" x14ac:dyDescent="0.3">
      <c r="A41" s="12" t="s">
        <v>1725</v>
      </c>
      <c r="B41" t="s">
        <v>1723</v>
      </c>
    </row>
    <row r="42" spans="1:2" x14ac:dyDescent="0.3">
      <c r="A42" s="12" t="s">
        <v>1766</v>
      </c>
      <c r="B42" t="s">
        <v>1766</v>
      </c>
    </row>
    <row r="43" spans="1:2" x14ac:dyDescent="0.3">
      <c r="A43" t="s">
        <v>1799</v>
      </c>
      <c r="B43" s="103" t="s">
        <v>1632</v>
      </c>
    </row>
    <row r="44" spans="1:2" x14ac:dyDescent="0.3">
      <c r="A44" t="s">
        <v>1631</v>
      </c>
      <c r="B44" s="103" t="s">
        <v>1632</v>
      </c>
    </row>
    <row r="45" spans="1:2" x14ac:dyDescent="0.3">
      <c r="A45" s="12" t="s">
        <v>1796</v>
      </c>
      <c r="B45" t="s">
        <v>1632</v>
      </c>
    </row>
    <row r="46" spans="1:2" x14ac:dyDescent="0.3">
      <c r="A46" s="12" t="s">
        <v>2163</v>
      </c>
      <c r="B46" t="s">
        <v>2164</v>
      </c>
    </row>
    <row r="47" spans="1:2" x14ac:dyDescent="0.3">
      <c r="A47" s="12" t="s">
        <v>1820</v>
      </c>
      <c r="B47" t="s">
        <v>1821</v>
      </c>
    </row>
    <row r="48" spans="1:2" x14ac:dyDescent="0.3">
      <c r="A48" s="12" t="s">
        <v>1145</v>
      </c>
      <c r="B48" t="s">
        <v>1145</v>
      </c>
    </row>
    <row r="49" spans="1:2" x14ac:dyDescent="0.3">
      <c r="A49" s="12" t="s">
        <v>2179</v>
      </c>
      <c r="B49" s="10" t="s">
        <v>2180</v>
      </c>
    </row>
    <row r="50" spans="1:2" x14ac:dyDescent="0.3">
      <c r="A50" s="12" t="s">
        <v>1255</v>
      </c>
      <c r="B50" t="s">
        <v>1709</v>
      </c>
    </row>
    <row r="51" spans="1:2" x14ac:dyDescent="0.3">
      <c r="A51" s="12" t="s">
        <v>2165</v>
      </c>
      <c r="B51" t="s">
        <v>1766</v>
      </c>
    </row>
    <row r="52" spans="1:2" x14ac:dyDescent="0.3">
      <c r="A52" s="12" t="s">
        <v>1685</v>
      </c>
      <c r="B52" t="s">
        <v>1686</v>
      </c>
    </row>
    <row r="53" spans="1:2" x14ac:dyDescent="0.3">
      <c r="A53" s="12" t="s">
        <v>1253</v>
      </c>
      <c r="B53" t="s">
        <v>1709</v>
      </c>
    </row>
    <row r="54" spans="1:2" x14ac:dyDescent="0.3">
      <c r="A54" s="12" t="s">
        <v>1274</v>
      </c>
      <c r="B54" t="s">
        <v>1663</v>
      </c>
    </row>
    <row r="55" spans="1:2" x14ac:dyDescent="0.3">
      <c r="A55" s="12" t="s">
        <v>2197</v>
      </c>
      <c r="B55" t="s">
        <v>1676</v>
      </c>
    </row>
    <row r="56" spans="1:2" x14ac:dyDescent="0.3">
      <c r="A56" s="12" t="s">
        <v>2181</v>
      </c>
      <c r="B56" s="10" t="s">
        <v>2182</v>
      </c>
    </row>
    <row r="57" spans="1:2" x14ac:dyDescent="0.3">
      <c r="A57" s="12" t="s">
        <v>2166</v>
      </c>
      <c r="B57" t="s">
        <v>1775</v>
      </c>
    </row>
    <row r="58" spans="1:2" x14ac:dyDescent="0.3">
      <c r="A58" s="12" t="s">
        <v>2021</v>
      </c>
      <c r="B58" t="s">
        <v>2021</v>
      </c>
    </row>
    <row r="59" spans="1:2" x14ac:dyDescent="0.3">
      <c r="A59" s="12" t="s">
        <v>1590</v>
      </c>
      <c r="B59" t="s">
        <v>1591</v>
      </c>
    </row>
    <row r="60" spans="1:2" x14ac:dyDescent="0.3">
      <c r="A60" s="12" t="s">
        <v>1827</v>
      </c>
      <c r="B60" t="s">
        <v>1828</v>
      </c>
    </row>
    <row r="61" spans="1:2" x14ac:dyDescent="0.3">
      <c r="A61" s="12" t="s">
        <v>1266</v>
      </c>
      <c r="B61" t="s">
        <v>1266</v>
      </c>
    </row>
    <row r="62" spans="1:2" x14ac:dyDescent="0.3">
      <c r="A62" s="12" t="s">
        <v>1346</v>
      </c>
      <c r="B62" t="s">
        <v>1828</v>
      </c>
    </row>
    <row r="63" spans="1:2" x14ac:dyDescent="0.3">
      <c r="A63" s="12" t="s">
        <v>1920</v>
      </c>
      <c r="B63" s="10" t="s">
        <v>1920</v>
      </c>
    </row>
    <row r="64" spans="1:2" x14ac:dyDescent="0.3">
      <c r="A64" s="12" t="s">
        <v>1788</v>
      </c>
      <c r="B64" t="s">
        <v>1789</v>
      </c>
    </row>
    <row r="65" spans="1:2" x14ac:dyDescent="0.3">
      <c r="A65" s="12" t="s">
        <v>1777</v>
      </c>
      <c r="B65" t="s">
        <v>1778</v>
      </c>
    </row>
    <row r="66" spans="1:2" x14ac:dyDescent="0.3">
      <c r="A66" s="12" t="s">
        <v>1771</v>
      </c>
      <c r="B66" t="s">
        <v>1772</v>
      </c>
    </row>
    <row r="67" spans="1:2" x14ac:dyDescent="0.3">
      <c r="A67" s="12" t="s">
        <v>2167</v>
      </c>
      <c r="B67" t="s">
        <v>2168</v>
      </c>
    </row>
    <row r="68" spans="1:2" x14ac:dyDescent="0.3">
      <c r="A68" s="12" t="s">
        <v>1281</v>
      </c>
      <c r="B68" t="s">
        <v>1663</v>
      </c>
    </row>
    <row r="69" spans="1:2" x14ac:dyDescent="0.3">
      <c r="A69" s="12" t="s">
        <v>1607</v>
      </c>
      <c r="B69" t="s">
        <v>1663</v>
      </c>
    </row>
    <row r="70" spans="1:2" x14ac:dyDescent="0.3">
      <c r="A70" s="12" t="s">
        <v>1181</v>
      </c>
      <c r="B70" t="s">
        <v>1181</v>
      </c>
    </row>
    <row r="71" spans="1:2" x14ac:dyDescent="0.3">
      <c r="A71" s="12" t="s">
        <v>2183</v>
      </c>
      <c r="B71" s="10" t="s">
        <v>2184</v>
      </c>
    </row>
    <row r="72" spans="1:2" x14ac:dyDescent="0.3">
      <c r="A72" s="12" t="s">
        <v>1252</v>
      </c>
      <c r="B72" t="s">
        <v>1709</v>
      </c>
    </row>
    <row r="73" spans="1:2" x14ac:dyDescent="0.3">
      <c r="A73" s="12" t="s">
        <v>971</v>
      </c>
      <c r="B73" t="s">
        <v>1556</v>
      </c>
    </row>
    <row r="74" spans="1:2" x14ac:dyDescent="0.3">
      <c r="A74" s="12" t="s">
        <v>1722</v>
      </c>
      <c r="B74" t="s">
        <v>1723</v>
      </c>
    </row>
    <row r="75" spans="1:2" x14ac:dyDescent="0.3">
      <c r="A75" s="12" t="s">
        <v>1740</v>
      </c>
      <c r="B75" t="s">
        <v>1257</v>
      </c>
    </row>
    <row r="76" spans="1:2" x14ac:dyDescent="0.3">
      <c r="A76" s="12" t="s">
        <v>1871</v>
      </c>
      <c r="B76" s="10" t="s">
        <v>1871</v>
      </c>
    </row>
    <row r="77" spans="1:2" x14ac:dyDescent="0.3">
      <c r="A77" s="12" t="s">
        <v>1069</v>
      </c>
      <c r="B77" t="s">
        <v>1070</v>
      </c>
    </row>
    <row r="78" spans="1:2" x14ac:dyDescent="0.3">
      <c r="A78" s="12" t="s">
        <v>2186</v>
      </c>
      <c r="B78" t="s">
        <v>1618</v>
      </c>
    </row>
    <row r="79" spans="1:2" x14ac:dyDescent="0.3">
      <c r="A79" s="12" t="s">
        <v>1523</v>
      </c>
      <c r="B79" t="s">
        <v>1828</v>
      </c>
    </row>
    <row r="80" spans="1:2" x14ac:dyDescent="0.3">
      <c r="A80" s="12" t="s">
        <v>1669</v>
      </c>
      <c r="B80" t="s">
        <v>1153</v>
      </c>
    </row>
    <row r="81" spans="1:2" x14ac:dyDescent="0.3">
      <c r="A81" s="12" t="s">
        <v>1804</v>
      </c>
      <c r="B81" t="s">
        <v>1322</v>
      </c>
    </row>
    <row r="82" spans="1:2" x14ac:dyDescent="0.3">
      <c r="A82" s="12" t="s">
        <v>2169</v>
      </c>
      <c r="B82" t="s">
        <v>1772</v>
      </c>
    </row>
    <row r="83" spans="1:2" x14ac:dyDescent="0.3">
      <c r="A83" s="12" t="s">
        <v>1749</v>
      </c>
      <c r="B83" t="s">
        <v>1749</v>
      </c>
    </row>
    <row r="84" spans="1:2" x14ac:dyDescent="0.3">
      <c r="A84" s="12" t="s">
        <v>1696</v>
      </c>
      <c r="B84" t="s">
        <v>1697</v>
      </c>
    </row>
    <row r="85" spans="1:2" x14ac:dyDescent="0.3">
      <c r="A85" s="12" t="s">
        <v>1719</v>
      </c>
      <c r="B85" t="s">
        <v>1720</v>
      </c>
    </row>
    <row r="86" spans="1:2" x14ac:dyDescent="0.3">
      <c r="A86" s="12" t="s">
        <v>1036</v>
      </c>
      <c r="B86" t="s">
        <v>1036</v>
      </c>
    </row>
    <row r="87" spans="1:2" x14ac:dyDescent="0.3">
      <c r="A87" s="12" t="s">
        <v>1675</v>
      </c>
      <c r="B87" t="s">
        <v>1676</v>
      </c>
    </row>
    <row r="88" spans="1:2" x14ac:dyDescent="0.3">
      <c r="A88" s="12" t="s">
        <v>1150</v>
      </c>
      <c r="B88" t="s">
        <v>1150</v>
      </c>
    </row>
    <row r="89" spans="1:2" x14ac:dyDescent="0.3">
      <c r="A89" s="12" t="s">
        <v>1601</v>
      </c>
      <c r="B89" t="s">
        <v>1039</v>
      </c>
    </row>
    <row r="90" spans="1:2" x14ac:dyDescent="0.3">
      <c r="A90" s="12" t="s">
        <v>929</v>
      </c>
      <c r="B90" t="s">
        <v>929</v>
      </c>
    </row>
    <row r="91" spans="1:2" x14ac:dyDescent="0.3">
      <c r="A91" s="12" t="s">
        <v>1189</v>
      </c>
      <c r="B91" t="s">
        <v>1755</v>
      </c>
    </row>
    <row r="92" spans="1:2" x14ac:dyDescent="0.3">
      <c r="A92" s="12" t="s">
        <v>1717</v>
      </c>
      <c r="B92" t="s">
        <v>1718</v>
      </c>
    </row>
    <row r="93" spans="1:2" x14ac:dyDescent="0.3">
      <c r="A93" s="12" t="s">
        <v>2107</v>
      </c>
      <c r="B93" s="10" t="s">
        <v>2107</v>
      </c>
    </row>
    <row r="94" spans="1:2" x14ac:dyDescent="0.3">
      <c r="A94" s="12" t="s">
        <v>1743</v>
      </c>
      <c r="B94" t="s">
        <v>1744</v>
      </c>
    </row>
    <row r="95" spans="1:2" x14ac:dyDescent="0.3">
      <c r="A95" s="12" t="s">
        <v>950</v>
      </c>
      <c r="B95" t="s">
        <v>950</v>
      </c>
    </row>
    <row r="96" spans="1:2" x14ac:dyDescent="0.3">
      <c r="A96" s="12" t="s">
        <v>2020</v>
      </c>
      <c r="B96" t="s">
        <v>1782</v>
      </c>
    </row>
    <row r="97" spans="1:2" x14ac:dyDescent="0.3">
      <c r="A97" s="12" t="s">
        <v>1706</v>
      </c>
      <c r="B97" s="10" t="s">
        <v>1706</v>
      </c>
    </row>
    <row r="98" spans="1:2" x14ac:dyDescent="0.3">
      <c r="A98" t="s">
        <v>1659</v>
      </c>
      <c r="B98" s="103" t="s">
        <v>1646</v>
      </c>
    </row>
    <row r="99" spans="1:2" x14ac:dyDescent="0.3">
      <c r="A99" s="12" t="s">
        <v>1058</v>
      </c>
      <c r="B99" t="s">
        <v>1605</v>
      </c>
    </row>
    <row r="100" spans="1:2" x14ac:dyDescent="0.3">
      <c r="A100" s="12" t="s">
        <v>947</v>
      </c>
      <c r="B100" t="s">
        <v>947</v>
      </c>
    </row>
    <row r="101" spans="1:2" x14ac:dyDescent="0.3">
      <c r="A101" s="12" t="s">
        <v>2170</v>
      </c>
      <c r="B101" t="s">
        <v>2162</v>
      </c>
    </row>
    <row r="102" spans="1:2" x14ac:dyDescent="0.3">
      <c r="A102" t="s">
        <v>1636</v>
      </c>
      <c r="B102" s="103" t="s">
        <v>1632</v>
      </c>
    </row>
    <row r="103" spans="1:2" x14ac:dyDescent="0.3">
      <c r="A103" t="s">
        <v>1645</v>
      </c>
      <c r="B103" s="103" t="s">
        <v>1646</v>
      </c>
    </row>
    <row r="104" spans="1:2" x14ac:dyDescent="0.3">
      <c r="A104" s="12" t="s">
        <v>1612</v>
      </c>
      <c r="B104" t="s">
        <v>1094</v>
      </c>
    </row>
    <row r="105" spans="1:2" x14ac:dyDescent="0.3">
      <c r="A105" s="12" t="s">
        <v>1692</v>
      </c>
      <c r="B105" t="s">
        <v>1180</v>
      </c>
    </row>
    <row r="106" spans="1:2" x14ac:dyDescent="0.3">
      <c r="A106" s="12" t="s">
        <v>1715</v>
      </c>
      <c r="B106" t="s">
        <v>1213</v>
      </c>
    </row>
    <row r="107" spans="1:2" x14ac:dyDescent="0.3">
      <c r="A107" s="12" t="s">
        <v>2187</v>
      </c>
      <c r="B107" s="10" t="s">
        <v>1022</v>
      </c>
    </row>
    <row r="108" spans="1:2" x14ac:dyDescent="0.3">
      <c r="A108" s="12" t="s">
        <v>1774</v>
      </c>
      <c r="B108" t="s">
        <v>1775</v>
      </c>
    </row>
    <row r="109" spans="1:2" x14ac:dyDescent="0.3">
      <c r="A109" s="12" t="s">
        <v>2171</v>
      </c>
      <c r="B109" t="s">
        <v>1772</v>
      </c>
    </row>
    <row r="110" spans="1:2" x14ac:dyDescent="0.3">
      <c r="A110" s="12" t="s">
        <v>1794</v>
      </c>
      <c r="B110" t="s">
        <v>1772</v>
      </c>
    </row>
    <row r="111" spans="1:2" x14ac:dyDescent="0.3">
      <c r="A111" s="12" t="s">
        <v>1764</v>
      </c>
      <c r="B111" t="s">
        <v>1762</v>
      </c>
    </row>
    <row r="112" spans="1:2" x14ac:dyDescent="0.3">
      <c r="A112" t="s">
        <v>1750</v>
      </c>
      <c r="B112" s="103" t="s">
        <v>1663</v>
      </c>
    </row>
    <row r="113" spans="1:2" x14ac:dyDescent="0.3">
      <c r="A113" s="12" t="s">
        <v>2200</v>
      </c>
      <c r="B113" t="s">
        <v>1678</v>
      </c>
    </row>
    <row r="114" spans="1:2" x14ac:dyDescent="0.3">
      <c r="A114" s="12" t="s">
        <v>1592</v>
      </c>
      <c r="B114" t="s">
        <v>1032</v>
      </c>
    </row>
    <row r="115" spans="1:2" x14ac:dyDescent="0.3">
      <c r="A115" s="12" t="s">
        <v>2172</v>
      </c>
      <c r="B115" t="s">
        <v>1775</v>
      </c>
    </row>
    <row r="116" spans="1:2" x14ac:dyDescent="0.3">
      <c r="A116" s="12" t="s">
        <v>1700</v>
      </c>
      <c r="B116" t="s">
        <v>1701</v>
      </c>
    </row>
    <row r="117" spans="1:2" x14ac:dyDescent="0.3">
      <c r="A117" s="12" t="s">
        <v>1732</v>
      </c>
      <c r="B117" t="s">
        <v>1733</v>
      </c>
    </row>
    <row r="118" spans="1:2" x14ac:dyDescent="0.3">
      <c r="A118" s="12" t="s">
        <v>1727</v>
      </c>
      <c r="B118" t="s">
        <v>1236</v>
      </c>
    </row>
    <row r="119" spans="1:2" x14ac:dyDescent="0.3">
      <c r="A119" s="12" t="s">
        <v>1324</v>
      </c>
      <c r="B119" t="s">
        <v>1690</v>
      </c>
    </row>
    <row r="120" spans="1:2" x14ac:dyDescent="0.3">
      <c r="A120" s="12" t="s">
        <v>1336</v>
      </c>
      <c r="B120" t="s">
        <v>1336</v>
      </c>
    </row>
    <row r="121" spans="1:2" x14ac:dyDescent="0.3">
      <c r="A121" s="12" t="s">
        <v>1748</v>
      </c>
      <c r="B121" t="s">
        <v>1277</v>
      </c>
    </row>
    <row r="122" spans="1:2" x14ac:dyDescent="0.3">
      <c r="A122" t="s">
        <v>1747</v>
      </c>
      <c r="B122" s="103" t="s">
        <v>1663</v>
      </c>
    </row>
    <row r="123" spans="1:2" x14ac:dyDescent="0.3">
      <c r="A123" s="12" t="s">
        <v>1049</v>
      </c>
      <c r="B123" t="s">
        <v>1049</v>
      </c>
    </row>
    <row r="124" spans="1:2" x14ac:dyDescent="0.3">
      <c r="A124" s="12" t="s">
        <v>1734</v>
      </c>
      <c r="B124" t="s">
        <v>1735</v>
      </c>
    </row>
    <row r="125" spans="1:2" x14ac:dyDescent="0.3">
      <c r="A125" s="12" t="s">
        <v>2178</v>
      </c>
      <c r="B125" t="s">
        <v>1663</v>
      </c>
    </row>
    <row r="126" spans="1:2" x14ac:dyDescent="0.3">
      <c r="A126" s="12" t="s">
        <v>1660</v>
      </c>
      <c r="B126" t="s">
        <v>1806</v>
      </c>
    </row>
    <row r="127" spans="1:2" x14ac:dyDescent="0.3">
      <c r="A127" s="12" t="s">
        <v>1564</v>
      </c>
      <c r="B127" t="s">
        <v>982</v>
      </c>
    </row>
    <row r="128" spans="1:2" x14ac:dyDescent="0.3">
      <c r="A128" s="12" t="s">
        <v>4317</v>
      </c>
      <c r="B128" s="10" t="s">
        <v>2219</v>
      </c>
    </row>
    <row r="129" spans="1:2" x14ac:dyDescent="0.3">
      <c r="A129" s="12" t="s">
        <v>1040</v>
      </c>
      <c r="B129" t="s">
        <v>1596</v>
      </c>
    </row>
    <row r="130" spans="1:2" x14ac:dyDescent="0.3">
      <c r="A130" s="12" t="s">
        <v>1338</v>
      </c>
      <c r="B130" t="s">
        <v>1806</v>
      </c>
    </row>
    <row r="131" spans="1:2" x14ac:dyDescent="0.3">
      <c r="A131" s="12" t="s">
        <v>1728</v>
      </c>
      <c r="B131" t="s">
        <v>1238</v>
      </c>
    </row>
    <row r="132" spans="1:2" x14ac:dyDescent="0.3">
      <c r="A132" s="12" t="s">
        <v>1651</v>
      </c>
      <c r="B132" t="s">
        <v>1110</v>
      </c>
    </row>
    <row r="133" spans="1:2" x14ac:dyDescent="0.3">
      <c r="A133" s="12" t="s">
        <v>1251</v>
      </c>
      <c r="B133" t="s">
        <v>1709</v>
      </c>
    </row>
    <row r="134" spans="1:2" x14ac:dyDescent="0.3">
      <c r="A134" s="12" t="s">
        <v>1548</v>
      </c>
      <c r="B134" t="s">
        <v>1548</v>
      </c>
    </row>
    <row r="135" spans="1:2" x14ac:dyDescent="0.3">
      <c r="A135" s="12" t="s">
        <v>1557</v>
      </c>
      <c r="B135" t="s">
        <v>1558</v>
      </c>
    </row>
    <row r="136" spans="1:2" x14ac:dyDescent="0.3">
      <c r="A136" t="s">
        <v>1367</v>
      </c>
      <c r="B136" s="103" t="s">
        <v>1632</v>
      </c>
    </row>
    <row r="137" spans="1:2" x14ac:dyDescent="0.3">
      <c r="A137" s="12" t="s">
        <v>943</v>
      </c>
      <c r="B137" t="s">
        <v>943</v>
      </c>
    </row>
    <row r="138" spans="1:2" x14ac:dyDescent="0.3">
      <c r="A138" s="12" t="s">
        <v>1761</v>
      </c>
      <c r="B138" t="s">
        <v>1762</v>
      </c>
    </row>
    <row r="139" spans="1:2" x14ac:dyDescent="0.3">
      <c r="A139" s="12" t="s">
        <v>1655</v>
      </c>
      <c r="B139" t="s">
        <v>1656</v>
      </c>
    </row>
    <row r="140" spans="1:2" x14ac:dyDescent="0.3">
      <c r="A140" s="12" t="s">
        <v>2188</v>
      </c>
      <c r="B140" s="10" t="s">
        <v>2188</v>
      </c>
    </row>
    <row r="141" spans="1:2" x14ac:dyDescent="0.3">
      <c r="A141" s="12" t="s">
        <v>1525</v>
      </c>
      <c r="B141" t="s">
        <v>1665</v>
      </c>
    </row>
    <row r="142" spans="1:2" x14ac:dyDescent="0.3">
      <c r="A142" s="12" t="s">
        <v>955</v>
      </c>
      <c r="B142" t="s">
        <v>955</v>
      </c>
    </row>
    <row r="143" spans="1:2" x14ac:dyDescent="0.3">
      <c r="A143" s="12" t="s">
        <v>1757</v>
      </c>
      <c r="B143" t="s">
        <v>1759</v>
      </c>
    </row>
    <row r="144" spans="1:2" x14ac:dyDescent="0.3">
      <c r="A144" s="12" t="s">
        <v>1061</v>
      </c>
      <c r="B144" t="s">
        <v>1060</v>
      </c>
    </row>
    <row r="145" spans="1:2" x14ac:dyDescent="0.3">
      <c r="A145" s="12" t="s">
        <v>1328</v>
      </c>
      <c r="B145" t="s">
        <v>1806</v>
      </c>
    </row>
    <row r="146" spans="1:2" x14ac:dyDescent="0.3">
      <c r="A146" s="12" t="s">
        <v>1165</v>
      </c>
      <c r="B146" t="s">
        <v>1165</v>
      </c>
    </row>
    <row r="147" spans="1:2" x14ac:dyDescent="0.3">
      <c r="A147" s="12" t="s">
        <v>2174</v>
      </c>
      <c r="B147" t="s">
        <v>2175</v>
      </c>
    </row>
    <row r="148" spans="1:2" x14ac:dyDescent="0.3">
      <c r="A148" s="12" t="s">
        <v>1683</v>
      </c>
      <c r="B148" t="s">
        <v>1684</v>
      </c>
    </row>
    <row r="149" spans="1:2" x14ac:dyDescent="0.3">
      <c r="A149" s="12" t="s">
        <v>1738</v>
      </c>
      <c r="B149" t="s">
        <v>1738</v>
      </c>
    </row>
    <row r="150" spans="1:2" x14ac:dyDescent="0.3">
      <c r="A150" s="12" t="s">
        <v>1006</v>
      </c>
      <c r="B150" t="s">
        <v>1581</v>
      </c>
    </row>
    <row r="151" spans="1:2" x14ac:dyDescent="0.3">
      <c r="A151" s="12" t="s">
        <v>1574</v>
      </c>
      <c r="B151" t="s">
        <v>1575</v>
      </c>
    </row>
    <row r="152" spans="1:2" x14ac:dyDescent="0.3">
      <c r="A152" s="12" t="s">
        <v>2159</v>
      </c>
      <c r="B152" t="s">
        <v>1556</v>
      </c>
    </row>
    <row r="153" spans="1:2" x14ac:dyDescent="0.3">
      <c r="A153" s="12" t="s">
        <v>1105</v>
      </c>
      <c r="B153" t="s">
        <v>1646</v>
      </c>
    </row>
    <row r="154" spans="1:2" x14ac:dyDescent="0.3">
      <c r="A154" s="12" t="s">
        <v>1568</v>
      </c>
      <c r="B154" t="s">
        <v>1558</v>
      </c>
    </row>
    <row r="155" spans="1:2" x14ac:dyDescent="0.3">
      <c r="A155" t="s">
        <v>1318</v>
      </c>
      <c r="B155" s="103" t="s">
        <v>1632</v>
      </c>
    </row>
    <row r="156" spans="1:2" x14ac:dyDescent="0.3">
      <c r="A156" s="12" t="s">
        <v>1362</v>
      </c>
      <c r="B156" t="s">
        <v>1362</v>
      </c>
    </row>
    <row r="157" spans="1:2" x14ac:dyDescent="0.3">
      <c r="A157" s="12" t="s">
        <v>1680</v>
      </c>
      <c r="B157" t="s">
        <v>1167</v>
      </c>
    </row>
    <row r="158" spans="1:2" x14ac:dyDescent="0.3">
      <c r="A158" s="12" t="s">
        <v>967</v>
      </c>
      <c r="B158" t="s">
        <v>1556</v>
      </c>
    </row>
    <row r="159" spans="1:2" x14ac:dyDescent="0.3">
      <c r="A159" s="12" t="s">
        <v>2201</v>
      </c>
      <c r="B159" t="s">
        <v>1704</v>
      </c>
    </row>
    <row r="160" spans="1:2" x14ac:dyDescent="0.3">
      <c r="A160" s="12" t="s">
        <v>1784</v>
      </c>
      <c r="B160" t="s">
        <v>1786</v>
      </c>
    </row>
    <row r="161" spans="1:2" x14ac:dyDescent="0.3">
      <c r="A161" s="12" t="s">
        <v>1185</v>
      </c>
      <c r="B161" t="s">
        <v>2199</v>
      </c>
    </row>
    <row r="162" spans="1:2" x14ac:dyDescent="0.3">
      <c r="A162" s="12" t="s">
        <v>1677</v>
      </c>
      <c r="B162" t="s">
        <v>1678</v>
      </c>
    </row>
    <row r="163" spans="1:2" x14ac:dyDescent="0.3">
      <c r="A163" s="12" t="s">
        <v>1600</v>
      </c>
      <c r="B163" t="s">
        <v>1038</v>
      </c>
    </row>
    <row r="164" spans="1:2" x14ac:dyDescent="0.3">
      <c r="A164" s="12" t="s">
        <v>2176</v>
      </c>
      <c r="B164" t="s">
        <v>2177</v>
      </c>
    </row>
    <row r="165" spans="1:2" x14ac:dyDescent="0.3">
      <c r="A165" s="12" t="s">
        <v>1614</v>
      </c>
      <c r="B165" t="s">
        <v>1615</v>
      </c>
    </row>
    <row r="166" spans="1:2" x14ac:dyDescent="0.3">
      <c r="A166" s="12" t="s">
        <v>1741</v>
      </c>
      <c r="B166" t="s">
        <v>1264</v>
      </c>
    </row>
    <row r="167" spans="1:2" x14ac:dyDescent="0.3">
      <c r="A167" s="12" t="s">
        <v>890</v>
      </c>
      <c r="B167" t="s">
        <v>890</v>
      </c>
    </row>
    <row r="168" spans="1:2" x14ac:dyDescent="0.3">
      <c r="A168" s="12" t="s">
        <v>2160</v>
      </c>
      <c r="B168" t="s">
        <v>1556</v>
      </c>
    </row>
    <row r="169" spans="1:2" x14ac:dyDescent="0.3">
      <c r="A169" s="12" t="s">
        <v>2202</v>
      </c>
      <c r="B169" t="s">
        <v>2202</v>
      </c>
    </row>
    <row r="170" spans="1:2" x14ac:dyDescent="0.3">
      <c r="A170" s="12" t="s">
        <v>2132</v>
      </c>
      <c r="B170" t="s">
        <v>2131</v>
      </c>
    </row>
    <row r="171" spans="1:2" x14ac:dyDescent="0.3">
      <c r="A171" t="s">
        <v>1781</v>
      </c>
      <c r="B171" t="s">
        <v>2223</v>
      </c>
    </row>
    <row r="172" spans="1:2" x14ac:dyDescent="0.3">
      <c r="A172" s="12" t="s">
        <v>3492</v>
      </c>
      <c r="B172" t="s">
        <v>2225</v>
      </c>
    </row>
    <row r="173" spans="1:2" x14ac:dyDescent="0.3">
      <c r="A173" s="12" t="s">
        <v>3496</v>
      </c>
      <c r="B173" t="s">
        <v>2226</v>
      </c>
    </row>
    <row r="174" spans="1:2" x14ac:dyDescent="0.3">
      <c r="A174" s="12" t="s">
        <v>2228</v>
      </c>
      <c r="B174" t="s">
        <v>2228</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2AC49-7037-4263-B66D-2659A6F94389}">
  <dimension ref="A1:B124"/>
  <sheetViews>
    <sheetView zoomScale="70" zoomScaleNormal="70" workbookViewId="0">
      <pane ySplit="1" topLeftCell="A2" activePane="bottomLeft" state="frozen"/>
      <selection activeCell="J41" sqref="J41"/>
      <selection pane="bottomLeft" activeCell="B53" sqref="B53"/>
    </sheetView>
  </sheetViews>
  <sheetFormatPr defaultColWidth="10.77734375" defaultRowHeight="14.4" x14ac:dyDescent="0.3"/>
  <cols>
    <col min="1" max="1" width="21.21875" customWidth="1"/>
    <col min="2" max="2" width="26.109375" customWidth="1"/>
  </cols>
  <sheetData>
    <row r="1" spans="1:2" x14ac:dyDescent="0.3">
      <c r="A1" s="102" t="s">
        <v>1538</v>
      </c>
      <c r="B1" s="102" t="s">
        <v>791</v>
      </c>
    </row>
    <row r="2" spans="1:2" x14ac:dyDescent="0.3">
      <c r="A2" t="s">
        <v>1769</v>
      </c>
      <c r="B2" s="12" t="s">
        <v>1769</v>
      </c>
    </row>
    <row r="3" spans="1:2" x14ac:dyDescent="0.3">
      <c r="A3" t="s">
        <v>1611</v>
      </c>
      <c r="B3" s="12" t="s">
        <v>1611</v>
      </c>
    </row>
    <row r="4" spans="1:2" x14ac:dyDescent="0.3">
      <c r="A4" t="s">
        <v>1231</v>
      </c>
      <c r="B4" s="12" t="s">
        <v>1726</v>
      </c>
    </row>
    <row r="5" spans="1:2" x14ac:dyDescent="0.3">
      <c r="A5" t="s">
        <v>1239</v>
      </c>
      <c r="B5" s="12" t="s">
        <v>1729</v>
      </c>
    </row>
    <row r="6" spans="1:2" x14ac:dyDescent="0.3">
      <c r="A6" t="s">
        <v>1162</v>
      </c>
      <c r="B6" s="12" t="s">
        <v>1674</v>
      </c>
    </row>
    <row r="7" spans="1:2" x14ac:dyDescent="0.3">
      <c r="A7" t="s">
        <v>1163</v>
      </c>
      <c r="B7" s="12" t="s">
        <v>1163</v>
      </c>
    </row>
    <row r="8" spans="1:2" x14ac:dyDescent="0.3">
      <c r="A8" t="s">
        <v>1688</v>
      </c>
      <c r="B8" s="12" t="s">
        <v>1687</v>
      </c>
    </row>
    <row r="9" spans="1:2" x14ac:dyDescent="0.3">
      <c r="A9" t="s">
        <v>1269</v>
      </c>
      <c r="B9" s="12" t="s">
        <v>1746</v>
      </c>
    </row>
    <row r="10" spans="1:2" x14ac:dyDescent="0.3">
      <c r="A10" t="s">
        <v>1210</v>
      </c>
      <c r="B10" s="12" t="s">
        <v>1712</v>
      </c>
    </row>
    <row r="11" spans="1:2" x14ac:dyDescent="0.3">
      <c r="A11" t="s">
        <v>919</v>
      </c>
      <c r="B11" s="12" t="s">
        <v>919</v>
      </c>
    </row>
    <row r="12" spans="1:2" x14ac:dyDescent="0.3">
      <c r="A12" t="s">
        <v>1587</v>
      </c>
      <c r="B12" s="12" t="s">
        <v>1028</v>
      </c>
    </row>
    <row r="13" spans="1:2" x14ac:dyDescent="0.3">
      <c r="A13" t="s">
        <v>1699</v>
      </c>
      <c r="B13" s="12" t="s">
        <v>1183</v>
      </c>
    </row>
    <row r="14" spans="1:2" x14ac:dyDescent="0.3">
      <c r="A14" t="s">
        <v>1709</v>
      </c>
      <c r="B14" s="12" t="s">
        <v>1256</v>
      </c>
    </row>
    <row r="15" spans="1:2" x14ac:dyDescent="0.3">
      <c r="A15" t="s">
        <v>1762</v>
      </c>
      <c r="B15" s="12" t="s">
        <v>2019</v>
      </c>
    </row>
    <row r="16" spans="1:2" x14ac:dyDescent="0.3">
      <c r="A16" t="s">
        <v>1671</v>
      </c>
      <c r="B16" s="12" t="s">
        <v>1672</v>
      </c>
    </row>
    <row r="17" spans="1:2" x14ac:dyDescent="0.3">
      <c r="A17" t="s">
        <v>1198</v>
      </c>
      <c r="B17" s="12" t="s">
        <v>1708</v>
      </c>
    </row>
    <row r="18" spans="1:2" x14ac:dyDescent="0.3">
      <c r="A18" t="s">
        <v>1704</v>
      </c>
      <c r="B18" s="12" t="s">
        <v>1703</v>
      </c>
    </row>
    <row r="19" spans="1:2" x14ac:dyDescent="0.3">
      <c r="A19" t="s">
        <v>1792</v>
      </c>
      <c r="B19" s="12" t="s">
        <v>1791</v>
      </c>
    </row>
    <row r="20" spans="1:2" x14ac:dyDescent="0.3">
      <c r="A20" t="s">
        <v>1682</v>
      </c>
      <c r="B20" s="12" t="s">
        <v>1681</v>
      </c>
    </row>
    <row r="21" spans="1:2" x14ac:dyDescent="0.3">
      <c r="A21" t="s">
        <v>2194</v>
      </c>
      <c r="B21" s="12" t="s">
        <v>2194</v>
      </c>
    </row>
    <row r="22" spans="1:2" x14ac:dyDescent="0.3">
      <c r="A22" t="s">
        <v>1556</v>
      </c>
      <c r="B22" s="12" t="s">
        <v>974</v>
      </c>
    </row>
    <row r="23" spans="1:2" x14ac:dyDescent="0.3">
      <c r="A23" t="s">
        <v>2162</v>
      </c>
      <c r="B23" s="12" t="s">
        <v>2161</v>
      </c>
    </row>
    <row r="24" spans="1:2" x14ac:dyDescent="0.3">
      <c r="A24" t="s">
        <v>1731</v>
      </c>
      <c r="B24" s="12" t="s">
        <v>1242</v>
      </c>
    </row>
    <row r="25" spans="1:2" x14ac:dyDescent="0.3">
      <c r="A25" t="s">
        <v>1046</v>
      </c>
      <c r="B25" s="12" t="s">
        <v>1046</v>
      </c>
    </row>
    <row r="26" spans="1:2" x14ac:dyDescent="0.3">
      <c r="A26" t="s">
        <v>1595</v>
      </c>
      <c r="B26" s="12" t="s">
        <v>1594</v>
      </c>
    </row>
    <row r="27" spans="1:2" x14ac:dyDescent="0.3">
      <c r="A27" t="s">
        <v>1809</v>
      </c>
      <c r="B27" s="12" t="s">
        <v>1808</v>
      </c>
    </row>
    <row r="28" spans="1:2" x14ac:dyDescent="0.3">
      <c r="A28" t="s">
        <v>1723</v>
      </c>
      <c r="B28" s="12" t="s">
        <v>1725</v>
      </c>
    </row>
    <row r="29" spans="1:2" x14ac:dyDescent="0.3">
      <c r="A29" t="s">
        <v>1766</v>
      </c>
      <c r="B29" s="12" t="s">
        <v>1766</v>
      </c>
    </row>
    <row r="30" spans="1:2" x14ac:dyDescent="0.3">
      <c r="A30" t="s">
        <v>1632</v>
      </c>
      <c r="B30" s="12" t="s">
        <v>1796</v>
      </c>
    </row>
    <row r="31" spans="1:2" x14ac:dyDescent="0.3">
      <c r="A31" t="s">
        <v>2164</v>
      </c>
      <c r="B31" s="12" t="s">
        <v>2163</v>
      </c>
    </row>
    <row r="32" spans="1:2" x14ac:dyDescent="0.3">
      <c r="A32" t="s">
        <v>1821</v>
      </c>
      <c r="B32" s="12" t="s">
        <v>1820</v>
      </c>
    </row>
    <row r="33" spans="1:2" x14ac:dyDescent="0.3">
      <c r="A33" t="s">
        <v>1145</v>
      </c>
      <c r="B33" s="12" t="s">
        <v>1145</v>
      </c>
    </row>
    <row r="34" spans="1:2" x14ac:dyDescent="0.3">
      <c r="A34" s="10" t="s">
        <v>2180</v>
      </c>
      <c r="B34" s="12" t="s">
        <v>2179</v>
      </c>
    </row>
    <row r="35" spans="1:2" x14ac:dyDescent="0.3">
      <c r="A35" t="s">
        <v>1686</v>
      </c>
      <c r="B35" s="12" t="s">
        <v>1685</v>
      </c>
    </row>
    <row r="36" spans="1:2" x14ac:dyDescent="0.3">
      <c r="A36" s="10" t="s">
        <v>2182</v>
      </c>
      <c r="B36" s="12" t="s">
        <v>2181</v>
      </c>
    </row>
    <row r="37" spans="1:2" x14ac:dyDescent="0.3">
      <c r="A37" t="s">
        <v>2021</v>
      </c>
      <c r="B37" s="12" t="s">
        <v>2021</v>
      </c>
    </row>
    <row r="38" spans="1:2" x14ac:dyDescent="0.3">
      <c r="A38" t="s">
        <v>1591</v>
      </c>
      <c r="B38" s="12" t="s">
        <v>1590</v>
      </c>
    </row>
    <row r="39" spans="1:2" x14ac:dyDescent="0.3">
      <c r="A39" t="s">
        <v>1828</v>
      </c>
      <c r="B39" s="12" t="s">
        <v>1827</v>
      </c>
    </row>
    <row r="40" spans="1:2" x14ac:dyDescent="0.3">
      <c r="A40" t="s">
        <v>1266</v>
      </c>
      <c r="B40" s="12" t="s">
        <v>1266</v>
      </c>
    </row>
    <row r="41" spans="1:2" x14ac:dyDescent="0.3">
      <c r="A41" s="10" t="s">
        <v>1920</v>
      </c>
      <c r="B41" s="12" t="s">
        <v>1920</v>
      </c>
    </row>
    <row r="42" spans="1:2" x14ac:dyDescent="0.3">
      <c r="A42" t="s">
        <v>1789</v>
      </c>
      <c r="B42" s="12" t="s">
        <v>1788</v>
      </c>
    </row>
    <row r="43" spans="1:2" x14ac:dyDescent="0.3">
      <c r="A43" t="s">
        <v>1778</v>
      </c>
      <c r="B43" s="12" t="s">
        <v>1777</v>
      </c>
    </row>
    <row r="44" spans="1:2" x14ac:dyDescent="0.3">
      <c r="A44" t="s">
        <v>1772</v>
      </c>
      <c r="B44" s="12" t="s">
        <v>1771</v>
      </c>
    </row>
    <row r="45" spans="1:2" x14ac:dyDescent="0.3">
      <c r="A45" t="s">
        <v>2168</v>
      </c>
      <c r="B45" s="12" t="s">
        <v>2167</v>
      </c>
    </row>
    <row r="46" spans="1:2" x14ac:dyDescent="0.3">
      <c r="A46" t="s">
        <v>1663</v>
      </c>
      <c r="B46" s="12" t="s">
        <v>1607</v>
      </c>
    </row>
    <row r="47" spans="1:2" x14ac:dyDescent="0.3">
      <c r="A47" t="s">
        <v>1181</v>
      </c>
      <c r="B47" s="12" t="s">
        <v>1181</v>
      </c>
    </row>
    <row r="48" spans="1:2" x14ac:dyDescent="0.3">
      <c r="A48" s="10" t="s">
        <v>2184</v>
      </c>
      <c r="B48" s="12" t="s">
        <v>2183</v>
      </c>
    </row>
    <row r="49" spans="1:2" x14ac:dyDescent="0.3">
      <c r="A49" t="s">
        <v>1257</v>
      </c>
      <c r="B49" s="12" t="s">
        <v>1740</v>
      </c>
    </row>
    <row r="50" spans="1:2" x14ac:dyDescent="0.3">
      <c r="A50" s="10" t="s">
        <v>1871</v>
      </c>
      <c r="B50" s="12" t="s">
        <v>1871</v>
      </c>
    </row>
    <row r="51" spans="1:2" x14ac:dyDescent="0.3">
      <c r="A51" t="s">
        <v>1873</v>
      </c>
      <c r="B51" s="12" t="s">
        <v>1871</v>
      </c>
    </row>
    <row r="52" spans="1:2" x14ac:dyDescent="0.3">
      <c r="A52" t="s">
        <v>1070</v>
      </c>
      <c r="B52" s="12" t="s">
        <v>1069</v>
      </c>
    </row>
    <row r="53" spans="1:2" x14ac:dyDescent="0.3">
      <c r="A53" t="s">
        <v>1618</v>
      </c>
      <c r="B53" s="12" t="s">
        <v>2186</v>
      </c>
    </row>
    <row r="54" spans="1:2" x14ac:dyDescent="0.3">
      <c r="A54" t="s">
        <v>1153</v>
      </c>
      <c r="B54" s="12" t="s">
        <v>1669</v>
      </c>
    </row>
    <row r="55" spans="1:2" x14ac:dyDescent="0.3">
      <c r="A55" t="s">
        <v>1322</v>
      </c>
      <c r="B55" s="12" t="s">
        <v>1804</v>
      </c>
    </row>
    <row r="56" spans="1:2" x14ac:dyDescent="0.3">
      <c r="A56" t="s">
        <v>1749</v>
      </c>
      <c r="B56" s="12" t="s">
        <v>1749</v>
      </c>
    </row>
    <row r="57" spans="1:2" x14ac:dyDescent="0.3">
      <c r="A57" t="s">
        <v>1697</v>
      </c>
      <c r="B57" s="12" t="s">
        <v>1696</v>
      </c>
    </row>
    <row r="58" spans="1:2" x14ac:dyDescent="0.3">
      <c r="A58" t="s">
        <v>1720</v>
      </c>
      <c r="B58" s="12" t="s">
        <v>1719</v>
      </c>
    </row>
    <row r="59" spans="1:2" x14ac:dyDescent="0.3">
      <c r="A59" t="s">
        <v>1036</v>
      </c>
      <c r="B59" s="12" t="s">
        <v>1036</v>
      </c>
    </row>
    <row r="60" spans="1:2" x14ac:dyDescent="0.3">
      <c r="A60" t="s">
        <v>1676</v>
      </c>
      <c r="B60" s="12" t="s">
        <v>1675</v>
      </c>
    </row>
    <row r="61" spans="1:2" x14ac:dyDescent="0.3">
      <c r="A61" t="s">
        <v>1150</v>
      </c>
      <c r="B61" s="12" t="s">
        <v>1150</v>
      </c>
    </row>
    <row r="62" spans="1:2" x14ac:dyDescent="0.3">
      <c r="A62" t="s">
        <v>1039</v>
      </c>
      <c r="B62" s="12" t="s">
        <v>1601</v>
      </c>
    </row>
    <row r="63" spans="1:2" x14ac:dyDescent="0.3">
      <c r="A63" t="s">
        <v>929</v>
      </c>
      <c r="B63" s="12" t="s">
        <v>929</v>
      </c>
    </row>
    <row r="64" spans="1:2" x14ac:dyDescent="0.3">
      <c r="A64" t="s">
        <v>1755</v>
      </c>
      <c r="B64" s="12" t="s">
        <v>1189</v>
      </c>
    </row>
    <row r="65" spans="1:2" x14ac:dyDescent="0.3">
      <c r="A65" t="s">
        <v>1718</v>
      </c>
      <c r="B65" s="12" t="s">
        <v>1717</v>
      </c>
    </row>
    <row r="66" spans="1:2" x14ac:dyDescent="0.3">
      <c r="A66" s="10" t="s">
        <v>2107</v>
      </c>
      <c r="B66" s="12" t="s">
        <v>2107</v>
      </c>
    </row>
    <row r="67" spans="1:2" x14ac:dyDescent="0.3">
      <c r="A67" t="s">
        <v>1744</v>
      </c>
      <c r="B67" s="12" t="s">
        <v>1743</v>
      </c>
    </row>
    <row r="68" spans="1:2" x14ac:dyDescent="0.3">
      <c r="A68" t="s">
        <v>950</v>
      </c>
      <c r="B68" s="12" t="s">
        <v>950</v>
      </c>
    </row>
    <row r="69" spans="1:2" x14ac:dyDescent="0.3">
      <c r="A69" t="s">
        <v>1782</v>
      </c>
      <c r="B69" s="12" t="s">
        <v>2020</v>
      </c>
    </row>
    <row r="70" spans="1:2" x14ac:dyDescent="0.3">
      <c r="A70" s="10" t="s">
        <v>1706</v>
      </c>
      <c r="B70" s="12" t="s">
        <v>1706</v>
      </c>
    </row>
    <row r="71" spans="1:2" x14ac:dyDescent="0.3">
      <c r="A71" t="s">
        <v>1605</v>
      </c>
      <c r="B71" s="12" t="s">
        <v>1058</v>
      </c>
    </row>
    <row r="72" spans="1:2" x14ac:dyDescent="0.3">
      <c r="A72" t="s">
        <v>947</v>
      </c>
      <c r="B72" s="12" t="s">
        <v>947</v>
      </c>
    </row>
    <row r="73" spans="1:2" x14ac:dyDescent="0.3">
      <c r="A73" t="s">
        <v>1094</v>
      </c>
      <c r="B73" s="12" t="s">
        <v>1612</v>
      </c>
    </row>
    <row r="74" spans="1:2" x14ac:dyDescent="0.3">
      <c r="A74" t="s">
        <v>1180</v>
      </c>
      <c r="B74" s="12" t="s">
        <v>1692</v>
      </c>
    </row>
    <row r="75" spans="1:2" x14ac:dyDescent="0.3">
      <c r="A75" t="s">
        <v>1213</v>
      </c>
      <c r="B75" s="12" t="s">
        <v>1715</v>
      </c>
    </row>
    <row r="76" spans="1:2" x14ac:dyDescent="0.3">
      <c r="A76" s="10" t="s">
        <v>1022</v>
      </c>
      <c r="B76" s="12" t="s">
        <v>2187</v>
      </c>
    </row>
    <row r="77" spans="1:2" x14ac:dyDescent="0.3">
      <c r="A77" t="s">
        <v>1775</v>
      </c>
      <c r="B77" s="12" t="s">
        <v>1774</v>
      </c>
    </row>
    <row r="78" spans="1:2" x14ac:dyDescent="0.3">
      <c r="A78" t="s">
        <v>1032</v>
      </c>
      <c r="B78" s="12" t="s">
        <v>1592</v>
      </c>
    </row>
    <row r="79" spans="1:2" x14ac:dyDescent="0.3">
      <c r="A79" t="s">
        <v>1701</v>
      </c>
      <c r="B79" s="12" t="s">
        <v>1700</v>
      </c>
    </row>
    <row r="80" spans="1:2" x14ac:dyDescent="0.3">
      <c r="A80" t="s">
        <v>1733</v>
      </c>
      <c r="B80" s="12" t="s">
        <v>1732</v>
      </c>
    </row>
    <row r="81" spans="1:2" x14ac:dyDescent="0.3">
      <c r="A81" t="s">
        <v>1236</v>
      </c>
      <c r="B81" s="12" t="s">
        <v>1727</v>
      </c>
    </row>
    <row r="82" spans="1:2" x14ac:dyDescent="0.3">
      <c r="A82" t="s">
        <v>1690</v>
      </c>
      <c r="B82" s="12" t="s">
        <v>1324</v>
      </c>
    </row>
    <row r="83" spans="1:2" x14ac:dyDescent="0.3">
      <c r="A83" t="s">
        <v>1336</v>
      </c>
      <c r="B83" s="12" t="s">
        <v>1336</v>
      </c>
    </row>
    <row r="84" spans="1:2" x14ac:dyDescent="0.3">
      <c r="A84" t="s">
        <v>1277</v>
      </c>
      <c r="B84" s="12" t="s">
        <v>1748</v>
      </c>
    </row>
    <row r="85" spans="1:2" x14ac:dyDescent="0.3">
      <c r="A85" t="s">
        <v>1049</v>
      </c>
      <c r="B85" s="12" t="s">
        <v>1049</v>
      </c>
    </row>
    <row r="86" spans="1:2" x14ac:dyDescent="0.3">
      <c r="A86" t="s">
        <v>1735</v>
      </c>
      <c r="B86" s="12" t="s">
        <v>1734</v>
      </c>
    </row>
    <row r="87" spans="1:2" x14ac:dyDescent="0.3">
      <c r="A87" t="s">
        <v>982</v>
      </c>
      <c r="B87" s="12" t="s">
        <v>1564</v>
      </c>
    </row>
    <row r="88" spans="1:2" x14ac:dyDescent="0.3">
      <c r="A88" t="s">
        <v>2219</v>
      </c>
      <c r="B88" s="12" t="s">
        <v>4317</v>
      </c>
    </row>
    <row r="89" spans="1:2" x14ac:dyDescent="0.3">
      <c r="A89" t="s">
        <v>1596</v>
      </c>
      <c r="B89" s="12" t="s">
        <v>1040</v>
      </c>
    </row>
    <row r="90" spans="1:2" x14ac:dyDescent="0.3">
      <c r="A90" t="s">
        <v>1238</v>
      </c>
      <c r="B90" s="12" t="s">
        <v>1728</v>
      </c>
    </row>
    <row r="91" spans="1:2" x14ac:dyDescent="0.3">
      <c r="A91" t="s">
        <v>1110</v>
      </c>
      <c r="B91" s="12" t="s">
        <v>1651</v>
      </c>
    </row>
    <row r="92" spans="1:2" x14ac:dyDescent="0.3">
      <c r="A92" t="s">
        <v>1548</v>
      </c>
      <c r="B92" s="12" t="s">
        <v>1548</v>
      </c>
    </row>
    <row r="93" spans="1:2" x14ac:dyDescent="0.3">
      <c r="A93" t="s">
        <v>1558</v>
      </c>
      <c r="B93" s="12" t="s">
        <v>1557</v>
      </c>
    </row>
    <row r="94" spans="1:2" x14ac:dyDescent="0.3">
      <c r="A94" t="s">
        <v>943</v>
      </c>
      <c r="B94" s="12" t="s">
        <v>943</v>
      </c>
    </row>
    <row r="95" spans="1:2" x14ac:dyDescent="0.3">
      <c r="A95" t="s">
        <v>1656</v>
      </c>
      <c r="B95" s="12" t="s">
        <v>1655</v>
      </c>
    </row>
    <row r="96" spans="1:2" x14ac:dyDescent="0.3">
      <c r="A96" s="10" t="s">
        <v>2188</v>
      </c>
      <c r="B96" s="12" t="s">
        <v>2188</v>
      </c>
    </row>
    <row r="97" spans="1:2" x14ac:dyDescent="0.3">
      <c r="A97" t="s">
        <v>1665</v>
      </c>
      <c r="B97" s="12" t="s">
        <v>1525</v>
      </c>
    </row>
    <row r="98" spans="1:2" x14ac:dyDescent="0.3">
      <c r="A98" t="s">
        <v>955</v>
      </c>
      <c r="B98" s="12" t="s">
        <v>955</v>
      </c>
    </row>
    <row r="99" spans="1:2" x14ac:dyDescent="0.3">
      <c r="A99" t="s">
        <v>1759</v>
      </c>
      <c r="B99" s="12" t="s">
        <v>1757</v>
      </c>
    </row>
    <row r="100" spans="1:2" x14ac:dyDescent="0.3">
      <c r="A100" t="s">
        <v>1060</v>
      </c>
      <c r="B100" s="12" t="s">
        <v>1061</v>
      </c>
    </row>
    <row r="101" spans="1:2" x14ac:dyDescent="0.3">
      <c r="A101" t="s">
        <v>1806</v>
      </c>
      <c r="B101" s="12" t="s">
        <v>1328</v>
      </c>
    </row>
    <row r="102" spans="1:2" x14ac:dyDescent="0.3">
      <c r="A102" t="s">
        <v>1165</v>
      </c>
      <c r="B102" s="12" t="s">
        <v>1165</v>
      </c>
    </row>
    <row r="103" spans="1:2" x14ac:dyDescent="0.3">
      <c r="A103" t="s">
        <v>2175</v>
      </c>
      <c r="B103" s="12" t="s">
        <v>2174</v>
      </c>
    </row>
    <row r="104" spans="1:2" x14ac:dyDescent="0.3">
      <c r="A104" t="s">
        <v>1684</v>
      </c>
      <c r="B104" s="12" t="s">
        <v>1683</v>
      </c>
    </row>
    <row r="105" spans="1:2" x14ac:dyDescent="0.3">
      <c r="A105" t="s">
        <v>1738</v>
      </c>
      <c r="B105" s="12" t="s">
        <v>1738</v>
      </c>
    </row>
    <row r="106" spans="1:2" x14ac:dyDescent="0.3">
      <c r="A106" t="s">
        <v>1581</v>
      </c>
      <c r="B106" s="12" t="s">
        <v>1006</v>
      </c>
    </row>
    <row r="107" spans="1:2" x14ac:dyDescent="0.3">
      <c r="A107" t="s">
        <v>1575</v>
      </c>
      <c r="B107" s="12" t="s">
        <v>1574</v>
      </c>
    </row>
    <row r="108" spans="1:2" x14ac:dyDescent="0.3">
      <c r="A108" t="s">
        <v>1646</v>
      </c>
      <c r="B108" s="12" t="s">
        <v>1105</v>
      </c>
    </row>
    <row r="109" spans="1:2" x14ac:dyDescent="0.3">
      <c r="A109" t="s">
        <v>1362</v>
      </c>
      <c r="B109" s="12" t="s">
        <v>1362</v>
      </c>
    </row>
    <row r="110" spans="1:2" x14ac:dyDescent="0.3">
      <c r="A110" t="s">
        <v>1167</v>
      </c>
      <c r="B110" s="12" t="s">
        <v>1680</v>
      </c>
    </row>
    <row r="111" spans="1:2" x14ac:dyDescent="0.3">
      <c r="A111" t="s">
        <v>1786</v>
      </c>
      <c r="B111" s="12" t="s">
        <v>1784</v>
      </c>
    </row>
    <row r="112" spans="1:2" x14ac:dyDescent="0.3">
      <c r="A112" t="s">
        <v>2199</v>
      </c>
      <c r="B112" s="12" t="s">
        <v>1185</v>
      </c>
    </row>
    <row r="113" spans="1:2" x14ac:dyDescent="0.3">
      <c r="A113" t="s">
        <v>1678</v>
      </c>
      <c r="B113" s="12" t="s">
        <v>1677</v>
      </c>
    </row>
    <row r="114" spans="1:2" x14ac:dyDescent="0.3">
      <c r="A114" t="s">
        <v>1038</v>
      </c>
      <c r="B114" s="12" t="s">
        <v>1600</v>
      </c>
    </row>
    <row r="115" spans="1:2" x14ac:dyDescent="0.3">
      <c r="A115" t="s">
        <v>2177</v>
      </c>
      <c r="B115" s="12" t="s">
        <v>2176</v>
      </c>
    </row>
    <row r="116" spans="1:2" x14ac:dyDescent="0.3">
      <c r="A116" t="s">
        <v>1615</v>
      </c>
      <c r="B116" s="12" t="s">
        <v>1614</v>
      </c>
    </row>
    <row r="117" spans="1:2" x14ac:dyDescent="0.3">
      <c r="A117" t="s">
        <v>1264</v>
      </c>
      <c r="B117" s="12" t="s">
        <v>1741</v>
      </c>
    </row>
    <row r="118" spans="1:2" x14ac:dyDescent="0.3">
      <c r="A118" t="s">
        <v>890</v>
      </c>
      <c r="B118" s="12" t="s">
        <v>890</v>
      </c>
    </row>
    <row r="119" spans="1:2" x14ac:dyDescent="0.3">
      <c r="A119" t="s">
        <v>2202</v>
      </c>
      <c r="B119" s="12" t="s">
        <v>2202</v>
      </c>
    </row>
    <row r="120" spans="1:2" x14ac:dyDescent="0.3">
      <c r="A120" t="s">
        <v>2131</v>
      </c>
      <c r="B120" s="12" t="s">
        <v>2132</v>
      </c>
    </row>
    <row r="121" spans="1:2" x14ac:dyDescent="0.3">
      <c r="A121" t="s">
        <v>2223</v>
      </c>
      <c r="B121" t="s">
        <v>1781</v>
      </c>
    </row>
    <row r="122" spans="1:2" x14ac:dyDescent="0.3">
      <c r="A122" t="s">
        <v>2225</v>
      </c>
      <c r="B122" s="12" t="s">
        <v>3492</v>
      </c>
    </row>
    <row r="123" spans="1:2" x14ac:dyDescent="0.3">
      <c r="A123" t="s">
        <v>2226</v>
      </c>
      <c r="B123" s="12" t="s">
        <v>3496</v>
      </c>
    </row>
    <row r="124" spans="1:2" x14ac:dyDescent="0.3">
      <c r="A124" t="s">
        <v>2228</v>
      </c>
      <c r="B124" s="12" t="s">
        <v>2228</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BA5F2-F13C-4357-82BF-7340FE75DB53}">
  <dimension ref="A1:C173"/>
  <sheetViews>
    <sheetView zoomScale="80" zoomScaleNormal="80" workbookViewId="0">
      <selection activeCell="B72" sqref="B72"/>
    </sheetView>
  </sheetViews>
  <sheetFormatPr defaultColWidth="10.77734375" defaultRowHeight="14.4" x14ac:dyDescent="0.3"/>
  <cols>
    <col min="2" max="2" width="18.44140625" customWidth="1"/>
    <col min="3" max="3" width="21" customWidth="1"/>
  </cols>
  <sheetData>
    <row r="1" spans="1:3" x14ac:dyDescent="0.3">
      <c r="A1" t="s">
        <v>3675</v>
      </c>
      <c r="B1" t="s">
        <v>1529</v>
      </c>
      <c r="C1" t="s">
        <v>1530</v>
      </c>
    </row>
    <row r="2" spans="1:3" x14ac:dyDescent="0.3">
      <c r="A2" t="s">
        <v>3836</v>
      </c>
      <c r="B2" t="s">
        <v>1837</v>
      </c>
      <c r="C2">
        <v>809</v>
      </c>
    </row>
    <row r="3" spans="1:3" x14ac:dyDescent="0.3">
      <c r="A3" t="s">
        <v>3835</v>
      </c>
      <c r="B3" t="s">
        <v>1836</v>
      </c>
      <c r="C3">
        <v>800</v>
      </c>
    </row>
    <row r="4" spans="1:3" x14ac:dyDescent="0.3">
      <c r="A4" s="101" t="s">
        <v>3373</v>
      </c>
      <c r="B4" t="s">
        <v>1768</v>
      </c>
      <c r="C4">
        <v>641</v>
      </c>
    </row>
    <row r="5" spans="1:3" x14ac:dyDescent="0.3">
      <c r="A5" t="s">
        <v>3676</v>
      </c>
      <c r="B5" t="s">
        <v>1610</v>
      </c>
      <c r="C5">
        <v>221</v>
      </c>
    </row>
    <row r="6" spans="1:3" x14ac:dyDescent="0.3">
      <c r="A6" t="s">
        <v>3677</v>
      </c>
      <c r="B6" t="s">
        <v>1814</v>
      </c>
      <c r="C6">
        <v>711</v>
      </c>
    </row>
    <row r="7" spans="1:3" x14ac:dyDescent="0.3">
      <c r="A7" t="s">
        <v>3678</v>
      </c>
      <c r="B7" t="s">
        <v>1231</v>
      </c>
      <c r="C7">
        <v>515</v>
      </c>
    </row>
    <row r="8" spans="1:3" x14ac:dyDescent="0.3">
      <c r="A8" t="s">
        <v>3679</v>
      </c>
      <c r="B8" t="s">
        <v>1239</v>
      </c>
      <c r="C8">
        <v>526</v>
      </c>
    </row>
    <row r="9" spans="1:3" x14ac:dyDescent="0.3">
      <c r="A9" t="s">
        <v>3807</v>
      </c>
      <c r="B9" t="s">
        <v>1052</v>
      </c>
      <c r="C9">
        <v>226</v>
      </c>
    </row>
    <row r="10" spans="1:3" x14ac:dyDescent="0.3">
      <c r="A10" t="s">
        <v>3748</v>
      </c>
      <c r="B10" t="s">
        <v>1162</v>
      </c>
      <c r="C10">
        <v>366</v>
      </c>
    </row>
    <row r="11" spans="1:3" x14ac:dyDescent="0.3">
      <c r="A11" t="s">
        <v>3775</v>
      </c>
      <c r="B11" t="s">
        <v>1163</v>
      </c>
      <c r="C11">
        <v>367</v>
      </c>
    </row>
    <row r="12" spans="1:3" x14ac:dyDescent="0.3">
      <c r="A12" t="s">
        <v>3776</v>
      </c>
      <c r="B12" t="s">
        <v>1269</v>
      </c>
      <c r="C12">
        <v>572</v>
      </c>
    </row>
    <row r="13" spans="1:3" x14ac:dyDescent="0.3">
      <c r="A13" t="s">
        <v>3830</v>
      </c>
      <c r="B13" t="s">
        <v>1599</v>
      </c>
      <c r="C13">
        <v>203</v>
      </c>
    </row>
    <row r="14" spans="1:3" x14ac:dyDescent="0.3">
      <c r="A14" t="s">
        <v>3749</v>
      </c>
      <c r="B14" t="s">
        <v>1210</v>
      </c>
      <c r="C14">
        <v>486</v>
      </c>
    </row>
    <row r="15" spans="1:3" x14ac:dyDescent="0.3">
      <c r="A15" t="s">
        <v>3680</v>
      </c>
      <c r="B15" t="s">
        <v>919</v>
      </c>
      <c r="C15">
        <v>44</v>
      </c>
    </row>
    <row r="16" spans="1:3" x14ac:dyDescent="0.3">
      <c r="A16" t="s">
        <v>3715</v>
      </c>
      <c r="B16" t="s">
        <v>1027</v>
      </c>
      <c r="C16">
        <v>176</v>
      </c>
    </row>
    <row r="17" spans="1:3" x14ac:dyDescent="0.3">
      <c r="A17" s="101" t="s">
        <v>4318</v>
      </c>
      <c r="B17" t="s">
        <v>1787</v>
      </c>
      <c r="C17">
        <v>647</v>
      </c>
    </row>
    <row r="18" spans="1:3" x14ac:dyDescent="0.3">
      <c r="A18" t="s">
        <v>3681</v>
      </c>
      <c r="B18" t="s">
        <v>1739</v>
      </c>
      <c r="C18">
        <v>558</v>
      </c>
    </row>
    <row r="19" spans="1:3" x14ac:dyDescent="0.3">
      <c r="A19" t="s">
        <v>3792</v>
      </c>
      <c r="B19" t="s">
        <v>1254</v>
      </c>
      <c r="C19">
        <v>552</v>
      </c>
    </row>
    <row r="20" spans="1:3" x14ac:dyDescent="0.3">
      <c r="A20" t="s">
        <v>3822</v>
      </c>
      <c r="B20" t="s">
        <v>1603</v>
      </c>
      <c r="C20">
        <v>216</v>
      </c>
    </row>
    <row r="21" spans="1:3" x14ac:dyDescent="0.3">
      <c r="A21" t="s">
        <v>3717</v>
      </c>
      <c r="B21" t="s">
        <v>1589</v>
      </c>
      <c r="C21">
        <v>181</v>
      </c>
    </row>
    <row r="22" spans="1:3" x14ac:dyDescent="0.3">
      <c r="A22" t="s">
        <v>3799</v>
      </c>
      <c r="B22" t="s">
        <v>960</v>
      </c>
      <c r="C22">
        <v>89</v>
      </c>
    </row>
    <row r="23" spans="1:3" x14ac:dyDescent="0.3">
      <c r="A23" t="s">
        <v>3718</v>
      </c>
      <c r="B23" t="s">
        <v>1671</v>
      </c>
      <c r="C23">
        <v>358</v>
      </c>
    </row>
    <row r="24" spans="1:3" x14ac:dyDescent="0.3">
      <c r="A24" s="101" t="s">
        <v>4319</v>
      </c>
      <c r="B24" t="s">
        <v>1776</v>
      </c>
      <c r="C24">
        <v>644</v>
      </c>
    </row>
    <row r="25" spans="1:3" x14ac:dyDescent="0.3">
      <c r="A25" t="s">
        <v>3777</v>
      </c>
      <c r="B25" t="s">
        <v>970</v>
      </c>
      <c r="C25">
        <v>101</v>
      </c>
    </row>
    <row r="26" spans="1:3" x14ac:dyDescent="0.3">
      <c r="A26" t="s">
        <v>3750</v>
      </c>
      <c r="B26" t="s">
        <v>1707</v>
      </c>
      <c r="C26">
        <v>461</v>
      </c>
    </row>
    <row r="27" spans="1:3" x14ac:dyDescent="0.3">
      <c r="A27" t="s">
        <v>3719</v>
      </c>
      <c r="B27" t="s">
        <v>1187</v>
      </c>
      <c r="C27">
        <v>426</v>
      </c>
    </row>
    <row r="28" spans="1:3" x14ac:dyDescent="0.3">
      <c r="A28" s="101" t="s">
        <v>4320</v>
      </c>
      <c r="B28" t="s">
        <v>1790</v>
      </c>
      <c r="C28">
        <v>648</v>
      </c>
    </row>
    <row r="29" spans="1:3" x14ac:dyDescent="0.3">
      <c r="A29" t="s">
        <v>3769</v>
      </c>
      <c r="B29" t="s">
        <v>1608</v>
      </c>
      <c r="C29">
        <v>217</v>
      </c>
    </row>
    <row r="30" spans="1:3" x14ac:dyDescent="0.3">
      <c r="A30" t="s">
        <v>3825</v>
      </c>
      <c r="B30" t="s">
        <v>1278</v>
      </c>
      <c r="C30">
        <v>591</v>
      </c>
    </row>
    <row r="31" spans="1:3" x14ac:dyDescent="0.3">
      <c r="A31" t="s">
        <v>3761</v>
      </c>
      <c r="B31" t="s">
        <v>1569</v>
      </c>
      <c r="C31">
        <v>125</v>
      </c>
    </row>
    <row r="32" spans="1:3" x14ac:dyDescent="0.3">
      <c r="A32" t="s">
        <v>3770</v>
      </c>
      <c r="B32" t="s">
        <v>1643</v>
      </c>
      <c r="C32">
        <v>265</v>
      </c>
    </row>
    <row r="33" spans="1:3" x14ac:dyDescent="0.3">
      <c r="A33" t="s">
        <v>3720</v>
      </c>
      <c r="B33" t="s">
        <v>1173</v>
      </c>
      <c r="C33">
        <v>393</v>
      </c>
    </row>
    <row r="34" spans="1:3" x14ac:dyDescent="0.3">
      <c r="A34" t="s">
        <v>3779</v>
      </c>
      <c r="B34" t="s">
        <v>1562</v>
      </c>
      <c r="C34">
        <v>108</v>
      </c>
    </row>
    <row r="35" spans="1:3" x14ac:dyDescent="0.3">
      <c r="A35" t="s">
        <v>3721</v>
      </c>
      <c r="B35" t="s">
        <v>1242</v>
      </c>
      <c r="C35">
        <v>531</v>
      </c>
    </row>
    <row r="36" spans="1:3" x14ac:dyDescent="0.3">
      <c r="A36" t="s">
        <v>3723</v>
      </c>
      <c r="B36" t="s">
        <v>1609</v>
      </c>
      <c r="C36">
        <v>220</v>
      </c>
    </row>
    <row r="37" spans="1:3" x14ac:dyDescent="0.3">
      <c r="A37" t="s">
        <v>3751</v>
      </c>
      <c r="B37" t="s">
        <v>1593</v>
      </c>
      <c r="C37">
        <v>191</v>
      </c>
    </row>
    <row r="38" spans="1:3" x14ac:dyDescent="0.3">
      <c r="A38" t="s">
        <v>3813</v>
      </c>
      <c r="B38" t="s">
        <v>1196</v>
      </c>
      <c r="C38">
        <v>459</v>
      </c>
    </row>
    <row r="39" spans="1:3" x14ac:dyDescent="0.3">
      <c r="A39" t="s">
        <v>3724</v>
      </c>
      <c r="B39" t="s">
        <v>1689</v>
      </c>
      <c r="C39">
        <v>401</v>
      </c>
    </row>
    <row r="40" spans="1:3" x14ac:dyDescent="0.3">
      <c r="A40" t="s">
        <v>3832</v>
      </c>
      <c r="B40" t="s">
        <v>1811</v>
      </c>
      <c r="C40">
        <v>693</v>
      </c>
    </row>
    <row r="41" spans="1:3" x14ac:dyDescent="0.3">
      <c r="A41" t="s">
        <v>3684</v>
      </c>
      <c r="B41" t="s">
        <v>1724</v>
      </c>
      <c r="C41">
        <v>512</v>
      </c>
    </row>
    <row r="42" spans="1:3" x14ac:dyDescent="0.3">
      <c r="A42" t="s">
        <v>3833</v>
      </c>
      <c r="B42" t="s">
        <v>1812</v>
      </c>
      <c r="C42">
        <v>698</v>
      </c>
    </row>
    <row r="43" spans="1:3" x14ac:dyDescent="0.3">
      <c r="A43" s="101" t="s">
        <v>4321</v>
      </c>
      <c r="B43" t="s">
        <v>1765</v>
      </c>
      <c r="C43">
        <v>640</v>
      </c>
    </row>
    <row r="44" spans="1:3" x14ac:dyDescent="0.3">
      <c r="A44" t="s">
        <v>3762</v>
      </c>
      <c r="B44" t="s">
        <v>1799</v>
      </c>
      <c r="C44">
        <v>661</v>
      </c>
    </row>
    <row r="45" spans="1:3" x14ac:dyDescent="0.3">
      <c r="A45" t="s">
        <v>3763</v>
      </c>
      <c r="B45" t="s">
        <v>1634</v>
      </c>
      <c r="C45">
        <v>249</v>
      </c>
    </row>
    <row r="46" spans="1:3" x14ac:dyDescent="0.3">
      <c r="A46" t="s">
        <v>3771</v>
      </c>
      <c r="B46" t="s">
        <v>1306</v>
      </c>
      <c r="C46">
        <v>656</v>
      </c>
    </row>
    <row r="47" spans="1:3" x14ac:dyDescent="0.3">
      <c r="A47" t="s">
        <v>3682</v>
      </c>
      <c r="B47" t="s">
        <v>1819</v>
      </c>
      <c r="C47">
        <v>767</v>
      </c>
    </row>
    <row r="48" spans="1:3" x14ac:dyDescent="0.3">
      <c r="A48" t="s">
        <v>3793</v>
      </c>
      <c r="B48" t="s">
        <v>1034</v>
      </c>
      <c r="C48">
        <v>195</v>
      </c>
    </row>
    <row r="49" spans="1:3" x14ac:dyDescent="0.3">
      <c r="A49" t="s">
        <v>3804</v>
      </c>
      <c r="B49" t="s">
        <v>1255</v>
      </c>
      <c r="C49">
        <v>554</v>
      </c>
    </row>
    <row r="50" spans="1:3" x14ac:dyDescent="0.3">
      <c r="A50" t="s">
        <v>3725</v>
      </c>
      <c r="B50" t="s">
        <v>1175</v>
      </c>
      <c r="C50">
        <v>397</v>
      </c>
    </row>
    <row r="51" spans="1:3" x14ac:dyDescent="0.3">
      <c r="A51" t="s">
        <v>3794</v>
      </c>
      <c r="B51" t="s">
        <v>1253</v>
      </c>
      <c r="C51">
        <v>550</v>
      </c>
    </row>
    <row r="52" spans="1:3" x14ac:dyDescent="0.3">
      <c r="A52" t="s">
        <v>3726</v>
      </c>
      <c r="B52" t="s">
        <v>1274</v>
      </c>
      <c r="C52">
        <v>577</v>
      </c>
    </row>
    <row r="53" spans="1:3" x14ac:dyDescent="0.3">
      <c r="A53" t="s">
        <v>3727</v>
      </c>
      <c r="B53" t="s">
        <v>1176</v>
      </c>
      <c r="C53">
        <v>399</v>
      </c>
    </row>
    <row r="54" spans="1:3" x14ac:dyDescent="0.3">
      <c r="A54" t="s">
        <v>3780</v>
      </c>
      <c r="B54" t="s">
        <v>1839</v>
      </c>
      <c r="C54">
        <v>821</v>
      </c>
    </row>
    <row r="55" spans="1:3" x14ac:dyDescent="0.3">
      <c r="A55" t="s">
        <v>3683</v>
      </c>
      <c r="B55" t="s">
        <v>1266</v>
      </c>
      <c r="C55">
        <v>569</v>
      </c>
    </row>
    <row r="56" spans="1:3" x14ac:dyDescent="0.3">
      <c r="A56" t="s">
        <v>3781</v>
      </c>
      <c r="B56" t="s">
        <v>1829</v>
      </c>
      <c r="C56">
        <v>773</v>
      </c>
    </row>
    <row r="57" spans="1:3" x14ac:dyDescent="0.3">
      <c r="A57" t="s">
        <v>3817</v>
      </c>
      <c r="B57" t="s">
        <v>964</v>
      </c>
      <c r="C57">
        <v>94</v>
      </c>
    </row>
    <row r="58" spans="1:3" x14ac:dyDescent="0.3">
      <c r="A58" s="101" t="s">
        <v>4322</v>
      </c>
      <c r="B58" t="s">
        <v>1299</v>
      </c>
      <c r="C58">
        <v>651</v>
      </c>
    </row>
    <row r="59" spans="1:3" x14ac:dyDescent="0.3">
      <c r="A59" t="s">
        <v>3685</v>
      </c>
      <c r="B59" t="s">
        <v>1752</v>
      </c>
      <c r="C59">
        <v>619</v>
      </c>
    </row>
    <row r="60" spans="1:3" x14ac:dyDescent="0.3">
      <c r="A60" t="s">
        <v>3728</v>
      </c>
      <c r="B60" t="s">
        <v>1694</v>
      </c>
      <c r="C60">
        <v>406</v>
      </c>
    </row>
    <row r="61" spans="1:3" x14ac:dyDescent="0.3">
      <c r="A61" t="s">
        <v>3808</v>
      </c>
      <c r="B61" t="s">
        <v>1815</v>
      </c>
      <c r="C61">
        <v>720</v>
      </c>
    </row>
    <row r="62" spans="1:3" x14ac:dyDescent="0.3">
      <c r="A62" t="s">
        <v>3800</v>
      </c>
      <c r="B62" t="s">
        <v>1252</v>
      </c>
      <c r="C62">
        <v>549</v>
      </c>
    </row>
    <row r="63" spans="1:3" x14ac:dyDescent="0.3">
      <c r="A63" t="s">
        <v>3687</v>
      </c>
      <c r="B63" t="s">
        <v>1257</v>
      </c>
      <c r="C63">
        <v>560</v>
      </c>
    </row>
    <row r="64" spans="1:3" x14ac:dyDescent="0.3">
      <c r="A64" t="s">
        <v>3754</v>
      </c>
      <c r="B64" t="s">
        <v>1721</v>
      </c>
      <c r="C64">
        <v>507</v>
      </c>
    </row>
    <row r="65" spans="1:3" x14ac:dyDescent="0.3">
      <c r="A65" s="101" t="s">
        <v>4323</v>
      </c>
      <c r="B65" t="s">
        <v>1763</v>
      </c>
      <c r="C65">
        <v>639</v>
      </c>
    </row>
    <row r="66" spans="1:3" x14ac:dyDescent="0.3">
      <c r="A66" t="s">
        <v>3716</v>
      </c>
      <c r="B66" t="s">
        <v>1698</v>
      </c>
      <c r="C66">
        <v>414</v>
      </c>
    </row>
    <row r="67" spans="1:3" x14ac:dyDescent="0.3">
      <c r="A67" t="s">
        <v>3746</v>
      </c>
      <c r="B67" t="s">
        <v>1702</v>
      </c>
      <c r="C67">
        <v>420</v>
      </c>
    </row>
    <row r="68" spans="1:3" x14ac:dyDescent="0.3">
      <c r="A68" t="s">
        <v>3764</v>
      </c>
      <c r="B68" t="s">
        <v>1705</v>
      </c>
      <c r="C68">
        <v>446</v>
      </c>
    </row>
    <row r="69" spans="1:3" x14ac:dyDescent="0.3">
      <c r="A69" t="s">
        <v>3735</v>
      </c>
      <c r="B69" t="s">
        <v>1691</v>
      </c>
      <c r="C69">
        <v>402</v>
      </c>
    </row>
    <row r="70" spans="1:3" x14ac:dyDescent="0.3">
      <c r="A70" t="s">
        <v>3736</v>
      </c>
      <c r="B70" t="s">
        <v>1184</v>
      </c>
      <c r="C70">
        <v>417</v>
      </c>
    </row>
    <row r="71" spans="1:3" x14ac:dyDescent="0.3">
      <c r="A71" t="s">
        <v>3756</v>
      </c>
      <c r="B71" t="s">
        <v>1627</v>
      </c>
      <c r="C71">
        <v>242</v>
      </c>
    </row>
    <row r="72" spans="1:3" x14ac:dyDescent="0.3">
      <c r="A72" t="s">
        <v>3791</v>
      </c>
      <c r="B72" t="s">
        <v>1617</v>
      </c>
      <c r="C72">
        <v>225</v>
      </c>
    </row>
    <row r="73" spans="1:3" x14ac:dyDescent="0.3">
      <c r="A73" t="s">
        <v>3802</v>
      </c>
      <c r="B73" t="s">
        <v>1830</v>
      </c>
      <c r="C73">
        <v>777</v>
      </c>
    </row>
    <row r="74" spans="1:3" x14ac:dyDescent="0.3">
      <c r="A74" t="s">
        <v>3828</v>
      </c>
      <c r="B74" t="s">
        <v>1153</v>
      </c>
      <c r="C74">
        <v>336</v>
      </c>
    </row>
    <row r="75" spans="1:3" x14ac:dyDescent="0.3">
      <c r="A75" t="s">
        <v>3729</v>
      </c>
      <c r="B75" t="s">
        <v>1803</v>
      </c>
      <c r="C75">
        <v>677</v>
      </c>
    </row>
    <row r="76" spans="1:3" x14ac:dyDescent="0.3">
      <c r="A76" t="s">
        <v>3809</v>
      </c>
      <c r="B76" t="s">
        <v>1832</v>
      </c>
      <c r="C76">
        <v>780</v>
      </c>
    </row>
    <row r="77" spans="1:3" x14ac:dyDescent="0.3">
      <c r="A77" t="s">
        <v>3768</v>
      </c>
      <c r="B77" t="s">
        <v>1833</v>
      </c>
      <c r="C77">
        <v>782</v>
      </c>
    </row>
    <row r="78" spans="1:3" x14ac:dyDescent="0.3">
      <c r="A78" t="s">
        <v>3837</v>
      </c>
      <c r="B78" t="s">
        <v>1831</v>
      </c>
      <c r="C78">
        <v>778</v>
      </c>
    </row>
    <row r="79" spans="1:3" x14ac:dyDescent="0.3">
      <c r="A79" t="s">
        <v>3838</v>
      </c>
      <c r="B79" t="s">
        <v>1141</v>
      </c>
      <c r="C79">
        <v>311</v>
      </c>
    </row>
    <row r="80" spans="1:3" x14ac:dyDescent="0.3">
      <c r="A80" t="s">
        <v>3818</v>
      </c>
      <c r="B80" t="s">
        <v>1099</v>
      </c>
      <c r="C80">
        <v>263</v>
      </c>
    </row>
    <row r="81" spans="1:3" x14ac:dyDescent="0.3">
      <c r="A81" t="s">
        <v>3795</v>
      </c>
      <c r="B81" t="s">
        <v>1279</v>
      </c>
      <c r="C81">
        <v>592</v>
      </c>
    </row>
    <row r="82" spans="1:3" x14ac:dyDescent="0.3">
      <c r="A82" t="s">
        <v>3819</v>
      </c>
      <c r="B82" t="s">
        <v>1050</v>
      </c>
      <c r="C82">
        <v>224</v>
      </c>
    </row>
    <row r="83" spans="1:3" x14ac:dyDescent="0.3">
      <c r="A83" t="s">
        <v>4324</v>
      </c>
      <c r="B83" t="s">
        <v>1702</v>
      </c>
      <c r="C83">
        <v>420</v>
      </c>
    </row>
    <row r="84" spans="1:3" x14ac:dyDescent="0.3">
      <c r="A84" t="s">
        <v>3730</v>
      </c>
      <c r="B84" t="s">
        <v>1219</v>
      </c>
      <c r="C84">
        <v>497</v>
      </c>
    </row>
    <row r="85" spans="1:3" x14ac:dyDescent="0.3">
      <c r="A85" t="s">
        <v>3757</v>
      </c>
      <c r="B85" t="s">
        <v>1598</v>
      </c>
      <c r="C85">
        <v>201</v>
      </c>
    </row>
    <row r="86" spans="1:3" x14ac:dyDescent="0.3">
      <c r="A86" t="s">
        <v>3731</v>
      </c>
      <c r="B86" t="s">
        <v>1164</v>
      </c>
      <c r="C86">
        <v>372</v>
      </c>
    </row>
    <row r="87" spans="1:3" x14ac:dyDescent="0.3">
      <c r="A87" t="s">
        <v>3688</v>
      </c>
      <c r="B87" t="s">
        <v>1150</v>
      </c>
      <c r="C87">
        <v>333</v>
      </c>
    </row>
    <row r="88" spans="1:3" x14ac:dyDescent="0.3">
      <c r="A88" t="s">
        <v>3782</v>
      </c>
      <c r="B88" t="s">
        <v>1039</v>
      </c>
      <c r="C88">
        <v>210</v>
      </c>
    </row>
    <row r="89" spans="1:3" x14ac:dyDescent="0.3">
      <c r="A89" t="s">
        <v>3689</v>
      </c>
      <c r="B89" t="s">
        <v>1553</v>
      </c>
      <c r="C89">
        <v>56</v>
      </c>
    </row>
    <row r="90" spans="1:3" x14ac:dyDescent="0.3">
      <c r="A90" s="101" t="s">
        <v>4325</v>
      </c>
      <c r="B90" t="s">
        <v>1753</v>
      </c>
      <c r="C90">
        <v>636</v>
      </c>
    </row>
    <row r="91" spans="1:3" x14ac:dyDescent="0.3">
      <c r="A91" t="s">
        <v>3187</v>
      </c>
      <c r="B91" t="s">
        <v>1745</v>
      </c>
      <c r="C91">
        <v>571</v>
      </c>
    </row>
    <row r="92" spans="1:3" x14ac:dyDescent="0.3">
      <c r="A92" t="s">
        <v>3783</v>
      </c>
      <c r="B92" t="s">
        <v>4326</v>
      </c>
      <c r="C92">
        <v>671</v>
      </c>
    </row>
    <row r="93" spans="1:3" x14ac:dyDescent="0.3">
      <c r="A93" t="s">
        <v>3690</v>
      </c>
      <c r="B93" t="s">
        <v>1742</v>
      </c>
      <c r="C93">
        <v>568</v>
      </c>
    </row>
    <row r="94" spans="1:3" x14ac:dyDescent="0.3">
      <c r="A94" t="s">
        <v>3829</v>
      </c>
      <c r="B94" t="s">
        <v>1136</v>
      </c>
      <c r="C94">
        <v>299</v>
      </c>
    </row>
    <row r="95" spans="1:3" x14ac:dyDescent="0.3">
      <c r="A95" t="s">
        <v>3691</v>
      </c>
      <c r="B95" t="s">
        <v>950</v>
      </c>
      <c r="C95">
        <v>79</v>
      </c>
    </row>
    <row r="96" spans="1:3" x14ac:dyDescent="0.3">
      <c r="A96" t="s">
        <v>3801</v>
      </c>
      <c r="B96" t="s">
        <v>1561</v>
      </c>
      <c r="C96">
        <v>103</v>
      </c>
    </row>
    <row r="97" spans="1:3" x14ac:dyDescent="0.3">
      <c r="A97" s="101" t="s">
        <v>4327</v>
      </c>
      <c r="B97" t="s">
        <v>1779</v>
      </c>
      <c r="C97">
        <v>645</v>
      </c>
    </row>
    <row r="98" spans="1:3" x14ac:dyDescent="0.3">
      <c r="A98" t="s">
        <v>3732</v>
      </c>
      <c r="B98" t="s">
        <v>1193</v>
      </c>
      <c r="C98">
        <v>449</v>
      </c>
    </row>
    <row r="99" spans="1:3" x14ac:dyDescent="0.3">
      <c r="A99" t="s">
        <v>3796</v>
      </c>
      <c r="B99" t="s">
        <v>1129</v>
      </c>
      <c r="C99">
        <v>292</v>
      </c>
    </row>
    <row r="100" spans="1:3" x14ac:dyDescent="0.3">
      <c r="A100" t="s">
        <v>3821</v>
      </c>
      <c r="B100" t="s">
        <v>1813</v>
      </c>
      <c r="C100">
        <v>702</v>
      </c>
    </row>
    <row r="101" spans="1:3" x14ac:dyDescent="0.3">
      <c r="A101" t="s">
        <v>3693</v>
      </c>
      <c r="B101" t="s">
        <v>1619</v>
      </c>
      <c r="C101">
        <v>234</v>
      </c>
    </row>
    <row r="102" spans="1:3" x14ac:dyDescent="0.3">
      <c r="A102" t="s">
        <v>3733</v>
      </c>
      <c r="B102" t="s">
        <v>947</v>
      </c>
      <c r="C102">
        <v>75</v>
      </c>
    </row>
    <row r="103" spans="1:3" x14ac:dyDescent="0.3">
      <c r="A103" t="s">
        <v>3772</v>
      </c>
      <c r="B103" t="s">
        <v>1638</v>
      </c>
      <c r="C103">
        <v>257</v>
      </c>
    </row>
    <row r="104" spans="1:3" x14ac:dyDescent="0.3">
      <c r="A104" s="101" t="s">
        <v>4328</v>
      </c>
      <c r="B104" t="s">
        <v>1770</v>
      </c>
      <c r="C104">
        <v>642</v>
      </c>
    </row>
    <row r="105" spans="1:3" x14ac:dyDescent="0.3">
      <c r="A105" t="s">
        <v>3784</v>
      </c>
      <c r="B105" t="s">
        <v>1670</v>
      </c>
      <c r="C105">
        <v>339</v>
      </c>
    </row>
    <row r="106" spans="1:3" x14ac:dyDescent="0.3">
      <c r="A106" t="s">
        <v>3734</v>
      </c>
      <c r="B106" t="s">
        <v>1188</v>
      </c>
      <c r="C106">
        <v>430</v>
      </c>
    </row>
    <row r="107" spans="1:3" x14ac:dyDescent="0.3">
      <c r="A107" t="s">
        <v>3694</v>
      </c>
      <c r="B107" t="s">
        <v>1094</v>
      </c>
      <c r="C107">
        <v>260</v>
      </c>
    </row>
    <row r="108" spans="1:3" x14ac:dyDescent="0.3">
      <c r="A108" t="s">
        <v>3695</v>
      </c>
      <c r="B108" t="s">
        <v>1693</v>
      </c>
      <c r="C108">
        <v>403</v>
      </c>
    </row>
    <row r="109" spans="1:3" x14ac:dyDescent="0.3">
      <c r="A109" t="s">
        <v>3696</v>
      </c>
      <c r="B109" t="s">
        <v>1213</v>
      </c>
      <c r="C109">
        <v>490</v>
      </c>
    </row>
    <row r="110" spans="1:3" x14ac:dyDescent="0.3">
      <c r="A110" t="s">
        <v>3785</v>
      </c>
      <c r="B110" t="s">
        <v>1280</v>
      </c>
      <c r="C110">
        <v>600</v>
      </c>
    </row>
    <row r="111" spans="1:3" x14ac:dyDescent="0.3">
      <c r="A111" t="s">
        <v>3758</v>
      </c>
      <c r="B111" t="s">
        <v>1031</v>
      </c>
      <c r="C111">
        <v>187</v>
      </c>
    </row>
    <row r="112" spans="1:3" x14ac:dyDescent="0.3">
      <c r="A112" t="s">
        <v>3697</v>
      </c>
      <c r="B112" t="s">
        <v>1243</v>
      </c>
      <c r="C112">
        <v>534</v>
      </c>
    </row>
    <row r="113" spans="1:3" x14ac:dyDescent="0.3">
      <c r="A113" t="s">
        <v>3698</v>
      </c>
      <c r="B113" t="s">
        <v>1236</v>
      </c>
      <c r="C113">
        <v>521</v>
      </c>
    </row>
    <row r="114" spans="1:3" x14ac:dyDescent="0.3">
      <c r="A114" t="s">
        <v>3820</v>
      </c>
      <c r="B114" t="s">
        <v>1805</v>
      </c>
      <c r="C114">
        <v>687</v>
      </c>
    </row>
    <row r="115" spans="1:3" x14ac:dyDescent="0.3">
      <c r="A115" t="s">
        <v>3786</v>
      </c>
      <c r="B115" t="s">
        <v>1817</v>
      </c>
      <c r="C115">
        <v>748</v>
      </c>
    </row>
    <row r="116" spans="1:3" x14ac:dyDescent="0.3">
      <c r="A116" t="s">
        <v>3797</v>
      </c>
      <c r="B116" t="s">
        <v>1277</v>
      </c>
      <c r="C116">
        <v>587</v>
      </c>
    </row>
    <row r="117" spans="1:3" x14ac:dyDescent="0.3">
      <c r="A117" t="s">
        <v>3805</v>
      </c>
      <c r="B117" t="s">
        <v>1597</v>
      </c>
      <c r="C117">
        <v>197</v>
      </c>
    </row>
    <row r="118" spans="1:3" x14ac:dyDescent="0.3">
      <c r="A118" t="s">
        <v>3752</v>
      </c>
      <c r="B118" t="s">
        <v>1807</v>
      </c>
      <c r="C118">
        <v>689</v>
      </c>
    </row>
    <row r="119" spans="1:3" x14ac:dyDescent="0.3">
      <c r="A119" t="s">
        <v>3765</v>
      </c>
      <c r="B119" t="s">
        <v>1270</v>
      </c>
      <c r="C119">
        <v>574</v>
      </c>
    </row>
    <row r="120" spans="1:3" x14ac:dyDescent="0.3">
      <c r="A120" t="s">
        <v>3699</v>
      </c>
      <c r="B120" t="s">
        <v>1616</v>
      </c>
      <c r="C120">
        <v>223</v>
      </c>
    </row>
    <row r="121" spans="1:3" x14ac:dyDescent="0.3">
      <c r="A121" t="s">
        <v>3806</v>
      </c>
      <c r="B121" t="s">
        <v>1714</v>
      </c>
      <c r="C121">
        <v>489</v>
      </c>
    </row>
    <row r="122" spans="1:3" x14ac:dyDescent="0.3">
      <c r="A122" t="s">
        <v>3700</v>
      </c>
      <c r="B122" t="s">
        <v>1244</v>
      </c>
      <c r="C122">
        <v>536</v>
      </c>
    </row>
    <row r="123" spans="1:3" x14ac:dyDescent="0.3">
      <c r="A123" t="s">
        <v>3803</v>
      </c>
      <c r="B123" t="s">
        <v>1133</v>
      </c>
      <c r="C123">
        <v>296</v>
      </c>
    </row>
    <row r="124" spans="1:3" x14ac:dyDescent="0.3">
      <c r="A124" t="s">
        <v>3701</v>
      </c>
      <c r="B124" t="s">
        <v>982</v>
      </c>
      <c r="C124">
        <v>116</v>
      </c>
    </row>
    <row r="125" spans="1:3" x14ac:dyDescent="0.3">
      <c r="A125" t="s">
        <v>3703</v>
      </c>
      <c r="B125" t="s">
        <v>1602</v>
      </c>
      <c r="C125">
        <v>211</v>
      </c>
    </row>
    <row r="126" spans="1:3" x14ac:dyDescent="0.3">
      <c r="A126" t="s">
        <v>3737</v>
      </c>
      <c r="B126" t="s">
        <v>1174</v>
      </c>
      <c r="C126">
        <v>394</v>
      </c>
    </row>
    <row r="127" spans="1:3" x14ac:dyDescent="0.3">
      <c r="A127" t="s">
        <v>3823</v>
      </c>
      <c r="B127" t="s">
        <v>1818</v>
      </c>
      <c r="C127">
        <v>754</v>
      </c>
    </row>
    <row r="128" spans="1:3" x14ac:dyDescent="0.3">
      <c r="A128" t="s">
        <v>3738</v>
      </c>
      <c r="B128" t="s">
        <v>1238</v>
      </c>
      <c r="C128">
        <v>523</v>
      </c>
    </row>
    <row r="129" spans="1:3" x14ac:dyDescent="0.3">
      <c r="A129" t="s">
        <v>3824</v>
      </c>
      <c r="B129" t="s">
        <v>963</v>
      </c>
      <c r="C129">
        <v>92</v>
      </c>
    </row>
    <row r="130" spans="1:3" x14ac:dyDescent="0.3">
      <c r="A130" t="s">
        <v>3827</v>
      </c>
      <c r="B130" t="s">
        <v>1834</v>
      </c>
      <c r="C130">
        <v>788</v>
      </c>
    </row>
    <row r="131" spans="1:3" x14ac:dyDescent="0.3">
      <c r="A131" t="s">
        <v>3759</v>
      </c>
      <c r="B131" t="s">
        <v>1650</v>
      </c>
      <c r="C131">
        <v>270</v>
      </c>
    </row>
    <row r="132" spans="1:3" x14ac:dyDescent="0.3">
      <c r="A132" t="s">
        <v>3798</v>
      </c>
      <c r="B132" t="s">
        <v>1251</v>
      </c>
      <c r="C132">
        <v>547</v>
      </c>
    </row>
    <row r="133" spans="1:3" x14ac:dyDescent="0.3">
      <c r="A133" t="s">
        <v>3704</v>
      </c>
      <c r="B133" t="s">
        <v>1548</v>
      </c>
      <c r="C133">
        <v>27</v>
      </c>
    </row>
    <row r="134" spans="1:3" x14ac:dyDescent="0.3">
      <c r="A134" t="s">
        <v>3815</v>
      </c>
      <c r="B134" t="s">
        <v>1572</v>
      </c>
      <c r="C134">
        <v>149</v>
      </c>
    </row>
    <row r="135" spans="1:3" x14ac:dyDescent="0.3">
      <c r="A135" t="s">
        <v>3810</v>
      </c>
      <c r="B135" t="s">
        <v>1841</v>
      </c>
      <c r="C135">
        <v>836</v>
      </c>
    </row>
    <row r="136" spans="1:3" x14ac:dyDescent="0.3">
      <c r="A136" t="s">
        <v>3739</v>
      </c>
      <c r="B136" t="s">
        <v>943</v>
      </c>
      <c r="C136">
        <v>71</v>
      </c>
    </row>
    <row r="137" spans="1:3" x14ac:dyDescent="0.3">
      <c r="A137" s="101" t="s">
        <v>4329</v>
      </c>
      <c r="B137" t="s">
        <v>1760</v>
      </c>
      <c r="C137">
        <v>638</v>
      </c>
    </row>
    <row r="138" spans="1:3" x14ac:dyDescent="0.3">
      <c r="A138" t="s">
        <v>3787</v>
      </c>
      <c r="B138" t="s">
        <v>1121</v>
      </c>
      <c r="C138">
        <v>280</v>
      </c>
    </row>
    <row r="139" spans="1:3" x14ac:dyDescent="0.3">
      <c r="A139" t="s">
        <v>3705</v>
      </c>
      <c r="B139" t="s">
        <v>1124</v>
      </c>
      <c r="C139">
        <v>289</v>
      </c>
    </row>
    <row r="140" spans="1:3" x14ac:dyDescent="0.3">
      <c r="A140" t="s">
        <v>3773</v>
      </c>
      <c r="B140" t="s">
        <v>1835</v>
      </c>
      <c r="C140">
        <v>789</v>
      </c>
    </row>
    <row r="141" spans="1:3" x14ac:dyDescent="0.3">
      <c r="A141" t="s">
        <v>3740</v>
      </c>
      <c r="B141" t="s">
        <v>955</v>
      </c>
      <c r="C141">
        <v>83</v>
      </c>
    </row>
    <row r="142" spans="1:3" x14ac:dyDescent="0.3">
      <c r="A142" s="101" t="s">
        <v>4330</v>
      </c>
      <c r="B142" t="s">
        <v>1756</v>
      </c>
      <c r="C142">
        <v>637</v>
      </c>
    </row>
    <row r="143" spans="1:3" x14ac:dyDescent="0.3">
      <c r="A143" t="s">
        <v>3722</v>
      </c>
      <c r="B143" t="s">
        <v>1730</v>
      </c>
      <c r="C143">
        <v>530</v>
      </c>
    </row>
    <row r="144" spans="1:3" x14ac:dyDescent="0.3">
      <c r="A144" t="s">
        <v>3741</v>
      </c>
      <c r="B144" t="s">
        <v>1620</v>
      </c>
      <c r="C144">
        <v>236</v>
      </c>
    </row>
    <row r="145" spans="1:3" x14ac:dyDescent="0.3">
      <c r="A145" t="s">
        <v>3707</v>
      </c>
      <c r="B145" t="s">
        <v>1816</v>
      </c>
      <c r="C145">
        <v>723</v>
      </c>
    </row>
    <row r="146" spans="1:3" x14ac:dyDescent="0.3">
      <c r="A146" t="s">
        <v>3742</v>
      </c>
      <c r="B146" t="s">
        <v>1165</v>
      </c>
      <c r="C146">
        <v>373</v>
      </c>
    </row>
    <row r="147" spans="1:3" x14ac:dyDescent="0.3">
      <c r="A147" t="s">
        <v>3686</v>
      </c>
      <c r="B147" t="s">
        <v>1736</v>
      </c>
      <c r="C147">
        <v>541</v>
      </c>
    </row>
    <row r="148" spans="1:3" x14ac:dyDescent="0.3">
      <c r="A148" t="s">
        <v>3760</v>
      </c>
      <c r="B148" t="s">
        <v>1250</v>
      </c>
      <c r="C148">
        <v>544</v>
      </c>
    </row>
    <row r="149" spans="1:3" x14ac:dyDescent="0.3">
      <c r="A149" t="s">
        <v>3788</v>
      </c>
      <c r="B149" t="s">
        <v>1186</v>
      </c>
      <c r="C149">
        <v>423</v>
      </c>
    </row>
    <row r="150" spans="1:3" x14ac:dyDescent="0.3">
      <c r="A150" t="s">
        <v>3708</v>
      </c>
      <c r="B150" t="s">
        <v>1006</v>
      </c>
      <c r="C150">
        <v>157</v>
      </c>
    </row>
    <row r="151" spans="1:3" x14ac:dyDescent="0.3">
      <c r="A151" t="s">
        <v>3709</v>
      </c>
      <c r="B151" t="s">
        <v>1005</v>
      </c>
      <c r="C151">
        <v>156</v>
      </c>
    </row>
    <row r="152" spans="1:3" x14ac:dyDescent="0.3">
      <c r="A152" t="s">
        <v>3812</v>
      </c>
      <c r="B152" t="s">
        <v>1582</v>
      </c>
      <c r="C152">
        <v>161</v>
      </c>
    </row>
    <row r="153" spans="1:3" x14ac:dyDescent="0.3">
      <c r="A153" t="s">
        <v>3710</v>
      </c>
      <c r="B153" t="s">
        <v>1105</v>
      </c>
      <c r="C153">
        <v>267</v>
      </c>
    </row>
    <row r="154" spans="1:3" x14ac:dyDescent="0.3">
      <c r="A154" s="101" t="s">
        <v>4331</v>
      </c>
      <c r="B154" t="s">
        <v>1793</v>
      </c>
      <c r="C154">
        <v>649</v>
      </c>
    </row>
    <row r="155" spans="1:3" x14ac:dyDescent="0.3">
      <c r="A155" t="s">
        <v>3774</v>
      </c>
      <c r="B155" t="s">
        <v>988</v>
      </c>
      <c r="C155">
        <v>122</v>
      </c>
    </row>
    <row r="156" spans="1:3" x14ac:dyDescent="0.3">
      <c r="A156" t="s">
        <v>3743</v>
      </c>
      <c r="B156" t="s">
        <v>1716</v>
      </c>
      <c r="C156">
        <v>495</v>
      </c>
    </row>
    <row r="157" spans="1:3" x14ac:dyDescent="0.3">
      <c r="A157" t="s">
        <v>3766</v>
      </c>
      <c r="B157" t="s">
        <v>1571</v>
      </c>
      <c r="C157">
        <v>136</v>
      </c>
    </row>
    <row r="158" spans="1:3" x14ac:dyDescent="0.3">
      <c r="A158" t="s">
        <v>3789</v>
      </c>
      <c r="B158" t="s">
        <v>1800</v>
      </c>
      <c r="C158">
        <v>667</v>
      </c>
    </row>
    <row r="159" spans="1:3" x14ac:dyDescent="0.3">
      <c r="A159" t="s">
        <v>3744</v>
      </c>
      <c r="B159" t="s">
        <v>1840</v>
      </c>
      <c r="C159">
        <v>826</v>
      </c>
    </row>
    <row r="160" spans="1:3" x14ac:dyDescent="0.3">
      <c r="A160" t="s">
        <v>3745</v>
      </c>
      <c r="B160" t="s">
        <v>1167</v>
      </c>
      <c r="C160">
        <v>388</v>
      </c>
    </row>
    <row r="161" spans="1:3" x14ac:dyDescent="0.3">
      <c r="A161" t="s">
        <v>2916</v>
      </c>
      <c r="B161" t="s">
        <v>967</v>
      </c>
      <c r="C161">
        <v>97</v>
      </c>
    </row>
    <row r="162" spans="1:3" x14ac:dyDescent="0.3">
      <c r="A162" t="s">
        <v>3753</v>
      </c>
      <c r="B162" t="s">
        <v>1751</v>
      </c>
      <c r="C162">
        <v>603</v>
      </c>
    </row>
    <row r="163" spans="1:3" x14ac:dyDescent="0.3">
      <c r="A163" t="s">
        <v>3790</v>
      </c>
      <c r="B163" t="s">
        <v>1117</v>
      </c>
      <c r="C163">
        <v>275</v>
      </c>
    </row>
    <row r="164" spans="1:3" x14ac:dyDescent="0.3">
      <c r="A164" s="101" t="s">
        <v>4332</v>
      </c>
      <c r="B164" t="s">
        <v>1783</v>
      </c>
      <c r="C164">
        <v>646</v>
      </c>
    </row>
    <row r="165" spans="1:3" x14ac:dyDescent="0.3">
      <c r="A165" t="s">
        <v>3834</v>
      </c>
      <c r="B165" t="s">
        <v>1810</v>
      </c>
      <c r="C165">
        <v>692</v>
      </c>
    </row>
    <row r="166" spans="1:3" x14ac:dyDescent="0.3">
      <c r="A166" t="s">
        <v>3711</v>
      </c>
      <c r="B166" t="s">
        <v>1711</v>
      </c>
      <c r="C166">
        <v>463</v>
      </c>
    </row>
    <row r="167" spans="1:3" x14ac:dyDescent="0.3">
      <c r="A167" s="101" t="s">
        <v>4333</v>
      </c>
      <c r="B167" t="s">
        <v>1795</v>
      </c>
      <c r="C167">
        <v>655</v>
      </c>
    </row>
    <row r="168" spans="1:3" x14ac:dyDescent="0.3">
      <c r="A168" t="s">
        <v>3747</v>
      </c>
      <c r="B168" t="s">
        <v>1038</v>
      </c>
      <c r="C168">
        <v>205</v>
      </c>
    </row>
    <row r="169" spans="1:3" x14ac:dyDescent="0.3">
      <c r="A169" t="s">
        <v>3712</v>
      </c>
      <c r="B169" t="s">
        <v>1613</v>
      </c>
      <c r="C169">
        <v>222</v>
      </c>
    </row>
    <row r="170" spans="1:3" x14ac:dyDescent="0.3">
      <c r="A170" t="s">
        <v>3713</v>
      </c>
      <c r="B170" t="s">
        <v>1264</v>
      </c>
      <c r="C170">
        <v>567</v>
      </c>
    </row>
    <row r="171" spans="1:3" x14ac:dyDescent="0.3">
      <c r="A171" t="s">
        <v>3714</v>
      </c>
      <c r="B171" t="s">
        <v>890</v>
      </c>
      <c r="C171">
        <v>15</v>
      </c>
    </row>
    <row r="172" spans="1:3" x14ac:dyDescent="0.3">
      <c r="A172" t="s">
        <v>3767</v>
      </c>
      <c r="B172" t="s">
        <v>998</v>
      </c>
      <c r="C172">
        <v>137</v>
      </c>
    </row>
    <row r="173" spans="1:3" x14ac:dyDescent="0.3">
      <c r="A173" t="s">
        <v>3816</v>
      </c>
      <c r="B173" t="s">
        <v>1570</v>
      </c>
      <c r="C173">
        <v>135</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E7CD3E-ED59-4962-8ABB-AFBCA4FC1DD2}">
  <dimension ref="A1:D128"/>
  <sheetViews>
    <sheetView zoomScale="80" zoomScaleNormal="80" workbookViewId="0">
      <pane xSplit="1" ySplit="1" topLeftCell="B110" activePane="bottomRight" state="frozen"/>
      <selection pane="topRight" activeCell="B1" sqref="B1"/>
      <selection pane="bottomLeft" activeCell="A2" sqref="A2"/>
      <selection pane="bottomRight" activeCell="D147" sqref="D147"/>
    </sheetView>
  </sheetViews>
  <sheetFormatPr defaultColWidth="10.77734375" defaultRowHeight="14.4" x14ac:dyDescent="0.3"/>
  <sheetData>
    <row r="1" spans="1:4" x14ac:dyDescent="0.3">
      <c r="A1" t="s">
        <v>1926</v>
      </c>
      <c r="B1" t="s">
        <v>713</v>
      </c>
      <c r="C1" t="s">
        <v>712</v>
      </c>
      <c r="D1" t="s">
        <v>4334</v>
      </c>
    </row>
    <row r="2" spans="1:4" x14ac:dyDescent="0.3">
      <c r="A2" t="s">
        <v>1987</v>
      </c>
      <c r="B2">
        <v>2807</v>
      </c>
      <c r="C2" t="s">
        <v>904</v>
      </c>
      <c r="D2">
        <v>0.14000000000000001</v>
      </c>
    </row>
    <row r="3" spans="1:4" x14ac:dyDescent="0.3">
      <c r="A3" t="s">
        <v>1980</v>
      </c>
      <c r="B3">
        <v>2511</v>
      </c>
      <c r="C3" t="s">
        <v>891</v>
      </c>
      <c r="D3">
        <v>0.14000000000000001</v>
      </c>
    </row>
    <row r="4" spans="1:4" x14ac:dyDescent="0.3">
      <c r="A4" t="s">
        <v>1983</v>
      </c>
      <c r="B4">
        <v>2513</v>
      </c>
      <c r="C4" t="s">
        <v>920</v>
      </c>
      <c r="D4">
        <v>0.14000000000000001</v>
      </c>
    </row>
    <row r="5" spans="1:4" x14ac:dyDescent="0.3">
      <c r="A5" t="s">
        <v>1986</v>
      </c>
      <c r="B5">
        <v>2514</v>
      </c>
      <c r="C5" t="s">
        <v>930</v>
      </c>
      <c r="D5">
        <v>0.14000000000000001</v>
      </c>
    </row>
    <row r="6" spans="1:4" x14ac:dyDescent="0.3">
      <c r="A6" t="s">
        <v>1981</v>
      </c>
      <c r="B6">
        <v>2515</v>
      </c>
      <c r="C6" t="s">
        <v>944</v>
      </c>
      <c r="D6">
        <v>0.14000000000000001</v>
      </c>
    </row>
    <row r="7" spans="1:4" x14ac:dyDescent="0.3">
      <c r="A7" t="s">
        <v>1985</v>
      </c>
      <c r="B7">
        <v>2516</v>
      </c>
      <c r="C7" t="s">
        <v>947</v>
      </c>
      <c r="D7">
        <v>0.14000000000000001</v>
      </c>
    </row>
    <row r="8" spans="1:4" x14ac:dyDescent="0.3">
      <c r="A8" t="s">
        <v>1979</v>
      </c>
      <c r="B8">
        <v>2517</v>
      </c>
      <c r="C8" t="s">
        <v>951</v>
      </c>
      <c r="D8">
        <v>0.12</v>
      </c>
    </row>
    <row r="9" spans="1:4" x14ac:dyDescent="0.3">
      <c r="A9" t="s">
        <v>1984</v>
      </c>
      <c r="B9">
        <v>2518</v>
      </c>
      <c r="C9" t="s">
        <v>956</v>
      </c>
      <c r="D9">
        <v>0.11</v>
      </c>
    </row>
    <row r="10" spans="1:4" x14ac:dyDescent="0.3">
      <c r="A10" t="s">
        <v>1982</v>
      </c>
      <c r="B10">
        <v>2520</v>
      </c>
      <c r="C10" t="s">
        <v>942</v>
      </c>
      <c r="D10">
        <v>0.14000000000000001</v>
      </c>
    </row>
    <row r="11" spans="1:4" x14ac:dyDescent="0.3">
      <c r="A11" t="s">
        <v>2094</v>
      </c>
      <c r="B11">
        <v>2531</v>
      </c>
      <c r="C11" t="s">
        <v>983</v>
      </c>
      <c r="D11">
        <v>0.78</v>
      </c>
    </row>
    <row r="12" spans="1:4" x14ac:dyDescent="0.3">
      <c r="A12" t="s">
        <v>2093</v>
      </c>
      <c r="B12">
        <v>2532</v>
      </c>
      <c r="C12" t="s">
        <v>990</v>
      </c>
      <c r="D12">
        <v>0.7</v>
      </c>
    </row>
    <row r="13" spans="1:4" x14ac:dyDescent="0.3">
      <c r="A13" t="s">
        <v>2096</v>
      </c>
      <c r="B13">
        <v>2533</v>
      </c>
      <c r="C13" t="s">
        <v>988</v>
      </c>
      <c r="D13">
        <v>0.7</v>
      </c>
    </row>
    <row r="14" spans="1:4" x14ac:dyDescent="0.3">
      <c r="A14" t="s">
        <v>2095</v>
      </c>
      <c r="B14">
        <v>2534</v>
      </c>
      <c r="C14" t="s">
        <v>996</v>
      </c>
      <c r="D14">
        <v>0.75</v>
      </c>
    </row>
    <row r="15" spans="1:4" x14ac:dyDescent="0.3">
      <c r="A15" t="s">
        <v>2091</v>
      </c>
      <c r="B15">
        <v>2535</v>
      </c>
      <c r="C15" t="s">
        <v>998</v>
      </c>
      <c r="D15">
        <v>0.74</v>
      </c>
    </row>
    <row r="16" spans="1:4" x14ac:dyDescent="0.3">
      <c r="A16" t="s">
        <v>2100</v>
      </c>
      <c r="B16">
        <v>2536</v>
      </c>
      <c r="C16" t="s">
        <v>1005</v>
      </c>
      <c r="D16">
        <v>0.82499999999999996</v>
      </c>
    </row>
    <row r="17" spans="1:4" x14ac:dyDescent="0.3">
      <c r="A17" t="s">
        <v>2097</v>
      </c>
      <c r="B17">
        <v>2537</v>
      </c>
      <c r="C17" t="s">
        <v>1006</v>
      </c>
      <c r="D17">
        <v>0.77</v>
      </c>
    </row>
    <row r="18" spans="1:4" x14ac:dyDescent="0.3">
      <c r="A18" t="s">
        <v>2134</v>
      </c>
      <c r="B18">
        <v>2546</v>
      </c>
      <c r="C18" t="s">
        <v>1028</v>
      </c>
      <c r="D18">
        <v>0.8</v>
      </c>
    </row>
    <row r="19" spans="1:4" x14ac:dyDescent="0.3">
      <c r="A19" t="s">
        <v>2135</v>
      </c>
      <c r="B19">
        <v>2547</v>
      </c>
      <c r="C19" t="s">
        <v>1032</v>
      </c>
      <c r="D19">
        <v>0.83</v>
      </c>
    </row>
    <row r="20" spans="1:4" x14ac:dyDescent="0.3">
      <c r="A20" t="s">
        <v>2136</v>
      </c>
      <c r="B20">
        <v>2549</v>
      </c>
      <c r="C20" t="s">
        <v>1030</v>
      </c>
      <c r="D20">
        <v>0.1</v>
      </c>
    </row>
    <row r="21" spans="1:4" x14ac:dyDescent="0.3">
      <c r="A21" t="s">
        <v>2137</v>
      </c>
      <c r="B21">
        <v>2551</v>
      </c>
      <c r="C21" t="s">
        <v>1044</v>
      </c>
      <c r="D21">
        <v>0</v>
      </c>
    </row>
    <row r="22" spans="1:4" x14ac:dyDescent="0.3">
      <c r="A22" t="s">
        <v>2079</v>
      </c>
      <c r="B22">
        <v>2555</v>
      </c>
      <c r="C22" t="s">
        <v>1061</v>
      </c>
      <c r="D22">
        <v>0.1</v>
      </c>
    </row>
    <row r="23" spans="1:4" x14ac:dyDescent="0.3">
      <c r="A23" t="s">
        <v>2076</v>
      </c>
      <c r="B23">
        <v>2552</v>
      </c>
      <c r="C23" t="s">
        <v>1070</v>
      </c>
      <c r="D23">
        <v>0.06</v>
      </c>
    </row>
    <row r="24" spans="1:4" x14ac:dyDescent="0.3">
      <c r="A24" t="s">
        <v>2082</v>
      </c>
      <c r="B24">
        <v>2557</v>
      </c>
      <c r="C24" t="s">
        <v>1105</v>
      </c>
      <c r="D24">
        <v>7.0000000000000007E-2</v>
      </c>
    </row>
    <row r="25" spans="1:4" x14ac:dyDescent="0.3">
      <c r="A25" t="s">
        <v>2083</v>
      </c>
      <c r="B25">
        <v>2558</v>
      </c>
      <c r="C25" t="s">
        <v>1111</v>
      </c>
      <c r="D25">
        <v>0.12</v>
      </c>
    </row>
    <row r="26" spans="1:4" x14ac:dyDescent="0.3">
      <c r="A26" t="s">
        <v>2078</v>
      </c>
      <c r="B26">
        <v>328</v>
      </c>
      <c r="C26" t="s">
        <v>1525</v>
      </c>
      <c r="D26">
        <v>0.1</v>
      </c>
    </row>
    <row r="27" spans="1:4" x14ac:dyDescent="0.3">
      <c r="A27" t="s">
        <v>2080</v>
      </c>
      <c r="B27">
        <v>2560</v>
      </c>
      <c r="C27" t="s">
        <v>1079</v>
      </c>
      <c r="D27">
        <v>0.4</v>
      </c>
    </row>
    <row r="28" spans="1:4" x14ac:dyDescent="0.3">
      <c r="A28" t="s">
        <v>2081</v>
      </c>
      <c r="B28">
        <v>2561</v>
      </c>
      <c r="C28" t="s">
        <v>1124</v>
      </c>
      <c r="D28">
        <v>0.06</v>
      </c>
    </row>
    <row r="29" spans="1:4" x14ac:dyDescent="0.3">
      <c r="A29" t="s">
        <v>2085</v>
      </c>
      <c r="B29">
        <v>254</v>
      </c>
      <c r="C29" t="s">
        <v>1526</v>
      </c>
      <c r="D29">
        <v>0</v>
      </c>
    </row>
    <row r="30" spans="1:4" x14ac:dyDescent="0.3">
      <c r="A30" t="s">
        <v>2084</v>
      </c>
      <c r="B30">
        <v>2563</v>
      </c>
      <c r="C30" t="s">
        <v>1095</v>
      </c>
      <c r="D30">
        <v>0</v>
      </c>
    </row>
    <row r="31" spans="1:4" x14ac:dyDescent="0.3">
      <c r="A31" t="s">
        <v>2086</v>
      </c>
      <c r="B31">
        <v>2570</v>
      </c>
      <c r="C31" t="s">
        <v>1100</v>
      </c>
      <c r="D31">
        <v>0.1</v>
      </c>
    </row>
    <row r="32" spans="1:4" x14ac:dyDescent="0.3">
      <c r="A32" t="s">
        <v>2138</v>
      </c>
      <c r="B32">
        <v>2601</v>
      </c>
      <c r="C32" t="s">
        <v>1168</v>
      </c>
      <c r="D32">
        <v>0.94</v>
      </c>
    </row>
    <row r="33" spans="1:4" x14ac:dyDescent="0.3">
      <c r="A33" t="s">
        <v>2152</v>
      </c>
      <c r="B33">
        <v>2602</v>
      </c>
      <c r="C33" t="s">
        <v>1180</v>
      </c>
      <c r="D33">
        <v>0.89</v>
      </c>
    </row>
    <row r="34" spans="1:4" x14ac:dyDescent="0.3">
      <c r="A34" t="s">
        <v>2130</v>
      </c>
      <c r="B34">
        <v>2605</v>
      </c>
      <c r="C34" t="s">
        <v>1161</v>
      </c>
      <c r="D34">
        <v>0.95</v>
      </c>
    </row>
    <row r="35" spans="1:4" x14ac:dyDescent="0.3">
      <c r="A35" t="s">
        <v>2145</v>
      </c>
      <c r="B35">
        <v>2611</v>
      </c>
      <c r="C35" t="s">
        <v>1214</v>
      </c>
      <c r="D35">
        <v>0.86</v>
      </c>
    </row>
    <row r="36" spans="1:4" x14ac:dyDescent="0.3">
      <c r="A36" t="s">
        <v>2142</v>
      </c>
      <c r="B36">
        <v>2612</v>
      </c>
      <c r="C36" t="s">
        <v>1220</v>
      </c>
      <c r="D36">
        <v>0</v>
      </c>
    </row>
    <row r="37" spans="1:4" x14ac:dyDescent="0.3">
      <c r="A37" t="s">
        <v>2139</v>
      </c>
      <c r="B37">
        <v>2613</v>
      </c>
      <c r="C37" t="s">
        <v>1224</v>
      </c>
      <c r="D37">
        <v>0.88</v>
      </c>
    </row>
    <row r="38" spans="1:4" x14ac:dyDescent="0.3">
      <c r="A38" t="s">
        <v>2143</v>
      </c>
      <c r="B38">
        <v>2614</v>
      </c>
      <c r="C38" t="s">
        <v>1228</v>
      </c>
      <c r="D38">
        <v>0</v>
      </c>
    </row>
    <row r="39" spans="1:4" x14ac:dyDescent="0.3">
      <c r="A39" t="s">
        <v>2129</v>
      </c>
      <c r="B39">
        <v>2615</v>
      </c>
      <c r="C39" t="s">
        <v>1210</v>
      </c>
      <c r="D39">
        <v>0.75</v>
      </c>
    </row>
    <row r="40" spans="1:4" x14ac:dyDescent="0.3">
      <c r="A40" t="s">
        <v>2126</v>
      </c>
      <c r="B40">
        <v>2616</v>
      </c>
      <c r="C40" t="s">
        <v>1212</v>
      </c>
      <c r="D40">
        <v>0.66</v>
      </c>
    </row>
    <row r="41" spans="1:4" x14ac:dyDescent="0.3">
      <c r="A41" t="s">
        <v>2140</v>
      </c>
      <c r="B41">
        <v>2617</v>
      </c>
      <c r="C41" t="s">
        <v>1232</v>
      </c>
      <c r="D41">
        <v>0.85</v>
      </c>
    </row>
    <row r="42" spans="1:4" x14ac:dyDescent="0.3">
      <c r="A42" t="s">
        <v>2144</v>
      </c>
      <c r="B42">
        <v>2618</v>
      </c>
      <c r="C42" t="s">
        <v>1271</v>
      </c>
      <c r="D42">
        <v>0</v>
      </c>
    </row>
    <row r="43" spans="1:4" x14ac:dyDescent="0.3">
      <c r="A43" t="s">
        <v>2153</v>
      </c>
      <c r="B43">
        <v>2619</v>
      </c>
      <c r="C43" t="s">
        <v>1274</v>
      </c>
      <c r="D43">
        <v>0.22</v>
      </c>
    </row>
    <row r="44" spans="1:4" x14ac:dyDescent="0.3">
      <c r="A44" t="s">
        <v>2133</v>
      </c>
      <c r="B44">
        <v>2620</v>
      </c>
      <c r="C44" t="s">
        <v>1258</v>
      </c>
      <c r="D44">
        <v>0.81</v>
      </c>
    </row>
    <row r="45" spans="1:4" x14ac:dyDescent="0.3">
      <c r="A45" t="s">
        <v>2146</v>
      </c>
      <c r="B45">
        <v>2625</v>
      </c>
      <c r="C45" t="s">
        <v>1237</v>
      </c>
      <c r="D45">
        <v>0.85</v>
      </c>
    </row>
    <row r="46" spans="1:4" x14ac:dyDescent="0.3">
      <c r="A46" t="s">
        <v>1991</v>
      </c>
      <c r="B46">
        <v>2630</v>
      </c>
      <c r="C46" t="s">
        <v>1307</v>
      </c>
      <c r="D46">
        <v>0</v>
      </c>
    </row>
    <row r="47" spans="1:4" x14ac:dyDescent="0.3">
      <c r="A47" t="s">
        <v>1990</v>
      </c>
      <c r="B47">
        <v>2633</v>
      </c>
      <c r="C47" t="s">
        <v>1313</v>
      </c>
      <c r="D47">
        <v>0.1</v>
      </c>
    </row>
    <row r="48" spans="1:4" x14ac:dyDescent="0.3">
      <c r="A48" t="s">
        <v>1988</v>
      </c>
      <c r="B48">
        <v>2635</v>
      </c>
      <c r="C48" t="s">
        <v>1319</v>
      </c>
      <c r="D48">
        <v>0.1</v>
      </c>
    </row>
    <row r="49" spans="1:4" x14ac:dyDescent="0.3">
      <c r="A49" t="s">
        <v>2148</v>
      </c>
      <c r="B49">
        <v>677</v>
      </c>
      <c r="C49" t="s">
        <v>1322</v>
      </c>
      <c r="D49">
        <v>0</v>
      </c>
    </row>
    <row r="50" spans="1:4" x14ac:dyDescent="0.3">
      <c r="A50" t="s">
        <v>2141</v>
      </c>
      <c r="B50">
        <v>2640</v>
      </c>
      <c r="C50" t="s">
        <v>1324</v>
      </c>
      <c r="D50">
        <v>0</v>
      </c>
    </row>
    <row r="51" spans="1:4" x14ac:dyDescent="0.3">
      <c r="A51" t="s">
        <v>2147</v>
      </c>
      <c r="B51">
        <v>2641</v>
      </c>
      <c r="C51" t="s">
        <v>1326</v>
      </c>
      <c r="D51">
        <v>0</v>
      </c>
    </row>
    <row r="52" spans="1:4" x14ac:dyDescent="0.3">
      <c r="A52" t="s">
        <v>2128</v>
      </c>
      <c r="B52">
        <v>2642</v>
      </c>
      <c r="C52" t="s">
        <v>1330</v>
      </c>
      <c r="D52">
        <v>0.05</v>
      </c>
    </row>
    <row r="53" spans="1:4" x14ac:dyDescent="0.3">
      <c r="A53" t="s">
        <v>2149</v>
      </c>
      <c r="B53">
        <v>2645</v>
      </c>
      <c r="C53" t="s">
        <v>1328</v>
      </c>
      <c r="D53">
        <v>0</v>
      </c>
    </row>
    <row r="54" spans="1:4" x14ac:dyDescent="0.3">
      <c r="A54" t="s">
        <v>1999</v>
      </c>
      <c r="B54">
        <v>2662</v>
      </c>
      <c r="C54" t="s">
        <v>1350</v>
      </c>
      <c r="D54">
        <v>0</v>
      </c>
    </row>
    <row r="55" spans="1:4" x14ac:dyDescent="0.3">
      <c r="A55" t="s">
        <v>2000</v>
      </c>
      <c r="B55">
        <v>2663</v>
      </c>
      <c r="C55" t="s">
        <v>1352</v>
      </c>
      <c r="D55">
        <v>0</v>
      </c>
    </row>
    <row r="56" spans="1:4" x14ac:dyDescent="0.3">
      <c r="A56" t="s">
        <v>1995</v>
      </c>
      <c r="B56">
        <v>2664</v>
      </c>
      <c r="C56" t="s">
        <v>1345</v>
      </c>
      <c r="D56">
        <v>0</v>
      </c>
    </row>
    <row r="57" spans="1:4" x14ac:dyDescent="0.3">
      <c r="A57" t="s">
        <v>2003</v>
      </c>
      <c r="B57">
        <v>2665</v>
      </c>
      <c r="C57" t="s">
        <v>1354</v>
      </c>
      <c r="D57">
        <v>0</v>
      </c>
    </row>
    <row r="58" spans="1:4" x14ac:dyDescent="0.3">
      <c r="A58" t="s">
        <v>2001</v>
      </c>
      <c r="B58">
        <v>2666</v>
      </c>
      <c r="C58" t="s">
        <v>1358</v>
      </c>
      <c r="D58">
        <v>0</v>
      </c>
    </row>
    <row r="59" spans="1:4" x14ac:dyDescent="0.3">
      <c r="A59" t="s">
        <v>2002</v>
      </c>
      <c r="B59">
        <v>2667</v>
      </c>
      <c r="C59" t="s">
        <v>1356</v>
      </c>
      <c r="D59">
        <v>0</v>
      </c>
    </row>
    <row r="60" spans="1:4" x14ac:dyDescent="0.3">
      <c r="A60" t="s">
        <v>2110</v>
      </c>
      <c r="B60">
        <v>2671</v>
      </c>
      <c r="C60" t="s">
        <v>1362</v>
      </c>
      <c r="D60">
        <v>0</v>
      </c>
    </row>
    <row r="61" spans="1:4" x14ac:dyDescent="0.3">
      <c r="A61" t="s">
        <v>2108</v>
      </c>
      <c r="B61">
        <v>2672</v>
      </c>
      <c r="C61" t="s">
        <v>1367</v>
      </c>
      <c r="D61">
        <v>0</v>
      </c>
    </row>
    <row r="62" spans="1:4" x14ac:dyDescent="0.3">
      <c r="A62" t="s">
        <v>2016</v>
      </c>
      <c r="B62">
        <v>2000</v>
      </c>
      <c r="C62" t="s">
        <v>1679</v>
      </c>
      <c r="D62">
        <v>0.85</v>
      </c>
    </row>
    <row r="63" spans="1:4" x14ac:dyDescent="0.3">
      <c r="A63" t="s">
        <v>2023</v>
      </c>
      <c r="B63">
        <v>2001</v>
      </c>
      <c r="C63" t="s">
        <v>4335</v>
      </c>
      <c r="D63">
        <v>0.8</v>
      </c>
    </row>
    <row r="64" spans="1:4" x14ac:dyDescent="0.3">
      <c r="A64" t="s">
        <v>1997</v>
      </c>
      <c r="B64">
        <v>2559</v>
      </c>
      <c r="C64" t="s">
        <v>1145</v>
      </c>
      <c r="D64">
        <v>0.1</v>
      </c>
    </row>
    <row r="65" spans="1:4" x14ac:dyDescent="0.3">
      <c r="A65" t="s">
        <v>2077</v>
      </c>
      <c r="B65">
        <v>2562</v>
      </c>
      <c r="C65" t="s">
        <v>1087</v>
      </c>
      <c r="D65">
        <v>0.1</v>
      </c>
    </row>
    <row r="66" spans="1:4" x14ac:dyDescent="0.3">
      <c r="A66" t="s">
        <v>2105</v>
      </c>
      <c r="B66">
        <v>2541</v>
      </c>
      <c r="C66" t="s">
        <v>1013</v>
      </c>
      <c r="D66">
        <v>0.01</v>
      </c>
    </row>
    <row r="67" spans="1:4" x14ac:dyDescent="0.3">
      <c r="A67" t="s">
        <v>2103</v>
      </c>
      <c r="B67">
        <v>2542</v>
      </c>
      <c r="C67" t="s">
        <v>1008</v>
      </c>
      <c r="D67">
        <v>0</v>
      </c>
    </row>
    <row r="68" spans="1:4" x14ac:dyDescent="0.3">
      <c r="A68" t="s">
        <v>2104</v>
      </c>
      <c r="B68">
        <v>2543</v>
      </c>
      <c r="C68" t="s">
        <v>1003</v>
      </c>
      <c r="D68">
        <v>0.1</v>
      </c>
    </row>
    <row r="69" spans="1:4" x14ac:dyDescent="0.3">
      <c r="A69" t="s">
        <v>2117</v>
      </c>
      <c r="B69">
        <v>2571</v>
      </c>
      <c r="C69" t="s">
        <v>1063</v>
      </c>
      <c r="D69">
        <v>0</v>
      </c>
    </row>
    <row r="70" spans="1:4" x14ac:dyDescent="0.3">
      <c r="A70" t="s">
        <v>2123</v>
      </c>
      <c r="B70">
        <v>2572</v>
      </c>
      <c r="C70" t="s">
        <v>1073</v>
      </c>
      <c r="D70">
        <v>0</v>
      </c>
    </row>
    <row r="71" spans="1:4" x14ac:dyDescent="0.3">
      <c r="A71" t="s">
        <v>2124</v>
      </c>
      <c r="B71">
        <v>2573</v>
      </c>
      <c r="C71" t="s">
        <v>1107</v>
      </c>
      <c r="D71">
        <v>0</v>
      </c>
    </row>
    <row r="72" spans="1:4" x14ac:dyDescent="0.3">
      <c r="A72" t="s">
        <v>2125</v>
      </c>
      <c r="B72">
        <v>2574</v>
      </c>
      <c r="C72" t="s">
        <v>1113</v>
      </c>
      <c r="D72">
        <v>0</v>
      </c>
    </row>
    <row r="73" spans="1:4" x14ac:dyDescent="0.3">
      <c r="A73" t="s">
        <v>2120</v>
      </c>
      <c r="B73">
        <v>2575</v>
      </c>
      <c r="C73" t="s">
        <v>1147</v>
      </c>
      <c r="D73">
        <v>0</v>
      </c>
    </row>
    <row r="74" spans="1:4" x14ac:dyDescent="0.3">
      <c r="A74" t="s">
        <v>2118</v>
      </c>
      <c r="B74">
        <v>2576</v>
      </c>
      <c r="C74" t="s">
        <v>1091</v>
      </c>
      <c r="D74">
        <v>0</v>
      </c>
    </row>
    <row r="75" spans="1:4" x14ac:dyDescent="0.3">
      <c r="A75" t="s">
        <v>2119</v>
      </c>
      <c r="B75">
        <v>2577</v>
      </c>
      <c r="C75" t="s">
        <v>1089</v>
      </c>
      <c r="D75">
        <v>0</v>
      </c>
    </row>
    <row r="76" spans="1:4" x14ac:dyDescent="0.3">
      <c r="A76" t="s">
        <v>2116</v>
      </c>
      <c r="B76">
        <v>2578</v>
      </c>
      <c r="C76" t="s">
        <v>1083</v>
      </c>
      <c r="D76">
        <v>0</v>
      </c>
    </row>
    <row r="77" spans="1:4" x14ac:dyDescent="0.3">
      <c r="A77" t="s">
        <v>2111</v>
      </c>
      <c r="B77">
        <v>2579</v>
      </c>
      <c r="C77" t="s">
        <v>1126</v>
      </c>
      <c r="D77">
        <v>0</v>
      </c>
    </row>
    <row r="78" spans="1:4" x14ac:dyDescent="0.3">
      <c r="A78" t="s">
        <v>2115</v>
      </c>
      <c r="B78">
        <v>2580</v>
      </c>
      <c r="C78" t="s">
        <v>1097</v>
      </c>
      <c r="D78">
        <v>0</v>
      </c>
    </row>
    <row r="79" spans="1:4" x14ac:dyDescent="0.3">
      <c r="A79" t="s">
        <v>2122</v>
      </c>
      <c r="B79">
        <v>2581</v>
      </c>
      <c r="C79" t="s">
        <v>914</v>
      </c>
      <c r="D79">
        <v>0</v>
      </c>
    </row>
    <row r="80" spans="1:4" x14ac:dyDescent="0.3">
      <c r="A80" t="s">
        <v>2114</v>
      </c>
      <c r="B80">
        <v>2582</v>
      </c>
      <c r="C80" t="s">
        <v>935</v>
      </c>
      <c r="D80">
        <v>0</v>
      </c>
    </row>
    <row r="81" spans="1:4" x14ac:dyDescent="0.3">
      <c r="A81" t="s">
        <v>2121</v>
      </c>
      <c r="B81">
        <v>2586</v>
      </c>
      <c r="C81" t="s">
        <v>1102</v>
      </c>
      <c r="D81">
        <v>0</v>
      </c>
    </row>
    <row r="82" spans="1:4" x14ac:dyDescent="0.3">
      <c r="A82" t="s">
        <v>2072</v>
      </c>
      <c r="B82">
        <v>2590</v>
      </c>
      <c r="C82" t="s">
        <v>1065</v>
      </c>
      <c r="D82">
        <v>0.1</v>
      </c>
    </row>
    <row r="83" spans="1:4" x14ac:dyDescent="0.3">
      <c r="A83" t="s">
        <v>2059</v>
      </c>
      <c r="B83">
        <v>2591</v>
      </c>
      <c r="C83" t="s">
        <v>1075</v>
      </c>
      <c r="D83">
        <v>0.1</v>
      </c>
    </row>
    <row r="84" spans="1:4" x14ac:dyDescent="0.3">
      <c r="A84" t="s">
        <v>2063</v>
      </c>
      <c r="B84">
        <v>2592</v>
      </c>
      <c r="C84" t="s">
        <v>1109</v>
      </c>
      <c r="D84">
        <v>0.1</v>
      </c>
    </row>
    <row r="85" spans="1:4" x14ac:dyDescent="0.3">
      <c r="A85" t="s">
        <v>2073</v>
      </c>
      <c r="B85">
        <v>2593</v>
      </c>
      <c r="C85" t="s">
        <v>1115</v>
      </c>
      <c r="D85">
        <v>0.1</v>
      </c>
    </row>
    <row r="86" spans="1:4" x14ac:dyDescent="0.3">
      <c r="A86" t="s">
        <v>2069</v>
      </c>
      <c r="B86">
        <v>2594</v>
      </c>
      <c r="C86" t="s">
        <v>1149</v>
      </c>
      <c r="D86">
        <v>0.1</v>
      </c>
    </row>
    <row r="87" spans="1:4" x14ac:dyDescent="0.3">
      <c r="A87" t="s">
        <v>2067</v>
      </c>
      <c r="B87">
        <v>2595</v>
      </c>
      <c r="C87" t="s">
        <v>1093</v>
      </c>
      <c r="D87">
        <v>0.1</v>
      </c>
    </row>
    <row r="88" spans="1:4" x14ac:dyDescent="0.3">
      <c r="A88" t="s">
        <v>2065</v>
      </c>
      <c r="B88">
        <v>2596</v>
      </c>
      <c r="C88" t="s">
        <v>1085</v>
      </c>
      <c r="D88">
        <v>0.12</v>
      </c>
    </row>
    <row r="89" spans="1:4" x14ac:dyDescent="0.3">
      <c r="A89" t="s">
        <v>2075</v>
      </c>
      <c r="B89">
        <v>2597</v>
      </c>
      <c r="C89" t="s">
        <v>1128</v>
      </c>
      <c r="D89">
        <v>0.1</v>
      </c>
    </row>
    <row r="90" spans="1:4" x14ac:dyDescent="0.3">
      <c r="A90" t="s">
        <v>2071</v>
      </c>
      <c r="B90">
        <v>2598</v>
      </c>
      <c r="C90" t="s">
        <v>937</v>
      </c>
      <c r="D90">
        <v>0.1</v>
      </c>
    </row>
    <row r="91" spans="1:4" x14ac:dyDescent="0.3">
      <c r="A91" t="s">
        <v>1964</v>
      </c>
      <c r="B91">
        <v>2655</v>
      </c>
      <c r="C91" t="s">
        <v>1262</v>
      </c>
      <c r="D91">
        <v>0.85</v>
      </c>
    </row>
    <row r="92" spans="1:4" x14ac:dyDescent="0.3">
      <c r="A92" t="s">
        <v>1967</v>
      </c>
      <c r="B92">
        <v>2656</v>
      </c>
      <c r="C92" t="s">
        <v>928</v>
      </c>
      <c r="D92">
        <v>0.95</v>
      </c>
    </row>
    <row r="93" spans="1:4" x14ac:dyDescent="0.3">
      <c r="A93" t="s">
        <v>1970</v>
      </c>
      <c r="B93">
        <v>2657</v>
      </c>
      <c r="C93" t="s">
        <v>902</v>
      </c>
      <c r="D93">
        <v>0.9</v>
      </c>
    </row>
    <row r="94" spans="1:4" x14ac:dyDescent="0.3">
      <c r="A94" t="s">
        <v>1968</v>
      </c>
      <c r="B94">
        <v>2658</v>
      </c>
      <c r="C94" t="s">
        <v>1296</v>
      </c>
      <c r="D94">
        <v>0.8</v>
      </c>
    </row>
    <row r="95" spans="1:4" x14ac:dyDescent="0.3">
      <c r="A95" t="s">
        <v>1993</v>
      </c>
      <c r="B95">
        <v>2659</v>
      </c>
      <c r="C95" t="s">
        <v>1293</v>
      </c>
      <c r="D95">
        <v>0.2</v>
      </c>
    </row>
    <row r="96" spans="1:4" x14ac:dyDescent="0.3">
      <c r="A96" t="s">
        <v>2004</v>
      </c>
      <c r="B96">
        <v>2661</v>
      </c>
      <c r="C96" t="s">
        <v>1340</v>
      </c>
      <c r="D96">
        <v>0.1</v>
      </c>
    </row>
    <row r="97" spans="1:4" x14ac:dyDescent="0.3">
      <c r="A97" t="s">
        <v>2030</v>
      </c>
      <c r="B97">
        <v>866</v>
      </c>
      <c r="C97" t="s">
        <v>726</v>
      </c>
      <c r="D97">
        <v>0</v>
      </c>
    </row>
    <row r="98" spans="1:4" x14ac:dyDescent="0.3">
      <c r="A98" t="s">
        <v>2035</v>
      </c>
      <c r="B98">
        <v>946</v>
      </c>
      <c r="C98" t="s">
        <v>735</v>
      </c>
      <c r="D98">
        <v>0</v>
      </c>
    </row>
    <row r="99" spans="1:4" x14ac:dyDescent="0.3">
      <c r="A99" t="s">
        <v>2042</v>
      </c>
      <c r="B99">
        <v>976</v>
      </c>
      <c r="C99" t="s">
        <v>779</v>
      </c>
      <c r="D99">
        <v>0</v>
      </c>
    </row>
    <row r="100" spans="1:4" x14ac:dyDescent="0.3">
      <c r="A100" t="s">
        <v>2038</v>
      </c>
      <c r="B100">
        <v>1016</v>
      </c>
      <c r="C100" t="s">
        <v>762</v>
      </c>
      <c r="D100">
        <v>0</v>
      </c>
    </row>
    <row r="101" spans="1:4" x14ac:dyDescent="0.3">
      <c r="A101" t="s">
        <v>2039</v>
      </c>
      <c r="B101">
        <v>1034</v>
      </c>
      <c r="C101" t="s">
        <v>769</v>
      </c>
      <c r="D101">
        <v>0</v>
      </c>
    </row>
    <row r="102" spans="1:4" x14ac:dyDescent="0.3">
      <c r="A102" t="s">
        <v>2449</v>
      </c>
      <c r="B102">
        <v>2029</v>
      </c>
      <c r="C102" t="s">
        <v>2452</v>
      </c>
      <c r="D102">
        <v>0</v>
      </c>
    </row>
    <row r="103" spans="1:4" x14ac:dyDescent="0.3">
      <c r="A103" t="s">
        <v>2043</v>
      </c>
      <c r="B103">
        <v>1096</v>
      </c>
      <c r="C103" t="s">
        <v>767</v>
      </c>
      <c r="D103">
        <v>0</v>
      </c>
    </row>
    <row r="104" spans="1:4" x14ac:dyDescent="0.3">
      <c r="A104" t="s">
        <v>2036</v>
      </c>
      <c r="B104">
        <v>1107</v>
      </c>
      <c r="C104" t="s">
        <v>731</v>
      </c>
      <c r="D104">
        <v>0</v>
      </c>
    </row>
    <row r="105" spans="1:4" x14ac:dyDescent="0.3">
      <c r="A105" t="s">
        <v>2037</v>
      </c>
      <c r="B105">
        <v>1110</v>
      </c>
      <c r="C105" t="s">
        <v>768</v>
      </c>
      <c r="D105">
        <v>0</v>
      </c>
    </row>
    <row r="106" spans="1:4" x14ac:dyDescent="0.3">
      <c r="A106" t="s">
        <v>2034</v>
      </c>
      <c r="B106">
        <v>1126</v>
      </c>
      <c r="C106" t="s">
        <v>738</v>
      </c>
      <c r="D106">
        <v>0</v>
      </c>
    </row>
    <row r="107" spans="1:4" x14ac:dyDescent="0.3">
      <c r="A107" t="s">
        <v>2044</v>
      </c>
      <c r="B107">
        <v>1157</v>
      </c>
      <c r="C107" t="s">
        <v>736</v>
      </c>
      <c r="D107">
        <v>0</v>
      </c>
    </row>
    <row r="108" spans="1:4" x14ac:dyDescent="0.3">
      <c r="A108" t="s">
        <v>2045</v>
      </c>
      <c r="B108">
        <v>1140</v>
      </c>
      <c r="C108" t="s">
        <v>775</v>
      </c>
      <c r="D108">
        <v>0</v>
      </c>
    </row>
    <row r="109" spans="1:4" x14ac:dyDescent="0.3">
      <c r="A109" t="s">
        <v>2040</v>
      </c>
      <c r="B109">
        <v>1150</v>
      </c>
      <c r="C109" t="s">
        <v>777</v>
      </c>
      <c r="D109">
        <v>0</v>
      </c>
    </row>
    <row r="110" spans="1:4" x14ac:dyDescent="0.3">
      <c r="A110" t="s">
        <v>2058</v>
      </c>
      <c r="B110">
        <v>2848</v>
      </c>
      <c r="C110" t="s">
        <v>815</v>
      </c>
      <c r="D110">
        <v>0.875</v>
      </c>
    </row>
    <row r="111" spans="1:4" x14ac:dyDescent="0.3">
      <c r="A111" t="s">
        <v>2054</v>
      </c>
      <c r="B111">
        <v>2740</v>
      </c>
      <c r="C111" t="s">
        <v>1384</v>
      </c>
      <c r="D111">
        <v>0.15</v>
      </c>
    </row>
    <row r="112" spans="1:4" x14ac:dyDescent="0.3">
      <c r="A112" t="s">
        <v>1992</v>
      </c>
      <c r="B112">
        <v>2744</v>
      </c>
      <c r="C112" t="s">
        <v>757</v>
      </c>
      <c r="D112">
        <v>0.74399999999999999</v>
      </c>
    </row>
    <row r="113" spans="1:4" x14ac:dyDescent="0.3">
      <c r="A113" t="s">
        <v>2025</v>
      </c>
      <c r="B113">
        <v>2746</v>
      </c>
      <c r="C113" t="s">
        <v>881</v>
      </c>
      <c r="D113">
        <v>0</v>
      </c>
    </row>
    <row r="114" spans="1:4" x14ac:dyDescent="0.3">
      <c r="A114" t="s">
        <v>2052</v>
      </c>
      <c r="B114">
        <v>2731</v>
      </c>
      <c r="C114" t="s">
        <v>807</v>
      </c>
      <c r="D114">
        <v>0.65</v>
      </c>
    </row>
    <row r="115" spans="1:4" x14ac:dyDescent="0.3">
      <c r="A115" t="s">
        <v>2046</v>
      </c>
      <c r="B115">
        <v>2732</v>
      </c>
      <c r="C115" t="s">
        <v>829</v>
      </c>
      <c r="D115">
        <v>0.6</v>
      </c>
    </row>
    <row r="116" spans="1:4" x14ac:dyDescent="0.3">
      <c r="A116" t="s">
        <v>2050</v>
      </c>
      <c r="B116">
        <v>2733</v>
      </c>
      <c r="C116" t="s">
        <v>857</v>
      </c>
      <c r="D116">
        <v>0.6</v>
      </c>
    </row>
    <row r="117" spans="1:4" x14ac:dyDescent="0.3">
      <c r="A117" t="s">
        <v>2049</v>
      </c>
      <c r="B117">
        <v>2734</v>
      </c>
      <c r="C117" t="s">
        <v>845</v>
      </c>
      <c r="D117">
        <v>0.6</v>
      </c>
    </row>
    <row r="118" spans="1:4" x14ac:dyDescent="0.3">
      <c r="A118" t="s">
        <v>2053</v>
      </c>
      <c r="B118">
        <v>2735</v>
      </c>
      <c r="C118" t="s">
        <v>820</v>
      </c>
      <c r="D118">
        <v>0.65</v>
      </c>
    </row>
    <row r="119" spans="1:4" x14ac:dyDescent="0.3">
      <c r="A119" t="s">
        <v>2048</v>
      </c>
      <c r="B119">
        <v>2736</v>
      </c>
      <c r="C119" t="s">
        <v>811</v>
      </c>
      <c r="D119">
        <v>0.65</v>
      </c>
    </row>
    <row r="120" spans="1:4" x14ac:dyDescent="0.3">
      <c r="A120" t="s">
        <v>1972</v>
      </c>
      <c r="B120">
        <v>2737</v>
      </c>
      <c r="C120" t="s">
        <v>800</v>
      </c>
      <c r="D120">
        <v>0.01</v>
      </c>
    </row>
    <row r="121" spans="1:4" x14ac:dyDescent="0.3">
      <c r="A121" t="s">
        <v>2027</v>
      </c>
      <c r="B121">
        <v>2748</v>
      </c>
      <c r="C121" t="s">
        <v>804</v>
      </c>
      <c r="D121">
        <v>0</v>
      </c>
    </row>
    <row r="122" spans="1:4" x14ac:dyDescent="0.3">
      <c r="A122" t="s">
        <v>2029</v>
      </c>
      <c r="B122">
        <v>2745</v>
      </c>
      <c r="C122" t="s">
        <v>796</v>
      </c>
      <c r="D122">
        <v>0.17</v>
      </c>
    </row>
    <row r="123" spans="1:4" x14ac:dyDescent="0.3">
      <c r="A123" t="s">
        <v>2028</v>
      </c>
      <c r="B123">
        <v>2747</v>
      </c>
      <c r="C123" t="s">
        <v>885</v>
      </c>
      <c r="D123">
        <v>0</v>
      </c>
    </row>
    <row r="124" spans="1:4" x14ac:dyDescent="0.3">
      <c r="A124" t="s">
        <v>2011</v>
      </c>
      <c r="B124">
        <v>2960</v>
      </c>
      <c r="C124" t="s">
        <v>2509</v>
      </c>
      <c r="D124">
        <v>0.7</v>
      </c>
    </row>
    <row r="125" spans="1:4" x14ac:dyDescent="0.3">
      <c r="B125">
        <v>2544</v>
      </c>
      <c r="C125" t="s">
        <v>1015</v>
      </c>
      <c r="D125">
        <v>0.78</v>
      </c>
    </row>
    <row r="126" spans="1:4" x14ac:dyDescent="0.3">
      <c r="B126">
        <v>2002</v>
      </c>
      <c r="C126" t="s">
        <v>1870</v>
      </c>
      <c r="D126">
        <v>0.8</v>
      </c>
    </row>
    <row r="127" spans="1:4" x14ac:dyDescent="0.3">
      <c r="B127" s="1">
        <v>2100</v>
      </c>
      <c r="C127" s="1" t="s">
        <v>1298</v>
      </c>
      <c r="D127" s="1">
        <v>0.15</v>
      </c>
    </row>
    <row r="128" spans="1:4" x14ac:dyDescent="0.3">
      <c r="B128" s="1">
        <v>2101</v>
      </c>
      <c r="C128" s="1" t="s">
        <v>1918</v>
      </c>
      <c r="D128" s="1">
        <v>0.3</v>
      </c>
    </row>
  </sheetData>
  <pageMargins left="0.7" right="0.7" top="0.75" bottom="0.75" header="0.3" footer="0.3"/>
  <pageSetup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D9065-F314-43DC-8A46-E679ACD7801D}">
  <dimension ref="A1:G170"/>
  <sheetViews>
    <sheetView workbookViewId="0">
      <selection activeCell="F45" sqref="F45"/>
    </sheetView>
  </sheetViews>
  <sheetFormatPr defaultColWidth="10.77734375" defaultRowHeight="14.4" x14ac:dyDescent="0.3"/>
  <sheetData>
    <row r="1" spans="1:7" x14ac:dyDescent="0.3">
      <c r="A1" t="s">
        <v>4336</v>
      </c>
      <c r="B1" t="s">
        <v>4337</v>
      </c>
      <c r="C1" t="s">
        <v>713</v>
      </c>
      <c r="D1" t="s">
        <v>712</v>
      </c>
      <c r="E1" t="s">
        <v>4338</v>
      </c>
      <c r="F1" t="s">
        <v>4339</v>
      </c>
      <c r="G1" t="s">
        <v>4340</v>
      </c>
    </row>
    <row r="2" spans="1:7" x14ac:dyDescent="0.3">
      <c r="A2">
        <v>15</v>
      </c>
      <c r="B2" t="s">
        <v>890</v>
      </c>
      <c r="C2">
        <v>2511</v>
      </c>
      <c r="D2" t="s">
        <v>891</v>
      </c>
      <c r="E2" t="s">
        <v>890</v>
      </c>
      <c r="F2" t="s">
        <v>890</v>
      </c>
      <c r="G2" t="s">
        <v>4341</v>
      </c>
    </row>
    <row r="3" spans="1:7" x14ac:dyDescent="0.3">
      <c r="A3">
        <v>27</v>
      </c>
      <c r="B3" t="s">
        <v>903</v>
      </c>
      <c r="C3">
        <v>2807</v>
      </c>
      <c r="D3" t="s">
        <v>904</v>
      </c>
      <c r="E3" t="s">
        <v>1548</v>
      </c>
      <c r="F3" t="s">
        <v>1548</v>
      </c>
      <c r="G3" t="s">
        <v>4342</v>
      </c>
    </row>
    <row r="4" spans="1:7" x14ac:dyDescent="0.3">
      <c r="A4">
        <v>44</v>
      </c>
      <c r="B4" t="s">
        <v>919</v>
      </c>
      <c r="C4">
        <v>2513</v>
      </c>
      <c r="D4" t="s">
        <v>920</v>
      </c>
      <c r="E4" t="s">
        <v>4343</v>
      </c>
      <c r="F4" t="s">
        <v>4343</v>
      </c>
      <c r="G4" t="s">
        <v>4344</v>
      </c>
    </row>
    <row r="5" spans="1:7" x14ac:dyDescent="0.3">
      <c r="A5">
        <v>56</v>
      </c>
      <c r="B5" t="s">
        <v>929</v>
      </c>
      <c r="C5">
        <v>2514</v>
      </c>
      <c r="D5" t="s">
        <v>930</v>
      </c>
      <c r="E5" t="s">
        <v>929</v>
      </c>
      <c r="F5" t="s">
        <v>929</v>
      </c>
      <c r="G5" t="s">
        <v>4345</v>
      </c>
    </row>
    <row r="6" spans="1:7" x14ac:dyDescent="0.3">
      <c r="A6">
        <v>71</v>
      </c>
      <c r="B6" t="s">
        <v>943</v>
      </c>
      <c r="C6">
        <v>2515</v>
      </c>
      <c r="D6" t="s">
        <v>944</v>
      </c>
      <c r="E6" t="s">
        <v>943</v>
      </c>
      <c r="F6" t="s">
        <v>943</v>
      </c>
      <c r="G6" t="s">
        <v>4346</v>
      </c>
    </row>
    <row r="7" spans="1:7" x14ac:dyDescent="0.3">
      <c r="A7">
        <v>75</v>
      </c>
      <c r="B7" t="s">
        <v>947</v>
      </c>
      <c r="C7">
        <v>2516</v>
      </c>
      <c r="D7" t="s">
        <v>947</v>
      </c>
      <c r="E7" t="s">
        <v>947</v>
      </c>
      <c r="F7" t="s">
        <v>947</v>
      </c>
      <c r="G7" t="s">
        <v>4347</v>
      </c>
    </row>
    <row r="8" spans="1:7" x14ac:dyDescent="0.3">
      <c r="A8">
        <v>79</v>
      </c>
      <c r="B8" t="s">
        <v>950</v>
      </c>
      <c r="C8">
        <v>2517</v>
      </c>
      <c r="D8" t="s">
        <v>951</v>
      </c>
      <c r="E8" t="s">
        <v>950</v>
      </c>
      <c r="F8" t="s">
        <v>950</v>
      </c>
      <c r="G8" t="s">
        <v>4348</v>
      </c>
    </row>
    <row r="9" spans="1:7" x14ac:dyDescent="0.3">
      <c r="A9">
        <v>83</v>
      </c>
      <c r="B9" t="s">
        <v>955</v>
      </c>
      <c r="C9">
        <v>2518</v>
      </c>
      <c r="D9" t="s">
        <v>956</v>
      </c>
      <c r="E9" t="s">
        <v>955</v>
      </c>
      <c r="F9" t="s">
        <v>955</v>
      </c>
      <c r="G9" t="s">
        <v>4349</v>
      </c>
    </row>
    <row r="10" spans="1:7" x14ac:dyDescent="0.3">
      <c r="A10">
        <v>89</v>
      </c>
      <c r="B10" t="s">
        <v>960</v>
      </c>
      <c r="C10">
        <v>2520</v>
      </c>
      <c r="D10" t="s">
        <v>942</v>
      </c>
      <c r="E10" t="s">
        <v>960</v>
      </c>
      <c r="F10" t="s">
        <v>960</v>
      </c>
      <c r="G10" t="s">
        <v>4350</v>
      </c>
    </row>
    <row r="11" spans="1:7" x14ac:dyDescent="0.3">
      <c r="A11">
        <v>92</v>
      </c>
      <c r="B11" t="s">
        <v>963</v>
      </c>
      <c r="C11">
        <v>2520</v>
      </c>
      <c r="D11" t="s">
        <v>942</v>
      </c>
      <c r="E11" t="s">
        <v>963</v>
      </c>
      <c r="F11" t="s">
        <v>963</v>
      </c>
      <c r="G11" t="s">
        <v>4351</v>
      </c>
    </row>
    <row r="12" spans="1:7" x14ac:dyDescent="0.3">
      <c r="A12">
        <v>94</v>
      </c>
      <c r="B12" t="s">
        <v>964</v>
      </c>
      <c r="C12">
        <v>2520</v>
      </c>
      <c r="D12" t="s">
        <v>942</v>
      </c>
      <c r="E12" t="s">
        <v>964</v>
      </c>
      <c r="F12" t="s">
        <v>964</v>
      </c>
      <c r="G12" t="s">
        <v>4352</v>
      </c>
    </row>
    <row r="13" spans="1:7" x14ac:dyDescent="0.3">
      <c r="A13">
        <v>97</v>
      </c>
      <c r="B13" t="s">
        <v>967</v>
      </c>
      <c r="C13">
        <v>2520</v>
      </c>
      <c r="D13" t="s">
        <v>942</v>
      </c>
      <c r="E13" t="s">
        <v>967</v>
      </c>
      <c r="F13" t="s">
        <v>967</v>
      </c>
      <c r="G13" t="s">
        <v>4353</v>
      </c>
    </row>
    <row r="14" spans="1:7" x14ac:dyDescent="0.3">
      <c r="A14">
        <v>101</v>
      </c>
      <c r="B14" t="s">
        <v>970</v>
      </c>
      <c r="C14">
        <v>2520</v>
      </c>
      <c r="D14" t="s">
        <v>942</v>
      </c>
      <c r="E14" t="s">
        <v>970</v>
      </c>
      <c r="F14" t="s">
        <v>4354</v>
      </c>
      <c r="G14" t="s">
        <v>4355</v>
      </c>
    </row>
    <row r="15" spans="1:7" x14ac:dyDescent="0.3">
      <c r="A15">
        <v>103</v>
      </c>
      <c r="B15" t="s">
        <v>971</v>
      </c>
      <c r="C15">
        <v>2520</v>
      </c>
      <c r="D15" t="s">
        <v>942</v>
      </c>
      <c r="E15" t="s">
        <v>1561</v>
      </c>
      <c r="F15" t="s">
        <v>4356</v>
      </c>
      <c r="G15" t="s">
        <v>4357</v>
      </c>
    </row>
    <row r="16" spans="1:7" x14ac:dyDescent="0.3">
      <c r="A16">
        <v>108</v>
      </c>
      <c r="B16" t="s">
        <v>3778</v>
      </c>
      <c r="C16">
        <v>2520</v>
      </c>
      <c r="D16" t="s">
        <v>942</v>
      </c>
      <c r="E16" t="s">
        <v>3778</v>
      </c>
      <c r="F16" t="s">
        <v>4358</v>
      </c>
      <c r="G16" t="s">
        <v>4359</v>
      </c>
    </row>
    <row r="17" spans="1:7" x14ac:dyDescent="0.3">
      <c r="A17">
        <v>116</v>
      </c>
      <c r="B17" t="s">
        <v>982</v>
      </c>
      <c r="C17">
        <v>2531</v>
      </c>
      <c r="D17" t="s">
        <v>983</v>
      </c>
      <c r="E17" t="s">
        <v>1564</v>
      </c>
      <c r="F17" t="s">
        <v>1564</v>
      </c>
      <c r="G17" t="s">
        <v>4360</v>
      </c>
    </row>
    <row r="18" spans="1:7" x14ac:dyDescent="0.3">
      <c r="A18">
        <v>122</v>
      </c>
      <c r="B18" t="s">
        <v>988</v>
      </c>
      <c r="C18">
        <v>2533</v>
      </c>
      <c r="D18" t="s">
        <v>988</v>
      </c>
      <c r="E18" t="s">
        <v>988</v>
      </c>
      <c r="F18" t="s">
        <v>4361</v>
      </c>
      <c r="G18" t="s">
        <v>4362</v>
      </c>
    </row>
    <row r="19" spans="1:7" x14ac:dyDescent="0.3">
      <c r="A19">
        <v>125</v>
      </c>
      <c r="B19" t="s">
        <v>989</v>
      </c>
      <c r="C19">
        <v>2532</v>
      </c>
      <c r="D19" t="s">
        <v>990</v>
      </c>
      <c r="E19" t="s">
        <v>989</v>
      </c>
      <c r="F19" t="s">
        <v>989</v>
      </c>
      <c r="G19" t="s">
        <v>4363</v>
      </c>
    </row>
    <row r="20" spans="1:7" x14ac:dyDescent="0.3">
      <c r="A20">
        <v>135</v>
      </c>
      <c r="B20" t="s">
        <v>995</v>
      </c>
      <c r="C20">
        <v>2534</v>
      </c>
      <c r="D20" t="s">
        <v>996</v>
      </c>
      <c r="E20" t="s">
        <v>995</v>
      </c>
      <c r="F20" t="s">
        <v>4364</v>
      </c>
      <c r="G20" t="s">
        <v>4365</v>
      </c>
    </row>
    <row r="21" spans="1:7" x14ac:dyDescent="0.3">
      <c r="A21">
        <v>136</v>
      </c>
      <c r="B21" t="s">
        <v>997</v>
      </c>
      <c r="C21">
        <v>2534</v>
      </c>
      <c r="D21" t="s">
        <v>996</v>
      </c>
      <c r="E21" t="s">
        <v>4366</v>
      </c>
      <c r="F21" t="s">
        <v>4367</v>
      </c>
      <c r="G21" t="s">
        <v>4368</v>
      </c>
    </row>
    <row r="22" spans="1:7" x14ac:dyDescent="0.3">
      <c r="A22">
        <v>137</v>
      </c>
      <c r="B22" t="s">
        <v>998</v>
      </c>
      <c r="C22">
        <v>2535</v>
      </c>
      <c r="D22" t="s">
        <v>998</v>
      </c>
      <c r="E22" t="s">
        <v>998</v>
      </c>
      <c r="F22" t="s">
        <v>998</v>
      </c>
      <c r="G22" t="s">
        <v>4369</v>
      </c>
    </row>
    <row r="23" spans="1:7" x14ac:dyDescent="0.3">
      <c r="A23">
        <v>149</v>
      </c>
      <c r="B23" t="s">
        <v>3814</v>
      </c>
      <c r="C23">
        <v>2534</v>
      </c>
      <c r="D23" t="s">
        <v>996</v>
      </c>
      <c r="E23" t="s">
        <v>999</v>
      </c>
      <c r="F23" t="s">
        <v>4370</v>
      </c>
      <c r="G23" t="s">
        <v>4371</v>
      </c>
    </row>
    <row r="24" spans="1:7" x14ac:dyDescent="0.3">
      <c r="A24">
        <v>156</v>
      </c>
      <c r="B24" t="s">
        <v>1005</v>
      </c>
      <c r="C24">
        <v>2536</v>
      </c>
      <c r="D24" t="s">
        <v>1005</v>
      </c>
      <c r="E24" t="s">
        <v>1574</v>
      </c>
      <c r="F24" t="s">
        <v>1574</v>
      </c>
      <c r="G24" t="s">
        <v>4372</v>
      </c>
    </row>
    <row r="25" spans="1:7" x14ac:dyDescent="0.3">
      <c r="A25">
        <v>157</v>
      </c>
      <c r="B25" t="s">
        <v>1006</v>
      </c>
      <c r="C25">
        <v>2537</v>
      </c>
      <c r="D25" t="s">
        <v>1006</v>
      </c>
      <c r="E25" t="s">
        <v>3307</v>
      </c>
      <c r="F25" t="s">
        <v>3307</v>
      </c>
      <c r="G25" t="s">
        <v>4373</v>
      </c>
    </row>
    <row r="26" spans="1:7" x14ac:dyDescent="0.3">
      <c r="A26">
        <v>161</v>
      </c>
      <c r="B26" t="s">
        <v>3811</v>
      </c>
      <c r="C26">
        <v>2543</v>
      </c>
      <c r="D26" t="s">
        <v>1003</v>
      </c>
      <c r="E26" t="s">
        <v>1011</v>
      </c>
      <c r="F26" t="s">
        <v>4374</v>
      </c>
      <c r="G26" t="s">
        <v>4375</v>
      </c>
    </row>
    <row r="27" spans="1:7" x14ac:dyDescent="0.3">
      <c r="A27">
        <v>176</v>
      </c>
      <c r="B27" t="s">
        <v>1027</v>
      </c>
      <c r="C27">
        <v>2546</v>
      </c>
      <c r="D27" t="s">
        <v>1028</v>
      </c>
      <c r="E27" t="s">
        <v>1027</v>
      </c>
      <c r="F27" t="s">
        <v>4376</v>
      </c>
      <c r="G27" t="s">
        <v>4377</v>
      </c>
    </row>
    <row r="28" spans="1:7" x14ac:dyDescent="0.3">
      <c r="A28">
        <v>181</v>
      </c>
      <c r="B28" t="s">
        <v>1029</v>
      </c>
      <c r="C28">
        <v>2549</v>
      </c>
      <c r="D28" t="s">
        <v>1030</v>
      </c>
      <c r="E28" t="s">
        <v>4378</v>
      </c>
      <c r="F28" t="s">
        <v>4379</v>
      </c>
      <c r="G28" t="s">
        <v>4380</v>
      </c>
    </row>
    <row r="29" spans="1:7" x14ac:dyDescent="0.3">
      <c r="A29">
        <v>187</v>
      </c>
      <c r="B29" t="s">
        <v>1031</v>
      </c>
      <c r="C29">
        <v>2547</v>
      </c>
      <c r="D29" t="s">
        <v>1032</v>
      </c>
      <c r="E29" t="s">
        <v>1031</v>
      </c>
      <c r="F29" t="s">
        <v>4381</v>
      </c>
      <c r="G29" t="s">
        <v>4382</v>
      </c>
    </row>
    <row r="30" spans="1:7" x14ac:dyDescent="0.3">
      <c r="A30">
        <v>191</v>
      </c>
      <c r="B30" t="s">
        <v>1033</v>
      </c>
      <c r="C30">
        <v>2549</v>
      </c>
      <c r="D30" t="s">
        <v>1030</v>
      </c>
      <c r="E30" t="s">
        <v>4383</v>
      </c>
      <c r="F30" t="s">
        <v>4384</v>
      </c>
      <c r="G30" t="s">
        <v>4385</v>
      </c>
    </row>
    <row r="31" spans="1:7" x14ac:dyDescent="0.3">
      <c r="A31">
        <v>195</v>
      </c>
      <c r="B31" t="s">
        <v>1034</v>
      </c>
      <c r="C31">
        <v>2549</v>
      </c>
      <c r="D31" t="s">
        <v>1030</v>
      </c>
      <c r="E31" t="s">
        <v>1034</v>
      </c>
      <c r="F31" t="s">
        <v>4386</v>
      </c>
      <c r="G31" t="s">
        <v>4387</v>
      </c>
    </row>
    <row r="32" spans="1:7" x14ac:dyDescent="0.3">
      <c r="A32">
        <v>197</v>
      </c>
      <c r="B32" t="s">
        <v>1035</v>
      </c>
      <c r="C32">
        <v>2549</v>
      </c>
      <c r="D32" t="s">
        <v>1030</v>
      </c>
      <c r="E32" t="s">
        <v>1035</v>
      </c>
      <c r="F32" t="s">
        <v>4388</v>
      </c>
      <c r="G32" t="s">
        <v>4389</v>
      </c>
    </row>
    <row r="33" spans="1:7" x14ac:dyDescent="0.3">
      <c r="A33">
        <v>201</v>
      </c>
      <c r="B33" t="s">
        <v>1036</v>
      </c>
      <c r="C33">
        <v>2549</v>
      </c>
      <c r="D33" t="s">
        <v>1030</v>
      </c>
      <c r="E33" t="s">
        <v>1036</v>
      </c>
      <c r="F33" t="s">
        <v>1036</v>
      </c>
      <c r="G33" t="s">
        <v>4390</v>
      </c>
    </row>
    <row r="34" spans="1:7" x14ac:dyDescent="0.3">
      <c r="A34">
        <v>203</v>
      </c>
      <c r="B34" t="s">
        <v>1037</v>
      </c>
      <c r="C34">
        <v>2549</v>
      </c>
      <c r="D34" t="s">
        <v>1030</v>
      </c>
      <c r="E34" t="s">
        <v>1037</v>
      </c>
      <c r="F34" t="s">
        <v>4391</v>
      </c>
      <c r="G34" t="s">
        <v>4392</v>
      </c>
    </row>
    <row r="35" spans="1:7" x14ac:dyDescent="0.3">
      <c r="A35">
        <v>205</v>
      </c>
      <c r="B35" t="s">
        <v>1038</v>
      </c>
      <c r="C35">
        <v>2549</v>
      </c>
      <c r="D35" t="s">
        <v>1030</v>
      </c>
      <c r="E35" t="s">
        <v>1038</v>
      </c>
      <c r="F35" t="s">
        <v>1038</v>
      </c>
      <c r="G35" t="s">
        <v>4393</v>
      </c>
    </row>
    <row r="36" spans="1:7" x14ac:dyDescent="0.3">
      <c r="A36">
        <v>210</v>
      </c>
      <c r="B36" t="s">
        <v>1039</v>
      </c>
      <c r="C36">
        <v>2549</v>
      </c>
      <c r="D36" t="s">
        <v>1030</v>
      </c>
      <c r="E36" t="s">
        <v>1039</v>
      </c>
      <c r="F36" t="s">
        <v>1039</v>
      </c>
      <c r="G36" t="s">
        <v>4394</v>
      </c>
    </row>
    <row r="37" spans="1:7" x14ac:dyDescent="0.3">
      <c r="A37">
        <v>211</v>
      </c>
      <c r="B37" t="s">
        <v>3702</v>
      </c>
      <c r="C37">
        <v>2549</v>
      </c>
      <c r="D37" t="s">
        <v>1030</v>
      </c>
      <c r="E37" t="s">
        <v>1040</v>
      </c>
      <c r="F37" t="s">
        <v>4395</v>
      </c>
      <c r="G37" t="s">
        <v>4396</v>
      </c>
    </row>
    <row r="38" spans="1:7" x14ac:dyDescent="0.3">
      <c r="A38">
        <v>216</v>
      </c>
      <c r="B38" t="s">
        <v>1043</v>
      </c>
      <c r="C38">
        <v>2551</v>
      </c>
      <c r="D38" t="s">
        <v>1044</v>
      </c>
      <c r="E38" t="s">
        <v>4397</v>
      </c>
      <c r="F38" t="s">
        <v>4398</v>
      </c>
      <c r="G38" t="s">
        <v>4399</v>
      </c>
    </row>
    <row r="39" spans="1:7" x14ac:dyDescent="0.3">
      <c r="A39">
        <v>217</v>
      </c>
      <c r="B39" t="s">
        <v>1045</v>
      </c>
      <c r="C39">
        <v>2551</v>
      </c>
      <c r="D39" t="s">
        <v>1044</v>
      </c>
      <c r="E39" t="s">
        <v>4400</v>
      </c>
      <c r="F39" t="s">
        <v>4401</v>
      </c>
      <c r="G39" t="s">
        <v>4402</v>
      </c>
    </row>
    <row r="40" spans="1:7" x14ac:dyDescent="0.3">
      <c r="A40">
        <v>220</v>
      </c>
      <c r="B40" t="s">
        <v>1046</v>
      </c>
      <c r="C40">
        <v>2551</v>
      </c>
      <c r="D40" t="s">
        <v>1044</v>
      </c>
      <c r="E40" t="s">
        <v>4403</v>
      </c>
      <c r="F40" t="s">
        <v>4403</v>
      </c>
      <c r="G40" t="s">
        <v>4404</v>
      </c>
    </row>
    <row r="41" spans="1:7" x14ac:dyDescent="0.3">
      <c r="A41">
        <v>221</v>
      </c>
      <c r="B41" t="s">
        <v>1047</v>
      </c>
      <c r="C41">
        <v>2551</v>
      </c>
      <c r="D41" t="s">
        <v>1044</v>
      </c>
      <c r="E41" t="s">
        <v>1611</v>
      </c>
      <c r="F41" t="s">
        <v>1611</v>
      </c>
      <c r="G41" t="s">
        <v>4405</v>
      </c>
    </row>
    <row r="42" spans="1:7" x14ac:dyDescent="0.3">
      <c r="A42">
        <v>222</v>
      </c>
      <c r="B42" t="s">
        <v>1048</v>
      </c>
      <c r="C42">
        <v>2551</v>
      </c>
      <c r="D42" t="s">
        <v>1044</v>
      </c>
      <c r="E42" t="s">
        <v>1615</v>
      </c>
      <c r="F42" t="s">
        <v>1615</v>
      </c>
      <c r="G42" t="s">
        <v>4406</v>
      </c>
    </row>
    <row r="43" spans="1:7" x14ac:dyDescent="0.3">
      <c r="A43">
        <v>223</v>
      </c>
      <c r="B43" t="s">
        <v>1049</v>
      </c>
      <c r="C43">
        <v>2551</v>
      </c>
      <c r="D43" t="s">
        <v>1044</v>
      </c>
      <c r="E43" t="s">
        <v>1049</v>
      </c>
      <c r="F43" t="s">
        <v>1049</v>
      </c>
      <c r="G43" t="s">
        <v>4407</v>
      </c>
    </row>
    <row r="44" spans="1:7" x14ac:dyDescent="0.3">
      <c r="A44">
        <v>224</v>
      </c>
      <c r="B44" t="s">
        <v>1050</v>
      </c>
      <c r="C44">
        <v>2551</v>
      </c>
      <c r="D44" t="s">
        <v>1044</v>
      </c>
      <c r="E44" t="s">
        <v>4408</v>
      </c>
      <c r="F44" t="s">
        <v>4408</v>
      </c>
      <c r="G44" t="s">
        <v>4409</v>
      </c>
    </row>
    <row r="45" spans="1:7" x14ac:dyDescent="0.3">
      <c r="A45">
        <v>225</v>
      </c>
      <c r="B45" t="s">
        <v>1051</v>
      </c>
      <c r="C45">
        <v>2551</v>
      </c>
      <c r="D45" t="s">
        <v>1044</v>
      </c>
      <c r="E45" t="s">
        <v>4410</v>
      </c>
      <c r="F45" t="s">
        <v>4411</v>
      </c>
      <c r="G45" t="s">
        <v>4412</v>
      </c>
    </row>
    <row r="46" spans="1:7" x14ac:dyDescent="0.3">
      <c r="A46">
        <v>226</v>
      </c>
      <c r="B46" t="s">
        <v>1052</v>
      </c>
      <c r="C46">
        <v>2551</v>
      </c>
      <c r="D46" t="s">
        <v>1044</v>
      </c>
      <c r="E46" t="s">
        <v>4413</v>
      </c>
      <c r="F46" t="s">
        <v>4414</v>
      </c>
      <c r="G46" t="s">
        <v>4415</v>
      </c>
    </row>
    <row r="47" spans="1:7" x14ac:dyDescent="0.3">
      <c r="A47">
        <v>234</v>
      </c>
      <c r="B47" t="s">
        <v>3692</v>
      </c>
      <c r="C47">
        <v>2551</v>
      </c>
      <c r="D47" t="s">
        <v>1044</v>
      </c>
      <c r="E47" t="s">
        <v>1058</v>
      </c>
      <c r="F47" t="s">
        <v>4416</v>
      </c>
      <c r="G47" t="s">
        <v>4417</v>
      </c>
    </row>
    <row r="48" spans="1:7" x14ac:dyDescent="0.3">
      <c r="A48">
        <v>236</v>
      </c>
      <c r="B48" t="s">
        <v>1060</v>
      </c>
      <c r="C48">
        <v>2555</v>
      </c>
      <c r="D48" t="s">
        <v>1061</v>
      </c>
      <c r="E48" t="s">
        <v>3303</v>
      </c>
      <c r="F48" t="s">
        <v>3303</v>
      </c>
      <c r="G48" t="s">
        <v>4418</v>
      </c>
    </row>
    <row r="49" spans="1:7" x14ac:dyDescent="0.3">
      <c r="A49">
        <v>242</v>
      </c>
      <c r="B49" t="s">
        <v>1069</v>
      </c>
      <c r="C49">
        <v>2552</v>
      </c>
      <c r="D49" t="s">
        <v>1070</v>
      </c>
      <c r="E49" t="s">
        <v>4419</v>
      </c>
      <c r="F49" t="s">
        <v>4420</v>
      </c>
      <c r="G49" t="s">
        <v>4421</v>
      </c>
    </row>
    <row r="50" spans="1:7" x14ac:dyDescent="0.3">
      <c r="A50">
        <v>249</v>
      </c>
      <c r="B50" t="s">
        <v>1078</v>
      </c>
      <c r="C50">
        <v>2560</v>
      </c>
      <c r="D50" t="s">
        <v>1079</v>
      </c>
      <c r="E50" t="s">
        <v>1078</v>
      </c>
      <c r="F50" t="s">
        <v>1078</v>
      </c>
      <c r="G50" t="s">
        <v>4422</v>
      </c>
    </row>
    <row r="51" spans="1:7" x14ac:dyDescent="0.3">
      <c r="A51">
        <v>254</v>
      </c>
      <c r="B51" t="s">
        <v>1526</v>
      </c>
      <c r="C51">
        <v>254</v>
      </c>
      <c r="D51" t="s">
        <v>1526</v>
      </c>
      <c r="E51" t="s">
        <v>1636</v>
      </c>
      <c r="F51" t="s">
        <v>4423</v>
      </c>
      <c r="G51" t="s">
        <v>4424</v>
      </c>
    </row>
    <row r="52" spans="1:7" x14ac:dyDescent="0.3">
      <c r="A52">
        <v>256</v>
      </c>
      <c r="B52" t="s">
        <v>1087</v>
      </c>
      <c r="C52">
        <v>2562</v>
      </c>
      <c r="D52" t="s">
        <v>1087</v>
      </c>
      <c r="G52" t="s">
        <v>4425</v>
      </c>
    </row>
    <row r="53" spans="1:7" x14ac:dyDescent="0.3">
      <c r="A53">
        <v>257</v>
      </c>
      <c r="B53" t="s">
        <v>1088</v>
      </c>
      <c r="C53">
        <v>2577</v>
      </c>
      <c r="D53" t="s">
        <v>1089</v>
      </c>
      <c r="G53" t="s">
        <v>4426</v>
      </c>
    </row>
    <row r="54" spans="1:7" x14ac:dyDescent="0.3">
      <c r="A54">
        <v>260</v>
      </c>
      <c r="B54" t="s">
        <v>1094</v>
      </c>
      <c r="C54">
        <v>2563</v>
      </c>
      <c r="D54" t="s">
        <v>1095</v>
      </c>
      <c r="E54" t="s">
        <v>1094</v>
      </c>
      <c r="F54" t="s">
        <v>1094</v>
      </c>
      <c r="G54" t="s">
        <v>4427</v>
      </c>
    </row>
    <row r="55" spans="1:7" x14ac:dyDescent="0.3">
      <c r="A55">
        <v>263</v>
      </c>
      <c r="B55" t="s">
        <v>1099</v>
      </c>
      <c r="C55">
        <v>2570</v>
      </c>
      <c r="D55" t="s">
        <v>1100</v>
      </c>
      <c r="E55" t="s">
        <v>1058</v>
      </c>
      <c r="F55" t="s">
        <v>4416</v>
      </c>
      <c r="G55" t="s">
        <v>4428</v>
      </c>
    </row>
    <row r="56" spans="1:7" x14ac:dyDescent="0.3">
      <c r="A56">
        <v>265</v>
      </c>
      <c r="B56" t="s">
        <v>1103</v>
      </c>
      <c r="C56">
        <v>2570</v>
      </c>
      <c r="D56" t="s">
        <v>1100</v>
      </c>
      <c r="E56" t="s">
        <v>4429</v>
      </c>
      <c r="F56" t="s">
        <v>4430</v>
      </c>
      <c r="G56" t="s">
        <v>4431</v>
      </c>
    </row>
    <row r="57" spans="1:7" x14ac:dyDescent="0.3">
      <c r="A57">
        <v>267</v>
      </c>
      <c r="B57" t="s">
        <v>1105</v>
      </c>
      <c r="C57">
        <v>2557</v>
      </c>
      <c r="D57" t="s">
        <v>1105</v>
      </c>
      <c r="E57" t="s">
        <v>3349</v>
      </c>
      <c r="F57" t="s">
        <v>3349</v>
      </c>
      <c r="G57" t="s">
        <v>4432</v>
      </c>
    </row>
    <row r="58" spans="1:7" x14ac:dyDescent="0.3">
      <c r="A58">
        <v>270</v>
      </c>
      <c r="B58" t="s">
        <v>1110</v>
      </c>
      <c r="C58">
        <v>2558</v>
      </c>
      <c r="D58" t="s">
        <v>1111</v>
      </c>
      <c r="E58" t="s">
        <v>1110</v>
      </c>
      <c r="F58" t="s">
        <v>1110</v>
      </c>
      <c r="G58" t="s">
        <v>4433</v>
      </c>
    </row>
    <row r="59" spans="1:7" x14ac:dyDescent="0.3">
      <c r="A59">
        <v>275</v>
      </c>
      <c r="B59" t="s">
        <v>1117</v>
      </c>
      <c r="C59">
        <v>2570</v>
      </c>
      <c r="D59" t="s">
        <v>1100</v>
      </c>
      <c r="E59" t="s">
        <v>1058</v>
      </c>
      <c r="F59" t="s">
        <v>4416</v>
      </c>
      <c r="G59" t="s">
        <v>4434</v>
      </c>
    </row>
    <row r="60" spans="1:7" x14ac:dyDescent="0.3">
      <c r="A60">
        <v>277</v>
      </c>
      <c r="B60" t="s">
        <v>1119</v>
      </c>
      <c r="C60">
        <v>2570</v>
      </c>
      <c r="D60" t="s">
        <v>1100</v>
      </c>
      <c r="E60" t="s">
        <v>1156</v>
      </c>
      <c r="F60" t="s">
        <v>4435</v>
      </c>
      <c r="G60" t="s">
        <v>4436</v>
      </c>
    </row>
    <row r="61" spans="1:7" x14ac:dyDescent="0.3">
      <c r="A61">
        <v>280</v>
      </c>
      <c r="B61" t="s">
        <v>1121</v>
      </c>
      <c r="C61">
        <v>2570</v>
      </c>
      <c r="D61" t="s">
        <v>1100</v>
      </c>
      <c r="E61" t="s">
        <v>1121</v>
      </c>
      <c r="F61" t="s">
        <v>4437</v>
      </c>
      <c r="G61" t="s">
        <v>4438</v>
      </c>
    </row>
    <row r="62" spans="1:7" x14ac:dyDescent="0.3">
      <c r="A62">
        <v>289</v>
      </c>
      <c r="B62" t="s">
        <v>1124</v>
      </c>
      <c r="C62">
        <v>2561</v>
      </c>
      <c r="D62" t="s">
        <v>1124</v>
      </c>
      <c r="E62" t="s">
        <v>4439</v>
      </c>
      <c r="F62" t="s">
        <v>4440</v>
      </c>
      <c r="G62" t="s">
        <v>4441</v>
      </c>
    </row>
    <row r="63" spans="1:7" x14ac:dyDescent="0.3">
      <c r="A63">
        <v>292</v>
      </c>
      <c r="B63" t="s">
        <v>1129</v>
      </c>
      <c r="C63">
        <v>2558</v>
      </c>
      <c r="D63" t="s">
        <v>1111</v>
      </c>
      <c r="E63" t="s">
        <v>1129</v>
      </c>
      <c r="F63" t="s">
        <v>4442</v>
      </c>
      <c r="G63" t="s">
        <v>4443</v>
      </c>
    </row>
    <row r="64" spans="1:7" x14ac:dyDescent="0.3">
      <c r="A64">
        <v>296</v>
      </c>
      <c r="B64" t="s">
        <v>1133</v>
      </c>
      <c r="C64">
        <v>2570</v>
      </c>
      <c r="D64" t="s">
        <v>1100</v>
      </c>
      <c r="E64" t="s">
        <v>1133</v>
      </c>
      <c r="F64" t="s">
        <v>4444</v>
      </c>
      <c r="G64" t="s">
        <v>4445</v>
      </c>
    </row>
    <row r="65" spans="1:7" x14ac:dyDescent="0.3">
      <c r="A65">
        <v>299</v>
      </c>
      <c r="B65" t="s">
        <v>1136</v>
      </c>
      <c r="C65">
        <v>2570</v>
      </c>
      <c r="D65" t="s">
        <v>1100</v>
      </c>
      <c r="E65" t="s">
        <v>1136</v>
      </c>
      <c r="F65" t="s">
        <v>1136</v>
      </c>
      <c r="G65" t="s">
        <v>4446</v>
      </c>
    </row>
    <row r="66" spans="1:7" x14ac:dyDescent="0.3">
      <c r="A66">
        <v>305</v>
      </c>
      <c r="B66" t="s">
        <v>1137</v>
      </c>
      <c r="C66">
        <v>2570</v>
      </c>
      <c r="D66" t="s">
        <v>1100</v>
      </c>
      <c r="E66" t="s">
        <v>1156</v>
      </c>
      <c r="F66" t="s">
        <v>4435</v>
      </c>
      <c r="G66" t="s">
        <v>4447</v>
      </c>
    </row>
    <row r="67" spans="1:7" x14ac:dyDescent="0.3">
      <c r="A67">
        <v>310</v>
      </c>
      <c r="B67" t="s">
        <v>1140</v>
      </c>
      <c r="C67">
        <v>2570</v>
      </c>
      <c r="D67" t="s">
        <v>1100</v>
      </c>
      <c r="E67" t="s">
        <v>1140</v>
      </c>
      <c r="F67" t="s">
        <v>4448</v>
      </c>
      <c r="G67" t="s">
        <v>4449</v>
      </c>
    </row>
    <row r="68" spans="1:7" x14ac:dyDescent="0.3">
      <c r="A68">
        <v>311</v>
      </c>
      <c r="B68" t="s">
        <v>1141</v>
      </c>
      <c r="C68">
        <v>2570</v>
      </c>
      <c r="D68" t="s">
        <v>1100</v>
      </c>
      <c r="E68" t="s">
        <v>1156</v>
      </c>
      <c r="F68" t="s">
        <v>4435</v>
      </c>
      <c r="G68" t="s">
        <v>4450</v>
      </c>
    </row>
    <row r="69" spans="1:7" x14ac:dyDescent="0.3">
      <c r="A69">
        <v>328</v>
      </c>
      <c r="B69" t="s">
        <v>1525</v>
      </c>
      <c r="C69">
        <v>328</v>
      </c>
      <c r="D69" t="s">
        <v>1525</v>
      </c>
      <c r="E69" t="s">
        <v>3269</v>
      </c>
      <c r="F69" t="s">
        <v>3269</v>
      </c>
      <c r="G69" t="s">
        <v>4451</v>
      </c>
    </row>
    <row r="70" spans="1:7" x14ac:dyDescent="0.3">
      <c r="A70">
        <v>329</v>
      </c>
      <c r="B70" t="s">
        <v>1145</v>
      </c>
      <c r="C70">
        <v>2559</v>
      </c>
      <c r="D70" t="s">
        <v>1145</v>
      </c>
      <c r="G70" t="s">
        <v>4452</v>
      </c>
    </row>
    <row r="71" spans="1:7" x14ac:dyDescent="0.3">
      <c r="A71">
        <v>333</v>
      </c>
      <c r="B71" t="s">
        <v>1150</v>
      </c>
      <c r="C71">
        <v>2570</v>
      </c>
      <c r="D71" t="s">
        <v>1100</v>
      </c>
      <c r="E71" t="s">
        <v>1150</v>
      </c>
      <c r="F71" t="s">
        <v>1150</v>
      </c>
      <c r="G71" t="s">
        <v>4453</v>
      </c>
    </row>
    <row r="72" spans="1:7" x14ac:dyDescent="0.3">
      <c r="A72">
        <v>336</v>
      </c>
      <c r="B72" t="s">
        <v>1153</v>
      </c>
      <c r="C72">
        <v>2570</v>
      </c>
      <c r="D72" t="s">
        <v>1100</v>
      </c>
      <c r="E72" t="s">
        <v>1153</v>
      </c>
      <c r="F72" t="s">
        <v>1153</v>
      </c>
      <c r="G72" t="s">
        <v>4454</v>
      </c>
    </row>
    <row r="73" spans="1:7" x14ac:dyDescent="0.3">
      <c r="A73">
        <v>339</v>
      </c>
      <c r="B73" t="s">
        <v>1156</v>
      </c>
      <c r="C73">
        <v>2570</v>
      </c>
      <c r="D73" t="s">
        <v>1100</v>
      </c>
      <c r="E73" t="s">
        <v>1156</v>
      </c>
      <c r="F73" t="s">
        <v>4435</v>
      </c>
      <c r="G73" t="s">
        <v>4455</v>
      </c>
    </row>
    <row r="74" spans="1:7" x14ac:dyDescent="0.3">
      <c r="A74">
        <v>358</v>
      </c>
      <c r="B74" t="s">
        <v>1160</v>
      </c>
      <c r="C74">
        <v>2605</v>
      </c>
      <c r="D74" t="s">
        <v>1161</v>
      </c>
      <c r="E74" t="s">
        <v>1671</v>
      </c>
      <c r="F74" t="s">
        <v>1671</v>
      </c>
      <c r="G74" t="s">
        <v>4456</v>
      </c>
    </row>
    <row r="75" spans="1:7" x14ac:dyDescent="0.3">
      <c r="A75">
        <v>366</v>
      </c>
      <c r="B75" t="s">
        <v>1162</v>
      </c>
      <c r="C75">
        <v>2605</v>
      </c>
      <c r="D75" t="s">
        <v>1161</v>
      </c>
      <c r="E75" t="s">
        <v>1162</v>
      </c>
      <c r="F75" t="s">
        <v>1162</v>
      </c>
      <c r="G75" t="s">
        <v>4457</v>
      </c>
    </row>
    <row r="76" spans="1:7" x14ac:dyDescent="0.3">
      <c r="A76">
        <v>367</v>
      </c>
      <c r="B76" t="s">
        <v>1163</v>
      </c>
      <c r="C76">
        <v>2605</v>
      </c>
      <c r="D76" t="s">
        <v>1161</v>
      </c>
      <c r="E76" t="s">
        <v>1163</v>
      </c>
      <c r="F76" t="s">
        <v>1163</v>
      </c>
      <c r="G76" t="s">
        <v>4458</v>
      </c>
    </row>
    <row r="77" spans="1:7" x14ac:dyDescent="0.3">
      <c r="A77">
        <v>372</v>
      </c>
      <c r="B77" t="s">
        <v>1164</v>
      </c>
      <c r="C77">
        <v>2605</v>
      </c>
      <c r="D77" t="s">
        <v>1161</v>
      </c>
      <c r="E77" t="s">
        <v>1675</v>
      </c>
      <c r="F77" t="s">
        <v>1675</v>
      </c>
      <c r="G77" t="s">
        <v>4459</v>
      </c>
    </row>
    <row r="78" spans="1:7" x14ac:dyDescent="0.3">
      <c r="A78">
        <v>373</v>
      </c>
      <c r="B78" t="s">
        <v>1165</v>
      </c>
      <c r="C78">
        <v>2605</v>
      </c>
      <c r="D78" t="s">
        <v>1161</v>
      </c>
      <c r="E78" t="s">
        <v>1165</v>
      </c>
      <c r="F78" t="s">
        <v>1165</v>
      </c>
      <c r="G78" t="s">
        <v>4460</v>
      </c>
    </row>
    <row r="79" spans="1:7" x14ac:dyDescent="0.3">
      <c r="A79">
        <v>378</v>
      </c>
      <c r="B79" t="s">
        <v>1166</v>
      </c>
      <c r="C79">
        <v>2532</v>
      </c>
      <c r="D79" t="s">
        <v>990</v>
      </c>
      <c r="G79" t="s">
        <v>4461</v>
      </c>
    </row>
    <row r="80" spans="1:7" x14ac:dyDescent="0.3">
      <c r="A80">
        <v>388</v>
      </c>
      <c r="B80" t="s">
        <v>1167</v>
      </c>
      <c r="C80">
        <v>2601</v>
      </c>
      <c r="D80" t="s">
        <v>1168</v>
      </c>
      <c r="E80" t="s">
        <v>1167</v>
      </c>
      <c r="F80" t="s">
        <v>1167</v>
      </c>
      <c r="G80" t="s">
        <v>4462</v>
      </c>
    </row>
    <row r="81" spans="1:7" x14ac:dyDescent="0.3">
      <c r="A81">
        <v>393</v>
      </c>
      <c r="B81" t="s">
        <v>1173</v>
      </c>
      <c r="C81">
        <v>2605</v>
      </c>
      <c r="D81" t="s">
        <v>1161</v>
      </c>
      <c r="E81" t="s">
        <v>1681</v>
      </c>
      <c r="F81" t="s">
        <v>1681</v>
      </c>
      <c r="G81" t="s">
        <v>4463</v>
      </c>
    </row>
    <row r="82" spans="1:7" x14ac:dyDescent="0.3">
      <c r="A82">
        <v>394</v>
      </c>
      <c r="B82" t="s">
        <v>1174</v>
      </c>
      <c r="C82">
        <v>2605</v>
      </c>
      <c r="D82" t="s">
        <v>1161</v>
      </c>
      <c r="E82" t="s">
        <v>4464</v>
      </c>
      <c r="F82" t="s">
        <v>4465</v>
      </c>
      <c r="G82" t="s">
        <v>4466</v>
      </c>
    </row>
    <row r="83" spans="1:7" x14ac:dyDescent="0.3">
      <c r="A83">
        <v>397</v>
      </c>
      <c r="B83" t="s">
        <v>1175</v>
      </c>
      <c r="C83">
        <v>2605</v>
      </c>
      <c r="D83" t="s">
        <v>1161</v>
      </c>
      <c r="E83" t="s">
        <v>1175</v>
      </c>
      <c r="F83" t="s">
        <v>4467</v>
      </c>
      <c r="G83" t="s">
        <v>4468</v>
      </c>
    </row>
    <row r="84" spans="1:7" x14ac:dyDescent="0.3">
      <c r="A84">
        <v>399</v>
      </c>
      <c r="B84" t="s">
        <v>1176</v>
      </c>
      <c r="C84">
        <v>2605</v>
      </c>
      <c r="D84" t="s">
        <v>1161</v>
      </c>
      <c r="E84" t="s">
        <v>4469</v>
      </c>
      <c r="F84" t="s">
        <v>4469</v>
      </c>
      <c r="G84" t="s">
        <v>4470</v>
      </c>
    </row>
    <row r="85" spans="1:7" x14ac:dyDescent="0.3">
      <c r="A85">
        <v>401</v>
      </c>
      <c r="B85" t="s">
        <v>1177</v>
      </c>
      <c r="C85">
        <v>2605</v>
      </c>
      <c r="D85" t="s">
        <v>1161</v>
      </c>
      <c r="E85" t="s">
        <v>1177</v>
      </c>
      <c r="F85" t="s">
        <v>4471</v>
      </c>
      <c r="G85" t="s">
        <v>4472</v>
      </c>
    </row>
    <row r="86" spans="1:7" x14ac:dyDescent="0.3">
      <c r="A86">
        <v>402</v>
      </c>
      <c r="B86" t="s">
        <v>1178</v>
      </c>
      <c r="C86">
        <v>2602</v>
      </c>
      <c r="D86" t="s">
        <v>1180</v>
      </c>
      <c r="E86" t="s">
        <v>4473</v>
      </c>
      <c r="F86" t="s">
        <v>4474</v>
      </c>
      <c r="G86" t="s">
        <v>4475</v>
      </c>
    </row>
    <row r="87" spans="1:7" x14ac:dyDescent="0.3">
      <c r="A87">
        <v>403</v>
      </c>
      <c r="B87" t="s">
        <v>1179</v>
      </c>
      <c r="C87">
        <v>2602</v>
      </c>
      <c r="D87" t="s">
        <v>1180</v>
      </c>
      <c r="E87" t="s">
        <v>1180</v>
      </c>
      <c r="F87" t="s">
        <v>1180</v>
      </c>
      <c r="G87" t="s">
        <v>4476</v>
      </c>
    </row>
    <row r="88" spans="1:7" x14ac:dyDescent="0.3">
      <c r="A88">
        <v>406</v>
      </c>
      <c r="B88" t="s">
        <v>1181</v>
      </c>
      <c r="C88">
        <v>2605</v>
      </c>
      <c r="D88" t="s">
        <v>1161</v>
      </c>
      <c r="E88" t="s">
        <v>1181</v>
      </c>
      <c r="F88" t="s">
        <v>1181</v>
      </c>
      <c r="G88" t="s">
        <v>4477</v>
      </c>
    </row>
    <row r="89" spans="1:7" x14ac:dyDescent="0.3">
      <c r="A89">
        <v>407</v>
      </c>
      <c r="B89" t="s">
        <v>1182</v>
      </c>
      <c r="C89">
        <v>2605</v>
      </c>
      <c r="D89" t="s">
        <v>1161</v>
      </c>
      <c r="E89" t="s">
        <v>4473</v>
      </c>
      <c r="F89" t="s">
        <v>4474</v>
      </c>
      <c r="G89" t="s">
        <v>4478</v>
      </c>
    </row>
    <row r="90" spans="1:7" x14ac:dyDescent="0.3">
      <c r="A90">
        <v>414</v>
      </c>
      <c r="B90" t="s">
        <v>1183</v>
      </c>
      <c r="C90">
        <v>2605</v>
      </c>
      <c r="D90" t="s">
        <v>1161</v>
      </c>
      <c r="E90" t="s">
        <v>1183</v>
      </c>
      <c r="F90" t="s">
        <v>4479</v>
      </c>
      <c r="G90" t="s">
        <v>4480</v>
      </c>
    </row>
    <row r="91" spans="1:7" x14ac:dyDescent="0.3">
      <c r="A91">
        <v>417</v>
      </c>
      <c r="B91" t="s">
        <v>1184</v>
      </c>
      <c r="C91">
        <v>2605</v>
      </c>
      <c r="D91" t="s">
        <v>1161</v>
      </c>
      <c r="E91" t="s">
        <v>1184</v>
      </c>
      <c r="F91" t="s">
        <v>4481</v>
      </c>
      <c r="G91" t="s">
        <v>4482</v>
      </c>
    </row>
    <row r="92" spans="1:7" x14ac:dyDescent="0.3">
      <c r="A92">
        <v>420</v>
      </c>
      <c r="B92" t="s">
        <v>1185</v>
      </c>
      <c r="C92">
        <v>2605</v>
      </c>
      <c r="D92" t="s">
        <v>1161</v>
      </c>
      <c r="E92" t="s">
        <v>1183</v>
      </c>
      <c r="F92" t="s">
        <v>4479</v>
      </c>
      <c r="G92" t="s">
        <v>4483</v>
      </c>
    </row>
    <row r="93" spans="1:7" x14ac:dyDescent="0.3">
      <c r="A93">
        <v>423</v>
      </c>
      <c r="B93" t="s">
        <v>1186</v>
      </c>
      <c r="C93">
        <v>2605</v>
      </c>
      <c r="D93" t="s">
        <v>1161</v>
      </c>
      <c r="E93" t="s">
        <v>1186</v>
      </c>
      <c r="F93" t="s">
        <v>4484</v>
      </c>
      <c r="G93" t="s">
        <v>4485</v>
      </c>
    </row>
    <row r="94" spans="1:7" x14ac:dyDescent="0.3">
      <c r="A94">
        <v>426</v>
      </c>
      <c r="B94" t="s">
        <v>1187</v>
      </c>
      <c r="C94">
        <v>2605</v>
      </c>
      <c r="D94" t="s">
        <v>1161</v>
      </c>
      <c r="E94" t="s">
        <v>4486</v>
      </c>
      <c r="F94" t="s">
        <v>4486</v>
      </c>
      <c r="G94" t="s">
        <v>4487</v>
      </c>
    </row>
    <row r="95" spans="1:7" x14ac:dyDescent="0.3">
      <c r="A95">
        <v>430</v>
      </c>
      <c r="B95" t="s">
        <v>1188</v>
      </c>
      <c r="C95">
        <v>2605</v>
      </c>
      <c r="D95" t="s">
        <v>1161</v>
      </c>
      <c r="E95" t="s">
        <v>1188</v>
      </c>
      <c r="F95" t="s">
        <v>1188</v>
      </c>
      <c r="G95" t="s">
        <v>4488</v>
      </c>
    </row>
    <row r="96" spans="1:7" x14ac:dyDescent="0.3">
      <c r="A96">
        <v>446</v>
      </c>
      <c r="B96" t="s">
        <v>1189</v>
      </c>
      <c r="C96">
        <v>2605</v>
      </c>
      <c r="D96" t="s">
        <v>1161</v>
      </c>
      <c r="E96" t="s">
        <v>4489</v>
      </c>
      <c r="F96" t="s">
        <v>4490</v>
      </c>
      <c r="G96" t="s">
        <v>4491</v>
      </c>
    </row>
    <row r="97" spans="1:7" x14ac:dyDescent="0.3">
      <c r="A97">
        <v>449</v>
      </c>
      <c r="B97" t="s">
        <v>1193</v>
      </c>
      <c r="C97">
        <v>2605</v>
      </c>
      <c r="D97" t="s">
        <v>1161</v>
      </c>
      <c r="E97" t="s">
        <v>4492</v>
      </c>
      <c r="F97" t="s">
        <v>4493</v>
      </c>
      <c r="G97" t="s">
        <v>4494</v>
      </c>
    </row>
    <row r="98" spans="1:7" x14ac:dyDescent="0.3">
      <c r="A98">
        <v>459</v>
      </c>
      <c r="B98" t="s">
        <v>1196</v>
      </c>
      <c r="C98">
        <v>2605</v>
      </c>
      <c r="D98" t="s">
        <v>1161</v>
      </c>
      <c r="E98" t="s">
        <v>4486</v>
      </c>
      <c r="F98" t="s">
        <v>4486</v>
      </c>
      <c r="G98" t="s">
        <v>4495</v>
      </c>
    </row>
    <row r="99" spans="1:7" x14ac:dyDescent="0.3">
      <c r="A99">
        <v>461</v>
      </c>
      <c r="B99" t="s">
        <v>1198</v>
      </c>
      <c r="C99">
        <v>2605</v>
      </c>
      <c r="D99" t="s">
        <v>1161</v>
      </c>
      <c r="E99" t="s">
        <v>1198</v>
      </c>
      <c r="F99" t="s">
        <v>1198</v>
      </c>
      <c r="G99" t="s">
        <v>4496</v>
      </c>
    </row>
    <row r="100" spans="1:7" x14ac:dyDescent="0.3">
      <c r="A100">
        <v>463</v>
      </c>
      <c r="B100" t="s">
        <v>1199</v>
      </c>
      <c r="C100">
        <v>2605</v>
      </c>
      <c r="D100" t="s">
        <v>1161</v>
      </c>
      <c r="E100" t="s">
        <v>4492</v>
      </c>
      <c r="F100" t="s">
        <v>4493</v>
      </c>
      <c r="G100" t="s">
        <v>4497</v>
      </c>
    </row>
    <row r="101" spans="1:7" x14ac:dyDescent="0.3">
      <c r="A101">
        <v>486</v>
      </c>
      <c r="B101" t="s">
        <v>1210</v>
      </c>
      <c r="C101">
        <v>2615</v>
      </c>
      <c r="D101" t="s">
        <v>1210</v>
      </c>
      <c r="E101" t="s">
        <v>4498</v>
      </c>
      <c r="F101" t="s">
        <v>4498</v>
      </c>
      <c r="G101" t="s">
        <v>4499</v>
      </c>
    </row>
    <row r="102" spans="1:7" x14ac:dyDescent="0.3">
      <c r="A102">
        <v>489</v>
      </c>
      <c r="B102" t="s">
        <v>1212</v>
      </c>
      <c r="C102">
        <v>2616</v>
      </c>
      <c r="D102" t="s">
        <v>1212</v>
      </c>
      <c r="E102" t="s">
        <v>1212</v>
      </c>
      <c r="F102" t="s">
        <v>1212</v>
      </c>
      <c r="G102" t="s">
        <v>4500</v>
      </c>
    </row>
    <row r="103" spans="1:7" x14ac:dyDescent="0.3">
      <c r="A103">
        <v>490</v>
      </c>
      <c r="B103" t="s">
        <v>1213</v>
      </c>
      <c r="C103">
        <v>2611</v>
      </c>
      <c r="D103" t="s">
        <v>1214</v>
      </c>
      <c r="E103" t="s">
        <v>1213</v>
      </c>
      <c r="F103" t="s">
        <v>1213</v>
      </c>
      <c r="G103" t="s">
        <v>4501</v>
      </c>
    </row>
    <row r="104" spans="1:7" x14ac:dyDescent="0.3">
      <c r="A104">
        <v>495</v>
      </c>
      <c r="B104" t="s">
        <v>1217</v>
      </c>
      <c r="C104">
        <v>2611</v>
      </c>
      <c r="D104" t="s">
        <v>1214</v>
      </c>
      <c r="E104" t="s">
        <v>4502</v>
      </c>
      <c r="F104" t="s">
        <v>4503</v>
      </c>
      <c r="G104" t="s">
        <v>4504</v>
      </c>
    </row>
    <row r="105" spans="1:7" x14ac:dyDescent="0.3">
      <c r="A105">
        <v>497</v>
      </c>
      <c r="B105" t="s">
        <v>1219</v>
      </c>
      <c r="C105">
        <v>2612</v>
      </c>
      <c r="D105" t="s">
        <v>1220</v>
      </c>
      <c r="E105" t="s">
        <v>1219</v>
      </c>
      <c r="F105" t="s">
        <v>4505</v>
      </c>
      <c r="G105" t="s">
        <v>4506</v>
      </c>
    </row>
    <row r="106" spans="1:7" x14ac:dyDescent="0.3">
      <c r="A106">
        <v>507</v>
      </c>
      <c r="B106" t="s">
        <v>1223</v>
      </c>
      <c r="C106">
        <v>2613</v>
      </c>
      <c r="D106" t="s">
        <v>1224</v>
      </c>
      <c r="E106" t="s">
        <v>4507</v>
      </c>
      <c r="F106" t="s">
        <v>4508</v>
      </c>
      <c r="G106" t="s">
        <v>4509</v>
      </c>
    </row>
    <row r="107" spans="1:7" x14ac:dyDescent="0.3">
      <c r="A107">
        <v>512</v>
      </c>
      <c r="B107" t="s">
        <v>1227</v>
      </c>
      <c r="C107">
        <v>2614</v>
      </c>
      <c r="D107" t="s">
        <v>1228</v>
      </c>
      <c r="E107" t="s">
        <v>4510</v>
      </c>
      <c r="F107" t="s">
        <v>4511</v>
      </c>
      <c r="G107" t="s">
        <v>4512</v>
      </c>
    </row>
    <row r="108" spans="1:7" x14ac:dyDescent="0.3">
      <c r="A108">
        <v>515</v>
      </c>
      <c r="B108" t="s">
        <v>1231</v>
      </c>
      <c r="C108">
        <v>2617</v>
      </c>
      <c r="D108" t="s">
        <v>1232</v>
      </c>
      <c r="E108" t="s">
        <v>4513</v>
      </c>
      <c r="F108" t="s">
        <v>4513</v>
      </c>
      <c r="G108" t="s">
        <v>4514</v>
      </c>
    </row>
    <row r="109" spans="1:7" x14ac:dyDescent="0.3">
      <c r="A109">
        <v>521</v>
      </c>
      <c r="B109" t="s">
        <v>1236</v>
      </c>
      <c r="C109">
        <v>2625</v>
      </c>
      <c r="D109" t="s">
        <v>1237</v>
      </c>
      <c r="E109" t="s">
        <v>1236</v>
      </c>
      <c r="F109" t="s">
        <v>1236</v>
      </c>
      <c r="G109" t="s">
        <v>4515</v>
      </c>
    </row>
    <row r="110" spans="1:7" x14ac:dyDescent="0.3">
      <c r="A110">
        <v>523</v>
      </c>
      <c r="B110" t="s">
        <v>1238</v>
      </c>
      <c r="C110">
        <v>2625</v>
      </c>
      <c r="D110" t="s">
        <v>1237</v>
      </c>
      <c r="E110" t="s">
        <v>4513</v>
      </c>
      <c r="F110" t="s">
        <v>4513</v>
      </c>
      <c r="G110" t="s">
        <v>4516</v>
      </c>
    </row>
    <row r="111" spans="1:7" x14ac:dyDescent="0.3">
      <c r="A111">
        <v>526</v>
      </c>
      <c r="B111" t="s">
        <v>1239</v>
      </c>
      <c r="C111">
        <v>2625</v>
      </c>
      <c r="D111" t="s">
        <v>1237</v>
      </c>
      <c r="E111" t="s">
        <v>1239</v>
      </c>
      <c r="F111" t="s">
        <v>1239</v>
      </c>
      <c r="G111" t="s">
        <v>4517</v>
      </c>
    </row>
    <row r="112" spans="1:7" x14ac:dyDescent="0.3">
      <c r="A112">
        <v>530</v>
      </c>
      <c r="B112" t="s">
        <v>1241</v>
      </c>
      <c r="C112">
        <v>2625</v>
      </c>
      <c r="D112" t="s">
        <v>1237</v>
      </c>
      <c r="E112" t="s">
        <v>1730</v>
      </c>
      <c r="F112" t="s">
        <v>4518</v>
      </c>
      <c r="G112" t="s">
        <v>4519</v>
      </c>
    </row>
    <row r="113" spans="1:7" x14ac:dyDescent="0.3">
      <c r="A113">
        <v>531</v>
      </c>
      <c r="B113" t="s">
        <v>1242</v>
      </c>
      <c r="C113">
        <v>2625</v>
      </c>
      <c r="D113" t="s">
        <v>1237</v>
      </c>
      <c r="E113" t="s">
        <v>1242</v>
      </c>
      <c r="F113" t="s">
        <v>1242</v>
      </c>
      <c r="G113" t="s">
        <v>4520</v>
      </c>
    </row>
    <row r="114" spans="1:7" x14ac:dyDescent="0.3">
      <c r="A114">
        <v>534</v>
      </c>
      <c r="B114" t="s">
        <v>1243</v>
      </c>
      <c r="C114">
        <v>2625</v>
      </c>
      <c r="D114" t="s">
        <v>1237</v>
      </c>
      <c r="E114" t="s">
        <v>1243</v>
      </c>
      <c r="F114" t="s">
        <v>4521</v>
      </c>
      <c r="G114" t="s">
        <v>4522</v>
      </c>
    </row>
    <row r="115" spans="1:7" x14ac:dyDescent="0.3">
      <c r="A115">
        <v>536</v>
      </c>
      <c r="B115" t="s">
        <v>1244</v>
      </c>
      <c r="C115">
        <v>2625</v>
      </c>
      <c r="D115" t="s">
        <v>1237</v>
      </c>
      <c r="E115" t="s">
        <v>1735</v>
      </c>
      <c r="F115" t="s">
        <v>1735</v>
      </c>
      <c r="G115" t="s">
        <v>4523</v>
      </c>
    </row>
    <row r="116" spans="1:7" x14ac:dyDescent="0.3">
      <c r="A116">
        <v>541</v>
      </c>
      <c r="B116" t="s">
        <v>1248</v>
      </c>
      <c r="C116">
        <v>2625</v>
      </c>
      <c r="D116" t="s">
        <v>1237</v>
      </c>
      <c r="E116" t="s">
        <v>4524</v>
      </c>
      <c r="F116" t="s">
        <v>4525</v>
      </c>
      <c r="G116" t="s">
        <v>4526</v>
      </c>
    </row>
    <row r="117" spans="1:7" x14ac:dyDescent="0.3">
      <c r="A117">
        <v>542</v>
      </c>
      <c r="B117" t="s">
        <v>1249</v>
      </c>
      <c r="C117">
        <v>2625</v>
      </c>
      <c r="D117" t="s">
        <v>1237</v>
      </c>
      <c r="E117" t="s">
        <v>4513</v>
      </c>
      <c r="F117" t="s">
        <v>4513</v>
      </c>
      <c r="G117" t="s">
        <v>4527</v>
      </c>
    </row>
    <row r="118" spans="1:7" x14ac:dyDescent="0.3">
      <c r="A118">
        <v>544</v>
      </c>
      <c r="B118" t="s">
        <v>1250</v>
      </c>
      <c r="C118">
        <v>2625</v>
      </c>
      <c r="D118" t="s">
        <v>1237</v>
      </c>
      <c r="E118" t="s">
        <v>1250</v>
      </c>
      <c r="F118" t="s">
        <v>1250</v>
      </c>
      <c r="G118" t="s">
        <v>4528</v>
      </c>
    </row>
    <row r="119" spans="1:7" x14ac:dyDescent="0.3">
      <c r="A119">
        <v>547</v>
      </c>
      <c r="B119" t="s">
        <v>1251</v>
      </c>
      <c r="C119">
        <v>2625</v>
      </c>
      <c r="D119" t="s">
        <v>1237</v>
      </c>
      <c r="E119" t="s">
        <v>1251</v>
      </c>
      <c r="F119" t="s">
        <v>1251</v>
      </c>
      <c r="G119" t="s">
        <v>4529</v>
      </c>
    </row>
    <row r="120" spans="1:7" x14ac:dyDescent="0.3">
      <c r="A120">
        <v>549</v>
      </c>
      <c r="B120" t="s">
        <v>1252</v>
      </c>
      <c r="C120">
        <v>2625</v>
      </c>
      <c r="D120" t="s">
        <v>1237</v>
      </c>
      <c r="E120" t="s">
        <v>1252</v>
      </c>
      <c r="F120" t="s">
        <v>1252</v>
      </c>
      <c r="G120" t="s">
        <v>4530</v>
      </c>
    </row>
    <row r="121" spans="1:7" x14ac:dyDescent="0.3">
      <c r="A121">
        <v>550</v>
      </c>
      <c r="B121" t="s">
        <v>1253</v>
      </c>
      <c r="C121">
        <v>2625</v>
      </c>
      <c r="D121" t="s">
        <v>1237</v>
      </c>
      <c r="E121" t="s">
        <v>1253</v>
      </c>
      <c r="F121" t="s">
        <v>1253</v>
      </c>
      <c r="G121" t="s">
        <v>4531</v>
      </c>
    </row>
    <row r="122" spans="1:7" x14ac:dyDescent="0.3">
      <c r="A122">
        <v>552</v>
      </c>
      <c r="B122" t="s">
        <v>1254</v>
      </c>
      <c r="C122">
        <v>2625</v>
      </c>
      <c r="D122" t="s">
        <v>1237</v>
      </c>
      <c r="E122" t="s">
        <v>1254</v>
      </c>
      <c r="F122" t="s">
        <v>1254</v>
      </c>
      <c r="G122" t="s">
        <v>4532</v>
      </c>
    </row>
    <row r="123" spans="1:7" x14ac:dyDescent="0.3">
      <c r="A123">
        <v>554</v>
      </c>
      <c r="B123" t="s">
        <v>1255</v>
      </c>
      <c r="C123">
        <v>2625</v>
      </c>
      <c r="D123" t="s">
        <v>1237</v>
      </c>
      <c r="E123" t="s">
        <v>1255</v>
      </c>
      <c r="F123" t="s">
        <v>1255</v>
      </c>
      <c r="G123" t="s">
        <v>4533</v>
      </c>
    </row>
    <row r="124" spans="1:7" x14ac:dyDescent="0.3">
      <c r="A124">
        <v>558</v>
      </c>
      <c r="B124" t="s">
        <v>1256</v>
      </c>
      <c r="C124">
        <v>2625</v>
      </c>
      <c r="D124" t="s">
        <v>1237</v>
      </c>
      <c r="E124" t="s">
        <v>1256</v>
      </c>
      <c r="F124" t="s">
        <v>4534</v>
      </c>
      <c r="G124" t="s">
        <v>4535</v>
      </c>
    </row>
    <row r="125" spans="1:7" x14ac:dyDescent="0.3">
      <c r="A125">
        <v>560</v>
      </c>
      <c r="B125" t="s">
        <v>1257</v>
      </c>
      <c r="C125">
        <v>2620</v>
      </c>
      <c r="D125" t="s">
        <v>1258</v>
      </c>
      <c r="E125" t="s">
        <v>1257</v>
      </c>
      <c r="F125" t="s">
        <v>1257</v>
      </c>
      <c r="G125" t="s">
        <v>4536</v>
      </c>
    </row>
    <row r="126" spans="1:7" x14ac:dyDescent="0.3">
      <c r="A126">
        <v>567</v>
      </c>
      <c r="B126" t="s">
        <v>1264</v>
      </c>
      <c r="C126">
        <v>2605</v>
      </c>
      <c r="D126" t="s">
        <v>1161</v>
      </c>
      <c r="E126" t="s">
        <v>1264</v>
      </c>
      <c r="F126" t="s">
        <v>1264</v>
      </c>
      <c r="G126" t="s">
        <v>4537</v>
      </c>
    </row>
    <row r="127" spans="1:7" x14ac:dyDescent="0.3">
      <c r="A127">
        <v>568</v>
      </c>
      <c r="B127" t="s">
        <v>1265</v>
      </c>
      <c r="C127">
        <v>2605</v>
      </c>
      <c r="D127" t="s">
        <v>1161</v>
      </c>
      <c r="E127" t="s">
        <v>1742</v>
      </c>
      <c r="F127" t="s">
        <v>4538</v>
      </c>
      <c r="G127" t="s">
        <v>4539</v>
      </c>
    </row>
    <row r="128" spans="1:7" x14ac:dyDescent="0.3">
      <c r="A128">
        <v>569</v>
      </c>
      <c r="B128" t="s">
        <v>1266</v>
      </c>
      <c r="C128">
        <v>2625</v>
      </c>
      <c r="D128" t="s">
        <v>1237</v>
      </c>
      <c r="E128" t="s">
        <v>1266</v>
      </c>
      <c r="F128" t="s">
        <v>1266</v>
      </c>
      <c r="G128" t="s">
        <v>4540</v>
      </c>
    </row>
    <row r="129" spans="1:7" x14ac:dyDescent="0.3">
      <c r="A129">
        <v>571</v>
      </c>
      <c r="B129" t="s">
        <v>1268</v>
      </c>
      <c r="C129">
        <v>2625</v>
      </c>
      <c r="D129" t="s">
        <v>1237</v>
      </c>
      <c r="E129" t="s">
        <v>4541</v>
      </c>
      <c r="F129" t="s">
        <v>4541</v>
      </c>
      <c r="G129" t="s">
        <v>4542</v>
      </c>
    </row>
    <row r="130" spans="1:7" x14ac:dyDescent="0.3">
      <c r="A130">
        <v>572</v>
      </c>
      <c r="B130" t="s">
        <v>1269</v>
      </c>
      <c r="C130">
        <v>2625</v>
      </c>
      <c r="D130" t="s">
        <v>1237</v>
      </c>
      <c r="E130" t="s">
        <v>1269</v>
      </c>
      <c r="F130" t="s">
        <v>1269</v>
      </c>
      <c r="G130" t="s">
        <v>4543</v>
      </c>
    </row>
    <row r="131" spans="1:7" x14ac:dyDescent="0.3">
      <c r="A131">
        <v>574</v>
      </c>
      <c r="B131" t="s">
        <v>1270</v>
      </c>
      <c r="C131">
        <v>2618</v>
      </c>
      <c r="D131" t="s">
        <v>1271</v>
      </c>
      <c r="E131" t="s">
        <v>1270</v>
      </c>
      <c r="F131" t="s">
        <v>1270</v>
      </c>
      <c r="G131" t="s">
        <v>4544</v>
      </c>
    </row>
    <row r="132" spans="1:7" x14ac:dyDescent="0.3">
      <c r="A132">
        <v>577</v>
      </c>
      <c r="B132" t="s">
        <v>1274</v>
      </c>
      <c r="C132">
        <v>2619</v>
      </c>
      <c r="D132" t="s">
        <v>1274</v>
      </c>
      <c r="E132" t="s">
        <v>4545</v>
      </c>
      <c r="F132" t="s">
        <v>4546</v>
      </c>
      <c r="G132" t="s">
        <v>4547</v>
      </c>
    </row>
    <row r="133" spans="1:7" x14ac:dyDescent="0.3">
      <c r="A133">
        <v>587</v>
      </c>
      <c r="B133" t="s">
        <v>1277</v>
      </c>
      <c r="C133">
        <v>2625</v>
      </c>
      <c r="D133" t="s">
        <v>1237</v>
      </c>
      <c r="E133" t="s">
        <v>4548</v>
      </c>
      <c r="F133" t="s">
        <v>4549</v>
      </c>
      <c r="G133" t="s">
        <v>4550</v>
      </c>
    </row>
    <row r="134" spans="1:7" x14ac:dyDescent="0.3">
      <c r="A134">
        <v>591</v>
      </c>
      <c r="B134" t="s">
        <v>1278</v>
      </c>
      <c r="C134">
        <v>2625</v>
      </c>
      <c r="D134" t="s">
        <v>1237</v>
      </c>
      <c r="E134" t="s">
        <v>1278</v>
      </c>
      <c r="F134" t="s">
        <v>1278</v>
      </c>
      <c r="G134" t="s">
        <v>4551</v>
      </c>
    </row>
    <row r="135" spans="1:7" x14ac:dyDescent="0.3">
      <c r="A135">
        <v>592</v>
      </c>
      <c r="B135" t="s">
        <v>1279</v>
      </c>
      <c r="C135">
        <v>2625</v>
      </c>
      <c r="D135" t="s">
        <v>1237</v>
      </c>
      <c r="E135" t="s">
        <v>1279</v>
      </c>
      <c r="F135" t="s">
        <v>4552</v>
      </c>
      <c r="G135" t="s">
        <v>4553</v>
      </c>
    </row>
    <row r="136" spans="1:7" x14ac:dyDescent="0.3">
      <c r="A136">
        <v>600</v>
      </c>
      <c r="B136" t="s">
        <v>1280</v>
      </c>
      <c r="C136">
        <v>2625</v>
      </c>
      <c r="D136" t="s">
        <v>1237</v>
      </c>
      <c r="E136" t="s">
        <v>1280</v>
      </c>
      <c r="F136" t="s">
        <v>1280</v>
      </c>
      <c r="G136" t="s">
        <v>4554</v>
      </c>
    </row>
    <row r="137" spans="1:7" x14ac:dyDescent="0.3">
      <c r="A137">
        <v>603</v>
      </c>
      <c r="B137" t="s">
        <v>1281</v>
      </c>
      <c r="C137">
        <v>2625</v>
      </c>
      <c r="D137" t="s">
        <v>1237</v>
      </c>
      <c r="E137" t="s">
        <v>4555</v>
      </c>
      <c r="F137" t="s">
        <v>4556</v>
      </c>
      <c r="G137" t="s">
        <v>4557</v>
      </c>
    </row>
    <row r="138" spans="1:7" x14ac:dyDescent="0.3">
      <c r="A138">
        <v>619</v>
      </c>
      <c r="B138" t="s">
        <v>1283</v>
      </c>
      <c r="C138">
        <v>2625</v>
      </c>
      <c r="D138" t="s">
        <v>1237</v>
      </c>
      <c r="E138" t="s">
        <v>4548</v>
      </c>
      <c r="F138" t="s">
        <v>4549</v>
      </c>
      <c r="G138" t="s">
        <v>4558</v>
      </c>
    </row>
    <row r="139" spans="1:7" x14ac:dyDescent="0.3">
      <c r="A139">
        <v>656</v>
      </c>
      <c r="B139" t="s">
        <v>1306</v>
      </c>
      <c r="C139">
        <v>2630</v>
      </c>
      <c r="D139" t="s">
        <v>1307</v>
      </c>
      <c r="E139" t="s">
        <v>1796</v>
      </c>
      <c r="F139" t="s">
        <v>1796</v>
      </c>
      <c r="G139" t="s">
        <v>4559</v>
      </c>
    </row>
    <row r="140" spans="1:7" x14ac:dyDescent="0.3">
      <c r="A140">
        <v>661</v>
      </c>
      <c r="B140" t="s">
        <v>1312</v>
      </c>
      <c r="C140">
        <v>2633</v>
      </c>
      <c r="D140" t="s">
        <v>1313</v>
      </c>
      <c r="E140" t="s">
        <v>4560</v>
      </c>
      <c r="F140" t="s">
        <v>4560</v>
      </c>
      <c r="G140" t="s">
        <v>4561</v>
      </c>
    </row>
    <row r="141" spans="1:7" x14ac:dyDescent="0.3">
      <c r="A141">
        <v>667</v>
      </c>
      <c r="B141" t="s">
        <v>1318</v>
      </c>
      <c r="C141">
        <v>2635</v>
      </c>
      <c r="D141" t="s">
        <v>1319</v>
      </c>
      <c r="E141" t="s">
        <v>1318</v>
      </c>
      <c r="F141" t="s">
        <v>1318</v>
      </c>
      <c r="G141" t="s">
        <v>4562</v>
      </c>
    </row>
    <row r="142" spans="1:7" x14ac:dyDescent="0.3">
      <c r="A142">
        <v>671</v>
      </c>
      <c r="B142" t="s">
        <v>4563</v>
      </c>
      <c r="C142">
        <v>2635</v>
      </c>
      <c r="D142" t="s">
        <v>1319</v>
      </c>
      <c r="E142" t="s">
        <v>1318</v>
      </c>
      <c r="F142" t="s">
        <v>1318</v>
      </c>
      <c r="G142" t="s">
        <v>4564</v>
      </c>
    </row>
    <row r="143" spans="1:7" x14ac:dyDescent="0.3">
      <c r="A143">
        <v>677</v>
      </c>
      <c r="B143" t="s">
        <v>1322</v>
      </c>
      <c r="C143">
        <v>677</v>
      </c>
      <c r="D143" t="s">
        <v>1322</v>
      </c>
      <c r="E143" t="s">
        <v>1322</v>
      </c>
      <c r="F143" t="s">
        <v>1322</v>
      </c>
      <c r="G143" t="s">
        <v>4565</v>
      </c>
    </row>
    <row r="144" spans="1:7" x14ac:dyDescent="0.3">
      <c r="A144">
        <v>687</v>
      </c>
      <c r="B144" t="s">
        <v>1323</v>
      </c>
      <c r="C144">
        <v>2640</v>
      </c>
      <c r="D144" t="s">
        <v>1324</v>
      </c>
      <c r="E144" t="s">
        <v>4566</v>
      </c>
      <c r="F144" t="s">
        <v>4567</v>
      </c>
      <c r="G144" t="s">
        <v>4568</v>
      </c>
    </row>
    <row r="145" spans="1:7" x14ac:dyDescent="0.3">
      <c r="A145">
        <v>689</v>
      </c>
      <c r="B145" t="s">
        <v>1325</v>
      </c>
      <c r="C145">
        <v>2641</v>
      </c>
      <c r="D145" t="s">
        <v>1326</v>
      </c>
      <c r="E145" t="s">
        <v>4569</v>
      </c>
      <c r="F145" t="s">
        <v>4570</v>
      </c>
      <c r="G145" t="s">
        <v>4571</v>
      </c>
    </row>
    <row r="146" spans="1:7" x14ac:dyDescent="0.3">
      <c r="A146">
        <v>692</v>
      </c>
      <c r="B146" t="s">
        <v>1327</v>
      </c>
      <c r="C146">
        <v>2645</v>
      </c>
      <c r="D146" t="s">
        <v>1328</v>
      </c>
      <c r="E146" t="s">
        <v>1327</v>
      </c>
      <c r="F146" t="s">
        <v>1327</v>
      </c>
      <c r="G146" t="s">
        <v>4572</v>
      </c>
    </row>
    <row r="147" spans="1:7" x14ac:dyDescent="0.3">
      <c r="A147">
        <v>693</v>
      </c>
      <c r="B147" t="s">
        <v>3831</v>
      </c>
      <c r="C147">
        <v>2645</v>
      </c>
      <c r="D147" t="s">
        <v>1328</v>
      </c>
      <c r="E147" t="s">
        <v>3831</v>
      </c>
      <c r="F147" t="s">
        <v>4573</v>
      </c>
      <c r="G147" t="s">
        <v>4574</v>
      </c>
    </row>
    <row r="148" spans="1:7" x14ac:dyDescent="0.3">
      <c r="A148">
        <v>698</v>
      </c>
      <c r="B148" t="s">
        <v>1330</v>
      </c>
      <c r="C148">
        <v>2642</v>
      </c>
      <c r="D148" t="s">
        <v>1330</v>
      </c>
      <c r="E148" t="s">
        <v>4575</v>
      </c>
      <c r="F148" t="s">
        <v>4576</v>
      </c>
      <c r="G148" t="s">
        <v>4577</v>
      </c>
    </row>
    <row r="149" spans="1:7" x14ac:dyDescent="0.3">
      <c r="A149">
        <v>702</v>
      </c>
      <c r="B149" t="s">
        <v>1331</v>
      </c>
      <c r="C149">
        <v>2645</v>
      </c>
      <c r="D149" t="s">
        <v>1328</v>
      </c>
      <c r="E149" t="s">
        <v>4578</v>
      </c>
      <c r="F149" t="s">
        <v>4579</v>
      </c>
      <c r="G149" t="s">
        <v>4580</v>
      </c>
    </row>
    <row r="150" spans="1:7" x14ac:dyDescent="0.3">
      <c r="A150">
        <v>711</v>
      </c>
      <c r="B150" t="s">
        <v>1332</v>
      </c>
      <c r="C150">
        <v>2645</v>
      </c>
      <c r="D150" t="s">
        <v>1328</v>
      </c>
      <c r="E150" t="s">
        <v>4581</v>
      </c>
      <c r="F150" t="s">
        <v>4582</v>
      </c>
      <c r="G150" t="s">
        <v>4583</v>
      </c>
    </row>
    <row r="151" spans="1:7" x14ac:dyDescent="0.3">
      <c r="A151">
        <v>720</v>
      </c>
      <c r="B151" t="s">
        <v>1333</v>
      </c>
      <c r="C151">
        <v>2645</v>
      </c>
      <c r="D151" t="s">
        <v>1328</v>
      </c>
      <c r="E151" t="s">
        <v>1333</v>
      </c>
      <c r="F151" t="s">
        <v>1333</v>
      </c>
      <c r="G151" t="s">
        <v>4584</v>
      </c>
    </row>
    <row r="152" spans="1:7" x14ac:dyDescent="0.3">
      <c r="A152">
        <v>723</v>
      </c>
      <c r="B152" t="s">
        <v>3706</v>
      </c>
      <c r="C152">
        <v>2645</v>
      </c>
      <c r="D152" t="s">
        <v>1328</v>
      </c>
      <c r="E152" t="s">
        <v>1334</v>
      </c>
      <c r="F152" t="s">
        <v>4585</v>
      </c>
      <c r="G152" t="s">
        <v>4586</v>
      </c>
    </row>
    <row r="153" spans="1:7" x14ac:dyDescent="0.3">
      <c r="A153">
        <v>748</v>
      </c>
      <c r="B153" t="s">
        <v>1336</v>
      </c>
      <c r="C153">
        <v>2645</v>
      </c>
      <c r="D153" t="s">
        <v>1328</v>
      </c>
      <c r="E153" t="s">
        <v>1336</v>
      </c>
      <c r="F153" t="s">
        <v>1336</v>
      </c>
      <c r="G153" t="s">
        <v>4587</v>
      </c>
    </row>
    <row r="154" spans="1:7" x14ac:dyDescent="0.3">
      <c r="A154">
        <v>754</v>
      </c>
      <c r="B154" t="s">
        <v>1338</v>
      </c>
      <c r="C154">
        <v>2645</v>
      </c>
      <c r="D154" t="s">
        <v>1328</v>
      </c>
      <c r="E154" t="s">
        <v>1334</v>
      </c>
      <c r="F154" t="s">
        <v>4585</v>
      </c>
      <c r="G154" t="s">
        <v>4588</v>
      </c>
    </row>
    <row r="155" spans="1:7" x14ac:dyDescent="0.3">
      <c r="A155">
        <v>767</v>
      </c>
      <c r="B155" t="s">
        <v>1340</v>
      </c>
      <c r="C155">
        <v>2661</v>
      </c>
      <c r="D155" t="s">
        <v>1340</v>
      </c>
      <c r="G155" t="s">
        <v>4589</v>
      </c>
    </row>
    <row r="156" spans="1:7" x14ac:dyDescent="0.3">
      <c r="A156">
        <v>773</v>
      </c>
      <c r="B156" t="s">
        <v>1346</v>
      </c>
      <c r="C156">
        <v>2664</v>
      </c>
      <c r="D156" t="s">
        <v>1345</v>
      </c>
      <c r="E156" t="s">
        <v>1346</v>
      </c>
      <c r="F156" t="s">
        <v>4590</v>
      </c>
      <c r="G156" t="s">
        <v>4591</v>
      </c>
    </row>
    <row r="157" spans="1:7" x14ac:dyDescent="0.3">
      <c r="A157">
        <v>777</v>
      </c>
      <c r="B157" t="s">
        <v>1348</v>
      </c>
      <c r="C157">
        <v>2664</v>
      </c>
      <c r="D157" t="s">
        <v>1345</v>
      </c>
      <c r="E157" t="s">
        <v>4592</v>
      </c>
      <c r="F157" t="s">
        <v>4593</v>
      </c>
      <c r="G157" t="s">
        <v>4594</v>
      </c>
    </row>
    <row r="158" spans="1:7" x14ac:dyDescent="0.3">
      <c r="A158">
        <v>778</v>
      </c>
      <c r="B158" t="s">
        <v>1349</v>
      </c>
      <c r="C158">
        <v>2664</v>
      </c>
      <c r="D158" t="s">
        <v>1345</v>
      </c>
      <c r="G158" t="s">
        <v>4595</v>
      </c>
    </row>
    <row r="159" spans="1:7" x14ac:dyDescent="0.3">
      <c r="A159">
        <v>780</v>
      </c>
      <c r="B159" t="s">
        <v>1350</v>
      </c>
      <c r="C159">
        <v>2662</v>
      </c>
      <c r="D159" t="s">
        <v>1350</v>
      </c>
      <c r="E159" t="s">
        <v>1350</v>
      </c>
      <c r="F159" t="s">
        <v>1350</v>
      </c>
      <c r="G159" t="s">
        <v>4596</v>
      </c>
    </row>
    <row r="160" spans="1:7" x14ac:dyDescent="0.3">
      <c r="A160">
        <v>782</v>
      </c>
      <c r="B160" t="s">
        <v>1351</v>
      </c>
      <c r="C160">
        <v>2663</v>
      </c>
      <c r="D160" t="s">
        <v>1352</v>
      </c>
      <c r="E160" t="s">
        <v>4597</v>
      </c>
      <c r="F160" t="s">
        <v>4598</v>
      </c>
      <c r="G160" t="s">
        <v>4599</v>
      </c>
    </row>
    <row r="161" spans="1:7" x14ac:dyDescent="0.3">
      <c r="A161">
        <v>788</v>
      </c>
      <c r="B161" t="s">
        <v>1353</v>
      </c>
      <c r="C161">
        <v>2667</v>
      </c>
      <c r="D161" t="s">
        <v>1356</v>
      </c>
      <c r="E161" t="s">
        <v>1353</v>
      </c>
      <c r="F161" t="s">
        <v>1353</v>
      </c>
      <c r="G161" t="s">
        <v>4600</v>
      </c>
    </row>
    <row r="162" spans="1:7" x14ac:dyDescent="0.3">
      <c r="A162">
        <v>789</v>
      </c>
      <c r="B162" t="s">
        <v>1354</v>
      </c>
      <c r="C162">
        <v>2665</v>
      </c>
      <c r="D162" t="s">
        <v>1354</v>
      </c>
      <c r="E162" t="s">
        <v>1354</v>
      </c>
      <c r="F162" t="s">
        <v>1354</v>
      </c>
      <c r="G162" t="s">
        <v>4601</v>
      </c>
    </row>
    <row r="163" spans="1:7" x14ac:dyDescent="0.3">
      <c r="A163">
        <v>800</v>
      </c>
      <c r="B163" t="s">
        <v>1355</v>
      </c>
      <c r="C163">
        <v>2667</v>
      </c>
      <c r="D163" t="s">
        <v>1356</v>
      </c>
      <c r="E163" t="s">
        <v>4602</v>
      </c>
      <c r="F163" t="s">
        <v>4603</v>
      </c>
      <c r="G163" t="s">
        <v>4604</v>
      </c>
    </row>
    <row r="164" spans="1:7" x14ac:dyDescent="0.3">
      <c r="A164">
        <v>809</v>
      </c>
      <c r="B164" t="s">
        <v>1357</v>
      </c>
      <c r="C164">
        <v>2666</v>
      </c>
      <c r="D164" t="s">
        <v>1358</v>
      </c>
      <c r="E164" t="s">
        <v>4605</v>
      </c>
      <c r="F164" t="s">
        <v>4606</v>
      </c>
      <c r="G164" t="s">
        <v>4607</v>
      </c>
    </row>
    <row r="165" spans="1:7" x14ac:dyDescent="0.3">
      <c r="A165">
        <v>813</v>
      </c>
      <c r="B165" t="s">
        <v>1359</v>
      </c>
      <c r="C165">
        <v>2667</v>
      </c>
      <c r="D165" t="s">
        <v>1356</v>
      </c>
      <c r="G165" t="s">
        <v>4608</v>
      </c>
    </row>
    <row r="166" spans="1:7" x14ac:dyDescent="0.3">
      <c r="A166">
        <v>821</v>
      </c>
      <c r="B166" t="s">
        <v>1360</v>
      </c>
      <c r="C166">
        <v>2667</v>
      </c>
      <c r="D166" t="s">
        <v>1356</v>
      </c>
      <c r="E166" t="s">
        <v>4609</v>
      </c>
      <c r="F166" t="s">
        <v>4610</v>
      </c>
      <c r="G166" t="s">
        <v>4611</v>
      </c>
    </row>
    <row r="167" spans="1:7" x14ac:dyDescent="0.3">
      <c r="A167">
        <v>826</v>
      </c>
      <c r="B167" t="s">
        <v>1361</v>
      </c>
      <c r="C167">
        <v>2671</v>
      </c>
      <c r="D167" t="s">
        <v>1362</v>
      </c>
      <c r="E167" t="s">
        <v>1362</v>
      </c>
      <c r="F167" t="s">
        <v>1362</v>
      </c>
      <c r="G167" t="s">
        <v>4612</v>
      </c>
    </row>
    <row r="168" spans="1:7" x14ac:dyDescent="0.3">
      <c r="A168">
        <v>836</v>
      </c>
      <c r="B168" t="s">
        <v>1366</v>
      </c>
      <c r="C168">
        <v>2672</v>
      </c>
      <c r="D168" t="s">
        <v>1367</v>
      </c>
      <c r="E168" t="s">
        <v>4613</v>
      </c>
      <c r="F168" t="s">
        <v>4614</v>
      </c>
      <c r="G168" t="s">
        <v>4615</v>
      </c>
    </row>
    <row r="169" spans="1:7" x14ac:dyDescent="0.3">
      <c r="C169">
        <v>2000</v>
      </c>
      <c r="D169" t="s">
        <v>1679</v>
      </c>
      <c r="E169" t="s">
        <v>4616</v>
      </c>
      <c r="F169" t="s">
        <v>4617</v>
      </c>
    </row>
    <row r="170" spans="1:7" x14ac:dyDescent="0.3">
      <c r="C170">
        <v>2001</v>
      </c>
      <c r="D170" t="s">
        <v>4335</v>
      </c>
      <c r="E170" t="s">
        <v>4616</v>
      </c>
      <c r="F170" t="s">
        <v>4617</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3BC769-BE8B-4547-BE22-03D4174BD5D1}">
  <dimension ref="A1:F1072"/>
  <sheetViews>
    <sheetView topLeftCell="A488" workbookViewId="0">
      <selection activeCell="F506" sqref="F506"/>
    </sheetView>
  </sheetViews>
  <sheetFormatPr defaultColWidth="10.77734375" defaultRowHeight="14.4" x14ac:dyDescent="0.3"/>
  <sheetData>
    <row r="1" spans="1:6" x14ac:dyDescent="0.3">
      <c r="A1" t="s">
        <v>2803</v>
      </c>
      <c r="B1" t="s">
        <v>4618</v>
      </c>
      <c r="C1" t="s">
        <v>4619</v>
      </c>
      <c r="D1" t="s">
        <v>11</v>
      </c>
      <c r="E1" t="s">
        <v>14</v>
      </c>
      <c r="F1" t="s">
        <v>4620</v>
      </c>
    </row>
    <row r="2" spans="1:6" x14ac:dyDescent="0.3">
      <c r="A2" t="s">
        <v>2805</v>
      </c>
      <c r="B2" t="s">
        <v>1973</v>
      </c>
      <c r="C2">
        <v>1970</v>
      </c>
      <c r="D2">
        <v>1</v>
      </c>
      <c r="E2" t="s">
        <v>192</v>
      </c>
      <c r="F2">
        <v>1.0747527999999999E-2</v>
      </c>
    </row>
    <row r="3" spans="1:6" x14ac:dyDescent="0.3">
      <c r="A3" t="s">
        <v>2805</v>
      </c>
      <c r="B3" t="s">
        <v>1973</v>
      </c>
      <c r="C3">
        <v>1970</v>
      </c>
      <c r="D3">
        <v>3</v>
      </c>
      <c r="E3" t="s">
        <v>89</v>
      </c>
      <c r="F3">
        <v>1.4114956E-2</v>
      </c>
    </row>
    <row r="4" spans="1:6" x14ac:dyDescent="0.3">
      <c r="A4" t="s">
        <v>2805</v>
      </c>
      <c r="B4" t="s">
        <v>1973</v>
      </c>
      <c r="C4">
        <v>1970</v>
      </c>
      <c r="D4">
        <v>14</v>
      </c>
      <c r="E4" t="s">
        <v>204</v>
      </c>
      <c r="F4">
        <v>4.9593695E-2</v>
      </c>
    </row>
    <row r="5" spans="1:6" x14ac:dyDescent="0.3">
      <c r="A5" t="s">
        <v>2805</v>
      </c>
      <c r="B5" t="s">
        <v>1973</v>
      </c>
      <c r="C5">
        <v>1970</v>
      </c>
      <c r="D5">
        <v>7</v>
      </c>
      <c r="E5" t="s">
        <v>183</v>
      </c>
      <c r="F5">
        <v>5.8202200000000001E-3</v>
      </c>
    </row>
    <row r="6" spans="1:6" x14ac:dyDescent="0.3">
      <c r="A6" t="s">
        <v>2805</v>
      </c>
      <c r="B6" t="s">
        <v>1973</v>
      </c>
      <c r="C6">
        <v>1970</v>
      </c>
      <c r="D6">
        <v>10</v>
      </c>
      <c r="E6" t="s">
        <v>46</v>
      </c>
      <c r="F6">
        <v>3.8507496000000002E-2</v>
      </c>
    </row>
    <row r="7" spans="1:6" x14ac:dyDescent="0.3">
      <c r="A7" t="s">
        <v>2805</v>
      </c>
      <c r="B7" t="s">
        <v>1973</v>
      </c>
      <c r="C7">
        <v>1970</v>
      </c>
      <c r="D7">
        <v>11</v>
      </c>
      <c r="E7" t="s">
        <v>107</v>
      </c>
      <c r="F7">
        <v>7.1587301000000006E-2</v>
      </c>
    </row>
    <row r="8" spans="1:6" x14ac:dyDescent="0.3">
      <c r="A8" t="s">
        <v>2805</v>
      </c>
      <c r="B8" t="s">
        <v>1973</v>
      </c>
      <c r="C8">
        <v>1970</v>
      </c>
      <c r="D8">
        <v>17</v>
      </c>
      <c r="E8" t="s">
        <v>368</v>
      </c>
      <c r="F8">
        <v>4.0025933E-2</v>
      </c>
    </row>
    <row r="9" spans="1:6" x14ac:dyDescent="0.3">
      <c r="A9" t="s">
        <v>2805</v>
      </c>
      <c r="B9" t="s">
        <v>1973</v>
      </c>
      <c r="C9">
        <v>1970</v>
      </c>
      <c r="D9">
        <v>12</v>
      </c>
      <c r="E9" t="s">
        <v>128</v>
      </c>
      <c r="F9">
        <v>0.13593153499999999</v>
      </c>
    </row>
    <row r="10" spans="1:6" x14ac:dyDescent="0.3">
      <c r="A10" t="s">
        <v>2805</v>
      </c>
      <c r="B10" t="s">
        <v>1973</v>
      </c>
      <c r="C10">
        <v>1970</v>
      </c>
      <c r="D10">
        <v>5</v>
      </c>
      <c r="E10" t="s">
        <v>56</v>
      </c>
      <c r="F10">
        <v>5.1174404999999999E-2</v>
      </c>
    </row>
    <row r="11" spans="1:6" x14ac:dyDescent="0.3">
      <c r="A11" t="s">
        <v>2805</v>
      </c>
      <c r="B11" t="s">
        <v>1973</v>
      </c>
      <c r="C11">
        <v>1970</v>
      </c>
      <c r="D11">
        <v>16</v>
      </c>
      <c r="E11" t="s">
        <v>63</v>
      </c>
      <c r="F11">
        <v>1.6262443000000001E-2</v>
      </c>
    </row>
    <row r="12" spans="1:6" x14ac:dyDescent="0.3">
      <c r="A12" t="s">
        <v>2805</v>
      </c>
      <c r="B12" t="s">
        <v>1973</v>
      </c>
      <c r="C12">
        <v>1970</v>
      </c>
      <c r="D12">
        <v>9</v>
      </c>
      <c r="E12" t="s">
        <v>74</v>
      </c>
      <c r="F12">
        <v>5.0473735999999998E-2</v>
      </c>
    </row>
    <row r="13" spans="1:6" x14ac:dyDescent="0.3">
      <c r="A13" t="s">
        <v>2805</v>
      </c>
      <c r="B13" t="s">
        <v>1973</v>
      </c>
      <c r="C13">
        <v>1970</v>
      </c>
      <c r="D13">
        <v>4</v>
      </c>
      <c r="E13" t="s">
        <v>103</v>
      </c>
      <c r="F13">
        <v>1.4408917E-2</v>
      </c>
    </row>
    <row r="14" spans="1:6" x14ac:dyDescent="0.3">
      <c r="A14" t="s">
        <v>2805</v>
      </c>
      <c r="B14" t="s">
        <v>1973</v>
      </c>
      <c r="C14">
        <v>1970</v>
      </c>
      <c r="D14">
        <v>13</v>
      </c>
      <c r="E14" t="s">
        <v>35</v>
      </c>
      <c r="F14">
        <v>0.14064765900000001</v>
      </c>
    </row>
    <row r="15" spans="1:6" x14ac:dyDescent="0.3">
      <c r="A15" t="s">
        <v>2805</v>
      </c>
      <c r="B15" t="s">
        <v>1973</v>
      </c>
      <c r="C15">
        <v>1970</v>
      </c>
      <c r="D15">
        <v>15</v>
      </c>
      <c r="E15" t="s">
        <v>172</v>
      </c>
      <c r="F15">
        <v>2.6449553000000001E-2</v>
      </c>
    </row>
    <row r="16" spans="1:6" x14ac:dyDescent="0.3">
      <c r="A16" t="s">
        <v>2805</v>
      </c>
      <c r="B16" t="s">
        <v>1973</v>
      </c>
      <c r="C16">
        <v>1970</v>
      </c>
      <c r="D16">
        <v>8</v>
      </c>
      <c r="E16" t="s">
        <v>79</v>
      </c>
      <c r="F16">
        <v>1.4508264E-2</v>
      </c>
    </row>
    <row r="17" spans="1:6" x14ac:dyDescent="0.3">
      <c r="A17" t="s">
        <v>2805</v>
      </c>
      <c r="B17" t="s">
        <v>1973</v>
      </c>
      <c r="C17">
        <v>1970</v>
      </c>
      <c r="D17">
        <v>2</v>
      </c>
      <c r="E17" t="s">
        <v>549</v>
      </c>
      <c r="F17">
        <v>2.6331047E-2</v>
      </c>
    </row>
    <row r="18" spans="1:6" x14ac:dyDescent="0.3">
      <c r="A18" t="s">
        <v>2805</v>
      </c>
      <c r="B18" t="s">
        <v>1973</v>
      </c>
      <c r="C18">
        <v>1970</v>
      </c>
      <c r="D18">
        <v>6</v>
      </c>
      <c r="E18" t="s">
        <v>145</v>
      </c>
      <c r="F18">
        <v>3.2436660000000001E-3</v>
      </c>
    </row>
    <row r="19" spans="1:6" x14ac:dyDescent="0.3">
      <c r="A19" t="s">
        <v>2805</v>
      </c>
      <c r="B19" t="s">
        <v>1973</v>
      </c>
      <c r="C19">
        <v>1995</v>
      </c>
      <c r="D19">
        <v>1</v>
      </c>
      <c r="E19" t="s">
        <v>192</v>
      </c>
      <c r="F19">
        <v>1.3321505000000001E-2</v>
      </c>
    </row>
    <row r="20" spans="1:6" x14ac:dyDescent="0.3">
      <c r="A20" t="s">
        <v>2805</v>
      </c>
      <c r="B20" t="s">
        <v>1973</v>
      </c>
      <c r="C20">
        <v>1995</v>
      </c>
      <c r="D20">
        <v>3</v>
      </c>
      <c r="E20" t="s">
        <v>89</v>
      </c>
      <c r="F20">
        <v>1.0777164000000001E-2</v>
      </c>
    </row>
    <row r="21" spans="1:6" x14ac:dyDescent="0.3">
      <c r="A21" t="s">
        <v>2805</v>
      </c>
      <c r="B21" t="s">
        <v>1973</v>
      </c>
      <c r="C21">
        <v>1995</v>
      </c>
      <c r="D21">
        <v>14</v>
      </c>
      <c r="E21" t="s">
        <v>204</v>
      </c>
      <c r="F21">
        <v>9.8513950000000006E-3</v>
      </c>
    </row>
    <row r="22" spans="1:6" x14ac:dyDescent="0.3">
      <c r="A22" t="s">
        <v>2805</v>
      </c>
      <c r="B22" t="s">
        <v>1973</v>
      </c>
      <c r="C22">
        <v>1995</v>
      </c>
      <c r="D22">
        <v>7</v>
      </c>
      <c r="E22" t="s">
        <v>183</v>
      </c>
      <c r="F22">
        <v>1.2455183E-2</v>
      </c>
    </row>
    <row r="23" spans="1:6" x14ac:dyDescent="0.3">
      <c r="A23" t="s">
        <v>2805</v>
      </c>
      <c r="B23" t="s">
        <v>1973</v>
      </c>
      <c r="C23">
        <v>1995</v>
      </c>
      <c r="D23">
        <v>10</v>
      </c>
      <c r="E23" t="s">
        <v>46</v>
      </c>
      <c r="F23">
        <v>3.1510942E-2</v>
      </c>
    </row>
    <row r="24" spans="1:6" x14ac:dyDescent="0.3">
      <c r="A24" t="s">
        <v>2805</v>
      </c>
      <c r="B24" t="s">
        <v>1973</v>
      </c>
      <c r="C24">
        <v>1995</v>
      </c>
      <c r="D24">
        <v>11</v>
      </c>
      <c r="E24" t="s">
        <v>107</v>
      </c>
      <c r="F24">
        <v>6.5163900999999996E-2</v>
      </c>
    </row>
    <row r="25" spans="1:6" x14ac:dyDescent="0.3">
      <c r="A25" t="s">
        <v>2805</v>
      </c>
      <c r="B25" t="s">
        <v>1973</v>
      </c>
      <c r="C25">
        <v>1995</v>
      </c>
      <c r="D25">
        <v>17</v>
      </c>
      <c r="E25" t="s">
        <v>368</v>
      </c>
      <c r="F25">
        <v>2.8708291E-2</v>
      </c>
    </row>
    <row r="26" spans="1:6" x14ac:dyDescent="0.3">
      <c r="A26" t="s">
        <v>2805</v>
      </c>
      <c r="B26" t="s">
        <v>1973</v>
      </c>
      <c r="C26">
        <v>1995</v>
      </c>
      <c r="D26">
        <v>12</v>
      </c>
      <c r="E26" t="s">
        <v>128</v>
      </c>
      <c r="F26">
        <v>6.8966578000000001E-2</v>
      </c>
    </row>
    <row r="27" spans="1:6" x14ac:dyDescent="0.3">
      <c r="A27" t="s">
        <v>2805</v>
      </c>
      <c r="B27" t="s">
        <v>1973</v>
      </c>
      <c r="C27">
        <v>1995</v>
      </c>
      <c r="D27">
        <v>5</v>
      </c>
      <c r="E27" t="s">
        <v>56</v>
      </c>
      <c r="F27">
        <v>2.3535792E-2</v>
      </c>
    </row>
    <row r="28" spans="1:6" x14ac:dyDescent="0.3">
      <c r="A28" t="s">
        <v>2805</v>
      </c>
      <c r="B28" t="s">
        <v>1973</v>
      </c>
      <c r="C28">
        <v>1995</v>
      </c>
      <c r="D28">
        <v>16</v>
      </c>
      <c r="E28" t="s">
        <v>63</v>
      </c>
      <c r="F28">
        <v>1.2385914E-2</v>
      </c>
    </row>
    <row r="29" spans="1:6" x14ac:dyDescent="0.3">
      <c r="A29" t="s">
        <v>2805</v>
      </c>
      <c r="B29" t="s">
        <v>1973</v>
      </c>
      <c r="C29">
        <v>1995</v>
      </c>
      <c r="D29">
        <v>9</v>
      </c>
      <c r="E29" t="s">
        <v>74</v>
      </c>
      <c r="F29">
        <v>5.2190522000000003E-2</v>
      </c>
    </row>
    <row r="30" spans="1:6" x14ac:dyDescent="0.3">
      <c r="A30" t="s">
        <v>2805</v>
      </c>
      <c r="B30" t="s">
        <v>1973</v>
      </c>
      <c r="C30">
        <v>1995</v>
      </c>
      <c r="D30">
        <v>4</v>
      </c>
      <c r="E30" t="s">
        <v>103</v>
      </c>
      <c r="F30">
        <v>1.7550762000000001E-2</v>
      </c>
    </row>
    <row r="31" spans="1:6" x14ac:dyDescent="0.3">
      <c r="A31" t="s">
        <v>2805</v>
      </c>
      <c r="B31" t="s">
        <v>1973</v>
      </c>
      <c r="C31">
        <v>1995</v>
      </c>
      <c r="D31">
        <v>13</v>
      </c>
      <c r="E31" t="s">
        <v>35</v>
      </c>
      <c r="F31">
        <v>0.13246258799999999</v>
      </c>
    </row>
    <row r="32" spans="1:6" x14ac:dyDescent="0.3">
      <c r="A32" t="s">
        <v>2805</v>
      </c>
      <c r="B32" t="s">
        <v>1973</v>
      </c>
      <c r="C32">
        <v>1995</v>
      </c>
      <c r="D32">
        <v>15</v>
      </c>
      <c r="E32" t="s">
        <v>172</v>
      </c>
      <c r="F32">
        <v>1.9051420999999999E-2</v>
      </c>
    </row>
    <row r="33" spans="1:6" x14ac:dyDescent="0.3">
      <c r="A33" t="s">
        <v>2805</v>
      </c>
      <c r="B33" t="s">
        <v>1973</v>
      </c>
      <c r="C33">
        <v>1995</v>
      </c>
      <c r="D33">
        <v>8</v>
      </c>
      <c r="E33" t="s">
        <v>79</v>
      </c>
      <c r="F33">
        <v>1.6126428000000002E-2</v>
      </c>
    </row>
    <row r="34" spans="1:6" x14ac:dyDescent="0.3">
      <c r="A34" t="s">
        <v>2805</v>
      </c>
      <c r="B34" t="s">
        <v>1973</v>
      </c>
      <c r="C34">
        <v>1995</v>
      </c>
      <c r="D34">
        <v>2</v>
      </c>
      <c r="E34" t="s">
        <v>549</v>
      </c>
      <c r="F34">
        <v>2.2389828000000001E-2</v>
      </c>
    </row>
    <row r="35" spans="1:6" x14ac:dyDescent="0.3">
      <c r="A35" t="s">
        <v>2805</v>
      </c>
      <c r="B35" t="s">
        <v>1973</v>
      </c>
      <c r="C35">
        <v>1995</v>
      </c>
      <c r="D35">
        <v>6</v>
      </c>
      <c r="E35" t="s">
        <v>145</v>
      </c>
      <c r="F35">
        <v>4.7931079999999999E-3</v>
      </c>
    </row>
    <row r="36" spans="1:6" x14ac:dyDescent="0.3">
      <c r="A36" t="s">
        <v>2805</v>
      </c>
      <c r="B36" t="s">
        <v>1973</v>
      </c>
      <c r="C36">
        <v>2030</v>
      </c>
      <c r="D36">
        <v>1</v>
      </c>
      <c r="E36" t="s">
        <v>192</v>
      </c>
      <c r="F36">
        <v>1.2262936E-2</v>
      </c>
    </row>
    <row r="37" spans="1:6" x14ac:dyDescent="0.3">
      <c r="A37" t="s">
        <v>2805</v>
      </c>
      <c r="B37" t="s">
        <v>1973</v>
      </c>
      <c r="C37">
        <v>2030</v>
      </c>
      <c r="D37">
        <v>3</v>
      </c>
      <c r="E37" t="s">
        <v>89</v>
      </c>
      <c r="F37">
        <v>8.945326E-3</v>
      </c>
    </row>
    <row r="38" spans="1:6" x14ac:dyDescent="0.3">
      <c r="A38" t="s">
        <v>2805</v>
      </c>
      <c r="B38" t="s">
        <v>1973</v>
      </c>
      <c r="C38">
        <v>2030</v>
      </c>
      <c r="D38">
        <v>14</v>
      </c>
      <c r="E38" t="s">
        <v>204</v>
      </c>
      <c r="F38">
        <v>8.636309E-3</v>
      </c>
    </row>
    <row r="39" spans="1:6" x14ac:dyDescent="0.3">
      <c r="A39" t="s">
        <v>2805</v>
      </c>
      <c r="B39" t="s">
        <v>1973</v>
      </c>
      <c r="C39">
        <v>2030</v>
      </c>
      <c r="D39">
        <v>7</v>
      </c>
      <c r="E39" t="s">
        <v>183</v>
      </c>
      <c r="F39">
        <v>9.1682320000000001E-3</v>
      </c>
    </row>
    <row r="40" spans="1:6" x14ac:dyDescent="0.3">
      <c r="A40" t="s">
        <v>2805</v>
      </c>
      <c r="B40" t="s">
        <v>1973</v>
      </c>
      <c r="C40">
        <v>2030</v>
      </c>
      <c r="D40">
        <v>10</v>
      </c>
      <c r="E40" t="s">
        <v>46</v>
      </c>
      <c r="F40">
        <v>3.2942145999999999E-2</v>
      </c>
    </row>
    <row r="41" spans="1:6" x14ac:dyDescent="0.3">
      <c r="A41" t="s">
        <v>2805</v>
      </c>
      <c r="B41" t="s">
        <v>1973</v>
      </c>
      <c r="C41">
        <v>2030</v>
      </c>
      <c r="D41">
        <v>11</v>
      </c>
      <c r="E41" t="s">
        <v>107</v>
      </c>
      <c r="F41">
        <v>5.6829583000000003E-2</v>
      </c>
    </row>
    <row r="42" spans="1:6" x14ac:dyDescent="0.3">
      <c r="A42" t="s">
        <v>2805</v>
      </c>
      <c r="B42" t="s">
        <v>1973</v>
      </c>
      <c r="C42">
        <v>2030</v>
      </c>
      <c r="D42">
        <v>17</v>
      </c>
      <c r="E42" t="s">
        <v>368</v>
      </c>
      <c r="F42">
        <v>1.8057092E-2</v>
      </c>
    </row>
    <row r="43" spans="1:6" x14ac:dyDescent="0.3">
      <c r="A43" t="s">
        <v>2805</v>
      </c>
      <c r="B43" t="s">
        <v>1973</v>
      </c>
      <c r="C43">
        <v>2030</v>
      </c>
      <c r="D43">
        <v>12</v>
      </c>
      <c r="E43" t="s">
        <v>128</v>
      </c>
      <c r="F43">
        <v>6.0476262000000003E-2</v>
      </c>
    </row>
    <row r="44" spans="1:6" x14ac:dyDescent="0.3">
      <c r="A44" t="s">
        <v>2805</v>
      </c>
      <c r="B44" t="s">
        <v>1973</v>
      </c>
      <c r="C44">
        <v>2030</v>
      </c>
      <c r="D44">
        <v>5</v>
      </c>
      <c r="E44" t="s">
        <v>56</v>
      </c>
      <c r="F44">
        <v>2.3638715000000001E-2</v>
      </c>
    </row>
    <row r="45" spans="1:6" x14ac:dyDescent="0.3">
      <c r="A45" t="s">
        <v>2805</v>
      </c>
      <c r="B45" t="s">
        <v>1973</v>
      </c>
      <c r="C45">
        <v>2030</v>
      </c>
      <c r="D45">
        <v>16</v>
      </c>
      <c r="E45" t="s">
        <v>63</v>
      </c>
      <c r="F45">
        <v>1.1480138000000001E-2</v>
      </c>
    </row>
    <row r="46" spans="1:6" x14ac:dyDescent="0.3">
      <c r="A46" t="s">
        <v>2805</v>
      </c>
      <c r="B46" t="s">
        <v>1973</v>
      </c>
      <c r="C46">
        <v>2030</v>
      </c>
      <c r="D46">
        <v>9</v>
      </c>
      <c r="E46" t="s">
        <v>74</v>
      </c>
      <c r="F46">
        <v>3.1913631999999997E-2</v>
      </c>
    </row>
    <row r="47" spans="1:6" x14ac:dyDescent="0.3">
      <c r="A47" t="s">
        <v>2805</v>
      </c>
      <c r="B47" t="s">
        <v>1973</v>
      </c>
      <c r="C47">
        <v>2030</v>
      </c>
      <c r="D47">
        <v>4</v>
      </c>
      <c r="E47" t="s">
        <v>103</v>
      </c>
      <c r="F47">
        <v>1.8999106000000002E-2</v>
      </c>
    </row>
    <row r="48" spans="1:6" x14ac:dyDescent="0.3">
      <c r="A48" t="s">
        <v>2805</v>
      </c>
      <c r="B48" t="s">
        <v>1973</v>
      </c>
      <c r="C48">
        <v>2030</v>
      </c>
      <c r="D48">
        <v>13</v>
      </c>
      <c r="E48" t="s">
        <v>35</v>
      </c>
      <c r="F48">
        <v>8.9457690000000006E-2</v>
      </c>
    </row>
    <row r="49" spans="1:6" x14ac:dyDescent="0.3">
      <c r="A49" t="s">
        <v>2805</v>
      </c>
      <c r="B49" t="s">
        <v>1973</v>
      </c>
      <c r="C49">
        <v>2030</v>
      </c>
      <c r="D49">
        <v>15</v>
      </c>
      <c r="E49" t="s">
        <v>172</v>
      </c>
      <c r="F49">
        <v>1.3878464E-2</v>
      </c>
    </row>
    <row r="50" spans="1:6" x14ac:dyDescent="0.3">
      <c r="A50" t="s">
        <v>2805</v>
      </c>
      <c r="B50" t="s">
        <v>1973</v>
      </c>
      <c r="C50">
        <v>2030</v>
      </c>
      <c r="D50">
        <v>8</v>
      </c>
      <c r="E50" t="s">
        <v>79</v>
      </c>
      <c r="F50">
        <v>1.3177603E-2</v>
      </c>
    </row>
    <row r="51" spans="1:6" x14ac:dyDescent="0.3">
      <c r="A51" t="s">
        <v>2805</v>
      </c>
      <c r="B51" t="s">
        <v>1973</v>
      </c>
      <c r="C51">
        <v>2030</v>
      </c>
      <c r="D51">
        <v>2</v>
      </c>
      <c r="E51" t="s">
        <v>549</v>
      </c>
      <c r="F51">
        <v>2.0749982E-2</v>
      </c>
    </row>
    <row r="52" spans="1:6" x14ac:dyDescent="0.3">
      <c r="A52" t="s">
        <v>2805</v>
      </c>
      <c r="B52" t="s">
        <v>1973</v>
      </c>
      <c r="C52">
        <v>2030</v>
      </c>
      <c r="D52">
        <v>6</v>
      </c>
      <c r="E52" t="s">
        <v>145</v>
      </c>
      <c r="F52">
        <v>3.2112289999999999E-3</v>
      </c>
    </row>
    <row r="53" spans="1:6" x14ac:dyDescent="0.3">
      <c r="A53" t="s">
        <v>2805</v>
      </c>
      <c r="B53" t="s">
        <v>1965</v>
      </c>
      <c r="C53">
        <v>1970</v>
      </c>
      <c r="D53">
        <v>1</v>
      </c>
      <c r="E53" t="s">
        <v>192</v>
      </c>
      <c r="F53">
        <v>9.852356833</v>
      </c>
    </row>
    <row r="54" spans="1:6" x14ac:dyDescent="0.3">
      <c r="A54" t="s">
        <v>2805</v>
      </c>
      <c r="B54" t="s">
        <v>1965</v>
      </c>
      <c r="C54">
        <v>1970</v>
      </c>
      <c r="D54">
        <v>3</v>
      </c>
      <c r="E54" t="s">
        <v>89</v>
      </c>
      <c r="F54">
        <v>2.4202482540000001</v>
      </c>
    </row>
    <row r="55" spans="1:6" x14ac:dyDescent="0.3">
      <c r="A55" t="s">
        <v>2805</v>
      </c>
      <c r="B55" t="s">
        <v>1965</v>
      </c>
      <c r="C55">
        <v>1970</v>
      </c>
      <c r="D55">
        <v>14</v>
      </c>
      <c r="E55" t="s">
        <v>204</v>
      </c>
      <c r="F55">
        <v>36.776199040000002</v>
      </c>
    </row>
    <row r="56" spans="1:6" x14ac:dyDescent="0.3">
      <c r="A56" t="s">
        <v>2805</v>
      </c>
      <c r="B56" t="s">
        <v>1965</v>
      </c>
      <c r="C56">
        <v>1970</v>
      </c>
      <c r="D56">
        <v>7</v>
      </c>
      <c r="E56" t="s">
        <v>183</v>
      </c>
      <c r="F56">
        <v>0.30050538900000001</v>
      </c>
    </row>
    <row r="57" spans="1:6" x14ac:dyDescent="0.3">
      <c r="A57" t="s">
        <v>2805</v>
      </c>
      <c r="B57" t="s">
        <v>1965</v>
      </c>
      <c r="C57">
        <v>1970</v>
      </c>
      <c r="D57">
        <v>10</v>
      </c>
      <c r="E57" t="s">
        <v>46</v>
      </c>
      <c r="F57">
        <v>4.8624356390000001</v>
      </c>
    </row>
    <row r="58" spans="1:6" x14ac:dyDescent="0.3">
      <c r="A58" t="s">
        <v>2805</v>
      </c>
      <c r="B58" t="s">
        <v>1965</v>
      </c>
      <c r="C58">
        <v>1970</v>
      </c>
      <c r="D58">
        <v>11</v>
      </c>
      <c r="E58" t="s">
        <v>107</v>
      </c>
      <c r="F58">
        <v>4.10335933</v>
      </c>
    </row>
    <row r="59" spans="1:6" x14ac:dyDescent="0.3">
      <c r="A59" t="s">
        <v>2805</v>
      </c>
      <c r="B59" t="s">
        <v>1965</v>
      </c>
      <c r="C59">
        <v>1970</v>
      </c>
      <c r="D59">
        <v>17</v>
      </c>
      <c r="E59" t="s">
        <v>368</v>
      </c>
      <c r="F59">
        <v>6.8191172599999996</v>
      </c>
    </row>
    <row r="60" spans="1:6" x14ac:dyDescent="0.3">
      <c r="A60" t="s">
        <v>2805</v>
      </c>
      <c r="B60" t="s">
        <v>1965</v>
      </c>
      <c r="C60">
        <v>1970</v>
      </c>
      <c r="D60">
        <v>12</v>
      </c>
      <c r="E60" t="s">
        <v>128</v>
      </c>
      <c r="F60">
        <v>13.283000469999999</v>
      </c>
    </row>
    <row r="61" spans="1:6" x14ac:dyDescent="0.3">
      <c r="A61" t="s">
        <v>2805</v>
      </c>
      <c r="B61" t="s">
        <v>1965</v>
      </c>
      <c r="C61">
        <v>1970</v>
      </c>
      <c r="D61">
        <v>5</v>
      </c>
      <c r="E61" t="s">
        <v>56</v>
      </c>
      <c r="F61">
        <v>4.8533452690000001</v>
      </c>
    </row>
    <row r="62" spans="1:6" x14ac:dyDescent="0.3">
      <c r="A62" t="s">
        <v>2805</v>
      </c>
      <c r="B62" t="s">
        <v>1965</v>
      </c>
      <c r="C62">
        <v>1970</v>
      </c>
      <c r="D62">
        <v>16</v>
      </c>
      <c r="E62" t="s">
        <v>63</v>
      </c>
      <c r="F62">
        <v>1.007880052</v>
      </c>
    </row>
    <row r="63" spans="1:6" x14ac:dyDescent="0.3">
      <c r="A63" t="s">
        <v>2805</v>
      </c>
      <c r="B63" t="s">
        <v>1965</v>
      </c>
      <c r="C63">
        <v>1970</v>
      </c>
      <c r="D63">
        <v>9</v>
      </c>
      <c r="E63" t="s">
        <v>74</v>
      </c>
      <c r="F63">
        <v>2.8226649109999999</v>
      </c>
    </row>
    <row r="64" spans="1:6" x14ac:dyDescent="0.3">
      <c r="A64" t="s">
        <v>2805</v>
      </c>
      <c r="B64" t="s">
        <v>1965</v>
      </c>
      <c r="C64">
        <v>1970</v>
      </c>
      <c r="D64">
        <v>4</v>
      </c>
      <c r="E64" t="s">
        <v>103</v>
      </c>
      <c r="F64">
        <v>1.36217769</v>
      </c>
    </row>
    <row r="65" spans="1:6" x14ac:dyDescent="0.3">
      <c r="A65" t="s">
        <v>2805</v>
      </c>
      <c r="B65" t="s">
        <v>1965</v>
      </c>
      <c r="C65">
        <v>1970</v>
      </c>
      <c r="D65">
        <v>13</v>
      </c>
      <c r="E65" t="s">
        <v>35</v>
      </c>
      <c r="F65">
        <v>2.179451759</v>
      </c>
    </row>
    <row r="66" spans="1:6" x14ac:dyDescent="0.3">
      <c r="A66" t="s">
        <v>2805</v>
      </c>
      <c r="B66" t="s">
        <v>1965</v>
      </c>
      <c r="C66">
        <v>1970</v>
      </c>
      <c r="D66">
        <v>15</v>
      </c>
      <c r="E66" t="s">
        <v>172</v>
      </c>
      <c r="F66">
        <v>7.5676774370000004</v>
      </c>
    </row>
    <row r="67" spans="1:6" x14ac:dyDescent="0.3">
      <c r="A67" t="s">
        <v>2805</v>
      </c>
      <c r="B67" t="s">
        <v>1965</v>
      </c>
      <c r="C67">
        <v>1970</v>
      </c>
      <c r="D67">
        <v>8</v>
      </c>
      <c r="E67" t="s">
        <v>79</v>
      </c>
      <c r="F67">
        <v>2.8973547110000002</v>
      </c>
    </row>
    <row r="68" spans="1:6" x14ac:dyDescent="0.3">
      <c r="A68" t="s">
        <v>2805</v>
      </c>
      <c r="B68" t="s">
        <v>1965</v>
      </c>
      <c r="C68">
        <v>1970</v>
      </c>
      <c r="D68">
        <v>2</v>
      </c>
      <c r="E68" t="s">
        <v>549</v>
      </c>
      <c r="F68">
        <v>7.4325309710000003</v>
      </c>
    </row>
    <row r="69" spans="1:6" x14ac:dyDescent="0.3">
      <c r="A69" t="s">
        <v>2805</v>
      </c>
      <c r="B69" t="s">
        <v>1965</v>
      </c>
      <c r="C69">
        <v>1970</v>
      </c>
      <c r="D69">
        <v>6</v>
      </c>
      <c r="E69" t="s">
        <v>145</v>
      </c>
      <c r="F69">
        <v>1.356797282</v>
      </c>
    </row>
    <row r="70" spans="1:6" x14ac:dyDescent="0.3">
      <c r="A70" t="s">
        <v>2805</v>
      </c>
      <c r="B70" t="s">
        <v>1965</v>
      </c>
      <c r="C70">
        <v>1995</v>
      </c>
      <c r="D70">
        <v>1</v>
      </c>
      <c r="E70" t="s">
        <v>192</v>
      </c>
      <c r="F70">
        <v>12.21194504</v>
      </c>
    </row>
    <row r="71" spans="1:6" x14ac:dyDescent="0.3">
      <c r="A71" t="s">
        <v>2805</v>
      </c>
      <c r="B71" t="s">
        <v>1965</v>
      </c>
      <c r="C71">
        <v>1995</v>
      </c>
      <c r="D71">
        <v>3</v>
      </c>
      <c r="E71" t="s">
        <v>89</v>
      </c>
      <c r="F71">
        <v>1.8479272739999999</v>
      </c>
    </row>
    <row r="72" spans="1:6" x14ac:dyDescent="0.3">
      <c r="A72" t="s">
        <v>2805</v>
      </c>
      <c r="B72" t="s">
        <v>1965</v>
      </c>
      <c r="C72">
        <v>1995</v>
      </c>
      <c r="D72">
        <v>14</v>
      </c>
      <c r="E72" t="s">
        <v>204</v>
      </c>
      <c r="F72">
        <v>7.3053010629999999</v>
      </c>
    </row>
    <row r="73" spans="1:6" x14ac:dyDescent="0.3">
      <c r="A73" t="s">
        <v>2805</v>
      </c>
      <c r="B73" t="s">
        <v>1965</v>
      </c>
      <c r="C73">
        <v>1995</v>
      </c>
      <c r="D73">
        <v>7</v>
      </c>
      <c r="E73" t="s">
        <v>183</v>
      </c>
      <c r="F73">
        <v>0.64307692999999999</v>
      </c>
    </row>
    <row r="74" spans="1:6" x14ac:dyDescent="0.3">
      <c r="A74" t="s">
        <v>2805</v>
      </c>
      <c r="B74" t="s">
        <v>1965</v>
      </c>
      <c r="C74">
        <v>1995</v>
      </c>
      <c r="D74">
        <v>10</v>
      </c>
      <c r="E74" t="s">
        <v>46</v>
      </c>
      <c r="F74">
        <v>3.9789636850000001</v>
      </c>
    </row>
    <row r="75" spans="1:6" x14ac:dyDescent="0.3">
      <c r="A75" t="s">
        <v>2805</v>
      </c>
      <c r="B75" t="s">
        <v>1965</v>
      </c>
      <c r="C75">
        <v>1995</v>
      </c>
      <c r="D75">
        <v>11</v>
      </c>
      <c r="E75" t="s">
        <v>107</v>
      </c>
      <c r="F75">
        <v>3.7351722569999999</v>
      </c>
    </row>
    <row r="76" spans="1:6" x14ac:dyDescent="0.3">
      <c r="A76" t="s">
        <v>2805</v>
      </c>
      <c r="B76" t="s">
        <v>1965</v>
      </c>
      <c r="C76">
        <v>1995</v>
      </c>
      <c r="D76">
        <v>17</v>
      </c>
      <c r="E76" t="s">
        <v>368</v>
      </c>
      <c r="F76">
        <v>4.8909590290000002</v>
      </c>
    </row>
    <row r="77" spans="1:6" x14ac:dyDescent="0.3">
      <c r="A77" t="s">
        <v>2805</v>
      </c>
      <c r="B77" t="s">
        <v>1965</v>
      </c>
      <c r="C77">
        <v>1995</v>
      </c>
      <c r="D77">
        <v>12</v>
      </c>
      <c r="E77" t="s">
        <v>128</v>
      </c>
      <c r="F77">
        <v>6.7392977490000003</v>
      </c>
    </row>
    <row r="78" spans="1:6" x14ac:dyDescent="0.3">
      <c r="A78" t="s">
        <v>2805</v>
      </c>
      <c r="B78" t="s">
        <v>1965</v>
      </c>
      <c r="C78">
        <v>1995</v>
      </c>
      <c r="D78">
        <v>5</v>
      </c>
      <c r="E78" t="s">
        <v>56</v>
      </c>
      <c r="F78">
        <v>2.2321182450000001</v>
      </c>
    </row>
    <row r="79" spans="1:6" x14ac:dyDescent="0.3">
      <c r="A79" t="s">
        <v>2805</v>
      </c>
      <c r="B79" t="s">
        <v>1965</v>
      </c>
      <c r="C79">
        <v>1995</v>
      </c>
      <c r="D79">
        <v>16</v>
      </c>
      <c r="E79" t="s">
        <v>63</v>
      </c>
      <c r="F79">
        <v>0.76762859000000006</v>
      </c>
    </row>
    <row r="80" spans="1:6" x14ac:dyDescent="0.3">
      <c r="A80" t="s">
        <v>2805</v>
      </c>
      <c r="B80" t="s">
        <v>1965</v>
      </c>
      <c r="C80">
        <v>1995</v>
      </c>
      <c r="D80">
        <v>9</v>
      </c>
      <c r="E80" t="s">
        <v>74</v>
      </c>
      <c r="F80">
        <v>2.9186734620000001</v>
      </c>
    </row>
    <row r="81" spans="1:6" x14ac:dyDescent="0.3">
      <c r="A81" t="s">
        <v>2805</v>
      </c>
      <c r="B81" t="s">
        <v>1965</v>
      </c>
      <c r="C81">
        <v>1995</v>
      </c>
      <c r="D81">
        <v>4</v>
      </c>
      <c r="E81" t="s">
        <v>103</v>
      </c>
      <c r="F81">
        <v>1.659198706</v>
      </c>
    </row>
    <row r="82" spans="1:6" x14ac:dyDescent="0.3">
      <c r="A82" t="s">
        <v>2805</v>
      </c>
      <c r="B82" t="s">
        <v>1965</v>
      </c>
      <c r="C82">
        <v>1995</v>
      </c>
      <c r="D82">
        <v>13</v>
      </c>
      <c r="E82" t="s">
        <v>35</v>
      </c>
      <c r="F82">
        <v>2.0526173299999999</v>
      </c>
    </row>
    <row r="83" spans="1:6" x14ac:dyDescent="0.3">
      <c r="A83" t="s">
        <v>2805</v>
      </c>
      <c r="B83" t="s">
        <v>1965</v>
      </c>
      <c r="C83">
        <v>1995</v>
      </c>
      <c r="D83">
        <v>15</v>
      </c>
      <c r="E83" t="s">
        <v>172</v>
      </c>
      <c r="F83">
        <v>5.4509429559999996</v>
      </c>
    </row>
    <row r="84" spans="1:6" x14ac:dyDescent="0.3">
      <c r="A84" t="s">
        <v>2805</v>
      </c>
      <c r="B84" t="s">
        <v>1965</v>
      </c>
      <c r="C84">
        <v>1995</v>
      </c>
      <c r="D84">
        <v>8</v>
      </c>
      <c r="E84" t="s">
        <v>79</v>
      </c>
      <c r="F84">
        <v>3.1878148780000002</v>
      </c>
    </row>
    <row r="85" spans="1:6" x14ac:dyDescent="0.3">
      <c r="A85" t="s">
        <v>2805</v>
      </c>
      <c r="B85" t="s">
        <v>1965</v>
      </c>
      <c r="C85">
        <v>1995</v>
      </c>
      <c r="D85">
        <v>2</v>
      </c>
      <c r="E85" t="s">
        <v>549</v>
      </c>
      <c r="F85">
        <v>6.3200329279999998</v>
      </c>
    </row>
    <row r="86" spans="1:6" x14ac:dyDescent="0.3">
      <c r="A86" t="s">
        <v>2805</v>
      </c>
      <c r="B86" t="s">
        <v>1965</v>
      </c>
      <c r="C86">
        <v>1995</v>
      </c>
      <c r="D86">
        <v>6</v>
      </c>
      <c r="E86" t="s">
        <v>145</v>
      </c>
      <c r="F86">
        <v>2.0049153020000001</v>
      </c>
    </row>
    <row r="87" spans="1:6" x14ac:dyDescent="0.3">
      <c r="A87" t="s">
        <v>2805</v>
      </c>
      <c r="B87" t="s">
        <v>1965</v>
      </c>
      <c r="C87">
        <v>2030</v>
      </c>
      <c r="D87">
        <v>1</v>
      </c>
      <c r="E87" t="s">
        <v>192</v>
      </c>
      <c r="F87">
        <v>11.241545049999999</v>
      </c>
    </row>
    <row r="88" spans="1:6" x14ac:dyDescent="0.3">
      <c r="A88" t="s">
        <v>2805</v>
      </c>
      <c r="B88" t="s">
        <v>1965</v>
      </c>
      <c r="C88">
        <v>2030</v>
      </c>
      <c r="D88">
        <v>3</v>
      </c>
      <c r="E88" t="s">
        <v>89</v>
      </c>
      <c r="F88">
        <v>1.5338276230000001</v>
      </c>
    </row>
    <row r="89" spans="1:6" x14ac:dyDescent="0.3">
      <c r="A89" t="s">
        <v>2805</v>
      </c>
      <c r="B89" t="s">
        <v>1965</v>
      </c>
      <c r="C89">
        <v>2030</v>
      </c>
      <c r="D89">
        <v>14</v>
      </c>
      <c r="E89" t="s">
        <v>204</v>
      </c>
      <c r="F89">
        <v>6.4042537519999998</v>
      </c>
    </row>
    <row r="90" spans="1:6" x14ac:dyDescent="0.3">
      <c r="A90" t="s">
        <v>2805</v>
      </c>
      <c r="B90" t="s">
        <v>1965</v>
      </c>
      <c r="C90">
        <v>2030</v>
      </c>
      <c r="D90">
        <v>7</v>
      </c>
      <c r="E90" t="s">
        <v>183</v>
      </c>
      <c r="F90">
        <v>0.47336747099999998</v>
      </c>
    </row>
    <row r="91" spans="1:6" x14ac:dyDescent="0.3">
      <c r="A91" t="s">
        <v>2805</v>
      </c>
      <c r="B91" t="s">
        <v>1965</v>
      </c>
      <c r="C91">
        <v>2030</v>
      </c>
      <c r="D91">
        <v>10</v>
      </c>
      <c r="E91" t="s">
        <v>46</v>
      </c>
      <c r="F91">
        <v>4.159685273</v>
      </c>
    </row>
    <row r="92" spans="1:6" x14ac:dyDescent="0.3">
      <c r="A92" t="s">
        <v>2805</v>
      </c>
      <c r="B92" t="s">
        <v>1965</v>
      </c>
      <c r="C92">
        <v>2030</v>
      </c>
      <c r="D92">
        <v>11</v>
      </c>
      <c r="E92" t="s">
        <v>107</v>
      </c>
      <c r="F92">
        <v>3.257452008</v>
      </c>
    </row>
    <row r="93" spans="1:6" x14ac:dyDescent="0.3">
      <c r="A93" t="s">
        <v>2805</v>
      </c>
      <c r="B93" t="s">
        <v>1965</v>
      </c>
      <c r="C93">
        <v>2030</v>
      </c>
      <c r="D93">
        <v>17</v>
      </c>
      <c r="E93" t="s">
        <v>368</v>
      </c>
      <c r="F93">
        <v>3.0763412109999999</v>
      </c>
    </row>
    <row r="94" spans="1:6" x14ac:dyDescent="0.3">
      <c r="A94" t="s">
        <v>2805</v>
      </c>
      <c r="B94" t="s">
        <v>1965</v>
      </c>
      <c r="C94">
        <v>2030</v>
      </c>
      <c r="D94">
        <v>12</v>
      </c>
      <c r="E94" t="s">
        <v>128</v>
      </c>
      <c r="F94">
        <v>5.90963832</v>
      </c>
    </row>
    <row r="95" spans="1:6" x14ac:dyDescent="0.3">
      <c r="A95" t="s">
        <v>2805</v>
      </c>
      <c r="B95" t="s">
        <v>1965</v>
      </c>
      <c r="C95">
        <v>2030</v>
      </c>
      <c r="D95">
        <v>5</v>
      </c>
      <c r="E95" t="s">
        <v>56</v>
      </c>
      <c r="F95">
        <v>2.2418793730000002</v>
      </c>
    </row>
    <row r="96" spans="1:6" x14ac:dyDescent="0.3">
      <c r="A96" t="s">
        <v>2805</v>
      </c>
      <c r="B96" t="s">
        <v>1965</v>
      </c>
      <c r="C96">
        <v>2030</v>
      </c>
      <c r="D96">
        <v>16</v>
      </c>
      <c r="E96" t="s">
        <v>63</v>
      </c>
      <c r="F96">
        <v>0.71149224300000002</v>
      </c>
    </row>
    <row r="97" spans="1:6" x14ac:dyDescent="0.3">
      <c r="A97" t="s">
        <v>2805</v>
      </c>
      <c r="B97" t="s">
        <v>1965</v>
      </c>
      <c r="C97">
        <v>2030</v>
      </c>
      <c r="D97">
        <v>9</v>
      </c>
      <c r="E97" t="s">
        <v>74</v>
      </c>
      <c r="F97">
        <v>1.784720069</v>
      </c>
    </row>
    <row r="98" spans="1:6" x14ac:dyDescent="0.3">
      <c r="A98" t="s">
        <v>2805</v>
      </c>
      <c r="B98" t="s">
        <v>1965</v>
      </c>
      <c r="C98">
        <v>2030</v>
      </c>
      <c r="D98">
        <v>4</v>
      </c>
      <c r="E98" t="s">
        <v>103</v>
      </c>
      <c r="F98">
        <v>1.7961209709999999</v>
      </c>
    </row>
    <row r="99" spans="1:6" x14ac:dyDescent="0.3">
      <c r="A99" t="s">
        <v>2805</v>
      </c>
      <c r="B99" t="s">
        <v>1965</v>
      </c>
      <c r="C99">
        <v>2030</v>
      </c>
      <c r="D99">
        <v>13</v>
      </c>
      <c r="E99" t="s">
        <v>35</v>
      </c>
      <c r="F99">
        <v>1.386220867</v>
      </c>
    </row>
    <row r="100" spans="1:6" x14ac:dyDescent="0.3">
      <c r="A100" t="s">
        <v>2805</v>
      </c>
      <c r="B100" t="s">
        <v>1965</v>
      </c>
      <c r="C100">
        <v>2030</v>
      </c>
      <c r="D100">
        <v>15</v>
      </c>
      <c r="E100" t="s">
        <v>172</v>
      </c>
      <c r="F100">
        <v>3.9708699319999998</v>
      </c>
    </row>
    <row r="101" spans="1:6" x14ac:dyDescent="0.3">
      <c r="A101" t="s">
        <v>2805</v>
      </c>
      <c r="B101" t="s">
        <v>1965</v>
      </c>
      <c r="C101">
        <v>2030</v>
      </c>
      <c r="D101">
        <v>8</v>
      </c>
      <c r="E101" t="s">
        <v>79</v>
      </c>
      <c r="F101">
        <v>2.6049015839999998</v>
      </c>
    </row>
    <row r="102" spans="1:6" x14ac:dyDescent="0.3">
      <c r="A102" t="s">
        <v>2805</v>
      </c>
      <c r="B102" t="s">
        <v>1965</v>
      </c>
      <c r="C102">
        <v>2030</v>
      </c>
      <c r="D102">
        <v>2</v>
      </c>
      <c r="E102" t="s">
        <v>549</v>
      </c>
      <c r="F102">
        <v>5.8571497360000002</v>
      </c>
    </row>
    <row r="103" spans="1:6" x14ac:dyDescent="0.3">
      <c r="A103" t="s">
        <v>2805</v>
      </c>
      <c r="B103" t="s">
        <v>1965</v>
      </c>
      <c r="C103">
        <v>2030</v>
      </c>
      <c r="D103">
        <v>6</v>
      </c>
      <c r="E103" t="s">
        <v>145</v>
      </c>
      <c r="F103">
        <v>1.34322885</v>
      </c>
    </row>
    <row r="104" spans="1:6" x14ac:dyDescent="0.3">
      <c r="A104" t="s">
        <v>2805</v>
      </c>
      <c r="B104" t="s">
        <v>2022</v>
      </c>
      <c r="C104">
        <v>1970</v>
      </c>
      <c r="D104">
        <v>1</v>
      </c>
      <c r="E104" t="s">
        <v>192</v>
      </c>
      <c r="F104">
        <v>19.358449920000002</v>
      </c>
    </row>
    <row r="105" spans="1:6" x14ac:dyDescent="0.3">
      <c r="A105" t="s">
        <v>2805</v>
      </c>
      <c r="B105" t="s">
        <v>2022</v>
      </c>
      <c r="C105">
        <v>1970</v>
      </c>
      <c r="D105">
        <v>3</v>
      </c>
      <c r="E105" t="s">
        <v>89</v>
      </c>
      <c r="F105">
        <v>58.953610609999998</v>
      </c>
    </row>
    <row r="106" spans="1:6" x14ac:dyDescent="0.3">
      <c r="A106" t="s">
        <v>2805</v>
      </c>
      <c r="B106" t="s">
        <v>2022</v>
      </c>
      <c r="C106">
        <v>1970</v>
      </c>
      <c r="D106">
        <v>14</v>
      </c>
      <c r="E106" t="s">
        <v>204</v>
      </c>
      <c r="F106">
        <v>265.33206969999998</v>
      </c>
    </row>
    <row r="107" spans="1:6" x14ac:dyDescent="0.3">
      <c r="A107" t="s">
        <v>2805</v>
      </c>
      <c r="B107" t="s">
        <v>2022</v>
      </c>
      <c r="C107">
        <v>1970</v>
      </c>
      <c r="D107">
        <v>7</v>
      </c>
      <c r="E107" t="s">
        <v>183</v>
      </c>
      <c r="F107">
        <v>122.9588146</v>
      </c>
    </row>
    <row r="108" spans="1:6" x14ac:dyDescent="0.3">
      <c r="A108" t="s">
        <v>2805</v>
      </c>
      <c r="B108" t="s">
        <v>2022</v>
      </c>
      <c r="C108">
        <v>1970</v>
      </c>
      <c r="D108">
        <v>10</v>
      </c>
      <c r="E108" t="s">
        <v>46</v>
      </c>
      <c r="F108">
        <v>13.777918850000001</v>
      </c>
    </row>
    <row r="109" spans="1:6" x14ac:dyDescent="0.3">
      <c r="A109" t="s">
        <v>2805</v>
      </c>
      <c r="B109" t="s">
        <v>2022</v>
      </c>
      <c r="C109">
        <v>1970</v>
      </c>
      <c r="D109">
        <v>11</v>
      </c>
      <c r="E109" t="s">
        <v>107</v>
      </c>
      <c r="F109">
        <v>13.93477408</v>
      </c>
    </row>
    <row r="110" spans="1:6" x14ac:dyDescent="0.3">
      <c r="A110" t="s">
        <v>2805</v>
      </c>
      <c r="B110" t="s">
        <v>2022</v>
      </c>
      <c r="C110">
        <v>1970</v>
      </c>
      <c r="D110">
        <v>17</v>
      </c>
      <c r="E110" t="s">
        <v>368</v>
      </c>
      <c r="F110">
        <v>16.301567689999999</v>
      </c>
    </row>
    <row r="111" spans="1:6" x14ac:dyDescent="0.3">
      <c r="A111" t="s">
        <v>2805</v>
      </c>
      <c r="B111" t="s">
        <v>2022</v>
      </c>
      <c r="C111">
        <v>1970</v>
      </c>
      <c r="D111">
        <v>12</v>
      </c>
      <c r="E111" t="s">
        <v>128</v>
      </c>
      <c r="F111">
        <v>33.632888370000003</v>
      </c>
    </row>
    <row r="112" spans="1:6" x14ac:dyDescent="0.3">
      <c r="A112" t="s">
        <v>2805</v>
      </c>
      <c r="B112" t="s">
        <v>2022</v>
      </c>
      <c r="C112">
        <v>1970</v>
      </c>
      <c r="D112">
        <v>5</v>
      </c>
      <c r="E112" t="s">
        <v>56</v>
      </c>
      <c r="F112">
        <v>10.622395879999999</v>
      </c>
    </row>
    <row r="113" spans="1:6" x14ac:dyDescent="0.3">
      <c r="A113" t="s">
        <v>2805</v>
      </c>
      <c r="B113" t="s">
        <v>2022</v>
      </c>
      <c r="C113">
        <v>1970</v>
      </c>
      <c r="D113">
        <v>16</v>
      </c>
      <c r="E113" t="s">
        <v>63</v>
      </c>
      <c r="F113">
        <v>36.268079829999998</v>
      </c>
    </row>
    <row r="114" spans="1:6" x14ac:dyDescent="0.3">
      <c r="A114" t="s">
        <v>2805</v>
      </c>
      <c r="B114" t="s">
        <v>2022</v>
      </c>
      <c r="C114">
        <v>1970</v>
      </c>
      <c r="D114">
        <v>9</v>
      </c>
      <c r="E114" t="s">
        <v>74</v>
      </c>
      <c r="F114">
        <v>11.63553192</v>
      </c>
    </row>
    <row r="115" spans="1:6" x14ac:dyDescent="0.3">
      <c r="A115" t="s">
        <v>2805</v>
      </c>
      <c r="B115" t="s">
        <v>2022</v>
      </c>
      <c r="C115">
        <v>1970</v>
      </c>
      <c r="D115">
        <v>4</v>
      </c>
      <c r="E115" t="s">
        <v>103</v>
      </c>
      <c r="F115">
        <v>54.107438930000001</v>
      </c>
    </row>
    <row r="116" spans="1:6" x14ac:dyDescent="0.3">
      <c r="A116" t="s">
        <v>2805</v>
      </c>
      <c r="B116" t="s">
        <v>2022</v>
      </c>
      <c r="C116">
        <v>1970</v>
      </c>
      <c r="D116">
        <v>13</v>
      </c>
      <c r="E116" t="s">
        <v>35</v>
      </c>
      <c r="F116">
        <v>84.691529860000003</v>
      </c>
    </row>
    <row r="117" spans="1:6" x14ac:dyDescent="0.3">
      <c r="A117" t="s">
        <v>2805</v>
      </c>
      <c r="B117" t="s">
        <v>2022</v>
      </c>
      <c r="C117">
        <v>1970</v>
      </c>
      <c r="D117">
        <v>15</v>
      </c>
      <c r="E117" t="s">
        <v>172</v>
      </c>
      <c r="F117">
        <v>65.312410729999996</v>
      </c>
    </row>
    <row r="118" spans="1:6" x14ac:dyDescent="0.3">
      <c r="A118" t="s">
        <v>2805</v>
      </c>
      <c r="B118" t="s">
        <v>2022</v>
      </c>
      <c r="C118">
        <v>1970</v>
      </c>
      <c r="D118">
        <v>8</v>
      </c>
      <c r="E118" t="s">
        <v>79</v>
      </c>
      <c r="F118">
        <v>76.879498839999997</v>
      </c>
    </row>
    <row r="119" spans="1:6" x14ac:dyDescent="0.3">
      <c r="A119" t="s">
        <v>2805</v>
      </c>
      <c r="B119" t="s">
        <v>2022</v>
      </c>
      <c r="C119">
        <v>1970</v>
      </c>
      <c r="D119">
        <v>2</v>
      </c>
      <c r="E119" t="s">
        <v>549</v>
      </c>
      <c r="F119">
        <v>19.711817419999999</v>
      </c>
    </row>
    <row r="120" spans="1:6" x14ac:dyDescent="0.3">
      <c r="A120" t="s">
        <v>2805</v>
      </c>
      <c r="B120" t="s">
        <v>2022</v>
      </c>
      <c r="C120">
        <v>1970</v>
      </c>
      <c r="D120">
        <v>6</v>
      </c>
      <c r="E120" t="s">
        <v>145</v>
      </c>
      <c r="F120">
        <v>96.168684240000005</v>
      </c>
    </row>
    <row r="121" spans="1:6" x14ac:dyDescent="0.3">
      <c r="A121" t="s">
        <v>2805</v>
      </c>
      <c r="B121" t="s">
        <v>2022</v>
      </c>
      <c r="C121">
        <v>1995</v>
      </c>
      <c r="D121">
        <v>1</v>
      </c>
      <c r="E121" t="s">
        <v>192</v>
      </c>
      <c r="F121">
        <v>24.897989949999999</v>
      </c>
    </row>
    <row r="122" spans="1:6" x14ac:dyDescent="0.3">
      <c r="A122" t="s">
        <v>2805</v>
      </c>
      <c r="B122" t="s">
        <v>2022</v>
      </c>
      <c r="C122">
        <v>1995</v>
      </c>
      <c r="D122">
        <v>3</v>
      </c>
      <c r="E122" t="s">
        <v>89</v>
      </c>
      <c r="F122">
        <v>40.626875669999997</v>
      </c>
    </row>
    <row r="123" spans="1:6" x14ac:dyDescent="0.3">
      <c r="A123" t="s">
        <v>2805</v>
      </c>
      <c r="B123" t="s">
        <v>2022</v>
      </c>
      <c r="C123">
        <v>1995</v>
      </c>
      <c r="D123">
        <v>14</v>
      </c>
      <c r="E123" t="s">
        <v>204</v>
      </c>
      <c r="F123">
        <v>40.642662659999999</v>
      </c>
    </row>
    <row r="124" spans="1:6" x14ac:dyDescent="0.3">
      <c r="A124" t="s">
        <v>2805</v>
      </c>
      <c r="B124" t="s">
        <v>2022</v>
      </c>
      <c r="C124">
        <v>1995</v>
      </c>
      <c r="D124">
        <v>7</v>
      </c>
      <c r="E124" t="s">
        <v>183</v>
      </c>
      <c r="F124">
        <v>98.312300239999999</v>
      </c>
    </row>
    <row r="125" spans="1:6" x14ac:dyDescent="0.3">
      <c r="A125" t="s">
        <v>2805</v>
      </c>
      <c r="B125" t="s">
        <v>2022</v>
      </c>
      <c r="C125">
        <v>1995</v>
      </c>
      <c r="D125">
        <v>10</v>
      </c>
      <c r="E125" t="s">
        <v>46</v>
      </c>
      <c r="F125">
        <v>11.27456338</v>
      </c>
    </row>
    <row r="126" spans="1:6" x14ac:dyDescent="0.3">
      <c r="A126" t="s">
        <v>2805</v>
      </c>
      <c r="B126" t="s">
        <v>2022</v>
      </c>
      <c r="C126">
        <v>1995</v>
      </c>
      <c r="D126">
        <v>11</v>
      </c>
      <c r="E126" t="s">
        <v>107</v>
      </c>
      <c r="F126">
        <v>12.6844318</v>
      </c>
    </row>
    <row r="127" spans="1:6" x14ac:dyDescent="0.3">
      <c r="A127" t="s">
        <v>2805</v>
      </c>
      <c r="B127" t="s">
        <v>2022</v>
      </c>
      <c r="C127">
        <v>1995</v>
      </c>
      <c r="D127">
        <v>17</v>
      </c>
      <c r="E127" t="s">
        <v>368</v>
      </c>
      <c r="F127">
        <v>11.69217314</v>
      </c>
    </row>
    <row r="128" spans="1:6" x14ac:dyDescent="0.3">
      <c r="A128" t="s">
        <v>2805</v>
      </c>
      <c r="B128" t="s">
        <v>2022</v>
      </c>
      <c r="C128">
        <v>1995</v>
      </c>
      <c r="D128">
        <v>12</v>
      </c>
      <c r="E128" t="s">
        <v>128</v>
      </c>
      <c r="F128">
        <v>15.797661939999999</v>
      </c>
    </row>
    <row r="129" spans="1:6" x14ac:dyDescent="0.3">
      <c r="A129" t="s">
        <v>2805</v>
      </c>
      <c r="B129" t="s">
        <v>2022</v>
      </c>
      <c r="C129">
        <v>1995</v>
      </c>
      <c r="D129">
        <v>5</v>
      </c>
      <c r="E129" t="s">
        <v>56</v>
      </c>
      <c r="F129">
        <v>4.7430725340000004</v>
      </c>
    </row>
    <row r="130" spans="1:6" x14ac:dyDescent="0.3">
      <c r="A130" t="s">
        <v>2805</v>
      </c>
      <c r="B130" t="s">
        <v>2022</v>
      </c>
      <c r="C130">
        <v>1995</v>
      </c>
      <c r="D130">
        <v>16</v>
      </c>
      <c r="E130" t="s">
        <v>63</v>
      </c>
      <c r="F130">
        <v>28.236751649999999</v>
      </c>
    </row>
    <row r="131" spans="1:6" x14ac:dyDescent="0.3">
      <c r="A131" t="s">
        <v>2805</v>
      </c>
      <c r="B131" t="s">
        <v>2022</v>
      </c>
      <c r="C131">
        <v>1995</v>
      </c>
      <c r="D131">
        <v>9</v>
      </c>
      <c r="E131" t="s">
        <v>74</v>
      </c>
      <c r="F131">
        <v>12.03129642</v>
      </c>
    </row>
    <row r="132" spans="1:6" x14ac:dyDescent="0.3">
      <c r="A132" t="s">
        <v>2805</v>
      </c>
      <c r="B132" t="s">
        <v>2022</v>
      </c>
      <c r="C132">
        <v>1995</v>
      </c>
      <c r="D132">
        <v>4</v>
      </c>
      <c r="E132" t="s">
        <v>103</v>
      </c>
      <c r="F132">
        <v>52.313044220000002</v>
      </c>
    </row>
    <row r="133" spans="1:6" x14ac:dyDescent="0.3">
      <c r="A133" t="s">
        <v>2805</v>
      </c>
      <c r="B133" t="s">
        <v>2022</v>
      </c>
      <c r="C133">
        <v>1995</v>
      </c>
      <c r="D133">
        <v>13</v>
      </c>
      <c r="E133" t="s">
        <v>35</v>
      </c>
      <c r="F133">
        <v>56.785903259999998</v>
      </c>
    </row>
    <row r="134" spans="1:6" x14ac:dyDescent="0.3">
      <c r="A134" t="s">
        <v>2805</v>
      </c>
      <c r="B134" t="s">
        <v>2022</v>
      </c>
      <c r="C134">
        <v>1995</v>
      </c>
      <c r="D134">
        <v>15</v>
      </c>
      <c r="E134" t="s">
        <v>172</v>
      </c>
      <c r="F134">
        <v>45.880137300000001</v>
      </c>
    </row>
    <row r="135" spans="1:6" x14ac:dyDescent="0.3">
      <c r="A135" t="s">
        <v>2805</v>
      </c>
      <c r="B135" t="s">
        <v>2022</v>
      </c>
      <c r="C135">
        <v>1995</v>
      </c>
      <c r="D135">
        <v>8</v>
      </c>
      <c r="E135" t="s">
        <v>79</v>
      </c>
      <c r="F135">
        <v>59.799855260000001</v>
      </c>
    </row>
    <row r="136" spans="1:6" x14ac:dyDescent="0.3">
      <c r="A136" t="s">
        <v>2805</v>
      </c>
      <c r="B136" t="s">
        <v>2022</v>
      </c>
      <c r="C136">
        <v>1995</v>
      </c>
      <c r="D136">
        <v>2</v>
      </c>
      <c r="E136" t="s">
        <v>549</v>
      </c>
      <c r="F136">
        <v>16.761361050000001</v>
      </c>
    </row>
    <row r="137" spans="1:6" x14ac:dyDescent="0.3">
      <c r="A137" t="s">
        <v>2805</v>
      </c>
      <c r="B137" t="s">
        <v>2022</v>
      </c>
      <c r="C137">
        <v>1995</v>
      </c>
      <c r="D137">
        <v>6</v>
      </c>
      <c r="E137" t="s">
        <v>145</v>
      </c>
      <c r="F137">
        <v>74.130213549999993</v>
      </c>
    </row>
    <row r="138" spans="1:6" x14ac:dyDescent="0.3">
      <c r="A138" t="s">
        <v>2805</v>
      </c>
      <c r="B138" t="s">
        <v>2022</v>
      </c>
      <c r="C138">
        <v>2030</v>
      </c>
      <c r="D138">
        <v>1</v>
      </c>
      <c r="E138" t="s">
        <v>192</v>
      </c>
      <c r="F138">
        <v>21.72185507</v>
      </c>
    </row>
    <row r="139" spans="1:6" x14ac:dyDescent="0.3">
      <c r="A139" t="s">
        <v>2805</v>
      </c>
      <c r="B139" t="s">
        <v>2022</v>
      </c>
      <c r="C139">
        <v>2030</v>
      </c>
      <c r="D139">
        <v>3</v>
      </c>
      <c r="E139" t="s">
        <v>89</v>
      </c>
      <c r="F139">
        <v>26.590217620000001</v>
      </c>
    </row>
    <row r="140" spans="1:6" x14ac:dyDescent="0.3">
      <c r="A140" t="s">
        <v>2805</v>
      </c>
      <c r="B140" t="s">
        <v>2022</v>
      </c>
      <c r="C140">
        <v>2030</v>
      </c>
      <c r="D140">
        <v>14</v>
      </c>
      <c r="E140" t="s">
        <v>204</v>
      </c>
      <c r="F140">
        <v>25.849481770000001</v>
      </c>
    </row>
    <row r="141" spans="1:6" x14ac:dyDescent="0.3">
      <c r="A141" t="s">
        <v>2805</v>
      </c>
      <c r="B141" t="s">
        <v>2022</v>
      </c>
      <c r="C141">
        <v>2030</v>
      </c>
      <c r="D141">
        <v>7</v>
      </c>
      <c r="E141" t="s">
        <v>183</v>
      </c>
      <c r="F141">
        <v>53.70255049</v>
      </c>
    </row>
    <row r="142" spans="1:6" x14ac:dyDescent="0.3">
      <c r="A142" t="s">
        <v>2805</v>
      </c>
      <c r="B142" t="s">
        <v>2022</v>
      </c>
      <c r="C142">
        <v>2030</v>
      </c>
      <c r="D142">
        <v>10</v>
      </c>
      <c r="E142" t="s">
        <v>46</v>
      </c>
      <c r="F142">
        <v>11.78664571</v>
      </c>
    </row>
    <row r="143" spans="1:6" x14ac:dyDescent="0.3">
      <c r="A143" t="s">
        <v>2805</v>
      </c>
      <c r="B143" t="s">
        <v>2022</v>
      </c>
      <c r="C143">
        <v>2030</v>
      </c>
      <c r="D143">
        <v>11</v>
      </c>
      <c r="E143" t="s">
        <v>107</v>
      </c>
      <c r="F143">
        <v>11.062121100000001</v>
      </c>
    </row>
    <row r="144" spans="1:6" x14ac:dyDescent="0.3">
      <c r="A144" t="s">
        <v>2805</v>
      </c>
      <c r="B144" t="s">
        <v>2022</v>
      </c>
      <c r="C144">
        <v>2030</v>
      </c>
      <c r="D144">
        <v>17</v>
      </c>
      <c r="E144" t="s">
        <v>368</v>
      </c>
      <c r="F144">
        <v>7.3542047430000004</v>
      </c>
    </row>
    <row r="145" spans="1:6" x14ac:dyDescent="0.3">
      <c r="A145" t="s">
        <v>2805</v>
      </c>
      <c r="B145" t="s">
        <v>2022</v>
      </c>
      <c r="C145">
        <v>2030</v>
      </c>
      <c r="D145">
        <v>12</v>
      </c>
      <c r="E145" t="s">
        <v>128</v>
      </c>
      <c r="F145">
        <v>12.74038691</v>
      </c>
    </row>
    <row r="146" spans="1:6" x14ac:dyDescent="0.3">
      <c r="A146" t="s">
        <v>2805</v>
      </c>
      <c r="B146" t="s">
        <v>2022</v>
      </c>
      <c r="C146">
        <v>2030</v>
      </c>
      <c r="D146">
        <v>5</v>
      </c>
      <c r="E146" t="s">
        <v>56</v>
      </c>
      <c r="F146">
        <v>4.7509775689999998</v>
      </c>
    </row>
    <row r="147" spans="1:6" x14ac:dyDescent="0.3">
      <c r="A147" t="s">
        <v>2805</v>
      </c>
      <c r="B147" t="s">
        <v>2022</v>
      </c>
      <c r="C147">
        <v>2030</v>
      </c>
      <c r="D147">
        <v>16</v>
      </c>
      <c r="E147" t="s">
        <v>63</v>
      </c>
      <c r="F147">
        <v>25.469885690000002</v>
      </c>
    </row>
    <row r="148" spans="1:6" x14ac:dyDescent="0.3">
      <c r="A148" t="s">
        <v>2805</v>
      </c>
      <c r="B148" t="s">
        <v>2022</v>
      </c>
      <c r="C148">
        <v>2030</v>
      </c>
      <c r="D148">
        <v>9</v>
      </c>
      <c r="E148" t="s">
        <v>74</v>
      </c>
      <c r="F148">
        <v>7.3569367879999996</v>
      </c>
    </row>
    <row r="149" spans="1:6" x14ac:dyDescent="0.3">
      <c r="A149" t="s">
        <v>2805</v>
      </c>
      <c r="B149" t="s">
        <v>2022</v>
      </c>
      <c r="C149">
        <v>2030</v>
      </c>
      <c r="D149">
        <v>4</v>
      </c>
      <c r="E149" t="s">
        <v>103</v>
      </c>
      <c r="F149">
        <v>41.345653419999998</v>
      </c>
    </row>
    <row r="150" spans="1:6" x14ac:dyDescent="0.3">
      <c r="A150" t="s">
        <v>2805</v>
      </c>
      <c r="B150" t="s">
        <v>2022</v>
      </c>
      <c r="C150">
        <v>2030</v>
      </c>
      <c r="D150">
        <v>13</v>
      </c>
      <c r="E150" t="s">
        <v>35</v>
      </c>
      <c r="F150">
        <v>31.422587450000002</v>
      </c>
    </row>
    <row r="151" spans="1:6" x14ac:dyDescent="0.3">
      <c r="A151" t="s">
        <v>2805</v>
      </c>
      <c r="B151" t="s">
        <v>2022</v>
      </c>
      <c r="C151">
        <v>2030</v>
      </c>
      <c r="D151">
        <v>15</v>
      </c>
      <c r="E151" t="s">
        <v>172</v>
      </c>
      <c r="F151">
        <v>32.221317259999999</v>
      </c>
    </row>
    <row r="152" spans="1:6" x14ac:dyDescent="0.3">
      <c r="A152" t="s">
        <v>2805</v>
      </c>
      <c r="B152" t="s">
        <v>2022</v>
      </c>
      <c r="C152">
        <v>2030</v>
      </c>
      <c r="D152">
        <v>8</v>
      </c>
      <c r="E152" t="s">
        <v>79</v>
      </c>
      <c r="F152">
        <v>48.865051350000002</v>
      </c>
    </row>
    <row r="153" spans="1:6" x14ac:dyDescent="0.3">
      <c r="A153" t="s">
        <v>2805</v>
      </c>
      <c r="B153" t="s">
        <v>2022</v>
      </c>
      <c r="C153">
        <v>2030</v>
      </c>
      <c r="D153">
        <v>2</v>
      </c>
      <c r="E153" t="s">
        <v>549</v>
      </c>
      <c r="F153">
        <v>15.00104099</v>
      </c>
    </row>
    <row r="154" spans="1:6" x14ac:dyDescent="0.3">
      <c r="A154" t="s">
        <v>2805</v>
      </c>
      <c r="B154" t="s">
        <v>2022</v>
      </c>
      <c r="C154">
        <v>2030</v>
      </c>
      <c r="D154">
        <v>6</v>
      </c>
      <c r="E154" t="s">
        <v>145</v>
      </c>
      <c r="F154">
        <v>42.580534720000003</v>
      </c>
    </row>
    <row r="155" spans="1:6" x14ac:dyDescent="0.3">
      <c r="A155" t="s">
        <v>2805</v>
      </c>
      <c r="B155" t="s">
        <v>2017</v>
      </c>
      <c r="C155">
        <v>1970</v>
      </c>
      <c r="D155">
        <v>1</v>
      </c>
      <c r="E155" t="s">
        <v>192</v>
      </c>
      <c r="F155">
        <v>0.48485133200000002</v>
      </c>
    </row>
    <row r="156" spans="1:6" x14ac:dyDescent="0.3">
      <c r="A156" t="s">
        <v>2805</v>
      </c>
      <c r="B156" t="s">
        <v>2017</v>
      </c>
      <c r="C156">
        <v>1970</v>
      </c>
      <c r="D156">
        <v>3</v>
      </c>
      <c r="E156" t="s">
        <v>89</v>
      </c>
      <c r="F156">
        <v>7.5424016629999997</v>
      </c>
    </row>
    <row r="157" spans="1:6" x14ac:dyDescent="0.3">
      <c r="A157" t="s">
        <v>2805</v>
      </c>
      <c r="B157" t="s">
        <v>2017</v>
      </c>
      <c r="C157">
        <v>1970</v>
      </c>
      <c r="D157">
        <v>14</v>
      </c>
      <c r="E157" t="s">
        <v>204</v>
      </c>
      <c r="F157">
        <v>53.075293160000001</v>
      </c>
    </row>
    <row r="158" spans="1:6" x14ac:dyDescent="0.3">
      <c r="A158" t="s">
        <v>2805</v>
      </c>
      <c r="B158" t="s">
        <v>2017</v>
      </c>
      <c r="C158">
        <v>1970</v>
      </c>
      <c r="D158">
        <v>7</v>
      </c>
      <c r="E158" t="s">
        <v>183</v>
      </c>
      <c r="F158">
        <v>5.0984574489999996</v>
      </c>
    </row>
    <row r="159" spans="1:6" x14ac:dyDescent="0.3">
      <c r="A159" t="s">
        <v>2805</v>
      </c>
      <c r="B159" t="s">
        <v>2017</v>
      </c>
      <c r="C159">
        <v>1970</v>
      </c>
      <c r="D159">
        <v>10</v>
      </c>
      <c r="E159" t="s">
        <v>46</v>
      </c>
      <c r="F159">
        <v>4.2843361010000001</v>
      </c>
    </row>
    <row r="160" spans="1:6" x14ac:dyDescent="0.3">
      <c r="A160" t="s">
        <v>2805</v>
      </c>
      <c r="B160" t="s">
        <v>2017</v>
      </c>
      <c r="C160">
        <v>1970</v>
      </c>
      <c r="D160">
        <v>11</v>
      </c>
      <c r="E160" t="s">
        <v>107</v>
      </c>
      <c r="F160">
        <v>5.1149027580000004</v>
      </c>
    </row>
    <row r="161" spans="1:6" x14ac:dyDescent="0.3">
      <c r="A161" t="s">
        <v>2805</v>
      </c>
      <c r="B161" t="s">
        <v>2017</v>
      </c>
      <c r="C161">
        <v>1970</v>
      </c>
      <c r="D161">
        <v>17</v>
      </c>
      <c r="E161" t="s">
        <v>368</v>
      </c>
      <c r="F161">
        <v>4.0085686020000004</v>
      </c>
    </row>
    <row r="162" spans="1:6" x14ac:dyDescent="0.3">
      <c r="A162" t="s">
        <v>2805</v>
      </c>
      <c r="B162" t="s">
        <v>2017</v>
      </c>
      <c r="C162">
        <v>1970</v>
      </c>
      <c r="D162">
        <v>12</v>
      </c>
      <c r="E162" t="s">
        <v>128</v>
      </c>
      <c r="F162">
        <v>28.66202784</v>
      </c>
    </row>
    <row r="163" spans="1:6" x14ac:dyDescent="0.3">
      <c r="A163" t="s">
        <v>2805</v>
      </c>
      <c r="B163" t="s">
        <v>2017</v>
      </c>
      <c r="C163">
        <v>1970</v>
      </c>
      <c r="D163">
        <v>5</v>
      </c>
      <c r="E163" t="s">
        <v>56</v>
      </c>
      <c r="F163">
        <v>12.349537720000001</v>
      </c>
    </row>
    <row r="164" spans="1:6" x14ac:dyDescent="0.3">
      <c r="A164" t="s">
        <v>2805</v>
      </c>
      <c r="B164" t="s">
        <v>2017</v>
      </c>
      <c r="C164">
        <v>1970</v>
      </c>
      <c r="D164">
        <v>16</v>
      </c>
      <c r="E164" t="s">
        <v>63</v>
      </c>
      <c r="F164">
        <v>9.8476163299999993</v>
      </c>
    </row>
    <row r="165" spans="1:6" x14ac:dyDescent="0.3">
      <c r="A165" t="s">
        <v>2805</v>
      </c>
      <c r="B165" t="s">
        <v>2017</v>
      </c>
      <c r="C165">
        <v>1970</v>
      </c>
      <c r="D165">
        <v>9</v>
      </c>
      <c r="E165" t="s">
        <v>74</v>
      </c>
      <c r="F165">
        <v>8.7623932700000005</v>
      </c>
    </row>
    <row r="166" spans="1:6" x14ac:dyDescent="0.3">
      <c r="A166" t="s">
        <v>2805</v>
      </c>
      <c r="B166" t="s">
        <v>2017</v>
      </c>
      <c r="C166">
        <v>1970</v>
      </c>
      <c r="D166">
        <v>4</v>
      </c>
      <c r="E166" t="s">
        <v>103</v>
      </c>
      <c r="F166">
        <v>5.8915768310000001</v>
      </c>
    </row>
    <row r="167" spans="1:6" x14ac:dyDescent="0.3">
      <c r="A167" t="s">
        <v>2805</v>
      </c>
      <c r="B167" t="s">
        <v>2017</v>
      </c>
      <c r="C167">
        <v>1970</v>
      </c>
      <c r="D167">
        <v>13</v>
      </c>
      <c r="E167" t="s">
        <v>35</v>
      </c>
      <c r="F167">
        <v>25.910410540000001</v>
      </c>
    </row>
    <row r="168" spans="1:6" x14ac:dyDescent="0.3">
      <c r="A168" t="s">
        <v>2805</v>
      </c>
      <c r="B168" t="s">
        <v>2017</v>
      </c>
      <c r="C168">
        <v>1970</v>
      </c>
      <c r="D168">
        <v>15</v>
      </c>
      <c r="E168" t="s">
        <v>172</v>
      </c>
      <c r="F168">
        <v>27.258684120000002</v>
      </c>
    </row>
    <row r="169" spans="1:6" x14ac:dyDescent="0.3">
      <c r="A169" t="s">
        <v>2805</v>
      </c>
      <c r="B169" t="s">
        <v>2017</v>
      </c>
      <c r="C169">
        <v>1970</v>
      </c>
      <c r="D169">
        <v>8</v>
      </c>
      <c r="E169" t="s">
        <v>79</v>
      </c>
      <c r="F169">
        <v>5.1336659740000004</v>
      </c>
    </row>
    <row r="170" spans="1:6" x14ac:dyDescent="0.3">
      <c r="A170" t="s">
        <v>2805</v>
      </c>
      <c r="B170" t="s">
        <v>2017</v>
      </c>
      <c r="C170">
        <v>1970</v>
      </c>
      <c r="D170">
        <v>2</v>
      </c>
      <c r="E170" t="s">
        <v>549</v>
      </c>
      <c r="F170">
        <v>3.248791888</v>
      </c>
    </row>
    <row r="171" spans="1:6" x14ac:dyDescent="0.3">
      <c r="A171" t="s">
        <v>2805</v>
      </c>
      <c r="B171" t="s">
        <v>2017</v>
      </c>
      <c r="C171">
        <v>1970</v>
      </c>
      <c r="D171">
        <v>6</v>
      </c>
      <c r="E171" t="s">
        <v>145</v>
      </c>
      <c r="F171">
        <v>12.8764108</v>
      </c>
    </row>
    <row r="172" spans="1:6" x14ac:dyDescent="0.3">
      <c r="A172" t="s">
        <v>2805</v>
      </c>
      <c r="B172" t="s">
        <v>2017</v>
      </c>
      <c r="C172">
        <v>1995</v>
      </c>
      <c r="D172">
        <v>1</v>
      </c>
      <c r="E172" t="s">
        <v>192</v>
      </c>
      <c r="F172">
        <v>0.60097070299999999</v>
      </c>
    </row>
    <row r="173" spans="1:6" x14ac:dyDescent="0.3">
      <c r="A173" t="s">
        <v>2805</v>
      </c>
      <c r="B173" t="s">
        <v>2017</v>
      </c>
      <c r="C173">
        <v>1995</v>
      </c>
      <c r="D173">
        <v>3</v>
      </c>
      <c r="E173" t="s">
        <v>89</v>
      </c>
      <c r="F173">
        <v>5.7588347500000001</v>
      </c>
    </row>
    <row r="174" spans="1:6" x14ac:dyDescent="0.3">
      <c r="A174" t="s">
        <v>2805</v>
      </c>
      <c r="B174" t="s">
        <v>2017</v>
      </c>
      <c r="C174">
        <v>1995</v>
      </c>
      <c r="D174">
        <v>14</v>
      </c>
      <c r="E174" t="s">
        <v>204</v>
      </c>
      <c r="F174">
        <v>10.54298719</v>
      </c>
    </row>
    <row r="175" spans="1:6" x14ac:dyDescent="0.3">
      <c r="A175" t="s">
        <v>2805</v>
      </c>
      <c r="B175" t="s">
        <v>2017</v>
      </c>
      <c r="C175">
        <v>1995</v>
      </c>
      <c r="D175">
        <v>7</v>
      </c>
      <c r="E175" t="s">
        <v>183</v>
      </c>
      <c r="F175">
        <v>10.91062086</v>
      </c>
    </row>
    <row r="176" spans="1:6" x14ac:dyDescent="0.3">
      <c r="A176" t="s">
        <v>2805</v>
      </c>
      <c r="B176" t="s">
        <v>2017</v>
      </c>
      <c r="C176">
        <v>1995</v>
      </c>
      <c r="D176">
        <v>10</v>
      </c>
      <c r="E176" t="s">
        <v>46</v>
      </c>
      <c r="F176">
        <v>3.5059009570000002</v>
      </c>
    </row>
    <row r="177" spans="1:6" x14ac:dyDescent="0.3">
      <c r="A177" t="s">
        <v>2805</v>
      </c>
      <c r="B177" t="s">
        <v>2017</v>
      </c>
      <c r="C177">
        <v>1995</v>
      </c>
      <c r="D177">
        <v>11</v>
      </c>
      <c r="E177" t="s">
        <v>107</v>
      </c>
      <c r="F177">
        <v>4.6559517079999999</v>
      </c>
    </row>
    <row r="178" spans="1:6" x14ac:dyDescent="0.3">
      <c r="A178" t="s">
        <v>2805</v>
      </c>
      <c r="B178" t="s">
        <v>2017</v>
      </c>
      <c r="C178">
        <v>1995</v>
      </c>
      <c r="D178">
        <v>17</v>
      </c>
      <c r="E178" t="s">
        <v>368</v>
      </c>
      <c r="F178">
        <v>2.8751147760000002</v>
      </c>
    </row>
    <row r="179" spans="1:6" x14ac:dyDescent="0.3">
      <c r="A179" t="s">
        <v>2805</v>
      </c>
      <c r="B179" t="s">
        <v>2017</v>
      </c>
      <c r="C179">
        <v>1995</v>
      </c>
      <c r="D179">
        <v>12</v>
      </c>
      <c r="E179" t="s">
        <v>128</v>
      </c>
      <c r="F179">
        <v>14.542041169999999</v>
      </c>
    </row>
    <row r="180" spans="1:6" x14ac:dyDescent="0.3">
      <c r="A180" t="s">
        <v>2805</v>
      </c>
      <c r="B180" t="s">
        <v>2017</v>
      </c>
      <c r="C180">
        <v>1995</v>
      </c>
      <c r="D180">
        <v>5</v>
      </c>
      <c r="E180" t="s">
        <v>56</v>
      </c>
      <c r="F180">
        <v>5.6797171740000003</v>
      </c>
    </row>
    <row r="181" spans="1:6" x14ac:dyDescent="0.3">
      <c r="A181" t="s">
        <v>2805</v>
      </c>
      <c r="B181" t="s">
        <v>2017</v>
      </c>
      <c r="C181">
        <v>1995</v>
      </c>
      <c r="D181">
        <v>16</v>
      </c>
      <c r="E181" t="s">
        <v>63</v>
      </c>
      <c r="F181">
        <v>7.5002097900000004</v>
      </c>
    </row>
    <row r="182" spans="1:6" x14ac:dyDescent="0.3">
      <c r="A182" t="s">
        <v>2805</v>
      </c>
      <c r="B182" t="s">
        <v>2017</v>
      </c>
      <c r="C182">
        <v>1995</v>
      </c>
      <c r="D182">
        <v>9</v>
      </c>
      <c r="E182" t="s">
        <v>74</v>
      </c>
      <c r="F182">
        <v>9.0604324320000007</v>
      </c>
    </row>
    <row r="183" spans="1:6" x14ac:dyDescent="0.3">
      <c r="A183" t="s">
        <v>2805</v>
      </c>
      <c r="B183" t="s">
        <v>2017</v>
      </c>
      <c r="C183">
        <v>1995</v>
      </c>
      <c r="D183">
        <v>4</v>
      </c>
      <c r="E183" t="s">
        <v>103</v>
      </c>
      <c r="F183">
        <v>7.1762272449999998</v>
      </c>
    </row>
    <row r="184" spans="1:6" x14ac:dyDescent="0.3">
      <c r="A184" t="s">
        <v>2805</v>
      </c>
      <c r="B184" t="s">
        <v>2017</v>
      </c>
      <c r="C184">
        <v>1995</v>
      </c>
      <c r="D184">
        <v>13</v>
      </c>
      <c r="E184" t="s">
        <v>35</v>
      </c>
      <c r="F184">
        <v>24.402539529999999</v>
      </c>
    </row>
    <row r="185" spans="1:6" x14ac:dyDescent="0.3">
      <c r="A185" t="s">
        <v>2805</v>
      </c>
      <c r="B185" t="s">
        <v>2017</v>
      </c>
      <c r="C185">
        <v>1995</v>
      </c>
      <c r="D185">
        <v>15</v>
      </c>
      <c r="E185" t="s">
        <v>172</v>
      </c>
      <c r="F185">
        <v>19.63423169</v>
      </c>
    </row>
    <row r="186" spans="1:6" x14ac:dyDescent="0.3">
      <c r="A186" t="s">
        <v>2805</v>
      </c>
      <c r="B186" t="s">
        <v>2017</v>
      </c>
      <c r="C186">
        <v>1995</v>
      </c>
      <c r="D186">
        <v>8</v>
      </c>
      <c r="E186" t="s">
        <v>79</v>
      </c>
      <c r="F186">
        <v>5.6486052430000004</v>
      </c>
    </row>
    <row r="187" spans="1:6" x14ac:dyDescent="0.3">
      <c r="A187" t="s">
        <v>2805</v>
      </c>
      <c r="B187" t="s">
        <v>2017</v>
      </c>
      <c r="C187">
        <v>1995</v>
      </c>
      <c r="D187">
        <v>2</v>
      </c>
      <c r="E187" t="s">
        <v>549</v>
      </c>
      <c r="F187">
        <v>2.7625141129999999</v>
      </c>
    </row>
    <row r="188" spans="1:6" x14ac:dyDescent="0.3">
      <c r="A188" t="s">
        <v>2805</v>
      </c>
      <c r="B188" t="s">
        <v>2017</v>
      </c>
      <c r="C188">
        <v>1995</v>
      </c>
      <c r="D188">
        <v>6</v>
      </c>
      <c r="E188" t="s">
        <v>145</v>
      </c>
      <c r="F188">
        <v>19.027244079999999</v>
      </c>
    </row>
    <row r="189" spans="1:6" x14ac:dyDescent="0.3">
      <c r="A189" t="s">
        <v>2805</v>
      </c>
      <c r="B189" t="s">
        <v>2017</v>
      </c>
      <c r="C189">
        <v>2030</v>
      </c>
      <c r="D189">
        <v>1</v>
      </c>
      <c r="E189" t="s">
        <v>192</v>
      </c>
      <c r="F189">
        <v>0.55321566</v>
      </c>
    </row>
    <row r="190" spans="1:6" x14ac:dyDescent="0.3">
      <c r="A190" t="s">
        <v>2805</v>
      </c>
      <c r="B190" t="s">
        <v>2017</v>
      </c>
      <c r="C190">
        <v>2030</v>
      </c>
      <c r="D190">
        <v>3</v>
      </c>
      <c r="E190" t="s">
        <v>89</v>
      </c>
      <c r="F190">
        <v>4.779982382</v>
      </c>
    </row>
    <row r="191" spans="1:6" x14ac:dyDescent="0.3">
      <c r="A191" t="s">
        <v>2805</v>
      </c>
      <c r="B191" t="s">
        <v>2017</v>
      </c>
      <c r="C191">
        <v>2030</v>
      </c>
      <c r="D191">
        <v>14</v>
      </c>
      <c r="E191" t="s">
        <v>204</v>
      </c>
      <c r="F191">
        <v>9.242598589</v>
      </c>
    </row>
    <row r="192" spans="1:6" x14ac:dyDescent="0.3">
      <c r="A192" t="s">
        <v>2805</v>
      </c>
      <c r="B192" t="s">
        <v>2017</v>
      </c>
      <c r="C192">
        <v>2030</v>
      </c>
      <c r="D192">
        <v>7</v>
      </c>
      <c r="E192" t="s">
        <v>183</v>
      </c>
      <c r="F192">
        <v>8.0312832780000001</v>
      </c>
    </row>
    <row r="193" spans="1:6" x14ac:dyDescent="0.3">
      <c r="A193" t="s">
        <v>2805</v>
      </c>
      <c r="B193" t="s">
        <v>2017</v>
      </c>
      <c r="C193">
        <v>2030</v>
      </c>
      <c r="D193">
        <v>10</v>
      </c>
      <c r="E193" t="s">
        <v>46</v>
      </c>
      <c r="F193">
        <v>3.6651363859999999</v>
      </c>
    </row>
    <row r="194" spans="1:6" x14ac:dyDescent="0.3">
      <c r="A194" t="s">
        <v>2805</v>
      </c>
      <c r="B194" t="s">
        <v>2017</v>
      </c>
      <c r="C194">
        <v>2030</v>
      </c>
      <c r="D194">
        <v>11</v>
      </c>
      <c r="E194" t="s">
        <v>107</v>
      </c>
      <c r="F194">
        <v>4.060465808</v>
      </c>
    </row>
    <row r="195" spans="1:6" x14ac:dyDescent="0.3">
      <c r="A195" t="s">
        <v>2805</v>
      </c>
      <c r="B195" t="s">
        <v>2017</v>
      </c>
      <c r="C195">
        <v>2030</v>
      </c>
      <c r="D195">
        <v>17</v>
      </c>
      <c r="E195" t="s">
        <v>368</v>
      </c>
      <c r="F195">
        <v>1.8084048589999999</v>
      </c>
    </row>
    <row r="196" spans="1:6" x14ac:dyDescent="0.3">
      <c r="A196" t="s">
        <v>2805</v>
      </c>
      <c r="B196" t="s">
        <v>2017</v>
      </c>
      <c r="C196">
        <v>2030</v>
      </c>
      <c r="D196">
        <v>12</v>
      </c>
      <c r="E196" t="s">
        <v>128</v>
      </c>
      <c r="F196">
        <v>12.75180396</v>
      </c>
    </row>
    <row r="197" spans="1:6" x14ac:dyDescent="0.3">
      <c r="A197" t="s">
        <v>2805</v>
      </c>
      <c r="B197" t="s">
        <v>2017</v>
      </c>
      <c r="C197">
        <v>2030</v>
      </c>
      <c r="D197">
        <v>5</v>
      </c>
      <c r="E197" t="s">
        <v>56</v>
      </c>
      <c r="F197">
        <v>5.7045547680000004</v>
      </c>
    </row>
    <row r="198" spans="1:6" x14ac:dyDescent="0.3">
      <c r="A198" t="s">
        <v>2805</v>
      </c>
      <c r="B198" t="s">
        <v>2017</v>
      </c>
      <c r="C198">
        <v>2030</v>
      </c>
      <c r="D198">
        <v>16</v>
      </c>
      <c r="E198" t="s">
        <v>63</v>
      </c>
      <c r="F198">
        <v>6.9517226919999997</v>
      </c>
    </row>
    <row r="199" spans="1:6" x14ac:dyDescent="0.3">
      <c r="A199" t="s">
        <v>2805</v>
      </c>
      <c r="B199" t="s">
        <v>2017</v>
      </c>
      <c r="C199">
        <v>2030</v>
      </c>
      <c r="D199">
        <v>9</v>
      </c>
      <c r="E199" t="s">
        <v>74</v>
      </c>
      <c r="F199">
        <v>5.5403030869999998</v>
      </c>
    </row>
    <row r="200" spans="1:6" x14ac:dyDescent="0.3">
      <c r="A200" t="s">
        <v>2805</v>
      </c>
      <c r="B200" t="s">
        <v>2017</v>
      </c>
      <c r="C200">
        <v>2030</v>
      </c>
      <c r="D200">
        <v>4</v>
      </c>
      <c r="E200" t="s">
        <v>103</v>
      </c>
      <c r="F200">
        <v>7.7684319549999996</v>
      </c>
    </row>
    <row r="201" spans="1:6" x14ac:dyDescent="0.3">
      <c r="A201" t="s">
        <v>2805</v>
      </c>
      <c r="B201" t="s">
        <v>2017</v>
      </c>
      <c r="C201">
        <v>2030</v>
      </c>
      <c r="D201">
        <v>13</v>
      </c>
      <c r="E201" t="s">
        <v>35</v>
      </c>
      <c r="F201">
        <v>16.4800857</v>
      </c>
    </row>
    <row r="202" spans="1:6" x14ac:dyDescent="0.3">
      <c r="A202" t="s">
        <v>2805</v>
      </c>
      <c r="B202" t="s">
        <v>2017</v>
      </c>
      <c r="C202">
        <v>2030</v>
      </c>
      <c r="D202">
        <v>15</v>
      </c>
      <c r="E202" t="s">
        <v>172</v>
      </c>
      <c r="F202">
        <v>14.30302627</v>
      </c>
    </row>
    <row r="203" spans="1:6" x14ac:dyDescent="0.3">
      <c r="A203" t="s">
        <v>2805</v>
      </c>
      <c r="B203" t="s">
        <v>2017</v>
      </c>
      <c r="C203">
        <v>2030</v>
      </c>
      <c r="D203">
        <v>8</v>
      </c>
      <c r="E203" t="s">
        <v>79</v>
      </c>
      <c r="F203">
        <v>4.6157199560000004</v>
      </c>
    </row>
    <row r="204" spans="1:6" x14ac:dyDescent="0.3">
      <c r="A204" t="s">
        <v>2805</v>
      </c>
      <c r="B204" t="s">
        <v>2017</v>
      </c>
      <c r="C204">
        <v>2030</v>
      </c>
      <c r="D204">
        <v>2</v>
      </c>
      <c r="E204" t="s">
        <v>549</v>
      </c>
      <c r="F204">
        <v>2.5601858399999999</v>
      </c>
    </row>
    <row r="205" spans="1:6" x14ac:dyDescent="0.3">
      <c r="A205" t="s">
        <v>2805</v>
      </c>
      <c r="B205" t="s">
        <v>2017</v>
      </c>
      <c r="C205">
        <v>2030</v>
      </c>
      <c r="D205">
        <v>6</v>
      </c>
      <c r="E205" t="s">
        <v>145</v>
      </c>
      <c r="F205">
        <v>12.747642340000001</v>
      </c>
    </row>
    <row r="206" spans="1:6" x14ac:dyDescent="0.3">
      <c r="A206" t="s">
        <v>2805</v>
      </c>
      <c r="B206" t="s">
        <v>2158</v>
      </c>
      <c r="C206">
        <v>1970</v>
      </c>
      <c r="D206">
        <v>1</v>
      </c>
      <c r="E206" t="s">
        <v>192</v>
      </c>
      <c r="F206">
        <v>0</v>
      </c>
    </row>
    <row r="207" spans="1:6" x14ac:dyDescent="0.3">
      <c r="A207" t="s">
        <v>2805</v>
      </c>
      <c r="B207" t="s">
        <v>2158</v>
      </c>
      <c r="C207">
        <v>1970</v>
      </c>
      <c r="D207">
        <v>3</v>
      </c>
      <c r="E207" t="s">
        <v>89</v>
      </c>
      <c r="F207">
        <v>3.6279144990000001</v>
      </c>
    </row>
    <row r="208" spans="1:6" x14ac:dyDescent="0.3">
      <c r="A208" t="s">
        <v>2805</v>
      </c>
      <c r="B208" t="s">
        <v>2158</v>
      </c>
      <c r="C208">
        <v>1970</v>
      </c>
      <c r="D208">
        <v>14</v>
      </c>
      <c r="E208" t="s">
        <v>204</v>
      </c>
      <c r="F208">
        <v>18.69648187</v>
      </c>
    </row>
    <row r="209" spans="1:6" x14ac:dyDescent="0.3">
      <c r="A209" t="s">
        <v>2805</v>
      </c>
      <c r="B209" t="s">
        <v>2158</v>
      </c>
      <c r="C209">
        <v>1970</v>
      </c>
      <c r="D209">
        <v>7</v>
      </c>
      <c r="E209" t="s">
        <v>183</v>
      </c>
      <c r="F209">
        <v>6.7559788230000004</v>
      </c>
    </row>
    <row r="210" spans="1:6" x14ac:dyDescent="0.3">
      <c r="A210" t="s">
        <v>2805</v>
      </c>
      <c r="B210" t="s">
        <v>2158</v>
      </c>
      <c r="C210">
        <v>1970</v>
      </c>
      <c r="D210">
        <v>10</v>
      </c>
      <c r="E210" t="s">
        <v>46</v>
      </c>
      <c r="F210">
        <v>0</v>
      </c>
    </row>
    <row r="211" spans="1:6" x14ac:dyDescent="0.3">
      <c r="A211" t="s">
        <v>2805</v>
      </c>
      <c r="B211" t="s">
        <v>2158</v>
      </c>
      <c r="C211">
        <v>1970</v>
      </c>
      <c r="D211">
        <v>11</v>
      </c>
      <c r="E211" t="s">
        <v>107</v>
      </c>
      <c r="F211">
        <v>0</v>
      </c>
    </row>
    <row r="212" spans="1:6" x14ac:dyDescent="0.3">
      <c r="A212" t="s">
        <v>2805</v>
      </c>
      <c r="B212" t="s">
        <v>2158</v>
      </c>
      <c r="C212">
        <v>1970</v>
      </c>
      <c r="D212">
        <v>17</v>
      </c>
      <c r="E212" t="s">
        <v>368</v>
      </c>
      <c r="F212">
        <v>0</v>
      </c>
    </row>
    <row r="213" spans="1:6" x14ac:dyDescent="0.3">
      <c r="A213" t="s">
        <v>2805</v>
      </c>
      <c r="B213" t="s">
        <v>2158</v>
      </c>
      <c r="C213">
        <v>1970</v>
      </c>
      <c r="D213">
        <v>12</v>
      </c>
      <c r="E213" t="s">
        <v>128</v>
      </c>
      <c r="F213">
        <v>3.9849393800000001</v>
      </c>
    </row>
    <row r="214" spans="1:6" x14ac:dyDescent="0.3">
      <c r="A214" t="s">
        <v>2805</v>
      </c>
      <c r="B214" t="s">
        <v>2158</v>
      </c>
      <c r="C214">
        <v>1970</v>
      </c>
      <c r="D214">
        <v>5</v>
      </c>
      <c r="E214" t="s">
        <v>56</v>
      </c>
      <c r="F214">
        <v>1.467181751</v>
      </c>
    </row>
    <row r="215" spans="1:6" x14ac:dyDescent="0.3">
      <c r="A215" t="s">
        <v>2805</v>
      </c>
      <c r="B215" t="s">
        <v>2158</v>
      </c>
      <c r="C215">
        <v>1970</v>
      </c>
      <c r="D215">
        <v>16</v>
      </c>
      <c r="E215" t="s">
        <v>63</v>
      </c>
      <c r="F215">
        <v>0</v>
      </c>
    </row>
    <row r="216" spans="1:6" x14ac:dyDescent="0.3">
      <c r="A216" t="s">
        <v>2805</v>
      </c>
      <c r="B216" t="s">
        <v>2158</v>
      </c>
      <c r="C216">
        <v>1970</v>
      </c>
      <c r="D216">
        <v>9</v>
      </c>
      <c r="E216" t="s">
        <v>74</v>
      </c>
      <c r="F216">
        <v>0</v>
      </c>
    </row>
    <row r="217" spans="1:6" x14ac:dyDescent="0.3">
      <c r="A217" t="s">
        <v>2805</v>
      </c>
      <c r="B217" t="s">
        <v>2158</v>
      </c>
      <c r="C217">
        <v>1970</v>
      </c>
      <c r="D217">
        <v>4</v>
      </c>
      <c r="E217" t="s">
        <v>103</v>
      </c>
      <c r="F217">
        <v>3.230294862</v>
      </c>
    </row>
    <row r="218" spans="1:6" x14ac:dyDescent="0.3">
      <c r="A218" t="s">
        <v>2805</v>
      </c>
      <c r="B218" t="s">
        <v>2158</v>
      </c>
      <c r="C218">
        <v>1970</v>
      </c>
      <c r="D218">
        <v>13</v>
      </c>
      <c r="E218" t="s">
        <v>35</v>
      </c>
      <c r="F218">
        <v>75.281359870000003</v>
      </c>
    </row>
    <row r="219" spans="1:6" x14ac:dyDescent="0.3">
      <c r="A219" t="s">
        <v>2805</v>
      </c>
      <c r="B219" t="s">
        <v>2158</v>
      </c>
      <c r="C219">
        <v>1970</v>
      </c>
      <c r="D219">
        <v>15</v>
      </c>
      <c r="E219" t="s">
        <v>172</v>
      </c>
      <c r="F219">
        <v>16.987084410000001</v>
      </c>
    </row>
    <row r="220" spans="1:6" x14ac:dyDescent="0.3">
      <c r="A220" t="s">
        <v>2805</v>
      </c>
      <c r="B220" t="s">
        <v>2158</v>
      </c>
      <c r="C220">
        <v>1970</v>
      </c>
      <c r="D220">
        <v>8</v>
      </c>
      <c r="E220" t="s">
        <v>79</v>
      </c>
      <c r="F220">
        <v>4.4697383049999999</v>
      </c>
    </row>
    <row r="221" spans="1:6" x14ac:dyDescent="0.3">
      <c r="A221" t="s">
        <v>2805</v>
      </c>
      <c r="B221" t="s">
        <v>2158</v>
      </c>
      <c r="C221">
        <v>1970</v>
      </c>
      <c r="D221">
        <v>2</v>
      </c>
      <c r="E221" t="s">
        <v>549</v>
      </c>
      <c r="F221">
        <v>0</v>
      </c>
    </row>
    <row r="222" spans="1:6" x14ac:dyDescent="0.3">
      <c r="A222" t="s">
        <v>2805</v>
      </c>
      <c r="B222" t="s">
        <v>2158</v>
      </c>
      <c r="C222">
        <v>1970</v>
      </c>
      <c r="D222">
        <v>6</v>
      </c>
      <c r="E222" t="s">
        <v>145</v>
      </c>
      <c r="F222">
        <v>5.8107966309999997</v>
      </c>
    </row>
    <row r="223" spans="1:6" x14ac:dyDescent="0.3">
      <c r="A223" t="s">
        <v>2805</v>
      </c>
      <c r="B223" t="s">
        <v>2158</v>
      </c>
      <c r="C223">
        <v>1995</v>
      </c>
      <c r="D223">
        <v>1</v>
      </c>
      <c r="E223" t="s">
        <v>192</v>
      </c>
      <c r="F223">
        <v>0</v>
      </c>
    </row>
    <row r="224" spans="1:6" x14ac:dyDescent="0.3">
      <c r="A224" t="s">
        <v>2805</v>
      </c>
      <c r="B224" t="s">
        <v>2158</v>
      </c>
      <c r="C224">
        <v>1995</v>
      </c>
      <c r="D224">
        <v>3</v>
      </c>
      <c r="E224" t="s">
        <v>89</v>
      </c>
      <c r="F224">
        <v>2.5391797290000002</v>
      </c>
    </row>
    <row r="225" spans="1:6" x14ac:dyDescent="0.3">
      <c r="A225" t="s">
        <v>2805</v>
      </c>
      <c r="B225" t="s">
        <v>2158</v>
      </c>
      <c r="C225">
        <v>1995</v>
      </c>
      <c r="D225">
        <v>14</v>
      </c>
      <c r="E225" t="s">
        <v>204</v>
      </c>
      <c r="F225">
        <v>3.0789895949999999</v>
      </c>
    </row>
    <row r="226" spans="1:6" x14ac:dyDescent="0.3">
      <c r="A226" t="s">
        <v>2805</v>
      </c>
      <c r="B226" t="s">
        <v>2158</v>
      </c>
      <c r="C226">
        <v>1995</v>
      </c>
      <c r="D226">
        <v>7</v>
      </c>
      <c r="E226" t="s">
        <v>183</v>
      </c>
      <c r="F226">
        <v>5.7830764849999996</v>
      </c>
    </row>
    <row r="227" spans="1:6" x14ac:dyDescent="0.3">
      <c r="A227" t="s">
        <v>2805</v>
      </c>
      <c r="B227" t="s">
        <v>2158</v>
      </c>
      <c r="C227">
        <v>1995</v>
      </c>
      <c r="D227">
        <v>10</v>
      </c>
      <c r="E227" t="s">
        <v>46</v>
      </c>
      <c r="F227">
        <v>0</v>
      </c>
    </row>
    <row r="228" spans="1:6" x14ac:dyDescent="0.3">
      <c r="A228" t="s">
        <v>2805</v>
      </c>
      <c r="B228" t="s">
        <v>2158</v>
      </c>
      <c r="C228">
        <v>1995</v>
      </c>
      <c r="D228">
        <v>11</v>
      </c>
      <c r="E228" t="s">
        <v>107</v>
      </c>
      <c r="F228">
        <v>0</v>
      </c>
    </row>
    <row r="229" spans="1:6" x14ac:dyDescent="0.3">
      <c r="A229" t="s">
        <v>2805</v>
      </c>
      <c r="B229" t="s">
        <v>2158</v>
      </c>
      <c r="C229">
        <v>1995</v>
      </c>
      <c r="D229">
        <v>17</v>
      </c>
      <c r="E229" t="s">
        <v>368</v>
      </c>
      <c r="F229">
        <v>0</v>
      </c>
    </row>
    <row r="230" spans="1:6" x14ac:dyDescent="0.3">
      <c r="A230" t="s">
        <v>2805</v>
      </c>
      <c r="B230" t="s">
        <v>2158</v>
      </c>
      <c r="C230">
        <v>1995</v>
      </c>
      <c r="D230">
        <v>12</v>
      </c>
      <c r="E230" t="s">
        <v>128</v>
      </c>
      <c r="F230">
        <v>1.955156181</v>
      </c>
    </row>
    <row r="231" spans="1:6" x14ac:dyDescent="0.3">
      <c r="A231" t="s">
        <v>2805</v>
      </c>
      <c r="B231" t="s">
        <v>2158</v>
      </c>
      <c r="C231">
        <v>1995</v>
      </c>
      <c r="D231">
        <v>5</v>
      </c>
      <c r="E231" t="s">
        <v>56</v>
      </c>
      <c r="F231">
        <v>0.66728651299999997</v>
      </c>
    </row>
    <row r="232" spans="1:6" x14ac:dyDescent="0.3">
      <c r="A232" t="s">
        <v>2805</v>
      </c>
      <c r="B232" t="s">
        <v>2158</v>
      </c>
      <c r="C232">
        <v>1995</v>
      </c>
      <c r="D232">
        <v>16</v>
      </c>
      <c r="E232" t="s">
        <v>63</v>
      </c>
      <c r="F232">
        <v>0</v>
      </c>
    </row>
    <row r="233" spans="1:6" x14ac:dyDescent="0.3">
      <c r="A233" t="s">
        <v>2805</v>
      </c>
      <c r="B233" t="s">
        <v>2158</v>
      </c>
      <c r="C233">
        <v>1995</v>
      </c>
      <c r="D233">
        <v>9</v>
      </c>
      <c r="E233" t="s">
        <v>74</v>
      </c>
      <c r="F233">
        <v>0</v>
      </c>
    </row>
    <row r="234" spans="1:6" x14ac:dyDescent="0.3">
      <c r="A234" t="s">
        <v>2805</v>
      </c>
      <c r="B234" t="s">
        <v>2158</v>
      </c>
      <c r="C234">
        <v>1995</v>
      </c>
      <c r="D234">
        <v>4</v>
      </c>
      <c r="E234" t="s">
        <v>103</v>
      </c>
      <c r="F234">
        <v>3.219264259</v>
      </c>
    </row>
    <row r="235" spans="1:6" x14ac:dyDescent="0.3">
      <c r="A235" t="s">
        <v>2805</v>
      </c>
      <c r="B235" t="s">
        <v>2158</v>
      </c>
      <c r="C235">
        <v>1995</v>
      </c>
      <c r="D235">
        <v>13</v>
      </c>
      <c r="E235" t="s">
        <v>35</v>
      </c>
      <c r="F235">
        <v>47.923363440000003</v>
      </c>
    </row>
    <row r="236" spans="1:6" x14ac:dyDescent="0.3">
      <c r="A236" t="s">
        <v>2805</v>
      </c>
      <c r="B236" t="s">
        <v>2158</v>
      </c>
      <c r="C236">
        <v>1995</v>
      </c>
      <c r="D236">
        <v>15</v>
      </c>
      <c r="E236" t="s">
        <v>172</v>
      </c>
      <c r="F236">
        <v>11.45972881</v>
      </c>
    </row>
    <row r="237" spans="1:6" x14ac:dyDescent="0.3">
      <c r="A237" t="s">
        <v>2805</v>
      </c>
      <c r="B237" t="s">
        <v>2158</v>
      </c>
      <c r="C237">
        <v>1995</v>
      </c>
      <c r="D237">
        <v>8</v>
      </c>
      <c r="E237" t="s">
        <v>79</v>
      </c>
      <c r="F237">
        <v>3.6132843060000002</v>
      </c>
    </row>
    <row r="238" spans="1:6" x14ac:dyDescent="0.3">
      <c r="A238" t="s">
        <v>2805</v>
      </c>
      <c r="B238" t="s">
        <v>2158</v>
      </c>
      <c r="C238">
        <v>1995</v>
      </c>
      <c r="D238">
        <v>2</v>
      </c>
      <c r="E238" t="s">
        <v>549</v>
      </c>
      <c r="F238">
        <v>0</v>
      </c>
    </row>
    <row r="239" spans="1:6" x14ac:dyDescent="0.3">
      <c r="A239" t="s">
        <v>2805</v>
      </c>
      <c r="B239" t="s">
        <v>2158</v>
      </c>
      <c r="C239">
        <v>1995</v>
      </c>
      <c r="D239">
        <v>6</v>
      </c>
      <c r="E239" t="s">
        <v>145</v>
      </c>
      <c r="F239">
        <v>5.0087982130000004</v>
      </c>
    </row>
    <row r="240" spans="1:6" x14ac:dyDescent="0.3">
      <c r="A240" t="s">
        <v>2805</v>
      </c>
      <c r="B240" t="s">
        <v>2158</v>
      </c>
      <c r="C240">
        <v>2030</v>
      </c>
      <c r="D240">
        <v>1</v>
      </c>
      <c r="E240" t="s">
        <v>192</v>
      </c>
      <c r="F240">
        <v>0</v>
      </c>
    </row>
    <row r="241" spans="1:6" x14ac:dyDescent="0.3">
      <c r="A241" t="s">
        <v>2805</v>
      </c>
      <c r="B241" t="s">
        <v>2158</v>
      </c>
      <c r="C241">
        <v>2030</v>
      </c>
      <c r="D241">
        <v>3</v>
      </c>
      <c r="E241" t="s">
        <v>89</v>
      </c>
      <c r="F241">
        <v>1.732261735</v>
      </c>
    </row>
    <row r="242" spans="1:6" x14ac:dyDescent="0.3">
      <c r="A242" t="s">
        <v>2805</v>
      </c>
      <c r="B242" t="s">
        <v>2158</v>
      </c>
      <c r="C242">
        <v>2030</v>
      </c>
      <c r="D242">
        <v>14</v>
      </c>
      <c r="E242" t="s">
        <v>204</v>
      </c>
      <c r="F242">
        <v>2.1844721269999998</v>
      </c>
    </row>
    <row r="243" spans="1:6" x14ac:dyDescent="0.3">
      <c r="A243" t="s">
        <v>2805</v>
      </c>
      <c r="B243" t="s">
        <v>2158</v>
      </c>
      <c r="C243">
        <v>2030</v>
      </c>
      <c r="D243">
        <v>7</v>
      </c>
      <c r="E243" t="s">
        <v>183</v>
      </c>
      <c r="F243">
        <v>3.2745457610000002</v>
      </c>
    </row>
    <row r="244" spans="1:6" x14ac:dyDescent="0.3">
      <c r="A244" t="s">
        <v>2805</v>
      </c>
      <c r="B244" t="s">
        <v>2158</v>
      </c>
      <c r="C244">
        <v>2030</v>
      </c>
      <c r="D244">
        <v>10</v>
      </c>
      <c r="E244" t="s">
        <v>46</v>
      </c>
      <c r="F244">
        <v>0</v>
      </c>
    </row>
    <row r="245" spans="1:6" x14ac:dyDescent="0.3">
      <c r="A245" t="s">
        <v>2805</v>
      </c>
      <c r="B245" t="s">
        <v>2158</v>
      </c>
      <c r="C245">
        <v>2030</v>
      </c>
      <c r="D245">
        <v>11</v>
      </c>
      <c r="E245" t="s">
        <v>107</v>
      </c>
      <c r="F245">
        <v>0</v>
      </c>
    </row>
    <row r="246" spans="1:6" x14ac:dyDescent="0.3">
      <c r="A246" t="s">
        <v>2805</v>
      </c>
      <c r="B246" t="s">
        <v>2158</v>
      </c>
      <c r="C246">
        <v>2030</v>
      </c>
      <c r="D246">
        <v>17</v>
      </c>
      <c r="E246" t="s">
        <v>368</v>
      </c>
      <c r="F246">
        <v>0</v>
      </c>
    </row>
    <row r="247" spans="1:6" x14ac:dyDescent="0.3">
      <c r="A247" t="s">
        <v>2805</v>
      </c>
      <c r="B247" t="s">
        <v>2158</v>
      </c>
      <c r="C247">
        <v>2030</v>
      </c>
      <c r="D247">
        <v>12</v>
      </c>
      <c r="E247" t="s">
        <v>128</v>
      </c>
      <c r="F247">
        <v>1.6559108140000001</v>
      </c>
    </row>
    <row r="248" spans="1:6" x14ac:dyDescent="0.3">
      <c r="A248" t="s">
        <v>2805</v>
      </c>
      <c r="B248" t="s">
        <v>2158</v>
      </c>
      <c r="C248">
        <v>2030</v>
      </c>
      <c r="D248">
        <v>5</v>
      </c>
      <c r="E248" t="s">
        <v>56</v>
      </c>
      <c r="F248">
        <v>0.66952897</v>
      </c>
    </row>
    <row r="249" spans="1:6" x14ac:dyDescent="0.3">
      <c r="A249" t="s">
        <v>2805</v>
      </c>
      <c r="B249" t="s">
        <v>2158</v>
      </c>
      <c r="C249">
        <v>2030</v>
      </c>
      <c r="D249">
        <v>16</v>
      </c>
      <c r="E249" t="s">
        <v>63</v>
      </c>
      <c r="F249">
        <v>0</v>
      </c>
    </row>
    <row r="250" spans="1:6" x14ac:dyDescent="0.3">
      <c r="A250" t="s">
        <v>2805</v>
      </c>
      <c r="B250" t="s">
        <v>2158</v>
      </c>
      <c r="C250">
        <v>2030</v>
      </c>
      <c r="D250">
        <v>9</v>
      </c>
      <c r="E250" t="s">
        <v>74</v>
      </c>
      <c r="F250">
        <v>0</v>
      </c>
    </row>
    <row r="251" spans="1:6" x14ac:dyDescent="0.3">
      <c r="A251" t="s">
        <v>2805</v>
      </c>
      <c r="B251" t="s">
        <v>2158</v>
      </c>
      <c r="C251">
        <v>2030</v>
      </c>
      <c r="D251">
        <v>4</v>
      </c>
      <c r="E251" t="s">
        <v>103</v>
      </c>
      <c r="F251">
        <v>2.6804844970000001</v>
      </c>
    </row>
    <row r="252" spans="1:6" x14ac:dyDescent="0.3">
      <c r="A252" t="s">
        <v>2805</v>
      </c>
      <c r="B252" t="s">
        <v>2158</v>
      </c>
      <c r="C252">
        <v>2030</v>
      </c>
      <c r="D252">
        <v>13</v>
      </c>
      <c r="E252" t="s">
        <v>35</v>
      </c>
      <c r="F252">
        <v>25.437332699999999</v>
      </c>
    </row>
    <row r="253" spans="1:6" x14ac:dyDescent="0.3">
      <c r="A253" t="s">
        <v>2805</v>
      </c>
      <c r="B253" t="s">
        <v>2158</v>
      </c>
      <c r="C253">
        <v>2030</v>
      </c>
      <c r="D253">
        <v>15</v>
      </c>
      <c r="E253" t="s">
        <v>172</v>
      </c>
      <c r="F253">
        <v>7.547335575</v>
      </c>
    </row>
    <row r="254" spans="1:6" x14ac:dyDescent="0.3">
      <c r="A254" t="s">
        <v>2805</v>
      </c>
      <c r="B254" t="s">
        <v>2158</v>
      </c>
      <c r="C254">
        <v>2030</v>
      </c>
      <c r="D254">
        <v>8</v>
      </c>
      <c r="E254" t="s">
        <v>79</v>
      </c>
      <c r="F254">
        <v>2.9525710790000002</v>
      </c>
    </row>
    <row r="255" spans="1:6" x14ac:dyDescent="0.3">
      <c r="A255" t="s">
        <v>2805</v>
      </c>
      <c r="B255" t="s">
        <v>2158</v>
      </c>
      <c r="C255">
        <v>2030</v>
      </c>
      <c r="D255">
        <v>2</v>
      </c>
      <c r="E255" t="s">
        <v>549</v>
      </c>
      <c r="F255">
        <v>0</v>
      </c>
    </row>
    <row r="256" spans="1:6" x14ac:dyDescent="0.3">
      <c r="A256" t="s">
        <v>2805</v>
      </c>
      <c r="B256" t="s">
        <v>2158</v>
      </c>
      <c r="C256">
        <v>2030</v>
      </c>
      <c r="D256">
        <v>6</v>
      </c>
      <c r="E256" t="s">
        <v>145</v>
      </c>
      <c r="F256">
        <v>2.9828745859999999</v>
      </c>
    </row>
    <row r="257" spans="1:6" x14ac:dyDescent="0.3">
      <c r="A257" t="s">
        <v>2804</v>
      </c>
      <c r="B257" t="s">
        <v>1973</v>
      </c>
      <c r="C257">
        <v>1970</v>
      </c>
      <c r="D257">
        <v>1</v>
      </c>
      <c r="E257" t="s">
        <v>192</v>
      </c>
      <c r="F257">
        <v>7.5700099999999998E-4</v>
      </c>
    </row>
    <row r="258" spans="1:6" x14ac:dyDescent="0.3">
      <c r="A258" t="s">
        <v>2804</v>
      </c>
      <c r="B258" t="s">
        <v>1973</v>
      </c>
      <c r="C258">
        <v>1970</v>
      </c>
      <c r="D258">
        <v>3</v>
      </c>
      <c r="E258" t="s">
        <v>89</v>
      </c>
      <c r="F258">
        <v>1.390594E-3</v>
      </c>
    </row>
    <row r="259" spans="1:6" x14ac:dyDescent="0.3">
      <c r="A259" t="s">
        <v>2804</v>
      </c>
      <c r="B259" t="s">
        <v>1973</v>
      </c>
      <c r="C259">
        <v>1970</v>
      </c>
      <c r="D259">
        <v>14</v>
      </c>
      <c r="E259" t="s">
        <v>204</v>
      </c>
      <c r="F259">
        <v>7.9457499999999995E-4</v>
      </c>
    </row>
    <row r="260" spans="1:6" x14ac:dyDescent="0.3">
      <c r="A260" t="s">
        <v>2804</v>
      </c>
      <c r="B260" t="s">
        <v>1973</v>
      </c>
      <c r="C260">
        <v>1970</v>
      </c>
      <c r="D260">
        <v>7</v>
      </c>
      <c r="E260" t="s">
        <v>183</v>
      </c>
      <c r="F260">
        <v>6.1849400000000003E-4</v>
      </c>
    </row>
    <row r="261" spans="1:6" x14ac:dyDescent="0.3">
      <c r="A261" t="s">
        <v>2804</v>
      </c>
      <c r="B261" t="s">
        <v>1973</v>
      </c>
      <c r="C261">
        <v>1970</v>
      </c>
      <c r="D261">
        <v>10</v>
      </c>
      <c r="E261" t="s">
        <v>46</v>
      </c>
      <c r="F261">
        <v>3.352145E-3</v>
      </c>
    </row>
    <row r="262" spans="1:6" x14ac:dyDescent="0.3">
      <c r="A262" t="s">
        <v>2804</v>
      </c>
      <c r="B262" t="s">
        <v>1973</v>
      </c>
      <c r="C262">
        <v>1970</v>
      </c>
      <c r="D262">
        <v>11</v>
      </c>
      <c r="E262" t="s">
        <v>107</v>
      </c>
      <c r="F262">
        <v>5.748141E-3</v>
      </c>
    </row>
    <row r="263" spans="1:6" x14ac:dyDescent="0.3">
      <c r="A263" t="s">
        <v>2804</v>
      </c>
      <c r="B263" t="s">
        <v>1973</v>
      </c>
      <c r="C263">
        <v>1970</v>
      </c>
      <c r="D263">
        <v>17</v>
      </c>
      <c r="E263" t="s">
        <v>368</v>
      </c>
      <c r="F263">
        <v>3.0122230000000001E-3</v>
      </c>
    </row>
    <row r="264" spans="1:6" x14ac:dyDescent="0.3">
      <c r="A264" t="s">
        <v>2804</v>
      </c>
      <c r="B264" t="s">
        <v>1973</v>
      </c>
      <c r="C264">
        <v>1970</v>
      </c>
      <c r="D264">
        <v>12</v>
      </c>
      <c r="E264" t="s">
        <v>128</v>
      </c>
      <c r="F264">
        <v>3.3547730000000001E-3</v>
      </c>
    </row>
    <row r="265" spans="1:6" x14ac:dyDescent="0.3">
      <c r="A265" t="s">
        <v>2804</v>
      </c>
      <c r="B265" t="s">
        <v>1973</v>
      </c>
      <c r="C265">
        <v>1970</v>
      </c>
      <c r="D265">
        <v>5</v>
      </c>
      <c r="E265" t="s">
        <v>56</v>
      </c>
      <c r="F265">
        <v>5.5148280000000003E-3</v>
      </c>
    </row>
    <row r="266" spans="1:6" x14ac:dyDescent="0.3">
      <c r="A266" t="s">
        <v>2804</v>
      </c>
      <c r="B266" t="s">
        <v>1973</v>
      </c>
      <c r="C266">
        <v>1970</v>
      </c>
      <c r="D266">
        <v>16</v>
      </c>
      <c r="E266" t="s">
        <v>63</v>
      </c>
      <c r="F266">
        <v>7.4334800000000001E-4</v>
      </c>
    </row>
    <row r="267" spans="1:6" x14ac:dyDescent="0.3">
      <c r="A267" t="s">
        <v>2804</v>
      </c>
      <c r="B267" t="s">
        <v>1973</v>
      </c>
      <c r="C267">
        <v>1970</v>
      </c>
      <c r="D267">
        <v>9</v>
      </c>
      <c r="E267" t="s">
        <v>74</v>
      </c>
      <c r="F267">
        <v>3.2052169999999998E-3</v>
      </c>
    </row>
    <row r="268" spans="1:6" x14ac:dyDescent="0.3">
      <c r="A268" t="s">
        <v>2804</v>
      </c>
      <c r="B268" t="s">
        <v>1973</v>
      </c>
      <c r="C268">
        <v>1970</v>
      </c>
      <c r="D268">
        <v>4</v>
      </c>
      <c r="E268" t="s">
        <v>103</v>
      </c>
      <c r="F268">
        <v>2.0607479999999998E-3</v>
      </c>
    </row>
    <row r="269" spans="1:6" x14ac:dyDescent="0.3">
      <c r="A269" t="s">
        <v>2804</v>
      </c>
      <c r="B269" t="s">
        <v>1973</v>
      </c>
      <c r="C269">
        <v>1970</v>
      </c>
      <c r="D269">
        <v>13</v>
      </c>
      <c r="E269" t="s">
        <v>35</v>
      </c>
      <c r="F269">
        <v>3.7965170000000001E-3</v>
      </c>
    </row>
    <row r="270" spans="1:6" x14ac:dyDescent="0.3">
      <c r="A270" t="s">
        <v>2804</v>
      </c>
      <c r="B270" t="s">
        <v>1973</v>
      </c>
      <c r="C270">
        <v>1970</v>
      </c>
      <c r="D270">
        <v>15</v>
      </c>
      <c r="E270" t="s">
        <v>172</v>
      </c>
      <c r="F270">
        <v>1.727164E-3</v>
      </c>
    </row>
    <row r="271" spans="1:6" x14ac:dyDescent="0.3">
      <c r="A271" t="s">
        <v>2804</v>
      </c>
      <c r="B271" t="s">
        <v>1973</v>
      </c>
      <c r="C271">
        <v>1970</v>
      </c>
      <c r="D271">
        <v>8</v>
      </c>
      <c r="E271" t="s">
        <v>79</v>
      </c>
      <c r="F271">
        <v>5.7655200000000003E-4</v>
      </c>
    </row>
    <row r="272" spans="1:6" x14ac:dyDescent="0.3">
      <c r="A272" t="s">
        <v>2804</v>
      </c>
      <c r="B272" t="s">
        <v>1973</v>
      </c>
      <c r="C272">
        <v>1970</v>
      </c>
      <c r="D272">
        <v>2</v>
      </c>
      <c r="E272" t="s">
        <v>549</v>
      </c>
      <c r="F272">
        <v>1.6727319999999999E-3</v>
      </c>
    </row>
    <row r="273" spans="1:6" x14ac:dyDescent="0.3">
      <c r="A273" t="s">
        <v>2804</v>
      </c>
      <c r="B273" t="s">
        <v>1973</v>
      </c>
      <c r="C273">
        <v>1970</v>
      </c>
      <c r="D273">
        <v>6</v>
      </c>
      <c r="E273" t="s">
        <v>145</v>
      </c>
      <c r="F273">
        <v>2.71494E-4</v>
      </c>
    </row>
    <row r="274" spans="1:6" x14ac:dyDescent="0.3">
      <c r="A274" t="s">
        <v>2804</v>
      </c>
      <c r="B274" t="s">
        <v>1973</v>
      </c>
      <c r="C274">
        <v>1995</v>
      </c>
      <c r="D274">
        <v>1</v>
      </c>
      <c r="E274" t="s">
        <v>192</v>
      </c>
      <c r="F274">
        <v>6.3219100000000005E-4</v>
      </c>
    </row>
    <row r="275" spans="1:6" x14ac:dyDescent="0.3">
      <c r="A275" t="s">
        <v>2804</v>
      </c>
      <c r="B275" t="s">
        <v>1973</v>
      </c>
      <c r="C275">
        <v>1995</v>
      </c>
      <c r="D275">
        <v>3</v>
      </c>
      <c r="E275" t="s">
        <v>89</v>
      </c>
      <c r="F275">
        <v>1.3970009999999999E-3</v>
      </c>
    </row>
    <row r="276" spans="1:6" x14ac:dyDescent="0.3">
      <c r="A276" t="s">
        <v>2804</v>
      </c>
      <c r="B276" t="s">
        <v>1973</v>
      </c>
      <c r="C276">
        <v>1995</v>
      </c>
      <c r="D276">
        <v>14</v>
      </c>
      <c r="E276" t="s">
        <v>204</v>
      </c>
      <c r="F276">
        <v>5.8345300000000005E-4</v>
      </c>
    </row>
    <row r="277" spans="1:6" x14ac:dyDescent="0.3">
      <c r="A277" t="s">
        <v>2804</v>
      </c>
      <c r="B277" t="s">
        <v>1973</v>
      </c>
      <c r="C277">
        <v>1995</v>
      </c>
      <c r="D277">
        <v>7</v>
      </c>
      <c r="E277" t="s">
        <v>183</v>
      </c>
      <c r="F277">
        <v>7.1544999999999996E-4</v>
      </c>
    </row>
    <row r="278" spans="1:6" x14ac:dyDescent="0.3">
      <c r="A278" t="s">
        <v>2804</v>
      </c>
      <c r="B278" t="s">
        <v>1973</v>
      </c>
      <c r="C278">
        <v>1995</v>
      </c>
      <c r="D278">
        <v>10</v>
      </c>
      <c r="E278" t="s">
        <v>46</v>
      </c>
      <c r="F278">
        <v>3.0998430000000001E-3</v>
      </c>
    </row>
    <row r="279" spans="1:6" x14ac:dyDescent="0.3">
      <c r="A279" t="s">
        <v>2804</v>
      </c>
      <c r="B279" t="s">
        <v>1973</v>
      </c>
      <c r="C279">
        <v>1995</v>
      </c>
      <c r="D279">
        <v>11</v>
      </c>
      <c r="E279" t="s">
        <v>107</v>
      </c>
      <c r="F279">
        <v>5.6802149999999997E-3</v>
      </c>
    </row>
    <row r="280" spans="1:6" x14ac:dyDescent="0.3">
      <c r="A280" t="s">
        <v>2804</v>
      </c>
      <c r="B280" t="s">
        <v>1973</v>
      </c>
      <c r="C280">
        <v>1995</v>
      </c>
      <c r="D280">
        <v>17</v>
      </c>
      <c r="E280" t="s">
        <v>368</v>
      </c>
      <c r="F280">
        <v>2.9672019999999999E-3</v>
      </c>
    </row>
    <row r="281" spans="1:6" x14ac:dyDescent="0.3">
      <c r="A281" t="s">
        <v>2804</v>
      </c>
      <c r="B281" t="s">
        <v>1973</v>
      </c>
      <c r="C281">
        <v>1995</v>
      </c>
      <c r="D281">
        <v>12</v>
      </c>
      <c r="E281" t="s">
        <v>128</v>
      </c>
      <c r="F281">
        <v>3.549759E-3</v>
      </c>
    </row>
    <row r="282" spans="1:6" x14ac:dyDescent="0.3">
      <c r="A282" t="s">
        <v>2804</v>
      </c>
      <c r="B282" t="s">
        <v>1973</v>
      </c>
      <c r="C282">
        <v>1995</v>
      </c>
      <c r="D282">
        <v>5</v>
      </c>
      <c r="E282" t="s">
        <v>56</v>
      </c>
      <c r="F282">
        <v>5.1232480000000004E-3</v>
      </c>
    </row>
    <row r="283" spans="1:6" x14ac:dyDescent="0.3">
      <c r="A283" t="s">
        <v>2804</v>
      </c>
      <c r="B283" t="s">
        <v>1973</v>
      </c>
      <c r="C283">
        <v>1995</v>
      </c>
      <c r="D283">
        <v>16</v>
      </c>
      <c r="E283" t="s">
        <v>63</v>
      </c>
      <c r="F283">
        <v>6.9258299999999998E-4</v>
      </c>
    </row>
    <row r="284" spans="1:6" x14ac:dyDescent="0.3">
      <c r="A284" t="s">
        <v>2804</v>
      </c>
      <c r="B284" t="s">
        <v>1973</v>
      </c>
      <c r="C284">
        <v>1995</v>
      </c>
      <c r="D284">
        <v>9</v>
      </c>
      <c r="E284" t="s">
        <v>74</v>
      </c>
      <c r="F284">
        <v>2.827595E-3</v>
      </c>
    </row>
    <row r="285" spans="1:6" x14ac:dyDescent="0.3">
      <c r="A285" t="s">
        <v>2804</v>
      </c>
      <c r="B285" t="s">
        <v>1973</v>
      </c>
      <c r="C285">
        <v>1995</v>
      </c>
      <c r="D285">
        <v>4</v>
      </c>
      <c r="E285" t="s">
        <v>103</v>
      </c>
      <c r="F285">
        <v>1.9307160000000001E-3</v>
      </c>
    </row>
    <row r="286" spans="1:6" x14ac:dyDescent="0.3">
      <c r="A286" t="s">
        <v>2804</v>
      </c>
      <c r="B286" t="s">
        <v>1973</v>
      </c>
      <c r="C286">
        <v>1995</v>
      </c>
      <c r="D286">
        <v>13</v>
      </c>
      <c r="E286" t="s">
        <v>35</v>
      </c>
      <c r="F286">
        <v>2.9989980000000001E-3</v>
      </c>
    </row>
    <row r="287" spans="1:6" x14ac:dyDescent="0.3">
      <c r="A287" t="s">
        <v>2804</v>
      </c>
      <c r="B287" t="s">
        <v>1973</v>
      </c>
      <c r="C287">
        <v>1995</v>
      </c>
      <c r="D287">
        <v>15</v>
      </c>
      <c r="E287" t="s">
        <v>172</v>
      </c>
      <c r="F287">
        <v>1.251437E-3</v>
      </c>
    </row>
    <row r="288" spans="1:6" x14ac:dyDescent="0.3">
      <c r="A288" t="s">
        <v>2804</v>
      </c>
      <c r="B288" t="s">
        <v>1973</v>
      </c>
      <c r="C288">
        <v>1995</v>
      </c>
      <c r="D288">
        <v>8</v>
      </c>
      <c r="E288" t="s">
        <v>79</v>
      </c>
      <c r="F288">
        <v>1.2448719999999999E-3</v>
      </c>
    </row>
    <row r="289" spans="1:6" x14ac:dyDescent="0.3">
      <c r="A289" t="s">
        <v>2804</v>
      </c>
      <c r="B289" t="s">
        <v>1973</v>
      </c>
      <c r="C289">
        <v>1995</v>
      </c>
      <c r="D289">
        <v>2</v>
      </c>
      <c r="E289" t="s">
        <v>549</v>
      </c>
      <c r="F289">
        <v>1.4081969999999999E-3</v>
      </c>
    </row>
    <row r="290" spans="1:6" x14ac:dyDescent="0.3">
      <c r="A290" t="s">
        <v>2804</v>
      </c>
      <c r="B290" t="s">
        <v>1973</v>
      </c>
      <c r="C290">
        <v>1995</v>
      </c>
      <c r="D290">
        <v>6</v>
      </c>
      <c r="E290" t="s">
        <v>145</v>
      </c>
      <c r="F290">
        <v>2.5866399999999998E-4</v>
      </c>
    </row>
    <row r="291" spans="1:6" x14ac:dyDescent="0.3">
      <c r="A291" t="s">
        <v>2804</v>
      </c>
      <c r="B291" t="s">
        <v>1973</v>
      </c>
      <c r="C291">
        <v>2030</v>
      </c>
      <c r="D291">
        <v>1</v>
      </c>
      <c r="E291" t="s">
        <v>192</v>
      </c>
      <c r="F291">
        <v>6.3615199999999996E-4</v>
      </c>
    </row>
    <row r="292" spans="1:6" x14ac:dyDescent="0.3">
      <c r="A292" t="s">
        <v>2804</v>
      </c>
      <c r="B292" t="s">
        <v>1973</v>
      </c>
      <c r="C292">
        <v>2030</v>
      </c>
      <c r="D292">
        <v>3</v>
      </c>
      <c r="E292" t="s">
        <v>89</v>
      </c>
      <c r="F292">
        <v>1.3177530000000001E-3</v>
      </c>
    </row>
    <row r="293" spans="1:6" x14ac:dyDescent="0.3">
      <c r="A293" t="s">
        <v>2804</v>
      </c>
      <c r="B293" t="s">
        <v>1973</v>
      </c>
      <c r="C293">
        <v>2030</v>
      </c>
      <c r="D293">
        <v>14</v>
      </c>
      <c r="E293" t="s">
        <v>204</v>
      </c>
      <c r="F293">
        <v>5.1767700000000002E-4</v>
      </c>
    </row>
    <row r="294" spans="1:6" x14ac:dyDescent="0.3">
      <c r="A294" t="s">
        <v>2804</v>
      </c>
      <c r="B294" t="s">
        <v>1973</v>
      </c>
      <c r="C294">
        <v>2030</v>
      </c>
      <c r="D294">
        <v>7</v>
      </c>
      <c r="E294" t="s">
        <v>183</v>
      </c>
      <c r="F294">
        <v>6.79852E-4</v>
      </c>
    </row>
    <row r="295" spans="1:6" x14ac:dyDescent="0.3">
      <c r="A295" t="s">
        <v>2804</v>
      </c>
      <c r="B295" t="s">
        <v>1973</v>
      </c>
      <c r="C295">
        <v>2030</v>
      </c>
      <c r="D295">
        <v>10</v>
      </c>
      <c r="E295" t="s">
        <v>46</v>
      </c>
      <c r="F295">
        <v>2.9426919999999998E-3</v>
      </c>
    </row>
    <row r="296" spans="1:6" x14ac:dyDescent="0.3">
      <c r="A296" t="s">
        <v>2804</v>
      </c>
      <c r="B296" t="s">
        <v>1973</v>
      </c>
      <c r="C296">
        <v>2030</v>
      </c>
      <c r="D296">
        <v>11</v>
      </c>
      <c r="E296" t="s">
        <v>107</v>
      </c>
      <c r="F296">
        <v>4.9463629999999996E-3</v>
      </c>
    </row>
    <row r="297" spans="1:6" x14ac:dyDescent="0.3">
      <c r="A297" t="s">
        <v>2804</v>
      </c>
      <c r="B297" t="s">
        <v>1973</v>
      </c>
      <c r="C297">
        <v>2030</v>
      </c>
      <c r="D297">
        <v>17</v>
      </c>
      <c r="E297" t="s">
        <v>368</v>
      </c>
      <c r="F297">
        <v>2.9571490000000001E-3</v>
      </c>
    </row>
    <row r="298" spans="1:6" x14ac:dyDescent="0.3">
      <c r="A298" t="s">
        <v>2804</v>
      </c>
      <c r="B298" t="s">
        <v>1973</v>
      </c>
      <c r="C298">
        <v>2030</v>
      </c>
      <c r="D298">
        <v>12</v>
      </c>
      <c r="E298" t="s">
        <v>128</v>
      </c>
      <c r="F298">
        <v>3.1510980000000002E-3</v>
      </c>
    </row>
    <row r="299" spans="1:6" x14ac:dyDescent="0.3">
      <c r="A299" t="s">
        <v>2804</v>
      </c>
      <c r="B299" t="s">
        <v>1973</v>
      </c>
      <c r="C299">
        <v>2030</v>
      </c>
      <c r="D299">
        <v>5</v>
      </c>
      <c r="E299" t="s">
        <v>56</v>
      </c>
      <c r="F299">
        <v>4.19966E-3</v>
      </c>
    </row>
    <row r="300" spans="1:6" x14ac:dyDescent="0.3">
      <c r="A300" t="s">
        <v>2804</v>
      </c>
      <c r="B300" t="s">
        <v>1973</v>
      </c>
      <c r="C300">
        <v>2030</v>
      </c>
      <c r="D300">
        <v>16</v>
      </c>
      <c r="E300" t="s">
        <v>63</v>
      </c>
      <c r="F300">
        <v>6.7180899999999999E-4</v>
      </c>
    </row>
    <row r="301" spans="1:6" x14ac:dyDescent="0.3">
      <c r="A301" t="s">
        <v>2804</v>
      </c>
      <c r="B301" t="s">
        <v>1973</v>
      </c>
      <c r="C301">
        <v>2030</v>
      </c>
      <c r="D301">
        <v>9</v>
      </c>
      <c r="E301" t="s">
        <v>74</v>
      </c>
      <c r="F301">
        <v>3.039408E-3</v>
      </c>
    </row>
    <row r="302" spans="1:6" x14ac:dyDescent="0.3">
      <c r="A302" t="s">
        <v>2804</v>
      </c>
      <c r="B302" t="s">
        <v>1973</v>
      </c>
      <c r="C302">
        <v>2030</v>
      </c>
      <c r="D302">
        <v>4</v>
      </c>
      <c r="E302" t="s">
        <v>103</v>
      </c>
      <c r="F302">
        <v>2.1475719999999999E-3</v>
      </c>
    </row>
    <row r="303" spans="1:6" x14ac:dyDescent="0.3">
      <c r="A303" t="s">
        <v>2804</v>
      </c>
      <c r="B303" t="s">
        <v>1973</v>
      </c>
      <c r="C303">
        <v>2030</v>
      </c>
      <c r="D303">
        <v>13</v>
      </c>
      <c r="E303" t="s">
        <v>35</v>
      </c>
      <c r="F303">
        <v>3.590242E-3</v>
      </c>
    </row>
    <row r="304" spans="1:6" x14ac:dyDescent="0.3">
      <c r="A304" t="s">
        <v>2804</v>
      </c>
      <c r="B304" t="s">
        <v>1973</v>
      </c>
      <c r="C304">
        <v>2030</v>
      </c>
      <c r="D304">
        <v>15</v>
      </c>
      <c r="E304" t="s">
        <v>172</v>
      </c>
      <c r="F304">
        <v>6.9915699999999995E-4</v>
      </c>
    </row>
    <row r="305" spans="1:6" x14ac:dyDescent="0.3">
      <c r="A305" t="s">
        <v>2804</v>
      </c>
      <c r="B305" t="s">
        <v>1973</v>
      </c>
      <c r="C305">
        <v>2030</v>
      </c>
      <c r="D305">
        <v>8</v>
      </c>
      <c r="E305" t="s">
        <v>79</v>
      </c>
      <c r="F305">
        <v>1.9405850000000001E-3</v>
      </c>
    </row>
    <row r="306" spans="1:6" x14ac:dyDescent="0.3">
      <c r="A306" t="s">
        <v>2804</v>
      </c>
      <c r="B306" t="s">
        <v>1973</v>
      </c>
      <c r="C306">
        <v>2030</v>
      </c>
      <c r="D306">
        <v>2</v>
      </c>
      <c r="E306" t="s">
        <v>549</v>
      </c>
      <c r="F306">
        <v>1.369152E-3</v>
      </c>
    </row>
    <row r="307" spans="1:6" x14ac:dyDescent="0.3">
      <c r="A307" t="s">
        <v>2804</v>
      </c>
      <c r="B307" t="s">
        <v>1973</v>
      </c>
      <c r="C307">
        <v>2030</v>
      </c>
      <c r="D307">
        <v>6</v>
      </c>
      <c r="E307" t="s">
        <v>145</v>
      </c>
      <c r="F307">
        <v>2.40146E-4</v>
      </c>
    </row>
    <row r="308" spans="1:6" x14ac:dyDescent="0.3">
      <c r="A308" t="s">
        <v>2804</v>
      </c>
      <c r="B308" t="s">
        <v>1965</v>
      </c>
      <c r="C308">
        <v>1970</v>
      </c>
      <c r="D308">
        <v>1</v>
      </c>
      <c r="E308" t="s">
        <v>192</v>
      </c>
      <c r="F308">
        <v>0.69394976100000005</v>
      </c>
    </row>
    <row r="309" spans="1:6" x14ac:dyDescent="0.3">
      <c r="A309" t="s">
        <v>2804</v>
      </c>
      <c r="B309" t="s">
        <v>1965</v>
      </c>
      <c r="C309">
        <v>1970</v>
      </c>
      <c r="D309">
        <v>3</v>
      </c>
      <c r="E309" t="s">
        <v>89</v>
      </c>
      <c r="F309">
        <v>0.26024376900000001</v>
      </c>
    </row>
    <row r="310" spans="1:6" x14ac:dyDescent="0.3">
      <c r="A310" t="s">
        <v>2804</v>
      </c>
      <c r="B310" t="s">
        <v>1965</v>
      </c>
      <c r="C310">
        <v>1970</v>
      </c>
      <c r="D310">
        <v>14</v>
      </c>
      <c r="E310" t="s">
        <v>204</v>
      </c>
      <c r="F310">
        <v>0.60262644300000001</v>
      </c>
    </row>
    <row r="311" spans="1:6" x14ac:dyDescent="0.3">
      <c r="A311" t="s">
        <v>2804</v>
      </c>
      <c r="B311" t="s">
        <v>1965</v>
      </c>
      <c r="C311">
        <v>1970</v>
      </c>
      <c r="D311">
        <v>7</v>
      </c>
      <c r="E311" t="s">
        <v>183</v>
      </c>
      <c r="F311">
        <v>3.4258809000000001E-2</v>
      </c>
    </row>
    <row r="312" spans="1:6" x14ac:dyDescent="0.3">
      <c r="A312" t="s">
        <v>2804</v>
      </c>
      <c r="B312" t="s">
        <v>1965</v>
      </c>
      <c r="C312">
        <v>1970</v>
      </c>
      <c r="D312">
        <v>10</v>
      </c>
      <c r="E312" t="s">
        <v>46</v>
      </c>
      <c r="F312">
        <v>0.42328354200000001</v>
      </c>
    </row>
    <row r="313" spans="1:6" x14ac:dyDescent="0.3">
      <c r="A313" t="s">
        <v>2804</v>
      </c>
      <c r="B313" t="s">
        <v>1965</v>
      </c>
      <c r="C313">
        <v>1970</v>
      </c>
      <c r="D313">
        <v>11</v>
      </c>
      <c r="E313" t="s">
        <v>107</v>
      </c>
      <c r="F313">
        <v>0.32948147999999999</v>
      </c>
    </row>
    <row r="314" spans="1:6" x14ac:dyDescent="0.3">
      <c r="A314" t="s">
        <v>2804</v>
      </c>
      <c r="B314" t="s">
        <v>1965</v>
      </c>
      <c r="C314">
        <v>1970</v>
      </c>
      <c r="D314">
        <v>17</v>
      </c>
      <c r="E314" t="s">
        <v>368</v>
      </c>
      <c r="F314">
        <v>0.51318486900000004</v>
      </c>
    </row>
    <row r="315" spans="1:6" x14ac:dyDescent="0.3">
      <c r="A315" t="s">
        <v>2804</v>
      </c>
      <c r="B315" t="s">
        <v>1965</v>
      </c>
      <c r="C315">
        <v>1970</v>
      </c>
      <c r="D315">
        <v>12</v>
      </c>
      <c r="E315" t="s">
        <v>128</v>
      </c>
      <c r="F315">
        <v>0.33431642700000003</v>
      </c>
    </row>
    <row r="316" spans="1:6" x14ac:dyDescent="0.3">
      <c r="A316" t="s">
        <v>2804</v>
      </c>
      <c r="B316" t="s">
        <v>1965</v>
      </c>
      <c r="C316">
        <v>1970</v>
      </c>
      <c r="D316">
        <v>5</v>
      </c>
      <c r="E316" t="s">
        <v>56</v>
      </c>
      <c r="F316">
        <v>0.53338592900000004</v>
      </c>
    </row>
    <row r="317" spans="1:6" x14ac:dyDescent="0.3">
      <c r="A317" t="s">
        <v>2804</v>
      </c>
      <c r="B317" t="s">
        <v>1965</v>
      </c>
      <c r="C317">
        <v>1970</v>
      </c>
      <c r="D317">
        <v>16</v>
      </c>
      <c r="E317" t="s">
        <v>63</v>
      </c>
      <c r="F317">
        <v>4.6069705000000002E-2</v>
      </c>
    </row>
    <row r="318" spans="1:6" x14ac:dyDescent="0.3">
      <c r="A318" t="s">
        <v>2804</v>
      </c>
      <c r="B318" t="s">
        <v>1965</v>
      </c>
      <c r="C318">
        <v>1970</v>
      </c>
      <c r="D318">
        <v>9</v>
      </c>
      <c r="E318" t="s">
        <v>74</v>
      </c>
      <c r="F318">
        <v>0.17924678199999999</v>
      </c>
    </row>
    <row r="319" spans="1:6" x14ac:dyDescent="0.3">
      <c r="A319" t="s">
        <v>2804</v>
      </c>
      <c r="B319" t="s">
        <v>1965</v>
      </c>
      <c r="C319">
        <v>1970</v>
      </c>
      <c r="D319">
        <v>4</v>
      </c>
      <c r="E319" t="s">
        <v>103</v>
      </c>
      <c r="F319">
        <v>0.212715245</v>
      </c>
    </row>
    <row r="320" spans="1:6" x14ac:dyDescent="0.3">
      <c r="A320" t="s">
        <v>2804</v>
      </c>
      <c r="B320" t="s">
        <v>1965</v>
      </c>
      <c r="C320">
        <v>1970</v>
      </c>
      <c r="D320">
        <v>13</v>
      </c>
      <c r="E320" t="s">
        <v>35</v>
      </c>
      <c r="F320">
        <v>6.7776830999999996E-2</v>
      </c>
    </row>
    <row r="321" spans="1:6" x14ac:dyDescent="0.3">
      <c r="A321" t="s">
        <v>2804</v>
      </c>
      <c r="B321" t="s">
        <v>1965</v>
      </c>
      <c r="C321">
        <v>1970</v>
      </c>
      <c r="D321">
        <v>15</v>
      </c>
      <c r="E321" t="s">
        <v>172</v>
      </c>
      <c r="F321">
        <v>0.51993256499999996</v>
      </c>
    </row>
    <row r="322" spans="1:6" x14ac:dyDescent="0.3">
      <c r="A322" t="s">
        <v>2804</v>
      </c>
      <c r="B322" t="s">
        <v>1965</v>
      </c>
      <c r="C322">
        <v>1970</v>
      </c>
      <c r="D322">
        <v>8</v>
      </c>
      <c r="E322" t="s">
        <v>79</v>
      </c>
      <c r="F322">
        <v>0.118951696</v>
      </c>
    </row>
    <row r="323" spans="1:6" x14ac:dyDescent="0.3">
      <c r="A323" t="s">
        <v>2804</v>
      </c>
      <c r="B323" t="s">
        <v>1965</v>
      </c>
      <c r="C323">
        <v>1970</v>
      </c>
      <c r="D323">
        <v>2</v>
      </c>
      <c r="E323" t="s">
        <v>549</v>
      </c>
      <c r="F323">
        <v>0.47216636000000001</v>
      </c>
    </row>
    <row r="324" spans="1:6" x14ac:dyDescent="0.3">
      <c r="A324" t="s">
        <v>2804</v>
      </c>
      <c r="B324" t="s">
        <v>1965</v>
      </c>
      <c r="C324">
        <v>1970</v>
      </c>
      <c r="D324">
        <v>6</v>
      </c>
      <c r="E324" t="s">
        <v>145</v>
      </c>
      <c r="F324">
        <v>0.117998625</v>
      </c>
    </row>
    <row r="325" spans="1:6" x14ac:dyDescent="0.3">
      <c r="A325" t="s">
        <v>2804</v>
      </c>
      <c r="B325" t="s">
        <v>1965</v>
      </c>
      <c r="C325">
        <v>1995</v>
      </c>
      <c r="D325">
        <v>1</v>
      </c>
      <c r="E325" t="s">
        <v>192</v>
      </c>
      <c r="F325">
        <v>0.57953488200000003</v>
      </c>
    </row>
    <row r="326" spans="1:6" x14ac:dyDescent="0.3">
      <c r="A326" t="s">
        <v>2804</v>
      </c>
      <c r="B326" t="s">
        <v>1965</v>
      </c>
      <c r="C326">
        <v>1995</v>
      </c>
      <c r="D326">
        <v>3</v>
      </c>
      <c r="E326" t="s">
        <v>89</v>
      </c>
      <c r="F326">
        <v>0.26144286999999999</v>
      </c>
    </row>
    <row r="327" spans="1:6" x14ac:dyDescent="0.3">
      <c r="A327" t="s">
        <v>2804</v>
      </c>
      <c r="B327" t="s">
        <v>1965</v>
      </c>
      <c r="C327">
        <v>1995</v>
      </c>
      <c r="D327">
        <v>14</v>
      </c>
      <c r="E327" t="s">
        <v>204</v>
      </c>
      <c r="F327">
        <v>0.44250625199999999</v>
      </c>
    </row>
    <row r="328" spans="1:6" x14ac:dyDescent="0.3">
      <c r="A328" t="s">
        <v>2804</v>
      </c>
      <c r="B328" t="s">
        <v>1965</v>
      </c>
      <c r="C328">
        <v>1995</v>
      </c>
      <c r="D328">
        <v>7</v>
      </c>
      <c r="E328" t="s">
        <v>183</v>
      </c>
      <c r="F328">
        <v>3.9629240000000003E-2</v>
      </c>
    </row>
    <row r="329" spans="1:6" x14ac:dyDescent="0.3">
      <c r="A329" t="s">
        <v>2804</v>
      </c>
      <c r="B329" t="s">
        <v>1965</v>
      </c>
      <c r="C329">
        <v>1995</v>
      </c>
      <c r="D329">
        <v>10</v>
      </c>
      <c r="E329" t="s">
        <v>46</v>
      </c>
      <c r="F329">
        <v>0.391424771</v>
      </c>
    </row>
    <row r="330" spans="1:6" x14ac:dyDescent="0.3">
      <c r="A330" t="s">
        <v>2804</v>
      </c>
      <c r="B330" t="s">
        <v>1965</v>
      </c>
      <c r="C330">
        <v>1995</v>
      </c>
      <c r="D330">
        <v>11</v>
      </c>
      <c r="E330" t="s">
        <v>107</v>
      </c>
      <c r="F330">
        <v>0.32558798700000002</v>
      </c>
    </row>
    <row r="331" spans="1:6" x14ac:dyDescent="0.3">
      <c r="A331" t="s">
        <v>2804</v>
      </c>
      <c r="B331" t="s">
        <v>1965</v>
      </c>
      <c r="C331">
        <v>1995</v>
      </c>
      <c r="D331">
        <v>17</v>
      </c>
      <c r="E331" t="s">
        <v>368</v>
      </c>
      <c r="F331">
        <v>0.505514778</v>
      </c>
    </row>
    <row r="332" spans="1:6" x14ac:dyDescent="0.3">
      <c r="A332" t="s">
        <v>2804</v>
      </c>
      <c r="B332" t="s">
        <v>1965</v>
      </c>
      <c r="C332">
        <v>1995</v>
      </c>
      <c r="D332">
        <v>12</v>
      </c>
      <c r="E332" t="s">
        <v>128</v>
      </c>
      <c r="F332">
        <v>0.35374760300000002</v>
      </c>
    </row>
    <row r="333" spans="1:6" x14ac:dyDescent="0.3">
      <c r="A333" t="s">
        <v>2804</v>
      </c>
      <c r="B333" t="s">
        <v>1965</v>
      </c>
      <c r="C333">
        <v>1995</v>
      </c>
      <c r="D333">
        <v>5</v>
      </c>
      <c r="E333" t="s">
        <v>56</v>
      </c>
      <c r="F333">
        <v>0.49551292299999999</v>
      </c>
    </row>
    <row r="334" spans="1:6" x14ac:dyDescent="0.3">
      <c r="A334" t="s">
        <v>2804</v>
      </c>
      <c r="B334" t="s">
        <v>1965</v>
      </c>
      <c r="C334">
        <v>1995</v>
      </c>
      <c r="D334">
        <v>16</v>
      </c>
      <c r="E334" t="s">
        <v>63</v>
      </c>
      <c r="F334">
        <v>4.2923480999999999E-2</v>
      </c>
    </row>
    <row r="335" spans="1:6" x14ac:dyDescent="0.3">
      <c r="A335" t="s">
        <v>2804</v>
      </c>
      <c r="B335" t="s">
        <v>1965</v>
      </c>
      <c r="C335">
        <v>1995</v>
      </c>
      <c r="D335">
        <v>9</v>
      </c>
      <c r="E335" t="s">
        <v>74</v>
      </c>
      <c r="F335">
        <v>0.158128831</v>
      </c>
    </row>
    <row r="336" spans="1:6" x14ac:dyDescent="0.3">
      <c r="A336" t="s">
        <v>2804</v>
      </c>
      <c r="B336" t="s">
        <v>1965</v>
      </c>
      <c r="C336">
        <v>1995</v>
      </c>
      <c r="D336">
        <v>4</v>
      </c>
      <c r="E336" t="s">
        <v>103</v>
      </c>
      <c r="F336">
        <v>0.19929303300000001</v>
      </c>
    </row>
    <row r="337" spans="1:6" x14ac:dyDescent="0.3">
      <c r="A337" t="s">
        <v>2804</v>
      </c>
      <c r="B337" t="s">
        <v>1965</v>
      </c>
      <c r="C337">
        <v>1995</v>
      </c>
      <c r="D337">
        <v>13</v>
      </c>
      <c r="E337" t="s">
        <v>35</v>
      </c>
      <c r="F337">
        <v>5.3539233999999998E-2</v>
      </c>
    </row>
    <row r="338" spans="1:6" x14ac:dyDescent="0.3">
      <c r="A338" t="s">
        <v>2804</v>
      </c>
      <c r="B338" t="s">
        <v>1965</v>
      </c>
      <c r="C338">
        <v>1995</v>
      </c>
      <c r="D338">
        <v>15</v>
      </c>
      <c r="E338" t="s">
        <v>172</v>
      </c>
      <c r="F338">
        <v>0.37672324499999998</v>
      </c>
    </row>
    <row r="339" spans="1:6" x14ac:dyDescent="0.3">
      <c r="A339" t="s">
        <v>2804</v>
      </c>
      <c r="B339" t="s">
        <v>1965</v>
      </c>
      <c r="C339">
        <v>1995</v>
      </c>
      <c r="D339">
        <v>8</v>
      </c>
      <c r="E339" t="s">
        <v>79</v>
      </c>
      <c r="F339">
        <v>0.25354937399999999</v>
      </c>
    </row>
    <row r="340" spans="1:6" x14ac:dyDescent="0.3">
      <c r="A340" t="s">
        <v>2804</v>
      </c>
      <c r="B340" t="s">
        <v>1965</v>
      </c>
      <c r="C340">
        <v>1995</v>
      </c>
      <c r="D340">
        <v>2</v>
      </c>
      <c r="E340" t="s">
        <v>549</v>
      </c>
      <c r="F340">
        <v>0.39749533300000001</v>
      </c>
    </row>
    <row r="341" spans="1:6" x14ac:dyDescent="0.3">
      <c r="A341" t="s">
        <v>2804</v>
      </c>
      <c r="B341" t="s">
        <v>1965</v>
      </c>
      <c r="C341">
        <v>1995</v>
      </c>
      <c r="D341">
        <v>6</v>
      </c>
      <c r="E341" t="s">
        <v>145</v>
      </c>
      <c r="F341">
        <v>0.11242263700000001</v>
      </c>
    </row>
    <row r="342" spans="1:6" x14ac:dyDescent="0.3">
      <c r="A342" t="s">
        <v>2804</v>
      </c>
      <c r="B342" t="s">
        <v>1965</v>
      </c>
      <c r="C342">
        <v>2030</v>
      </c>
      <c r="D342">
        <v>1</v>
      </c>
      <c r="E342" t="s">
        <v>192</v>
      </c>
      <c r="F342">
        <v>0.58316624900000003</v>
      </c>
    </row>
    <row r="343" spans="1:6" x14ac:dyDescent="0.3">
      <c r="A343" t="s">
        <v>2804</v>
      </c>
      <c r="B343" t="s">
        <v>1965</v>
      </c>
      <c r="C343">
        <v>2030</v>
      </c>
      <c r="D343">
        <v>3</v>
      </c>
      <c r="E343" t="s">
        <v>89</v>
      </c>
      <c r="F343">
        <v>0.24661180199999999</v>
      </c>
    </row>
    <row r="344" spans="1:6" x14ac:dyDescent="0.3">
      <c r="A344" t="s">
        <v>2804</v>
      </c>
      <c r="B344" t="s">
        <v>1965</v>
      </c>
      <c r="C344">
        <v>2030</v>
      </c>
      <c r="D344">
        <v>14</v>
      </c>
      <c r="E344" t="s">
        <v>204</v>
      </c>
      <c r="F344">
        <v>0.39261995</v>
      </c>
    </row>
    <row r="345" spans="1:6" x14ac:dyDescent="0.3">
      <c r="A345" t="s">
        <v>2804</v>
      </c>
      <c r="B345" t="s">
        <v>1965</v>
      </c>
      <c r="C345">
        <v>2030</v>
      </c>
      <c r="D345">
        <v>7</v>
      </c>
      <c r="E345" t="s">
        <v>183</v>
      </c>
      <c r="F345">
        <v>3.7657453E-2</v>
      </c>
    </row>
    <row r="346" spans="1:6" x14ac:dyDescent="0.3">
      <c r="A346" t="s">
        <v>2804</v>
      </c>
      <c r="B346" t="s">
        <v>1965</v>
      </c>
      <c r="C346">
        <v>2030</v>
      </c>
      <c r="D346">
        <v>10</v>
      </c>
      <c r="E346" t="s">
        <v>46</v>
      </c>
      <c r="F346">
        <v>0.37158093800000003</v>
      </c>
    </row>
    <row r="347" spans="1:6" x14ac:dyDescent="0.3">
      <c r="A347" t="s">
        <v>2804</v>
      </c>
      <c r="B347" t="s">
        <v>1965</v>
      </c>
      <c r="C347">
        <v>2030</v>
      </c>
      <c r="D347">
        <v>11</v>
      </c>
      <c r="E347" t="s">
        <v>107</v>
      </c>
      <c r="F347">
        <v>0.28352379500000002</v>
      </c>
    </row>
    <row r="348" spans="1:6" x14ac:dyDescent="0.3">
      <c r="A348" t="s">
        <v>2804</v>
      </c>
      <c r="B348" t="s">
        <v>1965</v>
      </c>
      <c r="C348">
        <v>2030</v>
      </c>
      <c r="D348">
        <v>17</v>
      </c>
      <c r="E348" t="s">
        <v>368</v>
      </c>
      <c r="F348">
        <v>0.503801944</v>
      </c>
    </row>
    <row r="349" spans="1:6" x14ac:dyDescent="0.3">
      <c r="A349" t="s">
        <v>2804</v>
      </c>
      <c r="B349" t="s">
        <v>1965</v>
      </c>
      <c r="C349">
        <v>2030</v>
      </c>
      <c r="D349">
        <v>12</v>
      </c>
      <c r="E349" t="s">
        <v>128</v>
      </c>
      <c r="F349">
        <v>0.31401945599999997</v>
      </c>
    </row>
    <row r="350" spans="1:6" x14ac:dyDescent="0.3">
      <c r="A350" t="s">
        <v>2804</v>
      </c>
      <c r="B350" t="s">
        <v>1965</v>
      </c>
      <c r="C350">
        <v>2030</v>
      </c>
      <c r="D350">
        <v>5</v>
      </c>
      <c r="E350" t="s">
        <v>56</v>
      </c>
      <c r="F350">
        <v>0.40618483700000002</v>
      </c>
    </row>
    <row r="351" spans="1:6" x14ac:dyDescent="0.3">
      <c r="A351" t="s">
        <v>2804</v>
      </c>
      <c r="B351" t="s">
        <v>1965</v>
      </c>
      <c r="C351">
        <v>2030</v>
      </c>
      <c r="D351">
        <v>16</v>
      </c>
      <c r="E351" t="s">
        <v>63</v>
      </c>
      <c r="F351">
        <v>4.1636003999999997E-2</v>
      </c>
    </row>
    <row r="352" spans="1:6" x14ac:dyDescent="0.3">
      <c r="A352" t="s">
        <v>2804</v>
      </c>
      <c r="B352" t="s">
        <v>1965</v>
      </c>
      <c r="C352">
        <v>2030</v>
      </c>
      <c r="D352">
        <v>9</v>
      </c>
      <c r="E352" t="s">
        <v>74</v>
      </c>
      <c r="F352">
        <v>0.16997416300000001</v>
      </c>
    </row>
    <row r="353" spans="1:6" x14ac:dyDescent="0.3">
      <c r="A353" t="s">
        <v>2804</v>
      </c>
      <c r="B353" t="s">
        <v>1965</v>
      </c>
      <c r="C353">
        <v>2030</v>
      </c>
      <c r="D353">
        <v>4</v>
      </c>
      <c r="E353" t="s">
        <v>103</v>
      </c>
      <c r="F353">
        <v>0.221677338</v>
      </c>
    </row>
    <row r="354" spans="1:6" x14ac:dyDescent="0.3">
      <c r="A354" t="s">
        <v>2804</v>
      </c>
      <c r="B354" t="s">
        <v>1965</v>
      </c>
      <c r="C354">
        <v>2030</v>
      </c>
      <c r="D354">
        <v>13</v>
      </c>
      <c r="E354" t="s">
        <v>35</v>
      </c>
      <c r="F354">
        <v>6.4094343999999998E-2</v>
      </c>
    </row>
    <row r="355" spans="1:6" x14ac:dyDescent="0.3">
      <c r="A355" t="s">
        <v>2804</v>
      </c>
      <c r="B355" t="s">
        <v>1965</v>
      </c>
      <c r="C355">
        <v>2030</v>
      </c>
      <c r="D355">
        <v>15</v>
      </c>
      <c r="E355" t="s">
        <v>172</v>
      </c>
      <c r="F355">
        <v>0.21046912000000001</v>
      </c>
    </row>
    <row r="356" spans="1:6" x14ac:dyDescent="0.3">
      <c r="A356" t="s">
        <v>2804</v>
      </c>
      <c r="B356" t="s">
        <v>1965</v>
      </c>
      <c r="C356">
        <v>2030</v>
      </c>
      <c r="D356">
        <v>8</v>
      </c>
      <c r="E356" t="s">
        <v>79</v>
      </c>
      <c r="F356">
        <v>0.39294284699999998</v>
      </c>
    </row>
    <row r="357" spans="1:6" x14ac:dyDescent="0.3">
      <c r="A357" t="s">
        <v>2804</v>
      </c>
      <c r="B357" t="s">
        <v>1965</v>
      </c>
      <c r="C357">
        <v>2030</v>
      </c>
      <c r="D357">
        <v>2</v>
      </c>
      <c r="E357" t="s">
        <v>549</v>
      </c>
      <c r="F357">
        <v>0.38647406899999998</v>
      </c>
    </row>
    <row r="358" spans="1:6" x14ac:dyDescent="0.3">
      <c r="A358" t="s">
        <v>2804</v>
      </c>
      <c r="B358" t="s">
        <v>1965</v>
      </c>
      <c r="C358">
        <v>2030</v>
      </c>
      <c r="D358">
        <v>6</v>
      </c>
      <c r="E358" t="s">
        <v>145</v>
      </c>
      <c r="F358">
        <v>0.10437413500000001</v>
      </c>
    </row>
    <row r="359" spans="1:6" x14ac:dyDescent="0.3">
      <c r="A359" t="s">
        <v>2804</v>
      </c>
      <c r="B359" t="s">
        <v>2022</v>
      </c>
      <c r="C359">
        <v>1970</v>
      </c>
      <c r="D359">
        <v>1</v>
      </c>
      <c r="E359" t="s">
        <v>192</v>
      </c>
      <c r="F359">
        <v>0.54314490699999995</v>
      </c>
    </row>
    <row r="360" spans="1:6" x14ac:dyDescent="0.3">
      <c r="A360" t="s">
        <v>2804</v>
      </c>
      <c r="B360" t="s">
        <v>2022</v>
      </c>
      <c r="C360">
        <v>1970</v>
      </c>
      <c r="D360">
        <v>3</v>
      </c>
      <c r="E360" t="s">
        <v>89</v>
      </c>
      <c r="F360">
        <v>1.4743542409999999</v>
      </c>
    </row>
    <row r="361" spans="1:6" x14ac:dyDescent="0.3">
      <c r="A361" t="s">
        <v>2804</v>
      </c>
      <c r="B361" t="s">
        <v>2022</v>
      </c>
      <c r="C361">
        <v>1970</v>
      </c>
      <c r="D361">
        <v>14</v>
      </c>
      <c r="E361" t="s">
        <v>204</v>
      </c>
      <c r="F361">
        <v>1.3643784160000001</v>
      </c>
    </row>
    <row r="362" spans="1:6" x14ac:dyDescent="0.3">
      <c r="A362" t="s">
        <v>2804</v>
      </c>
      <c r="B362" t="s">
        <v>2022</v>
      </c>
      <c r="C362">
        <v>1970</v>
      </c>
      <c r="D362">
        <v>7</v>
      </c>
      <c r="E362" t="s">
        <v>183</v>
      </c>
      <c r="F362">
        <v>3.2819849520000002</v>
      </c>
    </row>
    <row r="363" spans="1:6" x14ac:dyDescent="0.3">
      <c r="A363" t="s">
        <v>2804</v>
      </c>
      <c r="B363" t="s">
        <v>2022</v>
      </c>
      <c r="C363">
        <v>1970</v>
      </c>
      <c r="D363">
        <v>10</v>
      </c>
      <c r="E363" t="s">
        <v>46</v>
      </c>
      <c r="F363">
        <v>0.53306310099999998</v>
      </c>
    </row>
    <row r="364" spans="1:6" x14ac:dyDescent="0.3">
      <c r="A364" t="s">
        <v>2804</v>
      </c>
      <c r="B364" t="s">
        <v>2022</v>
      </c>
      <c r="C364">
        <v>1970</v>
      </c>
      <c r="D364">
        <v>11</v>
      </c>
      <c r="E364" t="s">
        <v>107</v>
      </c>
      <c r="F364">
        <v>0.74593353299999998</v>
      </c>
    </row>
    <row r="365" spans="1:6" x14ac:dyDescent="0.3">
      <c r="A365" t="s">
        <v>2804</v>
      </c>
      <c r="B365" t="s">
        <v>2022</v>
      </c>
      <c r="C365">
        <v>1970</v>
      </c>
      <c r="D365">
        <v>17</v>
      </c>
      <c r="E365" t="s">
        <v>368</v>
      </c>
      <c r="F365">
        <v>0.35051532600000002</v>
      </c>
    </row>
    <row r="366" spans="1:6" x14ac:dyDescent="0.3">
      <c r="A366" t="s">
        <v>2804</v>
      </c>
      <c r="B366" t="s">
        <v>2022</v>
      </c>
      <c r="C366">
        <v>1970</v>
      </c>
      <c r="D366">
        <v>12</v>
      </c>
      <c r="E366" t="s">
        <v>128</v>
      </c>
      <c r="F366">
        <v>0.215017443</v>
      </c>
    </row>
    <row r="367" spans="1:6" x14ac:dyDescent="0.3">
      <c r="A367" t="s">
        <v>2804</v>
      </c>
      <c r="B367" t="s">
        <v>2022</v>
      </c>
      <c r="C367">
        <v>1970</v>
      </c>
      <c r="D367">
        <v>5</v>
      </c>
      <c r="E367" t="s">
        <v>56</v>
      </c>
      <c r="F367">
        <v>0.38495994100000003</v>
      </c>
    </row>
    <row r="368" spans="1:6" x14ac:dyDescent="0.3">
      <c r="A368" t="s">
        <v>2804</v>
      </c>
      <c r="B368" t="s">
        <v>2022</v>
      </c>
      <c r="C368">
        <v>1970</v>
      </c>
      <c r="D368">
        <v>16</v>
      </c>
      <c r="E368" t="s">
        <v>63</v>
      </c>
      <c r="F368">
        <v>0.78205246799999995</v>
      </c>
    </row>
    <row r="369" spans="1:6" x14ac:dyDescent="0.3">
      <c r="A369" t="s">
        <v>2804</v>
      </c>
      <c r="B369" t="s">
        <v>2022</v>
      </c>
      <c r="C369">
        <v>1970</v>
      </c>
      <c r="D369">
        <v>9</v>
      </c>
      <c r="E369" t="s">
        <v>74</v>
      </c>
      <c r="F369">
        <v>0.492591628</v>
      </c>
    </row>
    <row r="370" spans="1:6" x14ac:dyDescent="0.3">
      <c r="A370" t="s">
        <v>2804</v>
      </c>
      <c r="B370" t="s">
        <v>2022</v>
      </c>
      <c r="C370">
        <v>1970</v>
      </c>
      <c r="D370">
        <v>4</v>
      </c>
      <c r="E370" t="s">
        <v>103</v>
      </c>
      <c r="F370">
        <v>1.5592278319999999</v>
      </c>
    </row>
    <row r="371" spans="1:6" x14ac:dyDescent="0.3">
      <c r="A371" t="s">
        <v>2804</v>
      </c>
      <c r="B371" t="s">
        <v>2022</v>
      </c>
      <c r="C371">
        <v>1970</v>
      </c>
      <c r="D371">
        <v>13</v>
      </c>
      <c r="E371" t="s">
        <v>35</v>
      </c>
      <c r="F371">
        <v>0.66194686800000002</v>
      </c>
    </row>
    <row r="372" spans="1:6" x14ac:dyDescent="0.3">
      <c r="A372" t="s">
        <v>2804</v>
      </c>
      <c r="B372" t="s">
        <v>2022</v>
      </c>
      <c r="C372">
        <v>1970</v>
      </c>
      <c r="D372">
        <v>15</v>
      </c>
      <c r="E372" t="s">
        <v>172</v>
      </c>
      <c r="F372">
        <v>2.4381343339999999</v>
      </c>
    </row>
    <row r="373" spans="1:6" x14ac:dyDescent="0.3">
      <c r="A373" t="s">
        <v>2804</v>
      </c>
      <c r="B373" t="s">
        <v>2022</v>
      </c>
      <c r="C373">
        <v>1970</v>
      </c>
      <c r="D373">
        <v>8</v>
      </c>
      <c r="E373" t="s">
        <v>79</v>
      </c>
      <c r="F373">
        <v>3.1973285570000001</v>
      </c>
    </row>
    <row r="374" spans="1:6" x14ac:dyDescent="0.3">
      <c r="A374" t="s">
        <v>2804</v>
      </c>
      <c r="B374" t="s">
        <v>2022</v>
      </c>
      <c r="C374">
        <v>1970</v>
      </c>
      <c r="D374">
        <v>2</v>
      </c>
      <c r="E374" t="s">
        <v>549</v>
      </c>
      <c r="F374">
        <v>0.49850481000000002</v>
      </c>
    </row>
    <row r="375" spans="1:6" x14ac:dyDescent="0.3">
      <c r="A375" t="s">
        <v>2804</v>
      </c>
      <c r="B375" t="s">
        <v>2022</v>
      </c>
      <c r="C375">
        <v>1970</v>
      </c>
      <c r="D375">
        <v>6</v>
      </c>
      <c r="E375" t="s">
        <v>145</v>
      </c>
      <c r="F375">
        <v>4.2322731290000002</v>
      </c>
    </row>
    <row r="376" spans="1:6" x14ac:dyDescent="0.3">
      <c r="A376" t="s">
        <v>2804</v>
      </c>
      <c r="B376" t="s">
        <v>2022</v>
      </c>
      <c r="C376">
        <v>1995</v>
      </c>
      <c r="D376">
        <v>1</v>
      </c>
      <c r="E376" t="s">
        <v>192</v>
      </c>
      <c r="F376">
        <v>0.45359395899999999</v>
      </c>
    </row>
    <row r="377" spans="1:6" x14ac:dyDescent="0.3">
      <c r="A377" t="s">
        <v>2804</v>
      </c>
      <c r="B377" t="s">
        <v>2022</v>
      </c>
      <c r="C377">
        <v>1995</v>
      </c>
      <c r="D377">
        <v>3</v>
      </c>
      <c r="E377" t="s">
        <v>89</v>
      </c>
      <c r="F377">
        <v>1.4811474870000001</v>
      </c>
    </row>
    <row r="378" spans="1:6" x14ac:dyDescent="0.3">
      <c r="A378" t="s">
        <v>2804</v>
      </c>
      <c r="B378" t="s">
        <v>2022</v>
      </c>
      <c r="C378">
        <v>1995</v>
      </c>
      <c r="D378">
        <v>14</v>
      </c>
      <c r="E378" t="s">
        <v>204</v>
      </c>
      <c r="F378">
        <v>0.98593050999999998</v>
      </c>
    </row>
    <row r="379" spans="1:6" x14ac:dyDescent="0.3">
      <c r="A379" t="s">
        <v>2804</v>
      </c>
      <c r="B379" t="s">
        <v>2022</v>
      </c>
      <c r="C379">
        <v>1995</v>
      </c>
      <c r="D379">
        <v>7</v>
      </c>
      <c r="E379" t="s">
        <v>183</v>
      </c>
      <c r="F379">
        <v>2.756091836</v>
      </c>
    </row>
    <row r="380" spans="1:6" x14ac:dyDescent="0.3">
      <c r="A380" t="s">
        <v>2804</v>
      </c>
      <c r="B380" t="s">
        <v>2022</v>
      </c>
      <c r="C380">
        <v>1995</v>
      </c>
      <c r="D380">
        <v>10</v>
      </c>
      <c r="E380" t="s">
        <v>46</v>
      </c>
      <c r="F380">
        <v>0.49294168399999999</v>
      </c>
    </row>
    <row r="381" spans="1:6" x14ac:dyDescent="0.3">
      <c r="A381" t="s">
        <v>2804</v>
      </c>
      <c r="B381" t="s">
        <v>2022</v>
      </c>
      <c r="C381">
        <v>1995</v>
      </c>
      <c r="D381">
        <v>11</v>
      </c>
      <c r="E381" t="s">
        <v>107</v>
      </c>
      <c r="F381">
        <v>0.73711881300000004</v>
      </c>
    </row>
    <row r="382" spans="1:6" x14ac:dyDescent="0.3">
      <c r="A382" t="s">
        <v>2804</v>
      </c>
      <c r="B382" t="s">
        <v>2022</v>
      </c>
      <c r="C382">
        <v>1995</v>
      </c>
      <c r="D382">
        <v>17</v>
      </c>
      <c r="E382" t="s">
        <v>368</v>
      </c>
      <c r="F382">
        <v>0.34527650300000001</v>
      </c>
    </row>
    <row r="383" spans="1:6" x14ac:dyDescent="0.3">
      <c r="A383" t="s">
        <v>2804</v>
      </c>
      <c r="B383" t="s">
        <v>2022</v>
      </c>
      <c r="C383">
        <v>1995</v>
      </c>
      <c r="D383">
        <v>12</v>
      </c>
      <c r="E383" t="s">
        <v>128</v>
      </c>
      <c r="F383">
        <v>0.26264489800000002</v>
      </c>
    </row>
    <row r="384" spans="1:6" x14ac:dyDescent="0.3">
      <c r="A384" t="s">
        <v>2804</v>
      </c>
      <c r="B384" t="s">
        <v>2022</v>
      </c>
      <c r="C384">
        <v>1995</v>
      </c>
      <c r="D384">
        <v>5</v>
      </c>
      <c r="E384" t="s">
        <v>56</v>
      </c>
      <c r="F384">
        <v>0.39491579900000001</v>
      </c>
    </row>
    <row r="385" spans="1:6" x14ac:dyDescent="0.3">
      <c r="A385" t="s">
        <v>2804</v>
      </c>
      <c r="B385" t="s">
        <v>2022</v>
      </c>
      <c r="C385">
        <v>1995</v>
      </c>
      <c r="D385">
        <v>16</v>
      </c>
      <c r="E385" t="s">
        <v>63</v>
      </c>
      <c r="F385">
        <v>0.75478864400000001</v>
      </c>
    </row>
    <row r="386" spans="1:6" x14ac:dyDescent="0.3">
      <c r="A386" t="s">
        <v>2804</v>
      </c>
      <c r="B386" t="s">
        <v>2022</v>
      </c>
      <c r="C386">
        <v>1995</v>
      </c>
      <c r="D386">
        <v>9</v>
      </c>
      <c r="E386" t="s">
        <v>74</v>
      </c>
      <c r="F386">
        <v>0.43455696900000002</v>
      </c>
    </row>
    <row r="387" spans="1:6" x14ac:dyDescent="0.3">
      <c r="A387" t="s">
        <v>2804</v>
      </c>
      <c r="B387" t="s">
        <v>2022</v>
      </c>
      <c r="C387">
        <v>1995</v>
      </c>
      <c r="D387">
        <v>4</v>
      </c>
      <c r="E387" t="s">
        <v>103</v>
      </c>
      <c r="F387">
        <v>1.460841442</v>
      </c>
    </row>
    <row r="388" spans="1:6" x14ac:dyDescent="0.3">
      <c r="A388" t="s">
        <v>2804</v>
      </c>
      <c r="B388" t="s">
        <v>2022</v>
      </c>
      <c r="C388">
        <v>1995</v>
      </c>
      <c r="D388">
        <v>13</v>
      </c>
      <c r="E388" t="s">
        <v>35</v>
      </c>
      <c r="F388">
        <v>0.52115024399999998</v>
      </c>
    </row>
    <row r="389" spans="1:6" x14ac:dyDescent="0.3">
      <c r="A389" t="s">
        <v>2804</v>
      </c>
      <c r="B389" t="s">
        <v>2022</v>
      </c>
      <c r="C389">
        <v>1995</v>
      </c>
      <c r="D389">
        <v>15</v>
      </c>
      <c r="E389" t="s">
        <v>172</v>
      </c>
      <c r="F389">
        <v>1.7580560380000001</v>
      </c>
    </row>
    <row r="390" spans="1:6" x14ac:dyDescent="0.3">
      <c r="A390" t="s">
        <v>2804</v>
      </c>
      <c r="B390" t="s">
        <v>2022</v>
      </c>
      <c r="C390">
        <v>1995</v>
      </c>
      <c r="D390">
        <v>8</v>
      </c>
      <c r="E390" t="s">
        <v>79</v>
      </c>
      <c r="F390">
        <v>3.2888405540000001</v>
      </c>
    </row>
    <row r="391" spans="1:6" x14ac:dyDescent="0.3">
      <c r="A391" t="s">
        <v>2804</v>
      </c>
      <c r="B391" t="s">
        <v>2022</v>
      </c>
      <c r="C391">
        <v>1995</v>
      </c>
      <c r="D391">
        <v>2</v>
      </c>
      <c r="E391" t="s">
        <v>549</v>
      </c>
      <c r="F391">
        <v>0.42153438399999998</v>
      </c>
    </row>
    <row r="392" spans="1:6" x14ac:dyDescent="0.3">
      <c r="A392" t="s">
        <v>2804</v>
      </c>
      <c r="B392" t="s">
        <v>2022</v>
      </c>
      <c r="C392">
        <v>1995</v>
      </c>
      <c r="D392">
        <v>6</v>
      </c>
      <c r="E392" t="s">
        <v>145</v>
      </c>
      <c r="F392">
        <v>3.8006433789999998</v>
      </c>
    </row>
    <row r="393" spans="1:6" x14ac:dyDescent="0.3">
      <c r="A393" t="s">
        <v>2804</v>
      </c>
      <c r="B393" t="s">
        <v>2022</v>
      </c>
      <c r="C393">
        <v>2030</v>
      </c>
      <c r="D393">
        <v>1</v>
      </c>
      <c r="E393" t="s">
        <v>192</v>
      </c>
      <c r="F393">
        <v>0.448658051</v>
      </c>
    </row>
    <row r="394" spans="1:6" x14ac:dyDescent="0.3">
      <c r="A394" t="s">
        <v>2804</v>
      </c>
      <c r="B394" t="s">
        <v>2022</v>
      </c>
      <c r="C394">
        <v>2030</v>
      </c>
      <c r="D394">
        <v>3</v>
      </c>
      <c r="E394" t="s">
        <v>89</v>
      </c>
      <c r="F394">
        <v>1.2551714009999999</v>
      </c>
    </row>
    <row r="395" spans="1:6" x14ac:dyDescent="0.3">
      <c r="A395" t="s">
        <v>2804</v>
      </c>
      <c r="B395" t="s">
        <v>2022</v>
      </c>
      <c r="C395">
        <v>2030</v>
      </c>
      <c r="D395">
        <v>14</v>
      </c>
      <c r="E395" t="s">
        <v>204</v>
      </c>
      <c r="F395">
        <v>0.87109703800000005</v>
      </c>
    </row>
    <row r="396" spans="1:6" x14ac:dyDescent="0.3">
      <c r="A396" t="s">
        <v>2804</v>
      </c>
      <c r="B396" t="s">
        <v>2022</v>
      </c>
      <c r="C396">
        <v>2030</v>
      </c>
      <c r="D396">
        <v>7</v>
      </c>
      <c r="E396" t="s">
        <v>183</v>
      </c>
      <c r="F396">
        <v>2.179576065</v>
      </c>
    </row>
    <row r="397" spans="1:6" x14ac:dyDescent="0.3">
      <c r="A397" t="s">
        <v>2804</v>
      </c>
      <c r="B397" t="s">
        <v>2022</v>
      </c>
      <c r="C397">
        <v>2030</v>
      </c>
      <c r="D397">
        <v>10</v>
      </c>
      <c r="E397" t="s">
        <v>46</v>
      </c>
      <c r="F397">
        <v>0.46795130800000001</v>
      </c>
    </row>
    <row r="398" spans="1:6" x14ac:dyDescent="0.3">
      <c r="A398" t="s">
        <v>2804</v>
      </c>
      <c r="B398" t="s">
        <v>2022</v>
      </c>
      <c r="C398">
        <v>2030</v>
      </c>
      <c r="D398">
        <v>11</v>
      </c>
      <c r="E398" t="s">
        <v>107</v>
      </c>
      <c r="F398">
        <v>0.64188708299999997</v>
      </c>
    </row>
    <row r="399" spans="1:6" x14ac:dyDescent="0.3">
      <c r="A399" t="s">
        <v>2804</v>
      </c>
      <c r="B399" t="s">
        <v>2022</v>
      </c>
      <c r="C399">
        <v>2030</v>
      </c>
      <c r="D399">
        <v>17</v>
      </c>
      <c r="E399" t="s">
        <v>368</v>
      </c>
      <c r="F399">
        <v>0.34410660399999998</v>
      </c>
    </row>
    <row r="400" spans="1:6" x14ac:dyDescent="0.3">
      <c r="A400" t="s">
        <v>2804</v>
      </c>
      <c r="B400" t="s">
        <v>2022</v>
      </c>
      <c r="C400">
        <v>2030</v>
      </c>
      <c r="D400">
        <v>12</v>
      </c>
      <c r="E400" t="s">
        <v>128</v>
      </c>
      <c r="F400">
        <v>0.21677783</v>
      </c>
    </row>
    <row r="401" spans="1:6" x14ac:dyDescent="0.3">
      <c r="A401" t="s">
        <v>2804</v>
      </c>
      <c r="B401" t="s">
        <v>2022</v>
      </c>
      <c r="C401">
        <v>2030</v>
      </c>
      <c r="D401">
        <v>5</v>
      </c>
      <c r="E401" t="s">
        <v>56</v>
      </c>
      <c r="F401">
        <v>0.30123609200000001</v>
      </c>
    </row>
    <row r="402" spans="1:6" x14ac:dyDescent="0.3">
      <c r="A402" t="s">
        <v>2804</v>
      </c>
      <c r="B402" t="s">
        <v>2022</v>
      </c>
      <c r="C402">
        <v>2030</v>
      </c>
      <c r="D402">
        <v>16</v>
      </c>
      <c r="E402" t="s">
        <v>63</v>
      </c>
      <c r="F402">
        <v>0.71957835299999995</v>
      </c>
    </row>
    <row r="403" spans="1:6" x14ac:dyDescent="0.3">
      <c r="A403" t="s">
        <v>2804</v>
      </c>
      <c r="B403" t="s">
        <v>2022</v>
      </c>
      <c r="C403">
        <v>2030</v>
      </c>
      <c r="D403">
        <v>9</v>
      </c>
      <c r="E403" t="s">
        <v>74</v>
      </c>
      <c r="F403">
        <v>0.46710935999999997</v>
      </c>
    </row>
    <row r="404" spans="1:6" x14ac:dyDescent="0.3">
      <c r="A404" t="s">
        <v>2804</v>
      </c>
      <c r="B404" t="s">
        <v>2022</v>
      </c>
      <c r="C404">
        <v>2030</v>
      </c>
      <c r="D404">
        <v>4</v>
      </c>
      <c r="E404" t="s">
        <v>103</v>
      </c>
      <c r="F404">
        <v>1.389165421</v>
      </c>
    </row>
    <row r="405" spans="1:6" x14ac:dyDescent="0.3">
      <c r="A405" t="s">
        <v>2804</v>
      </c>
      <c r="B405" t="s">
        <v>2022</v>
      </c>
      <c r="C405">
        <v>2030</v>
      </c>
      <c r="D405">
        <v>13</v>
      </c>
      <c r="E405" t="s">
        <v>35</v>
      </c>
      <c r="F405">
        <v>0.62007447000000004</v>
      </c>
    </row>
    <row r="406" spans="1:6" x14ac:dyDescent="0.3">
      <c r="A406" t="s">
        <v>2804</v>
      </c>
      <c r="B406" t="s">
        <v>2022</v>
      </c>
      <c r="C406">
        <v>2030</v>
      </c>
      <c r="D406">
        <v>15</v>
      </c>
      <c r="E406" t="s">
        <v>172</v>
      </c>
      <c r="F406">
        <v>0.97433424899999999</v>
      </c>
    </row>
    <row r="407" spans="1:6" x14ac:dyDescent="0.3">
      <c r="A407" t="s">
        <v>2804</v>
      </c>
      <c r="B407" t="s">
        <v>2022</v>
      </c>
      <c r="C407">
        <v>2030</v>
      </c>
      <c r="D407">
        <v>8</v>
      </c>
      <c r="E407" t="s">
        <v>79</v>
      </c>
      <c r="F407">
        <v>2.5910487999999998</v>
      </c>
    </row>
    <row r="408" spans="1:6" x14ac:dyDescent="0.3">
      <c r="A408" t="s">
        <v>2804</v>
      </c>
      <c r="B408" t="s">
        <v>2022</v>
      </c>
      <c r="C408">
        <v>2030</v>
      </c>
      <c r="D408">
        <v>2</v>
      </c>
      <c r="E408" t="s">
        <v>549</v>
      </c>
      <c r="F408">
        <v>0.40136309999999997</v>
      </c>
    </row>
    <row r="409" spans="1:6" x14ac:dyDescent="0.3">
      <c r="A409" t="s">
        <v>2804</v>
      </c>
      <c r="B409" t="s">
        <v>2022</v>
      </c>
      <c r="C409">
        <v>2030</v>
      </c>
      <c r="D409">
        <v>6</v>
      </c>
      <c r="E409" t="s">
        <v>145</v>
      </c>
      <c r="F409">
        <v>2.6878920979999998</v>
      </c>
    </row>
    <row r="410" spans="1:6" x14ac:dyDescent="0.3">
      <c r="A410" t="s">
        <v>2804</v>
      </c>
      <c r="B410" t="s">
        <v>2017</v>
      </c>
      <c r="C410">
        <v>1970</v>
      </c>
      <c r="D410">
        <v>1</v>
      </c>
      <c r="E410" t="s">
        <v>192</v>
      </c>
      <c r="F410">
        <v>3.4150455000000003E-2</v>
      </c>
    </row>
    <row r="411" spans="1:6" x14ac:dyDescent="0.3">
      <c r="A411" t="s">
        <v>2804</v>
      </c>
      <c r="B411" t="s">
        <v>2017</v>
      </c>
      <c r="C411">
        <v>1970</v>
      </c>
      <c r="D411">
        <v>3</v>
      </c>
      <c r="E411" t="s">
        <v>89</v>
      </c>
      <c r="F411">
        <v>0.81062326600000001</v>
      </c>
    </row>
    <row r="412" spans="1:6" x14ac:dyDescent="0.3">
      <c r="A412" t="s">
        <v>2804</v>
      </c>
      <c r="B412" t="s">
        <v>2017</v>
      </c>
      <c r="C412">
        <v>1970</v>
      </c>
      <c r="D412">
        <v>14</v>
      </c>
      <c r="E412" t="s">
        <v>204</v>
      </c>
      <c r="F412">
        <v>0.86968249799999997</v>
      </c>
    </row>
    <row r="413" spans="1:6" x14ac:dyDescent="0.3">
      <c r="A413" t="s">
        <v>2804</v>
      </c>
      <c r="B413" t="s">
        <v>2017</v>
      </c>
      <c r="C413">
        <v>1970</v>
      </c>
      <c r="D413">
        <v>7</v>
      </c>
      <c r="E413" t="s">
        <v>183</v>
      </c>
      <c r="F413">
        <v>0.58049487499999997</v>
      </c>
    </row>
    <row r="414" spans="1:6" x14ac:dyDescent="0.3">
      <c r="A414" t="s">
        <v>2804</v>
      </c>
      <c r="B414" t="s">
        <v>2017</v>
      </c>
      <c r="C414">
        <v>1970</v>
      </c>
      <c r="D414">
        <v>10</v>
      </c>
      <c r="E414" t="s">
        <v>46</v>
      </c>
      <c r="F414">
        <v>0.372958964</v>
      </c>
    </row>
    <row r="415" spans="1:6" x14ac:dyDescent="0.3">
      <c r="A415" t="s">
        <v>2804</v>
      </c>
      <c r="B415" t="s">
        <v>2017</v>
      </c>
      <c r="C415">
        <v>1970</v>
      </c>
      <c r="D415">
        <v>11</v>
      </c>
      <c r="E415" t="s">
        <v>107</v>
      </c>
      <c r="F415">
        <v>0.410703912</v>
      </c>
    </row>
    <row r="416" spans="1:6" x14ac:dyDescent="0.3">
      <c r="A416" t="s">
        <v>2804</v>
      </c>
      <c r="B416" t="s">
        <v>2017</v>
      </c>
      <c r="C416">
        <v>1970</v>
      </c>
      <c r="D416">
        <v>17</v>
      </c>
      <c r="E416" t="s">
        <v>368</v>
      </c>
      <c r="F416">
        <v>0.30167200100000002</v>
      </c>
    </row>
    <row r="417" spans="1:6" x14ac:dyDescent="0.3">
      <c r="A417" t="s">
        <v>2804</v>
      </c>
      <c r="B417" t="s">
        <v>2017</v>
      </c>
      <c r="C417">
        <v>1970</v>
      </c>
      <c r="D417">
        <v>12</v>
      </c>
      <c r="E417" t="s">
        <v>128</v>
      </c>
      <c r="F417">
        <v>0.72124527699999996</v>
      </c>
    </row>
    <row r="418" spans="1:6" x14ac:dyDescent="0.3">
      <c r="A418" t="s">
        <v>2804</v>
      </c>
      <c r="B418" t="s">
        <v>2017</v>
      </c>
      <c r="C418">
        <v>1970</v>
      </c>
      <c r="D418">
        <v>5</v>
      </c>
      <c r="E418" t="s">
        <v>56</v>
      </c>
      <c r="F418">
        <v>1.356947401</v>
      </c>
    </row>
    <row r="419" spans="1:6" x14ac:dyDescent="0.3">
      <c r="A419" t="s">
        <v>2804</v>
      </c>
      <c r="B419" t="s">
        <v>2017</v>
      </c>
      <c r="C419">
        <v>1970</v>
      </c>
      <c r="D419">
        <v>16</v>
      </c>
      <c r="E419" t="s">
        <v>63</v>
      </c>
      <c r="F419">
        <v>0.450129736</v>
      </c>
    </row>
    <row r="420" spans="1:6" x14ac:dyDescent="0.3">
      <c r="A420" t="s">
        <v>2804</v>
      </c>
      <c r="B420" t="s">
        <v>2017</v>
      </c>
      <c r="C420">
        <v>1970</v>
      </c>
      <c r="D420">
        <v>9</v>
      </c>
      <c r="E420" t="s">
        <v>74</v>
      </c>
      <c r="F420">
        <v>0.55643544199999995</v>
      </c>
    </row>
    <row r="421" spans="1:6" x14ac:dyDescent="0.3">
      <c r="A421" t="s">
        <v>2804</v>
      </c>
      <c r="B421" t="s">
        <v>2017</v>
      </c>
      <c r="C421">
        <v>1970</v>
      </c>
      <c r="D421">
        <v>4</v>
      </c>
      <c r="E421" t="s">
        <v>103</v>
      </c>
      <c r="F421">
        <v>0.91920788499999995</v>
      </c>
    </row>
    <row r="422" spans="1:6" x14ac:dyDescent="0.3">
      <c r="A422" t="s">
        <v>2804</v>
      </c>
      <c r="B422" t="s">
        <v>2017</v>
      </c>
      <c r="C422">
        <v>1970</v>
      </c>
      <c r="D422">
        <v>13</v>
      </c>
      <c r="E422" t="s">
        <v>35</v>
      </c>
      <c r="F422">
        <v>0.79931696200000002</v>
      </c>
    </row>
    <row r="423" spans="1:6" x14ac:dyDescent="0.3">
      <c r="A423" t="s">
        <v>2804</v>
      </c>
      <c r="B423" t="s">
        <v>2017</v>
      </c>
      <c r="C423">
        <v>1970</v>
      </c>
      <c r="D423">
        <v>15</v>
      </c>
      <c r="E423" t="s">
        <v>172</v>
      </c>
      <c r="F423">
        <v>1.8724677359999999</v>
      </c>
    </row>
    <row r="424" spans="1:6" x14ac:dyDescent="0.3">
      <c r="A424" t="s">
        <v>2804</v>
      </c>
      <c r="B424" t="s">
        <v>2017</v>
      </c>
      <c r="C424">
        <v>1970</v>
      </c>
      <c r="D424">
        <v>8</v>
      </c>
      <c r="E424" t="s">
        <v>79</v>
      </c>
      <c r="F424">
        <v>0.210730419</v>
      </c>
    </row>
    <row r="425" spans="1:6" x14ac:dyDescent="0.3">
      <c r="A425" t="s">
        <v>2804</v>
      </c>
      <c r="B425" t="s">
        <v>2017</v>
      </c>
      <c r="C425">
        <v>1970</v>
      </c>
      <c r="D425">
        <v>2</v>
      </c>
      <c r="E425" t="s">
        <v>549</v>
      </c>
      <c r="F425">
        <v>0.20638598699999999</v>
      </c>
    </row>
    <row r="426" spans="1:6" x14ac:dyDescent="0.3">
      <c r="A426" t="s">
        <v>2804</v>
      </c>
      <c r="B426" t="s">
        <v>2017</v>
      </c>
      <c r="C426">
        <v>1970</v>
      </c>
      <c r="D426">
        <v>6</v>
      </c>
      <c r="E426" t="s">
        <v>145</v>
      </c>
      <c r="F426">
        <v>1.1197417489999999</v>
      </c>
    </row>
    <row r="427" spans="1:6" x14ac:dyDescent="0.3">
      <c r="A427" t="s">
        <v>2804</v>
      </c>
      <c r="B427" t="s">
        <v>2017</v>
      </c>
      <c r="C427">
        <v>1995</v>
      </c>
      <c r="D427">
        <v>1</v>
      </c>
      <c r="E427" t="s">
        <v>192</v>
      </c>
      <c r="F427">
        <v>2.8519902999999999E-2</v>
      </c>
    </row>
    <row r="428" spans="1:6" x14ac:dyDescent="0.3">
      <c r="A428" t="s">
        <v>2804</v>
      </c>
      <c r="B428" t="s">
        <v>2017</v>
      </c>
      <c r="C428">
        <v>1995</v>
      </c>
      <c r="D428">
        <v>3</v>
      </c>
      <c r="E428" t="s">
        <v>89</v>
      </c>
      <c r="F428">
        <v>0.81435829999999998</v>
      </c>
    </row>
    <row r="429" spans="1:6" x14ac:dyDescent="0.3">
      <c r="A429" t="s">
        <v>2804</v>
      </c>
      <c r="B429" t="s">
        <v>2017</v>
      </c>
      <c r="C429">
        <v>1995</v>
      </c>
      <c r="D429">
        <v>14</v>
      </c>
      <c r="E429" t="s">
        <v>204</v>
      </c>
      <c r="F429">
        <v>0.63860447499999995</v>
      </c>
    </row>
    <row r="430" spans="1:6" x14ac:dyDescent="0.3">
      <c r="A430" t="s">
        <v>2804</v>
      </c>
      <c r="B430" t="s">
        <v>2017</v>
      </c>
      <c r="C430">
        <v>1995</v>
      </c>
      <c r="D430">
        <v>7</v>
      </c>
      <c r="E430" t="s">
        <v>183</v>
      </c>
      <c r="F430">
        <v>0.67149359900000005</v>
      </c>
    </row>
    <row r="431" spans="1:6" x14ac:dyDescent="0.3">
      <c r="A431" t="s">
        <v>2804</v>
      </c>
      <c r="B431" t="s">
        <v>2017</v>
      </c>
      <c r="C431">
        <v>1995</v>
      </c>
      <c r="D431">
        <v>10</v>
      </c>
      <c r="E431" t="s">
        <v>46</v>
      </c>
      <c r="F431">
        <v>0.34488791299999999</v>
      </c>
    </row>
    <row r="432" spans="1:6" x14ac:dyDescent="0.3">
      <c r="A432" t="s">
        <v>2804</v>
      </c>
      <c r="B432" t="s">
        <v>2017</v>
      </c>
      <c r="C432">
        <v>1995</v>
      </c>
      <c r="D432">
        <v>11</v>
      </c>
      <c r="E432" t="s">
        <v>107</v>
      </c>
      <c r="F432">
        <v>0.40585061099999997</v>
      </c>
    </row>
    <row r="433" spans="1:6" x14ac:dyDescent="0.3">
      <c r="A433" t="s">
        <v>2804</v>
      </c>
      <c r="B433" t="s">
        <v>2017</v>
      </c>
      <c r="C433">
        <v>1995</v>
      </c>
      <c r="D433">
        <v>17</v>
      </c>
      <c r="E433" t="s">
        <v>368</v>
      </c>
      <c r="F433">
        <v>0.29716319400000002</v>
      </c>
    </row>
    <row r="434" spans="1:6" x14ac:dyDescent="0.3">
      <c r="A434" t="s">
        <v>2804</v>
      </c>
      <c r="B434" t="s">
        <v>2017</v>
      </c>
      <c r="C434">
        <v>1995</v>
      </c>
      <c r="D434">
        <v>12</v>
      </c>
      <c r="E434" t="s">
        <v>128</v>
      </c>
      <c r="F434">
        <v>0.76316557299999999</v>
      </c>
    </row>
    <row r="435" spans="1:6" x14ac:dyDescent="0.3">
      <c r="A435" t="s">
        <v>2804</v>
      </c>
      <c r="B435" t="s">
        <v>2017</v>
      </c>
      <c r="C435">
        <v>1995</v>
      </c>
      <c r="D435">
        <v>5</v>
      </c>
      <c r="E435" t="s">
        <v>56</v>
      </c>
      <c r="F435">
        <v>1.2605975089999999</v>
      </c>
    </row>
    <row r="436" spans="1:6" x14ac:dyDescent="0.3">
      <c r="A436" t="s">
        <v>2804</v>
      </c>
      <c r="B436" t="s">
        <v>2017</v>
      </c>
      <c r="C436">
        <v>1995</v>
      </c>
      <c r="D436">
        <v>16</v>
      </c>
      <c r="E436" t="s">
        <v>63</v>
      </c>
      <c r="F436">
        <v>0.41938916700000001</v>
      </c>
    </row>
    <row r="437" spans="1:6" x14ac:dyDescent="0.3">
      <c r="A437" t="s">
        <v>2804</v>
      </c>
      <c r="B437" t="s">
        <v>2017</v>
      </c>
      <c r="C437">
        <v>1995</v>
      </c>
      <c r="D437">
        <v>9</v>
      </c>
      <c r="E437" t="s">
        <v>74</v>
      </c>
      <c r="F437">
        <v>0.490879028</v>
      </c>
    </row>
    <row r="438" spans="1:6" x14ac:dyDescent="0.3">
      <c r="A438" t="s">
        <v>2804</v>
      </c>
      <c r="B438" t="s">
        <v>2017</v>
      </c>
      <c r="C438">
        <v>1995</v>
      </c>
      <c r="D438">
        <v>4</v>
      </c>
      <c r="E438" t="s">
        <v>103</v>
      </c>
      <c r="F438">
        <v>0.86120638999999999</v>
      </c>
    </row>
    <row r="439" spans="1:6" x14ac:dyDescent="0.3">
      <c r="A439" t="s">
        <v>2804</v>
      </c>
      <c r="B439" t="s">
        <v>2017</v>
      </c>
      <c r="C439">
        <v>1995</v>
      </c>
      <c r="D439">
        <v>13</v>
      </c>
      <c r="E439" t="s">
        <v>35</v>
      </c>
      <c r="F439">
        <v>0.63140777400000003</v>
      </c>
    </row>
    <row r="440" spans="1:6" x14ac:dyDescent="0.3">
      <c r="A440" t="s">
        <v>2804</v>
      </c>
      <c r="B440" t="s">
        <v>2017</v>
      </c>
      <c r="C440">
        <v>1995</v>
      </c>
      <c r="D440">
        <v>15</v>
      </c>
      <c r="E440" t="s">
        <v>172</v>
      </c>
      <c r="F440">
        <v>1.356718485</v>
      </c>
    </row>
    <row r="441" spans="1:6" x14ac:dyDescent="0.3">
      <c r="A441" t="s">
        <v>2804</v>
      </c>
      <c r="B441" t="s">
        <v>2017</v>
      </c>
      <c r="C441">
        <v>1995</v>
      </c>
      <c r="D441">
        <v>8</v>
      </c>
      <c r="E441" t="s">
        <v>79</v>
      </c>
      <c r="F441">
        <v>0.44920676700000001</v>
      </c>
    </row>
    <row r="442" spans="1:6" x14ac:dyDescent="0.3">
      <c r="A442" t="s">
        <v>2804</v>
      </c>
      <c r="B442" t="s">
        <v>2017</v>
      </c>
      <c r="C442">
        <v>1995</v>
      </c>
      <c r="D442">
        <v>2</v>
      </c>
      <c r="E442" t="s">
        <v>549</v>
      </c>
      <c r="F442">
        <v>0.17374695400000001</v>
      </c>
    </row>
    <row r="443" spans="1:6" x14ac:dyDescent="0.3">
      <c r="A443" t="s">
        <v>2804</v>
      </c>
      <c r="B443" t="s">
        <v>2017</v>
      </c>
      <c r="C443">
        <v>1995</v>
      </c>
      <c r="D443">
        <v>6</v>
      </c>
      <c r="E443" t="s">
        <v>145</v>
      </c>
      <c r="F443">
        <v>1.066828712</v>
      </c>
    </row>
    <row r="444" spans="1:6" x14ac:dyDescent="0.3">
      <c r="A444" t="s">
        <v>2804</v>
      </c>
      <c r="B444" t="s">
        <v>2017</v>
      </c>
      <c r="C444">
        <v>2030</v>
      </c>
      <c r="D444">
        <v>1</v>
      </c>
      <c r="E444" t="s">
        <v>192</v>
      </c>
      <c r="F444">
        <v>2.8698609E-2</v>
      </c>
    </row>
    <row r="445" spans="1:6" x14ac:dyDescent="0.3">
      <c r="A445" t="s">
        <v>2804</v>
      </c>
      <c r="B445" t="s">
        <v>2017</v>
      </c>
      <c r="C445">
        <v>2030</v>
      </c>
      <c r="D445">
        <v>3</v>
      </c>
      <c r="E445" t="s">
        <v>89</v>
      </c>
      <c r="F445">
        <v>0.76816157900000004</v>
      </c>
    </row>
    <row r="446" spans="1:6" x14ac:dyDescent="0.3">
      <c r="A446" t="s">
        <v>2804</v>
      </c>
      <c r="B446" t="s">
        <v>2017</v>
      </c>
      <c r="C446">
        <v>2030</v>
      </c>
      <c r="D446">
        <v>14</v>
      </c>
      <c r="E446" t="s">
        <v>204</v>
      </c>
      <c r="F446">
        <v>0.56661087899999996</v>
      </c>
    </row>
    <row r="447" spans="1:6" x14ac:dyDescent="0.3">
      <c r="A447" t="s">
        <v>2804</v>
      </c>
      <c r="B447" t="s">
        <v>2017</v>
      </c>
      <c r="C447">
        <v>2030</v>
      </c>
      <c r="D447">
        <v>7</v>
      </c>
      <c r="E447" t="s">
        <v>183</v>
      </c>
      <c r="F447">
        <v>0.63808285300000001</v>
      </c>
    </row>
    <row r="448" spans="1:6" x14ac:dyDescent="0.3">
      <c r="A448" t="s">
        <v>2804</v>
      </c>
      <c r="B448" t="s">
        <v>2017</v>
      </c>
      <c r="C448">
        <v>2030</v>
      </c>
      <c r="D448">
        <v>10</v>
      </c>
      <c r="E448" t="s">
        <v>46</v>
      </c>
      <c r="F448">
        <v>0.32740333199999999</v>
      </c>
    </row>
    <row r="449" spans="1:6" x14ac:dyDescent="0.3">
      <c r="A449" t="s">
        <v>2804</v>
      </c>
      <c r="B449" t="s">
        <v>2017</v>
      </c>
      <c r="C449">
        <v>2030</v>
      </c>
      <c r="D449">
        <v>11</v>
      </c>
      <c r="E449" t="s">
        <v>107</v>
      </c>
      <c r="F449">
        <v>0.35341692600000002</v>
      </c>
    </row>
    <row r="450" spans="1:6" x14ac:dyDescent="0.3">
      <c r="A450" t="s">
        <v>2804</v>
      </c>
      <c r="B450" t="s">
        <v>2017</v>
      </c>
      <c r="C450">
        <v>2030</v>
      </c>
      <c r="D450">
        <v>17</v>
      </c>
      <c r="E450" t="s">
        <v>368</v>
      </c>
      <c r="F450">
        <v>0.296156317</v>
      </c>
    </row>
    <row r="451" spans="1:6" x14ac:dyDescent="0.3">
      <c r="A451" t="s">
        <v>2804</v>
      </c>
      <c r="B451" t="s">
        <v>2017</v>
      </c>
      <c r="C451">
        <v>2030</v>
      </c>
      <c r="D451">
        <v>12</v>
      </c>
      <c r="E451" t="s">
        <v>128</v>
      </c>
      <c r="F451">
        <v>0.67745713600000002</v>
      </c>
    </row>
    <row r="452" spans="1:6" x14ac:dyDescent="0.3">
      <c r="A452" t="s">
        <v>2804</v>
      </c>
      <c r="B452" t="s">
        <v>2017</v>
      </c>
      <c r="C452">
        <v>2030</v>
      </c>
      <c r="D452">
        <v>5</v>
      </c>
      <c r="E452" t="s">
        <v>56</v>
      </c>
      <c r="F452">
        <v>1.0333445800000001</v>
      </c>
    </row>
    <row r="453" spans="1:6" x14ac:dyDescent="0.3">
      <c r="A453" t="s">
        <v>2804</v>
      </c>
      <c r="B453" t="s">
        <v>2017</v>
      </c>
      <c r="C453">
        <v>2030</v>
      </c>
      <c r="D453">
        <v>16</v>
      </c>
      <c r="E453" t="s">
        <v>63</v>
      </c>
      <c r="F453">
        <v>0.40680970999999999</v>
      </c>
    </row>
    <row r="454" spans="1:6" x14ac:dyDescent="0.3">
      <c r="A454" t="s">
        <v>2804</v>
      </c>
      <c r="B454" t="s">
        <v>2017</v>
      </c>
      <c r="C454">
        <v>2030</v>
      </c>
      <c r="D454">
        <v>9</v>
      </c>
      <c r="E454" t="s">
        <v>74</v>
      </c>
      <c r="F454">
        <v>0.52765046900000001</v>
      </c>
    </row>
    <row r="455" spans="1:6" x14ac:dyDescent="0.3">
      <c r="A455" t="s">
        <v>2804</v>
      </c>
      <c r="B455" t="s">
        <v>2017</v>
      </c>
      <c r="C455">
        <v>2030</v>
      </c>
      <c r="D455">
        <v>4</v>
      </c>
      <c r="E455" t="s">
        <v>103</v>
      </c>
      <c r="F455">
        <v>0.95793584300000001</v>
      </c>
    </row>
    <row r="456" spans="1:6" x14ac:dyDescent="0.3">
      <c r="A456" t="s">
        <v>2804</v>
      </c>
      <c r="B456" t="s">
        <v>2017</v>
      </c>
      <c r="C456">
        <v>2030</v>
      </c>
      <c r="D456">
        <v>13</v>
      </c>
      <c r="E456" t="s">
        <v>35</v>
      </c>
      <c r="F456">
        <v>0.75588804700000001</v>
      </c>
    </row>
    <row r="457" spans="1:6" x14ac:dyDescent="0.3">
      <c r="A457" t="s">
        <v>2804</v>
      </c>
      <c r="B457" t="s">
        <v>2017</v>
      </c>
      <c r="C457">
        <v>2030</v>
      </c>
      <c r="D457">
        <v>15</v>
      </c>
      <c r="E457" t="s">
        <v>172</v>
      </c>
      <c r="F457">
        <v>0.75797644200000003</v>
      </c>
    </row>
    <row r="458" spans="1:6" x14ac:dyDescent="0.3">
      <c r="A458" t="s">
        <v>2804</v>
      </c>
      <c r="B458" t="s">
        <v>2017</v>
      </c>
      <c r="C458">
        <v>2030</v>
      </c>
      <c r="D458">
        <v>8</v>
      </c>
      <c r="E458" t="s">
        <v>79</v>
      </c>
      <c r="F458">
        <v>0.696186482</v>
      </c>
    </row>
    <row r="459" spans="1:6" x14ac:dyDescent="0.3">
      <c r="A459" t="s">
        <v>2804</v>
      </c>
      <c r="B459" t="s">
        <v>2017</v>
      </c>
      <c r="C459">
        <v>2030</v>
      </c>
      <c r="D459">
        <v>2</v>
      </c>
      <c r="E459" t="s">
        <v>549</v>
      </c>
      <c r="F459">
        <v>0.168929511</v>
      </c>
    </row>
    <row r="460" spans="1:6" x14ac:dyDescent="0.3">
      <c r="A460" t="s">
        <v>2804</v>
      </c>
      <c r="B460" t="s">
        <v>2017</v>
      </c>
      <c r="C460">
        <v>2030</v>
      </c>
      <c r="D460">
        <v>6</v>
      </c>
      <c r="E460" t="s">
        <v>145</v>
      </c>
      <c r="F460">
        <v>0.99045287000000004</v>
      </c>
    </row>
    <row r="461" spans="1:6" x14ac:dyDescent="0.3">
      <c r="A461" t="s">
        <v>2804</v>
      </c>
      <c r="B461" t="s">
        <v>2158</v>
      </c>
      <c r="C461">
        <v>1970</v>
      </c>
      <c r="D461">
        <v>1</v>
      </c>
      <c r="E461" t="s">
        <v>192</v>
      </c>
      <c r="F461">
        <v>0</v>
      </c>
    </row>
    <row r="462" spans="1:6" x14ac:dyDescent="0.3">
      <c r="A462" t="s">
        <v>2804</v>
      </c>
      <c r="B462" t="s">
        <v>2158</v>
      </c>
      <c r="C462">
        <v>1970</v>
      </c>
      <c r="D462">
        <v>3</v>
      </c>
      <c r="E462" t="s">
        <v>89</v>
      </c>
      <c r="F462">
        <v>0.13403220399999999</v>
      </c>
    </row>
    <row r="463" spans="1:6" x14ac:dyDescent="0.3">
      <c r="A463" t="s">
        <v>2804</v>
      </c>
      <c r="B463" t="s">
        <v>2158</v>
      </c>
      <c r="C463">
        <v>1970</v>
      </c>
      <c r="D463">
        <v>14</v>
      </c>
      <c r="E463" t="s">
        <v>204</v>
      </c>
      <c r="F463">
        <v>0.149341154</v>
      </c>
    </row>
    <row r="464" spans="1:6" x14ac:dyDescent="0.3">
      <c r="A464" t="s">
        <v>2804</v>
      </c>
      <c r="B464" t="s">
        <v>2158</v>
      </c>
      <c r="C464">
        <v>1970</v>
      </c>
      <c r="D464">
        <v>7</v>
      </c>
      <c r="E464" t="s">
        <v>183</v>
      </c>
      <c r="F464">
        <v>0.205124059</v>
      </c>
    </row>
    <row r="465" spans="1:6" x14ac:dyDescent="0.3">
      <c r="A465" t="s">
        <v>2804</v>
      </c>
      <c r="B465" t="s">
        <v>2158</v>
      </c>
      <c r="C465">
        <v>1970</v>
      </c>
      <c r="D465">
        <v>10</v>
      </c>
      <c r="E465" t="s">
        <v>46</v>
      </c>
      <c r="F465">
        <v>0</v>
      </c>
    </row>
    <row r="466" spans="1:6" x14ac:dyDescent="0.3">
      <c r="A466" t="s">
        <v>2804</v>
      </c>
      <c r="B466" t="s">
        <v>2158</v>
      </c>
      <c r="C466">
        <v>1970</v>
      </c>
      <c r="D466">
        <v>11</v>
      </c>
      <c r="E466" t="s">
        <v>107</v>
      </c>
      <c r="F466">
        <v>0</v>
      </c>
    </row>
    <row r="467" spans="1:6" x14ac:dyDescent="0.3">
      <c r="A467" t="s">
        <v>2804</v>
      </c>
      <c r="B467" t="s">
        <v>2158</v>
      </c>
      <c r="C467">
        <v>1970</v>
      </c>
      <c r="D467">
        <v>17</v>
      </c>
      <c r="E467" t="s">
        <v>368</v>
      </c>
      <c r="F467">
        <v>0</v>
      </c>
    </row>
    <row r="468" spans="1:6" x14ac:dyDescent="0.3">
      <c r="A468" t="s">
        <v>2804</v>
      </c>
      <c r="B468" t="s">
        <v>2158</v>
      </c>
      <c r="C468">
        <v>1970</v>
      </c>
      <c r="D468">
        <v>12</v>
      </c>
      <c r="E468" t="s">
        <v>128</v>
      </c>
      <c r="F468">
        <v>6.7049154E-2</v>
      </c>
    </row>
    <row r="469" spans="1:6" x14ac:dyDescent="0.3">
      <c r="A469" t="s">
        <v>2804</v>
      </c>
      <c r="B469" t="s">
        <v>2158</v>
      </c>
      <c r="C469">
        <v>1970</v>
      </c>
      <c r="D469">
        <v>5</v>
      </c>
      <c r="E469" t="s">
        <v>56</v>
      </c>
      <c r="F469">
        <v>0.12004253199999999</v>
      </c>
    </row>
    <row r="470" spans="1:6" x14ac:dyDescent="0.3">
      <c r="A470" t="s">
        <v>2804</v>
      </c>
      <c r="B470" t="s">
        <v>2158</v>
      </c>
      <c r="C470">
        <v>1970</v>
      </c>
      <c r="D470">
        <v>16</v>
      </c>
      <c r="E470" t="s">
        <v>63</v>
      </c>
      <c r="F470">
        <v>0</v>
      </c>
    </row>
    <row r="471" spans="1:6" x14ac:dyDescent="0.3">
      <c r="A471" t="s">
        <v>2804</v>
      </c>
      <c r="B471" t="s">
        <v>2158</v>
      </c>
      <c r="C471">
        <v>1970</v>
      </c>
      <c r="D471">
        <v>9</v>
      </c>
      <c r="E471" t="s">
        <v>74</v>
      </c>
      <c r="F471">
        <v>0</v>
      </c>
    </row>
    <row r="472" spans="1:6" x14ac:dyDescent="0.3">
      <c r="A472" t="s">
        <v>2804</v>
      </c>
      <c r="B472" t="s">
        <v>2158</v>
      </c>
      <c r="C472">
        <v>1970</v>
      </c>
      <c r="D472">
        <v>4</v>
      </c>
      <c r="E472" t="s">
        <v>103</v>
      </c>
      <c r="F472">
        <v>0.14174798499999999</v>
      </c>
    </row>
    <row r="473" spans="1:6" x14ac:dyDescent="0.3">
      <c r="A473" t="s">
        <v>2804</v>
      </c>
      <c r="B473" t="s">
        <v>2158</v>
      </c>
      <c r="C473">
        <v>1970</v>
      </c>
      <c r="D473">
        <v>13</v>
      </c>
      <c r="E473" t="s">
        <v>35</v>
      </c>
      <c r="F473">
        <v>0.66194686800000002</v>
      </c>
    </row>
    <row r="474" spans="1:6" x14ac:dyDescent="0.3">
      <c r="A474" t="s">
        <v>2804</v>
      </c>
      <c r="B474" t="s">
        <v>2158</v>
      </c>
      <c r="C474">
        <v>1970</v>
      </c>
      <c r="D474">
        <v>15</v>
      </c>
      <c r="E474" t="s">
        <v>172</v>
      </c>
      <c r="F474">
        <v>0.56136623900000004</v>
      </c>
    </row>
    <row r="475" spans="1:6" x14ac:dyDescent="0.3">
      <c r="A475" t="s">
        <v>2804</v>
      </c>
      <c r="B475" t="s">
        <v>2158</v>
      </c>
      <c r="C475">
        <v>1970</v>
      </c>
      <c r="D475">
        <v>8</v>
      </c>
      <c r="E475" t="s">
        <v>79</v>
      </c>
      <c r="F475">
        <v>0.18566248599999999</v>
      </c>
    </row>
    <row r="476" spans="1:6" x14ac:dyDescent="0.3">
      <c r="A476" t="s">
        <v>2804</v>
      </c>
      <c r="B476" t="s">
        <v>2158</v>
      </c>
      <c r="C476">
        <v>1970</v>
      </c>
      <c r="D476">
        <v>2</v>
      </c>
      <c r="E476" t="s">
        <v>549</v>
      </c>
      <c r="F476">
        <v>0</v>
      </c>
    </row>
    <row r="477" spans="1:6" x14ac:dyDescent="0.3">
      <c r="A477" t="s">
        <v>2804</v>
      </c>
      <c r="B477" t="s">
        <v>2158</v>
      </c>
      <c r="C477">
        <v>1970</v>
      </c>
      <c r="D477">
        <v>6</v>
      </c>
      <c r="E477" t="s">
        <v>145</v>
      </c>
      <c r="F477">
        <v>0.287909737</v>
      </c>
    </row>
    <row r="478" spans="1:6" x14ac:dyDescent="0.3">
      <c r="A478" t="s">
        <v>2804</v>
      </c>
      <c r="B478" t="s">
        <v>2158</v>
      </c>
      <c r="C478">
        <v>1995</v>
      </c>
      <c r="D478">
        <v>1</v>
      </c>
      <c r="E478" t="s">
        <v>192</v>
      </c>
      <c r="F478">
        <v>0</v>
      </c>
    </row>
    <row r="479" spans="1:6" x14ac:dyDescent="0.3">
      <c r="A479" t="s">
        <v>2804</v>
      </c>
      <c r="B479" t="s">
        <v>2158</v>
      </c>
      <c r="C479">
        <v>1995</v>
      </c>
      <c r="D479">
        <v>3</v>
      </c>
      <c r="E479" t="s">
        <v>89</v>
      </c>
      <c r="F479">
        <v>0.134649772</v>
      </c>
    </row>
    <row r="480" spans="1:6" x14ac:dyDescent="0.3">
      <c r="A480" t="s">
        <v>2804</v>
      </c>
      <c r="B480" t="s">
        <v>2158</v>
      </c>
      <c r="C480">
        <v>1995</v>
      </c>
      <c r="D480">
        <v>14</v>
      </c>
      <c r="E480" t="s">
        <v>204</v>
      </c>
      <c r="F480">
        <v>0.108822352</v>
      </c>
    </row>
    <row r="481" spans="1:6" x14ac:dyDescent="0.3">
      <c r="A481" t="s">
        <v>2804</v>
      </c>
      <c r="B481" t="s">
        <v>2158</v>
      </c>
      <c r="C481">
        <v>1995</v>
      </c>
      <c r="D481">
        <v>7</v>
      </c>
      <c r="E481" t="s">
        <v>183</v>
      </c>
      <c r="F481">
        <v>0.18252263799999999</v>
      </c>
    </row>
    <row r="482" spans="1:6" x14ac:dyDescent="0.3">
      <c r="A482" t="s">
        <v>2804</v>
      </c>
      <c r="B482" t="s">
        <v>2158</v>
      </c>
      <c r="C482">
        <v>1995</v>
      </c>
      <c r="D482">
        <v>10</v>
      </c>
      <c r="E482" t="s">
        <v>46</v>
      </c>
      <c r="F482">
        <v>0</v>
      </c>
    </row>
    <row r="483" spans="1:6" x14ac:dyDescent="0.3">
      <c r="A483" t="s">
        <v>2804</v>
      </c>
      <c r="B483" t="s">
        <v>2158</v>
      </c>
      <c r="C483">
        <v>1995</v>
      </c>
      <c r="D483">
        <v>11</v>
      </c>
      <c r="E483" t="s">
        <v>107</v>
      </c>
      <c r="F483">
        <v>0</v>
      </c>
    </row>
    <row r="484" spans="1:6" x14ac:dyDescent="0.3">
      <c r="A484" t="s">
        <v>2804</v>
      </c>
      <c r="B484" t="s">
        <v>2158</v>
      </c>
      <c r="C484">
        <v>1995</v>
      </c>
      <c r="D484">
        <v>17</v>
      </c>
      <c r="E484" t="s">
        <v>368</v>
      </c>
      <c r="F484">
        <v>0</v>
      </c>
    </row>
    <row r="485" spans="1:6" x14ac:dyDescent="0.3">
      <c r="A485" t="s">
        <v>2804</v>
      </c>
      <c r="B485" t="s">
        <v>2158</v>
      </c>
      <c r="C485">
        <v>1995</v>
      </c>
      <c r="D485">
        <v>12</v>
      </c>
      <c r="E485" t="s">
        <v>128</v>
      </c>
      <c r="F485">
        <v>7.2795149000000003E-2</v>
      </c>
    </row>
    <row r="486" spans="1:6" x14ac:dyDescent="0.3">
      <c r="A486" t="s">
        <v>2804</v>
      </c>
      <c r="B486" t="s">
        <v>2158</v>
      </c>
      <c r="C486">
        <v>1995</v>
      </c>
      <c r="D486">
        <v>5</v>
      </c>
      <c r="E486" t="s">
        <v>56</v>
      </c>
      <c r="F486">
        <v>0.113481552</v>
      </c>
    </row>
    <row r="487" spans="1:6" x14ac:dyDescent="0.3">
      <c r="A487" t="s">
        <v>2804</v>
      </c>
      <c r="B487" t="s">
        <v>2158</v>
      </c>
      <c r="C487">
        <v>1995</v>
      </c>
      <c r="D487">
        <v>16</v>
      </c>
      <c r="E487" t="s">
        <v>63</v>
      </c>
      <c r="F487">
        <v>0</v>
      </c>
    </row>
    <row r="488" spans="1:6" x14ac:dyDescent="0.3">
      <c r="A488" t="s">
        <v>2804</v>
      </c>
      <c r="B488" t="s">
        <v>2158</v>
      </c>
      <c r="C488">
        <v>1995</v>
      </c>
      <c r="D488">
        <v>9</v>
      </c>
      <c r="E488" t="s">
        <v>74</v>
      </c>
      <c r="F488">
        <v>0</v>
      </c>
    </row>
    <row r="489" spans="1:6" x14ac:dyDescent="0.3">
      <c r="A489" t="s">
        <v>2804</v>
      </c>
      <c r="B489" t="s">
        <v>2158</v>
      </c>
      <c r="C489">
        <v>1995</v>
      </c>
      <c r="D489">
        <v>4</v>
      </c>
      <c r="E489" t="s">
        <v>103</v>
      </c>
      <c r="F489">
        <v>0.13280376699999999</v>
      </c>
    </row>
    <row r="490" spans="1:6" x14ac:dyDescent="0.3">
      <c r="A490" t="s">
        <v>2804</v>
      </c>
      <c r="B490" t="s">
        <v>2158</v>
      </c>
      <c r="C490">
        <v>1995</v>
      </c>
      <c r="D490">
        <v>13</v>
      </c>
      <c r="E490" t="s">
        <v>35</v>
      </c>
      <c r="F490">
        <v>0.52115024399999998</v>
      </c>
    </row>
    <row r="491" spans="1:6" x14ac:dyDescent="0.3">
      <c r="A491" t="s">
        <v>2804</v>
      </c>
      <c r="B491" t="s">
        <v>2158</v>
      </c>
      <c r="C491">
        <v>1995</v>
      </c>
      <c r="D491">
        <v>15</v>
      </c>
      <c r="E491" t="s">
        <v>172</v>
      </c>
      <c r="F491">
        <v>0.40106261799999998</v>
      </c>
    </row>
    <row r="492" spans="1:6" x14ac:dyDescent="0.3">
      <c r="A492" t="s">
        <v>2804</v>
      </c>
      <c r="B492" t="s">
        <v>2158</v>
      </c>
      <c r="C492">
        <v>1995</v>
      </c>
      <c r="D492">
        <v>8</v>
      </c>
      <c r="E492" t="s">
        <v>79</v>
      </c>
      <c r="F492">
        <v>0.21014955599999999</v>
      </c>
    </row>
    <row r="493" spans="1:6" x14ac:dyDescent="0.3">
      <c r="A493" t="s">
        <v>2804</v>
      </c>
      <c r="B493" t="s">
        <v>2158</v>
      </c>
      <c r="C493">
        <v>1995</v>
      </c>
      <c r="D493">
        <v>2</v>
      </c>
      <c r="E493" t="s">
        <v>549</v>
      </c>
      <c r="F493">
        <v>0</v>
      </c>
    </row>
    <row r="494" spans="1:6" x14ac:dyDescent="0.3">
      <c r="A494" t="s">
        <v>2804</v>
      </c>
      <c r="B494" t="s">
        <v>2158</v>
      </c>
      <c r="C494">
        <v>1995</v>
      </c>
      <c r="D494">
        <v>6</v>
      </c>
      <c r="E494" t="s">
        <v>145</v>
      </c>
      <c r="F494">
        <v>0.26211333599999997</v>
      </c>
    </row>
    <row r="495" spans="1:6" x14ac:dyDescent="0.3">
      <c r="A495" t="s">
        <v>2804</v>
      </c>
      <c r="B495" t="s">
        <v>2158</v>
      </c>
      <c r="C495">
        <v>2030</v>
      </c>
      <c r="D495">
        <v>1</v>
      </c>
      <c r="E495" t="s">
        <v>192</v>
      </c>
      <c r="F495">
        <v>0</v>
      </c>
    </row>
    <row r="496" spans="1:6" x14ac:dyDescent="0.3">
      <c r="A496" t="s">
        <v>2804</v>
      </c>
      <c r="B496" t="s">
        <v>2158</v>
      </c>
      <c r="C496">
        <v>2030</v>
      </c>
      <c r="D496">
        <v>3</v>
      </c>
      <c r="E496" t="s">
        <v>89</v>
      </c>
      <c r="F496">
        <v>0.11954013300000001</v>
      </c>
    </row>
    <row r="497" spans="1:6" x14ac:dyDescent="0.3">
      <c r="A497" t="s">
        <v>2804</v>
      </c>
      <c r="B497" t="s">
        <v>2158</v>
      </c>
      <c r="C497">
        <v>2030</v>
      </c>
      <c r="D497">
        <v>14</v>
      </c>
      <c r="E497" t="s">
        <v>204</v>
      </c>
      <c r="F497">
        <v>9.6360292E-2</v>
      </c>
    </row>
    <row r="498" spans="1:6" x14ac:dyDescent="0.3">
      <c r="A498" t="s">
        <v>2804</v>
      </c>
      <c r="B498" t="s">
        <v>2158</v>
      </c>
      <c r="C498">
        <v>2030</v>
      </c>
      <c r="D498">
        <v>7</v>
      </c>
      <c r="E498" t="s">
        <v>183</v>
      </c>
      <c r="F498">
        <v>0.150315591</v>
      </c>
    </row>
    <row r="499" spans="1:6" x14ac:dyDescent="0.3">
      <c r="A499" t="s">
        <v>2804</v>
      </c>
      <c r="B499" t="s">
        <v>2158</v>
      </c>
      <c r="C499">
        <v>2030</v>
      </c>
      <c r="D499">
        <v>10</v>
      </c>
      <c r="E499" t="s">
        <v>46</v>
      </c>
      <c r="F499">
        <v>0</v>
      </c>
    </row>
    <row r="500" spans="1:6" x14ac:dyDescent="0.3">
      <c r="A500" t="s">
        <v>2804</v>
      </c>
      <c r="B500" t="s">
        <v>2158</v>
      </c>
      <c r="C500">
        <v>2030</v>
      </c>
      <c r="D500">
        <v>11</v>
      </c>
      <c r="E500" t="s">
        <v>107</v>
      </c>
      <c r="F500">
        <v>0</v>
      </c>
    </row>
    <row r="501" spans="1:6" x14ac:dyDescent="0.3">
      <c r="A501" t="s">
        <v>2804</v>
      </c>
      <c r="B501" t="s">
        <v>2158</v>
      </c>
      <c r="C501">
        <v>2030</v>
      </c>
      <c r="D501">
        <v>17</v>
      </c>
      <c r="E501" t="s">
        <v>368</v>
      </c>
      <c r="F501">
        <v>0</v>
      </c>
    </row>
    <row r="502" spans="1:6" x14ac:dyDescent="0.3">
      <c r="A502" t="s">
        <v>2804</v>
      </c>
      <c r="B502" t="s">
        <v>2158</v>
      </c>
      <c r="C502">
        <v>2030</v>
      </c>
      <c r="D502">
        <v>12</v>
      </c>
      <c r="E502" t="s">
        <v>128</v>
      </c>
      <c r="F502">
        <v>6.3758184999999995E-2</v>
      </c>
    </row>
    <row r="503" spans="1:6" x14ac:dyDescent="0.3">
      <c r="A503" t="s">
        <v>2804</v>
      </c>
      <c r="B503" t="s">
        <v>2158</v>
      </c>
      <c r="C503">
        <v>2030</v>
      </c>
      <c r="D503">
        <v>5</v>
      </c>
      <c r="E503" t="s">
        <v>56</v>
      </c>
      <c r="F503">
        <v>9.1840272000000001E-2</v>
      </c>
    </row>
    <row r="504" spans="1:6" x14ac:dyDescent="0.3">
      <c r="A504" t="s">
        <v>2804</v>
      </c>
      <c r="B504" t="s">
        <v>2158</v>
      </c>
      <c r="C504">
        <v>2030</v>
      </c>
      <c r="D504">
        <v>16</v>
      </c>
      <c r="E504" t="s">
        <v>63</v>
      </c>
      <c r="F504">
        <v>0</v>
      </c>
    </row>
    <row r="505" spans="1:6" x14ac:dyDescent="0.3">
      <c r="A505" t="s">
        <v>2804</v>
      </c>
      <c r="B505" t="s">
        <v>2158</v>
      </c>
      <c r="C505">
        <v>2030</v>
      </c>
      <c r="D505">
        <v>9</v>
      </c>
      <c r="E505" t="s">
        <v>74</v>
      </c>
      <c r="F505">
        <v>0</v>
      </c>
    </row>
    <row r="506" spans="1:6" x14ac:dyDescent="0.3">
      <c r="A506" t="s">
        <v>2804</v>
      </c>
      <c r="B506" t="s">
        <v>2158</v>
      </c>
      <c r="C506">
        <v>2030</v>
      </c>
      <c r="D506">
        <v>4</v>
      </c>
      <c r="E506" t="s">
        <v>103</v>
      </c>
      <c r="F506">
        <v>0.13531190400000001</v>
      </c>
    </row>
    <row r="507" spans="1:6" x14ac:dyDescent="0.3">
      <c r="A507" t="s">
        <v>2804</v>
      </c>
      <c r="B507" t="s">
        <v>2158</v>
      </c>
      <c r="C507">
        <v>2030</v>
      </c>
      <c r="D507">
        <v>13</v>
      </c>
      <c r="E507" t="s">
        <v>35</v>
      </c>
      <c r="F507">
        <v>0.62007447000000004</v>
      </c>
    </row>
    <row r="508" spans="1:6" x14ac:dyDescent="0.3">
      <c r="A508" t="s">
        <v>2804</v>
      </c>
      <c r="B508" t="s">
        <v>2158</v>
      </c>
      <c r="C508">
        <v>2030</v>
      </c>
      <c r="D508">
        <v>15</v>
      </c>
      <c r="E508" t="s">
        <v>172</v>
      </c>
      <c r="F508">
        <v>0.21882518000000001</v>
      </c>
    </row>
    <row r="509" spans="1:6" x14ac:dyDescent="0.3">
      <c r="A509" t="s">
        <v>2804</v>
      </c>
      <c r="B509" t="s">
        <v>2158</v>
      </c>
      <c r="C509">
        <v>2030</v>
      </c>
      <c r="D509">
        <v>8</v>
      </c>
      <c r="E509" t="s">
        <v>79</v>
      </c>
      <c r="F509">
        <v>0.193795722</v>
      </c>
    </row>
    <row r="510" spans="1:6" x14ac:dyDescent="0.3">
      <c r="A510" t="s">
        <v>2804</v>
      </c>
      <c r="B510" t="s">
        <v>2158</v>
      </c>
      <c r="C510">
        <v>2030</v>
      </c>
      <c r="D510">
        <v>2</v>
      </c>
      <c r="E510" t="s">
        <v>549</v>
      </c>
      <c r="F510">
        <v>0</v>
      </c>
    </row>
    <row r="511" spans="1:6" x14ac:dyDescent="0.3">
      <c r="A511" t="s">
        <v>2804</v>
      </c>
      <c r="B511" t="s">
        <v>2158</v>
      </c>
      <c r="C511">
        <v>2030</v>
      </c>
      <c r="D511">
        <v>6</v>
      </c>
      <c r="E511" t="s">
        <v>145</v>
      </c>
      <c r="F511">
        <v>0.199103118</v>
      </c>
    </row>
    <row r="512" spans="1:6" x14ac:dyDescent="0.3">
      <c r="A512" t="s">
        <v>769</v>
      </c>
      <c r="B512" t="s">
        <v>1973</v>
      </c>
      <c r="C512">
        <v>1970</v>
      </c>
      <c r="D512">
        <v>1</v>
      </c>
      <c r="E512" t="s">
        <v>192</v>
      </c>
      <c r="F512">
        <v>6.2284439999999996E-3</v>
      </c>
    </row>
    <row r="513" spans="1:6" x14ac:dyDescent="0.3">
      <c r="A513" t="s">
        <v>769</v>
      </c>
      <c r="B513" t="s">
        <v>1973</v>
      </c>
      <c r="C513">
        <v>1970</v>
      </c>
      <c r="D513">
        <v>3</v>
      </c>
      <c r="E513" t="s">
        <v>89</v>
      </c>
      <c r="F513">
        <v>1.236519E-2</v>
      </c>
    </row>
    <row r="514" spans="1:6" x14ac:dyDescent="0.3">
      <c r="A514" t="s">
        <v>769</v>
      </c>
      <c r="B514" t="s">
        <v>1973</v>
      </c>
      <c r="C514">
        <v>1970</v>
      </c>
      <c r="D514">
        <v>14</v>
      </c>
      <c r="E514" t="s">
        <v>204</v>
      </c>
      <c r="F514">
        <v>3.4381300000000002E-3</v>
      </c>
    </row>
    <row r="515" spans="1:6" x14ac:dyDescent="0.3">
      <c r="A515" t="s">
        <v>769</v>
      </c>
      <c r="B515" t="s">
        <v>1973</v>
      </c>
      <c r="C515">
        <v>1970</v>
      </c>
      <c r="D515">
        <v>7</v>
      </c>
      <c r="E515" t="s">
        <v>183</v>
      </c>
      <c r="F515">
        <v>9.2818190000000002E-3</v>
      </c>
    </row>
    <row r="516" spans="1:6" x14ac:dyDescent="0.3">
      <c r="A516" t="s">
        <v>769</v>
      </c>
      <c r="B516" t="s">
        <v>1973</v>
      </c>
      <c r="C516">
        <v>1970</v>
      </c>
      <c r="D516">
        <v>10</v>
      </c>
      <c r="E516" t="s">
        <v>46</v>
      </c>
      <c r="F516">
        <v>4.3401793000000001E-2</v>
      </c>
    </row>
    <row r="517" spans="1:6" x14ac:dyDescent="0.3">
      <c r="A517" t="s">
        <v>769</v>
      </c>
      <c r="B517" t="s">
        <v>1973</v>
      </c>
      <c r="C517">
        <v>1970</v>
      </c>
      <c r="D517">
        <v>11</v>
      </c>
      <c r="E517" t="s">
        <v>107</v>
      </c>
      <c r="F517">
        <v>8.6970492999999996E-2</v>
      </c>
    </row>
    <row r="518" spans="1:6" x14ac:dyDescent="0.3">
      <c r="A518" t="s">
        <v>769</v>
      </c>
      <c r="B518" t="s">
        <v>1973</v>
      </c>
      <c r="C518">
        <v>1970</v>
      </c>
      <c r="D518">
        <v>17</v>
      </c>
      <c r="E518" t="s">
        <v>368</v>
      </c>
      <c r="F518">
        <v>1.6402815000000001E-2</v>
      </c>
    </row>
    <row r="519" spans="1:6" x14ac:dyDescent="0.3">
      <c r="A519" t="s">
        <v>769</v>
      </c>
      <c r="B519" t="s">
        <v>1973</v>
      </c>
      <c r="C519">
        <v>1970</v>
      </c>
      <c r="D519">
        <v>12</v>
      </c>
      <c r="E519" t="s">
        <v>128</v>
      </c>
      <c r="F519">
        <v>3.6558616000000002E-2</v>
      </c>
    </row>
    <row r="520" spans="1:6" x14ac:dyDescent="0.3">
      <c r="A520" t="s">
        <v>769</v>
      </c>
      <c r="B520" t="s">
        <v>1973</v>
      </c>
      <c r="C520">
        <v>1970</v>
      </c>
      <c r="D520">
        <v>5</v>
      </c>
      <c r="E520" t="s">
        <v>56</v>
      </c>
      <c r="F520">
        <v>0</v>
      </c>
    </row>
    <row r="521" spans="1:6" x14ac:dyDescent="0.3">
      <c r="A521" t="s">
        <v>769</v>
      </c>
      <c r="B521" t="s">
        <v>1973</v>
      </c>
      <c r="C521">
        <v>1970</v>
      </c>
      <c r="D521">
        <v>16</v>
      </c>
      <c r="E521" t="s">
        <v>63</v>
      </c>
      <c r="F521">
        <v>5.4792149999999998E-2</v>
      </c>
    </row>
    <row r="522" spans="1:6" x14ac:dyDescent="0.3">
      <c r="A522" t="s">
        <v>769</v>
      </c>
      <c r="B522" t="s">
        <v>1973</v>
      </c>
      <c r="C522">
        <v>1970</v>
      </c>
      <c r="D522">
        <v>9</v>
      </c>
      <c r="E522" t="s">
        <v>74</v>
      </c>
      <c r="F522">
        <v>7.1445442999999997E-2</v>
      </c>
    </row>
    <row r="523" spans="1:6" x14ac:dyDescent="0.3">
      <c r="A523" t="s">
        <v>769</v>
      </c>
      <c r="B523" t="s">
        <v>1973</v>
      </c>
      <c r="C523">
        <v>1970</v>
      </c>
      <c r="D523">
        <v>4</v>
      </c>
      <c r="E523" t="s">
        <v>103</v>
      </c>
      <c r="F523">
        <v>2.2251468999999999E-2</v>
      </c>
    </row>
    <row r="524" spans="1:6" x14ac:dyDescent="0.3">
      <c r="A524" t="s">
        <v>769</v>
      </c>
      <c r="B524" t="s">
        <v>1973</v>
      </c>
      <c r="C524">
        <v>1970</v>
      </c>
      <c r="D524">
        <v>13</v>
      </c>
      <c r="E524" t="s">
        <v>35</v>
      </c>
      <c r="F524">
        <v>9.0724550000000001E-3</v>
      </c>
    </row>
    <row r="525" spans="1:6" x14ac:dyDescent="0.3">
      <c r="A525" t="s">
        <v>769</v>
      </c>
      <c r="B525" t="s">
        <v>1973</v>
      </c>
      <c r="C525">
        <v>1970</v>
      </c>
      <c r="D525">
        <v>15</v>
      </c>
      <c r="E525" t="s">
        <v>172</v>
      </c>
      <c r="F525">
        <v>1.747735E-3</v>
      </c>
    </row>
    <row r="526" spans="1:6" x14ac:dyDescent="0.3">
      <c r="A526" t="s">
        <v>769</v>
      </c>
      <c r="B526" t="s">
        <v>1973</v>
      </c>
      <c r="C526">
        <v>1970</v>
      </c>
      <c r="D526">
        <v>8</v>
      </c>
      <c r="E526" t="s">
        <v>79</v>
      </c>
      <c r="F526">
        <v>5.9148849999999999E-3</v>
      </c>
    </row>
    <row r="527" spans="1:6" x14ac:dyDescent="0.3">
      <c r="A527" t="s">
        <v>769</v>
      </c>
      <c r="B527" t="s">
        <v>1973</v>
      </c>
      <c r="C527">
        <v>1970</v>
      </c>
      <c r="D527">
        <v>2</v>
      </c>
      <c r="E527" t="s">
        <v>549</v>
      </c>
      <c r="F527">
        <v>1.8814141E-2</v>
      </c>
    </row>
    <row r="528" spans="1:6" x14ac:dyDescent="0.3">
      <c r="A528" t="s">
        <v>769</v>
      </c>
      <c r="B528" t="s">
        <v>1973</v>
      </c>
      <c r="C528">
        <v>1970</v>
      </c>
      <c r="D528">
        <v>6</v>
      </c>
      <c r="E528" t="s">
        <v>145</v>
      </c>
      <c r="F528">
        <v>2.8324800000000001E-3</v>
      </c>
    </row>
    <row r="529" spans="1:6" x14ac:dyDescent="0.3">
      <c r="A529" t="s">
        <v>769</v>
      </c>
      <c r="B529" t="s">
        <v>1973</v>
      </c>
      <c r="C529">
        <v>1995</v>
      </c>
      <c r="D529">
        <v>1</v>
      </c>
      <c r="E529" t="s">
        <v>192</v>
      </c>
      <c r="F529">
        <v>4.8426149999999998E-3</v>
      </c>
    </row>
    <row r="530" spans="1:6" x14ac:dyDescent="0.3">
      <c r="A530" t="s">
        <v>769</v>
      </c>
      <c r="B530" t="s">
        <v>1973</v>
      </c>
      <c r="C530">
        <v>1995</v>
      </c>
      <c r="D530">
        <v>3</v>
      </c>
      <c r="E530" t="s">
        <v>89</v>
      </c>
      <c r="F530">
        <v>1.0247651999999999E-2</v>
      </c>
    </row>
    <row r="531" spans="1:6" x14ac:dyDescent="0.3">
      <c r="A531" t="s">
        <v>769</v>
      </c>
      <c r="B531" t="s">
        <v>1973</v>
      </c>
      <c r="C531">
        <v>1995</v>
      </c>
      <c r="D531">
        <v>14</v>
      </c>
      <c r="E531" t="s">
        <v>204</v>
      </c>
      <c r="F531">
        <v>2.1785239999999998E-3</v>
      </c>
    </row>
    <row r="532" spans="1:6" x14ac:dyDescent="0.3">
      <c r="A532" t="s">
        <v>769</v>
      </c>
      <c r="B532" t="s">
        <v>1973</v>
      </c>
      <c r="C532">
        <v>1995</v>
      </c>
      <c r="D532">
        <v>7</v>
      </c>
      <c r="E532" t="s">
        <v>183</v>
      </c>
      <c r="F532">
        <v>7.6923080000000001E-3</v>
      </c>
    </row>
    <row r="533" spans="1:6" x14ac:dyDescent="0.3">
      <c r="A533" t="s">
        <v>769</v>
      </c>
      <c r="B533" t="s">
        <v>1973</v>
      </c>
      <c r="C533">
        <v>1995</v>
      </c>
      <c r="D533">
        <v>10</v>
      </c>
      <c r="E533" t="s">
        <v>46</v>
      </c>
      <c r="F533">
        <v>3.3756950000000001E-2</v>
      </c>
    </row>
    <row r="534" spans="1:6" x14ac:dyDescent="0.3">
      <c r="A534" t="s">
        <v>769</v>
      </c>
      <c r="B534" t="s">
        <v>1973</v>
      </c>
      <c r="C534">
        <v>1995</v>
      </c>
      <c r="D534">
        <v>11</v>
      </c>
      <c r="E534" t="s">
        <v>107</v>
      </c>
      <c r="F534">
        <v>7.1122536E-2</v>
      </c>
    </row>
    <row r="535" spans="1:6" x14ac:dyDescent="0.3">
      <c r="A535" t="s">
        <v>769</v>
      </c>
      <c r="B535" t="s">
        <v>1973</v>
      </c>
      <c r="C535">
        <v>1995</v>
      </c>
      <c r="D535">
        <v>17</v>
      </c>
      <c r="E535" t="s">
        <v>368</v>
      </c>
      <c r="F535">
        <v>1.2753188E-2</v>
      </c>
    </row>
    <row r="536" spans="1:6" x14ac:dyDescent="0.3">
      <c r="A536" t="s">
        <v>769</v>
      </c>
      <c r="B536" t="s">
        <v>1973</v>
      </c>
      <c r="C536">
        <v>1995</v>
      </c>
      <c r="D536">
        <v>12</v>
      </c>
      <c r="E536" t="s">
        <v>128</v>
      </c>
      <c r="F536">
        <v>3.0303030000000002E-2</v>
      </c>
    </row>
    <row r="537" spans="1:6" x14ac:dyDescent="0.3">
      <c r="A537" t="s">
        <v>769</v>
      </c>
      <c r="B537" t="s">
        <v>1973</v>
      </c>
      <c r="C537">
        <v>1995</v>
      </c>
      <c r="D537">
        <v>5</v>
      </c>
      <c r="E537" t="s">
        <v>56</v>
      </c>
      <c r="F537">
        <v>0</v>
      </c>
    </row>
    <row r="538" spans="1:6" x14ac:dyDescent="0.3">
      <c r="A538" t="s">
        <v>769</v>
      </c>
      <c r="B538" t="s">
        <v>1973</v>
      </c>
      <c r="C538">
        <v>1995</v>
      </c>
      <c r="D538">
        <v>16</v>
      </c>
      <c r="E538" t="s">
        <v>63</v>
      </c>
      <c r="F538">
        <v>4.2600896999999999E-2</v>
      </c>
    </row>
    <row r="539" spans="1:6" x14ac:dyDescent="0.3">
      <c r="A539" t="s">
        <v>769</v>
      </c>
      <c r="B539" t="s">
        <v>1973</v>
      </c>
      <c r="C539">
        <v>1995</v>
      </c>
      <c r="D539">
        <v>9</v>
      </c>
      <c r="E539" t="s">
        <v>74</v>
      </c>
      <c r="F539">
        <v>5.5548831999999999E-2</v>
      </c>
    </row>
    <row r="540" spans="1:6" x14ac:dyDescent="0.3">
      <c r="A540" t="s">
        <v>769</v>
      </c>
      <c r="B540" t="s">
        <v>1973</v>
      </c>
      <c r="C540">
        <v>1995</v>
      </c>
      <c r="D540">
        <v>4</v>
      </c>
      <c r="E540" t="s">
        <v>103</v>
      </c>
      <c r="F540">
        <v>1.8440905E-2</v>
      </c>
    </row>
    <row r="541" spans="1:6" x14ac:dyDescent="0.3">
      <c r="A541" t="s">
        <v>769</v>
      </c>
      <c r="B541" t="s">
        <v>1973</v>
      </c>
      <c r="C541">
        <v>1995</v>
      </c>
      <c r="D541">
        <v>13</v>
      </c>
      <c r="E541" t="s">
        <v>35</v>
      </c>
      <c r="F541">
        <v>7.5187969999999998E-3</v>
      </c>
    </row>
    <row r="542" spans="1:6" x14ac:dyDescent="0.3">
      <c r="A542" t="s">
        <v>769</v>
      </c>
      <c r="B542" t="s">
        <v>1973</v>
      </c>
      <c r="C542">
        <v>1995</v>
      </c>
      <c r="D542">
        <v>15</v>
      </c>
      <c r="E542" t="s">
        <v>172</v>
      </c>
      <c r="F542">
        <v>1.448436E-3</v>
      </c>
    </row>
    <row r="543" spans="1:6" x14ac:dyDescent="0.3">
      <c r="A543" t="s">
        <v>769</v>
      </c>
      <c r="B543" t="s">
        <v>1973</v>
      </c>
      <c r="C543">
        <v>1995</v>
      </c>
      <c r="D543">
        <v>8</v>
      </c>
      <c r="E543" t="s">
        <v>79</v>
      </c>
      <c r="F543">
        <v>4.9019609999999998E-3</v>
      </c>
    </row>
    <row r="544" spans="1:6" x14ac:dyDescent="0.3">
      <c r="A544" t="s">
        <v>769</v>
      </c>
      <c r="B544" t="s">
        <v>1973</v>
      </c>
      <c r="C544">
        <v>1995</v>
      </c>
      <c r="D544">
        <v>2</v>
      </c>
      <c r="E544" t="s">
        <v>549</v>
      </c>
      <c r="F544">
        <v>1.4627995E-2</v>
      </c>
    </row>
    <row r="545" spans="1:6" x14ac:dyDescent="0.3">
      <c r="A545" t="s">
        <v>769</v>
      </c>
      <c r="B545" t="s">
        <v>1973</v>
      </c>
      <c r="C545">
        <v>1995</v>
      </c>
      <c r="D545">
        <v>6</v>
      </c>
      <c r="E545" t="s">
        <v>145</v>
      </c>
      <c r="F545">
        <v>2.347418E-3</v>
      </c>
    </row>
    <row r="546" spans="1:6" x14ac:dyDescent="0.3">
      <c r="A546" t="s">
        <v>769</v>
      </c>
      <c r="B546" t="s">
        <v>1973</v>
      </c>
      <c r="C546">
        <v>2030</v>
      </c>
      <c r="D546">
        <v>1</v>
      </c>
      <c r="E546" t="s">
        <v>192</v>
      </c>
      <c r="F546">
        <v>4.8426149999999998E-3</v>
      </c>
    </row>
    <row r="547" spans="1:6" x14ac:dyDescent="0.3">
      <c r="A547" t="s">
        <v>769</v>
      </c>
      <c r="B547" t="s">
        <v>1973</v>
      </c>
      <c r="C547">
        <v>2030</v>
      </c>
      <c r="D547">
        <v>3</v>
      </c>
      <c r="E547" t="s">
        <v>89</v>
      </c>
      <c r="F547">
        <v>1.0000347999999999E-2</v>
      </c>
    </row>
    <row r="548" spans="1:6" x14ac:dyDescent="0.3">
      <c r="A548" t="s">
        <v>769</v>
      </c>
      <c r="B548" t="s">
        <v>1973</v>
      </c>
      <c r="C548">
        <v>2030</v>
      </c>
      <c r="D548">
        <v>14</v>
      </c>
      <c r="E548" t="s">
        <v>204</v>
      </c>
      <c r="F548">
        <v>2.0316219999999999E-3</v>
      </c>
    </row>
    <row r="549" spans="1:6" x14ac:dyDescent="0.3">
      <c r="A549" t="s">
        <v>769</v>
      </c>
      <c r="B549" t="s">
        <v>1973</v>
      </c>
      <c r="C549">
        <v>2030</v>
      </c>
      <c r="D549">
        <v>7</v>
      </c>
      <c r="E549" t="s">
        <v>183</v>
      </c>
      <c r="F549">
        <v>7.6110919999999999E-3</v>
      </c>
    </row>
    <row r="550" spans="1:6" x14ac:dyDescent="0.3">
      <c r="A550" t="s">
        <v>769</v>
      </c>
      <c r="B550" t="s">
        <v>1973</v>
      </c>
      <c r="C550">
        <v>2030</v>
      </c>
      <c r="D550">
        <v>10</v>
      </c>
      <c r="E550" t="s">
        <v>46</v>
      </c>
      <c r="F550">
        <v>3.1731532999999999E-2</v>
      </c>
    </row>
    <row r="551" spans="1:6" x14ac:dyDescent="0.3">
      <c r="A551" t="s">
        <v>769</v>
      </c>
      <c r="B551" t="s">
        <v>1973</v>
      </c>
      <c r="C551">
        <v>2030</v>
      </c>
      <c r="D551">
        <v>11</v>
      </c>
      <c r="E551" t="s">
        <v>107</v>
      </c>
      <c r="F551">
        <v>6.7063913000000003E-2</v>
      </c>
    </row>
    <row r="552" spans="1:6" x14ac:dyDescent="0.3">
      <c r="A552" t="s">
        <v>769</v>
      </c>
      <c r="B552" t="s">
        <v>1973</v>
      </c>
      <c r="C552">
        <v>2030</v>
      </c>
      <c r="D552">
        <v>17</v>
      </c>
      <c r="E552" t="s">
        <v>368</v>
      </c>
      <c r="F552">
        <v>1.2753188E-2</v>
      </c>
    </row>
    <row r="553" spans="1:6" x14ac:dyDescent="0.3">
      <c r="A553" t="s">
        <v>769</v>
      </c>
      <c r="B553" t="s">
        <v>1973</v>
      </c>
      <c r="C553">
        <v>2030</v>
      </c>
      <c r="D553">
        <v>12</v>
      </c>
      <c r="E553" t="s">
        <v>128</v>
      </c>
      <c r="F553">
        <v>2.8271996000000001E-2</v>
      </c>
    </row>
    <row r="554" spans="1:6" x14ac:dyDescent="0.3">
      <c r="A554" t="s">
        <v>769</v>
      </c>
      <c r="B554" t="s">
        <v>1973</v>
      </c>
      <c r="C554">
        <v>2030</v>
      </c>
      <c r="D554">
        <v>5</v>
      </c>
      <c r="E554" t="s">
        <v>56</v>
      </c>
      <c r="F554">
        <v>0</v>
      </c>
    </row>
    <row r="555" spans="1:6" x14ac:dyDescent="0.3">
      <c r="A555" t="s">
        <v>769</v>
      </c>
      <c r="B555" t="s">
        <v>1973</v>
      </c>
      <c r="C555">
        <v>2030</v>
      </c>
      <c r="D555">
        <v>16</v>
      </c>
      <c r="E555" t="s">
        <v>63</v>
      </c>
      <c r="F555">
        <v>4.2600896999999999E-2</v>
      </c>
    </row>
    <row r="556" spans="1:6" x14ac:dyDescent="0.3">
      <c r="A556" t="s">
        <v>769</v>
      </c>
      <c r="B556" t="s">
        <v>1973</v>
      </c>
      <c r="C556">
        <v>2030</v>
      </c>
      <c r="D556">
        <v>9</v>
      </c>
      <c r="E556" t="s">
        <v>74</v>
      </c>
      <c r="F556">
        <v>5.5548831999999999E-2</v>
      </c>
    </row>
    <row r="557" spans="1:6" x14ac:dyDescent="0.3">
      <c r="A557" t="s">
        <v>769</v>
      </c>
      <c r="B557" t="s">
        <v>1973</v>
      </c>
      <c r="C557">
        <v>2030</v>
      </c>
      <c r="D557">
        <v>4</v>
      </c>
      <c r="E557" t="s">
        <v>103</v>
      </c>
      <c r="F557">
        <v>1.7912432999999998E-2</v>
      </c>
    </row>
    <row r="558" spans="1:6" x14ac:dyDescent="0.3">
      <c r="A558" t="s">
        <v>769</v>
      </c>
      <c r="B558" t="s">
        <v>1973</v>
      </c>
      <c r="C558">
        <v>2030</v>
      </c>
      <c r="D558">
        <v>13</v>
      </c>
      <c r="E558" t="s">
        <v>35</v>
      </c>
      <c r="F558">
        <v>7.3373479999999996E-3</v>
      </c>
    </row>
    <row r="559" spans="1:6" x14ac:dyDescent="0.3">
      <c r="A559" t="s">
        <v>769</v>
      </c>
      <c r="B559" t="s">
        <v>1973</v>
      </c>
      <c r="C559">
        <v>2030</v>
      </c>
      <c r="D559">
        <v>15</v>
      </c>
      <c r="E559" t="s">
        <v>172</v>
      </c>
      <c r="F559">
        <v>1.4069270000000001E-3</v>
      </c>
    </row>
    <row r="560" spans="1:6" x14ac:dyDescent="0.3">
      <c r="A560" t="s">
        <v>769</v>
      </c>
      <c r="B560" t="s">
        <v>1973</v>
      </c>
      <c r="C560">
        <v>2030</v>
      </c>
      <c r="D560">
        <v>8</v>
      </c>
      <c r="E560" t="s">
        <v>79</v>
      </c>
      <c r="F560">
        <v>4.8502060000000001E-3</v>
      </c>
    </row>
    <row r="561" spans="1:6" x14ac:dyDescent="0.3">
      <c r="A561" t="s">
        <v>769</v>
      </c>
      <c r="B561" t="s">
        <v>1973</v>
      </c>
      <c r="C561">
        <v>2030</v>
      </c>
      <c r="D561">
        <v>2</v>
      </c>
      <c r="E561" t="s">
        <v>549</v>
      </c>
      <c r="F561">
        <v>1.4627995E-2</v>
      </c>
    </row>
    <row r="562" spans="1:6" x14ac:dyDescent="0.3">
      <c r="A562" t="s">
        <v>769</v>
      </c>
      <c r="B562" t="s">
        <v>1973</v>
      </c>
      <c r="C562">
        <v>2030</v>
      </c>
      <c r="D562">
        <v>6</v>
      </c>
      <c r="E562" t="s">
        <v>145</v>
      </c>
      <c r="F562">
        <v>2.3226340000000001E-3</v>
      </c>
    </row>
    <row r="563" spans="1:6" x14ac:dyDescent="0.3">
      <c r="A563" t="s">
        <v>769</v>
      </c>
      <c r="B563" t="s">
        <v>1965</v>
      </c>
      <c r="C563">
        <v>1970</v>
      </c>
      <c r="D563">
        <v>1</v>
      </c>
      <c r="E563" t="s">
        <v>192</v>
      </c>
      <c r="F563">
        <v>4.7937715560000003</v>
      </c>
    </row>
    <row r="564" spans="1:6" x14ac:dyDescent="0.3">
      <c r="A564" t="s">
        <v>769</v>
      </c>
      <c r="B564" t="s">
        <v>1965</v>
      </c>
      <c r="C564">
        <v>1970</v>
      </c>
      <c r="D564">
        <v>3</v>
      </c>
      <c r="E564" t="s">
        <v>89</v>
      </c>
      <c r="F564">
        <v>4.7876348100000001</v>
      </c>
    </row>
    <row r="565" spans="1:6" x14ac:dyDescent="0.3">
      <c r="A565" t="s">
        <v>769</v>
      </c>
      <c r="B565" t="s">
        <v>1965</v>
      </c>
      <c r="C565">
        <v>1970</v>
      </c>
      <c r="D565">
        <v>14</v>
      </c>
      <c r="E565" t="s">
        <v>204</v>
      </c>
      <c r="F565">
        <v>3.8465618699999999</v>
      </c>
    </row>
    <row r="566" spans="1:6" x14ac:dyDescent="0.3">
      <c r="A566" t="s">
        <v>769</v>
      </c>
      <c r="B566" t="s">
        <v>1965</v>
      </c>
      <c r="C566">
        <v>1970</v>
      </c>
      <c r="D566">
        <v>7</v>
      </c>
      <c r="E566" t="s">
        <v>183</v>
      </c>
      <c r="F566">
        <v>3.1907181809999998</v>
      </c>
    </row>
    <row r="567" spans="1:6" x14ac:dyDescent="0.3">
      <c r="A567" t="s">
        <v>769</v>
      </c>
      <c r="B567" t="s">
        <v>1965</v>
      </c>
      <c r="C567">
        <v>1970</v>
      </c>
      <c r="D567">
        <v>10</v>
      </c>
      <c r="E567" t="s">
        <v>46</v>
      </c>
      <c r="F567">
        <v>6.2565982069999997</v>
      </c>
    </row>
    <row r="568" spans="1:6" x14ac:dyDescent="0.3">
      <c r="A568" t="s">
        <v>769</v>
      </c>
      <c r="B568" t="s">
        <v>1965</v>
      </c>
      <c r="C568">
        <v>1970</v>
      </c>
      <c r="D568">
        <v>11</v>
      </c>
      <c r="E568" t="s">
        <v>107</v>
      </c>
      <c r="F568">
        <v>6.2130295069999999</v>
      </c>
    </row>
    <row r="569" spans="1:6" x14ac:dyDescent="0.3">
      <c r="A569" t="s">
        <v>769</v>
      </c>
      <c r="B569" t="s">
        <v>1965</v>
      </c>
      <c r="C569">
        <v>1970</v>
      </c>
      <c r="D569">
        <v>17</v>
      </c>
      <c r="E569" t="s">
        <v>368</v>
      </c>
      <c r="F569">
        <v>4.7835971849999996</v>
      </c>
    </row>
    <row r="570" spans="1:6" x14ac:dyDescent="0.3">
      <c r="A570" t="s">
        <v>769</v>
      </c>
      <c r="B570" t="s">
        <v>1965</v>
      </c>
      <c r="C570">
        <v>1970</v>
      </c>
      <c r="D570">
        <v>12</v>
      </c>
      <c r="E570" t="s">
        <v>128</v>
      </c>
      <c r="F570">
        <v>4.4634413840000002</v>
      </c>
    </row>
    <row r="571" spans="1:6" x14ac:dyDescent="0.3">
      <c r="A571" t="s">
        <v>769</v>
      </c>
      <c r="B571" t="s">
        <v>1965</v>
      </c>
      <c r="C571">
        <v>1970</v>
      </c>
      <c r="D571">
        <v>5</v>
      </c>
      <c r="E571" t="s">
        <v>56</v>
      </c>
      <c r="F571">
        <v>4.5</v>
      </c>
    </row>
    <row r="572" spans="1:6" x14ac:dyDescent="0.3">
      <c r="A572" t="s">
        <v>769</v>
      </c>
      <c r="B572" t="s">
        <v>1965</v>
      </c>
      <c r="C572">
        <v>1970</v>
      </c>
      <c r="D572">
        <v>16</v>
      </c>
      <c r="E572" t="s">
        <v>63</v>
      </c>
      <c r="F572">
        <v>4.7452078499999999</v>
      </c>
    </row>
    <row r="573" spans="1:6" x14ac:dyDescent="0.3">
      <c r="A573" t="s">
        <v>769</v>
      </c>
      <c r="B573" t="s">
        <v>1965</v>
      </c>
      <c r="C573">
        <v>1970</v>
      </c>
      <c r="D573">
        <v>9</v>
      </c>
      <c r="E573" t="s">
        <v>74</v>
      </c>
      <c r="F573">
        <v>4.7285545569999998</v>
      </c>
    </row>
    <row r="574" spans="1:6" x14ac:dyDescent="0.3">
      <c r="A574" t="s">
        <v>769</v>
      </c>
      <c r="B574" t="s">
        <v>1965</v>
      </c>
      <c r="C574">
        <v>1970</v>
      </c>
      <c r="D574">
        <v>4</v>
      </c>
      <c r="E574" t="s">
        <v>103</v>
      </c>
      <c r="F574">
        <v>4.7777485310000003</v>
      </c>
    </row>
    <row r="575" spans="1:6" x14ac:dyDescent="0.3">
      <c r="A575" t="s">
        <v>769</v>
      </c>
      <c r="B575" t="s">
        <v>1965</v>
      </c>
      <c r="C575">
        <v>1970</v>
      </c>
      <c r="D575">
        <v>13</v>
      </c>
      <c r="E575" t="s">
        <v>35</v>
      </c>
      <c r="F575">
        <v>3.1909275450000001</v>
      </c>
    </row>
    <row r="576" spans="1:6" x14ac:dyDescent="0.3">
      <c r="A576" t="s">
        <v>769</v>
      </c>
      <c r="B576" t="s">
        <v>1965</v>
      </c>
      <c r="C576">
        <v>1970</v>
      </c>
      <c r="D576">
        <v>15</v>
      </c>
      <c r="E576" t="s">
        <v>172</v>
      </c>
      <c r="F576">
        <v>3.1982522649999998</v>
      </c>
    </row>
    <row r="577" spans="1:6" x14ac:dyDescent="0.3">
      <c r="A577" t="s">
        <v>769</v>
      </c>
      <c r="B577" t="s">
        <v>1965</v>
      </c>
      <c r="C577">
        <v>1970</v>
      </c>
      <c r="D577">
        <v>8</v>
      </c>
      <c r="E577" t="s">
        <v>79</v>
      </c>
      <c r="F577">
        <v>3.9940851149999999</v>
      </c>
    </row>
    <row r="578" spans="1:6" x14ac:dyDescent="0.3">
      <c r="A578" t="s">
        <v>769</v>
      </c>
      <c r="B578" t="s">
        <v>1965</v>
      </c>
      <c r="C578">
        <v>1970</v>
      </c>
      <c r="D578">
        <v>2</v>
      </c>
      <c r="E578" t="s">
        <v>549</v>
      </c>
      <c r="F578">
        <v>4.7811858589999998</v>
      </c>
    </row>
    <row r="579" spans="1:6" x14ac:dyDescent="0.3">
      <c r="A579" t="s">
        <v>769</v>
      </c>
      <c r="B579" t="s">
        <v>1965</v>
      </c>
      <c r="C579">
        <v>1970</v>
      </c>
      <c r="D579">
        <v>6</v>
      </c>
      <c r="E579" t="s">
        <v>145</v>
      </c>
      <c r="F579">
        <v>3.9971675200000001</v>
      </c>
    </row>
    <row r="580" spans="1:6" x14ac:dyDescent="0.3">
      <c r="A580" t="s">
        <v>769</v>
      </c>
      <c r="B580" t="s">
        <v>1965</v>
      </c>
      <c r="C580">
        <v>1995</v>
      </c>
      <c r="D580">
        <v>1</v>
      </c>
      <c r="E580" t="s">
        <v>192</v>
      </c>
      <c r="F580">
        <v>3.7271573849999999</v>
      </c>
    </row>
    <row r="581" spans="1:6" x14ac:dyDescent="0.3">
      <c r="A581" t="s">
        <v>769</v>
      </c>
      <c r="B581" t="s">
        <v>1965</v>
      </c>
      <c r="C581">
        <v>1995</v>
      </c>
      <c r="D581">
        <v>3</v>
      </c>
      <c r="E581" t="s">
        <v>89</v>
      </c>
      <c r="F581">
        <v>3.9677523479999999</v>
      </c>
    </row>
    <row r="582" spans="1:6" x14ac:dyDescent="0.3">
      <c r="A582" t="s">
        <v>769</v>
      </c>
      <c r="B582" t="s">
        <v>1965</v>
      </c>
      <c r="C582">
        <v>1995</v>
      </c>
      <c r="D582">
        <v>14</v>
      </c>
      <c r="E582" t="s">
        <v>204</v>
      </c>
      <c r="F582">
        <v>2.4373214760000002</v>
      </c>
    </row>
    <row r="583" spans="1:6" x14ac:dyDescent="0.3">
      <c r="A583" t="s">
        <v>769</v>
      </c>
      <c r="B583" t="s">
        <v>1965</v>
      </c>
      <c r="C583">
        <v>1995</v>
      </c>
      <c r="D583">
        <v>7</v>
      </c>
      <c r="E583" t="s">
        <v>183</v>
      </c>
      <c r="F583">
        <v>2.6443076919999999</v>
      </c>
    </row>
    <row r="584" spans="1:6" x14ac:dyDescent="0.3">
      <c r="A584" t="s">
        <v>769</v>
      </c>
      <c r="B584" t="s">
        <v>1965</v>
      </c>
      <c r="C584">
        <v>1995</v>
      </c>
      <c r="D584">
        <v>10</v>
      </c>
      <c r="E584" t="s">
        <v>46</v>
      </c>
      <c r="F584">
        <v>4.8662430499999996</v>
      </c>
    </row>
    <row r="585" spans="1:6" x14ac:dyDescent="0.3">
      <c r="A585" t="s">
        <v>769</v>
      </c>
      <c r="B585" t="s">
        <v>1965</v>
      </c>
      <c r="C585">
        <v>1995</v>
      </c>
      <c r="D585">
        <v>11</v>
      </c>
      <c r="E585" t="s">
        <v>107</v>
      </c>
      <c r="F585">
        <v>5.0808774640000003</v>
      </c>
    </row>
    <row r="586" spans="1:6" x14ac:dyDescent="0.3">
      <c r="A586" t="s">
        <v>769</v>
      </c>
      <c r="B586" t="s">
        <v>1965</v>
      </c>
      <c r="C586">
        <v>1995</v>
      </c>
      <c r="D586">
        <v>17</v>
      </c>
      <c r="E586" t="s">
        <v>368</v>
      </c>
      <c r="F586">
        <v>3.7192468120000002</v>
      </c>
    </row>
    <row r="587" spans="1:6" x14ac:dyDescent="0.3">
      <c r="A587" t="s">
        <v>769</v>
      </c>
      <c r="B587" t="s">
        <v>1965</v>
      </c>
      <c r="C587">
        <v>1995</v>
      </c>
      <c r="D587">
        <v>12</v>
      </c>
      <c r="E587" t="s">
        <v>128</v>
      </c>
      <c r="F587">
        <v>3.6996969700000002</v>
      </c>
    </row>
    <row r="588" spans="1:6" x14ac:dyDescent="0.3">
      <c r="A588" t="s">
        <v>769</v>
      </c>
      <c r="B588" t="s">
        <v>1965</v>
      </c>
      <c r="C588">
        <v>1995</v>
      </c>
      <c r="D588">
        <v>5</v>
      </c>
      <c r="E588" t="s">
        <v>56</v>
      </c>
      <c r="F588">
        <v>3.758</v>
      </c>
    </row>
    <row r="589" spans="1:6" x14ac:dyDescent="0.3">
      <c r="A589" t="s">
        <v>769</v>
      </c>
      <c r="B589" t="s">
        <v>1965</v>
      </c>
      <c r="C589">
        <v>1995</v>
      </c>
      <c r="D589">
        <v>16</v>
      </c>
      <c r="E589" t="s">
        <v>63</v>
      </c>
      <c r="F589">
        <v>3.689399103</v>
      </c>
    </row>
    <row r="590" spans="1:6" x14ac:dyDescent="0.3">
      <c r="A590" t="s">
        <v>769</v>
      </c>
      <c r="B590" t="s">
        <v>1965</v>
      </c>
      <c r="C590">
        <v>1995</v>
      </c>
      <c r="D590">
        <v>9</v>
      </c>
      <c r="E590" t="s">
        <v>74</v>
      </c>
      <c r="F590">
        <v>3.6764511679999998</v>
      </c>
    </row>
    <row r="591" spans="1:6" x14ac:dyDescent="0.3">
      <c r="A591" t="s">
        <v>769</v>
      </c>
      <c r="B591" t="s">
        <v>1965</v>
      </c>
      <c r="C591">
        <v>1995</v>
      </c>
      <c r="D591">
        <v>4</v>
      </c>
      <c r="E591" t="s">
        <v>103</v>
      </c>
      <c r="F591">
        <v>3.9595590949999999</v>
      </c>
    </row>
    <row r="592" spans="1:6" x14ac:dyDescent="0.3">
      <c r="A592" t="s">
        <v>769</v>
      </c>
      <c r="B592" t="s">
        <v>1965</v>
      </c>
      <c r="C592">
        <v>1995</v>
      </c>
      <c r="D592">
        <v>13</v>
      </c>
      <c r="E592" t="s">
        <v>35</v>
      </c>
      <c r="F592">
        <v>2.6444812029999998</v>
      </c>
    </row>
    <row r="593" spans="1:6" x14ac:dyDescent="0.3">
      <c r="A593" t="s">
        <v>769</v>
      </c>
      <c r="B593" t="s">
        <v>1965</v>
      </c>
      <c r="C593">
        <v>1995</v>
      </c>
      <c r="D593">
        <v>15</v>
      </c>
      <c r="E593" t="s">
        <v>172</v>
      </c>
      <c r="F593">
        <v>2.6505515640000001</v>
      </c>
    </row>
    <row r="594" spans="1:6" x14ac:dyDescent="0.3">
      <c r="A594" t="s">
        <v>769</v>
      </c>
      <c r="B594" t="s">
        <v>1965</v>
      </c>
      <c r="C594">
        <v>1995</v>
      </c>
      <c r="D594">
        <v>8</v>
      </c>
      <c r="E594" t="s">
        <v>79</v>
      </c>
      <c r="F594">
        <v>3.3100980390000001</v>
      </c>
    </row>
    <row r="595" spans="1:6" x14ac:dyDescent="0.3">
      <c r="A595" t="s">
        <v>769</v>
      </c>
      <c r="B595" t="s">
        <v>1965</v>
      </c>
      <c r="C595">
        <v>1995</v>
      </c>
      <c r="D595">
        <v>2</v>
      </c>
      <c r="E595" t="s">
        <v>549</v>
      </c>
      <c r="F595">
        <v>3.7173720050000001</v>
      </c>
    </row>
    <row r="596" spans="1:6" x14ac:dyDescent="0.3">
      <c r="A596" t="s">
        <v>769</v>
      </c>
      <c r="B596" t="s">
        <v>1965</v>
      </c>
      <c r="C596">
        <v>1995</v>
      </c>
      <c r="D596">
        <v>6</v>
      </c>
      <c r="E596" t="s">
        <v>145</v>
      </c>
      <c r="F596">
        <v>3.3126525820000001</v>
      </c>
    </row>
    <row r="597" spans="1:6" x14ac:dyDescent="0.3">
      <c r="A597" t="s">
        <v>769</v>
      </c>
      <c r="B597" t="s">
        <v>1965</v>
      </c>
      <c r="C597">
        <v>2030</v>
      </c>
      <c r="D597">
        <v>1</v>
      </c>
      <c r="E597" t="s">
        <v>192</v>
      </c>
      <c r="F597">
        <v>3.7271573849999999</v>
      </c>
    </row>
    <row r="598" spans="1:6" x14ac:dyDescent="0.3">
      <c r="A598" t="s">
        <v>769</v>
      </c>
      <c r="B598" t="s">
        <v>1965</v>
      </c>
      <c r="C598">
        <v>2030</v>
      </c>
      <c r="D598">
        <v>3</v>
      </c>
      <c r="E598" t="s">
        <v>89</v>
      </c>
      <c r="F598">
        <v>3.871999652</v>
      </c>
    </row>
    <row r="599" spans="1:6" x14ac:dyDescent="0.3">
      <c r="A599" t="s">
        <v>769</v>
      </c>
      <c r="B599" t="s">
        <v>1965</v>
      </c>
      <c r="C599">
        <v>2030</v>
      </c>
      <c r="D599">
        <v>14</v>
      </c>
      <c r="E599" t="s">
        <v>204</v>
      </c>
      <c r="F599">
        <v>2.2729683779999998</v>
      </c>
    </row>
    <row r="600" spans="1:6" x14ac:dyDescent="0.3">
      <c r="A600" t="s">
        <v>769</v>
      </c>
      <c r="B600" t="s">
        <v>1965</v>
      </c>
      <c r="C600">
        <v>2030</v>
      </c>
      <c r="D600">
        <v>7</v>
      </c>
      <c r="E600" t="s">
        <v>183</v>
      </c>
      <c r="F600">
        <v>2.6163889079999998</v>
      </c>
    </row>
    <row r="601" spans="1:6" x14ac:dyDescent="0.3">
      <c r="A601" t="s">
        <v>769</v>
      </c>
      <c r="B601" t="s">
        <v>1965</v>
      </c>
      <c r="C601">
        <v>2030</v>
      </c>
      <c r="D601">
        <v>10</v>
      </c>
      <c r="E601" t="s">
        <v>46</v>
      </c>
      <c r="F601">
        <v>4.5742684669999996</v>
      </c>
    </row>
    <row r="602" spans="1:6" x14ac:dyDescent="0.3">
      <c r="A602" t="s">
        <v>769</v>
      </c>
      <c r="B602" t="s">
        <v>1965</v>
      </c>
      <c r="C602">
        <v>2030</v>
      </c>
      <c r="D602">
        <v>11</v>
      </c>
      <c r="E602" t="s">
        <v>107</v>
      </c>
      <c r="F602">
        <v>4.7909360870000004</v>
      </c>
    </row>
    <row r="603" spans="1:6" x14ac:dyDescent="0.3">
      <c r="A603" t="s">
        <v>769</v>
      </c>
      <c r="B603" t="s">
        <v>1965</v>
      </c>
      <c r="C603">
        <v>2030</v>
      </c>
      <c r="D603">
        <v>17</v>
      </c>
      <c r="E603" t="s">
        <v>368</v>
      </c>
      <c r="F603">
        <v>3.7192468120000002</v>
      </c>
    </row>
    <row r="604" spans="1:6" x14ac:dyDescent="0.3">
      <c r="A604" t="s">
        <v>769</v>
      </c>
      <c r="B604" t="s">
        <v>1965</v>
      </c>
      <c r="C604">
        <v>2030</v>
      </c>
      <c r="D604">
        <v>12</v>
      </c>
      <c r="E604" t="s">
        <v>128</v>
      </c>
      <c r="F604">
        <v>3.451728004</v>
      </c>
    </row>
    <row r="605" spans="1:6" x14ac:dyDescent="0.3">
      <c r="A605" t="s">
        <v>769</v>
      </c>
      <c r="B605" t="s">
        <v>1965</v>
      </c>
      <c r="C605">
        <v>2030</v>
      </c>
      <c r="D605">
        <v>5</v>
      </c>
      <c r="E605" t="s">
        <v>56</v>
      </c>
      <c r="F605">
        <v>3.758</v>
      </c>
    </row>
    <row r="606" spans="1:6" x14ac:dyDescent="0.3">
      <c r="A606" t="s">
        <v>769</v>
      </c>
      <c r="B606" t="s">
        <v>1965</v>
      </c>
      <c r="C606">
        <v>2030</v>
      </c>
      <c r="D606">
        <v>16</v>
      </c>
      <c r="E606" t="s">
        <v>63</v>
      </c>
      <c r="F606">
        <v>3.689399103</v>
      </c>
    </row>
    <row r="607" spans="1:6" x14ac:dyDescent="0.3">
      <c r="A607" t="s">
        <v>769</v>
      </c>
      <c r="B607" t="s">
        <v>1965</v>
      </c>
      <c r="C607">
        <v>2030</v>
      </c>
      <c r="D607">
        <v>9</v>
      </c>
      <c r="E607" t="s">
        <v>74</v>
      </c>
      <c r="F607">
        <v>3.6764511679999998</v>
      </c>
    </row>
    <row r="608" spans="1:6" x14ac:dyDescent="0.3">
      <c r="A608" t="s">
        <v>769</v>
      </c>
      <c r="B608" t="s">
        <v>1965</v>
      </c>
      <c r="C608">
        <v>2030</v>
      </c>
      <c r="D608">
        <v>4</v>
      </c>
      <c r="E608" t="s">
        <v>103</v>
      </c>
      <c r="F608">
        <v>3.8460875670000001</v>
      </c>
    </row>
    <row r="609" spans="1:6" x14ac:dyDescent="0.3">
      <c r="A609" t="s">
        <v>769</v>
      </c>
      <c r="B609" t="s">
        <v>1965</v>
      </c>
      <c r="C609">
        <v>2030</v>
      </c>
      <c r="D609">
        <v>13</v>
      </c>
      <c r="E609" t="s">
        <v>35</v>
      </c>
      <c r="F609">
        <v>2.580662652</v>
      </c>
    </row>
    <row r="610" spans="1:6" x14ac:dyDescent="0.3">
      <c r="A610" t="s">
        <v>769</v>
      </c>
      <c r="B610" t="s">
        <v>1965</v>
      </c>
      <c r="C610">
        <v>2030</v>
      </c>
      <c r="D610">
        <v>15</v>
      </c>
      <c r="E610" t="s">
        <v>172</v>
      </c>
      <c r="F610">
        <v>2.574593073</v>
      </c>
    </row>
    <row r="611" spans="1:6" x14ac:dyDescent="0.3">
      <c r="A611" t="s">
        <v>769</v>
      </c>
      <c r="B611" t="s">
        <v>1965</v>
      </c>
      <c r="C611">
        <v>2030</v>
      </c>
      <c r="D611">
        <v>8</v>
      </c>
      <c r="E611" t="s">
        <v>79</v>
      </c>
      <c r="F611">
        <v>3.2751497939999998</v>
      </c>
    </row>
    <row r="612" spans="1:6" x14ac:dyDescent="0.3">
      <c r="A612" t="s">
        <v>769</v>
      </c>
      <c r="B612" t="s">
        <v>1965</v>
      </c>
      <c r="C612">
        <v>2030</v>
      </c>
      <c r="D612">
        <v>2</v>
      </c>
      <c r="E612" t="s">
        <v>549</v>
      </c>
      <c r="F612">
        <v>3.7173720050000001</v>
      </c>
    </row>
    <row r="613" spans="1:6" x14ac:dyDescent="0.3">
      <c r="A613" t="s">
        <v>769</v>
      </c>
      <c r="B613" t="s">
        <v>1965</v>
      </c>
      <c r="C613">
        <v>2030</v>
      </c>
      <c r="D613">
        <v>6</v>
      </c>
      <c r="E613" t="s">
        <v>145</v>
      </c>
      <c r="F613">
        <v>3.2776773659999998</v>
      </c>
    </row>
    <row r="614" spans="1:6" x14ac:dyDescent="0.3">
      <c r="A614" t="s">
        <v>769</v>
      </c>
      <c r="B614" t="s">
        <v>2017</v>
      </c>
      <c r="C614">
        <v>1970</v>
      </c>
      <c r="D614">
        <v>1</v>
      </c>
      <c r="E614" t="s">
        <v>192</v>
      </c>
      <c r="F614">
        <v>3.2</v>
      </c>
    </row>
    <row r="615" spans="1:6" x14ac:dyDescent="0.3">
      <c r="A615" t="s">
        <v>769</v>
      </c>
      <c r="B615" t="s">
        <v>2017</v>
      </c>
      <c r="C615">
        <v>1970</v>
      </c>
      <c r="D615">
        <v>3</v>
      </c>
      <c r="E615" t="s">
        <v>89</v>
      </c>
      <c r="F615">
        <v>3.2</v>
      </c>
    </row>
    <row r="616" spans="1:6" x14ac:dyDescent="0.3">
      <c r="A616" t="s">
        <v>769</v>
      </c>
      <c r="B616" t="s">
        <v>2017</v>
      </c>
      <c r="C616">
        <v>1970</v>
      </c>
      <c r="D616">
        <v>14</v>
      </c>
      <c r="E616" t="s">
        <v>204</v>
      </c>
      <c r="F616">
        <v>7.15</v>
      </c>
    </row>
    <row r="617" spans="1:6" x14ac:dyDescent="0.3">
      <c r="A617" t="s">
        <v>769</v>
      </c>
      <c r="B617" t="s">
        <v>2017</v>
      </c>
      <c r="C617">
        <v>1970</v>
      </c>
      <c r="D617">
        <v>7</v>
      </c>
      <c r="E617" t="s">
        <v>183</v>
      </c>
      <c r="F617">
        <v>4.8</v>
      </c>
    </row>
    <row r="618" spans="1:6" x14ac:dyDescent="0.3">
      <c r="A618" t="s">
        <v>769</v>
      </c>
      <c r="B618" t="s">
        <v>2017</v>
      </c>
      <c r="C618">
        <v>1970</v>
      </c>
      <c r="D618">
        <v>10</v>
      </c>
      <c r="E618" t="s">
        <v>46</v>
      </c>
      <c r="F618">
        <v>2.7</v>
      </c>
    </row>
    <row r="619" spans="1:6" x14ac:dyDescent="0.3">
      <c r="A619" t="s">
        <v>769</v>
      </c>
      <c r="B619" t="s">
        <v>2017</v>
      </c>
      <c r="C619">
        <v>1970</v>
      </c>
      <c r="D619">
        <v>11</v>
      </c>
      <c r="E619" t="s">
        <v>107</v>
      </c>
      <c r="F619">
        <v>2.7</v>
      </c>
    </row>
    <row r="620" spans="1:6" x14ac:dyDescent="0.3">
      <c r="A620" t="s">
        <v>769</v>
      </c>
      <c r="B620" t="s">
        <v>2017</v>
      </c>
      <c r="C620">
        <v>1970</v>
      </c>
      <c r="D620">
        <v>17</v>
      </c>
      <c r="E620" t="s">
        <v>368</v>
      </c>
      <c r="F620">
        <v>3.2</v>
      </c>
    </row>
    <row r="621" spans="1:6" x14ac:dyDescent="0.3">
      <c r="A621" t="s">
        <v>769</v>
      </c>
      <c r="B621" t="s">
        <v>2017</v>
      </c>
      <c r="C621">
        <v>1970</v>
      </c>
      <c r="D621">
        <v>12</v>
      </c>
      <c r="E621" t="s">
        <v>128</v>
      </c>
      <c r="F621">
        <v>4.5</v>
      </c>
    </row>
    <row r="622" spans="1:6" x14ac:dyDescent="0.3">
      <c r="A622" t="s">
        <v>769</v>
      </c>
      <c r="B622" t="s">
        <v>2017</v>
      </c>
      <c r="C622">
        <v>1970</v>
      </c>
      <c r="D622">
        <v>5</v>
      </c>
      <c r="E622" t="s">
        <v>56</v>
      </c>
      <c r="F622">
        <v>4.5</v>
      </c>
    </row>
    <row r="623" spans="1:6" x14ac:dyDescent="0.3">
      <c r="A623" t="s">
        <v>769</v>
      </c>
      <c r="B623" t="s">
        <v>2017</v>
      </c>
      <c r="C623">
        <v>1970</v>
      </c>
      <c r="D623">
        <v>16</v>
      </c>
      <c r="E623" t="s">
        <v>63</v>
      </c>
      <c r="F623">
        <v>3.2</v>
      </c>
    </row>
    <row r="624" spans="1:6" x14ac:dyDescent="0.3">
      <c r="A624" t="s">
        <v>769</v>
      </c>
      <c r="B624" t="s">
        <v>2017</v>
      </c>
      <c r="C624">
        <v>1970</v>
      </c>
      <c r="D624">
        <v>9</v>
      </c>
      <c r="E624" t="s">
        <v>74</v>
      </c>
      <c r="F624">
        <v>3.2</v>
      </c>
    </row>
    <row r="625" spans="1:6" x14ac:dyDescent="0.3">
      <c r="A625" t="s">
        <v>769</v>
      </c>
      <c r="B625" t="s">
        <v>2017</v>
      </c>
      <c r="C625">
        <v>1970</v>
      </c>
      <c r="D625">
        <v>4</v>
      </c>
      <c r="E625" t="s">
        <v>103</v>
      </c>
      <c r="F625">
        <v>3.2</v>
      </c>
    </row>
    <row r="626" spans="1:6" x14ac:dyDescent="0.3">
      <c r="A626" t="s">
        <v>769</v>
      </c>
      <c r="B626" t="s">
        <v>2017</v>
      </c>
      <c r="C626">
        <v>1970</v>
      </c>
      <c r="D626">
        <v>13</v>
      </c>
      <c r="E626" t="s">
        <v>35</v>
      </c>
      <c r="F626">
        <v>4.8</v>
      </c>
    </row>
    <row r="627" spans="1:6" x14ac:dyDescent="0.3">
      <c r="A627" t="s">
        <v>769</v>
      </c>
      <c r="B627" t="s">
        <v>2017</v>
      </c>
      <c r="C627">
        <v>1970</v>
      </c>
      <c r="D627">
        <v>15</v>
      </c>
      <c r="E627" t="s">
        <v>172</v>
      </c>
      <c r="F627">
        <v>4.8</v>
      </c>
    </row>
    <row r="628" spans="1:6" x14ac:dyDescent="0.3">
      <c r="A628" t="s">
        <v>769</v>
      </c>
      <c r="B628" t="s">
        <v>2017</v>
      </c>
      <c r="C628">
        <v>1970</v>
      </c>
      <c r="D628">
        <v>8</v>
      </c>
      <c r="E628" t="s">
        <v>79</v>
      </c>
      <c r="F628">
        <v>4</v>
      </c>
    </row>
    <row r="629" spans="1:6" x14ac:dyDescent="0.3">
      <c r="A629" t="s">
        <v>769</v>
      </c>
      <c r="B629" t="s">
        <v>2017</v>
      </c>
      <c r="C629">
        <v>1970</v>
      </c>
      <c r="D629">
        <v>2</v>
      </c>
      <c r="E629" t="s">
        <v>549</v>
      </c>
      <c r="F629">
        <v>3.2</v>
      </c>
    </row>
    <row r="630" spans="1:6" x14ac:dyDescent="0.3">
      <c r="A630" t="s">
        <v>769</v>
      </c>
      <c r="B630" t="s">
        <v>2017</v>
      </c>
      <c r="C630">
        <v>1970</v>
      </c>
      <c r="D630">
        <v>6</v>
      </c>
      <c r="E630" t="s">
        <v>145</v>
      </c>
      <c r="F630">
        <v>4</v>
      </c>
    </row>
    <row r="631" spans="1:6" x14ac:dyDescent="0.3">
      <c r="A631" t="s">
        <v>769</v>
      </c>
      <c r="B631" t="s">
        <v>2017</v>
      </c>
      <c r="C631">
        <v>1995</v>
      </c>
      <c r="D631">
        <v>1</v>
      </c>
      <c r="E631" t="s">
        <v>192</v>
      </c>
      <c r="F631">
        <v>2.488</v>
      </c>
    </row>
    <row r="632" spans="1:6" x14ac:dyDescent="0.3">
      <c r="A632" t="s">
        <v>769</v>
      </c>
      <c r="B632" t="s">
        <v>2017</v>
      </c>
      <c r="C632">
        <v>1995</v>
      </c>
      <c r="D632">
        <v>3</v>
      </c>
      <c r="E632" t="s">
        <v>89</v>
      </c>
      <c r="F632">
        <v>2.6520000000000001</v>
      </c>
    </row>
    <row r="633" spans="1:6" x14ac:dyDescent="0.3">
      <c r="A633" t="s">
        <v>769</v>
      </c>
      <c r="B633" t="s">
        <v>2017</v>
      </c>
      <c r="C633">
        <v>1995</v>
      </c>
      <c r="D633">
        <v>14</v>
      </c>
      <c r="E633" t="s">
        <v>204</v>
      </c>
      <c r="F633">
        <v>4.5305</v>
      </c>
    </row>
    <row r="634" spans="1:6" x14ac:dyDescent="0.3">
      <c r="A634" t="s">
        <v>769</v>
      </c>
      <c r="B634" t="s">
        <v>2017</v>
      </c>
      <c r="C634">
        <v>1995</v>
      </c>
      <c r="D634">
        <v>7</v>
      </c>
      <c r="E634" t="s">
        <v>183</v>
      </c>
      <c r="F634">
        <v>3.9780000000000002</v>
      </c>
    </row>
    <row r="635" spans="1:6" x14ac:dyDescent="0.3">
      <c r="A635" t="s">
        <v>769</v>
      </c>
      <c r="B635" t="s">
        <v>2017</v>
      </c>
      <c r="C635">
        <v>1995</v>
      </c>
      <c r="D635">
        <v>10</v>
      </c>
      <c r="E635" t="s">
        <v>46</v>
      </c>
      <c r="F635">
        <v>2.1</v>
      </c>
    </row>
    <row r="636" spans="1:6" x14ac:dyDescent="0.3">
      <c r="A636" t="s">
        <v>769</v>
      </c>
      <c r="B636" t="s">
        <v>2017</v>
      </c>
      <c r="C636">
        <v>1995</v>
      </c>
      <c r="D636">
        <v>11</v>
      </c>
      <c r="E636" t="s">
        <v>107</v>
      </c>
      <c r="F636">
        <v>2.2080000000000002</v>
      </c>
    </row>
    <row r="637" spans="1:6" x14ac:dyDescent="0.3">
      <c r="A637" t="s">
        <v>769</v>
      </c>
      <c r="B637" t="s">
        <v>2017</v>
      </c>
      <c r="C637">
        <v>1995</v>
      </c>
      <c r="D637">
        <v>17</v>
      </c>
      <c r="E637" t="s">
        <v>368</v>
      </c>
      <c r="F637">
        <v>2.488</v>
      </c>
    </row>
    <row r="638" spans="1:6" x14ac:dyDescent="0.3">
      <c r="A638" t="s">
        <v>769</v>
      </c>
      <c r="B638" t="s">
        <v>2017</v>
      </c>
      <c r="C638">
        <v>1995</v>
      </c>
      <c r="D638">
        <v>12</v>
      </c>
      <c r="E638" t="s">
        <v>128</v>
      </c>
      <c r="F638">
        <v>3.73</v>
      </c>
    </row>
    <row r="639" spans="1:6" x14ac:dyDescent="0.3">
      <c r="A639" t="s">
        <v>769</v>
      </c>
      <c r="B639" t="s">
        <v>2017</v>
      </c>
      <c r="C639">
        <v>1995</v>
      </c>
      <c r="D639">
        <v>5</v>
      </c>
      <c r="E639" t="s">
        <v>56</v>
      </c>
      <c r="F639">
        <v>3.758</v>
      </c>
    </row>
    <row r="640" spans="1:6" x14ac:dyDescent="0.3">
      <c r="A640" t="s">
        <v>769</v>
      </c>
      <c r="B640" t="s">
        <v>2017</v>
      </c>
      <c r="C640">
        <v>1995</v>
      </c>
      <c r="D640">
        <v>16</v>
      </c>
      <c r="E640" t="s">
        <v>63</v>
      </c>
      <c r="F640">
        <v>2.488</v>
      </c>
    </row>
    <row r="641" spans="1:6" x14ac:dyDescent="0.3">
      <c r="A641" t="s">
        <v>769</v>
      </c>
      <c r="B641" t="s">
        <v>2017</v>
      </c>
      <c r="C641">
        <v>1995</v>
      </c>
      <c r="D641">
        <v>9</v>
      </c>
      <c r="E641" t="s">
        <v>74</v>
      </c>
      <c r="F641">
        <v>2.488</v>
      </c>
    </row>
    <row r="642" spans="1:6" x14ac:dyDescent="0.3">
      <c r="A642" t="s">
        <v>769</v>
      </c>
      <c r="B642" t="s">
        <v>2017</v>
      </c>
      <c r="C642">
        <v>1995</v>
      </c>
      <c r="D642">
        <v>4</v>
      </c>
      <c r="E642" t="s">
        <v>103</v>
      </c>
      <c r="F642">
        <v>2.6520000000000001</v>
      </c>
    </row>
    <row r="643" spans="1:6" x14ac:dyDescent="0.3">
      <c r="A643" t="s">
        <v>769</v>
      </c>
      <c r="B643" t="s">
        <v>2017</v>
      </c>
      <c r="C643">
        <v>1995</v>
      </c>
      <c r="D643">
        <v>13</v>
      </c>
      <c r="E643" t="s">
        <v>35</v>
      </c>
      <c r="F643">
        <v>3.9780000000000002</v>
      </c>
    </row>
    <row r="644" spans="1:6" x14ac:dyDescent="0.3">
      <c r="A644" t="s">
        <v>769</v>
      </c>
      <c r="B644" t="s">
        <v>2017</v>
      </c>
      <c r="C644">
        <v>1995</v>
      </c>
      <c r="D644">
        <v>15</v>
      </c>
      <c r="E644" t="s">
        <v>172</v>
      </c>
      <c r="F644">
        <v>3.9780000000000002</v>
      </c>
    </row>
    <row r="645" spans="1:6" x14ac:dyDescent="0.3">
      <c r="A645" t="s">
        <v>769</v>
      </c>
      <c r="B645" t="s">
        <v>2017</v>
      </c>
      <c r="C645">
        <v>1995</v>
      </c>
      <c r="D645">
        <v>8</v>
      </c>
      <c r="E645" t="s">
        <v>79</v>
      </c>
      <c r="F645">
        <v>3.3149999999999999</v>
      </c>
    </row>
    <row r="646" spans="1:6" x14ac:dyDescent="0.3">
      <c r="A646" t="s">
        <v>769</v>
      </c>
      <c r="B646" t="s">
        <v>2017</v>
      </c>
      <c r="C646">
        <v>1995</v>
      </c>
      <c r="D646">
        <v>2</v>
      </c>
      <c r="E646" t="s">
        <v>549</v>
      </c>
      <c r="F646">
        <v>2.488</v>
      </c>
    </row>
    <row r="647" spans="1:6" x14ac:dyDescent="0.3">
      <c r="A647" t="s">
        <v>769</v>
      </c>
      <c r="B647" t="s">
        <v>2017</v>
      </c>
      <c r="C647">
        <v>1995</v>
      </c>
      <c r="D647">
        <v>6</v>
      </c>
      <c r="E647" t="s">
        <v>145</v>
      </c>
      <c r="F647">
        <v>3.3149999999999999</v>
      </c>
    </row>
    <row r="648" spans="1:6" x14ac:dyDescent="0.3">
      <c r="A648" t="s">
        <v>769</v>
      </c>
      <c r="B648" t="s">
        <v>2017</v>
      </c>
      <c r="C648">
        <v>2030</v>
      </c>
      <c r="D648">
        <v>1</v>
      </c>
      <c r="E648" t="s">
        <v>192</v>
      </c>
      <c r="F648">
        <v>2.488</v>
      </c>
    </row>
    <row r="649" spans="1:6" x14ac:dyDescent="0.3">
      <c r="A649" t="s">
        <v>769</v>
      </c>
      <c r="B649" t="s">
        <v>2017</v>
      </c>
      <c r="C649">
        <v>2030</v>
      </c>
      <c r="D649">
        <v>3</v>
      </c>
      <c r="E649" t="s">
        <v>89</v>
      </c>
      <c r="F649">
        <v>2.5880000000000001</v>
      </c>
    </row>
    <row r="650" spans="1:6" x14ac:dyDescent="0.3">
      <c r="A650" t="s">
        <v>769</v>
      </c>
      <c r="B650" t="s">
        <v>2017</v>
      </c>
      <c r="C650">
        <v>2030</v>
      </c>
      <c r="D650">
        <v>14</v>
      </c>
      <c r="E650" t="s">
        <v>204</v>
      </c>
      <c r="F650">
        <v>4.2249999999999996</v>
      </c>
    </row>
    <row r="651" spans="1:6" x14ac:dyDescent="0.3">
      <c r="A651" t="s">
        <v>769</v>
      </c>
      <c r="B651" t="s">
        <v>2017</v>
      </c>
      <c r="C651">
        <v>2030</v>
      </c>
      <c r="D651">
        <v>7</v>
      </c>
      <c r="E651" t="s">
        <v>183</v>
      </c>
      <c r="F651">
        <v>3.9359999999999999</v>
      </c>
    </row>
    <row r="652" spans="1:6" x14ac:dyDescent="0.3">
      <c r="A652" t="s">
        <v>769</v>
      </c>
      <c r="B652" t="s">
        <v>2017</v>
      </c>
      <c r="C652">
        <v>2030</v>
      </c>
      <c r="D652">
        <v>10</v>
      </c>
      <c r="E652" t="s">
        <v>46</v>
      </c>
      <c r="F652">
        <v>1.974</v>
      </c>
    </row>
    <row r="653" spans="1:6" x14ac:dyDescent="0.3">
      <c r="A653" t="s">
        <v>769</v>
      </c>
      <c r="B653" t="s">
        <v>2017</v>
      </c>
      <c r="C653">
        <v>2030</v>
      </c>
      <c r="D653">
        <v>11</v>
      </c>
      <c r="E653" t="s">
        <v>107</v>
      </c>
      <c r="F653">
        <v>2.0819999999999999</v>
      </c>
    </row>
    <row r="654" spans="1:6" x14ac:dyDescent="0.3">
      <c r="A654" t="s">
        <v>769</v>
      </c>
      <c r="B654" t="s">
        <v>2017</v>
      </c>
      <c r="C654">
        <v>2030</v>
      </c>
      <c r="D654">
        <v>17</v>
      </c>
      <c r="E654" t="s">
        <v>368</v>
      </c>
      <c r="F654">
        <v>2.488</v>
      </c>
    </row>
    <row r="655" spans="1:6" x14ac:dyDescent="0.3">
      <c r="A655" t="s">
        <v>769</v>
      </c>
      <c r="B655" t="s">
        <v>2017</v>
      </c>
      <c r="C655">
        <v>2030</v>
      </c>
      <c r="D655">
        <v>12</v>
      </c>
      <c r="E655" t="s">
        <v>128</v>
      </c>
      <c r="F655">
        <v>3.48</v>
      </c>
    </row>
    <row r="656" spans="1:6" x14ac:dyDescent="0.3">
      <c r="A656" t="s">
        <v>769</v>
      </c>
      <c r="B656" t="s">
        <v>2017</v>
      </c>
      <c r="C656">
        <v>2030</v>
      </c>
      <c r="D656">
        <v>5</v>
      </c>
      <c r="E656" t="s">
        <v>56</v>
      </c>
      <c r="F656">
        <v>3.758</v>
      </c>
    </row>
    <row r="657" spans="1:6" x14ac:dyDescent="0.3">
      <c r="A657" t="s">
        <v>769</v>
      </c>
      <c r="B657" t="s">
        <v>2017</v>
      </c>
      <c r="C657">
        <v>2030</v>
      </c>
      <c r="D657">
        <v>16</v>
      </c>
      <c r="E657" t="s">
        <v>63</v>
      </c>
      <c r="F657">
        <v>2.488</v>
      </c>
    </row>
    <row r="658" spans="1:6" x14ac:dyDescent="0.3">
      <c r="A658" t="s">
        <v>769</v>
      </c>
      <c r="B658" t="s">
        <v>2017</v>
      </c>
      <c r="C658">
        <v>2030</v>
      </c>
      <c r="D658">
        <v>9</v>
      </c>
      <c r="E658" t="s">
        <v>74</v>
      </c>
      <c r="F658">
        <v>2.488</v>
      </c>
    </row>
    <row r="659" spans="1:6" x14ac:dyDescent="0.3">
      <c r="A659" t="s">
        <v>769</v>
      </c>
      <c r="B659" t="s">
        <v>2017</v>
      </c>
      <c r="C659">
        <v>2030</v>
      </c>
      <c r="D659">
        <v>4</v>
      </c>
      <c r="E659" t="s">
        <v>103</v>
      </c>
      <c r="F659">
        <v>2.5760000000000001</v>
      </c>
    </row>
    <row r="660" spans="1:6" x14ac:dyDescent="0.3">
      <c r="A660" t="s">
        <v>769</v>
      </c>
      <c r="B660" t="s">
        <v>2017</v>
      </c>
      <c r="C660">
        <v>2030</v>
      </c>
      <c r="D660">
        <v>13</v>
      </c>
      <c r="E660" t="s">
        <v>35</v>
      </c>
      <c r="F660">
        <v>3.8820000000000001</v>
      </c>
    </row>
    <row r="661" spans="1:6" x14ac:dyDescent="0.3">
      <c r="A661" t="s">
        <v>769</v>
      </c>
      <c r="B661" t="s">
        <v>2017</v>
      </c>
      <c r="C661">
        <v>2030</v>
      </c>
      <c r="D661">
        <v>15</v>
      </c>
      <c r="E661" t="s">
        <v>172</v>
      </c>
      <c r="F661">
        <v>3.8639999999999999</v>
      </c>
    </row>
    <row r="662" spans="1:6" x14ac:dyDescent="0.3">
      <c r="A662" t="s">
        <v>769</v>
      </c>
      <c r="B662" t="s">
        <v>2017</v>
      </c>
      <c r="C662">
        <v>2030</v>
      </c>
      <c r="D662">
        <v>8</v>
      </c>
      <c r="E662" t="s">
        <v>79</v>
      </c>
      <c r="F662">
        <v>3.28</v>
      </c>
    </row>
    <row r="663" spans="1:6" x14ac:dyDescent="0.3">
      <c r="A663" t="s">
        <v>769</v>
      </c>
      <c r="B663" t="s">
        <v>2017</v>
      </c>
      <c r="C663">
        <v>2030</v>
      </c>
      <c r="D663">
        <v>2</v>
      </c>
      <c r="E663" t="s">
        <v>549</v>
      </c>
      <c r="F663">
        <v>2.488</v>
      </c>
    </row>
    <row r="664" spans="1:6" x14ac:dyDescent="0.3">
      <c r="A664" t="s">
        <v>769</v>
      </c>
      <c r="B664" t="s">
        <v>2017</v>
      </c>
      <c r="C664">
        <v>2030</v>
      </c>
      <c r="D664">
        <v>6</v>
      </c>
      <c r="E664" t="s">
        <v>145</v>
      </c>
      <c r="F664">
        <v>3.28</v>
      </c>
    </row>
    <row r="665" spans="1:6" x14ac:dyDescent="0.3">
      <c r="A665" t="s">
        <v>863</v>
      </c>
      <c r="B665" t="s">
        <v>1973</v>
      </c>
      <c r="C665">
        <v>1970</v>
      </c>
      <c r="D665">
        <v>1</v>
      </c>
      <c r="E665" t="s">
        <v>192</v>
      </c>
      <c r="F665">
        <v>3.2074159999999998E-3</v>
      </c>
    </row>
    <row r="666" spans="1:6" x14ac:dyDescent="0.3">
      <c r="A666" t="s">
        <v>863</v>
      </c>
      <c r="B666" t="s">
        <v>1973</v>
      </c>
      <c r="C666">
        <v>1970</v>
      </c>
      <c r="D666">
        <v>3</v>
      </c>
      <c r="E666" t="s">
        <v>89</v>
      </c>
      <c r="F666">
        <v>7.6417550000000001E-3</v>
      </c>
    </row>
    <row r="667" spans="1:6" x14ac:dyDescent="0.3">
      <c r="A667" t="s">
        <v>863</v>
      </c>
      <c r="B667" t="s">
        <v>1973</v>
      </c>
      <c r="C667">
        <v>1970</v>
      </c>
      <c r="D667">
        <v>14</v>
      </c>
      <c r="E667" t="s">
        <v>204</v>
      </c>
      <c r="F667">
        <v>1.7028919999999999E-3</v>
      </c>
    </row>
    <row r="668" spans="1:6" x14ac:dyDescent="0.3">
      <c r="A668" t="s">
        <v>863</v>
      </c>
      <c r="B668" t="s">
        <v>1973</v>
      </c>
      <c r="C668">
        <v>1970</v>
      </c>
      <c r="D668">
        <v>7</v>
      </c>
      <c r="E668" t="s">
        <v>183</v>
      </c>
      <c r="F668">
        <v>9.472388E-3</v>
      </c>
    </row>
    <row r="669" spans="1:6" x14ac:dyDescent="0.3">
      <c r="A669" t="s">
        <v>863</v>
      </c>
      <c r="B669" t="s">
        <v>1973</v>
      </c>
      <c r="C669">
        <v>1970</v>
      </c>
      <c r="D669">
        <v>10</v>
      </c>
      <c r="E669" t="s">
        <v>46</v>
      </c>
      <c r="F669">
        <v>2.4127675000000001E-2</v>
      </c>
    </row>
    <row r="670" spans="1:6" x14ac:dyDescent="0.3">
      <c r="A670" t="s">
        <v>863</v>
      </c>
      <c r="B670" t="s">
        <v>1973</v>
      </c>
      <c r="C670">
        <v>1970</v>
      </c>
      <c r="D670">
        <v>11</v>
      </c>
      <c r="E670" t="s">
        <v>107</v>
      </c>
      <c r="F670">
        <v>4.8286740000000002E-2</v>
      </c>
    </row>
    <row r="671" spans="1:6" x14ac:dyDescent="0.3">
      <c r="A671" t="s">
        <v>863</v>
      </c>
      <c r="B671" t="s">
        <v>1973</v>
      </c>
      <c r="C671">
        <v>1970</v>
      </c>
      <c r="D671">
        <v>17</v>
      </c>
      <c r="E671" t="s">
        <v>368</v>
      </c>
      <c r="F671">
        <v>8.3997759999999994E-3</v>
      </c>
    </row>
    <row r="672" spans="1:6" x14ac:dyDescent="0.3">
      <c r="A672" t="s">
        <v>863</v>
      </c>
      <c r="B672" t="s">
        <v>1973</v>
      </c>
      <c r="C672">
        <v>1970</v>
      </c>
      <c r="D672">
        <v>12</v>
      </c>
      <c r="E672" t="s">
        <v>128</v>
      </c>
      <c r="F672">
        <v>2.1420345E-2</v>
      </c>
    </row>
    <row r="673" spans="1:6" x14ac:dyDescent="0.3">
      <c r="A673" t="s">
        <v>863</v>
      </c>
      <c r="B673" t="s">
        <v>1973</v>
      </c>
      <c r="C673">
        <v>1970</v>
      </c>
      <c r="D673">
        <v>5</v>
      </c>
      <c r="E673" t="s">
        <v>56</v>
      </c>
      <c r="F673">
        <v>1.7455140000000001E-2</v>
      </c>
    </row>
    <row r="674" spans="1:6" x14ac:dyDescent="0.3">
      <c r="A674" t="s">
        <v>863</v>
      </c>
      <c r="B674" t="s">
        <v>1973</v>
      </c>
      <c r="C674">
        <v>1970</v>
      </c>
      <c r="D674">
        <v>16</v>
      </c>
      <c r="E674" t="s">
        <v>63</v>
      </c>
      <c r="F674">
        <v>2.672977E-2</v>
      </c>
    </row>
    <row r="675" spans="1:6" x14ac:dyDescent="0.3">
      <c r="A675" t="s">
        <v>863</v>
      </c>
      <c r="B675" t="s">
        <v>1973</v>
      </c>
      <c r="C675">
        <v>1970</v>
      </c>
      <c r="D675">
        <v>9</v>
      </c>
      <c r="E675" t="s">
        <v>74</v>
      </c>
      <c r="F675">
        <v>3.5721666999999999E-2</v>
      </c>
    </row>
    <row r="676" spans="1:6" x14ac:dyDescent="0.3">
      <c r="A676" t="s">
        <v>863</v>
      </c>
      <c r="B676" t="s">
        <v>1973</v>
      </c>
      <c r="C676">
        <v>1970</v>
      </c>
      <c r="D676">
        <v>4</v>
      </c>
      <c r="E676" t="s">
        <v>103</v>
      </c>
      <c r="F676">
        <v>1.3821206000000001E-2</v>
      </c>
    </row>
    <row r="677" spans="1:6" x14ac:dyDescent="0.3">
      <c r="A677" t="s">
        <v>863</v>
      </c>
      <c r="B677" t="s">
        <v>1973</v>
      </c>
      <c r="C677">
        <v>1970</v>
      </c>
      <c r="D677">
        <v>13</v>
      </c>
      <c r="E677" t="s">
        <v>35</v>
      </c>
      <c r="F677">
        <v>4.976907E-3</v>
      </c>
    </row>
    <row r="678" spans="1:6" x14ac:dyDescent="0.3">
      <c r="A678" t="s">
        <v>863</v>
      </c>
      <c r="B678" t="s">
        <v>1973</v>
      </c>
      <c r="C678">
        <v>1970</v>
      </c>
      <c r="D678">
        <v>15</v>
      </c>
      <c r="E678" t="s">
        <v>172</v>
      </c>
      <c r="F678">
        <v>1.0465590000000001E-3</v>
      </c>
    </row>
    <row r="679" spans="1:6" x14ac:dyDescent="0.3">
      <c r="A679" t="s">
        <v>863</v>
      </c>
      <c r="B679" t="s">
        <v>1973</v>
      </c>
      <c r="C679">
        <v>1970</v>
      </c>
      <c r="D679">
        <v>8</v>
      </c>
      <c r="E679" t="s">
        <v>79</v>
      </c>
      <c r="F679">
        <v>4.9957789999999997E-3</v>
      </c>
    </row>
    <row r="680" spans="1:6" x14ac:dyDescent="0.3">
      <c r="A680" t="s">
        <v>863</v>
      </c>
      <c r="B680" t="s">
        <v>1973</v>
      </c>
      <c r="C680">
        <v>1970</v>
      </c>
      <c r="D680">
        <v>2</v>
      </c>
      <c r="E680" t="s">
        <v>549</v>
      </c>
      <c r="F680">
        <v>9.3568039999999998E-3</v>
      </c>
    </row>
    <row r="681" spans="1:6" x14ac:dyDescent="0.3">
      <c r="A681" t="s">
        <v>863</v>
      </c>
      <c r="B681" t="s">
        <v>1973</v>
      </c>
      <c r="C681">
        <v>1970</v>
      </c>
      <c r="D681">
        <v>6</v>
      </c>
      <c r="E681" t="s">
        <v>145</v>
      </c>
      <c r="F681">
        <v>2.3405610000000001E-3</v>
      </c>
    </row>
    <row r="682" spans="1:6" x14ac:dyDescent="0.3">
      <c r="A682" t="s">
        <v>863</v>
      </c>
      <c r="B682" t="s">
        <v>1973</v>
      </c>
      <c r="C682">
        <v>1995</v>
      </c>
      <c r="D682">
        <v>1</v>
      </c>
      <c r="E682" t="s">
        <v>192</v>
      </c>
      <c r="F682">
        <v>2.4937660000000001E-3</v>
      </c>
    </row>
    <row r="683" spans="1:6" x14ac:dyDescent="0.3">
      <c r="A683" t="s">
        <v>863</v>
      </c>
      <c r="B683" t="s">
        <v>1973</v>
      </c>
      <c r="C683">
        <v>1995</v>
      </c>
      <c r="D683">
        <v>3</v>
      </c>
      <c r="E683" t="s">
        <v>89</v>
      </c>
      <c r="F683">
        <v>6.3273729999999999E-3</v>
      </c>
    </row>
    <row r="684" spans="1:6" x14ac:dyDescent="0.3">
      <c r="A684" t="s">
        <v>863</v>
      </c>
      <c r="B684" t="s">
        <v>1973</v>
      </c>
      <c r="C684">
        <v>1995</v>
      </c>
      <c r="D684">
        <v>14</v>
      </c>
      <c r="E684" t="s">
        <v>204</v>
      </c>
      <c r="F684">
        <v>1.077466E-3</v>
      </c>
    </row>
    <row r="685" spans="1:6" x14ac:dyDescent="0.3">
      <c r="A685" t="s">
        <v>863</v>
      </c>
      <c r="B685" t="s">
        <v>1973</v>
      </c>
      <c r="C685">
        <v>1995</v>
      </c>
      <c r="D685">
        <v>7</v>
      </c>
      <c r="E685" t="s">
        <v>183</v>
      </c>
      <c r="F685">
        <v>7.843137E-3</v>
      </c>
    </row>
    <row r="686" spans="1:6" x14ac:dyDescent="0.3">
      <c r="A686" t="s">
        <v>863</v>
      </c>
      <c r="B686" t="s">
        <v>1973</v>
      </c>
      <c r="C686">
        <v>1995</v>
      </c>
      <c r="D686">
        <v>10</v>
      </c>
      <c r="E686" t="s">
        <v>46</v>
      </c>
      <c r="F686">
        <v>1.8771330999999999E-2</v>
      </c>
    </row>
    <row r="687" spans="1:6" x14ac:dyDescent="0.3">
      <c r="A687" t="s">
        <v>863</v>
      </c>
      <c r="B687" t="s">
        <v>1973</v>
      </c>
      <c r="C687">
        <v>1995</v>
      </c>
      <c r="D687">
        <v>11</v>
      </c>
      <c r="E687" t="s">
        <v>107</v>
      </c>
      <c r="F687">
        <v>3.7567084000000001E-2</v>
      </c>
    </row>
    <row r="688" spans="1:6" x14ac:dyDescent="0.3">
      <c r="A688" t="s">
        <v>863</v>
      </c>
      <c r="B688" t="s">
        <v>1973</v>
      </c>
      <c r="C688">
        <v>1995</v>
      </c>
      <c r="D688">
        <v>17</v>
      </c>
      <c r="E688" t="s">
        <v>368</v>
      </c>
      <c r="F688">
        <v>6.5308249999999997E-3</v>
      </c>
    </row>
    <row r="689" spans="1:6" x14ac:dyDescent="0.3">
      <c r="A689" t="s">
        <v>863</v>
      </c>
      <c r="B689" t="s">
        <v>1973</v>
      </c>
      <c r="C689">
        <v>1995</v>
      </c>
      <c r="D689">
        <v>12</v>
      </c>
      <c r="E689" t="s">
        <v>128</v>
      </c>
      <c r="F689">
        <v>1.7736045999999998E-2</v>
      </c>
    </row>
    <row r="690" spans="1:6" x14ac:dyDescent="0.3">
      <c r="A690" t="s">
        <v>863</v>
      </c>
      <c r="B690" t="s">
        <v>1973</v>
      </c>
      <c r="C690">
        <v>1995</v>
      </c>
      <c r="D690">
        <v>5</v>
      </c>
      <c r="E690" t="s">
        <v>56</v>
      </c>
      <c r="F690">
        <v>1.4452856E-2</v>
      </c>
    </row>
    <row r="691" spans="1:6" x14ac:dyDescent="0.3">
      <c r="A691" t="s">
        <v>863</v>
      </c>
      <c r="B691" t="s">
        <v>1973</v>
      </c>
      <c r="C691">
        <v>1995</v>
      </c>
      <c r="D691">
        <v>16</v>
      </c>
      <c r="E691" t="s">
        <v>63</v>
      </c>
      <c r="F691">
        <v>2.0782396000000002E-2</v>
      </c>
    </row>
    <row r="692" spans="1:6" x14ac:dyDescent="0.3">
      <c r="A692" t="s">
        <v>863</v>
      </c>
      <c r="B692" t="s">
        <v>1973</v>
      </c>
      <c r="C692">
        <v>1995</v>
      </c>
      <c r="D692">
        <v>9</v>
      </c>
      <c r="E692" t="s">
        <v>74</v>
      </c>
      <c r="F692">
        <v>2.7773596000000001E-2</v>
      </c>
    </row>
    <row r="693" spans="1:6" x14ac:dyDescent="0.3">
      <c r="A693" t="s">
        <v>863</v>
      </c>
      <c r="B693" t="s">
        <v>1973</v>
      </c>
      <c r="C693">
        <v>1995</v>
      </c>
      <c r="D693">
        <v>4</v>
      </c>
      <c r="E693" t="s">
        <v>103</v>
      </c>
      <c r="F693">
        <v>1.1443958000000001E-2</v>
      </c>
    </row>
    <row r="694" spans="1:6" x14ac:dyDescent="0.3">
      <c r="A694" t="s">
        <v>863</v>
      </c>
      <c r="B694" t="s">
        <v>1973</v>
      </c>
      <c r="C694">
        <v>1995</v>
      </c>
      <c r="D694">
        <v>13</v>
      </c>
      <c r="E694" t="s">
        <v>35</v>
      </c>
      <c r="F694">
        <v>4.120879E-3</v>
      </c>
    </row>
    <row r="695" spans="1:6" x14ac:dyDescent="0.3">
      <c r="A695" t="s">
        <v>863</v>
      </c>
      <c r="B695" t="s">
        <v>1973</v>
      </c>
      <c r="C695">
        <v>1995</v>
      </c>
      <c r="D695">
        <v>15</v>
      </c>
      <c r="E695" t="s">
        <v>172</v>
      </c>
      <c r="F695">
        <v>8.6655100000000002E-4</v>
      </c>
    </row>
    <row r="696" spans="1:6" x14ac:dyDescent="0.3">
      <c r="A696" t="s">
        <v>863</v>
      </c>
      <c r="B696" t="s">
        <v>1973</v>
      </c>
      <c r="C696">
        <v>1995</v>
      </c>
      <c r="D696">
        <v>8</v>
      </c>
      <c r="E696" t="s">
        <v>79</v>
      </c>
      <c r="F696">
        <v>4.1365050000000004E-3</v>
      </c>
    </row>
    <row r="697" spans="1:6" x14ac:dyDescent="0.3">
      <c r="A697" t="s">
        <v>863</v>
      </c>
      <c r="B697" t="s">
        <v>1973</v>
      </c>
      <c r="C697">
        <v>1995</v>
      </c>
      <c r="D697">
        <v>2</v>
      </c>
      <c r="E697" t="s">
        <v>549</v>
      </c>
      <c r="F697">
        <v>7.2749149999999999E-3</v>
      </c>
    </row>
    <row r="698" spans="1:6" x14ac:dyDescent="0.3">
      <c r="A698" t="s">
        <v>863</v>
      </c>
      <c r="B698" t="s">
        <v>1973</v>
      </c>
      <c r="C698">
        <v>1995</v>
      </c>
      <c r="D698">
        <v>6</v>
      </c>
      <c r="E698" t="s">
        <v>145</v>
      </c>
      <c r="F698">
        <v>1.937984E-3</v>
      </c>
    </row>
    <row r="699" spans="1:6" x14ac:dyDescent="0.3">
      <c r="A699" t="s">
        <v>863</v>
      </c>
      <c r="B699" t="s">
        <v>1973</v>
      </c>
      <c r="C699">
        <v>2030</v>
      </c>
      <c r="D699">
        <v>1</v>
      </c>
      <c r="E699" t="s">
        <v>192</v>
      </c>
      <c r="F699">
        <v>2.4937660000000001E-3</v>
      </c>
    </row>
    <row r="700" spans="1:6" x14ac:dyDescent="0.3">
      <c r="A700" t="s">
        <v>863</v>
      </c>
      <c r="B700" t="s">
        <v>1973</v>
      </c>
      <c r="C700">
        <v>2030</v>
      </c>
      <c r="D700">
        <v>3</v>
      </c>
      <c r="E700" t="s">
        <v>89</v>
      </c>
      <c r="F700">
        <v>5.7007489999999997E-3</v>
      </c>
    </row>
    <row r="701" spans="1:6" x14ac:dyDescent="0.3">
      <c r="A701" t="s">
        <v>863</v>
      </c>
      <c r="B701" t="s">
        <v>1973</v>
      </c>
      <c r="C701">
        <v>2030</v>
      </c>
      <c r="D701">
        <v>14</v>
      </c>
      <c r="E701" t="s">
        <v>204</v>
      </c>
      <c r="F701">
        <v>1.006254E-3</v>
      </c>
    </row>
    <row r="702" spans="1:6" x14ac:dyDescent="0.3">
      <c r="A702" t="s">
        <v>863</v>
      </c>
      <c r="B702" t="s">
        <v>1973</v>
      </c>
      <c r="C702">
        <v>2030</v>
      </c>
      <c r="D702">
        <v>7</v>
      </c>
      <c r="E702" t="s">
        <v>183</v>
      </c>
      <c r="F702">
        <v>7.4831869999999997E-3</v>
      </c>
    </row>
    <row r="703" spans="1:6" x14ac:dyDescent="0.3">
      <c r="A703" t="s">
        <v>863</v>
      </c>
      <c r="B703" t="s">
        <v>1973</v>
      </c>
      <c r="C703">
        <v>2030</v>
      </c>
      <c r="D703">
        <v>10</v>
      </c>
      <c r="E703" t="s">
        <v>46</v>
      </c>
      <c r="F703">
        <v>1.6744605999999999E-2</v>
      </c>
    </row>
    <row r="704" spans="1:6" x14ac:dyDescent="0.3">
      <c r="A704" t="s">
        <v>863</v>
      </c>
      <c r="B704" t="s">
        <v>1973</v>
      </c>
      <c r="C704">
        <v>2030</v>
      </c>
      <c r="D704">
        <v>11</v>
      </c>
      <c r="E704" t="s">
        <v>107</v>
      </c>
      <c r="F704">
        <v>3.4766453000000003E-2</v>
      </c>
    </row>
    <row r="705" spans="1:6" x14ac:dyDescent="0.3">
      <c r="A705" t="s">
        <v>863</v>
      </c>
      <c r="B705" t="s">
        <v>1973</v>
      </c>
      <c r="C705">
        <v>2030</v>
      </c>
      <c r="D705">
        <v>17</v>
      </c>
      <c r="E705" t="s">
        <v>368</v>
      </c>
      <c r="F705">
        <v>6.5308249999999997E-3</v>
      </c>
    </row>
    <row r="706" spans="1:6" x14ac:dyDescent="0.3">
      <c r="A706" t="s">
        <v>863</v>
      </c>
      <c r="B706" t="s">
        <v>1973</v>
      </c>
      <c r="C706">
        <v>2030</v>
      </c>
      <c r="D706">
        <v>12</v>
      </c>
      <c r="E706" t="s">
        <v>128</v>
      </c>
      <c r="F706">
        <v>1.5979578000000001E-2</v>
      </c>
    </row>
    <row r="707" spans="1:6" x14ac:dyDescent="0.3">
      <c r="A707" t="s">
        <v>863</v>
      </c>
      <c r="B707" t="s">
        <v>1973</v>
      </c>
      <c r="C707">
        <v>2030</v>
      </c>
      <c r="D707">
        <v>5</v>
      </c>
      <c r="E707" t="s">
        <v>56</v>
      </c>
      <c r="F707">
        <v>1.3300817E-2</v>
      </c>
    </row>
    <row r="708" spans="1:6" x14ac:dyDescent="0.3">
      <c r="A708" t="s">
        <v>863</v>
      </c>
      <c r="B708" t="s">
        <v>1973</v>
      </c>
      <c r="C708">
        <v>2030</v>
      </c>
      <c r="D708">
        <v>16</v>
      </c>
      <c r="E708" t="s">
        <v>63</v>
      </c>
      <c r="F708">
        <v>2.0782396000000002E-2</v>
      </c>
    </row>
    <row r="709" spans="1:6" x14ac:dyDescent="0.3">
      <c r="A709" t="s">
        <v>863</v>
      </c>
      <c r="B709" t="s">
        <v>1973</v>
      </c>
      <c r="C709">
        <v>2030</v>
      </c>
      <c r="D709">
        <v>9</v>
      </c>
      <c r="E709" t="s">
        <v>74</v>
      </c>
      <c r="F709">
        <v>2.7773596000000001E-2</v>
      </c>
    </row>
    <row r="710" spans="1:6" x14ac:dyDescent="0.3">
      <c r="A710" t="s">
        <v>863</v>
      </c>
      <c r="B710" t="s">
        <v>1973</v>
      </c>
      <c r="C710">
        <v>2030</v>
      </c>
      <c r="D710">
        <v>4</v>
      </c>
      <c r="E710" t="s">
        <v>103</v>
      </c>
      <c r="F710">
        <v>1.008948E-2</v>
      </c>
    </row>
    <row r="711" spans="1:6" x14ac:dyDescent="0.3">
      <c r="A711" t="s">
        <v>863</v>
      </c>
      <c r="B711" t="s">
        <v>1973</v>
      </c>
      <c r="C711">
        <v>2030</v>
      </c>
      <c r="D711">
        <v>13</v>
      </c>
      <c r="E711" t="s">
        <v>35</v>
      </c>
      <c r="F711">
        <v>3.7127729999999999E-3</v>
      </c>
    </row>
    <row r="712" spans="1:6" x14ac:dyDescent="0.3">
      <c r="A712" t="s">
        <v>863</v>
      </c>
      <c r="B712" t="s">
        <v>1973</v>
      </c>
      <c r="C712">
        <v>2030</v>
      </c>
      <c r="D712">
        <v>15</v>
      </c>
      <c r="E712" t="s">
        <v>172</v>
      </c>
      <c r="F712">
        <v>7.6817499999999996E-4</v>
      </c>
    </row>
    <row r="713" spans="1:6" x14ac:dyDescent="0.3">
      <c r="A713" t="s">
        <v>863</v>
      </c>
      <c r="B713" t="s">
        <v>1973</v>
      </c>
      <c r="C713">
        <v>2030</v>
      </c>
      <c r="D713">
        <v>8</v>
      </c>
      <c r="E713" t="s">
        <v>79</v>
      </c>
      <c r="F713">
        <v>3.9566569999999997E-3</v>
      </c>
    </row>
    <row r="714" spans="1:6" x14ac:dyDescent="0.3">
      <c r="A714" t="s">
        <v>863</v>
      </c>
      <c r="B714" t="s">
        <v>1973</v>
      </c>
      <c r="C714">
        <v>2030</v>
      </c>
      <c r="D714">
        <v>2</v>
      </c>
      <c r="E714" t="s">
        <v>549</v>
      </c>
      <c r="F714">
        <v>7.2749149999999999E-3</v>
      </c>
    </row>
    <row r="715" spans="1:6" x14ac:dyDescent="0.3">
      <c r="A715" t="s">
        <v>863</v>
      </c>
      <c r="B715" t="s">
        <v>1973</v>
      </c>
      <c r="C715">
        <v>2030</v>
      </c>
      <c r="D715">
        <v>6</v>
      </c>
      <c r="E715" t="s">
        <v>145</v>
      </c>
      <c r="F715">
        <v>1.858405E-3</v>
      </c>
    </row>
    <row r="716" spans="1:6" x14ac:dyDescent="0.3">
      <c r="A716" t="s">
        <v>863</v>
      </c>
      <c r="B716" t="s">
        <v>1965</v>
      </c>
      <c r="C716">
        <v>1970</v>
      </c>
      <c r="D716">
        <v>1</v>
      </c>
      <c r="E716" t="s">
        <v>192</v>
      </c>
      <c r="F716">
        <v>2.996792584</v>
      </c>
    </row>
    <row r="717" spans="1:6" x14ac:dyDescent="0.3">
      <c r="A717" t="s">
        <v>863</v>
      </c>
      <c r="B717" t="s">
        <v>1965</v>
      </c>
      <c r="C717">
        <v>1970</v>
      </c>
      <c r="D717">
        <v>3</v>
      </c>
      <c r="E717" t="s">
        <v>89</v>
      </c>
      <c r="F717">
        <v>2.8423582449999998</v>
      </c>
    </row>
    <row r="718" spans="1:6" x14ac:dyDescent="0.3">
      <c r="A718" t="s">
        <v>863</v>
      </c>
      <c r="B718" t="s">
        <v>1965</v>
      </c>
      <c r="C718">
        <v>1970</v>
      </c>
      <c r="D718">
        <v>14</v>
      </c>
      <c r="E718" t="s">
        <v>204</v>
      </c>
      <c r="F718">
        <v>2.3082971080000001</v>
      </c>
    </row>
    <row r="719" spans="1:6" x14ac:dyDescent="0.3">
      <c r="A719" t="s">
        <v>863</v>
      </c>
      <c r="B719" t="s">
        <v>1965</v>
      </c>
      <c r="C719">
        <v>1970</v>
      </c>
      <c r="D719">
        <v>7</v>
      </c>
      <c r="E719" t="s">
        <v>183</v>
      </c>
      <c r="F719">
        <v>1.9905276119999999</v>
      </c>
    </row>
    <row r="720" spans="1:6" x14ac:dyDescent="0.3">
      <c r="A720" t="s">
        <v>863</v>
      </c>
      <c r="B720" t="s">
        <v>1965</v>
      </c>
      <c r="C720">
        <v>1970</v>
      </c>
      <c r="D720">
        <v>10</v>
      </c>
      <c r="E720" t="s">
        <v>46</v>
      </c>
      <c r="F720">
        <v>3.7258723250000001</v>
      </c>
    </row>
    <row r="721" spans="1:6" x14ac:dyDescent="0.3">
      <c r="A721" t="s">
        <v>863</v>
      </c>
      <c r="B721" t="s">
        <v>1965</v>
      </c>
      <c r="C721">
        <v>1970</v>
      </c>
      <c r="D721">
        <v>11</v>
      </c>
      <c r="E721" t="s">
        <v>107</v>
      </c>
      <c r="F721">
        <v>3.70171326</v>
      </c>
    </row>
    <row r="722" spans="1:6" x14ac:dyDescent="0.3">
      <c r="A722" t="s">
        <v>863</v>
      </c>
      <c r="B722" t="s">
        <v>1965</v>
      </c>
      <c r="C722">
        <v>1970</v>
      </c>
      <c r="D722">
        <v>17</v>
      </c>
      <c r="E722" t="s">
        <v>368</v>
      </c>
      <c r="F722">
        <v>2.9916002239999999</v>
      </c>
    </row>
    <row r="723" spans="1:6" x14ac:dyDescent="0.3">
      <c r="A723" t="s">
        <v>863</v>
      </c>
      <c r="B723" t="s">
        <v>1965</v>
      </c>
      <c r="C723">
        <v>1970</v>
      </c>
      <c r="D723">
        <v>12</v>
      </c>
      <c r="E723" t="s">
        <v>128</v>
      </c>
      <c r="F723">
        <v>4.0285796549999997</v>
      </c>
    </row>
    <row r="724" spans="1:6" x14ac:dyDescent="0.3">
      <c r="A724" t="s">
        <v>863</v>
      </c>
      <c r="B724" t="s">
        <v>1965</v>
      </c>
      <c r="C724">
        <v>1970</v>
      </c>
      <c r="D724">
        <v>5</v>
      </c>
      <c r="E724" t="s">
        <v>56</v>
      </c>
      <c r="F724">
        <v>3.9325448600000001</v>
      </c>
    </row>
    <row r="725" spans="1:6" x14ac:dyDescent="0.3">
      <c r="A725" t="s">
        <v>863</v>
      </c>
      <c r="B725" t="s">
        <v>1965</v>
      </c>
      <c r="C725">
        <v>1970</v>
      </c>
      <c r="D725">
        <v>16</v>
      </c>
      <c r="E725" t="s">
        <v>63</v>
      </c>
      <c r="F725">
        <v>2.5732702299999999</v>
      </c>
    </row>
    <row r="726" spans="1:6" x14ac:dyDescent="0.3">
      <c r="A726" t="s">
        <v>863</v>
      </c>
      <c r="B726" t="s">
        <v>1965</v>
      </c>
      <c r="C726">
        <v>1970</v>
      </c>
      <c r="D726">
        <v>9</v>
      </c>
      <c r="E726" t="s">
        <v>74</v>
      </c>
      <c r="F726">
        <v>2.9642783330000002</v>
      </c>
    </row>
    <row r="727" spans="1:6" x14ac:dyDescent="0.3">
      <c r="A727" t="s">
        <v>863</v>
      </c>
      <c r="B727" t="s">
        <v>1965</v>
      </c>
      <c r="C727">
        <v>1970</v>
      </c>
      <c r="D727">
        <v>4</v>
      </c>
      <c r="E727" t="s">
        <v>103</v>
      </c>
      <c r="F727">
        <v>2.9361787939999999</v>
      </c>
    </row>
    <row r="728" spans="1:6" x14ac:dyDescent="0.3">
      <c r="A728" t="s">
        <v>863</v>
      </c>
      <c r="B728" t="s">
        <v>1965</v>
      </c>
      <c r="C728">
        <v>1970</v>
      </c>
      <c r="D728">
        <v>13</v>
      </c>
      <c r="E728" t="s">
        <v>35</v>
      </c>
      <c r="F728">
        <v>2.4950230929999999</v>
      </c>
    </row>
    <row r="729" spans="1:6" x14ac:dyDescent="0.3">
      <c r="A729" t="s">
        <v>863</v>
      </c>
      <c r="B729" t="s">
        <v>1965</v>
      </c>
      <c r="C729">
        <v>1970</v>
      </c>
      <c r="D729">
        <v>15</v>
      </c>
      <c r="E729" t="s">
        <v>172</v>
      </c>
      <c r="F729">
        <v>1.7489534410000001</v>
      </c>
    </row>
    <row r="730" spans="1:6" x14ac:dyDescent="0.3">
      <c r="A730" t="s">
        <v>863</v>
      </c>
      <c r="B730" t="s">
        <v>1965</v>
      </c>
      <c r="C730">
        <v>1970</v>
      </c>
      <c r="D730">
        <v>8</v>
      </c>
      <c r="E730" t="s">
        <v>79</v>
      </c>
      <c r="F730">
        <v>2.4950042209999999</v>
      </c>
    </row>
    <row r="731" spans="1:6" x14ac:dyDescent="0.3">
      <c r="A731" t="s">
        <v>863</v>
      </c>
      <c r="B731" t="s">
        <v>1965</v>
      </c>
      <c r="C731">
        <v>1970</v>
      </c>
      <c r="D731">
        <v>2</v>
      </c>
      <c r="E731" t="s">
        <v>549</v>
      </c>
      <c r="F731">
        <v>2.9906431960000002</v>
      </c>
    </row>
    <row r="732" spans="1:6" x14ac:dyDescent="0.3">
      <c r="A732" t="s">
        <v>863</v>
      </c>
      <c r="B732" t="s">
        <v>1965</v>
      </c>
      <c r="C732">
        <v>1970</v>
      </c>
      <c r="D732">
        <v>6</v>
      </c>
      <c r="E732" t="s">
        <v>145</v>
      </c>
      <c r="F732">
        <v>2.497659439</v>
      </c>
    </row>
    <row r="733" spans="1:6" x14ac:dyDescent="0.3">
      <c r="A733" t="s">
        <v>863</v>
      </c>
      <c r="B733" t="s">
        <v>1965</v>
      </c>
      <c r="C733">
        <v>1995</v>
      </c>
      <c r="D733">
        <v>1</v>
      </c>
      <c r="E733" t="s">
        <v>192</v>
      </c>
      <c r="F733">
        <v>2.3300062339999998</v>
      </c>
    </row>
    <row r="734" spans="1:6" x14ac:dyDescent="0.3">
      <c r="A734" t="s">
        <v>863</v>
      </c>
      <c r="B734" t="s">
        <v>1965</v>
      </c>
      <c r="C734">
        <v>1995</v>
      </c>
      <c r="D734">
        <v>3</v>
      </c>
      <c r="E734" t="s">
        <v>89</v>
      </c>
      <c r="F734">
        <v>2.3534726269999999</v>
      </c>
    </row>
    <row r="735" spans="1:6" x14ac:dyDescent="0.3">
      <c r="A735" t="s">
        <v>863</v>
      </c>
      <c r="B735" t="s">
        <v>1965</v>
      </c>
      <c r="C735">
        <v>1995</v>
      </c>
      <c r="D735">
        <v>14</v>
      </c>
      <c r="E735" t="s">
        <v>204</v>
      </c>
      <c r="F735">
        <v>1.4605225340000001</v>
      </c>
    </row>
    <row r="736" spans="1:6" x14ac:dyDescent="0.3">
      <c r="A736" t="s">
        <v>863</v>
      </c>
      <c r="B736" t="s">
        <v>1965</v>
      </c>
      <c r="C736">
        <v>1995</v>
      </c>
      <c r="D736">
        <v>7</v>
      </c>
      <c r="E736" t="s">
        <v>183</v>
      </c>
      <c r="F736">
        <v>1.6481568630000001</v>
      </c>
    </row>
    <row r="737" spans="1:6" x14ac:dyDescent="0.3">
      <c r="A737" t="s">
        <v>863</v>
      </c>
      <c r="B737" t="s">
        <v>1965</v>
      </c>
      <c r="C737">
        <v>1995</v>
      </c>
      <c r="D737">
        <v>10</v>
      </c>
      <c r="E737" t="s">
        <v>46</v>
      </c>
      <c r="F737">
        <v>2.898728669</v>
      </c>
    </row>
    <row r="738" spans="1:6" x14ac:dyDescent="0.3">
      <c r="A738" t="s">
        <v>863</v>
      </c>
      <c r="B738" t="s">
        <v>1965</v>
      </c>
      <c r="C738">
        <v>1995</v>
      </c>
      <c r="D738">
        <v>11</v>
      </c>
      <c r="E738" t="s">
        <v>107</v>
      </c>
      <c r="F738">
        <v>2.879932916</v>
      </c>
    </row>
    <row r="739" spans="1:6" x14ac:dyDescent="0.3">
      <c r="A739" t="s">
        <v>863</v>
      </c>
      <c r="B739" t="s">
        <v>1965</v>
      </c>
      <c r="C739">
        <v>1995</v>
      </c>
      <c r="D739">
        <v>17</v>
      </c>
      <c r="E739" t="s">
        <v>368</v>
      </c>
      <c r="F739">
        <v>2.325969175</v>
      </c>
    </row>
    <row r="740" spans="1:6" x14ac:dyDescent="0.3">
      <c r="A740" t="s">
        <v>863</v>
      </c>
      <c r="B740" t="s">
        <v>1965</v>
      </c>
      <c r="C740">
        <v>1995</v>
      </c>
      <c r="D740">
        <v>12</v>
      </c>
      <c r="E740" t="s">
        <v>128</v>
      </c>
      <c r="F740">
        <v>3.3356639540000002</v>
      </c>
    </row>
    <row r="741" spans="1:6" x14ac:dyDescent="0.3">
      <c r="A741" t="s">
        <v>863</v>
      </c>
      <c r="B741" t="s">
        <v>1965</v>
      </c>
      <c r="C741">
        <v>1995</v>
      </c>
      <c r="D741">
        <v>5</v>
      </c>
      <c r="E741" t="s">
        <v>56</v>
      </c>
      <c r="F741">
        <v>3.2561471439999998</v>
      </c>
    </row>
    <row r="742" spans="1:6" x14ac:dyDescent="0.3">
      <c r="A742" t="s">
        <v>863</v>
      </c>
      <c r="B742" t="s">
        <v>1965</v>
      </c>
      <c r="C742">
        <v>1995</v>
      </c>
      <c r="D742">
        <v>16</v>
      </c>
      <c r="E742" t="s">
        <v>63</v>
      </c>
      <c r="F742">
        <v>2.0007176040000001</v>
      </c>
    </row>
    <row r="743" spans="1:6" x14ac:dyDescent="0.3">
      <c r="A743" t="s">
        <v>863</v>
      </c>
      <c r="B743" t="s">
        <v>1965</v>
      </c>
      <c r="C743">
        <v>1995</v>
      </c>
      <c r="D743">
        <v>9</v>
      </c>
      <c r="E743" t="s">
        <v>74</v>
      </c>
      <c r="F743">
        <v>2.3047264040000002</v>
      </c>
    </row>
    <row r="744" spans="1:6" x14ac:dyDescent="0.3">
      <c r="A744" t="s">
        <v>863</v>
      </c>
      <c r="B744" t="s">
        <v>1965</v>
      </c>
      <c r="C744">
        <v>1995</v>
      </c>
      <c r="D744">
        <v>4</v>
      </c>
      <c r="E744" t="s">
        <v>103</v>
      </c>
      <c r="F744">
        <v>2.431156042</v>
      </c>
    </row>
    <row r="745" spans="1:6" x14ac:dyDescent="0.3">
      <c r="A745" t="s">
        <v>863</v>
      </c>
      <c r="B745" t="s">
        <v>1965</v>
      </c>
      <c r="C745">
        <v>1995</v>
      </c>
      <c r="D745">
        <v>13</v>
      </c>
      <c r="E745" t="s">
        <v>35</v>
      </c>
      <c r="F745">
        <v>2.065879121</v>
      </c>
    </row>
    <row r="746" spans="1:6" x14ac:dyDescent="0.3">
      <c r="A746" t="s">
        <v>863</v>
      </c>
      <c r="B746" t="s">
        <v>1965</v>
      </c>
      <c r="C746">
        <v>1995</v>
      </c>
      <c r="D746">
        <v>15</v>
      </c>
      <c r="E746" t="s">
        <v>172</v>
      </c>
      <c r="F746">
        <v>1.448133449</v>
      </c>
    </row>
    <row r="747" spans="1:6" x14ac:dyDescent="0.3">
      <c r="A747" t="s">
        <v>863</v>
      </c>
      <c r="B747" t="s">
        <v>1965</v>
      </c>
      <c r="C747">
        <v>1995</v>
      </c>
      <c r="D747">
        <v>8</v>
      </c>
      <c r="E747" t="s">
        <v>79</v>
      </c>
      <c r="F747">
        <v>2.0658634949999999</v>
      </c>
    </row>
    <row r="748" spans="1:6" x14ac:dyDescent="0.3">
      <c r="A748" t="s">
        <v>863</v>
      </c>
      <c r="B748" t="s">
        <v>1965</v>
      </c>
      <c r="C748">
        <v>1995</v>
      </c>
      <c r="D748">
        <v>2</v>
      </c>
      <c r="E748" t="s">
        <v>549</v>
      </c>
      <c r="F748">
        <v>2.325225085</v>
      </c>
    </row>
    <row r="749" spans="1:6" x14ac:dyDescent="0.3">
      <c r="A749" t="s">
        <v>863</v>
      </c>
      <c r="B749" t="s">
        <v>1965</v>
      </c>
      <c r="C749">
        <v>1995</v>
      </c>
      <c r="D749">
        <v>6</v>
      </c>
      <c r="E749" t="s">
        <v>145</v>
      </c>
      <c r="F749">
        <v>2.0680620159999998</v>
      </c>
    </row>
    <row r="750" spans="1:6" x14ac:dyDescent="0.3">
      <c r="A750" t="s">
        <v>863</v>
      </c>
      <c r="B750" t="s">
        <v>1965</v>
      </c>
      <c r="C750">
        <v>2030</v>
      </c>
      <c r="D750">
        <v>1</v>
      </c>
      <c r="E750" t="s">
        <v>192</v>
      </c>
      <c r="F750">
        <v>2.3300062339999998</v>
      </c>
    </row>
    <row r="751" spans="1:6" x14ac:dyDescent="0.3">
      <c r="A751" t="s">
        <v>863</v>
      </c>
      <c r="B751" t="s">
        <v>1965</v>
      </c>
      <c r="C751">
        <v>2030</v>
      </c>
      <c r="D751">
        <v>3</v>
      </c>
      <c r="E751" t="s">
        <v>89</v>
      </c>
      <c r="F751">
        <v>2.1203992509999998</v>
      </c>
    </row>
    <row r="752" spans="1:6" x14ac:dyDescent="0.3">
      <c r="A752" t="s">
        <v>863</v>
      </c>
      <c r="B752" t="s">
        <v>1965</v>
      </c>
      <c r="C752">
        <v>2030</v>
      </c>
      <c r="D752">
        <v>14</v>
      </c>
      <c r="E752" t="s">
        <v>204</v>
      </c>
      <c r="F752">
        <v>1.363993746</v>
      </c>
    </row>
    <row r="753" spans="1:6" x14ac:dyDescent="0.3">
      <c r="A753" t="s">
        <v>863</v>
      </c>
      <c r="B753" t="s">
        <v>1965</v>
      </c>
      <c r="C753">
        <v>2030</v>
      </c>
      <c r="D753">
        <v>7</v>
      </c>
      <c r="E753" t="s">
        <v>183</v>
      </c>
      <c r="F753">
        <v>1.572516813</v>
      </c>
    </row>
    <row r="754" spans="1:6" x14ac:dyDescent="0.3">
      <c r="A754" t="s">
        <v>863</v>
      </c>
      <c r="B754" t="s">
        <v>1965</v>
      </c>
      <c r="C754">
        <v>2030</v>
      </c>
      <c r="D754">
        <v>10</v>
      </c>
      <c r="E754" t="s">
        <v>46</v>
      </c>
      <c r="F754">
        <v>2.585755394</v>
      </c>
    </row>
    <row r="755" spans="1:6" x14ac:dyDescent="0.3">
      <c r="A755" t="s">
        <v>863</v>
      </c>
      <c r="B755" t="s">
        <v>1965</v>
      </c>
      <c r="C755">
        <v>2030</v>
      </c>
      <c r="D755">
        <v>11</v>
      </c>
      <c r="E755" t="s">
        <v>107</v>
      </c>
      <c r="F755">
        <v>2.6652335470000001</v>
      </c>
    </row>
    <row r="756" spans="1:6" x14ac:dyDescent="0.3">
      <c r="A756" t="s">
        <v>863</v>
      </c>
      <c r="B756" t="s">
        <v>1965</v>
      </c>
      <c r="C756">
        <v>2030</v>
      </c>
      <c r="D756">
        <v>17</v>
      </c>
      <c r="E756" t="s">
        <v>368</v>
      </c>
      <c r="F756">
        <v>2.325969175</v>
      </c>
    </row>
    <row r="757" spans="1:6" x14ac:dyDescent="0.3">
      <c r="A757" t="s">
        <v>863</v>
      </c>
      <c r="B757" t="s">
        <v>1965</v>
      </c>
      <c r="C757">
        <v>2030</v>
      </c>
      <c r="D757">
        <v>12</v>
      </c>
      <c r="E757" t="s">
        <v>128</v>
      </c>
      <c r="F757">
        <v>3.005320422</v>
      </c>
    </row>
    <row r="758" spans="1:6" x14ac:dyDescent="0.3">
      <c r="A758" t="s">
        <v>863</v>
      </c>
      <c r="B758" t="s">
        <v>1965</v>
      </c>
      <c r="C758">
        <v>2030</v>
      </c>
      <c r="D758">
        <v>5</v>
      </c>
      <c r="E758" t="s">
        <v>56</v>
      </c>
      <c r="F758">
        <v>2.9965991829999998</v>
      </c>
    </row>
    <row r="759" spans="1:6" x14ac:dyDescent="0.3">
      <c r="A759" t="s">
        <v>863</v>
      </c>
      <c r="B759" t="s">
        <v>1965</v>
      </c>
      <c r="C759">
        <v>2030</v>
      </c>
      <c r="D759">
        <v>16</v>
      </c>
      <c r="E759" t="s">
        <v>63</v>
      </c>
      <c r="F759">
        <v>2.0007176040000001</v>
      </c>
    </row>
    <row r="760" spans="1:6" x14ac:dyDescent="0.3">
      <c r="A760" t="s">
        <v>863</v>
      </c>
      <c r="B760" t="s">
        <v>1965</v>
      </c>
      <c r="C760">
        <v>2030</v>
      </c>
      <c r="D760">
        <v>9</v>
      </c>
      <c r="E760" t="s">
        <v>74</v>
      </c>
      <c r="F760">
        <v>2.3047264040000002</v>
      </c>
    </row>
    <row r="761" spans="1:6" x14ac:dyDescent="0.3">
      <c r="A761" t="s">
        <v>863</v>
      </c>
      <c r="B761" t="s">
        <v>1965</v>
      </c>
      <c r="C761">
        <v>2030</v>
      </c>
      <c r="D761">
        <v>4</v>
      </c>
      <c r="E761" t="s">
        <v>103</v>
      </c>
      <c r="F761">
        <v>2.1434105200000002</v>
      </c>
    </row>
    <row r="762" spans="1:6" x14ac:dyDescent="0.3">
      <c r="A762" t="s">
        <v>863</v>
      </c>
      <c r="B762" t="s">
        <v>1965</v>
      </c>
      <c r="C762">
        <v>2030</v>
      </c>
      <c r="D762">
        <v>13</v>
      </c>
      <c r="E762" t="s">
        <v>35</v>
      </c>
      <c r="F762">
        <v>1.861287227</v>
      </c>
    </row>
    <row r="763" spans="1:6" x14ac:dyDescent="0.3">
      <c r="A763" t="s">
        <v>863</v>
      </c>
      <c r="B763" t="s">
        <v>1965</v>
      </c>
      <c r="C763">
        <v>2030</v>
      </c>
      <c r="D763">
        <v>15</v>
      </c>
      <c r="E763" t="s">
        <v>172</v>
      </c>
      <c r="F763">
        <v>1.283731825</v>
      </c>
    </row>
    <row r="764" spans="1:6" x14ac:dyDescent="0.3">
      <c r="A764" t="s">
        <v>863</v>
      </c>
      <c r="B764" t="s">
        <v>1965</v>
      </c>
      <c r="C764">
        <v>2030</v>
      </c>
      <c r="D764">
        <v>8</v>
      </c>
      <c r="E764" t="s">
        <v>79</v>
      </c>
      <c r="F764">
        <v>1.976043343</v>
      </c>
    </row>
    <row r="765" spans="1:6" x14ac:dyDescent="0.3">
      <c r="A765" t="s">
        <v>863</v>
      </c>
      <c r="B765" t="s">
        <v>1965</v>
      </c>
      <c r="C765">
        <v>2030</v>
      </c>
      <c r="D765">
        <v>2</v>
      </c>
      <c r="E765" t="s">
        <v>549</v>
      </c>
      <c r="F765">
        <v>2.325225085</v>
      </c>
    </row>
    <row r="766" spans="1:6" x14ac:dyDescent="0.3">
      <c r="A766" t="s">
        <v>863</v>
      </c>
      <c r="B766" t="s">
        <v>1965</v>
      </c>
      <c r="C766">
        <v>2030</v>
      </c>
      <c r="D766">
        <v>6</v>
      </c>
      <c r="E766" t="s">
        <v>145</v>
      </c>
      <c r="F766">
        <v>1.983141595</v>
      </c>
    </row>
    <row r="767" spans="1:6" x14ac:dyDescent="0.3">
      <c r="A767" t="s">
        <v>863</v>
      </c>
      <c r="B767" t="s">
        <v>2017</v>
      </c>
      <c r="C767">
        <v>1970</v>
      </c>
      <c r="D767">
        <v>1</v>
      </c>
      <c r="E767" t="s">
        <v>192</v>
      </c>
      <c r="F767">
        <v>1</v>
      </c>
    </row>
    <row r="768" spans="1:6" x14ac:dyDescent="0.3">
      <c r="A768" t="s">
        <v>863</v>
      </c>
      <c r="B768" t="s">
        <v>2017</v>
      </c>
      <c r="C768">
        <v>1970</v>
      </c>
      <c r="D768">
        <v>3</v>
      </c>
      <c r="E768" t="s">
        <v>89</v>
      </c>
      <c r="F768">
        <v>2.15</v>
      </c>
    </row>
    <row r="769" spans="1:6" x14ac:dyDescent="0.3">
      <c r="A769" t="s">
        <v>863</v>
      </c>
      <c r="B769" t="s">
        <v>2017</v>
      </c>
      <c r="C769">
        <v>1970</v>
      </c>
      <c r="D769">
        <v>14</v>
      </c>
      <c r="E769" t="s">
        <v>204</v>
      </c>
      <c r="F769">
        <v>3.19</v>
      </c>
    </row>
    <row r="770" spans="1:6" x14ac:dyDescent="0.3">
      <c r="A770" t="s">
        <v>863</v>
      </c>
      <c r="B770" t="s">
        <v>2017</v>
      </c>
      <c r="C770">
        <v>1970</v>
      </c>
      <c r="D770">
        <v>7</v>
      </c>
      <c r="E770" t="s">
        <v>183</v>
      </c>
      <c r="F770">
        <v>3</v>
      </c>
    </row>
    <row r="771" spans="1:6" x14ac:dyDescent="0.3">
      <c r="A771" t="s">
        <v>863</v>
      </c>
      <c r="B771" t="s">
        <v>2017</v>
      </c>
      <c r="C771">
        <v>1970</v>
      </c>
      <c r="D771">
        <v>10</v>
      </c>
      <c r="E771" t="s">
        <v>46</v>
      </c>
      <c r="F771">
        <v>1.25</v>
      </c>
    </row>
    <row r="772" spans="1:6" x14ac:dyDescent="0.3">
      <c r="A772" t="s">
        <v>863</v>
      </c>
      <c r="B772" t="s">
        <v>2017</v>
      </c>
      <c r="C772">
        <v>1970</v>
      </c>
      <c r="D772">
        <v>11</v>
      </c>
      <c r="E772" t="s">
        <v>107</v>
      </c>
      <c r="F772">
        <v>1.25</v>
      </c>
    </row>
    <row r="773" spans="1:6" x14ac:dyDescent="0.3">
      <c r="A773" t="s">
        <v>863</v>
      </c>
      <c r="B773" t="s">
        <v>2017</v>
      </c>
      <c r="C773">
        <v>1970</v>
      </c>
      <c r="D773">
        <v>17</v>
      </c>
      <c r="E773" t="s">
        <v>368</v>
      </c>
      <c r="F773">
        <v>1</v>
      </c>
    </row>
    <row r="774" spans="1:6" x14ac:dyDescent="0.3">
      <c r="A774" t="s">
        <v>863</v>
      </c>
      <c r="B774" t="s">
        <v>2017</v>
      </c>
      <c r="C774">
        <v>1970</v>
      </c>
      <c r="D774">
        <v>12</v>
      </c>
      <c r="E774" t="s">
        <v>128</v>
      </c>
      <c r="F774">
        <v>0.95</v>
      </c>
    </row>
    <row r="775" spans="1:6" x14ac:dyDescent="0.3">
      <c r="A775" t="s">
        <v>863</v>
      </c>
      <c r="B775" t="s">
        <v>2017</v>
      </c>
      <c r="C775">
        <v>1970</v>
      </c>
      <c r="D775">
        <v>5</v>
      </c>
      <c r="E775" t="s">
        <v>56</v>
      </c>
      <c r="F775">
        <v>1.05</v>
      </c>
    </row>
    <row r="776" spans="1:6" x14ac:dyDescent="0.3">
      <c r="A776" t="s">
        <v>863</v>
      </c>
      <c r="B776" t="s">
        <v>2017</v>
      </c>
      <c r="C776">
        <v>1970</v>
      </c>
      <c r="D776">
        <v>16</v>
      </c>
      <c r="E776" t="s">
        <v>63</v>
      </c>
      <c r="F776">
        <v>1.4</v>
      </c>
    </row>
    <row r="777" spans="1:6" x14ac:dyDescent="0.3">
      <c r="A777" t="s">
        <v>863</v>
      </c>
      <c r="B777" t="s">
        <v>2017</v>
      </c>
      <c r="C777">
        <v>1970</v>
      </c>
      <c r="D777">
        <v>9</v>
      </c>
      <c r="E777" t="s">
        <v>74</v>
      </c>
      <c r="F777">
        <v>1</v>
      </c>
    </row>
    <row r="778" spans="1:6" x14ac:dyDescent="0.3">
      <c r="A778" t="s">
        <v>863</v>
      </c>
      <c r="B778" t="s">
        <v>2017</v>
      </c>
      <c r="C778">
        <v>1970</v>
      </c>
      <c r="D778">
        <v>4</v>
      </c>
      <c r="E778" t="s">
        <v>103</v>
      </c>
      <c r="F778">
        <v>2.0499999999999998</v>
      </c>
    </row>
    <row r="779" spans="1:6" x14ac:dyDescent="0.3">
      <c r="A779" t="s">
        <v>863</v>
      </c>
      <c r="B779" t="s">
        <v>2017</v>
      </c>
      <c r="C779">
        <v>1970</v>
      </c>
      <c r="D779">
        <v>13</v>
      </c>
      <c r="E779" t="s">
        <v>35</v>
      </c>
      <c r="F779">
        <v>2.5</v>
      </c>
    </row>
    <row r="780" spans="1:6" x14ac:dyDescent="0.3">
      <c r="A780" t="s">
        <v>863</v>
      </c>
      <c r="B780" t="s">
        <v>2017</v>
      </c>
      <c r="C780">
        <v>1970</v>
      </c>
      <c r="D780">
        <v>15</v>
      </c>
      <c r="E780" t="s">
        <v>172</v>
      </c>
      <c r="F780">
        <v>3.25</v>
      </c>
    </row>
    <row r="781" spans="1:6" x14ac:dyDescent="0.3">
      <c r="A781" t="s">
        <v>863</v>
      </c>
      <c r="B781" t="s">
        <v>2017</v>
      </c>
      <c r="C781">
        <v>1970</v>
      </c>
      <c r="D781">
        <v>8</v>
      </c>
      <c r="E781" t="s">
        <v>79</v>
      </c>
      <c r="F781">
        <v>2.5</v>
      </c>
    </row>
    <row r="782" spans="1:6" x14ac:dyDescent="0.3">
      <c r="A782" t="s">
        <v>863</v>
      </c>
      <c r="B782" t="s">
        <v>2017</v>
      </c>
      <c r="C782">
        <v>1970</v>
      </c>
      <c r="D782">
        <v>2</v>
      </c>
      <c r="E782" t="s">
        <v>549</v>
      </c>
      <c r="F782">
        <v>1</v>
      </c>
    </row>
    <row r="783" spans="1:6" x14ac:dyDescent="0.3">
      <c r="A783" t="s">
        <v>863</v>
      </c>
      <c r="B783" t="s">
        <v>2017</v>
      </c>
      <c r="C783">
        <v>1970</v>
      </c>
      <c r="D783">
        <v>6</v>
      </c>
      <c r="E783" t="s">
        <v>145</v>
      </c>
      <c r="F783">
        <v>2.5</v>
      </c>
    </row>
    <row r="784" spans="1:6" x14ac:dyDescent="0.3">
      <c r="A784" t="s">
        <v>863</v>
      </c>
      <c r="B784" t="s">
        <v>2017</v>
      </c>
      <c r="C784">
        <v>1995</v>
      </c>
      <c r="D784">
        <v>1</v>
      </c>
      <c r="E784" t="s">
        <v>192</v>
      </c>
      <c r="F784">
        <v>0.77749999999999997</v>
      </c>
    </row>
    <row r="785" spans="1:6" x14ac:dyDescent="0.3">
      <c r="A785" t="s">
        <v>863</v>
      </c>
      <c r="B785" t="s">
        <v>2017</v>
      </c>
      <c r="C785">
        <v>1995</v>
      </c>
      <c r="D785">
        <v>3</v>
      </c>
      <c r="E785" t="s">
        <v>89</v>
      </c>
      <c r="F785">
        <v>1.7802</v>
      </c>
    </row>
    <row r="786" spans="1:6" x14ac:dyDescent="0.3">
      <c r="A786" t="s">
        <v>863</v>
      </c>
      <c r="B786" t="s">
        <v>2017</v>
      </c>
      <c r="C786">
        <v>1995</v>
      </c>
      <c r="D786">
        <v>14</v>
      </c>
      <c r="E786" t="s">
        <v>204</v>
      </c>
      <c r="F786">
        <v>2.0184000000000002</v>
      </c>
    </row>
    <row r="787" spans="1:6" x14ac:dyDescent="0.3">
      <c r="A787" t="s">
        <v>863</v>
      </c>
      <c r="B787" t="s">
        <v>2017</v>
      </c>
      <c r="C787">
        <v>1995</v>
      </c>
      <c r="D787">
        <v>7</v>
      </c>
      <c r="E787" t="s">
        <v>183</v>
      </c>
      <c r="F787">
        <v>2.484</v>
      </c>
    </row>
    <row r="788" spans="1:6" x14ac:dyDescent="0.3">
      <c r="A788" t="s">
        <v>863</v>
      </c>
      <c r="B788" t="s">
        <v>2017</v>
      </c>
      <c r="C788">
        <v>1995</v>
      </c>
      <c r="D788">
        <v>10</v>
      </c>
      <c r="E788" t="s">
        <v>46</v>
      </c>
      <c r="F788">
        <v>0.97250000000000003</v>
      </c>
    </row>
    <row r="789" spans="1:6" x14ac:dyDescent="0.3">
      <c r="A789" t="s">
        <v>863</v>
      </c>
      <c r="B789" t="s">
        <v>2017</v>
      </c>
      <c r="C789">
        <v>1995</v>
      </c>
      <c r="D789">
        <v>11</v>
      </c>
      <c r="E789" t="s">
        <v>107</v>
      </c>
      <c r="F789">
        <v>0.97250000000000003</v>
      </c>
    </row>
    <row r="790" spans="1:6" x14ac:dyDescent="0.3">
      <c r="A790" t="s">
        <v>863</v>
      </c>
      <c r="B790" t="s">
        <v>2017</v>
      </c>
      <c r="C790">
        <v>1995</v>
      </c>
      <c r="D790">
        <v>17</v>
      </c>
      <c r="E790" t="s">
        <v>368</v>
      </c>
      <c r="F790">
        <v>0.77749999999999997</v>
      </c>
    </row>
    <row r="791" spans="1:6" x14ac:dyDescent="0.3">
      <c r="A791" t="s">
        <v>863</v>
      </c>
      <c r="B791" t="s">
        <v>2017</v>
      </c>
      <c r="C791">
        <v>1995</v>
      </c>
      <c r="D791">
        <v>12</v>
      </c>
      <c r="E791" t="s">
        <v>128</v>
      </c>
      <c r="F791">
        <v>0.78659999999999997</v>
      </c>
    </row>
    <row r="792" spans="1:6" x14ac:dyDescent="0.3">
      <c r="A792" t="s">
        <v>863</v>
      </c>
      <c r="B792" t="s">
        <v>2017</v>
      </c>
      <c r="C792">
        <v>1995</v>
      </c>
      <c r="D792">
        <v>5</v>
      </c>
      <c r="E792" t="s">
        <v>56</v>
      </c>
      <c r="F792">
        <v>0.86939999999999995</v>
      </c>
    </row>
    <row r="793" spans="1:6" x14ac:dyDescent="0.3">
      <c r="A793" t="s">
        <v>863</v>
      </c>
      <c r="B793" t="s">
        <v>2017</v>
      </c>
      <c r="C793">
        <v>1995</v>
      </c>
      <c r="D793">
        <v>16</v>
      </c>
      <c r="E793" t="s">
        <v>63</v>
      </c>
      <c r="F793">
        <v>1.0885</v>
      </c>
    </row>
    <row r="794" spans="1:6" x14ac:dyDescent="0.3">
      <c r="A794" t="s">
        <v>863</v>
      </c>
      <c r="B794" t="s">
        <v>2017</v>
      </c>
      <c r="C794">
        <v>1995</v>
      </c>
      <c r="D794">
        <v>9</v>
      </c>
      <c r="E794" t="s">
        <v>74</v>
      </c>
      <c r="F794">
        <v>0.77749999999999997</v>
      </c>
    </row>
    <row r="795" spans="1:6" x14ac:dyDescent="0.3">
      <c r="A795" t="s">
        <v>863</v>
      </c>
      <c r="B795" t="s">
        <v>2017</v>
      </c>
      <c r="C795">
        <v>1995</v>
      </c>
      <c r="D795">
        <v>4</v>
      </c>
      <c r="E795" t="s">
        <v>103</v>
      </c>
      <c r="F795">
        <v>1.6974</v>
      </c>
    </row>
    <row r="796" spans="1:6" x14ac:dyDescent="0.3">
      <c r="A796" t="s">
        <v>863</v>
      </c>
      <c r="B796" t="s">
        <v>2017</v>
      </c>
      <c r="C796">
        <v>1995</v>
      </c>
      <c r="D796">
        <v>13</v>
      </c>
      <c r="E796" t="s">
        <v>35</v>
      </c>
      <c r="F796">
        <v>2.0699999999999998</v>
      </c>
    </row>
    <row r="797" spans="1:6" x14ac:dyDescent="0.3">
      <c r="A797" t="s">
        <v>863</v>
      </c>
      <c r="B797" t="s">
        <v>2017</v>
      </c>
      <c r="C797">
        <v>1995</v>
      </c>
      <c r="D797">
        <v>15</v>
      </c>
      <c r="E797" t="s">
        <v>172</v>
      </c>
      <c r="F797">
        <v>2.6909999999999998</v>
      </c>
    </row>
    <row r="798" spans="1:6" x14ac:dyDescent="0.3">
      <c r="A798" t="s">
        <v>863</v>
      </c>
      <c r="B798" t="s">
        <v>2017</v>
      </c>
      <c r="C798">
        <v>1995</v>
      </c>
      <c r="D798">
        <v>8</v>
      </c>
      <c r="E798" t="s">
        <v>79</v>
      </c>
      <c r="F798">
        <v>2.0699999999999998</v>
      </c>
    </row>
    <row r="799" spans="1:6" x14ac:dyDescent="0.3">
      <c r="A799" t="s">
        <v>863</v>
      </c>
      <c r="B799" t="s">
        <v>2017</v>
      </c>
      <c r="C799">
        <v>1995</v>
      </c>
      <c r="D799">
        <v>2</v>
      </c>
      <c r="E799" t="s">
        <v>549</v>
      </c>
      <c r="F799">
        <v>0.77749999999999997</v>
      </c>
    </row>
    <row r="800" spans="1:6" x14ac:dyDescent="0.3">
      <c r="A800" t="s">
        <v>863</v>
      </c>
      <c r="B800" t="s">
        <v>2017</v>
      </c>
      <c r="C800">
        <v>1995</v>
      </c>
      <c r="D800">
        <v>6</v>
      </c>
      <c r="E800" t="s">
        <v>145</v>
      </c>
      <c r="F800">
        <v>2.0699999999999998</v>
      </c>
    </row>
    <row r="801" spans="1:6" x14ac:dyDescent="0.3">
      <c r="A801" t="s">
        <v>863</v>
      </c>
      <c r="B801" t="s">
        <v>2017</v>
      </c>
      <c r="C801">
        <v>2030</v>
      </c>
      <c r="D801">
        <v>1</v>
      </c>
      <c r="E801" t="s">
        <v>192</v>
      </c>
      <c r="F801">
        <v>0.77749999999999997</v>
      </c>
    </row>
    <row r="802" spans="1:6" x14ac:dyDescent="0.3">
      <c r="A802" t="s">
        <v>863</v>
      </c>
      <c r="B802" t="s">
        <v>2017</v>
      </c>
      <c r="C802">
        <v>2030</v>
      </c>
      <c r="D802">
        <v>3</v>
      </c>
      <c r="E802" t="s">
        <v>89</v>
      </c>
      <c r="F802">
        <v>1.6039000000000001</v>
      </c>
    </row>
    <row r="803" spans="1:6" x14ac:dyDescent="0.3">
      <c r="A803" t="s">
        <v>863</v>
      </c>
      <c r="B803" t="s">
        <v>2017</v>
      </c>
      <c r="C803">
        <v>2030</v>
      </c>
      <c r="D803">
        <v>14</v>
      </c>
      <c r="E803" t="s">
        <v>204</v>
      </c>
      <c r="F803">
        <v>1.885</v>
      </c>
    </row>
    <row r="804" spans="1:6" x14ac:dyDescent="0.3">
      <c r="A804" t="s">
        <v>863</v>
      </c>
      <c r="B804" t="s">
        <v>2017</v>
      </c>
      <c r="C804">
        <v>2030</v>
      </c>
      <c r="D804">
        <v>7</v>
      </c>
      <c r="E804" t="s">
        <v>183</v>
      </c>
      <c r="F804">
        <v>2.37</v>
      </c>
    </row>
    <row r="805" spans="1:6" x14ac:dyDescent="0.3">
      <c r="A805" t="s">
        <v>863</v>
      </c>
      <c r="B805" t="s">
        <v>2017</v>
      </c>
      <c r="C805">
        <v>2030</v>
      </c>
      <c r="D805">
        <v>10</v>
      </c>
      <c r="E805" t="s">
        <v>46</v>
      </c>
      <c r="F805">
        <v>0.86750000000000005</v>
      </c>
    </row>
    <row r="806" spans="1:6" x14ac:dyDescent="0.3">
      <c r="A806" t="s">
        <v>863</v>
      </c>
      <c r="B806" t="s">
        <v>2017</v>
      </c>
      <c r="C806">
        <v>2030</v>
      </c>
      <c r="D806">
        <v>11</v>
      </c>
      <c r="E806" t="s">
        <v>107</v>
      </c>
      <c r="F806">
        <v>0.9</v>
      </c>
    </row>
    <row r="807" spans="1:6" x14ac:dyDescent="0.3">
      <c r="A807" t="s">
        <v>863</v>
      </c>
      <c r="B807" t="s">
        <v>2017</v>
      </c>
      <c r="C807">
        <v>2030</v>
      </c>
      <c r="D807">
        <v>17</v>
      </c>
      <c r="E807" t="s">
        <v>368</v>
      </c>
      <c r="F807">
        <v>0.77749999999999997</v>
      </c>
    </row>
    <row r="808" spans="1:6" x14ac:dyDescent="0.3">
      <c r="A808" t="s">
        <v>863</v>
      </c>
      <c r="B808" t="s">
        <v>2017</v>
      </c>
      <c r="C808">
        <v>2030</v>
      </c>
      <c r="D808">
        <v>12</v>
      </c>
      <c r="E808" t="s">
        <v>128</v>
      </c>
      <c r="F808">
        <v>0.7087</v>
      </c>
    </row>
    <row r="809" spans="1:6" x14ac:dyDescent="0.3">
      <c r="A809" t="s">
        <v>863</v>
      </c>
      <c r="B809" t="s">
        <v>2017</v>
      </c>
      <c r="C809">
        <v>2030</v>
      </c>
      <c r="D809">
        <v>5</v>
      </c>
      <c r="E809" t="s">
        <v>56</v>
      </c>
      <c r="F809">
        <v>0.80010000000000003</v>
      </c>
    </row>
    <row r="810" spans="1:6" x14ac:dyDescent="0.3">
      <c r="A810" t="s">
        <v>863</v>
      </c>
      <c r="B810" t="s">
        <v>2017</v>
      </c>
      <c r="C810">
        <v>2030</v>
      </c>
      <c r="D810">
        <v>16</v>
      </c>
      <c r="E810" t="s">
        <v>63</v>
      </c>
      <c r="F810">
        <v>1.0885</v>
      </c>
    </row>
    <row r="811" spans="1:6" x14ac:dyDescent="0.3">
      <c r="A811" t="s">
        <v>863</v>
      </c>
      <c r="B811" t="s">
        <v>2017</v>
      </c>
      <c r="C811">
        <v>2030</v>
      </c>
      <c r="D811">
        <v>9</v>
      </c>
      <c r="E811" t="s">
        <v>74</v>
      </c>
      <c r="F811">
        <v>0.77749999999999997</v>
      </c>
    </row>
    <row r="812" spans="1:6" x14ac:dyDescent="0.3">
      <c r="A812" t="s">
        <v>863</v>
      </c>
      <c r="B812" t="s">
        <v>2017</v>
      </c>
      <c r="C812">
        <v>2030</v>
      </c>
      <c r="D812">
        <v>4</v>
      </c>
      <c r="E812" t="s">
        <v>103</v>
      </c>
      <c r="F812">
        <v>1.4964999999999999</v>
      </c>
    </row>
    <row r="813" spans="1:6" x14ac:dyDescent="0.3">
      <c r="A813" t="s">
        <v>863</v>
      </c>
      <c r="B813" t="s">
        <v>2017</v>
      </c>
      <c r="C813">
        <v>2030</v>
      </c>
      <c r="D813">
        <v>13</v>
      </c>
      <c r="E813" t="s">
        <v>35</v>
      </c>
      <c r="F813">
        <v>1.865</v>
      </c>
    </row>
    <row r="814" spans="1:6" x14ac:dyDescent="0.3">
      <c r="A814" t="s">
        <v>863</v>
      </c>
      <c r="B814" t="s">
        <v>2017</v>
      </c>
      <c r="C814">
        <v>2030</v>
      </c>
      <c r="D814">
        <v>15</v>
      </c>
      <c r="E814" t="s">
        <v>172</v>
      </c>
      <c r="F814">
        <v>2.3855</v>
      </c>
    </row>
    <row r="815" spans="1:6" x14ac:dyDescent="0.3">
      <c r="A815" t="s">
        <v>863</v>
      </c>
      <c r="B815" t="s">
        <v>2017</v>
      </c>
      <c r="C815">
        <v>2030</v>
      </c>
      <c r="D815">
        <v>8</v>
      </c>
      <c r="E815" t="s">
        <v>79</v>
      </c>
      <c r="F815">
        <v>1.98</v>
      </c>
    </row>
    <row r="816" spans="1:6" x14ac:dyDescent="0.3">
      <c r="A816" t="s">
        <v>863</v>
      </c>
      <c r="B816" t="s">
        <v>2017</v>
      </c>
      <c r="C816">
        <v>2030</v>
      </c>
      <c r="D816">
        <v>2</v>
      </c>
      <c r="E816" t="s">
        <v>549</v>
      </c>
      <c r="F816">
        <v>0.77749999999999997</v>
      </c>
    </row>
    <row r="817" spans="1:6" x14ac:dyDescent="0.3">
      <c r="A817" t="s">
        <v>863</v>
      </c>
      <c r="B817" t="s">
        <v>2017</v>
      </c>
      <c r="C817">
        <v>2030</v>
      </c>
      <c r="D817">
        <v>6</v>
      </c>
      <c r="E817" t="s">
        <v>145</v>
      </c>
      <c r="F817">
        <v>1.9850000000000001</v>
      </c>
    </row>
    <row r="818" spans="1:6" x14ac:dyDescent="0.3">
      <c r="A818" t="s">
        <v>2806</v>
      </c>
      <c r="B818" t="s">
        <v>1973</v>
      </c>
      <c r="C818">
        <v>1970</v>
      </c>
      <c r="D818">
        <v>1</v>
      </c>
      <c r="E818" t="s">
        <v>192</v>
      </c>
      <c r="F818">
        <v>9.9503399999999989E-4</v>
      </c>
    </row>
    <row r="819" spans="1:6" x14ac:dyDescent="0.3">
      <c r="A819" t="s">
        <v>2806</v>
      </c>
      <c r="B819" t="s">
        <v>1973</v>
      </c>
      <c r="C819">
        <v>1970</v>
      </c>
      <c r="D819">
        <v>3</v>
      </c>
      <c r="E819" t="s">
        <v>89</v>
      </c>
      <c r="F819">
        <v>3.191246E-3</v>
      </c>
    </row>
    <row r="820" spans="1:6" x14ac:dyDescent="0.3">
      <c r="A820" t="s">
        <v>2806</v>
      </c>
      <c r="B820" t="s">
        <v>1973</v>
      </c>
      <c r="C820">
        <v>1970</v>
      </c>
      <c r="D820">
        <v>14</v>
      </c>
      <c r="E820" t="s">
        <v>204</v>
      </c>
      <c r="F820">
        <v>7.24184E-4</v>
      </c>
    </row>
    <row r="821" spans="1:6" x14ac:dyDescent="0.3">
      <c r="A821" t="s">
        <v>2806</v>
      </c>
      <c r="B821" t="s">
        <v>1973</v>
      </c>
      <c r="C821">
        <v>1970</v>
      </c>
      <c r="D821">
        <v>7</v>
      </c>
      <c r="E821" t="s">
        <v>183</v>
      </c>
      <c r="F821">
        <v>1.1292470000000001E-3</v>
      </c>
    </row>
    <row r="822" spans="1:6" x14ac:dyDescent="0.3">
      <c r="A822" t="s">
        <v>2806</v>
      </c>
      <c r="B822" t="s">
        <v>1973</v>
      </c>
      <c r="C822">
        <v>1970</v>
      </c>
      <c r="D822">
        <v>10</v>
      </c>
      <c r="E822" t="s">
        <v>46</v>
      </c>
      <c r="F822">
        <v>1.951205E-2</v>
      </c>
    </row>
    <row r="823" spans="1:6" x14ac:dyDescent="0.3">
      <c r="A823" t="s">
        <v>2806</v>
      </c>
      <c r="B823" t="s">
        <v>1973</v>
      </c>
      <c r="C823">
        <v>1970</v>
      </c>
      <c r="D823">
        <v>11</v>
      </c>
      <c r="E823" t="s">
        <v>107</v>
      </c>
      <c r="F823">
        <v>3.2242026E-2</v>
      </c>
    </row>
    <row r="824" spans="1:6" x14ac:dyDescent="0.3">
      <c r="A824" t="s">
        <v>2806</v>
      </c>
      <c r="B824" t="s">
        <v>1973</v>
      </c>
      <c r="C824">
        <v>1970</v>
      </c>
      <c r="D824">
        <v>17</v>
      </c>
      <c r="E824" t="s">
        <v>368</v>
      </c>
      <c r="F824">
        <v>2.7935206000000001E-2</v>
      </c>
    </row>
    <row r="825" spans="1:6" x14ac:dyDescent="0.3">
      <c r="A825" t="s">
        <v>2806</v>
      </c>
      <c r="B825" t="s">
        <v>1973</v>
      </c>
      <c r="C825">
        <v>1970</v>
      </c>
      <c r="D825">
        <v>12</v>
      </c>
      <c r="E825" t="s">
        <v>128</v>
      </c>
      <c r="F825">
        <v>1.9447629000000001E-2</v>
      </c>
    </row>
    <row r="826" spans="1:6" x14ac:dyDescent="0.3">
      <c r="A826" t="s">
        <v>2806</v>
      </c>
      <c r="B826" t="s">
        <v>1973</v>
      </c>
      <c r="C826">
        <v>1970</v>
      </c>
      <c r="D826">
        <v>5</v>
      </c>
      <c r="E826" t="s">
        <v>56</v>
      </c>
      <c r="F826">
        <v>1.4998229E-2</v>
      </c>
    </row>
    <row r="827" spans="1:6" x14ac:dyDescent="0.3">
      <c r="A827" t="s">
        <v>2806</v>
      </c>
      <c r="B827" t="s">
        <v>1973</v>
      </c>
      <c r="C827">
        <v>1970</v>
      </c>
      <c r="D827">
        <v>16</v>
      </c>
      <c r="E827" t="s">
        <v>63</v>
      </c>
      <c r="F827">
        <v>5.3159770000000004E-3</v>
      </c>
    </row>
    <row r="828" spans="1:6" x14ac:dyDescent="0.3">
      <c r="A828" t="s">
        <v>2806</v>
      </c>
      <c r="B828" t="s">
        <v>1973</v>
      </c>
      <c r="C828">
        <v>1970</v>
      </c>
      <c r="D828">
        <v>9</v>
      </c>
      <c r="E828" t="s">
        <v>74</v>
      </c>
      <c r="F828">
        <v>1.1411361E-2</v>
      </c>
    </row>
    <row r="829" spans="1:6" x14ac:dyDescent="0.3">
      <c r="A829" t="s">
        <v>2806</v>
      </c>
      <c r="B829" t="s">
        <v>1973</v>
      </c>
      <c r="C829">
        <v>1970</v>
      </c>
      <c r="D829">
        <v>4</v>
      </c>
      <c r="E829" t="s">
        <v>103</v>
      </c>
      <c r="F829">
        <v>3.018897E-3</v>
      </c>
    </row>
    <row r="830" spans="1:6" x14ac:dyDescent="0.3">
      <c r="A830" t="s">
        <v>2806</v>
      </c>
      <c r="B830" t="s">
        <v>1973</v>
      </c>
      <c r="C830">
        <v>1970</v>
      </c>
      <c r="D830">
        <v>13</v>
      </c>
      <c r="E830" t="s">
        <v>35</v>
      </c>
      <c r="F830">
        <v>1.9092722999999999E-2</v>
      </c>
    </row>
    <row r="831" spans="1:6" x14ac:dyDescent="0.3">
      <c r="A831" t="s">
        <v>2806</v>
      </c>
      <c r="B831" t="s">
        <v>1973</v>
      </c>
      <c r="C831">
        <v>1970</v>
      </c>
      <c r="D831">
        <v>15</v>
      </c>
      <c r="E831" t="s">
        <v>172</v>
      </c>
      <c r="F831">
        <v>1.2601680000000001E-3</v>
      </c>
    </row>
    <row r="832" spans="1:6" x14ac:dyDescent="0.3">
      <c r="A832" t="s">
        <v>2806</v>
      </c>
      <c r="B832" t="s">
        <v>1973</v>
      </c>
      <c r="C832">
        <v>1970</v>
      </c>
      <c r="D832">
        <v>8</v>
      </c>
      <c r="E832" t="s">
        <v>79</v>
      </c>
      <c r="F832">
        <v>1.45174E-4</v>
      </c>
    </row>
    <row r="833" spans="1:6" x14ac:dyDescent="0.3">
      <c r="A833" t="s">
        <v>2806</v>
      </c>
      <c r="B833" t="s">
        <v>1973</v>
      </c>
      <c r="C833">
        <v>1970</v>
      </c>
      <c r="D833">
        <v>2</v>
      </c>
      <c r="E833" t="s">
        <v>549</v>
      </c>
      <c r="F833">
        <v>3.0254079999999998E-3</v>
      </c>
    </row>
    <row r="834" spans="1:6" x14ac:dyDescent="0.3">
      <c r="A834" t="s">
        <v>2806</v>
      </c>
      <c r="B834" t="s">
        <v>1973</v>
      </c>
      <c r="C834">
        <v>1970</v>
      </c>
      <c r="D834">
        <v>6</v>
      </c>
      <c r="E834" t="s">
        <v>145</v>
      </c>
      <c r="F834">
        <v>2.8778899999999999E-4</v>
      </c>
    </row>
    <row r="835" spans="1:6" x14ac:dyDescent="0.3">
      <c r="A835" t="s">
        <v>2806</v>
      </c>
      <c r="B835" t="s">
        <v>1973</v>
      </c>
      <c r="C835">
        <v>1995</v>
      </c>
      <c r="D835">
        <v>1</v>
      </c>
      <c r="E835" t="s">
        <v>192</v>
      </c>
      <c r="F835">
        <v>1.663239E-3</v>
      </c>
    </row>
    <row r="836" spans="1:6" x14ac:dyDescent="0.3">
      <c r="A836" t="s">
        <v>2806</v>
      </c>
      <c r="B836" t="s">
        <v>1973</v>
      </c>
      <c r="C836">
        <v>1995</v>
      </c>
      <c r="D836">
        <v>3</v>
      </c>
      <c r="E836" t="s">
        <v>89</v>
      </c>
      <c r="F836">
        <v>3.4362389999999998E-3</v>
      </c>
    </row>
    <row r="837" spans="1:6" x14ac:dyDescent="0.3">
      <c r="A837" t="s">
        <v>2806</v>
      </c>
      <c r="B837" t="s">
        <v>1973</v>
      </c>
      <c r="C837">
        <v>1995</v>
      </c>
      <c r="D837">
        <v>14</v>
      </c>
      <c r="E837" t="s">
        <v>204</v>
      </c>
      <c r="F837">
        <v>7.1260799999999999E-4</v>
      </c>
    </row>
    <row r="838" spans="1:6" x14ac:dyDescent="0.3">
      <c r="A838" t="s">
        <v>2806</v>
      </c>
      <c r="B838" t="s">
        <v>1973</v>
      </c>
      <c r="C838">
        <v>1995</v>
      </c>
      <c r="D838">
        <v>7</v>
      </c>
      <c r="E838" t="s">
        <v>183</v>
      </c>
      <c r="F838">
        <v>1.8825459999999999E-3</v>
      </c>
    </row>
    <row r="839" spans="1:6" x14ac:dyDescent="0.3">
      <c r="A839" t="s">
        <v>2806</v>
      </c>
      <c r="B839" t="s">
        <v>1973</v>
      </c>
      <c r="C839">
        <v>1995</v>
      </c>
      <c r="D839">
        <v>10</v>
      </c>
      <c r="E839" t="s">
        <v>46</v>
      </c>
      <c r="F839">
        <v>1.5966840999999999E-2</v>
      </c>
    </row>
    <row r="840" spans="1:6" x14ac:dyDescent="0.3">
      <c r="A840" t="s">
        <v>2806</v>
      </c>
      <c r="B840" t="s">
        <v>1973</v>
      </c>
      <c r="C840">
        <v>1995</v>
      </c>
      <c r="D840">
        <v>11</v>
      </c>
      <c r="E840" t="s">
        <v>107</v>
      </c>
      <c r="F840">
        <v>2.9349007E-2</v>
      </c>
    </row>
    <row r="841" spans="1:6" x14ac:dyDescent="0.3">
      <c r="A841" t="s">
        <v>2806</v>
      </c>
      <c r="B841" t="s">
        <v>1973</v>
      </c>
      <c r="C841">
        <v>1995</v>
      </c>
      <c r="D841">
        <v>17</v>
      </c>
      <c r="E841" t="s">
        <v>368</v>
      </c>
      <c r="F841">
        <v>2.0036310000000002E-2</v>
      </c>
    </row>
    <row r="842" spans="1:6" x14ac:dyDescent="0.3">
      <c r="A842" t="s">
        <v>2806</v>
      </c>
      <c r="B842" t="s">
        <v>1973</v>
      </c>
      <c r="C842">
        <v>1995</v>
      </c>
      <c r="D842">
        <v>12</v>
      </c>
      <c r="E842" t="s">
        <v>128</v>
      </c>
      <c r="F842">
        <v>1.8810654999999999E-2</v>
      </c>
    </row>
    <row r="843" spans="1:6" x14ac:dyDescent="0.3">
      <c r="A843" t="s">
        <v>2806</v>
      </c>
      <c r="B843" t="s">
        <v>1973</v>
      </c>
      <c r="C843">
        <v>1995</v>
      </c>
      <c r="D843">
        <v>5</v>
      </c>
      <c r="E843" t="s">
        <v>56</v>
      </c>
      <c r="F843">
        <v>1.3730197E-2</v>
      </c>
    </row>
    <row r="844" spans="1:6" x14ac:dyDescent="0.3">
      <c r="A844" t="s">
        <v>2806</v>
      </c>
      <c r="B844" t="s">
        <v>1973</v>
      </c>
      <c r="C844">
        <v>1995</v>
      </c>
      <c r="D844">
        <v>16</v>
      </c>
      <c r="E844" t="s">
        <v>63</v>
      </c>
      <c r="F844">
        <v>4.8150490000000001E-3</v>
      </c>
    </row>
    <row r="845" spans="1:6" x14ac:dyDescent="0.3">
      <c r="A845" t="s">
        <v>2806</v>
      </c>
      <c r="B845" t="s">
        <v>1973</v>
      </c>
      <c r="C845">
        <v>1995</v>
      </c>
      <c r="D845">
        <v>9</v>
      </c>
      <c r="E845" t="s">
        <v>74</v>
      </c>
      <c r="F845">
        <v>1.1799499999999999E-2</v>
      </c>
    </row>
    <row r="846" spans="1:6" x14ac:dyDescent="0.3">
      <c r="A846" t="s">
        <v>2806</v>
      </c>
      <c r="B846" t="s">
        <v>1973</v>
      </c>
      <c r="C846">
        <v>1995</v>
      </c>
      <c r="D846">
        <v>4</v>
      </c>
      <c r="E846" t="s">
        <v>103</v>
      </c>
      <c r="F846">
        <v>4.8150440000000001E-3</v>
      </c>
    </row>
    <row r="847" spans="1:6" x14ac:dyDescent="0.3">
      <c r="A847" t="s">
        <v>2806</v>
      </c>
      <c r="B847" t="s">
        <v>1973</v>
      </c>
      <c r="C847">
        <v>1995</v>
      </c>
      <c r="D847">
        <v>13</v>
      </c>
      <c r="E847" t="s">
        <v>35</v>
      </c>
      <c r="F847">
        <v>1.9874523000000002E-2</v>
      </c>
    </row>
    <row r="848" spans="1:6" x14ac:dyDescent="0.3">
      <c r="A848" t="s">
        <v>2806</v>
      </c>
      <c r="B848" t="s">
        <v>1973</v>
      </c>
      <c r="C848">
        <v>1995</v>
      </c>
      <c r="D848">
        <v>15</v>
      </c>
      <c r="E848" t="s">
        <v>172</v>
      </c>
      <c r="F848">
        <v>1.2866749999999999E-3</v>
      </c>
    </row>
    <row r="849" spans="1:6" x14ac:dyDescent="0.3">
      <c r="A849" t="s">
        <v>2806</v>
      </c>
      <c r="B849" t="s">
        <v>1973</v>
      </c>
      <c r="C849">
        <v>1995</v>
      </c>
      <c r="D849">
        <v>8</v>
      </c>
      <c r="E849" t="s">
        <v>79</v>
      </c>
      <c r="F849">
        <v>3.0491699999999998E-4</v>
      </c>
    </row>
    <row r="850" spans="1:6" x14ac:dyDescent="0.3">
      <c r="A850" t="s">
        <v>2806</v>
      </c>
      <c r="B850" t="s">
        <v>1973</v>
      </c>
      <c r="C850">
        <v>1995</v>
      </c>
      <c r="D850">
        <v>2</v>
      </c>
      <c r="E850" t="s">
        <v>549</v>
      </c>
      <c r="F850">
        <v>3.9379899999999997E-3</v>
      </c>
    </row>
    <row r="851" spans="1:6" x14ac:dyDescent="0.3">
      <c r="A851" t="s">
        <v>2806</v>
      </c>
      <c r="B851" t="s">
        <v>1973</v>
      </c>
      <c r="C851">
        <v>1995</v>
      </c>
      <c r="D851">
        <v>6</v>
      </c>
      <c r="E851" t="s">
        <v>145</v>
      </c>
      <c r="F851">
        <v>4.3564899999999998E-4</v>
      </c>
    </row>
    <row r="852" spans="1:6" x14ac:dyDescent="0.3">
      <c r="A852" t="s">
        <v>2806</v>
      </c>
      <c r="B852" t="s">
        <v>1973</v>
      </c>
      <c r="C852">
        <v>2030</v>
      </c>
      <c r="D852">
        <v>1</v>
      </c>
      <c r="E852" t="s">
        <v>192</v>
      </c>
      <c r="F852">
        <v>1.736888E-3</v>
      </c>
    </row>
    <row r="853" spans="1:6" x14ac:dyDescent="0.3">
      <c r="A853" t="s">
        <v>2806</v>
      </c>
      <c r="B853" t="s">
        <v>1973</v>
      </c>
      <c r="C853">
        <v>2030</v>
      </c>
      <c r="D853">
        <v>3</v>
      </c>
      <c r="E853" t="s">
        <v>89</v>
      </c>
      <c r="F853">
        <v>3.3469329999999999E-3</v>
      </c>
    </row>
    <row r="854" spans="1:6" x14ac:dyDescent="0.3">
      <c r="A854" t="s">
        <v>2806</v>
      </c>
      <c r="B854" t="s">
        <v>1973</v>
      </c>
      <c r="C854">
        <v>2030</v>
      </c>
      <c r="D854">
        <v>14</v>
      </c>
      <c r="E854" t="s">
        <v>204</v>
      </c>
      <c r="F854">
        <v>5.8418399999999996E-4</v>
      </c>
    </row>
    <row r="855" spans="1:6" x14ac:dyDescent="0.3">
      <c r="A855" t="s">
        <v>2806</v>
      </c>
      <c r="B855" t="s">
        <v>1973</v>
      </c>
      <c r="C855">
        <v>2030</v>
      </c>
      <c r="D855">
        <v>7</v>
      </c>
      <c r="E855" t="s">
        <v>183</v>
      </c>
      <c r="F855">
        <v>1.661832E-3</v>
      </c>
    </row>
    <row r="856" spans="1:6" x14ac:dyDescent="0.3">
      <c r="A856" t="s">
        <v>2806</v>
      </c>
      <c r="B856" t="s">
        <v>1973</v>
      </c>
      <c r="C856">
        <v>2030</v>
      </c>
      <c r="D856">
        <v>10</v>
      </c>
      <c r="E856" t="s">
        <v>46</v>
      </c>
      <c r="F856">
        <v>1.6692043E-2</v>
      </c>
    </row>
    <row r="857" spans="1:6" x14ac:dyDescent="0.3">
      <c r="A857" t="s">
        <v>2806</v>
      </c>
      <c r="B857" t="s">
        <v>1973</v>
      </c>
      <c r="C857">
        <v>2030</v>
      </c>
      <c r="D857">
        <v>11</v>
      </c>
      <c r="E857" t="s">
        <v>107</v>
      </c>
      <c r="F857">
        <v>2.5595334000000001E-2</v>
      </c>
    </row>
    <row r="858" spans="1:6" x14ac:dyDescent="0.3">
      <c r="A858" t="s">
        <v>2806</v>
      </c>
      <c r="B858" t="s">
        <v>1973</v>
      </c>
      <c r="C858">
        <v>2030</v>
      </c>
      <c r="D858">
        <v>17</v>
      </c>
      <c r="E858" t="s">
        <v>368</v>
      </c>
      <c r="F858">
        <v>1.2602544E-2</v>
      </c>
    </row>
    <row r="859" spans="1:6" x14ac:dyDescent="0.3">
      <c r="A859" t="s">
        <v>2806</v>
      </c>
      <c r="B859" t="s">
        <v>1973</v>
      </c>
      <c r="C859">
        <v>2030</v>
      </c>
      <c r="D859">
        <v>12</v>
      </c>
      <c r="E859" t="s">
        <v>128</v>
      </c>
      <c r="F859">
        <v>1.6324989000000002E-2</v>
      </c>
    </row>
    <row r="860" spans="1:6" x14ac:dyDescent="0.3">
      <c r="A860" t="s">
        <v>2806</v>
      </c>
      <c r="B860" t="s">
        <v>1973</v>
      </c>
      <c r="C860">
        <v>2030</v>
      </c>
      <c r="D860">
        <v>5</v>
      </c>
      <c r="E860" t="s">
        <v>56</v>
      </c>
      <c r="F860">
        <v>1.4845753999999999E-2</v>
      </c>
    </row>
    <row r="861" spans="1:6" x14ac:dyDescent="0.3">
      <c r="A861" t="s">
        <v>2806</v>
      </c>
      <c r="B861" t="s">
        <v>1973</v>
      </c>
      <c r="C861">
        <v>2030</v>
      </c>
      <c r="D861">
        <v>16</v>
      </c>
      <c r="E861" t="s">
        <v>63</v>
      </c>
      <c r="F861">
        <v>4.6065469999999999E-3</v>
      </c>
    </row>
    <row r="862" spans="1:6" x14ac:dyDescent="0.3">
      <c r="A862" t="s">
        <v>2806</v>
      </c>
      <c r="B862" t="s">
        <v>1973</v>
      </c>
      <c r="C862">
        <v>2030</v>
      </c>
      <c r="D862">
        <v>9</v>
      </c>
      <c r="E862" t="s">
        <v>74</v>
      </c>
      <c r="F862">
        <v>7.2151969999999996E-3</v>
      </c>
    </row>
    <row r="863" spans="1:6" x14ac:dyDescent="0.3">
      <c r="A863" t="s">
        <v>2806</v>
      </c>
      <c r="B863" t="s">
        <v>1973</v>
      </c>
      <c r="C863">
        <v>2030</v>
      </c>
      <c r="D863">
        <v>4</v>
      </c>
      <c r="E863" t="s">
        <v>103</v>
      </c>
      <c r="F863">
        <v>6.0956509999999997E-3</v>
      </c>
    </row>
    <row r="864" spans="1:6" x14ac:dyDescent="0.3">
      <c r="A864" t="s">
        <v>2806</v>
      </c>
      <c r="B864" t="s">
        <v>1973</v>
      </c>
      <c r="C864">
        <v>2030</v>
      </c>
      <c r="D864">
        <v>13</v>
      </c>
      <c r="E864" t="s">
        <v>35</v>
      </c>
      <c r="F864">
        <v>1.4628143999999999E-2</v>
      </c>
    </row>
    <row r="865" spans="1:6" x14ac:dyDescent="0.3">
      <c r="A865" t="s">
        <v>2806</v>
      </c>
      <c r="B865" t="s">
        <v>1973</v>
      </c>
      <c r="C865">
        <v>2030</v>
      </c>
      <c r="D865">
        <v>15</v>
      </c>
      <c r="E865" t="s">
        <v>172</v>
      </c>
      <c r="F865">
        <v>1.0440009999999999E-3</v>
      </c>
    </row>
    <row r="866" spans="1:6" x14ac:dyDescent="0.3">
      <c r="A866" t="s">
        <v>2806</v>
      </c>
      <c r="B866" t="s">
        <v>1973</v>
      </c>
      <c r="C866">
        <v>2030</v>
      </c>
      <c r="D866">
        <v>8</v>
      </c>
      <c r="E866" t="s">
        <v>79</v>
      </c>
      <c r="F866">
        <v>2.0620590000000002E-3</v>
      </c>
    </row>
    <row r="867" spans="1:6" x14ac:dyDescent="0.3">
      <c r="A867" t="s">
        <v>2806</v>
      </c>
      <c r="B867" t="s">
        <v>1973</v>
      </c>
      <c r="C867">
        <v>2030</v>
      </c>
      <c r="D867">
        <v>2</v>
      </c>
      <c r="E867" t="s">
        <v>549</v>
      </c>
      <c r="F867">
        <v>4.1837929999999999E-3</v>
      </c>
    </row>
    <row r="868" spans="1:6" x14ac:dyDescent="0.3">
      <c r="A868" t="s">
        <v>2806</v>
      </c>
      <c r="B868" t="s">
        <v>1973</v>
      </c>
      <c r="C868">
        <v>2030</v>
      </c>
      <c r="D868">
        <v>6</v>
      </c>
      <c r="E868" t="s">
        <v>145</v>
      </c>
      <c r="F868">
        <v>3.3468099999999998E-4</v>
      </c>
    </row>
    <row r="869" spans="1:6" x14ac:dyDescent="0.3">
      <c r="A869" t="s">
        <v>2806</v>
      </c>
      <c r="B869" t="s">
        <v>1965</v>
      </c>
      <c r="C869">
        <v>1970</v>
      </c>
      <c r="D869">
        <v>1</v>
      </c>
      <c r="E869" t="s">
        <v>192</v>
      </c>
      <c r="F869">
        <v>0.91215636499999997</v>
      </c>
    </row>
    <row r="870" spans="1:6" x14ac:dyDescent="0.3">
      <c r="A870" t="s">
        <v>2806</v>
      </c>
      <c r="B870" t="s">
        <v>1965</v>
      </c>
      <c r="C870">
        <v>1970</v>
      </c>
      <c r="D870">
        <v>3</v>
      </c>
      <c r="E870" t="s">
        <v>89</v>
      </c>
      <c r="F870">
        <v>0.32703943899999999</v>
      </c>
    </row>
    <row r="871" spans="1:6" x14ac:dyDescent="0.3">
      <c r="A871" t="s">
        <v>2806</v>
      </c>
      <c r="B871" t="s">
        <v>1965</v>
      </c>
      <c r="C871">
        <v>1970</v>
      </c>
      <c r="D871">
        <v>14</v>
      </c>
      <c r="E871" t="s">
        <v>204</v>
      </c>
      <c r="F871">
        <v>0.30175596599999999</v>
      </c>
    </row>
    <row r="872" spans="1:6" x14ac:dyDescent="0.3">
      <c r="A872" t="s">
        <v>2806</v>
      </c>
      <c r="B872" t="s">
        <v>1965</v>
      </c>
      <c r="C872">
        <v>1970</v>
      </c>
      <c r="D872">
        <v>7</v>
      </c>
      <c r="E872" t="s">
        <v>183</v>
      </c>
      <c r="F872">
        <v>2.3634800000000001E-2</v>
      </c>
    </row>
    <row r="873" spans="1:6" x14ac:dyDescent="0.3">
      <c r="A873" t="s">
        <v>2806</v>
      </c>
      <c r="B873" t="s">
        <v>1965</v>
      </c>
      <c r="C873">
        <v>1970</v>
      </c>
      <c r="D873">
        <v>10</v>
      </c>
      <c r="E873" t="s">
        <v>46</v>
      </c>
      <c r="F873">
        <v>2.4638342600000001</v>
      </c>
    </row>
    <row r="874" spans="1:6" x14ac:dyDescent="0.3">
      <c r="A874" t="s">
        <v>2806</v>
      </c>
      <c r="B874" t="s">
        <v>1965</v>
      </c>
      <c r="C874">
        <v>1970</v>
      </c>
      <c r="D874">
        <v>11</v>
      </c>
      <c r="E874" t="s">
        <v>107</v>
      </c>
      <c r="F874">
        <v>1.848101792</v>
      </c>
    </row>
    <row r="875" spans="1:6" x14ac:dyDescent="0.3">
      <c r="A875" t="s">
        <v>2806</v>
      </c>
      <c r="B875" t="s">
        <v>1965</v>
      </c>
      <c r="C875">
        <v>1970</v>
      </c>
      <c r="D875">
        <v>17</v>
      </c>
      <c r="E875" t="s">
        <v>368</v>
      </c>
      <c r="F875">
        <v>4.7592506080000003</v>
      </c>
    </row>
    <row r="876" spans="1:6" x14ac:dyDescent="0.3">
      <c r="A876" t="s">
        <v>2806</v>
      </c>
      <c r="B876" t="s">
        <v>1965</v>
      </c>
      <c r="C876">
        <v>1970</v>
      </c>
      <c r="D876">
        <v>12</v>
      </c>
      <c r="E876" t="s">
        <v>128</v>
      </c>
      <c r="F876">
        <v>1.6444112209999999</v>
      </c>
    </row>
    <row r="877" spans="1:6" x14ac:dyDescent="0.3">
      <c r="A877" t="s">
        <v>2806</v>
      </c>
      <c r="B877" t="s">
        <v>1965</v>
      </c>
      <c r="C877">
        <v>1970</v>
      </c>
      <c r="D877">
        <v>5</v>
      </c>
      <c r="E877" t="s">
        <v>56</v>
      </c>
      <c r="F877">
        <v>1.230765664</v>
      </c>
    </row>
    <row r="878" spans="1:6" x14ac:dyDescent="0.3">
      <c r="A878" t="s">
        <v>2806</v>
      </c>
      <c r="B878" t="s">
        <v>1965</v>
      </c>
      <c r="C878">
        <v>1970</v>
      </c>
      <c r="D878">
        <v>16</v>
      </c>
      <c r="E878" t="s">
        <v>63</v>
      </c>
      <c r="F878">
        <v>0.16207333099999999</v>
      </c>
    </row>
    <row r="879" spans="1:6" x14ac:dyDescent="0.3">
      <c r="A879" t="s">
        <v>2806</v>
      </c>
      <c r="B879" t="s">
        <v>1965</v>
      </c>
      <c r="C879">
        <v>1970</v>
      </c>
      <c r="D879">
        <v>9</v>
      </c>
      <c r="E879" t="s">
        <v>74</v>
      </c>
      <c r="F879">
        <v>0.63816252399999995</v>
      </c>
    </row>
    <row r="880" spans="1:6" x14ac:dyDescent="0.3">
      <c r="A880" t="s">
        <v>2806</v>
      </c>
      <c r="B880" t="s">
        <v>1965</v>
      </c>
      <c r="C880">
        <v>1970</v>
      </c>
      <c r="D880">
        <v>4</v>
      </c>
      <c r="E880" t="s">
        <v>103</v>
      </c>
      <c r="F880">
        <v>0.17003117800000001</v>
      </c>
    </row>
    <row r="881" spans="1:6" x14ac:dyDescent="0.3">
      <c r="A881" t="s">
        <v>2806</v>
      </c>
      <c r="B881" t="s">
        <v>1965</v>
      </c>
      <c r="C881">
        <v>1970</v>
      </c>
      <c r="D881">
        <v>13</v>
      </c>
      <c r="E881" t="s">
        <v>35</v>
      </c>
      <c r="F881">
        <v>3.8170958999999997E-2</v>
      </c>
    </row>
    <row r="882" spans="1:6" x14ac:dyDescent="0.3">
      <c r="A882" t="s">
        <v>2806</v>
      </c>
      <c r="B882" t="s">
        <v>1965</v>
      </c>
      <c r="C882">
        <v>1970</v>
      </c>
      <c r="D882">
        <v>15</v>
      </c>
      <c r="E882" t="s">
        <v>172</v>
      </c>
      <c r="F882">
        <v>0.15380395199999999</v>
      </c>
    </row>
    <row r="883" spans="1:6" x14ac:dyDescent="0.3">
      <c r="A883" t="s">
        <v>2806</v>
      </c>
      <c r="B883" t="s">
        <v>1965</v>
      </c>
      <c r="C883">
        <v>1970</v>
      </c>
      <c r="D883">
        <v>8</v>
      </c>
      <c r="E883" t="s">
        <v>79</v>
      </c>
      <c r="F883">
        <v>1.6042058000000001E-2</v>
      </c>
    </row>
    <row r="884" spans="1:6" x14ac:dyDescent="0.3">
      <c r="A884" t="s">
        <v>2806</v>
      </c>
      <c r="B884" t="s">
        <v>1965</v>
      </c>
      <c r="C884">
        <v>1970</v>
      </c>
      <c r="D884">
        <v>2</v>
      </c>
      <c r="E884" t="s">
        <v>549</v>
      </c>
      <c r="F884">
        <v>0.85398965800000004</v>
      </c>
    </row>
    <row r="885" spans="1:6" x14ac:dyDescent="0.3">
      <c r="A885" t="s">
        <v>2806</v>
      </c>
      <c r="B885" t="s">
        <v>1965</v>
      </c>
      <c r="C885">
        <v>1970</v>
      </c>
      <c r="D885">
        <v>6</v>
      </c>
      <c r="E885" t="s">
        <v>145</v>
      </c>
      <c r="F885">
        <v>4.5680725999999998E-2</v>
      </c>
    </row>
    <row r="886" spans="1:6" x14ac:dyDescent="0.3">
      <c r="A886" t="s">
        <v>2806</v>
      </c>
      <c r="B886" t="s">
        <v>1965</v>
      </c>
      <c r="C886">
        <v>1995</v>
      </c>
      <c r="D886">
        <v>1</v>
      </c>
      <c r="E886" t="s">
        <v>192</v>
      </c>
      <c r="F886">
        <v>1.524706739</v>
      </c>
    </row>
    <row r="887" spans="1:6" x14ac:dyDescent="0.3">
      <c r="A887" t="s">
        <v>2806</v>
      </c>
      <c r="B887" t="s">
        <v>1965</v>
      </c>
      <c r="C887">
        <v>1995</v>
      </c>
      <c r="D887">
        <v>3</v>
      </c>
      <c r="E887" t="s">
        <v>89</v>
      </c>
      <c r="F887">
        <v>0.352146348</v>
      </c>
    </row>
    <row r="888" spans="1:6" x14ac:dyDescent="0.3">
      <c r="A888" t="s">
        <v>2806</v>
      </c>
      <c r="B888" t="s">
        <v>1965</v>
      </c>
      <c r="C888">
        <v>1995</v>
      </c>
      <c r="D888">
        <v>14</v>
      </c>
      <c r="E888" t="s">
        <v>204</v>
      </c>
      <c r="F888">
        <v>0.29693248999999999</v>
      </c>
    </row>
    <row r="889" spans="1:6" x14ac:dyDescent="0.3">
      <c r="A889" t="s">
        <v>2806</v>
      </c>
      <c r="B889" t="s">
        <v>1965</v>
      </c>
      <c r="C889">
        <v>1995</v>
      </c>
      <c r="D889">
        <v>7</v>
      </c>
      <c r="E889" t="s">
        <v>183</v>
      </c>
      <c r="F889">
        <v>3.9401123000000003E-2</v>
      </c>
    </row>
    <row r="890" spans="1:6" x14ac:dyDescent="0.3">
      <c r="A890" t="s">
        <v>2806</v>
      </c>
      <c r="B890" t="s">
        <v>1965</v>
      </c>
      <c r="C890">
        <v>1995</v>
      </c>
      <c r="D890">
        <v>10</v>
      </c>
      <c r="E890" t="s">
        <v>46</v>
      </c>
      <c r="F890">
        <v>2.0161720939999999</v>
      </c>
    </row>
    <row r="891" spans="1:6" x14ac:dyDescent="0.3">
      <c r="A891" t="s">
        <v>2806</v>
      </c>
      <c r="B891" t="s">
        <v>1965</v>
      </c>
      <c r="C891">
        <v>1995</v>
      </c>
      <c r="D891">
        <v>11</v>
      </c>
      <c r="E891" t="s">
        <v>107</v>
      </c>
      <c r="F891">
        <v>1.682274933</v>
      </c>
    </row>
    <row r="892" spans="1:6" x14ac:dyDescent="0.3">
      <c r="A892" t="s">
        <v>2806</v>
      </c>
      <c r="B892" t="s">
        <v>1965</v>
      </c>
      <c r="C892">
        <v>1995</v>
      </c>
      <c r="D892">
        <v>17</v>
      </c>
      <c r="E892" t="s">
        <v>368</v>
      </c>
      <c r="F892">
        <v>3.4135356290000001</v>
      </c>
    </row>
    <row r="893" spans="1:6" x14ac:dyDescent="0.3">
      <c r="A893" t="s">
        <v>2806</v>
      </c>
      <c r="B893" t="s">
        <v>1965</v>
      </c>
      <c r="C893">
        <v>1995</v>
      </c>
      <c r="D893">
        <v>12</v>
      </c>
      <c r="E893" t="s">
        <v>128</v>
      </c>
      <c r="F893">
        <v>1.5905513819999999</v>
      </c>
    </row>
    <row r="894" spans="1:6" x14ac:dyDescent="0.3">
      <c r="A894" t="s">
        <v>2806</v>
      </c>
      <c r="B894" t="s">
        <v>1965</v>
      </c>
      <c r="C894">
        <v>1995</v>
      </c>
      <c r="D894">
        <v>5</v>
      </c>
      <c r="E894" t="s">
        <v>56</v>
      </c>
      <c r="F894">
        <v>1.126710045</v>
      </c>
    </row>
    <row r="895" spans="1:6" x14ac:dyDescent="0.3">
      <c r="A895" t="s">
        <v>2806</v>
      </c>
      <c r="B895" t="s">
        <v>1965</v>
      </c>
      <c r="C895">
        <v>1995</v>
      </c>
      <c r="D895">
        <v>16</v>
      </c>
      <c r="E895" t="s">
        <v>63</v>
      </c>
      <c r="F895">
        <v>0.14680105800000001</v>
      </c>
    </row>
    <row r="896" spans="1:6" x14ac:dyDescent="0.3">
      <c r="A896" t="s">
        <v>2806</v>
      </c>
      <c r="B896" t="s">
        <v>1965</v>
      </c>
      <c r="C896">
        <v>1995</v>
      </c>
      <c r="D896">
        <v>9</v>
      </c>
      <c r="E896" t="s">
        <v>74</v>
      </c>
      <c r="F896">
        <v>0.65986862800000001</v>
      </c>
    </row>
    <row r="897" spans="1:6" x14ac:dyDescent="0.3">
      <c r="A897" t="s">
        <v>2806</v>
      </c>
      <c r="B897" t="s">
        <v>1965</v>
      </c>
      <c r="C897">
        <v>1995</v>
      </c>
      <c r="D897">
        <v>4</v>
      </c>
      <c r="E897" t="s">
        <v>103</v>
      </c>
      <c r="F897">
        <v>0.271194247</v>
      </c>
    </row>
    <row r="898" spans="1:6" x14ac:dyDescent="0.3">
      <c r="A898" t="s">
        <v>2806</v>
      </c>
      <c r="B898" t="s">
        <v>1965</v>
      </c>
      <c r="C898">
        <v>1995</v>
      </c>
      <c r="D898">
        <v>13</v>
      </c>
      <c r="E898" t="s">
        <v>35</v>
      </c>
      <c r="F898">
        <v>3.9733965000000003E-2</v>
      </c>
    </row>
    <row r="899" spans="1:6" x14ac:dyDescent="0.3">
      <c r="A899" t="s">
        <v>2806</v>
      </c>
      <c r="B899" t="s">
        <v>1965</v>
      </c>
      <c r="C899">
        <v>1995</v>
      </c>
      <c r="D899">
        <v>15</v>
      </c>
      <c r="E899" t="s">
        <v>172</v>
      </c>
      <c r="F899">
        <v>0.15703909499999999</v>
      </c>
    </row>
    <row r="900" spans="1:6" x14ac:dyDescent="0.3">
      <c r="A900" t="s">
        <v>2806</v>
      </c>
      <c r="B900" t="s">
        <v>1965</v>
      </c>
      <c r="C900">
        <v>1995</v>
      </c>
      <c r="D900">
        <v>8</v>
      </c>
      <c r="E900" t="s">
        <v>79</v>
      </c>
      <c r="F900">
        <v>3.3693926999999999E-2</v>
      </c>
    </row>
    <row r="901" spans="1:6" x14ac:dyDescent="0.3">
      <c r="A901" t="s">
        <v>2806</v>
      </c>
      <c r="B901" t="s">
        <v>1965</v>
      </c>
      <c r="C901">
        <v>1995</v>
      </c>
      <c r="D901">
        <v>2</v>
      </c>
      <c r="E901" t="s">
        <v>549</v>
      </c>
      <c r="F901">
        <v>1.1115862080000001</v>
      </c>
    </row>
    <row r="902" spans="1:6" x14ac:dyDescent="0.3">
      <c r="A902" t="s">
        <v>2806</v>
      </c>
      <c r="B902" t="s">
        <v>1965</v>
      </c>
      <c r="C902">
        <v>1995</v>
      </c>
      <c r="D902">
        <v>6</v>
      </c>
      <c r="E902" t="s">
        <v>145</v>
      </c>
      <c r="F902">
        <v>6.9150607000000003E-2</v>
      </c>
    </row>
    <row r="903" spans="1:6" x14ac:dyDescent="0.3">
      <c r="A903" t="s">
        <v>2806</v>
      </c>
      <c r="B903" t="s">
        <v>1965</v>
      </c>
      <c r="C903">
        <v>2030</v>
      </c>
      <c r="D903">
        <v>1</v>
      </c>
      <c r="E903" t="s">
        <v>192</v>
      </c>
      <c r="F903">
        <v>1.5922214269999999</v>
      </c>
    </row>
    <row r="904" spans="1:6" x14ac:dyDescent="0.3">
      <c r="A904" t="s">
        <v>2806</v>
      </c>
      <c r="B904" t="s">
        <v>1965</v>
      </c>
      <c r="C904">
        <v>2030</v>
      </c>
      <c r="D904">
        <v>3</v>
      </c>
      <c r="E904" t="s">
        <v>89</v>
      </c>
      <c r="F904">
        <v>0.34299426399999999</v>
      </c>
    </row>
    <row r="905" spans="1:6" x14ac:dyDescent="0.3">
      <c r="A905" t="s">
        <v>2806</v>
      </c>
      <c r="B905" t="s">
        <v>1965</v>
      </c>
      <c r="C905">
        <v>2030</v>
      </c>
      <c r="D905">
        <v>14</v>
      </c>
      <c r="E905" t="s">
        <v>204</v>
      </c>
      <c r="F905">
        <v>0.243420412</v>
      </c>
    </row>
    <row r="906" spans="1:6" x14ac:dyDescent="0.3">
      <c r="A906" t="s">
        <v>2806</v>
      </c>
      <c r="B906" t="s">
        <v>1965</v>
      </c>
      <c r="C906">
        <v>2030</v>
      </c>
      <c r="D906">
        <v>7</v>
      </c>
      <c r="E906" t="s">
        <v>183</v>
      </c>
      <c r="F906">
        <v>3.4781642000000002E-2</v>
      </c>
    </row>
    <row r="907" spans="1:6" x14ac:dyDescent="0.3">
      <c r="A907" t="s">
        <v>2806</v>
      </c>
      <c r="B907" t="s">
        <v>1965</v>
      </c>
      <c r="C907">
        <v>2030</v>
      </c>
      <c r="D907">
        <v>10</v>
      </c>
      <c r="E907" t="s">
        <v>46</v>
      </c>
      <c r="F907">
        <v>2.10774514</v>
      </c>
    </row>
    <row r="908" spans="1:6" x14ac:dyDescent="0.3">
      <c r="A908" t="s">
        <v>2806</v>
      </c>
      <c r="B908" t="s">
        <v>1965</v>
      </c>
      <c r="C908">
        <v>2030</v>
      </c>
      <c r="D908">
        <v>11</v>
      </c>
      <c r="E908" t="s">
        <v>107</v>
      </c>
      <c r="F908">
        <v>1.4671156990000001</v>
      </c>
    </row>
    <row r="909" spans="1:6" x14ac:dyDescent="0.3">
      <c r="A909" t="s">
        <v>2806</v>
      </c>
      <c r="B909" t="s">
        <v>1965</v>
      </c>
      <c r="C909">
        <v>2030</v>
      </c>
      <c r="D909">
        <v>17</v>
      </c>
      <c r="E909" t="s">
        <v>368</v>
      </c>
      <c r="F909">
        <v>2.147063648</v>
      </c>
    </row>
    <row r="910" spans="1:6" x14ac:dyDescent="0.3">
      <c r="A910" t="s">
        <v>2806</v>
      </c>
      <c r="B910" t="s">
        <v>1965</v>
      </c>
      <c r="C910">
        <v>2030</v>
      </c>
      <c r="D910">
        <v>12</v>
      </c>
      <c r="E910" t="s">
        <v>128</v>
      </c>
      <c r="F910">
        <v>1.3803736769999999</v>
      </c>
    </row>
    <row r="911" spans="1:6" x14ac:dyDescent="0.3">
      <c r="A911" t="s">
        <v>2806</v>
      </c>
      <c r="B911" t="s">
        <v>1965</v>
      </c>
      <c r="C911">
        <v>2030</v>
      </c>
      <c r="D911">
        <v>5</v>
      </c>
      <c r="E911" t="s">
        <v>56</v>
      </c>
      <c r="F911">
        <v>1.218253472</v>
      </c>
    </row>
    <row r="912" spans="1:6" x14ac:dyDescent="0.3">
      <c r="A912" t="s">
        <v>2806</v>
      </c>
      <c r="B912" t="s">
        <v>1965</v>
      </c>
      <c r="C912">
        <v>2030</v>
      </c>
      <c r="D912">
        <v>16</v>
      </c>
      <c r="E912" t="s">
        <v>63</v>
      </c>
      <c r="F912">
        <v>0.140444243</v>
      </c>
    </row>
    <row r="913" spans="1:6" x14ac:dyDescent="0.3">
      <c r="A913" t="s">
        <v>2806</v>
      </c>
      <c r="B913" t="s">
        <v>1965</v>
      </c>
      <c r="C913">
        <v>2030</v>
      </c>
      <c r="D913">
        <v>9</v>
      </c>
      <c r="E913" t="s">
        <v>74</v>
      </c>
      <c r="F913">
        <v>0.40349864400000002</v>
      </c>
    </row>
    <row r="914" spans="1:6" x14ac:dyDescent="0.3">
      <c r="A914" t="s">
        <v>2806</v>
      </c>
      <c r="B914" t="s">
        <v>1965</v>
      </c>
      <c r="C914">
        <v>2030</v>
      </c>
      <c r="D914">
        <v>4</v>
      </c>
      <c r="E914" t="s">
        <v>103</v>
      </c>
      <c r="F914">
        <v>0.34332097299999997</v>
      </c>
    </row>
    <row r="915" spans="1:6" x14ac:dyDescent="0.3">
      <c r="A915" t="s">
        <v>2806</v>
      </c>
      <c r="B915" t="s">
        <v>1965</v>
      </c>
      <c r="C915">
        <v>2030</v>
      </c>
      <c r="D915">
        <v>13</v>
      </c>
      <c r="E915" t="s">
        <v>35</v>
      </c>
      <c r="F915">
        <v>2.9245187999999998E-2</v>
      </c>
    </row>
    <row r="916" spans="1:6" x14ac:dyDescent="0.3">
      <c r="A916" t="s">
        <v>2806</v>
      </c>
      <c r="B916" t="s">
        <v>1965</v>
      </c>
      <c r="C916">
        <v>2030</v>
      </c>
      <c r="D916">
        <v>15</v>
      </c>
      <c r="E916" t="s">
        <v>172</v>
      </c>
      <c r="F916">
        <v>0.12742066899999999</v>
      </c>
    </row>
    <row r="917" spans="1:6" x14ac:dyDescent="0.3">
      <c r="A917" t="s">
        <v>2806</v>
      </c>
      <c r="B917" t="s">
        <v>1965</v>
      </c>
      <c r="C917">
        <v>2030</v>
      </c>
      <c r="D917">
        <v>8</v>
      </c>
      <c r="E917" t="s">
        <v>79</v>
      </c>
      <c r="F917">
        <v>0.227861761</v>
      </c>
    </row>
    <row r="918" spans="1:6" x14ac:dyDescent="0.3">
      <c r="A918" t="s">
        <v>2806</v>
      </c>
      <c r="B918" t="s">
        <v>1965</v>
      </c>
      <c r="C918">
        <v>2030</v>
      </c>
      <c r="D918">
        <v>2</v>
      </c>
      <c r="E918" t="s">
        <v>549</v>
      </c>
      <c r="F918">
        <v>1.1809697729999999</v>
      </c>
    </row>
    <row r="919" spans="1:6" x14ac:dyDescent="0.3">
      <c r="A919" t="s">
        <v>2806</v>
      </c>
      <c r="B919" t="s">
        <v>1965</v>
      </c>
      <c r="C919">
        <v>2030</v>
      </c>
      <c r="D919">
        <v>6</v>
      </c>
      <c r="E919" t="s">
        <v>145</v>
      </c>
      <c r="F919">
        <v>5.3123983999999999E-2</v>
      </c>
    </row>
    <row r="920" spans="1:6" x14ac:dyDescent="0.3">
      <c r="A920" t="s">
        <v>2806</v>
      </c>
      <c r="B920" t="s">
        <v>2022</v>
      </c>
      <c r="C920">
        <v>1970</v>
      </c>
      <c r="D920">
        <v>1</v>
      </c>
      <c r="E920" t="s">
        <v>192</v>
      </c>
      <c r="F920">
        <v>24.920936810000001</v>
      </c>
    </row>
    <row r="921" spans="1:6" x14ac:dyDescent="0.3">
      <c r="A921" t="s">
        <v>2806</v>
      </c>
      <c r="B921" t="s">
        <v>2022</v>
      </c>
      <c r="C921">
        <v>1970</v>
      </c>
      <c r="D921">
        <v>3</v>
      </c>
      <c r="E921" t="s">
        <v>89</v>
      </c>
      <c r="F921">
        <v>94.703248489999993</v>
      </c>
    </row>
    <row r="922" spans="1:6" x14ac:dyDescent="0.3">
      <c r="A922" t="s">
        <v>2806</v>
      </c>
      <c r="B922" t="s">
        <v>2022</v>
      </c>
      <c r="C922">
        <v>1970</v>
      </c>
      <c r="D922">
        <v>14</v>
      </c>
      <c r="E922" t="s">
        <v>204</v>
      </c>
      <c r="F922">
        <v>19.30468686</v>
      </c>
    </row>
    <row r="923" spans="1:6" x14ac:dyDescent="0.3">
      <c r="A923" t="s">
        <v>2806</v>
      </c>
      <c r="B923" t="s">
        <v>2022</v>
      </c>
      <c r="C923">
        <v>1970</v>
      </c>
      <c r="D923">
        <v>7</v>
      </c>
      <c r="E923" t="s">
        <v>183</v>
      </c>
      <c r="F923">
        <v>20.81318263</v>
      </c>
    </row>
    <row r="924" spans="1:6" x14ac:dyDescent="0.3">
      <c r="A924" t="s">
        <v>2806</v>
      </c>
      <c r="B924" t="s">
        <v>2022</v>
      </c>
      <c r="C924">
        <v>1970</v>
      </c>
      <c r="D924">
        <v>10</v>
      </c>
      <c r="E924" t="s">
        <v>46</v>
      </c>
      <c r="F924">
        <v>41.888277010000003</v>
      </c>
    </row>
    <row r="925" spans="1:6" x14ac:dyDescent="0.3">
      <c r="A925" t="s">
        <v>2806</v>
      </c>
      <c r="B925" t="s">
        <v>2022</v>
      </c>
      <c r="C925">
        <v>1970</v>
      </c>
      <c r="D925">
        <v>11</v>
      </c>
      <c r="E925" t="s">
        <v>107</v>
      </c>
      <c r="F925">
        <v>37.656289219999998</v>
      </c>
    </row>
    <row r="926" spans="1:6" x14ac:dyDescent="0.3">
      <c r="A926" t="s">
        <v>2806</v>
      </c>
      <c r="B926" t="s">
        <v>2022</v>
      </c>
      <c r="C926">
        <v>1970</v>
      </c>
      <c r="D926">
        <v>17</v>
      </c>
      <c r="E926" t="s">
        <v>368</v>
      </c>
      <c r="F926">
        <v>30.339507000000001</v>
      </c>
    </row>
    <row r="927" spans="1:6" x14ac:dyDescent="0.3">
      <c r="A927" t="s">
        <v>2806</v>
      </c>
      <c r="B927" t="s">
        <v>2022</v>
      </c>
      <c r="C927">
        <v>1970</v>
      </c>
      <c r="D927">
        <v>12</v>
      </c>
      <c r="E927" t="s">
        <v>128</v>
      </c>
      <c r="F927">
        <v>7.2054792069999998</v>
      </c>
    </row>
    <row r="928" spans="1:6" x14ac:dyDescent="0.3">
      <c r="A928" t="s">
        <v>2806</v>
      </c>
      <c r="B928" t="s">
        <v>2022</v>
      </c>
      <c r="C928">
        <v>1970</v>
      </c>
      <c r="D928">
        <v>5</v>
      </c>
      <c r="E928" t="s">
        <v>56</v>
      </c>
      <c r="F928">
        <v>5.7876474189999998</v>
      </c>
    </row>
    <row r="929" spans="1:6" x14ac:dyDescent="0.3">
      <c r="A929" t="s">
        <v>2806</v>
      </c>
      <c r="B929" t="s">
        <v>2022</v>
      </c>
      <c r="C929">
        <v>1970</v>
      </c>
      <c r="D929">
        <v>16</v>
      </c>
      <c r="E929" t="s">
        <v>63</v>
      </c>
      <c r="F929">
        <v>33.761422510000003</v>
      </c>
    </row>
    <row r="930" spans="1:6" x14ac:dyDescent="0.3">
      <c r="A930" t="s">
        <v>2806</v>
      </c>
      <c r="B930" t="s">
        <v>2022</v>
      </c>
      <c r="C930">
        <v>1970</v>
      </c>
      <c r="D930">
        <v>9</v>
      </c>
      <c r="E930" t="s">
        <v>74</v>
      </c>
      <c r="F930">
        <v>23.67558524</v>
      </c>
    </row>
    <row r="931" spans="1:6" x14ac:dyDescent="0.3">
      <c r="A931" t="s">
        <v>2806</v>
      </c>
      <c r="B931" t="s">
        <v>2022</v>
      </c>
      <c r="C931">
        <v>1970</v>
      </c>
      <c r="D931">
        <v>4</v>
      </c>
      <c r="E931" t="s">
        <v>103</v>
      </c>
      <c r="F931">
        <v>63.934610990000003</v>
      </c>
    </row>
    <row r="932" spans="1:6" x14ac:dyDescent="0.3">
      <c r="A932" t="s">
        <v>2806</v>
      </c>
      <c r="B932" t="s">
        <v>2022</v>
      </c>
      <c r="C932">
        <v>1970</v>
      </c>
      <c r="D932">
        <v>13</v>
      </c>
      <c r="E932" t="s">
        <v>35</v>
      </c>
      <c r="F932">
        <v>10.45159694</v>
      </c>
    </row>
    <row r="933" spans="1:6" x14ac:dyDescent="0.3">
      <c r="A933" t="s">
        <v>2806</v>
      </c>
      <c r="B933" t="s">
        <v>2022</v>
      </c>
      <c r="C933">
        <v>1970</v>
      </c>
      <c r="D933">
        <v>15</v>
      </c>
      <c r="E933" t="s">
        <v>172</v>
      </c>
      <c r="F933">
        <v>18.995791709999999</v>
      </c>
    </row>
    <row r="934" spans="1:6" x14ac:dyDescent="0.3">
      <c r="A934" t="s">
        <v>2806</v>
      </c>
      <c r="B934" t="s">
        <v>2022</v>
      </c>
      <c r="C934">
        <v>1970</v>
      </c>
      <c r="D934">
        <v>8</v>
      </c>
      <c r="E934" t="s">
        <v>79</v>
      </c>
      <c r="F934">
        <v>28.425981920000002</v>
      </c>
    </row>
    <row r="935" spans="1:6" x14ac:dyDescent="0.3">
      <c r="A935" t="s">
        <v>2806</v>
      </c>
      <c r="B935" t="s">
        <v>2022</v>
      </c>
      <c r="C935">
        <v>1970</v>
      </c>
      <c r="D935">
        <v>2</v>
      </c>
      <c r="E935" t="s">
        <v>549</v>
      </c>
      <c r="F935">
        <v>32.003011860000001</v>
      </c>
    </row>
    <row r="936" spans="1:6" x14ac:dyDescent="0.3">
      <c r="A936" t="s">
        <v>2806</v>
      </c>
      <c r="B936" t="s">
        <v>2022</v>
      </c>
      <c r="C936">
        <v>1970</v>
      </c>
      <c r="D936">
        <v>6</v>
      </c>
      <c r="E936" t="s">
        <v>145</v>
      </c>
      <c r="F936">
        <v>22.920925839999999</v>
      </c>
    </row>
    <row r="937" spans="1:6" x14ac:dyDescent="0.3">
      <c r="A937" t="s">
        <v>2806</v>
      </c>
      <c r="B937" t="s">
        <v>2022</v>
      </c>
      <c r="C937">
        <v>1995</v>
      </c>
      <c r="D937">
        <v>1</v>
      </c>
      <c r="E937" t="s">
        <v>192</v>
      </c>
      <c r="F937">
        <v>29.37351739</v>
      </c>
    </row>
    <row r="938" spans="1:6" x14ac:dyDescent="0.3">
      <c r="A938" t="s">
        <v>2806</v>
      </c>
      <c r="B938" t="s">
        <v>2022</v>
      </c>
      <c r="C938">
        <v>1995</v>
      </c>
      <c r="D938">
        <v>3</v>
      </c>
      <c r="E938" t="s">
        <v>89</v>
      </c>
      <c r="F938">
        <v>59.936144939999998</v>
      </c>
    </row>
    <row r="939" spans="1:6" x14ac:dyDescent="0.3">
      <c r="A939" t="s">
        <v>2806</v>
      </c>
      <c r="B939" t="s">
        <v>2022</v>
      </c>
      <c r="C939">
        <v>1995</v>
      </c>
      <c r="D939">
        <v>14</v>
      </c>
      <c r="E939" t="s">
        <v>204</v>
      </c>
      <c r="F939">
        <v>17.018763839999998</v>
      </c>
    </row>
    <row r="940" spans="1:6" x14ac:dyDescent="0.3">
      <c r="A940" t="s">
        <v>2806</v>
      </c>
      <c r="B940" t="s">
        <v>2022</v>
      </c>
      <c r="C940">
        <v>1995</v>
      </c>
      <c r="D940">
        <v>7</v>
      </c>
      <c r="E940" t="s">
        <v>183</v>
      </c>
      <c r="F940">
        <v>21.95550441</v>
      </c>
    </row>
    <row r="941" spans="1:6" x14ac:dyDescent="0.3">
      <c r="A941" t="s">
        <v>2806</v>
      </c>
      <c r="B941" t="s">
        <v>2022</v>
      </c>
      <c r="C941">
        <v>1995</v>
      </c>
      <c r="D941">
        <v>10</v>
      </c>
      <c r="E941" t="s">
        <v>46</v>
      </c>
      <c r="F941">
        <v>34.277457929999997</v>
      </c>
    </row>
    <row r="942" spans="1:6" x14ac:dyDescent="0.3">
      <c r="A942" t="s">
        <v>2806</v>
      </c>
      <c r="B942" t="s">
        <v>2022</v>
      </c>
      <c r="C942">
        <v>1995</v>
      </c>
      <c r="D942">
        <v>11</v>
      </c>
      <c r="E942" t="s">
        <v>107</v>
      </c>
      <c r="F942">
        <v>34.277457929999997</v>
      </c>
    </row>
    <row r="943" spans="1:6" x14ac:dyDescent="0.3">
      <c r="A943" t="s">
        <v>2806</v>
      </c>
      <c r="B943" t="s">
        <v>2022</v>
      </c>
      <c r="C943">
        <v>1995</v>
      </c>
      <c r="D943">
        <v>17</v>
      </c>
      <c r="E943" t="s">
        <v>368</v>
      </c>
      <c r="F943">
        <v>21.760776360000001</v>
      </c>
    </row>
    <row r="944" spans="1:6" x14ac:dyDescent="0.3">
      <c r="A944" t="s">
        <v>2806</v>
      </c>
      <c r="B944" t="s">
        <v>2022</v>
      </c>
      <c r="C944">
        <v>1995</v>
      </c>
      <c r="D944">
        <v>12</v>
      </c>
      <c r="E944" t="s">
        <v>128</v>
      </c>
      <c r="F944">
        <v>6.969476223</v>
      </c>
    </row>
    <row r="945" spans="1:6" x14ac:dyDescent="0.3">
      <c r="A945" t="s">
        <v>2806</v>
      </c>
      <c r="B945" t="s">
        <v>2022</v>
      </c>
      <c r="C945">
        <v>1995</v>
      </c>
      <c r="D945">
        <v>5</v>
      </c>
      <c r="E945" t="s">
        <v>56</v>
      </c>
      <c r="F945">
        <v>6.5090744430000003</v>
      </c>
    </row>
    <row r="946" spans="1:6" x14ac:dyDescent="0.3">
      <c r="A946" t="s">
        <v>2806</v>
      </c>
      <c r="B946" t="s">
        <v>2022</v>
      </c>
      <c r="C946">
        <v>1995</v>
      </c>
      <c r="D946">
        <v>16</v>
      </c>
      <c r="E946" t="s">
        <v>63</v>
      </c>
      <c r="F946">
        <v>26.24685513</v>
      </c>
    </row>
    <row r="947" spans="1:6" x14ac:dyDescent="0.3">
      <c r="A947" t="s">
        <v>2806</v>
      </c>
      <c r="B947" t="s">
        <v>2022</v>
      </c>
      <c r="C947">
        <v>1995</v>
      </c>
      <c r="D947">
        <v>9</v>
      </c>
      <c r="E947" t="s">
        <v>74</v>
      </c>
      <c r="F947">
        <v>24.480873410000001</v>
      </c>
    </row>
    <row r="948" spans="1:6" x14ac:dyDescent="0.3">
      <c r="A948" t="s">
        <v>2806</v>
      </c>
      <c r="B948" t="s">
        <v>2022</v>
      </c>
      <c r="C948">
        <v>1995</v>
      </c>
      <c r="D948">
        <v>4</v>
      </c>
      <c r="E948" t="s">
        <v>103</v>
      </c>
      <c r="F948">
        <v>59.936144939999998</v>
      </c>
    </row>
    <row r="949" spans="1:6" x14ac:dyDescent="0.3">
      <c r="A949" t="s">
        <v>2806</v>
      </c>
      <c r="B949" t="s">
        <v>2022</v>
      </c>
      <c r="C949">
        <v>1995</v>
      </c>
      <c r="D949">
        <v>13</v>
      </c>
      <c r="E949" t="s">
        <v>35</v>
      </c>
      <c r="F949">
        <v>8.6334605060000005</v>
      </c>
    </row>
    <row r="950" spans="1:6" x14ac:dyDescent="0.3">
      <c r="A950" t="s">
        <v>2806</v>
      </c>
      <c r="B950" t="s">
        <v>2022</v>
      </c>
      <c r="C950">
        <v>1995</v>
      </c>
      <c r="D950">
        <v>15</v>
      </c>
      <c r="E950" t="s">
        <v>172</v>
      </c>
      <c r="F950">
        <v>16.0847959</v>
      </c>
    </row>
    <row r="951" spans="1:6" x14ac:dyDescent="0.3">
      <c r="A951" t="s">
        <v>2806</v>
      </c>
      <c r="B951" t="s">
        <v>2022</v>
      </c>
      <c r="C951">
        <v>1995</v>
      </c>
      <c r="D951">
        <v>8</v>
      </c>
      <c r="E951" t="s">
        <v>79</v>
      </c>
      <c r="F951">
        <v>24.061907789999999</v>
      </c>
    </row>
    <row r="952" spans="1:6" x14ac:dyDescent="0.3">
      <c r="A952" t="s">
        <v>2806</v>
      </c>
      <c r="B952" t="s">
        <v>2022</v>
      </c>
      <c r="C952">
        <v>1995</v>
      </c>
      <c r="D952">
        <v>2</v>
      </c>
      <c r="E952" t="s">
        <v>549</v>
      </c>
      <c r="F952">
        <v>29.37351739</v>
      </c>
    </row>
    <row r="953" spans="1:6" x14ac:dyDescent="0.3">
      <c r="A953" t="s">
        <v>2806</v>
      </c>
      <c r="B953" t="s">
        <v>2022</v>
      </c>
      <c r="C953">
        <v>1995</v>
      </c>
      <c r="D953">
        <v>6</v>
      </c>
      <c r="E953" t="s">
        <v>145</v>
      </c>
      <c r="F953">
        <v>21.95550441</v>
      </c>
    </row>
    <row r="954" spans="1:6" x14ac:dyDescent="0.3">
      <c r="A954" t="s">
        <v>2806</v>
      </c>
      <c r="B954" t="s">
        <v>2022</v>
      </c>
      <c r="C954">
        <v>2030</v>
      </c>
      <c r="D954">
        <v>1</v>
      </c>
      <c r="E954" t="s">
        <v>192</v>
      </c>
      <c r="F954">
        <v>25.53011794</v>
      </c>
    </row>
    <row r="955" spans="1:6" x14ac:dyDescent="0.3">
      <c r="A955" t="s">
        <v>2806</v>
      </c>
      <c r="B955" t="s">
        <v>2022</v>
      </c>
      <c r="C955">
        <v>2030</v>
      </c>
      <c r="D955">
        <v>3</v>
      </c>
      <c r="E955" t="s">
        <v>89</v>
      </c>
      <c r="F955">
        <v>38.89535017</v>
      </c>
    </row>
    <row r="956" spans="1:6" x14ac:dyDescent="0.3">
      <c r="A956" t="s">
        <v>2806</v>
      </c>
      <c r="B956" t="s">
        <v>2022</v>
      </c>
      <c r="C956">
        <v>2030</v>
      </c>
      <c r="D956">
        <v>14</v>
      </c>
      <c r="E956" t="s">
        <v>204</v>
      </c>
      <c r="F956">
        <v>11.761229760000001</v>
      </c>
    </row>
    <row r="957" spans="1:6" x14ac:dyDescent="0.3">
      <c r="A957" t="s">
        <v>2806</v>
      </c>
      <c r="B957" t="s">
        <v>2022</v>
      </c>
      <c r="C957">
        <v>2030</v>
      </c>
      <c r="D957">
        <v>7</v>
      </c>
      <c r="E957" t="s">
        <v>183</v>
      </c>
      <c r="F957">
        <v>14.91295519</v>
      </c>
    </row>
    <row r="958" spans="1:6" x14ac:dyDescent="0.3">
      <c r="A958" t="s">
        <v>2806</v>
      </c>
      <c r="B958" t="s">
        <v>2022</v>
      </c>
      <c r="C958">
        <v>2030</v>
      </c>
      <c r="D958">
        <v>10</v>
      </c>
      <c r="E958" t="s">
        <v>46</v>
      </c>
      <c r="F958">
        <v>35.834314720000002</v>
      </c>
    </row>
    <row r="959" spans="1:6" x14ac:dyDescent="0.3">
      <c r="A959" t="s">
        <v>2806</v>
      </c>
      <c r="B959" t="s">
        <v>2022</v>
      </c>
      <c r="C959">
        <v>2030</v>
      </c>
      <c r="D959">
        <v>11</v>
      </c>
      <c r="E959" t="s">
        <v>107</v>
      </c>
      <c r="F959">
        <v>29.89344706</v>
      </c>
    </row>
    <row r="960" spans="1:6" x14ac:dyDescent="0.3">
      <c r="A960" t="s">
        <v>2806</v>
      </c>
      <c r="B960" t="s">
        <v>2022</v>
      </c>
      <c r="C960">
        <v>2030</v>
      </c>
      <c r="D960">
        <v>17</v>
      </c>
      <c r="E960" t="s">
        <v>368</v>
      </c>
      <c r="F960">
        <v>13.68720791</v>
      </c>
    </row>
    <row r="961" spans="1:6" x14ac:dyDescent="0.3">
      <c r="A961" t="s">
        <v>2806</v>
      </c>
      <c r="B961" t="s">
        <v>2022</v>
      </c>
      <c r="C961">
        <v>2030</v>
      </c>
      <c r="D961">
        <v>12</v>
      </c>
      <c r="E961" t="s">
        <v>128</v>
      </c>
      <c r="F961">
        <v>5.9936330489999996</v>
      </c>
    </row>
    <row r="962" spans="1:6" x14ac:dyDescent="0.3">
      <c r="A962" t="s">
        <v>2806</v>
      </c>
      <c r="B962" t="s">
        <v>2022</v>
      </c>
      <c r="C962">
        <v>2030</v>
      </c>
      <c r="D962">
        <v>5</v>
      </c>
      <c r="E962" t="s">
        <v>56</v>
      </c>
      <c r="F962">
        <v>6.2865390290000001</v>
      </c>
    </row>
    <row r="963" spans="1:6" x14ac:dyDescent="0.3">
      <c r="A963" t="s">
        <v>2806</v>
      </c>
      <c r="B963" t="s">
        <v>2022</v>
      </c>
      <c r="C963">
        <v>2030</v>
      </c>
      <c r="D963">
        <v>16</v>
      </c>
      <c r="E963" t="s">
        <v>63</v>
      </c>
      <c r="F963">
        <v>23.656666090000002</v>
      </c>
    </row>
    <row r="964" spans="1:6" x14ac:dyDescent="0.3">
      <c r="A964" t="s">
        <v>2806</v>
      </c>
      <c r="B964" t="s">
        <v>2022</v>
      </c>
      <c r="C964">
        <v>2030</v>
      </c>
      <c r="D964">
        <v>9</v>
      </c>
      <c r="E964" t="s">
        <v>74</v>
      </c>
      <c r="F964">
        <v>14.969645160000001</v>
      </c>
    </row>
    <row r="965" spans="1:6" x14ac:dyDescent="0.3">
      <c r="A965" t="s">
        <v>2806</v>
      </c>
      <c r="B965" t="s">
        <v>2022</v>
      </c>
      <c r="C965">
        <v>2030</v>
      </c>
      <c r="D965">
        <v>4</v>
      </c>
      <c r="E965" t="s">
        <v>103</v>
      </c>
      <c r="F965">
        <v>46.172181600000002</v>
      </c>
    </row>
    <row r="966" spans="1:6" x14ac:dyDescent="0.3">
      <c r="A966" t="s">
        <v>2806</v>
      </c>
      <c r="B966" t="s">
        <v>2022</v>
      </c>
      <c r="C966">
        <v>2030</v>
      </c>
      <c r="D966">
        <v>13</v>
      </c>
      <c r="E966" t="s">
        <v>35</v>
      </c>
      <c r="F966">
        <v>5.3135283979999999</v>
      </c>
    </row>
    <row r="967" spans="1:6" x14ac:dyDescent="0.3">
      <c r="A967" t="s">
        <v>2806</v>
      </c>
      <c r="B967" t="s">
        <v>2022</v>
      </c>
      <c r="C967">
        <v>2030</v>
      </c>
      <c r="D967">
        <v>15</v>
      </c>
      <c r="E967" t="s">
        <v>172</v>
      </c>
      <c r="F967">
        <v>11.29522995</v>
      </c>
    </row>
    <row r="968" spans="1:6" x14ac:dyDescent="0.3">
      <c r="A968" t="s">
        <v>2806</v>
      </c>
      <c r="B968" t="s">
        <v>2022</v>
      </c>
      <c r="C968">
        <v>2030</v>
      </c>
      <c r="D968">
        <v>8</v>
      </c>
      <c r="E968" t="s">
        <v>79</v>
      </c>
      <c r="F968">
        <v>18.30118826</v>
      </c>
    </row>
    <row r="969" spans="1:6" x14ac:dyDescent="0.3">
      <c r="A969" t="s">
        <v>2806</v>
      </c>
      <c r="B969" t="s">
        <v>2022</v>
      </c>
      <c r="C969">
        <v>2030</v>
      </c>
      <c r="D969">
        <v>2</v>
      </c>
      <c r="E969" t="s">
        <v>549</v>
      </c>
      <c r="F969">
        <v>24.92695393</v>
      </c>
    </row>
    <row r="970" spans="1:6" x14ac:dyDescent="0.3">
      <c r="A970" t="s">
        <v>2806</v>
      </c>
      <c r="B970" t="s">
        <v>2022</v>
      </c>
      <c r="C970">
        <v>2030</v>
      </c>
      <c r="D970">
        <v>6</v>
      </c>
      <c r="E970" t="s">
        <v>145</v>
      </c>
      <c r="F970">
        <v>13.23968833</v>
      </c>
    </row>
    <row r="971" spans="1:6" x14ac:dyDescent="0.3">
      <c r="A971" t="s">
        <v>2806</v>
      </c>
      <c r="B971" t="s">
        <v>2017</v>
      </c>
      <c r="C971">
        <v>1970</v>
      </c>
      <c r="D971">
        <v>1</v>
      </c>
      <c r="E971" t="s">
        <v>192</v>
      </c>
      <c r="F971">
        <v>4.4888774999999999E-2</v>
      </c>
    </row>
    <row r="972" spans="1:6" x14ac:dyDescent="0.3">
      <c r="A972" t="s">
        <v>2806</v>
      </c>
      <c r="B972" t="s">
        <v>2017</v>
      </c>
      <c r="C972">
        <v>1970</v>
      </c>
      <c r="D972">
        <v>3</v>
      </c>
      <c r="E972" t="s">
        <v>89</v>
      </c>
      <c r="F972">
        <v>1.0231556509999999</v>
      </c>
    </row>
    <row r="973" spans="1:6" x14ac:dyDescent="0.3">
      <c r="A973" t="s">
        <v>2806</v>
      </c>
      <c r="B973" t="s">
        <v>2017</v>
      </c>
      <c r="C973">
        <v>1970</v>
      </c>
      <c r="D973">
        <v>14</v>
      </c>
      <c r="E973" t="s">
        <v>204</v>
      </c>
      <c r="F973">
        <v>0.43595049600000002</v>
      </c>
    </row>
    <row r="974" spans="1:6" x14ac:dyDescent="0.3">
      <c r="A974" t="s">
        <v>2806</v>
      </c>
      <c r="B974" t="s">
        <v>2017</v>
      </c>
      <c r="C974">
        <v>1970</v>
      </c>
      <c r="D974">
        <v>7</v>
      </c>
      <c r="E974" t="s">
        <v>183</v>
      </c>
      <c r="F974">
        <v>0.41217070099999997</v>
      </c>
    </row>
    <row r="975" spans="1:6" x14ac:dyDescent="0.3">
      <c r="A975" t="s">
        <v>2806</v>
      </c>
      <c r="B975" t="s">
        <v>2017</v>
      </c>
      <c r="C975">
        <v>1970</v>
      </c>
      <c r="D975">
        <v>10</v>
      </c>
      <c r="E975" t="s">
        <v>46</v>
      </c>
      <c r="F975">
        <v>2.170906692</v>
      </c>
    </row>
    <row r="976" spans="1:6" x14ac:dyDescent="0.3">
      <c r="A976" t="s">
        <v>2806</v>
      </c>
      <c r="B976" t="s">
        <v>2017</v>
      </c>
      <c r="C976">
        <v>1970</v>
      </c>
      <c r="D976">
        <v>11</v>
      </c>
      <c r="E976" t="s">
        <v>107</v>
      </c>
      <c r="F976">
        <v>2.3036883170000002</v>
      </c>
    </row>
    <row r="977" spans="1:6" x14ac:dyDescent="0.3">
      <c r="A977" t="s">
        <v>2806</v>
      </c>
      <c r="B977" t="s">
        <v>2017</v>
      </c>
      <c r="C977">
        <v>1970</v>
      </c>
      <c r="D977">
        <v>17</v>
      </c>
      <c r="E977" t="s">
        <v>368</v>
      </c>
      <c r="F977">
        <v>2.797690937</v>
      </c>
    </row>
    <row r="978" spans="1:6" x14ac:dyDescent="0.3">
      <c r="A978" t="s">
        <v>2806</v>
      </c>
      <c r="B978" t="s">
        <v>2017</v>
      </c>
      <c r="C978">
        <v>1970</v>
      </c>
      <c r="D978">
        <v>12</v>
      </c>
      <c r="E978" t="s">
        <v>128</v>
      </c>
      <c r="F978">
        <v>3.5539019550000002</v>
      </c>
    </row>
    <row r="979" spans="1:6" x14ac:dyDescent="0.3">
      <c r="A979" t="s">
        <v>2806</v>
      </c>
      <c r="B979" t="s">
        <v>2017</v>
      </c>
      <c r="C979">
        <v>1970</v>
      </c>
      <c r="D979">
        <v>5</v>
      </c>
      <c r="E979" t="s">
        <v>56</v>
      </c>
      <c r="F979">
        <v>3.1368226049999999</v>
      </c>
    </row>
    <row r="980" spans="1:6" x14ac:dyDescent="0.3">
      <c r="A980" t="s">
        <v>2806</v>
      </c>
      <c r="B980" t="s">
        <v>2017</v>
      </c>
      <c r="C980">
        <v>1970</v>
      </c>
      <c r="D980">
        <v>16</v>
      </c>
      <c r="E980" t="s">
        <v>63</v>
      </c>
      <c r="F980">
        <v>1.6095276670000001</v>
      </c>
    </row>
    <row r="981" spans="1:6" x14ac:dyDescent="0.3">
      <c r="A981" t="s">
        <v>2806</v>
      </c>
      <c r="B981" t="s">
        <v>2017</v>
      </c>
      <c r="C981">
        <v>1970</v>
      </c>
      <c r="D981">
        <v>9</v>
      </c>
      <c r="E981" t="s">
        <v>74</v>
      </c>
      <c r="F981">
        <v>1.9810466980000001</v>
      </c>
    </row>
    <row r="982" spans="1:6" x14ac:dyDescent="0.3">
      <c r="A982" t="s">
        <v>2806</v>
      </c>
      <c r="B982" t="s">
        <v>2017</v>
      </c>
      <c r="C982">
        <v>1970</v>
      </c>
      <c r="D982">
        <v>4</v>
      </c>
      <c r="E982" t="s">
        <v>103</v>
      </c>
      <c r="F982">
        <v>0.740627441</v>
      </c>
    </row>
    <row r="983" spans="1:6" x14ac:dyDescent="0.3">
      <c r="A983" t="s">
        <v>2806</v>
      </c>
      <c r="B983" t="s">
        <v>2017</v>
      </c>
      <c r="C983">
        <v>1970</v>
      </c>
      <c r="D983">
        <v>13</v>
      </c>
      <c r="E983" t="s">
        <v>35</v>
      </c>
      <c r="F983">
        <v>0.63950944799999998</v>
      </c>
    </row>
    <row r="984" spans="1:6" x14ac:dyDescent="0.3">
      <c r="A984" t="s">
        <v>2806</v>
      </c>
      <c r="B984" t="s">
        <v>2017</v>
      </c>
      <c r="C984">
        <v>1970</v>
      </c>
      <c r="D984">
        <v>15</v>
      </c>
      <c r="E984" t="s">
        <v>172</v>
      </c>
      <c r="F984">
        <v>0.55659378299999995</v>
      </c>
    </row>
    <row r="985" spans="1:6" x14ac:dyDescent="0.3">
      <c r="A985" t="s">
        <v>2806</v>
      </c>
      <c r="B985" t="s">
        <v>2017</v>
      </c>
      <c r="C985">
        <v>1970</v>
      </c>
      <c r="D985">
        <v>8</v>
      </c>
      <c r="E985" t="s">
        <v>79</v>
      </c>
      <c r="F985">
        <v>2.8538377E-2</v>
      </c>
    </row>
    <row r="986" spans="1:6" x14ac:dyDescent="0.3">
      <c r="A986" t="s">
        <v>2806</v>
      </c>
      <c r="B986" t="s">
        <v>2017</v>
      </c>
      <c r="C986">
        <v>1970</v>
      </c>
      <c r="D986">
        <v>2</v>
      </c>
      <c r="E986" t="s">
        <v>549</v>
      </c>
      <c r="F986">
        <v>0.37328262499999998</v>
      </c>
    </row>
    <row r="987" spans="1:6" x14ac:dyDescent="0.3">
      <c r="A987" t="s">
        <v>2806</v>
      </c>
      <c r="B987" t="s">
        <v>2017</v>
      </c>
      <c r="C987">
        <v>1970</v>
      </c>
      <c r="D987">
        <v>6</v>
      </c>
      <c r="E987" t="s">
        <v>145</v>
      </c>
      <c r="F987">
        <v>0.43521445199999997</v>
      </c>
    </row>
    <row r="988" spans="1:6" x14ac:dyDescent="0.3">
      <c r="A988" t="s">
        <v>2806</v>
      </c>
      <c r="B988" t="s">
        <v>2017</v>
      </c>
      <c r="C988">
        <v>1995</v>
      </c>
      <c r="D988">
        <v>1</v>
      </c>
      <c r="E988" t="s">
        <v>192</v>
      </c>
      <c r="F988">
        <v>7.5033427E-2</v>
      </c>
    </row>
    <row r="989" spans="1:6" x14ac:dyDescent="0.3">
      <c r="A989" t="s">
        <v>2806</v>
      </c>
      <c r="B989" t="s">
        <v>2017</v>
      </c>
      <c r="C989">
        <v>1995</v>
      </c>
      <c r="D989">
        <v>3</v>
      </c>
      <c r="E989" t="s">
        <v>89</v>
      </c>
      <c r="F989">
        <v>1.101703594</v>
      </c>
    </row>
    <row r="990" spans="1:6" x14ac:dyDescent="0.3">
      <c r="A990" t="s">
        <v>2806</v>
      </c>
      <c r="B990" t="s">
        <v>2017</v>
      </c>
      <c r="C990">
        <v>1995</v>
      </c>
      <c r="D990">
        <v>14</v>
      </c>
      <c r="E990" t="s">
        <v>204</v>
      </c>
      <c r="F990">
        <v>0.42898196199999999</v>
      </c>
    </row>
    <row r="991" spans="1:6" x14ac:dyDescent="0.3">
      <c r="A991" t="s">
        <v>2806</v>
      </c>
      <c r="B991" t="s">
        <v>2017</v>
      </c>
      <c r="C991">
        <v>1995</v>
      </c>
      <c r="D991">
        <v>7</v>
      </c>
      <c r="E991" t="s">
        <v>183</v>
      </c>
      <c r="F991">
        <v>0.68712188399999996</v>
      </c>
    </row>
    <row r="992" spans="1:6" x14ac:dyDescent="0.3">
      <c r="A992" t="s">
        <v>2806</v>
      </c>
      <c r="B992" t="s">
        <v>2017</v>
      </c>
      <c r="C992">
        <v>1995</v>
      </c>
      <c r="D992">
        <v>10</v>
      </c>
      <c r="E992" t="s">
        <v>46</v>
      </c>
      <c r="F992">
        <v>1.7764675009999999</v>
      </c>
    </row>
    <row r="993" spans="1:6" x14ac:dyDescent="0.3">
      <c r="A993" t="s">
        <v>2806</v>
      </c>
      <c r="B993" t="s">
        <v>2017</v>
      </c>
      <c r="C993">
        <v>1995</v>
      </c>
      <c r="D993">
        <v>11</v>
      </c>
      <c r="E993" t="s">
        <v>107</v>
      </c>
      <c r="F993">
        <v>2.0969824969999999</v>
      </c>
    </row>
    <row r="994" spans="1:6" x14ac:dyDescent="0.3">
      <c r="A994" t="s">
        <v>2806</v>
      </c>
      <c r="B994" t="s">
        <v>2017</v>
      </c>
      <c r="C994">
        <v>1995</v>
      </c>
      <c r="D994">
        <v>17</v>
      </c>
      <c r="E994" t="s">
        <v>368</v>
      </c>
      <c r="F994">
        <v>2.0066221510000002</v>
      </c>
    </row>
    <row r="995" spans="1:6" x14ac:dyDescent="0.3">
      <c r="A995" t="s">
        <v>2806</v>
      </c>
      <c r="B995" t="s">
        <v>2017</v>
      </c>
      <c r="C995">
        <v>1995</v>
      </c>
      <c r="D995">
        <v>12</v>
      </c>
      <c r="E995" t="s">
        <v>128</v>
      </c>
      <c r="F995">
        <v>3.4375000550000001</v>
      </c>
    </row>
    <row r="996" spans="1:6" x14ac:dyDescent="0.3">
      <c r="A996" t="s">
        <v>2806</v>
      </c>
      <c r="B996" t="s">
        <v>2017</v>
      </c>
      <c r="C996">
        <v>1995</v>
      </c>
      <c r="D996">
        <v>5</v>
      </c>
      <c r="E996" t="s">
        <v>56</v>
      </c>
      <c r="F996">
        <v>2.8716185740000002</v>
      </c>
    </row>
    <row r="997" spans="1:6" x14ac:dyDescent="0.3">
      <c r="A997" t="s">
        <v>2806</v>
      </c>
      <c r="B997" t="s">
        <v>2017</v>
      </c>
      <c r="C997">
        <v>1995</v>
      </c>
      <c r="D997">
        <v>16</v>
      </c>
      <c r="E997" t="s">
        <v>63</v>
      </c>
      <c r="F997">
        <v>1.4578608580000001</v>
      </c>
    </row>
    <row r="998" spans="1:6" x14ac:dyDescent="0.3">
      <c r="A998" t="s">
        <v>2806</v>
      </c>
      <c r="B998" t="s">
        <v>2017</v>
      </c>
      <c r="C998">
        <v>1995</v>
      </c>
      <c r="D998">
        <v>9</v>
      </c>
      <c r="E998" t="s">
        <v>74</v>
      </c>
      <c r="F998">
        <v>2.0484289169999998</v>
      </c>
    </row>
    <row r="999" spans="1:6" x14ac:dyDescent="0.3">
      <c r="A999" t="s">
        <v>2806</v>
      </c>
      <c r="B999" t="s">
        <v>2017</v>
      </c>
      <c r="C999">
        <v>1995</v>
      </c>
      <c r="D999">
        <v>4</v>
      </c>
      <c r="E999" t="s">
        <v>103</v>
      </c>
      <c r="F999">
        <v>1.1812768890000001</v>
      </c>
    </row>
    <row r="1000" spans="1:6" x14ac:dyDescent="0.3">
      <c r="A1000" t="s">
        <v>2806</v>
      </c>
      <c r="B1000" t="s">
        <v>2017</v>
      </c>
      <c r="C1000">
        <v>1995</v>
      </c>
      <c r="D1000">
        <v>13</v>
      </c>
      <c r="E1000" t="s">
        <v>35</v>
      </c>
      <c r="F1000">
        <v>0.66569578200000001</v>
      </c>
    </row>
    <row r="1001" spans="1:6" x14ac:dyDescent="0.3">
      <c r="A1001" t="s">
        <v>2806</v>
      </c>
      <c r="B1001" t="s">
        <v>2017</v>
      </c>
      <c r="C1001">
        <v>1995</v>
      </c>
      <c r="D1001">
        <v>15</v>
      </c>
      <c r="E1001" t="s">
        <v>172</v>
      </c>
      <c r="F1001">
        <v>0.56830128899999999</v>
      </c>
    </row>
    <row r="1002" spans="1:6" x14ac:dyDescent="0.3">
      <c r="A1002" t="s">
        <v>2806</v>
      </c>
      <c r="B1002" t="s">
        <v>2017</v>
      </c>
      <c r="C1002">
        <v>1995</v>
      </c>
      <c r="D1002">
        <v>8</v>
      </c>
      <c r="E1002" t="s">
        <v>79</v>
      </c>
      <c r="F1002">
        <v>5.9940563000000002E-2</v>
      </c>
    </row>
    <row r="1003" spans="1:6" x14ac:dyDescent="0.3">
      <c r="A1003" t="s">
        <v>2806</v>
      </c>
      <c r="B1003" t="s">
        <v>2017</v>
      </c>
      <c r="C1003">
        <v>1995</v>
      </c>
      <c r="D1003">
        <v>2</v>
      </c>
      <c r="E1003" t="s">
        <v>549</v>
      </c>
      <c r="F1003">
        <v>0.48587920699999998</v>
      </c>
    </row>
    <row r="1004" spans="1:6" x14ac:dyDescent="0.3">
      <c r="A1004" t="s">
        <v>2806</v>
      </c>
      <c r="B1004" t="s">
        <v>2017</v>
      </c>
      <c r="C1004">
        <v>1995</v>
      </c>
      <c r="D1004">
        <v>6</v>
      </c>
      <c r="E1004" t="s">
        <v>145</v>
      </c>
      <c r="F1004">
        <v>0.65881929699999997</v>
      </c>
    </row>
    <row r="1005" spans="1:6" x14ac:dyDescent="0.3">
      <c r="A1005" t="s">
        <v>2806</v>
      </c>
      <c r="B1005" t="s">
        <v>2017</v>
      </c>
      <c r="C1005">
        <v>2030</v>
      </c>
      <c r="D1005">
        <v>1</v>
      </c>
      <c r="E1005" t="s">
        <v>192</v>
      </c>
      <c r="F1005">
        <v>7.8355939999999999E-2</v>
      </c>
    </row>
    <row r="1006" spans="1:6" x14ac:dyDescent="0.3">
      <c r="A1006" t="s">
        <v>2806</v>
      </c>
      <c r="B1006" t="s">
        <v>2017</v>
      </c>
      <c r="C1006">
        <v>2030</v>
      </c>
      <c r="D1006">
        <v>3</v>
      </c>
      <c r="E1006" t="s">
        <v>89</v>
      </c>
      <c r="F1006">
        <v>1.0730709409999999</v>
      </c>
    </row>
    <row r="1007" spans="1:6" x14ac:dyDescent="0.3">
      <c r="A1007" t="s">
        <v>2806</v>
      </c>
      <c r="B1007" t="s">
        <v>2017</v>
      </c>
      <c r="C1007">
        <v>2030</v>
      </c>
      <c r="D1007">
        <v>14</v>
      </c>
      <c r="E1007" t="s">
        <v>204</v>
      </c>
      <c r="F1007">
        <v>0.35167241500000002</v>
      </c>
    </row>
    <row r="1008" spans="1:6" x14ac:dyDescent="0.3">
      <c r="A1008" t="s">
        <v>2806</v>
      </c>
      <c r="B1008" t="s">
        <v>2017</v>
      </c>
      <c r="C1008">
        <v>2030</v>
      </c>
      <c r="D1008">
        <v>7</v>
      </c>
      <c r="E1008" t="s">
        <v>183</v>
      </c>
      <c r="F1008">
        <v>0.60656209100000003</v>
      </c>
    </row>
    <row r="1009" spans="1:6" x14ac:dyDescent="0.3">
      <c r="A1009" t="s">
        <v>2806</v>
      </c>
      <c r="B1009" t="s">
        <v>2017</v>
      </c>
      <c r="C1009">
        <v>2030</v>
      </c>
      <c r="D1009">
        <v>10</v>
      </c>
      <c r="E1009" t="s">
        <v>46</v>
      </c>
      <c r="F1009">
        <v>1.8571533410000001</v>
      </c>
    </row>
    <row r="1010" spans="1:6" x14ac:dyDescent="0.3">
      <c r="A1010" t="s">
        <v>2806</v>
      </c>
      <c r="B1010" t="s">
        <v>2017</v>
      </c>
      <c r="C1010">
        <v>2030</v>
      </c>
      <c r="D1010">
        <v>11</v>
      </c>
      <c r="E1010" t="s">
        <v>107</v>
      </c>
      <c r="F1010">
        <v>1.828783085</v>
      </c>
    </row>
    <row r="1011" spans="1:6" x14ac:dyDescent="0.3">
      <c r="A1011" t="s">
        <v>2806</v>
      </c>
      <c r="B1011" t="s">
        <v>2017</v>
      </c>
      <c r="C1011">
        <v>2030</v>
      </c>
      <c r="D1011">
        <v>17</v>
      </c>
      <c r="E1011" t="s">
        <v>368</v>
      </c>
      <c r="F1011">
        <v>1.262135786</v>
      </c>
    </row>
    <row r="1012" spans="1:6" x14ac:dyDescent="0.3">
      <c r="A1012" t="s">
        <v>2806</v>
      </c>
      <c r="B1012" t="s">
        <v>2017</v>
      </c>
      <c r="C1012">
        <v>2030</v>
      </c>
      <c r="D1012">
        <v>12</v>
      </c>
      <c r="E1012" t="s">
        <v>128</v>
      </c>
      <c r="F1012">
        <v>2.9832639470000002</v>
      </c>
    </row>
    <row r="1013" spans="1:6" x14ac:dyDescent="0.3">
      <c r="A1013" t="s">
        <v>2806</v>
      </c>
      <c r="B1013" t="s">
        <v>2017</v>
      </c>
      <c r="C1013">
        <v>2030</v>
      </c>
      <c r="D1013">
        <v>5</v>
      </c>
      <c r="E1013" t="s">
        <v>56</v>
      </c>
      <c r="F1013">
        <v>3.104933087</v>
      </c>
    </row>
    <row r="1014" spans="1:6" x14ac:dyDescent="0.3">
      <c r="A1014" t="s">
        <v>2806</v>
      </c>
      <c r="B1014" t="s">
        <v>2017</v>
      </c>
      <c r="C1014">
        <v>2030</v>
      </c>
      <c r="D1014">
        <v>16</v>
      </c>
      <c r="E1014" t="s">
        <v>63</v>
      </c>
      <c r="F1014">
        <v>1.3947322099999999</v>
      </c>
    </row>
    <row r="1015" spans="1:6" x14ac:dyDescent="0.3">
      <c r="A1015" t="s">
        <v>2806</v>
      </c>
      <c r="B1015" t="s">
        <v>2017</v>
      </c>
      <c r="C1015">
        <v>2030</v>
      </c>
      <c r="D1015">
        <v>9</v>
      </c>
      <c r="E1015" t="s">
        <v>74</v>
      </c>
      <c r="F1015">
        <v>1.2525800659999999</v>
      </c>
    </row>
    <row r="1016" spans="1:6" x14ac:dyDescent="0.3">
      <c r="A1016" t="s">
        <v>2806</v>
      </c>
      <c r="B1016" t="s">
        <v>2017</v>
      </c>
      <c r="C1016">
        <v>2030</v>
      </c>
      <c r="D1016">
        <v>4</v>
      </c>
      <c r="E1016" t="s">
        <v>103</v>
      </c>
      <c r="F1016">
        <v>1.4954488699999999</v>
      </c>
    </row>
    <row r="1017" spans="1:6" x14ac:dyDescent="0.3">
      <c r="A1017" t="s">
        <v>2806</v>
      </c>
      <c r="B1017" t="s">
        <v>2017</v>
      </c>
      <c r="C1017">
        <v>2030</v>
      </c>
      <c r="D1017">
        <v>13</v>
      </c>
      <c r="E1017" t="s">
        <v>35</v>
      </c>
      <c r="F1017">
        <v>0.48996867500000002</v>
      </c>
    </row>
    <row r="1018" spans="1:6" x14ac:dyDescent="0.3">
      <c r="A1018" t="s">
        <v>2806</v>
      </c>
      <c r="B1018" t="s">
        <v>2017</v>
      </c>
      <c r="C1018">
        <v>2030</v>
      </c>
      <c r="D1018">
        <v>15</v>
      </c>
      <c r="E1018" t="s">
        <v>172</v>
      </c>
      <c r="F1018">
        <v>0.46111658</v>
      </c>
    </row>
    <row r="1019" spans="1:6" x14ac:dyDescent="0.3">
      <c r="A1019" t="s">
        <v>2806</v>
      </c>
      <c r="B1019" t="s">
        <v>2017</v>
      </c>
      <c r="C1019">
        <v>2030</v>
      </c>
      <c r="D1019">
        <v>8</v>
      </c>
      <c r="E1019" t="s">
        <v>79</v>
      </c>
      <c r="F1019">
        <v>0.40535976499999998</v>
      </c>
    </row>
    <row r="1020" spans="1:6" x14ac:dyDescent="0.3">
      <c r="A1020" t="s">
        <v>2806</v>
      </c>
      <c r="B1020" t="s">
        <v>2017</v>
      </c>
      <c r="C1020">
        <v>2030</v>
      </c>
      <c r="D1020">
        <v>2</v>
      </c>
      <c r="E1020" t="s">
        <v>549</v>
      </c>
      <c r="F1020">
        <v>0.51620706800000005</v>
      </c>
    </row>
    <row r="1021" spans="1:6" x14ac:dyDescent="0.3">
      <c r="A1021" t="s">
        <v>2806</v>
      </c>
      <c r="B1021" t="s">
        <v>2017</v>
      </c>
      <c r="C1021">
        <v>2030</v>
      </c>
      <c r="D1021">
        <v>6</v>
      </c>
      <c r="E1021" t="s">
        <v>145</v>
      </c>
      <c r="F1021">
        <v>0.50612869000000005</v>
      </c>
    </row>
    <row r="1022" spans="1:6" x14ac:dyDescent="0.3">
      <c r="A1022" t="s">
        <v>2806</v>
      </c>
      <c r="B1022" t="s">
        <v>2158</v>
      </c>
      <c r="C1022">
        <v>1970</v>
      </c>
      <c r="D1022">
        <v>1</v>
      </c>
      <c r="E1022" t="s">
        <v>192</v>
      </c>
      <c r="F1022">
        <v>0</v>
      </c>
    </row>
    <row r="1023" spans="1:6" x14ac:dyDescent="0.3">
      <c r="A1023" t="s">
        <v>2806</v>
      </c>
      <c r="B1023" t="s">
        <v>2158</v>
      </c>
      <c r="C1023">
        <v>1970</v>
      </c>
      <c r="D1023">
        <v>3</v>
      </c>
      <c r="E1023" t="s">
        <v>89</v>
      </c>
      <c r="F1023">
        <v>5.0556123590000004</v>
      </c>
    </row>
    <row r="1024" spans="1:6" x14ac:dyDescent="0.3">
      <c r="A1024" t="s">
        <v>2806</v>
      </c>
      <c r="B1024" t="s">
        <v>2158</v>
      </c>
      <c r="C1024">
        <v>1970</v>
      </c>
      <c r="D1024">
        <v>14</v>
      </c>
      <c r="E1024" t="s">
        <v>204</v>
      </c>
      <c r="F1024">
        <v>1.054900921</v>
      </c>
    </row>
    <row r="1025" spans="1:6" x14ac:dyDescent="0.3">
      <c r="A1025" t="s">
        <v>2806</v>
      </c>
      <c r="B1025" t="s">
        <v>2158</v>
      </c>
      <c r="C1025">
        <v>1970</v>
      </c>
      <c r="D1025">
        <v>7</v>
      </c>
      <c r="E1025" t="s">
        <v>183</v>
      </c>
      <c r="F1025">
        <v>2.361124153</v>
      </c>
    </row>
    <row r="1026" spans="1:6" x14ac:dyDescent="0.3">
      <c r="A1026" t="s">
        <v>2806</v>
      </c>
      <c r="B1026" t="s">
        <v>2158</v>
      </c>
      <c r="C1026">
        <v>1970</v>
      </c>
      <c r="D1026">
        <v>10</v>
      </c>
      <c r="E1026" t="s">
        <v>46</v>
      </c>
      <c r="F1026">
        <v>0</v>
      </c>
    </row>
    <row r="1027" spans="1:6" x14ac:dyDescent="0.3">
      <c r="A1027" t="s">
        <v>2806</v>
      </c>
      <c r="B1027" t="s">
        <v>2158</v>
      </c>
      <c r="C1027">
        <v>1970</v>
      </c>
      <c r="D1027">
        <v>11</v>
      </c>
      <c r="E1027" t="s">
        <v>107</v>
      </c>
      <c r="F1027">
        <v>0</v>
      </c>
    </row>
    <row r="1028" spans="1:6" x14ac:dyDescent="0.3">
      <c r="A1028" t="s">
        <v>2806</v>
      </c>
      <c r="B1028" t="s">
        <v>2158</v>
      </c>
      <c r="C1028">
        <v>1970</v>
      </c>
      <c r="D1028">
        <v>17</v>
      </c>
      <c r="E1028" t="s">
        <v>368</v>
      </c>
      <c r="F1028">
        <v>0</v>
      </c>
    </row>
    <row r="1029" spans="1:6" x14ac:dyDescent="0.3">
      <c r="A1029" t="s">
        <v>2806</v>
      </c>
      <c r="B1029" t="s">
        <v>2158</v>
      </c>
      <c r="C1029">
        <v>1970</v>
      </c>
      <c r="D1029">
        <v>12</v>
      </c>
      <c r="E1029" t="s">
        <v>128</v>
      </c>
      <c r="F1029">
        <v>1.3803600009999999</v>
      </c>
    </row>
    <row r="1030" spans="1:6" x14ac:dyDescent="0.3">
      <c r="A1030" t="s">
        <v>2806</v>
      </c>
      <c r="B1030" t="s">
        <v>2158</v>
      </c>
      <c r="C1030">
        <v>1970</v>
      </c>
      <c r="D1030">
        <v>5</v>
      </c>
      <c r="E1030" t="s">
        <v>56</v>
      </c>
      <c r="F1030">
        <v>1.1300259909999999</v>
      </c>
    </row>
    <row r="1031" spans="1:6" x14ac:dyDescent="0.3">
      <c r="A1031" t="s">
        <v>2806</v>
      </c>
      <c r="B1031" t="s">
        <v>2158</v>
      </c>
      <c r="C1031">
        <v>1970</v>
      </c>
      <c r="D1031">
        <v>16</v>
      </c>
      <c r="E1031" t="s">
        <v>63</v>
      </c>
      <c r="F1031">
        <v>3.9487043879999999</v>
      </c>
    </row>
    <row r="1032" spans="1:6" x14ac:dyDescent="0.3">
      <c r="A1032" t="s">
        <v>2806</v>
      </c>
      <c r="B1032" t="s">
        <v>2158</v>
      </c>
      <c r="C1032">
        <v>1970</v>
      </c>
      <c r="D1032">
        <v>9</v>
      </c>
      <c r="E1032" t="s">
        <v>74</v>
      </c>
      <c r="F1032">
        <v>0</v>
      </c>
    </row>
    <row r="1033" spans="1:6" x14ac:dyDescent="0.3">
      <c r="A1033" t="s">
        <v>2806</v>
      </c>
      <c r="B1033" t="s">
        <v>2158</v>
      </c>
      <c r="C1033">
        <v>1970</v>
      </c>
      <c r="D1033">
        <v>4</v>
      </c>
      <c r="E1033" t="s">
        <v>103</v>
      </c>
      <c r="F1033">
        <v>3.4130678159999999</v>
      </c>
    </row>
    <row r="1034" spans="1:6" x14ac:dyDescent="0.3">
      <c r="A1034" t="s">
        <v>2806</v>
      </c>
      <c r="B1034" t="s">
        <v>2158</v>
      </c>
      <c r="C1034">
        <v>1970</v>
      </c>
      <c r="D1034">
        <v>13</v>
      </c>
      <c r="E1034" t="s">
        <v>35</v>
      </c>
      <c r="F1034">
        <v>11.14837007</v>
      </c>
    </row>
    <row r="1035" spans="1:6" x14ac:dyDescent="0.3">
      <c r="A1035" t="s">
        <v>2806</v>
      </c>
      <c r="B1035" t="s">
        <v>2158</v>
      </c>
      <c r="C1035">
        <v>1970</v>
      </c>
      <c r="D1035">
        <v>15</v>
      </c>
      <c r="E1035" t="s">
        <v>172</v>
      </c>
      <c r="F1035">
        <v>2.1897166239999999</v>
      </c>
    </row>
    <row r="1036" spans="1:6" x14ac:dyDescent="0.3">
      <c r="A1036" t="s">
        <v>2806</v>
      </c>
      <c r="B1036" t="s">
        <v>2158</v>
      </c>
      <c r="C1036">
        <v>1970</v>
      </c>
      <c r="D1036">
        <v>8</v>
      </c>
      <c r="E1036" t="s">
        <v>79</v>
      </c>
      <c r="F1036">
        <v>3.1634119479999998</v>
      </c>
    </row>
    <row r="1037" spans="1:6" x14ac:dyDescent="0.3">
      <c r="A1037" t="s">
        <v>2806</v>
      </c>
      <c r="B1037" t="s">
        <v>2158</v>
      </c>
      <c r="C1037">
        <v>1970</v>
      </c>
      <c r="D1037">
        <v>2</v>
      </c>
      <c r="E1037" t="s">
        <v>549</v>
      </c>
      <c r="F1037">
        <v>0</v>
      </c>
    </row>
    <row r="1038" spans="1:6" x14ac:dyDescent="0.3">
      <c r="A1038" t="s">
        <v>2806</v>
      </c>
      <c r="B1038" t="s">
        <v>2158</v>
      </c>
      <c r="C1038">
        <v>1970</v>
      </c>
      <c r="D1038">
        <v>6</v>
      </c>
      <c r="E1038" t="s">
        <v>145</v>
      </c>
      <c r="F1038">
        <v>2.600234312</v>
      </c>
    </row>
    <row r="1039" spans="1:6" x14ac:dyDescent="0.3">
      <c r="A1039" t="s">
        <v>2806</v>
      </c>
      <c r="B1039" t="s">
        <v>2158</v>
      </c>
      <c r="C1039">
        <v>1995</v>
      </c>
      <c r="D1039">
        <v>1</v>
      </c>
      <c r="E1039" t="s">
        <v>192</v>
      </c>
      <c r="F1039">
        <v>0</v>
      </c>
    </row>
    <row r="1040" spans="1:6" x14ac:dyDescent="0.3">
      <c r="A1040" t="s">
        <v>2806</v>
      </c>
      <c r="B1040" t="s">
        <v>2158</v>
      </c>
      <c r="C1040">
        <v>1995</v>
      </c>
      <c r="D1040">
        <v>3</v>
      </c>
      <c r="E1040" t="s">
        <v>89</v>
      </c>
      <c r="F1040">
        <v>3.2312332170000002</v>
      </c>
    </row>
    <row r="1041" spans="1:6" x14ac:dyDescent="0.3">
      <c r="A1041" t="s">
        <v>2806</v>
      </c>
      <c r="B1041" t="s">
        <v>2158</v>
      </c>
      <c r="C1041">
        <v>1995</v>
      </c>
      <c r="D1041">
        <v>14</v>
      </c>
      <c r="E1041" t="s">
        <v>204</v>
      </c>
      <c r="F1041">
        <v>0.933967942</v>
      </c>
    </row>
    <row r="1042" spans="1:6" x14ac:dyDescent="0.3">
      <c r="A1042" t="s">
        <v>2806</v>
      </c>
      <c r="B1042" t="s">
        <v>2158</v>
      </c>
      <c r="C1042">
        <v>1995</v>
      </c>
      <c r="D1042">
        <v>7</v>
      </c>
      <c r="E1042" t="s">
        <v>183</v>
      </c>
      <c r="F1042">
        <v>2.5204344399999998</v>
      </c>
    </row>
    <row r="1043" spans="1:6" x14ac:dyDescent="0.3">
      <c r="A1043" t="s">
        <v>2806</v>
      </c>
      <c r="B1043" t="s">
        <v>2158</v>
      </c>
      <c r="C1043">
        <v>1995</v>
      </c>
      <c r="D1043">
        <v>10</v>
      </c>
      <c r="E1043" t="s">
        <v>46</v>
      </c>
      <c r="F1043">
        <v>0</v>
      </c>
    </row>
    <row r="1044" spans="1:6" x14ac:dyDescent="0.3">
      <c r="A1044" t="s">
        <v>2806</v>
      </c>
      <c r="B1044" t="s">
        <v>2158</v>
      </c>
      <c r="C1044">
        <v>1995</v>
      </c>
      <c r="D1044">
        <v>11</v>
      </c>
      <c r="E1044" t="s">
        <v>107</v>
      </c>
      <c r="F1044">
        <v>0</v>
      </c>
    </row>
    <row r="1045" spans="1:6" x14ac:dyDescent="0.3">
      <c r="A1045" t="s">
        <v>2806</v>
      </c>
      <c r="B1045" t="s">
        <v>2158</v>
      </c>
      <c r="C1045">
        <v>1995</v>
      </c>
      <c r="D1045">
        <v>17</v>
      </c>
      <c r="E1045" t="s">
        <v>368</v>
      </c>
      <c r="F1045">
        <v>0</v>
      </c>
    </row>
    <row r="1046" spans="1:6" x14ac:dyDescent="0.3">
      <c r="A1046" t="s">
        <v>2806</v>
      </c>
      <c r="B1046" t="s">
        <v>2158</v>
      </c>
      <c r="C1046">
        <v>1995</v>
      </c>
      <c r="D1046">
        <v>12</v>
      </c>
      <c r="E1046" t="s">
        <v>128</v>
      </c>
      <c r="F1046">
        <v>1.3351487019999999</v>
      </c>
    </row>
    <row r="1047" spans="1:6" x14ac:dyDescent="0.3">
      <c r="A1047" t="s">
        <v>2806</v>
      </c>
      <c r="B1047" t="s">
        <v>2158</v>
      </c>
      <c r="C1047">
        <v>1995</v>
      </c>
      <c r="D1047">
        <v>5</v>
      </c>
      <c r="E1047" t="s">
        <v>56</v>
      </c>
      <c r="F1047">
        <v>1.1690148069999999</v>
      </c>
    </row>
    <row r="1048" spans="1:6" x14ac:dyDescent="0.3">
      <c r="A1048" t="s">
        <v>2806</v>
      </c>
      <c r="B1048" t="s">
        <v>2158</v>
      </c>
      <c r="C1048">
        <v>1995</v>
      </c>
      <c r="D1048">
        <v>16</v>
      </c>
      <c r="E1048" t="s">
        <v>63</v>
      </c>
      <c r="F1048">
        <v>3.095148011</v>
      </c>
    </row>
    <row r="1049" spans="1:6" x14ac:dyDescent="0.3">
      <c r="A1049" t="s">
        <v>2806</v>
      </c>
      <c r="B1049" t="s">
        <v>2158</v>
      </c>
      <c r="C1049">
        <v>1995</v>
      </c>
      <c r="D1049">
        <v>9</v>
      </c>
      <c r="E1049" t="s">
        <v>74</v>
      </c>
      <c r="F1049">
        <v>0</v>
      </c>
    </row>
    <row r="1050" spans="1:6" x14ac:dyDescent="0.3">
      <c r="A1050" t="s">
        <v>2806</v>
      </c>
      <c r="B1050" t="s">
        <v>2158</v>
      </c>
      <c r="C1050">
        <v>1995</v>
      </c>
      <c r="D1050">
        <v>4</v>
      </c>
      <c r="E1050" t="s">
        <v>103</v>
      </c>
      <c r="F1050">
        <v>3.2312332170000002</v>
      </c>
    </row>
    <row r="1051" spans="1:6" x14ac:dyDescent="0.3">
      <c r="A1051" t="s">
        <v>2806</v>
      </c>
      <c r="B1051" t="s">
        <v>2158</v>
      </c>
      <c r="C1051">
        <v>1995</v>
      </c>
      <c r="D1051">
        <v>13</v>
      </c>
      <c r="E1051" t="s">
        <v>35</v>
      </c>
      <c r="F1051">
        <v>9.3587647759999992</v>
      </c>
    </row>
    <row r="1052" spans="1:6" x14ac:dyDescent="0.3">
      <c r="A1052" t="s">
        <v>2806</v>
      </c>
      <c r="B1052" t="s">
        <v>2158</v>
      </c>
      <c r="C1052">
        <v>1995</v>
      </c>
      <c r="D1052">
        <v>15</v>
      </c>
      <c r="E1052" t="s">
        <v>172</v>
      </c>
      <c r="F1052">
        <v>1.8679358850000001</v>
      </c>
    </row>
    <row r="1053" spans="1:6" x14ac:dyDescent="0.3">
      <c r="A1053" t="s">
        <v>2806</v>
      </c>
      <c r="B1053" t="s">
        <v>2158</v>
      </c>
      <c r="C1053">
        <v>1995</v>
      </c>
      <c r="D1053">
        <v>8</v>
      </c>
      <c r="E1053" t="s">
        <v>79</v>
      </c>
      <c r="F1053">
        <v>2.6839830220000001</v>
      </c>
    </row>
    <row r="1054" spans="1:6" x14ac:dyDescent="0.3">
      <c r="A1054" t="s">
        <v>2806</v>
      </c>
      <c r="B1054" t="s">
        <v>2158</v>
      </c>
      <c r="C1054">
        <v>1995</v>
      </c>
      <c r="D1054">
        <v>2</v>
      </c>
      <c r="E1054" t="s">
        <v>549</v>
      </c>
      <c r="F1054">
        <v>0</v>
      </c>
    </row>
    <row r="1055" spans="1:6" x14ac:dyDescent="0.3">
      <c r="A1055" t="s">
        <v>2806</v>
      </c>
      <c r="B1055" t="s">
        <v>2158</v>
      </c>
      <c r="C1055">
        <v>1995</v>
      </c>
      <c r="D1055">
        <v>6</v>
      </c>
      <c r="E1055" t="s">
        <v>145</v>
      </c>
      <c r="F1055">
        <v>2.5204344399999998</v>
      </c>
    </row>
    <row r="1056" spans="1:6" x14ac:dyDescent="0.3">
      <c r="A1056" t="s">
        <v>2806</v>
      </c>
      <c r="B1056" t="s">
        <v>2158</v>
      </c>
      <c r="C1056">
        <v>2030</v>
      </c>
      <c r="D1056">
        <v>1</v>
      </c>
      <c r="E1056" t="s">
        <v>192</v>
      </c>
      <c r="F1056">
        <v>0</v>
      </c>
    </row>
    <row r="1057" spans="1:6" x14ac:dyDescent="0.3">
      <c r="A1057" t="s">
        <v>2806</v>
      </c>
      <c r="B1057" t="s">
        <v>2158</v>
      </c>
      <c r="C1057">
        <v>2030</v>
      </c>
      <c r="D1057">
        <v>3</v>
      </c>
      <c r="E1057" t="s">
        <v>89</v>
      </c>
      <c r="F1057">
        <v>2.1218295949999999</v>
      </c>
    </row>
    <row r="1058" spans="1:6" x14ac:dyDescent="0.3">
      <c r="A1058" t="s">
        <v>2806</v>
      </c>
      <c r="B1058" t="s">
        <v>2158</v>
      </c>
      <c r="C1058">
        <v>2030</v>
      </c>
      <c r="D1058">
        <v>14</v>
      </c>
      <c r="E1058" t="s">
        <v>204</v>
      </c>
      <c r="F1058">
        <v>0.65036351400000003</v>
      </c>
    </row>
    <row r="1059" spans="1:6" x14ac:dyDescent="0.3">
      <c r="A1059" t="s">
        <v>2806</v>
      </c>
      <c r="B1059" t="s">
        <v>2158</v>
      </c>
      <c r="C1059">
        <v>2030</v>
      </c>
      <c r="D1059">
        <v>7</v>
      </c>
      <c r="E1059" t="s">
        <v>183</v>
      </c>
      <c r="F1059">
        <v>1.728440084</v>
      </c>
    </row>
    <row r="1060" spans="1:6" x14ac:dyDescent="0.3">
      <c r="A1060" t="s">
        <v>2806</v>
      </c>
      <c r="B1060" t="s">
        <v>2158</v>
      </c>
      <c r="C1060">
        <v>2030</v>
      </c>
      <c r="D1060">
        <v>10</v>
      </c>
      <c r="E1060" t="s">
        <v>46</v>
      </c>
      <c r="F1060">
        <v>0</v>
      </c>
    </row>
    <row r="1061" spans="1:6" x14ac:dyDescent="0.3">
      <c r="A1061" t="s">
        <v>2806</v>
      </c>
      <c r="B1061" t="s">
        <v>2158</v>
      </c>
      <c r="C1061">
        <v>2030</v>
      </c>
      <c r="D1061">
        <v>11</v>
      </c>
      <c r="E1061" t="s">
        <v>107</v>
      </c>
      <c r="F1061">
        <v>0</v>
      </c>
    </row>
    <row r="1062" spans="1:6" x14ac:dyDescent="0.3">
      <c r="A1062" t="s">
        <v>2806</v>
      </c>
      <c r="B1062" t="s">
        <v>2158</v>
      </c>
      <c r="C1062">
        <v>2030</v>
      </c>
      <c r="D1062">
        <v>17</v>
      </c>
      <c r="E1062" t="s">
        <v>368</v>
      </c>
      <c r="F1062">
        <v>0</v>
      </c>
    </row>
    <row r="1063" spans="1:6" x14ac:dyDescent="0.3">
      <c r="A1063" t="s">
        <v>2806</v>
      </c>
      <c r="B1063" t="s">
        <v>2158</v>
      </c>
      <c r="C1063">
        <v>2030</v>
      </c>
      <c r="D1063">
        <v>12</v>
      </c>
      <c r="E1063" t="s">
        <v>128</v>
      </c>
      <c r="F1063">
        <v>1.1526217400000001</v>
      </c>
    </row>
    <row r="1064" spans="1:6" x14ac:dyDescent="0.3">
      <c r="A1064" t="s">
        <v>2806</v>
      </c>
      <c r="B1064" t="s">
        <v>2158</v>
      </c>
      <c r="C1064">
        <v>2030</v>
      </c>
      <c r="D1064">
        <v>5</v>
      </c>
      <c r="E1064" t="s">
        <v>56</v>
      </c>
      <c r="F1064">
        <v>1.1805079270000001</v>
      </c>
    </row>
    <row r="1065" spans="1:6" x14ac:dyDescent="0.3">
      <c r="A1065" t="s">
        <v>2806</v>
      </c>
      <c r="B1065" t="s">
        <v>2158</v>
      </c>
      <c r="C1065">
        <v>2030</v>
      </c>
      <c r="D1065">
        <v>16</v>
      </c>
      <c r="E1065" t="s">
        <v>63</v>
      </c>
      <c r="F1065">
        <v>2.7996054539999999</v>
      </c>
    </row>
    <row r="1066" spans="1:6" x14ac:dyDescent="0.3">
      <c r="A1066" t="s">
        <v>2806</v>
      </c>
      <c r="B1066" t="s">
        <v>2158</v>
      </c>
      <c r="C1066">
        <v>2030</v>
      </c>
      <c r="D1066">
        <v>9</v>
      </c>
      <c r="E1066" t="s">
        <v>74</v>
      </c>
      <c r="F1066">
        <v>0</v>
      </c>
    </row>
    <row r="1067" spans="1:6" x14ac:dyDescent="0.3">
      <c r="A1067" t="s">
        <v>2806</v>
      </c>
      <c r="B1067" t="s">
        <v>2158</v>
      </c>
      <c r="C1067">
        <v>2030</v>
      </c>
      <c r="D1067">
        <v>4</v>
      </c>
      <c r="E1067" t="s">
        <v>103</v>
      </c>
      <c r="F1067">
        <v>2.5272130050000001</v>
      </c>
    </row>
    <row r="1068" spans="1:6" x14ac:dyDescent="0.3">
      <c r="A1068" t="s">
        <v>2806</v>
      </c>
      <c r="B1068" t="s">
        <v>2158</v>
      </c>
      <c r="C1068">
        <v>2030</v>
      </c>
      <c r="D1068">
        <v>13</v>
      </c>
      <c r="E1068" t="s">
        <v>35</v>
      </c>
      <c r="F1068">
        <v>5.8473704050000004</v>
      </c>
    </row>
    <row r="1069" spans="1:6" x14ac:dyDescent="0.3">
      <c r="A1069" t="s">
        <v>2806</v>
      </c>
      <c r="B1069" t="s">
        <v>2158</v>
      </c>
      <c r="C1069">
        <v>2030</v>
      </c>
      <c r="D1069">
        <v>15</v>
      </c>
      <c r="E1069" t="s">
        <v>172</v>
      </c>
      <c r="F1069">
        <v>1.3205345770000001</v>
      </c>
    </row>
    <row r="1070" spans="1:6" x14ac:dyDescent="0.3">
      <c r="A1070" t="s">
        <v>2806</v>
      </c>
      <c r="B1070" t="s">
        <v>2158</v>
      </c>
      <c r="C1070">
        <v>2030</v>
      </c>
      <c r="D1070">
        <v>8</v>
      </c>
      <c r="E1070" t="s">
        <v>79</v>
      </c>
      <c r="F1070">
        <v>2.1040524270000001</v>
      </c>
    </row>
    <row r="1071" spans="1:6" x14ac:dyDescent="0.3">
      <c r="A1071" t="s">
        <v>2806</v>
      </c>
      <c r="B1071" t="s">
        <v>2158</v>
      </c>
      <c r="C1071">
        <v>2030</v>
      </c>
      <c r="D1071">
        <v>2</v>
      </c>
      <c r="E1071" t="s">
        <v>549</v>
      </c>
      <c r="F1071">
        <v>0</v>
      </c>
    </row>
    <row r="1072" spans="1:6" x14ac:dyDescent="0.3">
      <c r="A1072" t="s">
        <v>2806</v>
      </c>
      <c r="B1072" t="s">
        <v>2158</v>
      </c>
      <c r="C1072">
        <v>2030</v>
      </c>
      <c r="D1072">
        <v>6</v>
      </c>
      <c r="E1072" t="s">
        <v>145</v>
      </c>
      <c r="F1072">
        <v>1.5332528540000001</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1762EF-D784-4098-90E7-83582EAD7A71}">
  <dimension ref="A1:F9"/>
  <sheetViews>
    <sheetView workbookViewId="0">
      <selection activeCell="C14" sqref="C14"/>
    </sheetView>
  </sheetViews>
  <sheetFormatPr defaultColWidth="10.77734375" defaultRowHeight="14.4" x14ac:dyDescent="0.3"/>
  <cols>
    <col min="2" max="2" width="22.21875" customWidth="1"/>
  </cols>
  <sheetData>
    <row r="1" spans="1:6" x14ac:dyDescent="0.3">
      <c r="A1" t="s">
        <v>2269</v>
      </c>
      <c r="B1" t="s">
        <v>2270</v>
      </c>
      <c r="C1" t="s">
        <v>1532</v>
      </c>
      <c r="D1" t="s">
        <v>1531</v>
      </c>
      <c r="E1" t="s">
        <v>4620</v>
      </c>
      <c r="F1" t="s">
        <v>4621</v>
      </c>
    </row>
    <row r="2" spans="1:6" x14ac:dyDescent="0.3">
      <c r="A2" t="s">
        <v>2453</v>
      </c>
      <c r="B2" t="s">
        <v>2454</v>
      </c>
      <c r="C2">
        <v>1096</v>
      </c>
      <c r="D2" t="s">
        <v>767</v>
      </c>
      <c r="E2">
        <v>3.65</v>
      </c>
      <c r="F2">
        <v>3.65</v>
      </c>
    </row>
    <row r="3" spans="1:6" x14ac:dyDescent="0.3">
      <c r="A3" t="s">
        <v>2455</v>
      </c>
      <c r="B3" t="s">
        <v>2456</v>
      </c>
      <c r="C3">
        <v>1107</v>
      </c>
      <c r="D3" t="s">
        <v>731</v>
      </c>
      <c r="E3">
        <v>1</v>
      </c>
      <c r="F3">
        <v>2.19</v>
      </c>
    </row>
    <row r="4" spans="1:6" x14ac:dyDescent="0.3">
      <c r="A4" t="s">
        <v>2457</v>
      </c>
      <c r="B4" t="s">
        <v>2458</v>
      </c>
      <c r="C4">
        <v>1110</v>
      </c>
      <c r="D4" t="s">
        <v>768</v>
      </c>
      <c r="E4">
        <v>1</v>
      </c>
      <c r="F4">
        <v>2.19</v>
      </c>
    </row>
    <row r="5" spans="1:6" x14ac:dyDescent="0.3">
      <c r="A5" t="s">
        <v>2459</v>
      </c>
      <c r="B5" t="s">
        <v>2460</v>
      </c>
      <c r="C5">
        <v>1126</v>
      </c>
      <c r="D5" t="s">
        <v>738</v>
      </c>
      <c r="E5">
        <v>2.4</v>
      </c>
      <c r="F5">
        <v>3.65</v>
      </c>
    </row>
    <row r="6" spans="1:6" x14ac:dyDescent="0.3">
      <c r="A6" t="s">
        <v>2461</v>
      </c>
      <c r="B6" t="s">
        <v>2462</v>
      </c>
      <c r="C6">
        <v>1157</v>
      </c>
      <c r="D6" t="s">
        <v>736</v>
      </c>
      <c r="E6">
        <v>0.7</v>
      </c>
      <c r="F6">
        <v>3.65</v>
      </c>
    </row>
    <row r="7" spans="1:6" x14ac:dyDescent="0.3">
      <c r="A7" t="s">
        <v>2463</v>
      </c>
      <c r="B7" t="s">
        <v>2464</v>
      </c>
      <c r="C7">
        <v>1140</v>
      </c>
      <c r="D7" t="s">
        <v>775</v>
      </c>
      <c r="E7">
        <v>1.7999999999999999E-2</v>
      </c>
      <c r="F7">
        <v>3.6499999999999998E-2</v>
      </c>
    </row>
    <row r="8" spans="1:6" x14ac:dyDescent="0.3">
      <c r="A8" t="s">
        <v>2465</v>
      </c>
      <c r="B8" t="s">
        <v>2466</v>
      </c>
      <c r="C8">
        <v>1150</v>
      </c>
      <c r="D8" t="s">
        <v>777</v>
      </c>
      <c r="E8">
        <v>1.7999999999999999E-2</v>
      </c>
      <c r="F8">
        <v>3.6499999999999998E-2</v>
      </c>
    </row>
    <row r="9" spans="1:6" x14ac:dyDescent="0.3">
      <c r="A9" t="s">
        <v>4622</v>
      </c>
      <c r="B9" t="s">
        <v>4623</v>
      </c>
      <c r="C9">
        <v>1171</v>
      </c>
      <c r="D9" t="s">
        <v>725</v>
      </c>
      <c r="E9">
        <v>0</v>
      </c>
      <c r="F9">
        <v>1.825</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C62051-A0C1-462C-A94B-DEA8013D0861}">
  <dimension ref="A1:C65"/>
  <sheetViews>
    <sheetView workbookViewId="0">
      <selection activeCell="B1" sqref="B1:B1048576"/>
    </sheetView>
  </sheetViews>
  <sheetFormatPr defaultColWidth="10.77734375" defaultRowHeight="14.4" x14ac:dyDescent="0.3"/>
  <sheetData>
    <row r="1" spans="1:3" x14ac:dyDescent="0.3">
      <c r="A1" t="s">
        <v>4624</v>
      </c>
      <c r="B1" t="s">
        <v>18</v>
      </c>
      <c r="C1" t="s">
        <v>4625</v>
      </c>
    </row>
    <row r="2" spans="1:3" x14ac:dyDescent="0.3">
      <c r="A2">
        <v>1910</v>
      </c>
      <c r="B2" t="s">
        <v>37</v>
      </c>
      <c r="C2">
        <v>1.05</v>
      </c>
    </row>
    <row r="3" spans="1:3" x14ac:dyDescent="0.3">
      <c r="A3">
        <v>1930</v>
      </c>
      <c r="B3" t="s">
        <v>37</v>
      </c>
      <c r="C3">
        <v>1.05</v>
      </c>
    </row>
    <row r="4" spans="1:3" x14ac:dyDescent="0.3">
      <c r="A4">
        <v>1950</v>
      </c>
      <c r="B4" t="s">
        <v>37</v>
      </c>
      <c r="C4">
        <v>1.05</v>
      </c>
    </row>
    <row r="5" spans="1:3" x14ac:dyDescent="0.3">
      <c r="A5">
        <v>1962</v>
      </c>
      <c r="B5" t="s">
        <v>37</v>
      </c>
      <c r="C5">
        <v>1.05</v>
      </c>
    </row>
    <row r="6" spans="1:3" x14ac:dyDescent="0.3">
      <c r="A6">
        <v>1970</v>
      </c>
      <c r="B6" t="s">
        <v>37</v>
      </c>
      <c r="C6">
        <v>1.05</v>
      </c>
    </row>
    <row r="7" spans="1:3" x14ac:dyDescent="0.3">
      <c r="A7">
        <v>1980</v>
      </c>
      <c r="B7" t="s">
        <v>37</v>
      </c>
      <c r="C7">
        <v>1.04</v>
      </c>
    </row>
    <row r="8" spans="1:3" x14ac:dyDescent="0.3">
      <c r="A8">
        <v>1990</v>
      </c>
      <c r="B8" t="s">
        <v>37</v>
      </c>
      <c r="C8">
        <v>1.03</v>
      </c>
    </row>
    <row r="9" spans="1:3" x14ac:dyDescent="0.3">
      <c r="A9">
        <v>2000</v>
      </c>
      <c r="B9" t="s">
        <v>37</v>
      </c>
      <c r="C9">
        <v>1</v>
      </c>
    </row>
    <row r="10" spans="1:3" x14ac:dyDescent="0.3">
      <c r="A10">
        <v>1910</v>
      </c>
      <c r="B10" t="s">
        <v>48</v>
      </c>
      <c r="C10">
        <v>1.1000000000000001</v>
      </c>
    </row>
    <row r="11" spans="1:3" x14ac:dyDescent="0.3">
      <c r="A11">
        <v>1930</v>
      </c>
      <c r="B11" t="s">
        <v>48</v>
      </c>
      <c r="C11">
        <v>1.1000000000000001</v>
      </c>
    </row>
    <row r="12" spans="1:3" x14ac:dyDescent="0.3">
      <c r="A12">
        <v>1950</v>
      </c>
      <c r="B12" t="s">
        <v>48</v>
      </c>
      <c r="C12">
        <v>1.1000000000000001</v>
      </c>
    </row>
    <row r="13" spans="1:3" x14ac:dyDescent="0.3">
      <c r="A13">
        <v>1962</v>
      </c>
      <c r="B13" t="s">
        <v>48</v>
      </c>
      <c r="C13">
        <v>1.1000000000000001</v>
      </c>
    </row>
    <row r="14" spans="1:3" x14ac:dyDescent="0.3">
      <c r="A14">
        <v>1970</v>
      </c>
      <c r="B14" t="s">
        <v>48</v>
      </c>
      <c r="C14">
        <v>1.0900000000000001</v>
      </c>
    </row>
    <row r="15" spans="1:3" x14ac:dyDescent="0.3">
      <c r="A15">
        <v>1980</v>
      </c>
      <c r="B15" t="s">
        <v>48</v>
      </c>
      <c r="C15">
        <v>1.07</v>
      </c>
    </row>
    <row r="16" spans="1:3" x14ac:dyDescent="0.3">
      <c r="A16">
        <v>1990</v>
      </c>
      <c r="B16" t="s">
        <v>48</v>
      </c>
      <c r="C16">
        <v>1.04</v>
      </c>
    </row>
    <row r="17" spans="1:3" x14ac:dyDescent="0.3">
      <c r="A17">
        <v>2000</v>
      </c>
      <c r="B17" t="s">
        <v>48</v>
      </c>
      <c r="C17">
        <v>1</v>
      </c>
    </row>
    <row r="18" spans="1:3" x14ac:dyDescent="0.3">
      <c r="A18">
        <v>1910</v>
      </c>
      <c r="B18" t="s">
        <v>58</v>
      </c>
      <c r="C18">
        <v>1.1000000000000001</v>
      </c>
    </row>
    <row r="19" spans="1:3" x14ac:dyDescent="0.3">
      <c r="A19">
        <v>1930</v>
      </c>
      <c r="B19" t="s">
        <v>58</v>
      </c>
      <c r="C19">
        <v>1.1000000000000001</v>
      </c>
    </row>
    <row r="20" spans="1:3" x14ac:dyDescent="0.3">
      <c r="A20">
        <v>1950</v>
      </c>
      <c r="B20" t="s">
        <v>58</v>
      </c>
      <c r="C20">
        <v>1.1000000000000001</v>
      </c>
    </row>
    <row r="21" spans="1:3" x14ac:dyDescent="0.3">
      <c r="A21">
        <v>1962</v>
      </c>
      <c r="B21" t="s">
        <v>58</v>
      </c>
      <c r="C21">
        <v>1.1000000000000001</v>
      </c>
    </row>
    <row r="22" spans="1:3" x14ac:dyDescent="0.3">
      <c r="A22">
        <v>1970</v>
      </c>
      <c r="B22" t="s">
        <v>58</v>
      </c>
      <c r="C22">
        <v>1.0900000000000001</v>
      </c>
    </row>
    <row r="23" spans="1:3" x14ac:dyDescent="0.3">
      <c r="A23">
        <v>1980</v>
      </c>
      <c r="B23" t="s">
        <v>58</v>
      </c>
      <c r="C23">
        <v>1.07</v>
      </c>
    </row>
    <row r="24" spans="1:3" x14ac:dyDescent="0.3">
      <c r="A24">
        <v>1990</v>
      </c>
      <c r="B24" t="s">
        <v>58</v>
      </c>
      <c r="C24">
        <v>1.04</v>
      </c>
    </row>
    <row r="25" spans="1:3" x14ac:dyDescent="0.3">
      <c r="A25">
        <v>2000</v>
      </c>
      <c r="B25" t="s">
        <v>58</v>
      </c>
      <c r="C25">
        <v>1</v>
      </c>
    </row>
    <row r="26" spans="1:3" x14ac:dyDescent="0.3">
      <c r="A26">
        <v>1910</v>
      </c>
      <c r="B26" t="s">
        <v>65</v>
      </c>
      <c r="C26">
        <v>1.2</v>
      </c>
    </row>
    <row r="27" spans="1:3" x14ac:dyDescent="0.3">
      <c r="A27">
        <v>1930</v>
      </c>
      <c r="B27" t="s">
        <v>65</v>
      </c>
      <c r="C27">
        <v>1.2</v>
      </c>
    </row>
    <row r="28" spans="1:3" x14ac:dyDescent="0.3">
      <c r="A28">
        <v>1950</v>
      </c>
      <c r="B28" t="s">
        <v>65</v>
      </c>
      <c r="C28">
        <v>1.19</v>
      </c>
    </row>
    <row r="29" spans="1:3" x14ac:dyDescent="0.3">
      <c r="A29">
        <v>1962</v>
      </c>
      <c r="B29" t="s">
        <v>65</v>
      </c>
      <c r="C29">
        <v>1.17</v>
      </c>
    </row>
    <row r="30" spans="1:3" x14ac:dyDescent="0.3">
      <c r="A30">
        <v>1970</v>
      </c>
      <c r="B30" t="s">
        <v>65</v>
      </c>
      <c r="C30">
        <v>1.1299999999999999</v>
      </c>
    </row>
    <row r="31" spans="1:3" x14ac:dyDescent="0.3">
      <c r="A31">
        <v>1980</v>
      </c>
      <c r="B31" t="s">
        <v>65</v>
      </c>
      <c r="C31">
        <v>1.08</v>
      </c>
    </row>
    <row r="32" spans="1:3" x14ac:dyDescent="0.3">
      <c r="A32">
        <v>1990</v>
      </c>
      <c r="B32" t="s">
        <v>65</v>
      </c>
      <c r="C32">
        <v>1.03</v>
      </c>
    </row>
    <row r="33" spans="1:3" x14ac:dyDescent="0.3">
      <c r="A33">
        <v>2000</v>
      </c>
      <c r="B33" t="s">
        <v>65</v>
      </c>
      <c r="C33">
        <v>1</v>
      </c>
    </row>
    <row r="34" spans="1:3" x14ac:dyDescent="0.3">
      <c r="A34">
        <v>1910</v>
      </c>
      <c r="B34" t="s">
        <v>76</v>
      </c>
      <c r="C34">
        <v>1.32</v>
      </c>
    </row>
    <row r="35" spans="1:3" x14ac:dyDescent="0.3">
      <c r="A35">
        <v>1930</v>
      </c>
      <c r="B35" t="s">
        <v>76</v>
      </c>
      <c r="C35">
        <v>1.31</v>
      </c>
    </row>
    <row r="36" spans="1:3" x14ac:dyDescent="0.3">
      <c r="A36">
        <v>1950</v>
      </c>
      <c r="B36" t="s">
        <v>76</v>
      </c>
      <c r="C36">
        <v>1.3</v>
      </c>
    </row>
    <row r="37" spans="1:3" x14ac:dyDescent="0.3">
      <c r="A37">
        <v>1962</v>
      </c>
      <c r="B37" t="s">
        <v>76</v>
      </c>
      <c r="C37">
        <v>1.27</v>
      </c>
    </row>
    <row r="38" spans="1:3" x14ac:dyDescent="0.3">
      <c r="A38">
        <v>1970</v>
      </c>
      <c r="B38" t="s">
        <v>76</v>
      </c>
      <c r="C38">
        <v>1.2</v>
      </c>
    </row>
    <row r="39" spans="1:3" x14ac:dyDescent="0.3">
      <c r="A39">
        <v>1980</v>
      </c>
      <c r="B39" t="s">
        <v>76</v>
      </c>
      <c r="C39">
        <v>1.1000000000000001</v>
      </c>
    </row>
    <row r="40" spans="1:3" x14ac:dyDescent="0.3">
      <c r="A40">
        <v>1990</v>
      </c>
      <c r="B40" t="s">
        <v>76</v>
      </c>
      <c r="C40">
        <v>1.03</v>
      </c>
    </row>
    <row r="41" spans="1:3" x14ac:dyDescent="0.3">
      <c r="A41">
        <v>2000</v>
      </c>
      <c r="B41" t="s">
        <v>76</v>
      </c>
      <c r="C41">
        <v>1</v>
      </c>
    </row>
    <row r="42" spans="1:3" x14ac:dyDescent="0.3">
      <c r="A42">
        <v>1910</v>
      </c>
      <c r="B42" t="s">
        <v>81</v>
      </c>
      <c r="C42">
        <v>1.05</v>
      </c>
    </row>
    <row r="43" spans="1:3" x14ac:dyDescent="0.3">
      <c r="A43">
        <v>1930</v>
      </c>
      <c r="B43" t="s">
        <v>81</v>
      </c>
      <c r="C43">
        <v>1.05</v>
      </c>
    </row>
    <row r="44" spans="1:3" x14ac:dyDescent="0.3">
      <c r="A44">
        <v>1950</v>
      </c>
      <c r="B44" t="s">
        <v>81</v>
      </c>
      <c r="C44">
        <v>1.05</v>
      </c>
    </row>
    <row r="45" spans="1:3" x14ac:dyDescent="0.3">
      <c r="A45">
        <v>1962</v>
      </c>
      <c r="B45" t="s">
        <v>81</v>
      </c>
      <c r="C45">
        <v>1.05</v>
      </c>
    </row>
    <row r="46" spans="1:3" x14ac:dyDescent="0.3">
      <c r="A46">
        <v>1970</v>
      </c>
      <c r="B46" t="s">
        <v>81</v>
      </c>
      <c r="C46">
        <v>1.05</v>
      </c>
    </row>
    <row r="47" spans="1:3" x14ac:dyDescent="0.3">
      <c r="A47">
        <v>1980</v>
      </c>
      <c r="B47" t="s">
        <v>81</v>
      </c>
      <c r="C47">
        <v>1.04</v>
      </c>
    </row>
    <row r="48" spans="1:3" x14ac:dyDescent="0.3">
      <c r="A48">
        <v>1990</v>
      </c>
      <c r="B48" t="s">
        <v>81</v>
      </c>
      <c r="C48">
        <v>1.03</v>
      </c>
    </row>
    <row r="49" spans="1:3" x14ac:dyDescent="0.3">
      <c r="A49">
        <v>2000</v>
      </c>
      <c r="B49" t="s">
        <v>81</v>
      </c>
      <c r="C49">
        <v>1</v>
      </c>
    </row>
    <row r="50" spans="1:3" x14ac:dyDescent="0.3">
      <c r="A50">
        <v>1910</v>
      </c>
      <c r="B50" t="s">
        <v>91</v>
      </c>
      <c r="C50">
        <v>1.1000000000000001</v>
      </c>
    </row>
    <row r="51" spans="1:3" x14ac:dyDescent="0.3">
      <c r="A51">
        <v>1930</v>
      </c>
      <c r="B51" t="s">
        <v>91</v>
      </c>
      <c r="C51">
        <v>1.1000000000000001</v>
      </c>
    </row>
    <row r="52" spans="1:3" x14ac:dyDescent="0.3">
      <c r="A52">
        <v>1950</v>
      </c>
      <c r="B52" t="s">
        <v>91</v>
      </c>
      <c r="C52">
        <v>1.1000000000000001</v>
      </c>
    </row>
    <row r="53" spans="1:3" x14ac:dyDescent="0.3">
      <c r="A53">
        <v>1962</v>
      </c>
      <c r="B53" t="s">
        <v>91</v>
      </c>
      <c r="C53">
        <v>1.1000000000000001</v>
      </c>
    </row>
    <row r="54" spans="1:3" x14ac:dyDescent="0.3">
      <c r="A54">
        <v>1970</v>
      </c>
      <c r="B54" t="s">
        <v>91</v>
      </c>
      <c r="C54">
        <v>1.0900000000000001</v>
      </c>
    </row>
    <row r="55" spans="1:3" x14ac:dyDescent="0.3">
      <c r="A55">
        <v>1980</v>
      </c>
      <c r="B55" t="s">
        <v>91</v>
      </c>
      <c r="C55">
        <v>1.07</v>
      </c>
    </row>
    <row r="56" spans="1:3" x14ac:dyDescent="0.3">
      <c r="A56">
        <v>1990</v>
      </c>
      <c r="B56" t="s">
        <v>91</v>
      </c>
      <c r="C56">
        <v>1.04</v>
      </c>
    </row>
    <row r="57" spans="1:3" x14ac:dyDescent="0.3">
      <c r="A57">
        <v>2000</v>
      </c>
      <c r="B57" t="s">
        <v>91</v>
      </c>
      <c r="C57">
        <v>1</v>
      </c>
    </row>
    <row r="58" spans="1:3" x14ac:dyDescent="0.3">
      <c r="A58">
        <v>1910</v>
      </c>
      <c r="B58" t="s">
        <v>204</v>
      </c>
      <c r="C58">
        <v>1.1000000000000001</v>
      </c>
    </row>
    <row r="59" spans="1:3" x14ac:dyDescent="0.3">
      <c r="A59">
        <v>1930</v>
      </c>
      <c r="B59" t="s">
        <v>204</v>
      </c>
      <c r="C59">
        <v>1.1000000000000001</v>
      </c>
    </row>
    <row r="60" spans="1:3" x14ac:dyDescent="0.3">
      <c r="A60">
        <v>1950</v>
      </c>
      <c r="B60" t="s">
        <v>204</v>
      </c>
      <c r="C60">
        <v>1.1000000000000001</v>
      </c>
    </row>
    <row r="61" spans="1:3" x14ac:dyDescent="0.3">
      <c r="A61">
        <v>1962</v>
      </c>
      <c r="B61" t="s">
        <v>204</v>
      </c>
      <c r="C61">
        <v>1.1000000000000001</v>
      </c>
    </row>
    <row r="62" spans="1:3" x14ac:dyDescent="0.3">
      <c r="A62">
        <v>1970</v>
      </c>
      <c r="B62" t="s">
        <v>204</v>
      </c>
      <c r="C62">
        <v>1.0900000000000001</v>
      </c>
    </row>
    <row r="63" spans="1:3" x14ac:dyDescent="0.3">
      <c r="A63">
        <v>1980</v>
      </c>
      <c r="B63" t="s">
        <v>204</v>
      </c>
      <c r="C63">
        <v>1.07</v>
      </c>
    </row>
    <row r="64" spans="1:3" x14ac:dyDescent="0.3">
      <c r="A64">
        <v>1990</v>
      </c>
      <c r="B64" t="s">
        <v>204</v>
      </c>
      <c r="C64">
        <v>1.04</v>
      </c>
    </row>
    <row r="65" spans="1:3" x14ac:dyDescent="0.3">
      <c r="A65">
        <v>2000</v>
      </c>
      <c r="B65" t="s">
        <v>204</v>
      </c>
      <c r="C65">
        <v>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32E3E1-A4FD-4BF1-88BE-DFD7F2B9168C}">
  <dimension ref="A1:D161"/>
  <sheetViews>
    <sheetView zoomScale="80" zoomScaleNormal="80" workbookViewId="0">
      <selection activeCell="G25" sqref="G25"/>
    </sheetView>
  </sheetViews>
  <sheetFormatPr defaultColWidth="10.77734375" defaultRowHeight="14.4" x14ac:dyDescent="0.3"/>
  <cols>
    <col min="1" max="1" width="20.5546875" customWidth="1"/>
  </cols>
  <sheetData>
    <row r="1" spans="1:4" x14ac:dyDescent="0.3">
      <c r="A1" t="s">
        <v>1536</v>
      </c>
      <c r="B1" t="s">
        <v>18</v>
      </c>
      <c r="C1" t="s">
        <v>4626</v>
      </c>
      <c r="D1" t="s">
        <v>4627</v>
      </c>
    </row>
    <row r="2" spans="1:4" x14ac:dyDescent="0.3">
      <c r="A2" t="s">
        <v>1544</v>
      </c>
      <c r="B2" t="s">
        <v>37</v>
      </c>
      <c r="C2">
        <v>1.7</v>
      </c>
      <c r="D2">
        <v>0.9</v>
      </c>
    </row>
    <row r="3" spans="1:4" x14ac:dyDescent="0.3">
      <c r="A3" t="s">
        <v>1549</v>
      </c>
      <c r="B3" t="s">
        <v>37</v>
      </c>
      <c r="C3">
        <v>1.5</v>
      </c>
      <c r="D3" s="1">
        <f>D$2</f>
        <v>0.9</v>
      </c>
    </row>
    <row r="4" spans="1:4" x14ac:dyDescent="0.3">
      <c r="A4" t="s">
        <v>929</v>
      </c>
      <c r="B4" t="s">
        <v>37</v>
      </c>
      <c r="C4">
        <v>3.5</v>
      </c>
      <c r="D4" s="1">
        <f>D$2</f>
        <v>0.9</v>
      </c>
    </row>
    <row r="5" spans="1:4" x14ac:dyDescent="0.3">
      <c r="A5" t="s">
        <v>950</v>
      </c>
      <c r="B5" t="s">
        <v>37</v>
      </c>
      <c r="C5">
        <v>3.5</v>
      </c>
      <c r="D5" s="1">
        <f>D$2</f>
        <v>0.9</v>
      </c>
    </row>
    <row r="6" spans="1:4" x14ac:dyDescent="0.3">
      <c r="A6" t="s">
        <v>955</v>
      </c>
      <c r="B6" t="s">
        <v>37</v>
      </c>
      <c r="C6">
        <v>3.5</v>
      </c>
      <c r="D6" s="1">
        <f>D$2</f>
        <v>0.9</v>
      </c>
    </row>
    <row r="7" spans="1:4" x14ac:dyDescent="0.3">
      <c r="A7" t="s">
        <v>1563</v>
      </c>
      <c r="B7" t="s">
        <v>37</v>
      </c>
      <c r="C7">
        <v>1</v>
      </c>
      <c r="D7">
        <v>0.75</v>
      </c>
    </row>
    <row r="8" spans="1:4" x14ac:dyDescent="0.3">
      <c r="A8" t="s">
        <v>989</v>
      </c>
      <c r="B8" t="s">
        <v>37</v>
      </c>
      <c r="C8">
        <v>0.8</v>
      </c>
      <c r="D8" s="1">
        <f>D7</f>
        <v>0.75</v>
      </c>
    </row>
    <row r="9" spans="1:4" x14ac:dyDescent="0.3">
      <c r="A9" t="s">
        <v>1573</v>
      </c>
      <c r="B9" t="s">
        <v>37</v>
      </c>
      <c r="C9">
        <v>0.7</v>
      </c>
      <c r="D9">
        <v>0.9</v>
      </c>
    </row>
    <row r="10" spans="1:4" x14ac:dyDescent="0.3">
      <c r="A10" t="s">
        <v>1580</v>
      </c>
      <c r="B10" t="s">
        <v>37</v>
      </c>
      <c r="C10">
        <v>0.7</v>
      </c>
      <c r="D10">
        <v>0.75</v>
      </c>
    </row>
    <row r="11" spans="1:4" x14ac:dyDescent="0.3">
      <c r="A11" t="s">
        <v>4628</v>
      </c>
      <c r="B11" t="s">
        <v>37</v>
      </c>
      <c r="C11">
        <f>AVERAGE(C9:C10)</f>
        <v>0.7</v>
      </c>
      <c r="D11">
        <v>0.8</v>
      </c>
    </row>
    <row r="12" spans="1:4" x14ac:dyDescent="0.3">
      <c r="A12" t="s">
        <v>1586</v>
      </c>
      <c r="B12" t="s">
        <v>37</v>
      </c>
      <c r="C12">
        <f>C13</f>
        <v>0.4</v>
      </c>
      <c r="D12">
        <v>0.5</v>
      </c>
    </row>
    <row r="13" spans="1:4" x14ac:dyDescent="0.3">
      <c r="A13" t="s">
        <v>1588</v>
      </c>
      <c r="B13" t="s">
        <v>37</v>
      </c>
      <c r="C13">
        <v>0.4</v>
      </c>
      <c r="D13">
        <v>0.9</v>
      </c>
    </row>
    <row r="14" spans="1:4" x14ac:dyDescent="0.3">
      <c r="A14" t="s">
        <v>1060</v>
      </c>
      <c r="B14" t="s">
        <v>37</v>
      </c>
      <c r="C14">
        <v>1.5</v>
      </c>
      <c r="D14">
        <v>0.9</v>
      </c>
    </row>
    <row r="15" spans="1:4" x14ac:dyDescent="0.3">
      <c r="A15" t="s">
        <v>1628</v>
      </c>
      <c r="B15" t="s">
        <v>37</v>
      </c>
      <c r="C15">
        <v>1.5</v>
      </c>
      <c r="D15">
        <v>0.9</v>
      </c>
    </row>
    <row r="16" spans="1:4" x14ac:dyDescent="0.3">
      <c r="A16" t="s">
        <v>4629</v>
      </c>
      <c r="B16" t="s">
        <v>37</v>
      </c>
      <c r="C16">
        <v>1.9</v>
      </c>
      <c r="D16">
        <v>0.9</v>
      </c>
    </row>
    <row r="17" spans="1:4" x14ac:dyDescent="0.3">
      <c r="A17" t="s">
        <v>1644</v>
      </c>
      <c r="B17" t="s">
        <v>37</v>
      </c>
      <c r="C17">
        <v>0.4</v>
      </c>
      <c r="D17">
        <v>0.9</v>
      </c>
    </row>
    <row r="18" spans="1:4" x14ac:dyDescent="0.3">
      <c r="A18" t="s">
        <v>1647</v>
      </c>
      <c r="B18" t="str">
        <f>B19</f>
        <v>South and Central Asia</v>
      </c>
      <c r="C18">
        <f>C19</f>
        <v>2.2999999999999998</v>
      </c>
      <c r="D18">
        <v>0.5</v>
      </c>
    </row>
    <row r="19" spans="1:4" x14ac:dyDescent="0.3">
      <c r="A19" t="s">
        <v>1642</v>
      </c>
      <c r="B19" t="s">
        <v>37</v>
      </c>
      <c r="C19">
        <v>2.2999999999999998</v>
      </c>
      <c r="D19">
        <v>0.7</v>
      </c>
    </row>
    <row r="20" spans="1:4" x14ac:dyDescent="0.3">
      <c r="A20" t="s">
        <v>1679</v>
      </c>
      <c r="B20" t="s">
        <v>37</v>
      </c>
      <c r="C20">
        <v>1.3</v>
      </c>
      <c r="D20" s="1">
        <v>0</v>
      </c>
    </row>
    <row r="21" spans="1:4" x14ac:dyDescent="0.3">
      <c r="A21" t="s">
        <v>1604</v>
      </c>
      <c r="B21" t="s">
        <v>37</v>
      </c>
      <c r="C21">
        <v>2.5</v>
      </c>
      <c r="D21" s="1">
        <f>D2</f>
        <v>0.9</v>
      </c>
    </row>
    <row r="22" spans="1:4" x14ac:dyDescent="0.3">
      <c r="A22" t="s">
        <v>1544</v>
      </c>
      <c r="B22" t="s">
        <v>48</v>
      </c>
      <c r="C22">
        <v>1.5</v>
      </c>
      <c r="D22">
        <v>0.75</v>
      </c>
    </row>
    <row r="23" spans="1:4" x14ac:dyDescent="0.3">
      <c r="A23" t="s">
        <v>1549</v>
      </c>
      <c r="B23" t="s">
        <v>48</v>
      </c>
      <c r="C23">
        <v>1.2</v>
      </c>
      <c r="D23" s="1">
        <f>D$22</f>
        <v>0.75</v>
      </c>
    </row>
    <row r="24" spans="1:4" x14ac:dyDescent="0.3">
      <c r="A24" t="s">
        <v>929</v>
      </c>
      <c r="B24" t="s">
        <v>48</v>
      </c>
      <c r="C24">
        <v>1.9</v>
      </c>
      <c r="D24" s="1">
        <f>D$22</f>
        <v>0.75</v>
      </c>
    </row>
    <row r="25" spans="1:4" x14ac:dyDescent="0.3">
      <c r="A25" t="s">
        <v>950</v>
      </c>
      <c r="B25" t="s">
        <v>48</v>
      </c>
      <c r="C25">
        <v>1.9</v>
      </c>
      <c r="D25" s="1">
        <f>D$22</f>
        <v>0.75</v>
      </c>
    </row>
    <row r="26" spans="1:4" x14ac:dyDescent="0.3">
      <c r="A26" t="s">
        <v>955</v>
      </c>
      <c r="B26" t="s">
        <v>48</v>
      </c>
      <c r="C26">
        <v>1.9</v>
      </c>
      <c r="D26" s="1">
        <f>D$22</f>
        <v>0.75</v>
      </c>
    </row>
    <row r="27" spans="1:4" x14ac:dyDescent="0.3">
      <c r="A27" t="s">
        <v>1563</v>
      </c>
      <c r="B27" t="s">
        <v>48</v>
      </c>
      <c r="C27">
        <v>1</v>
      </c>
      <c r="D27">
        <v>0.25</v>
      </c>
    </row>
    <row r="28" spans="1:4" x14ac:dyDescent="0.3">
      <c r="A28" t="s">
        <v>989</v>
      </c>
      <c r="B28" t="s">
        <v>48</v>
      </c>
      <c r="C28">
        <v>0.8</v>
      </c>
      <c r="D28" s="1">
        <f>D27</f>
        <v>0.25</v>
      </c>
    </row>
    <row r="29" spans="1:4" x14ac:dyDescent="0.3">
      <c r="A29" t="s">
        <v>1573</v>
      </c>
      <c r="B29" t="s">
        <v>48</v>
      </c>
      <c r="C29">
        <v>0.7</v>
      </c>
      <c r="D29">
        <v>0.9</v>
      </c>
    </row>
    <row r="30" spans="1:4" x14ac:dyDescent="0.3">
      <c r="A30" t="s">
        <v>1580</v>
      </c>
      <c r="B30" t="s">
        <v>48</v>
      </c>
      <c r="C30">
        <v>0.5</v>
      </c>
      <c r="D30">
        <v>0.25</v>
      </c>
    </row>
    <row r="31" spans="1:4" x14ac:dyDescent="0.3">
      <c r="A31" t="str">
        <f>A11</f>
        <v>Sugar Crops nes</v>
      </c>
      <c r="B31" t="str">
        <f>B30</f>
        <v>East Europe</v>
      </c>
      <c r="C31">
        <f>AVERAGE(C29:C30)</f>
        <v>0.6</v>
      </c>
      <c r="D31">
        <v>0.3</v>
      </c>
    </row>
    <row r="32" spans="1:4" x14ac:dyDescent="0.3">
      <c r="A32" t="str">
        <f>A12</f>
        <v>Beans, Dry</v>
      </c>
      <c r="B32" t="str">
        <f>B31</f>
        <v>East Europe</v>
      </c>
      <c r="C32">
        <f>C33</f>
        <v>1</v>
      </c>
      <c r="D32">
        <v>0.5</v>
      </c>
    </row>
    <row r="33" spans="1:4" x14ac:dyDescent="0.3">
      <c r="A33" t="s">
        <v>1588</v>
      </c>
      <c r="B33" t="s">
        <v>48</v>
      </c>
      <c r="C33">
        <v>1</v>
      </c>
      <c r="D33">
        <v>0.75</v>
      </c>
    </row>
    <row r="34" spans="1:4" x14ac:dyDescent="0.3">
      <c r="A34" t="s">
        <v>1060</v>
      </c>
      <c r="B34" t="s">
        <v>48</v>
      </c>
      <c r="C34">
        <v>1.5</v>
      </c>
      <c r="D34">
        <v>0.75</v>
      </c>
    </row>
    <row r="35" spans="1:4" x14ac:dyDescent="0.3">
      <c r="A35" t="s">
        <v>1628</v>
      </c>
      <c r="B35" t="s">
        <v>48</v>
      </c>
      <c r="C35">
        <v>1.2</v>
      </c>
      <c r="D35">
        <v>0.75</v>
      </c>
    </row>
    <row r="36" spans="1:4" x14ac:dyDescent="0.3">
      <c r="A36" t="s">
        <v>4629</v>
      </c>
      <c r="B36" t="s">
        <v>48</v>
      </c>
      <c r="C36">
        <v>1.9</v>
      </c>
      <c r="D36">
        <v>0.9</v>
      </c>
    </row>
    <row r="37" spans="1:4" x14ac:dyDescent="0.3">
      <c r="A37" t="s">
        <v>1644</v>
      </c>
      <c r="B37" t="s">
        <v>48</v>
      </c>
      <c r="C37">
        <v>1</v>
      </c>
      <c r="D37">
        <v>0.75</v>
      </c>
    </row>
    <row r="38" spans="1:4" x14ac:dyDescent="0.3">
      <c r="A38" t="str">
        <f>A18</f>
        <v>Sunflower Seed</v>
      </c>
      <c r="B38" t="str">
        <f>B39</f>
        <v>East Europe</v>
      </c>
      <c r="C38">
        <f>C39</f>
        <v>1.9</v>
      </c>
      <c r="D38">
        <v>0.5</v>
      </c>
    </row>
    <row r="39" spans="1:4" x14ac:dyDescent="0.3">
      <c r="A39" t="s">
        <v>1642</v>
      </c>
      <c r="B39" t="s">
        <v>48</v>
      </c>
      <c r="C39">
        <v>1.9</v>
      </c>
      <c r="D39">
        <v>0.7</v>
      </c>
    </row>
    <row r="40" spans="1:4" x14ac:dyDescent="0.3">
      <c r="A40" t="s">
        <v>1679</v>
      </c>
      <c r="B40" t="s">
        <v>48</v>
      </c>
      <c r="C40">
        <v>1.3</v>
      </c>
      <c r="D40" s="1">
        <v>0</v>
      </c>
    </row>
    <row r="41" spans="1:4" x14ac:dyDescent="0.3">
      <c r="A41" t="s">
        <v>1604</v>
      </c>
      <c r="B41" t="s">
        <v>48</v>
      </c>
      <c r="C41">
        <v>2.5</v>
      </c>
      <c r="D41" s="1">
        <f>D22</f>
        <v>0.75</v>
      </c>
    </row>
    <row r="42" spans="1:4" x14ac:dyDescent="0.3">
      <c r="A42" t="s">
        <v>1544</v>
      </c>
      <c r="B42" t="s">
        <v>58</v>
      </c>
      <c r="C42">
        <v>1.5</v>
      </c>
      <c r="D42">
        <v>0.8</v>
      </c>
    </row>
    <row r="43" spans="1:4" x14ac:dyDescent="0.3">
      <c r="A43" t="s">
        <v>1549</v>
      </c>
      <c r="B43" t="s">
        <v>58</v>
      </c>
      <c r="C43">
        <v>1.2</v>
      </c>
      <c r="D43" s="1">
        <f>D$42</f>
        <v>0.8</v>
      </c>
    </row>
    <row r="44" spans="1:4" x14ac:dyDescent="0.3">
      <c r="A44" t="s">
        <v>929</v>
      </c>
      <c r="B44" t="s">
        <v>58</v>
      </c>
      <c r="C44">
        <v>3</v>
      </c>
      <c r="D44" s="1">
        <f>D$42</f>
        <v>0.8</v>
      </c>
    </row>
    <row r="45" spans="1:4" x14ac:dyDescent="0.3">
      <c r="A45" t="s">
        <v>950</v>
      </c>
      <c r="B45" t="s">
        <v>58</v>
      </c>
      <c r="C45">
        <v>3</v>
      </c>
      <c r="D45" s="1">
        <f>D$42</f>
        <v>0.8</v>
      </c>
    </row>
    <row r="46" spans="1:4" x14ac:dyDescent="0.3">
      <c r="A46" t="s">
        <v>955</v>
      </c>
      <c r="B46" t="s">
        <v>58</v>
      </c>
      <c r="C46">
        <v>3</v>
      </c>
      <c r="D46" s="1">
        <f>D$42</f>
        <v>0.8</v>
      </c>
    </row>
    <row r="47" spans="1:4" x14ac:dyDescent="0.3">
      <c r="A47" t="s">
        <v>1563</v>
      </c>
      <c r="B47" t="s">
        <v>58</v>
      </c>
      <c r="C47">
        <v>1</v>
      </c>
      <c r="D47">
        <v>0.75</v>
      </c>
    </row>
    <row r="48" spans="1:4" x14ac:dyDescent="0.3">
      <c r="A48" t="s">
        <v>989</v>
      </c>
      <c r="B48" t="s">
        <v>58</v>
      </c>
      <c r="C48">
        <v>0.8</v>
      </c>
      <c r="D48" s="1">
        <f>D47</f>
        <v>0.75</v>
      </c>
    </row>
    <row r="49" spans="1:4" x14ac:dyDescent="0.3">
      <c r="A49" t="s">
        <v>1573</v>
      </c>
      <c r="B49" t="s">
        <v>58</v>
      </c>
      <c r="C49">
        <v>0.7</v>
      </c>
      <c r="D49">
        <v>0.9</v>
      </c>
    </row>
    <row r="50" spans="1:4" x14ac:dyDescent="0.3">
      <c r="A50" t="s">
        <v>1580</v>
      </c>
      <c r="B50" t="s">
        <v>58</v>
      </c>
      <c r="C50">
        <v>0.7</v>
      </c>
      <c r="D50">
        <v>0.75</v>
      </c>
    </row>
    <row r="51" spans="1:4" x14ac:dyDescent="0.3">
      <c r="A51" t="str">
        <f>A31</f>
        <v>Sugar Crops nes</v>
      </c>
      <c r="B51" t="str">
        <f>B50</f>
        <v>North Africa and West Asia</v>
      </c>
      <c r="C51">
        <f>AVERAGE(C49:C50)</f>
        <v>0.7</v>
      </c>
      <c r="D51">
        <v>0.8</v>
      </c>
    </row>
    <row r="52" spans="1:4" x14ac:dyDescent="0.3">
      <c r="A52" t="str">
        <f>A32</f>
        <v>Beans, Dry</v>
      </c>
      <c r="B52" t="str">
        <f>B51</f>
        <v>North Africa and West Asia</v>
      </c>
      <c r="C52">
        <f>C53</f>
        <v>0.4</v>
      </c>
      <c r="D52">
        <v>0.5</v>
      </c>
    </row>
    <row r="53" spans="1:4" x14ac:dyDescent="0.3">
      <c r="A53" t="s">
        <v>1588</v>
      </c>
      <c r="B53" t="s">
        <v>58</v>
      </c>
      <c r="C53">
        <v>0.4</v>
      </c>
      <c r="D53">
        <v>0.8</v>
      </c>
    </row>
    <row r="54" spans="1:4" x14ac:dyDescent="0.3">
      <c r="A54" t="s">
        <v>1060</v>
      </c>
      <c r="B54" t="s">
        <v>58</v>
      </c>
      <c r="C54">
        <v>1.5</v>
      </c>
      <c r="D54">
        <v>0.8</v>
      </c>
    </row>
    <row r="55" spans="1:4" x14ac:dyDescent="0.3">
      <c r="A55" t="s">
        <v>1628</v>
      </c>
      <c r="B55" t="s">
        <v>58</v>
      </c>
      <c r="C55">
        <v>1.5</v>
      </c>
      <c r="D55">
        <v>0.8</v>
      </c>
    </row>
    <row r="56" spans="1:4" x14ac:dyDescent="0.3">
      <c r="A56" t="s">
        <v>4629</v>
      </c>
      <c r="B56" t="s">
        <v>58</v>
      </c>
      <c r="C56">
        <v>1.9</v>
      </c>
      <c r="D56">
        <v>0.9</v>
      </c>
    </row>
    <row r="57" spans="1:4" x14ac:dyDescent="0.3">
      <c r="A57" t="s">
        <v>1644</v>
      </c>
      <c r="B57" t="s">
        <v>58</v>
      </c>
      <c r="C57">
        <v>0.4</v>
      </c>
      <c r="D57">
        <v>0.8</v>
      </c>
    </row>
    <row r="58" spans="1:4" x14ac:dyDescent="0.3">
      <c r="A58" t="str">
        <f>A38</f>
        <v>Sunflower Seed</v>
      </c>
      <c r="B58" t="str">
        <f>B59</f>
        <v>North Africa and West Asia</v>
      </c>
      <c r="C58">
        <f>C59</f>
        <v>2.2999999999999998</v>
      </c>
      <c r="D58">
        <v>0.5</v>
      </c>
    </row>
    <row r="59" spans="1:4" x14ac:dyDescent="0.3">
      <c r="A59" t="s">
        <v>1642</v>
      </c>
      <c r="B59" t="s">
        <v>58</v>
      </c>
      <c r="C59">
        <v>2.2999999999999998</v>
      </c>
      <c r="D59">
        <v>0.7</v>
      </c>
    </row>
    <row r="60" spans="1:4" x14ac:dyDescent="0.3">
      <c r="A60" t="s">
        <v>1679</v>
      </c>
      <c r="B60" t="s">
        <v>58</v>
      </c>
      <c r="C60">
        <v>1.3</v>
      </c>
      <c r="D60" s="1">
        <v>0</v>
      </c>
    </row>
    <row r="61" spans="1:4" x14ac:dyDescent="0.3">
      <c r="A61" t="s">
        <v>1604</v>
      </c>
      <c r="B61" t="s">
        <v>58</v>
      </c>
      <c r="C61">
        <v>2.5</v>
      </c>
      <c r="D61" s="1">
        <f>D42</f>
        <v>0.8</v>
      </c>
    </row>
    <row r="62" spans="1:4" x14ac:dyDescent="0.3">
      <c r="A62" t="s">
        <v>1544</v>
      </c>
      <c r="B62" t="s">
        <v>65</v>
      </c>
      <c r="C62">
        <v>1.2</v>
      </c>
      <c r="D62">
        <v>0.7</v>
      </c>
    </row>
    <row r="63" spans="1:4" x14ac:dyDescent="0.3">
      <c r="A63" t="s">
        <v>1549</v>
      </c>
      <c r="B63" t="s">
        <v>65</v>
      </c>
      <c r="C63">
        <v>1.2</v>
      </c>
      <c r="D63" s="1">
        <f>D$62</f>
        <v>0.7</v>
      </c>
    </row>
    <row r="64" spans="1:4" x14ac:dyDescent="0.3">
      <c r="A64" t="s">
        <v>929</v>
      </c>
      <c r="B64" t="s">
        <v>65</v>
      </c>
      <c r="C64">
        <v>1.2</v>
      </c>
      <c r="D64" s="1">
        <f>D$62</f>
        <v>0.7</v>
      </c>
    </row>
    <row r="65" spans="1:4" x14ac:dyDescent="0.3">
      <c r="A65" t="s">
        <v>950</v>
      </c>
      <c r="B65" t="s">
        <v>65</v>
      </c>
      <c r="C65">
        <v>1.2</v>
      </c>
      <c r="D65" s="1">
        <f>D$62</f>
        <v>0.7</v>
      </c>
    </row>
    <row r="66" spans="1:4" x14ac:dyDescent="0.3">
      <c r="A66" t="s">
        <v>955</v>
      </c>
      <c r="B66" t="s">
        <v>65</v>
      </c>
      <c r="C66">
        <v>1.2</v>
      </c>
      <c r="D66" s="1">
        <f>D$62</f>
        <v>0.7</v>
      </c>
    </row>
    <row r="67" spans="1:4" x14ac:dyDescent="0.3">
      <c r="A67" t="s">
        <v>1563</v>
      </c>
      <c r="B67" t="s">
        <v>65</v>
      </c>
      <c r="C67">
        <v>1</v>
      </c>
      <c r="D67">
        <v>0</v>
      </c>
    </row>
    <row r="68" spans="1:4" x14ac:dyDescent="0.3">
      <c r="A68" t="s">
        <v>989</v>
      </c>
      <c r="B68" t="s">
        <v>65</v>
      </c>
      <c r="C68">
        <v>0.8</v>
      </c>
      <c r="D68" s="1">
        <f>D67</f>
        <v>0</v>
      </c>
    </row>
    <row r="69" spans="1:4" x14ac:dyDescent="0.3">
      <c r="A69" t="s">
        <v>1573</v>
      </c>
      <c r="B69" t="s">
        <v>65</v>
      </c>
      <c r="C69">
        <v>0.7</v>
      </c>
      <c r="D69">
        <v>0.9</v>
      </c>
    </row>
    <row r="70" spans="1:4" x14ac:dyDescent="0.3">
      <c r="A70" t="s">
        <v>1580</v>
      </c>
      <c r="B70" t="s">
        <v>65</v>
      </c>
      <c r="C70">
        <v>0.5</v>
      </c>
      <c r="D70">
        <v>0</v>
      </c>
    </row>
    <row r="71" spans="1:4" x14ac:dyDescent="0.3">
      <c r="A71" t="str">
        <f>A51</f>
        <v>Sugar Crops nes</v>
      </c>
      <c r="B71" t="str">
        <f>B70</f>
        <v>North America and Oceania</v>
      </c>
      <c r="C71">
        <f>AVERAGE(C69:C70)</f>
        <v>0.6</v>
      </c>
      <c r="D71">
        <v>0</v>
      </c>
    </row>
    <row r="72" spans="1:4" x14ac:dyDescent="0.3">
      <c r="A72" t="str">
        <f>A52</f>
        <v>Beans, Dry</v>
      </c>
      <c r="B72" t="str">
        <f>B71</f>
        <v>North America and Oceania</v>
      </c>
      <c r="C72">
        <f>C73</f>
        <v>1</v>
      </c>
      <c r="D72">
        <v>0</v>
      </c>
    </row>
    <row r="73" spans="1:4" x14ac:dyDescent="0.3">
      <c r="A73" t="s">
        <v>1588</v>
      </c>
      <c r="B73" t="s">
        <v>65</v>
      </c>
      <c r="C73">
        <v>1</v>
      </c>
      <c r="D73">
        <v>0.7</v>
      </c>
    </row>
    <row r="74" spans="1:4" x14ac:dyDescent="0.3">
      <c r="A74" t="s">
        <v>1060</v>
      </c>
      <c r="B74" t="s">
        <v>65</v>
      </c>
      <c r="C74">
        <v>1.2</v>
      </c>
      <c r="D74">
        <v>0.7</v>
      </c>
    </row>
    <row r="75" spans="1:4" x14ac:dyDescent="0.3">
      <c r="A75" t="s">
        <v>1628</v>
      </c>
      <c r="B75" t="s">
        <v>65</v>
      </c>
      <c r="C75">
        <v>1.2</v>
      </c>
      <c r="D75">
        <v>0.7</v>
      </c>
    </row>
    <row r="76" spans="1:4" x14ac:dyDescent="0.3">
      <c r="A76" t="s">
        <v>4629</v>
      </c>
      <c r="B76" t="s">
        <v>65</v>
      </c>
      <c r="C76">
        <v>1.9</v>
      </c>
      <c r="D76">
        <v>0.9</v>
      </c>
    </row>
    <row r="77" spans="1:4" x14ac:dyDescent="0.3">
      <c r="A77" t="s">
        <v>1644</v>
      </c>
      <c r="B77" t="s">
        <v>65</v>
      </c>
      <c r="C77">
        <v>1</v>
      </c>
      <c r="D77">
        <v>0.7</v>
      </c>
    </row>
    <row r="78" spans="1:4" x14ac:dyDescent="0.3">
      <c r="A78" t="str">
        <f>A58</f>
        <v>Sunflower Seed</v>
      </c>
      <c r="B78" t="str">
        <f>B79</f>
        <v>North America and Oceania</v>
      </c>
      <c r="C78">
        <f>C79</f>
        <v>1.9</v>
      </c>
      <c r="D78">
        <v>0.5</v>
      </c>
    </row>
    <row r="79" spans="1:4" x14ac:dyDescent="0.3">
      <c r="A79" t="s">
        <v>1642</v>
      </c>
      <c r="B79" t="s">
        <v>65</v>
      </c>
      <c r="C79">
        <v>1.9</v>
      </c>
      <c r="D79">
        <v>0.7</v>
      </c>
    </row>
    <row r="80" spans="1:4" x14ac:dyDescent="0.3">
      <c r="A80" t="s">
        <v>1679</v>
      </c>
      <c r="B80" t="s">
        <v>65</v>
      </c>
      <c r="C80">
        <v>1.3</v>
      </c>
      <c r="D80" s="1">
        <v>0</v>
      </c>
    </row>
    <row r="81" spans="1:4" x14ac:dyDescent="0.3">
      <c r="A81" t="s">
        <v>1604</v>
      </c>
      <c r="B81" t="s">
        <v>65</v>
      </c>
      <c r="C81">
        <v>2.5</v>
      </c>
      <c r="D81" s="1">
        <f>D62</f>
        <v>0.7</v>
      </c>
    </row>
    <row r="82" spans="1:4" x14ac:dyDescent="0.3">
      <c r="A82" t="s">
        <v>1544</v>
      </c>
      <c r="B82" t="s">
        <v>76</v>
      </c>
      <c r="C82">
        <v>1</v>
      </c>
      <c r="D82">
        <v>0.7</v>
      </c>
    </row>
    <row r="83" spans="1:4" x14ac:dyDescent="0.3">
      <c r="A83" t="s">
        <v>1549</v>
      </c>
      <c r="B83" t="s">
        <v>76</v>
      </c>
      <c r="C83">
        <v>1.2</v>
      </c>
      <c r="D83" s="1">
        <f>D$82</f>
        <v>0.7</v>
      </c>
    </row>
    <row r="84" spans="1:4" x14ac:dyDescent="0.3">
      <c r="A84" t="s">
        <v>929</v>
      </c>
      <c r="B84" t="s">
        <v>76</v>
      </c>
      <c r="C84">
        <v>1.2</v>
      </c>
      <c r="D84" s="1">
        <f>D$82</f>
        <v>0.7</v>
      </c>
    </row>
    <row r="85" spans="1:4" x14ac:dyDescent="0.3">
      <c r="A85" t="s">
        <v>950</v>
      </c>
      <c r="B85" t="s">
        <v>76</v>
      </c>
      <c r="C85">
        <v>1.2</v>
      </c>
      <c r="D85" s="1">
        <f>D$82</f>
        <v>0.7</v>
      </c>
    </row>
    <row r="86" spans="1:4" x14ac:dyDescent="0.3">
      <c r="A86" t="s">
        <v>955</v>
      </c>
      <c r="B86" t="s">
        <v>76</v>
      </c>
      <c r="C86">
        <v>1.2</v>
      </c>
      <c r="D86" s="1">
        <f>D$82</f>
        <v>0.7</v>
      </c>
    </row>
    <row r="87" spans="1:4" x14ac:dyDescent="0.3">
      <c r="A87" t="s">
        <v>1563</v>
      </c>
      <c r="B87" t="s">
        <v>76</v>
      </c>
      <c r="C87">
        <v>1</v>
      </c>
      <c r="D87">
        <v>0</v>
      </c>
    </row>
    <row r="88" spans="1:4" x14ac:dyDescent="0.3">
      <c r="A88" t="s">
        <v>989</v>
      </c>
      <c r="B88" t="s">
        <v>76</v>
      </c>
      <c r="C88">
        <v>0.8</v>
      </c>
      <c r="D88" s="1">
        <f>D87</f>
        <v>0</v>
      </c>
    </row>
    <row r="89" spans="1:4" x14ac:dyDescent="0.3">
      <c r="A89" t="s">
        <v>1573</v>
      </c>
      <c r="B89" t="s">
        <v>76</v>
      </c>
      <c r="C89">
        <v>0.7</v>
      </c>
      <c r="D89">
        <v>0.9</v>
      </c>
    </row>
    <row r="90" spans="1:4" x14ac:dyDescent="0.3">
      <c r="A90" t="s">
        <v>1580</v>
      </c>
      <c r="B90" t="s">
        <v>76</v>
      </c>
      <c r="C90">
        <v>0.5</v>
      </c>
      <c r="D90">
        <v>0</v>
      </c>
    </row>
    <row r="91" spans="1:4" x14ac:dyDescent="0.3">
      <c r="A91" t="str">
        <f>A71</f>
        <v>Sugar Crops nes</v>
      </c>
      <c r="B91" t="str">
        <f>B90</f>
        <v>West Europe</v>
      </c>
      <c r="C91">
        <f>AVERAGE(C89:C90)</f>
        <v>0.6</v>
      </c>
      <c r="D91">
        <v>0</v>
      </c>
    </row>
    <row r="92" spans="1:4" x14ac:dyDescent="0.3">
      <c r="A92" t="str">
        <f>A72</f>
        <v>Beans, Dry</v>
      </c>
      <c r="B92" t="str">
        <f>B91</f>
        <v>West Europe</v>
      </c>
      <c r="C92">
        <f>C93</f>
        <v>1</v>
      </c>
      <c r="D92">
        <v>0</v>
      </c>
    </row>
    <row r="93" spans="1:4" x14ac:dyDescent="0.3">
      <c r="A93" t="s">
        <v>1588</v>
      </c>
      <c r="B93" t="s">
        <v>76</v>
      </c>
      <c r="C93">
        <v>1</v>
      </c>
      <c r="D93">
        <v>0.7</v>
      </c>
    </row>
    <row r="94" spans="1:4" x14ac:dyDescent="0.3">
      <c r="A94" t="s">
        <v>1060</v>
      </c>
      <c r="B94" t="s">
        <v>76</v>
      </c>
      <c r="C94">
        <v>1.2</v>
      </c>
      <c r="D94">
        <v>0.7</v>
      </c>
    </row>
    <row r="95" spans="1:4" x14ac:dyDescent="0.3">
      <c r="A95" t="s">
        <v>1628</v>
      </c>
      <c r="B95" t="s">
        <v>76</v>
      </c>
      <c r="C95">
        <v>1.2</v>
      </c>
      <c r="D95">
        <v>0.7</v>
      </c>
    </row>
    <row r="96" spans="1:4" x14ac:dyDescent="0.3">
      <c r="A96" t="s">
        <v>4629</v>
      </c>
      <c r="B96" t="s">
        <v>76</v>
      </c>
      <c r="C96">
        <v>1.9</v>
      </c>
      <c r="D96">
        <v>0.9</v>
      </c>
    </row>
    <row r="97" spans="1:4" x14ac:dyDescent="0.3">
      <c r="A97" t="s">
        <v>1644</v>
      </c>
      <c r="B97" t="s">
        <v>76</v>
      </c>
      <c r="C97">
        <v>1</v>
      </c>
      <c r="D97">
        <v>0.7</v>
      </c>
    </row>
    <row r="98" spans="1:4" x14ac:dyDescent="0.3">
      <c r="A98" t="str">
        <f>A78</f>
        <v>Sunflower Seed</v>
      </c>
      <c r="B98" t="str">
        <f>B99</f>
        <v>West Europe</v>
      </c>
      <c r="C98">
        <f>C99</f>
        <v>1.9</v>
      </c>
      <c r="D98">
        <v>0.5</v>
      </c>
    </row>
    <row r="99" spans="1:4" x14ac:dyDescent="0.3">
      <c r="A99" t="s">
        <v>1642</v>
      </c>
      <c r="B99" t="s">
        <v>76</v>
      </c>
      <c r="C99">
        <v>1.9</v>
      </c>
      <c r="D99">
        <v>0.7</v>
      </c>
    </row>
    <row r="100" spans="1:4" x14ac:dyDescent="0.3">
      <c r="A100" t="s">
        <v>1679</v>
      </c>
      <c r="B100" t="s">
        <v>76</v>
      </c>
      <c r="C100">
        <v>1.3</v>
      </c>
      <c r="D100" s="1">
        <v>0</v>
      </c>
    </row>
    <row r="101" spans="1:4" x14ac:dyDescent="0.3">
      <c r="A101" t="s">
        <v>1604</v>
      </c>
      <c r="B101" t="s">
        <v>76</v>
      </c>
      <c r="C101">
        <v>2.5</v>
      </c>
      <c r="D101" s="1">
        <f>D82</f>
        <v>0.7</v>
      </c>
    </row>
    <row r="102" spans="1:4" x14ac:dyDescent="0.3">
      <c r="A102" t="s">
        <v>1544</v>
      </c>
      <c r="B102" t="s">
        <v>81</v>
      </c>
      <c r="C102">
        <v>2.2999999999999998</v>
      </c>
      <c r="D102">
        <v>0.9</v>
      </c>
    </row>
    <row r="103" spans="1:4" x14ac:dyDescent="0.3">
      <c r="A103" t="s">
        <v>1549</v>
      </c>
      <c r="B103" t="s">
        <v>81</v>
      </c>
      <c r="C103">
        <v>1.5</v>
      </c>
      <c r="D103" s="1">
        <f>D$102</f>
        <v>0.9</v>
      </c>
    </row>
    <row r="104" spans="1:4" x14ac:dyDescent="0.3">
      <c r="A104" t="s">
        <v>929</v>
      </c>
      <c r="B104" t="s">
        <v>81</v>
      </c>
      <c r="C104">
        <v>3.5</v>
      </c>
      <c r="D104" s="1">
        <f>D$102</f>
        <v>0.9</v>
      </c>
    </row>
    <row r="105" spans="1:4" x14ac:dyDescent="0.3">
      <c r="A105" t="s">
        <v>950</v>
      </c>
      <c r="B105" t="s">
        <v>81</v>
      </c>
      <c r="C105">
        <v>3.5</v>
      </c>
      <c r="D105" s="1">
        <f>D$102</f>
        <v>0.9</v>
      </c>
    </row>
    <row r="106" spans="1:4" x14ac:dyDescent="0.3">
      <c r="A106" t="s">
        <v>955</v>
      </c>
      <c r="B106" t="s">
        <v>81</v>
      </c>
      <c r="C106">
        <v>3.5</v>
      </c>
      <c r="D106" s="1">
        <f>D$102</f>
        <v>0.9</v>
      </c>
    </row>
    <row r="107" spans="1:4" x14ac:dyDescent="0.3">
      <c r="A107" t="s">
        <v>1563</v>
      </c>
      <c r="B107" t="s">
        <v>81</v>
      </c>
      <c r="C107">
        <v>1</v>
      </c>
      <c r="D107">
        <v>0.75</v>
      </c>
    </row>
    <row r="108" spans="1:4" x14ac:dyDescent="0.3">
      <c r="A108" t="s">
        <v>989</v>
      </c>
      <c r="B108" t="s">
        <v>81</v>
      </c>
      <c r="C108">
        <v>0.8</v>
      </c>
      <c r="D108" s="1">
        <f>D107</f>
        <v>0.75</v>
      </c>
    </row>
    <row r="109" spans="1:4" x14ac:dyDescent="0.3">
      <c r="A109" t="s">
        <v>1573</v>
      </c>
      <c r="B109" t="s">
        <v>81</v>
      </c>
      <c r="C109">
        <v>0.7</v>
      </c>
      <c r="D109">
        <v>0.9</v>
      </c>
    </row>
    <row r="110" spans="1:4" x14ac:dyDescent="0.3">
      <c r="A110" t="s">
        <v>1580</v>
      </c>
      <c r="B110" t="s">
        <v>81</v>
      </c>
      <c r="C110">
        <v>0.7</v>
      </c>
      <c r="D110">
        <v>0.75</v>
      </c>
    </row>
    <row r="111" spans="1:4" x14ac:dyDescent="0.3">
      <c r="A111" t="str">
        <f>A91</f>
        <v>Sugar Crops nes</v>
      </c>
      <c r="B111" t="str">
        <f>B110</f>
        <v>Sub-saharan Africa</v>
      </c>
      <c r="C111">
        <f>AVERAGE(C109:C110)</f>
        <v>0.7</v>
      </c>
      <c r="D111">
        <v>0.8</v>
      </c>
    </row>
    <row r="112" spans="1:4" x14ac:dyDescent="0.3">
      <c r="A112" t="str">
        <f>A92</f>
        <v>Beans, Dry</v>
      </c>
      <c r="B112" t="str">
        <f>B111</f>
        <v>Sub-saharan Africa</v>
      </c>
      <c r="C112">
        <f>C113</f>
        <v>0.4</v>
      </c>
      <c r="D112">
        <v>0.5</v>
      </c>
    </row>
    <row r="113" spans="1:4" x14ac:dyDescent="0.3">
      <c r="A113" t="s">
        <v>1588</v>
      </c>
      <c r="B113" t="s">
        <v>81</v>
      </c>
      <c r="C113">
        <v>0.4</v>
      </c>
      <c r="D113">
        <v>0.9</v>
      </c>
    </row>
    <row r="114" spans="1:4" x14ac:dyDescent="0.3">
      <c r="A114" t="s">
        <v>1060</v>
      </c>
      <c r="B114" t="s">
        <v>81</v>
      </c>
      <c r="C114">
        <v>1.5</v>
      </c>
      <c r="D114">
        <v>0.9</v>
      </c>
    </row>
    <row r="115" spans="1:4" x14ac:dyDescent="0.3">
      <c r="A115" t="s">
        <v>1628</v>
      </c>
      <c r="B115" t="s">
        <v>81</v>
      </c>
      <c r="C115">
        <v>1.5</v>
      </c>
      <c r="D115">
        <v>0.9</v>
      </c>
    </row>
    <row r="116" spans="1:4" x14ac:dyDescent="0.3">
      <c r="A116" t="s">
        <v>4629</v>
      </c>
      <c r="B116" t="s">
        <v>81</v>
      </c>
      <c r="C116">
        <v>1.9</v>
      </c>
      <c r="D116">
        <v>0.9</v>
      </c>
    </row>
    <row r="117" spans="1:4" x14ac:dyDescent="0.3">
      <c r="A117" t="s">
        <v>1644</v>
      </c>
      <c r="B117" t="s">
        <v>81</v>
      </c>
      <c r="C117">
        <v>0.4</v>
      </c>
      <c r="D117">
        <v>0.9</v>
      </c>
    </row>
    <row r="118" spans="1:4" x14ac:dyDescent="0.3">
      <c r="A118" t="str">
        <f>A98</f>
        <v>Sunflower Seed</v>
      </c>
      <c r="B118" t="str">
        <f>B119</f>
        <v>Sub-saharan Africa</v>
      </c>
      <c r="C118">
        <f>C119</f>
        <v>2.2999999999999998</v>
      </c>
      <c r="D118">
        <v>0.5</v>
      </c>
    </row>
    <row r="119" spans="1:4" x14ac:dyDescent="0.3">
      <c r="A119" t="s">
        <v>1642</v>
      </c>
      <c r="B119" t="s">
        <v>81</v>
      </c>
      <c r="C119">
        <v>2.2999999999999998</v>
      </c>
      <c r="D119">
        <v>0.7</v>
      </c>
    </row>
    <row r="120" spans="1:4" x14ac:dyDescent="0.3">
      <c r="A120" t="s">
        <v>1679</v>
      </c>
      <c r="B120" t="s">
        <v>81</v>
      </c>
      <c r="C120">
        <v>1.3</v>
      </c>
      <c r="D120" s="1">
        <v>0</v>
      </c>
    </row>
    <row r="121" spans="1:4" x14ac:dyDescent="0.3">
      <c r="A121" t="s">
        <v>1604</v>
      </c>
      <c r="B121" t="s">
        <v>81</v>
      </c>
      <c r="C121">
        <v>2.5</v>
      </c>
      <c r="D121" s="1">
        <f>D102</f>
        <v>0.9</v>
      </c>
    </row>
    <row r="122" spans="1:4" x14ac:dyDescent="0.3">
      <c r="A122" t="s">
        <v>1544</v>
      </c>
      <c r="B122" t="s">
        <v>91</v>
      </c>
      <c r="C122">
        <v>1.5</v>
      </c>
      <c r="D122">
        <v>0.8</v>
      </c>
    </row>
    <row r="123" spans="1:4" x14ac:dyDescent="0.3">
      <c r="A123" t="s">
        <v>1549</v>
      </c>
      <c r="B123" t="s">
        <v>91</v>
      </c>
      <c r="C123">
        <v>1.2</v>
      </c>
      <c r="D123" s="1">
        <f>D$122</f>
        <v>0.8</v>
      </c>
    </row>
    <row r="124" spans="1:4" x14ac:dyDescent="0.3">
      <c r="A124" t="s">
        <v>929</v>
      </c>
      <c r="B124" t="s">
        <v>91</v>
      </c>
      <c r="C124">
        <v>3</v>
      </c>
      <c r="D124" s="1">
        <f>D$122</f>
        <v>0.8</v>
      </c>
    </row>
    <row r="125" spans="1:4" x14ac:dyDescent="0.3">
      <c r="A125" t="s">
        <v>950</v>
      </c>
      <c r="B125" t="s">
        <v>91</v>
      </c>
      <c r="C125">
        <v>3</v>
      </c>
      <c r="D125" s="1">
        <f>D$122</f>
        <v>0.8</v>
      </c>
    </row>
    <row r="126" spans="1:4" x14ac:dyDescent="0.3">
      <c r="A126" t="s">
        <v>955</v>
      </c>
      <c r="B126" t="s">
        <v>91</v>
      </c>
      <c r="C126">
        <v>3</v>
      </c>
      <c r="D126" s="1">
        <f>D$122</f>
        <v>0.8</v>
      </c>
    </row>
    <row r="127" spans="1:4" x14ac:dyDescent="0.3">
      <c r="A127" t="s">
        <v>1563</v>
      </c>
      <c r="B127" t="s">
        <v>91</v>
      </c>
      <c r="C127">
        <v>1</v>
      </c>
      <c r="D127">
        <v>0.75</v>
      </c>
    </row>
    <row r="128" spans="1:4" x14ac:dyDescent="0.3">
      <c r="A128" t="s">
        <v>989</v>
      </c>
      <c r="B128" t="s">
        <v>91</v>
      </c>
      <c r="C128">
        <v>0.8</v>
      </c>
      <c r="D128" s="1">
        <f>D127</f>
        <v>0.75</v>
      </c>
    </row>
    <row r="129" spans="1:4" x14ac:dyDescent="0.3">
      <c r="A129" t="s">
        <v>1573</v>
      </c>
      <c r="B129" t="s">
        <v>91</v>
      </c>
      <c r="C129">
        <v>0.7</v>
      </c>
      <c r="D129">
        <v>0.9</v>
      </c>
    </row>
    <row r="130" spans="1:4" x14ac:dyDescent="0.3">
      <c r="A130" t="s">
        <v>1580</v>
      </c>
      <c r="B130" t="s">
        <v>91</v>
      </c>
      <c r="C130">
        <v>0.7</v>
      </c>
      <c r="D130">
        <v>0.75</v>
      </c>
    </row>
    <row r="131" spans="1:4" x14ac:dyDescent="0.3">
      <c r="A131" t="str">
        <f>A111</f>
        <v>Sugar Crops nes</v>
      </c>
      <c r="B131" t="str">
        <f>B130</f>
        <v>Latin America and Caribbean</v>
      </c>
      <c r="C131">
        <f>AVERAGE(C129:C130)</f>
        <v>0.7</v>
      </c>
      <c r="D131">
        <v>0.8</v>
      </c>
    </row>
    <row r="132" spans="1:4" x14ac:dyDescent="0.3">
      <c r="A132" t="str">
        <f>A112</f>
        <v>Beans, Dry</v>
      </c>
      <c r="B132" t="str">
        <f>B131</f>
        <v>Latin America and Caribbean</v>
      </c>
      <c r="C132">
        <f>C133</f>
        <v>0.4</v>
      </c>
      <c r="D132">
        <v>0.5</v>
      </c>
    </row>
    <row r="133" spans="1:4" x14ac:dyDescent="0.3">
      <c r="A133" t="s">
        <v>1588</v>
      </c>
      <c r="B133" t="s">
        <v>91</v>
      </c>
      <c r="C133">
        <v>0.4</v>
      </c>
      <c r="D133">
        <v>0.8</v>
      </c>
    </row>
    <row r="134" spans="1:4" x14ac:dyDescent="0.3">
      <c r="A134" t="s">
        <v>1060</v>
      </c>
      <c r="B134" t="s">
        <v>91</v>
      </c>
      <c r="C134">
        <v>1.5</v>
      </c>
      <c r="D134">
        <v>0.8</v>
      </c>
    </row>
    <row r="135" spans="1:4" x14ac:dyDescent="0.3">
      <c r="A135" t="s">
        <v>1628</v>
      </c>
      <c r="B135" t="s">
        <v>91</v>
      </c>
      <c r="C135">
        <v>1.5</v>
      </c>
      <c r="D135">
        <v>0.8</v>
      </c>
    </row>
    <row r="136" spans="1:4" x14ac:dyDescent="0.3">
      <c r="A136" t="s">
        <v>4629</v>
      </c>
      <c r="B136" t="s">
        <v>91</v>
      </c>
      <c r="C136">
        <v>1.9</v>
      </c>
      <c r="D136">
        <v>0.9</v>
      </c>
    </row>
    <row r="137" spans="1:4" x14ac:dyDescent="0.3">
      <c r="A137" t="s">
        <v>1644</v>
      </c>
      <c r="B137" t="s">
        <v>91</v>
      </c>
      <c r="C137">
        <v>0.4</v>
      </c>
      <c r="D137">
        <v>0.8</v>
      </c>
    </row>
    <row r="138" spans="1:4" x14ac:dyDescent="0.3">
      <c r="A138" t="str">
        <f>A118</f>
        <v>Sunflower Seed</v>
      </c>
      <c r="B138" t="str">
        <f>B139</f>
        <v>Latin America and Caribbean</v>
      </c>
      <c r="C138">
        <f>C139</f>
        <v>2.2999999999999998</v>
      </c>
      <c r="D138">
        <v>0.5</v>
      </c>
    </row>
    <row r="139" spans="1:4" x14ac:dyDescent="0.3">
      <c r="A139" t="s">
        <v>1642</v>
      </c>
      <c r="B139" t="s">
        <v>91</v>
      </c>
      <c r="C139">
        <v>2.2999999999999998</v>
      </c>
      <c r="D139">
        <v>0.7</v>
      </c>
    </row>
    <row r="140" spans="1:4" x14ac:dyDescent="0.3">
      <c r="A140" t="s">
        <v>1679</v>
      </c>
      <c r="B140" t="s">
        <v>91</v>
      </c>
      <c r="C140">
        <v>1.3</v>
      </c>
      <c r="D140" s="1">
        <v>0</v>
      </c>
    </row>
    <row r="141" spans="1:4" x14ac:dyDescent="0.3">
      <c r="A141" t="s">
        <v>1604</v>
      </c>
      <c r="B141" t="s">
        <v>91</v>
      </c>
      <c r="C141">
        <v>2.5</v>
      </c>
      <c r="D141" s="1">
        <f>D122</f>
        <v>0.8</v>
      </c>
    </row>
    <row r="142" spans="1:4" x14ac:dyDescent="0.3">
      <c r="A142" t="s">
        <v>1544</v>
      </c>
      <c r="B142" t="s">
        <v>204</v>
      </c>
      <c r="C142">
        <v>1.5</v>
      </c>
      <c r="D142">
        <v>0.8</v>
      </c>
    </row>
    <row r="143" spans="1:4" x14ac:dyDescent="0.3">
      <c r="A143" t="s">
        <v>1549</v>
      </c>
      <c r="B143" t="s">
        <v>204</v>
      </c>
      <c r="C143">
        <v>1</v>
      </c>
      <c r="D143" s="1">
        <f>D$142</f>
        <v>0.8</v>
      </c>
    </row>
    <row r="144" spans="1:4" x14ac:dyDescent="0.3">
      <c r="A144" t="s">
        <v>929</v>
      </c>
      <c r="B144" t="s">
        <v>204</v>
      </c>
      <c r="C144">
        <v>3</v>
      </c>
      <c r="D144" s="1">
        <f t="shared" ref="D144:D146" si="0">D$142</f>
        <v>0.8</v>
      </c>
    </row>
    <row r="145" spans="1:4" x14ac:dyDescent="0.3">
      <c r="A145" t="s">
        <v>950</v>
      </c>
      <c r="B145" t="s">
        <v>204</v>
      </c>
      <c r="C145">
        <v>3</v>
      </c>
      <c r="D145" s="1">
        <f t="shared" si="0"/>
        <v>0.8</v>
      </c>
    </row>
    <row r="146" spans="1:4" x14ac:dyDescent="0.3">
      <c r="A146" t="s">
        <v>955</v>
      </c>
      <c r="B146" t="s">
        <v>204</v>
      </c>
      <c r="C146">
        <v>3</v>
      </c>
      <c r="D146" s="1">
        <f t="shared" si="0"/>
        <v>0.8</v>
      </c>
    </row>
    <row r="147" spans="1:4" x14ac:dyDescent="0.3">
      <c r="A147" t="s">
        <v>1563</v>
      </c>
      <c r="B147" t="s">
        <v>204</v>
      </c>
      <c r="C147">
        <v>1</v>
      </c>
      <c r="D147">
        <v>0.75</v>
      </c>
    </row>
    <row r="148" spans="1:4" x14ac:dyDescent="0.3">
      <c r="A148" t="s">
        <v>989</v>
      </c>
      <c r="B148" t="s">
        <v>204</v>
      </c>
      <c r="C148">
        <v>0.8</v>
      </c>
      <c r="D148" s="1">
        <f>D147</f>
        <v>0.75</v>
      </c>
    </row>
    <row r="149" spans="1:4" x14ac:dyDescent="0.3">
      <c r="A149" t="s">
        <v>1573</v>
      </c>
      <c r="B149" t="s">
        <v>204</v>
      </c>
      <c r="C149">
        <v>0.7</v>
      </c>
      <c r="D149">
        <v>0.9</v>
      </c>
    </row>
    <row r="150" spans="1:4" x14ac:dyDescent="0.3">
      <c r="A150" t="s">
        <v>1580</v>
      </c>
      <c r="B150" t="s">
        <v>204</v>
      </c>
      <c r="C150">
        <v>0.7</v>
      </c>
      <c r="D150">
        <v>0.75</v>
      </c>
    </row>
    <row r="151" spans="1:4" x14ac:dyDescent="0.3">
      <c r="A151" t="str">
        <f>A131</f>
        <v>Sugar Crops nes</v>
      </c>
      <c r="B151" t="str">
        <f>B150</f>
        <v>East Asia</v>
      </c>
      <c r="C151">
        <f>AVERAGE(C149:C150)</f>
        <v>0.7</v>
      </c>
      <c r="D151">
        <v>0.8</v>
      </c>
    </row>
    <row r="152" spans="1:4" x14ac:dyDescent="0.3">
      <c r="A152" t="str">
        <f>A132</f>
        <v>Beans, Dry</v>
      </c>
      <c r="B152" t="str">
        <f>B151</f>
        <v>East Asia</v>
      </c>
      <c r="C152">
        <f>C153</f>
        <v>0.4</v>
      </c>
      <c r="D152">
        <v>0.5</v>
      </c>
    </row>
    <row r="153" spans="1:4" x14ac:dyDescent="0.3">
      <c r="A153" t="s">
        <v>1588</v>
      </c>
      <c r="B153" t="s">
        <v>204</v>
      </c>
      <c r="C153">
        <v>0.4</v>
      </c>
      <c r="D153">
        <v>0.8</v>
      </c>
    </row>
    <row r="154" spans="1:4" x14ac:dyDescent="0.3">
      <c r="A154" t="s">
        <v>1060</v>
      </c>
      <c r="B154" t="s">
        <v>204</v>
      </c>
      <c r="C154">
        <v>1.2</v>
      </c>
      <c r="D154">
        <v>0.8</v>
      </c>
    </row>
    <row r="155" spans="1:4" x14ac:dyDescent="0.3">
      <c r="A155" t="s">
        <v>1628</v>
      </c>
      <c r="B155" t="s">
        <v>204</v>
      </c>
      <c r="C155">
        <v>1.2</v>
      </c>
      <c r="D155">
        <v>0.8</v>
      </c>
    </row>
    <row r="156" spans="1:4" x14ac:dyDescent="0.3">
      <c r="A156" t="s">
        <v>4629</v>
      </c>
      <c r="B156" t="s">
        <v>204</v>
      </c>
      <c r="C156">
        <v>1.5</v>
      </c>
      <c r="D156">
        <v>0.9</v>
      </c>
    </row>
    <row r="157" spans="1:4" x14ac:dyDescent="0.3">
      <c r="A157" t="s">
        <v>1644</v>
      </c>
      <c r="B157" t="s">
        <v>204</v>
      </c>
      <c r="C157">
        <v>0.4</v>
      </c>
      <c r="D157">
        <v>0.8</v>
      </c>
    </row>
    <row r="158" spans="1:4" x14ac:dyDescent="0.3">
      <c r="A158" t="str">
        <f>A138</f>
        <v>Sunflower Seed</v>
      </c>
      <c r="B158" t="str">
        <f>B159</f>
        <v>East Asia</v>
      </c>
      <c r="C158">
        <f>C159</f>
        <v>2.2999999999999998</v>
      </c>
      <c r="D158">
        <v>0.5</v>
      </c>
    </row>
    <row r="159" spans="1:4" x14ac:dyDescent="0.3">
      <c r="A159" t="s">
        <v>1642</v>
      </c>
      <c r="B159" t="s">
        <v>204</v>
      </c>
      <c r="C159">
        <v>2.2999999999999998</v>
      </c>
      <c r="D159">
        <v>0.7</v>
      </c>
    </row>
    <row r="160" spans="1:4" x14ac:dyDescent="0.3">
      <c r="A160" t="s">
        <v>1679</v>
      </c>
      <c r="B160" t="s">
        <v>204</v>
      </c>
      <c r="C160">
        <v>1.3</v>
      </c>
      <c r="D160" s="1">
        <v>0</v>
      </c>
    </row>
    <row r="161" spans="1:4" x14ac:dyDescent="0.3">
      <c r="A161" t="s">
        <v>1604</v>
      </c>
      <c r="B161" t="s">
        <v>204</v>
      </c>
      <c r="C161">
        <v>2.5</v>
      </c>
      <c r="D161" s="1">
        <f>D142</f>
        <v>0.8</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A5D72-E5E2-4DBA-A325-753C8F409997}">
  <dimension ref="A1:D124"/>
  <sheetViews>
    <sheetView workbookViewId="0">
      <selection activeCell="G13" sqref="G13"/>
    </sheetView>
  </sheetViews>
  <sheetFormatPr defaultColWidth="10.77734375" defaultRowHeight="14.4" x14ac:dyDescent="0.3"/>
  <sheetData>
    <row r="1" spans="1:4" x14ac:dyDescent="0.3">
      <c r="A1" t="s">
        <v>1926</v>
      </c>
      <c r="B1" t="s">
        <v>713</v>
      </c>
      <c r="C1" t="s">
        <v>712</v>
      </c>
      <c r="D1" t="s">
        <v>4630</v>
      </c>
    </row>
    <row r="2" spans="1:4" x14ac:dyDescent="0.3">
      <c r="A2" t="s">
        <v>1987</v>
      </c>
      <c r="B2">
        <v>2807</v>
      </c>
      <c r="C2" t="s">
        <v>904</v>
      </c>
      <c r="D2">
        <v>3600</v>
      </c>
    </row>
    <row r="3" spans="1:4" x14ac:dyDescent="0.3">
      <c r="A3" t="s">
        <v>1980</v>
      </c>
      <c r="B3">
        <v>2511</v>
      </c>
      <c r="C3" t="s">
        <v>891</v>
      </c>
      <c r="D3">
        <v>3340</v>
      </c>
    </row>
    <row r="4" spans="1:4" x14ac:dyDescent="0.3">
      <c r="A4" t="s">
        <v>1983</v>
      </c>
      <c r="B4">
        <v>2513</v>
      </c>
      <c r="C4" t="s">
        <v>920</v>
      </c>
      <c r="D4">
        <v>3320</v>
      </c>
    </row>
    <row r="5" spans="1:4" x14ac:dyDescent="0.3">
      <c r="A5" t="s">
        <v>1986</v>
      </c>
      <c r="B5">
        <v>2514</v>
      </c>
      <c r="C5" t="s">
        <v>930</v>
      </c>
      <c r="D5">
        <v>3560</v>
      </c>
    </row>
    <row r="6" spans="1:4" x14ac:dyDescent="0.3">
      <c r="A6" t="s">
        <v>1981</v>
      </c>
      <c r="B6">
        <v>2515</v>
      </c>
      <c r="C6" t="s">
        <v>944</v>
      </c>
      <c r="D6">
        <v>3190</v>
      </c>
    </row>
    <row r="7" spans="1:4" x14ac:dyDescent="0.3">
      <c r="A7" t="s">
        <v>1985</v>
      </c>
      <c r="B7">
        <v>2516</v>
      </c>
      <c r="C7" t="s">
        <v>947</v>
      </c>
      <c r="D7">
        <v>3850</v>
      </c>
    </row>
    <row r="8" spans="1:4" x14ac:dyDescent="0.3">
      <c r="A8" t="s">
        <v>1979</v>
      </c>
      <c r="B8">
        <v>2517</v>
      </c>
      <c r="C8" t="s">
        <v>951</v>
      </c>
      <c r="D8">
        <v>3400</v>
      </c>
    </row>
    <row r="9" spans="1:4" x14ac:dyDescent="0.3">
      <c r="A9" t="s">
        <v>1984</v>
      </c>
      <c r="B9">
        <v>2518</v>
      </c>
      <c r="C9" t="s">
        <v>956</v>
      </c>
      <c r="D9">
        <v>3430</v>
      </c>
    </row>
    <row r="10" spans="1:4" x14ac:dyDescent="0.3">
      <c r="A10" t="s">
        <v>1982</v>
      </c>
      <c r="B10">
        <v>2520</v>
      </c>
      <c r="C10" t="s">
        <v>942</v>
      </c>
      <c r="D10">
        <v>3400</v>
      </c>
    </row>
    <row r="11" spans="1:4" x14ac:dyDescent="0.3">
      <c r="A11" t="s">
        <v>2094</v>
      </c>
      <c r="B11">
        <v>2531</v>
      </c>
      <c r="C11" t="s">
        <v>983</v>
      </c>
      <c r="D11">
        <v>670</v>
      </c>
    </row>
    <row r="12" spans="1:4" x14ac:dyDescent="0.3">
      <c r="A12" t="s">
        <v>2093</v>
      </c>
      <c r="B12">
        <v>2532</v>
      </c>
      <c r="C12" t="s">
        <v>990</v>
      </c>
      <c r="D12">
        <v>1090</v>
      </c>
    </row>
    <row r="13" spans="1:4" x14ac:dyDescent="0.3">
      <c r="A13" t="s">
        <v>2096</v>
      </c>
      <c r="B13">
        <v>2533</v>
      </c>
      <c r="C13" t="s">
        <v>988</v>
      </c>
      <c r="D13">
        <v>920</v>
      </c>
    </row>
    <row r="14" spans="1:4" x14ac:dyDescent="0.3">
      <c r="A14" t="s">
        <v>2095</v>
      </c>
      <c r="B14">
        <v>2534</v>
      </c>
      <c r="C14" t="s">
        <v>996</v>
      </c>
      <c r="D14">
        <v>910</v>
      </c>
    </row>
    <row r="15" spans="1:4" x14ac:dyDescent="0.3">
      <c r="A15" t="s">
        <v>2091</v>
      </c>
      <c r="B15">
        <v>2535</v>
      </c>
      <c r="C15" t="s">
        <v>998</v>
      </c>
      <c r="D15">
        <v>1010</v>
      </c>
    </row>
    <row r="16" spans="1:4" x14ac:dyDescent="0.3">
      <c r="A16" t="s">
        <v>2100</v>
      </c>
      <c r="B16">
        <v>2536</v>
      </c>
      <c r="C16" t="s">
        <v>1005</v>
      </c>
      <c r="D16">
        <v>400</v>
      </c>
    </row>
    <row r="17" spans="1:4" x14ac:dyDescent="0.3">
      <c r="A17" t="s">
        <v>2097</v>
      </c>
      <c r="B17">
        <v>2537</v>
      </c>
      <c r="C17" t="s">
        <v>1006</v>
      </c>
      <c r="D17">
        <v>800</v>
      </c>
    </row>
    <row r="18" spans="1:4" x14ac:dyDescent="0.3">
      <c r="A18" t="s">
        <v>2134</v>
      </c>
      <c r="B18">
        <v>2546</v>
      </c>
      <c r="C18" t="s">
        <v>1028</v>
      </c>
      <c r="D18">
        <v>3410</v>
      </c>
    </row>
    <row r="19" spans="1:4" x14ac:dyDescent="0.3">
      <c r="A19" t="s">
        <v>2135</v>
      </c>
      <c r="B19">
        <v>2547</v>
      </c>
      <c r="C19" t="s">
        <v>1032</v>
      </c>
      <c r="D19">
        <v>3460</v>
      </c>
    </row>
    <row r="20" spans="1:4" x14ac:dyDescent="0.3">
      <c r="A20" t="s">
        <v>2136</v>
      </c>
      <c r="B20">
        <v>2549</v>
      </c>
      <c r="C20" t="s">
        <v>1030</v>
      </c>
      <c r="D20">
        <v>3400</v>
      </c>
    </row>
    <row r="21" spans="1:4" x14ac:dyDescent="0.3">
      <c r="A21" t="s">
        <v>2137</v>
      </c>
      <c r="B21">
        <v>2551</v>
      </c>
      <c r="C21" t="s">
        <v>1044</v>
      </c>
      <c r="D21">
        <v>2620</v>
      </c>
    </row>
    <row r="22" spans="1:4" x14ac:dyDescent="0.3">
      <c r="A22" t="s">
        <v>2079</v>
      </c>
      <c r="B22">
        <v>2555</v>
      </c>
      <c r="C22" t="s">
        <v>1061</v>
      </c>
      <c r="D22">
        <v>3700</v>
      </c>
    </row>
    <row r="23" spans="1:4" x14ac:dyDescent="0.3">
      <c r="A23" t="s">
        <v>2076</v>
      </c>
      <c r="B23">
        <v>2552</v>
      </c>
      <c r="C23" t="s">
        <v>1070</v>
      </c>
      <c r="D23">
        <v>5700</v>
      </c>
    </row>
    <row r="24" spans="1:4" x14ac:dyDescent="0.3">
      <c r="A24" t="s">
        <v>2082</v>
      </c>
      <c r="B24">
        <v>2557</v>
      </c>
      <c r="C24" t="s">
        <v>1105</v>
      </c>
      <c r="D24">
        <v>4700</v>
      </c>
    </row>
    <row r="25" spans="1:4" x14ac:dyDescent="0.3">
      <c r="A25" t="s">
        <v>2083</v>
      </c>
      <c r="B25">
        <v>2558</v>
      </c>
      <c r="C25" t="s">
        <v>1111</v>
      </c>
      <c r="D25">
        <v>4940</v>
      </c>
    </row>
    <row r="26" spans="1:4" x14ac:dyDescent="0.3">
      <c r="A26" t="s">
        <v>2078</v>
      </c>
      <c r="B26">
        <v>328</v>
      </c>
      <c r="C26" t="s">
        <v>1525</v>
      </c>
      <c r="D26">
        <v>1600</v>
      </c>
    </row>
    <row r="27" spans="1:4" x14ac:dyDescent="0.3">
      <c r="A27" t="s">
        <v>2080</v>
      </c>
      <c r="B27">
        <v>2560</v>
      </c>
      <c r="C27" t="s">
        <v>1079</v>
      </c>
      <c r="D27">
        <v>1840</v>
      </c>
    </row>
    <row r="28" spans="1:4" x14ac:dyDescent="0.3">
      <c r="A28" t="s">
        <v>2081</v>
      </c>
      <c r="B28">
        <v>2561</v>
      </c>
      <c r="C28" t="s">
        <v>1124</v>
      </c>
      <c r="D28">
        <v>5730</v>
      </c>
    </row>
    <row r="29" spans="1:4" x14ac:dyDescent="0.3">
      <c r="A29" t="s">
        <v>2085</v>
      </c>
      <c r="B29">
        <v>254</v>
      </c>
      <c r="C29" t="s">
        <v>1526</v>
      </c>
      <c r="D29">
        <v>1900</v>
      </c>
    </row>
    <row r="30" spans="1:4" x14ac:dyDescent="0.3">
      <c r="A30" t="s">
        <v>2084</v>
      </c>
      <c r="B30">
        <v>2563</v>
      </c>
      <c r="C30" t="s">
        <v>1095</v>
      </c>
      <c r="D30">
        <v>1850</v>
      </c>
    </row>
    <row r="31" spans="1:4" x14ac:dyDescent="0.3">
      <c r="A31" t="s">
        <v>2086</v>
      </c>
      <c r="B31">
        <v>2570</v>
      </c>
      <c r="C31" t="s">
        <v>1100</v>
      </c>
      <c r="D31">
        <v>5200</v>
      </c>
    </row>
    <row r="32" spans="1:4" x14ac:dyDescent="0.3">
      <c r="A32" t="s">
        <v>2138</v>
      </c>
      <c r="B32">
        <v>2601</v>
      </c>
      <c r="C32" t="s">
        <v>1168</v>
      </c>
      <c r="D32">
        <v>170</v>
      </c>
    </row>
    <row r="33" spans="1:4" x14ac:dyDescent="0.3">
      <c r="A33" t="s">
        <v>2152</v>
      </c>
      <c r="B33">
        <v>2602</v>
      </c>
      <c r="C33" t="s">
        <v>1180</v>
      </c>
      <c r="D33">
        <v>240</v>
      </c>
    </row>
    <row r="34" spans="1:4" x14ac:dyDescent="0.3">
      <c r="A34" t="s">
        <v>2130</v>
      </c>
      <c r="B34">
        <v>2605</v>
      </c>
      <c r="C34" t="s">
        <v>1161</v>
      </c>
      <c r="D34">
        <v>220</v>
      </c>
    </row>
    <row r="35" spans="1:4" x14ac:dyDescent="0.3">
      <c r="A35" t="s">
        <v>2145</v>
      </c>
      <c r="B35">
        <v>2611</v>
      </c>
      <c r="C35" t="s">
        <v>1214</v>
      </c>
      <c r="D35">
        <v>340</v>
      </c>
    </row>
    <row r="36" spans="1:4" x14ac:dyDescent="0.3">
      <c r="A36" t="s">
        <v>2142</v>
      </c>
      <c r="B36">
        <v>2612</v>
      </c>
      <c r="C36" t="s">
        <v>1220</v>
      </c>
      <c r="D36">
        <v>150</v>
      </c>
    </row>
    <row r="37" spans="1:4" x14ac:dyDescent="0.3">
      <c r="A37" t="s">
        <v>2139</v>
      </c>
      <c r="B37">
        <v>2613</v>
      </c>
      <c r="C37" t="s">
        <v>1224</v>
      </c>
      <c r="D37">
        <v>160</v>
      </c>
    </row>
    <row r="38" spans="1:4" x14ac:dyDescent="0.3">
      <c r="A38" t="s">
        <v>2143</v>
      </c>
      <c r="B38">
        <v>2614</v>
      </c>
      <c r="C38" t="s">
        <v>1228</v>
      </c>
      <c r="D38">
        <v>260</v>
      </c>
    </row>
    <row r="39" spans="1:4" x14ac:dyDescent="0.3">
      <c r="A39" t="s">
        <v>2129</v>
      </c>
      <c r="B39">
        <v>2615</v>
      </c>
      <c r="C39" t="s">
        <v>1210</v>
      </c>
      <c r="D39">
        <v>600</v>
      </c>
    </row>
    <row r="40" spans="1:4" x14ac:dyDescent="0.3">
      <c r="A40" t="s">
        <v>2126</v>
      </c>
      <c r="B40">
        <v>2616</v>
      </c>
      <c r="C40" t="s">
        <v>1212</v>
      </c>
      <c r="D40">
        <v>750</v>
      </c>
    </row>
    <row r="41" spans="1:4" x14ac:dyDescent="0.3">
      <c r="A41" t="s">
        <v>2140</v>
      </c>
      <c r="B41">
        <v>2617</v>
      </c>
      <c r="C41" t="s">
        <v>1232</v>
      </c>
      <c r="D41">
        <v>480</v>
      </c>
    </row>
    <row r="42" spans="1:4" x14ac:dyDescent="0.3">
      <c r="A42" t="s">
        <v>2144</v>
      </c>
      <c r="B42">
        <v>2618</v>
      </c>
      <c r="C42" t="s">
        <v>1271</v>
      </c>
      <c r="D42">
        <v>260</v>
      </c>
    </row>
    <row r="43" spans="1:4" x14ac:dyDescent="0.3">
      <c r="A43" t="s">
        <v>2153</v>
      </c>
      <c r="B43">
        <v>2619</v>
      </c>
      <c r="C43" t="s">
        <v>1274</v>
      </c>
      <c r="D43">
        <v>1560</v>
      </c>
    </row>
    <row r="44" spans="1:4" x14ac:dyDescent="0.3">
      <c r="A44" t="s">
        <v>2133</v>
      </c>
      <c r="B44">
        <v>2620</v>
      </c>
      <c r="C44" t="s">
        <v>1258</v>
      </c>
      <c r="D44">
        <v>530</v>
      </c>
    </row>
    <row r="45" spans="1:4" x14ac:dyDescent="0.3">
      <c r="A45" t="s">
        <v>2146</v>
      </c>
      <c r="B45">
        <v>2625</v>
      </c>
      <c r="C45" t="s">
        <v>1237</v>
      </c>
      <c r="D45">
        <v>450</v>
      </c>
    </row>
    <row r="46" spans="1:4" x14ac:dyDescent="0.3">
      <c r="A46" t="s">
        <v>1991</v>
      </c>
      <c r="B46">
        <v>2630</v>
      </c>
      <c r="C46" t="s">
        <v>1307</v>
      </c>
      <c r="D46">
        <v>560</v>
      </c>
    </row>
    <row r="47" spans="1:4" x14ac:dyDescent="0.3">
      <c r="A47" t="s">
        <v>1990</v>
      </c>
      <c r="B47">
        <v>2633</v>
      </c>
      <c r="C47" t="s">
        <v>1313</v>
      </c>
      <c r="D47">
        <v>4140</v>
      </c>
    </row>
    <row r="48" spans="1:4" x14ac:dyDescent="0.3">
      <c r="A48" t="s">
        <v>1988</v>
      </c>
      <c r="B48">
        <v>2635</v>
      </c>
      <c r="C48" t="s">
        <v>1319</v>
      </c>
      <c r="D48">
        <v>400</v>
      </c>
    </row>
    <row r="49" spans="1:4" x14ac:dyDescent="0.3">
      <c r="A49" t="s">
        <v>2148</v>
      </c>
      <c r="B49">
        <v>677</v>
      </c>
      <c r="C49" t="s">
        <v>1322</v>
      </c>
      <c r="D49">
        <v>390</v>
      </c>
    </row>
    <row r="50" spans="1:4" x14ac:dyDescent="0.3">
      <c r="A50" t="s">
        <v>2141</v>
      </c>
      <c r="B50">
        <v>2640</v>
      </c>
      <c r="C50" t="s">
        <v>1324</v>
      </c>
      <c r="D50">
        <v>2760</v>
      </c>
    </row>
    <row r="51" spans="1:4" x14ac:dyDescent="0.3">
      <c r="A51" t="s">
        <v>2147</v>
      </c>
      <c r="B51">
        <v>2641</v>
      </c>
      <c r="C51" t="s">
        <v>1326</v>
      </c>
      <c r="D51">
        <v>3180</v>
      </c>
    </row>
    <row r="52" spans="1:4" x14ac:dyDescent="0.3">
      <c r="A52" t="s">
        <v>2128</v>
      </c>
      <c r="B52">
        <v>2642</v>
      </c>
      <c r="C52" t="s">
        <v>1330</v>
      </c>
      <c r="D52">
        <v>3230</v>
      </c>
    </row>
    <row r="53" spans="1:4" x14ac:dyDescent="0.3">
      <c r="A53" t="s">
        <v>2149</v>
      </c>
      <c r="B53">
        <v>2645</v>
      </c>
      <c r="C53" t="s">
        <v>1328</v>
      </c>
      <c r="D53">
        <v>3370</v>
      </c>
    </row>
    <row r="54" spans="1:4" x14ac:dyDescent="0.3">
      <c r="A54" t="s">
        <v>1999</v>
      </c>
      <c r="B54">
        <v>2662</v>
      </c>
      <c r="C54" t="s">
        <v>1350</v>
      </c>
      <c r="D54">
        <v>1000</v>
      </c>
    </row>
    <row r="55" spans="1:4" x14ac:dyDescent="0.3">
      <c r="A55" t="s">
        <v>2000</v>
      </c>
      <c r="B55">
        <v>2663</v>
      </c>
      <c r="C55" t="s">
        <v>1352</v>
      </c>
      <c r="D55">
        <v>1000</v>
      </c>
    </row>
    <row r="56" spans="1:4" x14ac:dyDescent="0.3">
      <c r="A56" t="s">
        <v>1995</v>
      </c>
      <c r="B56">
        <v>2664</v>
      </c>
      <c r="C56" t="s">
        <v>1345</v>
      </c>
      <c r="D56">
        <v>1000</v>
      </c>
    </row>
    <row r="57" spans="1:4" x14ac:dyDescent="0.3">
      <c r="A57" t="s">
        <v>2003</v>
      </c>
      <c r="B57">
        <v>2665</v>
      </c>
      <c r="C57" t="s">
        <v>1354</v>
      </c>
      <c r="D57">
        <v>1000</v>
      </c>
    </row>
    <row r="58" spans="1:4" x14ac:dyDescent="0.3">
      <c r="A58" t="s">
        <v>2001</v>
      </c>
      <c r="B58">
        <v>2666</v>
      </c>
      <c r="C58" t="s">
        <v>1358</v>
      </c>
      <c r="D58">
        <v>1000</v>
      </c>
    </row>
    <row r="59" spans="1:4" x14ac:dyDescent="0.3">
      <c r="A59" t="s">
        <v>2002</v>
      </c>
      <c r="B59">
        <v>2667</v>
      </c>
      <c r="C59" t="s">
        <v>1356</v>
      </c>
      <c r="D59">
        <v>1000</v>
      </c>
    </row>
    <row r="60" spans="1:4" x14ac:dyDescent="0.3">
      <c r="A60" t="s">
        <v>2110</v>
      </c>
      <c r="B60">
        <v>2671</v>
      </c>
      <c r="C60" t="s">
        <v>1362</v>
      </c>
      <c r="D60">
        <v>1000</v>
      </c>
    </row>
    <row r="61" spans="1:4" x14ac:dyDescent="0.3">
      <c r="A61" t="s">
        <v>2108</v>
      </c>
      <c r="B61">
        <v>2672</v>
      </c>
      <c r="C61" t="s">
        <v>1367</v>
      </c>
      <c r="D61">
        <v>1000</v>
      </c>
    </row>
    <row r="62" spans="1:4" x14ac:dyDescent="0.3">
      <c r="A62" t="s">
        <v>2016</v>
      </c>
      <c r="B62">
        <v>2000</v>
      </c>
      <c r="C62" t="s">
        <v>1679</v>
      </c>
      <c r="D62">
        <v>623</v>
      </c>
    </row>
    <row r="63" spans="1:4" x14ac:dyDescent="0.3">
      <c r="A63" t="s">
        <v>2023</v>
      </c>
      <c r="B63">
        <v>2001</v>
      </c>
      <c r="C63" t="s">
        <v>4335</v>
      </c>
      <c r="D63">
        <v>316</v>
      </c>
    </row>
    <row r="64" spans="1:4" x14ac:dyDescent="0.3">
      <c r="A64" t="s">
        <v>1997</v>
      </c>
      <c r="B64">
        <v>2559</v>
      </c>
      <c r="C64" t="s">
        <v>1145</v>
      </c>
      <c r="D64">
        <v>2530</v>
      </c>
    </row>
    <row r="65" spans="1:4" x14ac:dyDescent="0.3">
      <c r="A65" t="s">
        <v>2077</v>
      </c>
      <c r="B65">
        <v>2562</v>
      </c>
      <c r="C65" t="s">
        <v>1087</v>
      </c>
      <c r="D65">
        <v>5140</v>
      </c>
    </row>
    <row r="66" spans="1:4" x14ac:dyDescent="0.3">
      <c r="A66" t="s">
        <v>2105</v>
      </c>
      <c r="B66">
        <v>2541</v>
      </c>
      <c r="C66" t="s">
        <v>1013</v>
      </c>
      <c r="D66">
        <v>3510</v>
      </c>
    </row>
    <row r="67" spans="1:4" x14ac:dyDescent="0.3">
      <c r="A67" t="s">
        <v>2103</v>
      </c>
      <c r="B67">
        <v>2542</v>
      </c>
      <c r="C67" t="s">
        <v>1008</v>
      </c>
      <c r="D67">
        <v>3500</v>
      </c>
    </row>
    <row r="68" spans="1:4" x14ac:dyDescent="0.3">
      <c r="A68" t="s">
        <v>2104</v>
      </c>
      <c r="B68">
        <v>2543</v>
      </c>
      <c r="C68" t="s">
        <v>1003</v>
      </c>
      <c r="D68">
        <v>3000</v>
      </c>
    </row>
    <row r="69" spans="1:4" x14ac:dyDescent="0.3">
      <c r="A69" t="s">
        <v>2117</v>
      </c>
      <c r="B69">
        <v>2571</v>
      </c>
      <c r="C69" t="s">
        <v>1063</v>
      </c>
      <c r="D69">
        <v>8840</v>
      </c>
    </row>
    <row r="70" spans="1:4" x14ac:dyDescent="0.3">
      <c r="A70" t="s">
        <v>2123</v>
      </c>
      <c r="B70">
        <v>2572</v>
      </c>
      <c r="C70" t="s">
        <v>1073</v>
      </c>
      <c r="D70">
        <v>8840</v>
      </c>
    </row>
    <row r="71" spans="1:4" x14ac:dyDescent="0.3">
      <c r="A71" t="s">
        <v>2124</v>
      </c>
      <c r="B71">
        <v>2573</v>
      </c>
      <c r="C71" t="s">
        <v>1107</v>
      </c>
      <c r="D71">
        <v>8840</v>
      </c>
    </row>
    <row r="72" spans="1:4" x14ac:dyDescent="0.3">
      <c r="A72" t="s">
        <v>2125</v>
      </c>
      <c r="B72">
        <v>2574</v>
      </c>
      <c r="C72" t="s">
        <v>1113</v>
      </c>
      <c r="D72">
        <v>8840</v>
      </c>
    </row>
    <row r="73" spans="1:4" x14ac:dyDescent="0.3">
      <c r="A73" t="s">
        <v>2120</v>
      </c>
      <c r="B73">
        <v>2575</v>
      </c>
      <c r="C73" t="s">
        <v>1147</v>
      </c>
      <c r="D73">
        <v>8840</v>
      </c>
    </row>
    <row r="74" spans="1:4" x14ac:dyDescent="0.3">
      <c r="A74" t="s">
        <v>2118</v>
      </c>
      <c r="B74">
        <v>2576</v>
      </c>
      <c r="C74" t="s">
        <v>1091</v>
      </c>
      <c r="D74">
        <v>8840</v>
      </c>
    </row>
    <row r="75" spans="1:4" x14ac:dyDescent="0.3">
      <c r="A75" t="s">
        <v>2119</v>
      </c>
      <c r="B75">
        <v>2577</v>
      </c>
      <c r="C75" t="s">
        <v>1089</v>
      </c>
      <c r="D75">
        <v>8840</v>
      </c>
    </row>
    <row r="76" spans="1:4" x14ac:dyDescent="0.3">
      <c r="A76" t="s">
        <v>2116</v>
      </c>
      <c r="B76">
        <v>2578</v>
      </c>
      <c r="C76" t="s">
        <v>1083</v>
      </c>
      <c r="D76">
        <v>8840</v>
      </c>
    </row>
    <row r="77" spans="1:4" x14ac:dyDescent="0.3">
      <c r="A77" t="s">
        <v>2111</v>
      </c>
      <c r="B77">
        <v>2579</v>
      </c>
      <c r="C77" t="s">
        <v>1126</v>
      </c>
      <c r="D77">
        <v>8840</v>
      </c>
    </row>
    <row r="78" spans="1:4" x14ac:dyDescent="0.3">
      <c r="A78" t="s">
        <v>2115</v>
      </c>
      <c r="B78">
        <v>2580</v>
      </c>
      <c r="C78" t="s">
        <v>1097</v>
      </c>
      <c r="D78">
        <v>8840</v>
      </c>
    </row>
    <row r="79" spans="1:4" x14ac:dyDescent="0.3">
      <c r="A79" t="s">
        <v>2122</v>
      </c>
      <c r="B79">
        <v>2581</v>
      </c>
      <c r="C79" t="s">
        <v>914</v>
      </c>
      <c r="D79">
        <v>8840</v>
      </c>
    </row>
    <row r="80" spans="1:4" x14ac:dyDescent="0.3">
      <c r="A80" t="s">
        <v>2114</v>
      </c>
      <c r="B80">
        <v>2582</v>
      </c>
      <c r="C80" t="s">
        <v>935</v>
      </c>
      <c r="D80">
        <v>8840</v>
      </c>
    </row>
    <row r="81" spans="1:4" x14ac:dyDescent="0.3">
      <c r="A81" t="s">
        <v>2121</v>
      </c>
      <c r="B81">
        <v>2586</v>
      </c>
      <c r="C81" t="s">
        <v>1102</v>
      </c>
      <c r="D81">
        <v>8840</v>
      </c>
    </row>
    <row r="82" spans="1:4" x14ac:dyDescent="0.3">
      <c r="A82" t="s">
        <v>2072</v>
      </c>
      <c r="B82">
        <v>2590</v>
      </c>
      <c r="C82" t="s">
        <v>1065</v>
      </c>
      <c r="D82">
        <v>2500</v>
      </c>
    </row>
    <row r="83" spans="1:4" x14ac:dyDescent="0.3">
      <c r="A83" t="s">
        <v>2059</v>
      </c>
      <c r="B83">
        <v>2591</v>
      </c>
      <c r="C83" t="s">
        <v>1075</v>
      </c>
      <c r="D83">
        <v>3500</v>
      </c>
    </row>
    <row r="84" spans="1:4" x14ac:dyDescent="0.3">
      <c r="A84" t="s">
        <v>2063</v>
      </c>
      <c r="B84">
        <v>2592</v>
      </c>
      <c r="C84" t="s">
        <v>1109</v>
      </c>
      <c r="D84">
        <v>2130</v>
      </c>
    </row>
    <row r="85" spans="1:4" x14ac:dyDescent="0.3">
      <c r="A85" t="s">
        <v>2073</v>
      </c>
      <c r="B85">
        <v>2593</v>
      </c>
      <c r="C85" t="s">
        <v>1115</v>
      </c>
      <c r="D85">
        <v>2500</v>
      </c>
    </row>
    <row r="86" spans="1:4" x14ac:dyDescent="0.3">
      <c r="A86" t="s">
        <v>2069</v>
      </c>
      <c r="B86">
        <v>2594</v>
      </c>
      <c r="C86" t="s">
        <v>1149</v>
      </c>
      <c r="D86">
        <v>2000</v>
      </c>
    </row>
    <row r="87" spans="1:4" x14ac:dyDescent="0.3">
      <c r="A87" t="s">
        <v>2067</v>
      </c>
      <c r="B87">
        <v>2595</v>
      </c>
      <c r="C87" t="s">
        <v>1093</v>
      </c>
      <c r="D87">
        <v>2200</v>
      </c>
    </row>
    <row r="88" spans="1:4" x14ac:dyDescent="0.3">
      <c r="A88" t="s">
        <v>2065</v>
      </c>
      <c r="B88">
        <v>2596</v>
      </c>
      <c r="C88" t="s">
        <v>1085</v>
      </c>
      <c r="D88">
        <v>4400</v>
      </c>
    </row>
    <row r="89" spans="1:4" x14ac:dyDescent="0.3">
      <c r="A89" t="s">
        <v>2075</v>
      </c>
      <c r="B89">
        <v>2597</v>
      </c>
      <c r="C89" t="s">
        <v>1128</v>
      </c>
      <c r="D89">
        <v>3500</v>
      </c>
    </row>
    <row r="90" spans="1:4" x14ac:dyDescent="0.3">
      <c r="A90" t="s">
        <v>2071</v>
      </c>
      <c r="B90">
        <v>2598</v>
      </c>
      <c r="C90" t="s">
        <v>937</v>
      </c>
      <c r="D90">
        <v>1700</v>
      </c>
    </row>
    <row r="91" spans="1:4" x14ac:dyDescent="0.3">
      <c r="A91" t="s">
        <v>1964</v>
      </c>
      <c r="B91">
        <v>2655</v>
      </c>
      <c r="C91" t="s">
        <v>1262</v>
      </c>
      <c r="D91">
        <v>680</v>
      </c>
    </row>
    <row r="92" spans="1:4" x14ac:dyDescent="0.3">
      <c r="A92" t="s">
        <v>1967</v>
      </c>
      <c r="B92">
        <v>2656</v>
      </c>
      <c r="C92" t="s">
        <v>928</v>
      </c>
      <c r="D92">
        <v>490</v>
      </c>
    </row>
    <row r="93" spans="1:4" x14ac:dyDescent="0.3">
      <c r="A93" t="s">
        <v>1970</v>
      </c>
      <c r="B93">
        <v>2657</v>
      </c>
      <c r="C93" t="s">
        <v>902</v>
      </c>
      <c r="D93">
        <v>470</v>
      </c>
    </row>
    <row r="94" spans="1:4" x14ac:dyDescent="0.3">
      <c r="A94" t="s">
        <v>1968</v>
      </c>
      <c r="B94">
        <v>2658</v>
      </c>
      <c r="C94" t="s">
        <v>1296</v>
      </c>
      <c r="D94">
        <v>2950</v>
      </c>
    </row>
    <row r="95" spans="1:4" x14ac:dyDescent="0.3">
      <c r="A95" t="s">
        <v>1993</v>
      </c>
      <c r="B95">
        <v>2659</v>
      </c>
      <c r="C95" t="s">
        <v>1293</v>
      </c>
      <c r="D95">
        <v>6900</v>
      </c>
    </row>
    <row r="96" spans="1:4" x14ac:dyDescent="0.3">
      <c r="A96" t="s">
        <v>2004</v>
      </c>
      <c r="B96">
        <v>2661</v>
      </c>
      <c r="C96" t="s">
        <v>1340</v>
      </c>
      <c r="D96">
        <v>1000</v>
      </c>
    </row>
    <row r="97" spans="1:4" x14ac:dyDescent="0.3">
      <c r="A97" t="s">
        <v>2030</v>
      </c>
      <c r="B97">
        <v>866</v>
      </c>
      <c r="C97" t="s">
        <v>726</v>
      </c>
      <c r="D97">
        <v>1000</v>
      </c>
    </row>
    <row r="98" spans="1:4" x14ac:dyDescent="0.3">
      <c r="A98" t="s">
        <v>2035</v>
      </c>
      <c r="B98">
        <v>946</v>
      </c>
      <c r="C98" t="s">
        <v>735</v>
      </c>
      <c r="D98">
        <v>1000</v>
      </c>
    </row>
    <row r="99" spans="1:4" x14ac:dyDescent="0.3">
      <c r="A99" t="s">
        <v>2042</v>
      </c>
      <c r="B99">
        <v>976</v>
      </c>
      <c r="C99" t="s">
        <v>779</v>
      </c>
      <c r="D99">
        <v>1000</v>
      </c>
    </row>
    <row r="100" spans="1:4" x14ac:dyDescent="0.3">
      <c r="A100" t="s">
        <v>2038</v>
      </c>
      <c r="B100">
        <v>1016</v>
      </c>
      <c r="C100" t="s">
        <v>762</v>
      </c>
      <c r="D100">
        <v>1000</v>
      </c>
    </row>
    <row r="101" spans="1:4" x14ac:dyDescent="0.3">
      <c r="A101" t="s">
        <v>2039</v>
      </c>
      <c r="B101">
        <v>1034</v>
      </c>
      <c r="C101" t="s">
        <v>769</v>
      </c>
      <c r="D101">
        <v>1000</v>
      </c>
    </row>
    <row r="102" spans="1:4" x14ac:dyDescent="0.3">
      <c r="A102" t="s">
        <v>2449</v>
      </c>
      <c r="B102">
        <v>2029</v>
      </c>
      <c r="C102" t="s">
        <v>2452</v>
      </c>
      <c r="D102">
        <v>1000</v>
      </c>
    </row>
    <row r="103" spans="1:4" x14ac:dyDescent="0.3">
      <c r="A103" t="s">
        <v>2043</v>
      </c>
      <c r="B103">
        <v>1096</v>
      </c>
      <c r="C103" t="s">
        <v>767</v>
      </c>
      <c r="D103">
        <v>1000</v>
      </c>
    </row>
    <row r="104" spans="1:4" x14ac:dyDescent="0.3">
      <c r="A104" t="s">
        <v>2036</v>
      </c>
      <c r="B104">
        <v>1107</v>
      </c>
      <c r="C104" t="s">
        <v>731</v>
      </c>
      <c r="D104">
        <v>1000</v>
      </c>
    </row>
    <row r="105" spans="1:4" x14ac:dyDescent="0.3">
      <c r="A105" t="s">
        <v>2037</v>
      </c>
      <c r="B105">
        <v>1110</v>
      </c>
      <c r="C105" t="s">
        <v>768</v>
      </c>
      <c r="D105">
        <v>1000</v>
      </c>
    </row>
    <row r="106" spans="1:4" x14ac:dyDescent="0.3">
      <c r="A106" t="s">
        <v>2034</v>
      </c>
      <c r="B106">
        <v>1126</v>
      </c>
      <c r="C106" t="s">
        <v>738</v>
      </c>
      <c r="D106">
        <v>1000</v>
      </c>
    </row>
    <row r="107" spans="1:4" x14ac:dyDescent="0.3">
      <c r="A107" t="s">
        <v>2044</v>
      </c>
      <c r="B107">
        <v>1157</v>
      </c>
      <c r="C107" t="s">
        <v>736</v>
      </c>
      <c r="D107">
        <v>1000</v>
      </c>
    </row>
    <row r="108" spans="1:4" x14ac:dyDescent="0.3">
      <c r="A108" t="s">
        <v>2045</v>
      </c>
      <c r="B108">
        <v>1140</v>
      </c>
      <c r="C108" t="s">
        <v>775</v>
      </c>
      <c r="D108">
        <v>1000</v>
      </c>
    </row>
    <row r="109" spans="1:4" x14ac:dyDescent="0.3">
      <c r="A109" t="s">
        <v>2040</v>
      </c>
      <c r="B109">
        <v>1150</v>
      </c>
      <c r="C109" t="s">
        <v>777</v>
      </c>
      <c r="D109">
        <v>1000</v>
      </c>
    </row>
    <row r="110" spans="1:4" x14ac:dyDescent="0.3">
      <c r="A110" t="s">
        <v>2058</v>
      </c>
      <c r="B110">
        <v>2848</v>
      </c>
      <c r="C110" t="s">
        <v>815</v>
      </c>
      <c r="D110">
        <v>480</v>
      </c>
    </row>
    <row r="111" spans="1:4" x14ac:dyDescent="0.3">
      <c r="A111" t="s">
        <v>2054</v>
      </c>
      <c r="B111">
        <v>2740</v>
      </c>
      <c r="C111" t="s">
        <v>1384</v>
      </c>
      <c r="D111">
        <v>7233</v>
      </c>
    </row>
    <row r="112" spans="1:4" x14ac:dyDescent="0.3">
      <c r="A112" t="s">
        <v>1992</v>
      </c>
      <c r="B112">
        <v>2744</v>
      </c>
      <c r="C112" t="s">
        <v>757</v>
      </c>
      <c r="D112">
        <v>1390</v>
      </c>
    </row>
    <row r="113" spans="1:4" x14ac:dyDescent="0.3">
      <c r="A113" t="s">
        <v>2025</v>
      </c>
      <c r="B113">
        <v>2746</v>
      </c>
      <c r="C113" t="s">
        <v>881</v>
      </c>
      <c r="D113">
        <v>1000</v>
      </c>
    </row>
    <row r="114" spans="1:4" x14ac:dyDescent="0.3">
      <c r="A114" t="s">
        <v>2052</v>
      </c>
      <c r="B114">
        <v>2731</v>
      </c>
      <c r="C114" t="s">
        <v>807</v>
      </c>
      <c r="D114">
        <v>1460</v>
      </c>
    </row>
    <row r="115" spans="1:4" x14ac:dyDescent="0.3">
      <c r="A115" t="s">
        <v>2046</v>
      </c>
      <c r="B115">
        <v>2732</v>
      </c>
      <c r="C115" t="s">
        <v>829</v>
      </c>
      <c r="D115">
        <v>2630</v>
      </c>
    </row>
    <row r="116" spans="1:4" x14ac:dyDescent="0.3">
      <c r="A116" t="s">
        <v>2050</v>
      </c>
      <c r="B116">
        <v>2733</v>
      </c>
      <c r="C116" t="s">
        <v>857</v>
      </c>
      <c r="D116">
        <v>3260</v>
      </c>
    </row>
    <row r="117" spans="1:4" x14ac:dyDescent="0.3">
      <c r="A117" t="s">
        <v>2049</v>
      </c>
      <c r="B117">
        <v>2734</v>
      </c>
      <c r="C117" t="s">
        <v>845</v>
      </c>
      <c r="D117">
        <v>1850</v>
      </c>
    </row>
    <row r="118" spans="1:4" x14ac:dyDescent="0.3">
      <c r="A118" t="s">
        <v>2053</v>
      </c>
      <c r="B118">
        <v>2735</v>
      </c>
      <c r="C118" t="s">
        <v>820</v>
      </c>
      <c r="D118">
        <v>1260</v>
      </c>
    </row>
    <row r="119" spans="1:4" x14ac:dyDescent="0.3">
      <c r="A119" t="s">
        <v>2048</v>
      </c>
      <c r="B119">
        <v>2736</v>
      </c>
      <c r="C119" t="s">
        <v>811</v>
      </c>
      <c r="D119">
        <v>1050</v>
      </c>
    </row>
    <row r="120" spans="1:4" x14ac:dyDescent="0.3">
      <c r="A120" t="s">
        <v>1972</v>
      </c>
      <c r="B120">
        <v>2737</v>
      </c>
      <c r="C120" t="s">
        <v>800</v>
      </c>
      <c r="D120">
        <v>9020</v>
      </c>
    </row>
    <row r="121" spans="1:4" x14ac:dyDescent="0.3">
      <c r="A121" t="s">
        <v>2027</v>
      </c>
      <c r="B121">
        <v>2748</v>
      </c>
      <c r="C121" t="s">
        <v>804</v>
      </c>
      <c r="D121">
        <v>1000</v>
      </c>
    </row>
    <row r="122" spans="1:4" x14ac:dyDescent="0.3">
      <c r="A122" t="s">
        <v>2029</v>
      </c>
      <c r="B122">
        <v>2745</v>
      </c>
      <c r="C122" t="s">
        <v>796</v>
      </c>
      <c r="D122">
        <v>2980</v>
      </c>
    </row>
    <row r="123" spans="1:4" x14ac:dyDescent="0.3">
      <c r="A123" t="s">
        <v>2028</v>
      </c>
      <c r="B123">
        <v>2747</v>
      </c>
      <c r="C123" t="s">
        <v>885</v>
      </c>
      <c r="D123">
        <v>1000</v>
      </c>
    </row>
    <row r="124" spans="1:4" x14ac:dyDescent="0.3">
      <c r="A124" t="s">
        <v>2011</v>
      </c>
      <c r="B124">
        <v>2960</v>
      </c>
      <c r="C124" t="s">
        <v>2509</v>
      </c>
      <c r="D124">
        <v>640</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F6D20E-0A6A-44BA-8924-CBD91DCB1727}">
  <dimension ref="A1:B17"/>
  <sheetViews>
    <sheetView workbookViewId="0">
      <selection activeCell="A37" sqref="A37"/>
    </sheetView>
  </sheetViews>
  <sheetFormatPr defaultColWidth="10.77734375" defaultRowHeight="14.4" x14ac:dyDescent="0.3"/>
  <sheetData>
    <row r="1" spans="1:2" x14ac:dyDescent="0.3">
      <c r="A1" t="s">
        <v>720</v>
      </c>
      <c r="B1" t="s">
        <v>4631</v>
      </c>
    </row>
    <row r="2" spans="1:2" x14ac:dyDescent="0.3">
      <c r="A2" t="s">
        <v>743</v>
      </c>
      <c r="B2">
        <v>1</v>
      </c>
    </row>
    <row r="3" spans="1:2" x14ac:dyDescent="0.3">
      <c r="A3" t="s">
        <v>726</v>
      </c>
      <c r="B3">
        <v>0.8</v>
      </c>
    </row>
    <row r="4" spans="1:2" x14ac:dyDescent="0.3">
      <c r="A4" t="s">
        <v>763</v>
      </c>
      <c r="B4">
        <v>0.1</v>
      </c>
    </row>
    <row r="5" spans="1:2" x14ac:dyDescent="0.3">
      <c r="A5" t="s">
        <v>732</v>
      </c>
      <c r="B5">
        <v>0.8</v>
      </c>
    </row>
    <row r="6" spans="1:2" x14ac:dyDescent="0.3">
      <c r="A6" t="s">
        <v>769</v>
      </c>
      <c r="B6">
        <v>0.3</v>
      </c>
    </row>
    <row r="7" spans="1:2" x14ac:dyDescent="0.3">
      <c r="A7" t="s">
        <v>773</v>
      </c>
      <c r="B7">
        <v>0.5</v>
      </c>
    </row>
    <row r="8" spans="1:2" x14ac:dyDescent="0.3">
      <c r="A8" t="s">
        <v>752</v>
      </c>
      <c r="B8">
        <v>7.0000000000000001E-3</v>
      </c>
    </row>
    <row r="9" spans="1:2" x14ac:dyDescent="0.3">
      <c r="A9" t="s">
        <v>758</v>
      </c>
      <c r="B9">
        <v>1.4E-2</v>
      </c>
    </row>
    <row r="10" spans="1:2" x14ac:dyDescent="0.3">
      <c r="A10" t="s">
        <v>842</v>
      </c>
      <c r="B10">
        <v>0.03</v>
      </c>
    </row>
    <row r="11" spans="1:2" x14ac:dyDescent="0.3">
      <c r="A11" t="s">
        <v>781</v>
      </c>
      <c r="B11">
        <v>0.03</v>
      </c>
    </row>
    <row r="12" spans="1:2" x14ac:dyDescent="0.3">
      <c r="A12" t="s">
        <v>760</v>
      </c>
      <c r="B12">
        <v>0.01</v>
      </c>
    </row>
    <row r="13" spans="1:2" x14ac:dyDescent="0.3">
      <c r="A13" t="s">
        <v>782</v>
      </c>
      <c r="B13">
        <v>0.02</v>
      </c>
    </row>
    <row r="14" spans="1:2" x14ac:dyDescent="0.3">
      <c r="A14" t="s">
        <v>4632</v>
      </c>
      <c r="B14">
        <v>0.35</v>
      </c>
    </row>
    <row r="15" spans="1:2" x14ac:dyDescent="0.3">
      <c r="A15" t="s">
        <v>4633</v>
      </c>
      <c r="B15">
        <v>1E-3</v>
      </c>
    </row>
    <row r="16" spans="1:2" x14ac:dyDescent="0.3">
      <c r="A16" t="s">
        <v>776</v>
      </c>
      <c r="B16">
        <v>0.02</v>
      </c>
    </row>
    <row r="17" spans="1:2" x14ac:dyDescent="0.3">
      <c r="A17" t="s">
        <v>783</v>
      </c>
      <c r="B17">
        <v>0.01</v>
      </c>
    </row>
  </sheetData>
  <pageMargins left="0.7" right="0.7" top="0.75" bottom="0.75" header="0.3" footer="0.3"/>
  <legacy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3E528-DED3-47D1-AFF2-1D952DEFC75B}">
  <dimension ref="A1:B107"/>
  <sheetViews>
    <sheetView tabSelected="1" topLeftCell="A22" workbookViewId="0">
      <selection activeCell="D31" sqref="D31"/>
    </sheetView>
  </sheetViews>
  <sheetFormatPr defaultColWidth="10.77734375" defaultRowHeight="14.4" x14ac:dyDescent="0.3"/>
  <cols>
    <col min="2" max="2" width="23.77734375" customWidth="1"/>
    <col min="3" max="3" width="17.109375" customWidth="1"/>
    <col min="4" max="4" width="21.109375" customWidth="1"/>
    <col min="7" max="7" width="22.21875" customWidth="1"/>
  </cols>
  <sheetData>
    <row r="1" spans="1:2" x14ac:dyDescent="0.3">
      <c r="A1" t="s">
        <v>712</v>
      </c>
      <c r="B1" t="s">
        <v>1931</v>
      </c>
    </row>
    <row r="2" spans="1:2" x14ac:dyDescent="0.3">
      <c r="A2" t="s">
        <v>1384</v>
      </c>
      <c r="B2" t="str">
        <f>VLOOKUP(A2,items_full!$A:$K,10,FALSE)</f>
        <v>Milk</v>
      </c>
    </row>
    <row r="3" spans="1:2" x14ac:dyDescent="0.3">
      <c r="A3" t="s">
        <v>1228</v>
      </c>
      <c r="B3" t="str">
        <f>VLOOKUP(A3,items_full!$A:$K,10,FALSE)</f>
        <v>Vegetables, fruit, nuts, pulses, spices</v>
      </c>
    </row>
    <row r="4" spans="1:2" x14ac:dyDescent="0.3">
      <c r="A4" t="s">
        <v>815</v>
      </c>
      <c r="B4" t="str">
        <f>VLOOKUP(A4,items_full!$A:$K,10,FALSE)</f>
        <v>Milk</v>
      </c>
    </row>
    <row r="5" spans="1:2" x14ac:dyDescent="0.3">
      <c r="A5" t="s">
        <v>1324</v>
      </c>
      <c r="B5" t="str">
        <f>VLOOKUP(A5,items_full!$A:$K,10,FALSE)</f>
        <v>Vegetables, fruit, nuts, pulses, spices</v>
      </c>
    </row>
    <row r="6" spans="1:2" x14ac:dyDescent="0.3">
      <c r="A6" t="s">
        <v>1063</v>
      </c>
      <c r="B6" t="str">
        <f>VLOOKUP(A6,items_full!$A:$K,10,FALSE)</f>
        <v>Vegetable oils</v>
      </c>
    </row>
    <row r="7" spans="1:2" x14ac:dyDescent="0.3">
      <c r="A7" t="s">
        <v>1328</v>
      </c>
      <c r="B7" t="str">
        <f>VLOOKUP(A7,items_full!$A:$K,10,FALSE)</f>
        <v>Vegetables, fruit, nuts, pulses, spices</v>
      </c>
    </row>
    <row r="8" spans="1:2" x14ac:dyDescent="0.3">
      <c r="A8" t="s">
        <v>1008</v>
      </c>
      <c r="B8" t="str">
        <f>VLOOKUP(A8,items_full!$A:$K,10,FALSE)</f>
        <v>Sugar, sweeteners</v>
      </c>
    </row>
    <row r="9" spans="1:2" x14ac:dyDescent="0.3">
      <c r="A9" t="s">
        <v>1319</v>
      </c>
      <c r="B9" t="str">
        <f>VLOOKUP(A9,items_full!$A:$K,10,FALSE)</f>
        <v>Coffee, tea, cocoa</v>
      </c>
    </row>
    <row r="10" spans="1:2" x14ac:dyDescent="0.3">
      <c r="A10" t="s">
        <v>1362</v>
      </c>
      <c r="B10" t="str">
        <f>VLOOKUP(A10,items_full!$A:$K,10,FALSE)</f>
        <v>Tobacco, rubber</v>
      </c>
    </row>
    <row r="11" spans="1:2" x14ac:dyDescent="0.3">
      <c r="A11" t="s">
        <v>891</v>
      </c>
      <c r="B11" t="str">
        <f>VLOOKUP(A11,items_full!$A:$K,10,FALSE)</f>
        <v>Cereals</v>
      </c>
    </row>
    <row r="12" spans="1:2" x14ac:dyDescent="0.3">
      <c r="A12" t="s">
        <v>807</v>
      </c>
      <c r="B12" t="str">
        <f>VLOOKUP(A12,items_full!$A:$K,10,FALSE)</f>
        <v>Meat</v>
      </c>
    </row>
    <row r="13" spans="1:2" x14ac:dyDescent="0.3">
      <c r="A13" t="s">
        <v>757</v>
      </c>
      <c r="B13" t="str">
        <f>VLOOKUP(A13,items_full!$A:$K,10,FALSE)</f>
        <v>Eggs</v>
      </c>
    </row>
    <row r="14" spans="1:2" x14ac:dyDescent="0.3">
      <c r="A14" t="s">
        <v>800</v>
      </c>
      <c r="B14" t="str">
        <f>VLOOKUP(A14,items_full!$A:$K,10,FALSE)</f>
        <v>Animal fats</v>
      </c>
    </row>
    <row r="15" spans="1:2" x14ac:dyDescent="0.3">
      <c r="A15" t="s">
        <v>804</v>
      </c>
      <c r="B15" t="str">
        <f>VLOOKUP(A15,items_full!$A:$K,10,FALSE)</f>
        <v>Hides, skins, wool</v>
      </c>
    </row>
    <row r="16" spans="1:2" x14ac:dyDescent="0.3">
      <c r="A16" t="s">
        <v>820</v>
      </c>
      <c r="B16" t="str">
        <f>VLOOKUP(A16,items_full!$A:$K,10,FALSE)</f>
        <v>Meat</v>
      </c>
    </row>
    <row r="17" spans="1:2" x14ac:dyDescent="0.3">
      <c r="A17" t="s">
        <v>829</v>
      </c>
      <c r="B17" t="str">
        <f>VLOOKUP(A17,items_full!$A:$K,10,FALSE)</f>
        <v>Meat</v>
      </c>
    </row>
    <row r="18" spans="1:2" x14ac:dyDescent="0.3">
      <c r="A18" t="s">
        <v>811</v>
      </c>
      <c r="B18" t="str">
        <f>VLOOKUP(A18,items_full!$A:$K,10,FALSE)</f>
        <v>Meat</v>
      </c>
    </row>
    <row r="19" spans="1:2" x14ac:dyDescent="0.3">
      <c r="A19" t="s">
        <v>845</v>
      </c>
      <c r="B19" t="str">
        <f>VLOOKUP(A19,items_full!$A:$K,10,FALSE)</f>
        <v>Meat</v>
      </c>
    </row>
    <row r="20" spans="1:2" x14ac:dyDescent="0.3">
      <c r="A20" t="s">
        <v>881</v>
      </c>
      <c r="B20" t="str">
        <f>VLOOKUP(A20,items_full!$A:$K,10,FALSE)</f>
        <v>Hides, skins, wool</v>
      </c>
    </row>
    <row r="21" spans="1:2" x14ac:dyDescent="0.3">
      <c r="A21" t="s">
        <v>1232</v>
      </c>
      <c r="B21" t="str">
        <f>VLOOKUP(A21,items_full!$A:$K,10,FALSE)</f>
        <v>Vegetables, fruit, nuts, pulses, spices</v>
      </c>
    </row>
    <row r="22" spans="1:2" x14ac:dyDescent="0.3">
      <c r="A22" t="s">
        <v>920</v>
      </c>
      <c r="B22" t="str">
        <f>VLOOKUP(A22,items_full!$A:$K,10,FALSE)</f>
        <v>Cereals</v>
      </c>
    </row>
    <row r="23" spans="1:2" x14ac:dyDescent="0.3">
      <c r="A23" t="s">
        <v>1237</v>
      </c>
      <c r="B23" t="str">
        <f>VLOOKUP(A23,items_full!$A:$K,10,FALSE)</f>
        <v>Vegetables, fruit, nuts, pulses, spices</v>
      </c>
    </row>
    <row r="24" spans="1:2" x14ac:dyDescent="0.3">
      <c r="A24" t="s">
        <v>1258</v>
      </c>
      <c r="B24" t="str">
        <f>VLOOKUP(A24,items_full!$A:$K,10,FALSE)</f>
        <v>Vegetables, fruit, nuts, pulses, spices</v>
      </c>
    </row>
    <row r="25" spans="1:2" x14ac:dyDescent="0.3">
      <c r="A25" t="s">
        <v>796</v>
      </c>
      <c r="B25" t="str">
        <f>VLOOKUP(A25,items_full!$A:$K,10,FALSE)</f>
        <v>Honey</v>
      </c>
    </row>
    <row r="26" spans="1:2" x14ac:dyDescent="0.3">
      <c r="A26" t="s">
        <v>930</v>
      </c>
      <c r="B26" t="str">
        <f>VLOOKUP(A26,items_full!$A:$K,10,FALSE)</f>
        <v>Cereals</v>
      </c>
    </row>
    <row r="27" spans="1:2" x14ac:dyDescent="0.3">
      <c r="A27" t="s">
        <v>951</v>
      </c>
      <c r="B27" t="str">
        <f>VLOOKUP(A27,items_full!$A:$K,10,FALSE)</f>
        <v>Cereals</v>
      </c>
    </row>
    <row r="28" spans="1:2" x14ac:dyDescent="0.3">
      <c r="A28" t="s">
        <v>1015</v>
      </c>
      <c r="B28" t="str">
        <f>VLOOKUP(A28,items_full!$A:$K,10,FALSE)</f>
        <v>Sugar, sweeteners</v>
      </c>
    </row>
    <row r="29" spans="1:2" x14ac:dyDescent="0.3">
      <c r="A29" t="s">
        <v>1044</v>
      </c>
      <c r="B29" t="str">
        <f>VLOOKUP(A29,items_full!$A:$K,10,FALSE)</f>
        <v>Vegetables, fruit, nuts, pulses, spices</v>
      </c>
    </row>
    <row r="30" spans="1:2" x14ac:dyDescent="0.3">
      <c r="A30" t="s">
        <v>1102</v>
      </c>
      <c r="B30" t="str">
        <f>VLOOKUP(A30,items_full!$A:$K,10,FALSE)</f>
        <v>Vegetable oils</v>
      </c>
    </row>
    <row r="31" spans="1:2" x14ac:dyDescent="0.3">
      <c r="A31" t="s">
        <v>1100</v>
      </c>
      <c r="B31" t="str">
        <f>VLOOKUP(A31,items_full!$A:$K,10,FALSE)</f>
        <v>Oil crops</v>
      </c>
    </row>
    <row r="32" spans="1:2" x14ac:dyDescent="0.3">
      <c r="A32" t="s">
        <v>937</v>
      </c>
      <c r="B32" t="str">
        <f>VLOOKUP(A32,items_full!$A:$K,10,FALSE)</f>
        <v>Oil cakes</v>
      </c>
    </row>
    <row r="33" spans="1:2" x14ac:dyDescent="0.3">
      <c r="A33" t="s">
        <v>1097</v>
      </c>
      <c r="B33" t="str">
        <f>VLOOKUP(A33,items_full!$A:$K,10,FALSE)</f>
        <v>Vegetable oils</v>
      </c>
    </row>
    <row r="34" spans="1:2" x14ac:dyDescent="0.3">
      <c r="A34" t="s">
        <v>1095</v>
      </c>
      <c r="B34" t="str">
        <f>VLOOKUP(A34,items_full!$A:$K,10,FALSE)</f>
        <v>Oil crops</v>
      </c>
    </row>
    <row r="35" spans="1:2" x14ac:dyDescent="0.3">
      <c r="A35" t="s">
        <v>1214</v>
      </c>
      <c r="B35" t="str">
        <f>VLOOKUP(A35,items_full!$A:$K,10,FALSE)</f>
        <v>Vegetables, fruit, nuts, pulses, spices</v>
      </c>
    </row>
    <row r="36" spans="1:2" x14ac:dyDescent="0.3">
      <c r="A36" t="s">
        <v>983</v>
      </c>
      <c r="B36" t="str">
        <f>VLOOKUP(A36,items_full!$A:$K,10,FALSE)</f>
        <v>Roots and tubers</v>
      </c>
    </row>
    <row r="37" spans="1:2" x14ac:dyDescent="0.3">
      <c r="A37" t="s">
        <v>1030</v>
      </c>
      <c r="B37" t="str">
        <f>VLOOKUP(A37,items_full!$A:$K,10,FALSE)</f>
        <v>Vegetables, fruit, nuts, pulses, spices</v>
      </c>
    </row>
    <row r="38" spans="1:2" x14ac:dyDescent="0.3">
      <c r="A38" t="s">
        <v>904</v>
      </c>
      <c r="B38" t="str">
        <f>VLOOKUP(A38,items_full!$A:$K,10,FALSE)</f>
        <v>Cereals</v>
      </c>
    </row>
    <row r="39" spans="1:2" x14ac:dyDescent="0.3">
      <c r="A39" t="s">
        <v>1124</v>
      </c>
      <c r="B39" t="str">
        <f>VLOOKUP(A39,items_full!$A:$K,10,FALSE)</f>
        <v>Oil crops</v>
      </c>
    </row>
    <row r="40" spans="1:2" x14ac:dyDescent="0.3">
      <c r="A40" t="s">
        <v>1128</v>
      </c>
      <c r="B40" t="str">
        <f>VLOOKUP(A40,items_full!$A:$K,10,FALSE)</f>
        <v>Oil cakes</v>
      </c>
    </row>
    <row r="41" spans="1:2" x14ac:dyDescent="0.3">
      <c r="A41" t="s">
        <v>1126</v>
      </c>
      <c r="B41" t="str">
        <f>VLOOKUP(A41,items_full!$A:$K,10,FALSE)</f>
        <v>Vegetable oils</v>
      </c>
    </row>
    <row r="42" spans="1:2" x14ac:dyDescent="0.3">
      <c r="A42" t="s">
        <v>1006</v>
      </c>
      <c r="B42" t="str">
        <f>VLOOKUP(A42,items_full!$A:$K,10,FALSE)</f>
        <v>Sugar crops</v>
      </c>
    </row>
    <row r="43" spans="1:2" x14ac:dyDescent="0.3">
      <c r="A43" t="s">
        <v>1005</v>
      </c>
      <c r="B43" t="str">
        <f>VLOOKUP(A43,items_full!$A:$K,10,FALSE)</f>
        <v>Sugar crops</v>
      </c>
    </row>
    <row r="44" spans="1:2" x14ac:dyDescent="0.3">
      <c r="A44" t="s">
        <v>1020</v>
      </c>
      <c r="B44" t="str">
        <f>VLOOKUP(A44,items_full!$A:$K,10,FALSE)</f>
        <v>Other processing residues</v>
      </c>
    </row>
    <row r="45" spans="1:2" x14ac:dyDescent="0.3">
      <c r="A45" t="s">
        <v>1105</v>
      </c>
      <c r="B45" t="str">
        <f>VLOOKUP(A45,items_full!$A:$K,10,FALSE)</f>
        <v>Oil crops</v>
      </c>
    </row>
    <row r="46" spans="1:2" x14ac:dyDescent="0.3">
      <c r="A46" t="s">
        <v>1109</v>
      </c>
      <c r="B46" t="str">
        <f>VLOOKUP(A46,items_full!$A:$K,10,FALSE)</f>
        <v>Oil cakes</v>
      </c>
    </row>
    <row r="47" spans="1:2" x14ac:dyDescent="0.3">
      <c r="A47" t="s">
        <v>1107</v>
      </c>
      <c r="B47" t="str">
        <f>VLOOKUP(A47,items_full!$A:$K,10,FALSE)</f>
        <v>Vegetable oils</v>
      </c>
    </row>
    <row r="48" spans="1:2" x14ac:dyDescent="0.3">
      <c r="A48" t="s">
        <v>1161</v>
      </c>
      <c r="B48" t="str">
        <f>VLOOKUP(A48,items_full!$A:$K,10,FALSE)</f>
        <v>Vegetables, fruit, nuts, pulses, spices</v>
      </c>
    </row>
    <row r="49" spans="1:2" x14ac:dyDescent="0.3">
      <c r="A49" t="s">
        <v>1367</v>
      </c>
      <c r="B49" t="str">
        <f>VLOOKUP(A49,items_full!$A:$K,10,FALSE)</f>
        <v>Tobacco, rubber</v>
      </c>
    </row>
    <row r="50" spans="1:2" x14ac:dyDescent="0.3">
      <c r="A50" t="s">
        <v>857</v>
      </c>
      <c r="B50" t="str">
        <f>VLOOKUP(A50,items_full!$A:$K,10,FALSE)</f>
        <v>Meat</v>
      </c>
    </row>
    <row r="51" spans="1:2" x14ac:dyDescent="0.3">
      <c r="A51" t="s">
        <v>1028</v>
      </c>
      <c r="B51" t="str">
        <f>VLOOKUP(A51,items_full!$A:$K,10,FALSE)</f>
        <v>Vegetables, fruit, nuts, pulses, spices</v>
      </c>
    </row>
    <row r="52" spans="1:2" x14ac:dyDescent="0.3">
      <c r="A52" t="s">
        <v>928</v>
      </c>
      <c r="B52" t="str">
        <f>VLOOKUP(A52,items_full!$A:$K,10,FALSE)</f>
        <v>Alcohol</v>
      </c>
    </row>
    <row r="53" spans="1:2" x14ac:dyDescent="0.3">
      <c r="A53" t="s">
        <v>1519</v>
      </c>
      <c r="B53" t="str">
        <f>VLOOKUP(A53,items_full!$A:$K,10,FALSE)</f>
        <v>Other processing residues</v>
      </c>
    </row>
    <row r="54" spans="1:2" x14ac:dyDescent="0.3">
      <c r="A54" t="s">
        <v>947</v>
      </c>
      <c r="B54" t="str">
        <f>VLOOKUP(A54,items_full!$A:$K,10,FALSE)</f>
        <v>Cereals</v>
      </c>
    </row>
    <row r="55" spans="1:2" x14ac:dyDescent="0.3">
      <c r="A55" t="s">
        <v>944</v>
      </c>
      <c r="B55" t="str">
        <f>VLOOKUP(A55,items_full!$A:$K,10,FALSE)</f>
        <v>Cereals</v>
      </c>
    </row>
    <row r="56" spans="1:2" x14ac:dyDescent="0.3">
      <c r="A56" t="s">
        <v>956</v>
      </c>
      <c r="B56" t="str">
        <f>VLOOKUP(A56,items_full!$A:$K,10,FALSE)</f>
        <v>Cereals</v>
      </c>
    </row>
    <row r="57" spans="1:2" x14ac:dyDescent="0.3">
      <c r="A57" t="s">
        <v>1168</v>
      </c>
      <c r="B57" t="str">
        <f>VLOOKUP(A57,items_full!$A:$K,10,FALSE)</f>
        <v>Vegetables, fruit, nuts, pulses, spices</v>
      </c>
    </row>
    <row r="58" spans="1:2" x14ac:dyDescent="0.3">
      <c r="A58" t="s">
        <v>1262</v>
      </c>
      <c r="B58" t="str">
        <f>VLOOKUP(A58,items_full!$A:$K,10,FALSE)</f>
        <v>Alcohol</v>
      </c>
    </row>
    <row r="59" spans="1:2" x14ac:dyDescent="0.3">
      <c r="A59" t="s">
        <v>1210</v>
      </c>
      <c r="B59" t="str">
        <f>VLOOKUP(A59,items_full!$A:$K,10,FALSE)</f>
        <v>Vegetables, fruit, nuts, pulses, spices</v>
      </c>
    </row>
    <row r="60" spans="1:2" x14ac:dyDescent="0.3">
      <c r="A60" t="s">
        <v>942</v>
      </c>
      <c r="B60" t="str">
        <f>VLOOKUP(A60,items_full!$A:$K,10,FALSE)</f>
        <v>Cereals</v>
      </c>
    </row>
    <row r="61" spans="1:2" x14ac:dyDescent="0.3">
      <c r="A61" t="s">
        <v>1313</v>
      </c>
      <c r="B61" t="str">
        <f>VLOOKUP(A61,items_full!$A:$K,10,FALSE)</f>
        <v>Coffee, tea, cocoa</v>
      </c>
    </row>
    <row r="62" spans="1:2" x14ac:dyDescent="0.3">
      <c r="A62" t="s">
        <v>1307</v>
      </c>
      <c r="B62" t="str">
        <f>VLOOKUP(A62,items_full!$A:$K,10,FALSE)</f>
        <v>Coffee, tea, cocoa</v>
      </c>
    </row>
    <row r="63" spans="1:2" x14ac:dyDescent="0.3">
      <c r="A63" t="s">
        <v>1073</v>
      </c>
      <c r="B63" t="str">
        <f>VLOOKUP(A63,items_full!$A:$K,10,FALSE)</f>
        <v>Vegetable oils</v>
      </c>
    </row>
    <row r="64" spans="1:2" x14ac:dyDescent="0.3">
      <c r="A64" t="s">
        <v>1070</v>
      </c>
      <c r="B64" t="str">
        <f>VLOOKUP(A64,items_full!$A:$K,10,FALSE)</f>
        <v>Oil crops</v>
      </c>
    </row>
    <row r="65" spans="1:2" x14ac:dyDescent="0.3">
      <c r="A65" t="s">
        <v>1220</v>
      </c>
      <c r="B65" t="str">
        <f>VLOOKUP(A65,items_full!$A:$K,10,FALSE)</f>
        <v>Vegetables, fruit, nuts, pulses, spices</v>
      </c>
    </row>
    <row r="66" spans="1:2" x14ac:dyDescent="0.3">
      <c r="A66" t="s">
        <v>1180</v>
      </c>
      <c r="B66" t="str">
        <f>VLOOKUP(A66,items_full!$A:$K,10,FALSE)</f>
        <v>Vegetables, fruit, nuts, pulses, spices</v>
      </c>
    </row>
    <row r="67" spans="1:2" x14ac:dyDescent="0.3">
      <c r="A67" t="s">
        <v>1032</v>
      </c>
      <c r="B67" t="str">
        <f>VLOOKUP(A67,items_full!$A:$K,10,FALSE)</f>
        <v>Vegetables, fruit, nuts, pulses, spices</v>
      </c>
    </row>
    <row r="68" spans="1:2" x14ac:dyDescent="0.3">
      <c r="A68" t="s">
        <v>1326</v>
      </c>
      <c r="B68" t="str">
        <f>VLOOKUP(A68,items_full!$A:$K,10,FALSE)</f>
        <v>Vegetables, fruit, nuts, pulses, spices</v>
      </c>
    </row>
    <row r="69" spans="1:2" x14ac:dyDescent="0.3">
      <c r="A69" t="s">
        <v>1113</v>
      </c>
      <c r="B69" t="str">
        <f>VLOOKUP(A69,items_full!$A:$K,10,FALSE)</f>
        <v>Vegetable oils</v>
      </c>
    </row>
    <row r="70" spans="1:2" x14ac:dyDescent="0.3">
      <c r="A70" t="s">
        <v>1111</v>
      </c>
      <c r="B70" t="str">
        <f>VLOOKUP(A70,items_full!$A:$K,10,FALSE)</f>
        <v>Oil crops</v>
      </c>
    </row>
    <row r="71" spans="1:2" x14ac:dyDescent="0.3">
      <c r="A71" t="s">
        <v>1065</v>
      </c>
      <c r="B71" t="str">
        <f>VLOOKUP(A71,items_full!$A:$K,10,FALSE)</f>
        <v>Oil cakes</v>
      </c>
    </row>
    <row r="72" spans="1:2" x14ac:dyDescent="0.3">
      <c r="A72" t="s">
        <v>1296</v>
      </c>
      <c r="B72" t="str">
        <f>VLOOKUP(A72,items_full!$A:$K,10,FALSE)</f>
        <v>Alcohol</v>
      </c>
    </row>
    <row r="73" spans="1:2" x14ac:dyDescent="0.3">
      <c r="A73" t="s">
        <v>1521</v>
      </c>
      <c r="B73" t="str">
        <f>VLOOKUP(A73,items_full!$A:$K,10,FALSE)</f>
        <v>Other processing residues</v>
      </c>
    </row>
    <row r="74" spans="1:2" x14ac:dyDescent="0.3">
      <c r="A74" t="s">
        <v>1075</v>
      </c>
      <c r="B74" t="str">
        <f>VLOOKUP(A74,items_full!$A:$K,10,FALSE)</f>
        <v>Oil cakes</v>
      </c>
    </row>
    <row r="75" spans="1:2" x14ac:dyDescent="0.3">
      <c r="A75" t="s">
        <v>1115</v>
      </c>
      <c r="B75" t="str">
        <f>VLOOKUP(A75,items_full!$A:$K,10,FALSE)</f>
        <v>Oil cakes</v>
      </c>
    </row>
    <row r="76" spans="1:2" x14ac:dyDescent="0.3">
      <c r="A76" t="s">
        <v>1274</v>
      </c>
      <c r="B76" t="str">
        <f>VLOOKUP(A76,items_full!$A:$K,10,FALSE)</f>
        <v>Vegetables, fruit, nuts, pulses, spices</v>
      </c>
    </row>
    <row r="77" spans="1:2" x14ac:dyDescent="0.3">
      <c r="A77" t="s">
        <v>1224</v>
      </c>
      <c r="B77" t="str">
        <f>VLOOKUP(A77,items_full!$A:$K,10,FALSE)</f>
        <v>Vegetables, fruit, nuts, pulses, spices</v>
      </c>
    </row>
    <row r="78" spans="1:2" x14ac:dyDescent="0.3">
      <c r="A78" t="s">
        <v>990</v>
      </c>
      <c r="B78" t="str">
        <f>VLOOKUP(A78,items_full!$A:$K,10,FALSE)</f>
        <v>Roots and tubers</v>
      </c>
    </row>
    <row r="79" spans="1:2" x14ac:dyDescent="0.3">
      <c r="A79" t="s">
        <v>1330</v>
      </c>
      <c r="B79" t="str">
        <f>VLOOKUP(A79,items_full!$A:$K,10,FALSE)</f>
        <v>Vegetables, fruit, nuts, pulses, spices</v>
      </c>
    </row>
    <row r="80" spans="1:2" x14ac:dyDescent="0.3">
      <c r="A80" t="s">
        <v>1350</v>
      </c>
      <c r="B80" t="str">
        <f>VLOOKUP(A80,items_full!$A:$K,10,FALSE)</f>
        <v>Fibre crops</v>
      </c>
    </row>
    <row r="81" spans="1:2" x14ac:dyDescent="0.3">
      <c r="A81" t="s">
        <v>1003</v>
      </c>
      <c r="B81" t="str">
        <f>VLOOKUP(A81,items_full!$A:$K,10,FALSE)</f>
        <v>Sugar, sweeteners</v>
      </c>
    </row>
    <row r="82" spans="1:2" x14ac:dyDescent="0.3">
      <c r="A82" t="s">
        <v>936</v>
      </c>
      <c r="B82" t="str">
        <f>VLOOKUP(A82,items_full!$A:$K,10,FALSE)</f>
        <v>Other processing residues</v>
      </c>
    </row>
    <row r="83" spans="1:2" x14ac:dyDescent="0.3">
      <c r="A83" t="s">
        <v>1305</v>
      </c>
      <c r="B83" t="str">
        <f>VLOOKUP(A83,items_full!$A:$K,10,FALSE)</f>
        <v>Other processing residues</v>
      </c>
    </row>
    <row r="84" spans="1:2" x14ac:dyDescent="0.3">
      <c r="A84" t="s">
        <v>1352</v>
      </c>
      <c r="B84" t="str">
        <f>VLOOKUP(A84,items_full!$A:$K,10,FALSE)</f>
        <v>Fibre crops</v>
      </c>
    </row>
    <row r="85" spans="1:2" x14ac:dyDescent="0.3">
      <c r="A85" t="s">
        <v>1271</v>
      </c>
      <c r="B85" t="str">
        <f>VLOOKUP(A85,items_full!$A:$K,10,FALSE)</f>
        <v>Vegetables, fruit, nuts, pulses, spices</v>
      </c>
    </row>
    <row r="86" spans="1:2" x14ac:dyDescent="0.3">
      <c r="A86" t="s">
        <v>1354</v>
      </c>
      <c r="B86" t="str">
        <f>VLOOKUP(A86,items_full!$A:$K,10,FALSE)</f>
        <v>Fibre crops</v>
      </c>
    </row>
    <row r="87" spans="1:2" x14ac:dyDescent="0.3">
      <c r="A87" t="s">
        <v>988</v>
      </c>
      <c r="B87" t="str">
        <f>VLOOKUP(A87,items_full!$A:$K,10,FALSE)</f>
        <v>Roots and tubers</v>
      </c>
    </row>
    <row r="88" spans="1:2" x14ac:dyDescent="0.3">
      <c r="A88" t="s">
        <v>998</v>
      </c>
      <c r="B88" t="str">
        <f>VLOOKUP(A88,items_full!$A:$K,10,FALSE)</f>
        <v>Roots and tubers</v>
      </c>
    </row>
    <row r="89" spans="1:2" x14ac:dyDescent="0.3">
      <c r="A89" t="s">
        <v>1083</v>
      </c>
      <c r="B89" t="str">
        <f>VLOOKUP(A89,items_full!$A:$K,10,FALSE)</f>
        <v>Vegetable oils</v>
      </c>
    </row>
    <row r="90" spans="1:2" x14ac:dyDescent="0.3">
      <c r="A90" t="s">
        <v>1079</v>
      </c>
      <c r="B90" t="str">
        <f>VLOOKUP(A90,items_full!$A:$K,10,FALSE)</f>
        <v>Oil crops</v>
      </c>
    </row>
    <row r="91" spans="1:2" x14ac:dyDescent="0.3">
      <c r="A91" t="s">
        <v>1345</v>
      </c>
      <c r="B91" t="str">
        <f>VLOOKUP(A91,items_full!$A:$K,10,FALSE)</f>
        <v>Fibre crops</v>
      </c>
    </row>
    <row r="92" spans="1:2" x14ac:dyDescent="0.3">
      <c r="A92" t="s">
        <v>935</v>
      </c>
      <c r="B92" t="str">
        <f>VLOOKUP(A92,items_full!$A:$K,10,FALSE)</f>
        <v>Vegetable oils</v>
      </c>
    </row>
    <row r="93" spans="1:2" x14ac:dyDescent="0.3">
      <c r="A93" t="s">
        <v>902</v>
      </c>
      <c r="B93" t="str">
        <f>VLOOKUP(A93,items_full!$A:$K,10,FALSE)</f>
        <v>Alcohol</v>
      </c>
    </row>
    <row r="94" spans="1:2" x14ac:dyDescent="0.3">
      <c r="A94" t="s">
        <v>1356</v>
      </c>
      <c r="B94" t="str">
        <f>VLOOKUP(A94,items_full!$A:$K,10,FALSE)</f>
        <v>Fibre crops</v>
      </c>
    </row>
    <row r="95" spans="1:2" x14ac:dyDescent="0.3">
      <c r="A95" t="s">
        <v>1322</v>
      </c>
      <c r="B95" t="str">
        <f>VLOOKUP(A95,items_full!$A:$K,10,FALSE)</f>
        <v>Vegetables, fruit, nuts, pulses, spices</v>
      </c>
    </row>
    <row r="96" spans="1:2" x14ac:dyDescent="0.3">
      <c r="A96" t="s">
        <v>1520</v>
      </c>
      <c r="B96" t="str">
        <f>VLOOKUP(A96,items_full!$A:$K,10,FALSE)</f>
        <v>Other processing residues</v>
      </c>
    </row>
    <row r="97" spans="1:2" x14ac:dyDescent="0.3">
      <c r="A97" t="s">
        <v>1061</v>
      </c>
      <c r="B97" t="str">
        <f>VLOOKUP(A97,items_full!$A:$K,10,FALSE)</f>
        <v>Oil crops</v>
      </c>
    </row>
    <row r="98" spans="1:2" x14ac:dyDescent="0.3">
      <c r="A98" t="s">
        <v>1085</v>
      </c>
      <c r="B98" t="str">
        <f>VLOOKUP(A98,items_full!$A:$K,10,FALSE)</f>
        <v>Oil cakes</v>
      </c>
    </row>
    <row r="99" spans="1:2" x14ac:dyDescent="0.3">
      <c r="A99" t="s">
        <v>1293</v>
      </c>
      <c r="B99" t="str">
        <f>VLOOKUP(A99,items_full!$A:$K,10,FALSE)</f>
        <v>Ethanol</v>
      </c>
    </row>
    <row r="100" spans="1:2" x14ac:dyDescent="0.3">
      <c r="A100" t="s">
        <v>1212</v>
      </c>
      <c r="B100" t="str">
        <f>VLOOKUP(A100,items_full!$A:$K,10,FALSE)</f>
        <v>Vegetables, fruit, nuts, pulses, spices</v>
      </c>
    </row>
    <row r="101" spans="1:2" x14ac:dyDescent="0.3">
      <c r="A101" t="s">
        <v>996</v>
      </c>
      <c r="B101" t="str">
        <f>VLOOKUP(A101,items_full!$A:$K,10,FALSE)</f>
        <v>Roots and tubers</v>
      </c>
    </row>
    <row r="102" spans="1:2" x14ac:dyDescent="0.3">
      <c r="A102" t="s">
        <v>1358</v>
      </c>
      <c r="B102" t="str">
        <f>VLOOKUP(A102,items_full!$A:$K,10,FALSE)</f>
        <v>Fibre crops</v>
      </c>
    </row>
    <row r="103" spans="1:2" x14ac:dyDescent="0.3">
      <c r="A103" t="s">
        <v>1190</v>
      </c>
      <c r="B103" t="str">
        <f>VLOOKUP(A103,items_full!$A:$K,10,FALSE)</f>
        <v>Fodder crops</v>
      </c>
    </row>
    <row r="104" spans="1:2" x14ac:dyDescent="0.3">
      <c r="A104" t="s">
        <v>1372</v>
      </c>
      <c r="B104" t="str">
        <f>VLOOKUP(A104,items_full!$A:$K,10,FALSE)</f>
        <v>Fodder crops</v>
      </c>
    </row>
    <row r="105" spans="1:2" x14ac:dyDescent="0.3">
      <c r="A105" t="s">
        <v>1300</v>
      </c>
      <c r="B105" t="str">
        <f>VLOOKUP(A105,items_full!$A:$K,10,FALSE)</f>
        <v>Fodder crops</v>
      </c>
    </row>
    <row r="106" spans="1:2" x14ac:dyDescent="0.3">
      <c r="A106" t="s">
        <v>1870</v>
      </c>
      <c r="B106" t="str">
        <f>VLOOKUP(A106,items_full!$A:$K,10,FALSE)</f>
        <v>Temporary grassland</v>
      </c>
    </row>
    <row r="107" spans="1:2" x14ac:dyDescent="0.3">
      <c r="A107" t="s">
        <v>1780</v>
      </c>
      <c r="B107" t="str">
        <f>VLOOKUP(A107,items_full!$A:$K,10,FALSE)</f>
        <v>Fodder crops</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48</vt:i4>
      </vt:variant>
    </vt:vector>
  </HeadingPairs>
  <TitlesOfParts>
    <vt:vector size="48" baseType="lpstr">
      <vt:lpstr>FAO_areas</vt:lpstr>
      <vt:lpstr>regions_full</vt:lpstr>
      <vt:lpstr>country_changes</vt:lpstr>
      <vt:lpstr>new_old</vt:lpstr>
      <vt:lpstr>region_krausmann</vt:lpstr>
      <vt:lpstr>regions_fabio</vt:lpstr>
      <vt:lpstr>polities_whep</vt:lpstr>
      <vt:lpstr>polities_cats</vt:lpstr>
      <vt:lpstr>Animals_codes</vt:lpstr>
      <vt:lpstr>Names_Liv_Prod</vt:lpstr>
      <vt:lpstr>CBS_Trade_codes</vt:lpstr>
      <vt:lpstr>CB_processing</vt:lpstr>
      <vt:lpstr>items_prod_full</vt:lpstr>
      <vt:lpstr>items_full</vt:lpstr>
      <vt:lpstr>CB_processing_primary</vt:lpstr>
      <vt:lpstr>CB_processing_tidy</vt:lpstr>
      <vt:lpstr>Names_biomass_CB</vt:lpstr>
      <vt:lpstr>Names_cats</vt:lpstr>
      <vt:lpstr>Cats</vt:lpstr>
      <vt:lpstr>Primary_double</vt:lpstr>
      <vt:lpstr>FBS_Trade_codes</vt:lpstr>
      <vt:lpstr>items_proc_fabio</vt:lpstr>
      <vt:lpstr>Feedstuff_FEDNA</vt:lpstr>
      <vt:lpstr>FishStat_items</vt:lpstr>
      <vt:lpstr>Prov</vt:lpstr>
      <vt:lpstr>Names_Prov</vt:lpstr>
      <vt:lpstr>FAO_Sp</vt:lpstr>
      <vt:lpstr>Crops_Eurostat</vt:lpstr>
      <vt:lpstr>Names_MAPA</vt:lpstr>
      <vt:lpstr>Names_Lab</vt:lpstr>
      <vt:lpstr>Cats_eq</vt:lpstr>
      <vt:lpstr>CB_item</vt:lpstr>
      <vt:lpstr>HS_FAO_JRC</vt:lpstr>
      <vt:lpstr>TF_plant_JRC</vt:lpstr>
      <vt:lpstr>Cats_Murcia</vt:lpstr>
      <vt:lpstr>Cats_MAPA</vt:lpstr>
      <vt:lpstr>Names_biomass</vt:lpstr>
      <vt:lpstr>Biomass_names</vt:lpstr>
      <vt:lpstr>Crop_Names</vt:lpstr>
      <vt:lpstr>water_fab</vt:lpstr>
      <vt:lpstr>conc_water</vt:lpstr>
      <vt:lpstr>conv_bouwman</vt:lpstr>
      <vt:lpstr>conv_krausmann</vt:lpstr>
      <vt:lpstr>HI_changes_krausmann</vt:lpstr>
      <vt:lpstr>residue_krausmann</vt:lpstr>
      <vt:lpstr>energy_fab</vt:lpstr>
      <vt:lpstr>Liv_LU_coefs</vt:lpstr>
      <vt:lpstr>CBS_cat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Eduardo Aguilera</dc:creator>
  <cp:keywords/>
  <dc:description/>
  <cp:lastModifiedBy>Edu Aguilera</cp:lastModifiedBy>
  <cp:revision/>
  <dcterms:created xsi:type="dcterms:W3CDTF">2023-04-15T07:24:04Z</dcterms:created>
  <dcterms:modified xsi:type="dcterms:W3CDTF">2025-11-18T11:07:00Z</dcterms:modified>
  <cp:category/>
  <cp:contentStatus/>
</cp:coreProperties>
</file>